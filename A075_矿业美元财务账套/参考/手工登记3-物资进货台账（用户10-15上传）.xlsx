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10\"/>
    </mc:Choice>
  </mc:AlternateContent>
  <bookViews>
    <workbookView windowWidth="27945" windowHeight="12375" firstSheet="1" activeTab="5"/>
  </bookViews>
  <sheets>
    <sheet name="最新炸药" sheetId="16" state="hidden" r:id="rId1"/>
    <sheet name="引线" sheetId="9" r:id="rId2"/>
    <sheet name="烧碱片碱" sheetId="6" r:id="rId3"/>
    <sheet name="硫酸" sheetId="13" r:id="rId4"/>
    <sheet name="硝酸" sheetId="15" r:id="rId5"/>
    <sheet name="氰化钠" sheetId="4" r:id="rId6"/>
    <sheet name="盐酸" sheetId="14" r:id="rId7"/>
    <sheet name="活性炭" sheetId="10" r:id="rId8"/>
    <sheet name="雷管" sheetId="17" r:id="rId9"/>
    <sheet name="引火线" sheetId="7" r:id="rId10"/>
    <sheet name="引火管" sheetId="8" r:id="rId11"/>
    <sheet name="彩条布" sheetId="11" r:id="rId12"/>
    <sheet name="炸药" sheetId="12" r:id="rId13"/>
    <sheet name="辰源" sheetId="18" r:id="rId14"/>
    <sheet name="红砖" sheetId="19" r:id="rId15"/>
    <sheet name="水泥" sheetId="20" r:id="rId16"/>
    <sheet name="石子" sheetId="21" r:id="rId17"/>
  </sheets>
  <definedNames>
    <definedName name="_xlnm._FilterDatabase" localSheetId="2" hidden="1">烧碱片碱!$B$1:$H$34</definedName>
    <definedName name="_xlnm._FilterDatabase" localSheetId="5" hidden="1">氰化钠!$A$1:$P$108</definedName>
    <definedName name="_xlnm.Print_Titles" localSheetId="5">氰化钠!$1:$3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HP</author>
  </authors>
  <commentList>
    <comment ref="E15" authorId="0">
      <text>
        <r>
          <rPr>
            <b/>
            <sz val="9"/>
            <rFont val="宋体"/>
            <charset val="134"/>
          </rPr>
          <t>11吨</t>
        </r>
      </text>
    </comment>
    <comment ref="E16" authorId="0">
      <text>
        <r>
          <rPr>
            <b/>
            <sz val="9"/>
            <rFont val="宋体"/>
            <charset val="134"/>
          </rPr>
          <t>8吨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I5" authorId="0">
      <text>
        <r>
          <rPr>
            <sz val="9"/>
            <rFont val="宋体"/>
            <charset val="134"/>
          </rPr>
          <t xml:space="preserve">MJ202408041
</t>
        </r>
      </text>
    </comment>
    <comment ref="I6" authorId="0">
      <text>
        <r>
          <rPr>
            <sz val="9"/>
            <rFont val="宋体"/>
            <charset val="134"/>
          </rPr>
          <t xml:space="preserve">MJ202412001
</t>
        </r>
      </text>
    </comment>
    <comment ref="I7" authorId="0">
      <text>
        <r>
          <rPr>
            <sz val="9"/>
            <rFont val="宋体"/>
            <charset val="134"/>
          </rPr>
          <t>MJ202502021</t>
        </r>
      </text>
    </comment>
    <comment ref="I8" authorId="0">
      <text>
        <r>
          <rPr>
            <sz val="9"/>
            <rFont val="宋体"/>
            <charset val="134"/>
          </rPr>
          <t>MJ202503025</t>
        </r>
      </text>
    </comment>
    <comment ref="I9" authorId="0">
      <text>
        <r>
          <rPr>
            <sz val="9"/>
            <rFont val="宋体"/>
            <charset val="134"/>
          </rPr>
          <t xml:space="preserve">MJ202506005
</t>
        </r>
      </text>
    </comment>
  </commentList>
</comments>
</file>

<file path=xl/sharedStrings.xml><?xml version="1.0" encoding="utf-8"?>
<sst xmlns="http://schemas.openxmlformats.org/spreadsheetml/2006/main" count="1305" uniqueCount="498">
  <si>
    <t>津盛炸药</t>
  </si>
  <si>
    <t>时间</t>
  </si>
  <si>
    <t>摘要</t>
  </si>
  <si>
    <t>购入库数量</t>
  </si>
  <si>
    <t>入库数量</t>
  </si>
  <si>
    <t>余</t>
  </si>
  <si>
    <t>包数</t>
  </si>
  <si>
    <t>吨数</t>
  </si>
  <si>
    <t>入库（包）</t>
  </si>
  <si>
    <t>数量吨</t>
  </si>
  <si>
    <t>箱</t>
  </si>
  <si>
    <t>吨</t>
  </si>
  <si>
    <t>MJ202211093 100吨（4000箱）对账后只差津盛80吨炸药</t>
  </si>
  <si>
    <t>收到炸药1000箱</t>
  </si>
  <si>
    <t>收到炸药1200箱</t>
  </si>
  <si>
    <t>MJ202304024 100吨（4000箱）</t>
  </si>
  <si>
    <t>MJ202306024  100吨（4000箱）</t>
  </si>
  <si>
    <t>MJ202311002 100吨（4000箱）</t>
  </si>
  <si>
    <t>收到炸药400箱</t>
  </si>
  <si>
    <t>收到炸药200箱</t>
  </si>
  <si>
    <t>MJ202403045 100吨（4000箱）</t>
  </si>
  <si>
    <t>MJ202403046 100吨（4000箱）</t>
  </si>
  <si>
    <t>收到炸药800箱</t>
  </si>
  <si>
    <t>收到炸药1100箱</t>
  </si>
  <si>
    <t>退回炸药794箱</t>
  </si>
  <si>
    <t>质量补偿</t>
  </si>
  <si>
    <t>收到炸药150箱</t>
  </si>
  <si>
    <t>MJ202408001   200吨（8000箱）</t>
  </si>
  <si>
    <t>收到炸药373箱</t>
  </si>
  <si>
    <t>收到炸药827箱</t>
  </si>
  <si>
    <t>MJ202412026  100吨（4000箱）176000   2025.1.18</t>
  </si>
  <si>
    <t>MJ202504040  100吨（4000箱）176000   2025.5.9</t>
  </si>
  <si>
    <t>MJ202506013  100吨（4000箱）176000（213310）</t>
  </si>
  <si>
    <t>辰源炸药</t>
  </si>
  <si>
    <t xml:space="preserve">时间 </t>
  </si>
  <si>
    <t>付炸药款8000箱200吨（352000）  MJ202411019</t>
  </si>
  <si>
    <t xml:space="preserve">  100吨（4000箱）176000  MJZY202504022（8272434） </t>
  </si>
  <si>
    <t xml:space="preserve">  100吨（4000箱）176000</t>
  </si>
  <si>
    <t>津盛雷管</t>
  </si>
  <si>
    <t>入库（箱）</t>
  </si>
  <si>
    <t>单位</t>
  </si>
  <si>
    <t>单价</t>
  </si>
  <si>
    <t>金额</t>
  </si>
  <si>
    <t>已支付金额</t>
  </si>
  <si>
    <t>需要支付金额</t>
  </si>
  <si>
    <t>备注</t>
  </si>
  <si>
    <t>领取人签字</t>
  </si>
  <si>
    <t>结余</t>
  </si>
  <si>
    <t>20卷*250米          5箱</t>
  </si>
  <si>
    <t>卷</t>
  </si>
  <si>
    <t>131705
（94505）</t>
  </si>
  <si>
    <t xml:space="preserve">每箱2卷             40箱 </t>
  </si>
  <si>
    <t>15米（120根/箱）    3箱</t>
  </si>
  <si>
    <t>发</t>
  </si>
  <si>
    <t>15米（120根/箱）   20箱</t>
  </si>
  <si>
    <t xml:space="preserve">每箱2卷             20箱 </t>
  </si>
  <si>
    <t xml:space="preserve">每箱2卷             70箱 </t>
  </si>
  <si>
    <t>1250根（9米）</t>
  </si>
  <si>
    <t>根</t>
  </si>
  <si>
    <t>28箱1680发（25米）</t>
  </si>
  <si>
    <t xml:space="preserve">每箱2卷          27箱 </t>
  </si>
  <si>
    <t>2卷*250米      30箱</t>
  </si>
  <si>
    <t>84200
（69000）</t>
  </si>
  <si>
    <t>20卷*250米      50箱</t>
  </si>
  <si>
    <t>20卷*250米     100箱</t>
  </si>
  <si>
    <t>导火索款80箱（2025.1.18）   NO231578  MJ202412026</t>
  </si>
  <si>
    <t>导火索款（2024.12.19）      NO131705  MJ202412026</t>
  </si>
  <si>
    <t>2卷*250米     200箱</t>
  </si>
  <si>
    <t>每箱2卷 *250米     50箱</t>
  </si>
  <si>
    <t>导火索款  2025.3.10      NO1547085  MJ202505013</t>
  </si>
  <si>
    <t>2卷*250米     100箱</t>
  </si>
  <si>
    <t>辰源雷管</t>
  </si>
  <si>
    <t>日期</t>
  </si>
  <si>
    <t>毫秒雷管</t>
  </si>
  <si>
    <t>入库数</t>
  </si>
  <si>
    <t>8米高强度导爆管，每箱120发，共25箱子</t>
  </si>
  <si>
    <t>131705
（37200）</t>
  </si>
  <si>
    <t>8米高强度导爆管</t>
  </si>
  <si>
    <t xml:space="preserve">每箱2卷    导爆索    3箱 </t>
  </si>
  <si>
    <t xml:space="preserve">每箱2卷    导爆索    10箱 </t>
  </si>
  <si>
    <t xml:space="preserve">每箱2卷             15箱 </t>
  </si>
  <si>
    <t>84200
（15200）</t>
  </si>
  <si>
    <t>火雷管100支</t>
  </si>
  <si>
    <t>支</t>
  </si>
  <si>
    <t xml:space="preserve">每箱2卷             50箱 </t>
  </si>
  <si>
    <t xml:space="preserve">每箱2卷             30箱 </t>
  </si>
  <si>
    <t>导火索款2025.3.10（发票号1547085） MJ202506009</t>
  </si>
  <si>
    <t xml:space="preserve">每箱2卷             60箱 </t>
  </si>
  <si>
    <t>送1.2m火雷管    200发</t>
  </si>
  <si>
    <t>250m导爆索         30箱</t>
  </si>
  <si>
    <t>导火索款（2025.3.10） 发票号1547086  MJZY202504024</t>
  </si>
  <si>
    <t>引线款2024.12.19</t>
  </si>
  <si>
    <t>烧碱/片碱出入库台账（7-1-47-1）</t>
  </si>
  <si>
    <t>2023年</t>
  </si>
  <si>
    <t>出库（包）</t>
  </si>
  <si>
    <t>年</t>
  </si>
  <si>
    <t>月</t>
  </si>
  <si>
    <t>日</t>
  </si>
  <si>
    <t>MJ202211088</t>
  </si>
  <si>
    <t>MJ202211089</t>
  </si>
  <si>
    <t>MJ202301001</t>
  </si>
  <si>
    <t>石灰供应商</t>
  </si>
  <si>
    <t>MJ202304024</t>
  </si>
  <si>
    <t>MJ202307001</t>
  </si>
  <si>
    <t>MJ202311001</t>
  </si>
  <si>
    <t>MJ202408035</t>
  </si>
  <si>
    <t>MJ202412027</t>
  </si>
  <si>
    <t>MJ202412028</t>
  </si>
  <si>
    <t>MJ202412029</t>
  </si>
  <si>
    <t>MJ202504042</t>
  </si>
  <si>
    <t>MJ202510033</t>
  </si>
  <si>
    <t>MJ202602017</t>
  </si>
  <si>
    <t>硫酸出入库台账（7-1-61）</t>
  </si>
  <si>
    <t>入库（桶）</t>
  </si>
  <si>
    <t>出库（桶）</t>
  </si>
  <si>
    <t>8月出库</t>
  </si>
  <si>
    <t>MJ202504041</t>
  </si>
  <si>
    <t>硝酸出入库台账（7-2-4）</t>
  </si>
  <si>
    <t>MJ202211001</t>
  </si>
  <si>
    <t>氰化钠出入库台账（7-1-46）</t>
  </si>
  <si>
    <t>入库时间</t>
  </si>
  <si>
    <t>报销凭证号</t>
  </si>
  <si>
    <t>运费</t>
  </si>
  <si>
    <t>出库</t>
  </si>
  <si>
    <t>MJ202211090</t>
  </si>
  <si>
    <t>MJ202211111</t>
  </si>
  <si>
    <t>MJ202302019</t>
  </si>
  <si>
    <t>MJ202303022</t>
  </si>
  <si>
    <t>MJ202305009</t>
  </si>
  <si>
    <t>MJ202306024</t>
  </si>
  <si>
    <t>MJ202308008</t>
  </si>
  <si>
    <t>MJ202309001</t>
  </si>
  <si>
    <t>MJ202311012</t>
  </si>
  <si>
    <t>MJ202403042</t>
  </si>
  <si>
    <t>MJ202403045</t>
  </si>
  <si>
    <t>MJ202403046</t>
  </si>
  <si>
    <t>MJ202405001</t>
  </si>
  <si>
    <t>MJ202408001</t>
  </si>
  <si>
    <t>MJ202502016</t>
  </si>
  <si>
    <t>周静</t>
  </si>
  <si>
    <t>MJ202504043</t>
  </si>
  <si>
    <t>300桶/15吨</t>
  </si>
  <si>
    <t>桶/吨</t>
  </si>
  <si>
    <t>2750+2850</t>
  </si>
  <si>
    <t>360桶/18吨</t>
  </si>
  <si>
    <t>MJ202507018</t>
  </si>
  <si>
    <t>MJ202507019</t>
  </si>
  <si>
    <t>MJ202509021</t>
  </si>
  <si>
    <t>22（24.2吨）</t>
  </si>
  <si>
    <t>氰化钠</t>
  </si>
  <si>
    <t>27(1吨）</t>
  </si>
  <si>
    <t>20（22T)</t>
  </si>
  <si>
    <t>MJ202510032</t>
  </si>
  <si>
    <t>03</t>
  </si>
  <si>
    <t>MJ202511018</t>
  </si>
  <si>
    <t>354（50KG/桶）</t>
  </si>
  <si>
    <t>桶</t>
  </si>
  <si>
    <t>MJ202601019</t>
  </si>
  <si>
    <t>25（27.5）</t>
  </si>
  <si>
    <t>唐演</t>
  </si>
  <si>
    <t>MJ202512020</t>
  </si>
  <si>
    <t>MJ202512021</t>
  </si>
  <si>
    <t>6（6.6T)</t>
  </si>
  <si>
    <t>MJ202602015</t>
  </si>
  <si>
    <t>MJ202602016</t>
  </si>
  <si>
    <t>MJ202601019秦总</t>
  </si>
  <si>
    <t>17（19.295T)</t>
  </si>
  <si>
    <t>MJ202602018</t>
  </si>
  <si>
    <t>26(28.6T)</t>
  </si>
  <si>
    <t>MJ202604035</t>
  </si>
  <si>
    <t>24（26.4T)</t>
  </si>
  <si>
    <t>25（28.375T）</t>
  </si>
  <si>
    <t>MJ202604036</t>
  </si>
  <si>
    <t>MJ202604037</t>
  </si>
  <si>
    <t>MJ202604038</t>
  </si>
  <si>
    <t>22（24.97）</t>
  </si>
  <si>
    <t>盐酸出入库台账（7-1-5-1）</t>
  </si>
  <si>
    <t>7月份出库</t>
  </si>
  <si>
    <t>8月初调整数量</t>
  </si>
  <si>
    <t>8月份出库</t>
  </si>
  <si>
    <t>9月份出库</t>
  </si>
  <si>
    <t>11月出库</t>
  </si>
  <si>
    <t>12月出库</t>
  </si>
  <si>
    <t>MJ202507019（22大桶 25.83吨）</t>
  </si>
  <si>
    <t>活性炭出入库台账（2-5-2）</t>
  </si>
  <si>
    <t>入库（KG)</t>
  </si>
  <si>
    <t>400包</t>
  </si>
  <si>
    <t>津盛&amp;华威雷管部分对帐表</t>
  </si>
  <si>
    <t>DATE
日期</t>
  </si>
  <si>
    <t>DETAILS
客户名称</t>
  </si>
  <si>
    <t>ORDER NO.
单号</t>
  </si>
  <si>
    <t>货物名称</t>
  </si>
  <si>
    <t>出库数量</t>
  </si>
  <si>
    <t>总价</t>
  </si>
  <si>
    <t>收款</t>
  </si>
  <si>
    <t>欠款</t>
  </si>
  <si>
    <t>2024.9.11</t>
  </si>
  <si>
    <t>津盛</t>
  </si>
  <si>
    <t>02709</t>
  </si>
  <si>
    <t>导爆索</t>
  </si>
  <si>
    <t xml:space="preserve">卷 </t>
  </si>
  <si>
    <t>5箱每箱4卷，每卷250米</t>
  </si>
  <si>
    <t>2024.9.15</t>
  </si>
  <si>
    <t>02734</t>
  </si>
  <si>
    <t>40箱每箱2卷，每卷250米</t>
  </si>
  <si>
    <t>2024.9.25</t>
  </si>
  <si>
    <t>231238</t>
  </si>
  <si>
    <t>15米高强度导爆管</t>
  </si>
  <si>
    <t>每箱120发，共3箱</t>
  </si>
  <si>
    <t>2024.9.30</t>
  </si>
  <si>
    <t>231241</t>
  </si>
  <si>
    <t>每箱120发，共20箱</t>
  </si>
  <si>
    <t>2024.10.4</t>
  </si>
  <si>
    <t>02851</t>
  </si>
  <si>
    <t>20箱每箱2卷，每卷250米</t>
  </si>
  <si>
    <t>2024.10.24</t>
  </si>
  <si>
    <t>230730</t>
  </si>
  <si>
    <t>70箱每箱2卷，每卷250米</t>
  </si>
  <si>
    <t>2024.11.09</t>
  </si>
  <si>
    <t>230767</t>
  </si>
  <si>
    <t>9米导爆索</t>
  </si>
  <si>
    <t>2024.11.21</t>
  </si>
  <si>
    <t>230788</t>
  </si>
  <si>
    <t>25米导爆索</t>
  </si>
  <si>
    <t>每箱60发，共28箱</t>
  </si>
  <si>
    <t>引火线出入库台账（1-3-4）</t>
  </si>
  <si>
    <t>出库（卷）</t>
  </si>
  <si>
    <t>库存
结余数</t>
  </si>
  <si>
    <t>引火管出入库台账（1-3-2）</t>
  </si>
  <si>
    <t>入库（根）</t>
  </si>
  <si>
    <t>出库（根）</t>
  </si>
  <si>
    <t>彩条布出入库台账（7-2-4）</t>
  </si>
  <si>
    <t>入库（卷）</t>
  </si>
  <si>
    <t>炸药出入库台账（1-3-3）</t>
  </si>
  <si>
    <t>之前已经报销</t>
  </si>
  <si>
    <t>MJ202206007</t>
  </si>
  <si>
    <t>炸药款</t>
  </si>
  <si>
    <t>MJ202206017</t>
  </si>
  <si>
    <t>炸药</t>
  </si>
  <si>
    <t>MJ202208025</t>
  </si>
  <si>
    <t>付炸药款100吨</t>
  </si>
  <si>
    <t>KMJ202211093</t>
  </si>
  <si>
    <t>炸药100吨</t>
  </si>
  <si>
    <t>炸药款4000箱</t>
  </si>
  <si>
    <t>包</t>
  </si>
  <si>
    <t>入库</t>
  </si>
  <si>
    <t>MJ202206020</t>
  </si>
  <si>
    <t>炸药运费</t>
  </si>
  <si>
    <t>MJ202206021</t>
  </si>
  <si>
    <t>MJ202207033</t>
  </si>
  <si>
    <t>30吨炸药运费</t>
  </si>
  <si>
    <t>MJ202207045</t>
  </si>
  <si>
    <t>MJ202211093 100吨（4000箱）</t>
  </si>
  <si>
    <t>MJ202208015</t>
  </si>
  <si>
    <t>炸药运费（30吨）</t>
  </si>
  <si>
    <t>MJ202208025 100吨（4000箱）</t>
  </si>
  <si>
    <t>MJ202211084</t>
  </si>
  <si>
    <t>炸药运费2车</t>
  </si>
  <si>
    <t>MJ202211092</t>
  </si>
  <si>
    <t>MJ202211093</t>
  </si>
  <si>
    <t>MJ202212013</t>
  </si>
  <si>
    <t>炸药运费25吨</t>
  </si>
  <si>
    <t>MJ202302018</t>
  </si>
  <si>
    <t>炸药1200箱运费</t>
  </si>
  <si>
    <t>MJ202105005</t>
  </si>
  <si>
    <t>炸药4000元雷管212元</t>
  </si>
  <si>
    <t>MJ202108001</t>
  </si>
  <si>
    <t>炸药80箱(2吨）</t>
  </si>
  <si>
    <t>MJ202202007</t>
  </si>
  <si>
    <t>200箱炸药</t>
  </si>
  <si>
    <t>MJ202203018</t>
  </si>
  <si>
    <t>3月13号付120箱炸药款</t>
  </si>
  <si>
    <t>MJ202204020</t>
  </si>
  <si>
    <t>炸药120箱*48</t>
  </si>
  <si>
    <t>MJ202204033</t>
  </si>
  <si>
    <t>200箱炸药运费</t>
  </si>
  <si>
    <t>MJ202204038</t>
  </si>
  <si>
    <t>200箱炸药+运费</t>
  </si>
  <si>
    <t>MJ202205018</t>
  </si>
  <si>
    <t>炸药18箱</t>
  </si>
  <si>
    <t>MJ202206001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</si>
  <si>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00箱炸药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</si>
  <si>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00箱炸药运费（2车）</t>
    </r>
  </si>
  <si>
    <r>
      <rPr>
        <sz val="11"/>
        <color theme="1"/>
        <rFont val="宋体"/>
        <charset val="134"/>
        <scheme val="minor"/>
      </rPr>
      <t>400箱炸款加药运费（2车）</t>
    </r>
  </si>
  <si>
    <t>辰源矿业炸药入库及出库情况</t>
  </si>
  <si>
    <t>引爆雷管</t>
  </si>
  <si>
    <t>导火索（卷）</t>
  </si>
  <si>
    <t>15米高强度导爆管，每箱120发，共25箱子</t>
  </si>
  <si>
    <t xml:space="preserve">每箱2卷             3箱 </t>
  </si>
  <si>
    <t xml:space="preserve">每箱2卷             10箱 </t>
  </si>
  <si>
    <t>2024.11.12付炸药款8000箱子</t>
  </si>
  <si>
    <t>序号</t>
  </si>
  <si>
    <t>单号</t>
  </si>
  <si>
    <t>收到数量</t>
  </si>
  <si>
    <t>合计</t>
  </si>
  <si>
    <t>2024.9.04</t>
  </si>
  <si>
    <t>客户拉砖10000*0.11</t>
  </si>
  <si>
    <t>2024.9.06</t>
  </si>
  <si>
    <t>2024.9.08</t>
  </si>
  <si>
    <t>2024.11.14</t>
  </si>
  <si>
    <t>客户拉砖10000*0.107</t>
  </si>
  <si>
    <t>2024.11.17</t>
  </si>
  <si>
    <t>2025.03.26</t>
  </si>
  <si>
    <t>0045142</t>
  </si>
  <si>
    <t>客户拉砖10000*0.095</t>
  </si>
  <si>
    <t>0045143</t>
  </si>
  <si>
    <t>2025.05.09</t>
  </si>
  <si>
    <t>0024971</t>
  </si>
  <si>
    <t>0024972</t>
  </si>
  <si>
    <t>0024973</t>
  </si>
  <si>
    <t>2025.06.18</t>
  </si>
  <si>
    <t>XSCK-20250618-01077</t>
  </si>
  <si>
    <t>客户拉砖10000*0.1</t>
  </si>
  <si>
    <t>XSCK-20250618-01078</t>
  </si>
  <si>
    <t>XSCK-20250618-01079</t>
  </si>
  <si>
    <t>XSCK-20250618-01080</t>
  </si>
  <si>
    <t>2025.06.20</t>
  </si>
  <si>
    <t>XSCK-20250620-01180</t>
  </si>
  <si>
    <t>2025.07.30</t>
  </si>
  <si>
    <t>XSCK-20250730-03814</t>
  </si>
  <si>
    <t>2025.07.31</t>
  </si>
  <si>
    <t>XSCK-20250731-03854</t>
  </si>
  <si>
    <t>2025.09.15</t>
  </si>
  <si>
    <t>XSCK-20250919-06654</t>
  </si>
  <si>
    <t>XSCK-20250919-06655</t>
  </si>
  <si>
    <t>2025.10.28</t>
  </si>
  <si>
    <t>XSCK-20251027-09373</t>
  </si>
  <si>
    <t>客户拉砖10000*0.108</t>
  </si>
  <si>
    <t>XSCK-20251027-09374</t>
  </si>
  <si>
    <t>2025.10.29</t>
  </si>
  <si>
    <t>XSCK-20251028-09437</t>
  </si>
  <si>
    <t>XSCK-20251028-09438</t>
  </si>
  <si>
    <t>2025.10.30</t>
  </si>
  <si>
    <t>XSCK-20251030-09510</t>
  </si>
  <si>
    <t>XSCK-20251030-09511</t>
  </si>
  <si>
    <t>XSCK-20251208-12149</t>
  </si>
  <si>
    <t>客户拉砖10000*0.120</t>
  </si>
  <si>
    <t>XSCK-20251209-12253</t>
  </si>
  <si>
    <t>XSCK-20251208-12151</t>
  </si>
  <si>
    <t>XSCK-20251208-12152</t>
  </si>
  <si>
    <t>XSCK-20251209-12252</t>
  </si>
  <si>
    <t>XSCK-20251209-12254</t>
  </si>
  <si>
    <t>XSCK-20260112-13883</t>
  </si>
  <si>
    <t>XSCK-20260112-13884</t>
  </si>
  <si>
    <t>XSCK-20260112-13885</t>
  </si>
  <si>
    <t>XSCK-20260113-13980</t>
  </si>
  <si>
    <t>XSCK-20260113-13981</t>
  </si>
  <si>
    <t>XSCK-20260202-15231</t>
  </si>
  <si>
    <t>客户拉砖10000*0.105</t>
  </si>
  <si>
    <t>XSCK-20260202-15232</t>
  </si>
  <si>
    <t>XSCK-20260204-15446</t>
  </si>
  <si>
    <t>XSCK-20260204-15447</t>
  </si>
  <si>
    <t>XSCK-20260206-15665</t>
  </si>
  <si>
    <t>XSCK-20260206-15666</t>
  </si>
  <si>
    <t>XSCK-20260209-15903</t>
  </si>
  <si>
    <t>XSCK-20260209-15904</t>
  </si>
  <si>
    <t>XSCK-20260209-15905</t>
  </si>
  <si>
    <t>XSCK-20260305-18168</t>
  </si>
  <si>
    <t>XSCK-20260305-18169</t>
  </si>
  <si>
    <t>XSCK-20260306-18233</t>
  </si>
  <si>
    <t>XSCK-20260306-18234</t>
  </si>
  <si>
    <t>XSCK-20260307-18321</t>
  </si>
  <si>
    <t>XSCK-20260307-18322</t>
  </si>
  <si>
    <t>XSCK-20260309-18497</t>
  </si>
  <si>
    <t>客户拉砖10000*0.115</t>
  </si>
  <si>
    <t>XSCK-20260309-18498</t>
  </si>
  <si>
    <t>XSCK-20260309-18511</t>
  </si>
  <si>
    <t>XSCK-20260309-18512</t>
  </si>
  <si>
    <t>XSCK-20260406-20537</t>
  </si>
  <si>
    <t>客户拉砖10000*0.12</t>
  </si>
  <si>
    <t>XSCK-20260406-20457</t>
  </si>
  <si>
    <t>XSCK-20260601-24629</t>
  </si>
  <si>
    <t>XSCK-20260601-24630</t>
  </si>
  <si>
    <t>XSCK-20260602-24720</t>
  </si>
  <si>
    <t>XSCK-20260602-24721</t>
  </si>
  <si>
    <t>XSCK-20260603-24794</t>
  </si>
  <si>
    <t>XSCK-20260604-24855</t>
  </si>
  <si>
    <t>XSCK-20260604-24856</t>
  </si>
  <si>
    <t>XSCK-20260604-24857</t>
  </si>
  <si>
    <t>XSCK-20260605-24924</t>
  </si>
  <si>
    <t>XSCK-20260605-24925</t>
  </si>
  <si>
    <t>XSCK-20260621-25772</t>
  </si>
  <si>
    <t>XSCK-20260621-25774</t>
  </si>
  <si>
    <t>XSCK-20260621-25775</t>
  </si>
  <si>
    <t>XSCK-20260621-25776</t>
  </si>
  <si>
    <t>XSCK-20260622-25825</t>
  </si>
  <si>
    <t>XSCK-20260626-26131</t>
  </si>
  <si>
    <t>XSCK-20260626-26132</t>
  </si>
  <si>
    <t>XSCK-20260626-26133</t>
  </si>
  <si>
    <t>XSCK-20260626-26134</t>
  </si>
  <si>
    <t>XSCK-20260626-26135</t>
  </si>
  <si>
    <t>XSCK-20260702-26464</t>
  </si>
  <si>
    <t>XSCK-20260702-26465</t>
  </si>
  <si>
    <t>XSCK-20260702-26466</t>
  </si>
  <si>
    <t>XSCK-20260702-26467</t>
  </si>
  <si>
    <t>XSCK-20260702-26468</t>
  </si>
  <si>
    <t>XSCK-20260702-26469</t>
  </si>
  <si>
    <t>XSCK-20260702-26470</t>
  </si>
  <si>
    <t>XSCK-20260702-26471</t>
  </si>
  <si>
    <t>XSCK-20260702-26472</t>
  </si>
  <si>
    <t>XSCK-20260702-26473</t>
  </si>
  <si>
    <t>XSCK-20260707-26838</t>
  </si>
  <si>
    <t>客户拉砖10000*0.110</t>
  </si>
  <si>
    <t>XSCK-20260707-26839</t>
  </si>
  <si>
    <t>XSCK-20260707-26840</t>
  </si>
  <si>
    <t>XSCK-20260707-26841</t>
  </si>
  <si>
    <t>XSCK-20260707-26842</t>
  </si>
  <si>
    <t>XSCK-20260708-26924</t>
  </si>
  <si>
    <t>XSCK-20260708-26925</t>
  </si>
  <si>
    <t>XSCK-20260708-26926</t>
  </si>
  <si>
    <t>XSCK-20260708-26927</t>
  </si>
  <si>
    <t>XSCK-20260708-26928</t>
  </si>
  <si>
    <t>2026.07.13</t>
  </si>
  <si>
    <t>XSCK-20260713-27249</t>
  </si>
  <si>
    <t>XSCK-20260713-27250</t>
  </si>
  <si>
    <t>XSCK-20260713-27251</t>
  </si>
  <si>
    <t>XSCK-20260713-27252</t>
  </si>
  <si>
    <t>2026.07.14</t>
  </si>
  <si>
    <t>XSCK-20260714-27327</t>
  </si>
  <si>
    <t>XSCK-20260714-27328</t>
  </si>
  <si>
    <t>XSCK-20260714-27329</t>
  </si>
  <si>
    <t>2026.07.16</t>
  </si>
  <si>
    <t>XSCK-20260716-27517</t>
  </si>
  <si>
    <t>XSCK-20260716-27518</t>
  </si>
  <si>
    <t>XSCK-20260716-27519</t>
  </si>
  <si>
    <t>2026.07.18</t>
  </si>
  <si>
    <t>XSCK-20260718-27706</t>
  </si>
  <si>
    <t>XSCK-20260718-27707</t>
  </si>
  <si>
    <t>XSCK-20260718-27708</t>
  </si>
  <si>
    <t>XSCK-20260718-27709</t>
  </si>
  <si>
    <t>2026.07.20</t>
  </si>
  <si>
    <t>XSCK-20260720-27795</t>
  </si>
  <si>
    <t>XSCK-20260720-27796</t>
  </si>
  <si>
    <t>XSCK-20260720-27797</t>
  </si>
  <si>
    <t>XSCK-20260720-27798</t>
  </si>
  <si>
    <t>XSCK-20260720-27799</t>
  </si>
  <si>
    <t>XSCK-20260720-27800</t>
  </si>
  <si>
    <t>2026.07.28</t>
  </si>
  <si>
    <t>XSCK-20260728-28404</t>
  </si>
  <si>
    <t>XSCK-20260728-28406</t>
  </si>
  <si>
    <t>XSCK-20260728-28407</t>
  </si>
  <si>
    <t>XSCK-20260728-28408</t>
  </si>
  <si>
    <t>XSCK-20260728-28409</t>
  </si>
  <si>
    <t>2026.07.29</t>
  </si>
  <si>
    <t>XSCK-20260728-28405</t>
  </si>
  <si>
    <t>XSCK-20260729-28469</t>
  </si>
  <si>
    <t>XSCK-20260729-28470</t>
  </si>
  <si>
    <t>XSCK-20260729-28471</t>
  </si>
  <si>
    <t>XSCK-20260729-28472</t>
  </si>
  <si>
    <t>2026.8.2</t>
  </si>
  <si>
    <t>XSCK-20260801-28686</t>
  </si>
  <si>
    <t>XSCK-20260801-28687</t>
  </si>
  <si>
    <t>XSCK-20260801-28688</t>
  </si>
  <si>
    <t>XSCK-20260801-28689</t>
  </si>
  <si>
    <t>XSCK-20260801-28690</t>
  </si>
  <si>
    <t>XSCK-20260801-28691</t>
  </si>
  <si>
    <t>XSCK-20260801-28692</t>
  </si>
  <si>
    <t>2026.8.3</t>
  </si>
  <si>
    <t>XSCK-20260802-28720</t>
  </si>
  <si>
    <t>XSCK-20260802-28721</t>
  </si>
  <si>
    <t>XSCK-20260802-28722</t>
  </si>
  <si>
    <t>合计：</t>
  </si>
  <si>
    <t>数量</t>
  </si>
  <si>
    <t>MJ202408023</t>
  </si>
  <si>
    <t>NO.06835</t>
  </si>
  <si>
    <t>MJ202408028</t>
  </si>
  <si>
    <t>MJ202410011</t>
  </si>
  <si>
    <t>NO.08914</t>
  </si>
  <si>
    <t>MJ202412025</t>
  </si>
  <si>
    <t>NO.005678</t>
  </si>
  <si>
    <t>MJ202502007</t>
  </si>
  <si>
    <t>MJ202504021</t>
  </si>
  <si>
    <t>MJ202506010</t>
  </si>
  <si>
    <t>NO.005039</t>
  </si>
  <si>
    <t>MJ202508029</t>
  </si>
  <si>
    <t>NO.0057998</t>
  </si>
  <si>
    <t>NO.0057996</t>
  </si>
  <si>
    <t>NO.002852</t>
  </si>
  <si>
    <t>NO.001947</t>
  </si>
  <si>
    <t>NO.055</t>
  </si>
  <si>
    <t>NO.090</t>
  </si>
  <si>
    <t>NO.056</t>
  </si>
  <si>
    <t>NO0001154</t>
  </si>
  <si>
    <t>石子</t>
  </si>
  <si>
    <t>方</t>
  </si>
  <si>
    <t>MJ202604004</t>
  </si>
  <si>
    <t>NO0001157</t>
  </si>
  <si>
    <t>NO0001161</t>
  </si>
  <si>
    <t>NO0001169</t>
  </si>
  <si>
    <t>NO078</t>
  </si>
  <si>
    <t>NO0016782</t>
  </si>
  <si>
    <t>MJ202605030</t>
  </si>
  <si>
    <t>NO0016783</t>
  </si>
  <si>
    <t>NO0016784</t>
  </si>
  <si>
    <t>NO0016786</t>
  </si>
  <si>
    <t>NO0015688</t>
  </si>
  <si>
    <t>MJ202606026</t>
  </si>
  <si>
    <t>NO0002311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</si>
</sst>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0_ "/>
    <numFmt numFmtId="178" formatCode="#,##0.00_ "/>
    <numFmt numFmtId="179" formatCode="\$#,##0.00;\-\$#,##0.00"/>
    <numFmt numFmtId="180" formatCode="0.00_ "/>
    <numFmt numFmtId="181" formatCode="yyyy/m/d;@"/>
  </numFmts>
  <fonts count="4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20"/>
      <color rgb="FF800080"/>
      <name val="微软雅黑"/>
      <charset val="0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1"/>
      <name val="华文楷体"/>
      <charset val="134"/>
    </font>
    <font>
      <sz val="11"/>
      <name val="宋体"/>
      <charset val="134"/>
      <scheme val="minor"/>
    </font>
    <font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20"/>
      <color theme="3"/>
      <name val="宋体"/>
      <charset val="134"/>
      <scheme val="minor"/>
    </font>
    <font>
      <b/>
      <sz val="10"/>
      <color theme="3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14" applyNumberFormat="0" applyAlignment="0" applyProtection="0">
      <alignment vertical="center"/>
    </xf>
    <xf numFmtId="0" fontId="29" fillId="13" borderId="15" applyNumberFormat="0" applyAlignment="0" applyProtection="0">
      <alignment vertical="center"/>
    </xf>
    <xf numFmtId="0" fontId="30" fillId="13" borderId="14" applyNumberFormat="0" applyAlignment="0" applyProtection="0">
      <alignment vertical="center"/>
    </xf>
    <xf numFmtId="0" fontId="31" fillId="14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12" fillId="0" borderId="0"/>
  </cellStyleXfs>
  <cellXfs count="1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0" fontId="5" fillId="2" borderId="0" xfId="6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58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179" fontId="12" fillId="0" borderId="1" xfId="0" applyNumberFormat="1" applyFont="1" applyFill="1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  <xf numFmtId="0" fontId="0" fillId="0" borderId="2" xfId="0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vertical="center" shrinkToFit="1"/>
    </xf>
    <xf numFmtId="0" fontId="13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shrinkToFit="1"/>
    </xf>
    <xf numFmtId="0" fontId="0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1" xfId="0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  <xf numFmtId="14" fontId="16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15" fillId="0" borderId="1" xfId="0" applyNumberFormat="1" applyFont="1" applyBorder="1" applyAlignment="1">
      <alignment vertical="center" shrinkToFit="1"/>
    </xf>
    <xf numFmtId="0" fontId="0" fillId="6" borderId="0" xfId="0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3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right" vertical="center" shrinkToFit="1"/>
    </xf>
    <xf numFmtId="14" fontId="0" fillId="0" borderId="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14" fontId="16" fillId="9" borderId="1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 wrapText="1"/>
    </xf>
    <xf numFmtId="0" fontId="16" fillId="0" borderId="1" xfId="0" applyFont="1" applyBorder="1">
      <alignment vertical="center"/>
    </xf>
    <xf numFmtId="0" fontId="16" fillId="9" borderId="0" xfId="0" applyFont="1" applyFill="1" applyAlignment="1">
      <alignment horizontal="center" vertical="center"/>
    </xf>
    <xf numFmtId="14" fontId="16" fillId="0" borderId="1" xfId="0" applyNumberFormat="1" applyFont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81" fontId="16" fillId="0" borderId="1" xfId="0" applyNumberFormat="1" applyFont="1" applyFill="1" applyBorder="1" applyAlignment="1">
      <alignment horizontal="left" vertical="center"/>
    </xf>
    <xf numFmtId="0" fontId="16" fillId="0" borderId="1" xfId="0" applyFont="1" applyFill="1" applyBorder="1">
      <alignment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181" fontId="16" fillId="0" borderId="1" xfId="0" applyNumberFormat="1" applyFont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178" fontId="20" fillId="5" borderId="1" xfId="49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 shrinkToFit="1"/>
    </xf>
    <xf numFmtId="0" fontId="0" fillId="0" borderId="6" xfId="0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76" fontId="0" fillId="0" borderId="0" xfId="0" applyNumberFormat="1" applyFill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exceltmp1" xfId="49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4"/>
  <sheetViews>
    <sheetView workbookViewId="0">
      <pane ySplit="3" topLeftCell="A67" activePane="bottomLeft" state="frozen"/>
      <selection/>
      <selection pane="bottomLeft" activeCell="F47" sqref="F47"/>
    </sheetView>
  </sheetViews>
  <sheetFormatPr defaultColWidth="9" defaultRowHeight="13.5"/>
  <cols>
    <col min="1" max="1" width="15.75" style="50" customWidth="1"/>
    <col min="2" max="2" width="48.875" style="50" customWidth="1"/>
    <col min="3" max="4" width="11.375" style="134" customWidth="1"/>
    <col min="5" max="5" width="10.875" style="50" customWidth="1"/>
    <col min="6" max="7" width="11.625" style="50" customWidth="1"/>
    <col min="8" max="8" width="13.625" style="50" customWidth="1"/>
    <col min="9" max="16384" width="9" style="50"/>
  </cols>
  <sheetData>
    <row r="1" s="50" customFormat="1" ht="33" customHeight="1" spans="1:8">
      <c r="A1" s="135" t="s">
        <v>0</v>
      </c>
      <c r="B1" s="135"/>
      <c r="C1" s="135"/>
      <c r="D1" s="135"/>
      <c r="E1" s="135"/>
    </row>
    <row r="2" s="134" customFormat="1" ht="21" customHeight="1" spans="1:8">
      <c r="A2" s="31" t="s">
        <v>1</v>
      </c>
      <c r="B2" s="31" t="s">
        <v>2</v>
      </c>
      <c r="C2" s="31" t="s">
        <v>3</v>
      </c>
      <c r="D2" s="31"/>
      <c r="E2" s="31" t="s">
        <v>4</v>
      </c>
      <c r="F2" s="31"/>
      <c r="G2" s="74" t="s">
        <v>5</v>
      </c>
      <c r="H2" s="74"/>
    </row>
    <row r="3" s="134" customFormat="1" ht="22" customHeight="1" spans="1:8">
      <c r="A3" s="31"/>
      <c r="B3" s="31"/>
      <c r="C3" s="31" t="s">
        <v>6</v>
      </c>
      <c r="D3" s="31" t="s">
        <v>7</v>
      </c>
      <c r="E3" s="31" t="s">
        <v>8</v>
      </c>
      <c r="F3" s="31" t="s">
        <v>9</v>
      </c>
      <c r="G3" s="74" t="s">
        <v>10</v>
      </c>
      <c r="H3" s="74" t="s">
        <v>11</v>
      </c>
    </row>
    <row r="4" s="134" customFormat="1" ht="21" customHeight="1" spans="1:8">
      <c r="A4" s="136">
        <v>44887</v>
      </c>
      <c r="B4" s="137" t="s">
        <v>12</v>
      </c>
      <c r="C4" s="31">
        <v>3200</v>
      </c>
      <c r="D4" s="31">
        <v>80</v>
      </c>
      <c r="E4" s="31"/>
      <c r="F4" s="31"/>
      <c r="G4" s="74">
        <v>3200</v>
      </c>
      <c r="H4" s="31">
        <v>80</v>
      </c>
    </row>
    <row r="5" s="134" customFormat="1" ht="21" customHeight="1" spans="1:8">
      <c r="A5" s="136">
        <v>44913</v>
      </c>
      <c r="B5" s="51" t="s">
        <v>13</v>
      </c>
      <c r="C5" s="31"/>
      <c r="D5" s="31"/>
      <c r="E5" s="31">
        <v>1000</v>
      </c>
      <c r="F5" s="31">
        <v>25</v>
      </c>
      <c r="G5" s="31">
        <f>G4+C5-E5</f>
        <v>2200</v>
      </c>
      <c r="H5" s="31">
        <f>H4+D5-F5</f>
        <v>55</v>
      </c>
    </row>
    <row r="6" s="50" customFormat="1" ht="21" customHeight="1" spans="1:8">
      <c r="A6" s="136">
        <v>44962</v>
      </c>
      <c r="B6" s="51" t="s">
        <v>14</v>
      </c>
      <c r="C6" s="31"/>
      <c r="D6" s="31"/>
      <c r="E6" s="31">
        <v>1200</v>
      </c>
      <c r="F6" s="31">
        <v>30</v>
      </c>
      <c r="G6" s="31">
        <f t="shared" ref="G6:G42" si="0">G5+C6-E6</f>
        <v>1000</v>
      </c>
      <c r="H6" s="31">
        <f t="shared" ref="H6:H30" si="1">H5+D6-F6</f>
        <v>25</v>
      </c>
    </row>
    <row r="7" s="50" customFormat="1" ht="21" customHeight="1" spans="1:8">
      <c r="A7" s="136">
        <v>45025</v>
      </c>
      <c r="B7" s="51" t="s">
        <v>14</v>
      </c>
      <c r="C7" s="31"/>
      <c r="D7" s="31"/>
      <c r="E7" s="31">
        <v>1200</v>
      </c>
      <c r="F7" s="31">
        <v>30</v>
      </c>
      <c r="G7" s="31">
        <f t="shared" si="0"/>
        <v>-200</v>
      </c>
      <c r="H7" s="31">
        <f t="shared" si="1"/>
        <v>-5</v>
      </c>
    </row>
    <row r="8" s="50" customFormat="1" ht="21" customHeight="1" spans="1:8">
      <c r="A8" s="136">
        <v>45030</v>
      </c>
      <c r="B8" s="132" t="s">
        <v>15</v>
      </c>
      <c r="C8" s="31">
        <v>4000</v>
      </c>
      <c r="D8" s="31">
        <v>100</v>
      </c>
      <c r="E8" s="31"/>
      <c r="F8" s="31"/>
      <c r="G8" s="31">
        <f t="shared" si="0"/>
        <v>3800</v>
      </c>
      <c r="H8" s="31">
        <f t="shared" si="1"/>
        <v>95</v>
      </c>
    </row>
    <row r="9" s="50" customFormat="1" ht="21" customHeight="1" spans="1:8">
      <c r="A9" s="136">
        <v>45048</v>
      </c>
      <c r="B9" s="51" t="s">
        <v>14</v>
      </c>
      <c r="C9" s="31"/>
      <c r="D9" s="31"/>
      <c r="E9" s="31">
        <v>1200</v>
      </c>
      <c r="F9" s="31">
        <v>30</v>
      </c>
      <c r="G9" s="31">
        <f t="shared" si="0"/>
        <v>2600</v>
      </c>
      <c r="H9" s="31">
        <f t="shared" si="1"/>
        <v>65</v>
      </c>
    </row>
    <row r="10" s="50" customFormat="1" ht="21" customHeight="1" spans="1:8">
      <c r="A10" s="136">
        <v>45082</v>
      </c>
      <c r="B10" s="51" t="s">
        <v>14</v>
      </c>
      <c r="C10" s="31"/>
      <c r="D10" s="31"/>
      <c r="E10" s="31">
        <v>1200</v>
      </c>
      <c r="F10" s="31">
        <v>30</v>
      </c>
      <c r="G10" s="31">
        <f t="shared" si="0"/>
        <v>1400</v>
      </c>
      <c r="H10" s="31">
        <f t="shared" si="1"/>
        <v>35</v>
      </c>
    </row>
    <row r="11" s="50" customFormat="1" ht="21" customHeight="1" spans="1:8">
      <c r="A11" s="136">
        <v>45106</v>
      </c>
      <c r="B11" s="132" t="s">
        <v>16</v>
      </c>
      <c r="C11" s="31">
        <v>4000</v>
      </c>
      <c r="D11" s="31">
        <v>100</v>
      </c>
      <c r="E11" s="31"/>
      <c r="F11" s="31"/>
      <c r="G11" s="31">
        <f t="shared" si="0"/>
        <v>5400</v>
      </c>
      <c r="H11" s="31">
        <f t="shared" si="1"/>
        <v>135</v>
      </c>
    </row>
    <row r="12" s="50" customFormat="1" ht="21" customHeight="1" spans="1:8">
      <c r="A12" s="136">
        <v>45113</v>
      </c>
      <c r="B12" s="51" t="s">
        <v>14</v>
      </c>
      <c r="C12" s="31"/>
      <c r="D12" s="31"/>
      <c r="E12" s="31">
        <v>1200</v>
      </c>
      <c r="F12" s="31">
        <v>30</v>
      </c>
      <c r="G12" s="31">
        <f t="shared" si="0"/>
        <v>4200</v>
      </c>
      <c r="H12" s="31">
        <f t="shared" si="1"/>
        <v>105</v>
      </c>
    </row>
    <row r="13" s="50" customFormat="1" ht="21" customHeight="1" spans="1:8">
      <c r="A13" s="136">
        <v>45137</v>
      </c>
      <c r="B13" s="51" t="s">
        <v>14</v>
      </c>
      <c r="C13" s="31"/>
      <c r="D13" s="31"/>
      <c r="E13" s="31">
        <v>1200</v>
      </c>
      <c r="F13" s="31">
        <v>30</v>
      </c>
      <c r="G13" s="31">
        <f t="shared" si="0"/>
        <v>3000</v>
      </c>
      <c r="H13" s="31">
        <f t="shared" si="1"/>
        <v>75</v>
      </c>
    </row>
    <row r="14" s="50" customFormat="1" ht="21" customHeight="1" spans="1:8">
      <c r="A14" s="136">
        <v>45154</v>
      </c>
      <c r="B14" s="51" t="s">
        <v>14</v>
      </c>
      <c r="C14" s="31"/>
      <c r="D14" s="31"/>
      <c r="E14" s="31">
        <v>1200</v>
      </c>
      <c r="F14" s="138">
        <v>30</v>
      </c>
      <c r="G14" s="138">
        <f t="shared" si="0"/>
        <v>1800</v>
      </c>
      <c r="H14" s="31">
        <f t="shared" si="1"/>
        <v>45</v>
      </c>
    </row>
    <row r="15" s="50" customFormat="1" ht="21" customHeight="1" spans="1:8">
      <c r="A15" s="136">
        <v>45172</v>
      </c>
      <c r="B15" s="51" t="s">
        <v>14</v>
      </c>
      <c r="C15" s="31"/>
      <c r="D15" s="31"/>
      <c r="E15" s="31">
        <v>1200</v>
      </c>
      <c r="F15" s="138">
        <v>30</v>
      </c>
      <c r="G15" s="138">
        <f t="shared" si="0"/>
        <v>600</v>
      </c>
      <c r="H15" s="31">
        <f t="shared" si="1"/>
        <v>15</v>
      </c>
    </row>
    <row r="16" s="50" customFormat="1" ht="21" customHeight="1" spans="1:8">
      <c r="A16" s="136">
        <v>45196</v>
      </c>
      <c r="B16" s="51" t="s">
        <v>14</v>
      </c>
      <c r="C16" s="31"/>
      <c r="D16" s="31"/>
      <c r="E16" s="31">
        <v>1200</v>
      </c>
      <c r="F16" s="138">
        <v>30</v>
      </c>
      <c r="G16" s="138">
        <f t="shared" si="0"/>
        <v>-600</v>
      </c>
      <c r="H16" s="31">
        <f t="shared" si="1"/>
        <v>-15</v>
      </c>
    </row>
    <row r="17" s="50" customFormat="1" ht="21" customHeight="1" spans="1:8">
      <c r="A17" s="136">
        <v>45197</v>
      </c>
      <c r="B17" s="132" t="s">
        <v>17</v>
      </c>
      <c r="C17" s="31">
        <v>4000</v>
      </c>
      <c r="D17" s="31">
        <v>100</v>
      </c>
      <c r="E17" s="31"/>
      <c r="F17" s="138"/>
      <c r="G17" s="138">
        <f t="shared" si="0"/>
        <v>3400</v>
      </c>
      <c r="H17" s="31">
        <f t="shared" si="1"/>
        <v>85</v>
      </c>
    </row>
    <row r="18" s="50" customFormat="1" ht="21" customHeight="1" spans="1:8">
      <c r="A18" s="136">
        <v>45212</v>
      </c>
      <c r="B18" s="51" t="s">
        <v>18</v>
      </c>
      <c r="C18" s="31"/>
      <c r="D18" s="31"/>
      <c r="E18" s="31">
        <v>400</v>
      </c>
      <c r="F18" s="138">
        <f>400*0.025</f>
        <v>10</v>
      </c>
      <c r="G18" s="138">
        <f t="shared" si="0"/>
        <v>3000</v>
      </c>
      <c r="H18" s="31">
        <f t="shared" si="1"/>
        <v>75</v>
      </c>
    </row>
    <row r="19" s="50" customFormat="1" ht="21" customHeight="1" spans="1:8">
      <c r="A19" s="136">
        <v>45213</v>
      </c>
      <c r="B19" s="51" t="s">
        <v>18</v>
      </c>
      <c r="C19" s="31"/>
      <c r="D19" s="31"/>
      <c r="E19" s="31">
        <v>400</v>
      </c>
      <c r="F19" s="138">
        <v>10</v>
      </c>
      <c r="G19" s="138">
        <f t="shared" si="0"/>
        <v>2600</v>
      </c>
      <c r="H19" s="31">
        <f t="shared" si="1"/>
        <v>65</v>
      </c>
    </row>
    <row r="20" s="50" customFormat="1" ht="21" customHeight="1" spans="1:8">
      <c r="A20" s="136">
        <v>45228</v>
      </c>
      <c r="B20" s="51" t="s">
        <v>18</v>
      </c>
      <c r="C20" s="31"/>
      <c r="D20" s="31"/>
      <c r="E20" s="31">
        <v>400</v>
      </c>
      <c r="F20" s="31">
        <v>10</v>
      </c>
      <c r="G20" s="138">
        <f t="shared" si="0"/>
        <v>2200</v>
      </c>
      <c r="H20" s="31">
        <f t="shared" si="1"/>
        <v>55</v>
      </c>
    </row>
    <row r="21" s="50" customFormat="1" ht="21" customHeight="1" spans="1:8">
      <c r="A21" s="136">
        <v>45230</v>
      </c>
      <c r="B21" s="51" t="s">
        <v>18</v>
      </c>
      <c r="C21" s="31"/>
      <c r="D21" s="31"/>
      <c r="E21" s="31">
        <v>400</v>
      </c>
      <c r="F21" s="31">
        <v>10</v>
      </c>
      <c r="G21" s="138">
        <f t="shared" si="0"/>
        <v>1800</v>
      </c>
      <c r="H21" s="31">
        <f t="shared" si="1"/>
        <v>45</v>
      </c>
    </row>
    <row r="22" s="50" customFormat="1" ht="21" customHeight="1" spans="1:8">
      <c r="A22" s="136">
        <v>45234</v>
      </c>
      <c r="B22" s="51" t="s">
        <v>18</v>
      </c>
      <c r="C22" s="31"/>
      <c r="D22" s="31"/>
      <c r="E22" s="31">
        <v>400</v>
      </c>
      <c r="F22" s="31">
        <v>10</v>
      </c>
      <c r="G22" s="138">
        <f t="shared" si="0"/>
        <v>1400</v>
      </c>
      <c r="H22" s="31">
        <f t="shared" si="1"/>
        <v>35</v>
      </c>
    </row>
    <row r="23" s="50" customFormat="1" ht="21" customHeight="1" spans="1:8">
      <c r="A23" s="136">
        <v>45247</v>
      </c>
      <c r="B23" s="51" t="s">
        <v>18</v>
      </c>
      <c r="C23" s="31"/>
      <c r="D23" s="31"/>
      <c r="E23" s="31">
        <v>400</v>
      </c>
      <c r="F23" s="138">
        <v>10</v>
      </c>
      <c r="G23" s="138">
        <f t="shared" si="0"/>
        <v>1000</v>
      </c>
      <c r="H23" s="31">
        <f t="shared" si="1"/>
        <v>25</v>
      </c>
    </row>
    <row r="24" s="50" customFormat="1" ht="21" customHeight="1" spans="1:8">
      <c r="A24" s="136">
        <v>45247</v>
      </c>
      <c r="B24" s="51" t="s">
        <v>19</v>
      </c>
      <c r="C24" s="31"/>
      <c r="D24" s="31"/>
      <c r="E24" s="31">
        <v>200</v>
      </c>
      <c r="F24" s="138">
        <v>5</v>
      </c>
      <c r="G24" s="138">
        <f t="shared" si="0"/>
        <v>800</v>
      </c>
      <c r="H24" s="31">
        <f t="shared" si="1"/>
        <v>20</v>
      </c>
    </row>
    <row r="25" s="50" customFormat="1" ht="21" customHeight="1" spans="1:8">
      <c r="A25" s="136">
        <v>45248</v>
      </c>
      <c r="B25" s="51" t="s">
        <v>19</v>
      </c>
      <c r="C25" s="31"/>
      <c r="D25" s="31"/>
      <c r="E25" s="31">
        <v>200</v>
      </c>
      <c r="F25" s="138">
        <v>5</v>
      </c>
      <c r="G25" s="138">
        <f t="shared" si="0"/>
        <v>600</v>
      </c>
      <c r="H25" s="31">
        <f t="shared" si="1"/>
        <v>15</v>
      </c>
    </row>
    <row r="26" s="50" customFormat="1" ht="21" customHeight="1" spans="1:8">
      <c r="A26" s="136">
        <v>45249</v>
      </c>
      <c r="B26" s="51" t="s">
        <v>18</v>
      </c>
      <c r="C26" s="31"/>
      <c r="D26" s="31"/>
      <c r="E26" s="31">
        <v>400</v>
      </c>
      <c r="F26" s="138">
        <v>10</v>
      </c>
      <c r="G26" s="138">
        <f t="shared" si="0"/>
        <v>200</v>
      </c>
      <c r="H26" s="31">
        <f t="shared" si="1"/>
        <v>5</v>
      </c>
    </row>
    <row r="27" s="50" customFormat="1" ht="21" customHeight="1" spans="1:8">
      <c r="A27" s="136">
        <v>45278</v>
      </c>
      <c r="B27" s="51" t="s">
        <v>19</v>
      </c>
      <c r="C27" s="31"/>
      <c r="D27" s="31"/>
      <c r="E27" s="31">
        <v>200</v>
      </c>
      <c r="F27" s="138">
        <v>5</v>
      </c>
      <c r="G27" s="138">
        <f t="shared" si="0"/>
        <v>0</v>
      </c>
      <c r="H27" s="31">
        <f t="shared" si="1"/>
        <v>0</v>
      </c>
    </row>
    <row r="28" s="50" customFormat="1" ht="21" customHeight="1" spans="1:8">
      <c r="A28" s="136">
        <v>45278</v>
      </c>
      <c r="B28" s="51" t="s">
        <v>18</v>
      </c>
      <c r="C28" s="31"/>
      <c r="D28" s="31"/>
      <c r="E28" s="31">
        <v>400</v>
      </c>
      <c r="F28" s="138">
        <v>10</v>
      </c>
      <c r="G28" s="138">
        <f t="shared" si="0"/>
        <v>-400</v>
      </c>
      <c r="H28" s="31">
        <f t="shared" si="1"/>
        <v>-10</v>
      </c>
    </row>
    <row r="29" s="50" customFormat="1" ht="21" customHeight="1" spans="1:8">
      <c r="A29" s="136">
        <v>45279</v>
      </c>
      <c r="B29" s="51" t="s">
        <v>18</v>
      </c>
      <c r="C29" s="31"/>
      <c r="D29" s="31"/>
      <c r="E29" s="31">
        <v>400</v>
      </c>
      <c r="F29" s="138">
        <v>10</v>
      </c>
      <c r="G29" s="138">
        <f t="shared" si="0"/>
        <v>-800</v>
      </c>
      <c r="H29" s="31">
        <f t="shared" si="1"/>
        <v>-20</v>
      </c>
    </row>
    <row r="30" s="50" customFormat="1" ht="21" customHeight="1" spans="1:8">
      <c r="A30" s="136">
        <v>45282</v>
      </c>
      <c r="B30" s="51" t="s">
        <v>19</v>
      </c>
      <c r="C30" s="31"/>
      <c r="D30" s="31"/>
      <c r="E30" s="31">
        <v>200</v>
      </c>
      <c r="F30" s="138">
        <v>5</v>
      </c>
      <c r="G30" s="138">
        <f t="shared" si="0"/>
        <v>-1000</v>
      </c>
      <c r="H30" s="31">
        <f t="shared" si="1"/>
        <v>-25</v>
      </c>
    </row>
    <row r="31" s="50" customFormat="1" ht="21" customHeight="1" spans="1:8">
      <c r="A31" s="136">
        <v>45308</v>
      </c>
      <c r="B31" s="132" t="s">
        <v>20</v>
      </c>
      <c r="C31" s="31">
        <v>4000</v>
      </c>
      <c r="D31" s="31">
        <v>100</v>
      </c>
      <c r="E31" s="31"/>
      <c r="F31" s="138"/>
      <c r="G31" s="138">
        <f t="shared" ref="G31:G43" si="2">G30+C31-E31</f>
        <v>3000</v>
      </c>
      <c r="H31" s="31">
        <f t="shared" ref="H31:H43" si="3">H30+D31-F31</f>
        <v>75</v>
      </c>
    </row>
    <row r="32" s="50" customFormat="1" ht="21" customHeight="1" spans="1:8">
      <c r="A32" s="136">
        <v>45318</v>
      </c>
      <c r="B32" s="51" t="s">
        <v>19</v>
      </c>
      <c r="C32" s="31"/>
      <c r="D32" s="31"/>
      <c r="E32" s="31">
        <v>200</v>
      </c>
      <c r="F32" s="138">
        <v>5</v>
      </c>
      <c r="G32" s="138">
        <f t="shared" si="2"/>
        <v>2800</v>
      </c>
      <c r="H32" s="31">
        <f t="shared" si="3"/>
        <v>70</v>
      </c>
    </row>
    <row r="33" s="50" customFormat="1" ht="21" customHeight="1" spans="1:8">
      <c r="A33" s="136">
        <v>45318</v>
      </c>
      <c r="B33" s="51" t="s">
        <v>18</v>
      </c>
      <c r="C33" s="31"/>
      <c r="D33" s="31"/>
      <c r="E33" s="31">
        <v>400</v>
      </c>
      <c r="F33" s="138">
        <v>10</v>
      </c>
      <c r="G33" s="138">
        <f t="shared" si="2"/>
        <v>2400</v>
      </c>
      <c r="H33" s="31">
        <f t="shared" si="3"/>
        <v>60</v>
      </c>
    </row>
    <row r="34" s="50" customFormat="1" ht="21" customHeight="1" spans="1:8">
      <c r="A34" s="136">
        <v>45319</v>
      </c>
      <c r="B34" s="51" t="s">
        <v>19</v>
      </c>
      <c r="C34" s="31"/>
      <c r="D34" s="31"/>
      <c r="E34" s="31">
        <v>200</v>
      </c>
      <c r="F34" s="138">
        <v>5</v>
      </c>
      <c r="G34" s="138">
        <f t="shared" si="2"/>
        <v>2200</v>
      </c>
      <c r="H34" s="31">
        <f t="shared" si="3"/>
        <v>55</v>
      </c>
    </row>
    <row r="35" s="50" customFormat="1" ht="21" customHeight="1" spans="1:8">
      <c r="A35" s="136">
        <v>45319</v>
      </c>
      <c r="B35" s="51" t="s">
        <v>18</v>
      </c>
      <c r="C35" s="31"/>
      <c r="D35" s="31"/>
      <c r="E35" s="31">
        <v>400</v>
      </c>
      <c r="F35" s="138">
        <v>10</v>
      </c>
      <c r="G35" s="138">
        <f t="shared" si="2"/>
        <v>1800</v>
      </c>
      <c r="H35" s="31">
        <f t="shared" si="3"/>
        <v>45</v>
      </c>
    </row>
    <row r="36" s="50" customFormat="1" ht="21" customHeight="1" spans="1:8">
      <c r="A36" s="136">
        <v>45365</v>
      </c>
      <c r="B36" s="51" t="s">
        <v>18</v>
      </c>
      <c r="C36" s="31"/>
      <c r="D36" s="31"/>
      <c r="E36" s="31">
        <v>400</v>
      </c>
      <c r="F36" s="138">
        <v>10</v>
      </c>
      <c r="G36" s="138">
        <f t="shared" si="2"/>
        <v>1400</v>
      </c>
      <c r="H36" s="31">
        <f t="shared" si="3"/>
        <v>35</v>
      </c>
    </row>
    <row r="37" s="50" customFormat="1" ht="21" customHeight="1" spans="1:8">
      <c r="A37" s="136">
        <v>45365</v>
      </c>
      <c r="B37" s="51" t="s">
        <v>18</v>
      </c>
      <c r="C37" s="31"/>
      <c r="D37" s="31"/>
      <c r="E37" s="31">
        <v>400</v>
      </c>
      <c r="F37" s="138">
        <v>10</v>
      </c>
      <c r="G37" s="138">
        <f t="shared" si="2"/>
        <v>1000</v>
      </c>
      <c r="H37" s="31">
        <f t="shared" si="3"/>
        <v>25</v>
      </c>
    </row>
    <row r="38" s="50" customFormat="1" ht="21" customHeight="1" spans="1:8">
      <c r="A38" s="136">
        <v>45367</v>
      </c>
      <c r="B38" s="51" t="s">
        <v>18</v>
      </c>
      <c r="C38" s="31"/>
      <c r="D38" s="31"/>
      <c r="E38" s="31">
        <v>400</v>
      </c>
      <c r="F38" s="138">
        <v>10</v>
      </c>
      <c r="G38" s="138">
        <f t="shared" si="2"/>
        <v>600</v>
      </c>
      <c r="H38" s="31">
        <f t="shared" si="3"/>
        <v>15</v>
      </c>
    </row>
    <row r="39" s="50" customFormat="1" ht="21" customHeight="1" spans="1:8">
      <c r="A39" s="136">
        <v>45395</v>
      </c>
      <c r="B39" s="132" t="s">
        <v>21</v>
      </c>
      <c r="C39" s="31">
        <v>4000</v>
      </c>
      <c r="D39" s="31">
        <v>100</v>
      </c>
      <c r="E39" s="31"/>
      <c r="F39" s="138"/>
      <c r="G39" s="138">
        <f t="shared" si="2"/>
        <v>4600</v>
      </c>
      <c r="H39" s="31">
        <f t="shared" si="3"/>
        <v>115</v>
      </c>
    </row>
    <row r="40" s="50" customFormat="1" ht="21" customHeight="1" spans="1:8">
      <c r="A40" s="136">
        <v>45401</v>
      </c>
      <c r="B40" s="51" t="s">
        <v>18</v>
      </c>
      <c r="C40" s="31"/>
      <c r="D40" s="31"/>
      <c r="E40" s="31">
        <v>400</v>
      </c>
      <c r="F40" s="138">
        <v>10</v>
      </c>
      <c r="G40" s="138">
        <f t="shared" si="2"/>
        <v>4200</v>
      </c>
      <c r="H40" s="31">
        <f t="shared" si="3"/>
        <v>105</v>
      </c>
    </row>
    <row r="41" s="50" customFormat="1" ht="21" customHeight="1" spans="1:8">
      <c r="A41" s="136">
        <v>45403</v>
      </c>
      <c r="B41" s="51" t="s">
        <v>22</v>
      </c>
      <c r="C41" s="31"/>
      <c r="D41" s="31"/>
      <c r="E41" s="31">
        <v>800</v>
      </c>
      <c r="F41" s="138">
        <v>20</v>
      </c>
      <c r="G41" s="138">
        <f t="shared" si="2"/>
        <v>3400</v>
      </c>
      <c r="H41" s="31">
        <f t="shared" si="3"/>
        <v>85</v>
      </c>
    </row>
    <row r="42" s="50" customFormat="1" ht="21" customHeight="1" spans="1:8">
      <c r="A42" s="136">
        <v>45435</v>
      </c>
      <c r="B42" s="51" t="s">
        <v>14</v>
      </c>
      <c r="C42" s="31"/>
      <c r="D42" s="31"/>
      <c r="E42" s="31">
        <v>1200</v>
      </c>
      <c r="F42" s="138">
        <v>30</v>
      </c>
      <c r="G42" s="138">
        <f t="shared" si="2"/>
        <v>2200</v>
      </c>
      <c r="H42" s="31">
        <f t="shared" si="3"/>
        <v>55</v>
      </c>
    </row>
    <row r="43" s="50" customFormat="1" ht="21" customHeight="1" spans="1:8">
      <c r="A43" s="136">
        <v>45447</v>
      </c>
      <c r="B43" s="51" t="s">
        <v>19</v>
      </c>
      <c r="C43" s="31"/>
      <c r="D43" s="31"/>
      <c r="E43" s="31">
        <v>200</v>
      </c>
      <c r="F43" s="138">
        <v>5</v>
      </c>
      <c r="G43" s="138">
        <f t="shared" ref="G43:G53" si="4">G42+C43-E43</f>
        <v>2000</v>
      </c>
      <c r="H43" s="31">
        <f t="shared" ref="H43:H53" si="5">H42+D43-F43</f>
        <v>50</v>
      </c>
    </row>
    <row r="44" s="50" customFormat="1" ht="21" customHeight="1" spans="1:8">
      <c r="A44" s="136">
        <v>45453</v>
      </c>
      <c r="B44" s="51" t="s">
        <v>23</v>
      </c>
      <c r="C44" s="31"/>
      <c r="D44" s="31"/>
      <c r="E44" s="31">
        <v>1100</v>
      </c>
      <c r="F44" s="138">
        <v>27.5</v>
      </c>
      <c r="G44" s="138">
        <f t="shared" si="4"/>
        <v>900</v>
      </c>
      <c r="H44" s="31">
        <f t="shared" si="5"/>
        <v>22.5</v>
      </c>
    </row>
    <row r="45" s="50" customFormat="1" ht="21" customHeight="1" spans="1:8">
      <c r="A45" s="136">
        <v>45453</v>
      </c>
      <c r="B45" s="139" t="s">
        <v>24</v>
      </c>
      <c r="C45" s="31"/>
      <c r="D45" s="31"/>
      <c r="E45" s="31">
        <v>-794</v>
      </c>
      <c r="F45" s="138">
        <v>-19.85</v>
      </c>
      <c r="G45" s="138">
        <f t="shared" si="4"/>
        <v>1694</v>
      </c>
      <c r="H45" s="31">
        <f t="shared" si="5"/>
        <v>42.35</v>
      </c>
    </row>
    <row r="46" s="50" customFormat="1" ht="21" customHeight="1" spans="1:8">
      <c r="A46" s="136">
        <v>45453</v>
      </c>
      <c r="B46" s="139" t="s">
        <v>25</v>
      </c>
      <c r="C46" s="31"/>
      <c r="D46" s="31"/>
      <c r="E46" s="31">
        <v>-56</v>
      </c>
      <c r="F46" s="138">
        <v>-1.4</v>
      </c>
      <c r="G46" s="138">
        <f t="shared" si="4"/>
        <v>1750</v>
      </c>
      <c r="H46" s="31">
        <f t="shared" si="5"/>
        <v>43.75</v>
      </c>
    </row>
    <row r="47" s="50" customFormat="1" ht="21" customHeight="1" spans="1:8">
      <c r="A47" s="136">
        <v>45478</v>
      </c>
      <c r="B47" s="51" t="s">
        <v>14</v>
      </c>
      <c r="C47" s="31"/>
      <c r="D47" s="31"/>
      <c r="E47" s="31">
        <v>1200</v>
      </c>
      <c r="F47" s="138">
        <v>30</v>
      </c>
      <c r="G47" s="138">
        <f t="shared" si="4"/>
        <v>550</v>
      </c>
      <c r="H47" s="31">
        <f t="shared" si="5"/>
        <v>13.75</v>
      </c>
    </row>
    <row r="48" s="50" customFormat="1" ht="21" customHeight="1" spans="1:8">
      <c r="A48" s="136">
        <v>45490</v>
      </c>
      <c r="B48" s="51" t="s">
        <v>26</v>
      </c>
      <c r="C48" s="31"/>
      <c r="D48" s="31"/>
      <c r="E48" s="31">
        <v>150</v>
      </c>
      <c r="F48" s="138">
        <v>3.75</v>
      </c>
      <c r="G48" s="138">
        <f t="shared" si="4"/>
        <v>400</v>
      </c>
      <c r="H48" s="31">
        <f t="shared" si="5"/>
        <v>10</v>
      </c>
    </row>
    <row r="49" s="50" customFormat="1" ht="21" customHeight="1" spans="1:8">
      <c r="A49" s="136">
        <v>45508</v>
      </c>
      <c r="B49" s="51" t="s">
        <v>14</v>
      </c>
      <c r="C49" s="31"/>
      <c r="D49" s="31"/>
      <c r="E49" s="31">
        <v>1200</v>
      </c>
      <c r="F49" s="138">
        <v>30</v>
      </c>
      <c r="G49" s="138">
        <f t="shared" si="4"/>
        <v>-800</v>
      </c>
      <c r="H49" s="31">
        <f t="shared" si="5"/>
        <v>-20</v>
      </c>
    </row>
    <row r="50" s="50" customFormat="1" ht="21" customHeight="1" spans="1:8">
      <c r="A50" s="136">
        <v>45524</v>
      </c>
      <c r="B50" s="51" t="s">
        <v>14</v>
      </c>
      <c r="C50" s="31"/>
      <c r="D50" s="31"/>
      <c r="E50" s="31">
        <v>1200</v>
      </c>
      <c r="F50" s="138">
        <v>30</v>
      </c>
      <c r="G50" s="138">
        <f t="shared" si="4"/>
        <v>-2000</v>
      </c>
      <c r="H50" s="31">
        <f t="shared" si="5"/>
        <v>-50</v>
      </c>
    </row>
    <row r="51" s="50" customFormat="1" ht="21" customHeight="1" spans="1:8">
      <c r="A51" s="136">
        <v>45537</v>
      </c>
      <c r="B51" s="51" t="s">
        <v>14</v>
      </c>
      <c r="C51" s="31"/>
      <c r="D51" s="31"/>
      <c r="E51" s="31">
        <v>1200</v>
      </c>
      <c r="F51" s="138">
        <v>30</v>
      </c>
      <c r="G51" s="138">
        <f t="shared" si="4"/>
        <v>-3200</v>
      </c>
      <c r="H51" s="31">
        <f t="shared" si="5"/>
        <v>-80</v>
      </c>
    </row>
    <row r="52" s="50" customFormat="1" ht="21" customHeight="1" spans="1:8">
      <c r="A52" s="136">
        <v>45534</v>
      </c>
      <c r="B52" s="51" t="s">
        <v>27</v>
      </c>
      <c r="C52" s="31">
        <v>8000</v>
      </c>
      <c r="D52" s="31">
        <v>200</v>
      </c>
      <c r="E52" s="31"/>
      <c r="F52" s="138"/>
      <c r="G52" s="138">
        <f t="shared" si="4"/>
        <v>4800</v>
      </c>
      <c r="H52" s="31">
        <f t="shared" si="5"/>
        <v>120</v>
      </c>
    </row>
    <row r="53" s="50" customFormat="1" ht="21" customHeight="1" spans="1:8">
      <c r="A53" s="136">
        <v>45547</v>
      </c>
      <c r="B53" s="51" t="s">
        <v>18</v>
      </c>
      <c r="C53" s="31"/>
      <c r="D53" s="31"/>
      <c r="E53" s="31">
        <v>400</v>
      </c>
      <c r="F53" s="138">
        <v>10</v>
      </c>
      <c r="G53" s="138">
        <f t="shared" si="4"/>
        <v>4400</v>
      </c>
      <c r="H53" s="31">
        <f t="shared" si="5"/>
        <v>110</v>
      </c>
    </row>
    <row r="54" s="50" customFormat="1" ht="21" customHeight="1" spans="1:8">
      <c r="A54" s="136">
        <v>45551</v>
      </c>
      <c r="B54" s="51" t="s">
        <v>19</v>
      </c>
      <c r="C54" s="31"/>
      <c r="D54" s="31"/>
      <c r="E54" s="31">
        <v>200</v>
      </c>
      <c r="F54" s="138">
        <v>5</v>
      </c>
      <c r="G54" s="138">
        <f t="shared" ref="G54:G76" si="6">G53+C54-E54</f>
        <v>4200</v>
      </c>
      <c r="H54" s="31">
        <f t="shared" ref="H54:H77" si="7">H53+D54-F54</f>
        <v>105</v>
      </c>
    </row>
    <row r="55" s="50" customFormat="1" ht="21" customHeight="1" spans="1:8">
      <c r="A55" s="136">
        <v>45562</v>
      </c>
      <c r="B55" s="51" t="s">
        <v>14</v>
      </c>
      <c r="C55" s="31"/>
      <c r="D55" s="31"/>
      <c r="E55" s="31">
        <v>1200</v>
      </c>
      <c r="F55" s="138">
        <v>30</v>
      </c>
      <c r="G55" s="138">
        <f t="shared" si="6"/>
        <v>3000</v>
      </c>
      <c r="H55" s="31">
        <f t="shared" si="7"/>
        <v>75</v>
      </c>
    </row>
    <row r="56" s="50" customFormat="1" ht="21" customHeight="1" spans="1:8">
      <c r="A56" s="136">
        <v>45572</v>
      </c>
      <c r="B56" s="51" t="s">
        <v>14</v>
      </c>
      <c r="C56" s="31"/>
      <c r="D56" s="31"/>
      <c r="E56" s="31">
        <v>1200</v>
      </c>
      <c r="F56" s="138">
        <v>30</v>
      </c>
      <c r="G56" s="138">
        <f t="shared" si="6"/>
        <v>1800</v>
      </c>
      <c r="H56" s="31">
        <f t="shared" si="7"/>
        <v>45</v>
      </c>
    </row>
    <row r="57" s="50" customFormat="1" ht="21" customHeight="1" spans="1:8">
      <c r="A57" s="136">
        <v>45589</v>
      </c>
      <c r="B57" s="51" t="s">
        <v>14</v>
      </c>
      <c r="C57" s="31"/>
      <c r="D57" s="31"/>
      <c r="E57" s="31">
        <v>1200</v>
      </c>
      <c r="F57" s="138">
        <v>30</v>
      </c>
      <c r="G57" s="138">
        <f t="shared" si="6"/>
        <v>600</v>
      </c>
      <c r="H57" s="31">
        <f t="shared" si="7"/>
        <v>15</v>
      </c>
    </row>
    <row r="58" s="50" customFormat="1" ht="21" customHeight="1" spans="1:8">
      <c r="A58" s="136">
        <v>45605</v>
      </c>
      <c r="B58" s="51" t="s">
        <v>14</v>
      </c>
      <c r="C58" s="31"/>
      <c r="D58" s="31"/>
      <c r="E58" s="31">
        <v>1200</v>
      </c>
      <c r="F58" s="138">
        <v>30</v>
      </c>
      <c r="G58" s="138">
        <f t="shared" si="6"/>
        <v>-600</v>
      </c>
      <c r="H58" s="31">
        <f t="shared" si="7"/>
        <v>-15</v>
      </c>
    </row>
    <row r="59" s="50" customFormat="1" ht="21" customHeight="1" spans="1:8">
      <c r="A59" s="136">
        <v>45617</v>
      </c>
      <c r="B59" s="51" t="s">
        <v>22</v>
      </c>
      <c r="C59" s="31"/>
      <c r="D59" s="31"/>
      <c r="E59" s="31">
        <v>800</v>
      </c>
      <c r="F59" s="138">
        <v>20</v>
      </c>
      <c r="G59" s="138">
        <f t="shared" si="6"/>
        <v>-1400</v>
      </c>
      <c r="H59" s="31">
        <f t="shared" si="7"/>
        <v>-35</v>
      </c>
    </row>
    <row r="60" s="50" customFormat="1" ht="21" customHeight="1" spans="1:8">
      <c r="A60" s="136">
        <v>45636</v>
      </c>
      <c r="B60" s="51" t="s">
        <v>28</v>
      </c>
      <c r="C60" s="31"/>
      <c r="D60" s="31"/>
      <c r="E60" s="31">
        <v>373</v>
      </c>
      <c r="F60" s="138">
        <f>E60*0.025</f>
        <v>9.325</v>
      </c>
      <c r="G60" s="138">
        <f t="shared" si="6"/>
        <v>-1773</v>
      </c>
      <c r="H60" s="31">
        <f t="shared" si="7"/>
        <v>-44.325</v>
      </c>
    </row>
    <row r="61" s="50" customFormat="1" ht="21" customHeight="1" spans="1:8">
      <c r="A61" s="136">
        <v>45646</v>
      </c>
      <c r="B61" s="51" t="s">
        <v>22</v>
      </c>
      <c r="C61" s="31"/>
      <c r="D61" s="31"/>
      <c r="E61" s="31">
        <v>800</v>
      </c>
      <c r="F61" s="138">
        <v>20</v>
      </c>
      <c r="G61" s="138">
        <f t="shared" si="6"/>
        <v>-2573</v>
      </c>
      <c r="H61" s="31">
        <f t="shared" si="7"/>
        <v>-64.325</v>
      </c>
    </row>
    <row r="62" s="50" customFormat="1" ht="21" customHeight="1" spans="1:8">
      <c r="A62" s="136">
        <v>45676</v>
      </c>
      <c r="B62" s="51" t="s">
        <v>29</v>
      </c>
      <c r="C62" s="31"/>
      <c r="D62" s="31"/>
      <c r="E62" s="31">
        <v>827</v>
      </c>
      <c r="F62" s="138">
        <v>20.675</v>
      </c>
      <c r="G62" s="138">
        <f t="shared" si="6"/>
        <v>-3400</v>
      </c>
      <c r="H62" s="31">
        <f t="shared" si="7"/>
        <v>-85</v>
      </c>
    </row>
    <row r="63" s="50" customFormat="1" ht="21" customHeight="1" spans="1:8">
      <c r="A63" s="136">
        <v>45675</v>
      </c>
      <c r="B63" s="140" t="s">
        <v>30</v>
      </c>
      <c r="C63" s="31">
        <v>4000</v>
      </c>
      <c r="D63" s="31">
        <v>100</v>
      </c>
      <c r="E63" s="31"/>
      <c r="F63" s="138"/>
      <c r="G63" s="138">
        <f t="shared" si="6"/>
        <v>600</v>
      </c>
      <c r="H63" s="31">
        <f t="shared" si="7"/>
        <v>15</v>
      </c>
    </row>
    <row r="64" s="134" customFormat="1" ht="21" customHeight="1" spans="1:8">
      <c r="A64" s="136">
        <v>45786</v>
      </c>
      <c r="B64" s="140" t="s">
        <v>31</v>
      </c>
      <c r="C64" s="31">
        <v>4000</v>
      </c>
      <c r="D64" s="31">
        <v>100</v>
      </c>
      <c r="E64" s="31"/>
      <c r="F64" s="138"/>
      <c r="G64" s="138">
        <f t="shared" si="6"/>
        <v>4600</v>
      </c>
      <c r="H64" s="31">
        <f t="shared" si="7"/>
        <v>115</v>
      </c>
    </row>
    <row r="65" s="134" customFormat="1" ht="21" customHeight="1" spans="1:8">
      <c r="A65" s="136">
        <v>45728</v>
      </c>
      <c r="B65" s="51" t="s">
        <v>23</v>
      </c>
      <c r="C65" s="31"/>
      <c r="D65" s="31"/>
      <c r="E65" s="31">
        <v>1100</v>
      </c>
      <c r="F65" s="138">
        <v>27.5</v>
      </c>
      <c r="G65" s="138">
        <f t="shared" si="6"/>
        <v>3500</v>
      </c>
      <c r="H65" s="31">
        <f t="shared" si="7"/>
        <v>87.5</v>
      </c>
    </row>
    <row r="66" s="134" customFormat="1" ht="21" customHeight="1" spans="1:8">
      <c r="A66" s="136">
        <v>45770</v>
      </c>
      <c r="B66" s="51" t="s">
        <v>14</v>
      </c>
      <c r="C66" s="31"/>
      <c r="D66" s="31"/>
      <c r="E66" s="31">
        <v>1200</v>
      </c>
      <c r="F66" s="138">
        <v>30</v>
      </c>
      <c r="G66" s="138">
        <f t="shared" si="6"/>
        <v>2300</v>
      </c>
      <c r="H66" s="31">
        <f t="shared" si="7"/>
        <v>57.5</v>
      </c>
    </row>
    <row r="67" s="134" customFormat="1" ht="21" customHeight="1" spans="1:8">
      <c r="A67" s="136">
        <v>45805</v>
      </c>
      <c r="B67" s="51" t="s">
        <v>14</v>
      </c>
      <c r="C67" s="31"/>
      <c r="D67" s="31"/>
      <c r="E67" s="31">
        <v>1200</v>
      </c>
      <c r="F67" s="138">
        <v>30</v>
      </c>
      <c r="G67" s="138">
        <f t="shared" si="6"/>
        <v>1100</v>
      </c>
      <c r="H67" s="31">
        <f t="shared" si="7"/>
        <v>27.5</v>
      </c>
    </row>
    <row r="68" s="134" customFormat="1" ht="21" customHeight="1" spans="1:8">
      <c r="A68" s="136">
        <v>45844</v>
      </c>
      <c r="B68" s="51" t="s">
        <v>13</v>
      </c>
      <c r="C68" s="31"/>
      <c r="D68" s="31"/>
      <c r="E68" s="31">
        <v>1000</v>
      </c>
      <c r="F68" s="138">
        <v>25</v>
      </c>
      <c r="G68" s="138">
        <f t="shared" si="6"/>
        <v>100</v>
      </c>
      <c r="H68" s="31">
        <f t="shared" si="7"/>
        <v>2.5</v>
      </c>
    </row>
    <row r="69" s="134" customFormat="1" ht="21" customHeight="1" spans="1:8">
      <c r="A69" s="136">
        <v>45833</v>
      </c>
      <c r="B69" s="140" t="s">
        <v>32</v>
      </c>
      <c r="C69" s="31">
        <v>4000</v>
      </c>
      <c r="D69" s="31">
        <v>100</v>
      </c>
      <c r="E69" s="31"/>
      <c r="F69" s="138"/>
      <c r="G69" s="138">
        <f t="shared" si="6"/>
        <v>4100</v>
      </c>
      <c r="H69" s="31">
        <f t="shared" si="7"/>
        <v>102.5</v>
      </c>
    </row>
    <row r="70" s="134" customFormat="1" ht="21" customHeight="1" spans="1:8">
      <c r="A70" s="136">
        <v>45858</v>
      </c>
      <c r="B70" s="140" t="s">
        <v>18</v>
      </c>
      <c r="C70" s="31"/>
      <c r="D70" s="31"/>
      <c r="E70" s="31">
        <v>400</v>
      </c>
      <c r="F70" s="31">
        <v>10</v>
      </c>
      <c r="G70" s="138">
        <f t="shared" si="6"/>
        <v>3700</v>
      </c>
      <c r="H70" s="31">
        <f t="shared" si="7"/>
        <v>92.5</v>
      </c>
    </row>
    <row r="71" s="134" customFormat="1" ht="21" customHeight="1" spans="1:8">
      <c r="A71" s="136">
        <v>45858</v>
      </c>
      <c r="B71" s="140" t="s">
        <v>19</v>
      </c>
      <c r="C71" s="31"/>
      <c r="D71" s="31"/>
      <c r="E71" s="31">
        <v>200</v>
      </c>
      <c r="F71" s="31">
        <v>5</v>
      </c>
      <c r="G71" s="138">
        <f t="shared" si="6"/>
        <v>3500</v>
      </c>
      <c r="H71" s="31">
        <f t="shared" si="7"/>
        <v>87.5</v>
      </c>
    </row>
    <row r="72" s="134" customFormat="1" ht="21" customHeight="1" spans="1:8">
      <c r="A72" s="136">
        <v>45860</v>
      </c>
      <c r="B72" s="140" t="s">
        <v>18</v>
      </c>
      <c r="C72" s="31"/>
      <c r="D72" s="31"/>
      <c r="E72" s="31">
        <v>400</v>
      </c>
      <c r="F72" s="31">
        <v>10</v>
      </c>
      <c r="G72" s="138">
        <f t="shared" si="6"/>
        <v>3100</v>
      </c>
      <c r="H72" s="31">
        <f t="shared" si="7"/>
        <v>77.5</v>
      </c>
    </row>
    <row r="73" s="134" customFormat="1" ht="21" customHeight="1" spans="1:8">
      <c r="A73" s="136">
        <v>45875</v>
      </c>
      <c r="B73" s="140" t="s">
        <v>18</v>
      </c>
      <c r="C73" s="31"/>
      <c r="D73" s="31"/>
      <c r="E73" s="31">
        <v>400</v>
      </c>
      <c r="F73" s="31">
        <v>10</v>
      </c>
      <c r="G73" s="138">
        <f t="shared" si="6"/>
        <v>2700</v>
      </c>
      <c r="H73" s="31">
        <f t="shared" si="7"/>
        <v>67.5</v>
      </c>
    </row>
    <row r="74" s="134" customFormat="1" ht="21" customHeight="1" spans="1:8">
      <c r="A74" s="136">
        <v>45876</v>
      </c>
      <c r="B74" s="140" t="s">
        <v>19</v>
      </c>
      <c r="C74" s="31"/>
      <c r="D74" s="31"/>
      <c r="E74" s="31">
        <v>200</v>
      </c>
      <c r="F74" s="31">
        <v>5</v>
      </c>
      <c r="G74" s="138">
        <f t="shared" si="6"/>
        <v>2500</v>
      </c>
      <c r="H74" s="31">
        <f t="shared" si="7"/>
        <v>62.5</v>
      </c>
    </row>
    <row r="75" s="134" customFormat="1" ht="21" customHeight="1" spans="1:8">
      <c r="A75" s="136"/>
      <c r="B75" s="140"/>
      <c r="C75" s="31"/>
      <c r="D75" s="31"/>
      <c r="E75" s="31"/>
      <c r="F75" s="31"/>
      <c r="G75" s="138">
        <f t="shared" si="6"/>
        <v>2500</v>
      </c>
      <c r="H75" s="31">
        <f t="shared" si="7"/>
        <v>62.5</v>
      </c>
    </row>
    <row r="76" s="134" customFormat="1" ht="21" customHeight="1" spans="1:8">
      <c r="A76" s="136"/>
      <c r="B76" s="140"/>
      <c r="C76" s="31"/>
      <c r="D76" s="31"/>
      <c r="E76" s="31"/>
      <c r="F76" s="31"/>
      <c r="G76" s="138">
        <f t="shared" si="6"/>
        <v>2500</v>
      </c>
      <c r="H76" s="31">
        <f t="shared" si="7"/>
        <v>62.5</v>
      </c>
    </row>
    <row r="77" s="134" customFormat="1" ht="21" customHeight="1" spans="1:8">
      <c r="A77" s="136"/>
      <c r="B77" s="140"/>
      <c r="C77" s="31"/>
      <c r="D77" s="31"/>
      <c r="E77" s="31"/>
      <c r="F77" s="31"/>
      <c r="G77" s="138"/>
      <c r="H77" s="31">
        <f t="shared" si="7"/>
        <v>62.5</v>
      </c>
    </row>
    <row r="78" s="134" customFormat="1" ht="21" customHeight="1" spans="1:8">
      <c r="A78" s="136"/>
      <c r="B78" s="140"/>
      <c r="C78" s="31"/>
      <c r="D78" s="31"/>
      <c r="E78" s="31"/>
      <c r="F78" s="31"/>
      <c r="G78" s="138"/>
      <c r="H78" s="31"/>
    </row>
    <row r="79" s="134" customFormat="1" ht="21" customHeight="1" spans="1:8">
      <c r="A79" s="141"/>
    </row>
    <row r="80" s="134" customFormat="1" ht="21" customHeight="1" spans="1:8">
      <c r="A80" s="141"/>
    </row>
    <row r="81" s="134" customFormat="1" ht="21" customHeight="1" spans="1:11">
      <c r="A81" s="141"/>
    </row>
    <row r="82" s="134" customFormat="1" ht="21" customHeight="1" spans="1:11">
      <c r="A82" s="141"/>
    </row>
    <row r="83" ht="27" customHeight="1" spans="1:11">
      <c r="A83" s="135" t="s">
        <v>33</v>
      </c>
      <c r="B83" s="135"/>
      <c r="C83" s="135"/>
      <c r="D83" s="135"/>
      <c r="E83" s="135"/>
      <c r="F83" s="135"/>
      <c r="G83" s="135"/>
      <c r="H83" s="135"/>
    </row>
    <row r="84" ht="20" customHeight="1" spans="1:11">
      <c r="A84" s="31" t="s">
        <v>34</v>
      </c>
      <c r="B84" s="31" t="s">
        <v>2</v>
      </c>
      <c r="C84" s="31" t="s">
        <v>3</v>
      </c>
      <c r="D84" s="31"/>
      <c r="E84" s="31" t="s">
        <v>4</v>
      </c>
      <c r="F84" s="31"/>
      <c r="G84" s="74" t="s">
        <v>5</v>
      </c>
      <c r="H84" s="74"/>
    </row>
    <row r="85" ht="20" customHeight="1" spans="1:11">
      <c r="A85" s="31"/>
      <c r="B85" s="31"/>
      <c r="C85" s="31" t="s">
        <v>6</v>
      </c>
      <c r="D85" s="31" t="s">
        <v>7</v>
      </c>
      <c r="E85" s="31" t="s">
        <v>8</v>
      </c>
      <c r="F85" s="31" t="s">
        <v>9</v>
      </c>
      <c r="G85" s="74" t="s">
        <v>10</v>
      </c>
      <c r="H85" s="74" t="s">
        <v>11</v>
      </c>
    </row>
    <row r="86" s="134" customFormat="1" ht="21" customHeight="1" spans="1:11">
      <c r="A86" s="136">
        <v>45608</v>
      </c>
      <c r="B86" s="140" t="s">
        <v>35</v>
      </c>
      <c r="C86" s="31">
        <v>8000</v>
      </c>
      <c r="D86" s="31">
        <v>200</v>
      </c>
      <c r="E86" s="31"/>
      <c r="F86" s="31"/>
      <c r="G86" s="138">
        <f>C86-E86</f>
        <v>8000</v>
      </c>
      <c r="H86" s="31">
        <f>D86-F86</f>
        <v>200</v>
      </c>
    </row>
    <row r="87" s="134" customFormat="1" ht="21" customHeight="1" spans="1:11">
      <c r="A87" s="136">
        <v>45607</v>
      </c>
      <c r="B87" s="140" t="s">
        <v>14</v>
      </c>
      <c r="C87" s="31"/>
      <c r="D87" s="31"/>
      <c r="E87" s="31">
        <v>1200</v>
      </c>
      <c r="F87" s="31">
        <v>30</v>
      </c>
      <c r="G87" s="138">
        <f>G86+C87-E87</f>
        <v>6800</v>
      </c>
      <c r="H87" s="31">
        <f>H86+D87-F87</f>
        <v>170</v>
      </c>
    </row>
    <row r="88" s="134" customFormat="1" ht="21" customHeight="1" spans="1:11">
      <c r="A88" s="136">
        <v>45623</v>
      </c>
      <c r="B88" s="140" t="s">
        <v>14</v>
      </c>
      <c r="C88" s="31"/>
      <c r="D88" s="31"/>
      <c r="E88" s="31">
        <v>1200</v>
      </c>
      <c r="F88" s="31">
        <v>30</v>
      </c>
      <c r="G88" s="138">
        <f t="shared" ref="G88:G100" si="8">G87+C88-E88</f>
        <v>5600</v>
      </c>
      <c r="H88" s="31">
        <f t="shared" ref="H88:H100" si="9">H87+D88-F88</f>
        <v>140</v>
      </c>
    </row>
    <row r="89" s="134" customFormat="1" ht="21" customHeight="1" spans="1:11">
      <c r="A89" s="136">
        <v>45643</v>
      </c>
      <c r="B89" s="140" t="s">
        <v>13</v>
      </c>
      <c r="C89" s="31"/>
      <c r="D89" s="31"/>
      <c r="E89" s="31">
        <v>1000</v>
      </c>
      <c r="F89" s="31">
        <v>25</v>
      </c>
      <c r="G89" s="138">
        <f t="shared" si="8"/>
        <v>4600</v>
      </c>
      <c r="H89" s="31">
        <f t="shared" si="9"/>
        <v>115</v>
      </c>
    </row>
    <row r="90" s="134" customFormat="1" ht="21" customHeight="1" spans="1:11">
      <c r="A90" s="136">
        <v>45659</v>
      </c>
      <c r="B90" s="140" t="s">
        <v>14</v>
      </c>
      <c r="C90" s="31"/>
      <c r="D90" s="31"/>
      <c r="E90" s="31">
        <v>1200</v>
      </c>
      <c r="F90" s="31">
        <v>30</v>
      </c>
      <c r="G90" s="138">
        <f t="shared" si="8"/>
        <v>3400</v>
      </c>
      <c r="H90" s="31">
        <f t="shared" si="9"/>
        <v>85</v>
      </c>
      <c r="K90" s="134">
        <f>176000*2</f>
        <v>352000</v>
      </c>
    </row>
    <row r="91" s="134" customFormat="1" ht="21" customHeight="1" spans="1:11">
      <c r="A91" s="136">
        <v>45677</v>
      </c>
      <c r="B91" s="140" t="s">
        <v>13</v>
      </c>
      <c r="C91" s="31"/>
      <c r="D91" s="31"/>
      <c r="E91" s="31">
        <v>1000</v>
      </c>
      <c r="F91" s="31">
        <v>25</v>
      </c>
      <c r="G91" s="138">
        <f t="shared" si="8"/>
        <v>2400</v>
      </c>
      <c r="H91" s="31">
        <f t="shared" si="9"/>
        <v>60</v>
      </c>
    </row>
    <row r="92" s="134" customFormat="1" ht="21" customHeight="1" spans="1:11">
      <c r="A92" s="136">
        <v>45692</v>
      </c>
      <c r="B92" s="140" t="s">
        <v>13</v>
      </c>
      <c r="C92" s="31"/>
      <c r="D92" s="31"/>
      <c r="E92" s="31">
        <v>1000</v>
      </c>
      <c r="F92" s="31">
        <v>25</v>
      </c>
      <c r="G92" s="138">
        <f t="shared" si="8"/>
        <v>1400</v>
      </c>
      <c r="H92" s="31">
        <f t="shared" si="9"/>
        <v>35</v>
      </c>
    </row>
    <row r="93" s="134" customFormat="1" ht="21" customHeight="1" spans="1:11">
      <c r="A93" s="136">
        <v>45710</v>
      </c>
      <c r="B93" s="140" t="s">
        <v>13</v>
      </c>
      <c r="C93" s="31"/>
      <c r="D93" s="31"/>
      <c r="E93" s="31">
        <v>1000</v>
      </c>
      <c r="F93" s="31">
        <v>25</v>
      </c>
      <c r="G93" s="138">
        <f t="shared" si="8"/>
        <v>400</v>
      </c>
      <c r="H93" s="31">
        <f t="shared" si="9"/>
        <v>10</v>
      </c>
    </row>
    <row r="94" s="134" customFormat="1" ht="21" customHeight="1" spans="1:11">
      <c r="A94" s="136">
        <v>45724</v>
      </c>
      <c r="B94" s="140" t="s">
        <v>13</v>
      </c>
      <c r="C94" s="31"/>
      <c r="D94" s="31"/>
      <c r="E94" s="31">
        <v>1000</v>
      </c>
      <c r="F94" s="31">
        <v>25</v>
      </c>
      <c r="G94" s="138">
        <f t="shared" si="8"/>
        <v>-600</v>
      </c>
      <c r="H94" s="31">
        <f t="shared" si="9"/>
        <v>-15</v>
      </c>
    </row>
    <row r="95" s="134" customFormat="1" ht="21" customHeight="1" spans="1:11">
      <c r="A95" s="136">
        <v>45743</v>
      </c>
      <c r="B95" s="140" t="s">
        <v>13</v>
      </c>
      <c r="C95" s="31"/>
      <c r="D95" s="31"/>
      <c r="E95" s="31">
        <v>1000</v>
      </c>
      <c r="F95" s="31">
        <v>25</v>
      </c>
      <c r="G95" s="138">
        <f t="shared" si="8"/>
        <v>-1600</v>
      </c>
      <c r="H95" s="31">
        <f t="shared" si="9"/>
        <v>-40</v>
      </c>
    </row>
    <row r="96" s="134" customFormat="1" ht="21" customHeight="1" spans="1:11">
      <c r="A96" s="136">
        <v>45754</v>
      </c>
      <c r="B96" s="140" t="s">
        <v>13</v>
      </c>
      <c r="C96" s="31"/>
      <c r="D96" s="31"/>
      <c r="E96" s="31">
        <v>1000</v>
      </c>
      <c r="F96" s="31">
        <v>25</v>
      </c>
      <c r="G96" s="138">
        <f t="shared" si="8"/>
        <v>-2600</v>
      </c>
      <c r="H96" s="31">
        <f t="shared" si="9"/>
        <v>-65</v>
      </c>
    </row>
    <row r="97" s="134" customFormat="1" ht="21" customHeight="1" spans="1:8">
      <c r="A97" s="136">
        <v>45766</v>
      </c>
      <c r="B97" s="140" t="s">
        <v>13</v>
      </c>
      <c r="C97" s="31"/>
      <c r="D97" s="31"/>
      <c r="E97" s="31">
        <v>1000</v>
      </c>
      <c r="F97" s="31">
        <v>25</v>
      </c>
      <c r="G97" s="138">
        <f t="shared" si="8"/>
        <v>-3600</v>
      </c>
      <c r="H97" s="31">
        <f t="shared" si="9"/>
        <v>-90</v>
      </c>
    </row>
    <row r="98" s="134" customFormat="1" ht="21" customHeight="1" spans="1:8">
      <c r="A98" s="136">
        <v>45778</v>
      </c>
      <c r="B98" s="140" t="s">
        <v>13</v>
      </c>
      <c r="C98" s="31"/>
      <c r="D98" s="31"/>
      <c r="E98" s="31">
        <v>1000</v>
      </c>
      <c r="F98" s="31">
        <f>E98/40</f>
        <v>25</v>
      </c>
      <c r="G98" s="138">
        <f t="shared" ref="G98:G112" si="10">G97+C98-E98</f>
        <v>-4600</v>
      </c>
      <c r="H98" s="31">
        <f t="shared" ref="H98:H112" si="11">H97+D98-F98</f>
        <v>-115</v>
      </c>
    </row>
    <row r="99" s="134" customFormat="1" ht="21" customHeight="1" spans="1:8">
      <c r="A99" s="136">
        <v>45785</v>
      </c>
      <c r="B99" s="140" t="s">
        <v>13</v>
      </c>
      <c r="C99" s="31"/>
      <c r="D99" s="31"/>
      <c r="E99" s="31">
        <v>1000</v>
      </c>
      <c r="F99" s="31">
        <v>25</v>
      </c>
      <c r="G99" s="138">
        <f t="shared" si="10"/>
        <v>-5600</v>
      </c>
      <c r="H99" s="31">
        <f t="shared" si="11"/>
        <v>-140</v>
      </c>
    </row>
    <row r="100" s="134" customFormat="1" ht="21" customHeight="1" spans="1:8">
      <c r="A100" s="136">
        <v>45794</v>
      </c>
      <c r="B100" s="140" t="s">
        <v>13</v>
      </c>
      <c r="C100" s="31"/>
      <c r="D100" s="31"/>
      <c r="E100" s="31">
        <v>1000</v>
      </c>
      <c r="F100" s="31">
        <v>25</v>
      </c>
      <c r="G100" s="138">
        <f t="shared" si="10"/>
        <v>-6600</v>
      </c>
      <c r="H100" s="31">
        <f t="shared" si="11"/>
        <v>-165</v>
      </c>
    </row>
    <row r="101" s="134" customFormat="1" ht="21" customHeight="1" spans="1:8">
      <c r="A101" s="136">
        <v>45800</v>
      </c>
      <c r="B101" s="140" t="s">
        <v>13</v>
      </c>
      <c r="C101" s="31"/>
      <c r="D101" s="31"/>
      <c r="E101" s="31">
        <v>1000</v>
      </c>
      <c r="F101" s="31">
        <v>25</v>
      </c>
      <c r="G101" s="138">
        <f t="shared" si="10"/>
        <v>-7600</v>
      </c>
      <c r="H101" s="31">
        <f t="shared" si="11"/>
        <v>-190</v>
      </c>
    </row>
    <row r="102" s="134" customFormat="1" ht="21" customHeight="1" spans="1:8">
      <c r="A102" s="136">
        <v>45813</v>
      </c>
      <c r="B102" s="140" t="s">
        <v>13</v>
      </c>
      <c r="C102" s="31"/>
      <c r="D102" s="31"/>
      <c r="E102" s="31">
        <v>1000</v>
      </c>
      <c r="F102" s="31">
        <f>E102/40</f>
        <v>25</v>
      </c>
      <c r="G102" s="138">
        <f t="shared" si="10"/>
        <v>-8600</v>
      </c>
      <c r="H102" s="31">
        <f t="shared" si="11"/>
        <v>-215</v>
      </c>
    </row>
    <row r="103" s="134" customFormat="1" ht="21" customHeight="1" spans="1:8">
      <c r="A103" s="136">
        <v>45814</v>
      </c>
      <c r="B103" s="140" t="s">
        <v>14</v>
      </c>
      <c r="C103" s="31"/>
      <c r="D103" s="31"/>
      <c r="E103" s="31">
        <v>1200</v>
      </c>
      <c r="F103" s="31">
        <f t="shared" ref="F103:F108" si="12">E103/40</f>
        <v>30</v>
      </c>
      <c r="G103" s="138">
        <f t="shared" si="10"/>
        <v>-9800</v>
      </c>
      <c r="H103" s="31">
        <f t="shared" si="11"/>
        <v>-245</v>
      </c>
    </row>
    <row r="104" s="134" customFormat="1" ht="21" customHeight="1" spans="1:8">
      <c r="A104" s="136">
        <v>45821</v>
      </c>
      <c r="B104" s="140" t="s">
        <v>18</v>
      </c>
      <c r="C104" s="31"/>
      <c r="D104" s="31"/>
      <c r="E104" s="31">
        <v>400</v>
      </c>
      <c r="F104" s="31">
        <f t="shared" si="12"/>
        <v>10</v>
      </c>
      <c r="G104" s="138">
        <f t="shared" si="10"/>
        <v>-10200</v>
      </c>
      <c r="H104" s="31">
        <f t="shared" si="11"/>
        <v>-255</v>
      </c>
    </row>
    <row r="105" s="134" customFormat="1" ht="21" customHeight="1" spans="1:8">
      <c r="A105" s="136">
        <v>45822</v>
      </c>
      <c r="B105" s="140" t="s">
        <v>18</v>
      </c>
      <c r="C105" s="31"/>
      <c r="D105" s="31"/>
      <c r="E105" s="31">
        <v>400</v>
      </c>
      <c r="F105" s="31">
        <f t="shared" si="12"/>
        <v>10</v>
      </c>
      <c r="G105" s="138">
        <f t="shared" si="10"/>
        <v>-10600</v>
      </c>
      <c r="H105" s="31">
        <f t="shared" si="11"/>
        <v>-265</v>
      </c>
    </row>
    <row r="106" s="134" customFormat="1" ht="21" customHeight="1" spans="1:8">
      <c r="A106" s="136">
        <v>45825</v>
      </c>
      <c r="B106" s="140" t="s">
        <v>13</v>
      </c>
      <c r="C106" s="31"/>
      <c r="D106" s="31"/>
      <c r="E106" s="31">
        <v>1000</v>
      </c>
      <c r="F106" s="31">
        <f t="shared" si="12"/>
        <v>25</v>
      </c>
      <c r="G106" s="138">
        <f t="shared" si="10"/>
        <v>-11600</v>
      </c>
      <c r="H106" s="31">
        <f t="shared" si="11"/>
        <v>-290</v>
      </c>
    </row>
    <row r="107" s="134" customFormat="1" ht="21" customHeight="1" spans="1:8">
      <c r="A107" s="136">
        <v>45837</v>
      </c>
      <c r="B107" s="140" t="s">
        <v>13</v>
      </c>
      <c r="C107" s="31"/>
      <c r="D107" s="31"/>
      <c r="E107" s="31">
        <v>1000</v>
      </c>
      <c r="F107" s="31">
        <f t="shared" si="12"/>
        <v>25</v>
      </c>
      <c r="G107" s="138">
        <f t="shared" si="10"/>
        <v>-12600</v>
      </c>
      <c r="H107" s="31">
        <f t="shared" si="11"/>
        <v>-315</v>
      </c>
    </row>
    <row r="108" s="134" customFormat="1" ht="21" customHeight="1" spans="1:8">
      <c r="A108" s="136">
        <v>45838</v>
      </c>
      <c r="B108" s="140" t="s">
        <v>14</v>
      </c>
      <c r="C108" s="31"/>
      <c r="D108" s="31"/>
      <c r="E108" s="31">
        <v>1200</v>
      </c>
      <c r="F108" s="31">
        <f t="shared" si="12"/>
        <v>30</v>
      </c>
      <c r="G108" s="138">
        <f t="shared" si="10"/>
        <v>-13800</v>
      </c>
      <c r="H108" s="31">
        <f t="shared" si="11"/>
        <v>-345</v>
      </c>
    </row>
    <row r="109" s="134" customFormat="1" ht="21" customHeight="1" spans="1:8">
      <c r="A109" s="136">
        <v>45786</v>
      </c>
      <c r="B109" s="51" t="s">
        <v>36</v>
      </c>
      <c r="C109" s="31">
        <v>4000</v>
      </c>
      <c r="D109" s="31">
        <v>100</v>
      </c>
      <c r="E109" s="31"/>
      <c r="F109" s="31"/>
      <c r="G109" s="138">
        <f t="shared" si="10"/>
        <v>-9800</v>
      </c>
      <c r="H109" s="31">
        <f t="shared" si="11"/>
        <v>-245</v>
      </c>
    </row>
    <row r="110" s="134" customFormat="1" ht="21" customHeight="1" spans="1:8">
      <c r="A110" s="136">
        <v>45833</v>
      </c>
      <c r="B110" s="51" t="s">
        <v>37</v>
      </c>
      <c r="C110" s="31">
        <v>4000</v>
      </c>
      <c r="D110" s="31">
        <v>100</v>
      </c>
      <c r="E110" s="31"/>
      <c r="F110" s="31"/>
      <c r="G110" s="138">
        <f t="shared" si="10"/>
        <v>-5800</v>
      </c>
      <c r="H110" s="31">
        <f t="shared" si="11"/>
        <v>-145</v>
      </c>
    </row>
    <row r="111" s="134" customFormat="1" ht="21" customHeight="1" spans="1:8">
      <c r="A111" s="136"/>
      <c r="B111" s="140"/>
      <c r="C111" s="31"/>
      <c r="D111" s="31"/>
      <c r="E111" s="31"/>
      <c r="F111" s="31"/>
      <c r="G111" s="138">
        <f t="shared" si="10"/>
        <v>-5800</v>
      </c>
      <c r="H111" s="31">
        <f t="shared" si="11"/>
        <v>-145</v>
      </c>
    </row>
    <row r="112" s="134" customFormat="1" ht="21" customHeight="1" spans="1:8">
      <c r="A112" s="136"/>
      <c r="B112" s="140"/>
      <c r="C112" s="31"/>
      <c r="D112" s="31"/>
      <c r="E112" s="31"/>
      <c r="F112" s="31"/>
      <c r="G112" s="138">
        <f t="shared" si="10"/>
        <v>-5800</v>
      </c>
      <c r="H112" s="31">
        <f t="shared" si="11"/>
        <v>-145</v>
      </c>
    </row>
    <row r="113" s="134" customFormat="1" ht="21" customHeight="1" spans="1:8">
      <c r="A113" s="136"/>
      <c r="B113" s="140"/>
      <c r="C113" s="31"/>
      <c r="D113" s="31"/>
      <c r="E113" s="31"/>
      <c r="F113" s="31"/>
      <c r="G113" s="138"/>
      <c r="H113" s="31"/>
    </row>
    <row r="114" s="134" customFormat="1" ht="21" customHeight="1" spans="1:8">
      <c r="A114" s="136"/>
      <c r="B114" s="51"/>
      <c r="C114" s="31"/>
      <c r="D114" s="31"/>
      <c r="E114" s="31"/>
      <c r="F114" s="138"/>
      <c r="G114" s="138"/>
      <c r="H114" s="31"/>
    </row>
  </sheetData>
  <mergeCells count="12">
    <mergeCell ref="A1:E1"/>
    <mergeCell ref="C2:D2"/>
    <mergeCell ref="E2:F2"/>
    <mergeCell ref="G2:H2"/>
    <mergeCell ref="A83:H83"/>
    <mergeCell ref="C84:D84"/>
    <mergeCell ref="E84:F84"/>
    <mergeCell ref="G84:H84"/>
    <mergeCell ref="A2:A3"/>
    <mergeCell ref="A84:A85"/>
    <mergeCell ref="B2:B3"/>
    <mergeCell ref="B84:B85"/>
  </mergeCells>
  <pageMargins left="0.751388888888889" right="0.751388888888889" top="0.629861111111111" bottom="0.314583333333333" header="0.5" footer="0.27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zoomScale="90" zoomScaleNormal="90" workbookViewId="0">
      <pane ySplit="2" topLeftCell="A3" activePane="bottomLeft" state="frozen"/>
      <selection/>
      <selection pane="bottomLeft" activeCell="E24" sqref="E24"/>
    </sheetView>
  </sheetViews>
  <sheetFormatPr defaultColWidth="9" defaultRowHeight="13.5"/>
  <cols>
    <col min="1" max="1" width="12.25" style="105" customWidth="1"/>
    <col min="2" max="2" width="46.525" style="104" customWidth="1"/>
    <col min="3" max="3" width="9.83333333333333" style="103" customWidth="1"/>
    <col min="4" max="6" width="12.25" style="103" customWidth="1"/>
    <col min="7" max="8" width="12.25" style="104" customWidth="1"/>
    <col min="9" max="9" width="13.875" style="104" customWidth="1"/>
    <col min="10" max="10" width="13.375" style="104" customWidth="1"/>
    <col min="11" max="11" width="14.0666666666667" style="104" customWidth="1"/>
    <col min="12" max="12" width="16" style="104" customWidth="1"/>
    <col min="13" max="16384" width="9" style="104"/>
  </cols>
  <sheetData>
    <row r="1" ht="33" customHeight="1" spans="1:11">
      <c r="A1" s="106" t="s">
        <v>38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="103" customFormat="1" ht="32" customHeight="1" spans="1:11">
      <c r="A2" s="107" t="s">
        <v>1</v>
      </c>
      <c r="B2" s="108" t="s">
        <v>2</v>
      </c>
      <c r="C2" s="108" t="s">
        <v>39</v>
      </c>
      <c r="D2" s="108" t="s">
        <v>40</v>
      </c>
      <c r="E2" s="108" t="s">
        <v>41</v>
      </c>
      <c r="F2" s="108" t="s">
        <v>42</v>
      </c>
      <c r="G2" s="108" t="s">
        <v>43</v>
      </c>
      <c r="H2" s="108" t="s">
        <v>44</v>
      </c>
      <c r="I2" s="108" t="s">
        <v>45</v>
      </c>
      <c r="J2" s="108" t="s">
        <v>46</v>
      </c>
      <c r="K2" s="108" t="s">
        <v>47</v>
      </c>
    </row>
    <row r="3" s="103" customFormat="1" ht="21" customHeight="1" spans="1:11">
      <c r="A3" s="79">
        <v>45547</v>
      </c>
      <c r="B3" s="80" t="s">
        <v>48</v>
      </c>
      <c r="C3" s="81">
        <v>20</v>
      </c>
      <c r="D3" s="81" t="s">
        <v>49</v>
      </c>
      <c r="E3" s="81">
        <v>130</v>
      </c>
      <c r="F3" s="81">
        <f>C3*E3</f>
        <v>2600</v>
      </c>
      <c r="G3" s="81"/>
      <c r="H3" s="81">
        <f>F3-G3</f>
        <v>2600</v>
      </c>
      <c r="I3" s="109" t="s">
        <v>50</v>
      </c>
      <c r="J3" s="108"/>
      <c r="K3" s="108"/>
    </row>
    <row r="4" s="103" customFormat="1" ht="21" customHeight="1" spans="1:11">
      <c r="A4" s="79">
        <v>45551</v>
      </c>
      <c r="B4" s="80" t="s">
        <v>51</v>
      </c>
      <c r="C4" s="81">
        <v>80</v>
      </c>
      <c r="D4" s="81" t="s">
        <v>49</v>
      </c>
      <c r="E4" s="81">
        <v>130</v>
      </c>
      <c r="F4" s="81">
        <f t="shared" ref="F4:F23" si="0">C4*E4</f>
        <v>10400</v>
      </c>
      <c r="G4" s="81"/>
      <c r="H4" s="81">
        <f t="shared" ref="H4:H12" si="1">F4-G4</f>
        <v>10400</v>
      </c>
      <c r="I4" s="110"/>
      <c r="J4" s="108"/>
      <c r="K4" s="108"/>
    </row>
    <row r="5" s="103" customFormat="1" ht="21" customHeight="1" spans="1:11">
      <c r="A5" s="79">
        <v>45561</v>
      </c>
      <c r="B5" s="80" t="s">
        <v>52</v>
      </c>
      <c r="C5" s="81">
        <v>360</v>
      </c>
      <c r="D5" s="81" t="s">
        <v>53</v>
      </c>
      <c r="E5" s="81">
        <v>6</v>
      </c>
      <c r="F5" s="81">
        <f t="shared" si="0"/>
        <v>2160</v>
      </c>
      <c r="G5" s="81"/>
      <c r="H5" s="81">
        <f t="shared" si="1"/>
        <v>2160</v>
      </c>
      <c r="I5" s="110"/>
      <c r="J5" s="108"/>
      <c r="K5" s="108"/>
    </row>
    <row r="6" s="103" customFormat="1" ht="21" customHeight="1" spans="1:11">
      <c r="A6" s="79">
        <v>45564</v>
      </c>
      <c r="B6" s="80" t="s">
        <v>54</v>
      </c>
      <c r="C6" s="81">
        <v>2400</v>
      </c>
      <c r="D6" s="81" t="s">
        <v>53</v>
      </c>
      <c r="E6" s="81">
        <v>6</v>
      </c>
      <c r="F6" s="81">
        <f t="shared" si="0"/>
        <v>14400</v>
      </c>
      <c r="G6" s="81"/>
      <c r="H6" s="81">
        <f t="shared" si="1"/>
        <v>14400</v>
      </c>
      <c r="I6" s="110"/>
      <c r="J6" s="108"/>
      <c r="K6" s="108"/>
    </row>
    <row r="7" s="103" customFormat="1" ht="21" customHeight="1" spans="1:11">
      <c r="A7" s="79">
        <v>45570</v>
      </c>
      <c r="B7" s="80" t="s">
        <v>54</v>
      </c>
      <c r="C7" s="81">
        <v>2400</v>
      </c>
      <c r="D7" s="81" t="s">
        <v>53</v>
      </c>
      <c r="E7" s="81">
        <v>6</v>
      </c>
      <c r="F7" s="81">
        <f t="shared" si="0"/>
        <v>14400</v>
      </c>
      <c r="G7" s="81"/>
      <c r="H7" s="81">
        <f t="shared" si="1"/>
        <v>14400</v>
      </c>
      <c r="I7" s="110"/>
      <c r="J7" s="108"/>
      <c r="K7" s="108"/>
    </row>
    <row r="8" s="103" customFormat="1" ht="21" customHeight="1" spans="1:11">
      <c r="A8" s="79">
        <v>45571</v>
      </c>
      <c r="B8" s="80" t="s">
        <v>55</v>
      </c>
      <c r="C8" s="81">
        <v>40</v>
      </c>
      <c r="D8" s="81" t="s">
        <v>49</v>
      </c>
      <c r="E8" s="81">
        <v>130</v>
      </c>
      <c r="F8" s="81">
        <f t="shared" si="0"/>
        <v>5200</v>
      </c>
      <c r="G8" s="81"/>
      <c r="H8" s="81">
        <f t="shared" si="1"/>
        <v>5200</v>
      </c>
      <c r="I8" s="110"/>
      <c r="J8" s="108"/>
      <c r="K8" s="108"/>
    </row>
    <row r="9" s="103" customFormat="1" ht="21" customHeight="1" spans="1:11">
      <c r="A9" s="79">
        <v>45589</v>
      </c>
      <c r="B9" s="80" t="s">
        <v>56</v>
      </c>
      <c r="C9" s="81">
        <v>140</v>
      </c>
      <c r="D9" s="81" t="s">
        <v>49</v>
      </c>
      <c r="E9" s="81">
        <v>130</v>
      </c>
      <c r="F9" s="81">
        <f t="shared" si="0"/>
        <v>18200</v>
      </c>
      <c r="G9" s="81"/>
      <c r="H9" s="81">
        <f t="shared" si="1"/>
        <v>18200</v>
      </c>
      <c r="I9" s="110"/>
      <c r="J9" s="108"/>
      <c r="K9" s="108"/>
    </row>
    <row r="10" s="103" customFormat="1" ht="21" customHeight="1" spans="1:11">
      <c r="A10" s="79">
        <v>45605</v>
      </c>
      <c r="B10" s="80" t="s">
        <v>57</v>
      </c>
      <c r="C10" s="81">
        <v>1250</v>
      </c>
      <c r="D10" s="81" t="s">
        <v>58</v>
      </c>
      <c r="E10" s="81">
        <v>6.5</v>
      </c>
      <c r="F10" s="81">
        <f t="shared" si="0"/>
        <v>8125</v>
      </c>
      <c r="G10" s="81"/>
      <c r="H10" s="81">
        <f t="shared" si="1"/>
        <v>8125</v>
      </c>
      <c r="I10" s="110"/>
      <c r="J10" s="108"/>
      <c r="K10" s="108"/>
    </row>
    <row r="11" s="103" customFormat="1" ht="21" customHeight="1" spans="1:11">
      <c r="A11" s="79">
        <v>45617</v>
      </c>
      <c r="B11" s="80" t="s">
        <v>59</v>
      </c>
      <c r="C11" s="81">
        <v>1680</v>
      </c>
      <c r="D11" s="81" t="s">
        <v>53</v>
      </c>
      <c r="E11" s="81">
        <v>6.5</v>
      </c>
      <c r="F11" s="81">
        <f t="shared" si="0"/>
        <v>10920</v>
      </c>
      <c r="G11" s="81"/>
      <c r="H11" s="81">
        <f t="shared" si="1"/>
        <v>10920</v>
      </c>
      <c r="I11" s="110"/>
      <c r="J11" s="108"/>
      <c r="K11" s="108"/>
    </row>
    <row r="12" s="103" customFormat="1" ht="21" customHeight="1" spans="1:11">
      <c r="A12" s="79">
        <v>45636</v>
      </c>
      <c r="B12" s="80" t="s">
        <v>60</v>
      </c>
      <c r="C12" s="81">
        <f>27*2</f>
        <v>54</v>
      </c>
      <c r="D12" s="81" t="s">
        <v>49</v>
      </c>
      <c r="E12" s="81">
        <v>150</v>
      </c>
      <c r="F12" s="81">
        <f t="shared" si="0"/>
        <v>8100</v>
      </c>
      <c r="G12" s="81"/>
      <c r="H12" s="81">
        <f t="shared" si="1"/>
        <v>8100</v>
      </c>
      <c r="I12" s="110"/>
      <c r="J12" s="108"/>
      <c r="K12" s="108"/>
    </row>
    <row r="13" s="103" customFormat="1" ht="21" customHeight="1" spans="1:11">
      <c r="A13" s="111">
        <v>45646</v>
      </c>
      <c r="B13" s="112" t="s">
        <v>61</v>
      </c>
      <c r="C13" s="113">
        <v>60</v>
      </c>
      <c r="D13" s="113" t="s">
        <v>49</v>
      </c>
      <c r="E13" s="113">
        <v>150</v>
      </c>
      <c r="F13" s="113">
        <f t="shared" si="0"/>
        <v>9000</v>
      </c>
      <c r="G13" s="113"/>
      <c r="H13" s="113">
        <f>H12+F13-G13</f>
        <v>17100</v>
      </c>
      <c r="I13" s="114" t="s">
        <v>62</v>
      </c>
      <c r="J13" s="108"/>
      <c r="K13" s="115"/>
    </row>
    <row r="14" s="103" customFormat="1" ht="21" customHeight="1" spans="1:11">
      <c r="A14" s="111">
        <v>45676</v>
      </c>
      <c r="B14" s="112" t="s">
        <v>63</v>
      </c>
      <c r="C14" s="113">
        <v>100</v>
      </c>
      <c r="D14" s="113" t="s">
        <v>49</v>
      </c>
      <c r="E14" s="113">
        <v>150</v>
      </c>
      <c r="F14" s="113">
        <f t="shared" si="0"/>
        <v>15000</v>
      </c>
      <c r="G14" s="113"/>
      <c r="H14" s="113">
        <f>H13+F14-G14</f>
        <v>32100</v>
      </c>
      <c r="I14" s="116"/>
      <c r="J14" s="108"/>
      <c r="K14" s="115"/>
    </row>
    <row r="15" ht="21" customHeight="1" spans="1:11">
      <c r="A15" s="111">
        <v>45695</v>
      </c>
      <c r="B15" s="112" t="s">
        <v>64</v>
      </c>
      <c r="C15" s="113">
        <v>200</v>
      </c>
      <c r="D15" s="113" t="s">
        <v>49</v>
      </c>
      <c r="E15" s="113">
        <v>150</v>
      </c>
      <c r="F15" s="113">
        <f t="shared" si="0"/>
        <v>30000</v>
      </c>
      <c r="G15" s="113"/>
      <c r="H15" s="113">
        <f>H14+F15-G15</f>
        <v>62100</v>
      </c>
      <c r="I15" s="116"/>
      <c r="J15" s="108"/>
      <c r="K15" s="115"/>
    </row>
    <row r="16" ht="21" customHeight="1" spans="1:11">
      <c r="A16" s="111">
        <v>45717</v>
      </c>
      <c r="B16" s="112" t="s">
        <v>63</v>
      </c>
      <c r="C16" s="113">
        <v>100</v>
      </c>
      <c r="D16" s="113" t="s">
        <v>49</v>
      </c>
      <c r="E16" s="113">
        <v>150</v>
      </c>
      <c r="F16" s="113">
        <f t="shared" si="0"/>
        <v>15000</v>
      </c>
      <c r="G16" s="113"/>
      <c r="H16" s="113">
        <f>H15+F16-G16</f>
        <v>77100</v>
      </c>
      <c r="I16" s="116"/>
      <c r="J16" s="108"/>
      <c r="K16" s="115"/>
    </row>
    <row r="17" ht="21" customHeight="1" spans="1:11">
      <c r="A17" s="117">
        <v>45675</v>
      </c>
      <c r="B17" s="115" t="s">
        <v>65</v>
      </c>
      <c r="C17" s="108"/>
      <c r="D17" s="108"/>
      <c r="E17" s="108"/>
      <c r="F17" s="108">
        <f t="shared" si="0"/>
        <v>0</v>
      </c>
      <c r="G17" s="108">
        <v>24000</v>
      </c>
      <c r="H17" s="118">
        <f>H16+F17-G17</f>
        <v>53100</v>
      </c>
      <c r="I17" s="115"/>
      <c r="J17" s="108"/>
      <c r="K17" s="115"/>
    </row>
    <row r="18" ht="21" customHeight="1" spans="1:11">
      <c r="A18" s="117">
        <v>45645</v>
      </c>
      <c r="B18" s="115" t="s">
        <v>66</v>
      </c>
      <c r="C18" s="108"/>
      <c r="D18" s="108"/>
      <c r="E18" s="108"/>
      <c r="F18" s="108">
        <f t="shared" si="0"/>
        <v>0</v>
      </c>
      <c r="G18" s="108">
        <v>131705</v>
      </c>
      <c r="H18" s="118">
        <f t="shared" ref="H18:H24" si="2">H17+F18-G18</f>
        <v>-78605</v>
      </c>
      <c r="I18" s="115"/>
      <c r="J18" s="108"/>
      <c r="K18" s="115"/>
    </row>
    <row r="19" ht="21" customHeight="1" spans="1:11">
      <c r="A19" s="117">
        <v>45770</v>
      </c>
      <c r="B19" s="107" t="s">
        <v>67</v>
      </c>
      <c r="C19" s="108">
        <v>400</v>
      </c>
      <c r="D19" s="108" t="s">
        <v>49</v>
      </c>
      <c r="E19" s="108">
        <v>150</v>
      </c>
      <c r="F19" s="108">
        <f t="shared" si="0"/>
        <v>60000</v>
      </c>
      <c r="G19" s="108"/>
      <c r="H19" s="118">
        <f t="shared" si="2"/>
        <v>-18605</v>
      </c>
      <c r="I19" s="115"/>
      <c r="J19" s="108"/>
      <c r="K19" s="115"/>
    </row>
    <row r="20" ht="21" customHeight="1" spans="1:11">
      <c r="A20" s="117">
        <v>45805</v>
      </c>
      <c r="B20" s="107" t="s">
        <v>68</v>
      </c>
      <c r="C20" s="108">
        <v>100</v>
      </c>
      <c r="D20" s="108" t="s">
        <v>49</v>
      </c>
      <c r="E20" s="108">
        <v>150</v>
      </c>
      <c r="F20" s="108">
        <f t="shared" si="0"/>
        <v>15000</v>
      </c>
      <c r="G20" s="108"/>
      <c r="H20" s="118">
        <f t="shared" si="2"/>
        <v>-3605</v>
      </c>
      <c r="I20" s="115"/>
      <c r="J20" s="108"/>
      <c r="K20" s="115"/>
    </row>
    <row r="21" ht="21" customHeight="1" spans="1:11">
      <c r="A21" s="117">
        <v>45726</v>
      </c>
      <c r="B21" s="115" t="s">
        <v>69</v>
      </c>
      <c r="C21" s="108"/>
      <c r="D21" s="108"/>
      <c r="E21" s="108"/>
      <c r="F21" s="108">
        <f t="shared" si="0"/>
        <v>0</v>
      </c>
      <c r="G21" s="108">
        <v>69000</v>
      </c>
      <c r="H21" s="118">
        <f t="shared" si="2"/>
        <v>-72605</v>
      </c>
      <c r="I21" s="115"/>
      <c r="J21" s="108"/>
      <c r="K21" s="115"/>
    </row>
    <row r="22" ht="21" customHeight="1" spans="1:11">
      <c r="A22" s="117">
        <v>45844</v>
      </c>
      <c r="B22" s="107" t="s">
        <v>70</v>
      </c>
      <c r="C22" s="108">
        <v>200</v>
      </c>
      <c r="D22" s="108" t="s">
        <v>49</v>
      </c>
      <c r="E22" s="108">
        <v>150</v>
      </c>
      <c r="F22" s="108">
        <f t="shared" si="0"/>
        <v>30000</v>
      </c>
      <c r="G22" s="115"/>
      <c r="H22" s="118">
        <f t="shared" si="2"/>
        <v>-42605</v>
      </c>
      <c r="I22" s="115"/>
      <c r="J22" s="115"/>
      <c r="K22" s="115"/>
    </row>
    <row r="23" ht="21" customHeight="1" spans="1:11">
      <c r="A23" s="117">
        <v>45858</v>
      </c>
      <c r="B23" s="107" t="s">
        <v>70</v>
      </c>
      <c r="C23" s="108">
        <v>200</v>
      </c>
      <c r="D23" s="108" t="s">
        <v>49</v>
      </c>
      <c r="E23" s="108">
        <v>150</v>
      </c>
      <c r="F23" s="108">
        <f t="shared" si="0"/>
        <v>30000</v>
      </c>
      <c r="G23" s="115"/>
      <c r="H23" s="118">
        <f t="shared" si="2"/>
        <v>-12605</v>
      </c>
      <c r="I23" s="115"/>
      <c r="J23" s="115"/>
      <c r="K23" s="115"/>
    </row>
    <row r="24" ht="19" customHeight="1" spans="1:11">
      <c r="A24" s="117"/>
      <c r="B24" s="115"/>
      <c r="C24" s="108"/>
      <c r="D24" s="108"/>
      <c r="E24" s="108"/>
      <c r="F24" s="108"/>
      <c r="G24" s="115"/>
      <c r="H24" s="118">
        <f t="shared" si="2"/>
        <v>-12605</v>
      </c>
      <c r="I24" s="115"/>
      <c r="J24" s="115"/>
      <c r="K24" s="115"/>
    </row>
    <row r="25" ht="19" customHeight="1" spans="1:11">
      <c r="A25" s="107"/>
      <c r="B25" s="115"/>
      <c r="C25" s="108"/>
      <c r="D25" s="108"/>
      <c r="E25" s="108"/>
      <c r="F25" s="108"/>
      <c r="G25" s="115"/>
      <c r="H25" s="115"/>
      <c r="I25" s="115"/>
      <c r="J25" s="115"/>
      <c r="K25" s="115"/>
    </row>
    <row r="26" ht="19" customHeight="1" spans="1:11">
      <c r="A26" s="107"/>
      <c r="B26" s="115"/>
      <c r="C26" s="108"/>
      <c r="D26" s="108"/>
      <c r="E26" s="108"/>
      <c r="F26" s="108"/>
      <c r="G26" s="115"/>
      <c r="H26" s="115"/>
      <c r="I26" s="115"/>
      <c r="J26" s="115"/>
      <c r="K26" s="115"/>
    </row>
    <row r="27" ht="19" customHeight="1" spans="1:11">
      <c r="A27" s="107"/>
      <c r="B27" s="115"/>
      <c r="C27" s="108"/>
      <c r="D27" s="108"/>
      <c r="E27" s="108"/>
      <c r="F27" s="108"/>
      <c r="G27" s="115"/>
      <c r="H27" s="115"/>
      <c r="I27" s="115"/>
      <c r="J27" s="115"/>
      <c r="K27" s="115"/>
    </row>
    <row r="28" ht="19" customHeight="1" spans="1:11">
      <c r="A28" s="119" t="s">
        <v>71</v>
      </c>
      <c r="B28" s="119"/>
      <c r="C28" s="119"/>
      <c r="D28" s="119"/>
      <c r="E28" s="119"/>
      <c r="F28" s="119"/>
    </row>
    <row r="29" ht="19" customHeight="1" spans="1:11">
      <c r="A29" s="119"/>
      <c r="B29" s="119"/>
      <c r="C29" s="119"/>
      <c r="D29" s="119"/>
      <c r="E29" s="119"/>
      <c r="F29" s="119"/>
    </row>
    <row r="30" ht="19" customHeight="1" spans="1:11">
      <c r="A30" s="120" t="s">
        <v>72</v>
      </c>
      <c r="B30" s="121"/>
      <c r="C30" s="122" t="s">
        <v>73</v>
      </c>
      <c r="D30" s="122"/>
      <c r="E30" s="122"/>
      <c r="F30" s="122"/>
      <c r="G30" s="108" t="s">
        <v>43</v>
      </c>
      <c r="H30" s="108" t="s">
        <v>44</v>
      </c>
      <c r="I30" s="108" t="s">
        <v>45</v>
      </c>
    </row>
    <row r="31" ht="19" customHeight="1" spans="1:11">
      <c r="A31" s="123"/>
      <c r="B31" s="121"/>
      <c r="C31" s="124" t="s">
        <v>74</v>
      </c>
      <c r="D31" s="121" t="s">
        <v>40</v>
      </c>
      <c r="E31" s="121" t="s">
        <v>41</v>
      </c>
      <c r="F31" s="125" t="s">
        <v>42</v>
      </c>
      <c r="G31" s="108"/>
      <c r="H31" s="108"/>
      <c r="I31" s="108"/>
    </row>
    <row r="32" s="104" customFormat="1" ht="19" customHeight="1" spans="1:11">
      <c r="A32" s="126">
        <v>45607</v>
      </c>
      <c r="B32" s="127" t="s">
        <v>75</v>
      </c>
      <c r="C32" s="118">
        <v>3000</v>
      </c>
      <c r="D32" s="118" t="s">
        <v>53</v>
      </c>
      <c r="E32" s="118">
        <v>6</v>
      </c>
      <c r="F32" s="118">
        <f>C32*E32</f>
        <v>18000</v>
      </c>
      <c r="G32" s="127"/>
      <c r="H32" s="127">
        <f>F32-G32</f>
        <v>18000</v>
      </c>
      <c r="I32" s="128" t="s">
        <v>76</v>
      </c>
      <c r="J32" s="115"/>
      <c r="K32" s="115"/>
    </row>
    <row r="33" s="104" customFormat="1" ht="19" customHeight="1" spans="1:11">
      <c r="A33" s="126">
        <v>45623</v>
      </c>
      <c r="B33" s="129" t="s">
        <v>77</v>
      </c>
      <c r="C33" s="130">
        <v>1800</v>
      </c>
      <c r="D33" s="118" t="s">
        <v>58</v>
      </c>
      <c r="E33" s="118">
        <v>5</v>
      </c>
      <c r="F33" s="118">
        <f>C33*E33</f>
        <v>9000</v>
      </c>
      <c r="G33" s="127"/>
      <c r="H33" s="127">
        <f>H32+F33-G33</f>
        <v>27000</v>
      </c>
      <c r="I33" s="118"/>
      <c r="J33" s="115"/>
      <c r="K33" s="115"/>
    </row>
    <row r="34" s="104" customFormat="1" ht="19" customHeight="1" spans="1:11">
      <c r="A34" s="126">
        <v>45623</v>
      </c>
      <c r="B34" s="127" t="s">
        <v>78</v>
      </c>
      <c r="C34" s="118">
        <v>6</v>
      </c>
      <c r="D34" s="118" t="s">
        <v>49</v>
      </c>
      <c r="E34" s="118">
        <v>150</v>
      </c>
      <c r="F34" s="118">
        <f>C34*E34</f>
        <v>900</v>
      </c>
      <c r="G34" s="127"/>
      <c r="H34" s="127">
        <f>H33+F34-G34</f>
        <v>27900</v>
      </c>
      <c r="I34" s="118"/>
      <c r="J34" s="115"/>
      <c r="K34" s="115"/>
    </row>
    <row r="35" s="104" customFormat="1" ht="19" customHeight="1" spans="1:11">
      <c r="A35" s="126">
        <v>45643</v>
      </c>
      <c r="B35" s="127" t="s">
        <v>79</v>
      </c>
      <c r="C35" s="118">
        <v>20</v>
      </c>
      <c r="D35" s="118" t="s">
        <v>49</v>
      </c>
      <c r="E35" s="118">
        <v>150</v>
      </c>
      <c r="F35" s="118">
        <f>C35*E35</f>
        <v>3000</v>
      </c>
      <c r="G35" s="127"/>
      <c r="H35" s="127">
        <f>H34+F35-G35</f>
        <v>30900</v>
      </c>
      <c r="I35" s="118"/>
      <c r="J35" s="115"/>
      <c r="K35" s="115"/>
    </row>
    <row r="36" s="104" customFormat="1" ht="19" customHeight="1" spans="1:11">
      <c r="A36" s="126">
        <v>45677</v>
      </c>
      <c r="B36" s="127" t="s">
        <v>80</v>
      </c>
      <c r="C36" s="118">
        <v>30</v>
      </c>
      <c r="D36" s="118" t="s">
        <v>49</v>
      </c>
      <c r="E36" s="118">
        <v>150</v>
      </c>
      <c r="F36" s="118">
        <f t="shared" ref="F36:F42" si="3">C36*E36</f>
        <v>4500</v>
      </c>
      <c r="G36" s="127"/>
      <c r="H36" s="127">
        <f>H35+F36-G36</f>
        <v>35400</v>
      </c>
      <c r="I36" s="128" t="s">
        <v>81</v>
      </c>
      <c r="J36" s="115"/>
      <c r="K36" s="115"/>
    </row>
    <row r="37" s="104" customFormat="1" ht="19" customHeight="1" spans="1:11">
      <c r="A37" s="126">
        <v>45692</v>
      </c>
      <c r="B37" s="127" t="s">
        <v>80</v>
      </c>
      <c r="C37" s="118">
        <v>30</v>
      </c>
      <c r="D37" s="118" t="s">
        <v>49</v>
      </c>
      <c r="E37" s="118">
        <v>150</v>
      </c>
      <c r="F37" s="118">
        <f t="shared" si="3"/>
        <v>4500</v>
      </c>
      <c r="G37" s="127"/>
      <c r="H37" s="127">
        <f t="shared" ref="H37:H55" si="4">H36+F37-G37</f>
        <v>39900</v>
      </c>
      <c r="I37" s="118"/>
      <c r="J37" s="115"/>
      <c r="K37" s="115"/>
    </row>
    <row r="38" s="104" customFormat="1" ht="19" customHeight="1" spans="1:11">
      <c r="A38" s="126">
        <v>45692</v>
      </c>
      <c r="B38" s="127" t="s">
        <v>82</v>
      </c>
      <c r="C38" s="118">
        <v>100</v>
      </c>
      <c r="D38" s="118" t="s">
        <v>83</v>
      </c>
      <c r="E38" s="118">
        <v>2</v>
      </c>
      <c r="F38" s="118">
        <f t="shared" si="3"/>
        <v>200</v>
      </c>
      <c r="G38" s="127"/>
      <c r="H38" s="127">
        <f t="shared" si="4"/>
        <v>40100</v>
      </c>
      <c r="I38" s="118"/>
      <c r="J38" s="115"/>
      <c r="K38" s="115"/>
    </row>
    <row r="39" s="104" customFormat="1" ht="19" customHeight="1" spans="1:11">
      <c r="A39" s="126">
        <v>45710</v>
      </c>
      <c r="B39" s="127" t="s">
        <v>55</v>
      </c>
      <c r="C39" s="118">
        <v>40</v>
      </c>
      <c r="D39" s="118" t="s">
        <v>49</v>
      </c>
      <c r="E39" s="118">
        <v>150</v>
      </c>
      <c r="F39" s="118">
        <f t="shared" si="3"/>
        <v>6000</v>
      </c>
      <c r="G39" s="127"/>
      <c r="H39" s="127">
        <f t="shared" si="4"/>
        <v>46100</v>
      </c>
      <c r="I39" s="118"/>
      <c r="J39" s="115"/>
      <c r="K39" s="115"/>
    </row>
    <row r="40" s="104" customFormat="1" ht="19" customHeight="1" spans="1:11">
      <c r="A40" s="131">
        <v>45720</v>
      </c>
      <c r="B40" s="115" t="s">
        <v>84</v>
      </c>
      <c r="C40" s="108">
        <v>100</v>
      </c>
      <c r="D40" s="108" t="s">
        <v>49</v>
      </c>
      <c r="E40" s="108">
        <v>150</v>
      </c>
      <c r="F40" s="108">
        <f t="shared" si="3"/>
        <v>15000</v>
      </c>
      <c r="G40" s="115"/>
      <c r="H40" s="127">
        <f t="shared" si="4"/>
        <v>61100</v>
      </c>
      <c r="I40" s="115"/>
      <c r="J40" s="115"/>
      <c r="K40" s="115"/>
    </row>
    <row r="41" s="104" customFormat="1" ht="19" customHeight="1" spans="1:11">
      <c r="A41" s="131">
        <v>45724</v>
      </c>
      <c r="B41" s="115" t="s">
        <v>85</v>
      </c>
      <c r="C41" s="108">
        <v>60</v>
      </c>
      <c r="D41" s="108" t="s">
        <v>49</v>
      </c>
      <c r="E41" s="108">
        <v>150</v>
      </c>
      <c r="F41" s="108">
        <f t="shared" si="3"/>
        <v>9000</v>
      </c>
      <c r="G41" s="115"/>
      <c r="H41" s="127">
        <f t="shared" si="4"/>
        <v>70100</v>
      </c>
      <c r="I41" s="115"/>
      <c r="J41" s="115"/>
      <c r="K41" s="115"/>
    </row>
    <row r="42" s="104" customFormat="1" ht="19" customHeight="1" spans="1:11">
      <c r="A42" s="131">
        <v>45743</v>
      </c>
      <c r="B42" s="115" t="s">
        <v>85</v>
      </c>
      <c r="C42" s="108">
        <v>60</v>
      </c>
      <c r="D42" s="108" t="s">
        <v>49</v>
      </c>
      <c r="E42" s="108">
        <v>150</v>
      </c>
      <c r="F42" s="108">
        <f t="shared" si="3"/>
        <v>9000</v>
      </c>
      <c r="G42" s="115"/>
      <c r="H42" s="127">
        <f t="shared" si="4"/>
        <v>79100</v>
      </c>
      <c r="I42" s="115"/>
      <c r="J42" s="115"/>
      <c r="K42" s="115"/>
    </row>
    <row r="43" s="104" customFormat="1" ht="19" customHeight="1" spans="1:11">
      <c r="A43" s="131">
        <v>45754</v>
      </c>
      <c r="B43" s="115" t="s">
        <v>85</v>
      </c>
      <c r="C43" s="108">
        <v>60</v>
      </c>
      <c r="D43" s="108" t="s">
        <v>49</v>
      </c>
      <c r="E43" s="108">
        <v>150</v>
      </c>
      <c r="F43" s="108">
        <f t="shared" ref="F43:F53" si="5">C43*E43</f>
        <v>9000</v>
      </c>
      <c r="G43" s="115"/>
      <c r="H43" s="127">
        <f t="shared" si="4"/>
        <v>88100</v>
      </c>
      <c r="I43" s="115"/>
      <c r="J43" s="115"/>
      <c r="K43" s="115"/>
    </row>
    <row r="44" s="104" customFormat="1" ht="19" customHeight="1" spans="1:11">
      <c r="A44" s="131">
        <v>45766</v>
      </c>
      <c r="B44" s="115" t="s">
        <v>85</v>
      </c>
      <c r="C44" s="108">
        <v>60</v>
      </c>
      <c r="D44" s="108" t="s">
        <v>49</v>
      </c>
      <c r="E44" s="108">
        <v>150</v>
      </c>
      <c r="F44" s="108">
        <f t="shared" si="5"/>
        <v>9000</v>
      </c>
      <c r="G44" s="115"/>
      <c r="H44" s="127">
        <f t="shared" si="4"/>
        <v>97100</v>
      </c>
      <c r="I44" s="115"/>
      <c r="J44" s="115"/>
      <c r="K44" s="115"/>
    </row>
    <row r="45" s="104" customFormat="1" ht="19" customHeight="1" spans="1:11">
      <c r="A45" s="131">
        <v>45778</v>
      </c>
      <c r="B45" s="115" t="s">
        <v>85</v>
      </c>
      <c r="C45" s="108">
        <v>60</v>
      </c>
      <c r="D45" s="108" t="s">
        <v>49</v>
      </c>
      <c r="E45" s="108">
        <v>150</v>
      </c>
      <c r="F45" s="108">
        <f t="shared" si="5"/>
        <v>9000</v>
      </c>
      <c r="G45" s="115"/>
      <c r="H45" s="127">
        <f t="shared" si="4"/>
        <v>106100</v>
      </c>
      <c r="I45" s="115"/>
      <c r="J45" s="115"/>
      <c r="K45" s="115"/>
    </row>
    <row r="46" s="104" customFormat="1" ht="19" customHeight="1" spans="1:11">
      <c r="A46" s="131">
        <v>45785</v>
      </c>
      <c r="B46" s="115" t="s">
        <v>85</v>
      </c>
      <c r="C46" s="108">
        <v>60</v>
      </c>
      <c r="D46" s="108" t="s">
        <v>49</v>
      </c>
      <c r="E46" s="108">
        <v>150</v>
      </c>
      <c r="F46" s="108">
        <f t="shared" si="5"/>
        <v>9000</v>
      </c>
      <c r="G46" s="115"/>
      <c r="H46" s="127">
        <f t="shared" si="4"/>
        <v>115100</v>
      </c>
      <c r="I46" s="115"/>
      <c r="J46" s="115"/>
      <c r="K46" s="115"/>
    </row>
    <row r="47" s="104" customFormat="1" ht="19" customHeight="1" spans="1:11">
      <c r="A47" s="131">
        <v>45794</v>
      </c>
      <c r="B47" s="115" t="s">
        <v>85</v>
      </c>
      <c r="C47" s="108">
        <v>60</v>
      </c>
      <c r="D47" s="108" t="s">
        <v>49</v>
      </c>
      <c r="E47" s="108">
        <v>150</v>
      </c>
      <c r="F47" s="108">
        <f t="shared" si="5"/>
        <v>9000</v>
      </c>
      <c r="G47" s="115"/>
      <c r="H47" s="127">
        <f t="shared" si="4"/>
        <v>124100</v>
      </c>
      <c r="I47" s="115"/>
      <c r="J47" s="115"/>
      <c r="K47" s="115"/>
    </row>
    <row r="48" s="104" customFormat="1" ht="19" customHeight="1" spans="1:11">
      <c r="A48" s="131">
        <v>45800</v>
      </c>
      <c r="B48" s="115" t="s">
        <v>85</v>
      </c>
      <c r="C48" s="108">
        <v>60</v>
      </c>
      <c r="D48" s="108" t="s">
        <v>49</v>
      </c>
      <c r="E48" s="108">
        <v>150</v>
      </c>
      <c r="F48" s="108">
        <f t="shared" si="5"/>
        <v>9000</v>
      </c>
      <c r="G48" s="115"/>
      <c r="H48" s="127">
        <f t="shared" si="4"/>
        <v>133100</v>
      </c>
      <c r="I48" s="115"/>
      <c r="J48" s="115"/>
      <c r="K48" s="115"/>
    </row>
    <row r="49" s="104" customFormat="1" ht="19" customHeight="1" spans="1:11">
      <c r="A49" s="131">
        <v>45726</v>
      </c>
      <c r="B49" s="115" t="s">
        <v>86</v>
      </c>
      <c r="C49" s="108"/>
      <c r="D49" s="108"/>
      <c r="E49" s="108"/>
      <c r="F49" s="108">
        <f t="shared" si="5"/>
        <v>0</v>
      </c>
      <c r="G49" s="115">
        <v>15200</v>
      </c>
      <c r="H49" s="127">
        <f t="shared" si="4"/>
        <v>117900</v>
      </c>
      <c r="I49" s="115"/>
      <c r="J49" s="115"/>
      <c r="K49" s="115"/>
    </row>
    <row r="50" s="104" customFormat="1" ht="19" customHeight="1" spans="1:11">
      <c r="A50" s="131">
        <v>45810</v>
      </c>
      <c r="B50" s="115" t="s">
        <v>87</v>
      </c>
      <c r="C50" s="108">
        <v>120</v>
      </c>
      <c r="D50" s="108" t="s">
        <v>49</v>
      </c>
      <c r="E50" s="108">
        <v>150</v>
      </c>
      <c r="F50" s="108">
        <f t="shared" si="5"/>
        <v>18000</v>
      </c>
      <c r="G50" s="115"/>
      <c r="H50" s="127">
        <f t="shared" si="4"/>
        <v>135900</v>
      </c>
      <c r="I50" s="115"/>
      <c r="J50" s="115"/>
      <c r="K50" s="115"/>
    </row>
    <row r="51" s="104" customFormat="1" ht="19" customHeight="1" spans="1:11">
      <c r="A51" s="131">
        <v>45814</v>
      </c>
      <c r="B51" s="115" t="s">
        <v>87</v>
      </c>
      <c r="C51" s="108">
        <v>120</v>
      </c>
      <c r="D51" s="108" t="s">
        <v>49</v>
      </c>
      <c r="E51" s="108">
        <v>150</v>
      </c>
      <c r="F51" s="108">
        <f t="shared" si="5"/>
        <v>18000</v>
      </c>
      <c r="G51" s="115"/>
      <c r="H51" s="127">
        <f t="shared" si="4"/>
        <v>153900</v>
      </c>
      <c r="I51" s="115"/>
      <c r="J51" s="115"/>
      <c r="K51" s="115"/>
    </row>
    <row r="52" s="104" customFormat="1" ht="19" customHeight="1" spans="1:11">
      <c r="A52" s="131">
        <v>45823</v>
      </c>
      <c r="B52" s="115" t="s">
        <v>88</v>
      </c>
      <c r="C52" s="108">
        <v>200</v>
      </c>
      <c r="D52" s="108" t="s">
        <v>53</v>
      </c>
      <c r="E52" s="108">
        <v>2</v>
      </c>
      <c r="F52" s="108">
        <f t="shared" si="5"/>
        <v>400</v>
      </c>
      <c r="G52" s="115"/>
      <c r="H52" s="127">
        <f t="shared" si="4"/>
        <v>154300</v>
      </c>
      <c r="I52" s="115"/>
      <c r="J52" s="115"/>
      <c r="K52" s="115"/>
    </row>
    <row r="53" s="104" customFormat="1" ht="19" customHeight="1" spans="1:11">
      <c r="A53" s="131">
        <v>45836</v>
      </c>
      <c r="B53" s="115" t="s">
        <v>89</v>
      </c>
      <c r="C53" s="108">
        <v>60</v>
      </c>
      <c r="D53" s="108" t="s">
        <v>49</v>
      </c>
      <c r="E53" s="108">
        <v>150</v>
      </c>
      <c r="F53" s="108">
        <f t="shared" si="5"/>
        <v>9000</v>
      </c>
      <c r="G53" s="115"/>
      <c r="H53" s="127">
        <f t="shared" si="4"/>
        <v>163300</v>
      </c>
      <c r="I53" s="115"/>
      <c r="J53" s="115"/>
      <c r="K53" s="115"/>
    </row>
    <row r="54" s="104" customFormat="1" ht="19" customHeight="1" spans="1:11">
      <c r="A54" s="131">
        <v>45726</v>
      </c>
      <c r="B54" s="115" t="s">
        <v>90</v>
      </c>
      <c r="C54" s="108"/>
      <c r="D54" s="108"/>
      <c r="E54" s="108"/>
      <c r="F54" s="108"/>
      <c r="G54" s="115">
        <v>24000</v>
      </c>
      <c r="H54" s="127">
        <f t="shared" si="4"/>
        <v>139300</v>
      </c>
      <c r="I54" s="115"/>
      <c r="J54" s="115"/>
      <c r="K54" s="115"/>
    </row>
    <row r="55" s="104" customFormat="1" ht="19" customHeight="1" spans="1:11">
      <c r="A55" s="131"/>
      <c r="B55" s="132" t="s">
        <v>91</v>
      </c>
      <c r="C55" s="52"/>
      <c r="E55" s="51"/>
      <c r="F55" s="108"/>
      <c r="G55" s="133">
        <v>37200</v>
      </c>
      <c r="H55" s="127">
        <f t="shared" si="4"/>
        <v>102100</v>
      </c>
      <c r="I55" s="115"/>
      <c r="J55" s="115"/>
      <c r="K55" s="115"/>
    </row>
    <row r="56" s="104" customFormat="1" ht="21" customHeight="1" spans="1:11">
      <c r="A56" s="131"/>
      <c r="B56" s="51"/>
      <c r="C56" s="51"/>
      <c r="D56" s="31"/>
      <c r="E56" s="51"/>
      <c r="F56" s="108"/>
      <c r="G56" s="115"/>
      <c r="H56" s="115"/>
      <c r="I56" s="115"/>
      <c r="J56" s="115"/>
      <c r="K56" s="115"/>
    </row>
    <row r="57" s="104" customFormat="1" ht="21" customHeight="1" spans="1:11">
      <c r="A57" s="131"/>
      <c r="B57" s="115"/>
      <c r="C57" s="108"/>
      <c r="D57" s="108"/>
      <c r="E57" s="108"/>
      <c r="F57" s="108"/>
      <c r="G57" s="115"/>
      <c r="H57" s="115"/>
      <c r="I57" s="115"/>
      <c r="J57" s="115"/>
      <c r="K57" s="115"/>
    </row>
  </sheetData>
  <mergeCells count="12">
    <mergeCell ref="A1:K1"/>
    <mergeCell ref="C30:F30"/>
    <mergeCell ref="A30:A31"/>
    <mergeCell ref="B30:B31"/>
    <mergeCell ref="G30:G31"/>
    <mergeCell ref="H30:H31"/>
    <mergeCell ref="I3:I12"/>
    <mergeCell ref="I13:I16"/>
    <mergeCell ref="I30:I31"/>
    <mergeCell ref="I32:I35"/>
    <mergeCell ref="I36:I39"/>
    <mergeCell ref="A28:F29"/>
  </mergeCells>
  <pageMargins left="0.354166666666667" right="0.236111111111111" top="0.590277777777778" bottom="0.550694444444444" header="0.5" footer="0.236111111111111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opLeftCell="A12" workbookViewId="0">
      <selection activeCell="L17" sqref="L17"/>
    </sheetView>
  </sheetViews>
  <sheetFormatPr defaultColWidth="9" defaultRowHeight="13.5"/>
  <cols>
    <col min="1" max="1" width="5.79166666666667" customWidth="1"/>
    <col min="2" max="2" width="4.375" customWidth="1"/>
    <col min="3" max="3" width="4.75" customWidth="1"/>
    <col min="4" max="4" width="24.75" customWidth="1"/>
    <col min="5" max="5" width="12.25" customWidth="1"/>
    <col min="6" max="6" width="13.875" customWidth="1"/>
    <col min="7" max="7" width="13.375" customWidth="1"/>
    <col min="8" max="9" width="14.0666666666667" customWidth="1"/>
    <col min="11" max="12" width="12.8"/>
  </cols>
  <sheetData>
    <row r="1" ht="33" customHeight="1" spans="1:11">
      <c r="B1" s="47" t="s">
        <v>92</v>
      </c>
      <c r="C1" s="47"/>
      <c r="D1" s="47"/>
      <c r="E1" s="47"/>
      <c r="F1" s="47"/>
      <c r="G1" s="47"/>
      <c r="H1" s="47"/>
      <c r="I1" s="47"/>
    </row>
    <row r="2" s="1" customFormat="1" ht="21" customHeight="1" spans="1:11">
      <c r="A2" s="4"/>
      <c r="B2" s="66" t="s">
        <v>93</v>
      </c>
      <c r="C2" s="66"/>
      <c r="D2" s="4" t="s">
        <v>2</v>
      </c>
      <c r="E2" s="4" t="s">
        <v>8</v>
      </c>
      <c r="F2" s="4" t="s">
        <v>94</v>
      </c>
      <c r="G2" s="4" t="s">
        <v>46</v>
      </c>
      <c r="H2" s="4" t="s">
        <v>47</v>
      </c>
      <c r="I2" s="1" t="s">
        <v>41</v>
      </c>
    </row>
    <row r="3" s="1" customFormat="1" ht="22" customHeight="1" spans="1:11">
      <c r="A3" s="4" t="s">
        <v>95</v>
      </c>
      <c r="B3" s="4" t="s">
        <v>96</v>
      </c>
      <c r="C3" s="4" t="s">
        <v>97</v>
      </c>
      <c r="D3" s="4"/>
      <c r="E3" s="4"/>
      <c r="F3" s="4"/>
      <c r="G3" s="4"/>
      <c r="H3" s="4"/>
    </row>
    <row r="4" s="1" customFormat="1" ht="21" customHeight="1" spans="1:11">
      <c r="A4" s="4">
        <v>22</v>
      </c>
      <c r="B4" s="4">
        <v>10</v>
      </c>
      <c r="C4" s="4">
        <v>10</v>
      </c>
      <c r="D4" s="1" t="s">
        <v>98</v>
      </c>
      <c r="E4" s="4">
        <v>400</v>
      </c>
      <c r="F4" s="4"/>
      <c r="G4" s="4"/>
      <c r="H4" s="4"/>
      <c r="I4" s="4"/>
      <c r="J4" s="4">
        <v>32000</v>
      </c>
      <c r="K4" s="1">
        <v>40</v>
      </c>
    </row>
    <row r="5" s="1" customFormat="1" ht="21" customHeight="1" spans="1:11">
      <c r="A5" s="4">
        <v>22</v>
      </c>
      <c r="B5" s="4">
        <v>10</v>
      </c>
      <c r="C5" s="4">
        <v>28</v>
      </c>
      <c r="E5" s="4">
        <v>400</v>
      </c>
      <c r="F5" s="4"/>
      <c r="G5" s="4"/>
      <c r="H5" s="4"/>
      <c r="I5" s="4"/>
      <c r="J5" s="4"/>
      <c r="K5" s="1">
        <v>40</v>
      </c>
    </row>
    <row r="6" s="1" customFormat="1" ht="21" customHeight="1" spans="1:11">
      <c r="A6" s="4">
        <v>22</v>
      </c>
      <c r="B6" s="4">
        <v>11</v>
      </c>
      <c r="C6" s="4">
        <v>16</v>
      </c>
      <c r="E6" s="4">
        <v>400</v>
      </c>
      <c r="F6" s="4"/>
      <c r="G6" s="4"/>
      <c r="H6" s="4"/>
      <c r="I6" s="4"/>
      <c r="J6" s="4">
        <v>16000</v>
      </c>
      <c r="K6" s="1">
        <v>40</v>
      </c>
    </row>
    <row r="7" s="1" customFormat="1" ht="21" customHeight="1" spans="1:11">
      <c r="A7" s="4">
        <v>22</v>
      </c>
      <c r="B7" s="4">
        <v>11</v>
      </c>
      <c r="C7" s="4">
        <v>28</v>
      </c>
      <c r="D7" s="4" t="s">
        <v>99</v>
      </c>
      <c r="E7" s="4">
        <v>400</v>
      </c>
      <c r="F7" s="4"/>
      <c r="G7" s="4"/>
      <c r="H7" s="4"/>
      <c r="I7" s="4"/>
      <c r="J7" s="4">
        <v>16000</v>
      </c>
      <c r="K7" s="1">
        <v>40</v>
      </c>
    </row>
    <row r="8" s="1" customFormat="1" ht="21" customHeight="1" spans="1:11">
      <c r="A8" s="4">
        <v>23</v>
      </c>
      <c r="B8" s="4">
        <v>1</v>
      </c>
      <c r="C8" s="4">
        <v>8</v>
      </c>
      <c r="D8" s="4" t="s">
        <v>100</v>
      </c>
      <c r="E8" s="4">
        <v>700</v>
      </c>
      <c r="F8" s="4"/>
      <c r="G8" s="4"/>
      <c r="H8" s="4"/>
      <c r="J8" s="1">
        <v>28000</v>
      </c>
      <c r="K8" s="1">
        <f>J8/E8</f>
        <v>40</v>
      </c>
    </row>
    <row r="9" s="1" customFormat="1" ht="21" customHeight="1" spans="1:11">
      <c r="A9" s="4">
        <v>23</v>
      </c>
      <c r="B9" s="4">
        <v>3</v>
      </c>
      <c r="C9" s="4">
        <v>6</v>
      </c>
      <c r="D9" s="4"/>
      <c r="E9" s="4">
        <v>400</v>
      </c>
      <c r="F9" s="4"/>
      <c r="G9" s="4"/>
      <c r="H9" s="4"/>
    </row>
    <row r="10" s="1" customFormat="1" ht="21" customHeight="1" spans="1:11">
      <c r="A10" s="94">
        <v>23</v>
      </c>
      <c r="B10" s="94">
        <v>3</v>
      </c>
      <c r="C10" s="94">
        <v>31</v>
      </c>
      <c r="D10" s="94" t="s">
        <v>101</v>
      </c>
      <c r="E10" s="94">
        <v>1200</v>
      </c>
      <c r="F10" s="94"/>
      <c r="G10" s="94"/>
      <c r="H10" s="94"/>
      <c r="I10" s="102"/>
    </row>
    <row r="11" s="1" customFormat="1" ht="21" customHeight="1" spans="1:11">
      <c r="A11" s="4">
        <v>23</v>
      </c>
      <c r="B11" s="4">
        <v>4</v>
      </c>
      <c r="C11" s="4">
        <v>28</v>
      </c>
      <c r="D11" s="4" t="s">
        <v>102</v>
      </c>
      <c r="E11" s="4">
        <v>1200</v>
      </c>
      <c r="F11" s="4"/>
      <c r="G11" s="4"/>
      <c r="H11" s="4"/>
      <c r="I11" s="1">
        <f>J11/E11</f>
        <v>35</v>
      </c>
      <c r="J11" s="1">
        <v>42000</v>
      </c>
      <c r="K11" s="1">
        <f>J11/E11</f>
        <v>35</v>
      </c>
    </row>
    <row r="12" s="1" customFormat="1" ht="21" customHeight="1" spans="1:11">
      <c r="A12" s="4">
        <v>23</v>
      </c>
      <c r="B12" s="4">
        <v>5</v>
      </c>
      <c r="C12" s="4">
        <v>2</v>
      </c>
      <c r="D12" s="4" t="s">
        <v>102</v>
      </c>
      <c r="E12" s="4">
        <v>300</v>
      </c>
      <c r="F12" s="4"/>
      <c r="G12" s="4"/>
      <c r="H12" s="4"/>
      <c r="I12" s="1">
        <f t="shared" ref="I12:I24" si="0">J12/E12</f>
        <v>35</v>
      </c>
      <c r="J12" s="1">
        <v>10500</v>
      </c>
      <c r="K12" s="1">
        <f>J12/E12</f>
        <v>35</v>
      </c>
    </row>
    <row r="13" s="1" customFormat="1" ht="21" customHeight="1" spans="1:11">
      <c r="A13" s="4">
        <v>23</v>
      </c>
      <c r="B13" s="4">
        <v>6</v>
      </c>
      <c r="C13" s="4">
        <v>17</v>
      </c>
      <c r="D13" s="4" t="s">
        <v>103</v>
      </c>
      <c r="E13" s="4">
        <v>1193</v>
      </c>
      <c r="F13" s="4"/>
      <c r="G13" s="4"/>
      <c r="H13" s="4">
        <v>1513</v>
      </c>
      <c r="I13" s="1">
        <f t="shared" si="0"/>
        <v>33</v>
      </c>
      <c r="J13" s="1">
        <v>39369</v>
      </c>
      <c r="K13" s="1">
        <f>J13/E13</f>
        <v>33</v>
      </c>
    </row>
    <row r="14" s="1" customFormat="1" ht="21" customHeight="1" spans="1:11">
      <c r="A14" s="4">
        <v>23</v>
      </c>
      <c r="B14" s="4">
        <v>8</v>
      </c>
      <c r="C14" s="4">
        <v>17</v>
      </c>
      <c r="D14" s="4" t="s">
        <v>104</v>
      </c>
      <c r="E14" s="4">
        <v>1200</v>
      </c>
      <c r="F14" s="4"/>
      <c r="G14" s="4"/>
      <c r="H14" s="4">
        <f>H13+E14-F14</f>
        <v>2713</v>
      </c>
      <c r="I14" s="1">
        <v>35</v>
      </c>
      <c r="J14" s="1">
        <v>42700</v>
      </c>
      <c r="K14" s="1">
        <v>35</v>
      </c>
    </row>
    <row r="15" s="1" customFormat="1" ht="21" customHeight="1" spans="1:11">
      <c r="A15" s="4">
        <v>24</v>
      </c>
      <c r="B15" s="4">
        <v>8</v>
      </c>
      <c r="C15" s="4">
        <v>17</v>
      </c>
      <c r="D15" s="4" t="s">
        <v>105</v>
      </c>
      <c r="E15" s="4">
        <v>440</v>
      </c>
      <c r="F15" s="4">
        <v>60</v>
      </c>
      <c r="G15" s="4"/>
      <c r="H15" s="4">
        <f t="shared" ref="H15:H23" si="1">H14+E15-F15</f>
        <v>3093</v>
      </c>
      <c r="I15" s="1">
        <f t="shared" si="0"/>
        <v>30</v>
      </c>
      <c r="J15" s="1">
        <v>13200</v>
      </c>
      <c r="K15" s="1">
        <f t="shared" ref="K15:K21" si="2">J15/E15</f>
        <v>30</v>
      </c>
    </row>
    <row r="16" s="1" customFormat="1" ht="21" customHeight="1" spans="1:11">
      <c r="A16" s="4">
        <v>24</v>
      </c>
      <c r="B16" s="4">
        <v>10</v>
      </c>
      <c r="C16" s="4">
        <v>8</v>
      </c>
      <c r="D16" s="4" t="s">
        <v>106</v>
      </c>
      <c r="E16" s="4">
        <v>320</v>
      </c>
      <c r="F16" s="4"/>
      <c r="G16" s="4"/>
      <c r="H16" s="4">
        <f t="shared" si="1"/>
        <v>3413</v>
      </c>
      <c r="I16" s="1">
        <f t="shared" si="0"/>
        <v>26</v>
      </c>
      <c r="J16" s="1">
        <v>8320</v>
      </c>
      <c r="K16" s="1">
        <f t="shared" si="2"/>
        <v>26</v>
      </c>
    </row>
    <row r="17" s="1" customFormat="1" ht="21" customHeight="1" spans="1:11">
      <c r="A17" s="4">
        <v>24</v>
      </c>
      <c r="B17" s="4">
        <v>10</v>
      </c>
      <c r="C17" s="4">
        <v>19</v>
      </c>
      <c r="D17" s="4" t="s">
        <v>107</v>
      </c>
      <c r="E17" s="4">
        <v>320</v>
      </c>
      <c r="F17" s="4"/>
      <c r="G17" s="4"/>
      <c r="H17" s="4">
        <f t="shared" si="1"/>
        <v>3733</v>
      </c>
      <c r="I17" s="1">
        <f t="shared" si="0"/>
        <v>26</v>
      </c>
      <c r="J17" s="1">
        <v>8320</v>
      </c>
      <c r="K17" s="1">
        <f t="shared" si="2"/>
        <v>26</v>
      </c>
    </row>
    <row r="18" s="1" customFormat="1" ht="21" customHeight="1" spans="1:11">
      <c r="A18" s="4">
        <v>24</v>
      </c>
      <c r="B18" s="4">
        <v>12</v>
      </c>
      <c r="C18" s="4">
        <v>19</v>
      </c>
      <c r="D18" s="4" t="s">
        <v>108</v>
      </c>
      <c r="E18" s="4">
        <v>320</v>
      </c>
      <c r="F18" s="4"/>
      <c r="G18" s="4"/>
      <c r="H18" s="4">
        <f t="shared" si="1"/>
        <v>4053</v>
      </c>
      <c r="I18" s="1">
        <f t="shared" si="0"/>
        <v>26</v>
      </c>
      <c r="J18" s="1">
        <v>8320</v>
      </c>
      <c r="K18" s="1">
        <f t="shared" si="2"/>
        <v>26</v>
      </c>
    </row>
    <row r="19" s="1" customFormat="1" ht="21" customHeight="1" spans="1:11">
      <c r="A19" s="4">
        <v>24</v>
      </c>
      <c r="B19" s="4">
        <v>12</v>
      </c>
      <c r="C19" s="4">
        <v>19</v>
      </c>
      <c r="D19" s="4" t="s">
        <v>108</v>
      </c>
      <c r="E19" s="4">
        <v>80</v>
      </c>
      <c r="F19" s="4"/>
      <c r="G19" s="4"/>
      <c r="H19" s="4">
        <f t="shared" si="1"/>
        <v>4133</v>
      </c>
      <c r="I19" s="1">
        <f t="shared" si="0"/>
        <v>26</v>
      </c>
      <c r="J19" s="1">
        <v>2080</v>
      </c>
      <c r="K19" s="1">
        <f t="shared" si="2"/>
        <v>26</v>
      </c>
    </row>
    <row r="20" s="1" customFormat="1" ht="21" customHeight="1" spans="1:11">
      <c r="A20" s="4">
        <v>25</v>
      </c>
      <c r="B20" s="4">
        <v>3</v>
      </c>
      <c r="C20" s="4">
        <v>5</v>
      </c>
      <c r="D20" s="4" t="s">
        <v>109</v>
      </c>
      <c r="E20" s="4">
        <v>1200</v>
      </c>
      <c r="F20" s="4"/>
      <c r="G20" s="4"/>
      <c r="H20" s="4">
        <f t="shared" si="1"/>
        <v>5333</v>
      </c>
      <c r="I20" s="1">
        <f t="shared" si="0"/>
        <v>26.5833333333333</v>
      </c>
      <c r="J20" s="1">
        <f>31200+700</f>
        <v>31900</v>
      </c>
      <c r="K20" s="1">
        <f t="shared" si="2"/>
        <v>26.5833333333333</v>
      </c>
    </row>
    <row r="21" s="1" customFormat="1" ht="21" customHeight="1" spans="1:11">
      <c r="A21" s="4">
        <v>25</v>
      </c>
      <c r="B21" s="4">
        <v>10</v>
      </c>
      <c r="C21" s="4">
        <v>8</v>
      </c>
      <c r="D21" s="4" t="s">
        <v>110</v>
      </c>
      <c r="E21" s="4">
        <v>200</v>
      </c>
      <c r="F21" s="4"/>
      <c r="G21" s="4"/>
      <c r="H21" s="4">
        <f t="shared" si="1"/>
        <v>5533</v>
      </c>
      <c r="I21" s="1">
        <f t="shared" si="0"/>
        <v>26</v>
      </c>
      <c r="J21" s="1">
        <v>5200</v>
      </c>
      <c r="K21" s="1">
        <f t="shared" si="2"/>
        <v>26</v>
      </c>
    </row>
    <row r="22" s="1" customFormat="1" ht="21" customHeight="1" spans="1:11">
      <c r="A22" s="4">
        <v>2026</v>
      </c>
      <c r="B22" s="4">
        <v>2</v>
      </c>
      <c r="C22" s="4">
        <v>14</v>
      </c>
      <c r="D22" s="4" t="s">
        <v>111</v>
      </c>
      <c r="E22" s="4">
        <v>120</v>
      </c>
      <c r="F22" s="4"/>
      <c r="G22" s="4"/>
      <c r="H22" s="4">
        <f t="shared" si="1"/>
        <v>5653</v>
      </c>
      <c r="I22" s="1">
        <f t="shared" si="0"/>
        <v>30</v>
      </c>
      <c r="J22" s="1">
        <v>3600</v>
      </c>
    </row>
    <row r="23" s="1" customFormat="1" ht="21" customHeight="1" spans="1:11">
      <c r="A23" s="4">
        <v>2026</v>
      </c>
      <c r="B23" s="4">
        <v>4</v>
      </c>
      <c r="C23" s="4">
        <v>19</v>
      </c>
      <c r="D23" s="4"/>
      <c r="E23" s="4">
        <v>120</v>
      </c>
      <c r="F23" s="4"/>
      <c r="G23" s="4"/>
      <c r="H23" s="4">
        <f t="shared" si="1"/>
        <v>5773</v>
      </c>
      <c r="I23" s="1">
        <f t="shared" si="0"/>
        <v>32</v>
      </c>
      <c r="J23" s="1">
        <v>3840</v>
      </c>
    </row>
    <row r="24" s="1" customFormat="1" ht="21" customHeight="1" spans="1:11">
      <c r="A24" s="4">
        <v>2026</v>
      </c>
      <c r="B24" s="4">
        <v>6</v>
      </c>
      <c r="C24" s="4">
        <v>19</v>
      </c>
      <c r="D24" s="4"/>
      <c r="E24" s="4">
        <v>232</v>
      </c>
      <c r="F24" s="4"/>
      <c r="G24" s="4"/>
      <c r="H24" s="4"/>
      <c r="I24" s="1">
        <f t="shared" si="0"/>
        <v>0</v>
      </c>
    </row>
    <row r="25" s="1" customFormat="1" ht="21" customHeight="1" spans="1:11">
      <c r="A25" s="4"/>
      <c r="B25" s="4"/>
      <c r="C25" s="4"/>
      <c r="D25" s="4"/>
      <c r="E25" s="4"/>
      <c r="F25" s="4"/>
      <c r="G25" s="4"/>
      <c r="H25" s="4"/>
    </row>
    <row r="26" s="1" customFormat="1" ht="21" customHeight="1" spans="1:11">
      <c r="A26" s="4"/>
      <c r="B26" s="4"/>
      <c r="C26" s="4"/>
      <c r="D26" s="4"/>
      <c r="E26" s="4"/>
      <c r="F26" s="4"/>
      <c r="G26" s="4"/>
      <c r="H26" s="4"/>
    </row>
    <row r="27" s="1" customFormat="1" ht="21" customHeight="1" spans="1:11">
      <c r="A27" s="4"/>
      <c r="B27" s="4"/>
      <c r="C27" s="4"/>
      <c r="D27" s="4"/>
      <c r="E27" s="4"/>
      <c r="F27" s="4"/>
      <c r="G27" s="4"/>
      <c r="H27" s="4"/>
    </row>
    <row r="28" s="1" customFormat="1" ht="21" customHeight="1" spans="1:11">
      <c r="A28" s="4"/>
      <c r="B28" s="4"/>
      <c r="C28" s="4"/>
      <c r="D28" s="4"/>
      <c r="E28" s="4"/>
      <c r="F28" s="4"/>
      <c r="G28" s="4"/>
      <c r="H28" s="4"/>
    </row>
    <row r="29" s="1" customFormat="1" ht="21" customHeight="1" spans="1:11">
      <c r="A29" s="4"/>
      <c r="B29" s="4"/>
      <c r="C29" s="4"/>
      <c r="D29" s="4"/>
      <c r="E29" s="4"/>
      <c r="F29" s="4"/>
      <c r="G29" s="4"/>
      <c r="H29" s="4"/>
    </row>
    <row r="30" s="1" customFormat="1" ht="21" customHeight="1" spans="1:11">
      <c r="A30" s="4"/>
      <c r="B30" s="4"/>
      <c r="C30" s="4"/>
      <c r="D30" s="4"/>
      <c r="E30" s="4"/>
      <c r="F30" s="4"/>
      <c r="G30" s="4"/>
      <c r="H30" s="4"/>
    </row>
    <row r="31" s="1" customFormat="1" ht="21" customHeight="1" spans="1:11">
      <c r="A31" s="4"/>
      <c r="B31" s="4"/>
      <c r="C31" s="4"/>
      <c r="D31" s="4"/>
      <c r="E31" s="4"/>
      <c r="F31" s="4"/>
      <c r="G31" s="4"/>
      <c r="H31" s="4"/>
    </row>
    <row r="32" ht="21" customHeight="1" spans="1:11">
      <c r="A32" s="10"/>
      <c r="B32" s="10"/>
      <c r="C32" s="10"/>
      <c r="D32" s="10"/>
      <c r="E32" s="10"/>
      <c r="F32" s="10"/>
      <c r="G32" s="10"/>
      <c r="H32" s="10"/>
    </row>
    <row r="33" ht="21" customHeight="1" spans="1:8">
      <c r="A33" s="10"/>
      <c r="B33" s="10"/>
      <c r="C33" s="10"/>
      <c r="D33" s="10"/>
      <c r="E33" s="10"/>
      <c r="F33" s="10"/>
      <c r="G33" s="10"/>
      <c r="H33" s="10"/>
    </row>
    <row r="34" ht="21" customHeight="1" spans="1:8">
      <c r="A34" s="10"/>
      <c r="B34" s="10"/>
      <c r="C34" s="10"/>
      <c r="D34" s="10"/>
      <c r="E34" s="10"/>
      <c r="F34" s="10"/>
      <c r="G34" s="10"/>
      <c r="H34" s="10"/>
    </row>
  </sheetData>
  <autoFilter xmlns:etc="http://www.wps.cn/officeDocument/2017/etCustomData" ref="B1:H34" etc:filterBottomFollowUsedRange="0">
    <extLst/>
  </autoFilter>
  <mergeCells count="10">
    <mergeCell ref="B1:H1"/>
    <mergeCell ref="B2:C2"/>
    <mergeCell ref="D2:D3"/>
    <mergeCell ref="D4:D6"/>
    <mergeCell ref="E2:E3"/>
    <mergeCell ref="F2:F3"/>
    <mergeCell ref="G2:G3"/>
    <mergeCell ref="H2:H3"/>
    <mergeCell ref="I2:I3"/>
    <mergeCell ref="J4:J5"/>
  </mergeCells>
  <pageMargins left="0.751388888888889" right="0.751388888888889" top="0.590277777777778" bottom="0.66875" header="0.5" footer="0.393055555555556"/>
  <pageSetup paperSize="9" orientation="portrait" horizontalDpi="600"/>
  <headerFooter>
    <oddFooter>&amp;L制表人：付立书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F47" sqref="F47"/>
    </sheetView>
  </sheetViews>
  <sheetFormatPr defaultColWidth="9" defaultRowHeight="13.5"/>
  <cols>
    <col min="1" max="1" width="4.625" customWidth="1"/>
    <col min="2" max="2" width="4.375" customWidth="1"/>
    <col min="3" max="3" width="4.75" customWidth="1"/>
    <col min="4" max="4" width="24.75" customWidth="1"/>
    <col min="5" max="5" width="12.25" customWidth="1"/>
    <col min="6" max="6" width="13.875" customWidth="1"/>
    <col min="7" max="7" width="13.375" customWidth="1"/>
    <col min="8" max="8" width="14.0666666666667" customWidth="1"/>
  </cols>
  <sheetData>
    <row r="1" ht="33" customHeight="1" spans="1:10">
      <c r="B1" s="47" t="s">
        <v>112</v>
      </c>
      <c r="C1" s="47"/>
      <c r="D1" s="47"/>
      <c r="E1" s="47"/>
      <c r="F1" s="47"/>
      <c r="G1" s="47"/>
      <c r="H1" s="47"/>
    </row>
    <row r="2" s="1" customFormat="1" ht="21" customHeight="1" spans="1:10">
      <c r="A2" s="4"/>
      <c r="B2" s="66" t="s">
        <v>93</v>
      </c>
      <c r="C2" s="66"/>
      <c r="D2" s="4" t="s">
        <v>2</v>
      </c>
      <c r="E2" s="4" t="s">
        <v>113</v>
      </c>
      <c r="F2" s="4" t="s">
        <v>114</v>
      </c>
      <c r="G2" s="4" t="s">
        <v>46</v>
      </c>
      <c r="H2" s="4" t="s">
        <v>47</v>
      </c>
      <c r="I2" s="1" t="s">
        <v>42</v>
      </c>
      <c r="J2" s="1" t="s">
        <v>41</v>
      </c>
    </row>
    <row r="3" s="1" customFormat="1" ht="21" customHeight="1" spans="1:10">
      <c r="A3" s="4"/>
      <c r="B3" s="4" t="s">
        <v>96</v>
      </c>
      <c r="C3" s="4" t="s">
        <v>97</v>
      </c>
      <c r="D3" s="4"/>
      <c r="E3" s="4"/>
      <c r="F3" s="4"/>
      <c r="G3" s="4"/>
      <c r="H3" s="4"/>
    </row>
    <row r="4" s="1" customFormat="1" ht="21" customHeight="1" spans="1:10">
      <c r="A4" s="4"/>
      <c r="B4" s="4">
        <v>1</v>
      </c>
      <c r="C4" s="4">
        <v>9</v>
      </c>
      <c r="D4" s="86" t="s">
        <v>100</v>
      </c>
      <c r="E4" s="4">
        <v>10</v>
      </c>
      <c r="F4" s="4"/>
      <c r="G4" s="4"/>
      <c r="H4" s="4"/>
      <c r="I4" s="1">
        <v>1960</v>
      </c>
      <c r="J4" s="1">
        <f>I4/56</f>
        <v>35</v>
      </c>
    </row>
    <row r="5" s="1" customFormat="1" ht="21" customHeight="1" spans="1:10">
      <c r="A5" s="4"/>
      <c r="B5" s="4">
        <v>1</v>
      </c>
      <c r="C5" s="4">
        <v>12</v>
      </c>
      <c r="D5" s="101"/>
      <c r="E5" s="4">
        <v>26</v>
      </c>
      <c r="F5" s="4"/>
      <c r="G5" s="4"/>
      <c r="H5" s="4"/>
    </row>
    <row r="6" s="1" customFormat="1" ht="21" customHeight="1" spans="1:10">
      <c r="A6" s="4"/>
      <c r="B6" s="4">
        <v>3</v>
      </c>
      <c r="C6" s="4">
        <v>6</v>
      </c>
      <c r="D6" s="87"/>
      <c r="E6" s="4">
        <v>20</v>
      </c>
      <c r="F6" s="4"/>
      <c r="G6" s="4"/>
      <c r="H6" s="4"/>
    </row>
    <row r="7" s="1" customFormat="1" ht="21" customHeight="1" spans="1:10">
      <c r="A7" s="4"/>
      <c r="B7" s="4">
        <v>5</v>
      </c>
      <c r="C7" s="4">
        <v>2</v>
      </c>
      <c r="D7" s="4" t="s">
        <v>102</v>
      </c>
      <c r="E7" s="4">
        <v>128</v>
      </c>
      <c r="F7" s="4"/>
      <c r="G7" s="4"/>
      <c r="H7" s="4">
        <v>128</v>
      </c>
      <c r="I7" s="1">
        <v>4480</v>
      </c>
      <c r="J7" s="1">
        <f>I7/E7</f>
        <v>35</v>
      </c>
    </row>
    <row r="8" s="1" customFormat="1" ht="21" customHeight="1" spans="1:10">
      <c r="A8" s="4"/>
      <c r="B8" s="4">
        <v>8</v>
      </c>
      <c r="C8" s="4">
        <v>18</v>
      </c>
      <c r="D8" s="4"/>
      <c r="E8" s="4">
        <v>32</v>
      </c>
      <c r="F8" s="4"/>
      <c r="G8" s="4"/>
      <c r="H8" s="4">
        <f>H7+E8-F8</f>
        <v>160</v>
      </c>
    </row>
    <row r="9" s="1" customFormat="1" ht="21" customHeight="1" spans="1:10">
      <c r="A9" s="4"/>
      <c r="B9" s="4"/>
      <c r="C9" s="4"/>
      <c r="D9" s="4" t="s">
        <v>115</v>
      </c>
      <c r="E9" s="4"/>
      <c r="F9" s="4">
        <v>20</v>
      </c>
      <c r="G9" s="4"/>
      <c r="H9" s="4">
        <f t="shared" ref="H9:H14" si="0">H8+E9-F9</f>
        <v>140</v>
      </c>
    </row>
    <row r="10" s="1" customFormat="1" ht="21" customHeight="1" spans="1:10">
      <c r="A10" s="4">
        <v>2025</v>
      </c>
      <c r="B10" s="4">
        <v>2</v>
      </c>
      <c r="C10" s="4">
        <v>26</v>
      </c>
      <c r="D10" s="4" t="s">
        <v>116</v>
      </c>
      <c r="E10" s="4">
        <v>100</v>
      </c>
      <c r="F10" s="4"/>
      <c r="G10" s="4"/>
      <c r="H10" s="4">
        <f t="shared" si="0"/>
        <v>240</v>
      </c>
      <c r="I10" s="1">
        <v>2500</v>
      </c>
    </row>
    <row r="11" s="1" customFormat="1" ht="21" customHeight="1" spans="1:10">
      <c r="A11" s="4">
        <v>2025</v>
      </c>
      <c r="B11" s="4">
        <v>10</v>
      </c>
      <c r="C11" s="4">
        <v>29</v>
      </c>
      <c r="D11" s="4" t="s">
        <v>110</v>
      </c>
      <c r="E11" s="4">
        <v>40</v>
      </c>
      <c r="F11" s="4">
        <v>25</v>
      </c>
      <c r="G11" s="4"/>
      <c r="H11" s="4">
        <f t="shared" si="0"/>
        <v>255</v>
      </c>
    </row>
    <row r="12" s="1" customFormat="1" ht="21" customHeight="1" spans="1:10">
      <c r="A12" s="4"/>
      <c r="B12" s="4"/>
      <c r="C12" s="4"/>
      <c r="D12" s="4"/>
      <c r="E12" s="4"/>
      <c r="F12" s="4"/>
      <c r="G12" s="4"/>
      <c r="H12" s="4">
        <f t="shared" si="0"/>
        <v>255</v>
      </c>
    </row>
    <row r="13" s="1" customFormat="1" ht="21" customHeight="1" spans="1:10">
      <c r="A13" s="4"/>
      <c r="B13" s="4"/>
      <c r="C13" s="4"/>
      <c r="D13" s="4"/>
      <c r="E13" s="4"/>
      <c r="F13" s="4"/>
      <c r="G13" s="4"/>
      <c r="H13" s="4">
        <f t="shared" si="0"/>
        <v>255</v>
      </c>
    </row>
    <row r="14" s="1" customFormat="1" ht="21" customHeight="1" spans="1:10">
      <c r="A14" s="4"/>
      <c r="B14" s="4"/>
      <c r="C14" s="4"/>
      <c r="D14" s="4"/>
      <c r="E14" s="4"/>
      <c r="F14" s="4"/>
      <c r="G14" s="4"/>
      <c r="H14" s="4">
        <f t="shared" si="0"/>
        <v>255</v>
      </c>
    </row>
    <row r="15" s="1" customFormat="1" ht="21" customHeight="1" spans="1:10">
      <c r="A15" s="4"/>
      <c r="B15" s="4"/>
      <c r="C15" s="4"/>
      <c r="D15" s="4"/>
      <c r="E15" s="4"/>
      <c r="F15" s="4"/>
      <c r="G15" s="4"/>
      <c r="H15" s="4"/>
    </row>
    <row r="16" s="1" customFormat="1" ht="21" customHeight="1" spans="1:10">
      <c r="A16" s="4"/>
      <c r="B16" s="4"/>
      <c r="C16" s="4"/>
      <c r="D16" s="4"/>
      <c r="E16" s="4"/>
      <c r="F16" s="4"/>
      <c r="G16" s="4"/>
      <c r="H16" s="4"/>
    </row>
    <row r="17" ht="21" customHeight="1" spans="1:8">
      <c r="A17" s="10"/>
      <c r="B17" s="10"/>
      <c r="C17" s="10"/>
      <c r="D17" s="10"/>
      <c r="E17" s="10"/>
      <c r="F17" s="10"/>
      <c r="G17" s="10"/>
      <c r="H17" s="10"/>
    </row>
    <row r="18" ht="21" customHeight="1" spans="1:8">
      <c r="A18" s="10"/>
      <c r="B18" s="10"/>
      <c r="C18" s="10"/>
      <c r="D18" s="10"/>
      <c r="E18" s="10"/>
      <c r="F18" s="10"/>
      <c r="G18" s="10"/>
      <c r="H18" s="10"/>
    </row>
    <row r="19" ht="21" customHeight="1" spans="1:8">
      <c r="A19" s="10"/>
      <c r="B19" s="10"/>
      <c r="C19" s="10"/>
      <c r="D19" s="10"/>
      <c r="E19" s="10"/>
      <c r="F19" s="10"/>
      <c r="G19" s="10"/>
      <c r="H19" s="10"/>
    </row>
    <row r="20" ht="21" customHeight="1" spans="1:8">
      <c r="A20" s="10"/>
      <c r="B20" s="10"/>
      <c r="C20" s="10"/>
      <c r="D20" s="10"/>
      <c r="E20" s="10"/>
      <c r="F20" s="10"/>
      <c r="G20" s="10"/>
      <c r="H20" s="10"/>
    </row>
    <row r="21" ht="21" customHeight="1" spans="1:8">
      <c r="A21" s="10"/>
      <c r="B21" s="10"/>
      <c r="C21" s="10"/>
      <c r="D21" s="10"/>
      <c r="E21" s="10"/>
      <c r="F21" s="10"/>
      <c r="G21" s="10"/>
      <c r="H21" s="10"/>
    </row>
    <row r="22" ht="21" customHeight="1" spans="1:8">
      <c r="A22" s="10"/>
      <c r="B22" s="10"/>
      <c r="C22" s="10"/>
      <c r="D22" s="10"/>
      <c r="E22" s="10"/>
      <c r="F22" s="10"/>
      <c r="G22" s="10"/>
      <c r="H22" s="10"/>
    </row>
    <row r="23" ht="21" customHeight="1" spans="1:8">
      <c r="A23" s="10"/>
      <c r="B23" s="10"/>
      <c r="C23" s="10"/>
      <c r="D23" s="10"/>
      <c r="E23" s="10"/>
      <c r="F23" s="10"/>
      <c r="G23" s="10"/>
      <c r="H23" s="10"/>
    </row>
    <row r="24" ht="21" customHeight="1" spans="1:8">
      <c r="A24" s="10"/>
      <c r="B24" s="10"/>
      <c r="C24" s="10"/>
      <c r="D24" s="10"/>
      <c r="E24" s="10"/>
      <c r="F24" s="10"/>
      <c r="G24" s="10"/>
      <c r="H24" s="10"/>
    </row>
    <row r="25" ht="21" customHeight="1" spans="1:8">
      <c r="A25" s="10"/>
      <c r="B25" s="10"/>
      <c r="C25" s="10"/>
      <c r="D25" s="10"/>
      <c r="E25" s="10"/>
      <c r="F25" s="10"/>
      <c r="G25" s="10"/>
      <c r="H25" s="10"/>
    </row>
    <row r="26" ht="21" customHeight="1" spans="1:8">
      <c r="A26" s="10"/>
      <c r="B26" s="10"/>
      <c r="C26" s="10"/>
      <c r="D26" s="10"/>
      <c r="E26" s="10"/>
      <c r="F26" s="10"/>
      <c r="G26" s="10"/>
      <c r="H26" s="10"/>
    </row>
    <row r="27" ht="21" customHeight="1" spans="1:8">
      <c r="A27" s="10"/>
      <c r="B27" s="10"/>
      <c r="C27" s="10"/>
      <c r="D27" s="10"/>
      <c r="E27" s="10"/>
      <c r="F27" s="10"/>
      <c r="G27" s="10"/>
      <c r="H27" s="10"/>
    </row>
    <row r="28" ht="21" customHeight="1" spans="1:8">
      <c r="A28" s="10"/>
      <c r="B28" s="10"/>
      <c r="C28" s="10"/>
      <c r="D28" s="10"/>
      <c r="E28" s="10"/>
      <c r="F28" s="10"/>
      <c r="G28" s="10"/>
      <c r="H28" s="10"/>
    </row>
    <row r="29" ht="21" customHeight="1" spans="1:8">
      <c r="A29" s="10"/>
      <c r="B29" s="10"/>
      <c r="C29" s="10"/>
      <c r="D29" s="10"/>
      <c r="E29" s="10"/>
      <c r="F29" s="10"/>
      <c r="G29" s="10"/>
      <c r="H29" s="10"/>
    </row>
    <row r="30" ht="21" customHeight="1" spans="1:8">
      <c r="A30" s="10"/>
      <c r="B30" s="10"/>
      <c r="C30" s="10"/>
      <c r="D30" s="10"/>
      <c r="E30" s="10"/>
      <c r="F30" s="10"/>
      <c r="G30" s="10"/>
      <c r="H30" s="10"/>
    </row>
    <row r="31" ht="21" customHeight="1" spans="1:8">
      <c r="A31" s="10"/>
      <c r="B31" s="10"/>
      <c r="C31" s="10"/>
      <c r="D31" s="10"/>
      <c r="E31" s="10"/>
      <c r="F31" s="10"/>
      <c r="G31" s="10"/>
      <c r="H31" s="10"/>
    </row>
    <row r="32" ht="21" customHeight="1" spans="1:8">
      <c r="A32" s="10"/>
      <c r="B32" s="10"/>
      <c r="C32" s="10"/>
      <c r="D32" s="10"/>
      <c r="E32" s="10"/>
      <c r="F32" s="10"/>
      <c r="G32" s="10"/>
      <c r="H32" s="10"/>
    </row>
    <row r="33" ht="21" customHeight="1" spans="1:8">
      <c r="A33" s="10"/>
      <c r="B33" s="10"/>
      <c r="C33" s="10"/>
      <c r="D33" s="10"/>
      <c r="E33" s="10"/>
      <c r="F33" s="10"/>
      <c r="G33" s="10"/>
      <c r="H33" s="10"/>
    </row>
    <row r="34" ht="21" customHeight="1" spans="1:8">
      <c r="A34" s="10"/>
      <c r="B34" s="10"/>
      <c r="C34" s="10"/>
      <c r="D34" s="10"/>
      <c r="E34" s="10"/>
      <c r="F34" s="10"/>
      <c r="G34" s="10"/>
      <c r="H34" s="10"/>
    </row>
    <row r="35" ht="21" customHeight="1" spans="1:8">
      <c r="A35" s="10"/>
      <c r="B35" s="10"/>
      <c r="C35" s="10"/>
      <c r="D35" s="10"/>
      <c r="E35" s="10"/>
      <c r="F35" s="10"/>
      <c r="G35" s="10"/>
      <c r="H35" s="10"/>
    </row>
  </sheetData>
  <mergeCells count="12">
    <mergeCell ref="B1:H1"/>
    <mergeCell ref="B2:C2"/>
    <mergeCell ref="D2:D3"/>
    <mergeCell ref="D4:D6"/>
    <mergeCell ref="E2:E3"/>
    <mergeCell ref="F2:F3"/>
    <mergeCell ref="G2:G3"/>
    <mergeCell ref="H2:H3"/>
    <mergeCell ref="I2:I3"/>
    <mergeCell ref="I4:I6"/>
    <mergeCell ref="J2:J3"/>
    <mergeCell ref="J4:J6"/>
  </mergeCells>
  <pageMargins left="0.751388888888889" right="0.751388888888889" top="0.629861111111111" bottom="0.629861111111111" header="0.5" footer="0.275"/>
  <pageSetup paperSize="9" orientation="portrait" horizontalDpi="600"/>
  <headerFooter>
    <oddFooter>&amp;L制表人：付立书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F47" sqref="F47"/>
    </sheetView>
  </sheetViews>
  <sheetFormatPr defaultColWidth="9" defaultRowHeight="13.5"/>
  <cols>
    <col min="1" max="1" width="5.50833333333333" customWidth="1"/>
    <col min="2" max="2" width="4.375" customWidth="1"/>
    <col min="3" max="3" width="4.75" customWidth="1"/>
    <col min="4" max="4" width="24.75" customWidth="1"/>
    <col min="5" max="8" width="12.25" customWidth="1"/>
    <col min="9" max="9" width="13.875" customWidth="1"/>
    <col min="10" max="10" width="13.375" customWidth="1"/>
    <col min="11" max="11" width="14.0666666666667" customWidth="1"/>
  </cols>
  <sheetData>
    <row r="1" ht="33" customHeight="1" spans="1:13">
      <c r="B1" s="47" t="s">
        <v>117</v>
      </c>
      <c r="C1" s="47"/>
      <c r="D1" s="47"/>
      <c r="E1" s="47"/>
      <c r="F1" s="47"/>
      <c r="G1" s="47"/>
      <c r="H1" s="47"/>
      <c r="I1" s="47"/>
      <c r="J1" s="47"/>
      <c r="K1" s="47"/>
    </row>
    <row r="2" s="1" customFormat="1" ht="21" customHeight="1" spans="1:13">
      <c r="A2" s="4"/>
      <c r="B2" s="66"/>
      <c r="C2" s="66"/>
      <c r="D2" s="4" t="s">
        <v>2</v>
      </c>
      <c r="E2" s="4" t="s">
        <v>113</v>
      </c>
      <c r="F2" s="86" t="s">
        <v>42</v>
      </c>
      <c r="G2" s="4"/>
      <c r="H2" s="4"/>
      <c r="I2" s="4" t="s">
        <v>114</v>
      </c>
      <c r="J2" s="4" t="s">
        <v>46</v>
      </c>
      <c r="K2" s="4" t="s">
        <v>47</v>
      </c>
    </row>
    <row r="3" s="1" customFormat="1" ht="21" customHeight="1" spans="1:13">
      <c r="A3" s="4"/>
      <c r="B3" s="4" t="s">
        <v>96</v>
      </c>
      <c r="C3" s="4" t="s">
        <v>97</v>
      </c>
      <c r="D3" s="4"/>
      <c r="E3" s="4"/>
      <c r="F3" s="87"/>
      <c r="G3" s="4"/>
      <c r="H3" s="4"/>
      <c r="I3" s="4"/>
      <c r="J3" s="4"/>
      <c r="K3" s="4"/>
    </row>
    <row r="4" s="1" customFormat="1" ht="21" customHeight="1" spans="1:13">
      <c r="A4" s="4">
        <v>2022</v>
      </c>
      <c r="B4" s="4">
        <v>10</v>
      </c>
      <c r="C4" s="4">
        <v>23</v>
      </c>
      <c r="D4" s="4" t="s">
        <v>118</v>
      </c>
      <c r="E4" s="4">
        <v>100</v>
      </c>
      <c r="F4" s="4">
        <v>3500</v>
      </c>
      <c r="G4" s="4"/>
      <c r="H4" s="4"/>
      <c r="I4" s="4"/>
      <c r="J4" s="4"/>
      <c r="K4" s="4">
        <f>E4</f>
        <v>100</v>
      </c>
      <c r="L4" s="1">
        <v>3500</v>
      </c>
      <c r="M4" s="1">
        <v>35</v>
      </c>
    </row>
    <row r="5" s="1" customFormat="1" ht="21" customHeight="1" spans="1:13">
      <c r="A5" s="4">
        <v>2025</v>
      </c>
      <c r="B5" s="4">
        <v>2</v>
      </c>
      <c r="C5" s="4">
        <v>26</v>
      </c>
      <c r="D5" s="4" t="s">
        <v>116</v>
      </c>
      <c r="E5" s="4">
        <v>100</v>
      </c>
      <c r="F5" s="4">
        <v>2250</v>
      </c>
      <c r="G5" s="4"/>
      <c r="H5" s="4"/>
      <c r="I5" s="4"/>
      <c r="J5" s="4"/>
      <c r="K5" s="4"/>
      <c r="L5" s="1">
        <v>2250</v>
      </c>
    </row>
    <row r="6" s="1" customFormat="1" ht="21" customHeight="1" spans="1:13">
      <c r="A6" s="4">
        <v>2025</v>
      </c>
      <c r="B6" s="4">
        <v>10</v>
      </c>
      <c r="C6" s="4">
        <v>29</v>
      </c>
      <c r="D6" s="4" t="s">
        <v>110</v>
      </c>
      <c r="E6" s="4">
        <v>80</v>
      </c>
      <c r="F6" s="4">
        <f>E6*25</f>
        <v>2000</v>
      </c>
      <c r="G6" s="4"/>
      <c r="H6" s="4"/>
      <c r="I6" s="4"/>
      <c r="J6" s="4"/>
      <c r="K6" s="4"/>
    </row>
    <row r="7" s="1" customFormat="1" ht="21" customHeight="1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="1" customFormat="1" ht="21" customHeight="1" spans="1:13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="1" customFormat="1" ht="21" customHeight="1" spans="1:13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="1" customFormat="1" ht="21" customHeight="1" spans="1:1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="1" customFormat="1" ht="21" customHeight="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="1" customFormat="1" ht="21" customHeight="1" spans="1:1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="1" customFormat="1" ht="21" customHeight="1" spans="1: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="1" customFormat="1" ht="21" customHeight="1" spans="1:1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="1" customFormat="1" ht="21" customHeight="1" spans="1:1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="1" customFormat="1" ht="21" customHeight="1" spans="1:1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21" customHeight="1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ht="21" customHeight="1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ht="21" customHeight="1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ht="21" customHeight="1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ht="21" customHeight="1" spans="1:1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ht="21" customHeight="1" spans="1:1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ht="21" customHeight="1" spans="1:1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ht="21" customHeight="1" spans="1:1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ht="21" customHeight="1" spans="1:1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ht="21" customHeight="1" spans="1:1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ht="21" customHeight="1" spans="1:1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ht="21" customHeight="1" spans="1:1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ht="21" customHeight="1" spans="1:1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ht="21" customHeight="1" spans="1:1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ht="21" customHeight="1" spans="1:1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ht="21" customHeight="1" spans="1:1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ht="21" customHeight="1" spans="1:1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ht="21" customHeight="1" spans="1:1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ht="21" customHeight="1" spans="1:1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</sheetData>
  <mergeCells count="9">
    <mergeCell ref="B1:K1"/>
    <mergeCell ref="B2:C2"/>
    <mergeCell ref="D2:D3"/>
    <mergeCell ref="E2:E3"/>
    <mergeCell ref="F2:F3"/>
    <mergeCell ref="I2:I3"/>
    <mergeCell ref="J2:J3"/>
    <mergeCell ref="K2:K3"/>
    <mergeCell ref="L2:L3"/>
  </mergeCells>
  <pageMargins left="0.751388888888889" right="0.751388888888889" top="0.590277777777778" bottom="0.550694444444444" header="0.5" footer="0.354166666666667"/>
  <pageSetup paperSize="9" orientation="portrait" horizontalDpi="600"/>
  <headerFooter>
    <oddFooter>&amp;L制表人;付立书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tabSelected="1" topLeftCell="A126" workbookViewId="0">
      <selection activeCell="M144" sqref="M144"/>
    </sheetView>
  </sheetViews>
  <sheetFormatPr defaultColWidth="9" defaultRowHeight="13.5"/>
  <cols>
    <col min="1" max="2" width="4.375" style="1" customWidth="1"/>
    <col min="3" max="3" width="4.75" style="1" customWidth="1"/>
    <col min="4" max="4" width="11.625" style="1" customWidth="1"/>
    <col min="5" max="6" width="24.75" style="1" customWidth="1"/>
    <col min="7" max="7" width="15.375" style="1" customWidth="1"/>
    <col min="8" max="13" width="12.25" style="1" customWidth="1"/>
    <col min="14" max="14" width="13.875" style="1" customWidth="1"/>
    <col min="15" max="15" width="13.375" style="1" customWidth="1"/>
    <col min="16" max="16" width="14.0666666666667" style="1" customWidth="1"/>
    <col min="17" max="17" width="9" style="1"/>
    <col min="18" max="19" width="12.625" style="1"/>
    <col min="20" max="16384" width="9" style="1"/>
  </cols>
  <sheetData>
    <row r="1" ht="33" customHeight="1" spans="1:16">
      <c r="B1" s="91" t="s">
        <v>119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="1" customFormat="1" ht="21" customHeight="1" spans="1:16">
      <c r="A2" s="66" t="s">
        <v>120</v>
      </c>
      <c r="B2" s="66"/>
      <c r="C2" s="66"/>
      <c r="D2" s="82" t="s">
        <v>1</v>
      </c>
      <c r="E2" s="4" t="s">
        <v>121</v>
      </c>
      <c r="F2" s="86" t="s">
        <v>11</v>
      </c>
      <c r="G2" s="4" t="s">
        <v>4</v>
      </c>
      <c r="H2" s="86" t="s">
        <v>40</v>
      </c>
      <c r="I2" s="86" t="s">
        <v>41</v>
      </c>
      <c r="J2" s="86" t="s">
        <v>122</v>
      </c>
      <c r="K2" s="86" t="s">
        <v>42</v>
      </c>
      <c r="L2" s="86"/>
      <c r="M2" s="86"/>
      <c r="N2" s="4" t="s">
        <v>123</v>
      </c>
      <c r="O2" s="4" t="s">
        <v>46</v>
      </c>
      <c r="P2" s="4" t="s">
        <v>47</v>
      </c>
    </row>
    <row r="3" s="1" customFormat="1" ht="21" customHeight="1" spans="1:16">
      <c r="A3" s="4" t="s">
        <v>95</v>
      </c>
      <c r="B3" s="4" t="s">
        <v>96</v>
      </c>
      <c r="C3" s="4" t="s">
        <v>97</v>
      </c>
      <c r="D3" s="92"/>
      <c r="E3" s="4"/>
      <c r="F3" s="87"/>
      <c r="G3" s="4"/>
      <c r="H3" s="87"/>
      <c r="I3" s="87"/>
      <c r="J3" s="87"/>
      <c r="K3" s="87"/>
      <c r="L3" s="87"/>
      <c r="M3" s="87"/>
      <c r="N3" s="4"/>
      <c r="O3" s="4"/>
      <c r="P3" s="4"/>
    </row>
    <row r="4" s="1" customFormat="1" ht="21" hidden="1" customHeight="1" spans="1:16">
      <c r="A4" s="4">
        <v>22</v>
      </c>
      <c r="B4" s="4">
        <v>9</v>
      </c>
      <c r="C4" s="4">
        <v>21</v>
      </c>
      <c r="D4" s="93">
        <v>44825</v>
      </c>
      <c r="E4" s="4" t="s">
        <v>124</v>
      </c>
      <c r="F4" s="4"/>
      <c r="G4" s="4">
        <v>11000</v>
      </c>
      <c r="H4" s="4"/>
      <c r="I4" s="4"/>
      <c r="J4" s="4"/>
      <c r="K4" s="4">
        <v>31900</v>
      </c>
      <c r="L4" s="4"/>
      <c r="M4" s="4"/>
      <c r="N4" s="4"/>
      <c r="O4" s="4"/>
      <c r="P4" s="4"/>
    </row>
    <row r="5" s="1" customFormat="1" ht="21" hidden="1" customHeight="1" spans="1:16">
      <c r="A5" s="4">
        <v>22</v>
      </c>
      <c r="B5" s="4">
        <v>9</v>
      </c>
      <c r="C5" s="4">
        <v>28</v>
      </c>
      <c r="D5" s="93">
        <v>44832</v>
      </c>
      <c r="E5" s="4" t="s">
        <v>124</v>
      </c>
      <c r="F5" s="4"/>
      <c r="G5" s="4">
        <v>17600</v>
      </c>
      <c r="H5" s="4"/>
      <c r="I5" s="4"/>
      <c r="J5" s="4"/>
      <c r="K5" s="4">
        <v>51040</v>
      </c>
      <c r="L5" s="4"/>
      <c r="M5" s="4"/>
      <c r="N5" s="4"/>
      <c r="O5" s="4"/>
      <c r="P5" s="4"/>
    </row>
    <row r="6" s="1" customFormat="1" ht="21" hidden="1" customHeight="1" spans="1:16">
      <c r="A6" s="4">
        <v>22</v>
      </c>
      <c r="B6" s="4">
        <v>10</v>
      </c>
      <c r="C6" s="4">
        <v>10</v>
      </c>
      <c r="D6" s="93">
        <v>44844</v>
      </c>
      <c r="E6" s="4" t="s">
        <v>99</v>
      </c>
      <c r="F6" s="4"/>
      <c r="G6" s="4">
        <v>22000</v>
      </c>
      <c r="H6" s="4"/>
      <c r="I6" s="4"/>
      <c r="J6" s="4"/>
      <c r="K6" s="4">
        <v>63800</v>
      </c>
      <c r="L6" s="4"/>
      <c r="M6" s="4"/>
      <c r="N6" s="4"/>
      <c r="O6" s="4"/>
      <c r="P6" s="4"/>
    </row>
    <row r="7" s="1" customFormat="1" ht="21" hidden="1" customHeight="1" spans="1:16">
      <c r="A7" s="4">
        <v>22</v>
      </c>
      <c r="B7" s="4">
        <v>10</v>
      </c>
      <c r="C7" s="4">
        <v>28</v>
      </c>
      <c r="E7" s="1" t="s">
        <v>99</v>
      </c>
      <c r="G7" s="4">
        <v>17600</v>
      </c>
      <c r="H7" s="4"/>
      <c r="I7" s="4"/>
      <c r="J7" s="4"/>
      <c r="K7" s="4">
        <v>51040</v>
      </c>
      <c r="L7" s="4"/>
      <c r="M7" s="4"/>
      <c r="N7" s="4"/>
      <c r="O7" s="4"/>
      <c r="P7" s="4"/>
    </row>
    <row r="8" s="1" customFormat="1" ht="21" hidden="1" customHeight="1" spans="1:16">
      <c r="A8" s="4">
        <v>22</v>
      </c>
      <c r="B8" s="4">
        <v>11</v>
      </c>
      <c r="C8" s="4">
        <v>16</v>
      </c>
      <c r="D8" s="4"/>
      <c r="E8" s="4" t="s">
        <v>100</v>
      </c>
      <c r="F8" s="4"/>
      <c r="G8" s="4">
        <v>22000</v>
      </c>
      <c r="H8" s="4"/>
      <c r="I8" s="4"/>
      <c r="J8" s="4"/>
      <c r="K8" s="4">
        <v>70400</v>
      </c>
      <c r="L8" s="4"/>
      <c r="M8" s="4"/>
      <c r="N8" s="4"/>
      <c r="O8" s="4"/>
      <c r="P8" s="4"/>
    </row>
    <row r="9" s="1" customFormat="1" ht="21" hidden="1" customHeight="1" spans="1:16">
      <c r="A9" s="4">
        <v>22</v>
      </c>
      <c r="B9" s="4">
        <v>11</v>
      </c>
      <c r="C9" s="4">
        <v>28</v>
      </c>
      <c r="D9" s="4"/>
      <c r="E9" s="4" t="s">
        <v>125</v>
      </c>
      <c r="F9" s="4"/>
      <c r="G9" s="4">
        <v>19800</v>
      </c>
      <c r="H9" s="4"/>
      <c r="I9" s="4"/>
      <c r="J9" s="4"/>
      <c r="K9" s="4">
        <v>77980</v>
      </c>
      <c r="L9" s="4"/>
      <c r="M9" s="4"/>
      <c r="N9" s="4"/>
      <c r="O9" s="4"/>
      <c r="P9" s="4"/>
    </row>
    <row r="10" s="1" customFormat="1" ht="21" hidden="1" customHeight="1" spans="1:16">
      <c r="A10" s="4">
        <v>22</v>
      </c>
      <c r="B10" s="4">
        <v>12</v>
      </c>
      <c r="C10" s="4">
        <v>14</v>
      </c>
      <c r="D10" s="4"/>
      <c r="E10" s="4" t="s">
        <v>100</v>
      </c>
      <c r="F10" s="4"/>
      <c r="G10" s="4">
        <v>15000</v>
      </c>
      <c r="H10" s="4"/>
      <c r="I10" s="4"/>
      <c r="J10" s="4"/>
      <c r="K10" s="4">
        <v>48000</v>
      </c>
      <c r="L10" s="4"/>
      <c r="M10" s="4"/>
      <c r="N10" s="4"/>
      <c r="O10" s="4"/>
      <c r="P10" s="4"/>
    </row>
    <row r="11" s="1" customFormat="1" ht="21" hidden="1" customHeight="1" spans="1:16">
      <c r="A11" s="4">
        <v>23</v>
      </c>
      <c r="B11" s="4">
        <v>1</v>
      </c>
      <c r="C11" s="4">
        <v>5</v>
      </c>
      <c r="E11" s="1" t="s">
        <v>101</v>
      </c>
      <c r="G11" s="4">
        <v>27500</v>
      </c>
      <c r="H11" s="4"/>
      <c r="I11" s="4"/>
      <c r="J11" s="4"/>
      <c r="K11" s="4">
        <v>86625</v>
      </c>
      <c r="L11" s="4"/>
      <c r="M11" s="4"/>
      <c r="N11" s="4"/>
      <c r="O11" s="4"/>
      <c r="P11" s="4"/>
    </row>
    <row r="12" s="1" customFormat="1" ht="21" hidden="1" customHeight="1" spans="1:16">
      <c r="A12" s="4">
        <v>23</v>
      </c>
      <c r="B12" s="4">
        <v>1</v>
      </c>
      <c r="C12" s="4">
        <v>8</v>
      </c>
      <c r="D12" s="4"/>
      <c r="E12" s="4" t="s">
        <v>126</v>
      </c>
      <c r="F12" s="4"/>
      <c r="G12" s="4">
        <v>22000</v>
      </c>
      <c r="H12" s="4"/>
      <c r="I12" s="4"/>
      <c r="J12" s="4"/>
      <c r="K12" s="4">
        <v>70400</v>
      </c>
      <c r="L12" s="4"/>
      <c r="M12" s="4"/>
      <c r="N12" s="4"/>
      <c r="O12" s="4"/>
      <c r="P12" s="4"/>
    </row>
    <row r="13" s="1" customFormat="1" ht="21" hidden="1" customHeight="1" spans="1:16">
      <c r="A13" s="94">
        <v>23</v>
      </c>
      <c r="B13" s="94">
        <v>1</v>
      </c>
      <c r="C13" s="94">
        <v>11</v>
      </c>
      <c r="D13" s="94"/>
      <c r="E13" s="94" t="s">
        <v>126</v>
      </c>
      <c r="F13" s="94"/>
      <c r="G13" s="94">
        <v>22000</v>
      </c>
      <c r="H13" s="94"/>
      <c r="I13" s="94"/>
      <c r="J13" s="94"/>
      <c r="K13" s="94">
        <v>70400</v>
      </c>
      <c r="L13" s="94"/>
      <c r="M13" s="4"/>
      <c r="N13" s="4"/>
      <c r="O13" s="4"/>
      <c r="P13" s="4"/>
    </row>
    <row r="14" s="1" customFormat="1" ht="21" hidden="1" customHeight="1" spans="1:16">
      <c r="A14" s="4">
        <v>23</v>
      </c>
      <c r="B14" s="4">
        <v>3</v>
      </c>
      <c r="C14" s="4">
        <v>6</v>
      </c>
      <c r="D14" s="4"/>
      <c r="E14" s="4" t="s">
        <v>127</v>
      </c>
      <c r="F14" s="4"/>
      <c r="G14" s="4">
        <v>22000</v>
      </c>
      <c r="H14" s="4"/>
      <c r="I14" s="4"/>
      <c r="J14" s="4"/>
      <c r="K14" s="4">
        <v>72600</v>
      </c>
      <c r="L14" s="4"/>
      <c r="M14" s="4"/>
      <c r="N14" s="4"/>
      <c r="O14" s="4"/>
      <c r="P14" s="4"/>
    </row>
    <row r="15" s="1" customFormat="1" ht="21" hidden="1" customHeight="1" spans="1:16">
      <c r="A15" s="4">
        <v>23</v>
      </c>
      <c r="B15" s="4">
        <v>3</v>
      </c>
      <c r="C15" s="4">
        <v>18</v>
      </c>
      <c r="E15" s="1" t="s">
        <v>102</v>
      </c>
      <c r="G15" s="4">
        <v>22000</v>
      </c>
      <c r="H15" s="4"/>
      <c r="I15" s="4"/>
      <c r="J15" s="4"/>
      <c r="K15" s="4">
        <v>72600</v>
      </c>
      <c r="L15" s="4"/>
      <c r="M15" s="4"/>
      <c r="N15" s="4"/>
      <c r="O15" s="4"/>
      <c r="P15" s="4"/>
    </row>
    <row r="16" s="1" customFormat="1" ht="21" hidden="1" customHeight="1" spans="1:16">
      <c r="A16" s="4">
        <v>23</v>
      </c>
      <c r="B16" s="4">
        <v>4</v>
      </c>
      <c r="C16" s="4">
        <v>4</v>
      </c>
      <c r="D16" s="4"/>
      <c r="E16" s="4" t="s">
        <v>102</v>
      </c>
      <c r="F16" s="4"/>
      <c r="G16" s="4">
        <v>22000</v>
      </c>
      <c r="H16" s="4"/>
      <c r="I16" s="4"/>
      <c r="J16" s="4"/>
      <c r="K16" s="4">
        <v>72600</v>
      </c>
      <c r="L16" s="4"/>
      <c r="M16" s="4"/>
      <c r="N16" s="4"/>
      <c r="O16" s="4"/>
      <c r="P16" s="4"/>
    </row>
    <row r="17" s="1" customFormat="1" ht="21" hidden="1" customHeight="1" spans="1:16">
      <c r="A17" s="4">
        <v>23</v>
      </c>
      <c r="B17" s="4">
        <v>4</v>
      </c>
      <c r="C17" s="4">
        <v>27</v>
      </c>
      <c r="D17" s="4"/>
      <c r="E17" s="4" t="s">
        <v>102</v>
      </c>
      <c r="F17" s="4"/>
      <c r="G17" s="4">
        <v>17000</v>
      </c>
      <c r="H17" s="4"/>
      <c r="I17" s="4"/>
      <c r="J17" s="4"/>
      <c r="K17" s="4">
        <v>57800</v>
      </c>
      <c r="L17" s="4"/>
      <c r="M17" s="4"/>
      <c r="N17" s="4"/>
      <c r="O17" s="4"/>
      <c r="P17" s="4"/>
    </row>
    <row r="18" s="1" customFormat="1" ht="21" hidden="1" customHeight="1" spans="1:16">
      <c r="A18" s="4">
        <v>23</v>
      </c>
      <c r="B18" s="4">
        <v>5</v>
      </c>
      <c r="C18" s="4">
        <v>5</v>
      </c>
      <c r="D18" s="4"/>
      <c r="E18" s="4" t="s">
        <v>102</v>
      </c>
      <c r="F18" s="4"/>
      <c r="G18" s="4">
        <v>22000</v>
      </c>
      <c r="H18" s="4"/>
      <c r="I18" s="4"/>
      <c r="J18" s="4"/>
      <c r="K18" s="4">
        <v>72600</v>
      </c>
      <c r="L18" s="4"/>
      <c r="M18" s="4"/>
      <c r="N18" s="4"/>
      <c r="O18" s="4"/>
      <c r="P18" s="4"/>
    </row>
    <row r="19" s="1" customFormat="1" ht="21" hidden="1" customHeight="1" spans="1:16">
      <c r="A19" s="4">
        <v>23</v>
      </c>
      <c r="B19" s="4">
        <v>6</v>
      </c>
      <c r="C19" s="4">
        <v>1</v>
      </c>
      <c r="D19" s="4"/>
      <c r="E19" s="4" t="s">
        <v>128</v>
      </c>
      <c r="F19" s="4"/>
      <c r="G19" s="4">
        <v>22000</v>
      </c>
      <c r="H19" s="4"/>
      <c r="I19" s="4"/>
      <c r="J19" s="4"/>
      <c r="K19" s="4">
        <v>70000</v>
      </c>
      <c r="L19" s="4"/>
      <c r="M19" s="4"/>
      <c r="N19" s="4"/>
      <c r="O19" s="4"/>
      <c r="P19" s="4"/>
    </row>
    <row r="20" s="1" customFormat="1" ht="21" hidden="1" customHeight="1" spans="1:16">
      <c r="A20" s="4">
        <v>23</v>
      </c>
      <c r="B20" s="4">
        <v>6</v>
      </c>
      <c r="C20" s="4">
        <v>11</v>
      </c>
      <c r="D20" s="4"/>
      <c r="E20" s="4" t="s">
        <v>128</v>
      </c>
      <c r="F20" s="4"/>
      <c r="G20" s="4">
        <v>22000</v>
      </c>
      <c r="H20" s="4"/>
      <c r="I20" s="4"/>
      <c r="J20" s="4"/>
      <c r="K20" s="4">
        <v>70000</v>
      </c>
      <c r="L20" s="4"/>
      <c r="M20" s="4"/>
      <c r="N20" s="4"/>
      <c r="O20" s="4"/>
      <c r="P20" s="4">
        <v>11000</v>
      </c>
    </row>
    <row r="21" s="1" customFormat="1" ht="21" hidden="1" customHeight="1" spans="1:16">
      <c r="A21" s="4">
        <v>23</v>
      </c>
      <c r="B21" s="4">
        <v>7</v>
      </c>
      <c r="C21" s="4">
        <v>5</v>
      </c>
      <c r="D21" s="4"/>
      <c r="E21" s="4" t="s">
        <v>129</v>
      </c>
      <c r="F21" s="4"/>
      <c r="G21" s="4">
        <v>22000</v>
      </c>
      <c r="H21" s="4"/>
      <c r="I21" s="4"/>
      <c r="J21" s="4"/>
      <c r="K21" s="4">
        <v>70000</v>
      </c>
      <c r="L21" s="4"/>
      <c r="M21" s="4"/>
      <c r="O21" s="4"/>
      <c r="P21" s="4">
        <f t="shared" ref="P21:P27" si="0">P20+G21-N21</f>
        <v>33000</v>
      </c>
    </row>
    <row r="22" s="1" customFormat="1" ht="21" hidden="1" customHeight="1" spans="1:16">
      <c r="A22" s="4">
        <v>23</v>
      </c>
      <c r="B22" s="4">
        <v>7</v>
      </c>
      <c r="C22" s="4">
        <v>6</v>
      </c>
      <c r="D22" s="4"/>
      <c r="E22" s="4" t="s">
        <v>129</v>
      </c>
      <c r="F22" s="4"/>
      <c r="G22" s="4">
        <v>22000</v>
      </c>
      <c r="H22" s="4"/>
      <c r="I22" s="4"/>
      <c r="J22" s="4"/>
      <c r="K22" s="4">
        <v>70000</v>
      </c>
      <c r="L22" s="4"/>
      <c r="M22" s="4"/>
      <c r="N22" s="4"/>
      <c r="O22" s="4"/>
      <c r="P22" s="4">
        <f t="shared" si="0"/>
        <v>55000</v>
      </c>
    </row>
    <row r="23" s="1" customFormat="1" ht="21" hidden="1" customHeight="1" spans="1:16">
      <c r="A23" s="94">
        <v>23</v>
      </c>
      <c r="B23" s="94">
        <v>7</v>
      </c>
      <c r="C23" s="94">
        <v>23</v>
      </c>
      <c r="D23" s="94"/>
      <c r="E23" s="94" t="s">
        <v>103</v>
      </c>
      <c r="F23" s="94"/>
      <c r="G23" s="94">
        <v>22000</v>
      </c>
      <c r="H23" s="94"/>
      <c r="I23" s="94"/>
      <c r="J23" s="94"/>
      <c r="K23" s="94">
        <v>70000</v>
      </c>
      <c r="L23" s="94"/>
      <c r="M23" s="4"/>
      <c r="N23" s="4"/>
      <c r="O23" s="4"/>
      <c r="P23" s="4">
        <f t="shared" si="0"/>
        <v>77000</v>
      </c>
    </row>
    <row r="24" s="1" customFormat="1" ht="21" hidden="1" customHeight="1" spans="1:16">
      <c r="A24" s="94">
        <v>23</v>
      </c>
      <c r="B24" s="94">
        <v>7</v>
      </c>
      <c r="C24" s="94">
        <v>25</v>
      </c>
      <c r="D24" s="94"/>
      <c r="E24" s="94" t="s">
        <v>103</v>
      </c>
      <c r="F24" s="94"/>
      <c r="G24" s="94">
        <v>22000</v>
      </c>
      <c r="H24" s="94"/>
      <c r="I24" s="94"/>
      <c r="J24" s="94"/>
      <c r="K24" s="94">
        <v>70000</v>
      </c>
      <c r="L24" s="94"/>
      <c r="M24" s="4"/>
      <c r="N24" s="4">
        <f>11000+16500+11000+11000+11000+11000+11000</f>
        <v>82500</v>
      </c>
      <c r="O24" s="4"/>
      <c r="P24" s="4">
        <f t="shared" ref="P24:P33" si="1">P23+G24-N24</f>
        <v>16500</v>
      </c>
    </row>
    <row r="25" s="1" customFormat="1" ht="21" hidden="1" customHeight="1" spans="1:16">
      <c r="A25" s="94">
        <v>23</v>
      </c>
      <c r="B25" s="94">
        <v>8</v>
      </c>
      <c r="C25" s="94">
        <v>8</v>
      </c>
      <c r="D25" s="94"/>
      <c r="E25" s="94" t="s">
        <v>130</v>
      </c>
      <c r="F25" s="94"/>
      <c r="G25" s="94">
        <v>22000</v>
      </c>
      <c r="H25" s="94"/>
      <c r="I25" s="94"/>
      <c r="J25" s="94"/>
      <c r="K25" s="94">
        <v>70000</v>
      </c>
      <c r="L25" s="94"/>
      <c r="M25" s="4"/>
      <c r="N25" s="4"/>
      <c r="O25" s="4"/>
      <c r="P25" s="4">
        <f t="shared" si="1"/>
        <v>38500</v>
      </c>
    </row>
    <row r="26" s="1" customFormat="1" ht="21" hidden="1" customHeight="1" spans="1:16">
      <c r="A26" s="94">
        <v>23</v>
      </c>
      <c r="B26" s="94">
        <v>8</v>
      </c>
      <c r="C26" s="94">
        <v>10</v>
      </c>
      <c r="D26" s="94"/>
      <c r="E26" s="94" t="s">
        <v>130</v>
      </c>
      <c r="F26" s="94"/>
      <c r="G26" s="94">
        <v>22000</v>
      </c>
      <c r="H26" s="94"/>
      <c r="I26" s="94"/>
      <c r="J26" s="94"/>
      <c r="K26" s="94">
        <v>70000</v>
      </c>
      <c r="L26" s="94"/>
      <c r="M26" s="31"/>
      <c r="N26" s="4">
        <f>5500+16500+11000</f>
        <v>33000</v>
      </c>
      <c r="O26" s="4"/>
      <c r="P26" s="4">
        <f t="shared" si="1"/>
        <v>27500</v>
      </c>
    </row>
    <row r="27" s="1" customFormat="1" ht="21" hidden="1" customHeight="1" spans="1:16">
      <c r="A27" s="94">
        <v>23</v>
      </c>
      <c r="B27" s="94">
        <v>9</v>
      </c>
      <c r="C27" s="94">
        <v>3</v>
      </c>
      <c r="D27" s="94"/>
      <c r="E27" s="94" t="s">
        <v>131</v>
      </c>
      <c r="F27" s="94"/>
      <c r="G27" s="94">
        <v>22000</v>
      </c>
      <c r="H27" s="94"/>
      <c r="I27" s="94"/>
      <c r="J27" s="94"/>
      <c r="K27" s="94">
        <v>70000</v>
      </c>
      <c r="L27" s="94"/>
      <c r="M27" s="4"/>
      <c r="N27" s="4"/>
      <c r="O27" s="4"/>
      <c r="P27" s="4">
        <f t="shared" si="1"/>
        <v>49500</v>
      </c>
    </row>
    <row r="28" s="1" customFormat="1" ht="21" hidden="1" customHeight="1" spans="1:16">
      <c r="A28" s="94">
        <v>23</v>
      </c>
      <c r="B28" s="94">
        <v>9</v>
      </c>
      <c r="C28" s="94">
        <v>7</v>
      </c>
      <c r="D28" s="94"/>
      <c r="E28" s="94" t="s">
        <v>131</v>
      </c>
      <c r="F28" s="94"/>
      <c r="G28" s="94">
        <v>22000</v>
      </c>
      <c r="H28" s="94"/>
      <c r="I28" s="94"/>
      <c r="J28" s="94"/>
      <c r="K28" s="94">
        <v>70000</v>
      </c>
      <c r="L28" s="94"/>
      <c r="M28" s="4"/>
      <c r="N28" s="4"/>
      <c r="O28" s="4"/>
      <c r="P28" s="4">
        <f t="shared" si="1"/>
        <v>71500</v>
      </c>
    </row>
    <row r="29" s="1" customFormat="1" ht="21" hidden="1" customHeight="1" spans="1:16">
      <c r="A29" s="4">
        <v>23</v>
      </c>
      <c r="B29" s="31">
        <v>9</v>
      </c>
      <c r="C29" s="31">
        <v>29</v>
      </c>
      <c r="D29" s="31"/>
      <c r="E29" s="31" t="s">
        <v>104</v>
      </c>
      <c r="F29" s="31"/>
      <c r="G29" s="31">
        <v>22000</v>
      </c>
      <c r="H29" s="31"/>
      <c r="I29" s="31"/>
      <c r="J29" s="31"/>
      <c r="K29" s="4">
        <v>70000</v>
      </c>
      <c r="L29" s="4"/>
      <c r="M29" s="31"/>
      <c r="N29" s="31"/>
      <c r="O29" s="4"/>
      <c r="P29" s="4">
        <f t="shared" si="1"/>
        <v>93500</v>
      </c>
    </row>
    <row r="30" s="1" customFormat="1" ht="21" hidden="1" customHeight="1" spans="1:16">
      <c r="A30" s="4">
        <v>23</v>
      </c>
      <c r="B30" s="31">
        <v>9</v>
      </c>
      <c r="C30" s="31">
        <v>29</v>
      </c>
      <c r="D30" s="31"/>
      <c r="E30" s="31" t="s">
        <v>104</v>
      </c>
      <c r="F30" s="31"/>
      <c r="G30" s="31">
        <v>22000</v>
      </c>
      <c r="H30" s="31"/>
      <c r="I30" s="31"/>
      <c r="J30" s="31"/>
      <c r="K30" s="4">
        <v>70000</v>
      </c>
      <c r="L30" s="4"/>
      <c r="M30" s="31"/>
      <c r="N30" s="31"/>
      <c r="O30" s="4"/>
      <c r="P30" s="4">
        <f t="shared" si="1"/>
        <v>115500</v>
      </c>
    </row>
    <row r="31" s="1" customFormat="1" ht="21" hidden="1" customHeight="1" spans="1:16">
      <c r="A31" s="4">
        <v>23</v>
      </c>
      <c r="B31" s="31">
        <v>10</v>
      </c>
      <c r="C31" s="31">
        <v>27</v>
      </c>
      <c r="D31" s="31"/>
      <c r="E31" s="31" t="s">
        <v>104</v>
      </c>
      <c r="F31" s="31"/>
      <c r="G31" s="31">
        <v>22000</v>
      </c>
      <c r="H31" s="31"/>
      <c r="I31" s="31"/>
      <c r="J31" s="31"/>
      <c r="K31" s="4">
        <v>70000</v>
      </c>
      <c r="L31" s="4"/>
      <c r="M31" s="31"/>
      <c r="N31" s="31"/>
      <c r="O31" s="4"/>
      <c r="P31" s="4">
        <f t="shared" si="1"/>
        <v>137500</v>
      </c>
    </row>
    <row r="32" s="1" customFormat="1" ht="21" hidden="1" customHeight="1" spans="1:16">
      <c r="A32" s="4">
        <v>23</v>
      </c>
      <c r="B32" s="4">
        <v>10</v>
      </c>
      <c r="C32" s="4">
        <v>28</v>
      </c>
      <c r="D32" s="4"/>
      <c r="E32" s="31" t="s">
        <v>104</v>
      </c>
      <c r="F32" s="31"/>
      <c r="G32" s="4">
        <v>22000</v>
      </c>
      <c r="H32" s="4"/>
      <c r="I32" s="4"/>
      <c r="J32" s="4"/>
      <c r="K32" s="4">
        <v>70000</v>
      </c>
      <c r="L32" s="4"/>
      <c r="M32" s="4"/>
      <c r="N32" s="4"/>
      <c r="O32" s="4"/>
      <c r="P32" s="4">
        <f t="shared" si="1"/>
        <v>159500</v>
      </c>
    </row>
    <row r="33" ht="21" hidden="1" customHeight="1" spans="1:16">
      <c r="A33" s="4">
        <v>23</v>
      </c>
      <c r="B33" s="4">
        <v>11</v>
      </c>
      <c r="C33" s="4">
        <v>18</v>
      </c>
      <c r="D33" s="4"/>
      <c r="E33" s="31" t="s">
        <v>132</v>
      </c>
      <c r="F33" s="31"/>
      <c r="G33" s="4">
        <v>22000</v>
      </c>
      <c r="H33" s="4"/>
      <c r="I33" s="4"/>
      <c r="J33" s="4"/>
      <c r="K33" s="4">
        <v>70000</v>
      </c>
      <c r="L33" s="4"/>
      <c r="M33" s="4"/>
      <c r="N33" s="4"/>
      <c r="O33" s="4"/>
      <c r="P33" s="4">
        <f t="shared" si="1"/>
        <v>181500</v>
      </c>
    </row>
    <row r="34" ht="21" hidden="1" customHeight="1" spans="1:16">
      <c r="A34" s="4">
        <v>23</v>
      </c>
      <c r="B34" s="4">
        <v>11</v>
      </c>
      <c r="C34" s="4">
        <v>22</v>
      </c>
      <c r="D34" s="4"/>
      <c r="E34" s="31" t="s">
        <v>132</v>
      </c>
      <c r="F34" s="31"/>
      <c r="G34" s="4">
        <v>22000</v>
      </c>
      <c r="H34" s="4"/>
      <c r="I34" s="4"/>
      <c r="J34" s="4"/>
      <c r="K34" s="4">
        <v>70000</v>
      </c>
      <c r="L34" s="4"/>
      <c r="M34" s="4"/>
      <c r="N34" s="4"/>
      <c r="O34" s="4"/>
      <c r="P34" s="4"/>
    </row>
    <row r="35" ht="21" hidden="1" customHeight="1" spans="1:16">
      <c r="A35" s="4">
        <v>23</v>
      </c>
      <c r="B35" s="31">
        <v>12</v>
      </c>
      <c r="C35" s="31">
        <v>18</v>
      </c>
      <c r="D35" s="31"/>
      <c r="E35" s="31" t="s">
        <v>133</v>
      </c>
      <c r="F35" s="31"/>
      <c r="G35" s="31">
        <v>22000</v>
      </c>
      <c r="H35" s="31"/>
      <c r="I35" s="31"/>
      <c r="J35" s="31"/>
      <c r="K35" s="4">
        <v>70000</v>
      </c>
      <c r="L35" s="4"/>
      <c r="M35" s="4"/>
      <c r="N35" s="4"/>
      <c r="O35" s="4"/>
      <c r="P35" s="4"/>
    </row>
    <row r="36" ht="21" hidden="1" customHeight="1" spans="1:16">
      <c r="A36" s="4">
        <v>23</v>
      </c>
      <c r="B36" s="31">
        <v>12</v>
      </c>
      <c r="C36" s="31">
        <v>18</v>
      </c>
      <c r="D36" s="31"/>
      <c r="E36" s="31" t="s">
        <v>133</v>
      </c>
      <c r="F36" s="31"/>
      <c r="G36" s="31">
        <v>22000</v>
      </c>
      <c r="H36" s="31"/>
      <c r="I36" s="31"/>
      <c r="J36" s="31"/>
      <c r="K36" s="4">
        <v>70000</v>
      </c>
      <c r="L36" s="4"/>
      <c r="M36" s="4"/>
      <c r="N36" s="4"/>
      <c r="O36" s="4"/>
      <c r="P36" s="4"/>
    </row>
    <row r="37" ht="21" hidden="1" customHeight="1" spans="1:16">
      <c r="A37" s="4">
        <v>24</v>
      </c>
      <c r="B37" s="31">
        <v>1</v>
      </c>
      <c r="C37" s="31">
        <v>24</v>
      </c>
      <c r="D37" s="31"/>
      <c r="E37" s="31" t="s">
        <v>133</v>
      </c>
      <c r="F37" s="31"/>
      <c r="G37" s="31">
        <v>22000</v>
      </c>
      <c r="H37" s="31"/>
      <c r="I37" s="31"/>
      <c r="J37" s="31"/>
      <c r="K37" s="4">
        <v>70000</v>
      </c>
      <c r="L37" s="4"/>
      <c r="M37" s="4"/>
      <c r="N37" s="4"/>
      <c r="O37" s="4"/>
      <c r="P37" s="4"/>
    </row>
    <row r="38" ht="21" hidden="1" customHeight="1" spans="1:16">
      <c r="A38" s="95">
        <v>24</v>
      </c>
      <c r="B38" s="31">
        <v>1</v>
      </c>
      <c r="C38" s="31">
        <v>26</v>
      </c>
      <c r="D38" s="31"/>
      <c r="E38" s="31" t="s">
        <v>133</v>
      </c>
      <c r="F38" s="31"/>
      <c r="G38" s="31">
        <v>22000</v>
      </c>
      <c r="H38" s="31"/>
      <c r="I38" s="31"/>
      <c r="J38" s="31"/>
      <c r="K38" s="4">
        <v>70000</v>
      </c>
      <c r="L38" s="4"/>
      <c r="M38" s="4"/>
      <c r="N38" s="4"/>
      <c r="O38" s="4"/>
      <c r="P38" s="4"/>
    </row>
    <row r="39" ht="21" hidden="1" customHeight="1" spans="1:16">
      <c r="A39" s="4">
        <v>24</v>
      </c>
      <c r="B39" s="31">
        <v>1</v>
      </c>
      <c r="C39" s="31">
        <v>31</v>
      </c>
      <c r="D39" s="31"/>
      <c r="E39" s="31" t="s">
        <v>134</v>
      </c>
      <c r="F39" s="31"/>
      <c r="G39" s="31">
        <v>22000</v>
      </c>
      <c r="H39" s="31"/>
      <c r="I39" s="31"/>
      <c r="J39" s="31"/>
      <c r="K39" s="4">
        <v>70000</v>
      </c>
      <c r="L39" s="4"/>
      <c r="M39" s="4"/>
      <c r="N39" s="4"/>
      <c r="O39" s="4"/>
      <c r="P39" s="4"/>
    </row>
    <row r="40" ht="21" hidden="1" customHeight="1" spans="1:16">
      <c r="A40" s="4">
        <v>24</v>
      </c>
      <c r="B40" s="31">
        <v>1</v>
      </c>
      <c r="C40" s="31">
        <v>31</v>
      </c>
      <c r="D40" s="31"/>
      <c r="E40" s="31" t="s">
        <v>134</v>
      </c>
      <c r="F40" s="31"/>
      <c r="G40" s="31">
        <v>22000</v>
      </c>
      <c r="H40" s="31"/>
      <c r="I40" s="31"/>
      <c r="J40" s="31"/>
      <c r="K40" s="4">
        <v>70000</v>
      </c>
      <c r="L40" s="4"/>
      <c r="M40" s="4"/>
      <c r="N40" s="4"/>
      <c r="O40" s="4"/>
      <c r="P40" s="4"/>
    </row>
    <row r="41" ht="21" hidden="1" customHeight="1" spans="1:16">
      <c r="A41" s="4">
        <v>24</v>
      </c>
      <c r="B41" s="31">
        <v>3</v>
      </c>
      <c r="C41" s="31">
        <v>19</v>
      </c>
      <c r="D41" s="31"/>
      <c r="E41" s="31" t="s">
        <v>135</v>
      </c>
      <c r="F41" s="31"/>
      <c r="G41" s="31">
        <v>22000</v>
      </c>
      <c r="H41" s="31"/>
      <c r="I41" s="31"/>
      <c r="J41" s="31"/>
      <c r="K41" s="4">
        <v>70000</v>
      </c>
      <c r="L41" s="4"/>
      <c r="M41" s="4"/>
      <c r="N41" s="4"/>
      <c r="O41" s="4"/>
      <c r="P41" s="4"/>
    </row>
    <row r="42" ht="21" hidden="1" customHeight="1" spans="1:16">
      <c r="A42" s="4">
        <v>24</v>
      </c>
      <c r="B42" s="31">
        <v>3</v>
      </c>
      <c r="C42" s="31">
        <v>20</v>
      </c>
      <c r="D42" s="31"/>
      <c r="E42" s="31" t="s">
        <v>135</v>
      </c>
      <c r="F42" s="31"/>
      <c r="G42" s="31">
        <v>22000</v>
      </c>
      <c r="H42" s="31"/>
      <c r="I42" s="31"/>
      <c r="J42" s="31"/>
      <c r="K42" s="4">
        <v>70000</v>
      </c>
      <c r="L42" s="4"/>
      <c r="M42" s="4"/>
      <c r="N42" s="4"/>
      <c r="O42" s="4"/>
      <c r="P42" s="4"/>
    </row>
    <row r="43" ht="21" hidden="1" customHeight="1" spans="1:16">
      <c r="A43" s="31">
        <v>24</v>
      </c>
      <c r="B43" s="31">
        <v>4</v>
      </c>
      <c r="C43" s="31">
        <v>4</v>
      </c>
      <c r="D43" s="31"/>
      <c r="E43" s="31" t="s">
        <v>136</v>
      </c>
      <c r="F43" s="31"/>
      <c r="G43" s="31">
        <v>22000</v>
      </c>
      <c r="H43" s="31"/>
      <c r="I43" s="31"/>
      <c r="J43" s="31"/>
      <c r="K43" s="4">
        <v>70000</v>
      </c>
      <c r="L43" s="4"/>
      <c r="M43" s="4"/>
      <c r="N43" s="4"/>
      <c r="O43" s="4"/>
      <c r="P43" s="4"/>
    </row>
    <row r="44" ht="21" hidden="1" customHeight="1" spans="1:16">
      <c r="A44" s="31">
        <v>24</v>
      </c>
      <c r="B44" s="31">
        <v>4</v>
      </c>
      <c r="C44" s="31">
        <v>18</v>
      </c>
      <c r="D44" s="31"/>
      <c r="E44" s="31" t="s">
        <v>136</v>
      </c>
      <c r="F44" s="31"/>
      <c r="G44" s="31">
        <v>22000</v>
      </c>
      <c r="H44" s="31"/>
      <c r="I44" s="31"/>
      <c r="J44" s="31"/>
      <c r="K44" s="4">
        <v>70000</v>
      </c>
      <c r="L44" s="4"/>
      <c r="M44" s="4"/>
      <c r="N44" s="4"/>
      <c r="O44" s="4"/>
      <c r="P44" s="4"/>
    </row>
    <row r="45" s="90" customFormat="1" ht="21" hidden="1" customHeight="1" spans="1:16">
      <c r="A45" s="96">
        <v>24</v>
      </c>
      <c r="B45" s="96">
        <v>5</v>
      </c>
      <c r="C45" s="96">
        <v>3</v>
      </c>
      <c r="D45" s="96"/>
      <c r="E45" s="96" t="s">
        <v>136</v>
      </c>
      <c r="F45" s="96"/>
      <c r="G45" s="96">
        <v>18700</v>
      </c>
      <c r="H45" s="96"/>
      <c r="I45" s="96"/>
      <c r="J45" s="96"/>
      <c r="K45" s="96">
        <f>59650</f>
        <v>59650</v>
      </c>
      <c r="L45" s="96"/>
      <c r="M45" s="96"/>
      <c r="N45" s="96"/>
      <c r="O45" s="96"/>
      <c r="P45" s="96"/>
    </row>
    <row r="46" s="90" customFormat="1" ht="21" hidden="1" customHeight="1" spans="1:16">
      <c r="A46" s="96">
        <v>24</v>
      </c>
      <c r="B46" s="96">
        <v>5</v>
      </c>
      <c r="C46" s="96">
        <v>7</v>
      </c>
      <c r="D46" s="96"/>
      <c r="E46" s="96" t="s">
        <v>136</v>
      </c>
      <c r="F46" s="96"/>
      <c r="G46" s="96">
        <v>22000</v>
      </c>
      <c r="H46" s="96"/>
      <c r="I46" s="96"/>
      <c r="J46" s="96"/>
      <c r="K46" s="96">
        <v>70000</v>
      </c>
      <c r="L46" s="96"/>
      <c r="M46" s="96"/>
      <c r="N46" s="96"/>
      <c r="O46" s="96"/>
      <c r="P46" s="96"/>
    </row>
    <row r="47" s="90" customFormat="1" ht="21" hidden="1" customHeight="1" spans="1:16">
      <c r="A47" s="96">
        <v>24</v>
      </c>
      <c r="B47" s="96">
        <v>5</v>
      </c>
      <c r="C47" s="96">
        <v>25</v>
      </c>
      <c r="D47" s="96"/>
      <c r="E47" s="96" t="s">
        <v>136</v>
      </c>
      <c r="F47" s="96"/>
      <c r="G47" s="96">
        <v>20000</v>
      </c>
      <c r="H47" s="96"/>
      <c r="I47" s="96"/>
      <c r="J47" s="96"/>
      <c r="K47" s="96">
        <v>63700</v>
      </c>
      <c r="L47" s="96"/>
      <c r="M47" s="96"/>
      <c r="N47" s="96"/>
      <c r="O47" s="96"/>
      <c r="P47" s="96"/>
    </row>
    <row r="48" s="90" customFormat="1" ht="21" hidden="1" customHeight="1" spans="1:16">
      <c r="A48" s="96">
        <v>24</v>
      </c>
      <c r="B48" s="96">
        <v>6</v>
      </c>
      <c r="C48" s="96">
        <v>2</v>
      </c>
      <c r="D48" s="96"/>
      <c r="E48" s="96" t="s">
        <v>137</v>
      </c>
      <c r="F48" s="96"/>
      <c r="G48" s="96">
        <v>22000</v>
      </c>
      <c r="H48" s="96"/>
      <c r="I48" s="96"/>
      <c r="J48" s="96"/>
      <c r="K48" s="96">
        <v>66700</v>
      </c>
      <c r="L48" s="96"/>
      <c r="M48" s="96"/>
      <c r="N48" s="96"/>
      <c r="O48" s="96"/>
      <c r="P48" s="96"/>
    </row>
    <row r="49" ht="21" hidden="1" customHeight="1" spans="1:16">
      <c r="A49" s="97">
        <v>24</v>
      </c>
      <c r="B49" s="97">
        <v>6</v>
      </c>
      <c r="C49" s="97">
        <v>13</v>
      </c>
      <c r="D49" s="97"/>
      <c r="E49" s="97" t="s">
        <v>137</v>
      </c>
      <c r="F49" s="97"/>
      <c r="G49" s="97">
        <v>20900</v>
      </c>
      <c r="H49" s="97"/>
      <c r="I49" s="97"/>
      <c r="J49" s="97"/>
      <c r="K49" s="98">
        <v>63400</v>
      </c>
      <c r="L49" s="31"/>
      <c r="M49" s="4"/>
      <c r="N49" s="4"/>
      <c r="O49" s="4"/>
      <c r="P49" s="4"/>
    </row>
    <row r="50" ht="21" hidden="1" customHeight="1" spans="1:16">
      <c r="A50" s="97">
        <v>24</v>
      </c>
      <c r="B50" s="97">
        <v>6</v>
      </c>
      <c r="C50" s="97">
        <v>17</v>
      </c>
      <c r="D50" s="97"/>
      <c r="E50" s="97" t="s">
        <v>137</v>
      </c>
      <c r="F50" s="97"/>
      <c r="G50" s="97">
        <v>22000</v>
      </c>
      <c r="H50" s="97"/>
      <c r="I50" s="97"/>
      <c r="J50" s="97"/>
      <c r="K50" s="98">
        <v>66700</v>
      </c>
      <c r="L50" s="31"/>
      <c r="M50" s="4"/>
      <c r="N50" s="4"/>
      <c r="O50" s="4"/>
      <c r="P50" s="4"/>
    </row>
    <row r="51" ht="21" hidden="1" customHeight="1" spans="1:16">
      <c r="A51" s="97">
        <v>24</v>
      </c>
      <c r="B51" s="97">
        <v>7</v>
      </c>
      <c r="C51" s="97">
        <v>12</v>
      </c>
      <c r="D51" s="97"/>
      <c r="E51" s="97" t="s">
        <v>137</v>
      </c>
      <c r="F51" s="97"/>
      <c r="G51" s="97">
        <f>19*1100</f>
        <v>20900</v>
      </c>
      <c r="H51" s="97"/>
      <c r="I51" s="97"/>
      <c r="J51" s="97"/>
      <c r="K51" s="98">
        <v>63400</v>
      </c>
      <c r="L51" s="31"/>
      <c r="M51" s="4"/>
      <c r="N51" s="4"/>
      <c r="O51" s="4"/>
      <c r="P51" s="4"/>
    </row>
    <row r="52" ht="21" hidden="1" customHeight="1" spans="1:16">
      <c r="A52" s="97">
        <v>24</v>
      </c>
      <c r="B52" s="97">
        <v>7</v>
      </c>
      <c r="C52" s="97">
        <v>29</v>
      </c>
      <c r="D52" s="97"/>
      <c r="E52" s="97" t="s">
        <v>137</v>
      </c>
      <c r="F52" s="97"/>
      <c r="G52" s="97">
        <f>20*1100</f>
        <v>22000</v>
      </c>
      <c r="H52" s="97"/>
      <c r="I52" s="97"/>
      <c r="J52" s="97"/>
      <c r="K52" s="98">
        <v>66700</v>
      </c>
      <c r="L52" s="31"/>
      <c r="M52" s="4"/>
      <c r="N52" s="4"/>
      <c r="O52" s="4"/>
      <c r="P52" s="4"/>
    </row>
    <row r="53" ht="21" hidden="1" customHeight="1" spans="1:16">
      <c r="A53" s="4">
        <v>24</v>
      </c>
      <c r="B53" s="4">
        <v>8</v>
      </c>
      <c r="C53" s="4">
        <v>1</v>
      </c>
      <c r="D53" s="93">
        <v>45505</v>
      </c>
      <c r="E53" s="31" t="s">
        <v>137</v>
      </c>
      <c r="F53" s="31"/>
      <c r="G53" s="4">
        <f>20*1100</f>
        <v>22000</v>
      </c>
      <c r="H53" s="4"/>
      <c r="I53" s="4"/>
      <c r="J53" s="4"/>
      <c r="K53" s="4">
        <v>66700</v>
      </c>
      <c r="L53" s="4"/>
      <c r="M53" s="4"/>
      <c r="N53" s="4"/>
      <c r="O53" s="4"/>
      <c r="P53" s="4"/>
    </row>
    <row r="54" ht="21" hidden="1" customHeight="1" spans="1:16">
      <c r="A54" s="4">
        <v>24</v>
      </c>
      <c r="B54" s="4">
        <v>8</v>
      </c>
      <c r="C54" s="4">
        <v>16</v>
      </c>
      <c r="D54" s="93">
        <v>45520</v>
      </c>
      <c r="E54" s="31" t="s">
        <v>137</v>
      </c>
      <c r="F54" s="31"/>
      <c r="G54" s="4">
        <f>20*1100</f>
        <v>22000</v>
      </c>
      <c r="H54" s="4"/>
      <c r="I54" s="4"/>
      <c r="J54" s="4"/>
      <c r="K54" s="4">
        <v>66700</v>
      </c>
      <c r="L54" s="4"/>
      <c r="M54" s="4"/>
      <c r="N54" s="4"/>
      <c r="O54" s="4"/>
      <c r="P54" s="4"/>
    </row>
    <row r="55" ht="21" hidden="1" customHeight="1" spans="1:16">
      <c r="A55" s="4">
        <v>24</v>
      </c>
      <c r="B55" s="4">
        <v>8</v>
      </c>
      <c r="C55" s="4">
        <v>18</v>
      </c>
      <c r="D55" s="93">
        <v>45522</v>
      </c>
      <c r="E55" s="31" t="s">
        <v>137</v>
      </c>
      <c r="F55" s="31"/>
      <c r="G55" s="4">
        <v>22000</v>
      </c>
      <c r="H55" s="4"/>
      <c r="I55" s="4"/>
      <c r="J55" s="4"/>
      <c r="K55" s="4">
        <v>66700</v>
      </c>
      <c r="L55" s="4"/>
      <c r="M55" s="4"/>
      <c r="N55" s="4"/>
      <c r="O55" s="4"/>
      <c r="P55" s="4"/>
    </row>
    <row r="56" ht="21" hidden="1" customHeight="1" spans="1:16">
      <c r="A56" s="4">
        <v>24</v>
      </c>
      <c r="B56" s="4">
        <v>9</v>
      </c>
      <c r="C56" s="4">
        <v>7</v>
      </c>
      <c r="D56" s="93">
        <v>45542</v>
      </c>
      <c r="E56" s="4" t="s">
        <v>106</v>
      </c>
      <c r="F56" s="4"/>
      <c r="G56" s="4">
        <v>22000</v>
      </c>
      <c r="H56" s="4"/>
      <c r="I56" s="4"/>
      <c r="J56" s="4"/>
      <c r="K56" s="4">
        <f>66000+700</f>
        <v>66700</v>
      </c>
      <c r="L56" s="4"/>
      <c r="M56" s="4"/>
      <c r="N56" s="4"/>
      <c r="O56" s="4"/>
      <c r="P56" s="4"/>
    </row>
    <row r="57" ht="21" hidden="1" customHeight="1" spans="1:16">
      <c r="A57" s="4">
        <v>24</v>
      </c>
      <c r="B57" s="4">
        <v>9</v>
      </c>
      <c r="C57" s="4">
        <v>10</v>
      </c>
      <c r="D57" s="93">
        <v>45545</v>
      </c>
      <c r="E57" s="4" t="s">
        <v>106</v>
      </c>
      <c r="F57" s="4"/>
      <c r="G57" s="4">
        <v>22000</v>
      </c>
      <c r="H57" s="4"/>
      <c r="I57" s="4"/>
      <c r="J57" s="4"/>
      <c r="K57" s="4">
        <f>66000+700</f>
        <v>66700</v>
      </c>
      <c r="L57" s="4"/>
      <c r="M57" s="4"/>
      <c r="N57" s="4"/>
      <c r="O57" s="4"/>
      <c r="P57" s="4"/>
    </row>
    <row r="58" ht="21" hidden="1" customHeight="1" spans="1:16">
      <c r="A58" s="4">
        <v>24</v>
      </c>
      <c r="B58" s="4">
        <v>10</v>
      </c>
      <c r="C58" s="4">
        <v>8</v>
      </c>
      <c r="D58" s="93">
        <v>45573</v>
      </c>
      <c r="E58" s="4" t="s">
        <v>106</v>
      </c>
      <c r="F58" s="4"/>
      <c r="G58" s="4">
        <v>22000</v>
      </c>
      <c r="H58" s="4"/>
      <c r="I58" s="4"/>
      <c r="J58" s="4"/>
      <c r="K58" s="4">
        <f>66000+700</f>
        <v>66700</v>
      </c>
      <c r="L58" s="4"/>
      <c r="M58" s="4"/>
      <c r="N58" s="4"/>
      <c r="O58" s="4"/>
      <c r="P58" s="4"/>
    </row>
    <row r="59" ht="21" hidden="1" customHeight="1" spans="1:16">
      <c r="A59" s="4">
        <v>24</v>
      </c>
      <c r="B59" s="4">
        <v>10</v>
      </c>
      <c r="C59" s="4">
        <v>19</v>
      </c>
      <c r="D59" s="93">
        <v>45584</v>
      </c>
      <c r="E59" s="4" t="s">
        <v>107</v>
      </c>
      <c r="F59" s="4"/>
      <c r="G59" s="4">
        <v>22000</v>
      </c>
      <c r="H59" s="4"/>
      <c r="I59" s="4"/>
      <c r="J59" s="4"/>
      <c r="K59" s="4">
        <f>66000+700</f>
        <v>66700</v>
      </c>
      <c r="L59" s="4"/>
      <c r="M59" s="4"/>
      <c r="N59" s="4"/>
      <c r="O59" s="4"/>
      <c r="P59" s="4"/>
    </row>
    <row r="60" ht="21" hidden="1" customHeight="1" spans="1:16">
      <c r="A60" s="4">
        <v>24</v>
      </c>
      <c r="B60" s="4">
        <v>11</v>
      </c>
      <c r="C60" s="4">
        <v>23</v>
      </c>
      <c r="D60" s="93">
        <v>45619</v>
      </c>
      <c r="E60" s="4" t="s">
        <v>107</v>
      </c>
      <c r="F60" s="4"/>
      <c r="G60" s="4">
        <v>22000</v>
      </c>
      <c r="H60" s="4"/>
      <c r="I60" s="4"/>
      <c r="J60" s="4"/>
      <c r="K60" s="4">
        <f>62700+700</f>
        <v>63400</v>
      </c>
      <c r="L60" s="4"/>
      <c r="M60" s="4"/>
      <c r="N60" s="4"/>
      <c r="O60" s="4"/>
      <c r="P60" s="4"/>
    </row>
    <row r="61" ht="21" hidden="1" customHeight="1" spans="1:16">
      <c r="A61" s="4">
        <v>24</v>
      </c>
      <c r="B61" s="4">
        <v>11</v>
      </c>
      <c r="C61" s="4">
        <v>24</v>
      </c>
      <c r="D61" s="93">
        <v>45620</v>
      </c>
      <c r="E61" s="4" t="s">
        <v>107</v>
      </c>
      <c r="F61" s="4"/>
      <c r="G61" s="4">
        <v>22000</v>
      </c>
      <c r="H61" s="4"/>
      <c r="I61" s="4"/>
      <c r="J61" s="4"/>
      <c r="K61" s="4">
        <f>62700+700</f>
        <v>63400</v>
      </c>
      <c r="L61" s="4"/>
      <c r="M61" s="4"/>
      <c r="N61" s="4"/>
      <c r="O61" s="4"/>
      <c r="P61" s="4"/>
    </row>
    <row r="62" ht="21" hidden="1" customHeight="1" spans="1:16">
      <c r="A62" s="4">
        <v>24</v>
      </c>
      <c r="B62" s="4">
        <v>12</v>
      </c>
      <c r="C62" s="4">
        <v>12</v>
      </c>
      <c r="D62" s="93">
        <v>45638</v>
      </c>
      <c r="E62" s="4" t="s">
        <v>107</v>
      </c>
      <c r="F62" s="4"/>
      <c r="G62" s="4">
        <v>22000</v>
      </c>
      <c r="H62" s="4"/>
      <c r="I62" s="4"/>
      <c r="J62" s="4"/>
      <c r="K62" s="4">
        <f>62700+700</f>
        <v>63400</v>
      </c>
      <c r="L62" s="4"/>
      <c r="M62" s="4"/>
      <c r="N62" s="4"/>
      <c r="O62" s="4"/>
      <c r="P62" s="4"/>
    </row>
    <row r="63" ht="21" hidden="1" customHeight="1" spans="1:16">
      <c r="A63" s="4">
        <v>24</v>
      </c>
      <c r="B63" s="4">
        <v>12</v>
      </c>
      <c r="C63" s="4">
        <v>19</v>
      </c>
      <c r="D63" s="93">
        <v>45645</v>
      </c>
      <c r="E63" s="4" t="s">
        <v>108</v>
      </c>
      <c r="F63" s="4"/>
      <c r="G63" s="4">
        <v>22000</v>
      </c>
      <c r="H63" s="4"/>
      <c r="I63" s="4"/>
      <c r="J63" s="4"/>
      <c r="K63" s="4">
        <f>62700+700</f>
        <v>63400</v>
      </c>
      <c r="L63" s="4"/>
      <c r="M63" s="4"/>
      <c r="N63" s="4"/>
      <c r="O63" s="4"/>
      <c r="P63" s="4"/>
    </row>
    <row r="64" ht="21" customHeight="1" spans="1:16">
      <c r="A64" s="4">
        <v>25</v>
      </c>
      <c r="B64" s="4">
        <v>1</v>
      </c>
      <c r="C64" s="4">
        <v>21</v>
      </c>
      <c r="D64" s="93">
        <v>45678</v>
      </c>
      <c r="E64" s="4" t="s">
        <v>138</v>
      </c>
      <c r="F64" s="4">
        <v>22</v>
      </c>
      <c r="G64" s="4">
        <v>22000</v>
      </c>
      <c r="H64" s="4"/>
      <c r="I64" s="4"/>
      <c r="J64" s="4"/>
      <c r="K64" s="4">
        <v>63300</v>
      </c>
      <c r="L64" s="4"/>
      <c r="M64" s="4"/>
      <c r="N64" s="4"/>
      <c r="O64" s="4"/>
      <c r="P64" s="4"/>
    </row>
    <row r="65" ht="21" customHeight="1" spans="1:16">
      <c r="A65" s="4">
        <v>25</v>
      </c>
      <c r="B65" s="4">
        <v>1</v>
      </c>
      <c r="C65" s="4">
        <v>23</v>
      </c>
      <c r="D65" s="93">
        <v>45680</v>
      </c>
      <c r="E65" s="4" t="s">
        <v>138</v>
      </c>
      <c r="F65" s="4">
        <v>22</v>
      </c>
      <c r="G65" s="4">
        <v>22000</v>
      </c>
      <c r="H65" s="4"/>
      <c r="I65" s="4"/>
      <c r="J65" s="4"/>
      <c r="K65" s="4">
        <v>63300</v>
      </c>
      <c r="L65" s="4" t="s">
        <v>139</v>
      </c>
      <c r="M65" s="4"/>
      <c r="N65" s="4"/>
      <c r="O65" s="4"/>
      <c r="P65" s="4"/>
    </row>
    <row r="66" ht="21" customHeight="1" spans="1:16">
      <c r="A66" s="4">
        <v>25</v>
      </c>
      <c r="B66" s="4">
        <v>2</v>
      </c>
      <c r="C66" s="4">
        <v>3</v>
      </c>
      <c r="D66" s="93">
        <v>45691</v>
      </c>
      <c r="E66" s="4" t="s">
        <v>138</v>
      </c>
      <c r="F66" s="4">
        <v>22</v>
      </c>
      <c r="G66" s="4">
        <v>22000</v>
      </c>
      <c r="H66" s="4"/>
      <c r="I66" s="4"/>
      <c r="J66" s="4"/>
      <c r="K66" s="4">
        <v>63300</v>
      </c>
      <c r="L66" s="4"/>
      <c r="M66" s="4"/>
      <c r="N66" s="4"/>
      <c r="O66" s="4"/>
      <c r="P66" s="4"/>
    </row>
    <row r="67" ht="21" customHeight="1" spans="1:16">
      <c r="A67" s="4">
        <v>25</v>
      </c>
      <c r="B67" s="4">
        <v>2</v>
      </c>
      <c r="C67" s="4">
        <v>4</v>
      </c>
      <c r="D67" s="93">
        <v>45692</v>
      </c>
      <c r="E67" s="4" t="s">
        <v>138</v>
      </c>
      <c r="F67" s="4">
        <v>22</v>
      </c>
      <c r="G67" s="4">
        <v>22000</v>
      </c>
      <c r="H67" s="4"/>
      <c r="I67" s="4"/>
      <c r="J67" s="4"/>
      <c r="K67" s="4">
        <v>63300</v>
      </c>
      <c r="L67" s="4"/>
      <c r="M67" s="4"/>
      <c r="N67" s="4"/>
      <c r="O67" s="4"/>
      <c r="P67" s="4"/>
    </row>
    <row r="68" ht="20" customHeight="1" spans="1:16">
      <c r="A68" s="4">
        <v>25</v>
      </c>
      <c r="B68" s="4">
        <v>2</v>
      </c>
      <c r="C68" s="4">
        <v>25</v>
      </c>
      <c r="D68" s="93">
        <v>45713</v>
      </c>
      <c r="E68" s="4" t="s">
        <v>138</v>
      </c>
      <c r="F68" s="4">
        <v>22</v>
      </c>
      <c r="G68" s="4">
        <v>22000</v>
      </c>
      <c r="H68" s="4"/>
      <c r="I68" s="4"/>
      <c r="J68" s="4"/>
      <c r="K68" s="4">
        <v>63300</v>
      </c>
      <c r="L68" s="4"/>
      <c r="M68" s="4"/>
      <c r="N68" s="4"/>
      <c r="O68" s="4"/>
      <c r="P68" s="4"/>
    </row>
    <row r="69" ht="21" customHeight="1" spans="1:16">
      <c r="A69" s="4">
        <v>25</v>
      </c>
      <c r="B69" s="4">
        <v>2</v>
      </c>
      <c r="C69" s="4">
        <v>28</v>
      </c>
      <c r="D69" s="93">
        <v>45716</v>
      </c>
      <c r="E69" s="4" t="s">
        <v>138</v>
      </c>
      <c r="F69" s="4">
        <v>22</v>
      </c>
      <c r="G69" s="4">
        <v>22000</v>
      </c>
      <c r="H69" s="4"/>
      <c r="I69" s="4"/>
      <c r="J69" s="4"/>
      <c r="K69" s="31">
        <f>62700+700</f>
        <v>63400</v>
      </c>
      <c r="L69" s="4"/>
      <c r="M69" s="4"/>
      <c r="N69" s="4"/>
      <c r="O69" s="4"/>
      <c r="P69" s="4"/>
    </row>
    <row r="70" ht="21" customHeight="1" spans="1:16">
      <c r="A70" s="4">
        <v>25</v>
      </c>
      <c r="B70" s="4">
        <v>3</v>
      </c>
      <c r="C70" s="4">
        <v>12</v>
      </c>
      <c r="D70" s="93">
        <v>45728</v>
      </c>
      <c r="E70" s="4" t="s">
        <v>140</v>
      </c>
      <c r="F70" s="4">
        <v>22</v>
      </c>
      <c r="G70" s="4">
        <v>20</v>
      </c>
      <c r="H70" s="4" t="s">
        <v>10</v>
      </c>
      <c r="I70" s="4">
        <v>2850</v>
      </c>
      <c r="J70" s="4"/>
      <c r="K70" s="4">
        <v>63400</v>
      </c>
      <c r="L70" s="4"/>
      <c r="M70" s="4"/>
      <c r="N70" s="4"/>
      <c r="O70" s="4"/>
      <c r="P70" s="4"/>
    </row>
    <row r="71" ht="21" customHeight="1" spans="1:16">
      <c r="A71" s="4">
        <v>25</v>
      </c>
      <c r="B71" s="4">
        <v>3</v>
      </c>
      <c r="C71" s="4">
        <v>13</v>
      </c>
      <c r="D71" s="93">
        <v>45729</v>
      </c>
      <c r="E71" s="4" t="s">
        <v>140</v>
      </c>
      <c r="F71" s="4">
        <v>22</v>
      </c>
      <c r="G71" s="4">
        <v>20</v>
      </c>
      <c r="H71" s="4" t="s">
        <v>10</v>
      </c>
      <c r="I71" s="4">
        <v>2850</v>
      </c>
      <c r="J71" s="4"/>
      <c r="K71" s="4">
        <v>63400</v>
      </c>
      <c r="L71" s="4"/>
      <c r="M71" s="4"/>
      <c r="N71" s="4"/>
      <c r="O71" s="4"/>
      <c r="P71" s="4"/>
    </row>
    <row r="72" ht="21" customHeight="1" spans="1:16">
      <c r="A72" s="4">
        <v>25</v>
      </c>
      <c r="B72" s="4">
        <v>3</v>
      </c>
      <c r="C72" s="4">
        <v>26</v>
      </c>
      <c r="D72" s="93">
        <v>45742</v>
      </c>
      <c r="E72" s="4" t="s">
        <v>140</v>
      </c>
      <c r="F72" s="4">
        <v>22</v>
      </c>
      <c r="G72" s="4">
        <v>20</v>
      </c>
      <c r="H72" s="4" t="s">
        <v>10</v>
      </c>
      <c r="I72" s="4">
        <v>2850</v>
      </c>
      <c r="J72" s="4"/>
      <c r="K72" s="4">
        <v>63400</v>
      </c>
      <c r="L72" s="4"/>
      <c r="M72" s="4"/>
      <c r="N72" s="4"/>
      <c r="O72" s="4"/>
      <c r="P72" s="4"/>
    </row>
    <row r="73" ht="21" customHeight="1" spans="1:16">
      <c r="A73" s="4">
        <v>25</v>
      </c>
      <c r="B73" s="4">
        <v>3</v>
      </c>
      <c r="C73" s="4">
        <v>28</v>
      </c>
      <c r="D73" s="93">
        <v>45744</v>
      </c>
      <c r="E73" s="4" t="s">
        <v>140</v>
      </c>
      <c r="F73" s="4">
        <v>22</v>
      </c>
      <c r="G73" s="4">
        <v>20</v>
      </c>
      <c r="H73" s="4" t="s">
        <v>10</v>
      </c>
      <c r="I73" s="4">
        <v>2850</v>
      </c>
      <c r="J73" s="4"/>
      <c r="K73" s="4">
        <v>63400</v>
      </c>
      <c r="L73" s="4"/>
      <c r="M73" s="4"/>
      <c r="N73" s="4"/>
      <c r="O73" s="4"/>
      <c r="P73" s="4"/>
    </row>
    <row r="74" ht="21" customHeight="1" spans="1:16">
      <c r="A74" s="4">
        <v>25</v>
      </c>
      <c r="B74" s="4">
        <v>4</v>
      </c>
      <c r="C74" s="4">
        <v>2</v>
      </c>
      <c r="D74" s="93">
        <v>45749</v>
      </c>
      <c r="E74" s="4" t="s">
        <v>140</v>
      </c>
      <c r="F74" s="4">
        <v>44</v>
      </c>
      <c r="G74" s="4">
        <v>40</v>
      </c>
      <c r="H74" s="4" t="s">
        <v>10</v>
      </c>
      <c r="I74" s="4"/>
      <c r="J74" s="4"/>
      <c r="K74" s="4">
        <f>125400+1400</f>
        <v>126800</v>
      </c>
      <c r="L74" s="4"/>
      <c r="M74" s="4"/>
      <c r="N74" s="4"/>
      <c r="O74" s="4"/>
      <c r="P74" s="4"/>
    </row>
    <row r="75" ht="21" customHeight="1" spans="1:16">
      <c r="A75" s="4">
        <v>25</v>
      </c>
      <c r="B75" s="4">
        <v>4</v>
      </c>
      <c r="C75" s="4">
        <v>18</v>
      </c>
      <c r="D75" s="93">
        <v>45765</v>
      </c>
      <c r="E75" s="4" t="s">
        <v>140</v>
      </c>
      <c r="F75" s="4">
        <v>22</v>
      </c>
      <c r="G75" s="4">
        <v>22</v>
      </c>
      <c r="H75" s="4" t="s">
        <v>10</v>
      </c>
      <c r="I75" s="4"/>
      <c r="J75" s="4"/>
      <c r="K75" s="4">
        <f>68970+700</f>
        <v>69670</v>
      </c>
      <c r="L75" s="4"/>
      <c r="M75" s="4"/>
      <c r="N75" s="4"/>
      <c r="O75" s="4"/>
      <c r="P75" s="4"/>
    </row>
    <row r="76" ht="21" customHeight="1" spans="1:16">
      <c r="A76" s="4">
        <v>25</v>
      </c>
      <c r="B76" s="4">
        <v>4</v>
      </c>
      <c r="C76" s="4">
        <v>28</v>
      </c>
      <c r="D76" s="93">
        <v>45775</v>
      </c>
      <c r="E76" s="4" t="s">
        <v>140</v>
      </c>
      <c r="F76" s="4">
        <v>15</v>
      </c>
      <c r="G76" s="4" t="s">
        <v>141</v>
      </c>
      <c r="H76" s="4" t="s">
        <v>142</v>
      </c>
      <c r="I76" s="4">
        <v>2850</v>
      </c>
      <c r="J76" s="4"/>
      <c r="K76" s="4">
        <f>42750+700</f>
        <v>43450</v>
      </c>
      <c r="L76" s="4"/>
      <c r="M76" s="4"/>
      <c r="N76" s="4"/>
      <c r="O76" s="4"/>
      <c r="P76" s="4"/>
    </row>
    <row r="77" ht="21" customHeight="1" spans="1:16">
      <c r="A77" s="4">
        <v>25</v>
      </c>
      <c r="B77" s="4">
        <v>5</v>
      </c>
      <c r="C77" s="4">
        <v>5</v>
      </c>
      <c r="D77" s="93">
        <v>45782</v>
      </c>
      <c r="E77" s="4" t="s">
        <v>140</v>
      </c>
      <c r="F77" s="4">
        <v>22</v>
      </c>
      <c r="G77" s="4">
        <v>20</v>
      </c>
      <c r="H77" s="4" t="s">
        <v>10</v>
      </c>
      <c r="I77" s="4">
        <v>2750</v>
      </c>
      <c r="J77" s="4"/>
      <c r="K77" s="4">
        <v>55700</v>
      </c>
      <c r="L77" s="4"/>
      <c r="M77" s="4"/>
      <c r="N77" s="4"/>
      <c r="O77" s="4"/>
      <c r="P77" s="4"/>
    </row>
    <row r="78" ht="21" customHeight="1" spans="1:16">
      <c r="A78" s="4">
        <v>25</v>
      </c>
      <c r="B78" s="4">
        <v>5</v>
      </c>
      <c r="C78" s="4">
        <v>8</v>
      </c>
      <c r="D78" s="93">
        <v>45785</v>
      </c>
      <c r="E78" s="4" t="s">
        <v>140</v>
      </c>
      <c r="F78" s="4">
        <v>22</v>
      </c>
      <c r="G78" s="4">
        <v>20</v>
      </c>
      <c r="H78" s="4" t="s">
        <v>10</v>
      </c>
      <c r="I78" s="4">
        <v>2750</v>
      </c>
      <c r="J78" s="4"/>
      <c r="K78" s="4">
        <v>55700</v>
      </c>
      <c r="L78" s="4"/>
      <c r="M78" s="4"/>
      <c r="N78" s="4"/>
      <c r="O78" s="4"/>
      <c r="P78" s="4"/>
    </row>
    <row r="79" ht="21" customHeight="1" spans="1:16">
      <c r="A79" s="4">
        <v>25</v>
      </c>
      <c r="B79" s="4">
        <v>5</v>
      </c>
      <c r="C79" s="4">
        <v>10</v>
      </c>
      <c r="D79" s="93">
        <v>45787</v>
      </c>
      <c r="E79" s="4" t="s">
        <v>140</v>
      </c>
      <c r="F79" s="4">
        <v>22</v>
      </c>
      <c r="G79" s="4">
        <v>20</v>
      </c>
      <c r="H79" s="4" t="s">
        <v>10</v>
      </c>
      <c r="I79" s="4">
        <v>2750</v>
      </c>
      <c r="J79" s="4"/>
      <c r="K79" s="4">
        <v>55700</v>
      </c>
      <c r="L79" s="4"/>
      <c r="M79" s="4"/>
      <c r="N79" s="4"/>
      <c r="O79" s="4"/>
      <c r="P79" s="4"/>
    </row>
    <row r="80" ht="21" customHeight="1" spans="1:16">
      <c r="A80" s="4">
        <v>25</v>
      </c>
      <c r="B80" s="4">
        <v>5</v>
      </c>
      <c r="C80" s="4">
        <v>13</v>
      </c>
      <c r="D80" s="93">
        <v>45790</v>
      </c>
      <c r="E80" s="4" t="s">
        <v>140</v>
      </c>
      <c r="F80" s="4">
        <v>22</v>
      </c>
      <c r="G80" s="4">
        <v>20</v>
      </c>
      <c r="H80" s="4" t="s">
        <v>11</v>
      </c>
      <c r="I80" s="4" t="s">
        <v>143</v>
      </c>
      <c r="J80" s="4"/>
      <c r="K80" s="4">
        <f>52250+3135+700</f>
        <v>56085</v>
      </c>
      <c r="L80" s="4"/>
      <c r="M80" s="4"/>
      <c r="N80" s="4"/>
      <c r="O80" s="4"/>
      <c r="P80" s="4"/>
    </row>
    <row r="81" ht="21" customHeight="1" spans="1:16">
      <c r="A81" s="4">
        <v>25</v>
      </c>
      <c r="B81" s="4">
        <v>5</v>
      </c>
      <c r="C81" s="4">
        <v>14</v>
      </c>
      <c r="D81" s="93">
        <v>45791</v>
      </c>
      <c r="E81" s="4" t="s">
        <v>140</v>
      </c>
      <c r="F81" s="4">
        <v>18</v>
      </c>
      <c r="G81" s="4" t="s">
        <v>144</v>
      </c>
      <c r="H81" s="4" t="s">
        <v>142</v>
      </c>
      <c r="I81" s="4">
        <v>2850</v>
      </c>
      <c r="J81" s="4"/>
      <c r="K81" s="4">
        <f>51300+700</f>
        <v>52000</v>
      </c>
      <c r="L81" s="4"/>
      <c r="M81" s="4"/>
      <c r="N81" s="4"/>
      <c r="O81" s="4"/>
      <c r="P81" s="4"/>
    </row>
    <row r="82" ht="21" customHeight="1" spans="1:16">
      <c r="A82" s="4">
        <v>25</v>
      </c>
      <c r="B82" s="4">
        <v>5</v>
      </c>
      <c r="C82" s="4">
        <v>21</v>
      </c>
      <c r="D82" s="93">
        <v>45798</v>
      </c>
      <c r="E82" s="4" t="s">
        <v>145</v>
      </c>
      <c r="F82" s="4">
        <v>22</v>
      </c>
      <c r="G82" s="4">
        <v>20</v>
      </c>
      <c r="H82" s="4" t="s">
        <v>10</v>
      </c>
      <c r="I82" s="4">
        <v>2850</v>
      </c>
      <c r="J82" s="4">
        <v>700</v>
      </c>
      <c r="K82" s="99">
        <v>63400</v>
      </c>
      <c r="L82" s="4"/>
      <c r="M82" s="4"/>
      <c r="N82" s="4"/>
      <c r="O82" s="4"/>
      <c r="P82" s="4"/>
    </row>
    <row r="83" ht="21" customHeight="1" spans="1:16">
      <c r="A83" s="4">
        <v>25</v>
      </c>
      <c r="B83" s="4">
        <v>5</v>
      </c>
      <c r="C83" s="4">
        <v>23</v>
      </c>
      <c r="D83" s="93">
        <v>45800</v>
      </c>
      <c r="E83" s="4" t="s">
        <v>145</v>
      </c>
      <c r="F83" s="4">
        <v>22</v>
      </c>
      <c r="G83" s="4">
        <v>20</v>
      </c>
      <c r="H83" s="4" t="s">
        <v>10</v>
      </c>
      <c r="I83" s="4">
        <v>2850</v>
      </c>
      <c r="J83" s="4">
        <v>700</v>
      </c>
      <c r="K83" s="99">
        <v>63400</v>
      </c>
      <c r="L83" s="4"/>
      <c r="M83" s="4"/>
      <c r="N83" s="4"/>
      <c r="O83" s="4"/>
      <c r="P83" s="4"/>
    </row>
    <row r="84" ht="21" customHeight="1" spans="1:16">
      <c r="A84" s="4">
        <v>25</v>
      </c>
      <c r="B84" s="4">
        <v>6</v>
      </c>
      <c r="C84" s="4">
        <v>5</v>
      </c>
      <c r="D84" s="93">
        <v>45813</v>
      </c>
      <c r="E84" s="4" t="s">
        <v>145</v>
      </c>
      <c r="F84" s="4">
        <v>44</v>
      </c>
      <c r="G84" s="4">
        <v>40</v>
      </c>
      <c r="H84" s="4" t="s">
        <v>10</v>
      </c>
      <c r="I84" s="4">
        <v>2850</v>
      </c>
      <c r="J84" s="4">
        <v>700</v>
      </c>
      <c r="K84" s="99">
        <v>63400</v>
      </c>
      <c r="L84" s="4"/>
      <c r="M84" s="4"/>
      <c r="N84" s="4"/>
      <c r="O84" s="4"/>
      <c r="P84" s="4"/>
    </row>
    <row r="85" ht="21" customHeight="1" spans="1:16">
      <c r="A85" s="4">
        <v>25</v>
      </c>
      <c r="B85" s="4">
        <v>6</v>
      </c>
      <c r="C85" s="4">
        <v>25</v>
      </c>
      <c r="D85" s="93">
        <v>45833</v>
      </c>
      <c r="E85" s="4" t="s">
        <v>145</v>
      </c>
      <c r="F85" s="4">
        <f>23*1.1</f>
        <v>25.3</v>
      </c>
      <c r="G85" s="4">
        <v>23</v>
      </c>
      <c r="H85" s="4" t="s">
        <v>10</v>
      </c>
      <c r="I85" s="4">
        <v>2850</v>
      </c>
      <c r="J85" s="4">
        <v>700</v>
      </c>
      <c r="K85" s="99">
        <v>72805</v>
      </c>
      <c r="L85" s="4"/>
      <c r="M85" s="4"/>
      <c r="N85" s="4"/>
      <c r="O85" s="4"/>
      <c r="P85" s="4"/>
    </row>
    <row r="86" ht="21" customHeight="1" spans="1:16">
      <c r="A86" s="4">
        <v>25</v>
      </c>
      <c r="B86" s="4">
        <v>6</v>
      </c>
      <c r="C86" s="4">
        <v>25</v>
      </c>
      <c r="D86" s="93">
        <v>45833</v>
      </c>
      <c r="E86" s="4" t="s">
        <v>145</v>
      </c>
      <c r="F86" s="4">
        <v>22</v>
      </c>
      <c r="G86" s="4">
        <v>22</v>
      </c>
      <c r="H86" s="4" t="s">
        <v>10</v>
      </c>
      <c r="I86" s="4">
        <v>2850</v>
      </c>
      <c r="J86" s="4">
        <v>700</v>
      </c>
      <c r="K86" s="99">
        <v>69670</v>
      </c>
      <c r="L86" s="4"/>
      <c r="M86" s="4"/>
      <c r="N86" s="4"/>
      <c r="O86" s="4"/>
      <c r="P86" s="4"/>
    </row>
    <row r="87" ht="21" customHeight="1" spans="1:16">
      <c r="A87" s="4">
        <v>25</v>
      </c>
      <c r="B87" s="4">
        <v>7</v>
      </c>
      <c r="C87" s="4">
        <v>6</v>
      </c>
      <c r="D87" s="93">
        <v>45844</v>
      </c>
      <c r="E87" s="4" t="s">
        <v>146</v>
      </c>
      <c r="F87" s="4">
        <f>24*1.1</f>
        <v>26.4</v>
      </c>
      <c r="G87" s="4">
        <v>24</v>
      </c>
      <c r="H87" s="4" t="s">
        <v>10</v>
      </c>
      <c r="I87" s="4">
        <v>2850</v>
      </c>
      <c r="J87" s="4">
        <v>700</v>
      </c>
      <c r="K87" s="99">
        <v>75940</v>
      </c>
      <c r="L87" s="4"/>
      <c r="M87" s="4"/>
      <c r="N87" s="4"/>
      <c r="O87" s="4"/>
      <c r="P87" s="4"/>
    </row>
    <row r="88" ht="21" customHeight="1" spans="1:16">
      <c r="A88" s="4">
        <v>25</v>
      </c>
      <c r="B88" s="4">
        <v>7</v>
      </c>
      <c r="C88" s="4">
        <v>6</v>
      </c>
      <c r="D88" s="93">
        <v>45844</v>
      </c>
      <c r="E88" s="4" t="s">
        <v>146</v>
      </c>
      <c r="F88" s="4">
        <f>24*1.1</f>
        <v>26.4</v>
      </c>
      <c r="G88" s="4">
        <v>24</v>
      </c>
      <c r="H88" s="4" t="s">
        <v>10</v>
      </c>
      <c r="I88" s="4">
        <v>2850</v>
      </c>
      <c r="J88" s="4">
        <v>700</v>
      </c>
      <c r="K88" s="99">
        <v>75940</v>
      </c>
      <c r="L88" s="4"/>
      <c r="M88" s="4"/>
      <c r="N88" s="4"/>
      <c r="O88" s="4"/>
      <c r="P88" s="4"/>
    </row>
    <row r="89" ht="21" customHeight="1" spans="1:16">
      <c r="A89" s="4">
        <v>25</v>
      </c>
      <c r="B89" s="4">
        <v>7</v>
      </c>
      <c r="C89" s="4">
        <v>11</v>
      </c>
      <c r="D89" s="93">
        <v>45849</v>
      </c>
      <c r="E89" s="4" t="s">
        <v>146</v>
      </c>
      <c r="F89" s="4">
        <f>24*1.1</f>
        <v>26.4</v>
      </c>
      <c r="G89" s="4">
        <v>24</v>
      </c>
      <c r="H89" s="4" t="s">
        <v>10</v>
      </c>
      <c r="I89" s="4">
        <v>2850</v>
      </c>
      <c r="J89" s="4">
        <v>700</v>
      </c>
      <c r="K89" s="99">
        <v>75940</v>
      </c>
      <c r="L89" s="4"/>
      <c r="M89" s="4"/>
      <c r="N89" s="4"/>
      <c r="O89" s="4"/>
      <c r="P89" s="4"/>
    </row>
    <row r="90" ht="21" customHeight="1" spans="1:16">
      <c r="A90" s="4">
        <v>25</v>
      </c>
      <c r="B90" s="4">
        <v>7</v>
      </c>
      <c r="C90" s="4">
        <v>16</v>
      </c>
      <c r="D90" s="93">
        <v>45854</v>
      </c>
      <c r="E90" s="4" t="s">
        <v>147</v>
      </c>
      <c r="F90" s="4">
        <v>24.2</v>
      </c>
      <c r="G90" s="4" t="s">
        <v>148</v>
      </c>
      <c r="H90" s="4" t="s">
        <v>10</v>
      </c>
      <c r="I90" s="4">
        <v>2850</v>
      </c>
      <c r="J90" s="4">
        <v>700</v>
      </c>
      <c r="K90" s="4">
        <f>24.2*2850+700</f>
        <v>69670</v>
      </c>
      <c r="L90" s="4"/>
      <c r="M90" s="4"/>
      <c r="N90" s="4"/>
      <c r="O90" s="4"/>
      <c r="P90" s="4"/>
    </row>
    <row r="91" ht="21" customHeight="1" spans="1:16">
      <c r="A91" s="4">
        <v>25</v>
      </c>
      <c r="B91" s="4">
        <v>8</v>
      </c>
      <c r="C91" s="4">
        <v>22</v>
      </c>
      <c r="D91" s="93">
        <v>45891</v>
      </c>
      <c r="E91" s="4" t="s">
        <v>149</v>
      </c>
      <c r="F91" s="4">
        <v>27</v>
      </c>
      <c r="G91" s="4" t="s">
        <v>150</v>
      </c>
      <c r="H91" s="4" t="s">
        <v>10</v>
      </c>
      <c r="I91" s="4"/>
      <c r="J91" s="4"/>
      <c r="K91" s="4"/>
      <c r="L91" s="4"/>
      <c r="M91" s="4"/>
      <c r="N91" s="4"/>
      <c r="O91" s="4"/>
      <c r="P91" s="4"/>
    </row>
    <row r="92" ht="21" customHeight="1" spans="1:16">
      <c r="A92" s="4">
        <v>25</v>
      </c>
      <c r="B92" s="4">
        <v>8</v>
      </c>
      <c r="C92" s="4">
        <v>30</v>
      </c>
      <c r="D92" s="93">
        <v>45899</v>
      </c>
      <c r="E92" s="4" t="s">
        <v>149</v>
      </c>
      <c r="F92" s="4">
        <v>27</v>
      </c>
      <c r="G92" s="4" t="s">
        <v>150</v>
      </c>
      <c r="H92" s="4" t="s">
        <v>10</v>
      </c>
      <c r="I92" s="4"/>
      <c r="J92" s="4"/>
      <c r="K92" s="4"/>
      <c r="L92" s="4"/>
      <c r="M92" s="4"/>
      <c r="N92" s="4"/>
      <c r="O92" s="4"/>
      <c r="P92" s="4"/>
    </row>
    <row r="93" ht="21" customHeight="1" spans="1:16">
      <c r="A93" s="4">
        <v>25</v>
      </c>
      <c r="B93" s="4">
        <v>8</v>
      </c>
      <c r="C93" s="4">
        <v>31</v>
      </c>
      <c r="D93" s="93">
        <v>45900</v>
      </c>
      <c r="E93" s="4" t="s">
        <v>147</v>
      </c>
      <c r="F93" s="4">
        <v>22</v>
      </c>
      <c r="G93" s="4" t="s">
        <v>151</v>
      </c>
      <c r="H93" s="4" t="s">
        <v>10</v>
      </c>
      <c r="I93" s="4">
        <v>2850</v>
      </c>
      <c r="J93" s="4">
        <v>700</v>
      </c>
      <c r="K93" s="4">
        <f>22*2850+700</f>
        <v>63400</v>
      </c>
      <c r="L93" s="4"/>
      <c r="M93" s="4"/>
      <c r="N93" s="4"/>
      <c r="O93" s="4"/>
      <c r="P93" s="4"/>
    </row>
    <row r="94" ht="21" customHeight="1" spans="1:16">
      <c r="A94" s="4">
        <v>25</v>
      </c>
      <c r="B94" s="4">
        <v>9</v>
      </c>
      <c r="C94" s="4">
        <v>13</v>
      </c>
      <c r="D94" s="93">
        <v>45915</v>
      </c>
      <c r="E94" s="4" t="s">
        <v>149</v>
      </c>
      <c r="F94" s="4">
        <v>27</v>
      </c>
      <c r="G94" s="4" t="s">
        <v>150</v>
      </c>
      <c r="H94" s="4" t="s">
        <v>10</v>
      </c>
      <c r="I94" s="4"/>
      <c r="J94" s="4"/>
      <c r="K94" s="4"/>
      <c r="L94" s="4"/>
      <c r="M94" s="4"/>
      <c r="N94" s="4"/>
      <c r="O94" s="4"/>
      <c r="P94" s="4"/>
    </row>
    <row r="95" ht="21" customHeight="1" spans="1:16">
      <c r="A95" s="4">
        <v>25</v>
      </c>
      <c r="B95" s="4">
        <v>9</v>
      </c>
      <c r="C95" s="4">
        <v>30</v>
      </c>
      <c r="D95" s="93">
        <v>45930</v>
      </c>
      <c r="E95" s="4" t="s">
        <v>152</v>
      </c>
      <c r="F95" s="4">
        <v>24.2</v>
      </c>
      <c r="G95" s="4" t="s">
        <v>148</v>
      </c>
      <c r="H95" s="4" t="s">
        <v>10</v>
      </c>
      <c r="I95" s="4">
        <v>2850</v>
      </c>
      <c r="J95" s="4">
        <v>700</v>
      </c>
      <c r="K95" s="4">
        <f t="shared" ref="K95:K112" si="2">F95*I95+J95</f>
        <v>69670</v>
      </c>
      <c r="L95" s="4"/>
      <c r="M95" s="4"/>
      <c r="N95" s="4"/>
      <c r="O95" s="4"/>
      <c r="P95" s="4"/>
    </row>
    <row r="96" ht="21" customHeight="1" spans="1:16">
      <c r="A96" s="4">
        <v>25</v>
      </c>
      <c r="B96" s="4">
        <v>10</v>
      </c>
      <c r="C96" s="4">
        <v>1</v>
      </c>
      <c r="D96" s="93">
        <v>45931</v>
      </c>
      <c r="E96" s="4" t="s">
        <v>152</v>
      </c>
      <c r="F96" s="4">
        <v>24.2</v>
      </c>
      <c r="G96" s="4" t="s">
        <v>148</v>
      </c>
      <c r="H96" s="4" t="s">
        <v>10</v>
      </c>
      <c r="I96" s="4">
        <v>2850</v>
      </c>
      <c r="J96" s="4">
        <v>700</v>
      </c>
      <c r="K96" s="4">
        <f t="shared" si="2"/>
        <v>69670</v>
      </c>
      <c r="L96" s="4"/>
      <c r="M96" s="4"/>
      <c r="N96" s="4"/>
      <c r="O96" s="4"/>
      <c r="P96" s="4"/>
    </row>
    <row r="97" ht="21" customHeight="1" spans="1:16">
      <c r="A97" s="4">
        <v>25</v>
      </c>
      <c r="B97" s="4">
        <v>10</v>
      </c>
      <c r="C97" s="4">
        <v>8</v>
      </c>
      <c r="D97" s="93">
        <v>45938</v>
      </c>
      <c r="E97" s="4" t="s">
        <v>152</v>
      </c>
      <c r="F97" s="4">
        <v>24.2</v>
      </c>
      <c r="G97" s="4" t="s">
        <v>148</v>
      </c>
      <c r="H97" s="4" t="s">
        <v>10</v>
      </c>
      <c r="I97" s="4">
        <v>2850</v>
      </c>
      <c r="J97" s="4">
        <v>700</v>
      </c>
      <c r="K97" s="4">
        <f t="shared" si="2"/>
        <v>69670</v>
      </c>
      <c r="L97" s="4"/>
      <c r="M97" s="4"/>
      <c r="N97" s="4"/>
      <c r="O97" s="4"/>
      <c r="P97" s="4"/>
    </row>
    <row r="98" ht="21" customHeight="1" spans="1:16">
      <c r="A98" s="4">
        <v>25</v>
      </c>
      <c r="B98" s="4">
        <v>10</v>
      </c>
      <c r="C98" s="4">
        <v>25</v>
      </c>
      <c r="D98" s="93">
        <v>45955</v>
      </c>
      <c r="E98" s="4" t="s">
        <v>152</v>
      </c>
      <c r="F98" s="4">
        <v>22</v>
      </c>
      <c r="G98" s="4" t="s">
        <v>151</v>
      </c>
      <c r="H98" s="4" t="s">
        <v>10</v>
      </c>
      <c r="I98" s="4">
        <v>2850</v>
      </c>
      <c r="J98" s="4">
        <v>700</v>
      </c>
      <c r="K98" s="4">
        <f t="shared" si="2"/>
        <v>63400</v>
      </c>
      <c r="L98" s="4"/>
      <c r="M98" s="4"/>
      <c r="N98" s="4"/>
      <c r="O98" s="4"/>
      <c r="P98" s="4"/>
    </row>
    <row r="99" ht="21" customHeight="1" spans="1:16">
      <c r="A99" s="4">
        <v>25</v>
      </c>
      <c r="B99" s="4">
        <v>10</v>
      </c>
      <c r="C99" s="4">
        <v>29</v>
      </c>
      <c r="D99" s="93">
        <v>45959</v>
      </c>
      <c r="E99" s="4" t="s">
        <v>152</v>
      </c>
      <c r="F99" s="4">
        <v>22</v>
      </c>
      <c r="G99" s="4" t="s">
        <v>151</v>
      </c>
      <c r="H99" s="4" t="s">
        <v>10</v>
      </c>
      <c r="I99" s="4">
        <v>2850</v>
      </c>
      <c r="J99" s="4">
        <v>700</v>
      </c>
      <c r="K99" s="4">
        <f t="shared" si="2"/>
        <v>63400</v>
      </c>
      <c r="L99" s="4"/>
      <c r="M99" s="4"/>
      <c r="N99" s="4"/>
      <c r="O99" s="4"/>
      <c r="P99" s="4"/>
    </row>
    <row r="100" ht="21" customHeight="1" spans="1:16">
      <c r="A100" s="4">
        <v>25</v>
      </c>
      <c r="B100" s="4">
        <v>11</v>
      </c>
      <c r="C100" s="142" t="s">
        <v>153</v>
      </c>
      <c r="D100" s="93">
        <v>45964</v>
      </c>
      <c r="E100" s="4" t="s">
        <v>154</v>
      </c>
      <c r="F100" s="4">
        <v>22</v>
      </c>
      <c r="G100" s="4" t="s">
        <v>151</v>
      </c>
      <c r="H100" s="4" t="s">
        <v>10</v>
      </c>
      <c r="I100" s="4">
        <v>2850</v>
      </c>
      <c r="J100" s="4">
        <v>700</v>
      </c>
      <c r="K100" s="4">
        <f t="shared" si="2"/>
        <v>63400</v>
      </c>
      <c r="L100" s="4"/>
      <c r="M100" s="4"/>
      <c r="N100" s="4"/>
      <c r="O100" s="4"/>
      <c r="P100" s="4"/>
    </row>
    <row r="101" ht="21" customHeight="1" spans="1:16">
      <c r="A101" s="4">
        <v>25</v>
      </c>
      <c r="B101" s="4">
        <v>11</v>
      </c>
      <c r="C101" s="4">
        <v>13</v>
      </c>
      <c r="D101" s="93">
        <v>45974</v>
      </c>
      <c r="E101" s="4" t="s">
        <v>154</v>
      </c>
      <c r="F101" s="4">
        <v>17.7</v>
      </c>
      <c r="G101" s="4" t="s">
        <v>155</v>
      </c>
      <c r="H101" s="4" t="s">
        <v>156</v>
      </c>
      <c r="I101" s="4">
        <v>2850</v>
      </c>
      <c r="J101" s="4">
        <v>700</v>
      </c>
      <c r="K101" s="4">
        <f t="shared" si="2"/>
        <v>51145</v>
      </c>
      <c r="L101" s="4"/>
      <c r="M101" s="4"/>
      <c r="N101" s="4"/>
      <c r="O101" s="4"/>
      <c r="P101" s="4"/>
    </row>
    <row r="102" ht="21" customHeight="1" spans="1:16">
      <c r="A102" s="4">
        <v>25</v>
      </c>
      <c r="B102" s="4">
        <v>11</v>
      </c>
      <c r="C102" s="4">
        <v>25</v>
      </c>
      <c r="D102" s="93">
        <v>45986</v>
      </c>
      <c r="E102" s="4" t="s">
        <v>154</v>
      </c>
      <c r="F102" s="4">
        <v>22</v>
      </c>
      <c r="G102" s="4" t="s">
        <v>151</v>
      </c>
      <c r="H102" s="4" t="s">
        <v>10</v>
      </c>
      <c r="I102" s="4">
        <v>2850</v>
      </c>
      <c r="J102" s="4">
        <v>700</v>
      </c>
      <c r="K102" s="4">
        <f t="shared" si="2"/>
        <v>63400</v>
      </c>
      <c r="L102" s="4"/>
      <c r="M102" s="4"/>
      <c r="N102" s="4"/>
      <c r="O102" s="4"/>
      <c r="P102" s="4"/>
    </row>
    <row r="103" ht="21" customHeight="1" spans="1:16">
      <c r="A103" s="4">
        <v>25</v>
      </c>
      <c r="B103" s="4">
        <v>11</v>
      </c>
      <c r="C103" s="4">
        <v>27</v>
      </c>
      <c r="D103" s="93">
        <v>45988</v>
      </c>
      <c r="E103" s="4" t="s">
        <v>154</v>
      </c>
      <c r="F103" s="4">
        <v>22</v>
      </c>
      <c r="G103" s="4" t="s">
        <v>151</v>
      </c>
      <c r="H103" s="4" t="s">
        <v>10</v>
      </c>
      <c r="I103" s="4">
        <v>2850</v>
      </c>
      <c r="J103" s="4">
        <v>700</v>
      </c>
      <c r="K103" s="4">
        <f t="shared" si="2"/>
        <v>63400</v>
      </c>
      <c r="L103" s="4"/>
      <c r="M103" s="4"/>
      <c r="N103" s="4"/>
      <c r="O103" s="4"/>
      <c r="P103" s="4"/>
    </row>
    <row r="104" ht="21" customHeight="1" spans="1:16">
      <c r="A104" s="4">
        <v>25</v>
      </c>
      <c r="B104" s="4">
        <v>11</v>
      </c>
      <c r="C104" s="4">
        <v>27</v>
      </c>
      <c r="D104" s="93">
        <v>45988</v>
      </c>
      <c r="E104" s="4" t="s">
        <v>154</v>
      </c>
      <c r="F104" s="4">
        <v>22</v>
      </c>
      <c r="G104" s="4" t="s">
        <v>151</v>
      </c>
      <c r="H104" s="4" t="s">
        <v>10</v>
      </c>
      <c r="I104" s="4">
        <v>2850</v>
      </c>
      <c r="J104" s="4">
        <v>700</v>
      </c>
      <c r="K104" s="4">
        <f t="shared" si="2"/>
        <v>63400</v>
      </c>
      <c r="L104" s="4"/>
      <c r="M104" s="4"/>
      <c r="N104" s="4"/>
      <c r="O104" s="4"/>
      <c r="P104" s="4"/>
    </row>
    <row r="105" ht="21" customHeight="1" spans="1:16">
      <c r="A105" s="4">
        <v>25</v>
      </c>
      <c r="B105" s="4">
        <v>11</v>
      </c>
      <c r="C105" s="4">
        <v>29</v>
      </c>
      <c r="D105" s="93">
        <v>45990</v>
      </c>
      <c r="E105" s="4" t="s">
        <v>154</v>
      </c>
      <c r="F105" s="4">
        <v>22</v>
      </c>
      <c r="G105" s="4" t="s">
        <v>151</v>
      </c>
      <c r="H105" s="4" t="s">
        <v>10</v>
      </c>
      <c r="I105" s="4">
        <v>2850</v>
      </c>
      <c r="J105" s="4">
        <v>700</v>
      </c>
      <c r="K105" s="4">
        <f t="shared" si="2"/>
        <v>63400</v>
      </c>
      <c r="L105" s="4"/>
      <c r="M105" s="4"/>
      <c r="N105" s="4"/>
      <c r="O105" s="4"/>
      <c r="P105" s="4"/>
    </row>
    <row r="106" ht="21" customHeight="1" spans="1:16">
      <c r="A106" s="31">
        <v>25</v>
      </c>
      <c r="B106" s="31">
        <v>12</v>
      </c>
      <c r="C106" s="31">
        <v>9</v>
      </c>
      <c r="D106" s="100">
        <v>46000</v>
      </c>
      <c r="E106" s="31" t="s">
        <v>157</v>
      </c>
      <c r="F106" s="31">
        <f>25*1.1</f>
        <v>27.5</v>
      </c>
      <c r="G106" s="31" t="s">
        <v>158</v>
      </c>
      <c r="H106" s="4" t="s">
        <v>10</v>
      </c>
      <c r="I106" s="4">
        <v>2700</v>
      </c>
      <c r="J106" s="4">
        <v>700</v>
      </c>
      <c r="K106" s="4">
        <f t="shared" si="2"/>
        <v>74950</v>
      </c>
      <c r="L106" s="4" t="s">
        <v>159</v>
      </c>
      <c r="M106" s="4"/>
      <c r="N106" s="4"/>
      <c r="O106" s="4"/>
      <c r="P106" s="4"/>
    </row>
    <row r="107" ht="21" customHeight="1" spans="1:16">
      <c r="A107" s="4">
        <v>25</v>
      </c>
      <c r="B107" s="4">
        <v>12</v>
      </c>
      <c r="C107" s="4">
        <v>28</v>
      </c>
      <c r="D107" s="93">
        <v>46019</v>
      </c>
      <c r="E107" s="4" t="s">
        <v>160</v>
      </c>
      <c r="F107" s="4">
        <v>22</v>
      </c>
      <c r="G107" s="4" t="s">
        <v>151</v>
      </c>
      <c r="H107" s="4" t="s">
        <v>10</v>
      </c>
      <c r="I107" s="4">
        <v>2850</v>
      </c>
      <c r="J107" s="4">
        <v>700</v>
      </c>
      <c r="K107" s="4">
        <f t="shared" si="2"/>
        <v>63400</v>
      </c>
      <c r="L107" s="4"/>
      <c r="M107" s="4"/>
      <c r="N107" s="4"/>
      <c r="O107" s="4"/>
      <c r="P107" s="4"/>
    </row>
    <row r="108" ht="21" customHeight="1" spans="1:16">
      <c r="A108" s="4">
        <v>25</v>
      </c>
      <c r="B108" s="4">
        <v>12</v>
      </c>
      <c r="C108" s="4">
        <v>29</v>
      </c>
      <c r="D108" s="93">
        <v>46019</v>
      </c>
      <c r="E108" s="4" t="s">
        <v>160</v>
      </c>
      <c r="F108" s="4">
        <v>22</v>
      </c>
      <c r="G108" s="4" t="s">
        <v>151</v>
      </c>
      <c r="H108" s="4" t="s">
        <v>10</v>
      </c>
      <c r="I108" s="4">
        <v>2850</v>
      </c>
      <c r="J108" s="4">
        <v>700</v>
      </c>
      <c r="K108" s="4">
        <f t="shared" si="2"/>
        <v>63400</v>
      </c>
      <c r="L108" s="4"/>
      <c r="M108" s="4"/>
      <c r="N108" s="4"/>
      <c r="O108" s="4"/>
      <c r="P108" s="4"/>
    </row>
    <row r="109" ht="21" customHeight="1" spans="1:16">
      <c r="A109" s="4">
        <v>26</v>
      </c>
      <c r="B109" s="4">
        <v>1</v>
      </c>
      <c r="C109" s="4">
        <v>1</v>
      </c>
      <c r="D109" s="93">
        <v>46023</v>
      </c>
      <c r="E109" s="4" t="s">
        <v>161</v>
      </c>
      <c r="F109" s="4">
        <v>22</v>
      </c>
      <c r="G109" s="4" t="s">
        <v>151</v>
      </c>
      <c r="H109" s="4" t="s">
        <v>10</v>
      </c>
      <c r="I109" s="4">
        <v>2850</v>
      </c>
      <c r="J109" s="4">
        <v>700</v>
      </c>
      <c r="K109" s="4">
        <f t="shared" si="2"/>
        <v>63400</v>
      </c>
      <c r="L109" s="4"/>
      <c r="M109" s="4"/>
      <c r="N109" s="4"/>
      <c r="O109" s="4"/>
      <c r="P109" s="4"/>
    </row>
    <row r="110" ht="21" customHeight="1" spans="1:16">
      <c r="A110" s="4">
        <v>26</v>
      </c>
      <c r="B110" s="4">
        <v>1</v>
      </c>
      <c r="C110" s="4">
        <v>14</v>
      </c>
      <c r="D110" s="93">
        <v>46036</v>
      </c>
      <c r="E110" s="4" t="s">
        <v>157</v>
      </c>
      <c r="F110" s="4">
        <v>6.6</v>
      </c>
      <c r="G110" s="4" t="s">
        <v>162</v>
      </c>
      <c r="H110" s="4" t="s">
        <v>10</v>
      </c>
      <c r="I110" s="4">
        <v>3300</v>
      </c>
      <c r="J110" s="4">
        <v>700</v>
      </c>
      <c r="K110" s="4">
        <f t="shared" si="2"/>
        <v>22480</v>
      </c>
      <c r="L110" s="4"/>
      <c r="M110" s="4"/>
      <c r="N110" s="4"/>
      <c r="O110" s="4"/>
      <c r="P110" s="4"/>
    </row>
    <row r="111" ht="21" customHeight="1" spans="1:16">
      <c r="A111" s="4">
        <v>26</v>
      </c>
      <c r="B111" s="4">
        <v>1</v>
      </c>
      <c r="C111" s="4">
        <v>25</v>
      </c>
      <c r="D111" s="93">
        <v>46047</v>
      </c>
      <c r="E111" s="4" t="s">
        <v>157</v>
      </c>
      <c r="F111" s="4">
        <v>24.2</v>
      </c>
      <c r="G111" s="4" t="s">
        <v>148</v>
      </c>
      <c r="H111" s="4" t="s">
        <v>10</v>
      </c>
      <c r="I111" s="4">
        <v>3300</v>
      </c>
      <c r="J111" s="4">
        <v>700</v>
      </c>
      <c r="K111" s="4">
        <f t="shared" si="2"/>
        <v>80560</v>
      </c>
      <c r="L111" s="4"/>
      <c r="M111" s="4"/>
      <c r="N111" s="4"/>
      <c r="O111" s="4"/>
      <c r="P111" s="4"/>
    </row>
    <row r="112" ht="21" customHeight="1" spans="1:16">
      <c r="A112" s="4">
        <v>26</v>
      </c>
      <c r="B112" s="4">
        <v>2</v>
      </c>
      <c r="C112" s="4">
        <v>4</v>
      </c>
      <c r="D112" s="93">
        <v>46057</v>
      </c>
      <c r="E112" s="4" t="s">
        <v>163</v>
      </c>
      <c r="F112" s="4">
        <v>22</v>
      </c>
      <c r="G112" s="4" t="s">
        <v>151</v>
      </c>
      <c r="H112" s="4" t="s">
        <v>10</v>
      </c>
      <c r="I112" s="4">
        <v>3300</v>
      </c>
      <c r="J112" s="4">
        <v>700</v>
      </c>
      <c r="K112" s="4">
        <f t="shared" si="2"/>
        <v>73300</v>
      </c>
      <c r="L112" s="4"/>
      <c r="M112" s="4"/>
      <c r="N112" s="4"/>
      <c r="O112" s="4"/>
      <c r="P112" s="4"/>
    </row>
    <row r="113" ht="21" customHeight="1" spans="1:16">
      <c r="A113" s="4">
        <v>26</v>
      </c>
      <c r="B113" s="4">
        <v>2</v>
      </c>
      <c r="C113" s="4">
        <v>6</v>
      </c>
      <c r="D113" s="93">
        <v>46059</v>
      </c>
      <c r="E113" s="4" t="s">
        <v>164</v>
      </c>
      <c r="F113" s="4">
        <v>22</v>
      </c>
      <c r="G113" s="4" t="s">
        <v>151</v>
      </c>
      <c r="H113" s="4" t="s">
        <v>10</v>
      </c>
      <c r="I113" s="4">
        <v>3300</v>
      </c>
      <c r="J113" s="4">
        <v>700</v>
      </c>
      <c r="K113" s="4">
        <f t="shared" ref="K113:K138" si="3">F113*I113+J113</f>
        <v>73300</v>
      </c>
      <c r="L113" s="4"/>
      <c r="M113" s="4"/>
      <c r="N113" s="4"/>
      <c r="O113" s="4"/>
      <c r="P113" s="4"/>
    </row>
    <row r="114" ht="21" customHeight="1" spans="1:16">
      <c r="A114" s="4">
        <v>26</v>
      </c>
      <c r="B114" s="4">
        <v>2</v>
      </c>
      <c r="C114" s="4">
        <v>7</v>
      </c>
      <c r="D114" s="93">
        <v>46060</v>
      </c>
      <c r="E114" s="4" t="s">
        <v>164</v>
      </c>
      <c r="F114" s="4">
        <v>22</v>
      </c>
      <c r="G114" s="4" t="s">
        <v>151</v>
      </c>
      <c r="H114" s="4" t="s">
        <v>10</v>
      </c>
      <c r="I114" s="4">
        <v>3300</v>
      </c>
      <c r="J114" s="4">
        <v>700</v>
      </c>
      <c r="K114" s="4">
        <f t="shared" si="3"/>
        <v>73300</v>
      </c>
      <c r="L114" s="4"/>
      <c r="M114" s="4"/>
      <c r="N114" s="4"/>
      <c r="O114" s="4"/>
      <c r="P114" s="4"/>
    </row>
    <row r="115" ht="21" customHeight="1" spans="1:16">
      <c r="A115" s="4">
        <v>26</v>
      </c>
      <c r="B115" s="4">
        <v>2</v>
      </c>
      <c r="C115" s="4">
        <v>11</v>
      </c>
      <c r="D115" s="93">
        <v>46064</v>
      </c>
      <c r="E115" s="4" t="s">
        <v>164</v>
      </c>
      <c r="F115" s="4">
        <v>22</v>
      </c>
      <c r="G115" s="4" t="s">
        <v>151</v>
      </c>
      <c r="H115" s="4" t="s">
        <v>10</v>
      </c>
      <c r="I115" s="4">
        <v>3300</v>
      </c>
      <c r="J115" s="4">
        <v>700</v>
      </c>
      <c r="K115" s="4">
        <f t="shared" si="3"/>
        <v>73300</v>
      </c>
      <c r="L115" s="4"/>
      <c r="M115" s="4"/>
      <c r="N115" s="4"/>
      <c r="O115" s="4"/>
      <c r="P115" s="4"/>
    </row>
    <row r="116" ht="21" customHeight="1" spans="1:16">
      <c r="A116" s="4">
        <v>26</v>
      </c>
      <c r="B116" s="4">
        <v>2</v>
      </c>
      <c r="C116" s="4">
        <v>25</v>
      </c>
      <c r="D116" s="93">
        <v>46078</v>
      </c>
      <c r="E116" s="4" t="s">
        <v>165</v>
      </c>
      <c r="F116" s="4">
        <f>1.135*17</f>
        <v>19.295</v>
      </c>
      <c r="G116" s="4" t="s">
        <v>166</v>
      </c>
      <c r="H116" s="4" t="s">
        <v>10</v>
      </c>
      <c r="I116" s="4">
        <v>2450</v>
      </c>
      <c r="J116" s="4">
        <v>1200</v>
      </c>
      <c r="K116" s="4">
        <f t="shared" si="3"/>
        <v>48472.75</v>
      </c>
      <c r="L116" s="4"/>
      <c r="M116" s="4"/>
      <c r="N116" s="4"/>
      <c r="O116" s="4"/>
      <c r="P116" s="4"/>
    </row>
    <row r="117" ht="21" customHeight="1" spans="1:16">
      <c r="A117" s="4">
        <v>26</v>
      </c>
      <c r="B117" s="4">
        <v>3</v>
      </c>
      <c r="C117" s="4">
        <v>1</v>
      </c>
      <c r="D117" s="93">
        <v>46082</v>
      </c>
      <c r="E117" s="4" t="s">
        <v>111</v>
      </c>
      <c r="F117" s="4">
        <v>22</v>
      </c>
      <c r="G117" s="4" t="s">
        <v>151</v>
      </c>
      <c r="H117" s="4" t="s">
        <v>10</v>
      </c>
      <c r="I117" s="4">
        <v>3300</v>
      </c>
      <c r="J117" s="4">
        <v>700</v>
      </c>
      <c r="K117" s="4">
        <f t="shared" si="3"/>
        <v>73300</v>
      </c>
      <c r="L117" s="4"/>
      <c r="M117" s="4"/>
      <c r="N117" s="4"/>
      <c r="O117" s="4"/>
      <c r="P117" s="4"/>
    </row>
    <row r="118" ht="21" customHeight="1" spans="1:16">
      <c r="A118" s="4">
        <v>26</v>
      </c>
      <c r="B118" s="4">
        <v>3</v>
      </c>
      <c r="C118" s="4">
        <v>1</v>
      </c>
      <c r="D118" s="93">
        <v>46082</v>
      </c>
      <c r="E118" s="4" t="s">
        <v>111</v>
      </c>
      <c r="F118" s="4">
        <v>22</v>
      </c>
      <c r="G118" s="4" t="s">
        <v>151</v>
      </c>
      <c r="H118" s="4" t="s">
        <v>10</v>
      </c>
      <c r="I118" s="4">
        <v>3300</v>
      </c>
      <c r="J118" s="4">
        <v>700</v>
      </c>
      <c r="K118" s="4">
        <f t="shared" si="3"/>
        <v>73300</v>
      </c>
      <c r="L118" s="4"/>
      <c r="M118" s="4"/>
      <c r="N118" s="4"/>
      <c r="O118" s="4"/>
      <c r="P118" s="4"/>
    </row>
    <row r="119" ht="21" customHeight="1" spans="1:16">
      <c r="A119" s="4">
        <v>26</v>
      </c>
      <c r="B119" s="4">
        <v>3</v>
      </c>
      <c r="C119" s="4">
        <v>1</v>
      </c>
      <c r="D119" s="93">
        <v>46082</v>
      </c>
      <c r="E119" s="4" t="s">
        <v>167</v>
      </c>
      <c r="F119" s="4">
        <v>22</v>
      </c>
      <c r="G119" s="4" t="s">
        <v>151</v>
      </c>
      <c r="H119" s="4" t="s">
        <v>10</v>
      </c>
      <c r="I119" s="4">
        <v>3300</v>
      </c>
      <c r="J119" s="4">
        <v>700</v>
      </c>
      <c r="K119" s="4">
        <f t="shared" si="3"/>
        <v>73300</v>
      </c>
      <c r="L119" s="4"/>
      <c r="M119" s="4"/>
      <c r="N119" s="4"/>
      <c r="O119" s="4"/>
      <c r="P119" s="4"/>
    </row>
    <row r="120" ht="21" customHeight="1" spans="1:16">
      <c r="A120" s="4">
        <v>26</v>
      </c>
      <c r="B120" s="4">
        <v>3</v>
      </c>
      <c r="C120" s="4">
        <v>2</v>
      </c>
      <c r="D120" s="93">
        <v>46083</v>
      </c>
      <c r="E120" s="4" t="s">
        <v>167</v>
      </c>
      <c r="F120" s="4">
        <v>28.6</v>
      </c>
      <c r="G120" s="4" t="s">
        <v>168</v>
      </c>
      <c r="H120" s="4" t="s">
        <v>10</v>
      </c>
      <c r="I120" s="4">
        <v>3300</v>
      </c>
      <c r="J120" s="4">
        <v>700</v>
      </c>
      <c r="K120" s="4">
        <f t="shared" si="3"/>
        <v>95080</v>
      </c>
      <c r="L120" s="4"/>
      <c r="M120" s="4"/>
      <c r="N120" s="4"/>
      <c r="O120" s="4"/>
      <c r="P120" s="4"/>
    </row>
    <row r="121" ht="21" customHeight="1" spans="1:16">
      <c r="A121" s="4">
        <v>26</v>
      </c>
      <c r="B121" s="4">
        <v>3</v>
      </c>
      <c r="C121" s="4">
        <v>3</v>
      </c>
      <c r="D121" s="93">
        <v>46084</v>
      </c>
      <c r="E121" s="4" t="s">
        <v>167</v>
      </c>
      <c r="F121" s="4">
        <v>24.2</v>
      </c>
      <c r="G121" s="4" t="s">
        <v>148</v>
      </c>
      <c r="H121" s="4" t="s">
        <v>10</v>
      </c>
      <c r="I121" s="4">
        <v>3300</v>
      </c>
      <c r="J121" s="4">
        <v>700</v>
      </c>
      <c r="K121" s="4">
        <f t="shared" si="3"/>
        <v>80560</v>
      </c>
      <c r="L121" s="4"/>
      <c r="M121" s="4"/>
      <c r="N121" s="4"/>
      <c r="O121" s="4"/>
      <c r="P121" s="4"/>
    </row>
    <row r="122" ht="21" customHeight="1" spans="1:16">
      <c r="A122" s="4">
        <v>26</v>
      </c>
      <c r="B122" s="4">
        <v>3</v>
      </c>
      <c r="C122" s="4">
        <v>6</v>
      </c>
      <c r="D122" s="93">
        <v>46087</v>
      </c>
      <c r="E122" s="4" t="s">
        <v>169</v>
      </c>
      <c r="F122" s="4">
        <v>28.6</v>
      </c>
      <c r="G122" s="4" t="s">
        <v>168</v>
      </c>
      <c r="H122" s="4" t="s">
        <v>10</v>
      </c>
      <c r="I122" s="4">
        <v>3300</v>
      </c>
      <c r="J122" s="4">
        <v>750</v>
      </c>
      <c r="K122" s="4">
        <f t="shared" si="3"/>
        <v>95130</v>
      </c>
      <c r="L122" s="4"/>
      <c r="M122" s="4"/>
      <c r="N122" s="4"/>
      <c r="O122" s="4"/>
      <c r="P122" s="4"/>
    </row>
    <row r="123" ht="21" customHeight="1" spans="1:16">
      <c r="A123" s="4">
        <v>26</v>
      </c>
      <c r="B123" s="4">
        <v>3</v>
      </c>
      <c r="C123" s="4">
        <v>8</v>
      </c>
      <c r="D123" s="93">
        <v>46089</v>
      </c>
      <c r="E123" s="4" t="s">
        <v>169</v>
      </c>
      <c r="F123" s="4">
        <v>28.6</v>
      </c>
      <c r="G123" s="4" t="s">
        <v>168</v>
      </c>
      <c r="H123" s="4" t="s">
        <v>10</v>
      </c>
      <c r="I123" s="4">
        <v>3300</v>
      </c>
      <c r="J123" s="4">
        <v>750</v>
      </c>
      <c r="K123" s="4">
        <f t="shared" si="3"/>
        <v>95130</v>
      </c>
      <c r="L123" s="4"/>
      <c r="M123" s="4"/>
      <c r="N123" s="4"/>
      <c r="O123" s="4"/>
      <c r="P123" s="4"/>
    </row>
    <row r="124" ht="21" customHeight="1" spans="1:16">
      <c r="A124" s="4">
        <v>26</v>
      </c>
      <c r="B124" s="4">
        <v>3</v>
      </c>
      <c r="C124" s="4">
        <v>12</v>
      </c>
      <c r="D124" s="93">
        <v>46093</v>
      </c>
      <c r="E124" s="4" t="s">
        <v>169</v>
      </c>
      <c r="F124" s="4">
        <v>26.4</v>
      </c>
      <c r="G124" s="4" t="s">
        <v>170</v>
      </c>
      <c r="H124" s="4" t="s">
        <v>10</v>
      </c>
      <c r="I124" s="4">
        <v>3300</v>
      </c>
      <c r="J124" s="4">
        <v>750</v>
      </c>
      <c r="K124" s="4">
        <f t="shared" si="3"/>
        <v>87870</v>
      </c>
      <c r="L124" s="4"/>
      <c r="M124" s="4"/>
      <c r="N124" s="4"/>
      <c r="O124" s="4"/>
      <c r="P124" s="4"/>
    </row>
    <row r="125" ht="21" customHeight="1" spans="1:16">
      <c r="A125" s="4">
        <v>26</v>
      </c>
      <c r="B125" s="4">
        <v>3</v>
      </c>
      <c r="C125" s="4">
        <v>21</v>
      </c>
      <c r="D125" s="93">
        <v>46102</v>
      </c>
      <c r="E125" s="4" t="s">
        <v>165</v>
      </c>
      <c r="F125" s="4">
        <f>25*1.135</f>
        <v>28.375</v>
      </c>
      <c r="G125" s="4" t="s">
        <v>171</v>
      </c>
      <c r="H125" s="4" t="s">
        <v>10</v>
      </c>
      <c r="I125" s="4">
        <v>2450</v>
      </c>
      <c r="J125" s="4">
        <v>1200</v>
      </c>
      <c r="K125" s="4">
        <f t="shared" si="3"/>
        <v>70718.75</v>
      </c>
      <c r="L125" s="4"/>
      <c r="M125" s="4"/>
      <c r="N125" s="4"/>
      <c r="O125" s="4"/>
      <c r="P125" s="4"/>
    </row>
    <row r="126" ht="21" customHeight="1" spans="1:16">
      <c r="A126" s="4">
        <v>26</v>
      </c>
      <c r="B126" s="4">
        <v>3</v>
      </c>
      <c r="C126" s="4">
        <v>21</v>
      </c>
      <c r="D126" s="93">
        <v>46102</v>
      </c>
      <c r="E126" s="4" t="s">
        <v>165</v>
      </c>
      <c r="F126" s="4">
        <f>25*1.135</f>
        <v>28.375</v>
      </c>
      <c r="G126" s="4" t="s">
        <v>171</v>
      </c>
      <c r="H126" s="4" t="s">
        <v>10</v>
      </c>
      <c r="I126" s="4">
        <v>2450</v>
      </c>
      <c r="J126" s="4">
        <v>1200</v>
      </c>
      <c r="K126" s="4">
        <f t="shared" si="3"/>
        <v>70718.75</v>
      </c>
      <c r="L126" s="4"/>
      <c r="M126" s="4"/>
      <c r="N126" s="4"/>
      <c r="O126" s="4"/>
      <c r="P126" s="4"/>
    </row>
    <row r="127" ht="21" customHeight="1" spans="1:16">
      <c r="A127" s="4">
        <v>26</v>
      </c>
      <c r="B127" s="4">
        <v>3</v>
      </c>
      <c r="C127" s="4">
        <v>21</v>
      </c>
      <c r="D127" s="93">
        <v>46102</v>
      </c>
      <c r="E127" s="4" t="s">
        <v>172</v>
      </c>
      <c r="F127" s="4">
        <f>24*1.1</f>
        <v>26.4</v>
      </c>
      <c r="G127" s="4" t="s">
        <v>170</v>
      </c>
      <c r="H127" s="4" t="s">
        <v>10</v>
      </c>
      <c r="I127" s="4">
        <v>3300</v>
      </c>
      <c r="J127" s="4">
        <v>750</v>
      </c>
      <c r="K127" s="4">
        <f t="shared" si="3"/>
        <v>87870</v>
      </c>
      <c r="L127" s="4"/>
      <c r="M127" s="4"/>
      <c r="N127" s="4"/>
      <c r="O127" s="4"/>
      <c r="P127" s="4"/>
    </row>
    <row r="128" ht="21" customHeight="1" spans="1:16">
      <c r="A128" s="4">
        <v>26</v>
      </c>
      <c r="B128" s="4">
        <v>3</v>
      </c>
      <c r="C128" s="4">
        <v>26</v>
      </c>
      <c r="D128" s="93">
        <v>46107</v>
      </c>
      <c r="E128" s="4" t="s">
        <v>172</v>
      </c>
      <c r="F128" s="4">
        <v>26.4</v>
      </c>
      <c r="G128" s="4" t="s">
        <v>170</v>
      </c>
      <c r="H128" s="4" t="s">
        <v>10</v>
      </c>
      <c r="I128" s="4">
        <v>3300</v>
      </c>
      <c r="J128" s="4">
        <v>750</v>
      </c>
      <c r="K128" s="4">
        <f t="shared" si="3"/>
        <v>87870</v>
      </c>
      <c r="L128" s="4"/>
      <c r="M128" s="4"/>
      <c r="N128" s="4"/>
      <c r="O128" s="4"/>
      <c r="P128" s="4"/>
    </row>
    <row r="129" ht="21" customHeight="1" spans="1:16">
      <c r="A129" s="4">
        <v>26</v>
      </c>
      <c r="B129" s="4">
        <v>3</v>
      </c>
      <c r="C129" s="4">
        <v>28</v>
      </c>
      <c r="D129" s="93">
        <v>46109</v>
      </c>
      <c r="E129" s="4" t="s">
        <v>173</v>
      </c>
      <c r="F129" s="52">
        <v>26.4</v>
      </c>
      <c r="G129" s="4" t="s">
        <v>170</v>
      </c>
      <c r="H129" s="4" t="s">
        <v>10</v>
      </c>
      <c r="I129" s="4">
        <v>3300</v>
      </c>
      <c r="J129" s="4">
        <v>750</v>
      </c>
      <c r="K129" s="4">
        <f t="shared" si="3"/>
        <v>87870</v>
      </c>
      <c r="L129" s="4"/>
      <c r="M129" s="4"/>
      <c r="N129" s="4"/>
      <c r="O129" s="4"/>
      <c r="P129" s="4"/>
    </row>
    <row r="130" ht="21" customHeight="1" spans="1:16">
      <c r="A130" s="4">
        <v>26</v>
      </c>
      <c r="B130" s="4">
        <v>3</v>
      </c>
      <c r="C130" s="4">
        <v>30</v>
      </c>
      <c r="D130" s="93">
        <v>46111</v>
      </c>
      <c r="E130" s="4" t="s">
        <v>173</v>
      </c>
      <c r="F130" s="52">
        <v>26.4</v>
      </c>
      <c r="G130" s="4" t="s">
        <v>170</v>
      </c>
      <c r="H130" s="4" t="s">
        <v>10</v>
      </c>
      <c r="I130" s="4">
        <v>3300</v>
      </c>
      <c r="J130" s="4">
        <v>750</v>
      </c>
      <c r="K130" s="4">
        <f t="shared" si="3"/>
        <v>87870</v>
      </c>
      <c r="L130" s="4"/>
      <c r="M130" s="4"/>
      <c r="N130" s="4"/>
      <c r="O130" s="4"/>
      <c r="P130" s="4"/>
    </row>
    <row r="131" ht="21" customHeight="1" spans="1:16">
      <c r="A131" s="4">
        <v>26</v>
      </c>
      <c r="B131" s="4">
        <v>3</v>
      </c>
      <c r="C131" s="4">
        <v>30</v>
      </c>
      <c r="D131" s="93">
        <v>46111</v>
      </c>
      <c r="E131" s="4" t="s">
        <v>173</v>
      </c>
      <c r="F131" s="52">
        <v>28.6</v>
      </c>
      <c r="G131" s="4" t="s">
        <v>168</v>
      </c>
      <c r="H131" s="4" t="s">
        <v>10</v>
      </c>
      <c r="I131" s="4">
        <v>3300</v>
      </c>
      <c r="J131" s="4">
        <v>750</v>
      </c>
      <c r="K131" s="4">
        <f t="shared" si="3"/>
        <v>95130</v>
      </c>
      <c r="L131" s="4"/>
      <c r="M131" s="4"/>
      <c r="N131" s="4"/>
      <c r="O131" s="4"/>
      <c r="P131" s="4"/>
    </row>
    <row r="132" ht="21" customHeight="1" spans="1:16">
      <c r="A132" s="4">
        <v>26</v>
      </c>
      <c r="B132" s="4">
        <v>3</v>
      </c>
      <c r="C132" s="4">
        <v>31</v>
      </c>
      <c r="D132" s="93">
        <v>46112</v>
      </c>
      <c r="E132" s="4" t="s">
        <v>174</v>
      </c>
      <c r="F132" s="52">
        <v>28.6</v>
      </c>
      <c r="G132" s="4" t="s">
        <v>168</v>
      </c>
      <c r="H132" s="4" t="s">
        <v>10</v>
      </c>
      <c r="I132" s="4">
        <v>3300</v>
      </c>
      <c r="J132" s="4">
        <v>750</v>
      </c>
      <c r="K132" s="4">
        <f t="shared" si="3"/>
        <v>95130</v>
      </c>
      <c r="L132" s="4"/>
      <c r="M132" s="4"/>
      <c r="N132" s="4"/>
      <c r="O132" s="4"/>
      <c r="P132" s="4"/>
    </row>
    <row r="133" ht="21" customHeight="1" spans="1:16">
      <c r="A133" s="4">
        <v>26</v>
      </c>
      <c r="B133" s="4">
        <v>3</v>
      </c>
      <c r="C133" s="4">
        <v>31</v>
      </c>
      <c r="D133" s="93">
        <v>46112</v>
      </c>
      <c r="E133" s="4" t="s">
        <v>174</v>
      </c>
      <c r="F133" s="52">
        <v>28.6</v>
      </c>
      <c r="G133" s="4" t="s">
        <v>168</v>
      </c>
      <c r="H133" s="4" t="s">
        <v>10</v>
      </c>
      <c r="I133" s="4">
        <v>3300</v>
      </c>
      <c r="J133" s="4">
        <v>750</v>
      </c>
      <c r="K133" s="4">
        <f t="shared" si="3"/>
        <v>95130</v>
      </c>
      <c r="L133" s="4"/>
      <c r="M133" s="4"/>
      <c r="N133" s="4"/>
      <c r="O133" s="4"/>
      <c r="P133" s="4"/>
    </row>
    <row r="134" ht="21" customHeight="1" spans="1:16">
      <c r="A134" s="4">
        <v>26</v>
      </c>
      <c r="B134" s="4">
        <v>3</v>
      </c>
      <c r="C134" s="4">
        <v>31</v>
      </c>
      <c r="D134" s="93">
        <v>46112</v>
      </c>
      <c r="E134" s="4" t="s">
        <v>174</v>
      </c>
      <c r="F134" s="52">
        <v>28.6</v>
      </c>
      <c r="G134" s="4" t="s">
        <v>168</v>
      </c>
      <c r="H134" s="4" t="s">
        <v>10</v>
      </c>
      <c r="I134" s="4">
        <v>3300</v>
      </c>
      <c r="J134" s="4">
        <v>750</v>
      </c>
      <c r="K134" s="4">
        <f t="shared" si="3"/>
        <v>95130</v>
      </c>
      <c r="L134" s="4"/>
      <c r="M134" s="4"/>
      <c r="N134" s="4"/>
      <c r="O134" s="4"/>
      <c r="P134" s="4"/>
    </row>
    <row r="135" ht="21" customHeight="1" spans="1:16">
      <c r="A135" s="4">
        <v>26</v>
      </c>
      <c r="B135" s="4">
        <v>4</v>
      </c>
      <c r="C135" s="4">
        <v>1</v>
      </c>
      <c r="D135" s="93">
        <v>46113</v>
      </c>
      <c r="E135" s="4"/>
      <c r="F135" s="4">
        <v>28.6</v>
      </c>
      <c r="G135" s="4" t="s">
        <v>168</v>
      </c>
      <c r="H135" s="4" t="s">
        <v>10</v>
      </c>
      <c r="I135" s="4">
        <v>3300</v>
      </c>
      <c r="J135" s="4">
        <v>750</v>
      </c>
      <c r="K135" s="4">
        <f t="shared" si="3"/>
        <v>95130</v>
      </c>
      <c r="L135" s="4"/>
      <c r="M135" s="4"/>
      <c r="N135" s="4"/>
      <c r="O135" s="4"/>
      <c r="P135" s="4"/>
    </row>
    <row r="136" ht="21" customHeight="1" spans="1:16">
      <c r="A136" s="4">
        <v>26</v>
      </c>
      <c r="B136" s="4">
        <v>4</v>
      </c>
      <c r="C136" s="4">
        <v>1</v>
      </c>
      <c r="D136" s="93">
        <v>46115</v>
      </c>
      <c r="E136" s="4" t="s">
        <v>165</v>
      </c>
      <c r="F136" s="4">
        <v>24.97</v>
      </c>
      <c r="G136" s="4" t="s">
        <v>175</v>
      </c>
      <c r="H136" s="4" t="s">
        <v>10</v>
      </c>
      <c r="I136" s="4">
        <v>2450</v>
      </c>
      <c r="J136" s="4">
        <v>1000</v>
      </c>
      <c r="K136" s="4">
        <f t="shared" si="3"/>
        <v>62176.5</v>
      </c>
      <c r="L136" s="4"/>
      <c r="M136" s="4"/>
      <c r="N136" s="4"/>
      <c r="O136" s="4"/>
      <c r="P136" s="4"/>
    </row>
    <row r="137" ht="21" customHeight="1" spans="1:16">
      <c r="A137" s="4">
        <v>26</v>
      </c>
      <c r="B137" s="4">
        <v>4</v>
      </c>
      <c r="C137" s="4">
        <v>2</v>
      </c>
      <c r="D137" s="93">
        <v>46114</v>
      </c>
      <c r="E137" s="4"/>
      <c r="F137" s="4">
        <v>26.4</v>
      </c>
      <c r="G137" s="4" t="s">
        <v>170</v>
      </c>
      <c r="H137" s="4" t="s">
        <v>10</v>
      </c>
      <c r="I137" s="4">
        <v>3300</v>
      </c>
      <c r="J137" s="4">
        <v>750</v>
      </c>
      <c r="K137" s="4">
        <f>F138*I137+J137</f>
        <v>95130</v>
      </c>
      <c r="L137" s="4"/>
      <c r="M137" s="4"/>
      <c r="N137" s="4"/>
      <c r="O137" s="4"/>
      <c r="P137" s="4"/>
    </row>
    <row r="138" ht="21" customHeight="1" spans="1:16">
      <c r="A138" s="4">
        <v>26</v>
      </c>
      <c r="B138" s="4">
        <v>4</v>
      </c>
      <c r="C138" s="4">
        <v>3</v>
      </c>
      <c r="D138" s="93">
        <v>46115</v>
      </c>
      <c r="E138" s="4"/>
      <c r="F138" s="4">
        <v>28.6</v>
      </c>
      <c r="G138" s="4" t="s">
        <v>168</v>
      </c>
      <c r="H138" s="4" t="s">
        <v>10</v>
      </c>
      <c r="I138" s="4">
        <v>3300</v>
      </c>
      <c r="J138" s="4">
        <v>750</v>
      </c>
      <c r="K138" s="4">
        <f>F137*I138+J138</f>
        <v>87870</v>
      </c>
      <c r="L138" s="4"/>
      <c r="M138" s="4"/>
      <c r="N138" s="4"/>
      <c r="O138" s="4"/>
      <c r="P138" s="4"/>
    </row>
    <row r="139" ht="21" customHeight="1" spans="1:16">
      <c r="A139" s="4">
        <v>26</v>
      </c>
      <c r="B139" s="4">
        <v>6</v>
      </c>
      <c r="C139" s="4">
        <v>19</v>
      </c>
      <c r="D139" s="93">
        <v>46192</v>
      </c>
      <c r="E139" s="4"/>
      <c r="F139" s="1">
        <v>24.2</v>
      </c>
      <c r="G139" s="1" t="s">
        <v>148</v>
      </c>
      <c r="H139" s="4" t="s">
        <v>10</v>
      </c>
      <c r="I139" s="4">
        <v>3300</v>
      </c>
      <c r="J139" s="4">
        <v>750</v>
      </c>
      <c r="K139" s="4">
        <f>F138*I139+J139</f>
        <v>95130</v>
      </c>
      <c r="L139" s="4"/>
      <c r="M139" s="4"/>
      <c r="N139" s="4"/>
      <c r="O139" s="4"/>
      <c r="P139" s="4"/>
    </row>
    <row r="140" ht="21" customHeight="1" spans="1:16">
      <c r="A140" s="4">
        <v>26</v>
      </c>
      <c r="B140" s="4">
        <v>7</v>
      </c>
      <c r="C140" s="4">
        <v>21</v>
      </c>
      <c r="D140" s="93">
        <v>46224</v>
      </c>
      <c r="E140" s="4"/>
      <c r="F140" s="4">
        <v>28.6</v>
      </c>
      <c r="G140" s="4" t="s">
        <v>168</v>
      </c>
      <c r="H140" s="4" t="s">
        <v>10</v>
      </c>
      <c r="I140" s="4">
        <v>3500</v>
      </c>
      <c r="J140" s="4">
        <v>800</v>
      </c>
      <c r="K140" s="4">
        <f>F140*I140+J140</f>
        <v>100900</v>
      </c>
      <c r="L140" s="4"/>
      <c r="M140" s="4"/>
      <c r="N140" s="4"/>
      <c r="O140" s="4"/>
      <c r="P140" s="4"/>
    </row>
    <row r="141" ht="21" customHeight="1" spans="1:16">
      <c r="A141" s="4">
        <v>26</v>
      </c>
      <c r="B141" s="4">
        <v>7</v>
      </c>
      <c r="C141" s="4">
        <v>22</v>
      </c>
      <c r="D141" s="93">
        <v>46225</v>
      </c>
      <c r="E141" s="4"/>
      <c r="F141" s="4">
        <v>28.6</v>
      </c>
      <c r="G141" s="4" t="s">
        <v>168</v>
      </c>
      <c r="H141" s="4" t="s">
        <v>10</v>
      </c>
      <c r="I141" s="4">
        <v>3500</v>
      </c>
      <c r="J141" s="4">
        <v>800</v>
      </c>
      <c r="K141" s="4">
        <f>F141*I141+J141</f>
        <v>100900</v>
      </c>
      <c r="L141" s="4"/>
      <c r="M141" s="4"/>
      <c r="N141" s="4"/>
      <c r="O141" s="4"/>
      <c r="P141" s="4"/>
    </row>
    <row r="142" ht="21" customHeight="1" spans="1:16">
      <c r="A142" s="4">
        <v>26</v>
      </c>
      <c r="B142" s="4">
        <v>7</v>
      </c>
      <c r="C142" s="4">
        <v>22</v>
      </c>
      <c r="D142" s="93">
        <v>46225</v>
      </c>
      <c r="E142" s="4"/>
      <c r="F142" s="4">
        <v>28.6</v>
      </c>
      <c r="G142" s="4" t="s">
        <v>168</v>
      </c>
      <c r="H142" s="4" t="s">
        <v>10</v>
      </c>
      <c r="I142" s="4">
        <v>3500</v>
      </c>
      <c r="J142" s="4">
        <v>800</v>
      </c>
      <c r="K142" s="4">
        <f>F142*I142+J142</f>
        <v>100900</v>
      </c>
      <c r="L142" s="4"/>
      <c r="M142" s="4"/>
      <c r="N142" s="4"/>
      <c r="O142" s="4"/>
      <c r="P142" s="4"/>
    </row>
    <row r="143" ht="21" customHeight="1" spans="1:16">
      <c r="A143" s="4">
        <v>26</v>
      </c>
      <c r="B143" s="4">
        <v>7</v>
      </c>
      <c r="C143" s="4">
        <v>23</v>
      </c>
      <c r="D143" s="93">
        <v>46226</v>
      </c>
      <c r="E143" s="4"/>
      <c r="F143" s="4">
        <v>28.6</v>
      </c>
      <c r="G143" s="4" t="s">
        <v>168</v>
      </c>
      <c r="H143" s="4" t="s">
        <v>10</v>
      </c>
      <c r="I143" s="4">
        <v>3500</v>
      </c>
      <c r="J143" s="4">
        <v>800</v>
      </c>
      <c r="K143" s="4">
        <f>F143*I143+J143</f>
        <v>100900</v>
      </c>
      <c r="L143" s="4"/>
      <c r="M143" s="4"/>
      <c r="N143" s="4"/>
      <c r="O143" s="4"/>
      <c r="P143" s="4"/>
    </row>
    <row r="144" ht="21" customHeight="1" spans="1:16">
      <c r="A144" s="4">
        <v>26</v>
      </c>
      <c r="B144" s="4">
        <v>7</v>
      </c>
      <c r="C144" s="4">
        <v>24</v>
      </c>
      <c r="D144" s="93">
        <v>46227</v>
      </c>
      <c r="E144" s="4"/>
      <c r="F144" s="4">
        <v>28.6</v>
      </c>
      <c r="G144" s="4" t="s">
        <v>168</v>
      </c>
      <c r="H144" s="4" t="s">
        <v>10</v>
      </c>
      <c r="I144" s="4">
        <v>3500</v>
      </c>
      <c r="J144" s="4">
        <v>800</v>
      </c>
      <c r="K144" s="4">
        <f>F144*I144+J144</f>
        <v>100900</v>
      </c>
      <c r="L144" s="4"/>
      <c r="M144" s="4"/>
      <c r="N144" s="4"/>
      <c r="O144" s="4"/>
      <c r="P144" s="4"/>
    </row>
    <row r="145" ht="21" customHeight="1" spans="1:16">
      <c r="A145" s="4"/>
      <c r="B145" s="4"/>
      <c r="C145" s="4"/>
      <c r="D145" s="9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21" customHeight="1" spans="1:16">
      <c r="A146" s="4"/>
      <c r="B146" s="4"/>
      <c r="C146" s="4"/>
      <c r="D146" s="9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21" customHeight="1" spans="1:16">
      <c r="A147" s="4"/>
      <c r="B147" s="4"/>
      <c r="C147" s="4"/>
      <c r="D147" s="9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21" customHeight="1" spans="1:16">
      <c r="A148" s="4"/>
      <c r="B148" s="4"/>
      <c r="C148" s="4"/>
      <c r="D148" s="9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21" customHeight="1" spans="1:16">
      <c r="A149" s="4"/>
      <c r="B149" s="4"/>
      <c r="C149" s="4"/>
      <c r="D149" s="9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21" customHeight="1" spans="1:16">
      <c r="A150" s="4"/>
      <c r="B150" s="4"/>
      <c r="C150" s="4"/>
      <c r="D150" s="9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</sheetData>
  <mergeCells count="12">
    <mergeCell ref="A2:C2"/>
    <mergeCell ref="D2:D3"/>
    <mergeCell ref="E2:E3"/>
    <mergeCell ref="F2:F3"/>
    <mergeCell ref="G2:G3"/>
    <mergeCell ref="H2:H3"/>
    <mergeCell ref="I2:I3"/>
    <mergeCell ref="J2:J3"/>
    <mergeCell ref="K2:K3"/>
    <mergeCell ref="N2:N3"/>
    <mergeCell ref="O2:O3"/>
    <mergeCell ref="P2:P3"/>
  </mergeCells>
  <printOptions gridLines="1"/>
  <pageMargins left="0.751388888888889" right="0.751388888888889" top="0.472222222222222" bottom="0.511805555555556" header="0.393055555555556" footer="0.314583333333333"/>
  <pageSetup paperSize="9" orientation="landscape" horizontalDpi="600"/>
  <headerFooter>
    <oddFooter>&amp;L制表人：付立书</oddFooter>
  </headerFooter>
  <ignoredErrors>
    <ignoredError sqref="C10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opLeftCell="A36" workbookViewId="0">
      <selection activeCell="D55" sqref="D55"/>
    </sheetView>
  </sheetViews>
  <sheetFormatPr defaultColWidth="9" defaultRowHeight="13.5"/>
  <cols>
    <col min="1" max="1" width="4.75" customWidth="1"/>
    <col min="2" max="2" width="4.375" customWidth="1"/>
    <col min="3" max="3" width="4.75" customWidth="1"/>
    <col min="4" max="4" width="29.125" customWidth="1"/>
    <col min="5" max="8" width="12.25" customWidth="1"/>
    <col min="9" max="9" width="13.875" customWidth="1"/>
    <col min="10" max="10" width="13.375" customWidth="1"/>
    <col min="11" max="11" width="14.0666666666667" customWidth="1"/>
    <col min="12" max="12" width="18.7416666666667" customWidth="1"/>
    <col min="13" max="14" width="12.625"/>
  </cols>
  <sheetData>
    <row r="1" ht="33" customHeight="1" spans="1:13">
      <c r="B1" s="47" t="s">
        <v>176</v>
      </c>
      <c r="C1" s="47"/>
      <c r="D1" s="47"/>
      <c r="E1" s="47"/>
      <c r="F1" s="47"/>
      <c r="G1" s="47"/>
      <c r="H1" s="47"/>
      <c r="I1" s="47"/>
      <c r="J1" s="47"/>
      <c r="K1" s="47"/>
    </row>
    <row r="2" s="1" customFormat="1" ht="21" customHeight="1" spans="1:13">
      <c r="A2" s="83" t="s">
        <v>1</v>
      </c>
      <c r="B2" s="84"/>
      <c r="C2" s="85"/>
      <c r="D2" s="4" t="s">
        <v>2</v>
      </c>
      <c r="E2" s="4" t="s">
        <v>113</v>
      </c>
      <c r="F2" s="4" t="s">
        <v>41</v>
      </c>
      <c r="G2" s="4" t="s">
        <v>122</v>
      </c>
      <c r="H2" s="86" t="s">
        <v>42</v>
      </c>
      <c r="I2" s="4" t="s">
        <v>114</v>
      </c>
      <c r="J2" s="4" t="s">
        <v>46</v>
      </c>
      <c r="K2" s="4" t="s">
        <v>47</v>
      </c>
      <c r="L2" s="4" t="s">
        <v>42</v>
      </c>
    </row>
    <row r="3" s="1" customFormat="1" ht="21" customHeight="1" spans="1:13">
      <c r="A3" s="4" t="s">
        <v>95</v>
      </c>
      <c r="B3" s="4" t="s">
        <v>96</v>
      </c>
      <c r="C3" s="4" t="s">
        <v>97</v>
      </c>
      <c r="D3" s="4"/>
      <c r="E3" s="4"/>
      <c r="F3" s="4"/>
      <c r="G3" s="4"/>
      <c r="H3" s="87"/>
      <c r="I3" s="4"/>
      <c r="J3" s="4"/>
      <c r="K3" s="4"/>
      <c r="L3" s="4"/>
    </row>
    <row r="4" s="1" customFormat="1" ht="21" customHeight="1" spans="1:13">
      <c r="A4" s="4">
        <v>22</v>
      </c>
      <c r="B4" s="4">
        <v>10</v>
      </c>
      <c r="C4" s="4">
        <v>28</v>
      </c>
      <c r="D4" s="4" t="s">
        <v>98</v>
      </c>
      <c r="E4" s="4">
        <v>96</v>
      </c>
      <c r="F4" s="4"/>
      <c r="G4" s="4"/>
      <c r="H4" s="4"/>
      <c r="I4" s="4"/>
      <c r="J4" s="4"/>
      <c r="K4" s="4"/>
      <c r="L4" s="4">
        <v>3360</v>
      </c>
      <c r="M4" s="1">
        <f>L4/E4</f>
        <v>35</v>
      </c>
    </row>
    <row r="5" s="1" customFormat="1" ht="21" customHeight="1" spans="1:13">
      <c r="A5" s="4">
        <v>23</v>
      </c>
      <c r="B5" s="4">
        <v>1</v>
      </c>
      <c r="C5" s="4">
        <v>8</v>
      </c>
      <c r="D5" s="4" t="s">
        <v>100</v>
      </c>
      <c r="E5" s="4">
        <v>200</v>
      </c>
      <c r="F5" s="4"/>
      <c r="G5" s="4"/>
      <c r="H5" s="4"/>
      <c r="I5" s="4"/>
      <c r="J5" s="4"/>
      <c r="K5" s="4"/>
      <c r="L5" s="4">
        <v>8000</v>
      </c>
      <c r="M5" s="1">
        <f>L5/E5</f>
        <v>40</v>
      </c>
    </row>
    <row r="6" s="1" customFormat="1" ht="21" customHeight="1" spans="1:13">
      <c r="A6" s="4">
        <v>23</v>
      </c>
      <c r="B6" s="4">
        <v>3</v>
      </c>
      <c r="C6" s="4">
        <v>6</v>
      </c>
      <c r="D6" s="4" t="s">
        <v>127</v>
      </c>
      <c r="E6" s="4">
        <v>320</v>
      </c>
      <c r="F6" s="4"/>
      <c r="G6" s="4"/>
      <c r="H6" s="4"/>
      <c r="I6" s="4"/>
      <c r="J6" s="4"/>
      <c r="K6" s="4"/>
      <c r="L6" s="4">
        <v>12800</v>
      </c>
      <c r="M6" s="1">
        <f>L6/E6</f>
        <v>40</v>
      </c>
    </row>
    <row r="7" s="1" customFormat="1" ht="21" customHeight="1" spans="1:13">
      <c r="A7" s="4">
        <v>23</v>
      </c>
      <c r="B7" s="4">
        <v>5</v>
      </c>
      <c r="C7" s="4">
        <v>2</v>
      </c>
      <c r="D7" s="4" t="s">
        <v>102</v>
      </c>
      <c r="E7" s="4">
        <v>640</v>
      </c>
      <c r="F7" s="4"/>
      <c r="G7" s="4"/>
      <c r="H7" s="4"/>
      <c r="I7" s="4"/>
      <c r="J7" s="4"/>
      <c r="K7" s="4"/>
      <c r="L7" s="4">
        <v>25600</v>
      </c>
      <c r="M7" s="1">
        <f>L7/E7</f>
        <v>40</v>
      </c>
    </row>
    <row r="8" s="1" customFormat="1" ht="21" customHeight="1" spans="1:13">
      <c r="A8" s="4">
        <v>23</v>
      </c>
      <c r="B8" s="4">
        <v>6</v>
      </c>
      <c r="C8" s="4">
        <v>10</v>
      </c>
      <c r="D8" s="4" t="s">
        <v>103</v>
      </c>
      <c r="E8" s="4">
        <v>704</v>
      </c>
      <c r="F8" s="4"/>
      <c r="G8" s="4"/>
      <c r="H8" s="4"/>
      <c r="I8" s="4">
        <v>1424</v>
      </c>
      <c r="J8" s="4"/>
      <c r="K8" s="4">
        <v>536</v>
      </c>
      <c r="L8" s="4"/>
      <c r="M8" s="1">
        <f>L8/E8</f>
        <v>0</v>
      </c>
    </row>
    <row r="9" s="1" customFormat="1" ht="21" customHeight="1" spans="1:13">
      <c r="A9" s="4">
        <v>23</v>
      </c>
      <c r="B9" s="4"/>
      <c r="C9" s="4"/>
      <c r="D9" s="4"/>
      <c r="E9" s="4"/>
      <c r="F9" s="4"/>
      <c r="G9" s="4"/>
      <c r="H9" s="4"/>
      <c r="I9" s="4"/>
      <c r="J9" s="4"/>
      <c r="K9" s="4">
        <f>K8+E9-I9</f>
        <v>536</v>
      </c>
      <c r="L9" s="4"/>
    </row>
    <row r="10" s="1" customFormat="1" ht="21" customHeight="1" spans="1:13">
      <c r="A10" s="4">
        <v>23</v>
      </c>
      <c r="B10" s="4">
        <v>7</v>
      </c>
      <c r="C10" s="4">
        <v>31</v>
      </c>
      <c r="D10" s="31" t="s">
        <v>177</v>
      </c>
      <c r="E10" s="4"/>
      <c r="F10" s="4"/>
      <c r="G10" s="4"/>
      <c r="H10" s="4"/>
      <c r="I10" s="4">
        <v>292</v>
      </c>
      <c r="J10" s="4"/>
      <c r="K10" s="4">
        <f t="shared" ref="K10:K18" si="0">K9+E10-I10</f>
        <v>244</v>
      </c>
      <c r="L10" s="4"/>
    </row>
    <row r="11" s="1" customFormat="1" ht="21" customHeight="1" spans="1:13">
      <c r="A11" s="4">
        <v>23</v>
      </c>
      <c r="B11" s="4"/>
      <c r="C11" s="4"/>
      <c r="D11" s="4" t="s">
        <v>178</v>
      </c>
      <c r="E11" s="4"/>
      <c r="F11" s="4"/>
      <c r="G11" s="4"/>
      <c r="H11" s="4"/>
      <c r="I11" s="4">
        <v>-78</v>
      </c>
      <c r="J11" s="4"/>
      <c r="K11" s="4">
        <f t="shared" si="0"/>
        <v>322</v>
      </c>
      <c r="L11" s="4"/>
    </row>
    <row r="12" s="1" customFormat="1" ht="21" customHeight="1" spans="1:13">
      <c r="A12" s="4">
        <v>23</v>
      </c>
      <c r="B12" s="4">
        <v>8</v>
      </c>
      <c r="C12" s="4">
        <v>18</v>
      </c>
      <c r="D12" s="4" t="s">
        <v>103</v>
      </c>
      <c r="E12" s="4">
        <v>700</v>
      </c>
      <c r="F12" s="4"/>
      <c r="G12" s="4"/>
      <c r="H12" s="4"/>
      <c r="I12" s="4"/>
      <c r="J12" s="4"/>
      <c r="K12" s="4">
        <f t="shared" si="0"/>
        <v>1022</v>
      </c>
      <c r="L12" s="4"/>
    </row>
    <row r="13" s="1" customFormat="1" ht="21" customHeight="1" spans="1:13">
      <c r="A13" s="4">
        <v>23</v>
      </c>
      <c r="B13" s="4">
        <v>8</v>
      </c>
      <c r="C13" s="4">
        <v>31</v>
      </c>
      <c r="D13" s="31" t="s">
        <v>179</v>
      </c>
      <c r="E13" s="4"/>
      <c r="F13" s="4"/>
      <c r="G13" s="4"/>
      <c r="H13" s="4"/>
      <c r="I13" s="4">
        <v>394</v>
      </c>
      <c r="J13" s="4"/>
      <c r="K13" s="4">
        <f t="shared" si="0"/>
        <v>628</v>
      </c>
      <c r="L13" s="4"/>
    </row>
    <row r="14" s="1" customFormat="1" ht="21" customHeight="1" spans="1:13">
      <c r="A14" s="4">
        <v>23</v>
      </c>
      <c r="B14" s="4">
        <v>9</v>
      </c>
      <c r="C14" s="4">
        <v>30</v>
      </c>
      <c r="D14" s="31" t="s">
        <v>180</v>
      </c>
      <c r="E14" s="4"/>
      <c r="F14" s="4"/>
      <c r="G14" s="4"/>
      <c r="H14" s="4"/>
      <c r="I14" s="4">
        <f>694+270+410-236</f>
        <v>1138</v>
      </c>
      <c r="J14" s="4"/>
      <c r="K14" s="4">
        <f t="shared" si="0"/>
        <v>-510</v>
      </c>
      <c r="L14" s="4"/>
    </row>
    <row r="15" s="1" customFormat="1" ht="21" customHeight="1" spans="1:13">
      <c r="A15" s="4">
        <v>23</v>
      </c>
      <c r="B15" s="4">
        <v>10</v>
      </c>
      <c r="C15" s="4">
        <v>23</v>
      </c>
      <c r="D15" s="4" t="s">
        <v>104</v>
      </c>
      <c r="E15" s="4">
        <v>270</v>
      </c>
      <c r="F15" s="4"/>
      <c r="G15" s="4"/>
      <c r="H15" s="4"/>
      <c r="I15" s="88"/>
      <c r="J15" s="4"/>
      <c r="K15" s="4">
        <f t="shared" ref="K15:K30" si="1">K14+E15-I15</f>
        <v>-240</v>
      </c>
      <c r="L15" s="86">
        <v>28500</v>
      </c>
    </row>
    <row r="16" s="1" customFormat="1" ht="21" customHeight="1" spans="1:13">
      <c r="A16" s="4">
        <v>23</v>
      </c>
      <c r="B16" s="4">
        <v>10</v>
      </c>
      <c r="C16" s="4">
        <v>31</v>
      </c>
      <c r="D16" s="4" t="s">
        <v>104</v>
      </c>
      <c r="E16" s="4">
        <v>410</v>
      </c>
      <c r="F16" s="4"/>
      <c r="G16" s="4"/>
      <c r="H16" s="4"/>
      <c r="I16" s="88"/>
      <c r="J16" s="4"/>
      <c r="K16" s="4">
        <f t="shared" si="1"/>
        <v>170</v>
      </c>
      <c r="L16" s="87"/>
    </row>
    <row r="17" s="1" customFormat="1" ht="21" customHeight="1" spans="1:14">
      <c r="A17" s="4">
        <v>23</v>
      </c>
      <c r="B17" s="4">
        <v>12</v>
      </c>
      <c r="C17" s="4">
        <v>1</v>
      </c>
      <c r="D17" s="4" t="s">
        <v>132</v>
      </c>
      <c r="E17" s="4">
        <v>704</v>
      </c>
      <c r="F17" s="4"/>
      <c r="G17" s="4"/>
      <c r="H17" s="4"/>
      <c r="I17" s="88"/>
      <c r="J17" s="4"/>
      <c r="K17" s="4">
        <f t="shared" si="1"/>
        <v>874</v>
      </c>
      <c r="L17" s="4">
        <v>25340</v>
      </c>
    </row>
    <row r="18" s="1" customFormat="1" ht="21" customHeight="1" spans="1:14">
      <c r="A18" s="4">
        <v>23</v>
      </c>
      <c r="B18" s="4">
        <v>11</v>
      </c>
      <c r="C18" s="4">
        <v>13</v>
      </c>
      <c r="D18" s="4" t="s">
        <v>181</v>
      </c>
      <c r="E18" s="4"/>
      <c r="F18" s="4"/>
      <c r="G18" s="4"/>
      <c r="H18" s="4"/>
      <c r="I18" s="4">
        <v>62</v>
      </c>
      <c r="J18" s="4"/>
      <c r="K18" s="4">
        <f t="shared" si="1"/>
        <v>812</v>
      </c>
      <c r="L18" s="4"/>
    </row>
    <row r="19" s="1" customFormat="1" ht="21" customHeight="1" spans="1:14">
      <c r="A19" s="4">
        <v>23</v>
      </c>
      <c r="B19" s="4">
        <v>12</v>
      </c>
      <c r="C19" s="4">
        <v>3</v>
      </c>
      <c r="D19" s="86" t="s">
        <v>182</v>
      </c>
      <c r="E19" s="4"/>
      <c r="F19" s="4"/>
      <c r="G19" s="4"/>
      <c r="H19" s="4"/>
      <c r="I19" s="4">
        <v>58</v>
      </c>
      <c r="J19" s="4"/>
      <c r="K19" s="4">
        <f t="shared" si="1"/>
        <v>754</v>
      </c>
      <c r="L19" s="4"/>
    </row>
    <row r="20" s="1" customFormat="1" ht="21" customHeight="1" spans="1:14">
      <c r="A20" s="4">
        <v>23</v>
      </c>
      <c r="B20" s="4">
        <v>12</v>
      </c>
      <c r="C20" s="4">
        <v>6</v>
      </c>
      <c r="D20" s="87"/>
      <c r="E20" s="4"/>
      <c r="F20" s="4"/>
      <c r="G20" s="4"/>
      <c r="H20" s="4"/>
      <c r="I20" s="4">
        <v>60</v>
      </c>
      <c r="J20" s="4"/>
      <c r="K20" s="4">
        <f t="shared" si="1"/>
        <v>694</v>
      </c>
      <c r="L20" s="4"/>
    </row>
    <row r="21" s="1" customFormat="1" ht="21" customHeight="1" spans="1:14">
      <c r="A21" s="4">
        <v>24</v>
      </c>
      <c r="B21" s="4">
        <v>1</v>
      </c>
      <c r="C21" s="4">
        <v>24</v>
      </c>
      <c r="D21" s="4" t="s">
        <v>133</v>
      </c>
      <c r="E21" s="4">
        <v>64</v>
      </c>
      <c r="F21" s="4"/>
      <c r="G21" s="4"/>
      <c r="H21" s="4">
        <v>2240</v>
      </c>
      <c r="I21" s="4"/>
      <c r="J21" s="4"/>
      <c r="K21" s="4">
        <f t="shared" si="1"/>
        <v>758</v>
      </c>
      <c r="L21" s="4"/>
      <c r="M21" s="1">
        <v>2240</v>
      </c>
      <c r="N21" s="1">
        <f t="shared" ref="N21:N27" si="2">M21/E21</f>
        <v>35</v>
      </c>
    </row>
    <row r="22" s="1" customFormat="1" ht="21" customHeight="1" spans="1:14">
      <c r="A22" s="4">
        <v>24</v>
      </c>
      <c r="B22" s="4">
        <v>1</v>
      </c>
      <c r="C22" s="4">
        <v>24</v>
      </c>
      <c r="D22" s="4" t="s">
        <v>133</v>
      </c>
      <c r="E22" s="4">
        <v>640</v>
      </c>
      <c r="F22" s="4"/>
      <c r="G22" s="4"/>
      <c r="H22" s="4">
        <v>22400</v>
      </c>
      <c r="I22" s="4"/>
      <c r="J22" s="4"/>
      <c r="K22" s="4">
        <f t="shared" si="1"/>
        <v>1398</v>
      </c>
      <c r="L22" s="4"/>
      <c r="M22" s="1">
        <v>22400</v>
      </c>
      <c r="N22" s="1">
        <f t="shared" si="2"/>
        <v>35</v>
      </c>
    </row>
    <row r="23" s="1" customFormat="1" ht="21" customHeight="1" spans="1:14">
      <c r="A23" s="4">
        <v>24</v>
      </c>
      <c r="B23" s="4">
        <v>4</v>
      </c>
      <c r="C23" s="4">
        <v>18</v>
      </c>
      <c r="D23" s="4" t="s">
        <v>136</v>
      </c>
      <c r="E23" s="4">
        <v>280</v>
      </c>
      <c r="F23" s="4"/>
      <c r="G23" s="4"/>
      <c r="H23" s="4">
        <v>9800</v>
      </c>
      <c r="I23" s="4"/>
      <c r="J23" s="4"/>
      <c r="K23" s="4">
        <f t="shared" si="1"/>
        <v>1678</v>
      </c>
      <c r="L23" s="4"/>
      <c r="M23" s="1">
        <v>9800</v>
      </c>
      <c r="N23" s="1">
        <f t="shared" si="2"/>
        <v>35</v>
      </c>
    </row>
    <row r="24" s="1" customFormat="1" ht="21" customHeight="1" spans="1:14">
      <c r="A24" s="4">
        <v>24</v>
      </c>
      <c r="B24" s="4">
        <v>5</v>
      </c>
      <c r="C24" s="4">
        <v>3</v>
      </c>
      <c r="D24" s="4" t="s">
        <v>136</v>
      </c>
      <c r="E24" s="4">
        <v>384</v>
      </c>
      <c r="F24" s="4"/>
      <c r="G24" s="4"/>
      <c r="H24" s="4">
        <v>13440</v>
      </c>
      <c r="I24" s="4"/>
      <c r="J24" s="4"/>
      <c r="K24" s="4">
        <f t="shared" si="1"/>
        <v>2062</v>
      </c>
      <c r="L24" s="4"/>
      <c r="M24" s="1">
        <v>13400</v>
      </c>
      <c r="N24" s="1">
        <f t="shared" si="2"/>
        <v>34.8958333333333</v>
      </c>
    </row>
    <row r="25" s="1" customFormat="1" ht="21" customHeight="1" spans="1:14">
      <c r="A25" s="4">
        <v>24</v>
      </c>
      <c r="B25" s="4">
        <v>5</v>
      </c>
      <c r="C25" s="4">
        <v>7</v>
      </c>
      <c r="D25" s="4" t="s">
        <v>136</v>
      </c>
      <c r="E25" s="4">
        <v>256</v>
      </c>
      <c r="F25" s="4"/>
      <c r="G25" s="4"/>
      <c r="H25" s="4">
        <v>8960</v>
      </c>
      <c r="I25" s="4"/>
      <c r="J25" s="4"/>
      <c r="K25" s="4">
        <f t="shared" si="1"/>
        <v>2318</v>
      </c>
      <c r="L25" s="4"/>
      <c r="M25" s="1">
        <v>8960</v>
      </c>
      <c r="N25" s="1">
        <f t="shared" si="2"/>
        <v>35</v>
      </c>
    </row>
    <row r="26" s="1" customFormat="1" ht="21" customHeight="1" spans="1:14">
      <c r="A26" s="4">
        <v>24</v>
      </c>
      <c r="B26" s="4">
        <v>9</v>
      </c>
      <c r="C26" s="4">
        <v>7</v>
      </c>
      <c r="D26" s="4" t="s">
        <v>106</v>
      </c>
      <c r="E26" s="4">
        <v>640</v>
      </c>
      <c r="F26" s="4"/>
      <c r="G26" s="4"/>
      <c r="H26" s="4">
        <v>16000</v>
      </c>
      <c r="I26" s="4"/>
      <c r="J26" s="4"/>
      <c r="K26" s="4">
        <f t="shared" si="1"/>
        <v>2958</v>
      </c>
      <c r="L26" s="4"/>
      <c r="M26" s="1">
        <v>16000</v>
      </c>
      <c r="N26" s="1">
        <f t="shared" si="2"/>
        <v>25</v>
      </c>
    </row>
    <row r="27" s="1" customFormat="1" ht="21" customHeight="1" spans="1:14">
      <c r="A27" s="4">
        <v>24</v>
      </c>
      <c r="B27" s="4">
        <v>11</v>
      </c>
      <c r="C27" s="4">
        <v>24</v>
      </c>
      <c r="D27" s="4" t="s">
        <v>107</v>
      </c>
      <c r="E27" s="4">
        <v>760</v>
      </c>
      <c r="F27" s="4"/>
      <c r="G27" s="4"/>
      <c r="H27" s="4">
        <v>19000</v>
      </c>
      <c r="I27" s="4"/>
      <c r="J27" s="4"/>
      <c r="K27" s="4">
        <f t="shared" si="1"/>
        <v>3718</v>
      </c>
      <c r="L27" s="4"/>
      <c r="M27" s="1">
        <v>19000</v>
      </c>
      <c r="N27" s="1">
        <f t="shared" si="2"/>
        <v>25</v>
      </c>
    </row>
    <row r="28" s="1" customFormat="1" ht="21" customHeight="1" spans="1:14">
      <c r="A28" s="4">
        <v>25</v>
      </c>
      <c r="B28" s="4">
        <v>2</v>
      </c>
      <c r="C28" s="4">
        <v>26</v>
      </c>
      <c r="D28" s="4" t="s">
        <v>116</v>
      </c>
      <c r="E28" s="4">
        <v>512</v>
      </c>
      <c r="F28" s="4">
        <v>25</v>
      </c>
      <c r="G28" s="4"/>
      <c r="H28" s="4">
        <f>E28*F28+700</f>
        <v>13500</v>
      </c>
      <c r="I28" s="4"/>
      <c r="J28" s="4"/>
      <c r="K28" s="4">
        <f t="shared" si="1"/>
        <v>4230</v>
      </c>
      <c r="L28" s="4"/>
    </row>
    <row r="29" s="1" customFormat="1" ht="21" customHeight="1" spans="1:14">
      <c r="A29" s="4">
        <v>25</v>
      </c>
      <c r="B29" s="4">
        <v>4</v>
      </c>
      <c r="C29" s="4">
        <v>7</v>
      </c>
      <c r="D29" s="4" t="s">
        <v>116</v>
      </c>
      <c r="E29" s="4">
        <v>840</v>
      </c>
      <c r="F29" s="4"/>
      <c r="G29" s="4"/>
      <c r="H29" s="4">
        <v>21700</v>
      </c>
      <c r="I29" s="4"/>
      <c r="J29" s="4"/>
      <c r="K29" s="4">
        <f t="shared" si="1"/>
        <v>5070</v>
      </c>
      <c r="L29" s="4"/>
    </row>
    <row r="30" s="1" customFormat="1" ht="21" customHeight="1" spans="1:14">
      <c r="A30" s="4">
        <v>25</v>
      </c>
      <c r="B30" s="4">
        <v>4</v>
      </c>
      <c r="C30" s="4">
        <v>29</v>
      </c>
      <c r="D30" s="4" t="s">
        <v>109</v>
      </c>
      <c r="E30" s="4">
        <v>608</v>
      </c>
      <c r="F30" s="4">
        <v>25</v>
      </c>
      <c r="G30" s="4"/>
      <c r="H30" s="4">
        <v>15900</v>
      </c>
      <c r="I30" s="4"/>
      <c r="J30" s="4"/>
      <c r="K30" s="4">
        <f t="shared" si="1"/>
        <v>5678</v>
      </c>
      <c r="L30" s="4"/>
    </row>
    <row r="31" s="1" customFormat="1" ht="21" customHeight="1" spans="1:14">
      <c r="A31" s="4">
        <v>25</v>
      </c>
      <c r="B31" s="4">
        <v>6</v>
      </c>
      <c r="C31" s="4">
        <v>3</v>
      </c>
      <c r="D31" s="4" t="s">
        <v>146</v>
      </c>
      <c r="E31" s="4">
        <v>700</v>
      </c>
      <c r="F31" s="4">
        <v>25</v>
      </c>
      <c r="G31" s="4"/>
      <c r="H31" s="4">
        <v>17500</v>
      </c>
      <c r="I31" s="4"/>
      <c r="J31" s="4"/>
      <c r="K31" s="4"/>
      <c r="L31" s="4"/>
    </row>
    <row r="32" s="1" customFormat="1" ht="21" customHeight="1" spans="1:14">
      <c r="A32" s="4">
        <v>25</v>
      </c>
      <c r="B32" s="4">
        <v>6</v>
      </c>
      <c r="C32" s="4">
        <v>25</v>
      </c>
      <c r="D32" s="4" t="s">
        <v>183</v>
      </c>
      <c r="E32" s="4">
        <v>25.85</v>
      </c>
      <c r="F32" s="4">
        <v>860</v>
      </c>
      <c r="G32" s="4"/>
      <c r="H32" s="4">
        <v>22231</v>
      </c>
      <c r="I32" s="4"/>
      <c r="J32" s="4"/>
      <c r="K32" s="4"/>
      <c r="L32" s="4"/>
    </row>
    <row r="33" s="1" customFormat="1" ht="21" customHeight="1" spans="1:12">
      <c r="A33" s="4">
        <v>25</v>
      </c>
      <c r="B33" s="4">
        <v>7</v>
      </c>
      <c r="C33" s="4">
        <v>30</v>
      </c>
      <c r="D33" s="89" t="s">
        <v>147</v>
      </c>
      <c r="E33" s="4">
        <v>720</v>
      </c>
      <c r="F33" s="4">
        <v>25</v>
      </c>
      <c r="G33" s="4"/>
      <c r="H33" s="4">
        <f t="shared" ref="H33:H41" si="3">E33*F33</f>
        <v>18000</v>
      </c>
      <c r="I33" s="4"/>
      <c r="J33" s="4"/>
      <c r="K33" s="4"/>
      <c r="L33" s="4"/>
    </row>
    <row r="34" s="1" customFormat="1" ht="21" customHeight="1" spans="1:12">
      <c r="A34" s="4">
        <v>25</v>
      </c>
      <c r="B34" s="4">
        <v>9</v>
      </c>
      <c r="C34" s="4">
        <v>3</v>
      </c>
      <c r="D34" s="89" t="s">
        <v>147</v>
      </c>
      <c r="E34" s="4">
        <v>992</v>
      </c>
      <c r="F34" s="4">
        <v>25</v>
      </c>
      <c r="G34" s="4"/>
      <c r="H34" s="4">
        <f t="shared" si="3"/>
        <v>24800</v>
      </c>
      <c r="I34" s="4"/>
      <c r="J34" s="4"/>
      <c r="K34" s="4"/>
      <c r="L34" s="4"/>
    </row>
    <row r="35" s="1" customFormat="1" ht="21" customHeight="1" spans="1:12">
      <c r="A35" s="4">
        <v>25</v>
      </c>
      <c r="B35" s="4">
        <v>10</v>
      </c>
      <c r="C35" s="4">
        <v>23</v>
      </c>
      <c r="D35" s="89" t="s">
        <v>110</v>
      </c>
      <c r="E35" s="4">
        <v>896</v>
      </c>
      <c r="F35" s="4">
        <v>25</v>
      </c>
      <c r="G35" s="4"/>
      <c r="H35" s="4">
        <f t="shared" si="3"/>
        <v>22400</v>
      </c>
      <c r="I35" s="4"/>
      <c r="J35" s="4"/>
      <c r="K35" s="4"/>
      <c r="L35" s="4"/>
    </row>
    <row r="36" s="1" customFormat="1" ht="21" customHeight="1" spans="1:12">
      <c r="A36" s="4">
        <v>25</v>
      </c>
      <c r="B36" s="4">
        <v>10</v>
      </c>
      <c r="C36" s="4">
        <v>25</v>
      </c>
      <c r="D36" s="89" t="s">
        <v>110</v>
      </c>
      <c r="E36" s="4">
        <v>1072</v>
      </c>
      <c r="F36" s="4">
        <v>25</v>
      </c>
      <c r="G36" s="4"/>
      <c r="H36" s="4">
        <f t="shared" si="3"/>
        <v>26800</v>
      </c>
      <c r="I36" s="4"/>
      <c r="J36" s="4"/>
      <c r="K36" s="4"/>
      <c r="L36" s="4"/>
    </row>
    <row r="37" s="1" customFormat="1" ht="21" customHeight="1" spans="1:12">
      <c r="A37" s="4">
        <v>25</v>
      </c>
      <c r="B37" s="4">
        <v>12</v>
      </c>
      <c r="C37" s="4">
        <v>4</v>
      </c>
      <c r="D37" s="89" t="s">
        <v>161</v>
      </c>
      <c r="E37" s="4">
        <v>1120</v>
      </c>
      <c r="F37" s="4">
        <v>25</v>
      </c>
      <c r="G37" s="4"/>
      <c r="H37" s="4">
        <f t="shared" si="3"/>
        <v>28000</v>
      </c>
      <c r="I37" s="4"/>
      <c r="J37" s="4"/>
      <c r="K37" s="4"/>
      <c r="L37" s="4"/>
    </row>
    <row r="38" s="1" customFormat="1" ht="21" customHeight="1" spans="1:12">
      <c r="A38" s="4">
        <v>26</v>
      </c>
      <c r="B38" s="4">
        <v>1</v>
      </c>
      <c r="C38" s="4">
        <v>25</v>
      </c>
      <c r="D38" s="89" t="s">
        <v>157</v>
      </c>
      <c r="E38" s="4">
        <v>200</v>
      </c>
      <c r="F38" s="4">
        <v>27</v>
      </c>
      <c r="G38" s="4"/>
      <c r="H38" s="4">
        <f t="shared" ref="H38:H50" si="4">E38*F38</f>
        <v>5400</v>
      </c>
      <c r="I38" s="4"/>
      <c r="J38" s="4"/>
      <c r="K38" s="4"/>
      <c r="L38" s="4"/>
    </row>
    <row r="39" s="1" customFormat="1" ht="21" customHeight="1" spans="1:12">
      <c r="A39" s="4">
        <v>26</v>
      </c>
      <c r="B39" s="4">
        <v>2</v>
      </c>
      <c r="C39" s="4">
        <v>4</v>
      </c>
      <c r="D39" s="89" t="s">
        <v>163</v>
      </c>
      <c r="E39" s="4">
        <v>196</v>
      </c>
      <c r="F39" s="4">
        <v>27</v>
      </c>
      <c r="G39" s="4"/>
      <c r="H39" s="4">
        <f t="shared" si="4"/>
        <v>5292</v>
      </c>
      <c r="I39" s="4"/>
      <c r="J39" s="4"/>
      <c r="K39" s="4"/>
      <c r="L39" s="4"/>
    </row>
    <row r="40" s="1" customFormat="1" ht="21" customHeight="1" spans="1:12">
      <c r="A40" s="4">
        <v>26</v>
      </c>
      <c r="B40" s="4">
        <v>2</v>
      </c>
      <c r="C40" s="4">
        <v>6</v>
      </c>
      <c r="D40" s="89" t="s">
        <v>164</v>
      </c>
      <c r="E40" s="4">
        <v>200</v>
      </c>
      <c r="F40" s="4">
        <v>27</v>
      </c>
      <c r="G40" s="4"/>
      <c r="H40" s="4">
        <f t="shared" si="4"/>
        <v>5400</v>
      </c>
      <c r="I40" s="4"/>
      <c r="J40" s="4"/>
      <c r="K40" s="4"/>
      <c r="L40" s="4"/>
    </row>
    <row r="41" s="1" customFormat="1" ht="21" customHeight="1" spans="1:12">
      <c r="A41" s="4">
        <v>26</v>
      </c>
      <c r="B41" s="4">
        <v>2</v>
      </c>
      <c r="C41" s="4">
        <v>7</v>
      </c>
      <c r="D41" s="89" t="s">
        <v>164</v>
      </c>
      <c r="E41" s="4">
        <v>200</v>
      </c>
      <c r="F41" s="4">
        <v>27</v>
      </c>
      <c r="G41" s="4"/>
      <c r="H41" s="4">
        <f t="shared" si="4"/>
        <v>5400</v>
      </c>
      <c r="I41" s="4"/>
      <c r="J41" s="4"/>
      <c r="K41" s="4"/>
      <c r="L41" s="4"/>
    </row>
    <row r="42" s="1" customFormat="1" ht="21" customHeight="1" spans="1:12">
      <c r="A42" s="4">
        <v>26</v>
      </c>
      <c r="B42" s="4">
        <v>3</v>
      </c>
      <c r="C42" s="4">
        <v>1</v>
      </c>
      <c r="D42" s="89" t="s">
        <v>111</v>
      </c>
      <c r="E42" s="4">
        <v>250</v>
      </c>
      <c r="F42" s="4">
        <v>27</v>
      </c>
      <c r="G42" s="4"/>
      <c r="H42" s="4">
        <f t="shared" si="4"/>
        <v>6750</v>
      </c>
      <c r="I42" s="4"/>
      <c r="J42" s="4"/>
      <c r="K42" s="4"/>
      <c r="L42" s="4"/>
    </row>
    <row r="43" s="1" customFormat="1" ht="21" customHeight="1" spans="1:12">
      <c r="A43" s="4">
        <v>26</v>
      </c>
      <c r="B43" s="4">
        <v>3</v>
      </c>
      <c r="C43" s="4">
        <v>1</v>
      </c>
      <c r="D43" s="89" t="s">
        <v>111</v>
      </c>
      <c r="E43" s="4">
        <v>200</v>
      </c>
      <c r="F43" s="4">
        <v>27</v>
      </c>
      <c r="G43" s="4"/>
      <c r="H43" s="4">
        <f t="shared" si="4"/>
        <v>5400</v>
      </c>
      <c r="I43" s="4"/>
      <c r="J43" s="4"/>
      <c r="K43" s="4"/>
      <c r="L43" s="4"/>
    </row>
    <row r="44" s="1" customFormat="1" ht="21" customHeight="1" spans="1:12">
      <c r="A44" s="4">
        <v>26</v>
      </c>
      <c r="B44" s="4">
        <v>3</v>
      </c>
      <c r="C44" s="4">
        <v>1</v>
      </c>
      <c r="D44" s="89" t="s">
        <v>167</v>
      </c>
      <c r="E44" s="4">
        <v>256</v>
      </c>
      <c r="F44" s="4">
        <v>27</v>
      </c>
      <c r="G44" s="4"/>
      <c r="H44" s="4">
        <f t="shared" si="4"/>
        <v>6912</v>
      </c>
      <c r="I44" s="4"/>
      <c r="J44" s="4"/>
      <c r="K44" s="4"/>
      <c r="L44" s="4"/>
    </row>
    <row r="45" s="1" customFormat="1" ht="21" customHeight="1" spans="1:12">
      <c r="A45" s="4">
        <v>26</v>
      </c>
      <c r="B45" s="4">
        <v>3</v>
      </c>
      <c r="C45" s="4">
        <v>3</v>
      </c>
      <c r="D45" s="89" t="s">
        <v>167</v>
      </c>
      <c r="E45" s="4">
        <v>192</v>
      </c>
      <c r="F45" s="4">
        <v>27</v>
      </c>
      <c r="G45" s="4"/>
      <c r="H45" s="4">
        <f t="shared" si="4"/>
        <v>5184</v>
      </c>
      <c r="I45" s="4"/>
      <c r="J45" s="4"/>
      <c r="K45" s="4"/>
      <c r="L45" s="4"/>
    </row>
    <row r="46" s="1" customFormat="1" ht="21" customHeight="1" spans="1:12">
      <c r="A46" s="4">
        <v>26</v>
      </c>
      <c r="B46" s="4">
        <v>3</v>
      </c>
      <c r="C46" s="4">
        <v>12</v>
      </c>
      <c r="D46" s="89" t="s">
        <v>169</v>
      </c>
      <c r="E46" s="4">
        <v>128</v>
      </c>
      <c r="F46" s="4">
        <v>27</v>
      </c>
      <c r="G46" s="4"/>
      <c r="H46" s="4">
        <f t="shared" si="4"/>
        <v>3456</v>
      </c>
      <c r="I46" s="4"/>
      <c r="J46" s="4"/>
      <c r="K46" s="4"/>
      <c r="L46" s="4"/>
    </row>
    <row r="47" s="1" customFormat="1" ht="21" customHeight="1" spans="1:12">
      <c r="A47" s="4">
        <v>26</v>
      </c>
      <c r="B47" s="4">
        <v>3</v>
      </c>
      <c r="C47" s="4">
        <v>21</v>
      </c>
      <c r="D47" s="89" t="s">
        <v>172</v>
      </c>
      <c r="E47" s="4">
        <v>128</v>
      </c>
      <c r="F47" s="4">
        <v>27</v>
      </c>
      <c r="G47" s="4"/>
      <c r="H47" s="4">
        <f t="shared" si="4"/>
        <v>3456</v>
      </c>
      <c r="I47" s="4"/>
      <c r="J47" s="4"/>
      <c r="K47" s="4"/>
      <c r="L47" s="4"/>
    </row>
    <row r="48" s="1" customFormat="1" ht="21" customHeight="1" spans="1:12">
      <c r="A48" s="4">
        <v>26</v>
      </c>
      <c r="B48" s="4">
        <v>3</v>
      </c>
      <c r="C48" s="4">
        <v>28</v>
      </c>
      <c r="D48" s="89" t="s">
        <v>173</v>
      </c>
      <c r="E48" s="4">
        <v>128</v>
      </c>
      <c r="F48" s="4">
        <v>27</v>
      </c>
      <c r="G48" s="4"/>
      <c r="H48" s="4">
        <f t="shared" si="4"/>
        <v>3456</v>
      </c>
      <c r="I48" s="4"/>
      <c r="J48" s="4"/>
      <c r="K48" s="4"/>
      <c r="L48" s="4"/>
    </row>
    <row r="49" s="1" customFormat="1" ht="21" customHeight="1" spans="1:12">
      <c r="A49" s="4">
        <v>26</v>
      </c>
      <c r="B49" s="4">
        <v>4</v>
      </c>
      <c r="C49" s="4">
        <v>2</v>
      </c>
      <c r="D49" s="89"/>
      <c r="E49" s="4">
        <v>120</v>
      </c>
      <c r="F49" s="4">
        <v>27</v>
      </c>
      <c r="G49" s="4"/>
      <c r="H49" s="4">
        <f t="shared" si="4"/>
        <v>3240</v>
      </c>
      <c r="I49" s="4"/>
      <c r="J49" s="4"/>
      <c r="K49" s="4"/>
      <c r="L49" s="4"/>
    </row>
    <row r="50" s="1" customFormat="1" ht="21" customHeight="1" spans="1:12">
      <c r="A50" s="4">
        <v>26</v>
      </c>
      <c r="B50" s="4">
        <v>4</v>
      </c>
      <c r="C50" s="4">
        <v>9</v>
      </c>
      <c r="D50" s="89"/>
      <c r="E50" s="4">
        <v>1120</v>
      </c>
      <c r="F50" s="4">
        <v>27</v>
      </c>
      <c r="G50" s="4"/>
      <c r="H50" s="4">
        <f t="shared" si="4"/>
        <v>30240</v>
      </c>
      <c r="I50" s="4"/>
      <c r="J50" s="4"/>
      <c r="K50" s="4"/>
      <c r="L50" s="4"/>
    </row>
    <row r="51" s="1" customFormat="1" ht="21" customHeight="1" spans="1:12">
      <c r="A51" s="4">
        <v>26</v>
      </c>
      <c r="B51" s="4">
        <v>6</v>
      </c>
      <c r="C51" s="4">
        <v>4</v>
      </c>
      <c r="D51" s="89"/>
      <c r="E51" s="4">
        <v>1120</v>
      </c>
      <c r="F51" s="4"/>
      <c r="G51" s="4"/>
      <c r="H51" s="4"/>
      <c r="I51" s="4"/>
      <c r="J51" s="4"/>
      <c r="K51" s="4"/>
      <c r="L51" s="4"/>
    </row>
    <row r="52" s="1" customFormat="1" ht="21" customHeight="1" spans="1:12">
      <c r="A52" s="4">
        <v>26</v>
      </c>
      <c r="B52" s="4">
        <v>7</v>
      </c>
      <c r="C52" s="4">
        <v>25</v>
      </c>
      <c r="D52" s="89"/>
      <c r="E52" s="4">
        <v>952</v>
      </c>
      <c r="F52" s="4"/>
      <c r="G52" s="4"/>
      <c r="H52" s="4"/>
      <c r="I52" s="4"/>
      <c r="J52" s="4"/>
      <c r="K52" s="4"/>
      <c r="L52" s="4"/>
    </row>
  </sheetData>
  <mergeCells count="13">
    <mergeCell ref="B1:K1"/>
    <mergeCell ref="A2:C2"/>
    <mergeCell ref="D2:D3"/>
    <mergeCell ref="D19:D20"/>
    <mergeCell ref="E2:E3"/>
    <mergeCell ref="F2:F3"/>
    <mergeCell ref="G2:G3"/>
    <mergeCell ref="H2:H3"/>
    <mergeCell ref="I2:I3"/>
    <mergeCell ref="J2:J3"/>
    <mergeCell ref="K2:K3"/>
    <mergeCell ref="L2:L3"/>
    <mergeCell ref="L15:L16"/>
  </mergeCells>
  <pageMargins left="0.751388888888889" right="0.751388888888889" top="0.590277777777778" bottom="0.708333333333333" header="0.5" footer="0.236111111111111"/>
  <pageSetup paperSize="9" orientation="landscape" horizontalDpi="600"/>
  <headerFooter>
    <oddFooter>&amp;C负责人：
时间：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F47" sqref="F47"/>
    </sheetView>
  </sheetViews>
  <sheetFormatPr defaultColWidth="9" defaultRowHeight="13.5" outlineLevelCol="7"/>
  <cols>
    <col min="1" max="1" width="5.125" customWidth="1"/>
    <col min="2" max="2" width="4.375" customWidth="1"/>
    <col min="3" max="3" width="4.75" customWidth="1"/>
    <col min="4" max="4" width="24.75" customWidth="1"/>
    <col min="5" max="5" width="12.25" customWidth="1"/>
    <col min="6" max="6" width="13.875" customWidth="1"/>
    <col min="7" max="7" width="13.375" customWidth="1"/>
    <col min="8" max="8" width="14.0666666666667" customWidth="1"/>
  </cols>
  <sheetData>
    <row r="1" ht="33" customHeight="1" spans="1:8">
      <c r="B1" s="47" t="s">
        <v>184</v>
      </c>
      <c r="C1" s="47"/>
      <c r="D1" s="47"/>
      <c r="E1" s="47"/>
      <c r="F1" s="47"/>
      <c r="G1" s="47"/>
      <c r="H1" s="47"/>
    </row>
    <row r="2" s="1" customFormat="1" ht="21" customHeight="1" spans="1:8">
      <c r="B2" s="82" t="s">
        <v>93</v>
      </c>
      <c r="C2" s="82"/>
      <c r="D2" s="4" t="s">
        <v>2</v>
      </c>
      <c r="E2" s="4" t="s">
        <v>185</v>
      </c>
      <c r="F2" s="4" t="s">
        <v>123</v>
      </c>
      <c r="G2" s="4" t="s">
        <v>46</v>
      </c>
      <c r="H2" s="4" t="s">
        <v>47</v>
      </c>
    </row>
    <row r="3" s="1" customFormat="1" ht="21" customHeight="1" spans="1:8">
      <c r="A3" s="4" t="s">
        <v>95</v>
      </c>
      <c r="B3" s="4" t="s">
        <v>96</v>
      </c>
      <c r="C3" s="4" t="s">
        <v>97</v>
      </c>
      <c r="D3" s="4"/>
      <c r="E3" s="4"/>
      <c r="F3" s="4"/>
      <c r="G3" s="4"/>
      <c r="H3" s="4"/>
    </row>
    <row r="4" s="1" customFormat="1" ht="21" customHeight="1" spans="1:8">
      <c r="A4" s="4">
        <v>22</v>
      </c>
      <c r="B4" s="4">
        <v>7</v>
      </c>
      <c r="C4" s="4">
        <v>7</v>
      </c>
      <c r="D4" s="4"/>
      <c r="E4" s="4" t="s">
        <v>186</v>
      </c>
      <c r="F4" s="4"/>
      <c r="G4" s="4"/>
      <c r="H4" s="4"/>
    </row>
    <row r="5" s="1" customFormat="1" ht="21" customHeight="1" spans="1:8">
      <c r="A5" s="4">
        <v>22</v>
      </c>
      <c r="B5" s="4">
        <v>7</v>
      </c>
      <c r="C5" s="4">
        <v>7</v>
      </c>
      <c r="D5" s="4"/>
      <c r="E5" s="4"/>
      <c r="F5" s="4"/>
      <c r="G5" s="4"/>
      <c r="H5" s="4"/>
    </row>
    <row r="6" s="1" customFormat="1" ht="21" customHeight="1" spans="1:8">
      <c r="A6" s="4">
        <v>22</v>
      </c>
      <c r="B6" s="4">
        <v>9</v>
      </c>
      <c r="C6" s="4">
        <v>4</v>
      </c>
      <c r="D6" s="4"/>
      <c r="E6" s="4" t="s">
        <v>186</v>
      </c>
      <c r="F6" s="4"/>
      <c r="G6" s="4"/>
      <c r="H6" s="4"/>
    </row>
    <row r="7" s="1" customFormat="1" ht="21" customHeight="1" spans="1:8">
      <c r="A7" s="4">
        <v>22</v>
      </c>
      <c r="B7" s="4">
        <v>9</v>
      </c>
      <c r="C7" s="4">
        <v>21</v>
      </c>
      <c r="D7" s="4"/>
      <c r="E7" s="4" t="s">
        <v>186</v>
      </c>
      <c r="F7" s="4"/>
      <c r="G7" s="4"/>
      <c r="H7" s="4"/>
    </row>
    <row r="8" s="1" customFormat="1" ht="21" customHeight="1" spans="1:8">
      <c r="A8" s="4">
        <v>23</v>
      </c>
      <c r="B8" s="4">
        <v>1</v>
      </c>
      <c r="C8" s="4">
        <v>20</v>
      </c>
      <c r="D8" s="4"/>
      <c r="E8" s="4">
        <v>1120</v>
      </c>
      <c r="F8" s="4"/>
      <c r="G8" s="4"/>
      <c r="H8" s="4"/>
    </row>
    <row r="9" s="1" customFormat="1" ht="21" customHeight="1" spans="1:8">
      <c r="A9" s="4">
        <v>23</v>
      </c>
      <c r="B9" s="4">
        <v>3</v>
      </c>
      <c r="C9" s="4">
        <v>5</v>
      </c>
      <c r="D9" s="4"/>
      <c r="E9" s="4">
        <v>1120</v>
      </c>
      <c r="F9" s="4"/>
      <c r="G9" s="4"/>
      <c r="H9" s="4"/>
    </row>
    <row r="10" s="1" customFormat="1" ht="21" customHeight="1" spans="1:8">
      <c r="A10" s="4">
        <v>23</v>
      </c>
      <c r="B10" s="4">
        <v>4</v>
      </c>
      <c r="C10" s="4">
        <v>13</v>
      </c>
      <c r="D10" s="4"/>
      <c r="E10" s="4">
        <v>1120</v>
      </c>
      <c r="F10" s="4"/>
      <c r="G10" s="4"/>
      <c r="H10" s="4"/>
    </row>
    <row r="11" s="1" customFormat="1" ht="21" customHeight="1" spans="1:8">
      <c r="A11" s="4">
        <v>23</v>
      </c>
      <c r="B11" s="4">
        <v>6</v>
      </c>
      <c r="C11" s="4">
        <v>3</v>
      </c>
      <c r="D11" s="4"/>
      <c r="E11" s="4">
        <v>860</v>
      </c>
      <c r="F11" s="4"/>
      <c r="G11" s="4"/>
      <c r="H11" s="4"/>
    </row>
    <row r="12" s="1" customFormat="1" ht="21" customHeight="1" spans="1:8">
      <c r="A12" s="4">
        <v>23</v>
      </c>
      <c r="B12" s="4"/>
      <c r="C12" s="4"/>
      <c r="D12" s="4"/>
      <c r="E12" s="4">
        <v>800</v>
      </c>
      <c r="F12" s="4"/>
      <c r="G12" s="4"/>
      <c r="H12" s="4"/>
    </row>
    <row r="13" ht="21" customHeight="1" spans="1:8">
      <c r="A13" s="10"/>
      <c r="B13" s="10"/>
      <c r="C13" s="10"/>
      <c r="D13" s="10"/>
      <c r="E13" s="10"/>
      <c r="F13" s="10"/>
      <c r="G13" s="10"/>
      <c r="H13" s="10"/>
    </row>
    <row r="14" ht="21" customHeight="1" spans="1:8">
      <c r="A14" s="10"/>
      <c r="B14" s="10"/>
      <c r="C14" s="10"/>
      <c r="D14" s="10"/>
      <c r="E14" s="10"/>
      <c r="F14" s="10"/>
      <c r="G14" s="10"/>
      <c r="H14" s="10"/>
    </row>
    <row r="15" ht="21" customHeight="1" spans="1:8">
      <c r="A15" s="10"/>
      <c r="B15" s="10"/>
      <c r="C15" s="10"/>
      <c r="D15" s="10"/>
      <c r="E15" s="10"/>
      <c r="F15" s="10"/>
      <c r="G15" s="10"/>
      <c r="H15" s="10"/>
    </row>
    <row r="16" ht="21" customHeight="1" spans="1:8">
      <c r="A16" s="10"/>
      <c r="B16" s="10"/>
      <c r="C16" s="10"/>
      <c r="D16" s="10"/>
      <c r="E16" s="10"/>
      <c r="F16" s="10"/>
      <c r="G16" s="10"/>
      <c r="H16" s="10"/>
    </row>
    <row r="17" ht="21" customHeight="1" spans="1:8">
      <c r="A17" s="10"/>
      <c r="B17" s="10"/>
      <c r="C17" s="10"/>
      <c r="D17" s="10"/>
      <c r="E17" s="10"/>
      <c r="F17" s="10"/>
      <c r="G17" s="10"/>
      <c r="H17" s="10"/>
    </row>
    <row r="18" ht="21" customHeight="1" spans="1:8">
      <c r="A18" s="10"/>
      <c r="B18" s="10"/>
      <c r="C18" s="10"/>
      <c r="D18" s="10"/>
      <c r="E18" s="10"/>
      <c r="F18" s="10"/>
      <c r="G18" s="10"/>
      <c r="H18" s="10"/>
    </row>
    <row r="19" ht="21" customHeight="1" spans="1:8">
      <c r="A19" s="10"/>
      <c r="B19" s="10"/>
      <c r="C19" s="10"/>
      <c r="D19" s="10"/>
      <c r="E19" s="10"/>
      <c r="F19" s="10"/>
      <c r="G19" s="10"/>
      <c r="H19" s="10"/>
    </row>
    <row r="20" ht="21" customHeight="1" spans="1:8">
      <c r="A20" s="10"/>
      <c r="B20" s="10"/>
      <c r="C20" s="10"/>
      <c r="D20" s="10"/>
      <c r="E20" s="10"/>
      <c r="F20" s="10"/>
      <c r="G20" s="10"/>
      <c r="H20" s="10"/>
    </row>
    <row r="21" ht="21" customHeight="1" spans="1:8">
      <c r="A21" s="10"/>
      <c r="B21" s="10"/>
      <c r="C21" s="10"/>
      <c r="D21" s="10"/>
      <c r="E21" s="10"/>
      <c r="F21" s="10"/>
      <c r="G21" s="10"/>
      <c r="H21" s="10"/>
    </row>
    <row r="22" ht="21" customHeight="1" spans="1:8">
      <c r="A22" s="10"/>
      <c r="B22" s="10"/>
      <c r="C22" s="10"/>
      <c r="D22" s="10"/>
      <c r="E22" s="10"/>
      <c r="F22" s="10"/>
      <c r="G22" s="10"/>
      <c r="H22" s="10"/>
    </row>
    <row r="23" ht="21" customHeight="1" spans="1:8">
      <c r="A23" s="10"/>
      <c r="B23" s="10"/>
      <c r="C23" s="10"/>
      <c r="D23" s="10"/>
      <c r="E23" s="10"/>
      <c r="F23" s="10"/>
      <c r="G23" s="10"/>
      <c r="H23" s="10"/>
    </row>
    <row r="24" ht="21" customHeight="1" spans="1:8">
      <c r="A24" s="10"/>
      <c r="B24" s="10"/>
      <c r="C24" s="10"/>
      <c r="D24" s="10"/>
      <c r="E24" s="10"/>
      <c r="F24" s="10"/>
      <c r="G24" s="10"/>
      <c r="H24" s="10"/>
    </row>
    <row r="25" ht="21" customHeight="1" spans="1:8">
      <c r="A25" s="10"/>
      <c r="B25" s="10"/>
      <c r="C25" s="10"/>
      <c r="D25" s="10"/>
      <c r="E25" s="10"/>
      <c r="F25" s="10"/>
      <c r="G25" s="10"/>
      <c r="H25" s="10"/>
    </row>
    <row r="26" ht="21" customHeight="1" spans="1:8">
      <c r="A26" s="10"/>
      <c r="B26" s="10"/>
      <c r="C26" s="10"/>
      <c r="D26" s="10"/>
      <c r="E26" s="10"/>
      <c r="F26" s="10"/>
      <c r="G26" s="10"/>
      <c r="H26" s="10"/>
    </row>
    <row r="27" ht="21" customHeight="1" spans="1:8">
      <c r="A27" s="10"/>
      <c r="B27" s="10"/>
      <c r="C27" s="10"/>
      <c r="D27" s="10"/>
      <c r="E27" s="10"/>
      <c r="F27" s="10"/>
      <c r="G27" s="10"/>
      <c r="H27" s="10"/>
    </row>
    <row r="28" ht="21" customHeight="1" spans="1:8">
      <c r="A28" s="10"/>
      <c r="B28" s="10"/>
      <c r="C28" s="10"/>
      <c r="D28" s="10"/>
      <c r="E28" s="10"/>
      <c r="F28" s="10"/>
      <c r="G28" s="10"/>
      <c r="H28" s="10"/>
    </row>
    <row r="29" ht="21" customHeight="1" spans="1:8">
      <c r="A29" s="10"/>
      <c r="B29" s="10"/>
      <c r="C29" s="10"/>
      <c r="D29" s="10"/>
      <c r="E29" s="10"/>
      <c r="F29" s="10"/>
      <c r="G29" s="10"/>
      <c r="H29" s="10"/>
    </row>
    <row r="30" ht="21" customHeight="1" spans="1:8">
      <c r="A30" s="10"/>
      <c r="B30" s="10"/>
      <c r="C30" s="10"/>
      <c r="D30" s="10"/>
      <c r="E30" s="10"/>
      <c r="F30" s="10"/>
      <c r="G30" s="10"/>
      <c r="H30" s="10"/>
    </row>
    <row r="31" ht="21" customHeight="1" spans="1:8">
      <c r="A31" s="10"/>
      <c r="B31" s="10"/>
      <c r="C31" s="10"/>
      <c r="D31" s="10"/>
      <c r="E31" s="10"/>
      <c r="F31" s="10"/>
      <c r="G31" s="10"/>
      <c r="H31" s="10"/>
    </row>
    <row r="32" ht="21" customHeight="1" spans="1:8">
      <c r="A32" s="10"/>
      <c r="B32" s="10"/>
      <c r="C32" s="10"/>
      <c r="D32" s="10"/>
      <c r="E32" s="10"/>
      <c r="F32" s="10"/>
      <c r="G32" s="10"/>
      <c r="H32" s="10"/>
    </row>
    <row r="33" ht="21" customHeight="1" spans="1:8">
      <c r="A33" s="10"/>
      <c r="B33" s="10"/>
      <c r="C33" s="10"/>
      <c r="D33" s="10"/>
      <c r="E33" s="10"/>
      <c r="F33" s="10"/>
      <c r="G33" s="10"/>
      <c r="H33" s="10"/>
    </row>
    <row r="34" ht="21" customHeight="1" spans="1:8">
      <c r="A34" s="10"/>
      <c r="B34" s="10"/>
      <c r="C34" s="10"/>
      <c r="D34" s="10"/>
      <c r="E34" s="10"/>
      <c r="F34" s="10"/>
      <c r="G34" s="10"/>
      <c r="H34" s="10"/>
    </row>
    <row r="35" ht="21" customHeight="1" spans="1:8">
      <c r="A35" s="10"/>
      <c r="B35" s="10"/>
      <c r="C35" s="10"/>
      <c r="D35" s="10"/>
      <c r="E35" s="10"/>
      <c r="F35" s="10"/>
      <c r="G35" s="10"/>
      <c r="H35" s="10"/>
    </row>
  </sheetData>
  <mergeCells count="7">
    <mergeCell ref="B1:H1"/>
    <mergeCell ref="B2:C2"/>
    <mergeCell ref="D2:D3"/>
    <mergeCell ref="E2:E3"/>
    <mergeCell ref="F2:F3"/>
    <mergeCell ref="G2:G3"/>
    <mergeCell ref="H2:H3"/>
  </mergeCells>
  <pageMargins left="0.751388888888889" right="0.751388888888889" top="0.590277777777778" bottom="0.590277777777778" header="0.5" footer="0.236111111111111"/>
  <pageSetup paperSize="9" orientation="portrait" horizontalDpi="600"/>
  <headerFooter>
    <oddFooter>&amp;L制表人：付立书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F47" sqref="F47"/>
    </sheetView>
  </sheetViews>
  <sheetFormatPr defaultColWidth="8.89166666666667" defaultRowHeight="13.5"/>
  <cols>
    <col min="1" max="1" width="14" customWidth="1"/>
    <col min="2" max="2" width="15.6666666666667" hidden="1" customWidth="1"/>
    <col min="3" max="3" width="16.5583333333333" style="68" customWidth="1"/>
    <col min="4" max="4" width="23.225" customWidth="1"/>
    <col min="5" max="5" width="11.3333333333333" customWidth="1"/>
    <col min="6" max="6" width="12.6666666666667" style="1" customWidth="1"/>
    <col min="7" max="7" width="9.225" customWidth="1"/>
    <col min="8" max="8" width="13.4416666666667" customWidth="1"/>
    <col min="10" max="10" width="8" customWidth="1"/>
    <col min="11" max="11" width="24.775" customWidth="1"/>
  </cols>
  <sheetData>
    <row r="1" customFormat="1" ht="39" customHeight="1" spans="1:11">
      <c r="A1" s="1" t="s">
        <v>187</v>
      </c>
      <c r="B1" s="1"/>
      <c r="C1" s="69"/>
      <c r="D1" s="1"/>
      <c r="E1" s="1"/>
      <c r="F1" s="1"/>
      <c r="G1" s="1"/>
      <c r="H1" s="1"/>
      <c r="I1" s="1"/>
      <c r="J1" s="1"/>
    </row>
    <row r="2" ht="57" customHeight="1" spans="1:11">
      <c r="A2" s="70" t="s">
        <v>188</v>
      </c>
      <c r="B2" s="70" t="s">
        <v>189</v>
      </c>
      <c r="C2" s="71" t="s">
        <v>190</v>
      </c>
      <c r="D2" s="70" t="s">
        <v>191</v>
      </c>
      <c r="E2" s="72" t="s">
        <v>192</v>
      </c>
      <c r="F2" s="72" t="s">
        <v>40</v>
      </c>
      <c r="G2" s="73" t="s">
        <v>41</v>
      </c>
      <c r="H2" s="73" t="s">
        <v>193</v>
      </c>
      <c r="I2" s="74" t="s">
        <v>194</v>
      </c>
      <c r="J2" s="74" t="s">
        <v>195</v>
      </c>
      <c r="K2" s="4" t="s">
        <v>45</v>
      </c>
    </row>
    <row r="3" ht="25" customHeight="1" spans="1:11">
      <c r="A3" s="70"/>
      <c r="B3" s="70"/>
      <c r="C3" s="71"/>
      <c r="D3" s="70"/>
      <c r="E3" s="72"/>
      <c r="F3" s="72"/>
      <c r="G3" s="73"/>
      <c r="H3" s="73"/>
      <c r="I3" s="74"/>
      <c r="J3" s="75">
        <v>0</v>
      </c>
      <c r="K3" s="10"/>
    </row>
    <row r="4" ht="27" customHeight="1" spans="1:11">
      <c r="A4" s="10" t="s">
        <v>196</v>
      </c>
      <c r="B4" s="10" t="s">
        <v>197</v>
      </c>
      <c r="C4" s="76" t="s">
        <v>198</v>
      </c>
      <c r="D4" s="10" t="s">
        <v>199</v>
      </c>
      <c r="E4" s="4">
        <v>20</v>
      </c>
      <c r="F4" s="4" t="s">
        <v>200</v>
      </c>
      <c r="G4" s="10">
        <v>130</v>
      </c>
      <c r="H4" s="10">
        <f t="shared" ref="H4:H13" si="0">E4*G4</f>
        <v>2600</v>
      </c>
      <c r="I4" s="10"/>
      <c r="J4" s="10">
        <f t="shared" ref="J4:J13" si="1">J3+H4-I4</f>
        <v>2600</v>
      </c>
      <c r="K4" s="10" t="s">
        <v>201</v>
      </c>
    </row>
    <row r="5" ht="27" customHeight="1" spans="1:11">
      <c r="A5" s="10" t="s">
        <v>202</v>
      </c>
      <c r="B5" s="10"/>
      <c r="C5" s="76" t="s">
        <v>203</v>
      </c>
      <c r="D5" s="10" t="s">
        <v>199</v>
      </c>
      <c r="E5" s="4">
        <v>80</v>
      </c>
      <c r="F5" s="4" t="s">
        <v>49</v>
      </c>
      <c r="G5" s="10">
        <v>130</v>
      </c>
      <c r="H5" s="10">
        <f t="shared" si="0"/>
        <v>10400</v>
      </c>
      <c r="I5" s="10"/>
      <c r="J5" s="10">
        <f t="shared" si="1"/>
        <v>13000</v>
      </c>
      <c r="K5" s="10" t="s">
        <v>204</v>
      </c>
    </row>
    <row r="6" ht="27" customHeight="1" spans="1:11">
      <c r="A6" s="10" t="s">
        <v>205</v>
      </c>
      <c r="B6" s="10"/>
      <c r="C6" s="76" t="s">
        <v>206</v>
      </c>
      <c r="D6" s="10" t="s">
        <v>207</v>
      </c>
      <c r="E6" s="4">
        <v>360</v>
      </c>
      <c r="F6" s="4" t="s">
        <v>53</v>
      </c>
      <c r="G6" s="10">
        <v>6</v>
      </c>
      <c r="H6" s="10">
        <f t="shared" si="0"/>
        <v>2160</v>
      </c>
      <c r="I6" s="10"/>
      <c r="J6" s="10">
        <f t="shared" si="1"/>
        <v>15160</v>
      </c>
      <c r="K6" s="10" t="s">
        <v>208</v>
      </c>
    </row>
    <row r="7" ht="27" customHeight="1" spans="1:11">
      <c r="A7" s="10" t="s">
        <v>209</v>
      </c>
      <c r="B7" s="10"/>
      <c r="C7" s="76" t="s">
        <v>210</v>
      </c>
      <c r="D7" s="10" t="s">
        <v>207</v>
      </c>
      <c r="E7" s="4">
        <f>20*120</f>
        <v>2400</v>
      </c>
      <c r="F7" s="4" t="s">
        <v>53</v>
      </c>
      <c r="G7" s="10">
        <v>6</v>
      </c>
      <c r="H7" s="10">
        <f t="shared" si="0"/>
        <v>14400</v>
      </c>
      <c r="I7" s="10"/>
      <c r="J7" s="10">
        <f t="shared" si="1"/>
        <v>29560</v>
      </c>
      <c r="K7" s="10" t="s">
        <v>211</v>
      </c>
    </row>
    <row r="8" ht="27" customHeight="1" spans="1:11">
      <c r="A8" s="77" t="s">
        <v>212</v>
      </c>
      <c r="B8" s="10"/>
      <c r="C8" s="76" t="s">
        <v>213</v>
      </c>
      <c r="D8" s="10" t="str">
        <f>D7</f>
        <v>15米高强度导爆管</v>
      </c>
      <c r="E8" s="4">
        <f>20*120</f>
        <v>2400</v>
      </c>
      <c r="F8" s="4" t="s">
        <v>53</v>
      </c>
      <c r="G8" s="10">
        <v>6</v>
      </c>
      <c r="H8" s="10">
        <f t="shared" si="0"/>
        <v>14400</v>
      </c>
      <c r="I8" s="10"/>
      <c r="J8" s="10">
        <f t="shared" si="1"/>
        <v>43960</v>
      </c>
      <c r="K8" s="10" t="s">
        <v>211</v>
      </c>
    </row>
    <row r="9" ht="27" customHeight="1" spans="1:11">
      <c r="A9" s="77"/>
      <c r="B9" s="10"/>
      <c r="C9" s="76"/>
      <c r="D9" s="10" t="s">
        <v>199</v>
      </c>
      <c r="E9" s="4">
        <v>40</v>
      </c>
      <c r="F9" s="4" t="s">
        <v>49</v>
      </c>
      <c r="G9" s="10">
        <v>130</v>
      </c>
      <c r="H9" s="10">
        <f t="shared" si="0"/>
        <v>5200</v>
      </c>
      <c r="I9" s="10"/>
      <c r="J9" s="78">
        <f t="shared" si="1"/>
        <v>49160</v>
      </c>
      <c r="K9" s="10" t="s">
        <v>214</v>
      </c>
    </row>
    <row r="10" ht="27" customHeight="1" spans="1:11">
      <c r="A10" s="10" t="s">
        <v>215</v>
      </c>
      <c r="B10" s="10"/>
      <c r="C10" s="76" t="s">
        <v>216</v>
      </c>
      <c r="D10" s="10" t="s">
        <v>199</v>
      </c>
      <c r="E10" s="4">
        <v>140</v>
      </c>
      <c r="F10" s="4" t="s">
        <v>49</v>
      </c>
      <c r="G10" s="10">
        <v>130</v>
      </c>
      <c r="H10" s="10">
        <f t="shared" si="0"/>
        <v>18200</v>
      </c>
      <c r="I10" s="10"/>
      <c r="J10" s="78">
        <f t="shared" si="1"/>
        <v>67360</v>
      </c>
      <c r="K10" s="10" t="s">
        <v>217</v>
      </c>
    </row>
    <row r="11" ht="27" customHeight="1" spans="1:11">
      <c r="A11" s="10" t="s">
        <v>218</v>
      </c>
      <c r="B11" s="10"/>
      <c r="C11" s="76" t="s">
        <v>219</v>
      </c>
      <c r="D11" s="10" t="s">
        <v>220</v>
      </c>
      <c r="E11" s="4">
        <v>1250</v>
      </c>
      <c r="F11" s="4" t="s">
        <v>53</v>
      </c>
      <c r="G11" s="10">
        <v>6.5</v>
      </c>
      <c r="H11" s="10">
        <f t="shared" si="0"/>
        <v>8125</v>
      </c>
      <c r="I11" s="10"/>
      <c r="J11" s="78">
        <f t="shared" si="1"/>
        <v>75485</v>
      </c>
      <c r="K11" s="10"/>
    </row>
    <row r="12" ht="27" customHeight="1" spans="1:11">
      <c r="A12" s="10" t="s">
        <v>221</v>
      </c>
      <c r="B12" s="10"/>
      <c r="C12" s="76" t="s">
        <v>222</v>
      </c>
      <c r="D12" s="10" t="s">
        <v>223</v>
      </c>
      <c r="E12" s="4">
        <f>780+900</f>
        <v>1680</v>
      </c>
      <c r="F12" s="4" t="s">
        <v>53</v>
      </c>
      <c r="G12" s="10">
        <v>6.5</v>
      </c>
      <c r="H12" s="10">
        <f t="shared" si="0"/>
        <v>10920</v>
      </c>
      <c r="I12" s="10"/>
      <c r="J12" s="78">
        <f t="shared" si="1"/>
        <v>86405</v>
      </c>
      <c r="K12" s="10" t="s">
        <v>224</v>
      </c>
    </row>
    <row r="13" ht="27" customHeight="1" spans="1:11">
      <c r="A13" s="79">
        <v>45636</v>
      </c>
      <c r="B13" s="80" t="s">
        <v>60</v>
      </c>
      <c r="C13" s="76"/>
      <c r="D13" s="10"/>
      <c r="E13" s="81">
        <f>27*2</f>
        <v>54</v>
      </c>
      <c r="F13" s="81" t="s">
        <v>49</v>
      </c>
      <c r="G13" s="81">
        <v>150</v>
      </c>
      <c r="H13" s="81">
        <f t="shared" si="0"/>
        <v>8100</v>
      </c>
      <c r="I13" s="10"/>
      <c r="J13" s="78">
        <f t="shared" si="1"/>
        <v>94505</v>
      </c>
      <c r="K13" s="10"/>
    </row>
    <row r="14" ht="27" customHeight="1" spans="1:11">
      <c r="A14" s="10"/>
      <c r="B14" s="10"/>
      <c r="C14" s="76"/>
      <c r="D14" s="10"/>
      <c r="E14" s="4"/>
      <c r="F14" s="4"/>
      <c r="G14" s="10"/>
      <c r="H14" s="10"/>
      <c r="I14" s="10"/>
      <c r="J14" s="10"/>
      <c r="K14" s="10"/>
    </row>
    <row r="15" ht="27" customHeight="1" spans="1:11">
      <c r="A15" s="10"/>
      <c r="B15" s="10"/>
      <c r="C15" s="76"/>
      <c r="D15" s="10"/>
      <c r="E15" s="4"/>
      <c r="F15" s="4"/>
      <c r="G15" s="10"/>
      <c r="H15" s="10"/>
      <c r="I15" s="10"/>
      <c r="J15" s="10"/>
      <c r="K15" s="10"/>
    </row>
    <row r="16" ht="27" customHeight="1" spans="1:11">
      <c r="A16" s="10"/>
      <c r="B16" s="10"/>
      <c r="C16" s="76"/>
      <c r="D16" s="10"/>
      <c r="E16" s="4"/>
      <c r="F16" s="4"/>
      <c r="G16" s="10"/>
      <c r="H16" s="10"/>
      <c r="I16" s="10"/>
      <c r="J16" s="10"/>
      <c r="K16" s="10"/>
    </row>
    <row r="17" ht="27" customHeight="1" spans="1:11">
      <c r="A17" s="10"/>
      <c r="B17" s="10"/>
      <c r="C17" s="76"/>
      <c r="D17" s="10"/>
      <c r="E17" s="4"/>
      <c r="F17" s="4"/>
      <c r="G17" s="10"/>
      <c r="H17" s="10"/>
      <c r="I17" s="10"/>
      <c r="J17" s="10"/>
      <c r="K17" s="10"/>
    </row>
    <row r="18" ht="27" customHeight="1" spans="1:11">
      <c r="A18" s="10"/>
      <c r="B18" s="10"/>
      <c r="C18" s="76"/>
      <c r="D18" s="10"/>
      <c r="E18" s="4"/>
      <c r="F18" s="4"/>
      <c r="G18" s="10"/>
      <c r="H18" s="10"/>
      <c r="I18" s="10"/>
      <c r="J18" s="10"/>
      <c r="K18" s="10"/>
    </row>
    <row r="19" ht="27" customHeight="1" spans="1:11">
      <c r="A19" s="10"/>
      <c r="B19" s="10"/>
      <c r="C19" s="76"/>
      <c r="D19" s="10"/>
      <c r="E19" s="4"/>
      <c r="F19" s="4"/>
      <c r="G19" s="10"/>
      <c r="H19" s="10"/>
      <c r="I19" s="10"/>
      <c r="J19" s="10"/>
      <c r="K19" s="10"/>
    </row>
    <row r="20" ht="27" customHeight="1" spans="1:11">
      <c r="A20" s="10"/>
      <c r="B20" s="10"/>
      <c r="C20" s="76"/>
      <c r="D20" s="10"/>
      <c r="E20" s="4"/>
      <c r="F20" s="4"/>
      <c r="G20" s="10"/>
      <c r="H20" s="10"/>
      <c r="I20" s="10"/>
      <c r="J20" s="10"/>
      <c r="K20" s="10"/>
    </row>
    <row r="21" ht="27" customHeight="1" spans="1:11">
      <c r="A21" s="10"/>
      <c r="B21" s="10"/>
      <c r="C21" s="76"/>
      <c r="D21" s="10"/>
      <c r="E21" s="4"/>
      <c r="F21" s="4"/>
      <c r="G21" s="10"/>
      <c r="H21" s="10"/>
      <c r="I21" s="10"/>
      <c r="J21" s="10"/>
      <c r="K21" s="10"/>
    </row>
    <row r="22" ht="27" customHeight="1" spans="1:11">
      <c r="A22" s="10"/>
      <c r="B22" s="10"/>
      <c r="C22" s="76"/>
      <c r="D22" s="10"/>
      <c r="E22" s="4"/>
      <c r="F22" s="4"/>
      <c r="G22" s="10"/>
      <c r="H22" s="10"/>
      <c r="I22" s="10"/>
      <c r="J22" s="10"/>
      <c r="K22" s="10"/>
    </row>
    <row r="23" ht="27" customHeight="1" spans="1:11">
      <c r="A23" s="10"/>
      <c r="B23" s="10"/>
      <c r="C23" s="76"/>
      <c r="D23" s="10"/>
      <c r="E23" s="4"/>
      <c r="F23" s="4"/>
      <c r="G23" s="10"/>
      <c r="H23" s="10"/>
      <c r="I23" s="10"/>
      <c r="J23" s="10"/>
      <c r="K23" s="10"/>
    </row>
  </sheetData>
  <mergeCells count="3">
    <mergeCell ref="A1:J1"/>
    <mergeCell ref="A8:A9"/>
    <mergeCell ref="C8:C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F47" sqref="F47"/>
    </sheetView>
  </sheetViews>
  <sheetFormatPr defaultColWidth="9" defaultRowHeight="13.5"/>
  <cols>
    <col min="1" max="1" width="4.875" customWidth="1"/>
    <col min="2" max="2" width="4.375" customWidth="1"/>
    <col min="3" max="3" width="4.75" customWidth="1"/>
    <col min="4" max="4" width="24.75" customWidth="1"/>
    <col min="5" max="5" width="12.25" customWidth="1"/>
    <col min="6" max="6" width="13.875" customWidth="1"/>
    <col min="7" max="7" width="13.375" customWidth="1"/>
    <col min="8" max="8" width="14.0666666666667" customWidth="1"/>
    <col min="9" max="9" width="16.375" customWidth="1"/>
    <col min="11" max="11" width="15.5083333333333" customWidth="1"/>
  </cols>
  <sheetData>
    <row r="1" ht="33" customHeight="1" spans="1:11">
      <c r="B1" s="47" t="s">
        <v>225</v>
      </c>
      <c r="C1" s="47"/>
      <c r="D1" s="47"/>
      <c r="E1" s="47"/>
      <c r="F1" s="47"/>
      <c r="G1" s="47"/>
      <c r="H1" s="47"/>
    </row>
    <row r="2" s="1" customFormat="1" ht="21" customHeight="1" spans="1:11">
      <c r="B2" s="66" t="s">
        <v>93</v>
      </c>
      <c r="C2" s="66"/>
      <c r="D2" s="4" t="s">
        <v>2</v>
      </c>
      <c r="E2" s="4" t="s">
        <v>39</v>
      </c>
      <c r="F2" s="4" t="s">
        <v>226</v>
      </c>
      <c r="G2" s="4" t="s">
        <v>46</v>
      </c>
      <c r="H2" s="4" t="s">
        <v>47</v>
      </c>
      <c r="I2" s="31" t="s">
        <v>2</v>
      </c>
      <c r="J2" s="31" t="s">
        <v>192</v>
      </c>
      <c r="K2" s="67" t="s">
        <v>227</v>
      </c>
    </row>
    <row r="3" s="1" customFormat="1" ht="21" customHeight="1" spans="1:11">
      <c r="B3" s="4" t="s">
        <v>96</v>
      </c>
      <c r="C3" s="4" t="s">
        <v>97</v>
      </c>
      <c r="D3" s="4"/>
      <c r="E3" s="4"/>
      <c r="F3" s="4"/>
      <c r="G3" s="4"/>
      <c r="H3" s="4"/>
      <c r="I3" s="31"/>
      <c r="J3" s="31"/>
      <c r="K3" s="31"/>
    </row>
    <row r="4" s="1" customFormat="1" ht="21" customHeight="1" spans="1:11">
      <c r="B4" s="4"/>
      <c r="C4" s="10"/>
      <c r="D4" s="4"/>
      <c r="E4" s="4"/>
      <c r="F4" s="4"/>
      <c r="G4" s="4"/>
      <c r="H4" s="4"/>
      <c r="I4" s="4"/>
      <c r="J4" s="4"/>
      <c r="K4" s="4">
        <v>394</v>
      </c>
    </row>
    <row r="5" s="1" customFormat="1" ht="21" customHeight="1" spans="1:11">
      <c r="B5" s="4"/>
      <c r="C5" s="4"/>
      <c r="D5" s="4"/>
      <c r="E5" s="4"/>
      <c r="F5" s="4"/>
      <c r="G5" s="4"/>
      <c r="H5" s="4"/>
      <c r="I5" s="31" t="s">
        <v>177</v>
      </c>
      <c r="J5" s="4">
        <v>144</v>
      </c>
      <c r="K5" s="4">
        <f>K4+E5-J5</f>
        <v>250</v>
      </c>
    </row>
    <row r="6" s="1" customFormat="1" ht="21" customHeight="1" spans="1:11">
      <c r="B6" s="4">
        <v>8</v>
      </c>
      <c r="C6" s="4">
        <v>22</v>
      </c>
      <c r="D6" s="4"/>
      <c r="E6" s="4">
        <v>400</v>
      </c>
      <c r="F6" s="4"/>
      <c r="G6" s="4"/>
      <c r="H6" s="4"/>
      <c r="I6" s="31" t="s">
        <v>179</v>
      </c>
      <c r="J6" s="4">
        <v>159</v>
      </c>
      <c r="K6" s="4">
        <f t="shared" ref="K6:K12" si="0">K5+E6-J6</f>
        <v>491</v>
      </c>
    </row>
    <row r="7" s="1" customFormat="1" ht="21" customHeight="1" spans="1:11">
      <c r="B7" s="4">
        <v>11</v>
      </c>
      <c r="C7" s="4">
        <v>9</v>
      </c>
      <c r="D7" s="4"/>
      <c r="E7" s="4">
        <v>200</v>
      </c>
      <c r="F7" s="4"/>
      <c r="G7" s="4"/>
      <c r="H7" s="4"/>
      <c r="I7" s="4"/>
      <c r="J7" s="4"/>
      <c r="K7" s="4">
        <f t="shared" si="0"/>
        <v>691</v>
      </c>
    </row>
    <row r="8" s="1" customFormat="1" ht="21" customHeight="1" spans="1:11">
      <c r="A8" s="4">
        <v>2024</v>
      </c>
      <c r="B8" s="4"/>
      <c r="C8" s="4"/>
      <c r="D8" s="4"/>
      <c r="E8" s="4"/>
      <c r="F8" s="4"/>
      <c r="G8" s="4"/>
      <c r="H8" s="4"/>
      <c r="I8" s="4"/>
      <c r="J8" s="4"/>
      <c r="K8" s="4">
        <f t="shared" si="0"/>
        <v>691</v>
      </c>
    </row>
    <row r="9" s="1" customFormat="1" ht="21" customHeight="1" spans="1:11">
      <c r="A9" s="4">
        <v>2024</v>
      </c>
      <c r="B9" s="4"/>
      <c r="C9" s="4"/>
      <c r="D9" s="4"/>
      <c r="E9" s="4"/>
      <c r="F9" s="4"/>
      <c r="G9" s="4"/>
      <c r="H9" s="4"/>
      <c r="I9" s="4"/>
      <c r="J9" s="4"/>
      <c r="K9" s="4">
        <f t="shared" si="0"/>
        <v>691</v>
      </c>
    </row>
    <row r="10" s="1" customFormat="1" ht="21" customHeight="1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>
        <f t="shared" si="0"/>
        <v>691</v>
      </c>
    </row>
    <row r="11" s="1" customFormat="1" ht="21" customHeight="1" spans="1:11">
      <c r="A11" s="4">
        <v>2024</v>
      </c>
      <c r="B11" s="4"/>
      <c r="C11" s="4"/>
      <c r="D11" s="4"/>
      <c r="E11" s="4"/>
      <c r="F11" s="4"/>
      <c r="G11" s="4"/>
      <c r="H11" s="4"/>
      <c r="I11" s="4"/>
      <c r="J11" s="4"/>
      <c r="K11" s="4">
        <f t="shared" si="0"/>
        <v>691</v>
      </c>
    </row>
    <row r="12" s="1" customFormat="1" ht="21" customHeight="1" spans="1:11">
      <c r="A12" s="4">
        <v>2024</v>
      </c>
      <c r="B12" s="4"/>
      <c r="C12" s="4"/>
      <c r="D12" s="4"/>
      <c r="E12" s="4"/>
      <c r="F12" s="4"/>
      <c r="G12" s="4"/>
      <c r="H12" s="4"/>
      <c r="I12" s="4"/>
      <c r="J12" s="4"/>
      <c r="K12" s="4">
        <f t="shared" si="0"/>
        <v>691</v>
      </c>
    </row>
    <row r="13" s="1" customFormat="1" ht="21" customHeight="1" spans="1:11">
      <c r="A13" s="4">
        <v>2024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="1" customFormat="1" ht="21" customHeight="1" spans="1:11">
      <c r="A14" s="4">
        <v>2024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="1" customFormat="1" ht="21" customHeight="1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="1" customFormat="1" ht="21" customHeight="1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="1" customFormat="1" ht="21" customHeight="1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="1" customFormat="1" ht="21" customHeight="1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="1" customFormat="1" ht="21" customHeight="1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="1" customFormat="1" ht="21" customHeight="1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="1" customFormat="1" ht="21" customHeight="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</sheetData>
  <mergeCells count="10">
    <mergeCell ref="B1:H1"/>
    <mergeCell ref="B2:C2"/>
    <mergeCell ref="D2:D3"/>
    <mergeCell ref="E2:E3"/>
    <mergeCell ref="F2:F3"/>
    <mergeCell ref="G2:G3"/>
    <mergeCell ref="H2:H3"/>
    <mergeCell ref="I2:I3"/>
    <mergeCell ref="J2:J3"/>
    <mergeCell ref="K2:K3"/>
  </mergeCells>
  <pageMargins left="0.751388888888889" right="0.751388888888889" top="0.66875" bottom="0.590277777777778" header="0.5" footer="0.236111111111111"/>
  <pageSetup paperSize="9" orientation="portrait" horizontalDpi="600"/>
  <headerFooter>
    <oddFooter>&amp;L制表人：付立书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F47" sqref="F47"/>
    </sheetView>
  </sheetViews>
  <sheetFormatPr defaultColWidth="9" defaultRowHeight="13.5"/>
  <cols>
    <col min="1" max="1" width="4.375" customWidth="1"/>
    <col min="2" max="2" width="4.75" customWidth="1"/>
    <col min="3" max="3" width="24.75" customWidth="1"/>
    <col min="4" max="4" width="12.25" customWidth="1"/>
    <col min="5" max="5" width="13.875" customWidth="1"/>
    <col min="6" max="6" width="13.375" customWidth="1"/>
    <col min="7" max="7" width="14.0666666666667" customWidth="1"/>
    <col min="8" max="8" width="11.25" customWidth="1"/>
  </cols>
  <sheetData>
    <row r="1" ht="33" customHeight="1" spans="1:10">
      <c r="A1" s="47" t="s">
        <v>228</v>
      </c>
      <c r="B1" s="47"/>
      <c r="C1" s="47"/>
      <c r="D1" s="47"/>
      <c r="E1" s="47"/>
      <c r="F1" s="47"/>
      <c r="G1" s="47"/>
    </row>
    <row r="2" s="1" customFormat="1" ht="21" customHeight="1" spans="1:10">
      <c r="A2" s="66" t="s">
        <v>93</v>
      </c>
      <c r="B2" s="66"/>
      <c r="C2" s="4" t="s">
        <v>2</v>
      </c>
      <c r="D2" s="4" t="s">
        <v>229</v>
      </c>
      <c r="E2" s="4" t="s">
        <v>230</v>
      </c>
      <c r="F2" s="4" t="s">
        <v>46</v>
      </c>
      <c r="G2" s="4" t="s">
        <v>47</v>
      </c>
      <c r="H2" s="31" t="s">
        <v>2</v>
      </c>
      <c r="I2" s="31" t="s">
        <v>192</v>
      </c>
      <c r="J2" s="67" t="s">
        <v>227</v>
      </c>
    </row>
    <row r="3" s="1" customFormat="1" ht="21" customHeight="1" spans="1:10">
      <c r="A3" s="4" t="s">
        <v>96</v>
      </c>
      <c r="B3" s="4" t="s">
        <v>97</v>
      </c>
      <c r="C3" s="4"/>
      <c r="D3" s="4"/>
      <c r="E3" s="4"/>
      <c r="F3" s="4"/>
      <c r="G3" s="4"/>
      <c r="H3" s="31"/>
      <c r="I3" s="31"/>
      <c r="J3" s="31"/>
    </row>
    <row r="4" s="1" customFormat="1" ht="21" customHeight="1" spans="1:10">
      <c r="A4" s="4"/>
      <c r="B4" s="4"/>
      <c r="C4" s="4"/>
      <c r="D4" s="4"/>
      <c r="E4" s="4"/>
      <c r="F4" s="4"/>
      <c r="G4" s="4"/>
      <c r="H4" s="4"/>
      <c r="I4" s="4"/>
      <c r="J4" s="4">
        <v>7</v>
      </c>
    </row>
    <row r="5" s="1" customFormat="1" ht="21" customHeight="1" spans="1:10">
      <c r="A5" s="4">
        <v>7</v>
      </c>
      <c r="B5" s="4">
        <v>1</v>
      </c>
      <c r="C5" s="4"/>
      <c r="D5" s="4">
        <v>660</v>
      </c>
      <c r="E5" s="4"/>
      <c r="F5" s="4"/>
      <c r="G5" s="4"/>
      <c r="H5" s="31" t="s">
        <v>177</v>
      </c>
      <c r="I5" s="4">
        <v>33</v>
      </c>
      <c r="J5" s="4">
        <f>J4+D5-I5</f>
        <v>634</v>
      </c>
    </row>
    <row r="6" s="1" customFormat="1" ht="21" customHeight="1" spans="1:10">
      <c r="A6" s="4"/>
      <c r="B6" s="4"/>
      <c r="C6" s="4"/>
      <c r="D6" s="4"/>
      <c r="E6" s="4"/>
      <c r="F6" s="4"/>
      <c r="G6" s="4"/>
      <c r="H6" s="31" t="s">
        <v>179</v>
      </c>
      <c r="I6" s="4">
        <v>33</v>
      </c>
      <c r="J6" s="4">
        <f t="shared" ref="J6:J14" si="0">J5+D6-I6</f>
        <v>601</v>
      </c>
    </row>
    <row r="7" s="1" customFormat="1" ht="21" customHeight="1" spans="1:10">
      <c r="A7" s="4"/>
      <c r="B7" s="4"/>
      <c r="C7" s="4"/>
      <c r="D7" s="4"/>
      <c r="E7" s="4"/>
      <c r="F7" s="4"/>
      <c r="G7" s="4"/>
      <c r="H7" s="4"/>
      <c r="I7" s="4"/>
      <c r="J7" s="4">
        <f t="shared" si="0"/>
        <v>601</v>
      </c>
    </row>
    <row r="8" s="1" customFormat="1" ht="21" customHeight="1" spans="1:10">
      <c r="A8" s="4"/>
      <c r="B8" s="4"/>
      <c r="C8" s="4"/>
      <c r="D8" s="4"/>
      <c r="E8" s="4"/>
      <c r="F8" s="4"/>
      <c r="G8" s="4"/>
      <c r="H8" s="4"/>
      <c r="I8" s="4"/>
      <c r="J8" s="4">
        <f t="shared" si="0"/>
        <v>601</v>
      </c>
    </row>
    <row r="9" s="1" customFormat="1" ht="21" customHeight="1" spans="1:10">
      <c r="A9" s="4"/>
      <c r="B9" s="4"/>
      <c r="C9" s="4"/>
      <c r="D9" s="4"/>
      <c r="E9" s="4"/>
      <c r="F9" s="4"/>
      <c r="G9" s="4"/>
      <c r="H9" s="4"/>
      <c r="I9" s="4"/>
      <c r="J9" s="4">
        <f t="shared" si="0"/>
        <v>601</v>
      </c>
    </row>
    <row r="10" s="1" customFormat="1" ht="21" customHeight="1" spans="1:10">
      <c r="A10" s="4"/>
      <c r="B10" s="4"/>
      <c r="C10" s="4"/>
      <c r="D10" s="4"/>
      <c r="E10" s="4"/>
      <c r="F10" s="4"/>
      <c r="G10" s="4"/>
      <c r="H10" s="4"/>
      <c r="I10" s="4"/>
      <c r="J10" s="4">
        <f t="shared" si="0"/>
        <v>601</v>
      </c>
    </row>
    <row r="11" s="1" customFormat="1" ht="21" customHeight="1" spans="1:10">
      <c r="A11" s="4"/>
      <c r="B11" s="4"/>
      <c r="C11" s="4"/>
      <c r="D11" s="4"/>
      <c r="E11" s="4"/>
      <c r="F11" s="4"/>
      <c r="G11" s="4"/>
      <c r="H11" s="4"/>
      <c r="I11" s="4"/>
      <c r="J11" s="4">
        <f t="shared" si="0"/>
        <v>601</v>
      </c>
    </row>
    <row r="12" s="1" customFormat="1" ht="21" customHeight="1" spans="1:10">
      <c r="A12" s="4"/>
      <c r="B12" s="4"/>
      <c r="C12" s="4"/>
      <c r="D12" s="4"/>
      <c r="E12" s="4"/>
      <c r="F12" s="4"/>
      <c r="G12" s="4"/>
      <c r="H12" s="4"/>
      <c r="I12" s="4"/>
      <c r="J12" s="4">
        <f t="shared" si="0"/>
        <v>601</v>
      </c>
    </row>
    <row r="13" s="1" customFormat="1" ht="21" customHeight="1" spans="1:10">
      <c r="A13" s="4"/>
      <c r="B13" s="4"/>
      <c r="C13" s="4"/>
      <c r="D13" s="4"/>
      <c r="E13" s="4"/>
      <c r="F13" s="4"/>
      <c r="G13" s="4"/>
      <c r="H13" s="4"/>
      <c r="I13" s="4"/>
      <c r="J13" s="4">
        <f t="shared" si="0"/>
        <v>601</v>
      </c>
    </row>
    <row r="14" s="1" customFormat="1" ht="21" customHeight="1" spans="1:10">
      <c r="A14" s="4"/>
      <c r="B14" s="4"/>
      <c r="C14" s="4"/>
      <c r="D14" s="4"/>
      <c r="E14" s="4"/>
      <c r="F14" s="4"/>
      <c r="G14" s="4"/>
      <c r="H14" s="4"/>
      <c r="I14" s="4"/>
      <c r="J14" s="4">
        <f t="shared" si="0"/>
        <v>601</v>
      </c>
    </row>
    <row r="15" s="1" customFormat="1" ht="21" customHeight="1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="1" customFormat="1" ht="21" customHeight="1" spans="1:10">
      <c r="A16" s="4"/>
      <c r="B16" s="4"/>
      <c r="C16" s="4"/>
      <c r="D16" s="4"/>
      <c r="E16" s="4"/>
      <c r="F16" s="4"/>
      <c r="G16" s="4"/>
    </row>
    <row r="17" ht="21" customHeight="1" spans="1:7">
      <c r="A17" s="10"/>
      <c r="B17" s="10"/>
      <c r="C17" s="10"/>
      <c r="D17" s="10"/>
      <c r="E17" s="10"/>
      <c r="F17" s="10"/>
      <c r="G17" s="10"/>
    </row>
    <row r="18" ht="21" customHeight="1" spans="1:7">
      <c r="A18" s="10"/>
      <c r="B18" s="10"/>
      <c r="C18" s="10"/>
      <c r="D18" s="10"/>
      <c r="E18" s="10"/>
      <c r="F18" s="10"/>
      <c r="G18" s="10"/>
    </row>
    <row r="19" ht="21" customHeight="1" spans="1:7">
      <c r="A19" s="10"/>
      <c r="B19" s="10"/>
      <c r="C19" s="10"/>
      <c r="D19" s="10"/>
      <c r="E19" s="10"/>
      <c r="F19" s="10"/>
      <c r="G19" s="10"/>
    </row>
    <row r="20" ht="21" customHeight="1" spans="1:7">
      <c r="A20" s="10"/>
      <c r="B20" s="10"/>
      <c r="C20" s="10"/>
      <c r="D20" s="10"/>
      <c r="E20" s="10"/>
      <c r="F20" s="10"/>
      <c r="G20" s="10"/>
    </row>
    <row r="21" ht="21" customHeight="1" spans="1:7">
      <c r="A21" s="10"/>
      <c r="B21" s="10"/>
      <c r="C21" s="10"/>
      <c r="D21" s="10"/>
      <c r="E21" s="10"/>
      <c r="F21" s="10"/>
      <c r="G21" s="10"/>
    </row>
    <row r="22" ht="21" customHeight="1" spans="1:7">
      <c r="A22" s="10"/>
      <c r="B22" s="10"/>
      <c r="C22" s="10"/>
      <c r="D22" s="10"/>
      <c r="E22" s="10"/>
      <c r="F22" s="10"/>
      <c r="G22" s="10"/>
    </row>
    <row r="23" ht="21" customHeight="1" spans="1:7">
      <c r="A23" s="10"/>
      <c r="B23" s="10"/>
      <c r="C23" s="10"/>
      <c r="D23" s="10"/>
      <c r="E23" s="10"/>
      <c r="F23" s="10"/>
      <c r="G23" s="10"/>
    </row>
    <row r="24" ht="21" customHeight="1" spans="1:7">
      <c r="A24" s="10"/>
      <c r="B24" s="10"/>
      <c r="C24" s="10"/>
      <c r="D24" s="10"/>
      <c r="E24" s="10"/>
      <c r="F24" s="10"/>
      <c r="G24" s="10"/>
    </row>
    <row r="25" ht="21" customHeight="1" spans="1:7">
      <c r="A25" s="10"/>
      <c r="B25" s="10"/>
      <c r="C25" s="10"/>
      <c r="D25" s="10"/>
      <c r="E25" s="10"/>
      <c r="F25" s="10"/>
      <c r="G25" s="10"/>
    </row>
    <row r="26" ht="21" customHeight="1" spans="1:7">
      <c r="A26" s="10"/>
      <c r="B26" s="10"/>
      <c r="C26" s="10"/>
      <c r="D26" s="10"/>
      <c r="E26" s="10"/>
      <c r="F26" s="10"/>
      <c r="G26" s="10"/>
    </row>
    <row r="27" ht="21" customHeight="1" spans="1:7">
      <c r="A27" s="10"/>
      <c r="B27" s="10"/>
      <c r="C27" s="10"/>
      <c r="D27" s="10"/>
      <c r="E27" s="10"/>
      <c r="F27" s="10"/>
      <c r="G27" s="10"/>
    </row>
    <row r="28" ht="21" customHeight="1" spans="1:7">
      <c r="A28" s="10"/>
      <c r="B28" s="10"/>
      <c r="C28" s="10"/>
      <c r="D28" s="10"/>
      <c r="E28" s="10"/>
      <c r="F28" s="10"/>
      <c r="G28" s="10"/>
    </row>
    <row r="29" ht="21" customHeight="1" spans="1:7">
      <c r="A29" s="10"/>
      <c r="B29" s="10"/>
      <c r="C29" s="10"/>
      <c r="D29" s="10"/>
      <c r="E29" s="10"/>
      <c r="F29" s="10"/>
      <c r="G29" s="10"/>
    </row>
    <row r="30" ht="21" customHeight="1" spans="1:7">
      <c r="A30" s="10"/>
      <c r="B30" s="10"/>
      <c r="C30" s="10"/>
      <c r="D30" s="10"/>
      <c r="E30" s="10"/>
      <c r="F30" s="10"/>
      <c r="G30" s="10"/>
    </row>
    <row r="31" ht="21" customHeight="1" spans="1:7">
      <c r="A31" s="10"/>
      <c r="B31" s="10"/>
      <c r="C31" s="10"/>
      <c r="D31" s="10"/>
      <c r="E31" s="10"/>
      <c r="F31" s="10"/>
      <c r="G31" s="10"/>
    </row>
    <row r="32" ht="21" customHeight="1" spans="1:7">
      <c r="A32" s="10"/>
      <c r="B32" s="10"/>
      <c r="C32" s="10"/>
      <c r="D32" s="10"/>
      <c r="E32" s="10"/>
      <c r="F32" s="10"/>
      <c r="G32" s="10"/>
    </row>
    <row r="33" ht="21" customHeight="1" spans="1:7">
      <c r="A33" s="10"/>
      <c r="B33" s="10"/>
      <c r="C33" s="10"/>
      <c r="D33" s="10"/>
      <c r="E33" s="10"/>
      <c r="F33" s="10"/>
      <c r="G33" s="10"/>
    </row>
    <row r="34" ht="21" customHeight="1" spans="1:7">
      <c r="A34" s="10"/>
      <c r="B34" s="10"/>
      <c r="C34" s="10"/>
      <c r="D34" s="10"/>
      <c r="E34" s="10"/>
      <c r="F34" s="10"/>
      <c r="G34" s="10"/>
    </row>
    <row r="35" ht="21" customHeight="1" spans="1:7">
      <c r="A35" s="10"/>
      <c r="B35" s="10"/>
      <c r="C35" s="10"/>
      <c r="D35" s="10"/>
      <c r="E35" s="10"/>
      <c r="F35" s="10"/>
      <c r="G35" s="10"/>
    </row>
  </sheetData>
  <mergeCells count="10">
    <mergeCell ref="A1:G1"/>
    <mergeCell ref="A2:B2"/>
    <mergeCell ref="C2:C3"/>
    <mergeCell ref="D2:D3"/>
    <mergeCell ref="E2:E3"/>
    <mergeCell ref="F2:F3"/>
    <mergeCell ref="G2:G3"/>
    <mergeCell ref="H2:H3"/>
    <mergeCell ref="I2:I3"/>
    <mergeCell ref="J2:J3"/>
  </mergeCells>
  <pageMargins left="0.751388888888889" right="0.751388888888889" top="0.550694444444444" bottom="0.629861111111111" header="0.5" footer="0.236111111111111"/>
  <pageSetup paperSize="9" orientation="portrait" horizontalDpi="600"/>
  <headerFooter>
    <oddFooter>&amp;L制表人：付立书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F47" sqref="F47"/>
    </sheetView>
  </sheetViews>
  <sheetFormatPr defaultColWidth="9" defaultRowHeight="13.5" outlineLevelCol="6"/>
  <cols>
    <col min="1" max="1" width="4.375" customWidth="1"/>
    <col min="2" max="2" width="4.75" customWidth="1"/>
    <col min="3" max="3" width="24.75" customWidth="1"/>
    <col min="4" max="4" width="12.25" customWidth="1"/>
    <col min="5" max="5" width="13.875" customWidth="1"/>
    <col min="6" max="6" width="13.375" customWidth="1"/>
    <col min="7" max="7" width="14.0666666666667" customWidth="1"/>
  </cols>
  <sheetData>
    <row r="1" ht="33" customHeight="1" spans="1:7">
      <c r="A1" s="47" t="s">
        <v>231</v>
      </c>
      <c r="B1" s="47"/>
      <c r="C1" s="47"/>
      <c r="D1" s="47"/>
      <c r="E1" s="47"/>
      <c r="F1" s="47"/>
      <c r="G1" s="47"/>
    </row>
    <row r="2" s="1" customFormat="1" ht="21" customHeight="1" spans="1:7">
      <c r="A2" s="66" t="s">
        <v>93</v>
      </c>
      <c r="B2" s="66"/>
      <c r="C2" s="4" t="s">
        <v>2</v>
      </c>
      <c r="D2" s="4" t="s">
        <v>232</v>
      </c>
      <c r="E2" s="4" t="s">
        <v>226</v>
      </c>
      <c r="F2" s="4" t="s">
        <v>46</v>
      </c>
      <c r="G2" s="4" t="s">
        <v>47</v>
      </c>
    </row>
    <row r="3" s="1" customFormat="1" ht="21" customHeight="1" spans="1:7">
      <c r="A3" s="4" t="s">
        <v>96</v>
      </c>
      <c r="B3" s="4" t="s">
        <v>97</v>
      </c>
      <c r="C3" s="4"/>
      <c r="D3" s="4"/>
      <c r="E3" s="4"/>
      <c r="F3" s="4"/>
      <c r="G3" s="4"/>
    </row>
    <row r="4" s="1" customFormat="1" ht="21" customHeight="1" spans="1:7">
      <c r="A4" s="4"/>
      <c r="B4" s="4"/>
      <c r="C4" s="4"/>
      <c r="D4" s="4"/>
      <c r="E4" s="4"/>
      <c r="F4" s="4"/>
      <c r="G4" s="4">
        <v>139</v>
      </c>
    </row>
    <row r="5" s="1" customFormat="1" ht="21" customHeight="1" spans="1:7">
      <c r="A5" s="4">
        <v>7</v>
      </c>
      <c r="B5" s="4">
        <v>31</v>
      </c>
      <c r="C5" s="31" t="s">
        <v>177</v>
      </c>
      <c r="D5" s="4"/>
      <c r="E5" s="4">
        <v>50</v>
      </c>
      <c r="F5" s="4"/>
      <c r="G5" s="4">
        <f>G4+D5-E5</f>
        <v>89</v>
      </c>
    </row>
    <row r="6" s="1" customFormat="1" ht="21" customHeight="1" spans="1:7">
      <c r="A6" s="4">
        <v>8</v>
      </c>
      <c r="B6" s="4">
        <v>31</v>
      </c>
      <c r="C6" s="31" t="s">
        <v>179</v>
      </c>
      <c r="D6" s="4">
        <v>17</v>
      </c>
      <c r="E6" s="4">
        <v>1</v>
      </c>
      <c r="F6" s="4"/>
      <c r="G6" s="4">
        <f t="shared" ref="G6:G12" si="0">G5+D6-E6</f>
        <v>105</v>
      </c>
    </row>
    <row r="7" s="1" customFormat="1" ht="21" customHeight="1" spans="1:7">
      <c r="A7" s="4"/>
      <c r="B7" s="4"/>
      <c r="C7" s="4"/>
      <c r="D7" s="4"/>
      <c r="E7" s="4"/>
      <c r="F7" s="4"/>
      <c r="G7" s="4">
        <f t="shared" si="0"/>
        <v>105</v>
      </c>
    </row>
    <row r="8" s="1" customFormat="1" ht="21" customHeight="1" spans="1:7">
      <c r="A8" s="4"/>
      <c r="B8" s="4"/>
      <c r="C8" s="4"/>
      <c r="D8" s="4"/>
      <c r="E8" s="4"/>
      <c r="F8" s="4"/>
      <c r="G8" s="4">
        <f t="shared" si="0"/>
        <v>105</v>
      </c>
    </row>
    <row r="9" s="1" customFormat="1" ht="21" customHeight="1" spans="1:7">
      <c r="A9" s="4"/>
      <c r="B9" s="4"/>
      <c r="C9" s="4"/>
      <c r="D9" s="4"/>
      <c r="E9" s="4"/>
      <c r="F9" s="4"/>
      <c r="G9" s="4">
        <f t="shared" si="0"/>
        <v>105</v>
      </c>
    </row>
    <row r="10" s="1" customFormat="1" ht="21" customHeight="1" spans="1:7">
      <c r="A10" s="4"/>
      <c r="B10" s="4"/>
      <c r="C10" s="4"/>
      <c r="D10" s="4"/>
      <c r="E10" s="4"/>
      <c r="F10" s="4"/>
      <c r="G10" s="4">
        <f t="shared" si="0"/>
        <v>105</v>
      </c>
    </row>
    <row r="11" s="1" customFormat="1" ht="21" customHeight="1" spans="1:7">
      <c r="A11" s="4"/>
      <c r="B11" s="4"/>
      <c r="C11" s="4"/>
      <c r="D11" s="4"/>
      <c r="E11" s="4"/>
      <c r="F11" s="4"/>
      <c r="G11" s="4">
        <f t="shared" si="0"/>
        <v>105</v>
      </c>
    </row>
    <row r="12" s="1" customFormat="1" ht="21" customHeight="1" spans="1:7">
      <c r="A12" s="4"/>
      <c r="B12" s="4"/>
      <c r="C12" s="4"/>
      <c r="D12" s="4"/>
      <c r="E12" s="4"/>
      <c r="F12" s="4"/>
      <c r="G12" s="4">
        <f t="shared" si="0"/>
        <v>105</v>
      </c>
    </row>
    <row r="13" s="1" customFormat="1" ht="21" customHeight="1" spans="1:7">
      <c r="A13" s="4"/>
      <c r="B13" s="4"/>
      <c r="C13" s="4"/>
      <c r="D13" s="4"/>
      <c r="E13" s="4"/>
      <c r="F13" s="4"/>
      <c r="G13" s="4"/>
    </row>
    <row r="14" s="1" customFormat="1" ht="21" customHeight="1" spans="1:7">
      <c r="A14" s="4"/>
      <c r="B14" s="4"/>
      <c r="C14" s="4"/>
      <c r="D14" s="4"/>
      <c r="E14" s="4"/>
      <c r="F14" s="4"/>
      <c r="G14" s="4"/>
    </row>
    <row r="15" s="1" customFormat="1" ht="21" customHeight="1" spans="1:7">
      <c r="A15" s="4"/>
      <c r="B15" s="4"/>
      <c r="C15" s="4"/>
      <c r="D15" s="4"/>
      <c r="E15" s="4"/>
      <c r="F15" s="4"/>
      <c r="G15" s="4"/>
    </row>
    <row r="16" s="1" customFormat="1" ht="21" customHeight="1" spans="1:7">
      <c r="A16" s="4"/>
      <c r="B16" s="4"/>
      <c r="C16" s="4"/>
      <c r="D16" s="4"/>
      <c r="E16" s="4"/>
      <c r="F16" s="4"/>
      <c r="G16" s="4"/>
    </row>
    <row r="17" ht="21" customHeight="1" spans="1:7">
      <c r="A17" s="10"/>
      <c r="B17" s="10"/>
      <c r="C17" s="10"/>
      <c r="D17" s="10"/>
      <c r="E17" s="10"/>
      <c r="F17" s="10"/>
      <c r="G17" s="10"/>
    </row>
    <row r="18" ht="21" customHeight="1" spans="1:7">
      <c r="A18" s="10"/>
      <c r="B18" s="10"/>
      <c r="C18" s="10"/>
      <c r="D18" s="10"/>
      <c r="E18" s="10"/>
      <c r="F18" s="10"/>
      <c r="G18" s="10"/>
    </row>
    <row r="19" ht="21" customHeight="1" spans="1:7">
      <c r="A19" s="10"/>
      <c r="B19" s="10"/>
      <c r="C19" s="10"/>
      <c r="D19" s="10"/>
      <c r="E19" s="10"/>
      <c r="F19" s="10"/>
      <c r="G19" s="10"/>
    </row>
    <row r="20" ht="21" customHeight="1" spans="1:7">
      <c r="A20" s="10"/>
      <c r="B20" s="10"/>
      <c r="C20" s="10"/>
      <c r="D20" s="10"/>
      <c r="E20" s="10"/>
      <c r="F20" s="10"/>
      <c r="G20" s="10"/>
    </row>
    <row r="21" ht="21" customHeight="1" spans="1:7">
      <c r="A21" s="10"/>
      <c r="B21" s="10"/>
      <c r="C21" s="10"/>
      <c r="D21" s="10"/>
      <c r="E21" s="10"/>
      <c r="F21" s="10"/>
      <c r="G21" s="10"/>
    </row>
    <row r="22" ht="21" customHeight="1" spans="1:7">
      <c r="A22" s="10"/>
      <c r="B22" s="10"/>
      <c r="C22" s="10"/>
      <c r="D22" s="10"/>
      <c r="E22" s="10"/>
      <c r="F22" s="10"/>
      <c r="G22" s="10"/>
    </row>
    <row r="23" ht="21" customHeight="1" spans="1:7">
      <c r="A23" s="10"/>
      <c r="B23" s="10"/>
      <c r="C23" s="10"/>
      <c r="D23" s="10"/>
      <c r="E23" s="10"/>
      <c r="F23" s="10"/>
      <c r="G23" s="10"/>
    </row>
    <row r="24" ht="21" customHeight="1" spans="1:7">
      <c r="A24" s="10"/>
      <c r="B24" s="10"/>
      <c r="C24" s="10"/>
      <c r="D24" s="10"/>
      <c r="E24" s="10"/>
      <c r="F24" s="10"/>
      <c r="G24" s="10"/>
    </row>
    <row r="25" ht="21" customHeight="1" spans="1:7">
      <c r="A25" s="10"/>
      <c r="B25" s="10"/>
      <c r="C25" s="10"/>
      <c r="D25" s="10"/>
      <c r="E25" s="10"/>
      <c r="F25" s="10"/>
      <c r="G25" s="10"/>
    </row>
    <row r="26" ht="21" customHeight="1" spans="1:7">
      <c r="A26" s="10"/>
      <c r="B26" s="10"/>
      <c r="C26" s="10"/>
      <c r="D26" s="10"/>
      <c r="E26" s="10"/>
      <c r="F26" s="10"/>
      <c r="G26" s="10"/>
    </row>
    <row r="27" ht="21" customHeight="1" spans="1:7">
      <c r="A27" s="10"/>
      <c r="B27" s="10"/>
      <c r="C27" s="10"/>
      <c r="D27" s="10"/>
      <c r="E27" s="10"/>
      <c r="F27" s="10"/>
      <c r="G27" s="10"/>
    </row>
    <row r="28" ht="21" customHeight="1" spans="1:7">
      <c r="A28" s="10"/>
      <c r="B28" s="10"/>
      <c r="C28" s="10"/>
      <c r="D28" s="10"/>
      <c r="E28" s="10"/>
      <c r="F28" s="10"/>
      <c r="G28" s="10"/>
    </row>
    <row r="29" ht="21" customHeight="1" spans="1:7">
      <c r="A29" s="10"/>
      <c r="B29" s="10"/>
      <c r="C29" s="10"/>
      <c r="D29" s="10"/>
      <c r="E29" s="10"/>
      <c r="F29" s="10"/>
      <c r="G29" s="10"/>
    </row>
    <row r="30" ht="21" customHeight="1" spans="1:7">
      <c r="A30" s="10"/>
      <c r="B30" s="10"/>
      <c r="C30" s="10"/>
      <c r="D30" s="10"/>
      <c r="E30" s="10"/>
      <c r="F30" s="10"/>
      <c r="G30" s="10"/>
    </row>
    <row r="31" ht="21" customHeight="1" spans="1:7">
      <c r="A31" s="10"/>
      <c r="B31" s="10"/>
      <c r="C31" s="10"/>
      <c r="D31" s="10"/>
      <c r="E31" s="10"/>
      <c r="F31" s="10"/>
      <c r="G31" s="10"/>
    </row>
    <row r="32" ht="21" customHeight="1" spans="1:7">
      <c r="A32" s="10"/>
      <c r="B32" s="10"/>
      <c r="C32" s="10"/>
      <c r="D32" s="10"/>
      <c r="E32" s="10"/>
      <c r="F32" s="10"/>
      <c r="G32" s="10"/>
    </row>
    <row r="33" ht="21" customHeight="1" spans="1:7">
      <c r="A33" s="10"/>
      <c r="B33" s="10"/>
      <c r="C33" s="10"/>
      <c r="D33" s="10"/>
      <c r="E33" s="10"/>
      <c r="F33" s="10"/>
      <c r="G33" s="10"/>
    </row>
    <row r="34" ht="21" customHeight="1" spans="1:7">
      <c r="A34" s="10"/>
      <c r="B34" s="10"/>
      <c r="C34" s="10"/>
      <c r="D34" s="10"/>
      <c r="E34" s="10"/>
      <c r="F34" s="10"/>
      <c r="G34" s="10"/>
    </row>
    <row r="35" ht="21" customHeight="1" spans="1:7">
      <c r="A35" s="10"/>
      <c r="B35" s="10"/>
      <c r="C35" s="10"/>
      <c r="D35" s="10"/>
      <c r="E35" s="10"/>
      <c r="F35" s="10"/>
      <c r="G35" s="10"/>
    </row>
  </sheetData>
  <mergeCells count="7">
    <mergeCell ref="A1:G1"/>
    <mergeCell ref="A2:B2"/>
    <mergeCell ref="C2:C3"/>
    <mergeCell ref="D2:D3"/>
    <mergeCell ref="E2:E3"/>
    <mergeCell ref="F2:F3"/>
    <mergeCell ref="G2:G3"/>
  </mergeCells>
  <pageMargins left="0.751388888888889" right="0.751388888888889" top="0.590277777777778" bottom="0.590277777777778" header="0.5" footer="0.196527777777778"/>
  <pageSetup paperSize="9" orientation="portrait" horizontalDpi="600"/>
  <headerFooter>
    <oddFooter>&amp;L制表人：付立书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topLeftCell="A22" workbookViewId="0">
      <selection activeCell="F47" sqref="F47"/>
    </sheetView>
  </sheetViews>
  <sheetFormatPr defaultColWidth="9" defaultRowHeight="13.5"/>
  <cols>
    <col min="1" max="1" width="4.50833333333333" customWidth="1"/>
    <col min="2" max="2" width="4.375" customWidth="1"/>
    <col min="3" max="3" width="4.75" customWidth="1"/>
    <col min="4" max="4" width="28.625" customWidth="1"/>
    <col min="5" max="5" width="12.25" customWidth="1"/>
    <col min="6" max="6" width="13.875" customWidth="1"/>
    <col min="7" max="7" width="13.375" customWidth="1"/>
    <col min="8" max="8" width="14.0666666666667" customWidth="1"/>
    <col min="9" max="9" width="11.625" customWidth="1"/>
    <col min="10" max="10" width="14.875" customWidth="1"/>
    <col min="11" max="11" width="13.75" customWidth="1"/>
    <col min="12" max="12" width="17.125" customWidth="1"/>
    <col min="13" max="13" width="16.375" customWidth="1"/>
  </cols>
  <sheetData>
    <row r="1" ht="33" customHeight="1" spans="1:16">
      <c r="B1" s="47" t="s">
        <v>233</v>
      </c>
      <c r="C1" s="47"/>
      <c r="D1" s="47"/>
      <c r="E1" s="47"/>
      <c r="F1" s="47"/>
      <c r="G1" s="47"/>
      <c r="H1" s="47"/>
    </row>
    <row r="2" s="1" customFormat="1" ht="21" customHeight="1" spans="1:16">
      <c r="A2" s="48" t="s">
        <v>93</v>
      </c>
      <c r="B2" s="48"/>
      <c r="C2" s="49"/>
      <c r="D2" s="4" t="s">
        <v>2</v>
      </c>
      <c r="E2" s="4" t="s">
        <v>8</v>
      </c>
      <c r="F2" s="4" t="s">
        <v>94</v>
      </c>
      <c r="G2" s="4" t="s">
        <v>46</v>
      </c>
      <c r="H2" s="4" t="s">
        <v>47</v>
      </c>
      <c r="I2" s="4" t="s">
        <v>9</v>
      </c>
    </row>
    <row r="3" s="1" customFormat="1" ht="22" customHeight="1" spans="1:16">
      <c r="A3" s="4" t="s">
        <v>95</v>
      </c>
      <c r="B3" s="4" t="s">
        <v>96</v>
      </c>
      <c r="C3" s="4" t="s">
        <v>97</v>
      </c>
      <c r="D3" s="4"/>
      <c r="E3" s="4"/>
      <c r="F3" s="4"/>
      <c r="G3" s="4"/>
      <c r="H3" s="4"/>
      <c r="I3" s="4"/>
    </row>
    <row r="4" s="1" customFormat="1" ht="21" customHeight="1" spans="1:16">
      <c r="A4" s="4">
        <v>22</v>
      </c>
      <c r="B4" s="4">
        <v>8</v>
      </c>
      <c r="C4" s="4">
        <v>6</v>
      </c>
      <c r="D4" s="4"/>
      <c r="E4" s="4">
        <v>800</v>
      </c>
      <c r="F4" s="4"/>
      <c r="G4" s="4"/>
      <c r="H4" s="4"/>
      <c r="I4" s="4">
        <v>20</v>
      </c>
      <c r="J4" s="1" t="s">
        <v>234</v>
      </c>
      <c r="L4" s="1">
        <f>M7/100</f>
        <v>1800</v>
      </c>
    </row>
    <row r="5" s="1" customFormat="1" ht="21" customHeight="1" spans="1:16">
      <c r="A5" s="4">
        <v>22</v>
      </c>
      <c r="B5" s="4">
        <v>8</v>
      </c>
      <c r="C5" s="4">
        <v>6</v>
      </c>
      <c r="D5" s="4"/>
      <c r="E5" s="4">
        <v>400</v>
      </c>
      <c r="F5" s="4"/>
      <c r="G5" s="4"/>
      <c r="H5" s="4"/>
      <c r="I5" s="4">
        <v>30</v>
      </c>
      <c r="M5" s="1">
        <f>I4*L4</f>
        <v>36000</v>
      </c>
    </row>
    <row r="6" s="1" customFormat="1" ht="21" customHeight="1" spans="1:16">
      <c r="A6" s="4">
        <v>22</v>
      </c>
      <c r="B6" s="4">
        <v>8</v>
      </c>
      <c r="C6" s="4">
        <v>30</v>
      </c>
      <c r="D6" s="4"/>
      <c r="E6" s="4">
        <v>400</v>
      </c>
      <c r="F6" s="4"/>
      <c r="G6" s="4"/>
      <c r="H6" s="4"/>
      <c r="I6" s="4"/>
    </row>
    <row r="7" s="1" customFormat="1" ht="21" customHeight="1" spans="1:16">
      <c r="A7" s="4">
        <v>22</v>
      </c>
      <c r="B7" s="4">
        <v>8</v>
      </c>
      <c r="C7" s="4">
        <v>31</v>
      </c>
      <c r="D7" s="4"/>
      <c r="E7" s="4">
        <v>400</v>
      </c>
      <c r="F7" s="4"/>
      <c r="G7" s="4"/>
      <c r="H7" s="4"/>
      <c r="I7" s="4"/>
      <c r="K7" s="50" t="s">
        <v>235</v>
      </c>
      <c r="L7" s="51" t="s">
        <v>236</v>
      </c>
      <c r="M7" s="51">
        <v>180000</v>
      </c>
    </row>
    <row r="8" s="1" customFormat="1" ht="21" customHeight="1" spans="1:16">
      <c r="A8" s="4">
        <v>22</v>
      </c>
      <c r="B8" s="4">
        <v>9</v>
      </c>
      <c r="C8" s="4">
        <v>14</v>
      </c>
      <c r="D8" s="4"/>
      <c r="E8" s="4">
        <v>1200</v>
      </c>
      <c r="F8" s="4"/>
      <c r="G8" s="4"/>
      <c r="H8" s="4"/>
      <c r="I8" s="4">
        <v>30</v>
      </c>
      <c r="K8" s="50" t="s">
        <v>237</v>
      </c>
      <c r="L8" s="51" t="s">
        <v>238</v>
      </c>
      <c r="M8" s="51">
        <v>19200</v>
      </c>
    </row>
    <row r="9" ht="21" customHeight="1" spans="1:16">
      <c r="A9" s="52">
        <v>22</v>
      </c>
      <c r="B9" s="53">
        <v>10</v>
      </c>
      <c r="C9" s="52">
        <v>8</v>
      </c>
      <c r="D9" s="52"/>
      <c r="E9" s="52">
        <v>1200</v>
      </c>
      <c r="F9" s="52"/>
      <c r="G9" s="53"/>
      <c r="H9" s="53"/>
      <c r="I9" s="4"/>
      <c r="J9" s="54">
        <v>1200</v>
      </c>
      <c r="K9" s="50" t="s">
        <v>239</v>
      </c>
      <c r="L9" s="51" t="s">
        <v>240</v>
      </c>
      <c r="M9" s="51">
        <v>180000</v>
      </c>
    </row>
    <row r="10" ht="21" customHeight="1" spans="1:16">
      <c r="A10" s="4">
        <v>22</v>
      </c>
      <c r="B10" s="10">
        <v>10</v>
      </c>
      <c r="C10" s="4">
        <v>16</v>
      </c>
      <c r="D10" s="4"/>
      <c r="E10" s="4">
        <v>1200</v>
      </c>
      <c r="F10" s="4"/>
      <c r="G10" s="10"/>
      <c r="H10" s="10"/>
      <c r="I10" s="4">
        <v>30</v>
      </c>
      <c r="K10" s="50" t="s">
        <v>241</v>
      </c>
      <c r="L10" s="55" t="s">
        <v>242</v>
      </c>
      <c r="M10" s="51">
        <v>180000</v>
      </c>
    </row>
    <row r="11" ht="21" customHeight="1" spans="1:16">
      <c r="A11" s="4">
        <v>22</v>
      </c>
      <c r="B11" s="10">
        <v>11</v>
      </c>
      <c r="C11" s="4">
        <v>11</v>
      </c>
      <c r="D11" s="4"/>
      <c r="E11" s="4">
        <v>1200</v>
      </c>
      <c r="F11" s="4"/>
      <c r="G11" s="10"/>
      <c r="H11" s="10"/>
      <c r="I11" s="4">
        <v>30</v>
      </c>
      <c r="K11" s="50" t="s">
        <v>102</v>
      </c>
      <c r="L11" s="51" t="s">
        <v>240</v>
      </c>
      <c r="M11" s="51">
        <v>180000</v>
      </c>
    </row>
    <row r="12" ht="21" customHeight="1" spans="1:16">
      <c r="A12" s="4">
        <v>22</v>
      </c>
      <c r="B12" s="10">
        <v>12</v>
      </c>
      <c r="C12" s="4">
        <v>18</v>
      </c>
      <c r="D12" s="4"/>
      <c r="E12" s="4">
        <v>1000</v>
      </c>
      <c r="F12" s="4"/>
      <c r="G12" s="10"/>
      <c r="H12" s="10"/>
      <c r="I12" s="4">
        <v>25</v>
      </c>
      <c r="K12" s="50" t="s">
        <v>129</v>
      </c>
      <c r="L12" s="56" t="s">
        <v>243</v>
      </c>
      <c r="M12" s="57">
        <v>176000</v>
      </c>
    </row>
    <row r="13" ht="21" customHeight="1" spans="1:16">
      <c r="A13" s="4">
        <v>23</v>
      </c>
      <c r="B13" s="4">
        <v>2</v>
      </c>
      <c r="C13" s="4">
        <v>5</v>
      </c>
      <c r="D13" s="4"/>
      <c r="E13" s="4">
        <v>1200</v>
      </c>
      <c r="F13" s="4"/>
      <c r="G13" s="10"/>
      <c r="H13" s="10"/>
      <c r="I13" s="4">
        <v>30</v>
      </c>
      <c r="K13" s="4"/>
      <c r="L13" s="4"/>
      <c r="M13" s="4" t="s">
        <v>42</v>
      </c>
      <c r="N13" s="4" t="s">
        <v>11</v>
      </c>
      <c r="O13" s="4" t="s">
        <v>244</v>
      </c>
      <c r="P13" s="4" t="s">
        <v>245</v>
      </c>
    </row>
    <row r="14" ht="21" customHeight="1" spans="1:16">
      <c r="A14" s="4">
        <v>23</v>
      </c>
      <c r="B14" s="4">
        <v>4</v>
      </c>
      <c r="C14" s="4">
        <v>9</v>
      </c>
      <c r="D14" s="4"/>
      <c r="E14" s="4">
        <v>1200</v>
      </c>
      <c r="F14" s="10"/>
      <c r="G14" s="10"/>
      <c r="H14" s="10"/>
      <c r="I14" s="4">
        <v>30</v>
      </c>
      <c r="K14" s="31" t="s">
        <v>235</v>
      </c>
      <c r="L14" s="31" t="s">
        <v>236</v>
      </c>
      <c r="M14" s="31">
        <v>180000</v>
      </c>
      <c r="N14" s="4">
        <v>100</v>
      </c>
      <c r="O14" s="4">
        <v>4000</v>
      </c>
      <c r="P14" s="4"/>
    </row>
    <row r="15" ht="21" customHeight="1" spans="1:16">
      <c r="A15" s="4">
        <v>23</v>
      </c>
      <c r="B15" s="4">
        <v>5</v>
      </c>
      <c r="C15" s="4">
        <v>2</v>
      </c>
      <c r="D15" s="4"/>
      <c r="E15" s="4">
        <v>1200</v>
      </c>
      <c r="F15" s="10"/>
      <c r="G15" s="10"/>
      <c r="H15" s="10"/>
      <c r="I15" s="4">
        <v>30</v>
      </c>
      <c r="K15" s="31" t="s">
        <v>246</v>
      </c>
      <c r="L15" s="31" t="s">
        <v>247</v>
      </c>
      <c r="M15" s="31">
        <v>510</v>
      </c>
      <c r="N15" s="4"/>
      <c r="O15" s="4"/>
      <c r="P15" s="4">
        <v>800</v>
      </c>
    </row>
    <row r="16" ht="21" customHeight="1" spans="1:16">
      <c r="A16" s="4">
        <v>23</v>
      </c>
      <c r="B16" s="4">
        <v>6</v>
      </c>
      <c r="C16" s="4">
        <v>5</v>
      </c>
      <c r="D16" s="10"/>
      <c r="E16" s="4">
        <v>1200</v>
      </c>
      <c r="F16" s="10"/>
      <c r="G16" s="10"/>
      <c r="H16" s="10"/>
      <c r="I16" s="4">
        <v>30</v>
      </c>
      <c r="K16" s="31" t="s">
        <v>246</v>
      </c>
      <c r="L16" s="31" t="s">
        <v>247</v>
      </c>
      <c r="M16" s="31">
        <v>510</v>
      </c>
      <c r="N16" s="4"/>
      <c r="O16" s="4"/>
      <c r="P16" s="4">
        <v>800</v>
      </c>
    </row>
    <row r="17" ht="21" customHeight="1" spans="1:16">
      <c r="A17" s="4">
        <v>23</v>
      </c>
      <c r="B17" s="4">
        <v>7</v>
      </c>
      <c r="C17" s="4">
        <v>6</v>
      </c>
      <c r="D17" s="10"/>
      <c r="E17" s="4">
        <v>1200</v>
      </c>
      <c r="F17" s="10"/>
      <c r="G17" s="10"/>
      <c r="H17" s="10"/>
      <c r="I17" s="4">
        <v>30</v>
      </c>
      <c r="K17" s="31" t="s">
        <v>248</v>
      </c>
      <c r="L17" s="31" t="s">
        <v>247</v>
      </c>
      <c r="M17" s="31">
        <v>512</v>
      </c>
      <c r="N17" s="4"/>
      <c r="O17" s="4"/>
      <c r="P17" s="4">
        <v>800</v>
      </c>
    </row>
    <row r="18" ht="21" customHeight="1" spans="1:16">
      <c r="A18" s="4">
        <v>23</v>
      </c>
      <c r="B18" s="4">
        <v>7</v>
      </c>
      <c r="C18" s="4">
        <v>30</v>
      </c>
      <c r="D18" s="10"/>
      <c r="E18" s="4">
        <v>1200</v>
      </c>
      <c r="F18" s="10"/>
      <c r="G18" s="10"/>
      <c r="H18" s="10"/>
      <c r="I18" s="4">
        <v>30</v>
      </c>
      <c r="K18" s="31" t="s">
        <v>249</v>
      </c>
      <c r="L18" s="31" t="s">
        <v>250</v>
      </c>
      <c r="M18" s="31">
        <v>810</v>
      </c>
      <c r="N18" s="4"/>
      <c r="O18" s="4"/>
      <c r="P18" s="4">
        <v>1200</v>
      </c>
    </row>
    <row r="19" ht="21" customHeight="1" spans="1:16">
      <c r="A19" s="4"/>
      <c r="B19" s="4"/>
      <c r="C19" s="4"/>
      <c r="D19" s="10" t="s">
        <v>15</v>
      </c>
      <c r="E19" s="10"/>
      <c r="F19" s="10"/>
      <c r="G19" s="10"/>
      <c r="H19" s="10"/>
      <c r="I19" s="4"/>
      <c r="K19" s="31" t="s">
        <v>251</v>
      </c>
      <c r="L19" s="58" t="s">
        <v>247</v>
      </c>
      <c r="M19" s="31">
        <v>810</v>
      </c>
      <c r="N19" s="4"/>
      <c r="O19" s="4"/>
      <c r="P19" s="4">
        <v>1200</v>
      </c>
    </row>
    <row r="20" ht="21" customHeight="1" spans="1:16">
      <c r="A20" s="4"/>
      <c r="B20" s="4"/>
      <c r="C20" s="4"/>
      <c r="D20" s="10" t="s">
        <v>252</v>
      </c>
      <c r="E20" s="10"/>
      <c r="F20" s="10"/>
      <c r="G20" s="10"/>
      <c r="H20" s="10"/>
      <c r="I20" s="4"/>
      <c r="K20" s="31" t="s">
        <v>253</v>
      </c>
      <c r="L20" s="31" t="s">
        <v>254</v>
      </c>
      <c r="M20" s="31">
        <v>810</v>
      </c>
      <c r="N20" s="4"/>
      <c r="O20" s="4"/>
      <c r="P20" s="4">
        <v>1200</v>
      </c>
    </row>
    <row r="21" ht="21" customHeight="1" spans="1:16">
      <c r="A21" s="10"/>
      <c r="B21" s="10"/>
      <c r="C21" s="10"/>
      <c r="D21" s="10" t="s">
        <v>255</v>
      </c>
      <c r="E21" s="10"/>
      <c r="F21" s="10"/>
      <c r="G21" s="10"/>
      <c r="H21" s="10"/>
      <c r="I21" s="4"/>
      <c r="K21" s="31" t="s">
        <v>239</v>
      </c>
      <c r="L21" s="31" t="s">
        <v>240</v>
      </c>
      <c r="M21" s="31">
        <v>180000</v>
      </c>
      <c r="N21" s="4">
        <v>100</v>
      </c>
      <c r="O21" s="4">
        <v>4000</v>
      </c>
      <c r="P21" s="4"/>
    </row>
    <row r="22" ht="21" customHeight="1" spans="1:16">
      <c r="A22" s="10"/>
      <c r="B22" s="10"/>
      <c r="C22" s="10"/>
      <c r="D22" s="10" t="s">
        <v>16</v>
      </c>
      <c r="E22" s="10"/>
      <c r="F22" s="10"/>
      <c r="G22" s="10"/>
      <c r="H22" s="10"/>
      <c r="I22" s="4"/>
      <c r="K22" s="31" t="s">
        <v>256</v>
      </c>
      <c r="L22" s="59" t="s">
        <v>257</v>
      </c>
      <c r="M22" s="31">
        <v>1700</v>
      </c>
      <c r="N22" s="4"/>
      <c r="O22" s="4"/>
      <c r="P22" s="4">
        <v>2400</v>
      </c>
    </row>
    <row r="23" ht="21" customHeight="1" spans="1:16">
      <c r="A23" s="4">
        <v>23</v>
      </c>
      <c r="B23" s="4">
        <v>8</v>
      </c>
      <c r="C23" s="4">
        <v>16</v>
      </c>
      <c r="D23" s="10"/>
      <c r="E23" s="4">
        <v>1200</v>
      </c>
      <c r="F23" s="10"/>
      <c r="G23" s="10"/>
      <c r="H23" s="10"/>
      <c r="I23" s="4">
        <v>30</v>
      </c>
      <c r="K23" s="31" t="s">
        <v>258</v>
      </c>
      <c r="L23" s="59" t="s">
        <v>247</v>
      </c>
      <c r="M23" s="31">
        <v>850</v>
      </c>
      <c r="N23" s="4"/>
      <c r="O23" s="4"/>
      <c r="P23" s="4">
        <v>1200</v>
      </c>
    </row>
    <row r="24" ht="21" customHeight="1" spans="1:16">
      <c r="A24" s="4">
        <v>23</v>
      </c>
      <c r="B24" s="4">
        <v>9</v>
      </c>
      <c r="C24" s="4">
        <v>3</v>
      </c>
      <c r="D24" s="10"/>
      <c r="E24" s="4">
        <v>1200</v>
      </c>
      <c r="F24" s="10"/>
      <c r="G24" s="10"/>
      <c r="H24" s="10"/>
      <c r="I24" s="4">
        <v>30</v>
      </c>
      <c r="K24" s="31" t="s">
        <v>259</v>
      </c>
      <c r="L24" s="59" t="s">
        <v>242</v>
      </c>
      <c r="M24" s="31">
        <v>180000</v>
      </c>
      <c r="N24" s="4">
        <v>100</v>
      </c>
      <c r="O24" s="4">
        <v>4000</v>
      </c>
      <c r="P24" s="4"/>
    </row>
    <row r="25" ht="21" customHeight="1" spans="1:16">
      <c r="A25" s="4">
        <v>23</v>
      </c>
      <c r="B25" s="10">
        <v>9</v>
      </c>
      <c r="C25" s="10">
        <v>27</v>
      </c>
      <c r="D25" s="10"/>
      <c r="E25" s="10">
        <v>1200</v>
      </c>
      <c r="F25" s="10"/>
      <c r="G25" s="10"/>
      <c r="H25" s="10"/>
      <c r="K25" s="31" t="s">
        <v>260</v>
      </c>
      <c r="L25" s="31" t="s">
        <v>261</v>
      </c>
      <c r="M25" s="31">
        <v>800</v>
      </c>
      <c r="N25" s="4"/>
      <c r="O25" s="4"/>
      <c r="P25" s="4">
        <v>1000</v>
      </c>
    </row>
    <row r="26" ht="21" customHeight="1" spans="1:16">
      <c r="A26" s="4">
        <v>23</v>
      </c>
      <c r="B26" s="10">
        <v>10</v>
      </c>
      <c r="C26" s="10">
        <v>12</v>
      </c>
      <c r="D26" s="10"/>
      <c r="E26" s="10">
        <v>800</v>
      </c>
      <c r="F26" s="10"/>
      <c r="G26" s="10"/>
      <c r="H26" s="10"/>
      <c r="K26" s="31" t="s">
        <v>262</v>
      </c>
      <c r="L26" s="31" t="s">
        <v>263</v>
      </c>
      <c r="M26" s="31">
        <v>800</v>
      </c>
      <c r="N26" s="4"/>
      <c r="O26" s="4"/>
      <c r="P26" s="4">
        <v>1200</v>
      </c>
    </row>
    <row r="27" ht="21" customHeight="1" spans="1:16">
      <c r="A27" s="4">
        <v>23</v>
      </c>
      <c r="B27" s="10">
        <v>10</v>
      </c>
      <c r="C27" s="10">
        <v>26</v>
      </c>
      <c r="D27" s="10"/>
      <c r="E27" s="10">
        <v>1200</v>
      </c>
      <c r="F27" s="10"/>
      <c r="G27" s="10"/>
      <c r="H27" s="10"/>
      <c r="K27" s="31" t="s">
        <v>102</v>
      </c>
      <c r="L27" s="31" t="s">
        <v>240</v>
      </c>
      <c r="M27" s="31">
        <v>180000</v>
      </c>
      <c r="N27" s="4">
        <v>100</v>
      </c>
      <c r="O27" s="4">
        <v>4000</v>
      </c>
      <c r="P27" s="4">
        <v>8400</v>
      </c>
    </row>
    <row r="28" ht="21" customHeight="1" spans="1:16">
      <c r="A28" s="4">
        <v>23</v>
      </c>
      <c r="B28" s="10">
        <v>11</v>
      </c>
      <c r="C28" s="10">
        <v>16</v>
      </c>
      <c r="D28" s="10"/>
      <c r="E28" s="10">
        <v>1200</v>
      </c>
      <c r="F28" s="10"/>
      <c r="G28" s="10"/>
      <c r="H28" s="10"/>
      <c r="K28" s="31" t="s">
        <v>129</v>
      </c>
      <c r="L28" s="60" t="s">
        <v>243</v>
      </c>
      <c r="M28" s="31">
        <v>176000</v>
      </c>
      <c r="N28" s="4">
        <v>100</v>
      </c>
      <c r="O28" s="4">
        <v>4000</v>
      </c>
      <c r="P28" s="4"/>
    </row>
    <row r="29" ht="21" customHeight="1" spans="1:16">
      <c r="A29" s="10">
        <v>23</v>
      </c>
      <c r="B29" s="10">
        <v>12</v>
      </c>
      <c r="C29" s="10">
        <v>18</v>
      </c>
      <c r="D29" s="10"/>
      <c r="E29" s="10">
        <v>1200</v>
      </c>
      <c r="F29" s="10"/>
      <c r="G29" s="10"/>
      <c r="H29" s="10"/>
      <c r="K29" s="4"/>
      <c r="L29" s="4"/>
      <c r="M29" s="4"/>
      <c r="N29" s="4"/>
      <c r="O29" s="4">
        <f>SUM(O14:O28)</f>
        <v>20000</v>
      </c>
      <c r="P29" s="4">
        <f>SUM(P14:P28)</f>
        <v>20200</v>
      </c>
    </row>
    <row r="30" ht="21" customHeight="1" spans="1:16">
      <c r="A30" s="10">
        <v>24</v>
      </c>
      <c r="B30" s="10">
        <v>1</v>
      </c>
      <c r="C30" s="10">
        <v>26</v>
      </c>
      <c r="D30" s="10"/>
      <c r="E30" s="10">
        <v>1200</v>
      </c>
      <c r="F30" s="10"/>
      <c r="G30" s="10"/>
      <c r="H30" s="10"/>
    </row>
    <row r="31" ht="21" customHeight="1" spans="1:16">
      <c r="A31" s="10">
        <v>24</v>
      </c>
      <c r="B31" s="10">
        <v>3</v>
      </c>
      <c r="C31" s="10">
        <v>14</v>
      </c>
      <c r="D31" s="10"/>
      <c r="E31" s="10">
        <v>1200</v>
      </c>
      <c r="F31" s="10"/>
      <c r="G31" s="10"/>
      <c r="H31" s="10"/>
    </row>
    <row r="32" ht="21" customHeight="1" spans="1:16">
      <c r="A32" s="10">
        <v>24</v>
      </c>
      <c r="B32" s="10">
        <v>4</v>
      </c>
      <c r="C32" s="10">
        <v>13</v>
      </c>
      <c r="D32" s="10"/>
      <c r="E32" s="10">
        <v>1200</v>
      </c>
      <c r="F32" s="10"/>
      <c r="G32" s="10"/>
      <c r="H32" s="10"/>
    </row>
    <row r="33" ht="21" customHeight="1" spans="1:8">
      <c r="A33" s="10">
        <v>24</v>
      </c>
      <c r="B33" s="10">
        <v>4</v>
      </c>
      <c r="C33" s="10">
        <v>18</v>
      </c>
      <c r="D33" s="10"/>
      <c r="E33" s="10">
        <v>1200</v>
      </c>
      <c r="F33" s="10"/>
      <c r="G33" s="10"/>
      <c r="H33" s="10"/>
    </row>
    <row r="34" ht="21" customHeight="1" spans="1:8">
      <c r="A34" s="10">
        <v>24</v>
      </c>
      <c r="B34" s="10">
        <v>5</v>
      </c>
      <c r="C34" s="10">
        <v>21</v>
      </c>
      <c r="D34" s="10"/>
      <c r="E34" s="10">
        <v>1200</v>
      </c>
      <c r="F34" s="10"/>
      <c r="G34" s="10"/>
      <c r="H34" s="10"/>
    </row>
    <row r="35" ht="21" customHeight="1" spans="1:8">
      <c r="A35" s="10">
        <v>24</v>
      </c>
      <c r="B35" s="10">
        <v>6</v>
      </c>
      <c r="C35" s="10">
        <v>4</v>
      </c>
      <c r="D35" s="10"/>
      <c r="E35" s="10">
        <v>200</v>
      </c>
      <c r="F35" s="10"/>
      <c r="G35" s="10"/>
      <c r="H35" s="10"/>
    </row>
    <row r="36" ht="21" customHeight="1" spans="1:8">
      <c r="A36" s="10">
        <v>24</v>
      </c>
      <c r="B36" s="10">
        <v>6</v>
      </c>
      <c r="C36" s="10">
        <v>10</v>
      </c>
      <c r="D36" s="10"/>
      <c r="E36" s="10">
        <v>1100</v>
      </c>
      <c r="F36" s="10"/>
      <c r="G36" s="10"/>
      <c r="H36" s="10"/>
    </row>
    <row r="37" ht="21" customHeight="1" spans="1:8">
      <c r="A37" s="10">
        <v>24</v>
      </c>
      <c r="B37" s="10"/>
      <c r="C37" s="10"/>
      <c r="D37" s="10"/>
      <c r="E37" s="10"/>
      <c r="F37" s="10"/>
      <c r="G37" s="10"/>
      <c r="H37" s="10"/>
    </row>
    <row r="38" spans="1:8">
      <c r="A38" s="10">
        <v>24</v>
      </c>
    </row>
    <row r="39" spans="1:8">
      <c r="A39" s="10">
        <v>24</v>
      </c>
    </row>
    <row r="51" ht="14.25" spans="11:16">
      <c r="K51" s="50" t="s">
        <v>264</v>
      </c>
      <c r="L51" s="61" t="s">
        <v>265</v>
      </c>
      <c r="M51" s="62">
        <v>4212</v>
      </c>
    </row>
    <row r="52" ht="14.25" spans="11:16">
      <c r="K52" s="50" t="s">
        <v>266</v>
      </c>
      <c r="L52" s="61" t="s">
        <v>267</v>
      </c>
      <c r="M52" s="62">
        <v>3600</v>
      </c>
      <c r="O52">
        <v>80</v>
      </c>
      <c r="P52">
        <v>80</v>
      </c>
    </row>
    <row r="53" ht="14.25" spans="11:16">
      <c r="K53" s="50" t="s">
        <v>268</v>
      </c>
      <c r="L53" s="61" t="s">
        <v>269</v>
      </c>
      <c r="M53" s="62">
        <v>9600</v>
      </c>
      <c r="O53">
        <v>200</v>
      </c>
      <c r="P53">
        <v>200</v>
      </c>
    </row>
    <row r="54" ht="14.25" spans="11:16">
      <c r="K54" s="50" t="s">
        <v>270</v>
      </c>
      <c r="L54" s="61" t="s">
        <v>271</v>
      </c>
      <c r="M54" s="62">
        <v>5760</v>
      </c>
      <c r="O54">
        <v>120</v>
      </c>
      <c r="P54">
        <v>120</v>
      </c>
    </row>
    <row r="55" spans="11:16">
      <c r="K55" s="50" t="s">
        <v>272</v>
      </c>
      <c r="L55" s="63" t="s">
        <v>273</v>
      </c>
      <c r="M55" s="51">
        <v>5760</v>
      </c>
      <c r="O55">
        <v>120</v>
      </c>
      <c r="P55">
        <v>120</v>
      </c>
    </row>
    <row r="56" spans="11:16">
      <c r="K56" s="50" t="s">
        <v>274</v>
      </c>
      <c r="L56" s="64" t="s">
        <v>275</v>
      </c>
      <c r="M56" s="51">
        <v>446</v>
      </c>
    </row>
    <row r="57" spans="11:16">
      <c r="K57" s="50" t="s">
        <v>276</v>
      </c>
      <c r="L57" s="63" t="s">
        <v>277</v>
      </c>
      <c r="M57" s="51">
        <v>10050</v>
      </c>
      <c r="O57">
        <v>200</v>
      </c>
      <c r="P57">
        <v>200</v>
      </c>
    </row>
    <row r="58" spans="11:16">
      <c r="K58" s="50" t="s">
        <v>276</v>
      </c>
      <c r="L58" s="63" t="s">
        <v>269</v>
      </c>
      <c r="M58" s="51">
        <v>9600</v>
      </c>
      <c r="O58">
        <v>200</v>
      </c>
      <c r="P58">
        <v>200</v>
      </c>
    </row>
    <row r="59" spans="11:16">
      <c r="K59" s="50" t="s">
        <v>278</v>
      </c>
      <c r="L59" s="63" t="s">
        <v>279</v>
      </c>
      <c r="M59" s="51">
        <v>9900</v>
      </c>
    </row>
    <row r="60" spans="11:16">
      <c r="K60" s="50" t="s">
        <v>280</v>
      </c>
      <c r="L60" s="65" t="s">
        <v>281</v>
      </c>
      <c r="M60" s="51">
        <v>9600</v>
      </c>
      <c r="O60">
        <v>200</v>
      </c>
      <c r="P60">
        <v>200</v>
      </c>
    </row>
    <row r="61" spans="11:16">
      <c r="K61" s="50" t="s">
        <v>280</v>
      </c>
      <c r="L61" s="65" t="s">
        <v>269</v>
      </c>
      <c r="M61" s="51">
        <v>9600</v>
      </c>
      <c r="O61">
        <v>200</v>
      </c>
      <c r="P61">
        <v>200</v>
      </c>
    </row>
    <row r="62" spans="11:16">
      <c r="K62" s="50" t="s">
        <v>280</v>
      </c>
      <c r="L62" s="65" t="s">
        <v>282</v>
      </c>
      <c r="M62" s="51">
        <v>900</v>
      </c>
      <c r="O62">
        <v>400</v>
      </c>
      <c r="P62">
        <v>400</v>
      </c>
    </row>
    <row r="63" spans="11:16">
      <c r="K63" s="50" t="s">
        <v>280</v>
      </c>
      <c r="L63" s="65" t="s">
        <v>283</v>
      </c>
      <c r="M63" s="51">
        <v>20100</v>
      </c>
      <c r="O63">
        <v>400</v>
      </c>
      <c r="P63">
        <v>400</v>
      </c>
    </row>
    <row r="64" spans="11:16">
      <c r="K64" s="50" t="s">
        <v>237</v>
      </c>
      <c r="L64" s="51" t="s">
        <v>238</v>
      </c>
      <c r="M64" s="51">
        <v>19200</v>
      </c>
      <c r="O64">
        <v>400</v>
      </c>
      <c r="P64">
        <v>400</v>
      </c>
    </row>
  </sheetData>
  <mergeCells count="9">
    <mergeCell ref="B1:H1"/>
    <mergeCell ref="A2:C2"/>
    <mergeCell ref="D2:D3"/>
    <mergeCell ref="E2:E3"/>
    <mergeCell ref="F2:F3"/>
    <mergeCell ref="G2:G3"/>
    <mergeCell ref="H2:H3"/>
    <mergeCell ref="I2:I3"/>
    <mergeCell ref="I5:I7"/>
  </mergeCells>
  <pageMargins left="0.751388888888889" right="0.751388888888889" top="0.550694444444444" bottom="0.590277777777778" header="0.472222222222222" footer="0.314583333333333"/>
  <pageSetup paperSize="9" orientation="portrait" horizontalDpi="600"/>
  <headerFooter>
    <oddFooter>&amp;L制表人：付立书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F47" sqref="F47"/>
    </sheetView>
  </sheetViews>
  <sheetFormatPr defaultColWidth="9" defaultRowHeight="13.5"/>
  <cols>
    <col min="1" max="1" width="25.75" customWidth="1"/>
    <col min="2" max="5" width="9.50833333333333" customWidth="1"/>
    <col min="6" max="6" width="17.375" customWidth="1"/>
    <col min="7" max="7" width="9.875" customWidth="1"/>
    <col min="8" max="8" width="9.50833333333333" customWidth="1"/>
    <col min="9" max="9" width="37.875" customWidth="1"/>
    <col min="10" max="16" width="13.125" customWidth="1"/>
    <col min="17" max="17" width="11.25" customWidth="1"/>
  </cols>
  <sheetData>
    <row r="1" ht="18" spans="1:17">
      <c r="A1" s="26" t="s">
        <v>284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ht="16.5" spans="1:17">
      <c r="A2" s="27" t="s">
        <v>72</v>
      </c>
      <c r="B2" s="28" t="s">
        <v>238</v>
      </c>
      <c r="C2" s="29"/>
      <c r="D2" s="30"/>
      <c r="E2" s="31" t="s">
        <v>3</v>
      </c>
      <c r="F2" s="31"/>
      <c r="G2" s="32" t="s">
        <v>47</v>
      </c>
      <c r="H2" s="33" t="s">
        <v>72</v>
      </c>
      <c r="I2" s="34"/>
      <c r="J2" s="29" t="s">
        <v>73</v>
      </c>
      <c r="K2" s="29"/>
      <c r="L2" s="29"/>
      <c r="M2" s="30"/>
      <c r="N2" s="28" t="s">
        <v>285</v>
      </c>
      <c r="O2" s="29"/>
      <c r="P2" s="30"/>
      <c r="Q2" s="34" t="s">
        <v>286</v>
      </c>
    </row>
    <row r="3" ht="16.5" spans="1:17">
      <c r="A3" s="35"/>
      <c r="B3" s="34" t="s">
        <v>74</v>
      </c>
      <c r="C3" s="34" t="s">
        <v>41</v>
      </c>
      <c r="D3" s="34" t="s">
        <v>42</v>
      </c>
      <c r="E3" s="31" t="s">
        <v>6</v>
      </c>
      <c r="F3" s="31" t="s">
        <v>7</v>
      </c>
      <c r="G3" s="36"/>
      <c r="H3" s="37"/>
      <c r="I3" s="34"/>
      <c r="J3" s="30" t="s">
        <v>74</v>
      </c>
      <c r="K3" s="34" t="s">
        <v>40</v>
      </c>
      <c r="L3" s="34" t="s">
        <v>41</v>
      </c>
      <c r="M3" s="34" t="s">
        <v>42</v>
      </c>
      <c r="N3" s="34" t="s">
        <v>74</v>
      </c>
      <c r="O3" s="34"/>
      <c r="P3" s="34"/>
      <c r="Q3" s="34" t="s">
        <v>74</v>
      </c>
    </row>
    <row r="4" ht="16.5" spans="1:17">
      <c r="A4" s="38">
        <v>45607</v>
      </c>
      <c r="B4" s="39">
        <v>1200</v>
      </c>
      <c r="C4" s="39">
        <v>44</v>
      </c>
      <c r="D4" s="39">
        <f t="shared" ref="D4:D14" si="0">B4*C4</f>
        <v>52800</v>
      </c>
      <c r="E4" s="40"/>
      <c r="F4" s="40"/>
      <c r="G4" s="40">
        <f>B4-E4</f>
        <v>1200</v>
      </c>
      <c r="H4" s="41">
        <v>45607</v>
      </c>
      <c r="I4" s="42" t="s">
        <v>287</v>
      </c>
      <c r="J4" s="43">
        <v>3000</v>
      </c>
      <c r="K4" s="39" t="s">
        <v>53</v>
      </c>
      <c r="L4" s="39">
        <v>6</v>
      </c>
      <c r="M4" s="39">
        <f t="shared" ref="M4:M14" si="1">J4*L4</f>
        <v>18000</v>
      </c>
      <c r="N4" s="39"/>
      <c r="O4" s="39"/>
      <c r="P4" s="39"/>
      <c r="Q4" s="39"/>
    </row>
    <row r="5" ht="16.5" spans="1:17">
      <c r="A5" s="38">
        <v>45623</v>
      </c>
      <c r="B5" s="39">
        <v>1200</v>
      </c>
      <c r="C5" s="39">
        <v>44</v>
      </c>
      <c r="D5" s="39">
        <f t="shared" si="0"/>
        <v>52800</v>
      </c>
      <c r="E5" s="40"/>
      <c r="F5" s="40"/>
      <c r="G5" s="40">
        <f>G4+B5-E5</f>
        <v>2400</v>
      </c>
      <c r="H5" s="41">
        <v>45623</v>
      </c>
      <c r="I5" s="44" t="s">
        <v>288</v>
      </c>
      <c r="J5" s="43">
        <v>6</v>
      </c>
      <c r="K5" s="39" t="s">
        <v>49</v>
      </c>
      <c r="L5" s="39">
        <v>150</v>
      </c>
      <c r="M5" s="39">
        <f t="shared" si="1"/>
        <v>900</v>
      </c>
      <c r="N5" s="39"/>
      <c r="O5" s="39"/>
      <c r="P5" s="39"/>
      <c r="Q5" s="39">
        <v>3</v>
      </c>
    </row>
    <row r="6" ht="16.5" spans="1:17">
      <c r="A6" s="38">
        <v>45643</v>
      </c>
      <c r="B6" s="39">
        <v>1000</v>
      </c>
      <c r="C6" s="39">
        <v>44</v>
      </c>
      <c r="D6" s="39">
        <f t="shared" si="0"/>
        <v>44000</v>
      </c>
      <c r="E6" s="39"/>
      <c r="F6" s="39"/>
      <c r="G6" s="40">
        <f t="shared" ref="G6:G17" si="2">G5+B6-E6</f>
        <v>3400</v>
      </c>
      <c r="H6" s="45">
        <v>45643</v>
      </c>
      <c r="I6" s="44" t="s">
        <v>289</v>
      </c>
      <c r="J6" s="39">
        <v>20</v>
      </c>
      <c r="K6" s="39" t="s">
        <v>49</v>
      </c>
      <c r="L6" s="39">
        <v>150</v>
      </c>
      <c r="M6" s="39">
        <f t="shared" si="1"/>
        <v>3000</v>
      </c>
      <c r="N6" s="39"/>
      <c r="O6" s="39"/>
      <c r="P6" s="39"/>
      <c r="Q6" s="39">
        <v>10</v>
      </c>
    </row>
    <row r="7" ht="16.5" spans="1:17">
      <c r="A7" s="38">
        <v>45659</v>
      </c>
      <c r="B7" s="39">
        <v>1200</v>
      </c>
      <c r="C7" s="39">
        <v>44</v>
      </c>
      <c r="D7" s="39">
        <f t="shared" si="0"/>
        <v>52800</v>
      </c>
      <c r="E7" s="39"/>
      <c r="F7" s="39"/>
      <c r="G7" s="40">
        <f t="shared" si="2"/>
        <v>4600</v>
      </c>
      <c r="H7" s="39"/>
      <c r="I7" s="42"/>
      <c r="J7" s="39"/>
      <c r="K7" s="39"/>
      <c r="L7" s="39"/>
      <c r="M7" s="39">
        <f t="shared" si="1"/>
        <v>0</v>
      </c>
      <c r="N7" s="39"/>
      <c r="O7" s="39"/>
      <c r="P7" s="39"/>
      <c r="Q7" s="46"/>
    </row>
    <row r="8" ht="16.5" spans="1:17">
      <c r="A8" s="38">
        <v>45677</v>
      </c>
      <c r="B8" s="39">
        <v>1000</v>
      </c>
      <c r="C8" s="39">
        <v>44</v>
      </c>
      <c r="D8" s="39">
        <f t="shared" si="0"/>
        <v>44000</v>
      </c>
      <c r="E8" s="39"/>
      <c r="F8" s="39"/>
      <c r="G8" s="40">
        <f t="shared" si="2"/>
        <v>5600</v>
      </c>
      <c r="H8" s="45">
        <v>45677</v>
      </c>
      <c r="I8" s="44" t="s">
        <v>80</v>
      </c>
      <c r="J8" s="39">
        <v>30</v>
      </c>
      <c r="K8" s="39" t="s">
        <v>49</v>
      </c>
      <c r="L8" s="39">
        <v>150</v>
      </c>
      <c r="M8" s="39">
        <f t="shared" si="1"/>
        <v>4500</v>
      </c>
      <c r="N8" s="39"/>
      <c r="O8" s="39"/>
      <c r="P8" s="39"/>
      <c r="Q8" s="39">
        <v>15</v>
      </c>
    </row>
    <row r="9" ht="16.5" spans="1:17">
      <c r="A9" s="38">
        <v>45692</v>
      </c>
      <c r="B9" s="39">
        <v>1000</v>
      </c>
      <c r="C9" s="39">
        <v>44</v>
      </c>
      <c r="D9" s="39">
        <f t="shared" si="0"/>
        <v>44000</v>
      </c>
      <c r="E9" s="39"/>
      <c r="F9" s="39"/>
      <c r="G9" s="40">
        <f t="shared" si="2"/>
        <v>6600</v>
      </c>
      <c r="H9" s="45">
        <v>45692</v>
      </c>
      <c r="I9" s="44" t="s">
        <v>80</v>
      </c>
      <c r="J9" s="39">
        <v>30</v>
      </c>
      <c r="K9" s="39" t="s">
        <v>49</v>
      </c>
      <c r="L9" s="39">
        <v>150</v>
      </c>
      <c r="M9" s="39">
        <f t="shared" si="1"/>
        <v>4500</v>
      </c>
      <c r="N9" s="39"/>
      <c r="O9" s="39"/>
      <c r="P9" s="39"/>
      <c r="Q9" s="39">
        <v>15</v>
      </c>
    </row>
    <row r="10" ht="16.5" spans="1:17">
      <c r="A10" s="38">
        <v>45693</v>
      </c>
      <c r="B10" s="39"/>
      <c r="C10" s="39"/>
      <c r="D10" s="39">
        <f t="shared" si="0"/>
        <v>0</v>
      </c>
      <c r="E10" s="39"/>
      <c r="F10" s="39"/>
      <c r="G10" s="40">
        <f t="shared" si="2"/>
        <v>6600</v>
      </c>
      <c r="H10" s="45">
        <v>45692</v>
      </c>
      <c r="I10" s="42" t="s">
        <v>82</v>
      </c>
      <c r="J10" s="39">
        <v>100</v>
      </c>
      <c r="K10" s="39" t="s">
        <v>83</v>
      </c>
      <c r="L10" s="39">
        <v>2</v>
      </c>
      <c r="M10" s="39">
        <f t="shared" si="1"/>
        <v>200</v>
      </c>
      <c r="N10" s="39"/>
      <c r="O10" s="39"/>
      <c r="P10" s="39"/>
      <c r="Q10" s="39"/>
    </row>
    <row r="11" ht="16.5" spans="1:17">
      <c r="A11" s="38">
        <v>45710</v>
      </c>
      <c r="B11" s="39">
        <v>1000</v>
      </c>
      <c r="C11" s="39">
        <v>44</v>
      </c>
      <c r="D11" s="39">
        <f t="shared" si="0"/>
        <v>44000</v>
      </c>
      <c r="E11" s="39"/>
      <c r="F11" s="39"/>
      <c r="G11" s="40">
        <f t="shared" si="2"/>
        <v>7600</v>
      </c>
      <c r="H11" s="45">
        <v>45710</v>
      </c>
      <c r="I11" s="44" t="s">
        <v>55</v>
      </c>
      <c r="J11" s="39">
        <v>40</v>
      </c>
      <c r="K11" s="39" t="s">
        <v>49</v>
      </c>
      <c r="L11" s="39">
        <v>150</v>
      </c>
      <c r="M11" s="39">
        <f t="shared" si="1"/>
        <v>6000</v>
      </c>
      <c r="N11" s="39"/>
      <c r="O11" s="39"/>
      <c r="P11" s="39"/>
      <c r="Q11" s="39">
        <v>20</v>
      </c>
    </row>
    <row r="12" ht="16.5" spans="1:17">
      <c r="A12" s="38">
        <v>45720</v>
      </c>
      <c r="B12" s="39"/>
      <c r="C12" s="39"/>
      <c r="D12" s="39">
        <f t="shared" si="0"/>
        <v>0</v>
      </c>
      <c r="E12" s="39"/>
      <c r="F12" s="39"/>
      <c r="G12" s="40">
        <f t="shared" si="2"/>
        <v>7600</v>
      </c>
      <c r="H12" s="39"/>
      <c r="I12" s="44" t="s">
        <v>84</v>
      </c>
      <c r="J12" s="39">
        <v>100</v>
      </c>
      <c r="K12" s="39" t="s">
        <v>49</v>
      </c>
      <c r="L12" s="39">
        <v>150</v>
      </c>
      <c r="M12" s="39">
        <f t="shared" si="1"/>
        <v>15000</v>
      </c>
      <c r="N12" s="39"/>
      <c r="O12" s="39"/>
      <c r="P12" s="39"/>
      <c r="Q12" s="39">
        <v>50</v>
      </c>
    </row>
    <row r="13" ht="16.5" spans="1:17">
      <c r="A13" s="38">
        <v>45724</v>
      </c>
      <c r="B13" s="39">
        <v>1000</v>
      </c>
      <c r="C13" s="39">
        <v>44</v>
      </c>
      <c r="D13" s="39">
        <f t="shared" si="0"/>
        <v>44000</v>
      </c>
      <c r="E13" s="39"/>
      <c r="F13" s="39"/>
      <c r="G13" s="40">
        <f t="shared" si="2"/>
        <v>8600</v>
      </c>
      <c r="H13" s="39"/>
      <c r="I13" s="44" t="s">
        <v>85</v>
      </c>
      <c r="J13" s="39">
        <v>60</v>
      </c>
      <c r="K13" s="39" t="s">
        <v>49</v>
      </c>
      <c r="L13" s="39">
        <v>150</v>
      </c>
      <c r="M13" s="39">
        <f t="shared" si="1"/>
        <v>9000</v>
      </c>
      <c r="N13" s="39"/>
      <c r="O13" s="39"/>
      <c r="P13" s="39"/>
      <c r="Q13" s="39">
        <v>30</v>
      </c>
    </row>
    <row r="14" ht="16.5" spans="1:17">
      <c r="A14" s="38">
        <v>45743</v>
      </c>
      <c r="B14" s="39">
        <v>1000</v>
      </c>
      <c r="C14" s="39">
        <v>44</v>
      </c>
      <c r="D14" s="39">
        <f t="shared" si="0"/>
        <v>44000</v>
      </c>
      <c r="E14" s="39"/>
      <c r="F14" s="39"/>
      <c r="G14" s="40">
        <f t="shared" si="2"/>
        <v>9600</v>
      </c>
      <c r="H14" s="39"/>
      <c r="I14" s="44" t="s">
        <v>85</v>
      </c>
      <c r="J14" s="39">
        <v>60</v>
      </c>
      <c r="K14" s="39" t="s">
        <v>49</v>
      </c>
      <c r="L14" s="39">
        <v>150</v>
      </c>
      <c r="M14" s="39">
        <f t="shared" si="1"/>
        <v>9000</v>
      </c>
      <c r="N14" s="39"/>
      <c r="O14" s="39"/>
      <c r="P14" s="39"/>
      <c r="Q14" s="39">
        <v>30</v>
      </c>
    </row>
    <row r="15" customFormat="1" ht="16.5" spans="1:17">
      <c r="A15" s="38" t="s">
        <v>290</v>
      </c>
      <c r="B15" s="39"/>
      <c r="C15" s="39"/>
      <c r="D15" s="39"/>
      <c r="E15" s="39">
        <v>8000</v>
      </c>
      <c r="F15" s="39"/>
      <c r="G15" s="40">
        <f t="shared" si="2"/>
        <v>1600</v>
      </c>
      <c r="H15" s="39"/>
      <c r="I15" s="44"/>
      <c r="J15" s="39"/>
      <c r="K15" s="39"/>
      <c r="L15" s="39"/>
      <c r="M15" s="39"/>
      <c r="N15" s="39"/>
      <c r="O15" s="39"/>
      <c r="P15" s="39"/>
      <c r="Q15" s="39"/>
    </row>
    <row r="16" customFormat="1" ht="16.5" spans="1:17">
      <c r="A16" s="38"/>
      <c r="B16" s="39"/>
      <c r="C16" s="39"/>
      <c r="D16" s="39"/>
      <c r="E16" s="39"/>
      <c r="F16" s="39"/>
      <c r="G16" s="40">
        <f t="shared" si="2"/>
        <v>1600</v>
      </c>
      <c r="H16" s="39"/>
      <c r="I16" s="44"/>
      <c r="J16" s="39"/>
      <c r="K16" s="39"/>
      <c r="L16" s="39"/>
      <c r="M16" s="39"/>
      <c r="N16" s="39"/>
      <c r="O16" s="39"/>
      <c r="P16" s="39"/>
      <c r="Q16" s="39"/>
    </row>
    <row r="17" customFormat="1" ht="16.5" spans="1:17">
      <c r="A17" s="38"/>
      <c r="B17" s="39"/>
      <c r="C17" s="39"/>
      <c r="D17" s="39"/>
      <c r="E17" s="39"/>
      <c r="F17" s="39"/>
      <c r="G17" s="40">
        <f t="shared" si="2"/>
        <v>1600</v>
      </c>
      <c r="H17" s="39"/>
      <c r="I17" s="44"/>
      <c r="J17" s="39"/>
      <c r="K17" s="39"/>
      <c r="L17" s="39"/>
      <c r="M17" s="39"/>
      <c r="N17" s="39"/>
      <c r="O17" s="39"/>
      <c r="P17" s="39"/>
      <c r="Q17" s="39"/>
    </row>
    <row r="18" customFormat="1" ht="16.5" spans="1:17">
      <c r="A18" s="38"/>
      <c r="B18" s="39"/>
      <c r="C18" s="39"/>
      <c r="D18" s="39"/>
      <c r="E18" s="39"/>
      <c r="F18" s="39"/>
      <c r="G18" s="40"/>
      <c r="H18" s="39"/>
      <c r="I18" s="44"/>
      <c r="J18" s="39"/>
      <c r="K18" s="39"/>
      <c r="L18" s="39"/>
      <c r="M18" s="39"/>
      <c r="N18" s="39"/>
      <c r="O18" s="39"/>
      <c r="P18" s="39"/>
      <c r="Q18" s="39"/>
    </row>
    <row r="19" customFormat="1" ht="16.5" spans="1:17">
      <c r="A19" s="38"/>
      <c r="B19" s="39"/>
      <c r="C19" s="39"/>
      <c r="D19" s="39"/>
      <c r="E19" s="39"/>
      <c r="F19" s="39"/>
      <c r="G19" s="40"/>
      <c r="H19" s="39"/>
      <c r="I19" s="44"/>
      <c r="J19" s="39"/>
      <c r="K19" s="39"/>
      <c r="L19" s="39"/>
      <c r="M19" s="39"/>
      <c r="N19" s="39"/>
      <c r="O19" s="39"/>
      <c r="P19" s="39"/>
      <c r="Q19" s="39"/>
    </row>
    <row r="20" customFormat="1" ht="16.5" spans="1:17">
      <c r="A20" s="38"/>
      <c r="B20" s="39"/>
      <c r="C20" s="39"/>
      <c r="D20" s="39"/>
      <c r="E20" s="39"/>
      <c r="F20" s="39"/>
      <c r="G20" s="40"/>
      <c r="H20" s="39"/>
      <c r="I20" s="44"/>
      <c r="J20" s="39"/>
      <c r="K20" s="39"/>
      <c r="L20" s="39"/>
      <c r="M20" s="39"/>
      <c r="N20" s="39"/>
      <c r="O20" s="39"/>
      <c r="P20" s="39"/>
      <c r="Q20" s="39"/>
    </row>
    <row r="21" customFormat="1" ht="16.5" spans="1:17">
      <c r="A21" s="38"/>
      <c r="B21" s="39"/>
      <c r="C21" s="39"/>
      <c r="D21" s="39"/>
      <c r="E21" s="39"/>
      <c r="F21" s="39"/>
      <c r="G21" s="40"/>
      <c r="H21" s="39"/>
      <c r="I21" s="44"/>
      <c r="J21" s="39"/>
      <c r="K21" s="39"/>
      <c r="L21" s="39"/>
      <c r="M21" s="39"/>
      <c r="N21" s="39"/>
      <c r="O21" s="39"/>
      <c r="P21" s="39"/>
      <c r="Q21" s="39"/>
    </row>
    <row r="22" customFormat="1" ht="16.5" spans="1:17">
      <c r="A22" s="38"/>
      <c r="B22" s="39"/>
      <c r="C22" s="39"/>
      <c r="D22" s="39"/>
      <c r="E22" s="39"/>
      <c r="F22" s="39"/>
      <c r="G22" s="40"/>
      <c r="H22" s="39"/>
      <c r="I22" s="44"/>
      <c r="J22" s="39"/>
      <c r="K22" s="39"/>
      <c r="L22" s="39"/>
      <c r="M22" s="39"/>
      <c r="N22" s="39"/>
      <c r="O22" s="39"/>
      <c r="P22" s="39"/>
      <c r="Q22" s="39"/>
    </row>
    <row r="23" customFormat="1" ht="16.5" spans="1:17">
      <c r="A23" s="38"/>
      <c r="B23" s="39"/>
      <c r="C23" s="39"/>
      <c r="D23" s="39"/>
      <c r="E23" s="39"/>
      <c r="F23" s="39"/>
      <c r="G23" s="40"/>
      <c r="H23" s="39"/>
      <c r="I23" s="44"/>
      <c r="J23" s="39"/>
      <c r="K23" s="39"/>
      <c r="L23" s="39"/>
      <c r="M23" s="39"/>
      <c r="N23" s="39"/>
      <c r="O23" s="39"/>
      <c r="P23" s="39"/>
      <c r="Q23" s="39"/>
    </row>
    <row r="24" customFormat="1" ht="16.5" spans="1:17">
      <c r="A24" s="38"/>
      <c r="B24" s="39"/>
      <c r="C24" s="39"/>
      <c r="D24" s="39"/>
      <c r="E24" s="39"/>
      <c r="F24" s="39"/>
      <c r="G24" s="40"/>
      <c r="H24" s="39"/>
      <c r="I24" s="44"/>
      <c r="J24" s="39"/>
      <c r="K24" s="39"/>
      <c r="L24" s="39"/>
      <c r="M24" s="39"/>
      <c r="N24" s="39"/>
      <c r="O24" s="39"/>
      <c r="P24" s="39"/>
      <c r="Q24" s="39"/>
    </row>
    <row r="25" customFormat="1" ht="16.5" spans="1:17">
      <c r="A25" s="38"/>
      <c r="B25" s="39"/>
      <c r="C25" s="39"/>
      <c r="D25" s="39"/>
      <c r="E25" s="39"/>
      <c r="F25" s="39"/>
      <c r="G25" s="40"/>
      <c r="H25" s="39"/>
      <c r="I25" s="44"/>
      <c r="J25" s="39"/>
      <c r="K25" s="39"/>
      <c r="L25" s="39"/>
      <c r="M25" s="39"/>
      <c r="N25" s="39"/>
      <c r="O25" s="39"/>
      <c r="P25" s="39"/>
      <c r="Q25" s="39"/>
    </row>
    <row r="30" spans="1:17">
      <c r="F30">
        <f>G17*C14</f>
        <v>70400</v>
      </c>
    </row>
    <row r="31" spans="1:17">
      <c r="F31">
        <f>M4+M5+M6+M7+M8+M9+M10+M11+M12+M13+M14</f>
        <v>70100</v>
      </c>
    </row>
  </sheetData>
  <mergeCells count="8">
    <mergeCell ref="A1:Q1"/>
    <mergeCell ref="B2:D2"/>
    <mergeCell ref="E2:F2"/>
    <mergeCell ref="J2:M2"/>
    <mergeCell ref="N2:P2"/>
    <mergeCell ref="A2:A3"/>
    <mergeCell ref="H2:H3"/>
    <mergeCell ref="I2:I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47"/>
  <sheetViews>
    <sheetView topLeftCell="A127" workbookViewId="0">
      <selection activeCell="F142" sqref="F142"/>
    </sheetView>
  </sheetViews>
  <sheetFormatPr defaultColWidth="8.89166666666667" defaultRowHeight="13.5"/>
  <cols>
    <col min="1" max="1" width="6.75" customWidth="1"/>
    <col min="2" max="2" width="11.225" customWidth="1"/>
    <col min="3" max="3" width="24.125" customWidth="1"/>
    <col min="4" max="4" width="22" customWidth="1"/>
    <col min="5" max="5" width="16.5083333333333" customWidth="1"/>
    <col min="6" max="6" width="12.625" style="16"/>
  </cols>
  <sheetData>
    <row r="1" spans="1:9">
      <c r="A1" s="17"/>
      <c r="B1" s="17"/>
      <c r="C1" s="17"/>
      <c r="D1" s="17"/>
      <c r="E1" s="17"/>
      <c r="F1" s="17"/>
      <c r="G1" s="17"/>
      <c r="H1" s="17"/>
    </row>
    <row r="2" spans="1:9">
      <c r="A2" s="17"/>
      <c r="B2" s="17"/>
      <c r="C2" s="17"/>
      <c r="D2" s="17"/>
      <c r="E2" s="17"/>
      <c r="F2" s="17"/>
      <c r="G2" s="17"/>
      <c r="H2" s="17"/>
    </row>
    <row r="3" spans="1:9">
      <c r="A3" s="3" t="s">
        <v>291</v>
      </c>
      <c r="B3" s="3" t="s">
        <v>72</v>
      </c>
      <c r="C3" s="3" t="s">
        <v>292</v>
      </c>
      <c r="D3" s="18" t="s">
        <v>2</v>
      </c>
      <c r="E3" s="18" t="s">
        <v>293</v>
      </c>
      <c r="F3" s="18" t="s">
        <v>41</v>
      </c>
      <c r="G3" s="18" t="s">
        <v>122</v>
      </c>
      <c r="H3" s="2" t="s">
        <v>42</v>
      </c>
      <c r="I3" s="2" t="s">
        <v>294</v>
      </c>
    </row>
    <row r="4" spans="1:9">
      <c r="A4" s="5"/>
      <c r="B4" s="5"/>
      <c r="C4" s="5"/>
      <c r="D4" s="19"/>
      <c r="E4" s="19"/>
      <c r="F4" s="19"/>
      <c r="G4" s="19"/>
      <c r="H4" s="2"/>
      <c r="I4" s="2"/>
    </row>
    <row r="5" ht="22" customHeight="1" spans="1:9">
      <c r="A5" s="12">
        <v>1</v>
      </c>
      <c r="B5" s="7" t="s">
        <v>295</v>
      </c>
      <c r="C5" s="7">
        <v>1043721</v>
      </c>
      <c r="D5" s="20" t="s">
        <v>296</v>
      </c>
      <c r="E5" s="7">
        <v>10000</v>
      </c>
      <c r="F5" s="11">
        <v>0.11</v>
      </c>
      <c r="G5" s="7">
        <v>750</v>
      </c>
      <c r="H5" s="7">
        <f>E5*F5+G5</f>
        <v>1850</v>
      </c>
      <c r="I5" s="7">
        <f>H5</f>
        <v>1850</v>
      </c>
    </row>
    <row r="6" ht="22" customHeight="1" spans="1:9">
      <c r="A6" s="12">
        <v>2</v>
      </c>
      <c r="B6" s="7" t="s">
        <v>297</v>
      </c>
      <c r="C6" s="7">
        <v>1043866</v>
      </c>
      <c r="D6" s="20" t="s">
        <v>296</v>
      </c>
      <c r="E6" s="7">
        <v>10000</v>
      </c>
      <c r="F6" s="11">
        <v>0.11</v>
      </c>
      <c r="G6" s="7">
        <v>750</v>
      </c>
      <c r="H6" s="7">
        <f t="shared" ref="H6:H25" si="0">E6*F6+G6</f>
        <v>1850</v>
      </c>
      <c r="I6" s="7">
        <f>I5+H6</f>
        <v>3700</v>
      </c>
    </row>
    <row r="7" ht="22" customHeight="1" spans="1:9">
      <c r="A7" s="12">
        <v>3</v>
      </c>
      <c r="B7" s="21" t="s">
        <v>298</v>
      </c>
      <c r="C7" s="7">
        <v>1047193</v>
      </c>
      <c r="D7" s="20" t="s">
        <v>296</v>
      </c>
      <c r="E7" s="7">
        <v>10000</v>
      </c>
      <c r="F7" s="11">
        <v>0.11</v>
      </c>
      <c r="G7" s="7">
        <v>750</v>
      </c>
      <c r="H7" s="7">
        <f t="shared" si="0"/>
        <v>1850</v>
      </c>
      <c r="I7" s="7">
        <f t="shared" ref="I7:I21" si="1">I6+H7</f>
        <v>5550</v>
      </c>
    </row>
    <row r="8" ht="22" customHeight="1" spans="1:9">
      <c r="A8" s="12">
        <v>4</v>
      </c>
      <c r="B8" s="21" t="s">
        <v>196</v>
      </c>
      <c r="C8" s="7">
        <v>1028698</v>
      </c>
      <c r="D8" s="20" t="s">
        <v>296</v>
      </c>
      <c r="E8" s="7">
        <v>10000</v>
      </c>
      <c r="F8" s="11">
        <v>0.11</v>
      </c>
      <c r="G8" s="7">
        <v>750</v>
      </c>
      <c r="H8" s="7">
        <f t="shared" si="0"/>
        <v>1850</v>
      </c>
      <c r="I8" s="7">
        <f t="shared" si="1"/>
        <v>7400</v>
      </c>
    </row>
    <row r="9" ht="22" customHeight="1" spans="1:9">
      <c r="A9" s="12">
        <v>5</v>
      </c>
      <c r="B9" s="21" t="s">
        <v>196</v>
      </c>
      <c r="C9" s="7">
        <v>1028699</v>
      </c>
      <c r="D9" s="20" t="s">
        <v>296</v>
      </c>
      <c r="E9" s="7">
        <v>10000</v>
      </c>
      <c r="F9" s="11">
        <v>0.11</v>
      </c>
      <c r="G9" s="7">
        <v>750</v>
      </c>
      <c r="H9" s="7">
        <f t="shared" si="0"/>
        <v>1850</v>
      </c>
      <c r="I9" s="7">
        <f t="shared" si="1"/>
        <v>9250</v>
      </c>
    </row>
    <row r="10" ht="22" customHeight="1" spans="1:9">
      <c r="A10" s="12">
        <v>6</v>
      </c>
      <c r="B10" s="7" t="s">
        <v>299</v>
      </c>
      <c r="C10" s="7">
        <v>1396030</v>
      </c>
      <c r="D10" s="20" t="s">
        <v>300</v>
      </c>
      <c r="E10" s="7">
        <v>10000</v>
      </c>
      <c r="F10" s="11">
        <v>0.107</v>
      </c>
      <c r="G10" s="7"/>
      <c r="H10" s="7">
        <f t="shared" si="0"/>
        <v>1070</v>
      </c>
      <c r="I10" s="7">
        <f t="shared" si="1"/>
        <v>10320</v>
      </c>
    </row>
    <row r="11" ht="25" customHeight="1" spans="1:9">
      <c r="A11" s="12">
        <v>7</v>
      </c>
      <c r="B11" s="7" t="s">
        <v>301</v>
      </c>
      <c r="C11" s="7">
        <v>2837153</v>
      </c>
      <c r="D11" s="20" t="s">
        <v>300</v>
      </c>
      <c r="E11" s="7">
        <v>10000</v>
      </c>
      <c r="F11" s="11">
        <v>0.107</v>
      </c>
      <c r="G11" s="7"/>
      <c r="H11" s="7">
        <f t="shared" si="0"/>
        <v>1070</v>
      </c>
      <c r="I11" s="7">
        <f t="shared" si="1"/>
        <v>11390</v>
      </c>
    </row>
    <row r="12" customFormat="1" ht="25" customHeight="1" spans="1:9">
      <c r="A12" s="12">
        <v>8</v>
      </c>
      <c r="B12" s="7" t="s">
        <v>302</v>
      </c>
      <c r="C12" s="143" t="s">
        <v>303</v>
      </c>
      <c r="D12" s="20" t="s">
        <v>304</v>
      </c>
      <c r="E12" s="7">
        <v>10000</v>
      </c>
      <c r="F12" s="11">
        <v>0.095</v>
      </c>
      <c r="G12" s="7">
        <v>750</v>
      </c>
      <c r="H12" s="7">
        <f t="shared" si="0"/>
        <v>1700</v>
      </c>
      <c r="I12" s="7">
        <f t="shared" si="1"/>
        <v>13090</v>
      </c>
    </row>
    <row r="13" customFormat="1" ht="25" customHeight="1" spans="1:9">
      <c r="A13" s="12">
        <v>9</v>
      </c>
      <c r="B13" s="7" t="s">
        <v>302</v>
      </c>
      <c r="C13" s="143" t="s">
        <v>305</v>
      </c>
      <c r="D13" s="20" t="s">
        <v>304</v>
      </c>
      <c r="E13" s="7">
        <v>10000</v>
      </c>
      <c r="F13" s="11">
        <v>0.095</v>
      </c>
      <c r="G13" s="7">
        <v>600</v>
      </c>
      <c r="H13" s="7">
        <f t="shared" si="0"/>
        <v>1550</v>
      </c>
      <c r="I13" s="7">
        <f t="shared" si="1"/>
        <v>14640</v>
      </c>
    </row>
    <row r="14" customFormat="1" ht="25" customHeight="1" spans="1:9">
      <c r="A14" s="12">
        <v>10</v>
      </c>
      <c r="B14" s="7" t="s">
        <v>306</v>
      </c>
      <c r="C14" s="143" t="s">
        <v>307</v>
      </c>
      <c r="D14" s="20" t="s">
        <v>304</v>
      </c>
      <c r="E14" s="7">
        <v>10000</v>
      </c>
      <c r="F14" s="11">
        <v>0.095</v>
      </c>
      <c r="G14" s="7">
        <v>750</v>
      </c>
      <c r="H14" s="7">
        <f t="shared" si="0"/>
        <v>1700</v>
      </c>
      <c r="I14" s="7">
        <f t="shared" si="1"/>
        <v>16340</v>
      </c>
    </row>
    <row r="15" customFormat="1" ht="25" customHeight="1" spans="1:9">
      <c r="A15" s="12">
        <v>11</v>
      </c>
      <c r="B15" s="7" t="s">
        <v>306</v>
      </c>
      <c r="C15" s="143" t="s">
        <v>308</v>
      </c>
      <c r="D15" s="20" t="s">
        <v>304</v>
      </c>
      <c r="E15" s="7">
        <v>10000</v>
      </c>
      <c r="F15" s="11">
        <v>0.095</v>
      </c>
      <c r="G15" s="7">
        <v>750</v>
      </c>
      <c r="H15" s="7">
        <f t="shared" si="0"/>
        <v>1700</v>
      </c>
      <c r="I15" s="7">
        <f t="shared" si="1"/>
        <v>18040</v>
      </c>
    </row>
    <row r="16" customFormat="1" ht="25" customHeight="1" spans="1:9">
      <c r="A16" s="12">
        <v>12</v>
      </c>
      <c r="B16" s="7" t="s">
        <v>306</v>
      </c>
      <c r="C16" s="143" t="s">
        <v>309</v>
      </c>
      <c r="D16" s="20" t="s">
        <v>304</v>
      </c>
      <c r="E16" s="7">
        <v>10000</v>
      </c>
      <c r="F16" s="11">
        <v>0.095</v>
      </c>
      <c r="G16" s="7">
        <v>750</v>
      </c>
      <c r="H16" s="7">
        <f t="shared" si="0"/>
        <v>1700</v>
      </c>
      <c r="I16" s="7">
        <f t="shared" si="1"/>
        <v>19740</v>
      </c>
    </row>
    <row r="17" customFormat="1" ht="25" customHeight="1" spans="1:9">
      <c r="A17" s="12">
        <v>13</v>
      </c>
      <c r="B17" s="7" t="s">
        <v>310</v>
      </c>
      <c r="C17" s="7" t="s">
        <v>311</v>
      </c>
      <c r="D17" s="20" t="s">
        <v>312</v>
      </c>
      <c r="E17" s="7">
        <v>10000</v>
      </c>
      <c r="F17" s="11">
        <v>0.1</v>
      </c>
      <c r="G17" s="7">
        <v>800</v>
      </c>
      <c r="H17" s="7">
        <f t="shared" si="0"/>
        <v>1800</v>
      </c>
      <c r="I17" s="7">
        <f t="shared" ref="I17:I31" si="2">I16+H17</f>
        <v>21540</v>
      </c>
    </row>
    <row r="18" customFormat="1" ht="25" customHeight="1" spans="1:9">
      <c r="A18" s="12">
        <v>14</v>
      </c>
      <c r="B18" s="7" t="s">
        <v>310</v>
      </c>
      <c r="C18" s="7" t="s">
        <v>313</v>
      </c>
      <c r="D18" s="20" t="s">
        <v>312</v>
      </c>
      <c r="E18" s="7">
        <v>10000</v>
      </c>
      <c r="F18" s="11">
        <v>0.1</v>
      </c>
      <c r="G18" s="7">
        <v>800</v>
      </c>
      <c r="H18" s="7">
        <f t="shared" si="0"/>
        <v>1800</v>
      </c>
      <c r="I18" s="7">
        <f t="shared" si="2"/>
        <v>23340</v>
      </c>
    </row>
    <row r="19" customFormat="1" ht="25" customHeight="1" spans="1:9">
      <c r="A19" s="12">
        <v>15</v>
      </c>
      <c r="B19" s="7" t="s">
        <v>310</v>
      </c>
      <c r="C19" s="7" t="s">
        <v>314</v>
      </c>
      <c r="D19" s="20" t="s">
        <v>312</v>
      </c>
      <c r="E19" s="7">
        <v>10000</v>
      </c>
      <c r="F19" s="11">
        <v>0.1</v>
      </c>
      <c r="G19" s="7">
        <v>800</v>
      </c>
      <c r="H19" s="7">
        <f t="shared" si="0"/>
        <v>1800</v>
      </c>
      <c r="I19" s="7">
        <f t="shared" si="2"/>
        <v>25140</v>
      </c>
    </row>
    <row r="20" customFormat="1" ht="25" customHeight="1" spans="1:9">
      <c r="A20" s="12">
        <v>16</v>
      </c>
      <c r="B20" s="7" t="s">
        <v>310</v>
      </c>
      <c r="C20" s="7" t="s">
        <v>315</v>
      </c>
      <c r="D20" s="20" t="s">
        <v>312</v>
      </c>
      <c r="E20" s="7">
        <v>10000</v>
      </c>
      <c r="F20" s="11">
        <v>0.1</v>
      </c>
      <c r="G20" s="7">
        <v>800</v>
      </c>
      <c r="H20" s="7">
        <f t="shared" si="0"/>
        <v>1800</v>
      </c>
      <c r="I20" s="7">
        <f t="shared" si="2"/>
        <v>26940</v>
      </c>
    </row>
    <row r="21" customFormat="1" ht="25" customHeight="1" spans="1:9">
      <c r="A21" s="12">
        <v>17</v>
      </c>
      <c r="B21" s="7" t="s">
        <v>316</v>
      </c>
      <c r="C21" s="7" t="s">
        <v>317</v>
      </c>
      <c r="D21" s="20" t="s">
        <v>312</v>
      </c>
      <c r="E21" s="7">
        <v>10000</v>
      </c>
      <c r="F21" s="11">
        <v>0.1</v>
      </c>
      <c r="G21" s="7">
        <v>650</v>
      </c>
      <c r="H21" s="7">
        <f t="shared" si="0"/>
        <v>1650</v>
      </c>
      <c r="I21" s="7">
        <f t="shared" si="2"/>
        <v>28590</v>
      </c>
    </row>
    <row r="22" customFormat="1" ht="25" customHeight="1" spans="1:9">
      <c r="A22" s="12">
        <v>18</v>
      </c>
      <c r="B22" s="7" t="s">
        <v>318</v>
      </c>
      <c r="C22" s="7" t="s">
        <v>319</v>
      </c>
      <c r="D22" s="20" t="s">
        <v>304</v>
      </c>
      <c r="E22" s="7">
        <v>10000</v>
      </c>
      <c r="F22" s="11">
        <v>0.095</v>
      </c>
      <c r="G22" s="7">
        <v>800</v>
      </c>
      <c r="H22" s="7">
        <f t="shared" si="0"/>
        <v>1750</v>
      </c>
      <c r="I22" s="7">
        <f t="shared" si="2"/>
        <v>30340</v>
      </c>
    </row>
    <row r="23" customFormat="1" ht="25" customHeight="1" spans="1:9">
      <c r="A23" s="12">
        <v>19</v>
      </c>
      <c r="B23" s="7" t="s">
        <v>320</v>
      </c>
      <c r="C23" s="7" t="s">
        <v>321</v>
      </c>
      <c r="D23" s="20" t="s">
        <v>304</v>
      </c>
      <c r="E23" s="7">
        <v>10000</v>
      </c>
      <c r="F23" s="11">
        <v>0.095</v>
      </c>
      <c r="G23" s="7">
        <v>800</v>
      </c>
      <c r="H23" s="7">
        <f t="shared" si="0"/>
        <v>1750</v>
      </c>
      <c r="I23" s="7">
        <f t="shared" si="2"/>
        <v>32090</v>
      </c>
    </row>
    <row r="24" customFormat="1" ht="25" customHeight="1" spans="1:9">
      <c r="A24" s="12">
        <v>20</v>
      </c>
      <c r="B24" s="7" t="s">
        <v>322</v>
      </c>
      <c r="C24" s="7" t="s">
        <v>323</v>
      </c>
      <c r="D24" s="20" t="s">
        <v>312</v>
      </c>
      <c r="E24" s="7">
        <v>10000</v>
      </c>
      <c r="F24" s="11">
        <v>0.1</v>
      </c>
      <c r="G24" s="7">
        <v>800</v>
      </c>
      <c r="H24" s="7">
        <f t="shared" si="0"/>
        <v>1800</v>
      </c>
      <c r="I24" s="7">
        <f t="shared" si="2"/>
        <v>33890</v>
      </c>
    </row>
    <row r="25" customFormat="1" ht="25" customHeight="1" spans="1:9">
      <c r="A25" s="12">
        <v>21</v>
      </c>
      <c r="B25" s="7" t="s">
        <v>322</v>
      </c>
      <c r="C25" s="7" t="s">
        <v>324</v>
      </c>
      <c r="D25" s="20" t="s">
        <v>312</v>
      </c>
      <c r="E25" s="7">
        <v>10000</v>
      </c>
      <c r="F25" s="11">
        <v>0.1</v>
      </c>
      <c r="G25" s="7">
        <v>800</v>
      </c>
      <c r="H25" s="7">
        <f t="shared" si="0"/>
        <v>1800</v>
      </c>
      <c r="I25" s="7">
        <f t="shared" si="2"/>
        <v>35690</v>
      </c>
    </row>
    <row r="26" customFormat="1" ht="25" customHeight="1" spans="1:9">
      <c r="A26" s="12">
        <v>22</v>
      </c>
      <c r="B26" s="22" t="s">
        <v>325</v>
      </c>
      <c r="C26" s="7" t="s">
        <v>326</v>
      </c>
      <c r="D26" s="20" t="s">
        <v>327</v>
      </c>
      <c r="E26" s="7">
        <v>10000</v>
      </c>
      <c r="F26" s="11">
        <v>0.108</v>
      </c>
      <c r="G26" s="7">
        <v>1000</v>
      </c>
      <c r="H26" s="7">
        <f t="shared" ref="H26:H44" si="3">E26*F26+G26</f>
        <v>2080</v>
      </c>
      <c r="I26" s="7">
        <f t="shared" si="2"/>
        <v>37770</v>
      </c>
    </row>
    <row r="27" customFormat="1" ht="25" customHeight="1" spans="1:9">
      <c r="A27" s="12">
        <v>23</v>
      </c>
      <c r="B27" s="22" t="s">
        <v>325</v>
      </c>
      <c r="C27" s="7" t="s">
        <v>328</v>
      </c>
      <c r="D27" s="20" t="s">
        <v>327</v>
      </c>
      <c r="E27" s="7">
        <v>10000</v>
      </c>
      <c r="F27" s="11">
        <v>0.108</v>
      </c>
      <c r="G27" s="7">
        <v>1000</v>
      </c>
      <c r="H27" s="7">
        <f t="shared" si="3"/>
        <v>2080</v>
      </c>
      <c r="I27" s="7">
        <f t="shared" si="2"/>
        <v>39850</v>
      </c>
    </row>
    <row r="28" customFormat="1" ht="25" customHeight="1" spans="1:9">
      <c r="A28" s="12">
        <v>24</v>
      </c>
      <c r="B28" s="7" t="s">
        <v>329</v>
      </c>
      <c r="C28" s="7" t="s">
        <v>330</v>
      </c>
      <c r="D28" s="20" t="s">
        <v>327</v>
      </c>
      <c r="E28" s="7">
        <v>10000</v>
      </c>
      <c r="F28" s="11">
        <v>0.108</v>
      </c>
      <c r="G28" s="7">
        <v>1000</v>
      </c>
      <c r="H28" s="7">
        <f t="shared" si="3"/>
        <v>2080</v>
      </c>
      <c r="I28" s="7">
        <f t="shared" si="2"/>
        <v>41930</v>
      </c>
    </row>
    <row r="29" customFormat="1" ht="25" customHeight="1" spans="1:9">
      <c r="A29" s="12">
        <v>25</v>
      </c>
      <c r="B29" s="7" t="s">
        <v>329</v>
      </c>
      <c r="C29" s="7" t="s">
        <v>331</v>
      </c>
      <c r="D29" s="20" t="s">
        <v>327</v>
      </c>
      <c r="E29" s="7">
        <v>10000</v>
      </c>
      <c r="F29" s="11">
        <v>0.108</v>
      </c>
      <c r="G29" s="7">
        <v>1000</v>
      </c>
      <c r="H29" s="7">
        <f t="shared" si="3"/>
        <v>2080</v>
      </c>
      <c r="I29" s="7">
        <f t="shared" si="2"/>
        <v>44010</v>
      </c>
    </row>
    <row r="30" customFormat="1" ht="25" customHeight="1" spans="1:9">
      <c r="A30" s="12">
        <v>26</v>
      </c>
      <c r="B30" s="7" t="s">
        <v>332</v>
      </c>
      <c r="C30" s="7" t="s">
        <v>333</v>
      </c>
      <c r="D30" s="20" t="s">
        <v>327</v>
      </c>
      <c r="E30" s="7">
        <v>10000</v>
      </c>
      <c r="F30" s="11">
        <v>0.108</v>
      </c>
      <c r="G30" s="7">
        <v>1000</v>
      </c>
      <c r="H30" s="7">
        <f t="shared" si="3"/>
        <v>2080</v>
      </c>
      <c r="I30" s="7">
        <f t="shared" si="2"/>
        <v>46090</v>
      </c>
    </row>
    <row r="31" customFormat="1" ht="25" customHeight="1" spans="1:9">
      <c r="A31" s="12">
        <v>27</v>
      </c>
      <c r="B31" s="7" t="s">
        <v>332</v>
      </c>
      <c r="C31" s="7" t="s">
        <v>334</v>
      </c>
      <c r="D31" s="20" t="s">
        <v>327</v>
      </c>
      <c r="E31" s="7">
        <v>10000</v>
      </c>
      <c r="F31" s="11">
        <v>0.108</v>
      </c>
      <c r="G31" s="7">
        <v>1000</v>
      </c>
      <c r="H31" s="7">
        <f t="shared" si="3"/>
        <v>2080</v>
      </c>
      <c r="I31" s="7">
        <f t="shared" si="2"/>
        <v>48170</v>
      </c>
    </row>
    <row r="32" customFormat="1" ht="25" customHeight="1" spans="1:9">
      <c r="A32" s="12">
        <v>28</v>
      </c>
      <c r="B32" s="13">
        <v>45999</v>
      </c>
      <c r="C32" s="7" t="s">
        <v>335</v>
      </c>
      <c r="D32" s="20" t="s">
        <v>336</v>
      </c>
      <c r="E32" s="7">
        <v>10000</v>
      </c>
      <c r="F32" s="11">
        <v>0.12</v>
      </c>
      <c r="G32" s="7">
        <v>1000</v>
      </c>
      <c r="H32" s="7">
        <f t="shared" si="3"/>
        <v>2200</v>
      </c>
      <c r="I32" s="7">
        <f t="shared" ref="I32:I63" si="4">I31+H32</f>
        <v>50370</v>
      </c>
    </row>
    <row r="33" customFormat="1" ht="25" customHeight="1" spans="1:9">
      <c r="A33" s="12">
        <v>29</v>
      </c>
      <c r="B33" s="13">
        <v>45999</v>
      </c>
      <c r="C33" s="7" t="s">
        <v>337</v>
      </c>
      <c r="D33" s="20" t="s">
        <v>336</v>
      </c>
      <c r="E33" s="7">
        <v>10000</v>
      </c>
      <c r="F33" s="11">
        <v>0.12</v>
      </c>
      <c r="G33" s="7">
        <v>1000</v>
      </c>
      <c r="H33" s="7">
        <f t="shared" si="3"/>
        <v>2200</v>
      </c>
      <c r="I33" s="7">
        <f t="shared" si="4"/>
        <v>52570</v>
      </c>
    </row>
    <row r="34" customFormat="1" ht="25" customHeight="1" spans="1:9">
      <c r="A34" s="12">
        <v>30</v>
      </c>
      <c r="B34" s="13">
        <v>45999</v>
      </c>
      <c r="C34" s="7" t="s">
        <v>338</v>
      </c>
      <c r="D34" s="20" t="s">
        <v>336</v>
      </c>
      <c r="E34" s="7">
        <v>10000</v>
      </c>
      <c r="F34" s="11">
        <v>0.12</v>
      </c>
      <c r="G34" s="7">
        <v>1000</v>
      </c>
      <c r="H34" s="7">
        <f t="shared" si="3"/>
        <v>2200</v>
      </c>
      <c r="I34" s="7">
        <f t="shared" si="4"/>
        <v>54770</v>
      </c>
    </row>
    <row r="35" customFormat="1" ht="25" customHeight="1" spans="1:9">
      <c r="A35" s="12">
        <v>31</v>
      </c>
      <c r="B35" s="13">
        <v>45999</v>
      </c>
      <c r="C35" s="7" t="s">
        <v>339</v>
      </c>
      <c r="D35" s="20" t="s">
        <v>336</v>
      </c>
      <c r="E35" s="7">
        <v>10000</v>
      </c>
      <c r="F35" s="11">
        <v>0.12</v>
      </c>
      <c r="G35" s="7">
        <v>1000</v>
      </c>
      <c r="H35" s="7">
        <f t="shared" si="3"/>
        <v>2200</v>
      </c>
      <c r="I35" s="7">
        <f t="shared" si="4"/>
        <v>56970</v>
      </c>
    </row>
    <row r="36" customFormat="1" ht="25" customHeight="1" spans="1:9">
      <c r="A36" s="12">
        <v>32</v>
      </c>
      <c r="B36" s="13">
        <v>46000</v>
      </c>
      <c r="C36" s="7" t="s">
        <v>340</v>
      </c>
      <c r="D36" s="20" t="s">
        <v>336</v>
      </c>
      <c r="E36" s="7">
        <v>10000</v>
      </c>
      <c r="F36" s="11">
        <v>0.12</v>
      </c>
      <c r="G36" s="7">
        <v>1000</v>
      </c>
      <c r="H36" s="7">
        <f t="shared" si="3"/>
        <v>2200</v>
      </c>
      <c r="I36" s="7">
        <f t="shared" si="4"/>
        <v>59170</v>
      </c>
    </row>
    <row r="37" customFormat="1" ht="25" customHeight="1" spans="1:9">
      <c r="A37" s="12">
        <v>33</v>
      </c>
      <c r="B37" s="13">
        <v>46000</v>
      </c>
      <c r="C37" s="7" t="s">
        <v>337</v>
      </c>
      <c r="D37" s="20" t="s">
        <v>336</v>
      </c>
      <c r="E37" s="7">
        <v>10000</v>
      </c>
      <c r="F37" s="11">
        <v>0.12</v>
      </c>
      <c r="G37" s="7">
        <v>1000</v>
      </c>
      <c r="H37" s="7">
        <f t="shared" si="3"/>
        <v>2200</v>
      </c>
      <c r="I37" s="7">
        <f t="shared" si="4"/>
        <v>61370</v>
      </c>
    </row>
    <row r="38" customFormat="1" ht="25" customHeight="1" spans="1:9">
      <c r="A38" s="12">
        <v>34</v>
      </c>
      <c r="B38" s="13">
        <v>46000</v>
      </c>
      <c r="C38" s="7" t="s">
        <v>341</v>
      </c>
      <c r="D38" s="20" t="s">
        <v>336</v>
      </c>
      <c r="E38" s="7">
        <v>10000</v>
      </c>
      <c r="F38" s="11">
        <v>0.12</v>
      </c>
      <c r="G38" s="7">
        <v>1000</v>
      </c>
      <c r="H38" s="7">
        <f t="shared" si="3"/>
        <v>2200</v>
      </c>
      <c r="I38" s="7">
        <f t="shared" si="4"/>
        <v>63570</v>
      </c>
    </row>
    <row r="39" customFormat="1" ht="25" customHeight="1" spans="1:9">
      <c r="A39" s="12">
        <v>35</v>
      </c>
      <c r="B39" s="13">
        <v>46034</v>
      </c>
      <c r="C39" s="7" t="s">
        <v>342</v>
      </c>
      <c r="D39" s="20" t="s">
        <v>336</v>
      </c>
      <c r="E39" s="7">
        <v>10000</v>
      </c>
      <c r="F39" s="11">
        <v>0.12</v>
      </c>
      <c r="G39" s="7">
        <v>1000</v>
      </c>
      <c r="H39" s="7">
        <f t="shared" si="3"/>
        <v>2200</v>
      </c>
      <c r="I39" s="7">
        <f t="shared" si="4"/>
        <v>65770</v>
      </c>
    </row>
    <row r="40" customFormat="1" ht="25" customHeight="1" spans="1:9">
      <c r="A40" s="12">
        <v>36</v>
      </c>
      <c r="B40" s="13">
        <v>46034</v>
      </c>
      <c r="C40" s="7" t="s">
        <v>343</v>
      </c>
      <c r="D40" s="20" t="s">
        <v>336</v>
      </c>
      <c r="E40" s="7">
        <v>10000</v>
      </c>
      <c r="F40" s="11">
        <v>0.12</v>
      </c>
      <c r="G40" s="7">
        <v>1000</v>
      </c>
      <c r="H40" s="7">
        <f t="shared" si="3"/>
        <v>2200</v>
      </c>
      <c r="I40" s="7">
        <f t="shared" si="4"/>
        <v>67970</v>
      </c>
    </row>
    <row r="41" customFormat="1" ht="25" customHeight="1" spans="1:9">
      <c r="A41" s="12">
        <v>37</v>
      </c>
      <c r="B41" s="13">
        <v>46034</v>
      </c>
      <c r="C41" s="7" t="s">
        <v>344</v>
      </c>
      <c r="D41" s="20" t="s">
        <v>336</v>
      </c>
      <c r="E41" s="7">
        <v>10000</v>
      </c>
      <c r="F41" s="11">
        <v>0.12</v>
      </c>
      <c r="G41" s="7">
        <v>1000</v>
      </c>
      <c r="H41" s="7">
        <f t="shared" si="3"/>
        <v>2200</v>
      </c>
      <c r="I41" s="7">
        <f t="shared" si="4"/>
        <v>70170</v>
      </c>
    </row>
    <row r="42" customFormat="1" ht="25" customHeight="1" spans="1:9">
      <c r="A42" s="12">
        <v>38</v>
      </c>
      <c r="B42" s="13">
        <v>46035</v>
      </c>
      <c r="C42" s="7" t="s">
        <v>345</v>
      </c>
      <c r="D42" s="20" t="s">
        <v>336</v>
      </c>
      <c r="E42" s="7">
        <v>10000</v>
      </c>
      <c r="F42" s="11">
        <v>0.12</v>
      </c>
      <c r="G42" s="7">
        <v>1000</v>
      </c>
      <c r="H42" s="7">
        <f t="shared" si="3"/>
        <v>2200</v>
      </c>
      <c r="I42" s="7">
        <f t="shared" si="4"/>
        <v>72370</v>
      </c>
    </row>
    <row r="43" customFormat="1" ht="25" customHeight="1" spans="1:9">
      <c r="A43" s="12">
        <v>39</v>
      </c>
      <c r="B43" s="13">
        <v>46035</v>
      </c>
      <c r="C43" s="7" t="s">
        <v>346</v>
      </c>
      <c r="D43" s="20" t="s">
        <v>336</v>
      </c>
      <c r="E43" s="7">
        <v>10000</v>
      </c>
      <c r="F43" s="11">
        <v>0.12</v>
      </c>
      <c r="G43" s="7">
        <v>1000</v>
      </c>
      <c r="H43" s="7">
        <f t="shared" si="3"/>
        <v>2200</v>
      </c>
      <c r="I43" s="7">
        <f t="shared" si="4"/>
        <v>74570</v>
      </c>
    </row>
    <row r="44" customFormat="1" ht="25" customHeight="1" spans="1:9">
      <c r="A44" s="12">
        <v>40</v>
      </c>
      <c r="B44" s="13">
        <v>46055</v>
      </c>
      <c r="C44" s="7" t="s">
        <v>347</v>
      </c>
      <c r="D44" s="20" t="s">
        <v>348</v>
      </c>
      <c r="E44" s="7">
        <v>10000</v>
      </c>
      <c r="F44" s="11">
        <v>0.105</v>
      </c>
      <c r="G44" s="7">
        <v>1000</v>
      </c>
      <c r="H44" s="7">
        <f t="shared" si="3"/>
        <v>2050</v>
      </c>
      <c r="I44" s="7">
        <f t="shared" si="4"/>
        <v>76620</v>
      </c>
    </row>
    <row r="45" customFormat="1" ht="25" customHeight="1" spans="1:9">
      <c r="A45" s="12">
        <v>41</v>
      </c>
      <c r="B45" s="13">
        <v>46055</v>
      </c>
      <c r="C45" s="7" t="s">
        <v>349</v>
      </c>
      <c r="D45" s="20" t="s">
        <v>348</v>
      </c>
      <c r="E45" s="7">
        <v>10000</v>
      </c>
      <c r="F45" s="11">
        <v>0.105</v>
      </c>
      <c r="G45" s="7">
        <v>1000</v>
      </c>
      <c r="H45" s="7">
        <f t="shared" ref="H44:H52" si="5">E45*F45+G45</f>
        <v>2050</v>
      </c>
      <c r="I45" s="7">
        <f t="shared" si="4"/>
        <v>78670</v>
      </c>
    </row>
    <row r="46" customFormat="1" ht="25" customHeight="1" spans="1:9">
      <c r="A46" s="12">
        <v>42</v>
      </c>
      <c r="B46" s="13">
        <v>46057</v>
      </c>
      <c r="C46" s="7" t="s">
        <v>350</v>
      </c>
      <c r="D46" s="20" t="s">
        <v>348</v>
      </c>
      <c r="E46" s="7">
        <v>10000</v>
      </c>
      <c r="F46" s="11">
        <v>0.105</v>
      </c>
      <c r="G46" s="7">
        <v>1000</v>
      </c>
      <c r="H46" s="7">
        <f t="shared" si="5"/>
        <v>2050</v>
      </c>
      <c r="I46" s="7">
        <f t="shared" si="4"/>
        <v>80720</v>
      </c>
    </row>
    <row r="47" customFormat="1" ht="25" customHeight="1" spans="1:9">
      <c r="A47" s="12">
        <v>43</v>
      </c>
      <c r="B47" s="13">
        <v>46057</v>
      </c>
      <c r="C47" s="7" t="s">
        <v>351</v>
      </c>
      <c r="D47" s="20" t="s">
        <v>348</v>
      </c>
      <c r="E47" s="7">
        <v>10000</v>
      </c>
      <c r="F47" s="11">
        <v>0.105</v>
      </c>
      <c r="G47" s="7">
        <v>1000</v>
      </c>
      <c r="H47" s="7">
        <f t="shared" si="5"/>
        <v>2050</v>
      </c>
      <c r="I47" s="7">
        <f t="shared" si="4"/>
        <v>82770</v>
      </c>
    </row>
    <row r="48" customFormat="1" ht="25" customHeight="1" spans="1:9">
      <c r="A48" s="12">
        <v>44</v>
      </c>
      <c r="B48" s="13">
        <v>46059</v>
      </c>
      <c r="C48" s="7" t="s">
        <v>352</v>
      </c>
      <c r="D48" s="20" t="s">
        <v>348</v>
      </c>
      <c r="E48" s="7">
        <v>10000</v>
      </c>
      <c r="F48" s="11">
        <v>0.105</v>
      </c>
      <c r="G48" s="7">
        <v>1000</v>
      </c>
      <c r="H48" s="7">
        <f t="shared" si="5"/>
        <v>2050</v>
      </c>
      <c r="I48" s="7">
        <f t="shared" si="4"/>
        <v>84820</v>
      </c>
    </row>
    <row r="49" customFormat="1" ht="25" customHeight="1" spans="1:9">
      <c r="A49" s="12">
        <v>45</v>
      </c>
      <c r="B49" s="13">
        <v>46059</v>
      </c>
      <c r="C49" s="7" t="s">
        <v>353</v>
      </c>
      <c r="D49" s="20" t="s">
        <v>348</v>
      </c>
      <c r="E49" s="7">
        <v>10000</v>
      </c>
      <c r="F49" s="11">
        <v>0.105</v>
      </c>
      <c r="G49" s="7">
        <v>1000</v>
      </c>
      <c r="H49" s="7">
        <f t="shared" si="5"/>
        <v>2050</v>
      </c>
      <c r="I49" s="7">
        <f t="shared" si="4"/>
        <v>86870</v>
      </c>
    </row>
    <row r="50" customFormat="1" ht="25" customHeight="1" spans="1:9">
      <c r="A50" s="12">
        <v>46</v>
      </c>
      <c r="B50" s="13">
        <v>46059</v>
      </c>
      <c r="C50" s="7" t="s">
        <v>354</v>
      </c>
      <c r="D50" s="20" t="s">
        <v>348</v>
      </c>
      <c r="E50" s="7">
        <v>10000</v>
      </c>
      <c r="F50" s="11">
        <v>0.105</v>
      </c>
      <c r="G50" s="7">
        <v>1000</v>
      </c>
      <c r="H50" s="7">
        <f t="shared" ref="H50:H86" si="6">E50*F50+G50</f>
        <v>2050</v>
      </c>
      <c r="I50" s="7">
        <f t="shared" si="4"/>
        <v>88920</v>
      </c>
    </row>
    <row r="51" customFormat="1" ht="25" customHeight="1" spans="1:9">
      <c r="A51" s="12">
        <v>47</v>
      </c>
      <c r="B51" s="13">
        <v>46059</v>
      </c>
      <c r="C51" s="7" t="s">
        <v>355</v>
      </c>
      <c r="D51" s="20" t="s">
        <v>348</v>
      </c>
      <c r="E51" s="7">
        <v>10000</v>
      </c>
      <c r="F51" s="11">
        <v>0.105</v>
      </c>
      <c r="G51" s="7">
        <v>1000</v>
      </c>
      <c r="H51" s="7">
        <f t="shared" si="6"/>
        <v>2050</v>
      </c>
      <c r="I51" s="7">
        <f t="shared" si="4"/>
        <v>90970</v>
      </c>
    </row>
    <row r="52" customFormat="1" ht="25" customHeight="1" spans="1:9">
      <c r="A52" s="12">
        <v>48</v>
      </c>
      <c r="B52" s="13">
        <v>46059</v>
      </c>
      <c r="C52" s="7" t="s">
        <v>356</v>
      </c>
      <c r="D52" s="20" t="s">
        <v>348</v>
      </c>
      <c r="E52" s="7">
        <v>10000</v>
      </c>
      <c r="F52" s="11">
        <v>0.105</v>
      </c>
      <c r="G52" s="7">
        <v>1000</v>
      </c>
      <c r="H52" s="7">
        <f t="shared" si="6"/>
        <v>2050</v>
      </c>
      <c r="I52" s="7">
        <f t="shared" si="4"/>
        <v>93020</v>
      </c>
    </row>
    <row r="53" customFormat="1" ht="25" customHeight="1" spans="1:9">
      <c r="A53" s="12">
        <v>49</v>
      </c>
      <c r="B53" s="13">
        <v>46087</v>
      </c>
      <c r="C53" s="7" t="s">
        <v>357</v>
      </c>
      <c r="D53" s="20" t="s">
        <v>327</v>
      </c>
      <c r="E53" s="7">
        <v>10000</v>
      </c>
      <c r="F53" s="11">
        <v>0.108</v>
      </c>
      <c r="G53" s="7">
        <v>1100</v>
      </c>
      <c r="H53" s="7">
        <f t="shared" si="6"/>
        <v>2180</v>
      </c>
      <c r="I53" s="7">
        <f t="shared" si="4"/>
        <v>95200</v>
      </c>
    </row>
    <row r="54" customFormat="1" ht="25" customHeight="1" spans="1:9">
      <c r="A54" s="12">
        <v>50</v>
      </c>
      <c r="B54" s="13">
        <v>46087</v>
      </c>
      <c r="C54" s="7" t="s">
        <v>358</v>
      </c>
      <c r="D54" s="20" t="s">
        <v>327</v>
      </c>
      <c r="E54" s="7">
        <v>10000</v>
      </c>
      <c r="F54" s="11">
        <v>0.108</v>
      </c>
      <c r="G54" s="7">
        <v>1100</v>
      </c>
      <c r="H54" s="7">
        <f t="shared" si="6"/>
        <v>2180</v>
      </c>
      <c r="I54" s="7">
        <f t="shared" si="4"/>
        <v>97380</v>
      </c>
    </row>
    <row r="55" customFormat="1" ht="25" customHeight="1" spans="1:9">
      <c r="A55" s="12">
        <v>51</v>
      </c>
      <c r="B55" s="13">
        <v>46088</v>
      </c>
      <c r="C55" s="7" t="s">
        <v>359</v>
      </c>
      <c r="D55" s="20" t="s">
        <v>327</v>
      </c>
      <c r="E55" s="7">
        <v>10000</v>
      </c>
      <c r="F55" s="11">
        <v>0.108</v>
      </c>
      <c r="G55" s="7">
        <v>1100</v>
      </c>
      <c r="H55" s="7">
        <f t="shared" si="6"/>
        <v>2180</v>
      </c>
      <c r="I55" s="7">
        <f t="shared" si="4"/>
        <v>99560</v>
      </c>
    </row>
    <row r="56" customFormat="1" ht="25" customHeight="1" spans="1:9">
      <c r="A56" s="12">
        <v>52</v>
      </c>
      <c r="B56" s="13">
        <v>46088</v>
      </c>
      <c r="C56" s="7" t="s">
        <v>360</v>
      </c>
      <c r="D56" s="20" t="s">
        <v>327</v>
      </c>
      <c r="E56" s="7">
        <v>10000</v>
      </c>
      <c r="F56" s="11">
        <v>0.108</v>
      </c>
      <c r="G56" s="7">
        <v>1100</v>
      </c>
      <c r="H56" s="7">
        <f t="shared" si="6"/>
        <v>2180</v>
      </c>
      <c r="I56" s="7">
        <f t="shared" si="4"/>
        <v>101740</v>
      </c>
    </row>
    <row r="57" customFormat="1" ht="25" customHeight="1" spans="1:9">
      <c r="A57" s="12">
        <v>53</v>
      </c>
      <c r="B57" s="13">
        <v>46090</v>
      </c>
      <c r="C57" s="7" t="s">
        <v>361</v>
      </c>
      <c r="D57" s="20" t="s">
        <v>327</v>
      </c>
      <c r="E57" s="7">
        <v>10000</v>
      </c>
      <c r="F57" s="11">
        <v>0.108</v>
      </c>
      <c r="G57" s="7">
        <v>1100</v>
      </c>
      <c r="H57" s="7">
        <f t="shared" si="6"/>
        <v>2180</v>
      </c>
      <c r="I57" s="7">
        <f t="shared" si="4"/>
        <v>103920</v>
      </c>
    </row>
    <row r="58" customFormat="1" ht="25" customHeight="1" spans="1:9">
      <c r="A58" s="12">
        <v>54</v>
      </c>
      <c r="B58" s="13">
        <v>46090</v>
      </c>
      <c r="C58" s="7" t="s">
        <v>362</v>
      </c>
      <c r="D58" s="20" t="s">
        <v>327</v>
      </c>
      <c r="E58" s="7">
        <v>10000</v>
      </c>
      <c r="F58" s="11">
        <v>0.108</v>
      </c>
      <c r="G58" s="7">
        <v>1100</v>
      </c>
      <c r="H58" s="7">
        <f t="shared" si="6"/>
        <v>2180</v>
      </c>
      <c r="I58" s="7">
        <f t="shared" si="4"/>
        <v>106100</v>
      </c>
    </row>
    <row r="59" customFormat="1" ht="25" customHeight="1" spans="1:9">
      <c r="A59" s="12">
        <v>55</v>
      </c>
      <c r="B59" s="13">
        <v>46090</v>
      </c>
      <c r="C59" s="7" t="s">
        <v>363</v>
      </c>
      <c r="D59" s="20" t="s">
        <v>364</v>
      </c>
      <c r="E59" s="7">
        <v>10000</v>
      </c>
      <c r="F59" s="11">
        <v>0.115</v>
      </c>
      <c r="G59" s="7">
        <v>1100</v>
      </c>
      <c r="H59" s="7">
        <f t="shared" si="6"/>
        <v>2250</v>
      </c>
      <c r="I59" s="7">
        <f t="shared" si="4"/>
        <v>108350</v>
      </c>
    </row>
    <row r="60" customFormat="1" ht="25" customHeight="1" spans="1:9">
      <c r="A60" s="12">
        <v>56</v>
      </c>
      <c r="B60" s="13">
        <v>46090</v>
      </c>
      <c r="C60" s="7" t="s">
        <v>365</v>
      </c>
      <c r="D60" s="20" t="s">
        <v>364</v>
      </c>
      <c r="E60" s="7">
        <v>10000</v>
      </c>
      <c r="F60" s="11">
        <v>0.115</v>
      </c>
      <c r="G60" s="7">
        <v>1100</v>
      </c>
      <c r="H60" s="7">
        <f t="shared" si="6"/>
        <v>2250</v>
      </c>
      <c r="I60" s="7">
        <f t="shared" si="4"/>
        <v>110600</v>
      </c>
    </row>
    <row r="61" customFormat="1" ht="25" customHeight="1" spans="1:9">
      <c r="A61" s="12">
        <v>57</v>
      </c>
      <c r="B61" s="13">
        <v>46090</v>
      </c>
      <c r="C61" s="7" t="s">
        <v>366</v>
      </c>
      <c r="D61" s="20" t="s">
        <v>364</v>
      </c>
      <c r="E61" s="7">
        <v>10000</v>
      </c>
      <c r="F61" s="11">
        <v>0.115</v>
      </c>
      <c r="G61" s="7">
        <v>1100</v>
      </c>
      <c r="H61" s="7">
        <f t="shared" si="6"/>
        <v>2250</v>
      </c>
      <c r="I61" s="7">
        <f t="shared" si="4"/>
        <v>112850</v>
      </c>
    </row>
    <row r="62" customFormat="1" ht="25" customHeight="1" spans="1:9">
      <c r="A62" s="12">
        <v>58</v>
      </c>
      <c r="B62" s="13">
        <v>46090</v>
      </c>
      <c r="C62" s="7" t="s">
        <v>367</v>
      </c>
      <c r="D62" s="20" t="s">
        <v>364</v>
      </c>
      <c r="E62" s="7">
        <v>10000</v>
      </c>
      <c r="F62" s="11">
        <v>0.115</v>
      </c>
      <c r="G62" s="7">
        <v>1100</v>
      </c>
      <c r="H62" s="7">
        <f t="shared" si="6"/>
        <v>2250</v>
      </c>
      <c r="I62" s="7">
        <f t="shared" si="4"/>
        <v>115100</v>
      </c>
    </row>
    <row r="63" customFormat="1" ht="25" customHeight="1" spans="1:9">
      <c r="A63" s="12">
        <v>59</v>
      </c>
      <c r="B63" s="13">
        <v>46118</v>
      </c>
      <c r="C63" s="7" t="s">
        <v>368</v>
      </c>
      <c r="D63" s="20" t="s">
        <v>369</v>
      </c>
      <c r="E63" s="7">
        <v>10000</v>
      </c>
      <c r="F63" s="11">
        <v>0.12</v>
      </c>
      <c r="G63" s="7">
        <v>1300</v>
      </c>
      <c r="H63" s="7">
        <f t="shared" si="6"/>
        <v>2500</v>
      </c>
      <c r="I63" s="7">
        <f t="shared" si="4"/>
        <v>117600</v>
      </c>
    </row>
    <row r="64" customFormat="1" ht="25" customHeight="1" spans="1:9">
      <c r="A64" s="12">
        <v>60</v>
      </c>
      <c r="B64" s="13">
        <v>46118</v>
      </c>
      <c r="C64" s="7" t="s">
        <v>370</v>
      </c>
      <c r="D64" s="20" t="s">
        <v>369</v>
      </c>
      <c r="E64" s="7">
        <v>10000</v>
      </c>
      <c r="F64" s="11">
        <v>0.12</v>
      </c>
      <c r="G64" s="7">
        <v>1300</v>
      </c>
      <c r="H64" s="7">
        <f t="shared" si="6"/>
        <v>2500</v>
      </c>
      <c r="I64" s="7">
        <f t="shared" ref="I64:I99" si="7">I63+H64</f>
        <v>120100</v>
      </c>
    </row>
    <row r="65" customFormat="1" ht="25" customHeight="1" spans="1:9">
      <c r="A65" s="12">
        <v>61</v>
      </c>
      <c r="B65" s="13">
        <v>46174</v>
      </c>
      <c r="C65" s="7" t="s">
        <v>371</v>
      </c>
      <c r="D65" s="20" t="s">
        <v>369</v>
      </c>
      <c r="E65" s="7">
        <v>10000</v>
      </c>
      <c r="F65" s="11">
        <v>0.12</v>
      </c>
      <c r="G65" s="7">
        <v>1300</v>
      </c>
      <c r="H65" s="7">
        <f t="shared" si="6"/>
        <v>2500</v>
      </c>
      <c r="I65" s="7">
        <f t="shared" si="7"/>
        <v>122600</v>
      </c>
    </row>
    <row r="66" customFormat="1" ht="25" customHeight="1" spans="1:9">
      <c r="A66" s="12">
        <v>62</v>
      </c>
      <c r="B66" s="13">
        <v>46174</v>
      </c>
      <c r="C66" s="7" t="s">
        <v>372</v>
      </c>
      <c r="D66" s="20" t="s">
        <v>369</v>
      </c>
      <c r="E66" s="7">
        <v>10000</v>
      </c>
      <c r="F66" s="11">
        <v>0.12</v>
      </c>
      <c r="G66" s="7">
        <v>1300</v>
      </c>
      <c r="H66" s="7">
        <f t="shared" si="6"/>
        <v>2500</v>
      </c>
      <c r="I66" s="7">
        <f t="shared" si="7"/>
        <v>125100</v>
      </c>
    </row>
    <row r="67" customFormat="1" ht="25" customHeight="1" spans="1:9">
      <c r="A67" s="12">
        <v>63</v>
      </c>
      <c r="B67" s="13">
        <v>46175</v>
      </c>
      <c r="C67" s="7" t="s">
        <v>373</v>
      </c>
      <c r="D67" s="20" t="s">
        <v>369</v>
      </c>
      <c r="E67" s="7">
        <v>10000</v>
      </c>
      <c r="F67" s="11">
        <v>0.12</v>
      </c>
      <c r="G67" s="7">
        <v>1300</v>
      </c>
      <c r="H67" s="7">
        <f t="shared" si="6"/>
        <v>2500</v>
      </c>
      <c r="I67" s="7">
        <f t="shared" si="7"/>
        <v>127600</v>
      </c>
    </row>
    <row r="68" customFormat="1" ht="25" customHeight="1" spans="1:9">
      <c r="A68" s="12">
        <v>64</v>
      </c>
      <c r="B68" s="13">
        <v>46175</v>
      </c>
      <c r="C68" s="7" t="s">
        <v>374</v>
      </c>
      <c r="D68" s="20" t="s">
        <v>369</v>
      </c>
      <c r="E68" s="7">
        <v>10000</v>
      </c>
      <c r="F68" s="11">
        <v>0.12</v>
      </c>
      <c r="G68" s="7">
        <v>1300</v>
      </c>
      <c r="H68" s="7">
        <f t="shared" si="6"/>
        <v>2500</v>
      </c>
      <c r="I68" s="7">
        <f t="shared" si="7"/>
        <v>130100</v>
      </c>
    </row>
    <row r="69" customFormat="1" ht="25" customHeight="1" spans="1:9">
      <c r="A69" s="12">
        <v>65</v>
      </c>
      <c r="B69" s="13">
        <v>46176</v>
      </c>
      <c r="C69" s="7" t="s">
        <v>375</v>
      </c>
      <c r="D69" s="20" t="s">
        <v>369</v>
      </c>
      <c r="E69" s="7">
        <v>10000</v>
      </c>
      <c r="F69" s="11">
        <v>0.12</v>
      </c>
      <c r="G69" s="7">
        <v>1300</v>
      </c>
      <c r="H69" s="7">
        <f t="shared" si="6"/>
        <v>2500</v>
      </c>
      <c r="I69" s="7">
        <f t="shared" si="7"/>
        <v>132600</v>
      </c>
    </row>
    <row r="70" customFormat="1" ht="25" customHeight="1" spans="1:9">
      <c r="A70" s="12">
        <v>66</v>
      </c>
      <c r="B70" s="13">
        <v>46177</v>
      </c>
      <c r="C70" s="7" t="s">
        <v>376</v>
      </c>
      <c r="D70" s="20" t="s">
        <v>369</v>
      </c>
      <c r="E70" s="7">
        <v>10000</v>
      </c>
      <c r="F70" s="11">
        <v>0.12</v>
      </c>
      <c r="G70" s="7">
        <v>1300</v>
      </c>
      <c r="H70" s="7">
        <f t="shared" si="6"/>
        <v>2500</v>
      </c>
      <c r="I70" s="7">
        <f t="shared" si="7"/>
        <v>135100</v>
      </c>
    </row>
    <row r="71" customFormat="1" ht="25" customHeight="1" spans="1:9">
      <c r="A71" s="12">
        <v>67</v>
      </c>
      <c r="B71" s="13">
        <v>46177</v>
      </c>
      <c r="C71" s="7" t="s">
        <v>377</v>
      </c>
      <c r="D71" s="20" t="s">
        <v>369</v>
      </c>
      <c r="E71" s="7">
        <v>10000</v>
      </c>
      <c r="F71" s="11">
        <v>0.12</v>
      </c>
      <c r="G71" s="7">
        <v>1300</v>
      </c>
      <c r="H71" s="7">
        <f t="shared" si="6"/>
        <v>2500</v>
      </c>
      <c r="I71" s="7">
        <f t="shared" si="7"/>
        <v>137600</v>
      </c>
    </row>
    <row r="72" customFormat="1" ht="25" customHeight="1" spans="1:9">
      <c r="A72" s="12">
        <v>68</v>
      </c>
      <c r="B72" s="13">
        <v>46177</v>
      </c>
      <c r="C72" s="7" t="s">
        <v>378</v>
      </c>
      <c r="D72" s="20" t="s">
        <v>369</v>
      </c>
      <c r="E72" s="7">
        <v>10000</v>
      </c>
      <c r="F72" s="11">
        <v>0.12</v>
      </c>
      <c r="G72" s="7">
        <v>1300</v>
      </c>
      <c r="H72" s="7">
        <f t="shared" si="6"/>
        <v>2500</v>
      </c>
      <c r="I72" s="7">
        <f t="shared" si="7"/>
        <v>140100</v>
      </c>
    </row>
    <row r="73" customFormat="1" ht="25" customHeight="1" spans="1:9">
      <c r="A73" s="12">
        <v>69</v>
      </c>
      <c r="B73" s="13">
        <v>46178</v>
      </c>
      <c r="C73" s="7" t="s">
        <v>379</v>
      </c>
      <c r="D73" s="20" t="s">
        <v>369</v>
      </c>
      <c r="E73" s="7">
        <v>10000</v>
      </c>
      <c r="F73" s="11">
        <v>0.12</v>
      </c>
      <c r="G73" s="7">
        <v>1300</v>
      </c>
      <c r="H73" s="7">
        <f t="shared" si="6"/>
        <v>2500</v>
      </c>
      <c r="I73" s="7">
        <f t="shared" si="7"/>
        <v>142600</v>
      </c>
    </row>
    <row r="74" customFormat="1" ht="25" customHeight="1" spans="1:9">
      <c r="A74" s="12">
        <v>70</v>
      </c>
      <c r="B74" s="13">
        <v>46178</v>
      </c>
      <c r="C74" s="7" t="s">
        <v>380</v>
      </c>
      <c r="D74" s="20" t="s">
        <v>369</v>
      </c>
      <c r="E74" s="7">
        <v>10000</v>
      </c>
      <c r="F74" s="11">
        <v>0.12</v>
      </c>
      <c r="G74" s="7">
        <v>1300</v>
      </c>
      <c r="H74" s="7">
        <f t="shared" si="6"/>
        <v>2500</v>
      </c>
      <c r="I74" s="7">
        <f t="shared" si="7"/>
        <v>145100</v>
      </c>
    </row>
    <row r="75" customFormat="1" ht="25" customHeight="1" spans="1:9">
      <c r="A75" s="12">
        <v>71</v>
      </c>
      <c r="B75" s="13">
        <v>46194</v>
      </c>
      <c r="C75" s="7" t="s">
        <v>381</v>
      </c>
      <c r="D75" s="20" t="s">
        <v>369</v>
      </c>
      <c r="E75" s="7">
        <v>10000</v>
      </c>
      <c r="F75" s="11">
        <v>0.12</v>
      </c>
      <c r="G75" s="7">
        <v>1300</v>
      </c>
      <c r="H75" s="7">
        <f t="shared" si="6"/>
        <v>2500</v>
      </c>
      <c r="I75" s="7">
        <f t="shared" si="7"/>
        <v>147600</v>
      </c>
    </row>
    <row r="76" customFormat="1" ht="25" customHeight="1" spans="1:9">
      <c r="A76" s="12">
        <v>72</v>
      </c>
      <c r="B76" s="13">
        <v>46194</v>
      </c>
      <c r="C76" s="7" t="s">
        <v>382</v>
      </c>
      <c r="D76" s="20" t="s">
        <v>369</v>
      </c>
      <c r="E76" s="7">
        <v>10000</v>
      </c>
      <c r="F76" s="11">
        <v>0.12</v>
      </c>
      <c r="G76" s="7">
        <v>1300</v>
      </c>
      <c r="H76" s="7">
        <f t="shared" si="6"/>
        <v>2500</v>
      </c>
      <c r="I76" s="7">
        <f t="shared" si="7"/>
        <v>150100</v>
      </c>
    </row>
    <row r="77" customFormat="1" ht="25" customHeight="1" spans="1:9">
      <c r="A77" s="12">
        <v>73</v>
      </c>
      <c r="B77" s="13">
        <v>46194</v>
      </c>
      <c r="C77" s="7" t="s">
        <v>383</v>
      </c>
      <c r="D77" s="20" t="s">
        <v>369</v>
      </c>
      <c r="E77" s="7">
        <v>10000</v>
      </c>
      <c r="F77" s="11">
        <v>0.12</v>
      </c>
      <c r="G77" s="7">
        <v>1300</v>
      </c>
      <c r="H77" s="7">
        <f t="shared" si="6"/>
        <v>2500</v>
      </c>
      <c r="I77" s="7">
        <f t="shared" si="7"/>
        <v>152600</v>
      </c>
    </row>
    <row r="78" customFormat="1" ht="25" customHeight="1" spans="1:9">
      <c r="A78" s="12">
        <v>74</v>
      </c>
      <c r="B78" s="13">
        <v>46194</v>
      </c>
      <c r="C78" s="7" t="s">
        <v>384</v>
      </c>
      <c r="D78" s="20" t="s">
        <v>369</v>
      </c>
      <c r="E78" s="7">
        <v>10000</v>
      </c>
      <c r="F78" s="11">
        <v>0.12</v>
      </c>
      <c r="G78" s="7">
        <v>1300</v>
      </c>
      <c r="H78" s="7">
        <f t="shared" si="6"/>
        <v>2500</v>
      </c>
      <c r="I78" s="7">
        <f t="shared" si="7"/>
        <v>155100</v>
      </c>
    </row>
    <row r="79" customFormat="1" ht="25" customHeight="1" spans="1:9">
      <c r="A79" s="12">
        <v>75</v>
      </c>
      <c r="B79" s="13">
        <v>46195</v>
      </c>
      <c r="C79" s="7" t="s">
        <v>385</v>
      </c>
      <c r="D79" s="20" t="s">
        <v>369</v>
      </c>
      <c r="E79" s="7">
        <v>10000</v>
      </c>
      <c r="F79" s="11">
        <v>0.12</v>
      </c>
      <c r="G79" s="7">
        <v>1300</v>
      </c>
      <c r="H79" s="7">
        <f t="shared" si="6"/>
        <v>2500</v>
      </c>
      <c r="I79" s="7">
        <f t="shared" si="7"/>
        <v>157600</v>
      </c>
    </row>
    <row r="80" customFormat="1" ht="25" customHeight="1" spans="1:9">
      <c r="A80" s="12">
        <v>76</v>
      </c>
      <c r="B80" s="13">
        <v>46199</v>
      </c>
      <c r="C80" s="7" t="s">
        <v>386</v>
      </c>
      <c r="D80" s="20" t="s">
        <v>369</v>
      </c>
      <c r="E80" s="7">
        <v>10000</v>
      </c>
      <c r="F80" s="11">
        <v>0.12</v>
      </c>
      <c r="G80" s="7">
        <v>1300</v>
      </c>
      <c r="H80" s="7">
        <f t="shared" si="6"/>
        <v>2500</v>
      </c>
      <c r="I80" s="7">
        <f t="shared" si="7"/>
        <v>160100</v>
      </c>
    </row>
    <row r="81" customFormat="1" ht="25" customHeight="1" spans="1:9">
      <c r="A81" s="12">
        <v>77</v>
      </c>
      <c r="B81" s="13">
        <v>46199</v>
      </c>
      <c r="C81" s="7" t="s">
        <v>387</v>
      </c>
      <c r="D81" s="20" t="s">
        <v>369</v>
      </c>
      <c r="E81" s="7">
        <v>10000</v>
      </c>
      <c r="F81" s="11">
        <v>0.12</v>
      </c>
      <c r="G81" s="7">
        <v>1300</v>
      </c>
      <c r="H81" s="7">
        <f t="shared" si="6"/>
        <v>2500</v>
      </c>
      <c r="I81" s="7">
        <f t="shared" si="7"/>
        <v>162600</v>
      </c>
    </row>
    <row r="82" customFormat="1" ht="25" customHeight="1" spans="1:9">
      <c r="A82" s="12">
        <v>78</v>
      </c>
      <c r="B82" s="13">
        <v>46199</v>
      </c>
      <c r="C82" s="7" t="s">
        <v>388</v>
      </c>
      <c r="D82" s="20" t="s">
        <v>369</v>
      </c>
      <c r="E82" s="7">
        <v>10000</v>
      </c>
      <c r="F82" s="11">
        <v>0.12</v>
      </c>
      <c r="G82" s="7">
        <v>1300</v>
      </c>
      <c r="H82" s="7">
        <f t="shared" si="6"/>
        <v>2500</v>
      </c>
      <c r="I82" s="7">
        <f t="shared" si="7"/>
        <v>165100</v>
      </c>
    </row>
    <row r="83" customFormat="1" ht="25" customHeight="1" spans="1:9">
      <c r="A83" s="12">
        <v>79</v>
      </c>
      <c r="B83" s="13">
        <v>46199</v>
      </c>
      <c r="C83" s="7" t="s">
        <v>389</v>
      </c>
      <c r="D83" s="20" t="s">
        <v>369</v>
      </c>
      <c r="E83" s="7">
        <v>10000</v>
      </c>
      <c r="F83" s="11">
        <v>0.12</v>
      </c>
      <c r="G83" s="7">
        <v>1300</v>
      </c>
      <c r="H83" s="7">
        <f t="shared" si="6"/>
        <v>2500</v>
      </c>
      <c r="I83" s="7">
        <f t="shared" si="7"/>
        <v>167600</v>
      </c>
    </row>
    <row r="84" customFormat="1" ht="25" customHeight="1" spans="1:9">
      <c r="A84" s="12">
        <v>80</v>
      </c>
      <c r="B84" s="13">
        <v>46199</v>
      </c>
      <c r="C84" s="7" t="s">
        <v>390</v>
      </c>
      <c r="D84" s="20" t="s">
        <v>369</v>
      </c>
      <c r="E84" s="7">
        <v>10000</v>
      </c>
      <c r="F84" s="11">
        <v>0.12</v>
      </c>
      <c r="G84" s="7">
        <v>1300</v>
      </c>
      <c r="H84" s="7">
        <f t="shared" si="6"/>
        <v>2500</v>
      </c>
      <c r="I84" s="7">
        <f t="shared" si="7"/>
        <v>170100</v>
      </c>
    </row>
    <row r="85" customFormat="1" ht="25" customHeight="1" spans="1:9">
      <c r="A85" s="12">
        <v>81</v>
      </c>
      <c r="B85" s="13">
        <v>46205</v>
      </c>
      <c r="C85" s="7" t="s">
        <v>391</v>
      </c>
      <c r="D85" s="20" t="s">
        <v>369</v>
      </c>
      <c r="E85" s="7">
        <v>10000</v>
      </c>
      <c r="F85" s="11">
        <v>0.12</v>
      </c>
      <c r="G85" s="7">
        <v>1300</v>
      </c>
      <c r="H85" s="7">
        <f t="shared" si="6"/>
        <v>2500</v>
      </c>
      <c r="I85" s="7">
        <f t="shared" si="7"/>
        <v>172600</v>
      </c>
    </row>
    <row r="86" customFormat="1" ht="25" customHeight="1" spans="1:9">
      <c r="A86" s="12">
        <v>82</v>
      </c>
      <c r="B86" s="13">
        <v>46205</v>
      </c>
      <c r="C86" s="7" t="s">
        <v>392</v>
      </c>
      <c r="D86" s="20" t="s">
        <v>369</v>
      </c>
      <c r="E86" s="7">
        <v>10000</v>
      </c>
      <c r="F86" s="11">
        <v>0.12</v>
      </c>
      <c r="G86" s="7">
        <v>1300</v>
      </c>
      <c r="H86" s="7">
        <f t="shared" si="6"/>
        <v>2500</v>
      </c>
      <c r="I86" s="7">
        <f t="shared" si="7"/>
        <v>175100</v>
      </c>
    </row>
    <row r="87" customFormat="1" ht="25" customHeight="1" spans="1:9">
      <c r="A87" s="12">
        <v>83</v>
      </c>
      <c r="B87" s="13">
        <v>46205</v>
      </c>
      <c r="C87" s="7" t="s">
        <v>393</v>
      </c>
      <c r="D87" s="20" t="s">
        <v>369</v>
      </c>
      <c r="E87" s="7">
        <v>10000</v>
      </c>
      <c r="F87" s="11">
        <v>0.12</v>
      </c>
      <c r="G87" s="7">
        <v>1300</v>
      </c>
      <c r="H87" s="7">
        <f t="shared" ref="H87:H94" si="8">E87*F87+G87</f>
        <v>2500</v>
      </c>
      <c r="I87" s="7">
        <f t="shared" si="7"/>
        <v>177600</v>
      </c>
    </row>
    <row r="88" customFormat="1" ht="25" customHeight="1" spans="1:9">
      <c r="A88" s="12">
        <v>84</v>
      </c>
      <c r="B88" s="13">
        <v>46205</v>
      </c>
      <c r="C88" s="7" t="s">
        <v>394</v>
      </c>
      <c r="D88" s="20" t="s">
        <v>369</v>
      </c>
      <c r="E88" s="7">
        <v>10000</v>
      </c>
      <c r="F88" s="11">
        <v>0.12</v>
      </c>
      <c r="G88" s="7">
        <v>1300</v>
      </c>
      <c r="H88" s="7">
        <f t="shared" si="8"/>
        <v>2500</v>
      </c>
      <c r="I88" s="7">
        <f t="shared" si="7"/>
        <v>180100</v>
      </c>
    </row>
    <row r="89" customFormat="1" ht="25" customHeight="1" spans="1:9">
      <c r="A89" s="12">
        <v>85</v>
      </c>
      <c r="B89" s="13">
        <v>46205</v>
      </c>
      <c r="C89" s="7" t="s">
        <v>395</v>
      </c>
      <c r="D89" s="20" t="s">
        <v>369</v>
      </c>
      <c r="E89" s="7">
        <v>10000</v>
      </c>
      <c r="F89" s="11">
        <v>0.12</v>
      </c>
      <c r="G89" s="7">
        <v>1300</v>
      </c>
      <c r="H89" s="7">
        <f t="shared" si="8"/>
        <v>2500</v>
      </c>
      <c r="I89" s="7">
        <f t="shared" si="7"/>
        <v>182600</v>
      </c>
    </row>
    <row r="90" customFormat="1" ht="25" customHeight="1" spans="1:9">
      <c r="A90" s="12">
        <v>86</v>
      </c>
      <c r="B90" s="13">
        <v>46205</v>
      </c>
      <c r="C90" s="7" t="s">
        <v>396</v>
      </c>
      <c r="D90" s="20" t="s">
        <v>369</v>
      </c>
      <c r="E90" s="7">
        <v>10000</v>
      </c>
      <c r="F90" s="11">
        <v>0.12</v>
      </c>
      <c r="G90" s="7">
        <v>1300</v>
      </c>
      <c r="H90" s="7">
        <f t="shared" si="8"/>
        <v>2500</v>
      </c>
      <c r="I90" s="7">
        <f t="shared" si="7"/>
        <v>185100</v>
      </c>
    </row>
    <row r="91" customFormat="1" ht="25" customHeight="1" spans="1:9">
      <c r="A91" s="12">
        <v>87</v>
      </c>
      <c r="B91" s="13">
        <v>46205</v>
      </c>
      <c r="C91" s="7" t="s">
        <v>397</v>
      </c>
      <c r="D91" s="20" t="s">
        <v>369</v>
      </c>
      <c r="E91" s="7">
        <v>10000</v>
      </c>
      <c r="F91" s="11">
        <v>0.12</v>
      </c>
      <c r="G91" s="7">
        <v>1300</v>
      </c>
      <c r="H91" s="7">
        <f t="shared" si="8"/>
        <v>2500</v>
      </c>
      <c r="I91" s="7">
        <f t="shared" si="7"/>
        <v>187600</v>
      </c>
    </row>
    <row r="92" customFormat="1" ht="25" customHeight="1" spans="1:9">
      <c r="A92" s="12">
        <v>88</v>
      </c>
      <c r="B92" s="13">
        <v>46205</v>
      </c>
      <c r="C92" s="7" t="s">
        <v>398</v>
      </c>
      <c r="D92" s="20" t="s">
        <v>369</v>
      </c>
      <c r="E92" s="7">
        <v>10000</v>
      </c>
      <c r="F92" s="11">
        <v>0.12</v>
      </c>
      <c r="G92" s="7">
        <v>1300</v>
      </c>
      <c r="H92" s="7">
        <f t="shared" si="8"/>
        <v>2500</v>
      </c>
      <c r="I92" s="7">
        <f t="shared" si="7"/>
        <v>190100</v>
      </c>
    </row>
    <row r="93" customFormat="1" ht="25" customHeight="1" spans="1:9">
      <c r="A93" s="12">
        <v>89</v>
      </c>
      <c r="B93" s="13">
        <v>46205</v>
      </c>
      <c r="C93" s="7" t="s">
        <v>399</v>
      </c>
      <c r="D93" s="20" t="s">
        <v>369</v>
      </c>
      <c r="E93" s="7">
        <v>10000</v>
      </c>
      <c r="F93" s="11">
        <v>0.12</v>
      </c>
      <c r="G93" s="7">
        <v>1300</v>
      </c>
      <c r="H93" s="7">
        <f t="shared" si="8"/>
        <v>2500</v>
      </c>
      <c r="I93" s="7">
        <f t="shared" si="7"/>
        <v>192600</v>
      </c>
    </row>
    <row r="94" customFormat="1" ht="25" customHeight="1" spans="1:9">
      <c r="A94" s="12">
        <v>90</v>
      </c>
      <c r="B94" s="13">
        <v>46205</v>
      </c>
      <c r="C94" s="7" t="s">
        <v>400</v>
      </c>
      <c r="D94" s="20" t="s">
        <v>369</v>
      </c>
      <c r="E94" s="7">
        <v>10000</v>
      </c>
      <c r="F94" s="11">
        <v>0.12</v>
      </c>
      <c r="G94" s="7">
        <v>1300</v>
      </c>
      <c r="H94" s="7">
        <f t="shared" si="8"/>
        <v>2500</v>
      </c>
      <c r="I94" s="7">
        <f t="shared" si="7"/>
        <v>195100</v>
      </c>
    </row>
    <row r="95" customFormat="1" ht="25" customHeight="1" spans="1:9">
      <c r="A95" s="12">
        <v>91</v>
      </c>
      <c r="B95" s="13">
        <v>46210</v>
      </c>
      <c r="C95" s="7" t="s">
        <v>401</v>
      </c>
      <c r="D95" s="23" t="s">
        <v>402</v>
      </c>
      <c r="E95" s="7">
        <v>10000</v>
      </c>
      <c r="F95" s="11">
        <v>0.11</v>
      </c>
      <c r="G95" s="7">
        <v>1300</v>
      </c>
      <c r="H95" s="7">
        <f t="shared" ref="H95:H100" si="9">E95*F95+G95</f>
        <v>2400</v>
      </c>
      <c r="I95" s="7">
        <f t="shared" si="7"/>
        <v>197500</v>
      </c>
    </row>
    <row r="96" customFormat="1" ht="25" customHeight="1" spans="1:9">
      <c r="A96" s="12">
        <v>92</v>
      </c>
      <c r="B96" s="13">
        <v>46210</v>
      </c>
      <c r="C96" s="7" t="s">
        <v>403</v>
      </c>
      <c r="D96" s="23" t="s">
        <v>402</v>
      </c>
      <c r="E96" s="7">
        <v>10000</v>
      </c>
      <c r="F96" s="11">
        <v>0.11</v>
      </c>
      <c r="G96" s="7">
        <v>1300</v>
      </c>
      <c r="H96" s="7">
        <f t="shared" si="9"/>
        <v>2400</v>
      </c>
      <c r="I96" s="7">
        <f t="shared" si="7"/>
        <v>199900</v>
      </c>
    </row>
    <row r="97" customFormat="1" ht="25" customHeight="1" spans="1:9">
      <c r="A97" s="12">
        <v>93</v>
      </c>
      <c r="B97" s="13">
        <v>46210</v>
      </c>
      <c r="C97" s="7" t="s">
        <v>404</v>
      </c>
      <c r="D97" s="23" t="s">
        <v>402</v>
      </c>
      <c r="E97" s="7">
        <v>10000</v>
      </c>
      <c r="F97" s="11">
        <v>0.11</v>
      </c>
      <c r="G97" s="7">
        <v>1300</v>
      </c>
      <c r="H97" s="7">
        <f t="shared" si="9"/>
        <v>2400</v>
      </c>
      <c r="I97" s="7">
        <f t="shared" si="7"/>
        <v>202300</v>
      </c>
    </row>
    <row r="98" customFormat="1" ht="25" customHeight="1" spans="1:9">
      <c r="A98" s="12">
        <v>94</v>
      </c>
      <c r="B98" s="13">
        <v>46210</v>
      </c>
      <c r="C98" s="7" t="s">
        <v>405</v>
      </c>
      <c r="D98" s="23" t="s">
        <v>402</v>
      </c>
      <c r="E98" s="7">
        <v>10000</v>
      </c>
      <c r="F98" s="11">
        <v>0.11</v>
      </c>
      <c r="G98" s="7">
        <v>1300</v>
      </c>
      <c r="H98" s="7">
        <f t="shared" si="9"/>
        <v>2400</v>
      </c>
      <c r="I98" s="7">
        <f t="shared" si="7"/>
        <v>204700</v>
      </c>
    </row>
    <row r="99" customFormat="1" ht="25" customHeight="1" spans="1:9">
      <c r="A99" s="12">
        <v>95</v>
      </c>
      <c r="B99" s="13">
        <v>46210</v>
      </c>
      <c r="C99" s="7" t="s">
        <v>406</v>
      </c>
      <c r="D99" s="23" t="s">
        <v>402</v>
      </c>
      <c r="E99" s="7">
        <v>10000</v>
      </c>
      <c r="F99" s="11">
        <v>0.11</v>
      </c>
      <c r="G99" s="7">
        <v>1300</v>
      </c>
      <c r="H99" s="7">
        <f t="shared" si="9"/>
        <v>2400</v>
      </c>
      <c r="I99" s="7">
        <f t="shared" si="7"/>
        <v>207100</v>
      </c>
    </row>
    <row r="100" customFormat="1" ht="25" customHeight="1" spans="1:9">
      <c r="A100" s="12">
        <v>96</v>
      </c>
      <c r="B100" s="13">
        <v>46211</v>
      </c>
      <c r="C100" s="7" t="s">
        <v>407</v>
      </c>
      <c r="D100" s="23" t="s">
        <v>402</v>
      </c>
      <c r="E100" s="7">
        <v>10000</v>
      </c>
      <c r="F100" s="11">
        <v>0.11</v>
      </c>
      <c r="G100" s="7">
        <v>1300</v>
      </c>
      <c r="H100" s="7">
        <f t="shared" ref="H100:H105" si="10">E100*F100+G100</f>
        <v>2400</v>
      </c>
      <c r="I100" s="7">
        <f t="shared" ref="I100:I105" si="11">I99+H100</f>
        <v>209500</v>
      </c>
    </row>
    <row r="101" customFormat="1" ht="25" customHeight="1" spans="1:9">
      <c r="A101" s="12">
        <v>97</v>
      </c>
      <c r="B101" s="13">
        <v>46211</v>
      </c>
      <c r="C101" s="7" t="s">
        <v>408</v>
      </c>
      <c r="D101" s="23" t="s">
        <v>402</v>
      </c>
      <c r="E101" s="7">
        <v>10000</v>
      </c>
      <c r="F101" s="11">
        <v>0.11</v>
      </c>
      <c r="G101" s="7">
        <v>1300</v>
      </c>
      <c r="H101" s="7">
        <f t="shared" si="10"/>
        <v>2400</v>
      </c>
      <c r="I101" s="7">
        <f t="shared" si="11"/>
        <v>211900</v>
      </c>
    </row>
    <row r="102" customFormat="1" ht="25" customHeight="1" spans="1:9">
      <c r="A102" s="12">
        <v>98</v>
      </c>
      <c r="B102" s="13">
        <v>46211</v>
      </c>
      <c r="C102" s="7" t="s">
        <v>409</v>
      </c>
      <c r="D102" s="23" t="s">
        <v>402</v>
      </c>
      <c r="E102" s="7">
        <v>10000</v>
      </c>
      <c r="F102" s="11">
        <v>0.11</v>
      </c>
      <c r="G102" s="7">
        <v>1300</v>
      </c>
      <c r="H102" s="7">
        <f t="shared" si="10"/>
        <v>2400</v>
      </c>
      <c r="I102" s="7">
        <f t="shared" si="11"/>
        <v>214300</v>
      </c>
    </row>
    <row r="103" customFormat="1" ht="25" customHeight="1" spans="1:9">
      <c r="A103" s="12">
        <v>99</v>
      </c>
      <c r="B103" s="13">
        <v>46211</v>
      </c>
      <c r="C103" s="7" t="s">
        <v>410</v>
      </c>
      <c r="D103" s="23" t="s">
        <v>402</v>
      </c>
      <c r="E103" s="7">
        <v>10000</v>
      </c>
      <c r="F103" s="11">
        <v>0.11</v>
      </c>
      <c r="G103" s="7">
        <v>1300</v>
      </c>
      <c r="H103" s="7">
        <f t="shared" si="10"/>
        <v>2400</v>
      </c>
      <c r="I103" s="7">
        <f t="shared" si="11"/>
        <v>216700</v>
      </c>
    </row>
    <row r="104" customFormat="1" ht="25" customHeight="1" spans="1:9">
      <c r="A104" s="12">
        <v>100</v>
      </c>
      <c r="B104" s="13">
        <v>46211</v>
      </c>
      <c r="C104" s="7" t="s">
        <v>411</v>
      </c>
      <c r="D104" s="23" t="s">
        <v>402</v>
      </c>
      <c r="E104" s="7">
        <v>10000</v>
      </c>
      <c r="F104" s="11">
        <v>0.11</v>
      </c>
      <c r="G104" s="7">
        <v>1300</v>
      </c>
      <c r="H104" s="7">
        <f t="shared" si="10"/>
        <v>2400</v>
      </c>
      <c r="I104" s="7">
        <f t="shared" si="11"/>
        <v>219100</v>
      </c>
    </row>
    <row r="105" customFormat="1" ht="25" customHeight="1" spans="1:9">
      <c r="A105" s="12">
        <v>101</v>
      </c>
      <c r="B105" s="7" t="s">
        <v>412</v>
      </c>
      <c r="C105" s="7" t="s">
        <v>413</v>
      </c>
      <c r="D105" s="23" t="s">
        <v>402</v>
      </c>
      <c r="E105" s="7">
        <v>10000</v>
      </c>
      <c r="F105" s="11">
        <v>0.11</v>
      </c>
      <c r="G105" s="7">
        <v>1300</v>
      </c>
      <c r="H105" s="7">
        <f t="shared" si="10"/>
        <v>2400</v>
      </c>
      <c r="I105" s="7">
        <f t="shared" si="11"/>
        <v>221500</v>
      </c>
    </row>
    <row r="106" customFormat="1" ht="25" customHeight="1" spans="1:9">
      <c r="A106" s="12">
        <v>102</v>
      </c>
      <c r="B106" s="7" t="s">
        <v>412</v>
      </c>
      <c r="C106" s="7" t="s">
        <v>414</v>
      </c>
      <c r="D106" s="23" t="s">
        <v>402</v>
      </c>
      <c r="E106" s="7">
        <v>10000</v>
      </c>
      <c r="F106" s="11">
        <v>0.11</v>
      </c>
      <c r="G106" s="7">
        <v>1300</v>
      </c>
      <c r="H106" s="7">
        <f t="shared" ref="H106:H124" si="12">E106*F106+G106</f>
        <v>2400</v>
      </c>
      <c r="I106" s="7">
        <f t="shared" ref="I106:I125" si="13">I105+H106</f>
        <v>223900</v>
      </c>
    </row>
    <row r="107" customFormat="1" ht="25" customHeight="1" spans="1:9">
      <c r="A107" s="12">
        <v>103</v>
      </c>
      <c r="B107" s="7" t="s">
        <v>412</v>
      </c>
      <c r="C107" s="7" t="s">
        <v>415</v>
      </c>
      <c r="D107" s="23" t="s">
        <v>402</v>
      </c>
      <c r="E107" s="7">
        <v>10000</v>
      </c>
      <c r="F107" s="11">
        <v>0.11</v>
      </c>
      <c r="G107" s="7">
        <v>1300</v>
      </c>
      <c r="H107" s="7">
        <f t="shared" si="12"/>
        <v>2400</v>
      </c>
      <c r="I107" s="7">
        <f t="shared" si="13"/>
        <v>226300</v>
      </c>
    </row>
    <row r="108" customFormat="1" ht="25" customHeight="1" spans="1:9">
      <c r="A108" s="12">
        <v>104</v>
      </c>
      <c r="B108" s="7" t="s">
        <v>412</v>
      </c>
      <c r="C108" s="7" t="s">
        <v>416</v>
      </c>
      <c r="D108" s="23" t="s">
        <v>402</v>
      </c>
      <c r="E108" s="7">
        <v>10000</v>
      </c>
      <c r="F108" s="11">
        <v>0.11</v>
      </c>
      <c r="G108" s="7">
        <v>1300</v>
      </c>
      <c r="H108" s="7">
        <f t="shared" si="12"/>
        <v>2400</v>
      </c>
      <c r="I108" s="7">
        <f t="shared" si="13"/>
        <v>228700</v>
      </c>
    </row>
    <row r="109" customFormat="1" ht="25" customHeight="1" spans="1:9">
      <c r="A109" s="12">
        <v>105</v>
      </c>
      <c r="B109" s="7" t="s">
        <v>417</v>
      </c>
      <c r="C109" s="7" t="s">
        <v>418</v>
      </c>
      <c r="D109" s="23" t="s">
        <v>402</v>
      </c>
      <c r="E109" s="7">
        <v>10000</v>
      </c>
      <c r="F109" s="11">
        <v>0.11</v>
      </c>
      <c r="G109" s="7">
        <v>1300</v>
      </c>
      <c r="H109" s="7">
        <f t="shared" si="12"/>
        <v>2400</v>
      </c>
      <c r="I109" s="7">
        <f t="shared" si="13"/>
        <v>231100</v>
      </c>
    </row>
    <row r="110" customFormat="1" ht="25" customHeight="1" spans="1:9">
      <c r="A110" s="12">
        <v>106</v>
      </c>
      <c r="B110" s="7" t="s">
        <v>417</v>
      </c>
      <c r="C110" s="7" t="s">
        <v>419</v>
      </c>
      <c r="D110" s="23" t="s">
        <v>402</v>
      </c>
      <c r="E110" s="7">
        <v>10000</v>
      </c>
      <c r="F110" s="11">
        <v>0.11</v>
      </c>
      <c r="G110" s="7">
        <v>1300</v>
      </c>
      <c r="H110" s="7">
        <f t="shared" si="12"/>
        <v>2400</v>
      </c>
      <c r="I110" s="7">
        <f t="shared" si="13"/>
        <v>233500</v>
      </c>
    </row>
    <row r="111" customFormat="1" ht="25" customHeight="1" spans="1:9">
      <c r="A111" s="12">
        <v>107</v>
      </c>
      <c r="B111" s="7" t="s">
        <v>417</v>
      </c>
      <c r="C111" s="7" t="s">
        <v>420</v>
      </c>
      <c r="D111" s="23" t="s">
        <v>402</v>
      </c>
      <c r="E111" s="7">
        <v>10000</v>
      </c>
      <c r="F111" s="11">
        <v>0.11</v>
      </c>
      <c r="G111" s="7">
        <v>1300</v>
      </c>
      <c r="H111" s="7">
        <f t="shared" si="12"/>
        <v>2400</v>
      </c>
      <c r="I111" s="7">
        <f t="shared" si="13"/>
        <v>235900</v>
      </c>
    </row>
    <row r="112" customFormat="1" ht="25" customHeight="1" spans="1:9">
      <c r="A112" s="12">
        <v>108</v>
      </c>
      <c r="B112" s="7" t="s">
        <v>421</v>
      </c>
      <c r="C112" s="7" t="s">
        <v>422</v>
      </c>
      <c r="D112" s="23" t="s">
        <v>402</v>
      </c>
      <c r="E112" s="7">
        <v>10000</v>
      </c>
      <c r="F112" s="11">
        <v>0.11</v>
      </c>
      <c r="G112" s="7">
        <v>1300</v>
      </c>
      <c r="H112" s="7">
        <f t="shared" si="12"/>
        <v>2400</v>
      </c>
      <c r="I112" s="7">
        <f t="shared" si="13"/>
        <v>238300</v>
      </c>
    </row>
    <row r="113" customFormat="1" ht="25" customHeight="1" spans="1:9">
      <c r="A113" s="12">
        <v>109</v>
      </c>
      <c r="B113" s="7" t="s">
        <v>421</v>
      </c>
      <c r="C113" s="7" t="s">
        <v>423</v>
      </c>
      <c r="D113" s="23" t="s">
        <v>402</v>
      </c>
      <c r="E113" s="7">
        <v>10000</v>
      </c>
      <c r="F113" s="11">
        <v>0.11</v>
      </c>
      <c r="G113" s="7">
        <v>1300</v>
      </c>
      <c r="H113" s="7">
        <f t="shared" si="12"/>
        <v>2400</v>
      </c>
      <c r="I113" s="7">
        <f t="shared" si="13"/>
        <v>240700</v>
      </c>
    </row>
    <row r="114" customFormat="1" ht="25" customHeight="1" spans="1:9">
      <c r="A114" s="12">
        <v>110</v>
      </c>
      <c r="B114" s="7" t="s">
        <v>421</v>
      </c>
      <c r="C114" s="7" t="s">
        <v>424</v>
      </c>
      <c r="D114" s="23" t="s">
        <v>402</v>
      </c>
      <c r="E114" s="7">
        <v>10000</v>
      </c>
      <c r="F114" s="11">
        <v>0.11</v>
      </c>
      <c r="G114" s="7">
        <v>1300</v>
      </c>
      <c r="H114" s="7">
        <f t="shared" si="12"/>
        <v>2400</v>
      </c>
      <c r="I114" s="7">
        <f t="shared" si="13"/>
        <v>243100</v>
      </c>
    </row>
    <row r="115" customFormat="1" ht="25" customHeight="1" spans="1:9">
      <c r="A115" s="12">
        <v>111</v>
      </c>
      <c r="B115" s="7" t="s">
        <v>425</v>
      </c>
      <c r="C115" s="7" t="s">
        <v>426</v>
      </c>
      <c r="D115" s="23" t="s">
        <v>402</v>
      </c>
      <c r="E115" s="7">
        <v>10000</v>
      </c>
      <c r="F115" s="11">
        <v>0.11</v>
      </c>
      <c r="G115" s="7">
        <v>1300</v>
      </c>
      <c r="H115" s="7">
        <f t="shared" si="12"/>
        <v>2400</v>
      </c>
      <c r="I115" s="7">
        <f t="shared" si="13"/>
        <v>245500</v>
      </c>
    </row>
    <row r="116" customFormat="1" ht="25" customHeight="1" spans="1:9">
      <c r="A116" s="12">
        <v>112</v>
      </c>
      <c r="B116" s="7" t="s">
        <v>425</v>
      </c>
      <c r="C116" s="7" t="s">
        <v>427</v>
      </c>
      <c r="D116" s="23" t="s">
        <v>402</v>
      </c>
      <c r="E116" s="7">
        <v>10000</v>
      </c>
      <c r="F116" s="11">
        <v>0.11</v>
      </c>
      <c r="G116" s="7">
        <v>1300</v>
      </c>
      <c r="H116" s="7">
        <f t="shared" si="12"/>
        <v>2400</v>
      </c>
      <c r="I116" s="7">
        <f t="shared" si="13"/>
        <v>247900</v>
      </c>
    </row>
    <row r="117" customFormat="1" ht="25" customHeight="1" spans="1:9">
      <c r="A117" s="12">
        <v>113</v>
      </c>
      <c r="B117" s="7" t="s">
        <v>425</v>
      </c>
      <c r="C117" s="7" t="s">
        <v>428</v>
      </c>
      <c r="D117" s="23" t="s">
        <v>402</v>
      </c>
      <c r="E117" s="7">
        <v>10000</v>
      </c>
      <c r="F117" s="11">
        <v>0.11</v>
      </c>
      <c r="G117" s="7">
        <v>1300</v>
      </c>
      <c r="H117" s="7">
        <f t="shared" si="12"/>
        <v>2400</v>
      </c>
      <c r="I117" s="7">
        <f t="shared" si="13"/>
        <v>250300</v>
      </c>
    </row>
    <row r="118" customFormat="1" ht="25" customHeight="1" spans="1:9">
      <c r="A118" s="12">
        <v>114</v>
      </c>
      <c r="B118" s="7" t="s">
        <v>425</v>
      </c>
      <c r="C118" s="7" t="s">
        <v>429</v>
      </c>
      <c r="D118" s="23" t="s">
        <v>402</v>
      </c>
      <c r="E118" s="7">
        <v>10000</v>
      </c>
      <c r="F118" s="11">
        <v>0.11</v>
      </c>
      <c r="G118" s="7">
        <v>1300</v>
      </c>
      <c r="H118" s="7">
        <f t="shared" si="12"/>
        <v>2400</v>
      </c>
      <c r="I118" s="7">
        <f t="shared" si="13"/>
        <v>252700</v>
      </c>
    </row>
    <row r="119" customFormat="1" ht="25" customHeight="1" spans="1:9">
      <c r="A119" s="12">
        <v>115</v>
      </c>
      <c r="B119" s="7" t="s">
        <v>430</v>
      </c>
      <c r="C119" s="7" t="s">
        <v>431</v>
      </c>
      <c r="D119" s="23" t="s">
        <v>402</v>
      </c>
      <c r="E119" s="7">
        <v>10000</v>
      </c>
      <c r="F119" s="11">
        <v>0.11</v>
      </c>
      <c r="G119" s="7">
        <v>1300</v>
      </c>
      <c r="H119" s="7">
        <f t="shared" si="12"/>
        <v>2400</v>
      </c>
      <c r="I119" s="7">
        <f t="shared" si="13"/>
        <v>255100</v>
      </c>
    </row>
    <row r="120" customFormat="1" ht="25" customHeight="1" spans="1:9">
      <c r="A120" s="12">
        <v>116</v>
      </c>
      <c r="B120" s="7" t="s">
        <v>430</v>
      </c>
      <c r="C120" s="7" t="s">
        <v>432</v>
      </c>
      <c r="D120" s="23" t="s">
        <v>402</v>
      </c>
      <c r="E120" s="7">
        <v>10000</v>
      </c>
      <c r="F120" s="11">
        <v>0.11</v>
      </c>
      <c r="G120" s="7">
        <v>1300</v>
      </c>
      <c r="H120" s="7">
        <f t="shared" si="12"/>
        <v>2400</v>
      </c>
      <c r="I120" s="7">
        <f t="shared" si="13"/>
        <v>257500</v>
      </c>
    </row>
    <row r="121" customFormat="1" ht="25" customHeight="1" spans="1:9">
      <c r="A121" s="12">
        <v>117</v>
      </c>
      <c r="B121" s="7" t="s">
        <v>430</v>
      </c>
      <c r="C121" s="7" t="s">
        <v>433</v>
      </c>
      <c r="D121" s="23" t="s">
        <v>402</v>
      </c>
      <c r="E121" s="7">
        <v>10000</v>
      </c>
      <c r="F121" s="11">
        <v>0.11</v>
      </c>
      <c r="G121" s="7">
        <v>1300</v>
      </c>
      <c r="H121" s="7">
        <f t="shared" si="12"/>
        <v>2400</v>
      </c>
      <c r="I121" s="7">
        <f t="shared" si="13"/>
        <v>259900</v>
      </c>
    </row>
    <row r="122" customFormat="1" ht="25" customHeight="1" spans="1:9">
      <c r="A122" s="12">
        <v>118</v>
      </c>
      <c r="B122" s="7" t="s">
        <v>430</v>
      </c>
      <c r="C122" s="7" t="s">
        <v>434</v>
      </c>
      <c r="D122" s="23" t="s">
        <v>402</v>
      </c>
      <c r="E122" s="7">
        <v>10000</v>
      </c>
      <c r="F122" s="11">
        <v>0.11</v>
      </c>
      <c r="G122" s="7">
        <v>1300</v>
      </c>
      <c r="H122" s="7">
        <f t="shared" si="12"/>
        <v>2400</v>
      </c>
      <c r="I122" s="7">
        <f t="shared" si="13"/>
        <v>262300</v>
      </c>
    </row>
    <row r="123" customFormat="1" ht="25" customHeight="1" spans="1:9">
      <c r="A123" s="12">
        <v>119</v>
      </c>
      <c r="B123" s="7" t="s">
        <v>430</v>
      </c>
      <c r="C123" s="7" t="s">
        <v>435</v>
      </c>
      <c r="D123" s="23" t="s">
        <v>402</v>
      </c>
      <c r="E123" s="7">
        <v>10000</v>
      </c>
      <c r="F123" s="11">
        <v>0.11</v>
      </c>
      <c r="G123" s="7">
        <v>1300</v>
      </c>
      <c r="H123" s="7">
        <f t="shared" si="12"/>
        <v>2400</v>
      </c>
      <c r="I123" s="7">
        <f t="shared" si="13"/>
        <v>264700</v>
      </c>
    </row>
    <row r="124" customFormat="1" ht="25" customHeight="1" spans="1:9">
      <c r="A124" s="12">
        <v>120</v>
      </c>
      <c r="B124" s="7" t="s">
        <v>430</v>
      </c>
      <c r="C124" s="7" t="s">
        <v>436</v>
      </c>
      <c r="D124" s="23" t="s">
        <v>402</v>
      </c>
      <c r="E124" s="7">
        <v>10000</v>
      </c>
      <c r="F124" s="11">
        <v>0.11</v>
      </c>
      <c r="G124" s="7">
        <v>1300</v>
      </c>
      <c r="H124" s="7">
        <f t="shared" si="12"/>
        <v>2400</v>
      </c>
      <c r="I124" s="7">
        <f t="shared" si="13"/>
        <v>267100</v>
      </c>
    </row>
    <row r="125" customFormat="1" ht="25" customHeight="1" spans="1:9">
      <c r="A125" s="12">
        <v>121</v>
      </c>
      <c r="B125" s="7" t="s">
        <v>437</v>
      </c>
      <c r="C125" s="7" t="s">
        <v>438</v>
      </c>
      <c r="D125" s="23" t="s">
        <v>402</v>
      </c>
      <c r="E125" s="7"/>
      <c r="F125" s="11"/>
      <c r="G125" s="7"/>
      <c r="H125" s="7"/>
      <c r="I125" s="7">
        <f t="shared" si="13"/>
        <v>267100</v>
      </c>
    </row>
    <row r="126" customFormat="1" ht="25" customHeight="1" spans="1:9">
      <c r="A126" s="12">
        <v>122</v>
      </c>
      <c r="B126" s="7" t="s">
        <v>437</v>
      </c>
      <c r="C126" s="7" t="s">
        <v>439</v>
      </c>
      <c r="D126" s="23" t="s">
        <v>402</v>
      </c>
      <c r="E126" s="7"/>
      <c r="F126" s="11"/>
      <c r="G126" s="7"/>
      <c r="H126" s="10"/>
      <c r="I126" s="10"/>
    </row>
    <row r="127" customFormat="1" ht="25" customHeight="1" spans="1:9">
      <c r="A127" s="12">
        <v>123</v>
      </c>
      <c r="B127" s="7" t="s">
        <v>437</v>
      </c>
      <c r="C127" s="7" t="s">
        <v>440</v>
      </c>
      <c r="D127" s="23" t="s">
        <v>402</v>
      </c>
      <c r="E127" s="7"/>
      <c r="F127" s="11"/>
      <c r="G127" s="7"/>
      <c r="H127" s="10"/>
      <c r="I127" s="10"/>
    </row>
    <row r="128" customFormat="1" ht="25" customHeight="1" spans="1:9">
      <c r="A128" s="12">
        <v>124</v>
      </c>
      <c r="B128" s="7" t="s">
        <v>437</v>
      </c>
      <c r="C128" s="7" t="s">
        <v>441</v>
      </c>
      <c r="D128" s="23" t="s">
        <v>402</v>
      </c>
      <c r="E128" s="7"/>
      <c r="F128" s="11"/>
      <c r="G128" s="7"/>
      <c r="H128" s="10"/>
      <c r="I128" s="10"/>
    </row>
    <row r="129" customFormat="1" ht="25" customHeight="1" spans="1:9">
      <c r="A129" s="12">
        <v>125</v>
      </c>
      <c r="B129" s="7" t="s">
        <v>437</v>
      </c>
      <c r="C129" s="7" t="s">
        <v>442</v>
      </c>
      <c r="D129" s="23" t="s">
        <v>402</v>
      </c>
      <c r="E129" s="7"/>
      <c r="F129" s="11"/>
      <c r="G129" s="7"/>
      <c r="H129" s="10"/>
      <c r="I129" s="10"/>
    </row>
    <row r="130" customFormat="1" ht="25" customHeight="1" spans="1:9">
      <c r="A130" s="12">
        <v>126</v>
      </c>
      <c r="B130" s="7" t="s">
        <v>443</v>
      </c>
      <c r="C130" s="7" t="s">
        <v>444</v>
      </c>
      <c r="D130" s="23" t="s">
        <v>402</v>
      </c>
      <c r="E130" s="7"/>
      <c r="F130" s="11"/>
      <c r="G130" s="7"/>
      <c r="H130" s="10"/>
      <c r="I130" s="10"/>
    </row>
    <row r="131" customFormat="1" ht="25" customHeight="1" spans="1:9">
      <c r="A131" s="12">
        <v>127</v>
      </c>
      <c r="B131" s="7" t="s">
        <v>443</v>
      </c>
      <c r="C131" s="7" t="s">
        <v>445</v>
      </c>
      <c r="D131" s="23" t="s">
        <v>402</v>
      </c>
      <c r="E131" s="7"/>
      <c r="F131" s="11"/>
      <c r="G131" s="7"/>
      <c r="H131" s="10"/>
      <c r="I131" s="10"/>
    </row>
    <row r="132" customFormat="1" ht="25" customHeight="1" spans="1:9">
      <c r="A132" s="12">
        <v>128</v>
      </c>
      <c r="B132" s="7" t="s">
        <v>443</v>
      </c>
      <c r="C132" s="7" t="s">
        <v>446</v>
      </c>
      <c r="D132" s="23" t="s">
        <v>402</v>
      </c>
      <c r="E132" s="7"/>
      <c r="F132" s="11"/>
      <c r="G132" s="7"/>
      <c r="H132" s="10"/>
      <c r="I132" s="10"/>
    </row>
    <row r="133" customFormat="1" ht="25" customHeight="1" spans="1:9">
      <c r="A133" s="12">
        <v>129</v>
      </c>
      <c r="B133" s="7" t="s">
        <v>443</v>
      </c>
      <c r="C133" s="7" t="s">
        <v>447</v>
      </c>
      <c r="D133" s="23" t="s">
        <v>402</v>
      </c>
      <c r="E133" s="7"/>
      <c r="F133" s="11"/>
      <c r="G133" s="7"/>
      <c r="H133" s="10"/>
      <c r="I133" s="10"/>
    </row>
    <row r="134" customFormat="1" ht="25" customHeight="1" spans="1:9">
      <c r="A134" s="12">
        <v>130</v>
      </c>
      <c r="B134" s="7" t="s">
        <v>443</v>
      </c>
      <c r="C134" s="7" t="s">
        <v>448</v>
      </c>
      <c r="D134" s="23" t="s">
        <v>402</v>
      </c>
      <c r="E134" s="7"/>
      <c r="F134" s="11"/>
      <c r="G134" s="7"/>
      <c r="H134" s="10"/>
      <c r="I134" s="10"/>
    </row>
    <row r="135" customFormat="1" ht="25" customHeight="1" spans="1:9">
      <c r="A135" s="12">
        <v>131</v>
      </c>
      <c r="B135" s="22" t="s">
        <v>449</v>
      </c>
      <c r="C135" s="7" t="s">
        <v>450</v>
      </c>
      <c r="D135" s="23" t="s">
        <v>402</v>
      </c>
      <c r="E135" s="7"/>
      <c r="F135" s="11"/>
      <c r="G135" s="7"/>
      <c r="H135" s="10"/>
      <c r="I135" s="10"/>
    </row>
    <row r="136" customFormat="1" ht="25" customHeight="1" spans="1:9">
      <c r="A136" s="12">
        <v>132</v>
      </c>
      <c r="B136" s="22" t="s">
        <v>449</v>
      </c>
      <c r="C136" s="7" t="s">
        <v>451</v>
      </c>
      <c r="D136" s="23" t="s">
        <v>402</v>
      </c>
      <c r="E136" s="7"/>
      <c r="F136" s="11"/>
      <c r="G136" s="7"/>
      <c r="H136" s="10"/>
      <c r="I136" s="10"/>
    </row>
    <row r="137" customFormat="1" ht="25" customHeight="1" spans="1:9">
      <c r="A137" s="12">
        <v>133</v>
      </c>
      <c r="B137" s="22" t="s">
        <v>449</v>
      </c>
      <c r="C137" s="7" t="s">
        <v>452</v>
      </c>
      <c r="D137" s="23" t="s">
        <v>402</v>
      </c>
      <c r="E137" s="7"/>
      <c r="F137" s="11"/>
      <c r="G137" s="7"/>
      <c r="H137" s="10"/>
      <c r="I137" s="10"/>
    </row>
    <row r="138" customFormat="1" ht="25" customHeight="1" spans="1:9">
      <c r="A138" s="12">
        <v>134</v>
      </c>
      <c r="B138" s="22" t="s">
        <v>449</v>
      </c>
      <c r="C138" s="7" t="s">
        <v>453</v>
      </c>
      <c r="D138" s="23" t="s">
        <v>402</v>
      </c>
      <c r="E138" s="7"/>
      <c r="F138" s="11"/>
      <c r="G138" s="7"/>
      <c r="H138" s="10"/>
      <c r="I138" s="10"/>
    </row>
    <row r="139" customFormat="1" ht="25" customHeight="1" spans="1:9">
      <c r="A139" s="12">
        <v>135</v>
      </c>
      <c r="B139" s="22" t="s">
        <v>449</v>
      </c>
      <c r="C139" s="7" t="s">
        <v>454</v>
      </c>
      <c r="D139" s="23" t="s">
        <v>402</v>
      </c>
      <c r="E139" s="7"/>
      <c r="F139" s="11"/>
      <c r="G139" s="7"/>
      <c r="H139" s="10"/>
      <c r="I139" s="10"/>
    </row>
    <row r="140" customFormat="1" ht="25" customHeight="1" spans="1:9">
      <c r="A140" s="12">
        <v>136</v>
      </c>
      <c r="B140" s="22" t="s">
        <v>449</v>
      </c>
      <c r="C140" s="7" t="s">
        <v>455</v>
      </c>
      <c r="D140" s="23" t="s">
        <v>402</v>
      </c>
      <c r="E140" s="7"/>
      <c r="F140" s="11"/>
      <c r="G140" s="7"/>
      <c r="H140" s="10"/>
      <c r="I140" s="10"/>
    </row>
    <row r="141" customFormat="1" ht="25" customHeight="1" spans="1:9">
      <c r="A141" s="12">
        <v>137</v>
      </c>
      <c r="B141" s="22" t="s">
        <v>449</v>
      </c>
      <c r="C141" s="7" t="s">
        <v>456</v>
      </c>
      <c r="D141" s="23" t="s">
        <v>402</v>
      </c>
      <c r="E141" s="7"/>
      <c r="F141" s="11"/>
      <c r="G141" s="7"/>
      <c r="H141" s="10"/>
      <c r="I141" s="10"/>
    </row>
    <row r="142" customFormat="1" ht="25" customHeight="1" spans="1:9">
      <c r="A142" s="12">
        <v>138</v>
      </c>
      <c r="B142" s="22" t="s">
        <v>457</v>
      </c>
      <c r="C142" s="7" t="s">
        <v>458</v>
      </c>
      <c r="D142" s="23" t="s">
        <v>402</v>
      </c>
      <c r="E142" s="7"/>
      <c r="F142" s="11"/>
      <c r="G142" s="7"/>
      <c r="H142" s="10"/>
      <c r="I142" s="10"/>
    </row>
    <row r="143" customFormat="1" ht="25" customHeight="1" spans="1:9">
      <c r="A143" s="12">
        <v>139</v>
      </c>
      <c r="B143" s="22" t="s">
        <v>457</v>
      </c>
      <c r="C143" s="7" t="s">
        <v>459</v>
      </c>
      <c r="D143" s="23" t="s">
        <v>402</v>
      </c>
      <c r="E143" s="7"/>
      <c r="F143" s="11"/>
      <c r="G143" s="7"/>
      <c r="H143" s="10"/>
      <c r="I143" s="10"/>
    </row>
    <row r="144" customFormat="1" ht="25" customHeight="1" spans="1:9">
      <c r="A144" s="12">
        <v>140</v>
      </c>
      <c r="B144" s="22" t="s">
        <v>457</v>
      </c>
      <c r="C144" s="7" t="s">
        <v>460</v>
      </c>
      <c r="D144" s="23" t="s">
        <v>402</v>
      </c>
      <c r="E144" s="7"/>
      <c r="F144" s="11"/>
      <c r="G144" s="7"/>
      <c r="H144" s="10"/>
      <c r="I144" s="10"/>
    </row>
    <row r="145" customFormat="1" ht="25" customHeight="1" spans="1:9">
      <c r="A145" s="12"/>
      <c r="B145" s="7"/>
      <c r="C145" s="7"/>
      <c r="D145" s="20"/>
      <c r="E145" s="7"/>
      <c r="F145" s="11"/>
      <c r="G145" s="7"/>
      <c r="H145" s="10"/>
      <c r="I145" s="10"/>
    </row>
    <row r="146" customFormat="1" ht="25" customHeight="1" spans="1:9">
      <c r="A146" s="12"/>
      <c r="B146" s="7"/>
      <c r="C146" s="7"/>
      <c r="D146" s="20"/>
      <c r="E146" s="7"/>
      <c r="F146" s="11"/>
      <c r="G146" s="7"/>
      <c r="H146" s="10"/>
      <c r="I146" s="10"/>
    </row>
    <row r="147" ht="25" customHeight="1" spans="1:9">
      <c r="A147" s="24" t="s">
        <v>461</v>
      </c>
      <c r="B147" s="24"/>
      <c r="C147" s="24"/>
      <c r="D147" s="24"/>
      <c r="E147" s="25">
        <f>SUM(E5:E146)</f>
        <v>1200000</v>
      </c>
      <c r="F147" s="25"/>
      <c r="G147" s="25"/>
      <c r="H147" s="25">
        <f>SUM(H5:H146)</f>
        <v>267100</v>
      </c>
      <c r="I147" s="25"/>
    </row>
  </sheetData>
  <mergeCells count="11">
    <mergeCell ref="A147:B147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1:H2"/>
  </mergeCells>
  <pageMargins left="0.75" right="0.75" top="1" bottom="1" header="0.5" footer="0.5"/>
  <pageSetup paperSize="9" scale="1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G22" sqref="G22"/>
    </sheetView>
  </sheetViews>
  <sheetFormatPr defaultColWidth="9" defaultRowHeight="13.5"/>
  <cols>
    <col min="1" max="1" width="9" style="1"/>
    <col min="2" max="2" width="17.375" customWidth="1"/>
    <col min="3" max="3" width="13.125" customWidth="1"/>
    <col min="4" max="4" width="9" style="1"/>
    <col min="5" max="5" width="8.25" style="1" customWidth="1"/>
    <col min="6" max="6" width="8.25" style="14" customWidth="1"/>
    <col min="7" max="8" width="12.75" customWidth="1"/>
    <col min="9" max="9" width="17.75" customWidth="1"/>
    <col min="10" max="10" width="12.75" customWidth="1"/>
    <col min="11" max="11" width="14.5083333333333" customWidth="1"/>
    <col min="13" max="13" width="12.625"/>
  </cols>
  <sheetData>
    <row r="1" ht="21" spans="1:13">
      <c r="A1" s="2" t="s">
        <v>291</v>
      </c>
      <c r="B1" s="2" t="s">
        <v>72</v>
      </c>
      <c r="C1" s="2" t="s">
        <v>292</v>
      </c>
      <c r="D1" s="2" t="s">
        <v>2</v>
      </c>
      <c r="E1" s="2" t="s">
        <v>462</v>
      </c>
      <c r="F1" s="15"/>
      <c r="G1" s="2" t="s">
        <v>41</v>
      </c>
      <c r="H1" s="3" t="s">
        <v>42</v>
      </c>
      <c r="I1" s="2" t="s">
        <v>122</v>
      </c>
      <c r="J1" s="2" t="s">
        <v>42</v>
      </c>
      <c r="K1" s="4"/>
    </row>
    <row r="2" ht="21" spans="1:13">
      <c r="A2" s="2"/>
      <c r="B2" s="2"/>
      <c r="C2" s="2"/>
      <c r="D2" s="2"/>
      <c r="E2" s="2" t="s">
        <v>244</v>
      </c>
      <c r="F2" s="15" t="s">
        <v>11</v>
      </c>
      <c r="G2" s="2"/>
      <c r="H2" s="5"/>
      <c r="I2" s="2"/>
      <c r="J2" s="2"/>
      <c r="K2" s="4"/>
    </row>
    <row r="3" ht="21" spans="1:13">
      <c r="A3" s="2"/>
      <c r="B3" s="6">
        <v>45480</v>
      </c>
      <c r="C3" s="7"/>
      <c r="D3" s="8">
        <v>325</v>
      </c>
      <c r="E3" s="7">
        <v>600</v>
      </c>
      <c r="F3" s="9">
        <v>30</v>
      </c>
      <c r="G3" s="9">
        <v>7.6</v>
      </c>
      <c r="H3" s="9">
        <f t="shared" ref="H3:H9" si="0">E3*G3</f>
        <v>4560</v>
      </c>
      <c r="I3" s="7">
        <v>1100</v>
      </c>
      <c r="J3" s="10">
        <f>H3+I3</f>
        <v>5660</v>
      </c>
      <c r="K3" s="4" t="s">
        <v>463</v>
      </c>
    </row>
    <row r="4" ht="21" spans="1:13">
      <c r="A4" s="2"/>
      <c r="B4" s="6">
        <v>45523</v>
      </c>
      <c r="C4" s="7" t="s">
        <v>464</v>
      </c>
      <c r="D4" s="8">
        <v>325</v>
      </c>
      <c r="E4" s="7">
        <v>600</v>
      </c>
      <c r="F4" s="9">
        <v>30</v>
      </c>
      <c r="G4" s="9">
        <v>7.6</v>
      </c>
      <c r="H4" s="9">
        <f t="shared" si="0"/>
        <v>4560</v>
      </c>
      <c r="I4" s="7">
        <v>1100</v>
      </c>
      <c r="J4" s="10">
        <f t="shared" ref="J4:J12" si="1">H4+I4</f>
        <v>5660</v>
      </c>
      <c r="K4" s="4" t="s">
        <v>465</v>
      </c>
    </row>
    <row r="5" ht="21" spans="1:13">
      <c r="A5" s="2"/>
      <c r="B5" s="6">
        <v>45544</v>
      </c>
      <c r="C5" s="7"/>
      <c r="D5" s="8">
        <v>325</v>
      </c>
      <c r="E5" s="7">
        <v>600</v>
      </c>
      <c r="F5" s="9">
        <v>30</v>
      </c>
      <c r="G5" s="9">
        <v>7.6</v>
      </c>
      <c r="H5" s="9">
        <f t="shared" si="0"/>
        <v>4560</v>
      </c>
      <c r="I5" s="7">
        <v>1100</v>
      </c>
      <c r="J5" s="10">
        <f t="shared" si="1"/>
        <v>5660</v>
      </c>
      <c r="K5" s="4" t="s">
        <v>466</v>
      </c>
    </row>
    <row r="6" ht="21" spans="1:13">
      <c r="A6" s="2"/>
      <c r="B6" s="6">
        <v>46002</v>
      </c>
      <c r="C6" s="7" t="s">
        <v>467</v>
      </c>
      <c r="D6" s="8">
        <v>325</v>
      </c>
      <c r="E6" s="7">
        <v>600</v>
      </c>
      <c r="F6" s="9">
        <v>30</v>
      </c>
      <c r="G6" s="9">
        <v>7.6</v>
      </c>
      <c r="H6" s="9">
        <f t="shared" si="0"/>
        <v>4560</v>
      </c>
      <c r="I6" s="7">
        <v>1020</v>
      </c>
      <c r="J6" s="10">
        <f t="shared" si="1"/>
        <v>5580</v>
      </c>
      <c r="K6" s="4" t="s">
        <v>468</v>
      </c>
      <c r="M6">
        <f>4560/600</f>
        <v>7.6</v>
      </c>
    </row>
    <row r="7" ht="21" spans="1:13">
      <c r="A7" s="2"/>
      <c r="B7" s="6">
        <v>45705</v>
      </c>
      <c r="C7" s="7" t="s">
        <v>469</v>
      </c>
      <c r="D7" s="8">
        <v>325</v>
      </c>
      <c r="E7" s="7">
        <v>600</v>
      </c>
      <c r="F7" s="9">
        <v>30</v>
      </c>
      <c r="G7" s="9">
        <v>7.6</v>
      </c>
      <c r="H7" s="9">
        <f t="shared" si="0"/>
        <v>4560</v>
      </c>
      <c r="I7" s="7">
        <v>1500</v>
      </c>
      <c r="J7" s="10">
        <f t="shared" si="1"/>
        <v>6060</v>
      </c>
      <c r="K7" s="4" t="s">
        <v>470</v>
      </c>
      <c r="M7">
        <f>4560/600</f>
        <v>7.6</v>
      </c>
    </row>
    <row r="8" ht="21" spans="1:13">
      <c r="A8" s="2"/>
      <c r="B8" s="6">
        <v>45750</v>
      </c>
      <c r="C8" s="7"/>
      <c r="D8" s="8">
        <v>325</v>
      </c>
      <c r="E8" s="7">
        <v>600</v>
      </c>
      <c r="F8" s="9">
        <v>30</v>
      </c>
      <c r="G8" s="9">
        <v>7.6</v>
      </c>
      <c r="H8" s="9">
        <f t="shared" si="0"/>
        <v>4560</v>
      </c>
      <c r="I8" s="7">
        <v>1200</v>
      </c>
      <c r="J8" s="10">
        <f t="shared" si="1"/>
        <v>5760</v>
      </c>
      <c r="K8" s="4" t="s">
        <v>471</v>
      </c>
    </row>
    <row r="9" ht="22" customHeight="1" spans="1:13">
      <c r="A9" s="12">
        <v>2</v>
      </c>
      <c r="B9" s="6">
        <v>45819</v>
      </c>
      <c r="C9" s="7">
        <v>4913</v>
      </c>
      <c r="D9" s="8">
        <v>425</v>
      </c>
      <c r="E9" s="7">
        <v>600</v>
      </c>
      <c r="F9" s="9">
        <v>30</v>
      </c>
      <c r="G9" s="9">
        <v>9.7</v>
      </c>
      <c r="H9" s="9">
        <f t="shared" si="0"/>
        <v>5820</v>
      </c>
      <c r="I9" s="7">
        <v>1200</v>
      </c>
      <c r="J9" s="10">
        <f t="shared" si="1"/>
        <v>7020</v>
      </c>
      <c r="K9" s="4" t="s">
        <v>472</v>
      </c>
    </row>
    <row r="10" ht="22" customHeight="1" spans="1:13">
      <c r="A10" s="12">
        <v>3</v>
      </c>
      <c r="B10" s="6">
        <v>45868</v>
      </c>
      <c r="C10" s="7" t="s">
        <v>473</v>
      </c>
      <c r="D10" s="8">
        <v>325</v>
      </c>
      <c r="E10" s="7">
        <v>600</v>
      </c>
      <c r="F10" s="9">
        <v>30</v>
      </c>
      <c r="G10" s="9">
        <v>9.1</v>
      </c>
      <c r="H10" s="9">
        <v>5482</v>
      </c>
      <c r="I10" s="7">
        <v>1150</v>
      </c>
      <c r="J10" s="10">
        <f t="shared" si="1"/>
        <v>6632</v>
      </c>
      <c r="K10" s="4" t="s">
        <v>474</v>
      </c>
      <c r="M10">
        <f>5482/600</f>
        <v>9.13666666666667</v>
      </c>
    </row>
    <row r="11" ht="22" customHeight="1" spans="1:13">
      <c r="A11" s="12">
        <v>4</v>
      </c>
      <c r="B11" s="6">
        <v>45912</v>
      </c>
      <c r="C11" s="7" t="s">
        <v>475</v>
      </c>
      <c r="D11" s="8">
        <v>425</v>
      </c>
      <c r="E11" s="7">
        <v>600</v>
      </c>
      <c r="F11" s="9">
        <v>30</v>
      </c>
      <c r="G11" s="9"/>
      <c r="H11" s="9"/>
      <c r="I11" s="7"/>
      <c r="J11" s="10">
        <f t="shared" si="1"/>
        <v>0</v>
      </c>
      <c r="K11" s="4"/>
    </row>
    <row r="12" ht="22" customHeight="1" spans="1:13">
      <c r="A12" s="12">
        <v>5</v>
      </c>
      <c r="B12" s="6">
        <v>45912</v>
      </c>
      <c r="C12" s="7" t="s">
        <v>476</v>
      </c>
      <c r="D12" s="8">
        <v>425</v>
      </c>
      <c r="E12" s="7">
        <v>600</v>
      </c>
      <c r="F12" s="9">
        <v>30</v>
      </c>
      <c r="G12" s="9"/>
      <c r="H12" s="9"/>
      <c r="I12" s="7"/>
      <c r="J12" s="10">
        <f t="shared" si="1"/>
        <v>0</v>
      </c>
      <c r="K12" s="4"/>
    </row>
    <row r="13" ht="22" customHeight="1" spans="1:13">
      <c r="A13" s="12">
        <v>6</v>
      </c>
      <c r="B13" s="6">
        <v>45945</v>
      </c>
      <c r="C13" s="7" t="s">
        <v>477</v>
      </c>
      <c r="D13" s="8">
        <v>325</v>
      </c>
      <c r="E13" s="7">
        <v>600</v>
      </c>
      <c r="F13" s="9">
        <v>30</v>
      </c>
      <c r="G13" s="11"/>
      <c r="H13" s="11"/>
      <c r="I13" s="7"/>
      <c r="J13" s="10"/>
      <c r="K13" s="4"/>
    </row>
    <row r="14" ht="22" customHeight="1" spans="1:13">
      <c r="A14" s="12">
        <v>7</v>
      </c>
      <c r="B14" s="6">
        <v>45953</v>
      </c>
      <c r="C14" s="7" t="s">
        <v>478</v>
      </c>
      <c r="D14" s="8">
        <v>325</v>
      </c>
      <c r="E14" s="7">
        <v>600</v>
      </c>
      <c r="F14" s="9">
        <v>30</v>
      </c>
      <c r="G14" s="11"/>
      <c r="H14" s="11"/>
      <c r="I14" s="7"/>
      <c r="J14" s="10"/>
      <c r="K14" s="4"/>
    </row>
    <row r="15" ht="22" customHeight="1" spans="1:13">
      <c r="A15" s="12">
        <v>8</v>
      </c>
      <c r="B15" s="6">
        <v>45980</v>
      </c>
      <c r="C15" s="7"/>
      <c r="D15" s="8">
        <v>425</v>
      </c>
      <c r="E15" s="7">
        <v>600</v>
      </c>
      <c r="F15" s="9">
        <v>30</v>
      </c>
      <c r="G15" s="11"/>
      <c r="H15" s="11"/>
      <c r="I15" s="7"/>
      <c r="J15" s="10"/>
      <c r="K15" s="4"/>
    </row>
    <row r="16" ht="22" customHeight="1" spans="1:13">
      <c r="A16" s="12">
        <v>9</v>
      </c>
      <c r="B16" s="6">
        <v>45980</v>
      </c>
      <c r="C16" s="7" t="s">
        <v>479</v>
      </c>
      <c r="D16" s="8">
        <v>425</v>
      </c>
      <c r="E16" s="7">
        <v>600</v>
      </c>
      <c r="F16" s="9">
        <v>30</v>
      </c>
      <c r="G16" s="11"/>
      <c r="H16" s="11"/>
      <c r="I16" s="7"/>
      <c r="J16" s="10"/>
      <c r="K16" s="4"/>
    </row>
    <row r="17" ht="22" customHeight="1" spans="1:11">
      <c r="A17" s="12">
        <v>10</v>
      </c>
      <c r="B17" s="6">
        <v>46020</v>
      </c>
      <c r="C17" s="7"/>
      <c r="D17" s="8">
        <v>425</v>
      </c>
      <c r="E17" s="7">
        <v>600</v>
      </c>
      <c r="F17" s="9">
        <v>30</v>
      </c>
      <c r="G17" s="11"/>
      <c r="H17" s="11"/>
      <c r="I17" s="7"/>
      <c r="J17" s="10"/>
      <c r="K17" s="10"/>
    </row>
    <row r="18" ht="22" customHeight="1" spans="1:11">
      <c r="A18" s="12">
        <v>11</v>
      </c>
      <c r="B18" s="6">
        <v>46026</v>
      </c>
      <c r="C18" s="7"/>
      <c r="D18" s="8">
        <v>425</v>
      </c>
      <c r="E18" s="7">
        <v>600</v>
      </c>
      <c r="F18" s="9">
        <v>30</v>
      </c>
      <c r="G18" s="11"/>
      <c r="H18" s="11"/>
      <c r="I18" s="7"/>
      <c r="J18" s="10"/>
      <c r="K18" s="10"/>
    </row>
    <row r="19" ht="22" customHeight="1" spans="1:11">
      <c r="A19" s="12">
        <v>12</v>
      </c>
      <c r="B19" s="6">
        <v>46026</v>
      </c>
      <c r="C19" s="7"/>
      <c r="D19" s="8">
        <v>425</v>
      </c>
      <c r="E19" s="7">
        <v>600</v>
      </c>
      <c r="F19" s="9">
        <v>30</v>
      </c>
      <c r="G19" s="11"/>
      <c r="H19" s="11"/>
      <c r="I19" s="7"/>
      <c r="J19" s="10"/>
      <c r="K19" s="10"/>
    </row>
    <row r="20" ht="22" customHeight="1" spans="1:11">
      <c r="A20" s="12"/>
      <c r="B20" s="6">
        <v>46064</v>
      </c>
      <c r="C20" s="7" t="s">
        <v>480</v>
      </c>
      <c r="D20" s="8">
        <v>425</v>
      </c>
      <c r="E20" s="7">
        <v>600</v>
      </c>
      <c r="F20" s="9">
        <v>30</v>
      </c>
      <c r="G20" s="11"/>
      <c r="H20" s="11"/>
      <c r="I20" s="7"/>
      <c r="J20" s="10"/>
      <c r="K20" s="10"/>
    </row>
    <row r="21" ht="22" customHeight="1" spans="1:11">
      <c r="A21" s="12"/>
      <c r="B21" s="6">
        <v>46083</v>
      </c>
      <c r="C21" s="7"/>
      <c r="D21" s="8">
        <v>425</v>
      </c>
      <c r="E21" s="7">
        <v>600</v>
      </c>
      <c r="F21" s="9">
        <v>30</v>
      </c>
      <c r="G21" s="11"/>
      <c r="H21" s="11"/>
      <c r="I21" s="7"/>
      <c r="J21" s="10"/>
      <c r="K21" s="10"/>
    </row>
    <row r="22" ht="22" customHeight="1" spans="1:11">
      <c r="A22" s="12"/>
      <c r="B22" s="6">
        <v>46085</v>
      </c>
      <c r="C22" s="7" t="s">
        <v>481</v>
      </c>
      <c r="D22" s="8">
        <v>425</v>
      </c>
      <c r="E22" s="7">
        <v>600</v>
      </c>
      <c r="F22" s="9">
        <v>30</v>
      </c>
      <c r="G22" s="11"/>
      <c r="H22" s="11"/>
      <c r="I22" s="7"/>
      <c r="J22" s="10"/>
      <c r="K22" s="10"/>
    </row>
    <row r="23" ht="22" customHeight="1" spans="1:11">
      <c r="A23" s="12"/>
      <c r="B23" s="6">
        <v>46111</v>
      </c>
      <c r="C23" s="7"/>
      <c r="D23" s="8">
        <v>425</v>
      </c>
      <c r="E23" s="7">
        <v>600</v>
      </c>
      <c r="F23" s="9">
        <v>30</v>
      </c>
      <c r="G23" s="11"/>
      <c r="H23" s="11"/>
      <c r="I23" s="7"/>
      <c r="J23" s="10"/>
      <c r="K23" s="10"/>
    </row>
    <row r="24" ht="22" customHeight="1" spans="1:11">
      <c r="A24" s="12"/>
      <c r="B24" s="6">
        <v>46208</v>
      </c>
      <c r="C24" s="7"/>
      <c r="D24" s="8">
        <v>425</v>
      </c>
      <c r="E24" s="7">
        <v>600</v>
      </c>
      <c r="F24" s="9">
        <v>30</v>
      </c>
      <c r="G24" s="11"/>
      <c r="H24" s="11"/>
      <c r="I24" s="7"/>
      <c r="J24" s="10"/>
      <c r="K24" s="10"/>
    </row>
    <row r="25" ht="22" customHeight="1" spans="1:11">
      <c r="A25" s="12"/>
      <c r="B25" s="7"/>
      <c r="C25" s="7"/>
      <c r="D25" s="8"/>
      <c r="E25" s="7"/>
      <c r="F25" s="9"/>
      <c r="G25" s="11"/>
      <c r="H25" s="11"/>
      <c r="I25" s="7"/>
      <c r="J25" s="10"/>
      <c r="K25" s="10"/>
    </row>
    <row r="26" ht="22" customHeight="1" spans="1:11">
      <c r="A26" s="12"/>
      <c r="B26" s="7"/>
      <c r="C26" s="7"/>
      <c r="D26" s="8"/>
      <c r="E26" s="7"/>
      <c r="F26" s="9"/>
      <c r="G26" s="11"/>
      <c r="H26" s="11"/>
      <c r="I26" s="7"/>
      <c r="J26" s="10"/>
      <c r="K26" s="10"/>
    </row>
    <row r="27" ht="22" customHeight="1" spans="1:11">
      <c r="A27" s="12"/>
      <c r="B27" s="7"/>
      <c r="C27" s="7"/>
      <c r="D27" s="8"/>
      <c r="E27" s="7"/>
      <c r="F27" s="9"/>
      <c r="G27" s="11"/>
      <c r="H27" s="11"/>
      <c r="I27" s="7"/>
      <c r="J27" s="10"/>
      <c r="K27" s="10"/>
    </row>
    <row r="28" ht="22" customHeight="1" spans="1:11">
      <c r="A28" s="12"/>
      <c r="B28" s="7"/>
      <c r="C28" s="7"/>
      <c r="D28" s="8"/>
      <c r="E28" s="7"/>
      <c r="F28" s="9"/>
      <c r="G28" s="11"/>
      <c r="H28" s="11"/>
      <c r="I28" s="7"/>
      <c r="J28" s="10"/>
      <c r="K28" s="10"/>
    </row>
    <row r="29" ht="22" customHeight="1" spans="1:11">
      <c r="A29" s="12"/>
      <c r="B29" s="7"/>
      <c r="C29" s="7"/>
      <c r="D29" s="8"/>
      <c r="E29" s="7"/>
      <c r="F29" s="9"/>
      <c r="G29" s="11"/>
      <c r="H29" s="11"/>
      <c r="I29" s="7"/>
      <c r="J29" s="10"/>
      <c r="K29" s="10"/>
    </row>
    <row r="30" ht="22" customHeight="1" spans="1:11">
      <c r="A30" s="12"/>
      <c r="B30" s="7"/>
      <c r="C30" s="7"/>
      <c r="D30" s="8"/>
      <c r="E30" s="7"/>
      <c r="F30" s="9"/>
      <c r="G30" s="11"/>
      <c r="H30" s="11"/>
      <c r="I30" s="7"/>
      <c r="J30" s="10"/>
      <c r="K30" s="10"/>
    </row>
    <row r="31" ht="22" customHeight="1" spans="1:11">
      <c r="A31" s="12"/>
      <c r="B31" s="7"/>
      <c r="C31" s="7"/>
      <c r="D31" s="8"/>
      <c r="E31" s="7"/>
      <c r="F31" s="9"/>
      <c r="G31" s="11"/>
      <c r="H31" s="11"/>
      <c r="I31" s="7"/>
      <c r="J31" s="10"/>
      <c r="K31" s="10"/>
    </row>
    <row r="32" ht="22" customHeight="1" spans="1:11">
      <c r="A32" s="12"/>
      <c r="B32" s="7"/>
      <c r="C32" s="7"/>
      <c r="D32" s="8"/>
      <c r="E32" s="7"/>
      <c r="F32" s="9"/>
      <c r="G32" s="11"/>
      <c r="H32" s="11"/>
      <c r="I32" s="7"/>
      <c r="J32" s="10"/>
      <c r="K32" s="10"/>
    </row>
    <row r="33" ht="22" customHeight="1" spans="1:11">
      <c r="A33" s="12"/>
      <c r="B33" s="7"/>
      <c r="C33" s="7"/>
      <c r="D33" s="8"/>
      <c r="E33" s="7"/>
      <c r="F33" s="9"/>
      <c r="G33" s="11"/>
      <c r="H33" s="11"/>
      <c r="I33" s="7"/>
      <c r="J33" s="10"/>
      <c r="K33" s="10"/>
    </row>
    <row r="34" ht="22" customHeight="1" spans="1:11">
      <c r="A34" s="12"/>
      <c r="B34" s="7"/>
      <c r="C34" s="7"/>
      <c r="D34" s="8"/>
      <c r="E34" s="7"/>
      <c r="F34" s="9"/>
      <c r="G34" s="11"/>
      <c r="H34" s="11"/>
      <c r="I34" s="7"/>
      <c r="J34" s="10"/>
      <c r="K34" s="10"/>
    </row>
    <row r="35" ht="22" customHeight="1" spans="1:11">
      <c r="A35" s="12"/>
      <c r="B35" s="7"/>
      <c r="C35" s="7"/>
      <c r="D35" s="8"/>
      <c r="E35" s="7"/>
      <c r="F35" s="9"/>
      <c r="G35" s="11"/>
      <c r="H35" s="11"/>
      <c r="I35" s="7"/>
      <c r="J35" s="10"/>
      <c r="K35" s="10"/>
    </row>
    <row r="36" ht="22" customHeight="1" spans="1:11">
      <c r="A36" s="12"/>
      <c r="B36" s="7"/>
      <c r="C36" s="7"/>
      <c r="D36" s="8"/>
      <c r="E36" s="7"/>
      <c r="F36" s="9"/>
      <c r="G36" s="11"/>
      <c r="H36" s="11"/>
      <c r="I36" s="7"/>
      <c r="J36" s="10"/>
      <c r="K36" s="10"/>
    </row>
    <row r="37" ht="22" customHeight="1" spans="1:11">
      <c r="A37" s="12"/>
      <c r="B37" s="7"/>
      <c r="C37" s="7"/>
      <c r="D37" s="8"/>
      <c r="E37" s="7"/>
      <c r="F37" s="9"/>
      <c r="G37" s="11"/>
      <c r="H37" s="11"/>
      <c r="I37" s="7"/>
      <c r="J37" s="10"/>
      <c r="K37" s="10"/>
    </row>
  </sheetData>
  <mergeCells count="10">
    <mergeCell ref="E1:F1"/>
    <mergeCell ref="A1:A2"/>
    <mergeCell ref="B1:B2"/>
    <mergeCell ref="C1:C2"/>
    <mergeCell ref="D1:D2"/>
    <mergeCell ref="G1:G2"/>
    <mergeCell ref="H1:H2"/>
    <mergeCell ref="I1:I2"/>
    <mergeCell ref="J1:J2"/>
    <mergeCell ref="K1:K2"/>
  </mergeCell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workbookViewId="0">
      <selection activeCell="C10" sqref="C10"/>
    </sheetView>
  </sheetViews>
  <sheetFormatPr defaultColWidth="9" defaultRowHeight="13.5"/>
  <cols>
    <col min="1" max="1" width="9" style="1"/>
    <col min="2" max="2" width="17.375" customWidth="1"/>
    <col min="3" max="3" width="13.125" customWidth="1"/>
    <col min="4" max="4" width="9" style="1"/>
    <col min="5" max="6" width="8.25" style="1" customWidth="1"/>
    <col min="7" max="8" width="12.75" customWidth="1"/>
    <col min="9" max="9" width="17.75" customWidth="1"/>
    <col min="10" max="10" width="12.75" customWidth="1"/>
    <col min="11" max="11" width="14.5083333333333" customWidth="1"/>
    <col min="13" max="13" width="12.625"/>
  </cols>
  <sheetData>
    <row r="1" spans="1:11">
      <c r="A1" s="2" t="s">
        <v>291</v>
      </c>
      <c r="B1" s="2" t="s">
        <v>72</v>
      </c>
      <c r="C1" s="2" t="s">
        <v>292</v>
      </c>
      <c r="D1" s="2" t="s">
        <v>2</v>
      </c>
      <c r="E1" s="3" t="s">
        <v>462</v>
      </c>
      <c r="F1" s="3" t="s">
        <v>40</v>
      </c>
      <c r="G1" s="2" t="s">
        <v>41</v>
      </c>
      <c r="H1" s="3" t="s">
        <v>42</v>
      </c>
      <c r="I1" s="2" t="s">
        <v>122</v>
      </c>
      <c r="J1" s="2" t="s">
        <v>42</v>
      </c>
      <c r="K1" s="4"/>
    </row>
    <row r="2" spans="1:11">
      <c r="A2" s="2"/>
      <c r="B2" s="2"/>
      <c r="C2" s="2"/>
      <c r="D2" s="2"/>
      <c r="E2" s="5"/>
      <c r="F2" s="5"/>
      <c r="G2" s="2"/>
      <c r="H2" s="5"/>
      <c r="I2" s="2"/>
      <c r="J2" s="2"/>
      <c r="K2" s="4"/>
    </row>
    <row r="3" ht="21" spans="1:11">
      <c r="A3" s="2">
        <v>1</v>
      </c>
      <c r="B3" s="6">
        <v>46055</v>
      </c>
      <c r="C3" s="7" t="s">
        <v>482</v>
      </c>
      <c r="D3" s="8" t="s">
        <v>483</v>
      </c>
      <c r="E3" s="7">
        <v>40</v>
      </c>
      <c r="F3" s="7" t="s">
        <v>484</v>
      </c>
      <c r="G3" s="9">
        <v>17</v>
      </c>
      <c r="H3" s="9">
        <f t="shared" ref="H3:H10" si="0">E3*G3</f>
        <v>680</v>
      </c>
      <c r="I3" s="7">
        <v>1800</v>
      </c>
      <c r="J3" s="10">
        <f t="shared" ref="J3:J9" si="1">H3+I3</f>
        <v>2480</v>
      </c>
      <c r="K3" s="4" t="s">
        <v>485</v>
      </c>
    </row>
    <row r="4" ht="21" spans="1:11">
      <c r="A4" s="2">
        <v>2</v>
      </c>
      <c r="B4" s="6">
        <v>46055</v>
      </c>
      <c r="C4" s="7" t="s">
        <v>486</v>
      </c>
      <c r="D4" s="8" t="s">
        <v>483</v>
      </c>
      <c r="E4" s="7">
        <v>40</v>
      </c>
      <c r="F4" s="7" t="s">
        <v>484</v>
      </c>
      <c r="G4" s="9">
        <v>17</v>
      </c>
      <c r="H4" s="9">
        <f t="shared" si="0"/>
        <v>680</v>
      </c>
      <c r="I4" s="7">
        <v>1800</v>
      </c>
      <c r="J4" s="10">
        <f t="shared" si="1"/>
        <v>2480</v>
      </c>
      <c r="K4" s="4" t="s">
        <v>485</v>
      </c>
    </row>
    <row r="5" ht="21" spans="1:11">
      <c r="A5" s="2">
        <v>3</v>
      </c>
      <c r="B5" s="6">
        <v>46056</v>
      </c>
      <c r="C5" s="7" t="s">
        <v>487</v>
      </c>
      <c r="D5" s="8" t="s">
        <v>483</v>
      </c>
      <c r="E5" s="7">
        <v>40</v>
      </c>
      <c r="F5" s="7" t="s">
        <v>484</v>
      </c>
      <c r="G5" s="9">
        <v>17</v>
      </c>
      <c r="H5" s="9">
        <f t="shared" si="0"/>
        <v>680</v>
      </c>
      <c r="I5" s="7">
        <v>1800</v>
      </c>
      <c r="J5" s="10">
        <f t="shared" si="1"/>
        <v>2480</v>
      </c>
      <c r="K5" s="4" t="s">
        <v>485</v>
      </c>
    </row>
    <row r="6" ht="21" spans="1:11">
      <c r="A6" s="2">
        <v>4</v>
      </c>
      <c r="B6" s="6">
        <v>46063</v>
      </c>
      <c r="C6" s="7" t="s">
        <v>488</v>
      </c>
      <c r="D6" s="8" t="s">
        <v>483</v>
      </c>
      <c r="E6" s="7">
        <v>40</v>
      </c>
      <c r="F6" s="7" t="s">
        <v>484</v>
      </c>
      <c r="G6" s="9">
        <v>17</v>
      </c>
      <c r="H6" s="9">
        <f t="shared" si="0"/>
        <v>680</v>
      </c>
      <c r="I6" s="7">
        <v>1800</v>
      </c>
      <c r="J6" s="10">
        <f t="shared" si="1"/>
        <v>2480</v>
      </c>
      <c r="K6" s="4" t="s">
        <v>485</v>
      </c>
    </row>
    <row r="7" ht="21" spans="1:11">
      <c r="A7" s="2">
        <v>5</v>
      </c>
      <c r="B7" s="6">
        <v>46063</v>
      </c>
      <c r="C7" s="7"/>
      <c r="D7" s="8"/>
      <c r="E7" s="7">
        <v>40</v>
      </c>
      <c r="F7" s="7" t="s">
        <v>484</v>
      </c>
      <c r="G7" s="9">
        <v>17</v>
      </c>
      <c r="H7" s="9">
        <f t="shared" si="0"/>
        <v>680</v>
      </c>
      <c r="I7" s="7">
        <v>1800</v>
      </c>
      <c r="J7" s="10">
        <f t="shared" si="1"/>
        <v>2480</v>
      </c>
      <c r="K7" s="4" t="s">
        <v>485</v>
      </c>
    </row>
    <row r="8" ht="21" spans="1:11">
      <c r="A8" s="2">
        <v>6</v>
      </c>
      <c r="B8" s="6">
        <v>46063</v>
      </c>
      <c r="C8" s="7"/>
      <c r="D8" s="8"/>
      <c r="E8" s="7">
        <v>40</v>
      </c>
      <c r="F8" s="7" t="s">
        <v>484</v>
      </c>
      <c r="G8" s="9">
        <v>17</v>
      </c>
      <c r="H8" s="9">
        <f t="shared" si="0"/>
        <v>680</v>
      </c>
      <c r="I8" s="7">
        <v>1800</v>
      </c>
      <c r="J8" s="10">
        <f t="shared" si="1"/>
        <v>2480</v>
      </c>
      <c r="K8" s="4" t="s">
        <v>485</v>
      </c>
    </row>
    <row r="9" ht="21" spans="1:11">
      <c r="A9" s="2">
        <v>7</v>
      </c>
      <c r="B9" s="6">
        <v>46063</v>
      </c>
      <c r="C9" s="7"/>
      <c r="D9" s="8"/>
      <c r="E9" s="7">
        <v>20</v>
      </c>
      <c r="F9" s="7" t="s">
        <v>484</v>
      </c>
      <c r="G9" s="9">
        <v>17</v>
      </c>
      <c r="H9" s="9">
        <f t="shared" si="0"/>
        <v>340</v>
      </c>
      <c r="I9" s="7">
        <v>900</v>
      </c>
      <c r="J9" s="10">
        <f t="shared" si="1"/>
        <v>1240</v>
      </c>
      <c r="K9" s="4" t="s">
        <v>485</v>
      </c>
    </row>
    <row r="10" ht="21" spans="1:11">
      <c r="A10" s="2">
        <v>8</v>
      </c>
      <c r="B10" s="6">
        <v>46113</v>
      </c>
      <c r="C10" s="7" t="s">
        <v>489</v>
      </c>
      <c r="D10" s="8" t="s">
        <v>483</v>
      </c>
      <c r="E10" s="7">
        <v>20</v>
      </c>
      <c r="F10" s="7" t="s">
        <v>484</v>
      </c>
      <c r="G10" s="9">
        <v>15</v>
      </c>
      <c r="H10" s="9">
        <f t="shared" si="0"/>
        <v>300</v>
      </c>
      <c r="I10" s="7">
        <v>900</v>
      </c>
      <c r="J10" s="10">
        <f t="shared" ref="J10:J16" si="2">H10+I10</f>
        <v>1200</v>
      </c>
      <c r="K10" s="4" t="s">
        <v>485</v>
      </c>
    </row>
    <row r="11" ht="21" spans="1:11">
      <c r="A11" s="2">
        <v>9</v>
      </c>
      <c r="B11" s="6">
        <v>46149</v>
      </c>
      <c r="C11" s="7" t="s">
        <v>490</v>
      </c>
      <c r="D11" s="8" t="s">
        <v>483</v>
      </c>
      <c r="E11" s="7">
        <v>40</v>
      </c>
      <c r="F11" s="7" t="s">
        <v>484</v>
      </c>
      <c r="G11" s="9">
        <v>17</v>
      </c>
      <c r="H11" s="9">
        <f t="shared" ref="H11:H16" si="3">E11*G11</f>
        <v>680</v>
      </c>
      <c r="I11" s="7">
        <v>1800</v>
      </c>
      <c r="J11" s="10">
        <f t="shared" si="2"/>
        <v>2480</v>
      </c>
      <c r="K11" s="4" t="s">
        <v>491</v>
      </c>
    </row>
    <row r="12" ht="22" customHeight="1" spans="1:11">
      <c r="A12" s="2">
        <v>10</v>
      </c>
      <c r="B12" s="6">
        <v>46149</v>
      </c>
      <c r="C12" s="7" t="s">
        <v>492</v>
      </c>
      <c r="D12" s="8" t="s">
        <v>483</v>
      </c>
      <c r="E12" s="7">
        <v>40</v>
      </c>
      <c r="F12" s="7" t="s">
        <v>484</v>
      </c>
      <c r="G12" s="9">
        <v>17</v>
      </c>
      <c r="H12" s="9">
        <f t="shared" si="3"/>
        <v>680</v>
      </c>
      <c r="I12" s="7">
        <v>1800</v>
      </c>
      <c r="J12" s="10">
        <f t="shared" si="2"/>
        <v>2480</v>
      </c>
      <c r="K12" s="4" t="s">
        <v>491</v>
      </c>
    </row>
    <row r="13" ht="22" customHeight="1" spans="1:11">
      <c r="A13" s="2">
        <v>11</v>
      </c>
      <c r="B13" s="6">
        <v>46150</v>
      </c>
      <c r="C13" s="7" t="s">
        <v>493</v>
      </c>
      <c r="D13" s="8" t="s">
        <v>483</v>
      </c>
      <c r="E13" s="7">
        <v>40</v>
      </c>
      <c r="F13" s="7" t="s">
        <v>484</v>
      </c>
      <c r="G13" s="9">
        <v>17</v>
      </c>
      <c r="H13" s="9">
        <f t="shared" si="3"/>
        <v>680</v>
      </c>
      <c r="I13" s="7">
        <v>1800</v>
      </c>
      <c r="J13" s="10">
        <f t="shared" si="2"/>
        <v>2480</v>
      </c>
      <c r="K13" s="4" t="s">
        <v>491</v>
      </c>
    </row>
    <row r="14" ht="22" customHeight="1" spans="1:11">
      <c r="A14" s="2">
        <v>12</v>
      </c>
      <c r="B14" s="6">
        <v>46150</v>
      </c>
      <c r="C14" s="7" t="s">
        <v>494</v>
      </c>
      <c r="D14" s="8" t="s">
        <v>483</v>
      </c>
      <c r="E14" s="7">
        <v>40</v>
      </c>
      <c r="F14" s="7" t="s">
        <v>484</v>
      </c>
      <c r="G14" s="9">
        <v>17</v>
      </c>
      <c r="H14" s="9">
        <f t="shared" si="3"/>
        <v>680</v>
      </c>
      <c r="I14" s="7">
        <v>1800</v>
      </c>
      <c r="J14" s="10">
        <f t="shared" si="2"/>
        <v>2480</v>
      </c>
      <c r="K14" s="4" t="s">
        <v>491</v>
      </c>
    </row>
    <row r="15" ht="22" customHeight="1" spans="1:11">
      <c r="A15" s="2">
        <v>13</v>
      </c>
      <c r="B15" s="6">
        <v>46171</v>
      </c>
      <c r="C15" s="7" t="s">
        <v>495</v>
      </c>
      <c r="D15" s="8" t="s">
        <v>483</v>
      </c>
      <c r="E15" s="7">
        <v>40</v>
      </c>
      <c r="F15" s="7" t="s">
        <v>484</v>
      </c>
      <c r="G15" s="9">
        <v>17</v>
      </c>
      <c r="H15" s="9">
        <f t="shared" si="3"/>
        <v>680</v>
      </c>
      <c r="I15" s="7">
        <v>1800</v>
      </c>
      <c r="J15" s="10">
        <f t="shared" si="2"/>
        <v>2480</v>
      </c>
      <c r="K15" s="4" t="s">
        <v>496</v>
      </c>
    </row>
    <row r="16" ht="22" customHeight="1" spans="1:11">
      <c r="A16" s="2">
        <v>14</v>
      </c>
      <c r="B16" s="6">
        <v>46172</v>
      </c>
      <c r="C16" s="7" t="s">
        <v>497</v>
      </c>
      <c r="D16" s="8" t="s">
        <v>483</v>
      </c>
      <c r="E16" s="7">
        <v>40</v>
      </c>
      <c r="F16" s="7" t="s">
        <v>484</v>
      </c>
      <c r="G16" s="9">
        <v>17</v>
      </c>
      <c r="H16" s="9">
        <f t="shared" si="3"/>
        <v>680</v>
      </c>
      <c r="I16" s="7">
        <v>1800</v>
      </c>
      <c r="J16" s="10">
        <f t="shared" si="2"/>
        <v>2480</v>
      </c>
      <c r="K16" s="4" t="s">
        <v>496</v>
      </c>
    </row>
    <row r="17" ht="22" customHeight="1" spans="1:11">
      <c r="A17" s="2">
        <v>15</v>
      </c>
      <c r="B17" s="6"/>
      <c r="C17" s="7"/>
      <c r="D17" s="8"/>
      <c r="E17" s="7"/>
      <c r="F17" s="7"/>
      <c r="G17" s="11"/>
      <c r="H17" s="11"/>
      <c r="I17" s="7"/>
      <c r="J17" s="10"/>
      <c r="K17" s="4"/>
    </row>
    <row r="18" ht="22" customHeight="1" spans="1:11">
      <c r="A18" s="12"/>
      <c r="B18" s="13"/>
      <c r="C18" s="7"/>
      <c r="D18" s="8"/>
      <c r="E18" s="7"/>
      <c r="F18" s="7"/>
      <c r="G18" s="11"/>
      <c r="H18" s="11"/>
      <c r="I18" s="7"/>
      <c r="J18" s="10"/>
      <c r="K18" s="4"/>
    </row>
    <row r="19" ht="22" customHeight="1" spans="1:11">
      <c r="A19" s="12"/>
      <c r="B19" s="13"/>
      <c r="C19" s="7"/>
      <c r="D19" s="8"/>
      <c r="E19" s="7"/>
      <c r="F19" s="7"/>
      <c r="G19" s="11"/>
      <c r="H19" s="11"/>
      <c r="I19" s="7"/>
      <c r="J19" s="10"/>
      <c r="K19" s="4"/>
    </row>
    <row r="20" ht="22" customHeight="1" spans="1:11">
      <c r="A20" s="12"/>
      <c r="B20" s="13"/>
      <c r="C20" s="7"/>
      <c r="D20" s="8"/>
      <c r="E20" s="7"/>
      <c r="F20" s="7"/>
      <c r="G20" s="11"/>
      <c r="H20" s="11"/>
      <c r="I20" s="7"/>
      <c r="J20" s="10"/>
      <c r="K20" s="10"/>
    </row>
    <row r="21" ht="22" customHeight="1" spans="1:11">
      <c r="A21" s="12"/>
      <c r="B21" s="13"/>
      <c r="C21" s="7"/>
      <c r="D21" s="8"/>
      <c r="E21" s="7"/>
      <c r="F21" s="7"/>
      <c r="G21" s="11"/>
      <c r="H21" s="11"/>
      <c r="I21" s="7"/>
      <c r="J21" s="10"/>
      <c r="K21" s="10"/>
    </row>
    <row r="22" ht="22" customHeight="1" spans="1:11">
      <c r="A22" s="12"/>
      <c r="B22" s="13"/>
      <c r="C22" s="7"/>
      <c r="D22" s="8"/>
      <c r="E22" s="7"/>
      <c r="F22" s="7"/>
      <c r="G22" s="11"/>
      <c r="H22" s="11"/>
      <c r="I22" s="7"/>
      <c r="J22" s="10"/>
      <c r="K22" s="10"/>
    </row>
    <row r="23" ht="22" customHeight="1" spans="1:11">
      <c r="A23" s="12"/>
      <c r="B23" s="7"/>
      <c r="C23" s="7"/>
      <c r="D23" s="8"/>
      <c r="E23" s="7"/>
      <c r="F23" s="7"/>
      <c r="G23" s="11"/>
      <c r="H23" s="11"/>
      <c r="I23" s="7"/>
      <c r="J23" s="10"/>
      <c r="K23" s="10"/>
    </row>
    <row r="24" ht="22" customHeight="1" spans="1:11">
      <c r="A24" s="12"/>
      <c r="B24" s="7"/>
      <c r="C24" s="7"/>
      <c r="D24" s="8"/>
      <c r="E24" s="7"/>
      <c r="F24" s="7"/>
      <c r="G24" s="11"/>
      <c r="H24" s="11"/>
      <c r="I24" s="7"/>
      <c r="J24" s="10"/>
      <c r="K24" s="10"/>
    </row>
    <row r="25" ht="22" customHeight="1" spans="1:11">
      <c r="A25" s="12"/>
      <c r="B25" s="7"/>
      <c r="C25" s="7"/>
      <c r="D25" s="8"/>
      <c r="E25" s="7"/>
      <c r="F25" s="7"/>
      <c r="G25" s="11"/>
      <c r="H25" s="11"/>
      <c r="I25" s="7"/>
      <c r="J25" s="10"/>
      <c r="K25" s="10"/>
    </row>
    <row r="26" ht="22" customHeight="1" spans="1:11">
      <c r="A26" s="12"/>
      <c r="B26" s="7"/>
      <c r="C26" s="7"/>
      <c r="D26" s="8"/>
      <c r="E26" s="7"/>
      <c r="F26" s="7"/>
      <c r="G26" s="11"/>
      <c r="H26" s="11"/>
      <c r="I26" s="7"/>
      <c r="J26" s="10"/>
      <c r="K26" s="10"/>
    </row>
    <row r="27" ht="22" customHeight="1" spans="1:11">
      <c r="A27" s="12"/>
      <c r="B27" s="7"/>
      <c r="C27" s="7"/>
      <c r="D27" s="8"/>
      <c r="E27" s="7"/>
      <c r="F27" s="7"/>
      <c r="G27" s="11"/>
      <c r="H27" s="11"/>
      <c r="I27" s="7"/>
      <c r="J27" s="10"/>
      <c r="K27" s="10"/>
    </row>
    <row r="28" ht="22" customHeight="1" spans="1:11">
      <c r="A28" s="12"/>
      <c r="B28" s="7"/>
      <c r="C28" s="7"/>
      <c r="D28" s="8"/>
      <c r="E28" s="7"/>
      <c r="F28" s="7"/>
      <c r="G28" s="11"/>
      <c r="H28" s="11"/>
      <c r="I28" s="7"/>
      <c r="J28" s="10"/>
      <c r="K28" s="10"/>
    </row>
    <row r="29" ht="22" customHeight="1" spans="1:11">
      <c r="A29" s="12"/>
      <c r="B29" s="7"/>
      <c r="C29" s="7"/>
      <c r="D29" s="8"/>
      <c r="E29" s="7"/>
      <c r="F29" s="7"/>
      <c r="G29" s="11"/>
      <c r="H29" s="11"/>
      <c r="I29" s="7"/>
      <c r="J29" s="10"/>
      <c r="K29" s="10"/>
    </row>
    <row r="30" ht="22" customHeight="1" spans="1:11">
      <c r="A30" s="12"/>
      <c r="B30" s="7"/>
      <c r="C30" s="7"/>
      <c r="D30" s="8"/>
      <c r="E30" s="7"/>
      <c r="F30" s="7"/>
      <c r="G30" s="11"/>
      <c r="H30" s="11"/>
      <c r="I30" s="7"/>
      <c r="J30" s="10"/>
      <c r="K30" s="10"/>
    </row>
    <row r="31" ht="22" customHeight="1" spans="1:11">
      <c r="A31" s="12"/>
      <c r="B31" s="7"/>
      <c r="C31" s="7"/>
      <c r="D31" s="8"/>
      <c r="E31" s="7"/>
      <c r="F31" s="7"/>
      <c r="G31" s="11"/>
      <c r="H31" s="11"/>
      <c r="I31" s="7"/>
      <c r="J31" s="10"/>
      <c r="K31" s="10"/>
    </row>
    <row r="32" ht="22" customHeight="1" spans="1:11">
      <c r="A32" s="12"/>
      <c r="B32" s="7"/>
      <c r="C32" s="7"/>
      <c r="D32" s="8"/>
      <c r="E32" s="7"/>
      <c r="F32" s="7"/>
      <c r="G32" s="11"/>
      <c r="H32" s="11"/>
      <c r="I32" s="7"/>
      <c r="J32" s="10"/>
      <c r="K32" s="10"/>
    </row>
    <row r="33" ht="22" customHeight="1" spans="1:11">
      <c r="A33" s="12"/>
      <c r="B33" s="7"/>
      <c r="C33" s="7"/>
      <c r="D33" s="8"/>
      <c r="E33" s="7"/>
      <c r="F33" s="7"/>
      <c r="G33" s="11"/>
      <c r="H33" s="11"/>
      <c r="I33" s="7"/>
      <c r="J33" s="10"/>
      <c r="K33" s="10"/>
    </row>
    <row r="34" ht="22" customHeight="1" spans="1:11">
      <c r="A34" s="12"/>
      <c r="B34" s="7"/>
      <c r="C34" s="7"/>
      <c r="D34" s="8"/>
      <c r="E34" s="7"/>
      <c r="F34" s="7"/>
      <c r="G34" s="11"/>
      <c r="H34" s="11"/>
      <c r="I34" s="7"/>
      <c r="J34" s="10"/>
      <c r="K34" s="10"/>
    </row>
    <row r="35" ht="22" customHeight="1" spans="1:11">
      <c r="A35" s="12"/>
      <c r="B35" s="7"/>
      <c r="C35" s="7"/>
      <c r="D35" s="8"/>
      <c r="E35" s="7"/>
      <c r="F35" s="7"/>
      <c r="G35" s="11"/>
      <c r="H35" s="11"/>
      <c r="I35" s="7"/>
      <c r="J35" s="10"/>
      <c r="K35" s="10"/>
    </row>
    <row r="36" ht="22" customHeight="1" spans="1:11">
      <c r="A36" s="12"/>
      <c r="B36" s="7"/>
      <c r="C36" s="7"/>
      <c r="D36" s="8"/>
      <c r="E36" s="7"/>
      <c r="F36" s="7"/>
      <c r="G36" s="11"/>
      <c r="H36" s="11"/>
      <c r="I36" s="7"/>
      <c r="J36" s="10"/>
      <c r="K36" s="10"/>
    </row>
    <row r="37" ht="22" customHeight="1" spans="1:11">
      <c r="A37" s="12"/>
      <c r="B37" s="7"/>
      <c r="C37" s="7"/>
      <c r="D37" s="8"/>
      <c r="E37" s="7"/>
      <c r="F37" s="7"/>
      <c r="G37" s="11"/>
      <c r="H37" s="11"/>
      <c r="I37" s="7"/>
      <c r="J37" s="10"/>
      <c r="K37" s="10"/>
    </row>
    <row r="38" ht="22" customHeight="1" spans="1:11">
      <c r="A38" s="12"/>
      <c r="B38" s="7"/>
      <c r="C38" s="7"/>
      <c r="D38" s="8"/>
      <c r="E38" s="7"/>
      <c r="F38" s="7"/>
      <c r="G38" s="11"/>
      <c r="H38" s="11"/>
      <c r="I38" s="7"/>
      <c r="J38" s="10"/>
      <c r="K38" s="10"/>
    </row>
    <row r="39" ht="22" customHeight="1" spans="1:11">
      <c r="A39" s="12"/>
      <c r="B39" s="7"/>
      <c r="C39" s="7"/>
      <c r="D39" s="8"/>
      <c r="E39" s="7"/>
      <c r="F39" s="7"/>
      <c r="G39" s="11"/>
      <c r="H39" s="11"/>
      <c r="I39" s="7"/>
      <c r="J39" s="10"/>
      <c r="K39" s="10"/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最新炸药</vt:lpstr>
      <vt:lpstr>引线</vt:lpstr>
      <vt:lpstr>烧碱片碱</vt:lpstr>
      <vt:lpstr>硫酸</vt:lpstr>
      <vt:lpstr>硝酸</vt:lpstr>
      <vt:lpstr>氰化钠</vt:lpstr>
      <vt:lpstr>盐酸</vt:lpstr>
      <vt:lpstr>活性炭</vt:lpstr>
      <vt:lpstr>雷管</vt:lpstr>
      <vt:lpstr>引火线</vt:lpstr>
      <vt:lpstr>引火管</vt:lpstr>
      <vt:lpstr>彩条布</vt:lpstr>
      <vt:lpstr>炸药</vt:lpstr>
      <vt:lpstr>辰源</vt:lpstr>
      <vt:lpstr>红砖</vt:lpstr>
      <vt:lpstr>水泥</vt:lpstr>
      <vt:lpstr>石子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</cp:lastModifiedBy>
  <dcterms:created xsi:type="dcterms:W3CDTF">2023-05-16T07:44:00Z</dcterms:created>
  <dcterms:modified xsi:type="dcterms:W3CDTF">2026-10-13T12:42:10Z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1226A3A7377E467884B4426263CA1D95_13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