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文案内容\客户资料\成品\A075卢旺达矿业全套帐-2026.10.13\"/>
    </mc:Choice>
  </mc:AlternateContent>
  <bookViews>
    <workbookView windowWidth="27945" windowHeight="12375" activeTab="1"/>
  </bookViews>
  <sheets>
    <sheet name="部分收入" sheetId="1" r:id="rId1"/>
    <sheet name="FBC记帐底稿帐（ZiG)" sheetId="2" r:id="rId2"/>
    <sheet name="美元记帐底稿帐(USD)" sheetId="3" r:id="rId3"/>
    <sheet name="人民币记帐底稿帐(CNY)" sheetId="4" r:id="rId4"/>
    <sheet name="发生情况报表" sheetId="5" r:id="rId5"/>
  </sheets>
  <externalReferences>
    <externalReference r:id="rId6"/>
    <externalReference r:id="rId7"/>
    <externalReference r:id="rId8"/>
    <externalReference r:id="rId9"/>
  </externalReferences>
  <definedNames>
    <definedName name="年">[1]定义名称!$E$2:$E$16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<sst xmlns="http://schemas.openxmlformats.org/spreadsheetml/2006/main" count="13754" uniqueCount="3151">
  <si>
    <t>黄金总记录</t>
  </si>
  <si>
    <t>序号</t>
  </si>
  <si>
    <t>冶炼日期</t>
  </si>
  <si>
    <t>出售日期</t>
  </si>
  <si>
    <t>冶炼纯金量（g）</t>
  </si>
  <si>
    <t>实际出售纯金量（g）</t>
  </si>
  <si>
    <t>实际销售金额</t>
  </si>
  <si>
    <t>总收入</t>
  </si>
  <si>
    <t>冶炼与实际的误差</t>
  </si>
  <si>
    <t>汇率</t>
  </si>
  <si>
    <t>折人民币</t>
  </si>
  <si>
    <t>备注</t>
  </si>
  <si>
    <t>单价</t>
  </si>
  <si>
    <t>私人</t>
  </si>
  <si>
    <t>银行</t>
  </si>
  <si>
    <t>银行代理</t>
  </si>
  <si>
    <t>52.28+2</t>
  </si>
  <si>
    <t>本月凭证汇总记录</t>
  </si>
  <si>
    <t xml:space="preserve"> 凭证号</t>
  </si>
  <si>
    <t>摘要</t>
  </si>
  <si>
    <t>借方科 目</t>
  </si>
  <si>
    <t>贷方科 目</t>
  </si>
  <si>
    <r>
      <rPr>
        <sz val="12"/>
        <rFont val="华文新魏"/>
        <charset val="134"/>
      </rPr>
      <t>折美金</t>
    </r>
    <r>
      <rPr>
        <sz val="12"/>
        <rFont val="宋体"/>
        <charset val="134"/>
      </rPr>
      <t>金额</t>
    </r>
  </si>
  <si>
    <t>原货币金额</t>
  </si>
  <si>
    <t>月</t>
  </si>
  <si>
    <t>日</t>
  </si>
  <si>
    <t>一级科目</t>
  </si>
  <si>
    <t>二级科目</t>
  </si>
  <si>
    <t>按当时汇率</t>
  </si>
  <si>
    <t>按***汇率</t>
  </si>
  <si>
    <t>美金买津币10万汇率190入银行</t>
  </si>
  <si>
    <t>银行存款</t>
  </si>
  <si>
    <t>现金</t>
  </si>
  <si>
    <t>MJ202201020</t>
  </si>
  <si>
    <t>美金买津币19万汇率185入银行</t>
  </si>
  <si>
    <t>MJ202201025</t>
  </si>
  <si>
    <t>环保费（化学品进口证书）</t>
  </si>
  <si>
    <t>应交税费</t>
  </si>
  <si>
    <t>JB202202001</t>
  </si>
  <si>
    <t>2021年4-5月pate</t>
  </si>
  <si>
    <t>JB202202002</t>
  </si>
  <si>
    <t>2021年4-5月NSSA</t>
  </si>
  <si>
    <t>2021年6-7月pate</t>
  </si>
  <si>
    <t>JB202202003</t>
  </si>
  <si>
    <t>2021年6-7月NSSA</t>
  </si>
  <si>
    <t>付木吉政府新征土地使用费等</t>
  </si>
  <si>
    <t>JB202202004</t>
  </si>
  <si>
    <t>捐款</t>
  </si>
  <si>
    <t>管理费用</t>
  </si>
  <si>
    <t>公关费</t>
  </si>
  <si>
    <t>JB202202005</t>
  </si>
  <si>
    <t>转税费</t>
  </si>
  <si>
    <t>JB202202006</t>
  </si>
  <si>
    <t>6-12月手续费</t>
  </si>
  <si>
    <t>财务费用</t>
  </si>
  <si>
    <t>其他</t>
  </si>
  <si>
    <t>美金支出买入70万转账</t>
  </si>
  <si>
    <t>津币</t>
  </si>
  <si>
    <t>MJ202203049</t>
  </si>
  <si>
    <t>2月10号私人代刷卡退货退款</t>
  </si>
  <si>
    <t>JBSR202203001</t>
  </si>
  <si>
    <t>营业收入</t>
  </si>
  <si>
    <t>其他收入</t>
  </si>
  <si>
    <t>2月22号卖金给银行（含银0.42527公斤）</t>
  </si>
  <si>
    <t>产品销售</t>
  </si>
  <si>
    <t>3月3号卖黄金给银行（含银0.637公斤）</t>
  </si>
  <si>
    <t>2021年12月31日-2022年3月3日手续费</t>
  </si>
  <si>
    <t>JB202203001</t>
  </si>
  <si>
    <t>4月1号卖金给银行含银</t>
  </si>
  <si>
    <t>JBSR202205001</t>
  </si>
  <si>
    <t>4月29号卖黄金给银行含银</t>
  </si>
  <si>
    <t>支付货柜税务局费用</t>
  </si>
  <si>
    <t>JB202205001</t>
  </si>
  <si>
    <t>银行手续费等</t>
  </si>
  <si>
    <t>JB202205002</t>
  </si>
  <si>
    <t>美金1063元购银行转账</t>
  </si>
  <si>
    <t>MJ2022050047</t>
  </si>
  <si>
    <t>MJ202205047</t>
  </si>
  <si>
    <t>美金10255买入转账400万</t>
  </si>
  <si>
    <t>津币户</t>
  </si>
  <si>
    <t>MJ202207012</t>
  </si>
  <si>
    <t>买金含银收入</t>
  </si>
  <si>
    <t>JBSR202208001</t>
  </si>
  <si>
    <t>JBSR202208002</t>
  </si>
  <si>
    <t>清关税差额</t>
  </si>
  <si>
    <t>材料差异</t>
  </si>
  <si>
    <t>清关费及其他</t>
  </si>
  <si>
    <t>JB202208001</t>
  </si>
  <si>
    <t>清关税</t>
  </si>
  <si>
    <t>JB202208002</t>
  </si>
  <si>
    <t>2022年5-7月银行手续费等</t>
  </si>
  <si>
    <t>JB202208003</t>
  </si>
  <si>
    <t>2022年4月账户费</t>
  </si>
  <si>
    <t>JB202208004</t>
  </si>
  <si>
    <r>
      <rPr>
        <sz val="12"/>
        <rFont val="华文新魏"/>
        <charset val="134"/>
      </rPr>
      <t>折美金</t>
    </r>
    <r>
      <rPr>
        <sz val="12"/>
        <rFont val="宋体"/>
        <charset val="134"/>
      </rPr>
      <t>金额</t>
    </r>
  </si>
  <si>
    <t>食堂购牛羊过元旦</t>
  </si>
  <si>
    <t>生活支出</t>
  </si>
  <si>
    <t>食堂</t>
  </si>
  <si>
    <t>MJ202201001</t>
  </si>
  <si>
    <t>当地员工12月工资及加班</t>
  </si>
  <si>
    <t>应付职工薪酬</t>
  </si>
  <si>
    <t>工资</t>
  </si>
  <si>
    <t>地质院签订拆迁房合同盖章费用</t>
  </si>
  <si>
    <t>改造线路村长小费</t>
  </si>
  <si>
    <t>12月辞职工人工资补发工资</t>
  </si>
  <si>
    <t>离职职工工资</t>
  </si>
  <si>
    <t>MJ202201002</t>
  </si>
  <si>
    <t>挖机司机药费</t>
  </si>
  <si>
    <t>李霞报销脚药费</t>
  </si>
  <si>
    <t>MJ202201003</t>
  </si>
  <si>
    <t>黄金警察来矿山检查小费</t>
  </si>
  <si>
    <t>职工离职工资</t>
  </si>
  <si>
    <t>翻译离职工资</t>
  </si>
  <si>
    <t>卡多马至马卡哈材料运费</t>
  </si>
  <si>
    <t>12月员工奖金</t>
  </si>
  <si>
    <t>奖金</t>
  </si>
  <si>
    <t>MJ202201004</t>
  </si>
  <si>
    <t>柴油77000升</t>
  </si>
  <si>
    <t>原材料</t>
  </si>
  <si>
    <t>柴油</t>
  </si>
  <si>
    <t>小工离职</t>
  </si>
  <si>
    <t>购15袋水泥洞采建房</t>
  </si>
  <si>
    <t>水泥</t>
  </si>
  <si>
    <t>MJ202201005</t>
  </si>
  <si>
    <t>过路费</t>
  </si>
  <si>
    <t>小车费用</t>
  </si>
  <si>
    <t>购2车砖洞采建房</t>
  </si>
  <si>
    <t>砖</t>
  </si>
  <si>
    <t>卸车费600包水泥</t>
  </si>
  <si>
    <t>MJ202201006</t>
  </si>
  <si>
    <t>快检</t>
  </si>
  <si>
    <t>购菜</t>
  </si>
  <si>
    <t>皮卡车车灯泡</t>
  </si>
  <si>
    <t>丰田皮卡车轮胎</t>
  </si>
  <si>
    <t>MJ202201007</t>
  </si>
  <si>
    <t>口罩</t>
  </si>
  <si>
    <t>其他材料</t>
  </si>
  <si>
    <t>清风卷纸</t>
  </si>
  <si>
    <t>卫生洗刷费</t>
  </si>
  <si>
    <t>皮卡车加油</t>
  </si>
  <si>
    <t>计量单元</t>
  </si>
  <si>
    <t>MJ202201008</t>
  </si>
  <si>
    <t>橡胶滑轮</t>
  </si>
  <si>
    <t>铁滑轮</t>
  </si>
  <si>
    <t>MJ202201009</t>
  </si>
  <si>
    <t>双氧水5桶</t>
  </si>
  <si>
    <t>化验用品</t>
  </si>
  <si>
    <t>过路费8加油50</t>
  </si>
  <si>
    <t>MJ202201010</t>
  </si>
  <si>
    <t>李霞报销药费</t>
  </si>
  <si>
    <t>炸药引线</t>
  </si>
  <si>
    <t>爆破物品</t>
  </si>
  <si>
    <t>购高锰酸钾等</t>
  </si>
  <si>
    <t>购汽车配件</t>
  </si>
  <si>
    <t>汽车配件</t>
  </si>
  <si>
    <t>肥料600包运费</t>
  </si>
  <si>
    <t>肥料</t>
  </si>
  <si>
    <t>MJ202201011</t>
  </si>
  <si>
    <t>购柴油60000升</t>
  </si>
  <si>
    <t>尾矿库灌死牛3头赔款</t>
  </si>
  <si>
    <t>加工碳袋40个</t>
  </si>
  <si>
    <t>购垃圾撮3个</t>
  </si>
  <si>
    <t>MJ202201012</t>
  </si>
  <si>
    <t>李成彬公证及路费等</t>
  </si>
  <si>
    <t>签证及差旅费</t>
  </si>
  <si>
    <t>春节购牛一头</t>
  </si>
  <si>
    <t>郝世茂等公证及路费等</t>
  </si>
  <si>
    <t>皮卡车加油及过路费</t>
  </si>
  <si>
    <t>MJ202201013</t>
  </si>
  <si>
    <t>购豆瓣酱</t>
  </si>
  <si>
    <t>轴桐空运费</t>
  </si>
  <si>
    <t>津力挖机1月份租金</t>
  </si>
  <si>
    <t>待摊费用</t>
  </si>
  <si>
    <t>堆淋-挖机租金</t>
  </si>
  <si>
    <t>胜利警察局开会</t>
  </si>
  <si>
    <t>中国人春节红包</t>
  </si>
  <si>
    <t>福利费</t>
  </si>
  <si>
    <t>MJ202201014</t>
  </si>
  <si>
    <t>公司征地</t>
  </si>
  <si>
    <t>固定资产</t>
  </si>
  <si>
    <t>土地</t>
  </si>
  <si>
    <t>陈玉红等车票及核酸检测</t>
  </si>
  <si>
    <t>陈玉红等签证等</t>
  </si>
  <si>
    <t>片碱10吨</t>
  </si>
  <si>
    <t>氢氧化钠</t>
  </si>
  <si>
    <t>MJ202201015</t>
  </si>
  <si>
    <t>氰化钠11吨</t>
  </si>
  <si>
    <t>氰化钠</t>
  </si>
  <si>
    <t>盐酸20桶</t>
  </si>
  <si>
    <t>片碱10吨运费</t>
  </si>
  <si>
    <t>氰化钠11吨运费</t>
  </si>
  <si>
    <t>石灰30吨</t>
  </si>
  <si>
    <t>石灰</t>
  </si>
  <si>
    <t>收离职职工工作服款</t>
  </si>
  <si>
    <t>MJSR202201001</t>
  </si>
  <si>
    <t>材料销售</t>
  </si>
  <si>
    <t>过路费及加油合计</t>
  </si>
  <si>
    <t>MJ202201016</t>
  </si>
  <si>
    <t>13瓶氧气 1瓶帽</t>
  </si>
  <si>
    <t>MJ202201017</t>
  </si>
  <si>
    <t>10套床上用品</t>
  </si>
  <si>
    <t xml:space="preserve">大桶装洗洁精 </t>
  </si>
  <si>
    <t>皮卡车包养人工费</t>
  </si>
  <si>
    <t>2个油压调速阀含空运费</t>
  </si>
  <si>
    <t>买枪，买菜，100个布口罩</t>
  </si>
  <si>
    <t>MJ202201018</t>
  </si>
  <si>
    <t>郝世茂，郝杰 机票及签证等</t>
  </si>
  <si>
    <t>签证差旅费</t>
  </si>
  <si>
    <t>100个墨盒</t>
  </si>
  <si>
    <t>办公费</t>
  </si>
  <si>
    <t>1台手动拖车</t>
  </si>
  <si>
    <t>低值易耗品</t>
  </si>
  <si>
    <t>拖车</t>
  </si>
  <si>
    <t>2个像胶塞子</t>
  </si>
  <si>
    <t>MJ202201019</t>
  </si>
  <si>
    <t>11月电费</t>
  </si>
  <si>
    <t>氰化厂-电费</t>
  </si>
  <si>
    <t>11月ZIMRA PAYE 个人所得税</t>
  </si>
  <si>
    <t>11月NSSA 社保</t>
  </si>
  <si>
    <t>电工材料等</t>
  </si>
  <si>
    <t>4盒燕尾夹</t>
  </si>
  <si>
    <t>文件夹，订书机，订书针</t>
  </si>
  <si>
    <t>10个朔胶漏斗，12个球阀</t>
  </si>
  <si>
    <t>生抽，白醋， 衣架</t>
  </si>
  <si>
    <t>螺丝及垫片</t>
  </si>
  <si>
    <t>MJ202201021</t>
  </si>
  <si>
    <t>鸡蛋</t>
  </si>
  <si>
    <t>MJ202201022</t>
  </si>
  <si>
    <t>电池条数据</t>
  </si>
  <si>
    <t xml:space="preserve">制作压力管头1个 </t>
  </si>
  <si>
    <t>电机维修费</t>
  </si>
  <si>
    <t>氰化厂-修理费</t>
  </si>
  <si>
    <t>检测费</t>
  </si>
  <si>
    <t>修理费</t>
  </si>
  <si>
    <t xml:space="preserve">液化气 </t>
  </si>
  <si>
    <t>MJ202201023</t>
  </si>
  <si>
    <t>8瓶氧气、10根大螺丝</t>
  </si>
  <si>
    <t>3袋录豆</t>
  </si>
  <si>
    <t>4个交流器</t>
  </si>
  <si>
    <t>餐费</t>
  </si>
  <si>
    <t>饭费食品支出</t>
  </si>
  <si>
    <t>MJ202201024</t>
  </si>
  <si>
    <t>租货车运费</t>
  </si>
  <si>
    <t>冲击钻及3个钻头</t>
  </si>
  <si>
    <t>圣诞节 ，油 盐  糖</t>
  </si>
  <si>
    <t>25根（127㎜）大槽钢</t>
  </si>
  <si>
    <t>矿灯</t>
  </si>
  <si>
    <t>MJ202201026</t>
  </si>
  <si>
    <t>圣诞节 ，油 盐  糖 沙籽</t>
  </si>
  <si>
    <t>305米不锈钢筛网</t>
  </si>
  <si>
    <t>2000个谝袋织</t>
  </si>
  <si>
    <t>装车费</t>
  </si>
  <si>
    <t>MJ202201027</t>
  </si>
  <si>
    <t>10个支件板</t>
  </si>
  <si>
    <t>皮卡车保养配件</t>
  </si>
  <si>
    <t>买菜</t>
  </si>
  <si>
    <t>10袋狗粮</t>
  </si>
  <si>
    <t>购柴油30000升</t>
  </si>
  <si>
    <t>MJ202201028</t>
  </si>
  <si>
    <t>钢箍等材料</t>
  </si>
  <si>
    <t>圣诞节小费及礼品</t>
  </si>
  <si>
    <t>MJ202201029</t>
  </si>
  <si>
    <t>购老鼠药</t>
  </si>
  <si>
    <t>1头猪84公斤</t>
  </si>
  <si>
    <t>MJ202201030</t>
  </si>
  <si>
    <t>13000个谝织布</t>
  </si>
  <si>
    <t>2个轴承</t>
  </si>
  <si>
    <t>盐酸和硝酸</t>
  </si>
  <si>
    <t>三角拉马2个</t>
  </si>
  <si>
    <t>料酒，生抽</t>
  </si>
  <si>
    <t>MJ202201031</t>
  </si>
  <si>
    <t>美工刀、口罩</t>
  </si>
  <si>
    <t>拖把，扫把各10个</t>
  </si>
  <si>
    <t>制作10个内凹螺丝</t>
  </si>
  <si>
    <t>1600米（3*16m)电缆及3个大轴</t>
  </si>
  <si>
    <t>加油</t>
  </si>
  <si>
    <t>MJ202201032</t>
  </si>
  <si>
    <t>30吨水泥（600包）</t>
  </si>
  <si>
    <t>制作压管1根</t>
  </si>
  <si>
    <t>10箱食用油</t>
  </si>
  <si>
    <t>600包化肥</t>
  </si>
  <si>
    <t>化肥</t>
  </si>
  <si>
    <t>购蔬菜</t>
  </si>
  <si>
    <t>MJ202201033</t>
  </si>
  <si>
    <t>漏勺</t>
  </si>
  <si>
    <t>购雨衣6套</t>
  </si>
  <si>
    <t>劳保用品</t>
  </si>
  <si>
    <t>4个轴承2个热继电器</t>
  </si>
  <si>
    <t>三相店家1台</t>
  </si>
  <si>
    <t>MJ202201034</t>
  </si>
  <si>
    <t>8个门窗 门柜</t>
  </si>
  <si>
    <t>在建工程</t>
  </si>
  <si>
    <t>建房</t>
  </si>
  <si>
    <t>60片垫片</t>
  </si>
  <si>
    <t>5箱洗衣粉</t>
  </si>
  <si>
    <t>朔料棒磨西切段</t>
  </si>
  <si>
    <t>MJ202201035</t>
  </si>
  <si>
    <t>10瓶氧气</t>
  </si>
  <si>
    <t>小火车运费含回头</t>
  </si>
  <si>
    <t>2个1万升水塔</t>
  </si>
  <si>
    <t>水塔</t>
  </si>
  <si>
    <t>2021年7-12月炸药库租金</t>
  </si>
  <si>
    <t>MJSR202201002</t>
  </si>
  <si>
    <t>租金收入</t>
  </si>
  <si>
    <t>MJ202201036</t>
  </si>
  <si>
    <t>100片木板及胶水6元</t>
  </si>
  <si>
    <t>390米电缆（3*10）</t>
  </si>
  <si>
    <t>200米电缆（3*50）</t>
  </si>
  <si>
    <t>液化气</t>
  </si>
  <si>
    <t>MJ202201037</t>
  </si>
  <si>
    <t>食堂购入</t>
  </si>
  <si>
    <t>购猪及菜</t>
  </si>
  <si>
    <t>MJ202201038</t>
  </si>
  <si>
    <t>40瓶铁皮瓦</t>
  </si>
  <si>
    <t>2把18磅铁锤</t>
  </si>
  <si>
    <t>大货车运费</t>
  </si>
  <si>
    <t>黄美节7个月店租7*50</t>
  </si>
  <si>
    <t>MJSR202202001</t>
  </si>
  <si>
    <t>MJ202202003</t>
  </si>
  <si>
    <t>加油、过路费</t>
  </si>
  <si>
    <t>AFM 3517丰田车轮胎 ，螺丝</t>
  </si>
  <si>
    <t>轴承空运费</t>
  </si>
  <si>
    <t>破碎场铁丝围栏</t>
  </si>
  <si>
    <t>围栏</t>
  </si>
  <si>
    <t>MJ202202002</t>
  </si>
  <si>
    <t>地质员1月份工资</t>
  </si>
  <si>
    <t>MJ202202001</t>
  </si>
  <si>
    <t>50直接、绳子</t>
  </si>
  <si>
    <t>当地员工1月份工资</t>
  </si>
  <si>
    <t>MJ202202006</t>
  </si>
  <si>
    <t>2022年1运费保安费</t>
  </si>
  <si>
    <t>安保费</t>
  </si>
  <si>
    <t>柴油77001升</t>
  </si>
  <si>
    <t>氰化厂临时工</t>
  </si>
  <si>
    <t>MJ202202005</t>
  </si>
  <si>
    <t>氰化厂工人受伤看病</t>
  </si>
  <si>
    <t>买6包瓦订</t>
  </si>
  <si>
    <t>买西红柿</t>
  </si>
  <si>
    <t>洞采买铜电缆</t>
  </si>
  <si>
    <t>电缆4级4卷</t>
  </si>
  <si>
    <t>MJ202202004</t>
  </si>
  <si>
    <t>线耳-80、线耳-40</t>
  </si>
  <si>
    <t>补黄厂长之前公司2个月薪资</t>
  </si>
  <si>
    <t>MJ202202008</t>
  </si>
  <si>
    <t>矿泉水28件</t>
  </si>
  <si>
    <t>矿泉水</t>
  </si>
  <si>
    <t>KNOWLEDGE小工离职</t>
  </si>
  <si>
    <t>1月份员工奖金</t>
  </si>
  <si>
    <t>盖洞采住房包工款</t>
  </si>
  <si>
    <t>洞采建房</t>
  </si>
  <si>
    <t>200箱炸药</t>
  </si>
  <si>
    <t>MJ202202007</t>
  </si>
  <si>
    <t>石灰627吨*240</t>
  </si>
  <si>
    <t>盐酸122桶*39</t>
  </si>
  <si>
    <t>21年石灰结余款</t>
  </si>
  <si>
    <t>石灰30吨*200（重量差）</t>
  </si>
  <si>
    <t>800米高压线改迁</t>
  </si>
  <si>
    <t>MJ202202010</t>
  </si>
  <si>
    <t>73248升柴油*1.35</t>
  </si>
  <si>
    <t>修理潜孔钻2台换8个油嘴</t>
  </si>
  <si>
    <t>换2个油滤芯</t>
  </si>
  <si>
    <t>COLLEN小工1月份奖金</t>
  </si>
  <si>
    <t>赞助警察局</t>
  </si>
  <si>
    <t>MJ202202009</t>
  </si>
  <si>
    <t>20个手套</t>
  </si>
  <si>
    <t>电板煲</t>
  </si>
  <si>
    <t>10把螺丝刀</t>
  </si>
  <si>
    <t>抓小偷警察局消费</t>
  </si>
  <si>
    <t>MJ202202012</t>
  </si>
  <si>
    <t>氰化厂买钢筋+(补胎5美元）</t>
  </si>
  <si>
    <t>买红卡轮胎40个*430</t>
  </si>
  <si>
    <t>轮胎</t>
  </si>
  <si>
    <t>小工搬运水管</t>
  </si>
  <si>
    <t>钻机校正油嘴4个</t>
  </si>
  <si>
    <t>MJ202202011</t>
  </si>
  <si>
    <t>潜孔钻校正油嘴6个</t>
  </si>
  <si>
    <t>燃烧油控制阀1个</t>
  </si>
  <si>
    <t>滤芯2个</t>
  </si>
  <si>
    <t>红砖1车（围油罐）</t>
  </si>
  <si>
    <t>破碎场</t>
  </si>
  <si>
    <t>MJ202202013</t>
  </si>
  <si>
    <t>1月份卡车卫生清洁奖</t>
  </si>
  <si>
    <t>杨俊2月份话费</t>
  </si>
  <si>
    <t>网络邮电费</t>
  </si>
  <si>
    <t>红砖2车（围油罐）</t>
  </si>
  <si>
    <t>2月份保安费</t>
  </si>
  <si>
    <t>围铁丝网，维修，建修理厂大门</t>
  </si>
  <si>
    <t>MJ202203001</t>
  </si>
  <si>
    <t>NYASHA 铲车司机补差</t>
  </si>
  <si>
    <t>地质员2月份工资</t>
  </si>
  <si>
    <t>SHAMISO桑托斯加班费</t>
  </si>
  <si>
    <t>TRYMORE,RONGAI 离职工资</t>
  </si>
  <si>
    <t>MJ202203002</t>
  </si>
  <si>
    <t>药，测试剂等</t>
  </si>
  <si>
    <t>2个齿轮</t>
  </si>
  <si>
    <t>马卡哈维修房屋</t>
  </si>
  <si>
    <t>堆淋-其他</t>
  </si>
  <si>
    <t>李霞辞职结算工资</t>
  </si>
  <si>
    <t>MJ202203003</t>
  </si>
  <si>
    <t>COLLEN/SABELO 加班费</t>
  </si>
  <si>
    <t>当地员工2月份工资</t>
  </si>
  <si>
    <t>宽体车氮气</t>
  </si>
  <si>
    <t>BELOVED, OSBORNE 辞职工资</t>
  </si>
  <si>
    <t>MJ202203004</t>
  </si>
  <si>
    <t xml:space="preserve">8个滑轮 </t>
  </si>
  <si>
    <t>买30个门锁</t>
  </si>
  <si>
    <t>周总办理枪证</t>
  </si>
  <si>
    <t>MJ202203005</t>
  </si>
  <si>
    <t>买15车肥料种菜</t>
  </si>
  <si>
    <t>放炮飞石砸坏房屋修复费</t>
  </si>
  <si>
    <t>陈斌看医生</t>
  </si>
  <si>
    <t>买10支鸡</t>
  </si>
  <si>
    <t>MJ202203006</t>
  </si>
  <si>
    <t>过路费，补胎</t>
  </si>
  <si>
    <t>油罐围墙加高费</t>
  </si>
  <si>
    <t>鲁立平 报销</t>
  </si>
  <si>
    <t>wonder开挖机离职</t>
  </si>
  <si>
    <t>氮气</t>
  </si>
  <si>
    <t>MJ202203007</t>
  </si>
  <si>
    <t>钻头</t>
  </si>
  <si>
    <t>变速箱油运费</t>
  </si>
  <si>
    <t>绳子</t>
  </si>
  <si>
    <t>30吨肥料运费</t>
  </si>
  <si>
    <t>MJ202203008</t>
  </si>
  <si>
    <t>3车砖（破碎场用）</t>
  </si>
  <si>
    <t>转</t>
  </si>
  <si>
    <t>村长帮忙协调4号房拆迁小费</t>
  </si>
  <si>
    <t>熊万祥，陈超龙等4人哈拉雷隔离买菜</t>
  </si>
  <si>
    <t>TASHUPIKA CHIBISA小工离职</t>
  </si>
  <si>
    <t>STEPHEN,VICTOR2月份补工资</t>
  </si>
  <si>
    <t>MJ202203009</t>
  </si>
  <si>
    <t>当地员工2月月份奖金（41人）</t>
  </si>
  <si>
    <t>氰化厂员工看病</t>
  </si>
  <si>
    <t>分离轴承，轴承总承</t>
  </si>
  <si>
    <t>陈总，周总付征兵 蒋家伟办枪证体检</t>
  </si>
  <si>
    <t>洞采房子装玻璃</t>
  </si>
  <si>
    <t>MJ202203010</t>
  </si>
  <si>
    <t>ZYI888加油</t>
  </si>
  <si>
    <t>员工受伤买药</t>
  </si>
  <si>
    <t>破碎场房子门窗 ，门柜</t>
  </si>
  <si>
    <t>气管接头</t>
  </si>
  <si>
    <t>MJ202203011</t>
  </si>
  <si>
    <t>修理餐费</t>
  </si>
  <si>
    <t>饭费食品</t>
  </si>
  <si>
    <t>洞采灯头，灯泡</t>
  </si>
  <si>
    <t>圆锥破齿轮油3桶</t>
  </si>
  <si>
    <t>油类</t>
  </si>
  <si>
    <t>323卡特电瓶</t>
  </si>
  <si>
    <t>电瓶</t>
  </si>
  <si>
    <t>稀释剂20桶</t>
  </si>
  <si>
    <t>MJ202203012</t>
  </si>
  <si>
    <t>圆锥破油泵修理</t>
  </si>
  <si>
    <t>氰化厂-维修费</t>
  </si>
  <si>
    <t>矿业部来公司处理事油费</t>
  </si>
  <si>
    <t>潜孔钻操作餐费</t>
  </si>
  <si>
    <t>64992升柴油*1.55</t>
  </si>
  <si>
    <t>买4件鸡蛋</t>
  </si>
  <si>
    <t>MJ202203013</t>
  </si>
  <si>
    <t xml:space="preserve">买药 </t>
  </si>
  <si>
    <t>电力局小费</t>
  </si>
  <si>
    <t>包菜10个</t>
  </si>
  <si>
    <t>西红柿5袋</t>
  </si>
  <si>
    <t>摩托车电瓶</t>
  </si>
  <si>
    <t>MJ202203014</t>
  </si>
  <si>
    <t>电解房用1包水泥</t>
  </si>
  <si>
    <t>选举委员来公司小费</t>
  </si>
  <si>
    <t>吴四民报销</t>
  </si>
  <si>
    <t>机修EPHRAIM CHITSVETA</t>
  </si>
  <si>
    <t>3月份保安费</t>
  </si>
  <si>
    <t>MJ202203015</t>
  </si>
  <si>
    <t>围铁丝网（洞采，油库，破碎场-堆坪</t>
  </si>
  <si>
    <t>T形PVC管接头1个</t>
  </si>
  <si>
    <t>MJ202203016</t>
  </si>
  <si>
    <t>PVC管排水管6米长</t>
  </si>
  <si>
    <t>还老矿山碳酸氢銨及轮胎运费</t>
  </si>
  <si>
    <t>办签证资料费</t>
  </si>
  <si>
    <t>放炮影响百姓处理费</t>
  </si>
  <si>
    <t>2月18号付石灰款</t>
  </si>
  <si>
    <t>MJ202203017</t>
  </si>
  <si>
    <t>2月28号付705532升柴油款</t>
  </si>
  <si>
    <t>3月1号付石灰款</t>
  </si>
  <si>
    <t>2月份津力挖机租金11893</t>
  </si>
  <si>
    <t>3月10号付81432升柴油款</t>
  </si>
  <si>
    <t xml:space="preserve">3月14号付柴油款 </t>
  </si>
  <si>
    <t>MJ202203018</t>
  </si>
  <si>
    <t>3月13号付120箱炸药款</t>
  </si>
  <si>
    <t>爆破物资</t>
  </si>
  <si>
    <t xml:space="preserve">3月17号付石灰款 </t>
  </si>
  <si>
    <t xml:space="preserve">3月18号付柴油款 </t>
  </si>
  <si>
    <t>挖机配件</t>
  </si>
  <si>
    <t>MJ202203019</t>
  </si>
  <si>
    <t>南非油品</t>
  </si>
  <si>
    <t>氰化钠15.4吨款</t>
  </si>
  <si>
    <t xml:space="preserve">氰化钠22吨，减片400包，运费 </t>
  </si>
  <si>
    <t xml:space="preserve">付石灰款 </t>
  </si>
  <si>
    <t>MJ202203020</t>
  </si>
  <si>
    <t>减压器，液化合调节阀</t>
  </si>
  <si>
    <t>25透明管</t>
  </si>
  <si>
    <t>20透明管</t>
  </si>
  <si>
    <t>南瓜5袋</t>
  </si>
  <si>
    <t>活塞环</t>
  </si>
  <si>
    <t>MJ202203021</t>
  </si>
  <si>
    <t>电焊条4箱</t>
  </si>
  <si>
    <t>线鼻子300平方</t>
  </si>
  <si>
    <t>电缆</t>
  </si>
  <si>
    <t>47公斤配件空运费</t>
  </si>
  <si>
    <t>MJ202203022</t>
  </si>
  <si>
    <t>矿灯4个</t>
  </si>
  <si>
    <t>3人午餐</t>
  </si>
  <si>
    <t>司机午餐</t>
  </si>
  <si>
    <t>MJ202203023</t>
  </si>
  <si>
    <t>吊发电机</t>
  </si>
  <si>
    <t>白银41664.31克*0.67</t>
  </si>
  <si>
    <t>白银</t>
  </si>
  <si>
    <t>银子4017克*.645</t>
  </si>
  <si>
    <t>买发电机首款20000</t>
  </si>
  <si>
    <t>发电机</t>
  </si>
  <si>
    <t>买发电机配件21631</t>
  </si>
  <si>
    <t>熊万祥，陈超龙，魏代和 付恒斌治病</t>
  </si>
  <si>
    <t>MJ202203024</t>
  </si>
  <si>
    <t>23卷引线+7卷引线+10卷引线</t>
  </si>
  <si>
    <t>MJ202203025</t>
  </si>
  <si>
    <t>80包大米，过年食品，大礼包，海鲜</t>
  </si>
  <si>
    <t>MJ202203026</t>
  </si>
  <si>
    <t>狗粮</t>
  </si>
  <si>
    <t>MJ202203027</t>
  </si>
  <si>
    <t>3片窗帘 （会议室）</t>
  </si>
  <si>
    <t>大瓶液化气</t>
  </si>
  <si>
    <t>11张门牌</t>
  </si>
  <si>
    <t>MJ202203028</t>
  </si>
  <si>
    <t>1个皮带型装卸扣</t>
  </si>
  <si>
    <t>洗衣服，洗洁精</t>
  </si>
  <si>
    <t>1箱蚊香</t>
  </si>
  <si>
    <t>元旦食品</t>
  </si>
  <si>
    <t>MJ202203029</t>
  </si>
  <si>
    <t>生产用工具材料等</t>
  </si>
  <si>
    <t>柴油机械表1台</t>
  </si>
  <si>
    <t>垫片</t>
  </si>
  <si>
    <t>4包膨胀螺丝</t>
  </si>
  <si>
    <t>小费 餐费 等</t>
  </si>
  <si>
    <t>MJ202203030</t>
  </si>
  <si>
    <t>500KG焦炭</t>
  </si>
  <si>
    <t xml:space="preserve">国内寄材料费及水笔等 </t>
  </si>
  <si>
    <t>过年买牛腱子，1头猪</t>
  </si>
  <si>
    <t>MJ202203031</t>
  </si>
  <si>
    <t>生活区电费</t>
  </si>
  <si>
    <t>水电费</t>
  </si>
  <si>
    <t xml:space="preserve">30包洗车布 </t>
  </si>
  <si>
    <t>4瓶农药</t>
  </si>
  <si>
    <t>100提矿泉水</t>
  </si>
  <si>
    <t>MJ202203032</t>
  </si>
  <si>
    <t>4瓶氧气</t>
  </si>
  <si>
    <t>制作5个挖机配件定金</t>
  </si>
  <si>
    <t>制作5个挖机配件尾款</t>
  </si>
  <si>
    <t>制作挖机油压管1条</t>
  </si>
  <si>
    <t>材料费</t>
  </si>
  <si>
    <t>MJ202203033</t>
  </si>
  <si>
    <t>40卷黄色引线</t>
  </si>
  <si>
    <t>2022年整年服务费</t>
  </si>
  <si>
    <t>代理咨询费</t>
  </si>
  <si>
    <t>买1头猪</t>
  </si>
  <si>
    <t>MJ202203034</t>
  </si>
  <si>
    <t>蔬菜</t>
  </si>
  <si>
    <t>16包（32根） 膨胀螺丝</t>
  </si>
  <si>
    <t>1头猪</t>
  </si>
  <si>
    <t>MJ202203035</t>
  </si>
  <si>
    <t>矿山皮卡车保养材料</t>
  </si>
  <si>
    <t>矿山皮卡车保险杆校正</t>
  </si>
  <si>
    <t>矿山皮卡车保养人工费</t>
  </si>
  <si>
    <t>16瓶氧气</t>
  </si>
  <si>
    <t>MJ202203036</t>
  </si>
  <si>
    <t>2个轮胎货柜清关及运费</t>
  </si>
  <si>
    <t>2个轮胎货柜税务局收费</t>
  </si>
  <si>
    <t>司机办事餐费</t>
  </si>
  <si>
    <t>MJ202203037</t>
  </si>
  <si>
    <t>城市停车及交通高速</t>
  </si>
  <si>
    <t>丁兆云，龚国忠延签证</t>
  </si>
  <si>
    <t>池美茹，彭明来 延签证</t>
  </si>
  <si>
    <t>矿山发水果</t>
  </si>
  <si>
    <t>MJ202203038</t>
  </si>
  <si>
    <t>牛奶，药品</t>
  </si>
  <si>
    <t>矿山网络费</t>
  </si>
  <si>
    <t>莲花清温</t>
  </si>
  <si>
    <t>机场接祁师傅</t>
  </si>
  <si>
    <t>MJ202203039</t>
  </si>
  <si>
    <t>投疫药品</t>
  </si>
  <si>
    <t>1月份社保NSSA</t>
  </si>
  <si>
    <t>1月份个人所得PAYE.</t>
  </si>
  <si>
    <t>租小货车</t>
  </si>
  <si>
    <t>MJ202203040</t>
  </si>
  <si>
    <t>40提矿泉水</t>
  </si>
  <si>
    <t>材料类</t>
  </si>
  <si>
    <t>3CM后大钢板</t>
  </si>
  <si>
    <t>材料</t>
  </si>
  <si>
    <t>MJ202203041</t>
  </si>
  <si>
    <t>2把链条扳手</t>
  </si>
  <si>
    <t>祁锦明办理双认证</t>
  </si>
  <si>
    <t>祁锦明，李帅，周鹏 谢晋工作签证</t>
  </si>
  <si>
    <t>MJ202203042</t>
  </si>
  <si>
    <t>400W100W灯各4个</t>
  </si>
  <si>
    <t>配件空运费</t>
  </si>
  <si>
    <t>3月5号到港货柜2个清关公司及运费</t>
  </si>
  <si>
    <t>MJ202203043</t>
  </si>
  <si>
    <t>20提矿泉水</t>
  </si>
  <si>
    <t>5桶酒精</t>
  </si>
  <si>
    <t>50瓶止咳糖浆</t>
  </si>
  <si>
    <t>手摇抽油泵</t>
  </si>
  <si>
    <t>MJ202203044</t>
  </si>
  <si>
    <t>2 机油桶</t>
  </si>
  <si>
    <t>15个红色引线和40捆黄色引线</t>
  </si>
  <si>
    <t>15个LED灯和10个开关</t>
  </si>
  <si>
    <t>猪一头</t>
  </si>
  <si>
    <t>（2盒）6个丝攻</t>
  </si>
  <si>
    <t>MJ202203045</t>
  </si>
  <si>
    <t>化验室LED灯</t>
  </si>
  <si>
    <t>3KW电机1台</t>
  </si>
  <si>
    <t>10把平头铲</t>
  </si>
  <si>
    <t>黄金警察小费</t>
  </si>
  <si>
    <t>MJ202203046</t>
  </si>
  <si>
    <t>轮胎清关小费</t>
  </si>
  <si>
    <t>蒋雪妹签证过期付款</t>
  </si>
  <si>
    <t>蒋雪妹签证2年及500G硬盘</t>
  </si>
  <si>
    <t>李帅，周鹏 谢晋签证小费</t>
  </si>
  <si>
    <t>7个样品化验反</t>
  </si>
  <si>
    <t>MJ202203047</t>
  </si>
  <si>
    <t>办事餐费</t>
  </si>
  <si>
    <t>2台150扬程潜水泵</t>
  </si>
  <si>
    <t>制作1个外丝小直头</t>
  </si>
  <si>
    <t>制作1条小软管</t>
  </si>
  <si>
    <t>食堂2瓶大液化气</t>
  </si>
  <si>
    <t>MJ202203048</t>
  </si>
  <si>
    <t>猪肚，1头猪</t>
  </si>
  <si>
    <t>2箱大蒜，103公斤生姜</t>
  </si>
  <si>
    <t>3月11号转账买化肥570万/220汇率</t>
  </si>
  <si>
    <t>MJ202203050</t>
  </si>
  <si>
    <t>3月15号轮胎货柜3天仓储费</t>
  </si>
  <si>
    <t>3月21号修1台大电机</t>
  </si>
  <si>
    <t>3月21号大卡车前挡风玻璃</t>
  </si>
  <si>
    <t>挡风玻璃胶6支</t>
  </si>
  <si>
    <t>蔬菜胶带</t>
  </si>
  <si>
    <t>MJ202203051</t>
  </si>
  <si>
    <t>10个6V的电池</t>
  </si>
  <si>
    <t>50公斤鱼</t>
  </si>
  <si>
    <t>机场接配件免税小费，司机餐费及车费</t>
  </si>
  <si>
    <t>3月21号2个货柜小费</t>
  </si>
  <si>
    <t>16瓶枇杷膏</t>
  </si>
  <si>
    <t>MJ202203052</t>
  </si>
  <si>
    <t>5个墨盒 （ 哈拉雷用）</t>
  </si>
  <si>
    <t>10个化验室小玻璃杯</t>
  </si>
  <si>
    <t>5箱食用油</t>
  </si>
  <si>
    <t>食用油</t>
  </si>
  <si>
    <t>美金买转账付税务局2个货柜</t>
  </si>
  <si>
    <t>春节买苹果</t>
  </si>
  <si>
    <t>MJ202204001</t>
  </si>
  <si>
    <t>警察局饮料10件</t>
  </si>
  <si>
    <t>三一卡车加锁</t>
  </si>
  <si>
    <t>鸡蛋3箱*44</t>
  </si>
  <si>
    <t>卡车油箱锁2</t>
  </si>
  <si>
    <t>365挖机前挡破离</t>
  </si>
  <si>
    <t>MJ202204002</t>
  </si>
  <si>
    <t>买手机给村长</t>
  </si>
  <si>
    <t>铁锹</t>
  </si>
  <si>
    <t>4件水</t>
  </si>
  <si>
    <t>洞采修房子</t>
  </si>
  <si>
    <t>堆淋-修理费</t>
  </si>
  <si>
    <t>铲车司机晚餐</t>
  </si>
  <si>
    <t>MJ202204003</t>
  </si>
  <si>
    <t>车间风机齿轮1个</t>
  </si>
  <si>
    <t>电焊机类</t>
  </si>
  <si>
    <t>鸡蛋3件*42</t>
  </si>
  <si>
    <t>汽油256.4升</t>
  </si>
  <si>
    <t>MJ202204004</t>
  </si>
  <si>
    <t>饮料</t>
  </si>
  <si>
    <t>MJ202204005</t>
  </si>
  <si>
    <t>补胎费</t>
  </si>
  <si>
    <t>补贴费+配件</t>
  </si>
  <si>
    <t>震动筛弹簧</t>
  </si>
  <si>
    <t>摩托车火花塞1个</t>
  </si>
  <si>
    <t>蚊子咬打针</t>
  </si>
  <si>
    <t>MJ202204006</t>
  </si>
  <si>
    <t>卡特挖机修理费</t>
  </si>
  <si>
    <t>堆淋-维修费</t>
  </si>
  <si>
    <t>螺丝风机齿轮</t>
  </si>
  <si>
    <t xml:space="preserve">招待饮料 </t>
  </si>
  <si>
    <t>MJ202204007</t>
  </si>
  <si>
    <t>维修马卡哈房子胶带</t>
  </si>
  <si>
    <t>测温仪电池</t>
  </si>
  <si>
    <t>修放炮损坏马卡哈房子瓦片</t>
  </si>
  <si>
    <t>鸡蛋4件*43</t>
  </si>
  <si>
    <t>美工刀10盒</t>
  </si>
  <si>
    <t>MJ202204008</t>
  </si>
  <si>
    <t>汽油256.2升*1.53</t>
  </si>
  <si>
    <t>鸡蛋4件*42</t>
  </si>
  <si>
    <t>种菜肥料</t>
  </si>
  <si>
    <t>洞采修房装破离</t>
  </si>
  <si>
    <t>自卸车前制动片</t>
  </si>
  <si>
    <t>MJ202204009</t>
  </si>
  <si>
    <t>A2图纸打印</t>
  </si>
  <si>
    <t>拖鞋衣架</t>
  </si>
  <si>
    <t>皮卡车装后护栏</t>
  </si>
  <si>
    <t>矿山经理事故治疗</t>
  </si>
  <si>
    <t>蒋家伟，付立书等4人核酸检测</t>
  </si>
  <si>
    <t>MJ202204010</t>
  </si>
  <si>
    <t>卫生纸10包</t>
  </si>
  <si>
    <t>公司核酸+疫苗</t>
  </si>
  <si>
    <t>卡特挖机配件</t>
  </si>
  <si>
    <t>洗衣粉，漏斗</t>
  </si>
  <si>
    <t>MJ202204011</t>
  </si>
  <si>
    <t>洞采修房子水泥10包</t>
  </si>
  <si>
    <t>AB胶水</t>
  </si>
  <si>
    <t>鸡蛋4箱*44</t>
  </si>
  <si>
    <t>MJ202204012</t>
  </si>
  <si>
    <t>盐10包</t>
  </si>
  <si>
    <t>车间买8个锁</t>
  </si>
  <si>
    <t>石灰款</t>
  </si>
  <si>
    <t>MJ202204013</t>
  </si>
  <si>
    <t>苏挖机核酸</t>
  </si>
  <si>
    <t>刹车片</t>
  </si>
  <si>
    <t>打井92米3口</t>
  </si>
  <si>
    <t>打井</t>
  </si>
  <si>
    <t>洞采修房2车砖</t>
  </si>
  <si>
    <t>RSYMOND司机离职</t>
  </si>
  <si>
    <t>MJ202204014</t>
  </si>
  <si>
    <t>CYNTHIA女翻译离职</t>
  </si>
  <si>
    <t>食堂买菜</t>
  </si>
  <si>
    <t>MJ202204015</t>
  </si>
  <si>
    <t>门扣 锁 笔</t>
  </si>
  <si>
    <t>KURAI小工离职</t>
  </si>
  <si>
    <t>PAPADZAI小工离职</t>
  </si>
  <si>
    <t>TAFADZWA小工离职</t>
  </si>
  <si>
    <t>30000升柴油*1.23</t>
  </si>
  <si>
    <t>MJ202204016</t>
  </si>
  <si>
    <t>21年11月份卡特挖机租金</t>
  </si>
  <si>
    <t>洞采修房子2车砖</t>
  </si>
  <si>
    <t>刨子一把</t>
  </si>
  <si>
    <t>农药2瓶</t>
  </si>
  <si>
    <t>水果刀6把*1.5</t>
  </si>
  <si>
    <t>MJ202204017</t>
  </si>
  <si>
    <t>圣诞节买酒</t>
  </si>
  <si>
    <t>会议室样袋6包</t>
  </si>
  <si>
    <t>铲车加锁5个</t>
  </si>
  <si>
    <t>铲车配件</t>
  </si>
  <si>
    <t>通信塔水泥2包</t>
  </si>
  <si>
    <t>MJ202204018</t>
  </si>
  <si>
    <t>1200R20轮胎40套*430</t>
  </si>
  <si>
    <t xml:space="preserve">卸红砖费 </t>
  </si>
  <si>
    <t xml:space="preserve">鸡蛋4件 </t>
  </si>
  <si>
    <t>洞采修房水泥10包</t>
  </si>
  <si>
    <t>MJ202204019</t>
  </si>
  <si>
    <t>洞采修房水泥20包</t>
  </si>
  <si>
    <t>铲车锁5把</t>
  </si>
  <si>
    <t>摩托车汽油290.42升</t>
  </si>
  <si>
    <t>炸药120箱*48</t>
  </si>
  <si>
    <t>MJ202204020</t>
  </si>
  <si>
    <t>办理房屋搬迁盖章费</t>
  </si>
  <si>
    <t>村长帮征地小费</t>
  </si>
  <si>
    <t>煤气4瓶</t>
  </si>
  <si>
    <t>门锁8个</t>
  </si>
  <si>
    <t>除草剂</t>
  </si>
  <si>
    <t>MJ202204021</t>
  </si>
  <si>
    <t>塑料纸 垫货箱</t>
  </si>
  <si>
    <t>复合肥种菜</t>
  </si>
  <si>
    <t>找油盖， 洞采处房主小费</t>
  </si>
  <si>
    <t>征地酋长议员小费</t>
  </si>
  <si>
    <t>买酒</t>
  </si>
  <si>
    <t>MJ202204022</t>
  </si>
  <si>
    <t>自喷漆7瓶</t>
  </si>
  <si>
    <t>口罩1盒 眼药水2瓶</t>
  </si>
  <si>
    <t>4人午餐</t>
  </si>
  <si>
    <t xml:space="preserve">汽油5.38升 </t>
  </si>
  <si>
    <t>司机加班饮料面包</t>
  </si>
  <si>
    <t>MJ202204023</t>
  </si>
  <si>
    <t>NOBERT，CRAIG焊工离职</t>
  </si>
  <si>
    <t>FORGIVE， WALTERZA焊工离职</t>
  </si>
  <si>
    <t>BRIHT，SHYBU小工离职</t>
  </si>
  <si>
    <t>MISHECK，小工离职</t>
  </si>
  <si>
    <t>中，下午加班饮料</t>
  </si>
  <si>
    <t>MJ202204024</t>
  </si>
  <si>
    <t>修摩托车</t>
  </si>
  <si>
    <t>7个当地员工3月份工资（离职）</t>
  </si>
  <si>
    <t>MJ202204025</t>
  </si>
  <si>
    <t>买2瓶农药</t>
  </si>
  <si>
    <t>买1头牛</t>
  </si>
  <si>
    <t>瓦钉</t>
  </si>
  <si>
    <t>MJ202204026</t>
  </si>
  <si>
    <t>KUDZAI氰化厂员工眼睛痛看医生</t>
  </si>
  <si>
    <t>买猪131公斤*4 （养）</t>
  </si>
  <si>
    <t>RICHMAN平地机离职</t>
  </si>
  <si>
    <t>3月份当地员工工资</t>
  </si>
  <si>
    <t>矿山经理及司机事故治疗</t>
  </si>
  <si>
    <t>MJ202204027</t>
  </si>
  <si>
    <t>熊学军龚国忠李成斌李霞赵东鲁立平等路费报销</t>
  </si>
  <si>
    <t>建破碎场3间房子，化粪池</t>
  </si>
  <si>
    <t>下水道弯头</t>
  </si>
  <si>
    <t>卡多马送来400包活性炭运费</t>
  </si>
  <si>
    <t>MJ202204028</t>
  </si>
  <si>
    <t>装碳用的编织袋200个</t>
  </si>
  <si>
    <t>车子清洁剂</t>
  </si>
  <si>
    <t>西红柿</t>
  </si>
  <si>
    <t>装碳用的编织袋100个</t>
  </si>
  <si>
    <t>给监控师傅生活费</t>
  </si>
  <si>
    <t>MJ202204029</t>
  </si>
  <si>
    <t>杨俊4月份话费</t>
  </si>
  <si>
    <t>买扫把13把</t>
  </si>
  <si>
    <t>环保部来公司年度审查小费</t>
  </si>
  <si>
    <t>食盐105，农药25</t>
  </si>
  <si>
    <t>给监控器师傅生活费</t>
  </si>
  <si>
    <t>MJ202204030</t>
  </si>
  <si>
    <t>维修住宿瓦订</t>
  </si>
  <si>
    <t>盖碳房瓦订</t>
  </si>
  <si>
    <t>清化厂员工脚受伤买药</t>
  </si>
  <si>
    <t>车间买1把锁</t>
  </si>
  <si>
    <t>买本地员工住宿门25 胶泥2包10</t>
  </si>
  <si>
    <t>MJ202204031</t>
  </si>
  <si>
    <t>维修生活区屋顶胶泥2包</t>
  </si>
  <si>
    <t>维修当地员工住宿及生活区人工费</t>
  </si>
  <si>
    <t>ERNESTKATIYO小工离职</t>
  </si>
  <si>
    <t>NATHAN KATIYO小工离职</t>
  </si>
  <si>
    <t>盐酸</t>
  </si>
  <si>
    <t>MJ202204032</t>
  </si>
  <si>
    <t>AFM3517刹车片</t>
  </si>
  <si>
    <t>AFM3517修车费</t>
  </si>
  <si>
    <t>镑秤</t>
  </si>
  <si>
    <t>200箱炸药运费</t>
  </si>
  <si>
    <t>MJ202204033</t>
  </si>
  <si>
    <t>堆坪用的胶水（19箱）</t>
  </si>
  <si>
    <t>修清化厂发电机</t>
  </si>
  <si>
    <t>当地44个员工3月份奖金</t>
  </si>
  <si>
    <t>公司附近抢窃案警察费及医院鉴定费</t>
  </si>
  <si>
    <t>地质员保养皮卡车及买菜</t>
  </si>
  <si>
    <t>MJ202204034</t>
  </si>
  <si>
    <t>买汽油250升*1.68</t>
  </si>
  <si>
    <t>清化车间月锁</t>
  </si>
  <si>
    <t>木托口法院开庭律师法官，午餐费用</t>
  </si>
  <si>
    <t>津力卡特挖机3月份租金</t>
  </si>
  <si>
    <t>MJ202204035</t>
  </si>
  <si>
    <t>矿山经理变更登记</t>
  </si>
  <si>
    <t>制动液6瓶*3.5</t>
  </si>
  <si>
    <t>洗洁精5瓶10美金12把锁30</t>
  </si>
  <si>
    <t>买1头猪104公斤</t>
  </si>
  <si>
    <t>当地员工狗咬打针</t>
  </si>
  <si>
    <t>MJ202204036</t>
  </si>
  <si>
    <t>警察局处理保安案件小费</t>
  </si>
  <si>
    <t>买2个竹椅</t>
  </si>
  <si>
    <t>补胎</t>
  </si>
  <si>
    <t>维修电解房屋顶买3卷胶泥</t>
  </si>
  <si>
    <t>MJ202204037</t>
  </si>
  <si>
    <t>维修电解房屋顶人工费</t>
  </si>
  <si>
    <t>当地员工狗咬打第2针</t>
  </si>
  <si>
    <t>维修清化厂发电机配件</t>
  </si>
  <si>
    <t>炮工受伤治疗</t>
  </si>
  <si>
    <t>周良华，陈祝村医药费</t>
  </si>
  <si>
    <t>MJ202204038</t>
  </si>
  <si>
    <t>买豆鼓400克</t>
  </si>
  <si>
    <t>20箱炸药+运费</t>
  </si>
  <si>
    <t>20箱炸药</t>
  </si>
  <si>
    <t>钢球40mm7.4吨</t>
  </si>
  <si>
    <t>MJ202204039</t>
  </si>
  <si>
    <t>钢球120mm7.5吨</t>
  </si>
  <si>
    <t>钢球40mm2.6吨</t>
  </si>
  <si>
    <t>钢球120mm12.5吨</t>
  </si>
  <si>
    <t>4月份保安服务费</t>
  </si>
  <si>
    <t>MJ202204040</t>
  </si>
  <si>
    <t>JOSEPH事故司机3月工资充医药费</t>
  </si>
  <si>
    <t>MJSR202204001</t>
  </si>
  <si>
    <t>OSCAR氰化厂员工受伤治疗</t>
  </si>
  <si>
    <t>MJ202205001</t>
  </si>
  <si>
    <t>食堂打米饭</t>
  </si>
  <si>
    <t>维修及改铁丝网围栏</t>
  </si>
  <si>
    <t>盐酸90桶*30</t>
  </si>
  <si>
    <t xml:space="preserve">哈拉雷到马卡哈10000个红砖运费（建碳房） </t>
  </si>
  <si>
    <t>建碳房</t>
  </si>
  <si>
    <t>矿山经理车事故治疗</t>
  </si>
  <si>
    <t>MJ202205002</t>
  </si>
  <si>
    <t>拆迁房+追加+补助水费</t>
  </si>
  <si>
    <t>调整335挖机压力工时费</t>
  </si>
  <si>
    <t>堆淋-挖机费用</t>
  </si>
  <si>
    <t>钢球120mm30.46吨</t>
  </si>
  <si>
    <t>钢球</t>
  </si>
  <si>
    <t>MJ202205003</t>
  </si>
  <si>
    <t>潜孔钻校油泵</t>
  </si>
  <si>
    <t>堆淋-矿山费用</t>
  </si>
  <si>
    <t>油路接头</t>
  </si>
  <si>
    <t>碳房买合页喷油漆</t>
  </si>
  <si>
    <t>MJ202205004</t>
  </si>
  <si>
    <t>5人卸1车水泥费</t>
  </si>
  <si>
    <t>装卸费水泥</t>
  </si>
  <si>
    <t>生活区剪花坪两天半</t>
  </si>
  <si>
    <t>电力局来公司条电压油费</t>
  </si>
  <si>
    <t>MCHENJE铲车司机离职</t>
  </si>
  <si>
    <t>河对面堆坪铁丝网围栏711.7米*8.5</t>
  </si>
  <si>
    <t>MJ202205005</t>
  </si>
  <si>
    <t>当地员工4月份工资</t>
  </si>
  <si>
    <t>ALBERT炮工离职</t>
  </si>
  <si>
    <t>放炮飞石损坏马卡哈维修费</t>
  </si>
  <si>
    <t>买1车种菜用肥料</t>
  </si>
  <si>
    <t>员工狗咬打第3针</t>
  </si>
  <si>
    <t>MJ202205006</t>
  </si>
  <si>
    <t>5月11日警察局小费</t>
  </si>
  <si>
    <t>陈祝村医院司法鉴定</t>
  </si>
  <si>
    <t>放炮损坏房屋给主人家</t>
  </si>
  <si>
    <t>买猪肉70.2公斤*3.2</t>
  </si>
  <si>
    <t>MJ202205007</t>
  </si>
  <si>
    <t>买水20件*3.5</t>
  </si>
  <si>
    <t>洞采化验</t>
  </si>
  <si>
    <t>当地90个员工4月15.16号双薪</t>
  </si>
  <si>
    <t>买生猪1564公斤*4</t>
  </si>
  <si>
    <t>皮卡车加气嘴3个</t>
  </si>
  <si>
    <t>MJ202205008</t>
  </si>
  <si>
    <t>买4支鸡</t>
  </si>
  <si>
    <t>生活区后山放炮飞石损坏房子修补费</t>
  </si>
  <si>
    <t>买30件水</t>
  </si>
  <si>
    <t>马卡哈房子被爆破炸坏 给饮料钱</t>
  </si>
  <si>
    <t>MJ202205009</t>
  </si>
  <si>
    <t>手推车2个</t>
  </si>
  <si>
    <t>油桶3个</t>
  </si>
  <si>
    <t>当地员工54人4月份奖金</t>
  </si>
  <si>
    <t>买1支鸡</t>
  </si>
  <si>
    <t>MJ202205010</t>
  </si>
  <si>
    <t>3人卸车费</t>
  </si>
  <si>
    <t>司机拉沙晚餐</t>
  </si>
  <si>
    <t>拉河沙给村长家小费</t>
  </si>
  <si>
    <t>MJ202205011</t>
  </si>
  <si>
    <t>买玉米粉</t>
  </si>
  <si>
    <t xml:space="preserve">哈拉雷拉来1万个红砖运费（盖碳房用） </t>
  </si>
  <si>
    <t>修钻机+配件</t>
  </si>
  <si>
    <t>4号拆迁按合同4500+追加250</t>
  </si>
  <si>
    <t>清化厂员工手受伤治疗</t>
  </si>
  <si>
    <t>MJ202205012</t>
  </si>
  <si>
    <t>情报局来公司费用</t>
  </si>
  <si>
    <t>矿业部来公司检查费用</t>
  </si>
  <si>
    <t>汽油267.91升</t>
  </si>
  <si>
    <t>鸡蛋4件*44</t>
  </si>
  <si>
    <t>BLESSED水车司机离职</t>
  </si>
  <si>
    <t>MJ202205013</t>
  </si>
  <si>
    <t>检查康明斯发电机组工时费</t>
  </si>
  <si>
    <t>食堂买2头猪</t>
  </si>
  <si>
    <t>加油109.2升*1074</t>
  </si>
  <si>
    <t>经理参加矿山急救培训费用</t>
  </si>
  <si>
    <t>MJ202205014</t>
  </si>
  <si>
    <t>钻头8件（洞采用）</t>
  </si>
  <si>
    <t>矿山配件</t>
  </si>
  <si>
    <t>吴铭辉.丁师傅 感冒药</t>
  </si>
  <si>
    <t>吴铭辉核酸检测</t>
  </si>
  <si>
    <t>食堂买猪</t>
  </si>
  <si>
    <t>食堂买1头牛</t>
  </si>
  <si>
    <t>MJ202205015</t>
  </si>
  <si>
    <t>食堂买6支鸡</t>
  </si>
  <si>
    <t>油漆，条幅布，毛刷，缝布费</t>
  </si>
  <si>
    <t>马卡哈爆破飞石损坏房子维修</t>
  </si>
  <si>
    <t>三一500型号挖机前挡风破离</t>
  </si>
  <si>
    <t>菜种子</t>
  </si>
  <si>
    <t>MJ202205016</t>
  </si>
  <si>
    <t>吴民辉血样分析</t>
  </si>
  <si>
    <t>魏四林看医生</t>
  </si>
  <si>
    <t>吴民辉检测</t>
  </si>
  <si>
    <t>MJ202205017</t>
  </si>
  <si>
    <t>吴民辉打针，买药</t>
  </si>
  <si>
    <t>爆破飞石损坏马卡哈房子给饮料费</t>
  </si>
  <si>
    <t>送货到哈拉雷途中警察检查小费</t>
  </si>
  <si>
    <t>买20张床</t>
  </si>
  <si>
    <t>床</t>
  </si>
  <si>
    <t>MJ202205018</t>
  </si>
  <si>
    <t>买床运费</t>
  </si>
  <si>
    <t>化肥145袋</t>
  </si>
  <si>
    <t>炸药18箱</t>
  </si>
  <si>
    <t>化肥，炸药运费</t>
  </si>
  <si>
    <t>运费</t>
  </si>
  <si>
    <t>MJ202205019</t>
  </si>
  <si>
    <t>警察来公司小费</t>
  </si>
  <si>
    <t>摩托车配件</t>
  </si>
  <si>
    <t>5月份保安费</t>
  </si>
  <si>
    <t>MJ202205020</t>
  </si>
  <si>
    <t>购铁红整理会议室</t>
  </si>
  <si>
    <t>6把扫把</t>
  </si>
  <si>
    <t>MJ202205021</t>
  </si>
  <si>
    <t>送打发电机运费</t>
  </si>
  <si>
    <t>2吨桶钢</t>
  </si>
  <si>
    <t>大轴尾部加焊费</t>
  </si>
  <si>
    <t>大轴车圆人工费</t>
  </si>
  <si>
    <t>300提矿泉水</t>
  </si>
  <si>
    <t>MJ202205022</t>
  </si>
  <si>
    <t>钢管，角钢，矿泉水费用</t>
  </si>
  <si>
    <t>货车回程拉回钢管费用</t>
  </si>
  <si>
    <t>猪1头</t>
  </si>
  <si>
    <t>大发电机用2个大空气开关</t>
  </si>
  <si>
    <t>修电脑</t>
  </si>
  <si>
    <t>MJ202205023</t>
  </si>
  <si>
    <t>10个软管家巴士费</t>
  </si>
  <si>
    <t>运杂费</t>
  </si>
  <si>
    <t>4个样品化验</t>
  </si>
  <si>
    <t>2根各1米键条</t>
  </si>
  <si>
    <t>4月3号柴油79876升*1.55</t>
  </si>
  <si>
    <t>MJ202205024</t>
  </si>
  <si>
    <t>大发电机余额</t>
  </si>
  <si>
    <t>到矿山的货柜，碳酸氢铵和PE小费</t>
  </si>
  <si>
    <t>订2辆皮卡车定金</t>
  </si>
  <si>
    <t>皮卡车</t>
  </si>
  <si>
    <t>48公斤液化气</t>
  </si>
  <si>
    <t>MJ202205025</t>
  </si>
  <si>
    <t>配件制作费</t>
  </si>
  <si>
    <t>皮卡车轮胎2条</t>
  </si>
  <si>
    <t>配件维修</t>
  </si>
  <si>
    <t>电机维修</t>
  </si>
  <si>
    <t>司机餐费</t>
  </si>
  <si>
    <t>MJ202205026</t>
  </si>
  <si>
    <t>保险插头1个</t>
  </si>
  <si>
    <t>20个人的签证延期代理人的服务费</t>
  </si>
  <si>
    <t>代理服务费</t>
  </si>
  <si>
    <t>80000升柴油*1.55</t>
  </si>
  <si>
    <t>MJ202205027</t>
  </si>
  <si>
    <t>高速公路</t>
  </si>
  <si>
    <t>MJ202205028</t>
  </si>
  <si>
    <t>2箱料酒</t>
  </si>
  <si>
    <t>3箱洗衣粉</t>
  </si>
  <si>
    <t>餐费（司机）</t>
  </si>
  <si>
    <t>生姜 胡萝卜</t>
  </si>
  <si>
    <t>5000个编织袋</t>
  </si>
  <si>
    <t>MJ202205029</t>
  </si>
  <si>
    <t>菜</t>
  </si>
  <si>
    <t>打印纸</t>
  </si>
  <si>
    <t>10箱钻头350025箱引线</t>
  </si>
  <si>
    <t>20个保险管</t>
  </si>
  <si>
    <t>MJ202205030</t>
  </si>
  <si>
    <t>30个红色引线</t>
  </si>
  <si>
    <t>8个电瓶</t>
  </si>
  <si>
    <t>A900的6条皮带</t>
  </si>
  <si>
    <t>1块大钢板</t>
  </si>
  <si>
    <t>MJ202205031</t>
  </si>
  <si>
    <t>1支猪</t>
  </si>
  <si>
    <t>面粉1袋</t>
  </si>
  <si>
    <t>10米绳子</t>
  </si>
  <si>
    <t>30箱食用油</t>
  </si>
  <si>
    <t>80000升柴油*1.54</t>
  </si>
  <si>
    <t>MJ202205032</t>
  </si>
  <si>
    <t>2月份NSSA社保</t>
  </si>
  <si>
    <t>2月份ZIMRAPAYE所得税</t>
  </si>
  <si>
    <t xml:space="preserve">600包化肥(30吨） </t>
  </si>
  <si>
    <t>2022年3月份NEC</t>
  </si>
  <si>
    <t>MJ202205033</t>
  </si>
  <si>
    <t>2022年3月份ZIMDEF</t>
  </si>
  <si>
    <t>2022年3月份STANDARSLEVY</t>
  </si>
  <si>
    <t>MJ202205034</t>
  </si>
  <si>
    <t>食堂用品，菜</t>
  </si>
  <si>
    <t>30.860吨钢球</t>
  </si>
  <si>
    <t>食堂菜品类</t>
  </si>
  <si>
    <t>材料款及配件维修费</t>
  </si>
  <si>
    <t>堆淋用地申请费</t>
  </si>
  <si>
    <t>MJ202205035</t>
  </si>
  <si>
    <t>4月21号到矿山的货柜清关及运费</t>
  </si>
  <si>
    <t>100000升柴油*14.7</t>
  </si>
  <si>
    <t>100000升柴油运费</t>
  </si>
  <si>
    <t>食堂买菜，调料类</t>
  </si>
  <si>
    <t>MJ202205036</t>
  </si>
  <si>
    <t>手拷，警棍</t>
  </si>
  <si>
    <t>2个货柜滞期费，迟到回港费</t>
  </si>
  <si>
    <t>2个货柜滞期仓储费</t>
  </si>
  <si>
    <t>康春生，周军军，陈玉红签证费</t>
  </si>
  <si>
    <t>40尺柜清关代理费及运费等</t>
  </si>
  <si>
    <t>MJ202205037</t>
  </si>
  <si>
    <t>20尺柜清关代理费及运费等</t>
  </si>
  <si>
    <t>40尺柜税务局清关费</t>
  </si>
  <si>
    <t>20尺柜税务局清关费</t>
  </si>
  <si>
    <t>样品化验</t>
  </si>
  <si>
    <t>MJ202205038</t>
  </si>
  <si>
    <t>20瓶农药</t>
  </si>
  <si>
    <t>油泵维修</t>
  </si>
  <si>
    <t>瓦订</t>
  </si>
  <si>
    <t>115公斤液化气</t>
  </si>
  <si>
    <t>MJ202205039</t>
  </si>
  <si>
    <t>氧气2瓶，切割咀5个</t>
  </si>
  <si>
    <t>2桶210升黄油</t>
  </si>
  <si>
    <t>1根6米键条</t>
  </si>
  <si>
    <t>10盒瓦订，36个大铜鼻子</t>
  </si>
  <si>
    <t>档案袋，饭勺等</t>
  </si>
  <si>
    <t>MJ202205040</t>
  </si>
  <si>
    <t>开关</t>
  </si>
  <si>
    <t>MJ202205041</t>
  </si>
  <si>
    <t>10箱食堂用油</t>
  </si>
  <si>
    <t>财务年报ANNUAL RETURN2022费用</t>
  </si>
  <si>
    <t>MJ202205042</t>
  </si>
  <si>
    <t>100000升柴油*1.53</t>
  </si>
  <si>
    <t>吴四民，黄美节签证延续</t>
  </si>
  <si>
    <t>600包水泥</t>
  </si>
  <si>
    <t>货柜补税</t>
  </si>
  <si>
    <t>大米</t>
  </si>
  <si>
    <t>MJ202205043</t>
  </si>
  <si>
    <t>食品</t>
  </si>
  <si>
    <t>黄美节签证移民局收费</t>
  </si>
  <si>
    <t>皮卡车款</t>
  </si>
  <si>
    <t>外扩矿证费</t>
  </si>
  <si>
    <t>黄美节签证盖章加服务费</t>
  </si>
  <si>
    <t>MJ202205044</t>
  </si>
  <si>
    <t>周义签证盖章加服务费</t>
  </si>
  <si>
    <t>周义签证延续移民局收费</t>
  </si>
  <si>
    <t>6个包装盒</t>
  </si>
  <si>
    <t>MJ202205045</t>
  </si>
  <si>
    <t>2个油泵</t>
  </si>
  <si>
    <t>希望杯100片</t>
  </si>
  <si>
    <t>钢丝球2箱</t>
  </si>
  <si>
    <t>美金购转账付木及政府2022年农业土地税等</t>
  </si>
  <si>
    <t>MJ202205046</t>
  </si>
  <si>
    <t>美金买入银行转账支付货柜清关费</t>
  </si>
  <si>
    <t>4月5号定8万升柴油实收77417升少2853升退回款</t>
  </si>
  <si>
    <t>MJSR202205001</t>
  </si>
  <si>
    <t>MJ202206001</t>
  </si>
  <si>
    <t>400箱炸药运费（2车）</t>
  </si>
  <si>
    <t>400箱炸款加药运费（2车）</t>
  </si>
  <si>
    <t>MJ202206002</t>
  </si>
  <si>
    <t>福特皮卡滤芯</t>
  </si>
  <si>
    <t>MJ202206003</t>
  </si>
  <si>
    <t>油泵空运运费</t>
  </si>
  <si>
    <t>航空运费</t>
  </si>
  <si>
    <t>警察路上小费</t>
  </si>
  <si>
    <t>卡特挖机323连肖</t>
  </si>
  <si>
    <t>吴铭辉治病费用</t>
  </si>
  <si>
    <t>MJ202206004</t>
  </si>
  <si>
    <t>24.2吨氰化钠+运费</t>
  </si>
  <si>
    <t>钢丝绳</t>
  </si>
  <si>
    <t>胶水</t>
  </si>
  <si>
    <t>送水车运氧气瓶回哈拉雷</t>
  </si>
  <si>
    <t>MJ202206005</t>
  </si>
  <si>
    <t>食堂买1支羊</t>
  </si>
  <si>
    <t>MJ202206006</t>
  </si>
  <si>
    <t>弯头水龙头</t>
  </si>
  <si>
    <t>矿样化验</t>
  </si>
  <si>
    <t>炸药款</t>
  </si>
  <si>
    <t>MJ202206007</t>
  </si>
  <si>
    <t>排气扇</t>
  </si>
  <si>
    <t>水泵</t>
  </si>
  <si>
    <t>MJ202206008</t>
  </si>
  <si>
    <t>MJ202206009</t>
  </si>
  <si>
    <t>5月奖金</t>
  </si>
  <si>
    <t>补奖金</t>
  </si>
  <si>
    <t>红砖运费</t>
  </si>
  <si>
    <t>砖运费</t>
  </si>
  <si>
    <t>MJ202206010</t>
  </si>
  <si>
    <t>5月工资</t>
  </si>
  <si>
    <t>厨房买菜</t>
  </si>
  <si>
    <t>杨俊电话费</t>
  </si>
  <si>
    <t>杨俊买玻璃</t>
  </si>
  <si>
    <t>小费</t>
  </si>
  <si>
    <t>MJ202206011</t>
  </si>
  <si>
    <t>医疗费</t>
  </si>
  <si>
    <t>修理滑轮</t>
  </si>
  <si>
    <t>MJ202206012</t>
  </si>
  <si>
    <t>被子</t>
  </si>
  <si>
    <t>热水壶</t>
  </si>
  <si>
    <t>检查身体</t>
  </si>
  <si>
    <t>MJ202206013</t>
  </si>
  <si>
    <t>复检</t>
  </si>
  <si>
    <t>盆</t>
  </si>
  <si>
    <t>筷子</t>
  </si>
  <si>
    <t>勺子</t>
  </si>
  <si>
    <t>MJ202206014</t>
  </si>
  <si>
    <t>总统活动费</t>
  </si>
  <si>
    <t>刷子</t>
  </si>
  <si>
    <t>油漆</t>
  </si>
  <si>
    <t>化验</t>
  </si>
  <si>
    <t>粉刷</t>
  </si>
  <si>
    <t>MJ202206015</t>
  </si>
  <si>
    <t>修改围栏门</t>
  </si>
  <si>
    <t>捐款学校</t>
  </si>
  <si>
    <t>MJ202206016</t>
  </si>
  <si>
    <t>端午节粽子</t>
  </si>
  <si>
    <t>喷淋油管</t>
  </si>
  <si>
    <t>端午节啤酒</t>
  </si>
  <si>
    <t>农药</t>
  </si>
  <si>
    <t>MJ202206017</t>
  </si>
  <si>
    <t>辞退员工工资</t>
  </si>
  <si>
    <t>炸药</t>
  </si>
  <si>
    <t>雷管</t>
  </si>
  <si>
    <t>MJ202206018</t>
  </si>
  <si>
    <t>吴小林差旅费</t>
  </si>
  <si>
    <t>买牛</t>
  </si>
  <si>
    <t>医药费</t>
  </si>
  <si>
    <t>335钢套</t>
  </si>
  <si>
    <t>MJ202206019</t>
  </si>
  <si>
    <t>335炮锤</t>
  </si>
  <si>
    <t>卡特修理液压</t>
  </si>
  <si>
    <t>吴小林采购面条等</t>
  </si>
  <si>
    <t>吴小林采购电瓶1个</t>
  </si>
  <si>
    <t>吴小林采购球阀、直接等</t>
  </si>
  <si>
    <t>打井合计（刑洺玚打井队）</t>
  </si>
  <si>
    <t>打井费用</t>
  </si>
  <si>
    <t>MJ202206020</t>
  </si>
  <si>
    <t>运空压机</t>
  </si>
  <si>
    <t>炸药运费</t>
  </si>
  <si>
    <t>差旅费</t>
  </si>
  <si>
    <t>食堂购鸡、牛</t>
  </si>
  <si>
    <t>MJ202206021</t>
  </si>
  <si>
    <t>10吨炸药运费</t>
  </si>
  <si>
    <t>高速，加油合计</t>
  </si>
  <si>
    <t>MJ202207001</t>
  </si>
  <si>
    <t>鱼，蒜等</t>
  </si>
  <si>
    <t>水井用水泵</t>
  </si>
  <si>
    <t>螺丝及3个继电器等</t>
  </si>
  <si>
    <t>柴油4万升</t>
  </si>
  <si>
    <t>MJ202207002</t>
  </si>
  <si>
    <t>柴油8万升定金</t>
  </si>
  <si>
    <t>柴油8万升尾款</t>
  </si>
  <si>
    <t>柴油8万升全款</t>
  </si>
  <si>
    <t>货柜代理费，清关</t>
  </si>
  <si>
    <t>MJ202207003</t>
  </si>
  <si>
    <t>支出关税</t>
  </si>
  <si>
    <t>现金存FBC账户</t>
  </si>
  <si>
    <t>美金户</t>
  </si>
  <si>
    <t>MJ202207004</t>
  </si>
  <si>
    <t>中国使馆认证3本材料费</t>
  </si>
  <si>
    <t>MJ202207005</t>
  </si>
  <si>
    <t>办公桌椅</t>
  </si>
  <si>
    <t>办公桌</t>
  </si>
  <si>
    <t>蚊香电水壶</t>
  </si>
  <si>
    <t>1吨大米，鱼</t>
  </si>
  <si>
    <t>机场清关</t>
  </si>
  <si>
    <t>MJ202207006</t>
  </si>
  <si>
    <t>2吨水泥</t>
  </si>
  <si>
    <t>10万升柴油</t>
  </si>
  <si>
    <t>小柜税务局小费</t>
  </si>
  <si>
    <t>MJ202207007</t>
  </si>
  <si>
    <t>大柜小费</t>
  </si>
  <si>
    <t>5人工作签延期</t>
  </si>
  <si>
    <t>5人新办工作签</t>
  </si>
  <si>
    <t>5人延期代理费</t>
  </si>
  <si>
    <t>电解室螺母</t>
  </si>
  <si>
    <t>MJ202207008</t>
  </si>
  <si>
    <t>门窗瓦订</t>
  </si>
  <si>
    <t>墨盒10个</t>
  </si>
  <si>
    <t>矿泉水250提</t>
  </si>
  <si>
    <t>120片木板</t>
  </si>
  <si>
    <t>买转账2920000支出</t>
  </si>
  <si>
    <t>MJ202207009</t>
  </si>
  <si>
    <t>酋长修车</t>
  </si>
  <si>
    <t>MJ202207010</t>
  </si>
  <si>
    <t>总统接待开支</t>
  </si>
  <si>
    <t>2个尺柜清关费，代理费，运费</t>
  </si>
  <si>
    <t>MJ202207011</t>
  </si>
  <si>
    <t>支出美金10255买入转账400万</t>
  </si>
  <si>
    <t>20货柜清关代理费，运费</t>
  </si>
  <si>
    <t>MJ202207013</t>
  </si>
  <si>
    <t>40货柜清关代理费，运费</t>
  </si>
  <si>
    <t>人力资源反馈</t>
  </si>
  <si>
    <t>MJ202207014</t>
  </si>
  <si>
    <t>600包水泥及运费</t>
  </si>
  <si>
    <t>3箱鱼</t>
  </si>
  <si>
    <t>花生米</t>
  </si>
  <si>
    <t>100根PVC管</t>
  </si>
  <si>
    <t>20%极费用美金支付</t>
  </si>
  <si>
    <t>MJ202207015</t>
  </si>
  <si>
    <t>4万升柴油</t>
  </si>
  <si>
    <t>MJ202207016</t>
  </si>
  <si>
    <t>10盒AB胶</t>
  </si>
  <si>
    <t>螺栓</t>
  </si>
  <si>
    <t>MJ202207017</t>
  </si>
  <si>
    <t>1台潜水泵</t>
  </si>
  <si>
    <t>大水泵</t>
  </si>
  <si>
    <t>水泵法兰，生料带</t>
  </si>
  <si>
    <t>水泵用钢管</t>
  </si>
  <si>
    <t>割草机</t>
  </si>
  <si>
    <t>MJ202207018</t>
  </si>
  <si>
    <t>331升柴油</t>
  </si>
  <si>
    <t>塑料水龙头</t>
  </si>
  <si>
    <t>54根PVC管</t>
  </si>
  <si>
    <t>美金支出买入900万转账</t>
  </si>
  <si>
    <t>MJ202207019</t>
  </si>
  <si>
    <t>2个40柜发电机组</t>
  </si>
  <si>
    <t>发电机组</t>
  </si>
  <si>
    <t>MJ202207020</t>
  </si>
  <si>
    <t>清关代理费，运费</t>
  </si>
  <si>
    <t>关税</t>
  </si>
  <si>
    <t>3个40柜清关代理费运费</t>
  </si>
  <si>
    <t>MJ202207021</t>
  </si>
  <si>
    <t>2021年7.8.9.10.11.12月STANDARS</t>
  </si>
  <si>
    <t>MJ202207022</t>
  </si>
  <si>
    <t>2022年1月份NEC</t>
  </si>
  <si>
    <t>2022年2月份NEC</t>
  </si>
  <si>
    <t>2021年10.11.12.2022年1.2月份ZIMDEF</t>
  </si>
  <si>
    <t>碳房合页</t>
  </si>
  <si>
    <t>MJ202207023</t>
  </si>
  <si>
    <t>鸡蛋4件</t>
  </si>
  <si>
    <t>过路费2次</t>
  </si>
  <si>
    <t>维修房顶</t>
  </si>
  <si>
    <t>胶</t>
  </si>
  <si>
    <t>汽油</t>
  </si>
  <si>
    <t>MJ202207024</t>
  </si>
  <si>
    <t>螺丝</t>
  </si>
  <si>
    <t>草本</t>
  </si>
  <si>
    <t>MJ202207025</t>
  </si>
  <si>
    <t>破工受伤医药费</t>
  </si>
  <si>
    <t>花椒</t>
  </si>
  <si>
    <t>MJ202207026</t>
  </si>
  <si>
    <t>打磨机2台</t>
  </si>
  <si>
    <t>加班用衣服</t>
  </si>
  <si>
    <t>立和水泵清理费</t>
  </si>
  <si>
    <t>门锁</t>
  </si>
  <si>
    <t>MJ202207027</t>
  </si>
  <si>
    <t>玻璃</t>
  </si>
  <si>
    <t>康明斯油嘴</t>
  </si>
  <si>
    <t>垫片纸</t>
  </si>
  <si>
    <t>MJ202207028</t>
  </si>
  <si>
    <t>地脚线</t>
  </si>
  <si>
    <t>办公室玻璃</t>
  </si>
  <si>
    <t>补工资及奖金</t>
  </si>
  <si>
    <t>MJ202207029</t>
  </si>
  <si>
    <t>至6月底满1年13薪资及奖金等</t>
  </si>
  <si>
    <t>MJ202207030</t>
  </si>
  <si>
    <t>食堂购鸡及豆角</t>
  </si>
  <si>
    <t>MJ202207031</t>
  </si>
  <si>
    <t>剪花工资</t>
  </si>
  <si>
    <t>氰化厂旁边修围栏</t>
  </si>
  <si>
    <t>当地员工6月工资</t>
  </si>
  <si>
    <t>MJ202207032</t>
  </si>
  <si>
    <t>结打井费用</t>
  </si>
  <si>
    <t>化验费</t>
  </si>
  <si>
    <t>MJ202207033</t>
  </si>
  <si>
    <t>买菜及鸭</t>
  </si>
  <si>
    <t>30吨炸药运费</t>
  </si>
  <si>
    <t>运费-炸药</t>
  </si>
  <si>
    <t>MJ202207034</t>
  </si>
  <si>
    <t>办理疫苗记录</t>
  </si>
  <si>
    <t>电话费</t>
  </si>
  <si>
    <t>瓦订，钉子</t>
  </si>
  <si>
    <t>办公室房顶修理</t>
  </si>
  <si>
    <t>MJ202207035</t>
  </si>
  <si>
    <t>发电机，铲车修理</t>
  </si>
  <si>
    <t>堆淋-铲车费用</t>
  </si>
  <si>
    <t>马卡哈修房子工时费</t>
  </si>
  <si>
    <t>3户人家小费</t>
  </si>
  <si>
    <t>带文件哈拉雷小费</t>
  </si>
  <si>
    <t>检查组小费</t>
  </si>
  <si>
    <t>MJ202207036</t>
  </si>
  <si>
    <t>谢晋3人采购</t>
  </si>
  <si>
    <t>修厕所合计</t>
  </si>
  <si>
    <t>修335挖机电路</t>
  </si>
  <si>
    <t>牛粪7车</t>
  </si>
  <si>
    <t>MJ202207037</t>
  </si>
  <si>
    <t>汽油，汽油桶，柴油</t>
  </si>
  <si>
    <t>修理挖机工时费</t>
  </si>
  <si>
    <t>土地老板小费</t>
  </si>
  <si>
    <t>抓小偷小费</t>
  </si>
  <si>
    <t>电解车间锁</t>
  </si>
  <si>
    <t>MJ202207038</t>
  </si>
  <si>
    <t>购买雷管</t>
  </si>
  <si>
    <t>MJ202207039</t>
  </si>
  <si>
    <t>过碳房水泥</t>
  </si>
  <si>
    <t>工会车加油</t>
  </si>
  <si>
    <t>加工洗碳袋</t>
  </si>
  <si>
    <t>MJ202207040</t>
  </si>
  <si>
    <t>矿灯，电池</t>
  </si>
  <si>
    <t>买种子</t>
  </si>
  <si>
    <t>MJ202207041</t>
  </si>
  <si>
    <t>球磨更换费用（换钢球）</t>
  </si>
  <si>
    <t>氰化厂-钢球</t>
  </si>
  <si>
    <t>马卡哈政府活动费</t>
  </si>
  <si>
    <t>修屋顶</t>
  </si>
  <si>
    <t>矿山经理报销绳子</t>
  </si>
  <si>
    <t>矿山经理买铁链</t>
  </si>
  <si>
    <t>MJ202207042</t>
  </si>
  <si>
    <t>买鸡9只</t>
  </si>
  <si>
    <t>买砖5+4车</t>
  </si>
  <si>
    <t>厨房买米粉</t>
  </si>
  <si>
    <t>买砖4车</t>
  </si>
  <si>
    <t>MJ202207043</t>
  </si>
  <si>
    <t>买菜，猪，生活用品</t>
  </si>
  <si>
    <t>空运费</t>
  </si>
  <si>
    <t>万向轮，水泵等</t>
  </si>
  <si>
    <t>过路费、柴油</t>
  </si>
  <si>
    <t>MJ202207044</t>
  </si>
  <si>
    <t>MJ202207045</t>
  </si>
  <si>
    <t>付刘世平盐酸400桶</t>
  </si>
  <si>
    <t>付刘世平氢氧化钠400+400包</t>
  </si>
  <si>
    <t>MJ202207046</t>
  </si>
  <si>
    <t>付刘世平氰化钠22吨+运费700</t>
  </si>
  <si>
    <t>7月份安保服务费</t>
  </si>
  <si>
    <t>卡特323修理液压泵</t>
  </si>
  <si>
    <t>美金支出2040买入转账100万</t>
  </si>
  <si>
    <t>FBC-津元</t>
  </si>
  <si>
    <t>送总统的包装盒</t>
  </si>
  <si>
    <t>引线50箱</t>
  </si>
  <si>
    <t>3个货柜清关税</t>
  </si>
  <si>
    <t>食堂购入菜等</t>
  </si>
  <si>
    <t>4.5.6月份NEC STANDRADS ZIMDEF</t>
  </si>
  <si>
    <t>付津力柴油款</t>
  </si>
  <si>
    <t>付李锦生柴油款</t>
  </si>
  <si>
    <t>制作液压管</t>
  </si>
  <si>
    <t>黄美节 刘仁其 唐山等签证费</t>
  </si>
  <si>
    <t>冯仁超签证费</t>
  </si>
  <si>
    <t>谢晋回国盖章费用</t>
  </si>
  <si>
    <t>谢晋回国盖章小费</t>
  </si>
  <si>
    <t>货柜清关费等</t>
  </si>
  <si>
    <t>MSKUO198231货柜无CACB小费</t>
  </si>
  <si>
    <t>货柜关税</t>
  </si>
  <si>
    <t>MJ202208009</t>
  </si>
  <si>
    <t>国内人员双认证材料代办及证明</t>
  </si>
  <si>
    <t>MJ202208010</t>
  </si>
  <si>
    <t>青菜</t>
  </si>
  <si>
    <t>雷管3200发</t>
  </si>
  <si>
    <t>张洪波维修费及配件</t>
  </si>
  <si>
    <t>大轴代理及小费</t>
  </si>
  <si>
    <t>大轴机场关税</t>
  </si>
  <si>
    <t>黄美节 陈祝村等回国护照盖章等</t>
  </si>
  <si>
    <t>13人工作签ZIDA过期小费</t>
  </si>
  <si>
    <t>矿山7.8月份网费</t>
  </si>
  <si>
    <t>MJ202208011</t>
  </si>
  <si>
    <t>杨辉等3人护照延续</t>
  </si>
  <si>
    <t>刘德群等12人工作签延续</t>
  </si>
  <si>
    <t>购入砖10000块</t>
  </si>
  <si>
    <t>MJ202208012</t>
  </si>
  <si>
    <t>给居民打生活井费用</t>
  </si>
  <si>
    <t>挖机等修理费用</t>
  </si>
  <si>
    <t>MJ202208013</t>
  </si>
  <si>
    <t>电解室购入盐</t>
  </si>
  <si>
    <t>氰化厂-其他</t>
  </si>
  <si>
    <t>电解室购盆</t>
  </si>
  <si>
    <t>碳房购砖4车</t>
  </si>
  <si>
    <t>MJ202208014</t>
  </si>
  <si>
    <t>打井小费</t>
  </si>
  <si>
    <t>加油及过路费</t>
  </si>
  <si>
    <t>办公用品</t>
  </si>
  <si>
    <t>炸药库铁丝网维修</t>
  </si>
  <si>
    <t>MJ202208015</t>
  </si>
  <si>
    <t>购油桶</t>
  </si>
  <si>
    <t>炸药运费（30吨）</t>
  </si>
  <si>
    <t>氰化厂变压器搭棚用树费用</t>
  </si>
  <si>
    <t>MJ202208016</t>
  </si>
  <si>
    <t>修碳房用水泥</t>
  </si>
  <si>
    <t>打井师傅饮料</t>
  </si>
  <si>
    <t>康春生工资清算余额</t>
  </si>
  <si>
    <t>当地员工7月工资</t>
  </si>
  <si>
    <t>MJ202208017</t>
  </si>
  <si>
    <t>7月奖金</t>
  </si>
  <si>
    <t>食堂购鸡</t>
  </si>
  <si>
    <t>MJ202208018</t>
  </si>
  <si>
    <t>购氮气瓶</t>
  </si>
  <si>
    <t>8月安保服务费</t>
  </si>
  <si>
    <t>安保费用</t>
  </si>
  <si>
    <t>胡奇龙飞机票等</t>
  </si>
  <si>
    <t>当地员工被狗咬治疗费</t>
  </si>
  <si>
    <t>MJ202208019</t>
  </si>
  <si>
    <t>警察小费</t>
  </si>
  <si>
    <t>警察加油</t>
  </si>
  <si>
    <t>小车加油</t>
  </si>
  <si>
    <t>魏四林工伤用药</t>
  </si>
  <si>
    <t>购汽油</t>
  </si>
  <si>
    <t>MJ202208020</t>
  </si>
  <si>
    <t>购羊</t>
  </si>
  <si>
    <t>祁锦明工资清算</t>
  </si>
  <si>
    <t>购入疟疾药</t>
  </si>
  <si>
    <t>挖机液压管</t>
  </si>
  <si>
    <t>购入白灰</t>
  </si>
  <si>
    <t>MJ202208021</t>
  </si>
  <si>
    <t>买鸡</t>
  </si>
  <si>
    <t>煤气1瓶</t>
  </si>
  <si>
    <t>村民小费</t>
  </si>
  <si>
    <t>供电局加油</t>
  </si>
  <si>
    <t>MJ202208022</t>
  </si>
  <si>
    <t>买鸡蛋</t>
  </si>
  <si>
    <t>配电房窗2个</t>
  </si>
  <si>
    <t>警察局小费</t>
  </si>
  <si>
    <t>木柄炒</t>
  </si>
  <si>
    <t>MJ202208023</t>
  </si>
  <si>
    <t>钥匙扣</t>
  </si>
  <si>
    <t>停车费</t>
  </si>
  <si>
    <t>工人吃饭</t>
  </si>
  <si>
    <t>收据本等</t>
  </si>
  <si>
    <t>MJ202208024</t>
  </si>
  <si>
    <t>购配电房用钉子</t>
  </si>
  <si>
    <t>付炸药款100吨</t>
  </si>
  <si>
    <t>MJ202208025</t>
  </si>
  <si>
    <t>付石灰款</t>
  </si>
  <si>
    <t>付氰化钠、片碱款</t>
  </si>
  <si>
    <t>购切割片、钢锯</t>
  </si>
  <si>
    <t>养猪饲料</t>
  </si>
  <si>
    <t>MJ202109001</t>
  </si>
  <si>
    <t>中秋节啤酒</t>
  </si>
  <si>
    <t>合页</t>
  </si>
  <si>
    <t>MJ202109002</t>
  </si>
  <si>
    <t>食堂购菜</t>
  </si>
  <si>
    <t>购铁钉</t>
  </si>
  <si>
    <t>425水泥</t>
  </si>
  <si>
    <t>MJ202109003</t>
  </si>
  <si>
    <t>购鸡</t>
  </si>
  <si>
    <t>黄油嘴</t>
  </si>
  <si>
    <t>修铲车</t>
  </si>
  <si>
    <t>MJ202109004</t>
  </si>
  <si>
    <t>布（电解过滤）</t>
  </si>
  <si>
    <t>糯米</t>
  </si>
  <si>
    <t>MJ202109005</t>
  </si>
  <si>
    <t>空压机</t>
  </si>
  <si>
    <t>泡菜壶</t>
  </si>
  <si>
    <t>MJ202109006</t>
  </si>
  <si>
    <t>修枪</t>
  </si>
  <si>
    <t>MJ202109007</t>
  </si>
  <si>
    <t>小工工伤药费</t>
  </si>
  <si>
    <t>MJ202109008</t>
  </si>
  <si>
    <t>飞轮</t>
  </si>
  <si>
    <t>MJ202109009</t>
  </si>
  <si>
    <t>刀片</t>
  </si>
  <si>
    <t>鸡</t>
  </si>
  <si>
    <t>打砂机</t>
  </si>
  <si>
    <t>MJ202109010</t>
  </si>
  <si>
    <t>铁钉</t>
  </si>
  <si>
    <t>瓦</t>
  </si>
  <si>
    <t>测试剂</t>
  </si>
  <si>
    <t>MJ202109011</t>
  </si>
  <si>
    <t>铝焊条</t>
  </si>
  <si>
    <t>8月当地人员工资</t>
  </si>
  <si>
    <t>MJ202109012</t>
  </si>
  <si>
    <t>8月当地员工奖金</t>
  </si>
  <si>
    <t>杨俊9月工资</t>
  </si>
  <si>
    <t>8月部分中国职工工资</t>
  </si>
  <si>
    <t>MJ202109013</t>
  </si>
  <si>
    <t>矿山倒废土给村民小费</t>
  </si>
  <si>
    <t>矿山放炮损坏村民房屋给小费</t>
  </si>
  <si>
    <t>矿山放炮损坏村民房屋维修工资</t>
  </si>
  <si>
    <t>立和至津盛水路给村民补偿</t>
  </si>
  <si>
    <t>MJ202109014</t>
  </si>
  <si>
    <t>鞍山投资公司石灰2车</t>
  </si>
  <si>
    <t>破碎场对面居民死人送葬礼</t>
  </si>
  <si>
    <t>MJ202109015</t>
  </si>
  <si>
    <t>电业局维修线路</t>
  </si>
  <si>
    <t>办理枪证</t>
  </si>
  <si>
    <t>矿业部.电业局等部门的小费及加油</t>
  </si>
  <si>
    <t>总统办民间会议给经费</t>
  </si>
  <si>
    <t>彭瑾亮报来津巴布韦费用</t>
  </si>
  <si>
    <t>MJ202109016</t>
  </si>
  <si>
    <t>阳华江报来津巴布韦费用</t>
  </si>
  <si>
    <t>张仁溪报来津巴布韦费用</t>
  </si>
  <si>
    <t>张星周报来津巴布韦费用</t>
  </si>
  <si>
    <t>张冰报来津巴布韦费用</t>
  </si>
  <si>
    <t>购虫咬药品</t>
  </si>
  <si>
    <t>MJ202109017</t>
  </si>
  <si>
    <t>张宝宝报来津巴布韦费用</t>
  </si>
  <si>
    <t>周义.陈玉柱.李天宏机票</t>
  </si>
  <si>
    <t>周义.陈玉柱.李天宏退回程机票</t>
  </si>
  <si>
    <t>国内购菜种</t>
  </si>
  <si>
    <t>MJ202109018</t>
  </si>
  <si>
    <t>堆坪围栏185.6米*8.5美金/米</t>
  </si>
  <si>
    <t>结发电机房工程款</t>
  </si>
  <si>
    <t>房屋</t>
  </si>
  <si>
    <t>给当地居民打井</t>
  </si>
  <si>
    <t>路边两栋房子搬迁款</t>
  </si>
  <si>
    <t>修理5号铲车</t>
  </si>
  <si>
    <t>MJ202109019</t>
  </si>
  <si>
    <t>卡特323安装空调</t>
  </si>
  <si>
    <t>焊油箱</t>
  </si>
  <si>
    <t>厦工铲车马达</t>
  </si>
  <si>
    <t>打井费用合计</t>
  </si>
  <si>
    <t>配件寄巴士费</t>
  </si>
  <si>
    <t>MJ202210001</t>
  </si>
  <si>
    <t>启动电熔</t>
  </si>
  <si>
    <t>车配件</t>
  </si>
  <si>
    <t>2022年3个月PAYE</t>
  </si>
  <si>
    <t>2022年3个月NSSA</t>
  </si>
  <si>
    <t>生姜、南瓜</t>
  </si>
  <si>
    <t>MJ202210002</t>
  </si>
  <si>
    <t>洗洁精、洗衣粉</t>
  </si>
  <si>
    <t>卫生及洗刷费</t>
  </si>
  <si>
    <t>农药10瓶</t>
  </si>
  <si>
    <t>矿山4月网费</t>
  </si>
  <si>
    <t>司机饭费</t>
  </si>
  <si>
    <t>饭费及食品</t>
  </si>
  <si>
    <t>MJ202210003</t>
  </si>
  <si>
    <t>三角带5条</t>
  </si>
  <si>
    <t>皮卡车轮胎6个</t>
  </si>
  <si>
    <t>小车及摩托车费</t>
  </si>
  <si>
    <t>柴油机配件</t>
  </si>
  <si>
    <t>长城润滑油200升/桶</t>
  </si>
  <si>
    <t>MJ202210004</t>
  </si>
  <si>
    <t>氧气11瓶</t>
  </si>
  <si>
    <t>汽缸垫、防水圈20个</t>
  </si>
  <si>
    <t>600包化肥运费</t>
  </si>
  <si>
    <t>办事饭费</t>
  </si>
  <si>
    <t>MJ202210005</t>
  </si>
  <si>
    <t>面粉2袋</t>
  </si>
  <si>
    <t>油表、油枪、液压管</t>
  </si>
  <si>
    <t>终止炸药库出租律师服务费</t>
  </si>
  <si>
    <t>氧气3瓶乙炔1瓶</t>
  </si>
  <si>
    <t>MJ202210006</t>
  </si>
  <si>
    <t>黄油40桶</t>
  </si>
  <si>
    <t>修理大电机一台</t>
  </si>
  <si>
    <t>切钢块</t>
  </si>
  <si>
    <t>修理液压管</t>
  </si>
  <si>
    <t>MJ202210007</t>
  </si>
  <si>
    <t>矿山皮卡车保养（3517车）</t>
  </si>
  <si>
    <t>清洁精12瓶（油罐用）</t>
  </si>
  <si>
    <t>槽钢8根、钢筋1根</t>
  </si>
  <si>
    <t>小电池5对</t>
  </si>
  <si>
    <t>修理小电机一台</t>
  </si>
  <si>
    <t>MJ202210008</t>
  </si>
  <si>
    <t>12米圆钢筋一根</t>
  </si>
  <si>
    <t>黄油枪2台</t>
  </si>
  <si>
    <t>MJ202210009</t>
  </si>
  <si>
    <t>5月矿山网费</t>
  </si>
  <si>
    <t>维修圆轴及轴心</t>
  </si>
  <si>
    <t>400A手动开关</t>
  </si>
  <si>
    <t>MJ202210010</t>
  </si>
  <si>
    <t>机油10升</t>
  </si>
  <si>
    <t>矿山皮卡检测费</t>
  </si>
  <si>
    <t>2台电机维修费</t>
  </si>
  <si>
    <t>40桶冷却液</t>
  </si>
  <si>
    <t>硝酸、盐酸</t>
  </si>
  <si>
    <t>化工药品</t>
  </si>
  <si>
    <t>MJ202210011</t>
  </si>
  <si>
    <t>小瓷杯</t>
  </si>
  <si>
    <t>3个小镊子</t>
  </si>
  <si>
    <t>16磅大锤、抱箍、钢丝扣</t>
  </si>
  <si>
    <t>10把硬毛刷</t>
  </si>
  <si>
    <t>3瓶液化气</t>
  </si>
  <si>
    <t>MJ202210012</t>
  </si>
  <si>
    <t>猪肉</t>
  </si>
  <si>
    <t>加油、司机午餐</t>
  </si>
  <si>
    <t>10号铁丝4捆</t>
  </si>
  <si>
    <t>M24螺丝30套</t>
  </si>
  <si>
    <t>MJ202210013</t>
  </si>
  <si>
    <t>皮卡空调滤芯1个</t>
  </si>
  <si>
    <t>皮卡保养材料</t>
  </si>
  <si>
    <t>打印A4纸箱1包</t>
  </si>
  <si>
    <t>机油滤芯1个</t>
  </si>
  <si>
    <t>50套M20螺丝</t>
  </si>
  <si>
    <t>MJ202210014</t>
  </si>
  <si>
    <t>M27的螺丝1套</t>
  </si>
  <si>
    <t>M20的垫片18片</t>
  </si>
  <si>
    <t>食用油58箱</t>
  </si>
  <si>
    <t>60把刷子</t>
  </si>
  <si>
    <t>MJ202210015</t>
  </si>
  <si>
    <t>4台水泵</t>
  </si>
  <si>
    <t>20箱引线</t>
  </si>
  <si>
    <t>20个铜鼻子</t>
  </si>
  <si>
    <t>20个电瓶鼻子</t>
  </si>
  <si>
    <t>工人装车费</t>
  </si>
  <si>
    <t>MJ202210016</t>
  </si>
  <si>
    <t>2片颚板</t>
  </si>
  <si>
    <t>编织绳</t>
  </si>
  <si>
    <t>空运仓储费</t>
  </si>
  <si>
    <t>1.2CM钢筋2根</t>
  </si>
  <si>
    <t>150提矿泉水</t>
  </si>
  <si>
    <t>MJ202210017</t>
  </si>
  <si>
    <t>40根黄油</t>
  </si>
  <si>
    <t>材料运费</t>
  </si>
  <si>
    <t>1台角磨机</t>
  </si>
  <si>
    <t>50米水管和15KG铁丝</t>
  </si>
  <si>
    <t>M20*14的大螺丝20套</t>
  </si>
  <si>
    <t>MJ202210018</t>
  </si>
  <si>
    <t>10捆黑色编织袋（2KG装）</t>
  </si>
  <si>
    <t>2.2KW水泵一台</t>
  </si>
  <si>
    <t>3KW水泵2台</t>
  </si>
  <si>
    <t>50个矿车灯</t>
  </si>
  <si>
    <t>M27螺丝10套</t>
  </si>
  <si>
    <t>MJ202210019</t>
  </si>
  <si>
    <t>滤芯及滤芯座</t>
  </si>
  <si>
    <t>16瓶氧气和2瓶氧气</t>
  </si>
  <si>
    <t>矿山皮卡车维修及检查费</t>
  </si>
  <si>
    <t>2种不同型号的轴承各6个</t>
  </si>
  <si>
    <t>MJ202210020</t>
  </si>
  <si>
    <t>PVC直接割50个割嘴、20个钢扣</t>
  </si>
  <si>
    <t>焊机接头盒猪食</t>
  </si>
  <si>
    <t>1.1KW电机维修费</t>
  </si>
  <si>
    <t>400米钢丝绳</t>
  </si>
  <si>
    <t>油锯片及链条</t>
  </si>
  <si>
    <t>MJ202210021</t>
  </si>
  <si>
    <t>大螺丝</t>
  </si>
  <si>
    <t>皮带保险丝</t>
  </si>
  <si>
    <t>1.1KW电机2台</t>
  </si>
  <si>
    <t>单排皮卡维修及喷漆</t>
  </si>
  <si>
    <t>MJ202210022</t>
  </si>
  <si>
    <t>2袋猪食</t>
  </si>
  <si>
    <t>皮卡四轮定位、加油</t>
  </si>
  <si>
    <t>5个大板手</t>
  </si>
  <si>
    <t>三角带</t>
  </si>
  <si>
    <t>2022年4月份PAYE</t>
  </si>
  <si>
    <t>MJ202210023</t>
  </si>
  <si>
    <t>2022年4月份NSSA</t>
  </si>
  <si>
    <t>维修水泵</t>
  </si>
  <si>
    <t>办公室打印墨合</t>
  </si>
  <si>
    <t>液化气、加油</t>
  </si>
  <si>
    <t>MJ202210024</t>
  </si>
  <si>
    <t>单排皮卡挡风玻璃</t>
  </si>
  <si>
    <t>矿山皮卡换空调滤芯</t>
  </si>
  <si>
    <t>钻孔器</t>
  </si>
  <si>
    <t>维修圆轴</t>
  </si>
  <si>
    <t>各和型号螺丝</t>
  </si>
  <si>
    <t>MJ202210025</t>
  </si>
  <si>
    <t>2头猪</t>
  </si>
  <si>
    <t>纯碱</t>
  </si>
  <si>
    <t>片碱</t>
  </si>
  <si>
    <t>500米钢丝绳</t>
  </si>
  <si>
    <t>8个矿样化验费</t>
  </si>
  <si>
    <t>MJ202210026</t>
  </si>
  <si>
    <t>4米钢丝网</t>
  </si>
  <si>
    <t>32卷黄引线</t>
  </si>
  <si>
    <t>10CM钢管10根一台水泵</t>
  </si>
  <si>
    <t>生姜、土豆</t>
  </si>
  <si>
    <t>MJ202210027</t>
  </si>
  <si>
    <t>2捆水管</t>
  </si>
  <si>
    <t>接待总统饮料</t>
  </si>
  <si>
    <t>3盒夹子</t>
  </si>
  <si>
    <t>9台黄油枪</t>
  </si>
  <si>
    <t>小配件</t>
  </si>
  <si>
    <t>MJ202210028</t>
  </si>
  <si>
    <t>4个热继电器</t>
  </si>
  <si>
    <t>货车运费</t>
  </si>
  <si>
    <t>猪肚</t>
  </si>
  <si>
    <t>MJ202210029</t>
  </si>
  <si>
    <t>10把草扫把</t>
  </si>
  <si>
    <t>80卷引线</t>
  </si>
  <si>
    <t>2台电机维修</t>
  </si>
  <si>
    <t>皮卡车保养</t>
  </si>
  <si>
    <t>MJ202210030</t>
  </si>
  <si>
    <t>皮卡滤芯</t>
  </si>
  <si>
    <t>水管</t>
  </si>
  <si>
    <t>MJ202210031</t>
  </si>
  <si>
    <t>小货车运费</t>
  </si>
  <si>
    <t>3*4电缆及100米钢丝绳</t>
  </si>
  <si>
    <t>10个钢丝绳扣</t>
  </si>
  <si>
    <t>钢管和直接</t>
  </si>
  <si>
    <t>2022年5月份NSSA</t>
  </si>
  <si>
    <t>MJ202210032</t>
  </si>
  <si>
    <t>2022年6月份NSSA</t>
  </si>
  <si>
    <t>2022年5月份PAYE</t>
  </si>
  <si>
    <t>2022年6月份PAYE</t>
  </si>
  <si>
    <t>餐费及维修电机</t>
  </si>
  <si>
    <t>MJ202210033</t>
  </si>
  <si>
    <t>继电器、交流接触器</t>
  </si>
  <si>
    <t>修千斤顶</t>
  </si>
  <si>
    <t>DHL国际快递</t>
  </si>
  <si>
    <t>单排皮卡机油</t>
  </si>
  <si>
    <t>猪2只</t>
  </si>
  <si>
    <t>MJ202210034</t>
  </si>
  <si>
    <t>9个黑文件柜</t>
  </si>
  <si>
    <t>10KG姜</t>
  </si>
  <si>
    <t>大订书机含5盒钉子</t>
  </si>
  <si>
    <t>DHL快递</t>
  </si>
  <si>
    <t>MJ202210035</t>
  </si>
  <si>
    <t>鲜辣椒</t>
  </si>
  <si>
    <t>高速费</t>
  </si>
  <si>
    <t>城市停车费</t>
  </si>
  <si>
    <t>2个接头柱</t>
  </si>
  <si>
    <t>MJ202210036</t>
  </si>
  <si>
    <t>大轴承2个</t>
  </si>
  <si>
    <t>高速及加油</t>
  </si>
  <si>
    <t>鸡蛋及蔬菜</t>
  </si>
  <si>
    <t>1包扎带</t>
  </si>
  <si>
    <t>液化气48KG</t>
  </si>
  <si>
    <t>MJ202210037</t>
  </si>
  <si>
    <t>3瓶氧气</t>
  </si>
  <si>
    <t>夏工铲车刹车片2箱</t>
  </si>
  <si>
    <t>修轮胎10+液压管30</t>
  </si>
  <si>
    <t>MJ202210038</t>
  </si>
  <si>
    <t>新皮卡AF6331行驶证广播证</t>
  </si>
  <si>
    <t>更新投资证（ZIDA)的报告</t>
  </si>
  <si>
    <t>货柜清关代理费及转港费运费</t>
  </si>
  <si>
    <t>清关及其他</t>
  </si>
  <si>
    <t>MJ202210039</t>
  </si>
  <si>
    <t>柴油款</t>
  </si>
  <si>
    <t>9瓶氧气</t>
  </si>
  <si>
    <t>被子、枕头3件套</t>
  </si>
  <si>
    <t>CRSU1239803货柜关税</t>
  </si>
  <si>
    <t>橡胶瓦含瓦钉</t>
  </si>
  <si>
    <t>MJ202210040</t>
  </si>
  <si>
    <t>司机餐费、氮气、氧气、乙炔</t>
  </si>
  <si>
    <t>矿泉水60提</t>
  </si>
  <si>
    <t>小货车运输费</t>
  </si>
  <si>
    <t>3根75mm钢管含接头3个</t>
  </si>
  <si>
    <t>罗进大使馆材料认证费</t>
  </si>
  <si>
    <t>MJ202210041</t>
  </si>
  <si>
    <t>陈忠喜大使馆材料认证费</t>
  </si>
  <si>
    <t>MAKU0198231柜CBCA小费</t>
  </si>
  <si>
    <t>MAKU0198231柜CBCA税费</t>
  </si>
  <si>
    <t>CRSU1239803货柜CBCA小费</t>
  </si>
  <si>
    <t>张星周、张仁溪新签证成昌林延续签证</t>
  </si>
  <si>
    <t>MJ202210042</t>
  </si>
  <si>
    <t>工作签证延续材料不送劳工部小费</t>
  </si>
  <si>
    <t>胡奇龙旅游签该工作签小费</t>
  </si>
  <si>
    <t>MJ202210043</t>
  </si>
  <si>
    <t>胡奇龙护照盖章费</t>
  </si>
  <si>
    <t>5个新员工签证费</t>
  </si>
  <si>
    <t>无线电铃</t>
  </si>
  <si>
    <t>40尺TRHU5419545柜CBCA小费</t>
  </si>
  <si>
    <t>40尺柜清关费（PC1U93211193)</t>
  </si>
  <si>
    <t>MJ202210044</t>
  </si>
  <si>
    <t>40尺柜转港运费(PC1U8894523)</t>
  </si>
  <si>
    <t>2个40尺柜无CBCA证书小费</t>
  </si>
  <si>
    <t>2个40尺柜的税务局收费</t>
  </si>
  <si>
    <t>2个40尺柜的交接费</t>
  </si>
  <si>
    <t>蔬菜、鱼等</t>
  </si>
  <si>
    <t>MJ202210045</t>
  </si>
  <si>
    <t>材料双认证费用及停车费</t>
  </si>
  <si>
    <t>KAA666皮卡保养费</t>
  </si>
  <si>
    <t>挖机玻璃一片</t>
  </si>
  <si>
    <t>修油管、接头、油嘴等</t>
  </si>
  <si>
    <t>津力柴油合计（292739升）</t>
  </si>
  <si>
    <t>MJ202210046</t>
  </si>
  <si>
    <t>李锦生柴油16万升</t>
  </si>
  <si>
    <t>加油（地质员车）</t>
  </si>
  <si>
    <t>MJ202210047</t>
  </si>
  <si>
    <t>菜、姜等</t>
  </si>
  <si>
    <t>38571升柴油</t>
  </si>
  <si>
    <t>40000升柴油</t>
  </si>
  <si>
    <t>21DA证过期支付8个人延续工作签证材料费合计</t>
  </si>
  <si>
    <t>MJ202210048</t>
  </si>
  <si>
    <t>2个40尺柜PCIU9321193/8894523小费</t>
  </si>
  <si>
    <t>移民局签证各种小费</t>
  </si>
  <si>
    <t>陈忠喜、罗进工作签证申请费</t>
  </si>
  <si>
    <t>矿权年检</t>
  </si>
  <si>
    <t>MJ202210049</t>
  </si>
  <si>
    <t>矿权年检证</t>
  </si>
  <si>
    <t>马龙德拉卖金给银行记录本</t>
  </si>
  <si>
    <t>第二季第三季环保报告费</t>
  </si>
  <si>
    <t>地质员皮卡车四轮定位及刹车片</t>
  </si>
  <si>
    <t>MJ202210050</t>
  </si>
  <si>
    <t>生姜</t>
  </si>
  <si>
    <t>皮卡送3个人区矿山加油</t>
  </si>
  <si>
    <t>夏志敏签证移民局收费</t>
  </si>
  <si>
    <t>600包水泥（9月12日定的）款</t>
  </si>
  <si>
    <t>CMAU327008820尺柜清关费、转港运费</t>
  </si>
  <si>
    <t>MJ202210051</t>
  </si>
  <si>
    <t>CMAU327008820尺柜税务局税费、增值税</t>
  </si>
  <si>
    <t>2个40尺柜PCIU9457894转港运费</t>
  </si>
  <si>
    <t>2个40尺柜PCIU8154978税费</t>
  </si>
  <si>
    <t>3个柜的没有CBCA证书的小费</t>
  </si>
  <si>
    <t>MJ202210052</t>
  </si>
  <si>
    <t>硝酸</t>
  </si>
  <si>
    <t>铁瓦片</t>
  </si>
  <si>
    <t>MJ202210053</t>
  </si>
  <si>
    <t>电解筛板</t>
  </si>
  <si>
    <t>黄瓜、鸡</t>
  </si>
  <si>
    <t>MJ202210054</t>
  </si>
  <si>
    <t>玉柴油嘴</t>
  </si>
  <si>
    <t>压油管</t>
  </si>
  <si>
    <t>机场罚款</t>
  </si>
  <si>
    <t>MJ202210055</t>
  </si>
  <si>
    <t>矿山法律书</t>
  </si>
  <si>
    <t>维修房子瓦</t>
  </si>
  <si>
    <t>瓦丁</t>
  </si>
  <si>
    <t>新宿舍瓦钉</t>
  </si>
  <si>
    <t>MJ202210056</t>
  </si>
  <si>
    <t>粘瓦胶</t>
  </si>
  <si>
    <t>MJ202210057</t>
  </si>
  <si>
    <t>三套被子</t>
  </si>
  <si>
    <t>鸡、菜</t>
  </si>
  <si>
    <t>MJ202210058</t>
  </si>
  <si>
    <t>MJ202210059</t>
  </si>
  <si>
    <t>柴油6万升</t>
  </si>
  <si>
    <t>新宿舍玻璃</t>
  </si>
  <si>
    <t>MJ202210060</t>
  </si>
  <si>
    <t>水泥瓦</t>
  </si>
  <si>
    <t>MJ202210061</t>
  </si>
  <si>
    <t>补瓦胶</t>
  </si>
  <si>
    <t>白糖、油</t>
  </si>
  <si>
    <t>安保费10月份</t>
  </si>
  <si>
    <t>MJ202210062</t>
  </si>
  <si>
    <t>梅花扳手</t>
  </si>
  <si>
    <t>安保费9月份</t>
  </si>
  <si>
    <t>修理挖机炮锤</t>
  </si>
  <si>
    <t>堆淋-挖机维修费</t>
  </si>
  <si>
    <t>MJ202210063</t>
  </si>
  <si>
    <t>工人受伤</t>
  </si>
  <si>
    <t>大蒜</t>
  </si>
  <si>
    <t>鸡两只</t>
  </si>
  <si>
    <t>帕罗斯辞职工资</t>
  </si>
  <si>
    <t>MJ202210064</t>
  </si>
  <si>
    <t>购鸡9只</t>
  </si>
  <si>
    <t>矿业部来公司检查加油</t>
  </si>
  <si>
    <t>9月份工资（当地员工奖金）</t>
  </si>
  <si>
    <t>9月份工资（当地员工工资）</t>
  </si>
  <si>
    <t>修卡特323旋转马达</t>
  </si>
  <si>
    <t>MJ202210065</t>
  </si>
  <si>
    <t>维修生活区房屋瓦片</t>
  </si>
  <si>
    <t>付当地员工麦克秀工资</t>
  </si>
  <si>
    <t>付当地员工诺莎工资</t>
  </si>
  <si>
    <t>马卡哈损坏房子赔偿费</t>
  </si>
  <si>
    <t>MJ202210066</t>
  </si>
  <si>
    <t>放炮损坏宿舍区修理费</t>
  </si>
  <si>
    <t>马卡哈房屋维修费</t>
  </si>
  <si>
    <t>挖机斗销钢套修理及材料加工费</t>
  </si>
  <si>
    <t>新碳房承包工程结算款</t>
  </si>
  <si>
    <t>MJ202210067</t>
  </si>
  <si>
    <t>新宿舍区化粪池工程款</t>
  </si>
  <si>
    <t>新宿舍房屋工程款</t>
  </si>
  <si>
    <t>新宿舍区前门粉刷</t>
  </si>
  <si>
    <t>总统剪彩台修建人工费</t>
  </si>
  <si>
    <t>食堂采购</t>
  </si>
  <si>
    <t>MJ202210068</t>
  </si>
  <si>
    <t>马卡哈村长酋长开会路费</t>
  </si>
  <si>
    <t>矿业部来公司核对数据加油</t>
  </si>
  <si>
    <t>打灶给小费</t>
  </si>
  <si>
    <t>核酸检测费</t>
  </si>
  <si>
    <t>MJ202210069</t>
  </si>
  <si>
    <t>熊学军住院费</t>
  </si>
  <si>
    <t>熊学军心电图买药</t>
  </si>
  <si>
    <t>头部检测血化验</t>
  </si>
  <si>
    <t>夏志敏出境罚款</t>
  </si>
  <si>
    <t>MJ202210070</t>
  </si>
  <si>
    <t>鲁立平工资</t>
  </si>
  <si>
    <t>熊国军到津巴费用</t>
  </si>
  <si>
    <t>陈忠喜到津巴费用</t>
  </si>
  <si>
    <t>罗进到津巴费用</t>
  </si>
  <si>
    <t>3月份买AFM3517丰田双皮卡</t>
  </si>
  <si>
    <t>皮卡车AFM3517</t>
  </si>
  <si>
    <t>MJ202211001</t>
  </si>
  <si>
    <t>3月份买AFM3517丰田双皮卡办理税</t>
  </si>
  <si>
    <t>3月份买皮卡车RADNOR8</t>
  </si>
  <si>
    <t>皮卡车RADNOR8</t>
  </si>
  <si>
    <t>3月份买皮卡车RADNOR8办理税</t>
  </si>
  <si>
    <t>3月份买皮卡车RADNOR8订牌照</t>
  </si>
  <si>
    <t>4月份AFM3517上牌养路费</t>
  </si>
  <si>
    <t>MJ202211002</t>
  </si>
  <si>
    <t>4月份池总的10人等接种疫苗</t>
  </si>
  <si>
    <t>4月份李天宏，周义 ，陈玉柱 身份办理</t>
  </si>
  <si>
    <t>4月份李天宏，周义 ，陈玉柱办理签证过期</t>
  </si>
  <si>
    <t>4月份铁丝网</t>
  </si>
  <si>
    <t>征地文件律师费</t>
  </si>
  <si>
    <t>代理费咨询费</t>
  </si>
  <si>
    <t>MJ202211003</t>
  </si>
  <si>
    <t>肥料5吨</t>
  </si>
  <si>
    <t>吊车配件</t>
  </si>
  <si>
    <t>吊车配件清关单</t>
  </si>
  <si>
    <t>30000升柴油</t>
  </si>
  <si>
    <t>5月份铁皮瓦</t>
  </si>
  <si>
    <t>MJ202211004</t>
  </si>
  <si>
    <t>5月份水</t>
  </si>
  <si>
    <t>5月份银哥身份</t>
  </si>
  <si>
    <t>5月份付，陈， 胡等10人身份</t>
  </si>
  <si>
    <t>5月份员工房玻璃</t>
  </si>
  <si>
    <t>5月份胡岳雄铁丝网</t>
  </si>
  <si>
    <t>MJ202211005</t>
  </si>
  <si>
    <t>5月份肥料转账</t>
  </si>
  <si>
    <t>6月份韩凯5元ZIMCN主设备</t>
  </si>
  <si>
    <t>堆淋-卡车租金</t>
  </si>
  <si>
    <t>5月份付恒斌 覃怀贵 魏代3人身份</t>
  </si>
  <si>
    <t>6月份胡海军 吴名辉身份延期</t>
  </si>
  <si>
    <t>6月份杨，张，熊 刘等8日身份</t>
  </si>
  <si>
    <t>MJ202211006</t>
  </si>
  <si>
    <t>6月份活性炭</t>
  </si>
  <si>
    <t>活性炭</t>
  </si>
  <si>
    <t>7月份实验室药水</t>
  </si>
  <si>
    <t>7月份氟利昂1瓶 压金40</t>
  </si>
  <si>
    <t>7月份6-7月WIFI 费</t>
  </si>
  <si>
    <t>7月份税务证明办理</t>
  </si>
  <si>
    <t>MJ202211007</t>
  </si>
  <si>
    <t>7月份购水泥</t>
  </si>
  <si>
    <t>7月份水泥2车</t>
  </si>
  <si>
    <t>7月份水泥1车</t>
  </si>
  <si>
    <t>8月份化验水</t>
  </si>
  <si>
    <t>MJ202211008</t>
  </si>
  <si>
    <t>8月份矿泉水</t>
  </si>
  <si>
    <t>8月份赵东等5人做化验</t>
  </si>
  <si>
    <t>8月份水泥4车</t>
  </si>
  <si>
    <t>8月份空运配件清关费</t>
  </si>
  <si>
    <t>清关费</t>
  </si>
  <si>
    <t>10月份代买雷管</t>
  </si>
  <si>
    <t>MJ202211009</t>
  </si>
  <si>
    <t>7月28,8月7、27日3次公司做核酸</t>
  </si>
  <si>
    <t>7-9月份20台自卸车款</t>
  </si>
  <si>
    <t>自卸车</t>
  </si>
  <si>
    <t>MJ202211010</t>
  </si>
  <si>
    <t>7-9月份20台自卸车款汇款手续费</t>
  </si>
  <si>
    <t>3月份3台SY500H挖机款</t>
  </si>
  <si>
    <t>挖机SY500</t>
  </si>
  <si>
    <t>MJ202211011</t>
  </si>
  <si>
    <t>4月份21003发票号汇款手续费</t>
  </si>
  <si>
    <t>4月份21003发票号3台挖机清关代理费</t>
  </si>
  <si>
    <t>3月份挖机配件</t>
  </si>
  <si>
    <t>6月份2台SY500H挖机款</t>
  </si>
  <si>
    <t>挖机SY500H</t>
  </si>
  <si>
    <t>6月份挖机21009汇款手续费</t>
  </si>
  <si>
    <t>6月份挖机21009发票免税办理</t>
  </si>
  <si>
    <t>6月份21009发票免税拖延催办</t>
  </si>
  <si>
    <t>6月份1台SY365H挖机款</t>
  </si>
  <si>
    <t>挖机SY365H</t>
  </si>
  <si>
    <t>6月份三一挖机另外订配件款</t>
  </si>
  <si>
    <t>6月份挖机配件汇款手续费（0.0027）</t>
  </si>
  <si>
    <t>8月份21009发票挖机清关费3*185</t>
  </si>
  <si>
    <t>9月份1台SY500H挖机款</t>
  </si>
  <si>
    <t>9月份1台SY365H挖机款</t>
  </si>
  <si>
    <t>9月份21013发票汇款手续费</t>
  </si>
  <si>
    <t>9月份给CHIPPY办理挖机免税小费</t>
  </si>
  <si>
    <t>MJ202211012</t>
  </si>
  <si>
    <t>9月份21013挖机随机配件清关费</t>
  </si>
  <si>
    <t>9月份陈海超挖机尾款手续费</t>
  </si>
  <si>
    <t>9月份21013发票挖机清关费</t>
  </si>
  <si>
    <t>5月份莫桑比克-矿山2台清关费等费用</t>
  </si>
  <si>
    <t>装载机</t>
  </si>
  <si>
    <t>5月份莫桑比克-矿山3台清关费等费用</t>
  </si>
  <si>
    <t>5月份莫桑比克-矿山1台清关费等费用</t>
  </si>
  <si>
    <t>压路机</t>
  </si>
  <si>
    <t>5月份莫桑比克-矿山活性炭清关费等费用</t>
  </si>
  <si>
    <t>5月份莫桑比克-矿山5台清关费等费用</t>
  </si>
  <si>
    <t>潜孔钻</t>
  </si>
  <si>
    <t>潜孔钻空压机</t>
  </si>
  <si>
    <t>5月份莫桑比克-矿山4货柜清关费等费用</t>
  </si>
  <si>
    <t>5月份莫桑比克-矿山10台清关费等费用</t>
  </si>
  <si>
    <t>5月份莫桑比克-矿山1彩条布、轮胎清关费等</t>
  </si>
  <si>
    <t>6月份莫桑比克-矿山2台清关费等费用</t>
  </si>
  <si>
    <t>洒水车</t>
  </si>
  <si>
    <t>6月份莫桑比克-矿山1台清关费等费用</t>
  </si>
  <si>
    <t>油罐车</t>
  </si>
  <si>
    <t>6月份莫桑比克-矿山3货柜清关费等费用</t>
  </si>
  <si>
    <t>8月份莫桑比克-矿山1台清关费等费用</t>
  </si>
  <si>
    <t>8月份莫桑比克-矿山1货柜清关费等费用</t>
  </si>
  <si>
    <t>8月份莫桑比克-矿山钢结构清关费等费用</t>
  </si>
  <si>
    <t>8月份莫桑比克-矿山钢结构等清关费用</t>
  </si>
  <si>
    <t>11月份莫桑比克-矿山活性炭等清关费用</t>
  </si>
  <si>
    <t>11月份莫桑比克-矿山10台清关费用</t>
  </si>
  <si>
    <t>宽体车</t>
  </si>
  <si>
    <t>11月份莫桑比克-矿山破碎等清关费用</t>
  </si>
  <si>
    <t>6月份莫桑比克-矿山10台清关费用</t>
  </si>
  <si>
    <t>6月份莫桑比克-矿山发电机组等清关费用</t>
  </si>
  <si>
    <t>7月份莫桑比克-矿山平地机清关费用</t>
  </si>
  <si>
    <t>平地机</t>
  </si>
  <si>
    <t>8月份莫桑比克-矿山配件清关费用</t>
  </si>
  <si>
    <t>6月份莫桑比克-矿山破碎清关费等费用</t>
  </si>
  <si>
    <t>7月份莫桑比克-矿山破碎清关费等费用</t>
  </si>
  <si>
    <t>8月份莫桑比克-矿山彩钢瓦等清关费用</t>
  </si>
  <si>
    <t>9月份莫桑比克-矿山宽体车配件等清关费用</t>
  </si>
  <si>
    <t>10条三角带</t>
  </si>
  <si>
    <t>MJ202211013</t>
  </si>
  <si>
    <t>200发雷管</t>
  </si>
  <si>
    <t>矿山皮卡车维修费</t>
  </si>
  <si>
    <t>大货车运材料运费</t>
  </si>
  <si>
    <t>MJ202211014</t>
  </si>
  <si>
    <t>2瓶液化气</t>
  </si>
  <si>
    <t>2对刹车片（矿山皮卡车）</t>
  </si>
  <si>
    <t>钢丝绳300米10个绳扣</t>
  </si>
  <si>
    <t>75MM黑水管5捆300米长</t>
  </si>
  <si>
    <t>3个样品化验</t>
  </si>
  <si>
    <t>MJ202211015</t>
  </si>
  <si>
    <t>4条轮胎（2条矿山、2条地质员）</t>
  </si>
  <si>
    <t>40个潜水泵密封圈、10个带齿胶圈</t>
  </si>
  <si>
    <t>1个法兰片</t>
  </si>
  <si>
    <t>法兰、水泵、26根钢管、25个接头</t>
  </si>
  <si>
    <t>加工白色塑料棒、铁件</t>
  </si>
  <si>
    <t>MJ202211016</t>
  </si>
  <si>
    <t>维修2台电机</t>
  </si>
  <si>
    <t>40张路牌</t>
  </si>
  <si>
    <t>4米不锈钢网、4捆10号铁丝</t>
  </si>
  <si>
    <t>MJ202211017</t>
  </si>
  <si>
    <t>皮卡修玻璃门</t>
  </si>
  <si>
    <t>8桶油漆/6把刷子</t>
  </si>
  <si>
    <t>MJ202211018</t>
  </si>
  <si>
    <t>5卷反光条</t>
  </si>
  <si>
    <t>修一条大液压管</t>
  </si>
  <si>
    <t>地板蜡</t>
  </si>
  <si>
    <t>10瓶农药、2头猪、20袋猪食</t>
  </si>
  <si>
    <t>MJ202211019</t>
  </si>
  <si>
    <t>26根钢管、25个接头、1片法兰片</t>
  </si>
  <si>
    <t>3个脚踏黄油枪维修</t>
  </si>
  <si>
    <t>炸药库停止租赁（律师写信费）</t>
  </si>
  <si>
    <t>50内径水管3圈</t>
  </si>
  <si>
    <t>皮卡车遥控器电池、加油</t>
  </si>
  <si>
    <t>MJ202211020</t>
  </si>
  <si>
    <t>小货车运钢管运费</t>
  </si>
  <si>
    <t>蘑菇14KG</t>
  </si>
  <si>
    <t>生活开支</t>
  </si>
  <si>
    <t>6MM钢丝绳310米 15个扣</t>
  </si>
  <si>
    <t>内径25mm水管2圈</t>
  </si>
  <si>
    <t>电脑电线</t>
  </si>
  <si>
    <t>MJ202211021</t>
  </si>
  <si>
    <t>10袋猪食</t>
  </si>
  <si>
    <t>灯头、接头</t>
  </si>
  <si>
    <t>皮卡车单排电瓶</t>
  </si>
  <si>
    <t>MJ202211022</t>
  </si>
  <si>
    <t>1个圆轴圆芯放入一个小轴承</t>
  </si>
  <si>
    <t>材料到外交部盖章费</t>
  </si>
  <si>
    <t>35提矿泉水</t>
  </si>
  <si>
    <t>13瓶氧气</t>
  </si>
  <si>
    <t>冰醋酸1瓶</t>
  </si>
  <si>
    <t>MJ202211023</t>
  </si>
  <si>
    <t>3大桶工业齿轮油</t>
  </si>
  <si>
    <t>电脑键盘</t>
  </si>
  <si>
    <t>10张沙纸</t>
  </si>
  <si>
    <t>维修4根液压管</t>
  </si>
  <si>
    <t>厦工铲车配件</t>
  </si>
  <si>
    <t>堆淋-铲车费</t>
  </si>
  <si>
    <t>MJ202211024</t>
  </si>
  <si>
    <t>开关类、转换开关</t>
  </si>
  <si>
    <t>1圈加油车油管</t>
  </si>
  <si>
    <t>堆淋-汽车费</t>
  </si>
  <si>
    <t>小货车材料运费</t>
  </si>
  <si>
    <t>MJ202211025</t>
  </si>
  <si>
    <t>轴承、硝酸银</t>
  </si>
  <si>
    <t>50个小轴承</t>
  </si>
  <si>
    <t>空运配件费</t>
  </si>
  <si>
    <t>装车费、土豆、洋葱、生姜</t>
  </si>
  <si>
    <t>高速费、停车罚款</t>
  </si>
  <si>
    <t>MJ202211026</t>
  </si>
  <si>
    <t>桶装洗衣粉洗洁精</t>
  </si>
  <si>
    <t>打印纸、订书机、透明胶</t>
  </si>
  <si>
    <t>美工刀片10盒</t>
  </si>
  <si>
    <t>MJ202211027</t>
  </si>
  <si>
    <t>2瓶氧气</t>
  </si>
  <si>
    <t>冰乙酸</t>
  </si>
  <si>
    <t>2根液压管</t>
  </si>
  <si>
    <t>皮卡加油</t>
  </si>
  <si>
    <t>MJ202211028</t>
  </si>
  <si>
    <t>猪肚20KG</t>
  </si>
  <si>
    <t>AB胶、铁丝、胶水、铁钉</t>
  </si>
  <si>
    <t>门框、门、木板、矿泉水运费</t>
  </si>
  <si>
    <t>扳手套筒1个</t>
  </si>
  <si>
    <t>MJ202211029</t>
  </si>
  <si>
    <t>加油、停车费</t>
  </si>
  <si>
    <t>2个样品化验</t>
  </si>
  <si>
    <t>15瓶氧气</t>
  </si>
  <si>
    <t>5个胶圈</t>
  </si>
  <si>
    <t>加油、液化气、2瓶氧气</t>
  </si>
  <si>
    <t>MJ202211030</t>
  </si>
  <si>
    <t>维修2条液压管</t>
  </si>
  <si>
    <t>100套24MM螺丝</t>
  </si>
  <si>
    <t>2个叶轮</t>
  </si>
  <si>
    <t>MJ202211031</t>
  </si>
  <si>
    <t>菜品</t>
  </si>
  <si>
    <t>2盒触点</t>
  </si>
  <si>
    <t>维修圆锥破大轴</t>
  </si>
  <si>
    <t>1080包面条</t>
  </si>
  <si>
    <t>高速费、加油</t>
  </si>
  <si>
    <t>MJ202211032</t>
  </si>
  <si>
    <t>23M钻头、丝攻钻牙的</t>
  </si>
  <si>
    <t>氧气49元、皮卡车维修加保养</t>
  </si>
  <si>
    <t>碘化钾、氟化钠</t>
  </si>
  <si>
    <t>维修费圆锥破齿</t>
  </si>
  <si>
    <t>MJ202211033</t>
  </si>
  <si>
    <t>4*25管、接头</t>
  </si>
  <si>
    <t>22MM的螺丝8套</t>
  </si>
  <si>
    <t>皮卡车左门玻璃维修费</t>
  </si>
  <si>
    <t>MJ202211034</t>
  </si>
  <si>
    <t>皮卡车2个轮胎</t>
  </si>
  <si>
    <t>600V电池</t>
  </si>
  <si>
    <t>600V电池（不同店铺）</t>
  </si>
  <si>
    <t>轴承、密封圈</t>
  </si>
  <si>
    <t>修皮卡车空调</t>
  </si>
  <si>
    <t>MJ202211035</t>
  </si>
  <si>
    <t>60个线耳</t>
  </si>
  <si>
    <t>1瓶氧气</t>
  </si>
  <si>
    <t>MJ202211036</t>
  </si>
  <si>
    <t>4个样品化验费</t>
  </si>
  <si>
    <t>5个轴承</t>
  </si>
  <si>
    <t>6箱鸡蛋</t>
  </si>
  <si>
    <t>2*13管 6.5米 接头</t>
  </si>
  <si>
    <t>MJ202211037</t>
  </si>
  <si>
    <t>线耳（不同型号）</t>
  </si>
  <si>
    <t>维修费(大铁件）</t>
  </si>
  <si>
    <t>维修工具、电线类</t>
  </si>
  <si>
    <t>2盒粉笔</t>
  </si>
  <si>
    <t>MJ202211038</t>
  </si>
  <si>
    <t>10把加油枪及空运费</t>
  </si>
  <si>
    <t>维修配件</t>
  </si>
  <si>
    <t>2个电熔</t>
  </si>
  <si>
    <t>管2-6  接头</t>
  </si>
  <si>
    <t>MJ202211039</t>
  </si>
  <si>
    <t>控制电源变压器</t>
  </si>
  <si>
    <t>轴承 油封</t>
  </si>
  <si>
    <t>阻带、电胶带</t>
  </si>
  <si>
    <t>蚊香</t>
  </si>
  <si>
    <t>5个密封圈</t>
  </si>
  <si>
    <t>MJ202211040</t>
  </si>
  <si>
    <t>胡萝卜、南瓜</t>
  </si>
  <si>
    <t>陶瓷密封圈1个</t>
  </si>
  <si>
    <t>油卷1卷</t>
  </si>
  <si>
    <t>MJ202211041</t>
  </si>
  <si>
    <t>3瓶氧气、液化气</t>
  </si>
  <si>
    <t>外交部盖章小费</t>
  </si>
  <si>
    <t>绝缘管不同尺寸</t>
  </si>
  <si>
    <t>电线绝缘胶（漆）一瓶</t>
  </si>
  <si>
    <t xml:space="preserve">补胎 </t>
  </si>
  <si>
    <t>MJ202211042</t>
  </si>
  <si>
    <t>1个皮卡轮胎</t>
  </si>
  <si>
    <t>皮卡保险</t>
  </si>
  <si>
    <t>3米反光条</t>
  </si>
  <si>
    <t>PVC弯头、75的50个</t>
  </si>
  <si>
    <t>双认证材料盖章</t>
  </si>
  <si>
    <t>MJ202211043</t>
  </si>
  <si>
    <t>1个轴承密封圈</t>
  </si>
  <si>
    <t>皮卡车前玻璃放行驶证盒子</t>
  </si>
  <si>
    <t>MJ202211044</t>
  </si>
  <si>
    <t>金标液1瓶</t>
  </si>
  <si>
    <t>3个电机维修</t>
  </si>
  <si>
    <t>50管引火线</t>
  </si>
  <si>
    <t>MJ202211045</t>
  </si>
  <si>
    <t>50提水</t>
  </si>
  <si>
    <t>螺丝刀、转换开关</t>
  </si>
  <si>
    <t>开口线耳、颌页、铁钉</t>
  </si>
  <si>
    <t>2箱红色火线</t>
  </si>
  <si>
    <t>月饼</t>
  </si>
  <si>
    <t>MJ202211046</t>
  </si>
  <si>
    <t>2个LED灯（1000W)</t>
  </si>
  <si>
    <t>螺丝100套</t>
  </si>
  <si>
    <t>轴承、空压机总成</t>
  </si>
  <si>
    <t>皮卡车维修费</t>
  </si>
  <si>
    <t>MJ202211047</t>
  </si>
  <si>
    <t>化验室用品</t>
  </si>
  <si>
    <t>化工品</t>
  </si>
  <si>
    <t>化验室样品2个、4个转换开关</t>
  </si>
  <si>
    <t>2瓶氧气、司机餐费</t>
  </si>
  <si>
    <t>2箱鸡蛋</t>
  </si>
  <si>
    <t>MJ202211048</t>
  </si>
  <si>
    <t>液化气、氧气</t>
  </si>
  <si>
    <t>10台水泵</t>
  </si>
  <si>
    <t>皮卡补胎、维修</t>
  </si>
  <si>
    <t>MJ202211049</t>
  </si>
  <si>
    <t>4圈车辆反光条</t>
  </si>
  <si>
    <t>轴承双头丝</t>
  </si>
  <si>
    <t>MJ202211050</t>
  </si>
  <si>
    <t>1瓶乙炔、3瓶氧气</t>
  </si>
  <si>
    <t>乙炔瓶押金</t>
  </si>
  <si>
    <t>维修小水泵</t>
  </si>
  <si>
    <t>双认证材料 国际快递费</t>
  </si>
  <si>
    <t>油费</t>
  </si>
  <si>
    <t>MJ202211051</t>
  </si>
  <si>
    <t>ZINCN航空运费</t>
  </si>
  <si>
    <t>预付7月份电费</t>
  </si>
  <si>
    <t>7.8月份NSSA</t>
  </si>
  <si>
    <t>7.8月份PAYE</t>
  </si>
  <si>
    <t>MJ202211052</t>
  </si>
  <si>
    <t>50个M16的油嘴制作费</t>
  </si>
  <si>
    <t>焊接头等</t>
  </si>
  <si>
    <t>MJ202211053</t>
  </si>
  <si>
    <t>马龙德拉定标员小费及餐费</t>
  </si>
  <si>
    <t>4箱半鸡蛋</t>
  </si>
  <si>
    <t>修油咀</t>
  </si>
  <si>
    <t>3个手动闸刀</t>
  </si>
  <si>
    <t>MJ202211054</t>
  </si>
  <si>
    <t>分析纯1瓶</t>
  </si>
  <si>
    <t>球阀等</t>
  </si>
  <si>
    <t>PVC弯头</t>
  </si>
  <si>
    <t>2条HDM1监控数据线</t>
  </si>
  <si>
    <t>高速费（6-10）月份</t>
  </si>
  <si>
    <t>MJ202211055</t>
  </si>
  <si>
    <t>MJ202211056</t>
  </si>
  <si>
    <t>20袋猪食</t>
  </si>
  <si>
    <t>40袋米</t>
  </si>
  <si>
    <t>小瓶装矿泉水</t>
  </si>
  <si>
    <t>32外径黑水管</t>
  </si>
  <si>
    <t>MJ202211057</t>
  </si>
  <si>
    <t>3台电机维修</t>
  </si>
  <si>
    <t>大货车材料运费</t>
  </si>
  <si>
    <t>电缆、螺栓、接头等</t>
  </si>
  <si>
    <t>MJ202211058</t>
  </si>
  <si>
    <t>皮卡车四轮点位</t>
  </si>
  <si>
    <t>水管运回哈拉雷运费</t>
  </si>
  <si>
    <t>水管大货车运费</t>
  </si>
  <si>
    <t>修车布11卷</t>
  </si>
  <si>
    <t>MJ202211059</t>
  </si>
  <si>
    <t>司机餐费、8个化验</t>
  </si>
  <si>
    <t>大货材料车运费</t>
  </si>
  <si>
    <t>3电机维修费、5把拖把、20箱焊条</t>
  </si>
  <si>
    <t>10袋土豆、洋葱、35个PVC接头</t>
  </si>
  <si>
    <t>黄豆 扫把</t>
  </si>
  <si>
    <t>MJ202211060</t>
  </si>
  <si>
    <t>304不锈钢网、铁丝</t>
  </si>
  <si>
    <t>大齿轮车工费</t>
  </si>
  <si>
    <t>MJ202211061</t>
  </si>
  <si>
    <t>M/6螺栓100套</t>
  </si>
  <si>
    <t>铜球阀、直接、水龙头</t>
  </si>
  <si>
    <t>蒸馏水器、焊条、氧化钠</t>
  </si>
  <si>
    <t>MJ202211062</t>
  </si>
  <si>
    <t>皮卡坐垫一套</t>
  </si>
  <si>
    <t>内六角螺丝及扳手</t>
  </si>
  <si>
    <t>铜管一卷</t>
  </si>
  <si>
    <t>2个倒顺开关</t>
  </si>
  <si>
    <t>46板蛋</t>
  </si>
  <si>
    <t>MJ202211063</t>
  </si>
  <si>
    <t>50WLED灯4个</t>
  </si>
  <si>
    <t>2把室外扫把</t>
  </si>
  <si>
    <t>小货车运材料运费</t>
  </si>
  <si>
    <t>灯泡、灯头等</t>
  </si>
  <si>
    <t>MJ202211064</t>
  </si>
  <si>
    <t>9个墨盒</t>
  </si>
  <si>
    <t>制作一个加热管</t>
  </si>
  <si>
    <t>螺栓不同型号各18套</t>
  </si>
  <si>
    <t>MJ202211065</t>
  </si>
  <si>
    <t>2个内六角小扳手</t>
  </si>
  <si>
    <t>大的内六角螺丝及扳手</t>
  </si>
  <si>
    <t>3个轴承</t>
  </si>
  <si>
    <t>8个轴承</t>
  </si>
  <si>
    <t>10万升柴油GKG</t>
  </si>
  <si>
    <t>MJ202211066</t>
  </si>
  <si>
    <t>配件（空运）</t>
  </si>
  <si>
    <t>MJ202211067</t>
  </si>
  <si>
    <t>食堂青菜、鱼等</t>
  </si>
  <si>
    <t>矿山网络费（6月份）</t>
  </si>
  <si>
    <t>买入RTGS1000万</t>
  </si>
  <si>
    <t>其他货币资金</t>
  </si>
  <si>
    <t>FBC津币</t>
  </si>
  <si>
    <t>MJ202211068</t>
  </si>
  <si>
    <t>买入RTGS200万</t>
  </si>
  <si>
    <t>4片树脂瓦</t>
  </si>
  <si>
    <t>MJ202211069</t>
  </si>
  <si>
    <t>鸡蛋3箱半</t>
  </si>
  <si>
    <t>500提水</t>
  </si>
  <si>
    <t>5瓶氧气</t>
  </si>
  <si>
    <t>MJ202211070</t>
  </si>
  <si>
    <t>14个轮胎合计、加油</t>
  </si>
  <si>
    <t>11片太阳能板</t>
  </si>
  <si>
    <t>2022年9月份PAYE</t>
  </si>
  <si>
    <t>2022年9月份NSSA</t>
  </si>
  <si>
    <t>国际快递费及双认证材料</t>
  </si>
  <si>
    <t>MJ202211071</t>
  </si>
  <si>
    <t>国际机票（池丽华、陈忠）</t>
  </si>
  <si>
    <t>国内机票（池丽华、陈忠</t>
  </si>
  <si>
    <t>3瓶液化气、7瓶氧气</t>
  </si>
  <si>
    <t>MJ202211072</t>
  </si>
  <si>
    <t>1个400A闸刀开关</t>
  </si>
  <si>
    <t>6条3角皮带</t>
  </si>
  <si>
    <t>黄豆、面粉</t>
  </si>
  <si>
    <t>新电表8.9月电费</t>
  </si>
  <si>
    <t>两台皮卡车修理费等</t>
  </si>
  <si>
    <t>MJ202211073</t>
  </si>
  <si>
    <t>卢雯签证被拒申诉小费</t>
  </si>
  <si>
    <t>支付会计公司代交费</t>
  </si>
  <si>
    <t>环保报告（新、旧矿权）</t>
  </si>
  <si>
    <t>签证（熊国军、池丽华、陈忠）</t>
  </si>
  <si>
    <t>支出173美金买入RTGS13万</t>
  </si>
  <si>
    <t>MJ202211074</t>
  </si>
  <si>
    <t>支出4千美金买入RTGS300万</t>
  </si>
  <si>
    <t>30包花生米</t>
  </si>
  <si>
    <t>MJ202211075</t>
  </si>
  <si>
    <t>重新买4个皮卡轮胎、加油</t>
  </si>
  <si>
    <t>机场接人小费加巴士</t>
  </si>
  <si>
    <t>2大桶齿轮油</t>
  </si>
  <si>
    <t>重新买1片太阳能板</t>
  </si>
  <si>
    <t>MJ202211076</t>
  </si>
  <si>
    <t>皮卡轮胎、螺丝等</t>
  </si>
  <si>
    <t>单排皮卡保养及人工费</t>
  </si>
  <si>
    <t>新皮卡保养及人工费</t>
  </si>
  <si>
    <t>MJ202211077</t>
  </si>
  <si>
    <t>8个密封圈</t>
  </si>
  <si>
    <t>50片垫片</t>
  </si>
  <si>
    <t>新皮卡保险杠及贴膜费</t>
  </si>
  <si>
    <t>MSKU7867529柜 9天货柜延期</t>
  </si>
  <si>
    <t>MJ202211078</t>
  </si>
  <si>
    <t>MRKU2784332两个柜8天的仓储费延期费</t>
  </si>
  <si>
    <t>GCXU5564623两个柜8天的仓储费延期费</t>
  </si>
  <si>
    <t>MRSU3556366两个柜4天的仓储费延期费</t>
  </si>
  <si>
    <t>MRKU4777219两个柜4天的仓储费延期费</t>
  </si>
  <si>
    <t>MAFU2309987柜40尺清关费转港费运费</t>
  </si>
  <si>
    <t>MJ202211079</t>
  </si>
  <si>
    <t>FSCY8993762柜40尺清关费转港费运费</t>
  </si>
  <si>
    <t>李锦生柴油2万升</t>
  </si>
  <si>
    <t>MJ202211080</t>
  </si>
  <si>
    <t>萝卜、辣椒、土豆等</t>
  </si>
  <si>
    <t>60桶黄油</t>
  </si>
  <si>
    <t>10套螺丝</t>
  </si>
  <si>
    <t>矿山皮卡电瓶1个</t>
  </si>
  <si>
    <t>8瓶氧气、1瓶二氧化碳</t>
  </si>
  <si>
    <t>MJ202211081</t>
  </si>
  <si>
    <t>AB胶10盒</t>
  </si>
  <si>
    <t>新电表10月份电费</t>
  </si>
  <si>
    <t>张建华看病费用等</t>
  </si>
  <si>
    <t>MJ202211082</t>
  </si>
  <si>
    <t>当地员工10月份工资</t>
  </si>
  <si>
    <t>当地员工满一年工资</t>
  </si>
  <si>
    <t>商谈土地征用小费</t>
  </si>
  <si>
    <t>买扫把10把</t>
  </si>
  <si>
    <t>MJ202211083</t>
  </si>
  <si>
    <t>石灰（尼康）30吨</t>
  </si>
  <si>
    <t>矿山堆坪开采证检查</t>
  </si>
  <si>
    <t>两栋未完成房承包工程</t>
  </si>
  <si>
    <t>炸药运费2车</t>
  </si>
  <si>
    <t>MJ202211084</t>
  </si>
  <si>
    <t>黄金部门检查电解车间</t>
  </si>
  <si>
    <t>红卡配件</t>
  </si>
  <si>
    <t>矿业部调查车事故油费</t>
  </si>
  <si>
    <t>MJ202211085</t>
  </si>
  <si>
    <t>河对面租土地费</t>
  </si>
  <si>
    <t>对面百姓水井太阳能人工费</t>
  </si>
  <si>
    <t>买钥匙扣</t>
  </si>
  <si>
    <t>MJ202211086</t>
  </si>
  <si>
    <t>地质员皮卡加油</t>
  </si>
  <si>
    <t>油表尺</t>
  </si>
  <si>
    <t>采矿牛受伤赔偿</t>
  </si>
  <si>
    <t>MJ202211087</t>
  </si>
  <si>
    <t>中餐蛋糕</t>
  </si>
  <si>
    <t>烧碱100kg</t>
  </si>
  <si>
    <t>MJ202211088</t>
  </si>
  <si>
    <t>氰化钠17.6吨</t>
  </si>
  <si>
    <t>烧碱</t>
  </si>
  <si>
    <t>盐酸、烧碱运费</t>
  </si>
  <si>
    <t>MJ202211089</t>
  </si>
  <si>
    <t>氰化钠运费</t>
  </si>
  <si>
    <t>氰化钠22吨</t>
  </si>
  <si>
    <t>氰化钠、烧碱运费</t>
  </si>
  <si>
    <t>氰化钠17.6钉</t>
  </si>
  <si>
    <t>MJ202211090</t>
  </si>
  <si>
    <t>烧碱200包</t>
  </si>
  <si>
    <t>池丽华陈忠路费</t>
  </si>
  <si>
    <t>MJ202211091</t>
  </si>
  <si>
    <t>样品袋</t>
  </si>
  <si>
    <t>员工看病</t>
  </si>
  <si>
    <t>白色粉墙料16个</t>
  </si>
  <si>
    <t>当地员工10月奖金</t>
  </si>
  <si>
    <t>MJ202211092</t>
  </si>
  <si>
    <t>费休班人员工资</t>
  </si>
  <si>
    <t>仓库屋顶等维修</t>
  </si>
  <si>
    <t>炸药100吨</t>
  </si>
  <si>
    <t>MJ202211093</t>
  </si>
  <si>
    <t>引线200卷</t>
  </si>
  <si>
    <t>衣服刷5个</t>
  </si>
  <si>
    <t>西蓝花、莴笋、四季豆等</t>
  </si>
  <si>
    <t>MJ202211094</t>
  </si>
  <si>
    <t>点火锁2个</t>
  </si>
  <si>
    <t>皮卡车轮胎一个</t>
  </si>
  <si>
    <t>购津币ZWL86000美金支出118</t>
  </si>
  <si>
    <t>MJ202211096</t>
  </si>
  <si>
    <t>购津币ZW3800000美金支出5205</t>
  </si>
  <si>
    <t>购津币ZWL114000美金支出156</t>
  </si>
  <si>
    <t>购津币ZWL30万美金支出400</t>
  </si>
  <si>
    <t>MJ202211097</t>
  </si>
  <si>
    <t>购津币ZW100万美金支出1333</t>
  </si>
  <si>
    <t>购津币ZWL140万美金支出1867</t>
  </si>
  <si>
    <t>一个木头轴承加工费及材料费</t>
  </si>
  <si>
    <t>生抽、鸡精、大蒜</t>
  </si>
  <si>
    <t>车窗玻璃1片</t>
  </si>
  <si>
    <t>罗非鱼</t>
  </si>
  <si>
    <t>5个轴承油封</t>
  </si>
  <si>
    <t>液化气34元及加油</t>
  </si>
  <si>
    <t>MJ202211098</t>
  </si>
  <si>
    <t>硝酸银、贴纸</t>
  </si>
  <si>
    <t>化工用品</t>
  </si>
  <si>
    <t>5条链条扳手、5条皮带扳手</t>
  </si>
  <si>
    <t>10条三角皮带</t>
  </si>
  <si>
    <t>8根白尼龙棒加工费</t>
  </si>
  <si>
    <t>MJ202211099</t>
  </si>
  <si>
    <t>池英党换新签</t>
  </si>
  <si>
    <t>4捆红白色袋子</t>
  </si>
  <si>
    <t>菜、破壁机、数据线</t>
  </si>
  <si>
    <t>国内买保险丝、加热管、触头</t>
  </si>
  <si>
    <t>新电表11月份电费</t>
  </si>
  <si>
    <t>MJ202211100</t>
  </si>
  <si>
    <t>旧电表10月电费</t>
  </si>
  <si>
    <t>10万升柴油津力</t>
  </si>
  <si>
    <t>4万升柴油津力</t>
  </si>
  <si>
    <t>2个货柜没有CBCA证书小费</t>
  </si>
  <si>
    <t>MJ202211101</t>
  </si>
  <si>
    <t>5桶2升洗洁精</t>
  </si>
  <si>
    <t>3个水泵接头</t>
  </si>
  <si>
    <t>MJ202211102</t>
  </si>
  <si>
    <t>午餐</t>
  </si>
  <si>
    <t>40袋大米</t>
  </si>
  <si>
    <t>卡特323空运配件</t>
  </si>
  <si>
    <t>MJ202211103</t>
  </si>
  <si>
    <t>6万升柴油李锦生</t>
  </si>
  <si>
    <t>油嘴、油管</t>
  </si>
  <si>
    <t>MJ202211104</t>
  </si>
  <si>
    <t>水管、法兰片</t>
  </si>
  <si>
    <t>买4只鸡</t>
  </si>
  <si>
    <t>MJ202211105</t>
  </si>
  <si>
    <t>玉柴油嘴维修12支</t>
  </si>
  <si>
    <t>玉柴油空压机油嘴10支</t>
  </si>
  <si>
    <t>买小鱼、小葱</t>
  </si>
  <si>
    <t>MJ202211106</t>
  </si>
  <si>
    <t>买一个头牛</t>
  </si>
  <si>
    <t>买15只鸡</t>
  </si>
  <si>
    <t>清理生活区化肥池</t>
  </si>
  <si>
    <t>卫生及洗刷费支出</t>
  </si>
  <si>
    <t>电解车间3包水泥</t>
  </si>
  <si>
    <t>MJ202211107</t>
  </si>
  <si>
    <t>宿舍玻璃</t>
  </si>
  <si>
    <t>河对面堆坪围栏</t>
  </si>
  <si>
    <t>MJ202211108</t>
  </si>
  <si>
    <t>值班电池</t>
  </si>
  <si>
    <t>鸭子10只</t>
  </si>
  <si>
    <t>事故司机医药费</t>
  </si>
  <si>
    <t>MJ202211109</t>
  </si>
  <si>
    <t>豆芽、莴笋、荷兰豆等</t>
  </si>
  <si>
    <t>皮带4条</t>
  </si>
  <si>
    <t>皮带2条</t>
  </si>
  <si>
    <t>螺丝螺帽垫片</t>
  </si>
  <si>
    <t>放炮损坏房子修理费</t>
  </si>
  <si>
    <t>MJ202211110</t>
  </si>
  <si>
    <t>对面第二次征用土地</t>
  </si>
  <si>
    <t>MJ202211111</t>
  </si>
  <si>
    <t>氰化钠19.8吨+运费</t>
  </si>
  <si>
    <t>氧化钠</t>
  </si>
  <si>
    <t>氧化钠22吨+运费</t>
  </si>
  <si>
    <t>12万升柴油*1.24（老矿山）</t>
  </si>
  <si>
    <t>400美金买入RTGS30万</t>
  </si>
  <si>
    <t>MJ202212001</t>
  </si>
  <si>
    <t>TGHU1575558柜代理费、转港费、运费</t>
  </si>
  <si>
    <t>MJ202212002</t>
  </si>
  <si>
    <t>SGRU2091937柜代理费、转港费、运费</t>
  </si>
  <si>
    <t>2个20尺柜部分美金税费</t>
  </si>
  <si>
    <t>TGHU1575558、SGRU2091937柜没有CBCAZ证书小费</t>
  </si>
  <si>
    <t>MJ202212003</t>
  </si>
  <si>
    <t>签证延续费（6个人）</t>
  </si>
  <si>
    <t>补交黄油类货柜关税</t>
  </si>
  <si>
    <t>李锦生柴油10万升</t>
  </si>
  <si>
    <t>MJ202212004</t>
  </si>
  <si>
    <t>李锦生柴油运费（6万升）</t>
  </si>
  <si>
    <t>李锦生柴油运费（4万升）</t>
  </si>
  <si>
    <t>MJ202212005</t>
  </si>
  <si>
    <t>津力柴油4万升</t>
  </si>
  <si>
    <t>于芳成、郝世茂签证出境被拒罚款</t>
  </si>
  <si>
    <t>李成彬、于芳成、郝世茂回国机票</t>
  </si>
  <si>
    <t>津力4万升柴油</t>
  </si>
  <si>
    <t>MJ202212006</t>
  </si>
  <si>
    <t>校油嘴10个*150美元/个</t>
  </si>
  <si>
    <t>MJ202212007</t>
  </si>
  <si>
    <t>改空压机油滤4套包括精滤1600美元</t>
  </si>
  <si>
    <t>油水分离器、精滤69个*50美元/个</t>
  </si>
  <si>
    <t>矿业部、劳工部、黄金部来公司检查给油费60美金</t>
  </si>
  <si>
    <t>矿业部检查加油费用50美金</t>
  </si>
  <si>
    <t>扫把2*1.5</t>
  </si>
  <si>
    <t>MJ202212008</t>
  </si>
  <si>
    <t>河对面第二个新堆坪拉废土增加大门一个260美金</t>
  </si>
  <si>
    <t>住房拐弯处漏水修补费2小时</t>
  </si>
  <si>
    <t>MJ202212009</t>
  </si>
  <si>
    <t>11月份保安服务费</t>
  </si>
  <si>
    <t>买床</t>
  </si>
  <si>
    <t>MJ202212010</t>
  </si>
  <si>
    <t>MJ202212011</t>
  </si>
  <si>
    <t>午餐饼干</t>
  </si>
  <si>
    <t>李陈彬、吴小林午饭费</t>
  </si>
  <si>
    <t>催贵华、李成彬、阿隆回国哈拉雷住宿费</t>
  </si>
  <si>
    <t>12月3日公司员工14人回国哈拉雷住宿费</t>
  </si>
  <si>
    <t>MJ202212012</t>
  </si>
  <si>
    <t>蚝油</t>
  </si>
  <si>
    <t>烧烤架</t>
  </si>
  <si>
    <t>校油嘴23个*150美元/个</t>
  </si>
  <si>
    <t>塑料盆</t>
  </si>
  <si>
    <t>MJ202212013</t>
  </si>
  <si>
    <t>炸药运费25吨</t>
  </si>
  <si>
    <t>瓦胶</t>
  </si>
  <si>
    <t>补轮胎 胶水</t>
  </si>
  <si>
    <t>矿山经理办理证件费</t>
  </si>
  <si>
    <t>MJ202212014</t>
  </si>
  <si>
    <t>炉芯（中频炉）2个</t>
  </si>
  <si>
    <t>餐费（矿山拿耐火泥、滤芯）</t>
  </si>
  <si>
    <t>圣诞节奖金（黑人优秀员工19人）</t>
  </si>
  <si>
    <t>圣诞节警察局饮料10件</t>
  </si>
  <si>
    <t>MJ202212015</t>
  </si>
  <si>
    <t>圣诞节给6个村长礼品</t>
  </si>
  <si>
    <t>小鱼、土豆、南瓜</t>
  </si>
  <si>
    <t>425号水泥</t>
  </si>
  <si>
    <t>4只羊（圣诞节员工烤羊）</t>
  </si>
  <si>
    <t>MJ202212016</t>
  </si>
  <si>
    <t>方便面</t>
  </si>
  <si>
    <t>焦炭</t>
  </si>
  <si>
    <t>11月当地员工工资，奖金</t>
  </si>
  <si>
    <t>2021年12月份中国人工资</t>
  </si>
  <si>
    <t>RMB202201001</t>
  </si>
  <si>
    <t>2022年1月中国人工资</t>
  </si>
  <si>
    <t>RMB202202001</t>
  </si>
  <si>
    <t>2022年2月份工资</t>
  </si>
  <si>
    <t>RMB202203001</t>
  </si>
  <si>
    <t>2022年3月份中国职工工资</t>
  </si>
  <si>
    <t>RMB202204001</t>
  </si>
  <si>
    <t>收回李霞2022年1-3月份工资</t>
  </si>
  <si>
    <t>RMBSR202204001</t>
  </si>
  <si>
    <t>4月中国人工资</t>
  </si>
  <si>
    <t>RMB202205001</t>
  </si>
  <si>
    <t>中国人5月工资</t>
  </si>
  <si>
    <t>RMB202206001</t>
  </si>
  <si>
    <t>2022年6月份工资</t>
  </si>
  <si>
    <t>RMB202207001</t>
  </si>
  <si>
    <t>2022年7月份工资</t>
  </si>
  <si>
    <t>RMB200208001</t>
  </si>
  <si>
    <t>2022年8月份工资</t>
  </si>
  <si>
    <t>RMB202209001</t>
  </si>
  <si>
    <t>2022年9月份中国人工资</t>
  </si>
  <si>
    <t>RMB202210001</t>
  </si>
  <si>
    <t>金矿专用布20*30 300件</t>
  </si>
  <si>
    <t>彩条布</t>
  </si>
  <si>
    <t>RMB202211001</t>
  </si>
  <si>
    <t>柴油机机ZS1115  30台</t>
  </si>
  <si>
    <t>柴油机ZS1115</t>
  </si>
  <si>
    <t>RMB202211002</t>
  </si>
  <si>
    <t>柴油机机ZS1125 20台</t>
  </si>
  <si>
    <t>柴油机ZS1125</t>
  </si>
  <si>
    <t>压路机 1 台 RS8140</t>
  </si>
  <si>
    <t>RMB202211003</t>
  </si>
  <si>
    <t>装载机 5 台 L953</t>
  </si>
  <si>
    <t>轮胎7.00R16 2条</t>
  </si>
  <si>
    <t>RMB202211004</t>
  </si>
  <si>
    <t>轮胎7.50R16 8条</t>
  </si>
  <si>
    <t>轮胎12.00R20 35条</t>
  </si>
  <si>
    <t>轮胎12.00R 100条</t>
  </si>
  <si>
    <t>轮胎9.00R20  10条</t>
  </si>
  <si>
    <t>500KW 柴油发电机组6台</t>
  </si>
  <si>
    <t>RMB202211005</t>
  </si>
  <si>
    <t>YC240电缆1100(500KW发电机组)</t>
  </si>
  <si>
    <t>WET550控制柜(500KW发电机组)</t>
  </si>
  <si>
    <t>钢结构及带式运输机51</t>
  </si>
  <si>
    <t>RMB202211006</t>
  </si>
  <si>
    <t>重型价梯给料机2 台</t>
  </si>
  <si>
    <t>RMB202211007</t>
  </si>
  <si>
    <t>带式给料机2台</t>
  </si>
  <si>
    <t>鄂式破碎机2台</t>
  </si>
  <si>
    <t>反击破碎机2台</t>
  </si>
  <si>
    <t>冲击式破碎机2台</t>
  </si>
  <si>
    <t>电控系统</t>
  </si>
  <si>
    <t>PEW860配件1套</t>
  </si>
  <si>
    <t>RMB202211008</t>
  </si>
  <si>
    <t>CX5X1315反击破碎机配件1套</t>
  </si>
  <si>
    <t>VSI6X1150制沙机</t>
  </si>
  <si>
    <t>F5X1654G打料机配件1套</t>
  </si>
  <si>
    <t>三一宽体车10台 SKT90S</t>
  </si>
  <si>
    <t>RMB202211009</t>
  </si>
  <si>
    <t>三一宽体车配件</t>
  </si>
  <si>
    <t>RMB202211010</t>
  </si>
  <si>
    <t xml:space="preserve">10吨洒水车2台   </t>
  </si>
  <si>
    <t>RMB202211011</t>
  </si>
  <si>
    <t xml:space="preserve">5吨油罐车1台    </t>
  </si>
  <si>
    <t xml:space="preserve">金矿专用布20*30 100捆  </t>
  </si>
  <si>
    <t>RMB202211012</t>
  </si>
  <si>
    <t xml:space="preserve">平地机G9180 1台    </t>
  </si>
  <si>
    <t>RMB202211013</t>
  </si>
  <si>
    <t xml:space="preserve">后刹车片400片 </t>
  </si>
  <si>
    <t>RMB202211014</t>
  </si>
  <si>
    <t xml:space="preserve">铆钉 铁 5000个 </t>
  </si>
  <si>
    <t>50个1600R25宽体车轮胎</t>
  </si>
  <si>
    <t>RMB202211015</t>
  </si>
  <si>
    <t>装载机5个货柜运费</t>
  </si>
  <si>
    <t>RMB202211016</t>
  </si>
  <si>
    <t>压路机1个货柜运费</t>
  </si>
  <si>
    <t>活性炭+潜孔钻5个货柜运费</t>
  </si>
  <si>
    <t>海运费</t>
  </si>
  <si>
    <t>洒水车2个货柜运费</t>
  </si>
  <si>
    <t>油罐车1个货柜运费</t>
  </si>
  <si>
    <t>自卸车（工厂FOB价)10个货柜运费</t>
  </si>
  <si>
    <t>10台自卸车购雨布1个货柜运费</t>
  </si>
  <si>
    <t>10台自卸车+耐磨件10个货柜运费</t>
  </si>
  <si>
    <t>RMB202211017</t>
  </si>
  <si>
    <t>破碎系统+振动筛+钢结构基础5个货柜运费</t>
  </si>
  <si>
    <t>破碎系统+振动筛+钢结构基础4个货柜运费</t>
  </si>
  <si>
    <t>黎明重工反击坡+钢结构</t>
  </si>
  <si>
    <t>RMB202211018</t>
  </si>
  <si>
    <t>平地机，塑料管等40HQ</t>
  </si>
  <si>
    <t>挖斗+液压油等40HQ</t>
  </si>
  <si>
    <t>RMB202211019</t>
  </si>
  <si>
    <t xml:space="preserve">拼刘向阳柜（装载机3吨斗齿）3个拼柜 </t>
  </si>
  <si>
    <t>钢材， 路灯等40HQ(1个40尺高箱）</t>
  </si>
  <si>
    <t>活性炭1*40HQ（1个40尺高箱）</t>
  </si>
  <si>
    <t>潜孔钻，斗齿链板等（1个40尺高箱）</t>
  </si>
  <si>
    <t>钢结构，斗齿等 （ 1个40尺高箱）</t>
  </si>
  <si>
    <t>钢结构6*400(6个40尺开顶箱）</t>
  </si>
  <si>
    <t>上海宽体车10*40（10个40尺框架）</t>
  </si>
  <si>
    <t>4台耦合器空运费</t>
  </si>
  <si>
    <t>RMB202211020</t>
  </si>
  <si>
    <t>槽钢及运费</t>
  </si>
  <si>
    <t>钢材</t>
  </si>
  <si>
    <t>RMB202211021</t>
  </si>
  <si>
    <t>螺丝钢类</t>
  </si>
  <si>
    <t>机械材料</t>
  </si>
  <si>
    <t>五金机电材料</t>
  </si>
  <si>
    <t>RMB202211022</t>
  </si>
  <si>
    <t>永康材料</t>
  </si>
  <si>
    <t>广州买的材料</t>
  </si>
  <si>
    <t>大功喊话器</t>
  </si>
  <si>
    <t>康明电器电头灯</t>
  </si>
  <si>
    <t>网购老船木 茶桌椅组合</t>
  </si>
  <si>
    <t>茶桌</t>
  </si>
  <si>
    <t>RMB202211023</t>
  </si>
  <si>
    <t>网购海尔冰柜</t>
  </si>
  <si>
    <t>冰柜</t>
  </si>
  <si>
    <t>湖南创桶黑板</t>
  </si>
  <si>
    <t>洒水车，油罐车随州到广州运费</t>
  </si>
  <si>
    <t>160捆彩条布南宁-广州运费</t>
  </si>
  <si>
    <t>黄金膜装卸费</t>
  </si>
  <si>
    <t>RMB202211024</t>
  </si>
  <si>
    <t>螺丝及棉衣运费</t>
  </si>
  <si>
    <t>21件配件，空压机1件运费</t>
  </si>
  <si>
    <t>挖掘机小臂运费</t>
  </si>
  <si>
    <t>PE管搬运费</t>
  </si>
  <si>
    <t>RMB202211025</t>
  </si>
  <si>
    <t>吊机吊车费</t>
  </si>
  <si>
    <t>合力程机戒材料款</t>
  </si>
  <si>
    <t>RMB202211026</t>
  </si>
  <si>
    <t>南阳橡胶制品材料</t>
  </si>
  <si>
    <t>五金工具等材料款</t>
  </si>
  <si>
    <t>泰电气开关电料款</t>
  </si>
  <si>
    <t>铜仁万山水银款</t>
  </si>
  <si>
    <t>水银</t>
  </si>
  <si>
    <t>炭纤维</t>
  </si>
  <si>
    <t>RMB202211027</t>
  </si>
  <si>
    <t>不秀钢壶度壶</t>
  </si>
  <si>
    <t>原子吸收分关关度计</t>
  </si>
  <si>
    <t>原子吸收光度计</t>
  </si>
  <si>
    <t>压力表</t>
  </si>
  <si>
    <t>钢丝棉</t>
  </si>
  <si>
    <t>合肥净水器款</t>
  </si>
  <si>
    <t>净水器</t>
  </si>
  <si>
    <t>RMB202211028</t>
  </si>
  <si>
    <t>坩埚</t>
  </si>
  <si>
    <t>中频炉</t>
  </si>
  <si>
    <t>化验器材</t>
  </si>
  <si>
    <t>钢字， 钢母</t>
  </si>
  <si>
    <t>不锈钢桶</t>
  </si>
  <si>
    <t>RMB202211029</t>
  </si>
  <si>
    <t>拌面机 ，压面机等</t>
  </si>
  <si>
    <t>压面机</t>
  </si>
  <si>
    <t>网购液压管，胶板物流费</t>
  </si>
  <si>
    <t>待打木箱（装箱费）</t>
  </si>
  <si>
    <t>广州头光灯</t>
  </si>
  <si>
    <t>RMB202211030</t>
  </si>
  <si>
    <t>钢铁</t>
  </si>
  <si>
    <t>黑胶管</t>
  </si>
  <si>
    <t>长沙法兰等材料</t>
  </si>
  <si>
    <t>文昌活性炭</t>
  </si>
  <si>
    <t>广州金达机戒材料</t>
  </si>
  <si>
    <t>RMB202211031</t>
  </si>
  <si>
    <t>贵州金矿材料</t>
  </si>
  <si>
    <t>破碎材料</t>
  </si>
  <si>
    <t>焊接材料</t>
  </si>
  <si>
    <t>黄油枪头，电焊面罩</t>
  </si>
  <si>
    <t>脚踏式打黄油枪</t>
  </si>
  <si>
    <t>RMB202211032</t>
  </si>
  <si>
    <t>电冰箱</t>
  </si>
  <si>
    <t>冲铆机</t>
  </si>
  <si>
    <t>电风扇40个</t>
  </si>
  <si>
    <t>电风扇</t>
  </si>
  <si>
    <t>消毒柜2台</t>
  </si>
  <si>
    <t>消毒柜</t>
  </si>
  <si>
    <t>遮阳网</t>
  </si>
  <si>
    <t>金矿海绵、擦手纸</t>
  </si>
  <si>
    <t>RMB202211033</t>
  </si>
  <si>
    <t>长沙凯通机电材料</t>
  </si>
  <si>
    <t>广州致远机戒</t>
  </si>
  <si>
    <t>洗衣机</t>
  </si>
  <si>
    <t>车友气配</t>
  </si>
  <si>
    <t>RMB202211034</t>
  </si>
  <si>
    <t>豆腐乳</t>
  </si>
  <si>
    <t>海带，云耳，调料等</t>
  </si>
  <si>
    <t>液压油，机油 等</t>
  </si>
  <si>
    <t>瑞迪极压锂基脂</t>
  </si>
  <si>
    <t>RMB202211035</t>
  </si>
  <si>
    <t>钢结构卸车吊车费</t>
  </si>
  <si>
    <t>植筋胶</t>
  </si>
  <si>
    <t>图纸打印费</t>
  </si>
  <si>
    <t>第2批斗齿</t>
  </si>
  <si>
    <t>自卸车滤芯 等</t>
  </si>
  <si>
    <t>RMB202211036</t>
  </si>
  <si>
    <t>电焊条+千斤顶</t>
  </si>
  <si>
    <t>凉席，蚊帐</t>
  </si>
  <si>
    <t>机油</t>
  </si>
  <si>
    <t>摩托车6台YY150-3E</t>
  </si>
  <si>
    <t>摩托车</t>
  </si>
  <si>
    <t>面条，米粉，老干妈</t>
  </si>
  <si>
    <t>RMB202211037</t>
  </si>
  <si>
    <t>遮阳网运费</t>
  </si>
  <si>
    <t>电子称</t>
  </si>
  <si>
    <t>RMB202211038</t>
  </si>
  <si>
    <t>电子天平</t>
  </si>
  <si>
    <t>坩埚坩</t>
  </si>
  <si>
    <t>变压器</t>
  </si>
  <si>
    <t>化验药品</t>
  </si>
  <si>
    <t>华为保时捷手机4个</t>
  </si>
  <si>
    <t>RMB202211039</t>
  </si>
  <si>
    <t>太阳能路灯80套</t>
  </si>
  <si>
    <t>对讲机100个</t>
  </si>
  <si>
    <t>对讲机</t>
  </si>
  <si>
    <t>吴小林报职工国内办证等费用</t>
  </si>
  <si>
    <t>广州金达机戒三一液压油等</t>
  </si>
  <si>
    <t>RMB202211040</t>
  </si>
  <si>
    <t>不锈钢压力平衡器</t>
  </si>
  <si>
    <t>中国员工33人路费等报销</t>
  </si>
  <si>
    <t>胸针，包装</t>
  </si>
  <si>
    <t xml:space="preserve">员工服 ， 运费 </t>
  </si>
  <si>
    <t>装载机轮胎</t>
  </si>
  <si>
    <t>RMB202211041</t>
  </si>
  <si>
    <t>自卸车轮胎</t>
  </si>
  <si>
    <t>轴承和油封</t>
  </si>
  <si>
    <t>洒水车配件</t>
  </si>
  <si>
    <t>彩条布160捆</t>
  </si>
  <si>
    <t>彩条布175捆</t>
  </si>
  <si>
    <t>高铬板锤</t>
  </si>
  <si>
    <t>RMB202211042</t>
  </si>
  <si>
    <t>高铬板锤2套</t>
  </si>
  <si>
    <t>陶瓷板锤2套</t>
  </si>
  <si>
    <t>振动筛筛网</t>
  </si>
  <si>
    <t>宽体车随车装轮胎工具5件</t>
  </si>
  <si>
    <t>RMB202211043</t>
  </si>
  <si>
    <t>水钻1台</t>
  </si>
  <si>
    <t>热得快</t>
  </si>
  <si>
    <t>彩条布焊接机及配件</t>
  </si>
  <si>
    <t>彩条布2车运费</t>
  </si>
  <si>
    <t>彩钢卷及运费</t>
  </si>
  <si>
    <t>RMB202211044</t>
  </si>
  <si>
    <t>电焊条+等离子割嘴+瓷套</t>
  </si>
  <si>
    <t>挖掘机炮杆</t>
  </si>
  <si>
    <t>自卸车机油+齿轮油+配件</t>
  </si>
  <si>
    <t>RMB202211045</t>
  </si>
  <si>
    <t>钢板、自卸车轴承</t>
  </si>
  <si>
    <t>喷淋带等</t>
  </si>
  <si>
    <t>RMB202211046</t>
  </si>
  <si>
    <t>化验室仪器耗材</t>
  </si>
  <si>
    <t>电子天平秤2台（日本产5Kg千分之一）</t>
  </si>
  <si>
    <t>50磅坩埚100个</t>
  </si>
  <si>
    <t>不锈钢盆，灯泡等</t>
  </si>
  <si>
    <t>编织袋5万个</t>
  </si>
  <si>
    <t>RMB202211047</t>
  </si>
  <si>
    <t>矿灯100盏</t>
  </si>
  <si>
    <t>中频炉1套</t>
  </si>
  <si>
    <t>烧炭大锅</t>
  </si>
  <si>
    <t>螺丝1批</t>
  </si>
  <si>
    <t>汽修工具</t>
  </si>
  <si>
    <t>RMB202211048</t>
  </si>
  <si>
    <t>空压机配件等</t>
  </si>
  <si>
    <t>挖掘机滤芯100个</t>
  </si>
  <si>
    <t>开关，变频器等</t>
  </si>
  <si>
    <t>雾炮机4台+手拿式引风机4台</t>
  </si>
  <si>
    <t>皮带机托辊+托辊架260个</t>
  </si>
  <si>
    <t>RMB202211049</t>
  </si>
  <si>
    <t>空调2台</t>
  </si>
  <si>
    <t>空调</t>
  </si>
  <si>
    <t>监控系统*2（海康威视）</t>
  </si>
  <si>
    <t>监控系统</t>
  </si>
  <si>
    <t>电脑3台打印机2台</t>
  </si>
  <si>
    <t>电脑、打印机</t>
  </si>
  <si>
    <t>监控配套电视机6台</t>
  </si>
  <si>
    <t>硫酸铵3吨</t>
  </si>
  <si>
    <t>RMB202211050</t>
  </si>
  <si>
    <t>碳酸氢铵2吨</t>
  </si>
  <si>
    <t>炭浆车间配件（含运费）</t>
  </si>
  <si>
    <t>电子秤3台</t>
  </si>
  <si>
    <t>电子秤</t>
  </si>
  <si>
    <t>防误操作双电源转换开关</t>
  </si>
  <si>
    <t>炭浆车间机油4桶</t>
  </si>
  <si>
    <t>RMB202211051</t>
  </si>
  <si>
    <t>U型扣12个</t>
  </si>
  <si>
    <t>角磨机碳刷等</t>
  </si>
  <si>
    <t>瓷套，割嘴</t>
  </si>
  <si>
    <t>密封圈10个.油封10个.百叶轮30个</t>
  </si>
  <si>
    <t>自卸车油箱盖</t>
  </si>
  <si>
    <t>RMB202211052</t>
  </si>
  <si>
    <t>宽体车油箱盖</t>
  </si>
  <si>
    <t>夏佐智能补偿模块</t>
  </si>
  <si>
    <t>潜孔钻油嘴油泵总成5套</t>
  </si>
  <si>
    <t>油锯及配件</t>
  </si>
  <si>
    <t>柴刀、文具等</t>
  </si>
  <si>
    <t>RMB202211053</t>
  </si>
  <si>
    <t>墨盒</t>
  </si>
  <si>
    <t>厦工装载机刹车钳</t>
  </si>
  <si>
    <t>挖掘机斗齿（12300kg)含税双清拼柜</t>
  </si>
  <si>
    <t>RMB202211054</t>
  </si>
  <si>
    <t>遮阳网等物资（2850kg）含税双清拼柜</t>
  </si>
  <si>
    <t>2021年12月份4*40尺高柜宽体车配件等运费</t>
  </si>
  <si>
    <t>2021年12月份轮胎柜运费</t>
  </si>
  <si>
    <t>2021年12月份货柜药剂运费</t>
  </si>
  <si>
    <t>2021年12月份货柜彩条布运费</t>
  </si>
  <si>
    <t>2022年1月份1*20尺柜板锤运费</t>
  </si>
  <si>
    <t>2022年1月份1*20尺柜滚筒运费</t>
  </si>
  <si>
    <t>2022年1月份1*20尺柜彩条布运费</t>
  </si>
  <si>
    <t>振动筛2XY-3075 有合同无发票</t>
  </si>
  <si>
    <t>RMB202211055</t>
  </si>
  <si>
    <t>振动筛2XY-2670 有合同无发票</t>
  </si>
  <si>
    <t>11号321922无发</t>
  </si>
  <si>
    <t>12号河南到上海仓库运费196400</t>
  </si>
  <si>
    <t xml:space="preserve">13号发电组转运费5600 </t>
  </si>
  <si>
    <t>14号四川到上海仓库费用46840</t>
  </si>
  <si>
    <t>6710公斤拼柜</t>
  </si>
  <si>
    <t>皮带机备用件449700（无合同发票）实付419890</t>
  </si>
  <si>
    <t>中国员工10月份工资</t>
  </si>
  <si>
    <t>RMB202211056</t>
  </si>
  <si>
    <t>破碎机配件</t>
  </si>
  <si>
    <t>RMB202211057</t>
  </si>
  <si>
    <t>宽体车轮胎</t>
  </si>
  <si>
    <t>陶瓷板锤30套</t>
  </si>
  <si>
    <t>装载机斗齿</t>
  </si>
  <si>
    <t>发电机保养件</t>
  </si>
  <si>
    <t>RMB202211058</t>
  </si>
  <si>
    <t>装载机轮胎20条</t>
  </si>
  <si>
    <t>罗茨鼓风机ZG150配件</t>
  </si>
  <si>
    <t>RMB202211059</t>
  </si>
  <si>
    <t>304不锈钢桶（不带盖带耳）</t>
  </si>
  <si>
    <t>无功智能补偿模块（夏佐）</t>
  </si>
  <si>
    <t>汽车配件+潍柴机油+齿轮油</t>
  </si>
  <si>
    <t>净水器滤芯</t>
  </si>
  <si>
    <t>挖掘机斗齿、斗销等</t>
  </si>
  <si>
    <t>RMB202211060</t>
  </si>
  <si>
    <t>三一宽体车变速箱油、后视镜、挖机滤芯、玻璃</t>
  </si>
  <si>
    <t>黄油等</t>
  </si>
  <si>
    <t>黄油</t>
  </si>
  <si>
    <t>氰化厂球磨机配件等</t>
  </si>
  <si>
    <t>倍力特破碎锤+配件</t>
  </si>
  <si>
    <t>破碎锤炮仟+配件</t>
  </si>
  <si>
    <t>RMB202211061</t>
  </si>
  <si>
    <t>奔驰发电机组涡轮增压器</t>
  </si>
  <si>
    <t>奔驰发电机组油泵+连接套</t>
  </si>
  <si>
    <t>金模+坩埚</t>
  </si>
  <si>
    <t>潜孔钻配件</t>
  </si>
  <si>
    <t>黄油枪、工具等</t>
  </si>
  <si>
    <t>RMB202211062</t>
  </si>
  <si>
    <t>防腐涂料5桶</t>
  </si>
  <si>
    <t>万能短路辅佐触点</t>
  </si>
  <si>
    <t>托辊</t>
  </si>
  <si>
    <t>B1900皮带1000条</t>
  </si>
  <si>
    <t>RMB202211063</t>
  </si>
  <si>
    <t>开关、继电器</t>
  </si>
  <si>
    <t>丝杆，割枪、大锤等</t>
  </si>
  <si>
    <t>轴承</t>
  </si>
  <si>
    <t>75直通，滑石粉，玻璃胶</t>
  </si>
  <si>
    <t>螺丝50套</t>
  </si>
  <si>
    <t>RMB202211064</t>
  </si>
  <si>
    <t>螺丝350套、皮带螺丝等</t>
  </si>
  <si>
    <t>XPB1320LP皮带16条</t>
  </si>
  <si>
    <t>安全帽，耐酸手套</t>
  </si>
  <si>
    <t>钢丝网10米，过滤纸500张</t>
  </si>
  <si>
    <t>不锈钢球阀，止回阀</t>
  </si>
  <si>
    <t>RMB202211065</t>
  </si>
  <si>
    <t>数显往复震动器</t>
  </si>
  <si>
    <t>不锈钢蒸馏水器</t>
  </si>
  <si>
    <t>具塞三角瓶等</t>
  </si>
  <si>
    <t>遮阳网，编织袋，纸巾等（运费270元）</t>
  </si>
  <si>
    <t>洒水车、油罐车配件</t>
  </si>
  <si>
    <t>RMB202211066</t>
  </si>
  <si>
    <t>测距仪</t>
  </si>
  <si>
    <t>三菱触摸屏+电源</t>
  </si>
  <si>
    <t>齿轮油泵3个</t>
  </si>
  <si>
    <t>油水分离器及滤芯</t>
  </si>
  <si>
    <t>铝芯电缆及线鼻子</t>
  </si>
  <si>
    <t>RMB202211067</t>
  </si>
  <si>
    <t>药品（3311+323+100运费）</t>
  </si>
  <si>
    <t>遮阳网100件（运费190元）</t>
  </si>
  <si>
    <t>PH试纸（付征兵）</t>
  </si>
  <si>
    <t>变频柜+总控制柜等</t>
  </si>
  <si>
    <t>蓄电池</t>
  </si>
  <si>
    <t>RMB202211068</t>
  </si>
  <si>
    <t>记事本</t>
  </si>
  <si>
    <t>凿岩机、钻头等</t>
  </si>
  <si>
    <t>电焊条</t>
  </si>
  <si>
    <t>PE管等</t>
  </si>
  <si>
    <t>第二批潜孔钻配件</t>
  </si>
  <si>
    <t>RMB202211069</t>
  </si>
  <si>
    <t>设备开关，继电器等</t>
  </si>
  <si>
    <t>磁铁1块</t>
  </si>
  <si>
    <t>电线，军大衣，开关，工具等</t>
  </si>
  <si>
    <t>钻车柴油/机油滤芯</t>
  </si>
  <si>
    <t>RMB202211070</t>
  </si>
  <si>
    <t>联塑管+管接头+蹲便器</t>
  </si>
  <si>
    <t>鱼珠胶</t>
  </si>
  <si>
    <t>昆仑机油120桶</t>
  </si>
  <si>
    <t>水泵+水泵配件+电机+喷淋带等</t>
  </si>
  <si>
    <t>钢材，钢板等</t>
  </si>
  <si>
    <t>RMB202211071</t>
  </si>
  <si>
    <t>黄油，高温黄油</t>
  </si>
  <si>
    <t>圆销，胶套</t>
  </si>
  <si>
    <t>CAT挖掘机滤芯</t>
  </si>
  <si>
    <t>临工平地机刀板</t>
  </si>
  <si>
    <t>洒水车、油罐车第二批配件</t>
  </si>
  <si>
    <t>RMB202211072</t>
  </si>
  <si>
    <t>洒水车、油罐车第三批配件</t>
  </si>
  <si>
    <t>宽体车配件</t>
  </si>
  <si>
    <t>自卸车配件</t>
  </si>
  <si>
    <t>潍柴机油100桶</t>
  </si>
  <si>
    <t>编织袋3万个</t>
  </si>
  <si>
    <t>RMB202211073</t>
  </si>
  <si>
    <t>坩埚100个</t>
  </si>
  <si>
    <t>瓷坩埚（化验用）400个</t>
  </si>
  <si>
    <t>冷锅</t>
  </si>
  <si>
    <t>周义周总指示支付挖机，铲车修理费</t>
  </si>
  <si>
    <t>挖机修理费</t>
  </si>
  <si>
    <t>RMB202211074</t>
  </si>
  <si>
    <t>旧链板+炮杆等</t>
  </si>
  <si>
    <t>柴油机皮带等</t>
  </si>
  <si>
    <t>减速机</t>
  </si>
  <si>
    <t>自吸泵50台</t>
  </si>
  <si>
    <t>自吸泵</t>
  </si>
  <si>
    <t>装载机冷凝风机3台</t>
  </si>
  <si>
    <t>RMB202211075</t>
  </si>
  <si>
    <t>洒水车第四批配件</t>
  </si>
  <si>
    <t>补轮胎胶片，胶水等</t>
  </si>
  <si>
    <t>氰化车间水泵2台</t>
  </si>
  <si>
    <t>反击破配件+彩条布等海运费</t>
  </si>
  <si>
    <t>RMB202211076</t>
  </si>
  <si>
    <t>宽体车轮胎海运费</t>
  </si>
  <si>
    <t>9套板锤+装载机斗齿+遮阳网等海运费</t>
  </si>
  <si>
    <t>15套板锤海运费</t>
  </si>
  <si>
    <t>油品+家具海运费</t>
  </si>
  <si>
    <t>氰化厂配件海运费</t>
  </si>
  <si>
    <t>RMB202211077</t>
  </si>
  <si>
    <t>管子+钢材海运费</t>
  </si>
  <si>
    <t>管子配件+黄油海运费</t>
  </si>
  <si>
    <t>发电机组海运费</t>
  </si>
  <si>
    <t>氰化厂配件+水泵海运费</t>
  </si>
  <si>
    <t>反击破配件</t>
  </si>
  <si>
    <t>RMB202211078</t>
  </si>
  <si>
    <t>板锤</t>
  </si>
  <si>
    <t>反击破反击板，鄂破鄂板，反击板螺丝</t>
  </si>
  <si>
    <t>CAT336D2L挖机油嘴、油泵、线束</t>
  </si>
  <si>
    <t>RMB202211079</t>
  </si>
  <si>
    <t>割枪2支</t>
  </si>
  <si>
    <t>CAT336挖机配机和割枪运费</t>
  </si>
  <si>
    <t>破碎锤配件</t>
  </si>
  <si>
    <t>驻车空调3台</t>
  </si>
  <si>
    <t>RMB202211080</t>
  </si>
  <si>
    <t>电视机3台</t>
  </si>
  <si>
    <t>电视机</t>
  </si>
  <si>
    <t>卡特323D2L液压件、回油滤芯</t>
  </si>
  <si>
    <t>RMB202211081</t>
  </si>
  <si>
    <t>压管机高配</t>
  </si>
  <si>
    <t>液压接头、油管</t>
  </si>
  <si>
    <t>3号黄油带吸盘耐高温</t>
  </si>
  <si>
    <t>压力传感器</t>
  </si>
  <si>
    <t>监控及备用摄像头</t>
  </si>
  <si>
    <t>监控设备</t>
  </si>
  <si>
    <t>RMB202211082</t>
  </si>
  <si>
    <t>装载机配件</t>
  </si>
  <si>
    <t>驾驶室电风扇40个</t>
  </si>
  <si>
    <t>RMB202211083</t>
  </si>
  <si>
    <t>红烧粉、香菇、云耳等</t>
  </si>
  <si>
    <t>蚊香、洗衣粉</t>
  </si>
  <si>
    <t>不锈钢餐具</t>
  </si>
  <si>
    <t>潜孔钻空压机3台</t>
  </si>
  <si>
    <t>RMB202211084</t>
  </si>
  <si>
    <t>原潜孔钻配件1批</t>
  </si>
  <si>
    <t>柴油机1RG318  2台</t>
  </si>
  <si>
    <t>柴油机</t>
  </si>
  <si>
    <t>原孔钻配件一批</t>
  </si>
  <si>
    <t>4台水泵（4kw)</t>
  </si>
  <si>
    <t>雨衣雨裤，油品等</t>
  </si>
  <si>
    <t>RMB202211085</t>
  </si>
  <si>
    <t>彩钢卷5卷（19238kg)</t>
  </si>
  <si>
    <t>三一挖机配件</t>
  </si>
  <si>
    <t>减速机配件及德邦运费（发空运）</t>
  </si>
  <si>
    <t>宽体车润滑系统黄油分配器</t>
  </si>
  <si>
    <t>切割片等</t>
  </si>
  <si>
    <t>RMB202211086</t>
  </si>
  <si>
    <t>潜孔钻启动机等配件</t>
  </si>
  <si>
    <t>圆锥破配件+沈阳到广州运费</t>
  </si>
  <si>
    <t>铜排+运费</t>
  </si>
  <si>
    <t>RMB202211087</t>
  </si>
  <si>
    <t>挖机滤芯，油品一批</t>
  </si>
  <si>
    <t>卡特323挖机配件</t>
  </si>
  <si>
    <t>常柴柴油机6台</t>
  </si>
  <si>
    <t>柴油机摇臂总成20套</t>
  </si>
  <si>
    <t>电机配件</t>
  </si>
  <si>
    <t>RMB202211088</t>
  </si>
  <si>
    <t>摩托车4台及配件</t>
  </si>
  <si>
    <t>装载机配件（8/26出发工人带走）</t>
  </si>
  <si>
    <t>洒水车球头总成</t>
  </si>
  <si>
    <t>厦工装载机滤芯</t>
  </si>
  <si>
    <t>等离子切割枪加割嘴</t>
  </si>
  <si>
    <t>RMB202211089</t>
  </si>
  <si>
    <t>联塑PVC管+接头</t>
  </si>
  <si>
    <t>氰化厂立式电机+水泵</t>
  </si>
  <si>
    <t>潜孔钻、空压机配件等</t>
  </si>
  <si>
    <t>螺丝，模板，钢丝网等</t>
  </si>
  <si>
    <t>RMB202211090</t>
  </si>
  <si>
    <t>洒水车发电机4个</t>
  </si>
  <si>
    <t>等离子切割机电焊机等</t>
  </si>
  <si>
    <t>联塑弯头160个</t>
  </si>
  <si>
    <t>落地风扇30台</t>
  </si>
  <si>
    <t>风扇</t>
  </si>
  <si>
    <t>洒水车/油罐车配件</t>
  </si>
  <si>
    <t>RMB202211091</t>
  </si>
  <si>
    <t>厦工装载机起动机</t>
  </si>
  <si>
    <t>厦工装载机修理包</t>
  </si>
  <si>
    <t>破碎机填料50KG+鄂破拉杆螺丝5根</t>
  </si>
  <si>
    <t>补金磊公司球磨机衬板差价</t>
  </si>
  <si>
    <t>付赵世明浓密机液压马达等配件款</t>
  </si>
  <si>
    <t>RMB202211092</t>
  </si>
  <si>
    <t>板锤，装载机轮胎、宽体车配件等海运费</t>
  </si>
  <si>
    <t>反击破配件，潍柴油等海运费</t>
  </si>
  <si>
    <t>潜孔钻等海运费</t>
  </si>
  <si>
    <t>板锤，反击板，PE管，PVC管等海运费</t>
  </si>
  <si>
    <t>黄油800桶</t>
  </si>
  <si>
    <t>RMB202211093</t>
  </si>
  <si>
    <t>斗齿600个</t>
  </si>
  <si>
    <t>200L68号液压油59桶</t>
  </si>
  <si>
    <t>三一挖机子弹头</t>
  </si>
  <si>
    <t>三一挖机油款及修理包</t>
  </si>
  <si>
    <t>脚踏黄油机</t>
  </si>
  <si>
    <t>卡特323D2L发电机、油门马达等</t>
  </si>
  <si>
    <t>三一挖机动作正反转开关</t>
  </si>
  <si>
    <t>挖机配件、汽车吊滤芯</t>
  </si>
  <si>
    <t>RMB202211094</t>
  </si>
  <si>
    <t>碎布</t>
  </si>
  <si>
    <t>装载机配件+运费</t>
  </si>
  <si>
    <t>RMB202211095</t>
  </si>
  <si>
    <t>康明斯发电机配件</t>
  </si>
  <si>
    <t>压路机配件及快递费</t>
  </si>
  <si>
    <t>浓密机液压马达等配件运费</t>
  </si>
  <si>
    <t>堆淋场弯头等</t>
  </si>
  <si>
    <t>擦手纸+口罩</t>
  </si>
  <si>
    <t>RMB202211096</t>
  </si>
  <si>
    <t>炼金钛桶10个（2个带盖）</t>
  </si>
  <si>
    <t>铁丝等五金配件等</t>
  </si>
  <si>
    <t>喷淋带，水泵等</t>
  </si>
  <si>
    <t>球磨机寸板</t>
  </si>
  <si>
    <t>RMB202211097</t>
  </si>
  <si>
    <t>装载机液力传动油100桶</t>
  </si>
  <si>
    <t>宽体车配件1</t>
  </si>
  <si>
    <t>宽体车配件2</t>
  </si>
  <si>
    <t>洒水车电源启动钥匙开关4个</t>
  </si>
  <si>
    <t>加热器</t>
  </si>
  <si>
    <t>RMB202211098</t>
  </si>
  <si>
    <t>水泵保护器</t>
  </si>
  <si>
    <t>荣事达饮水机卷式渗透膜</t>
  </si>
  <si>
    <t>雨衣40套</t>
  </si>
  <si>
    <t>行李箱</t>
  </si>
  <si>
    <t>钢板，角钢等</t>
  </si>
  <si>
    <t>RMB202211099</t>
  </si>
  <si>
    <t>坩埚炉芯+补炉美砂+红泥</t>
  </si>
  <si>
    <t>加油车发动机脚胶垫快递费（湖北寄深圳96元，深圳寄梅城45）</t>
  </si>
  <si>
    <t>太阳能灯</t>
  </si>
  <si>
    <t>洒水车分离轴承总成</t>
  </si>
  <si>
    <t>RMB202211100</t>
  </si>
  <si>
    <t>白色塑料水管50卷</t>
  </si>
  <si>
    <t>炮头油封</t>
  </si>
  <si>
    <t>真空气门嘴、灯头、灯泡等</t>
  </si>
  <si>
    <t>厦工装载机边齿</t>
  </si>
  <si>
    <t>RMB202211101</t>
  </si>
  <si>
    <t>锌丝400KG</t>
  </si>
  <si>
    <t>驾驶室后减震器10个</t>
  </si>
  <si>
    <t>洒水车带钉分离轴承总成</t>
  </si>
  <si>
    <t>黄油嘴，铆钉，汤勺等</t>
  </si>
  <si>
    <t>RMB202211102</t>
  </si>
  <si>
    <t>矿山潜孔钻配件</t>
  </si>
  <si>
    <t>轴承滚珠100个</t>
  </si>
  <si>
    <t>高压洗车机1台</t>
  </si>
  <si>
    <t>高压洗车机</t>
  </si>
  <si>
    <t>装载机前桥修理配件2套</t>
  </si>
  <si>
    <t>RMB202211103</t>
  </si>
  <si>
    <t>板锤等海运费</t>
  </si>
  <si>
    <t>RMB202211104</t>
  </si>
  <si>
    <t>板锤，浓密机液压马达等海运费</t>
  </si>
  <si>
    <t>黄油,机油,液压油,齿轮油海运费</t>
  </si>
  <si>
    <t>液压油，黄油，齿轮油，斗齿等海运费</t>
  </si>
  <si>
    <t>板锤，挖掘机配件等海运费</t>
  </si>
  <si>
    <t>国内员工网费飞机票、隔离费、双认证费等</t>
  </si>
  <si>
    <t>RMB202211105</t>
  </si>
  <si>
    <t>2023年6月发生情况报表</t>
  </si>
  <si>
    <t>类别</t>
  </si>
  <si>
    <t>科目</t>
  </si>
  <si>
    <t>美金</t>
  </si>
  <si>
    <t>人民币</t>
  </si>
  <si>
    <t>津元</t>
  </si>
  <si>
    <t>美金合计</t>
  </si>
  <si>
    <t>原币</t>
  </si>
  <si>
    <t>资金来源</t>
  </si>
  <si>
    <t>股东投资</t>
  </si>
  <si>
    <t>股东筹资</t>
  </si>
  <si>
    <t>短期借款</t>
  </si>
  <si>
    <t>营业外收入</t>
  </si>
  <si>
    <t>合     计</t>
  </si>
  <si>
    <t>资金占用</t>
  </si>
  <si>
    <t>应收款</t>
  </si>
  <si>
    <t>生产成本</t>
  </si>
  <si>
    <t>长期待摊费用</t>
  </si>
  <si>
    <t>应付款</t>
  </si>
  <si>
    <t>资金结余</t>
  </si>
  <si>
    <t>库存现金-美金</t>
  </si>
  <si>
    <t>银行存款-津币</t>
  </si>
  <si>
    <t>其他货币资金-人民币</t>
  </si>
  <si>
    <t>项目</t>
  </si>
  <si>
    <t>各项美金
合计</t>
  </si>
  <si>
    <t>资金余额</t>
  </si>
  <si>
    <t>期初余额</t>
  </si>
  <si>
    <t>本期发生</t>
  </si>
  <si>
    <t>期末结余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</si>
</sst>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汇&quot;&quot;率&quot;0.00"/>
    <numFmt numFmtId="177" formatCode="#,##0.00_ "/>
    <numFmt numFmtId="178" formatCode="yyyy&quot;年&quot;m&quot;月&quot;d&quot;日&quot;;@"/>
    <numFmt numFmtId="179" formatCode="&quot;US$&quot;#,##0.00_);\(&quot;US$&quot;#,##0.00\)"/>
    <numFmt numFmtId="180" formatCode="&quot;￥&quot;#,##0.00_);\(&quot;￥&quot;#,##0.00\)"/>
  </numFmts>
  <fonts count="4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name val="宋体"/>
      <charset val="134"/>
    </font>
    <font>
      <sz val="12"/>
      <name val="华文新魏"/>
      <charset val="134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name val="宋体"/>
      <charset val="134"/>
    </font>
    <font>
      <sz val="12"/>
      <name val="华文新魏"/>
      <charset val="134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0"/>
      <name val="宋体"/>
      <charset val="134"/>
    </font>
    <font>
      <sz val="22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4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1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43" applyNumberFormat="0" applyAlignment="0" applyProtection="0">
      <alignment vertical="center"/>
    </xf>
    <xf numFmtId="0" fontId="33" fillId="5" borderId="44" applyNumberFormat="0" applyAlignment="0" applyProtection="0">
      <alignment vertical="center"/>
    </xf>
    <xf numFmtId="0" fontId="34" fillId="5" borderId="43" applyNumberFormat="0" applyAlignment="0" applyProtection="0">
      <alignment vertical="center"/>
    </xf>
    <xf numFmtId="0" fontId="35" fillId="6" borderId="45" applyNumberFormat="0" applyAlignment="0" applyProtection="0">
      <alignment vertical="center"/>
    </xf>
    <xf numFmtId="0" fontId="36" fillId="0" borderId="46" applyNumberFormat="0" applyFill="0" applyAlignment="0" applyProtection="0">
      <alignment vertical="center"/>
    </xf>
    <xf numFmtId="0" fontId="37" fillId="0" borderId="47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</cellStyleXfs>
  <cellXfs count="13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textRotation="255"/>
    </xf>
    <xf numFmtId="0" fontId="2" fillId="0" borderId="2" xfId="0" applyFont="1" applyFill="1" applyBorder="1" applyAlignment="1">
      <alignment horizontal="center" vertical="center" textRotation="255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right" vertical="center"/>
    </xf>
    <xf numFmtId="176" fontId="0" fillId="0" borderId="5" xfId="0" applyNumberFormat="1" applyFont="1" applyFill="1" applyBorder="1" applyAlignment="1">
      <alignment horizontal="center" vertical="center" shrinkToFi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textRotation="255"/>
    </xf>
    <xf numFmtId="0" fontId="2" fillId="0" borderId="8" xfId="0" applyFont="1" applyFill="1" applyBorder="1" applyAlignment="1">
      <alignment horizontal="center" vertical="center" textRotation="255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vertical="center" textRotation="255"/>
    </xf>
    <xf numFmtId="0" fontId="0" fillId="0" borderId="12" xfId="0" applyFont="1" applyFill="1" applyBorder="1" applyAlignment="1">
      <alignment horizontal="center" vertical="center"/>
    </xf>
    <xf numFmtId="177" fontId="0" fillId="0" borderId="12" xfId="0" applyNumberFormat="1" applyFont="1" applyFill="1" applyBorder="1" applyAlignment="1">
      <alignment vertical="center" shrinkToFit="1"/>
    </xf>
    <xf numFmtId="177" fontId="0" fillId="0" borderId="2" xfId="0" applyNumberFormat="1" applyFont="1" applyFill="1" applyBorder="1" applyAlignment="1">
      <alignment vertical="center" shrinkToFit="1"/>
    </xf>
    <xf numFmtId="0" fontId="0" fillId="0" borderId="2" xfId="0" applyFill="1" applyBorder="1" applyAlignment="1">
      <alignment vertical="center" shrinkToFit="1"/>
    </xf>
    <xf numFmtId="177" fontId="0" fillId="0" borderId="13" xfId="0" applyNumberFormat="1" applyFill="1" applyBorder="1" applyAlignment="1">
      <alignment vertical="center" shrinkToFit="1"/>
    </xf>
    <xf numFmtId="0" fontId="0" fillId="0" borderId="14" xfId="0" applyFont="1" applyFill="1" applyBorder="1" applyAlignment="1">
      <alignment horizontal="center" vertical="center"/>
    </xf>
    <xf numFmtId="177" fontId="0" fillId="0" borderId="14" xfId="0" applyNumberFormat="1" applyFont="1" applyFill="1" applyBorder="1" applyAlignment="1">
      <alignment vertical="center" shrinkToFit="1"/>
    </xf>
    <xf numFmtId="0" fontId="0" fillId="0" borderId="12" xfId="0" applyFill="1" applyBorder="1" applyAlignment="1">
      <alignment vertical="center" shrinkToFit="1"/>
    </xf>
    <xf numFmtId="177" fontId="0" fillId="0" borderId="15" xfId="0" applyNumberFormat="1" applyFill="1" applyBorder="1" applyAlignment="1">
      <alignment vertical="center" shrinkToFit="1"/>
    </xf>
    <xf numFmtId="0" fontId="0" fillId="0" borderId="14" xfId="0" applyFont="1" applyFill="1" applyBorder="1" applyAlignment="1">
      <alignment vertical="center"/>
    </xf>
    <xf numFmtId="0" fontId="2" fillId="0" borderId="16" xfId="0" applyFont="1" applyFill="1" applyBorder="1" applyAlignment="1">
      <alignment vertical="center" textRotation="255"/>
    </xf>
    <xf numFmtId="0" fontId="3" fillId="0" borderId="17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177" fontId="3" fillId="0" borderId="15" xfId="0" applyNumberFormat="1" applyFont="1" applyFill="1" applyBorder="1" applyAlignment="1">
      <alignment vertical="center" shrinkToFit="1"/>
    </xf>
    <xf numFmtId="0" fontId="2" fillId="0" borderId="19" xfId="0" applyFont="1" applyFill="1" applyBorder="1" applyAlignment="1">
      <alignment vertical="center" textRotation="255"/>
    </xf>
    <xf numFmtId="0" fontId="2" fillId="0" borderId="20" xfId="0" applyFont="1" applyFill="1" applyBorder="1" applyAlignment="1">
      <alignment vertical="center" textRotation="255"/>
    </xf>
    <xf numFmtId="0" fontId="3" fillId="0" borderId="21" xfId="0" applyFont="1" applyFill="1" applyBorder="1" applyAlignment="1">
      <alignment vertical="center"/>
    </xf>
    <xf numFmtId="0" fontId="3" fillId="0" borderId="22" xfId="0" applyFont="1" applyFill="1" applyBorder="1" applyAlignment="1">
      <alignment vertical="center"/>
    </xf>
    <xf numFmtId="177" fontId="0" fillId="0" borderId="9" xfId="0" applyNumberFormat="1" applyFont="1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177" fontId="3" fillId="0" borderId="23" xfId="0" applyNumberFormat="1" applyFont="1" applyFill="1" applyBorder="1" applyAlignment="1">
      <alignment vertical="center" shrinkToFit="1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 vertical="center" textRotation="255"/>
    </xf>
    <xf numFmtId="0" fontId="2" fillId="0" borderId="0" xfId="0" applyFont="1" applyFill="1" applyBorder="1" applyAlignment="1">
      <alignment horizontal="center" vertical="center" textRotation="255"/>
    </xf>
    <xf numFmtId="177" fontId="0" fillId="0" borderId="1" xfId="0" applyNumberFormat="1" applyFont="1" applyFill="1" applyBorder="1" applyAlignment="1">
      <alignment vertical="center" shrinkToFit="1"/>
    </xf>
    <xf numFmtId="177" fontId="0" fillId="0" borderId="13" xfId="0" applyNumberFormat="1" applyFont="1" applyFill="1" applyBorder="1" applyAlignment="1">
      <alignment vertical="center" shrinkToFit="1"/>
    </xf>
    <xf numFmtId="177" fontId="0" fillId="0" borderId="32" xfId="0" applyNumberFormat="1" applyFont="1" applyFill="1" applyBorder="1" applyAlignment="1">
      <alignment vertical="center" shrinkToFit="1"/>
    </xf>
    <xf numFmtId="177" fontId="0" fillId="0" borderId="15" xfId="0" applyNumberFormat="1" applyFont="1" applyFill="1" applyBorder="1" applyAlignment="1">
      <alignment vertical="center" shrinkToFit="1"/>
    </xf>
    <xf numFmtId="0" fontId="2" fillId="0" borderId="27" xfId="0" applyFont="1" applyFill="1" applyBorder="1" applyAlignment="1">
      <alignment horizontal="center" vertical="center" textRotation="255"/>
    </xf>
    <xf numFmtId="0" fontId="2" fillId="0" borderId="33" xfId="0" applyFont="1" applyFill="1" applyBorder="1" applyAlignment="1">
      <alignment horizontal="center" vertical="center" textRotation="255"/>
    </xf>
    <xf numFmtId="177" fontId="0" fillId="0" borderId="7" xfId="0" applyNumberFormat="1" applyFont="1" applyFill="1" applyBorder="1" applyAlignment="1">
      <alignment vertical="center" shrinkToFit="1"/>
    </xf>
    <xf numFmtId="177" fontId="0" fillId="0" borderId="8" xfId="0" applyNumberFormat="1" applyFont="1" applyFill="1" applyBorder="1" applyAlignment="1">
      <alignment vertical="center" shrinkToFit="1"/>
    </xf>
    <xf numFmtId="177" fontId="0" fillId="0" borderId="23" xfId="0" applyNumberFormat="1" applyFont="1" applyFill="1" applyBorder="1" applyAlignment="1">
      <alignment vertical="center" shrinkToFi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right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7" fillId="0" borderId="34" xfId="0" applyNumberFormat="1" applyFont="1" applyFill="1" applyBorder="1" applyAlignment="1" applyProtection="1">
      <alignment horizontal="center" vertical="center"/>
    </xf>
    <xf numFmtId="0" fontId="7" fillId="0" borderId="35" xfId="0" applyNumberFormat="1" applyFont="1" applyFill="1" applyBorder="1" applyAlignment="1" applyProtection="1">
      <alignment horizontal="center" vertical="center"/>
    </xf>
    <xf numFmtId="0" fontId="7" fillId="0" borderId="36" xfId="0" applyNumberFormat="1" applyFont="1" applyFill="1" applyBorder="1" applyAlignment="1" applyProtection="1">
      <alignment horizontal="center" vertical="center"/>
    </xf>
    <xf numFmtId="0" fontId="7" fillId="0" borderId="14" xfId="0" applyNumberFormat="1" applyFont="1" applyFill="1" applyBorder="1" applyAlignment="1" applyProtection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5" fillId="0" borderId="14" xfId="0" applyFont="1" applyFill="1" applyBorder="1" applyAlignment="1">
      <alignment vertical="center" wrapText="1"/>
    </xf>
    <xf numFmtId="0" fontId="7" fillId="0" borderId="37" xfId="0" applyNumberFormat="1" applyFont="1" applyFill="1" applyBorder="1" applyAlignment="1" applyProtection="1">
      <alignment horizontal="center" vertical="center"/>
    </xf>
    <xf numFmtId="0" fontId="7" fillId="0" borderId="38" xfId="0" applyNumberFormat="1" applyFont="1" applyFill="1" applyBorder="1" applyAlignment="1" applyProtection="1">
      <alignment horizontal="center" vertical="center"/>
    </xf>
    <xf numFmtId="0" fontId="8" fillId="0" borderId="14" xfId="0" applyNumberFormat="1" applyFont="1" applyFill="1" applyBorder="1" applyAlignment="1" applyProtection="1">
      <alignment horizontal="center" vertical="center"/>
    </xf>
    <xf numFmtId="0" fontId="9" fillId="0" borderId="14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vertical="center" shrinkToFit="1"/>
    </xf>
    <xf numFmtId="43" fontId="10" fillId="0" borderId="14" xfId="0" applyNumberFormat="1" applyFont="1" applyFill="1" applyBorder="1" applyAlignment="1">
      <alignment vertical="center" shrinkToFit="1"/>
    </xf>
    <xf numFmtId="0" fontId="10" fillId="0" borderId="14" xfId="0" applyFont="1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5" fillId="0" borderId="14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vertical="center" shrinkToFit="1"/>
    </xf>
    <xf numFmtId="43" fontId="0" fillId="0" borderId="14" xfId="0" applyNumberFormat="1" applyFont="1" applyFill="1" applyBorder="1" applyAlignment="1">
      <alignment vertical="center" shrinkToFit="1"/>
    </xf>
    <xf numFmtId="0" fontId="0" fillId="0" borderId="0" xfId="0" applyFont="1" applyFill="1" applyAlignment="1">
      <alignment vertical="center"/>
    </xf>
    <xf numFmtId="0" fontId="11" fillId="0" borderId="0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right"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14" fillId="0" borderId="34" xfId="0" applyNumberFormat="1" applyFont="1" applyFill="1" applyBorder="1" applyAlignment="1" applyProtection="1">
      <alignment horizontal="center" vertical="center"/>
    </xf>
    <xf numFmtId="0" fontId="14" fillId="0" borderId="35" xfId="0" applyNumberFormat="1" applyFont="1" applyFill="1" applyBorder="1" applyAlignment="1" applyProtection="1">
      <alignment horizontal="center" vertical="center"/>
    </xf>
    <xf numFmtId="0" fontId="14" fillId="0" borderId="36" xfId="0" applyNumberFormat="1" applyFont="1" applyFill="1" applyBorder="1" applyAlignment="1" applyProtection="1">
      <alignment horizontal="center" vertical="center"/>
    </xf>
    <xf numFmtId="0" fontId="14" fillId="0" borderId="14" xfId="0" applyNumberFormat="1" applyFont="1" applyFill="1" applyBorder="1" applyAlignment="1" applyProtection="1">
      <alignment horizontal="center" vertical="center"/>
    </xf>
    <xf numFmtId="0" fontId="12" fillId="0" borderId="14" xfId="0" applyFont="1" applyFill="1" applyBorder="1" applyAlignment="1">
      <alignment vertical="center" wrapText="1"/>
    </xf>
    <xf numFmtId="0" fontId="14" fillId="0" borderId="37" xfId="0" applyNumberFormat="1" applyFont="1" applyFill="1" applyBorder="1" applyAlignment="1" applyProtection="1">
      <alignment horizontal="center" vertical="center"/>
    </xf>
    <xf numFmtId="0" fontId="14" fillId="0" borderId="38" xfId="0" applyNumberFormat="1" applyFont="1" applyFill="1" applyBorder="1" applyAlignment="1" applyProtection="1">
      <alignment horizontal="center" vertical="center"/>
    </xf>
    <xf numFmtId="0" fontId="15" fillId="0" borderId="14" xfId="0" applyNumberFormat="1" applyFont="1" applyFill="1" applyBorder="1" applyAlignment="1" applyProtection="1">
      <alignment horizontal="center" vertical="center"/>
    </xf>
    <xf numFmtId="0" fontId="16" fillId="0" borderId="14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vertical="center" shrinkToFit="1"/>
    </xf>
    <xf numFmtId="43" fontId="17" fillId="0" borderId="14" xfId="0" applyNumberFormat="1" applyFont="1" applyFill="1" applyBorder="1" applyAlignment="1">
      <alignment vertical="center" shrinkToFit="1"/>
    </xf>
    <xf numFmtId="0" fontId="17" fillId="0" borderId="14" xfId="0" applyFont="1" applyFill="1" applyBorder="1" applyAlignment="1">
      <alignment vertical="center"/>
    </xf>
    <xf numFmtId="0" fontId="12" fillId="0" borderId="14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vertical="center" shrinkToFit="1"/>
    </xf>
    <xf numFmtId="0" fontId="19" fillId="0" borderId="14" xfId="0" applyFont="1" applyFill="1" applyBorder="1" applyAlignment="1">
      <alignment vertical="center" shrinkToFit="1"/>
    </xf>
    <xf numFmtId="43" fontId="19" fillId="0" borderId="14" xfId="0" applyNumberFormat="1" applyFont="1" applyFill="1" applyBorder="1" applyAlignment="1">
      <alignment vertical="center" shrinkToFit="1"/>
    </xf>
    <xf numFmtId="43" fontId="18" fillId="0" borderId="14" xfId="0" applyNumberFormat="1" applyFont="1" applyFill="1" applyBorder="1" applyAlignment="1">
      <alignment vertical="center" shrinkToFit="1"/>
    </xf>
    <xf numFmtId="0" fontId="20" fillId="0" borderId="14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/>
    </xf>
    <xf numFmtId="178" fontId="22" fillId="0" borderId="17" xfId="0" applyNumberFormat="1" applyFont="1" applyFill="1" applyBorder="1" applyAlignment="1">
      <alignment horizontal="center" vertical="center" wrapText="1"/>
    </xf>
    <xf numFmtId="178" fontId="22" fillId="0" borderId="39" xfId="0" applyNumberFormat="1" applyFont="1" applyFill="1" applyBorder="1" applyAlignment="1">
      <alignment horizontal="center" vertical="center" wrapText="1"/>
    </xf>
    <xf numFmtId="178" fontId="22" fillId="0" borderId="39" xfId="0" applyNumberFormat="1" applyFont="1" applyFill="1" applyBorder="1" applyAlignment="1">
      <alignment horizontal="right" vertical="center" wrapText="1"/>
    </xf>
    <xf numFmtId="178" fontId="22" fillId="0" borderId="18" xfId="0" applyNumberFormat="1" applyFont="1" applyFill="1" applyBorder="1" applyAlignment="1">
      <alignment horizontal="center" vertical="center" wrapText="1"/>
    </xf>
    <xf numFmtId="178" fontId="22" fillId="0" borderId="14" xfId="0" applyNumberFormat="1" applyFont="1" applyFill="1" applyBorder="1" applyAlignment="1">
      <alignment vertical="center" wrapText="1"/>
    </xf>
    <xf numFmtId="0" fontId="21" fillId="0" borderId="0" xfId="0" applyFont="1" applyFill="1" applyBorder="1" applyAlignment="1">
      <alignment horizontal="center" vertical="center"/>
    </xf>
    <xf numFmtId="0" fontId="21" fillId="0" borderId="14" xfId="0" applyFont="1" applyFill="1" applyBorder="1" applyAlignment="1">
      <alignment horizontal="center" vertical="center" wrapText="1"/>
    </xf>
    <xf numFmtId="178" fontId="21" fillId="0" borderId="14" xfId="0" applyNumberFormat="1" applyFont="1" applyFill="1" applyBorder="1" applyAlignment="1">
      <alignment horizontal="center" vertical="center" wrapText="1"/>
    </xf>
    <xf numFmtId="179" fontId="21" fillId="0" borderId="14" xfId="0" applyNumberFormat="1" applyFont="1" applyFill="1" applyBorder="1" applyAlignment="1">
      <alignment horizontal="center" vertical="center" wrapText="1"/>
    </xf>
    <xf numFmtId="180" fontId="21" fillId="0" borderId="14" xfId="0" applyNumberFormat="1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/>
    </xf>
    <xf numFmtId="0" fontId="21" fillId="0" borderId="14" xfId="0" applyFont="1" applyFill="1" applyBorder="1" applyAlignment="1">
      <alignment horizontal="right" vertical="center" wrapText="1"/>
    </xf>
    <xf numFmtId="178" fontId="21" fillId="0" borderId="14" xfId="0" applyNumberFormat="1" applyFont="1" applyFill="1" applyBorder="1" applyAlignment="1">
      <alignment horizontal="center" vertical="center"/>
    </xf>
    <xf numFmtId="0" fontId="21" fillId="0" borderId="14" xfId="0" applyFont="1" applyFill="1" applyBorder="1" applyAlignment="1">
      <alignment horizontal="right" vertical="center"/>
    </xf>
    <xf numFmtId="179" fontId="21" fillId="0" borderId="14" xfId="0" applyNumberFormat="1" applyFont="1" applyFill="1" applyBorder="1" applyAlignment="1">
      <alignment horizontal="center" vertical="center"/>
    </xf>
    <xf numFmtId="0" fontId="23" fillId="0" borderId="14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vertical="center"/>
    </xf>
    <xf numFmtId="178" fontId="21" fillId="2" borderId="14" xfId="0" applyNumberFormat="1" applyFont="1" applyFill="1" applyBorder="1" applyAlignment="1">
      <alignment vertical="center"/>
    </xf>
    <xf numFmtId="0" fontId="21" fillId="2" borderId="14" xfId="0" applyFont="1" applyFill="1" applyBorder="1" applyAlignment="1">
      <alignment horizontal="right" vertical="center"/>
    </xf>
    <xf numFmtId="179" fontId="21" fillId="2" borderId="14" xfId="0" applyNumberFormat="1" applyFont="1" applyFill="1" applyBorder="1" applyAlignment="1">
      <alignment horizontal="center" vertical="center"/>
    </xf>
    <xf numFmtId="179" fontId="21" fillId="2" borderId="14" xfId="0" applyNumberFormat="1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/>
    </xf>
    <xf numFmtId="180" fontId="21" fillId="2" borderId="14" xfId="0" applyNumberFormat="1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vertical="center"/>
    </xf>
    <xf numFmtId="178" fontId="21" fillId="0" borderId="14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F:\Users\LENOVO\AppData\Local\Temp\baiduyunguanjia\onlinedit\cache\d00e4f07e8ea560aea45fbacec271a6e\&#19996;&#26725;&#20892;&#36152;&#22478;&#36134;&#21153;&#22788;&#29702;&#65288;20181117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BC&#35760;&#36134;&#24213;&#31295;&#3613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2654;&#20803;&#35760;&#36134;&#24213;&#31295;&#36134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20154;&#27665;&#24065;&#35760;&#36134;&#24213;&#31295;&#3613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金宇建筑公司东桥农贸场2016年2月16日止未入账凭证移交表 "/>
      <sheetName val="目录"/>
      <sheetName val="金宇建筑东桥农贸城科目余额表（2018年11月17日）"/>
      <sheetName val="记帐凭证汇总表"/>
      <sheetName val="股东分红明细表2018年11月17日）"/>
      <sheetName val="长期借款收付明细表"/>
      <sheetName val="金宇建筑公司东桥农贸场收付款凭证移交表"/>
      <sheetName val="记帐凭证"/>
      <sheetName val="库存现金-王丹明细账"/>
      <sheetName val="工程结算明细账"/>
      <sheetName val="工程施工-EPS线条明细账"/>
      <sheetName val="工程施工-保险费明细账"/>
      <sheetName val="工程施工-瓷砖明细账"/>
      <sheetName val="工程施工-钢材明细账"/>
      <sheetName val="工程施工-管理工资及福利费明细账"/>
      <sheetName val="工程施工-涵管明细账 "/>
      <sheetName val="工程施工-化粪池明细账"/>
      <sheetName val="工程施工-临时设施明细账"/>
      <sheetName val="工程施工-混凝土坪明细账"/>
      <sheetName val="工程施工-机械台班明细账 "/>
      <sheetName val="工程施工-借款利息明细账 "/>
      <sheetName val="工程施工-其它材料明细账"/>
      <sheetName val="工程施工-其它费用明细账 "/>
      <sheetName val="工程施工-砂石明细账 "/>
      <sheetName val="工程施工-水电明细账  "/>
      <sheetName val="工程施工-水泥明细账"/>
      <sheetName val="工程施工-税费明细账  "/>
      <sheetName val="工程施工-油漆明细账 "/>
      <sheetName val="工程施工-瓦及配件"/>
      <sheetName val="工程施工-招待费明细账 "/>
      <sheetName val="工程施工-直接人工费明细账"/>
      <sheetName val="工程施工-砖块明细账"/>
      <sheetName val="工程施工-桩基础明细账 "/>
      <sheetName val="固定资产明细账 "/>
      <sheetName val="其它应付款-戴总明细账"/>
      <sheetName val="其它应付款-罗文跃明细账  "/>
      <sheetName val="其它应付款-王丹明细账"/>
      <sheetName val="其它应收款-安化县金宇建筑公司明细账"/>
      <sheetName val="其它应收款-黄益祥明细账 "/>
      <sheetName val="其它应收款-水桶押金"/>
      <sheetName val="其它应收款-尹艳辉明细账 "/>
      <sheetName val="其它应收款-安化县三欣房地产有限明细账"/>
      <sheetName val="应付利润-股东分红明细账 "/>
      <sheetName val="应付账款-谌图章明细账  "/>
      <sheetName val="应付账款-油漆（王国春）明细账  "/>
      <sheetName val="应付账款-李旺（长沙品心建材经营部）明细账  "/>
      <sheetName val="预付账款-安化县金华混凝土有限公司明细账 "/>
      <sheetName val="预付账款-劳务费（罗文跃）明细账 "/>
      <sheetName val="预付账款-砖块（汪正安）明细账"/>
      <sheetName val="预付账款-砖块（桃江张高祥）明细账"/>
      <sheetName val="预付账款-砖块（丁秩付）明细账  "/>
      <sheetName val="预付账款-砖块（李外华）明细账  "/>
      <sheetName val="预付账款-油漆（谌敦元）明细账 "/>
      <sheetName val="预付账款-砖块（谌晓健）明细账  "/>
      <sheetName val="预付账款-砖块（益阳袁伏其）明细账"/>
      <sheetName val="预付账款-砖块（雨来砖厂周建群）明细账 "/>
      <sheetName val="预付账款-涂料（谌艳芬）明细账   "/>
      <sheetName val="预付账款-防水处理（谌进苗）明细账  "/>
      <sheetName val="预付账款-层面保温（邓伟华）明细账  "/>
      <sheetName val="预付账款-砂石款（谌志军）明细账  "/>
      <sheetName val="预付账款-砂石款（刘海丰）"/>
      <sheetName val="预付账款-水泥（蒋碧萍）明细账   "/>
      <sheetName val="预付账款-抛桩工程（张宏奎）明细账  "/>
      <sheetName val="预付账款-吊车（李忠政）明细账  "/>
      <sheetName val="预付账款-小挖机（邹武中）明细账  "/>
      <sheetName val="预付账款-挖机台班（余燕辉）明细账  "/>
      <sheetName val="预付账款-工程资料费（王湛）明细账 "/>
      <sheetName val="预收账款-安化县三欣房地产有限公司明细账"/>
      <sheetName val="长期借款-谌文艺明细账 "/>
      <sheetName val="2015年1-12月凭证汇总表"/>
      <sheetName val="利润分配"/>
      <sheetName val="本年利润"/>
      <sheetName val="定义名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汇总"/>
    </sheetNames>
    <sheetDataSet>
      <sheetData sheetId="0">
        <row r="2">
          <cell r="A2" t="str">
            <v>2022年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汇总"/>
      <sheetName val="Sheet1"/>
    </sheetNames>
    <sheetDataSet>
      <sheetData sheetId="0">
        <row r="2">
          <cell r="A2" t="str">
            <v>2022年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汇总"/>
    </sheetNames>
    <sheetDataSet>
      <sheetData sheetId="0">
        <row r="2">
          <cell r="A2" t="str">
            <v>2022年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L36"/>
  <sheetViews>
    <sheetView topLeftCell="A9" workbookViewId="0">
      <selection activeCell="I6" sqref="I6"/>
    </sheetView>
  </sheetViews>
  <sheetFormatPr defaultColWidth="9" defaultRowHeight="13.5"/>
  <cols>
    <col min="1" max="1" width="9" style="1"/>
    <col min="2" max="3" width="13.625" style="1" customWidth="1"/>
    <col min="4" max="5" width="9" style="1"/>
    <col min="6" max="6" width="16" style="1" customWidth="1"/>
    <col min="7" max="7" width="17" style="1" customWidth="1"/>
    <col min="8" max="9" width="9" style="1"/>
    <col min="10" max="10" width="15.875" style="1" customWidth="1"/>
    <col min="11" max="16384" width="9" style="1"/>
  </cols>
  <sheetData>
    <row r="1" s="106" customFormat="1" ht="42" customHeight="1" spans="1:246">
      <c r="A1" s="109" t="s">
        <v>0</v>
      </c>
      <c r="B1" s="110"/>
      <c r="C1" s="110"/>
      <c r="D1" s="111"/>
      <c r="E1" s="111"/>
      <c r="F1" s="110"/>
      <c r="G1" s="112"/>
      <c r="H1" s="113"/>
      <c r="I1" s="113"/>
      <c r="J1" s="113"/>
      <c r="K1" s="113"/>
      <c r="L1" s="113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  <c r="CF1" s="114"/>
      <c r="CG1" s="114"/>
      <c r="CH1" s="114"/>
      <c r="CI1" s="114"/>
      <c r="CJ1" s="114"/>
      <c r="CK1" s="114"/>
      <c r="CL1" s="114"/>
      <c r="CM1" s="114"/>
      <c r="CN1" s="114"/>
      <c r="CO1" s="114"/>
      <c r="CP1" s="114"/>
      <c r="CQ1" s="114"/>
      <c r="CR1" s="114"/>
      <c r="CS1" s="114"/>
      <c r="CT1" s="114"/>
      <c r="CU1" s="114"/>
      <c r="CV1" s="114"/>
      <c r="CW1" s="114"/>
      <c r="CX1" s="114"/>
      <c r="CY1" s="114"/>
      <c r="CZ1" s="114"/>
      <c r="DA1" s="114"/>
      <c r="DB1" s="114"/>
      <c r="DC1" s="114"/>
      <c r="DD1" s="114"/>
      <c r="DE1" s="114"/>
      <c r="DF1" s="114"/>
      <c r="DG1" s="114"/>
      <c r="DH1" s="114"/>
      <c r="DI1" s="114"/>
      <c r="DJ1" s="114"/>
      <c r="DK1" s="114"/>
      <c r="DL1" s="114"/>
      <c r="DM1" s="114"/>
      <c r="DN1" s="114"/>
      <c r="DO1" s="114"/>
      <c r="DP1" s="114"/>
      <c r="DQ1" s="114"/>
      <c r="DR1" s="114"/>
      <c r="DS1" s="114"/>
      <c r="DT1" s="114"/>
      <c r="DU1" s="114"/>
      <c r="DV1" s="114"/>
      <c r="DW1" s="114"/>
      <c r="DX1" s="114"/>
      <c r="DY1" s="114"/>
      <c r="DZ1" s="114"/>
      <c r="EA1" s="114"/>
      <c r="EB1" s="114"/>
      <c r="EC1" s="114"/>
      <c r="ED1" s="114"/>
      <c r="EE1" s="114"/>
      <c r="EF1" s="114"/>
      <c r="EG1" s="114"/>
      <c r="EH1" s="114"/>
      <c r="EI1" s="114"/>
      <c r="EJ1" s="114"/>
      <c r="EK1" s="114"/>
      <c r="EL1" s="114"/>
      <c r="EM1" s="114"/>
      <c r="EN1" s="114"/>
      <c r="EO1" s="114"/>
      <c r="EP1" s="114"/>
      <c r="EQ1" s="114"/>
      <c r="ER1" s="114"/>
      <c r="ES1" s="114"/>
      <c r="ET1" s="114"/>
      <c r="EU1" s="114"/>
      <c r="EV1" s="114"/>
      <c r="EW1" s="114"/>
      <c r="EX1" s="114"/>
      <c r="EY1" s="114"/>
      <c r="EZ1" s="114"/>
      <c r="FA1" s="114"/>
      <c r="FB1" s="114"/>
      <c r="FC1" s="114"/>
      <c r="FD1" s="114"/>
      <c r="FE1" s="114"/>
      <c r="FF1" s="114"/>
      <c r="FG1" s="114"/>
      <c r="FH1" s="114"/>
      <c r="FI1" s="114"/>
      <c r="FJ1" s="114"/>
      <c r="FK1" s="114"/>
      <c r="FL1" s="114"/>
      <c r="FM1" s="114"/>
      <c r="FN1" s="114"/>
      <c r="FO1" s="114"/>
      <c r="FP1" s="114"/>
      <c r="FQ1" s="114"/>
      <c r="FR1" s="114"/>
      <c r="FS1" s="114"/>
      <c r="FT1" s="114"/>
      <c r="FU1" s="114"/>
      <c r="FV1" s="114"/>
      <c r="FW1" s="114"/>
      <c r="FX1" s="114"/>
      <c r="FY1" s="114"/>
      <c r="FZ1" s="114"/>
      <c r="GA1" s="114"/>
      <c r="GB1" s="114"/>
      <c r="GC1" s="114"/>
      <c r="GD1" s="114"/>
      <c r="GE1" s="114"/>
      <c r="GF1" s="114"/>
      <c r="GG1" s="114"/>
      <c r="GH1" s="114"/>
      <c r="GI1" s="114"/>
      <c r="GJ1" s="114"/>
      <c r="GK1" s="114"/>
      <c r="GL1" s="114"/>
      <c r="GM1" s="114"/>
      <c r="GN1" s="114"/>
      <c r="GO1" s="114"/>
      <c r="GP1" s="114"/>
      <c r="GQ1" s="114"/>
      <c r="GR1" s="114"/>
      <c r="GS1" s="114"/>
      <c r="GT1" s="114"/>
      <c r="GU1" s="114"/>
      <c r="GV1" s="114"/>
      <c r="GW1" s="114"/>
      <c r="GX1" s="114"/>
      <c r="GY1" s="114"/>
      <c r="GZ1" s="114"/>
      <c r="HA1" s="114"/>
      <c r="HB1" s="114"/>
      <c r="HC1" s="114"/>
      <c r="HD1" s="114"/>
      <c r="HE1" s="114"/>
      <c r="HF1" s="114"/>
      <c r="HG1" s="114"/>
      <c r="HH1" s="114"/>
      <c r="HI1" s="114"/>
      <c r="HJ1" s="114"/>
      <c r="HK1" s="114"/>
      <c r="HL1" s="114"/>
      <c r="HM1" s="114"/>
      <c r="HN1" s="114"/>
      <c r="HO1" s="114"/>
      <c r="HP1" s="114"/>
      <c r="HQ1" s="114"/>
      <c r="HR1" s="114"/>
      <c r="HS1" s="114"/>
      <c r="HT1" s="114"/>
      <c r="HU1" s="114"/>
      <c r="HV1" s="114"/>
      <c r="HW1" s="114"/>
      <c r="HX1" s="114"/>
      <c r="HY1" s="114"/>
      <c r="HZ1" s="114"/>
      <c r="IA1" s="114"/>
      <c r="IB1" s="114"/>
      <c r="IC1" s="114"/>
      <c r="ID1" s="114"/>
      <c r="IE1" s="114"/>
      <c r="IF1" s="114"/>
      <c r="IG1" s="114"/>
      <c r="IH1" s="114"/>
      <c r="II1" s="114"/>
      <c r="IJ1" s="114"/>
      <c r="IK1" s="114"/>
      <c r="IL1" s="114"/>
    </row>
    <row r="2" s="107" customFormat="1" ht="37" customHeight="1" spans="1:246">
      <c r="A2" s="115" t="s">
        <v>1</v>
      </c>
      <c r="B2" s="116" t="s">
        <v>2</v>
      </c>
      <c r="C2" s="116" t="s">
        <v>3</v>
      </c>
      <c r="D2" s="115" t="s">
        <v>4</v>
      </c>
      <c r="E2" s="115" t="s">
        <v>5</v>
      </c>
      <c r="F2" s="117" t="s">
        <v>6</v>
      </c>
      <c r="G2" s="117" t="s">
        <v>7</v>
      </c>
      <c r="H2" s="115" t="s">
        <v>8</v>
      </c>
      <c r="I2" s="115" t="s">
        <v>9</v>
      </c>
      <c r="J2" s="118" t="s">
        <v>10</v>
      </c>
      <c r="K2" s="119" t="s">
        <v>11</v>
      </c>
      <c r="L2" s="115" t="s">
        <v>12</v>
      </c>
    </row>
    <row r="3" s="107" customFormat="1" ht="21" customHeight="1" spans="1:246">
      <c r="A3" s="115">
        <v>1</v>
      </c>
      <c r="B3" s="116">
        <v>44488</v>
      </c>
      <c r="C3" s="116">
        <v>44489</v>
      </c>
      <c r="D3" s="120">
        <v>8283.16</v>
      </c>
      <c r="E3" s="120">
        <v>8283.16</v>
      </c>
      <c r="F3" s="117">
        <v>461123</v>
      </c>
      <c r="G3" s="117">
        <f>F3</f>
        <v>461123</v>
      </c>
      <c r="H3" s="115">
        <f t="shared" ref="H3:H7" si="0">E3-D3</f>
        <v>0</v>
      </c>
      <c r="I3" s="115">
        <v>6.1</v>
      </c>
      <c r="J3" s="118">
        <f t="shared" ref="J3:J36" si="1">I3*F3</f>
        <v>2812850.3</v>
      </c>
      <c r="K3" s="119" t="s">
        <v>13</v>
      </c>
      <c r="L3" s="115"/>
    </row>
    <row r="4" s="107" customFormat="1" ht="21" customHeight="1" spans="1:246">
      <c r="A4" s="115">
        <v>2</v>
      </c>
      <c r="B4" s="116">
        <v>44494</v>
      </c>
      <c r="C4" s="116">
        <v>44495</v>
      </c>
      <c r="D4" s="120">
        <v>3810.58</v>
      </c>
      <c r="E4" s="120">
        <v>3810.58</v>
      </c>
      <c r="F4" s="117">
        <v>217584</v>
      </c>
      <c r="G4" s="117">
        <f t="shared" ref="G4:G36" si="2">G3+F4</f>
        <v>678707</v>
      </c>
      <c r="H4" s="115">
        <f t="shared" si="0"/>
        <v>0</v>
      </c>
      <c r="I4" s="115">
        <v>6.1</v>
      </c>
      <c r="J4" s="118">
        <f t="shared" si="1"/>
        <v>1327262.4</v>
      </c>
      <c r="K4" s="119" t="s">
        <v>13</v>
      </c>
      <c r="L4" s="115"/>
    </row>
    <row r="5" s="106" customFormat="1" ht="21" customHeight="1" spans="1:246">
      <c r="A5" s="115">
        <v>3</v>
      </c>
      <c r="B5" s="121">
        <v>44506</v>
      </c>
      <c r="C5" s="116">
        <v>44508</v>
      </c>
      <c r="D5" s="122">
        <v>16055.44</v>
      </c>
      <c r="E5" s="122">
        <v>16055.44</v>
      </c>
      <c r="F5" s="123">
        <v>919655</v>
      </c>
      <c r="G5" s="117">
        <f t="shared" si="2"/>
        <v>1598362</v>
      </c>
      <c r="H5" s="115">
        <f t="shared" si="0"/>
        <v>0</v>
      </c>
      <c r="I5" s="115">
        <v>6.1</v>
      </c>
      <c r="J5" s="118">
        <f t="shared" si="1"/>
        <v>5609895.5</v>
      </c>
      <c r="K5" s="119" t="s">
        <v>13</v>
      </c>
      <c r="L5" s="119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114"/>
      <c r="BN5" s="114"/>
      <c r="BO5" s="114"/>
      <c r="BP5" s="114"/>
      <c r="BQ5" s="114"/>
      <c r="BR5" s="114"/>
      <c r="BS5" s="114"/>
      <c r="BT5" s="114"/>
      <c r="BU5" s="114"/>
      <c r="BV5" s="114"/>
      <c r="BW5" s="114"/>
      <c r="BX5" s="114"/>
      <c r="BY5" s="114"/>
      <c r="BZ5" s="114"/>
      <c r="CA5" s="114"/>
      <c r="CB5" s="114"/>
      <c r="CC5" s="114"/>
      <c r="CD5" s="114"/>
      <c r="CE5" s="114"/>
      <c r="CF5" s="114"/>
      <c r="CG5" s="114"/>
      <c r="CH5" s="114"/>
      <c r="CI5" s="114"/>
      <c r="CJ5" s="114"/>
      <c r="CK5" s="114"/>
      <c r="CL5" s="114"/>
      <c r="CM5" s="114"/>
      <c r="CN5" s="114"/>
      <c r="CO5" s="114"/>
      <c r="CP5" s="114"/>
      <c r="CQ5" s="114"/>
      <c r="CR5" s="114"/>
      <c r="CS5" s="114"/>
      <c r="CT5" s="114"/>
      <c r="CU5" s="114"/>
      <c r="CV5" s="114"/>
      <c r="CW5" s="114"/>
      <c r="CX5" s="114"/>
      <c r="CY5" s="114"/>
      <c r="CZ5" s="114"/>
      <c r="DA5" s="114"/>
      <c r="DB5" s="114"/>
      <c r="DC5" s="114"/>
      <c r="DD5" s="114"/>
      <c r="DE5" s="114"/>
      <c r="DF5" s="114"/>
      <c r="DG5" s="114"/>
      <c r="DH5" s="114"/>
      <c r="DI5" s="114"/>
      <c r="DJ5" s="114"/>
      <c r="DK5" s="114"/>
      <c r="DL5" s="114"/>
      <c r="DM5" s="114"/>
      <c r="DN5" s="114"/>
      <c r="DO5" s="114"/>
      <c r="DP5" s="114"/>
      <c r="DQ5" s="114"/>
      <c r="DR5" s="114"/>
      <c r="DS5" s="114"/>
      <c r="DT5" s="114"/>
      <c r="DU5" s="114"/>
      <c r="DV5" s="114"/>
      <c r="DW5" s="114"/>
      <c r="DX5" s="114"/>
      <c r="DY5" s="114"/>
      <c r="DZ5" s="114"/>
      <c r="EA5" s="114"/>
      <c r="EB5" s="114"/>
      <c r="EC5" s="114"/>
      <c r="ED5" s="114"/>
      <c r="EE5" s="114"/>
      <c r="EF5" s="114"/>
      <c r="EG5" s="114"/>
      <c r="EH5" s="114"/>
      <c r="EI5" s="114"/>
      <c r="EJ5" s="114"/>
      <c r="EK5" s="114"/>
      <c r="EL5" s="114"/>
      <c r="EM5" s="114"/>
      <c r="EN5" s="114"/>
      <c r="EO5" s="114"/>
      <c r="EP5" s="114"/>
      <c r="EQ5" s="114"/>
      <c r="ER5" s="114"/>
      <c r="ES5" s="114"/>
      <c r="ET5" s="114"/>
      <c r="EU5" s="114"/>
      <c r="EV5" s="114"/>
      <c r="EW5" s="114"/>
      <c r="EX5" s="114"/>
      <c r="EY5" s="114"/>
      <c r="EZ5" s="114"/>
      <c r="FA5" s="114"/>
      <c r="FB5" s="114"/>
      <c r="FC5" s="114"/>
      <c r="FD5" s="114"/>
      <c r="FE5" s="114"/>
      <c r="FF5" s="114"/>
      <c r="FG5" s="114"/>
      <c r="FH5" s="114"/>
      <c r="FI5" s="114"/>
      <c r="FJ5" s="114"/>
      <c r="FK5" s="114"/>
      <c r="FL5" s="114"/>
      <c r="FM5" s="114"/>
      <c r="FN5" s="114"/>
      <c r="FO5" s="114"/>
      <c r="FP5" s="114"/>
      <c r="FQ5" s="114"/>
      <c r="FR5" s="114"/>
      <c r="FS5" s="114"/>
      <c r="FT5" s="114"/>
      <c r="FU5" s="114"/>
      <c r="FV5" s="114"/>
      <c r="FW5" s="114"/>
      <c r="FX5" s="114"/>
      <c r="FY5" s="114"/>
      <c r="FZ5" s="114"/>
      <c r="GA5" s="114"/>
      <c r="GB5" s="114"/>
      <c r="GC5" s="114"/>
      <c r="GD5" s="114"/>
      <c r="GE5" s="114"/>
      <c r="GF5" s="114"/>
      <c r="GG5" s="114"/>
      <c r="GH5" s="114"/>
      <c r="GI5" s="114"/>
      <c r="GJ5" s="114"/>
      <c r="GK5" s="114"/>
      <c r="GL5" s="114"/>
      <c r="GM5" s="114"/>
      <c r="GN5" s="114"/>
      <c r="GO5" s="114"/>
      <c r="GP5" s="114"/>
      <c r="GQ5" s="114"/>
      <c r="GR5" s="114"/>
      <c r="GS5" s="114"/>
      <c r="GT5" s="114"/>
      <c r="GU5" s="114"/>
      <c r="GV5" s="114"/>
      <c r="GW5" s="114"/>
      <c r="GX5" s="114"/>
      <c r="GY5" s="114"/>
      <c r="GZ5" s="114"/>
      <c r="HA5" s="114"/>
      <c r="HB5" s="114"/>
      <c r="HC5" s="114"/>
      <c r="HD5" s="114"/>
      <c r="HE5" s="114"/>
      <c r="HF5" s="114"/>
      <c r="HG5" s="114"/>
      <c r="HH5" s="114"/>
      <c r="HI5" s="114"/>
      <c r="HJ5" s="114"/>
      <c r="HK5" s="114"/>
      <c r="HL5" s="114"/>
      <c r="HM5" s="114"/>
      <c r="HN5" s="114"/>
      <c r="HO5" s="114"/>
      <c r="HP5" s="114"/>
      <c r="HQ5" s="114"/>
      <c r="HR5" s="114"/>
      <c r="HS5" s="114"/>
      <c r="HT5" s="114"/>
      <c r="HU5" s="114"/>
      <c r="HV5" s="114"/>
      <c r="HW5" s="114"/>
      <c r="HX5" s="114"/>
      <c r="HY5" s="114"/>
      <c r="HZ5" s="114"/>
      <c r="IA5" s="114"/>
      <c r="IB5" s="114"/>
      <c r="IC5" s="114"/>
      <c r="ID5" s="114"/>
      <c r="IE5" s="114"/>
      <c r="IF5" s="114"/>
      <c r="IG5" s="114"/>
      <c r="IH5" s="114"/>
      <c r="II5" s="114"/>
      <c r="IJ5" s="114"/>
      <c r="IK5" s="114"/>
      <c r="IL5" s="114"/>
    </row>
    <row r="6" s="106" customFormat="1" ht="21" customHeight="1" spans="1:246">
      <c r="A6" s="115">
        <v>4</v>
      </c>
      <c r="B6" s="121">
        <v>44542</v>
      </c>
      <c r="C6" s="116">
        <v>44543</v>
      </c>
      <c r="D6" s="122">
        <v>13712.65</v>
      </c>
      <c r="E6" s="122">
        <v>13712.25</v>
      </c>
      <c r="F6" s="123">
        <v>768375</v>
      </c>
      <c r="G6" s="117">
        <f t="shared" si="2"/>
        <v>2366737</v>
      </c>
      <c r="H6" s="115">
        <f t="shared" si="0"/>
        <v>-0.399999999999636</v>
      </c>
      <c r="I6" s="115">
        <v>6.1</v>
      </c>
      <c r="J6" s="118">
        <f t="shared" si="1"/>
        <v>4687087.5</v>
      </c>
      <c r="K6" s="119" t="s">
        <v>13</v>
      </c>
      <c r="L6" s="119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4"/>
      <c r="BK6" s="114"/>
      <c r="BL6" s="114"/>
      <c r="BM6" s="114"/>
      <c r="BN6" s="114"/>
      <c r="BO6" s="114"/>
      <c r="BP6" s="114"/>
      <c r="BQ6" s="114"/>
      <c r="BR6" s="114"/>
      <c r="BS6" s="114"/>
      <c r="BT6" s="114"/>
      <c r="BU6" s="114"/>
      <c r="BV6" s="114"/>
      <c r="BW6" s="114"/>
      <c r="BX6" s="114"/>
      <c r="BY6" s="114"/>
      <c r="BZ6" s="114"/>
      <c r="CA6" s="114"/>
      <c r="CB6" s="114"/>
      <c r="CC6" s="114"/>
      <c r="CD6" s="114"/>
      <c r="CE6" s="114"/>
      <c r="CF6" s="114"/>
      <c r="CG6" s="114"/>
      <c r="CH6" s="114"/>
      <c r="CI6" s="114"/>
      <c r="CJ6" s="114"/>
      <c r="CK6" s="114"/>
      <c r="CL6" s="114"/>
      <c r="CM6" s="114"/>
      <c r="CN6" s="114"/>
      <c r="CO6" s="114"/>
      <c r="CP6" s="114"/>
      <c r="CQ6" s="114"/>
      <c r="CR6" s="114"/>
      <c r="CS6" s="114"/>
      <c r="CT6" s="114"/>
      <c r="CU6" s="114"/>
      <c r="CV6" s="114"/>
      <c r="CW6" s="114"/>
      <c r="CX6" s="114"/>
      <c r="CY6" s="114"/>
      <c r="CZ6" s="114"/>
      <c r="DA6" s="114"/>
      <c r="DB6" s="114"/>
      <c r="DC6" s="114"/>
      <c r="DD6" s="114"/>
      <c r="DE6" s="114"/>
      <c r="DF6" s="114"/>
      <c r="DG6" s="114"/>
      <c r="DH6" s="114"/>
      <c r="DI6" s="114"/>
      <c r="DJ6" s="114"/>
      <c r="DK6" s="114"/>
      <c r="DL6" s="114"/>
      <c r="DM6" s="114"/>
      <c r="DN6" s="114"/>
      <c r="DO6" s="114"/>
      <c r="DP6" s="114"/>
      <c r="DQ6" s="114"/>
      <c r="DR6" s="114"/>
      <c r="DS6" s="114"/>
      <c r="DT6" s="114"/>
      <c r="DU6" s="114"/>
      <c r="DV6" s="114"/>
      <c r="DW6" s="114"/>
      <c r="DX6" s="114"/>
      <c r="DY6" s="114"/>
      <c r="DZ6" s="114"/>
      <c r="EA6" s="114"/>
      <c r="EB6" s="114"/>
      <c r="EC6" s="114"/>
      <c r="ED6" s="114"/>
      <c r="EE6" s="114"/>
      <c r="EF6" s="114"/>
      <c r="EG6" s="114"/>
      <c r="EH6" s="114"/>
      <c r="EI6" s="114"/>
      <c r="EJ6" s="114"/>
      <c r="EK6" s="114"/>
      <c r="EL6" s="114"/>
      <c r="EM6" s="114"/>
      <c r="EN6" s="114"/>
      <c r="EO6" s="114"/>
      <c r="EP6" s="114"/>
      <c r="EQ6" s="114"/>
      <c r="ER6" s="114"/>
      <c r="ES6" s="114"/>
      <c r="ET6" s="114"/>
      <c r="EU6" s="114"/>
      <c r="EV6" s="114"/>
      <c r="EW6" s="114"/>
      <c r="EX6" s="114"/>
      <c r="EY6" s="114"/>
      <c r="EZ6" s="114"/>
      <c r="FA6" s="114"/>
      <c r="FB6" s="114"/>
      <c r="FC6" s="114"/>
      <c r="FD6" s="114"/>
      <c r="FE6" s="114"/>
      <c r="FF6" s="114"/>
      <c r="FG6" s="114"/>
      <c r="FH6" s="114"/>
      <c r="FI6" s="114"/>
      <c r="FJ6" s="114"/>
      <c r="FK6" s="114"/>
      <c r="FL6" s="114"/>
      <c r="FM6" s="114"/>
      <c r="FN6" s="114"/>
      <c r="FO6" s="114"/>
      <c r="FP6" s="114"/>
      <c r="FQ6" s="114"/>
      <c r="FR6" s="114"/>
      <c r="FS6" s="114"/>
      <c r="FT6" s="114"/>
      <c r="FU6" s="114"/>
      <c r="FV6" s="114"/>
      <c r="FW6" s="114"/>
      <c r="FX6" s="114"/>
      <c r="FY6" s="114"/>
      <c r="FZ6" s="114"/>
      <c r="GA6" s="114"/>
      <c r="GB6" s="114"/>
      <c r="GC6" s="114"/>
      <c r="GD6" s="114"/>
      <c r="GE6" s="114"/>
      <c r="GF6" s="114"/>
      <c r="GG6" s="114"/>
      <c r="GH6" s="114"/>
      <c r="GI6" s="114"/>
      <c r="GJ6" s="114"/>
      <c r="GK6" s="114"/>
      <c r="GL6" s="114"/>
      <c r="GM6" s="114"/>
      <c r="GN6" s="114"/>
      <c r="GO6" s="114"/>
      <c r="GP6" s="114"/>
      <c r="GQ6" s="114"/>
      <c r="GR6" s="114"/>
      <c r="GS6" s="114"/>
      <c r="GT6" s="114"/>
      <c r="GU6" s="114"/>
      <c r="GV6" s="114"/>
      <c r="GW6" s="114"/>
      <c r="GX6" s="114"/>
      <c r="GY6" s="114"/>
      <c r="GZ6" s="114"/>
      <c r="HA6" s="114"/>
      <c r="HB6" s="114"/>
      <c r="HC6" s="114"/>
      <c r="HD6" s="114"/>
      <c r="HE6" s="114"/>
      <c r="HF6" s="114"/>
      <c r="HG6" s="114"/>
      <c r="HH6" s="114"/>
      <c r="HI6" s="114"/>
      <c r="HJ6" s="114"/>
      <c r="HK6" s="114"/>
      <c r="HL6" s="114"/>
      <c r="HM6" s="114"/>
      <c r="HN6" s="114"/>
      <c r="HO6" s="114"/>
      <c r="HP6" s="114"/>
      <c r="HQ6" s="114"/>
      <c r="HR6" s="114"/>
      <c r="HS6" s="114"/>
      <c r="HT6" s="114"/>
      <c r="HU6" s="114"/>
      <c r="HV6" s="114"/>
      <c r="HW6" s="114"/>
      <c r="HX6" s="114"/>
      <c r="HY6" s="114"/>
      <c r="HZ6" s="114"/>
      <c r="IA6" s="114"/>
      <c r="IB6" s="114"/>
      <c r="IC6" s="114"/>
      <c r="ID6" s="114"/>
      <c r="IE6" s="114"/>
      <c r="IF6" s="114"/>
      <c r="IG6" s="114"/>
      <c r="IH6" s="114"/>
      <c r="II6" s="114"/>
      <c r="IJ6" s="114"/>
      <c r="IK6" s="114"/>
      <c r="IL6" s="114"/>
    </row>
    <row r="7" s="106" customFormat="1" ht="21" customHeight="1" spans="1:246">
      <c r="A7" s="115">
        <v>5</v>
      </c>
      <c r="B7" s="121">
        <v>44570</v>
      </c>
      <c r="C7" s="116">
        <v>44573</v>
      </c>
      <c r="D7" s="122">
        <v>18862.52</v>
      </c>
      <c r="E7" s="122">
        <v>18830.51</v>
      </c>
      <c r="F7" s="123">
        <v>1066701</v>
      </c>
      <c r="G7" s="117">
        <f t="shared" si="2"/>
        <v>3433438</v>
      </c>
      <c r="H7" s="115">
        <f t="shared" si="0"/>
        <v>-32.010000000002</v>
      </c>
      <c r="I7" s="115">
        <v>6.1</v>
      </c>
      <c r="J7" s="118">
        <f t="shared" si="1"/>
        <v>6506876.1</v>
      </c>
      <c r="K7" s="119" t="s">
        <v>13</v>
      </c>
      <c r="L7" s="119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  <c r="BV7" s="114"/>
      <c r="BW7" s="114"/>
      <c r="BX7" s="114"/>
      <c r="BY7" s="114"/>
      <c r="BZ7" s="114"/>
      <c r="CA7" s="114"/>
      <c r="CB7" s="114"/>
      <c r="CC7" s="114"/>
      <c r="CD7" s="114"/>
      <c r="CE7" s="114"/>
      <c r="CF7" s="114"/>
      <c r="CG7" s="114"/>
      <c r="CH7" s="114"/>
      <c r="CI7" s="114"/>
      <c r="CJ7" s="114"/>
      <c r="CK7" s="114"/>
      <c r="CL7" s="114"/>
      <c r="CM7" s="114"/>
      <c r="CN7" s="114"/>
      <c r="CO7" s="114"/>
      <c r="CP7" s="114"/>
      <c r="CQ7" s="114"/>
      <c r="CR7" s="114"/>
      <c r="CS7" s="114"/>
      <c r="CT7" s="114"/>
      <c r="CU7" s="114"/>
      <c r="CV7" s="114"/>
      <c r="CW7" s="114"/>
      <c r="CX7" s="114"/>
      <c r="CY7" s="114"/>
      <c r="CZ7" s="114"/>
      <c r="DA7" s="114"/>
      <c r="DB7" s="114"/>
      <c r="DC7" s="114"/>
      <c r="DD7" s="114"/>
      <c r="DE7" s="114"/>
      <c r="DF7" s="114"/>
      <c r="DG7" s="114"/>
      <c r="DH7" s="114"/>
      <c r="DI7" s="114"/>
      <c r="DJ7" s="114"/>
      <c r="DK7" s="114"/>
      <c r="DL7" s="114"/>
      <c r="DM7" s="114"/>
      <c r="DN7" s="114"/>
      <c r="DO7" s="114"/>
      <c r="DP7" s="114"/>
      <c r="DQ7" s="114"/>
      <c r="DR7" s="114"/>
      <c r="DS7" s="114"/>
      <c r="DT7" s="114"/>
      <c r="DU7" s="114"/>
      <c r="DV7" s="114"/>
      <c r="DW7" s="114"/>
      <c r="DX7" s="114"/>
      <c r="DY7" s="114"/>
      <c r="DZ7" s="114"/>
      <c r="EA7" s="114"/>
      <c r="EB7" s="114"/>
      <c r="EC7" s="114"/>
      <c r="ED7" s="114"/>
      <c r="EE7" s="114"/>
      <c r="EF7" s="114"/>
      <c r="EG7" s="114"/>
      <c r="EH7" s="114"/>
      <c r="EI7" s="114"/>
      <c r="EJ7" s="114"/>
      <c r="EK7" s="114"/>
      <c r="EL7" s="114"/>
      <c r="EM7" s="114"/>
      <c r="EN7" s="114"/>
      <c r="EO7" s="114"/>
      <c r="EP7" s="114"/>
      <c r="EQ7" s="114"/>
      <c r="ER7" s="114"/>
      <c r="ES7" s="114"/>
      <c r="ET7" s="114"/>
      <c r="EU7" s="114"/>
      <c r="EV7" s="114"/>
      <c r="EW7" s="114"/>
      <c r="EX7" s="114"/>
      <c r="EY7" s="114"/>
      <c r="EZ7" s="114"/>
      <c r="FA7" s="114"/>
      <c r="FB7" s="114"/>
      <c r="FC7" s="114"/>
      <c r="FD7" s="114"/>
      <c r="FE7" s="114"/>
      <c r="FF7" s="114"/>
      <c r="FG7" s="114"/>
      <c r="FH7" s="114"/>
      <c r="FI7" s="114"/>
      <c r="FJ7" s="114"/>
      <c r="FK7" s="114"/>
      <c r="FL7" s="114"/>
      <c r="FM7" s="114"/>
      <c r="FN7" s="114"/>
      <c r="FO7" s="114"/>
      <c r="FP7" s="114"/>
      <c r="FQ7" s="114"/>
      <c r="FR7" s="114"/>
      <c r="FS7" s="114"/>
      <c r="FT7" s="114"/>
      <c r="FU7" s="114"/>
      <c r="FV7" s="114"/>
      <c r="FW7" s="114"/>
      <c r="FX7" s="114"/>
      <c r="FY7" s="114"/>
      <c r="FZ7" s="114"/>
      <c r="GA7" s="114"/>
      <c r="GB7" s="114"/>
      <c r="GC7" s="114"/>
      <c r="GD7" s="114"/>
      <c r="GE7" s="114"/>
      <c r="GF7" s="114"/>
      <c r="GG7" s="114"/>
      <c r="GH7" s="114"/>
      <c r="GI7" s="114"/>
      <c r="GJ7" s="114"/>
      <c r="GK7" s="114"/>
      <c r="GL7" s="114"/>
      <c r="GM7" s="114"/>
      <c r="GN7" s="114"/>
      <c r="GO7" s="114"/>
      <c r="GP7" s="114"/>
      <c r="GQ7" s="114"/>
      <c r="GR7" s="114"/>
      <c r="GS7" s="114"/>
      <c r="GT7" s="114"/>
      <c r="GU7" s="114"/>
      <c r="GV7" s="114"/>
      <c r="GW7" s="114"/>
      <c r="GX7" s="114"/>
      <c r="GY7" s="114"/>
      <c r="GZ7" s="114"/>
      <c r="HA7" s="114"/>
      <c r="HB7" s="114"/>
      <c r="HC7" s="114"/>
      <c r="HD7" s="114"/>
      <c r="HE7" s="114"/>
      <c r="HF7" s="114"/>
      <c r="HG7" s="114"/>
      <c r="HH7" s="114"/>
      <c r="HI7" s="114"/>
      <c r="HJ7" s="114"/>
      <c r="HK7" s="114"/>
      <c r="HL7" s="114"/>
      <c r="HM7" s="114"/>
      <c r="HN7" s="114"/>
      <c r="HO7" s="114"/>
      <c r="HP7" s="114"/>
      <c r="HQ7" s="114"/>
      <c r="HR7" s="114"/>
      <c r="HS7" s="114"/>
      <c r="HT7" s="114"/>
      <c r="HU7" s="114"/>
      <c r="HV7" s="114"/>
      <c r="HW7" s="114"/>
      <c r="HX7" s="114"/>
      <c r="HY7" s="114"/>
      <c r="HZ7" s="114"/>
      <c r="IA7" s="114"/>
      <c r="IB7" s="114"/>
      <c r="IC7" s="114"/>
      <c r="ID7" s="114"/>
      <c r="IE7" s="114"/>
      <c r="IF7" s="114"/>
      <c r="IG7" s="114"/>
      <c r="IH7" s="114"/>
      <c r="II7" s="114"/>
      <c r="IJ7" s="114"/>
      <c r="IK7" s="114"/>
      <c r="IL7" s="114"/>
    </row>
    <row r="8" s="106" customFormat="1" ht="21" customHeight="1" spans="1:246">
      <c r="A8" s="115">
        <v>6</v>
      </c>
      <c r="B8" s="121">
        <v>44591</v>
      </c>
      <c r="C8" s="116">
        <v>44599</v>
      </c>
      <c r="D8" s="122">
        <v>20774.21</v>
      </c>
      <c r="E8" s="122">
        <v>10172.2</v>
      </c>
      <c r="F8" s="123">
        <v>581239</v>
      </c>
      <c r="G8" s="117">
        <f t="shared" si="2"/>
        <v>4014677</v>
      </c>
      <c r="H8" s="115">
        <v>0</v>
      </c>
      <c r="I8" s="115">
        <v>6.1</v>
      </c>
      <c r="J8" s="118">
        <f t="shared" si="1"/>
        <v>3545557.9</v>
      </c>
      <c r="K8" s="119" t="s">
        <v>13</v>
      </c>
      <c r="L8" s="119">
        <v>57.14</v>
      </c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4"/>
      <c r="BF8" s="114"/>
      <c r="BG8" s="114"/>
      <c r="BH8" s="114"/>
      <c r="BI8" s="114"/>
      <c r="BJ8" s="114"/>
      <c r="BK8" s="114"/>
      <c r="BL8" s="114"/>
      <c r="BM8" s="114"/>
      <c r="BN8" s="114"/>
      <c r="BO8" s="114"/>
      <c r="BP8" s="114"/>
      <c r="BQ8" s="114"/>
      <c r="BR8" s="114"/>
      <c r="BS8" s="114"/>
      <c r="BT8" s="114"/>
      <c r="BU8" s="114"/>
      <c r="BV8" s="114"/>
      <c r="BW8" s="114"/>
      <c r="BX8" s="114"/>
      <c r="BY8" s="114"/>
      <c r="BZ8" s="114"/>
      <c r="CA8" s="114"/>
      <c r="CB8" s="114"/>
      <c r="CC8" s="114"/>
      <c r="CD8" s="114"/>
      <c r="CE8" s="114"/>
      <c r="CF8" s="114"/>
      <c r="CG8" s="114"/>
      <c r="CH8" s="114"/>
      <c r="CI8" s="114"/>
      <c r="CJ8" s="114"/>
      <c r="CK8" s="114"/>
      <c r="CL8" s="114"/>
      <c r="CM8" s="114"/>
      <c r="CN8" s="114"/>
      <c r="CO8" s="114"/>
      <c r="CP8" s="114"/>
      <c r="CQ8" s="114"/>
      <c r="CR8" s="114"/>
      <c r="CS8" s="114"/>
      <c r="CT8" s="114"/>
      <c r="CU8" s="114"/>
      <c r="CV8" s="114"/>
      <c r="CW8" s="114"/>
      <c r="CX8" s="114"/>
      <c r="CY8" s="114"/>
      <c r="CZ8" s="114"/>
      <c r="DA8" s="114"/>
      <c r="DB8" s="114"/>
      <c r="DC8" s="114"/>
      <c r="DD8" s="114"/>
      <c r="DE8" s="114"/>
      <c r="DF8" s="114"/>
      <c r="DG8" s="114"/>
      <c r="DH8" s="114"/>
      <c r="DI8" s="114"/>
      <c r="DJ8" s="114"/>
      <c r="DK8" s="114"/>
      <c r="DL8" s="114"/>
      <c r="DM8" s="114"/>
      <c r="DN8" s="114"/>
      <c r="DO8" s="114"/>
      <c r="DP8" s="114"/>
      <c r="DQ8" s="114"/>
      <c r="DR8" s="114"/>
      <c r="DS8" s="114"/>
      <c r="DT8" s="114"/>
      <c r="DU8" s="114"/>
      <c r="DV8" s="114"/>
      <c r="DW8" s="114"/>
      <c r="DX8" s="114"/>
      <c r="DY8" s="114"/>
      <c r="DZ8" s="114"/>
      <c r="EA8" s="114"/>
      <c r="EB8" s="114"/>
      <c r="EC8" s="114"/>
      <c r="ED8" s="114"/>
      <c r="EE8" s="114"/>
      <c r="EF8" s="114"/>
      <c r="EG8" s="114"/>
      <c r="EH8" s="114"/>
      <c r="EI8" s="114"/>
      <c r="EJ8" s="114"/>
      <c r="EK8" s="114"/>
      <c r="EL8" s="114"/>
      <c r="EM8" s="114"/>
      <c r="EN8" s="114"/>
      <c r="EO8" s="114"/>
      <c r="EP8" s="114"/>
      <c r="EQ8" s="114"/>
      <c r="ER8" s="114"/>
      <c r="ES8" s="114"/>
      <c r="ET8" s="114"/>
      <c r="EU8" s="114"/>
      <c r="EV8" s="114"/>
      <c r="EW8" s="114"/>
      <c r="EX8" s="114"/>
      <c r="EY8" s="114"/>
      <c r="EZ8" s="114"/>
      <c r="FA8" s="114"/>
      <c r="FB8" s="114"/>
      <c r="FC8" s="114"/>
      <c r="FD8" s="114"/>
      <c r="FE8" s="114"/>
      <c r="FF8" s="114"/>
      <c r="FG8" s="114"/>
      <c r="FH8" s="114"/>
      <c r="FI8" s="114"/>
      <c r="FJ8" s="114"/>
      <c r="FK8" s="114"/>
      <c r="FL8" s="114"/>
      <c r="FM8" s="114"/>
      <c r="FN8" s="114"/>
      <c r="FO8" s="114"/>
      <c r="FP8" s="114"/>
      <c r="FQ8" s="114"/>
      <c r="FR8" s="114"/>
      <c r="FS8" s="114"/>
      <c r="FT8" s="114"/>
      <c r="FU8" s="114"/>
      <c r="FV8" s="114"/>
      <c r="FW8" s="114"/>
      <c r="FX8" s="114"/>
      <c r="FY8" s="114"/>
      <c r="FZ8" s="114"/>
      <c r="GA8" s="114"/>
      <c r="GB8" s="114"/>
      <c r="GC8" s="114"/>
      <c r="GD8" s="114"/>
      <c r="GE8" s="114"/>
      <c r="GF8" s="114"/>
      <c r="GG8" s="114"/>
      <c r="GH8" s="114"/>
      <c r="GI8" s="114"/>
      <c r="GJ8" s="114"/>
      <c r="GK8" s="114"/>
      <c r="GL8" s="114"/>
      <c r="GM8" s="114"/>
      <c r="GN8" s="114"/>
      <c r="GO8" s="114"/>
      <c r="GP8" s="114"/>
      <c r="GQ8" s="114"/>
      <c r="GR8" s="114"/>
      <c r="GS8" s="114"/>
      <c r="GT8" s="114"/>
      <c r="GU8" s="114"/>
      <c r="GV8" s="114"/>
      <c r="GW8" s="114"/>
      <c r="GX8" s="114"/>
      <c r="GY8" s="114"/>
      <c r="GZ8" s="114"/>
      <c r="HA8" s="114"/>
      <c r="HB8" s="114"/>
      <c r="HC8" s="114"/>
      <c r="HD8" s="114"/>
      <c r="HE8" s="114"/>
      <c r="HF8" s="114"/>
      <c r="HG8" s="114"/>
      <c r="HH8" s="114"/>
      <c r="HI8" s="114"/>
      <c r="HJ8" s="114"/>
      <c r="HK8" s="114"/>
      <c r="HL8" s="114"/>
      <c r="HM8" s="114"/>
      <c r="HN8" s="114"/>
      <c r="HO8" s="114"/>
      <c r="HP8" s="114"/>
      <c r="HQ8" s="114"/>
      <c r="HR8" s="114"/>
      <c r="HS8" s="114"/>
      <c r="HT8" s="114"/>
      <c r="HU8" s="114"/>
      <c r="HV8" s="114"/>
      <c r="HW8" s="114"/>
      <c r="HX8" s="114"/>
      <c r="HY8" s="114"/>
      <c r="HZ8" s="114"/>
      <c r="IA8" s="114"/>
      <c r="IB8" s="114"/>
      <c r="IC8" s="114"/>
      <c r="ID8" s="114"/>
      <c r="IE8" s="114"/>
      <c r="IF8" s="114"/>
      <c r="IG8" s="114"/>
      <c r="IH8" s="114"/>
      <c r="II8" s="114"/>
      <c r="IJ8" s="114"/>
      <c r="IK8" s="114"/>
      <c r="IL8" s="114"/>
    </row>
    <row r="9" s="106" customFormat="1" ht="21" customHeight="1" spans="1:246">
      <c r="A9" s="115">
        <v>7</v>
      </c>
      <c r="B9" s="121">
        <v>44596</v>
      </c>
      <c r="C9" s="116">
        <v>44600</v>
      </c>
      <c r="D9" s="122"/>
      <c r="E9" s="122">
        <v>10662.5</v>
      </c>
      <c r="F9" s="123">
        <v>560840</v>
      </c>
      <c r="G9" s="117">
        <f t="shared" si="2"/>
        <v>4575517</v>
      </c>
      <c r="H9" s="115">
        <f>E8+E9-D8</f>
        <v>60.4900000000016</v>
      </c>
      <c r="I9" s="115">
        <v>6.1</v>
      </c>
      <c r="J9" s="118">
        <f t="shared" si="1"/>
        <v>3421124</v>
      </c>
      <c r="K9" s="119" t="s">
        <v>14</v>
      </c>
      <c r="L9" s="119">
        <v>55.39156</v>
      </c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4"/>
      <c r="BF9" s="114"/>
      <c r="BG9" s="114"/>
      <c r="BH9" s="114"/>
      <c r="BI9" s="114"/>
      <c r="BJ9" s="114"/>
      <c r="BK9" s="114"/>
      <c r="BL9" s="114"/>
      <c r="BM9" s="114"/>
      <c r="BN9" s="114"/>
      <c r="BO9" s="114"/>
      <c r="BP9" s="114"/>
      <c r="BQ9" s="114"/>
      <c r="BR9" s="114"/>
      <c r="BS9" s="114"/>
      <c r="BT9" s="114"/>
      <c r="BU9" s="114"/>
      <c r="BV9" s="114"/>
      <c r="BW9" s="114"/>
      <c r="BX9" s="114"/>
      <c r="BY9" s="114"/>
      <c r="BZ9" s="114"/>
      <c r="CA9" s="114"/>
      <c r="CB9" s="114"/>
      <c r="CC9" s="114"/>
      <c r="CD9" s="114"/>
      <c r="CE9" s="114"/>
      <c r="CF9" s="114"/>
      <c r="CG9" s="114"/>
      <c r="CH9" s="114"/>
      <c r="CI9" s="114"/>
      <c r="CJ9" s="114"/>
      <c r="CK9" s="114"/>
      <c r="CL9" s="114"/>
      <c r="CM9" s="114"/>
      <c r="CN9" s="114"/>
      <c r="CO9" s="114"/>
      <c r="CP9" s="114"/>
      <c r="CQ9" s="114"/>
      <c r="CR9" s="114"/>
      <c r="CS9" s="114"/>
      <c r="CT9" s="114"/>
      <c r="CU9" s="114"/>
      <c r="CV9" s="114"/>
      <c r="CW9" s="114"/>
      <c r="CX9" s="114"/>
      <c r="CY9" s="114"/>
      <c r="CZ9" s="114"/>
      <c r="DA9" s="114"/>
      <c r="DB9" s="114"/>
      <c r="DC9" s="114"/>
      <c r="DD9" s="114"/>
      <c r="DE9" s="114"/>
      <c r="DF9" s="114"/>
      <c r="DG9" s="114"/>
      <c r="DH9" s="114"/>
      <c r="DI9" s="114"/>
      <c r="DJ9" s="114"/>
      <c r="DK9" s="114"/>
      <c r="DL9" s="114"/>
      <c r="DM9" s="114"/>
      <c r="DN9" s="114"/>
      <c r="DO9" s="114"/>
      <c r="DP9" s="114"/>
      <c r="DQ9" s="114"/>
      <c r="DR9" s="114"/>
      <c r="DS9" s="114"/>
      <c r="DT9" s="114"/>
      <c r="DU9" s="114"/>
      <c r="DV9" s="114"/>
      <c r="DW9" s="114"/>
      <c r="DX9" s="114"/>
      <c r="DY9" s="114"/>
      <c r="DZ9" s="114"/>
      <c r="EA9" s="114"/>
      <c r="EB9" s="114"/>
      <c r="EC9" s="114"/>
      <c r="ED9" s="114"/>
      <c r="EE9" s="114"/>
      <c r="EF9" s="114"/>
      <c r="EG9" s="114"/>
      <c r="EH9" s="114"/>
      <c r="EI9" s="114"/>
      <c r="EJ9" s="114"/>
      <c r="EK9" s="114"/>
      <c r="EL9" s="114"/>
      <c r="EM9" s="114"/>
      <c r="EN9" s="114"/>
      <c r="EO9" s="114"/>
      <c r="EP9" s="114"/>
      <c r="EQ9" s="114"/>
      <c r="ER9" s="114"/>
      <c r="ES9" s="114"/>
      <c r="ET9" s="114"/>
      <c r="EU9" s="114"/>
      <c r="EV9" s="114"/>
      <c r="EW9" s="114"/>
      <c r="EX9" s="114"/>
      <c r="EY9" s="114"/>
      <c r="EZ9" s="114"/>
      <c r="FA9" s="114"/>
      <c r="FB9" s="114"/>
      <c r="FC9" s="114"/>
      <c r="FD9" s="114"/>
      <c r="FE9" s="114"/>
      <c r="FF9" s="114"/>
      <c r="FG9" s="114"/>
      <c r="FH9" s="114"/>
      <c r="FI9" s="114"/>
      <c r="FJ9" s="114"/>
      <c r="FK9" s="114"/>
      <c r="FL9" s="114"/>
      <c r="FM9" s="114"/>
      <c r="FN9" s="114"/>
      <c r="FO9" s="114"/>
      <c r="FP9" s="114"/>
      <c r="FQ9" s="114"/>
      <c r="FR9" s="114"/>
      <c r="FS9" s="114"/>
      <c r="FT9" s="114"/>
      <c r="FU9" s="114"/>
      <c r="FV9" s="114"/>
      <c r="FW9" s="114"/>
      <c r="FX9" s="114"/>
      <c r="FY9" s="114"/>
      <c r="FZ9" s="114"/>
      <c r="GA9" s="114"/>
      <c r="GB9" s="114"/>
      <c r="GC9" s="114"/>
      <c r="GD9" s="114"/>
      <c r="GE9" s="114"/>
      <c r="GF9" s="114"/>
      <c r="GG9" s="114"/>
      <c r="GH9" s="114"/>
      <c r="GI9" s="114"/>
      <c r="GJ9" s="114"/>
      <c r="GK9" s="114"/>
      <c r="GL9" s="114"/>
      <c r="GM9" s="114"/>
      <c r="GN9" s="114"/>
      <c r="GO9" s="114"/>
      <c r="GP9" s="114"/>
      <c r="GQ9" s="114"/>
      <c r="GR9" s="114"/>
      <c r="GS9" s="114"/>
      <c r="GT9" s="114"/>
      <c r="GU9" s="114"/>
      <c r="GV9" s="114"/>
      <c r="GW9" s="114"/>
      <c r="GX9" s="114"/>
      <c r="GY9" s="114"/>
      <c r="GZ9" s="114"/>
      <c r="HA9" s="114"/>
      <c r="HB9" s="114"/>
      <c r="HC9" s="114"/>
      <c r="HD9" s="114"/>
      <c r="HE9" s="114"/>
      <c r="HF9" s="114"/>
      <c r="HG9" s="114"/>
      <c r="HH9" s="114"/>
      <c r="HI9" s="114"/>
      <c r="HJ9" s="114"/>
      <c r="HK9" s="114"/>
      <c r="HL9" s="114"/>
      <c r="HM9" s="114"/>
      <c r="HN9" s="114"/>
      <c r="HO9" s="114"/>
      <c r="HP9" s="114"/>
      <c r="HQ9" s="114"/>
      <c r="HR9" s="114"/>
      <c r="HS9" s="114"/>
      <c r="HT9" s="114"/>
      <c r="HU9" s="114"/>
      <c r="HV9" s="114"/>
      <c r="HW9" s="114"/>
      <c r="HX9" s="114"/>
      <c r="HY9" s="114"/>
      <c r="HZ9" s="114"/>
      <c r="IA9" s="114"/>
      <c r="IB9" s="114"/>
      <c r="IC9" s="114"/>
      <c r="ID9" s="114"/>
      <c r="IE9" s="114"/>
      <c r="IF9" s="114"/>
      <c r="IG9" s="114"/>
      <c r="IH9" s="114"/>
      <c r="II9" s="114"/>
      <c r="IJ9" s="114"/>
      <c r="IK9" s="114"/>
      <c r="IL9" s="114"/>
    </row>
    <row r="10" s="106" customFormat="1" ht="21" customHeight="1" spans="1:246">
      <c r="A10" s="115">
        <v>8</v>
      </c>
      <c r="B10" s="121">
        <v>44617</v>
      </c>
      <c r="C10" s="116">
        <v>44617</v>
      </c>
      <c r="D10" s="122">
        <v>13339.36</v>
      </c>
      <c r="E10" s="122">
        <v>13296.33</v>
      </c>
      <c r="F10" s="123">
        <v>790068</v>
      </c>
      <c r="G10" s="117">
        <f t="shared" si="2"/>
        <v>5365585</v>
      </c>
      <c r="H10" s="115">
        <f t="shared" ref="H10:H20" si="3">E10-D10</f>
        <v>-43.0300000000007</v>
      </c>
      <c r="I10" s="115">
        <v>6.1</v>
      </c>
      <c r="J10" s="118">
        <f t="shared" si="1"/>
        <v>4819414.8</v>
      </c>
      <c r="K10" s="119" t="s">
        <v>13</v>
      </c>
      <c r="L10" s="119">
        <v>59.42</v>
      </c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  <c r="BM10" s="114"/>
      <c r="BN10" s="114"/>
      <c r="BO10" s="114"/>
      <c r="BP10" s="114"/>
      <c r="BQ10" s="114"/>
      <c r="BR10" s="114"/>
      <c r="BS10" s="114"/>
      <c r="BT10" s="114"/>
      <c r="BU10" s="114"/>
      <c r="BV10" s="114"/>
      <c r="BW10" s="114"/>
      <c r="BX10" s="114"/>
      <c r="BY10" s="114"/>
      <c r="BZ10" s="114"/>
      <c r="CA10" s="114"/>
      <c r="CB10" s="114"/>
      <c r="CC10" s="114"/>
      <c r="CD10" s="114"/>
      <c r="CE10" s="114"/>
      <c r="CF10" s="114"/>
      <c r="CG10" s="114"/>
      <c r="CH10" s="114"/>
      <c r="CI10" s="114"/>
      <c r="CJ10" s="114"/>
      <c r="CK10" s="114"/>
      <c r="CL10" s="114"/>
      <c r="CM10" s="114"/>
      <c r="CN10" s="114"/>
      <c r="CO10" s="114"/>
      <c r="CP10" s="114"/>
      <c r="CQ10" s="114"/>
      <c r="CR10" s="114"/>
      <c r="CS10" s="114"/>
      <c r="CT10" s="114"/>
      <c r="CU10" s="114"/>
      <c r="CV10" s="114"/>
      <c r="CW10" s="114"/>
      <c r="CX10" s="114"/>
      <c r="CY10" s="114"/>
      <c r="CZ10" s="114"/>
      <c r="DA10" s="114"/>
      <c r="DB10" s="114"/>
      <c r="DC10" s="114"/>
      <c r="DD10" s="114"/>
      <c r="DE10" s="114"/>
      <c r="DF10" s="114"/>
      <c r="DG10" s="114"/>
      <c r="DH10" s="114"/>
      <c r="DI10" s="114"/>
      <c r="DJ10" s="114"/>
      <c r="DK10" s="114"/>
      <c r="DL10" s="114"/>
      <c r="DM10" s="114"/>
      <c r="DN10" s="114"/>
      <c r="DO10" s="114"/>
      <c r="DP10" s="114"/>
      <c r="DQ10" s="114"/>
      <c r="DR10" s="114"/>
      <c r="DS10" s="114"/>
      <c r="DT10" s="114"/>
      <c r="DU10" s="114"/>
      <c r="DV10" s="114"/>
      <c r="DW10" s="114"/>
      <c r="DX10" s="114"/>
      <c r="DY10" s="114"/>
      <c r="DZ10" s="114"/>
      <c r="EA10" s="114"/>
      <c r="EB10" s="114"/>
      <c r="EC10" s="114"/>
      <c r="ED10" s="114"/>
      <c r="EE10" s="114"/>
      <c r="EF10" s="114"/>
      <c r="EG10" s="114"/>
      <c r="EH10" s="114"/>
      <c r="EI10" s="114"/>
      <c r="EJ10" s="114"/>
      <c r="EK10" s="114"/>
      <c r="EL10" s="114"/>
      <c r="EM10" s="114"/>
      <c r="EN10" s="114"/>
      <c r="EO10" s="114"/>
      <c r="EP10" s="114"/>
      <c r="EQ10" s="114"/>
      <c r="ER10" s="114"/>
      <c r="ES10" s="114"/>
      <c r="ET10" s="114"/>
      <c r="EU10" s="114"/>
      <c r="EV10" s="114"/>
      <c r="EW10" s="114"/>
      <c r="EX10" s="114"/>
      <c r="EY10" s="114"/>
      <c r="EZ10" s="114"/>
      <c r="FA10" s="114"/>
      <c r="FB10" s="114"/>
      <c r="FC10" s="114"/>
      <c r="FD10" s="114"/>
      <c r="FE10" s="114"/>
      <c r="FF10" s="114"/>
      <c r="FG10" s="114"/>
      <c r="FH10" s="114"/>
      <c r="FI10" s="114"/>
      <c r="FJ10" s="114"/>
      <c r="FK10" s="114"/>
      <c r="FL10" s="114"/>
      <c r="FM10" s="114"/>
      <c r="FN10" s="114"/>
      <c r="FO10" s="114"/>
      <c r="FP10" s="114"/>
      <c r="FQ10" s="114"/>
      <c r="FR10" s="114"/>
      <c r="FS10" s="114"/>
      <c r="FT10" s="114"/>
      <c r="FU10" s="114"/>
      <c r="FV10" s="114"/>
      <c r="FW10" s="114"/>
      <c r="FX10" s="114"/>
      <c r="FY10" s="114"/>
      <c r="FZ10" s="114"/>
      <c r="GA10" s="114"/>
      <c r="GB10" s="114"/>
      <c r="GC10" s="114"/>
      <c r="GD10" s="114"/>
      <c r="GE10" s="114"/>
      <c r="GF10" s="114"/>
      <c r="GG10" s="114"/>
      <c r="GH10" s="114"/>
      <c r="GI10" s="114"/>
      <c r="GJ10" s="114"/>
      <c r="GK10" s="114"/>
      <c r="GL10" s="114"/>
      <c r="GM10" s="114"/>
      <c r="GN10" s="114"/>
      <c r="GO10" s="114"/>
      <c r="GP10" s="114"/>
      <c r="GQ10" s="114"/>
      <c r="GR10" s="114"/>
      <c r="GS10" s="114"/>
      <c r="GT10" s="114"/>
      <c r="GU10" s="114"/>
      <c r="GV10" s="114"/>
      <c r="GW10" s="114"/>
      <c r="GX10" s="114"/>
      <c r="GY10" s="114"/>
      <c r="GZ10" s="114"/>
      <c r="HA10" s="114"/>
      <c r="HB10" s="114"/>
      <c r="HC10" s="114"/>
      <c r="HD10" s="114"/>
      <c r="HE10" s="114"/>
      <c r="HF10" s="114"/>
      <c r="HG10" s="114"/>
      <c r="HH10" s="114"/>
      <c r="HI10" s="114"/>
      <c r="HJ10" s="114"/>
      <c r="HK10" s="114"/>
      <c r="HL10" s="114"/>
      <c r="HM10" s="114"/>
      <c r="HN10" s="114"/>
      <c r="HO10" s="114"/>
      <c r="HP10" s="114"/>
      <c r="HQ10" s="114"/>
      <c r="HR10" s="114"/>
      <c r="HS10" s="114"/>
      <c r="HT10" s="114"/>
      <c r="HU10" s="114"/>
      <c r="HV10" s="114"/>
      <c r="HW10" s="114"/>
      <c r="HX10" s="114"/>
      <c r="HY10" s="114"/>
      <c r="HZ10" s="114"/>
      <c r="IA10" s="114"/>
      <c r="IB10" s="114"/>
      <c r="IC10" s="114"/>
      <c r="ID10" s="114"/>
      <c r="IE10" s="114"/>
      <c r="IF10" s="114"/>
      <c r="IG10" s="114"/>
      <c r="IH10" s="114"/>
      <c r="II10" s="114"/>
      <c r="IJ10" s="114"/>
      <c r="IK10" s="114"/>
      <c r="IL10" s="114"/>
    </row>
    <row r="11" s="106" customFormat="1" ht="21" customHeight="1" spans="1:246">
      <c r="A11" s="115">
        <v>9</v>
      </c>
      <c r="B11" s="121">
        <v>44617</v>
      </c>
      <c r="C11" s="116">
        <v>44617</v>
      </c>
      <c r="D11" s="122">
        <v>10077.73</v>
      </c>
      <c r="E11" s="122">
        <v>10049.3</v>
      </c>
      <c r="F11" s="123">
        <v>564380</v>
      </c>
      <c r="G11" s="117">
        <f t="shared" si="2"/>
        <v>5929965</v>
      </c>
      <c r="H11" s="115">
        <f t="shared" si="3"/>
        <v>-28.4300000000003</v>
      </c>
      <c r="I11" s="115">
        <v>6.1</v>
      </c>
      <c r="J11" s="118">
        <f t="shared" si="1"/>
        <v>3442718</v>
      </c>
      <c r="K11" s="119" t="s">
        <v>14</v>
      </c>
      <c r="L11" s="119">
        <v>59.014073</v>
      </c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  <c r="BP11" s="114"/>
      <c r="BQ11" s="114"/>
      <c r="BR11" s="114"/>
      <c r="BS11" s="114"/>
      <c r="BT11" s="114"/>
      <c r="BU11" s="114"/>
      <c r="BV11" s="114"/>
      <c r="BW11" s="114"/>
      <c r="BX11" s="114"/>
      <c r="BY11" s="114"/>
      <c r="BZ11" s="114"/>
      <c r="CA11" s="114"/>
      <c r="CB11" s="114"/>
      <c r="CC11" s="114"/>
      <c r="CD11" s="114"/>
      <c r="CE11" s="114"/>
      <c r="CF11" s="114"/>
      <c r="CG11" s="114"/>
      <c r="CH11" s="114"/>
      <c r="CI11" s="114"/>
      <c r="CJ11" s="114"/>
      <c r="CK11" s="114"/>
      <c r="CL11" s="114"/>
      <c r="CM11" s="114"/>
      <c r="CN11" s="114"/>
      <c r="CO11" s="114"/>
      <c r="CP11" s="114"/>
      <c r="CQ11" s="114"/>
      <c r="CR11" s="114"/>
      <c r="CS11" s="114"/>
      <c r="CT11" s="114"/>
      <c r="CU11" s="114"/>
      <c r="CV11" s="114"/>
      <c r="CW11" s="114"/>
      <c r="CX11" s="114"/>
      <c r="CY11" s="114"/>
      <c r="CZ11" s="114"/>
      <c r="DA11" s="114"/>
      <c r="DB11" s="114"/>
      <c r="DC11" s="114"/>
      <c r="DD11" s="114"/>
      <c r="DE11" s="114"/>
      <c r="DF11" s="114"/>
      <c r="DG11" s="114"/>
      <c r="DH11" s="114"/>
      <c r="DI11" s="114"/>
      <c r="DJ11" s="114"/>
      <c r="DK11" s="114"/>
      <c r="DL11" s="114"/>
      <c r="DM11" s="114"/>
      <c r="DN11" s="114"/>
      <c r="DO11" s="114"/>
      <c r="DP11" s="114"/>
      <c r="DQ11" s="114"/>
      <c r="DR11" s="114"/>
      <c r="DS11" s="114"/>
      <c r="DT11" s="114"/>
      <c r="DU11" s="114"/>
      <c r="DV11" s="114"/>
      <c r="DW11" s="114"/>
      <c r="DX11" s="114"/>
      <c r="DY11" s="114"/>
      <c r="DZ11" s="114"/>
      <c r="EA11" s="114"/>
      <c r="EB11" s="114"/>
      <c r="EC11" s="114"/>
      <c r="ED11" s="114"/>
      <c r="EE11" s="114"/>
      <c r="EF11" s="114"/>
      <c r="EG11" s="114"/>
      <c r="EH11" s="114"/>
      <c r="EI11" s="114"/>
      <c r="EJ11" s="114"/>
      <c r="EK11" s="114"/>
      <c r="EL11" s="114"/>
      <c r="EM11" s="114"/>
      <c r="EN11" s="114"/>
      <c r="EO11" s="114"/>
      <c r="EP11" s="114"/>
      <c r="EQ11" s="114"/>
      <c r="ER11" s="114"/>
      <c r="ES11" s="114"/>
      <c r="ET11" s="114"/>
      <c r="EU11" s="114"/>
      <c r="EV11" s="114"/>
      <c r="EW11" s="114"/>
      <c r="EX11" s="114"/>
      <c r="EY11" s="114"/>
      <c r="EZ11" s="114"/>
      <c r="FA11" s="114"/>
      <c r="FB11" s="114"/>
      <c r="FC11" s="114"/>
      <c r="FD11" s="114"/>
      <c r="FE11" s="114"/>
      <c r="FF11" s="114"/>
      <c r="FG11" s="114"/>
      <c r="FH11" s="114"/>
      <c r="FI11" s="114"/>
      <c r="FJ11" s="114"/>
      <c r="FK11" s="114"/>
      <c r="FL11" s="114"/>
      <c r="FM11" s="114"/>
      <c r="FN11" s="114"/>
      <c r="FO11" s="114"/>
      <c r="FP11" s="114"/>
      <c r="FQ11" s="114"/>
      <c r="FR11" s="114"/>
      <c r="FS11" s="114"/>
      <c r="FT11" s="114"/>
      <c r="FU11" s="114"/>
      <c r="FV11" s="114"/>
      <c r="FW11" s="114"/>
      <c r="FX11" s="114"/>
      <c r="FY11" s="114"/>
      <c r="FZ11" s="114"/>
      <c r="GA11" s="114"/>
      <c r="GB11" s="114"/>
      <c r="GC11" s="114"/>
      <c r="GD11" s="114"/>
      <c r="GE11" s="114"/>
      <c r="GF11" s="114"/>
      <c r="GG11" s="114"/>
      <c r="GH11" s="114"/>
      <c r="GI11" s="114"/>
      <c r="GJ11" s="114"/>
      <c r="GK11" s="114"/>
      <c r="GL11" s="114"/>
      <c r="GM11" s="114"/>
      <c r="GN11" s="114"/>
      <c r="GO11" s="114"/>
      <c r="GP11" s="114"/>
      <c r="GQ11" s="114"/>
      <c r="GR11" s="114"/>
      <c r="GS11" s="114"/>
      <c r="GT11" s="114"/>
      <c r="GU11" s="114"/>
      <c r="GV11" s="114"/>
      <c r="GW11" s="114"/>
      <c r="GX11" s="114"/>
      <c r="GY11" s="114"/>
      <c r="GZ11" s="114"/>
      <c r="HA11" s="114"/>
      <c r="HB11" s="114"/>
      <c r="HC11" s="114"/>
      <c r="HD11" s="114"/>
      <c r="HE11" s="114"/>
      <c r="HF11" s="114"/>
      <c r="HG11" s="114"/>
      <c r="HH11" s="114"/>
      <c r="HI11" s="114"/>
      <c r="HJ11" s="114"/>
      <c r="HK11" s="114"/>
      <c r="HL11" s="114"/>
      <c r="HM11" s="114"/>
      <c r="HN11" s="114"/>
      <c r="HO11" s="114"/>
      <c r="HP11" s="114"/>
      <c r="HQ11" s="114"/>
      <c r="HR11" s="114"/>
      <c r="HS11" s="114"/>
      <c r="HT11" s="114"/>
      <c r="HU11" s="114"/>
      <c r="HV11" s="114"/>
      <c r="HW11" s="114"/>
      <c r="HX11" s="114"/>
      <c r="HY11" s="114"/>
      <c r="HZ11" s="114"/>
      <c r="IA11" s="114"/>
      <c r="IB11" s="114"/>
      <c r="IC11" s="114"/>
      <c r="ID11" s="114"/>
      <c r="IE11" s="114"/>
      <c r="IF11" s="114"/>
      <c r="IG11" s="114"/>
      <c r="IH11" s="114"/>
      <c r="II11" s="114"/>
      <c r="IJ11" s="114"/>
      <c r="IK11" s="114"/>
      <c r="IL11" s="114"/>
    </row>
    <row r="12" s="106" customFormat="1" ht="21" customHeight="1" spans="1:246">
      <c r="A12" s="115">
        <v>10</v>
      </c>
      <c r="B12" s="121">
        <v>44647</v>
      </c>
      <c r="C12" s="116">
        <v>44648</v>
      </c>
      <c r="D12" s="122">
        <v>6438.26</v>
      </c>
      <c r="E12" s="122">
        <v>6438.26</v>
      </c>
      <c r="F12" s="123">
        <v>389579</v>
      </c>
      <c r="G12" s="117">
        <f t="shared" si="2"/>
        <v>6319544</v>
      </c>
      <c r="H12" s="115">
        <v>0</v>
      </c>
      <c r="I12" s="115">
        <v>6.15</v>
      </c>
      <c r="J12" s="118">
        <f t="shared" si="1"/>
        <v>2395910.85</v>
      </c>
      <c r="K12" s="119" t="s">
        <v>13</v>
      </c>
      <c r="L12" s="119">
        <v>60.51</v>
      </c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  <c r="BP12" s="114"/>
      <c r="BQ12" s="114"/>
      <c r="BR12" s="114"/>
      <c r="BS12" s="114"/>
      <c r="BT12" s="114"/>
      <c r="BU12" s="114"/>
      <c r="BV12" s="114"/>
      <c r="BW12" s="114"/>
      <c r="BX12" s="114"/>
      <c r="BY12" s="114"/>
      <c r="BZ12" s="114"/>
      <c r="CA12" s="114"/>
      <c r="CB12" s="114"/>
      <c r="CC12" s="114"/>
      <c r="CD12" s="114"/>
      <c r="CE12" s="114"/>
      <c r="CF12" s="114"/>
      <c r="CG12" s="114"/>
      <c r="CH12" s="114"/>
      <c r="CI12" s="114"/>
      <c r="CJ12" s="114"/>
      <c r="CK12" s="114"/>
      <c r="CL12" s="114"/>
      <c r="CM12" s="114"/>
      <c r="CN12" s="114"/>
      <c r="CO12" s="114"/>
      <c r="CP12" s="114"/>
      <c r="CQ12" s="114"/>
      <c r="CR12" s="114"/>
      <c r="CS12" s="114"/>
      <c r="CT12" s="114"/>
      <c r="CU12" s="114"/>
      <c r="CV12" s="114"/>
      <c r="CW12" s="114"/>
      <c r="CX12" s="114"/>
      <c r="CY12" s="114"/>
      <c r="CZ12" s="114"/>
      <c r="DA12" s="114"/>
      <c r="DB12" s="114"/>
      <c r="DC12" s="114"/>
      <c r="DD12" s="114"/>
      <c r="DE12" s="114"/>
      <c r="DF12" s="114"/>
      <c r="DG12" s="114"/>
      <c r="DH12" s="114"/>
      <c r="DI12" s="114"/>
      <c r="DJ12" s="114"/>
      <c r="DK12" s="114"/>
      <c r="DL12" s="114"/>
      <c r="DM12" s="114"/>
      <c r="DN12" s="114"/>
      <c r="DO12" s="114"/>
      <c r="DP12" s="114"/>
      <c r="DQ12" s="114"/>
      <c r="DR12" s="114"/>
      <c r="DS12" s="114"/>
      <c r="DT12" s="114"/>
      <c r="DU12" s="114"/>
      <c r="DV12" s="114"/>
      <c r="DW12" s="114"/>
      <c r="DX12" s="114"/>
      <c r="DY12" s="114"/>
      <c r="DZ12" s="114"/>
      <c r="EA12" s="114"/>
      <c r="EB12" s="114"/>
      <c r="EC12" s="114"/>
      <c r="ED12" s="114"/>
      <c r="EE12" s="114"/>
      <c r="EF12" s="114"/>
      <c r="EG12" s="114"/>
      <c r="EH12" s="114"/>
      <c r="EI12" s="114"/>
      <c r="EJ12" s="114"/>
      <c r="EK12" s="114"/>
      <c r="EL12" s="114"/>
      <c r="EM12" s="114"/>
      <c r="EN12" s="114"/>
      <c r="EO12" s="114"/>
      <c r="EP12" s="114"/>
      <c r="EQ12" s="114"/>
      <c r="ER12" s="114"/>
      <c r="ES12" s="114"/>
      <c r="ET12" s="114"/>
      <c r="EU12" s="114"/>
      <c r="EV12" s="114"/>
      <c r="EW12" s="114"/>
      <c r="EX12" s="114"/>
      <c r="EY12" s="114"/>
      <c r="EZ12" s="114"/>
      <c r="FA12" s="114"/>
      <c r="FB12" s="114"/>
      <c r="FC12" s="114"/>
      <c r="FD12" s="114"/>
      <c r="FE12" s="114"/>
      <c r="FF12" s="114"/>
      <c r="FG12" s="114"/>
      <c r="FH12" s="114"/>
      <c r="FI12" s="114"/>
      <c r="FJ12" s="114"/>
      <c r="FK12" s="114"/>
      <c r="FL12" s="114"/>
      <c r="FM12" s="114"/>
      <c r="FN12" s="114"/>
      <c r="FO12" s="114"/>
      <c r="FP12" s="114"/>
      <c r="FQ12" s="114"/>
      <c r="FR12" s="114"/>
      <c r="FS12" s="114"/>
      <c r="FT12" s="114"/>
      <c r="FU12" s="114"/>
      <c r="FV12" s="114"/>
      <c r="FW12" s="114"/>
      <c r="FX12" s="114"/>
      <c r="FY12" s="114"/>
      <c r="FZ12" s="114"/>
      <c r="GA12" s="114"/>
      <c r="GB12" s="114"/>
      <c r="GC12" s="114"/>
      <c r="GD12" s="114"/>
      <c r="GE12" s="114"/>
      <c r="GF12" s="114"/>
      <c r="GG12" s="114"/>
      <c r="GH12" s="114"/>
      <c r="GI12" s="114"/>
      <c r="GJ12" s="114"/>
      <c r="GK12" s="114"/>
      <c r="GL12" s="114"/>
      <c r="GM12" s="114"/>
      <c r="GN12" s="114"/>
      <c r="GO12" s="114"/>
      <c r="GP12" s="114"/>
      <c r="GQ12" s="114"/>
      <c r="GR12" s="114"/>
      <c r="GS12" s="114"/>
      <c r="GT12" s="114"/>
      <c r="GU12" s="114"/>
      <c r="GV12" s="114"/>
      <c r="GW12" s="114"/>
      <c r="GX12" s="114"/>
      <c r="GY12" s="114"/>
      <c r="GZ12" s="114"/>
      <c r="HA12" s="114"/>
      <c r="HB12" s="114"/>
      <c r="HC12" s="114"/>
      <c r="HD12" s="114"/>
      <c r="HE12" s="114"/>
      <c r="HF12" s="114"/>
      <c r="HG12" s="114"/>
      <c r="HH12" s="114"/>
      <c r="HI12" s="114"/>
      <c r="HJ12" s="114"/>
      <c r="HK12" s="114"/>
      <c r="HL12" s="114"/>
      <c r="HM12" s="114"/>
      <c r="HN12" s="114"/>
      <c r="HO12" s="114"/>
      <c r="HP12" s="114"/>
      <c r="HQ12" s="114"/>
      <c r="HR12" s="114"/>
      <c r="HS12" s="114"/>
      <c r="HT12" s="114"/>
      <c r="HU12" s="114"/>
      <c r="HV12" s="114"/>
      <c r="HW12" s="114"/>
      <c r="HX12" s="114"/>
      <c r="HY12" s="114"/>
      <c r="HZ12" s="114"/>
      <c r="IA12" s="114"/>
      <c r="IB12" s="114"/>
      <c r="IC12" s="114"/>
      <c r="ID12" s="114"/>
      <c r="IE12" s="114"/>
      <c r="IF12" s="114"/>
      <c r="IG12" s="114"/>
      <c r="IH12" s="114"/>
      <c r="II12" s="114"/>
      <c r="IJ12" s="114"/>
      <c r="IK12" s="114"/>
      <c r="IL12" s="114"/>
    </row>
    <row r="13" s="106" customFormat="1" ht="21" customHeight="1" spans="1:246">
      <c r="A13" s="115">
        <v>11</v>
      </c>
      <c r="B13" s="121">
        <v>44647</v>
      </c>
      <c r="C13" s="116">
        <v>44648</v>
      </c>
      <c r="D13" s="122">
        <v>20599.45</v>
      </c>
      <c r="E13" s="122">
        <v>20395.4</v>
      </c>
      <c r="F13" s="123">
        <v>1155770</v>
      </c>
      <c r="G13" s="117">
        <f t="shared" si="2"/>
        <v>7475314</v>
      </c>
      <c r="H13" s="115">
        <f t="shared" si="3"/>
        <v>-204.049999999999</v>
      </c>
      <c r="I13" s="115">
        <v>6.15</v>
      </c>
      <c r="J13" s="118">
        <f t="shared" si="1"/>
        <v>7107985.5</v>
      </c>
      <c r="K13" s="119" t="s">
        <v>14</v>
      </c>
      <c r="L13" s="119">
        <v>59.67524</v>
      </c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  <c r="BP13" s="114"/>
      <c r="BQ13" s="114"/>
      <c r="BR13" s="114"/>
      <c r="BS13" s="114"/>
      <c r="BT13" s="114"/>
      <c r="BU13" s="114"/>
      <c r="BV13" s="114"/>
      <c r="BW13" s="114"/>
      <c r="BX13" s="114"/>
      <c r="BY13" s="114"/>
      <c r="BZ13" s="114"/>
      <c r="CA13" s="114"/>
      <c r="CB13" s="114"/>
      <c r="CC13" s="114"/>
      <c r="CD13" s="114"/>
      <c r="CE13" s="114"/>
      <c r="CF13" s="114"/>
      <c r="CG13" s="114"/>
      <c r="CH13" s="114"/>
      <c r="CI13" s="114"/>
      <c r="CJ13" s="114"/>
      <c r="CK13" s="114"/>
      <c r="CL13" s="114"/>
      <c r="CM13" s="114"/>
      <c r="CN13" s="114"/>
      <c r="CO13" s="114"/>
      <c r="CP13" s="114"/>
      <c r="CQ13" s="114"/>
      <c r="CR13" s="114"/>
      <c r="CS13" s="114"/>
      <c r="CT13" s="114"/>
      <c r="CU13" s="114"/>
      <c r="CV13" s="114"/>
      <c r="CW13" s="114"/>
      <c r="CX13" s="114"/>
      <c r="CY13" s="114"/>
      <c r="CZ13" s="114"/>
      <c r="DA13" s="114"/>
      <c r="DB13" s="114"/>
      <c r="DC13" s="114"/>
      <c r="DD13" s="114"/>
      <c r="DE13" s="114"/>
      <c r="DF13" s="114"/>
      <c r="DG13" s="114"/>
      <c r="DH13" s="114"/>
      <c r="DI13" s="114"/>
      <c r="DJ13" s="114"/>
      <c r="DK13" s="114"/>
      <c r="DL13" s="114"/>
      <c r="DM13" s="114"/>
      <c r="DN13" s="114"/>
      <c r="DO13" s="114"/>
      <c r="DP13" s="114"/>
      <c r="DQ13" s="114"/>
      <c r="DR13" s="114"/>
      <c r="DS13" s="114"/>
      <c r="DT13" s="114"/>
      <c r="DU13" s="114"/>
      <c r="DV13" s="114"/>
      <c r="DW13" s="114"/>
      <c r="DX13" s="114"/>
      <c r="DY13" s="114"/>
      <c r="DZ13" s="114"/>
      <c r="EA13" s="114"/>
      <c r="EB13" s="114"/>
      <c r="EC13" s="114"/>
      <c r="ED13" s="114"/>
      <c r="EE13" s="114"/>
      <c r="EF13" s="114"/>
      <c r="EG13" s="114"/>
      <c r="EH13" s="114"/>
      <c r="EI13" s="114"/>
      <c r="EJ13" s="114"/>
      <c r="EK13" s="114"/>
      <c r="EL13" s="114"/>
      <c r="EM13" s="114"/>
      <c r="EN13" s="114"/>
      <c r="EO13" s="114"/>
      <c r="EP13" s="114"/>
      <c r="EQ13" s="114"/>
      <c r="ER13" s="114"/>
      <c r="ES13" s="114"/>
      <c r="ET13" s="114"/>
      <c r="EU13" s="114"/>
      <c r="EV13" s="114"/>
      <c r="EW13" s="114"/>
      <c r="EX13" s="114"/>
      <c r="EY13" s="114"/>
      <c r="EZ13" s="114"/>
      <c r="FA13" s="114"/>
      <c r="FB13" s="114"/>
      <c r="FC13" s="114"/>
      <c r="FD13" s="114"/>
      <c r="FE13" s="114"/>
      <c r="FF13" s="114"/>
      <c r="FG13" s="114"/>
      <c r="FH13" s="114"/>
      <c r="FI13" s="114"/>
      <c r="FJ13" s="114"/>
      <c r="FK13" s="114"/>
      <c r="FL13" s="114"/>
      <c r="FM13" s="114"/>
      <c r="FN13" s="114"/>
      <c r="FO13" s="114"/>
      <c r="FP13" s="114"/>
      <c r="FQ13" s="114"/>
      <c r="FR13" s="114"/>
      <c r="FS13" s="114"/>
      <c r="FT13" s="114"/>
      <c r="FU13" s="114"/>
      <c r="FV13" s="114"/>
      <c r="FW13" s="114"/>
      <c r="FX13" s="114"/>
      <c r="FY13" s="114"/>
      <c r="FZ13" s="114"/>
      <c r="GA13" s="114"/>
      <c r="GB13" s="114"/>
      <c r="GC13" s="114"/>
      <c r="GD13" s="114"/>
      <c r="GE13" s="114"/>
      <c r="GF13" s="114"/>
      <c r="GG13" s="114"/>
      <c r="GH13" s="114"/>
      <c r="GI13" s="114"/>
      <c r="GJ13" s="114"/>
      <c r="GK13" s="114"/>
      <c r="GL13" s="114"/>
      <c r="GM13" s="114"/>
      <c r="GN13" s="114"/>
      <c r="GO13" s="114"/>
      <c r="GP13" s="114"/>
      <c r="GQ13" s="114"/>
      <c r="GR13" s="114"/>
      <c r="GS13" s="114"/>
      <c r="GT13" s="114"/>
      <c r="GU13" s="114"/>
      <c r="GV13" s="114"/>
      <c r="GW13" s="114"/>
      <c r="GX13" s="114"/>
      <c r="GY13" s="114"/>
      <c r="GZ13" s="114"/>
      <c r="HA13" s="114"/>
      <c r="HB13" s="114"/>
      <c r="HC13" s="114"/>
      <c r="HD13" s="114"/>
      <c r="HE13" s="114"/>
      <c r="HF13" s="114"/>
      <c r="HG13" s="114"/>
      <c r="HH13" s="114"/>
      <c r="HI13" s="114"/>
      <c r="HJ13" s="114"/>
      <c r="HK13" s="114"/>
      <c r="HL13" s="114"/>
      <c r="HM13" s="114"/>
      <c r="HN13" s="114"/>
      <c r="HO13" s="114"/>
      <c r="HP13" s="114"/>
      <c r="HQ13" s="114"/>
      <c r="HR13" s="114"/>
      <c r="HS13" s="114"/>
      <c r="HT13" s="114"/>
      <c r="HU13" s="114"/>
      <c r="HV13" s="114"/>
      <c r="HW13" s="114"/>
      <c r="HX13" s="114"/>
      <c r="HY13" s="114"/>
      <c r="HZ13" s="114"/>
      <c r="IA13" s="114"/>
      <c r="IB13" s="114"/>
      <c r="IC13" s="114"/>
      <c r="ID13" s="114"/>
      <c r="IE13" s="114"/>
      <c r="IF13" s="114"/>
      <c r="IG13" s="114"/>
      <c r="IH13" s="114"/>
      <c r="II13" s="114"/>
      <c r="IJ13" s="114"/>
      <c r="IK13" s="114"/>
      <c r="IL13" s="114"/>
    </row>
    <row r="14" s="106" customFormat="1" ht="21" customHeight="1" spans="1:246">
      <c r="A14" s="115">
        <v>12</v>
      </c>
      <c r="B14" s="121">
        <v>44665</v>
      </c>
      <c r="C14" s="116">
        <v>44665</v>
      </c>
      <c r="D14" s="122">
        <v>16775.23</v>
      </c>
      <c r="E14" s="122">
        <v>16775.23</v>
      </c>
      <c r="F14" s="123">
        <v>1034863</v>
      </c>
      <c r="G14" s="117">
        <f t="shared" si="2"/>
        <v>8510177</v>
      </c>
      <c r="H14" s="115">
        <f t="shared" si="3"/>
        <v>0</v>
      </c>
      <c r="I14" s="115">
        <v>6.2</v>
      </c>
      <c r="J14" s="118">
        <f t="shared" si="1"/>
        <v>6416150.6</v>
      </c>
      <c r="K14" s="119" t="s">
        <v>13</v>
      </c>
      <c r="L14" s="119">
        <v>61.69</v>
      </c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  <c r="BP14" s="114"/>
      <c r="BQ14" s="114"/>
      <c r="BR14" s="114"/>
      <c r="BS14" s="114"/>
      <c r="BT14" s="114"/>
      <c r="BU14" s="114"/>
      <c r="BV14" s="114"/>
      <c r="BW14" s="114"/>
      <c r="BX14" s="114"/>
      <c r="BY14" s="114"/>
      <c r="BZ14" s="114"/>
      <c r="CA14" s="114"/>
      <c r="CB14" s="114"/>
      <c r="CC14" s="114"/>
      <c r="CD14" s="114"/>
      <c r="CE14" s="114"/>
      <c r="CF14" s="114"/>
      <c r="CG14" s="114"/>
      <c r="CH14" s="114"/>
      <c r="CI14" s="114"/>
      <c r="CJ14" s="114"/>
      <c r="CK14" s="114"/>
      <c r="CL14" s="114"/>
      <c r="CM14" s="114"/>
      <c r="CN14" s="114"/>
      <c r="CO14" s="114"/>
      <c r="CP14" s="114"/>
      <c r="CQ14" s="114"/>
      <c r="CR14" s="114"/>
      <c r="CS14" s="114"/>
      <c r="CT14" s="114"/>
      <c r="CU14" s="114"/>
      <c r="CV14" s="114"/>
      <c r="CW14" s="114"/>
      <c r="CX14" s="114"/>
      <c r="CY14" s="114"/>
      <c r="CZ14" s="114"/>
      <c r="DA14" s="114"/>
      <c r="DB14" s="114"/>
      <c r="DC14" s="114"/>
      <c r="DD14" s="114"/>
      <c r="DE14" s="114"/>
      <c r="DF14" s="114"/>
      <c r="DG14" s="114"/>
      <c r="DH14" s="114"/>
      <c r="DI14" s="114"/>
      <c r="DJ14" s="114"/>
      <c r="DK14" s="114"/>
      <c r="DL14" s="114"/>
      <c r="DM14" s="114"/>
      <c r="DN14" s="114"/>
      <c r="DO14" s="114"/>
      <c r="DP14" s="114"/>
      <c r="DQ14" s="114"/>
      <c r="DR14" s="114"/>
      <c r="DS14" s="114"/>
      <c r="DT14" s="114"/>
      <c r="DU14" s="114"/>
      <c r="DV14" s="114"/>
      <c r="DW14" s="114"/>
      <c r="DX14" s="114"/>
      <c r="DY14" s="114"/>
      <c r="DZ14" s="114"/>
      <c r="EA14" s="114"/>
      <c r="EB14" s="114"/>
      <c r="EC14" s="114"/>
      <c r="ED14" s="114"/>
      <c r="EE14" s="114"/>
      <c r="EF14" s="114"/>
      <c r="EG14" s="114"/>
      <c r="EH14" s="114"/>
      <c r="EI14" s="114"/>
      <c r="EJ14" s="114"/>
      <c r="EK14" s="114"/>
      <c r="EL14" s="114"/>
      <c r="EM14" s="114"/>
      <c r="EN14" s="114"/>
      <c r="EO14" s="114"/>
      <c r="EP14" s="114"/>
      <c r="EQ14" s="114"/>
      <c r="ER14" s="114"/>
      <c r="ES14" s="114"/>
      <c r="ET14" s="114"/>
      <c r="EU14" s="114"/>
      <c r="EV14" s="114"/>
      <c r="EW14" s="114"/>
      <c r="EX14" s="114"/>
      <c r="EY14" s="114"/>
      <c r="EZ14" s="114"/>
      <c r="FA14" s="114"/>
      <c r="FB14" s="114"/>
      <c r="FC14" s="114"/>
      <c r="FD14" s="114"/>
      <c r="FE14" s="114"/>
      <c r="FF14" s="114"/>
      <c r="FG14" s="114"/>
      <c r="FH14" s="114"/>
      <c r="FI14" s="114"/>
      <c r="FJ14" s="114"/>
      <c r="FK14" s="114"/>
      <c r="FL14" s="114"/>
      <c r="FM14" s="114"/>
      <c r="FN14" s="114"/>
      <c r="FO14" s="114"/>
      <c r="FP14" s="114"/>
      <c r="FQ14" s="114"/>
      <c r="FR14" s="114"/>
      <c r="FS14" s="114"/>
      <c r="FT14" s="114"/>
      <c r="FU14" s="114"/>
      <c r="FV14" s="114"/>
      <c r="FW14" s="114"/>
      <c r="FX14" s="114"/>
      <c r="FY14" s="114"/>
      <c r="FZ14" s="114"/>
      <c r="GA14" s="114"/>
      <c r="GB14" s="114"/>
      <c r="GC14" s="114"/>
      <c r="GD14" s="114"/>
      <c r="GE14" s="114"/>
      <c r="GF14" s="114"/>
      <c r="GG14" s="114"/>
      <c r="GH14" s="114"/>
      <c r="GI14" s="114"/>
      <c r="GJ14" s="114"/>
      <c r="GK14" s="114"/>
      <c r="GL14" s="114"/>
      <c r="GM14" s="114"/>
      <c r="GN14" s="114"/>
      <c r="GO14" s="114"/>
      <c r="GP14" s="114"/>
      <c r="GQ14" s="114"/>
      <c r="GR14" s="114"/>
      <c r="GS14" s="114"/>
      <c r="GT14" s="114"/>
      <c r="GU14" s="114"/>
      <c r="GV14" s="114"/>
      <c r="GW14" s="114"/>
      <c r="GX14" s="114"/>
      <c r="GY14" s="114"/>
      <c r="GZ14" s="114"/>
      <c r="HA14" s="114"/>
      <c r="HB14" s="114"/>
      <c r="HC14" s="114"/>
      <c r="HD14" s="114"/>
      <c r="HE14" s="114"/>
      <c r="HF14" s="114"/>
      <c r="HG14" s="114"/>
      <c r="HH14" s="114"/>
      <c r="HI14" s="114"/>
      <c r="HJ14" s="114"/>
      <c r="HK14" s="114"/>
      <c r="HL14" s="114"/>
      <c r="HM14" s="114"/>
      <c r="HN14" s="114"/>
      <c r="HO14" s="114"/>
      <c r="HP14" s="114"/>
      <c r="HQ14" s="114"/>
      <c r="HR14" s="114"/>
      <c r="HS14" s="114"/>
      <c r="HT14" s="114"/>
      <c r="HU14" s="114"/>
      <c r="HV14" s="114"/>
      <c r="HW14" s="114"/>
      <c r="HX14" s="114"/>
      <c r="HY14" s="114"/>
      <c r="HZ14" s="114"/>
      <c r="IA14" s="114"/>
      <c r="IB14" s="114"/>
      <c r="IC14" s="114"/>
      <c r="ID14" s="114"/>
      <c r="IE14" s="114"/>
      <c r="IF14" s="114"/>
      <c r="IG14" s="114"/>
      <c r="IH14" s="114"/>
      <c r="II14" s="114"/>
      <c r="IJ14" s="114"/>
      <c r="IK14" s="114"/>
      <c r="IL14" s="114"/>
    </row>
    <row r="15" s="106" customFormat="1" ht="21" customHeight="1" spans="1:246">
      <c r="A15" s="115">
        <v>13</v>
      </c>
      <c r="B15" s="121">
        <v>44678</v>
      </c>
      <c r="C15" s="116">
        <v>44678</v>
      </c>
      <c r="D15" s="122">
        <v>20536.52</v>
      </c>
      <c r="E15" s="122">
        <v>20401.1</v>
      </c>
      <c r="F15" s="123">
        <v>1126990</v>
      </c>
      <c r="G15" s="117">
        <f t="shared" si="2"/>
        <v>9637167</v>
      </c>
      <c r="H15" s="115">
        <f t="shared" si="3"/>
        <v>-135.420000000002</v>
      </c>
      <c r="I15" s="115">
        <v>6.2</v>
      </c>
      <c r="J15" s="118">
        <f t="shared" si="1"/>
        <v>6987338</v>
      </c>
      <c r="K15" s="119" t="s">
        <v>14</v>
      </c>
      <c r="L15" s="119">
        <v>58.17251</v>
      </c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  <c r="BP15" s="114"/>
      <c r="BQ15" s="114"/>
      <c r="BR15" s="114"/>
      <c r="BS15" s="114"/>
      <c r="BT15" s="114"/>
      <c r="BU15" s="114"/>
      <c r="BV15" s="114"/>
      <c r="BW15" s="114"/>
      <c r="BX15" s="114"/>
      <c r="BY15" s="114"/>
      <c r="BZ15" s="114"/>
      <c r="CA15" s="114"/>
      <c r="CB15" s="114"/>
      <c r="CC15" s="114"/>
      <c r="CD15" s="114"/>
      <c r="CE15" s="114"/>
      <c r="CF15" s="114"/>
      <c r="CG15" s="114"/>
      <c r="CH15" s="114"/>
      <c r="CI15" s="114"/>
      <c r="CJ15" s="114"/>
      <c r="CK15" s="114"/>
      <c r="CL15" s="114"/>
      <c r="CM15" s="114"/>
      <c r="CN15" s="114"/>
      <c r="CO15" s="114"/>
      <c r="CP15" s="114"/>
      <c r="CQ15" s="114"/>
      <c r="CR15" s="114"/>
      <c r="CS15" s="114"/>
      <c r="CT15" s="114"/>
      <c r="CU15" s="114"/>
      <c r="CV15" s="114"/>
      <c r="CW15" s="114"/>
      <c r="CX15" s="114"/>
      <c r="CY15" s="114"/>
      <c r="CZ15" s="114"/>
      <c r="DA15" s="114"/>
      <c r="DB15" s="114"/>
      <c r="DC15" s="114"/>
      <c r="DD15" s="114"/>
      <c r="DE15" s="114"/>
      <c r="DF15" s="114"/>
      <c r="DG15" s="114"/>
      <c r="DH15" s="114"/>
      <c r="DI15" s="114"/>
      <c r="DJ15" s="114"/>
      <c r="DK15" s="114"/>
      <c r="DL15" s="114"/>
      <c r="DM15" s="114"/>
      <c r="DN15" s="114"/>
      <c r="DO15" s="114"/>
      <c r="DP15" s="114"/>
      <c r="DQ15" s="114"/>
      <c r="DR15" s="114"/>
      <c r="DS15" s="114"/>
      <c r="DT15" s="114"/>
      <c r="DU15" s="114"/>
      <c r="DV15" s="114"/>
      <c r="DW15" s="114"/>
      <c r="DX15" s="114"/>
      <c r="DY15" s="114"/>
      <c r="DZ15" s="114"/>
      <c r="EA15" s="114"/>
      <c r="EB15" s="114"/>
      <c r="EC15" s="114"/>
      <c r="ED15" s="114"/>
      <c r="EE15" s="114"/>
      <c r="EF15" s="114"/>
      <c r="EG15" s="114"/>
      <c r="EH15" s="114"/>
      <c r="EI15" s="114"/>
      <c r="EJ15" s="114"/>
      <c r="EK15" s="114"/>
      <c r="EL15" s="114"/>
      <c r="EM15" s="114"/>
      <c r="EN15" s="114"/>
      <c r="EO15" s="114"/>
      <c r="EP15" s="114"/>
      <c r="EQ15" s="114"/>
      <c r="ER15" s="114"/>
      <c r="ES15" s="114"/>
      <c r="ET15" s="114"/>
      <c r="EU15" s="114"/>
      <c r="EV15" s="114"/>
      <c r="EW15" s="114"/>
      <c r="EX15" s="114"/>
      <c r="EY15" s="114"/>
      <c r="EZ15" s="114"/>
      <c r="FA15" s="114"/>
      <c r="FB15" s="114"/>
      <c r="FC15" s="114"/>
      <c r="FD15" s="114"/>
      <c r="FE15" s="114"/>
      <c r="FF15" s="114"/>
      <c r="FG15" s="114"/>
      <c r="FH15" s="114"/>
      <c r="FI15" s="114"/>
      <c r="FJ15" s="114"/>
      <c r="FK15" s="114"/>
      <c r="FL15" s="114"/>
      <c r="FM15" s="114"/>
      <c r="FN15" s="114"/>
      <c r="FO15" s="114"/>
      <c r="FP15" s="114"/>
      <c r="FQ15" s="114"/>
      <c r="FR15" s="114"/>
      <c r="FS15" s="114"/>
      <c r="FT15" s="114"/>
      <c r="FU15" s="114"/>
      <c r="FV15" s="114"/>
      <c r="FW15" s="114"/>
      <c r="FX15" s="114"/>
      <c r="FY15" s="114"/>
      <c r="FZ15" s="114"/>
      <c r="GA15" s="114"/>
      <c r="GB15" s="114"/>
      <c r="GC15" s="114"/>
      <c r="GD15" s="114"/>
      <c r="GE15" s="114"/>
      <c r="GF15" s="114"/>
      <c r="GG15" s="114"/>
      <c r="GH15" s="114"/>
      <c r="GI15" s="114"/>
      <c r="GJ15" s="114"/>
      <c r="GK15" s="114"/>
      <c r="GL15" s="114"/>
      <c r="GM15" s="114"/>
      <c r="GN15" s="114"/>
      <c r="GO15" s="114"/>
      <c r="GP15" s="114"/>
      <c r="GQ15" s="114"/>
      <c r="GR15" s="114"/>
      <c r="GS15" s="114"/>
      <c r="GT15" s="114"/>
      <c r="GU15" s="114"/>
      <c r="GV15" s="114"/>
      <c r="GW15" s="114"/>
      <c r="GX15" s="114"/>
      <c r="GY15" s="114"/>
      <c r="GZ15" s="114"/>
      <c r="HA15" s="114"/>
      <c r="HB15" s="114"/>
      <c r="HC15" s="114"/>
      <c r="HD15" s="114"/>
      <c r="HE15" s="114"/>
      <c r="HF15" s="114"/>
      <c r="HG15" s="114"/>
      <c r="HH15" s="114"/>
      <c r="HI15" s="114"/>
      <c r="HJ15" s="114"/>
      <c r="HK15" s="114"/>
      <c r="HL15" s="114"/>
      <c r="HM15" s="114"/>
      <c r="HN15" s="114"/>
      <c r="HO15" s="114"/>
      <c r="HP15" s="114"/>
      <c r="HQ15" s="114"/>
      <c r="HR15" s="114"/>
      <c r="HS15" s="114"/>
      <c r="HT15" s="114"/>
      <c r="HU15" s="114"/>
      <c r="HV15" s="114"/>
      <c r="HW15" s="114"/>
      <c r="HX15" s="114"/>
      <c r="HY15" s="114"/>
      <c r="HZ15" s="114"/>
      <c r="IA15" s="114"/>
      <c r="IB15" s="114"/>
      <c r="IC15" s="114"/>
      <c r="ID15" s="114"/>
      <c r="IE15" s="114"/>
      <c r="IF15" s="114"/>
      <c r="IG15" s="114"/>
      <c r="IH15" s="114"/>
      <c r="II15" s="114"/>
      <c r="IJ15" s="114"/>
      <c r="IK15" s="114"/>
      <c r="IL15" s="114"/>
    </row>
    <row r="16" s="106" customFormat="1" ht="21" customHeight="1" spans="1:246">
      <c r="A16" s="115">
        <v>14</v>
      </c>
      <c r="B16" s="121">
        <v>44678</v>
      </c>
      <c r="C16" s="116">
        <v>44678</v>
      </c>
      <c r="D16" s="122">
        <v>7742.22</v>
      </c>
      <c r="E16" s="122">
        <v>7742.22</v>
      </c>
      <c r="F16" s="123">
        <v>467552</v>
      </c>
      <c r="G16" s="117">
        <f t="shared" si="2"/>
        <v>10104719</v>
      </c>
      <c r="H16" s="115">
        <f t="shared" si="3"/>
        <v>0</v>
      </c>
      <c r="I16" s="115">
        <v>6.2</v>
      </c>
      <c r="J16" s="118">
        <f t="shared" si="1"/>
        <v>2898822.4</v>
      </c>
      <c r="K16" s="119" t="s">
        <v>13</v>
      </c>
      <c r="L16" s="119">
        <v>60.39</v>
      </c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114"/>
      <c r="BL16" s="114"/>
      <c r="BM16" s="114"/>
      <c r="BN16" s="114"/>
      <c r="BO16" s="114"/>
      <c r="BP16" s="114"/>
      <c r="BQ16" s="114"/>
      <c r="BR16" s="114"/>
      <c r="BS16" s="114"/>
      <c r="BT16" s="114"/>
      <c r="BU16" s="114"/>
      <c r="BV16" s="114"/>
      <c r="BW16" s="114"/>
      <c r="BX16" s="114"/>
      <c r="BY16" s="114"/>
      <c r="BZ16" s="114"/>
      <c r="CA16" s="114"/>
      <c r="CB16" s="114"/>
      <c r="CC16" s="114"/>
      <c r="CD16" s="114"/>
      <c r="CE16" s="114"/>
      <c r="CF16" s="114"/>
      <c r="CG16" s="114"/>
      <c r="CH16" s="114"/>
      <c r="CI16" s="114"/>
      <c r="CJ16" s="114"/>
      <c r="CK16" s="114"/>
      <c r="CL16" s="114"/>
      <c r="CM16" s="114"/>
      <c r="CN16" s="114"/>
      <c r="CO16" s="114"/>
      <c r="CP16" s="114"/>
      <c r="CQ16" s="114"/>
      <c r="CR16" s="114"/>
      <c r="CS16" s="114"/>
      <c r="CT16" s="114"/>
      <c r="CU16" s="114"/>
      <c r="CV16" s="114"/>
      <c r="CW16" s="114"/>
      <c r="CX16" s="114"/>
      <c r="CY16" s="114"/>
      <c r="CZ16" s="114"/>
      <c r="DA16" s="114"/>
      <c r="DB16" s="114"/>
      <c r="DC16" s="114"/>
      <c r="DD16" s="114"/>
      <c r="DE16" s="114"/>
      <c r="DF16" s="114"/>
      <c r="DG16" s="114"/>
      <c r="DH16" s="114"/>
      <c r="DI16" s="114"/>
      <c r="DJ16" s="114"/>
      <c r="DK16" s="114"/>
      <c r="DL16" s="114"/>
      <c r="DM16" s="114"/>
      <c r="DN16" s="114"/>
      <c r="DO16" s="114"/>
      <c r="DP16" s="114"/>
      <c r="DQ16" s="114"/>
      <c r="DR16" s="114"/>
      <c r="DS16" s="114"/>
      <c r="DT16" s="114"/>
      <c r="DU16" s="114"/>
      <c r="DV16" s="114"/>
      <c r="DW16" s="114"/>
      <c r="DX16" s="114"/>
      <c r="DY16" s="114"/>
      <c r="DZ16" s="114"/>
      <c r="EA16" s="114"/>
      <c r="EB16" s="114"/>
      <c r="EC16" s="114"/>
      <c r="ED16" s="114"/>
      <c r="EE16" s="114"/>
      <c r="EF16" s="114"/>
      <c r="EG16" s="114"/>
      <c r="EH16" s="114"/>
      <c r="EI16" s="114"/>
      <c r="EJ16" s="114"/>
      <c r="EK16" s="114"/>
      <c r="EL16" s="114"/>
      <c r="EM16" s="114"/>
      <c r="EN16" s="114"/>
      <c r="EO16" s="114"/>
      <c r="EP16" s="114"/>
      <c r="EQ16" s="114"/>
      <c r="ER16" s="114"/>
      <c r="ES16" s="114"/>
      <c r="ET16" s="114"/>
      <c r="EU16" s="114"/>
      <c r="EV16" s="114"/>
      <c r="EW16" s="114"/>
      <c r="EX16" s="114"/>
      <c r="EY16" s="114"/>
      <c r="EZ16" s="114"/>
      <c r="FA16" s="114"/>
      <c r="FB16" s="114"/>
      <c r="FC16" s="114"/>
      <c r="FD16" s="114"/>
      <c r="FE16" s="114"/>
      <c r="FF16" s="114"/>
      <c r="FG16" s="114"/>
      <c r="FH16" s="114"/>
      <c r="FI16" s="114"/>
      <c r="FJ16" s="114"/>
      <c r="FK16" s="114"/>
      <c r="FL16" s="114"/>
      <c r="FM16" s="114"/>
      <c r="FN16" s="114"/>
      <c r="FO16" s="114"/>
      <c r="FP16" s="114"/>
      <c r="FQ16" s="114"/>
      <c r="FR16" s="114"/>
      <c r="FS16" s="114"/>
      <c r="FT16" s="114"/>
      <c r="FU16" s="114"/>
      <c r="FV16" s="114"/>
      <c r="FW16" s="114"/>
      <c r="FX16" s="114"/>
      <c r="FY16" s="114"/>
      <c r="FZ16" s="114"/>
      <c r="GA16" s="114"/>
      <c r="GB16" s="114"/>
      <c r="GC16" s="114"/>
      <c r="GD16" s="114"/>
      <c r="GE16" s="114"/>
      <c r="GF16" s="114"/>
      <c r="GG16" s="114"/>
      <c r="GH16" s="114"/>
      <c r="GI16" s="114"/>
      <c r="GJ16" s="114"/>
      <c r="GK16" s="114"/>
      <c r="GL16" s="114"/>
      <c r="GM16" s="114"/>
      <c r="GN16" s="114"/>
      <c r="GO16" s="114"/>
      <c r="GP16" s="114"/>
      <c r="GQ16" s="114"/>
      <c r="GR16" s="114"/>
      <c r="GS16" s="114"/>
      <c r="GT16" s="114"/>
      <c r="GU16" s="114"/>
      <c r="GV16" s="114"/>
      <c r="GW16" s="114"/>
      <c r="GX16" s="114"/>
      <c r="GY16" s="114"/>
      <c r="GZ16" s="114"/>
      <c r="HA16" s="114"/>
      <c r="HB16" s="114"/>
      <c r="HC16" s="114"/>
      <c r="HD16" s="114"/>
      <c r="HE16" s="114"/>
      <c r="HF16" s="114"/>
      <c r="HG16" s="114"/>
      <c r="HH16" s="114"/>
      <c r="HI16" s="114"/>
      <c r="HJ16" s="114"/>
      <c r="HK16" s="114"/>
      <c r="HL16" s="114"/>
      <c r="HM16" s="114"/>
      <c r="HN16" s="114"/>
      <c r="HO16" s="114"/>
      <c r="HP16" s="114"/>
      <c r="HQ16" s="114"/>
      <c r="HR16" s="114"/>
      <c r="HS16" s="114"/>
      <c r="HT16" s="114"/>
      <c r="HU16" s="114"/>
      <c r="HV16" s="114"/>
      <c r="HW16" s="114"/>
      <c r="HX16" s="114"/>
      <c r="HY16" s="114"/>
      <c r="HZ16" s="114"/>
      <c r="IA16" s="114"/>
      <c r="IB16" s="114"/>
      <c r="IC16" s="114"/>
      <c r="ID16" s="114"/>
      <c r="IE16" s="114"/>
      <c r="IF16" s="114"/>
      <c r="IG16" s="114"/>
      <c r="IH16" s="114"/>
      <c r="II16" s="114"/>
      <c r="IJ16" s="114"/>
      <c r="IK16" s="114"/>
      <c r="IL16" s="114"/>
    </row>
    <row r="17" s="106" customFormat="1" ht="21" customHeight="1" spans="1:246">
      <c r="A17" s="115">
        <v>11</v>
      </c>
      <c r="B17" s="121">
        <v>44678</v>
      </c>
      <c r="C17" s="116">
        <v>44678</v>
      </c>
      <c r="D17" s="122">
        <v>11016.97</v>
      </c>
      <c r="E17" s="122">
        <v>11016.97</v>
      </c>
      <c r="F17" s="123">
        <v>656831</v>
      </c>
      <c r="G17" s="117">
        <f t="shared" si="2"/>
        <v>10761550</v>
      </c>
      <c r="H17" s="115">
        <f t="shared" si="3"/>
        <v>0</v>
      </c>
      <c r="I17" s="115">
        <v>6.36</v>
      </c>
      <c r="J17" s="118">
        <f t="shared" si="1"/>
        <v>4177445.16</v>
      </c>
      <c r="K17" s="119" t="s">
        <v>13</v>
      </c>
      <c r="L17" s="119">
        <v>59.62</v>
      </c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  <c r="BJ17" s="114"/>
      <c r="BK17" s="114"/>
      <c r="BL17" s="114"/>
      <c r="BM17" s="114"/>
      <c r="BN17" s="114"/>
      <c r="BO17" s="114"/>
      <c r="BP17" s="114"/>
      <c r="BQ17" s="114"/>
      <c r="BR17" s="114"/>
      <c r="BS17" s="114"/>
      <c r="BT17" s="114"/>
      <c r="BU17" s="114"/>
      <c r="BV17" s="114"/>
      <c r="BW17" s="114"/>
      <c r="BX17" s="114"/>
      <c r="BY17" s="114"/>
      <c r="BZ17" s="114"/>
      <c r="CA17" s="114"/>
      <c r="CB17" s="114"/>
      <c r="CC17" s="114"/>
      <c r="CD17" s="114"/>
      <c r="CE17" s="114"/>
      <c r="CF17" s="114"/>
      <c r="CG17" s="114"/>
      <c r="CH17" s="114"/>
      <c r="CI17" s="114"/>
      <c r="CJ17" s="114"/>
      <c r="CK17" s="114"/>
      <c r="CL17" s="114"/>
      <c r="CM17" s="114"/>
      <c r="CN17" s="114"/>
      <c r="CO17" s="114"/>
      <c r="CP17" s="114"/>
      <c r="CQ17" s="114"/>
      <c r="CR17" s="114"/>
      <c r="CS17" s="114"/>
      <c r="CT17" s="114"/>
      <c r="CU17" s="114"/>
      <c r="CV17" s="114"/>
      <c r="CW17" s="114"/>
      <c r="CX17" s="114"/>
      <c r="CY17" s="114"/>
      <c r="CZ17" s="114"/>
      <c r="DA17" s="114"/>
      <c r="DB17" s="114"/>
      <c r="DC17" s="114"/>
      <c r="DD17" s="114"/>
      <c r="DE17" s="114"/>
      <c r="DF17" s="114"/>
      <c r="DG17" s="114"/>
      <c r="DH17" s="114"/>
      <c r="DI17" s="114"/>
      <c r="DJ17" s="114"/>
      <c r="DK17" s="114"/>
      <c r="DL17" s="114"/>
      <c r="DM17" s="114"/>
      <c r="DN17" s="114"/>
      <c r="DO17" s="114"/>
      <c r="DP17" s="114"/>
      <c r="DQ17" s="114"/>
      <c r="DR17" s="114"/>
      <c r="DS17" s="114"/>
      <c r="DT17" s="114"/>
      <c r="DU17" s="114"/>
      <c r="DV17" s="114"/>
      <c r="DW17" s="114"/>
      <c r="DX17" s="114"/>
      <c r="DY17" s="114"/>
      <c r="DZ17" s="114"/>
      <c r="EA17" s="114"/>
      <c r="EB17" s="114"/>
      <c r="EC17" s="114"/>
      <c r="ED17" s="114"/>
      <c r="EE17" s="114"/>
      <c r="EF17" s="114"/>
      <c r="EG17" s="114"/>
      <c r="EH17" s="114"/>
      <c r="EI17" s="114"/>
      <c r="EJ17" s="114"/>
      <c r="EK17" s="114"/>
      <c r="EL17" s="114"/>
      <c r="EM17" s="114"/>
      <c r="EN17" s="114"/>
      <c r="EO17" s="114"/>
      <c r="EP17" s="114"/>
      <c r="EQ17" s="114"/>
      <c r="ER17" s="114"/>
      <c r="ES17" s="114"/>
      <c r="ET17" s="114"/>
      <c r="EU17" s="114"/>
      <c r="EV17" s="114"/>
      <c r="EW17" s="114"/>
      <c r="EX17" s="114"/>
      <c r="EY17" s="114"/>
      <c r="EZ17" s="114"/>
      <c r="FA17" s="114"/>
      <c r="FB17" s="114"/>
      <c r="FC17" s="114"/>
      <c r="FD17" s="114"/>
      <c r="FE17" s="114"/>
      <c r="FF17" s="114"/>
      <c r="FG17" s="114"/>
      <c r="FH17" s="114"/>
      <c r="FI17" s="114"/>
      <c r="FJ17" s="114"/>
      <c r="FK17" s="114"/>
      <c r="FL17" s="114"/>
      <c r="FM17" s="114"/>
      <c r="FN17" s="114"/>
      <c r="FO17" s="114"/>
      <c r="FP17" s="114"/>
      <c r="FQ17" s="114"/>
      <c r="FR17" s="114"/>
      <c r="FS17" s="114"/>
      <c r="FT17" s="114"/>
      <c r="FU17" s="114"/>
      <c r="FV17" s="114"/>
      <c r="FW17" s="114"/>
      <c r="FX17" s="114"/>
      <c r="FY17" s="114"/>
      <c r="FZ17" s="114"/>
      <c r="GA17" s="114"/>
      <c r="GB17" s="114"/>
      <c r="GC17" s="114"/>
      <c r="GD17" s="114"/>
      <c r="GE17" s="114"/>
      <c r="GF17" s="114"/>
      <c r="GG17" s="114"/>
      <c r="GH17" s="114"/>
      <c r="GI17" s="114"/>
      <c r="GJ17" s="114"/>
      <c r="GK17" s="114"/>
      <c r="GL17" s="114"/>
      <c r="GM17" s="114"/>
      <c r="GN17" s="114"/>
      <c r="GO17" s="114"/>
      <c r="GP17" s="114"/>
      <c r="GQ17" s="114"/>
      <c r="GR17" s="114"/>
      <c r="GS17" s="114"/>
      <c r="GT17" s="114"/>
      <c r="GU17" s="114"/>
      <c r="GV17" s="114"/>
      <c r="GW17" s="114"/>
      <c r="GX17" s="114"/>
      <c r="GY17" s="114"/>
      <c r="GZ17" s="114"/>
      <c r="HA17" s="114"/>
      <c r="HB17" s="114"/>
      <c r="HC17" s="114"/>
      <c r="HD17" s="114"/>
      <c r="HE17" s="114"/>
      <c r="HF17" s="114"/>
      <c r="HG17" s="114"/>
      <c r="HH17" s="114"/>
      <c r="HI17" s="114"/>
      <c r="HJ17" s="114"/>
      <c r="HK17" s="114"/>
      <c r="HL17" s="114"/>
      <c r="HM17" s="114"/>
      <c r="HN17" s="114"/>
      <c r="HO17" s="114"/>
      <c r="HP17" s="114"/>
      <c r="HQ17" s="114"/>
      <c r="HR17" s="114"/>
      <c r="HS17" s="114"/>
      <c r="HT17" s="114"/>
      <c r="HU17" s="114"/>
      <c r="HV17" s="114"/>
      <c r="HW17" s="114"/>
      <c r="HX17" s="114"/>
      <c r="HY17" s="114"/>
      <c r="HZ17" s="114"/>
      <c r="IA17" s="114"/>
      <c r="IB17" s="114"/>
      <c r="IC17" s="114"/>
      <c r="ID17" s="114"/>
      <c r="IE17" s="114"/>
      <c r="IF17" s="114"/>
      <c r="IG17" s="114"/>
      <c r="IH17" s="114"/>
      <c r="II17" s="114"/>
      <c r="IJ17" s="114"/>
      <c r="IK17" s="114"/>
      <c r="IL17" s="114"/>
    </row>
    <row r="18" s="106" customFormat="1" ht="21" customHeight="1" spans="1:246">
      <c r="A18" s="115">
        <v>12</v>
      </c>
      <c r="B18" s="121">
        <v>44707</v>
      </c>
      <c r="C18" s="116">
        <v>44707</v>
      </c>
      <c r="D18" s="122">
        <v>6803.03</v>
      </c>
      <c r="E18" s="122">
        <v>6803.03</v>
      </c>
      <c r="F18" s="123">
        <v>398385</v>
      </c>
      <c r="G18" s="117">
        <f t="shared" si="2"/>
        <v>11159935</v>
      </c>
      <c r="H18" s="115">
        <f t="shared" si="3"/>
        <v>0</v>
      </c>
      <c r="I18" s="119">
        <v>6.5</v>
      </c>
      <c r="J18" s="118">
        <f t="shared" si="1"/>
        <v>2589502.5</v>
      </c>
      <c r="K18" s="119" t="s">
        <v>13</v>
      </c>
      <c r="L18" s="119">
        <v>58.56</v>
      </c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  <c r="BF18" s="114"/>
      <c r="BG18" s="114"/>
      <c r="BH18" s="114"/>
      <c r="BI18" s="114"/>
      <c r="BJ18" s="114"/>
      <c r="BK18" s="114"/>
      <c r="BL18" s="114"/>
      <c r="BM18" s="114"/>
      <c r="BN18" s="114"/>
      <c r="BO18" s="114"/>
      <c r="BP18" s="114"/>
      <c r="BQ18" s="114"/>
      <c r="BR18" s="114"/>
      <c r="BS18" s="114"/>
      <c r="BT18" s="114"/>
      <c r="BU18" s="114"/>
      <c r="BV18" s="114"/>
      <c r="BW18" s="114"/>
      <c r="BX18" s="114"/>
      <c r="BY18" s="114"/>
      <c r="BZ18" s="114"/>
      <c r="CA18" s="114"/>
      <c r="CB18" s="114"/>
      <c r="CC18" s="114"/>
      <c r="CD18" s="114"/>
      <c r="CE18" s="114"/>
      <c r="CF18" s="114"/>
      <c r="CG18" s="114"/>
      <c r="CH18" s="114"/>
      <c r="CI18" s="114"/>
      <c r="CJ18" s="114"/>
      <c r="CK18" s="114"/>
      <c r="CL18" s="114"/>
      <c r="CM18" s="114"/>
      <c r="CN18" s="114"/>
      <c r="CO18" s="114"/>
      <c r="CP18" s="114"/>
      <c r="CQ18" s="114"/>
      <c r="CR18" s="114"/>
      <c r="CS18" s="114"/>
      <c r="CT18" s="114"/>
      <c r="CU18" s="114"/>
      <c r="CV18" s="114"/>
      <c r="CW18" s="114"/>
      <c r="CX18" s="114"/>
      <c r="CY18" s="114"/>
      <c r="CZ18" s="114"/>
      <c r="DA18" s="114"/>
      <c r="DB18" s="114"/>
      <c r="DC18" s="114"/>
      <c r="DD18" s="114"/>
      <c r="DE18" s="114"/>
      <c r="DF18" s="114"/>
      <c r="DG18" s="114"/>
      <c r="DH18" s="114"/>
      <c r="DI18" s="114"/>
      <c r="DJ18" s="114"/>
      <c r="DK18" s="114"/>
      <c r="DL18" s="114"/>
      <c r="DM18" s="114"/>
      <c r="DN18" s="114"/>
      <c r="DO18" s="114"/>
      <c r="DP18" s="114"/>
      <c r="DQ18" s="114"/>
      <c r="DR18" s="114"/>
      <c r="DS18" s="114"/>
      <c r="DT18" s="114"/>
      <c r="DU18" s="114"/>
      <c r="DV18" s="114"/>
      <c r="DW18" s="114"/>
      <c r="DX18" s="114"/>
      <c r="DY18" s="114"/>
      <c r="DZ18" s="114"/>
      <c r="EA18" s="114"/>
      <c r="EB18" s="114"/>
      <c r="EC18" s="114"/>
      <c r="ED18" s="114"/>
      <c r="EE18" s="114"/>
      <c r="EF18" s="114"/>
      <c r="EG18" s="114"/>
      <c r="EH18" s="114"/>
      <c r="EI18" s="114"/>
      <c r="EJ18" s="114"/>
      <c r="EK18" s="114"/>
      <c r="EL18" s="114"/>
      <c r="EM18" s="114"/>
      <c r="EN18" s="114"/>
      <c r="EO18" s="114"/>
      <c r="EP18" s="114"/>
      <c r="EQ18" s="114"/>
      <c r="ER18" s="114"/>
      <c r="ES18" s="114"/>
      <c r="ET18" s="114"/>
      <c r="EU18" s="114"/>
      <c r="EV18" s="114"/>
      <c r="EW18" s="114"/>
      <c r="EX18" s="114"/>
      <c r="EY18" s="114"/>
      <c r="EZ18" s="114"/>
      <c r="FA18" s="114"/>
      <c r="FB18" s="114"/>
      <c r="FC18" s="114"/>
      <c r="FD18" s="114"/>
      <c r="FE18" s="114"/>
      <c r="FF18" s="114"/>
      <c r="FG18" s="114"/>
      <c r="FH18" s="114"/>
      <c r="FI18" s="114"/>
      <c r="FJ18" s="114"/>
      <c r="FK18" s="114"/>
      <c r="FL18" s="114"/>
      <c r="FM18" s="114"/>
      <c r="FN18" s="114"/>
      <c r="FO18" s="114"/>
      <c r="FP18" s="114"/>
      <c r="FQ18" s="114"/>
      <c r="FR18" s="114"/>
      <c r="FS18" s="114"/>
      <c r="FT18" s="114"/>
      <c r="FU18" s="114"/>
      <c r="FV18" s="114"/>
      <c r="FW18" s="114"/>
      <c r="FX18" s="114"/>
      <c r="FY18" s="114"/>
      <c r="FZ18" s="114"/>
      <c r="GA18" s="114"/>
      <c r="GB18" s="114"/>
      <c r="GC18" s="114"/>
      <c r="GD18" s="114"/>
      <c r="GE18" s="114"/>
      <c r="GF18" s="114"/>
      <c r="GG18" s="114"/>
      <c r="GH18" s="114"/>
      <c r="GI18" s="114"/>
      <c r="GJ18" s="114"/>
      <c r="GK18" s="114"/>
      <c r="GL18" s="114"/>
      <c r="GM18" s="114"/>
      <c r="GN18" s="114"/>
      <c r="GO18" s="114"/>
      <c r="GP18" s="114"/>
      <c r="GQ18" s="114"/>
      <c r="GR18" s="114"/>
      <c r="GS18" s="114"/>
      <c r="GT18" s="114"/>
      <c r="GU18" s="114"/>
      <c r="GV18" s="114"/>
      <c r="GW18" s="114"/>
      <c r="GX18" s="114"/>
      <c r="GY18" s="114"/>
      <c r="GZ18" s="114"/>
      <c r="HA18" s="114"/>
      <c r="HB18" s="114"/>
      <c r="HC18" s="114"/>
      <c r="HD18" s="114"/>
      <c r="HE18" s="114"/>
      <c r="HF18" s="114"/>
      <c r="HG18" s="114"/>
      <c r="HH18" s="114"/>
      <c r="HI18" s="114"/>
      <c r="HJ18" s="114"/>
      <c r="HK18" s="114"/>
      <c r="HL18" s="114"/>
      <c r="HM18" s="114"/>
      <c r="HN18" s="114"/>
      <c r="HO18" s="114"/>
      <c r="HP18" s="114"/>
      <c r="HQ18" s="114"/>
      <c r="HR18" s="114"/>
      <c r="HS18" s="114"/>
      <c r="HT18" s="114"/>
      <c r="HU18" s="114"/>
      <c r="HV18" s="114"/>
      <c r="HW18" s="114"/>
      <c r="HX18" s="114"/>
      <c r="HY18" s="114"/>
      <c r="HZ18" s="114"/>
      <c r="IA18" s="114"/>
      <c r="IB18" s="114"/>
      <c r="IC18" s="114"/>
      <c r="ID18" s="114"/>
      <c r="IE18" s="114"/>
      <c r="IF18" s="114"/>
      <c r="IG18" s="114"/>
      <c r="IH18" s="114"/>
      <c r="II18" s="114"/>
      <c r="IJ18" s="114"/>
      <c r="IK18" s="114"/>
      <c r="IL18" s="114"/>
    </row>
    <row r="19" s="106" customFormat="1" ht="21" customHeight="1" spans="1:246">
      <c r="A19" s="115">
        <v>13</v>
      </c>
      <c r="B19" s="121">
        <v>44707</v>
      </c>
      <c r="C19" s="116">
        <v>44708</v>
      </c>
      <c r="D19" s="122">
        <v>20437.31</v>
      </c>
      <c r="E19" s="122">
        <v>20501.8</v>
      </c>
      <c r="F19" s="123">
        <v>1098400</v>
      </c>
      <c r="G19" s="117">
        <f t="shared" si="2"/>
        <v>12258335</v>
      </c>
      <c r="H19" s="115">
        <f t="shared" si="3"/>
        <v>64.489999999998</v>
      </c>
      <c r="I19" s="119">
        <v>6.5</v>
      </c>
      <c r="J19" s="118">
        <f t="shared" si="1"/>
        <v>7139600</v>
      </c>
      <c r="K19" s="119" t="s">
        <v>14</v>
      </c>
      <c r="L19" s="119">
        <v>56.41933</v>
      </c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114"/>
      <c r="BK19" s="114"/>
      <c r="BL19" s="114"/>
      <c r="BM19" s="114"/>
      <c r="BN19" s="114"/>
      <c r="BO19" s="114"/>
      <c r="BP19" s="114"/>
      <c r="BQ19" s="114"/>
      <c r="BR19" s="114"/>
      <c r="BS19" s="114"/>
      <c r="BT19" s="114"/>
      <c r="BU19" s="114"/>
      <c r="BV19" s="114"/>
      <c r="BW19" s="114"/>
      <c r="BX19" s="114"/>
      <c r="BY19" s="114"/>
      <c r="BZ19" s="114"/>
      <c r="CA19" s="114"/>
      <c r="CB19" s="114"/>
      <c r="CC19" s="114"/>
      <c r="CD19" s="114"/>
      <c r="CE19" s="114"/>
      <c r="CF19" s="114"/>
      <c r="CG19" s="114"/>
      <c r="CH19" s="114"/>
      <c r="CI19" s="114"/>
      <c r="CJ19" s="114"/>
      <c r="CK19" s="114"/>
      <c r="CL19" s="114"/>
      <c r="CM19" s="114"/>
      <c r="CN19" s="114"/>
      <c r="CO19" s="114"/>
      <c r="CP19" s="114"/>
      <c r="CQ19" s="114"/>
      <c r="CR19" s="114"/>
      <c r="CS19" s="114"/>
      <c r="CT19" s="114"/>
      <c r="CU19" s="114"/>
      <c r="CV19" s="114"/>
      <c r="CW19" s="114"/>
      <c r="CX19" s="114"/>
      <c r="CY19" s="114"/>
      <c r="CZ19" s="114"/>
      <c r="DA19" s="114"/>
      <c r="DB19" s="114"/>
      <c r="DC19" s="114"/>
      <c r="DD19" s="114"/>
      <c r="DE19" s="114"/>
      <c r="DF19" s="114"/>
      <c r="DG19" s="114"/>
      <c r="DH19" s="114"/>
      <c r="DI19" s="114"/>
      <c r="DJ19" s="114"/>
      <c r="DK19" s="114"/>
      <c r="DL19" s="114"/>
      <c r="DM19" s="114"/>
      <c r="DN19" s="114"/>
      <c r="DO19" s="114"/>
      <c r="DP19" s="114"/>
      <c r="DQ19" s="114"/>
      <c r="DR19" s="114"/>
      <c r="DS19" s="114"/>
      <c r="DT19" s="114"/>
      <c r="DU19" s="114"/>
      <c r="DV19" s="114"/>
      <c r="DW19" s="114"/>
      <c r="DX19" s="114"/>
      <c r="DY19" s="114"/>
      <c r="DZ19" s="114"/>
      <c r="EA19" s="114"/>
      <c r="EB19" s="114"/>
      <c r="EC19" s="114"/>
      <c r="ED19" s="114"/>
      <c r="EE19" s="114"/>
      <c r="EF19" s="114"/>
      <c r="EG19" s="114"/>
      <c r="EH19" s="114"/>
      <c r="EI19" s="114"/>
      <c r="EJ19" s="114"/>
      <c r="EK19" s="114"/>
      <c r="EL19" s="114"/>
      <c r="EM19" s="114"/>
      <c r="EN19" s="114"/>
      <c r="EO19" s="114"/>
      <c r="EP19" s="114"/>
      <c r="EQ19" s="114"/>
      <c r="ER19" s="114"/>
      <c r="ES19" s="114"/>
      <c r="ET19" s="114"/>
      <c r="EU19" s="114"/>
      <c r="EV19" s="114"/>
      <c r="EW19" s="114"/>
      <c r="EX19" s="114"/>
      <c r="EY19" s="114"/>
      <c r="EZ19" s="114"/>
      <c r="FA19" s="114"/>
      <c r="FB19" s="114"/>
      <c r="FC19" s="114"/>
      <c r="FD19" s="114"/>
      <c r="FE19" s="114"/>
      <c r="FF19" s="114"/>
      <c r="FG19" s="114"/>
      <c r="FH19" s="114"/>
      <c r="FI19" s="114"/>
      <c r="FJ19" s="114"/>
      <c r="FK19" s="114"/>
      <c r="FL19" s="114"/>
      <c r="FM19" s="114"/>
      <c r="FN19" s="114"/>
      <c r="FO19" s="114"/>
      <c r="FP19" s="114"/>
      <c r="FQ19" s="114"/>
      <c r="FR19" s="114"/>
      <c r="FS19" s="114"/>
      <c r="FT19" s="114"/>
      <c r="FU19" s="114"/>
      <c r="FV19" s="114"/>
      <c r="FW19" s="114"/>
      <c r="FX19" s="114"/>
      <c r="FY19" s="114"/>
      <c r="FZ19" s="114"/>
      <c r="GA19" s="114"/>
      <c r="GB19" s="114"/>
      <c r="GC19" s="114"/>
      <c r="GD19" s="114"/>
      <c r="GE19" s="114"/>
      <c r="GF19" s="114"/>
      <c r="GG19" s="114"/>
      <c r="GH19" s="114"/>
      <c r="GI19" s="114"/>
      <c r="GJ19" s="114"/>
      <c r="GK19" s="114"/>
      <c r="GL19" s="114"/>
      <c r="GM19" s="114"/>
      <c r="GN19" s="114"/>
      <c r="GO19" s="114"/>
      <c r="GP19" s="114"/>
      <c r="GQ19" s="114"/>
      <c r="GR19" s="114"/>
      <c r="GS19" s="114"/>
      <c r="GT19" s="114"/>
      <c r="GU19" s="114"/>
      <c r="GV19" s="114"/>
      <c r="GW19" s="114"/>
      <c r="GX19" s="114"/>
      <c r="GY19" s="114"/>
      <c r="GZ19" s="114"/>
      <c r="HA19" s="114"/>
      <c r="HB19" s="114"/>
      <c r="HC19" s="114"/>
      <c r="HD19" s="114"/>
      <c r="HE19" s="114"/>
      <c r="HF19" s="114"/>
      <c r="HG19" s="114"/>
      <c r="HH19" s="114"/>
      <c r="HI19" s="114"/>
      <c r="HJ19" s="114"/>
      <c r="HK19" s="114"/>
      <c r="HL19" s="114"/>
      <c r="HM19" s="114"/>
      <c r="HN19" s="114"/>
      <c r="HO19" s="114"/>
      <c r="HP19" s="114"/>
      <c r="HQ19" s="114"/>
      <c r="HR19" s="114"/>
      <c r="HS19" s="114"/>
      <c r="HT19" s="114"/>
      <c r="HU19" s="114"/>
      <c r="HV19" s="114"/>
      <c r="HW19" s="114"/>
      <c r="HX19" s="114"/>
      <c r="HY19" s="114"/>
      <c r="HZ19" s="114"/>
      <c r="IA19" s="114"/>
      <c r="IB19" s="114"/>
      <c r="IC19" s="114"/>
      <c r="ID19" s="114"/>
      <c r="IE19" s="114"/>
      <c r="IF19" s="114"/>
      <c r="IG19" s="114"/>
      <c r="IH19" s="114"/>
      <c r="II19" s="114"/>
      <c r="IJ19" s="114"/>
      <c r="IK19" s="114"/>
      <c r="IL19" s="114"/>
    </row>
    <row r="20" s="106" customFormat="1" ht="21" customHeight="1" spans="1:246">
      <c r="A20" s="115">
        <v>14</v>
      </c>
      <c r="B20" s="121">
        <v>44727</v>
      </c>
      <c r="C20" s="116">
        <v>44729</v>
      </c>
      <c r="D20" s="122">
        <v>20549.37</v>
      </c>
      <c r="E20" s="122">
        <v>20359.8</v>
      </c>
      <c r="F20" s="123">
        <v>1078560</v>
      </c>
      <c r="G20" s="117">
        <f t="shared" si="2"/>
        <v>13336895</v>
      </c>
      <c r="H20" s="115">
        <f t="shared" si="3"/>
        <v>-189.57</v>
      </c>
      <c r="I20" s="119">
        <v>6.6</v>
      </c>
      <c r="J20" s="118">
        <f t="shared" si="1"/>
        <v>7118496</v>
      </c>
      <c r="K20" s="119" t="s">
        <v>14</v>
      </c>
      <c r="L20" s="119">
        <v>55.78709</v>
      </c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4"/>
      <c r="BK20" s="114"/>
      <c r="BL20" s="114"/>
      <c r="BM20" s="114"/>
      <c r="BN20" s="114"/>
      <c r="BO20" s="114"/>
      <c r="BP20" s="114"/>
      <c r="BQ20" s="114"/>
      <c r="BR20" s="114"/>
      <c r="BS20" s="114"/>
      <c r="BT20" s="114"/>
      <c r="BU20" s="114"/>
      <c r="BV20" s="114"/>
      <c r="BW20" s="114"/>
      <c r="BX20" s="114"/>
      <c r="BY20" s="114"/>
      <c r="BZ20" s="114"/>
      <c r="CA20" s="114"/>
      <c r="CB20" s="114"/>
      <c r="CC20" s="114"/>
      <c r="CD20" s="114"/>
      <c r="CE20" s="114"/>
      <c r="CF20" s="114"/>
      <c r="CG20" s="114"/>
      <c r="CH20" s="114"/>
      <c r="CI20" s="114"/>
      <c r="CJ20" s="114"/>
      <c r="CK20" s="114"/>
      <c r="CL20" s="114"/>
      <c r="CM20" s="114"/>
      <c r="CN20" s="114"/>
      <c r="CO20" s="114"/>
      <c r="CP20" s="114"/>
      <c r="CQ20" s="114"/>
      <c r="CR20" s="114"/>
      <c r="CS20" s="114"/>
      <c r="CT20" s="114"/>
      <c r="CU20" s="114"/>
      <c r="CV20" s="114"/>
      <c r="CW20" s="114"/>
      <c r="CX20" s="114"/>
      <c r="CY20" s="114"/>
      <c r="CZ20" s="114"/>
      <c r="DA20" s="114"/>
      <c r="DB20" s="114"/>
      <c r="DC20" s="114"/>
      <c r="DD20" s="114"/>
      <c r="DE20" s="114"/>
      <c r="DF20" s="114"/>
      <c r="DG20" s="114"/>
      <c r="DH20" s="114"/>
      <c r="DI20" s="114"/>
      <c r="DJ20" s="114"/>
      <c r="DK20" s="114"/>
      <c r="DL20" s="114"/>
      <c r="DM20" s="114"/>
      <c r="DN20" s="114"/>
      <c r="DO20" s="114"/>
      <c r="DP20" s="114"/>
      <c r="DQ20" s="114"/>
      <c r="DR20" s="114"/>
      <c r="DS20" s="114"/>
      <c r="DT20" s="114"/>
      <c r="DU20" s="114"/>
      <c r="DV20" s="114"/>
      <c r="DW20" s="114"/>
      <c r="DX20" s="114"/>
      <c r="DY20" s="114"/>
      <c r="DZ20" s="114"/>
      <c r="EA20" s="114"/>
      <c r="EB20" s="114"/>
      <c r="EC20" s="114"/>
      <c r="ED20" s="114"/>
      <c r="EE20" s="114"/>
      <c r="EF20" s="114"/>
      <c r="EG20" s="114"/>
      <c r="EH20" s="114"/>
      <c r="EI20" s="114"/>
      <c r="EJ20" s="114"/>
      <c r="EK20" s="114"/>
      <c r="EL20" s="114"/>
      <c r="EM20" s="114"/>
      <c r="EN20" s="114"/>
      <c r="EO20" s="114"/>
      <c r="EP20" s="114"/>
      <c r="EQ20" s="114"/>
      <c r="ER20" s="114"/>
      <c r="ES20" s="114"/>
      <c r="ET20" s="114"/>
      <c r="EU20" s="114"/>
      <c r="EV20" s="114"/>
      <c r="EW20" s="114"/>
      <c r="EX20" s="114"/>
      <c r="EY20" s="114"/>
      <c r="EZ20" s="114"/>
      <c r="FA20" s="114"/>
      <c r="FB20" s="114"/>
      <c r="FC20" s="114"/>
      <c r="FD20" s="114"/>
      <c r="FE20" s="114"/>
      <c r="FF20" s="114"/>
      <c r="FG20" s="114"/>
      <c r="FH20" s="114"/>
      <c r="FI20" s="114"/>
      <c r="FJ20" s="114"/>
      <c r="FK20" s="114"/>
      <c r="FL20" s="114"/>
      <c r="FM20" s="114"/>
      <c r="FN20" s="114"/>
      <c r="FO20" s="114"/>
      <c r="FP20" s="114"/>
      <c r="FQ20" s="114"/>
      <c r="FR20" s="114"/>
      <c r="FS20" s="114"/>
      <c r="FT20" s="114"/>
      <c r="FU20" s="114"/>
      <c r="FV20" s="114"/>
      <c r="FW20" s="114"/>
      <c r="FX20" s="114"/>
      <c r="FY20" s="114"/>
      <c r="FZ20" s="114"/>
      <c r="GA20" s="114"/>
      <c r="GB20" s="114"/>
      <c r="GC20" s="114"/>
      <c r="GD20" s="114"/>
      <c r="GE20" s="114"/>
      <c r="GF20" s="114"/>
      <c r="GG20" s="114"/>
      <c r="GH20" s="114"/>
      <c r="GI20" s="114"/>
      <c r="GJ20" s="114"/>
      <c r="GK20" s="114"/>
      <c r="GL20" s="114"/>
      <c r="GM20" s="114"/>
      <c r="GN20" s="114"/>
      <c r="GO20" s="114"/>
      <c r="GP20" s="114"/>
      <c r="GQ20" s="114"/>
      <c r="GR20" s="114"/>
      <c r="GS20" s="114"/>
      <c r="GT20" s="114"/>
      <c r="GU20" s="114"/>
      <c r="GV20" s="114"/>
      <c r="GW20" s="114"/>
      <c r="GX20" s="114"/>
      <c r="GY20" s="114"/>
      <c r="GZ20" s="114"/>
      <c r="HA20" s="114"/>
      <c r="HB20" s="114"/>
      <c r="HC20" s="114"/>
      <c r="HD20" s="114"/>
      <c r="HE20" s="114"/>
      <c r="HF20" s="114"/>
      <c r="HG20" s="114"/>
      <c r="HH20" s="114"/>
      <c r="HI20" s="114"/>
      <c r="HJ20" s="114"/>
      <c r="HK20" s="114"/>
      <c r="HL20" s="114"/>
      <c r="HM20" s="114"/>
      <c r="HN20" s="114"/>
      <c r="HO20" s="114"/>
      <c r="HP20" s="114"/>
      <c r="HQ20" s="114"/>
      <c r="HR20" s="114"/>
      <c r="HS20" s="114"/>
      <c r="HT20" s="114"/>
      <c r="HU20" s="114"/>
      <c r="HV20" s="114"/>
      <c r="HW20" s="114"/>
      <c r="HX20" s="114"/>
      <c r="HY20" s="114"/>
      <c r="HZ20" s="114"/>
      <c r="IA20" s="114"/>
      <c r="IB20" s="114"/>
      <c r="IC20" s="114"/>
      <c r="ID20" s="114"/>
      <c r="IE20" s="114"/>
      <c r="IF20" s="114"/>
      <c r="IG20" s="114"/>
      <c r="IH20" s="114"/>
      <c r="II20" s="114"/>
      <c r="IJ20" s="114"/>
      <c r="IK20" s="114"/>
      <c r="IL20" s="114"/>
    </row>
    <row r="21" s="106" customFormat="1" ht="21" customHeight="1" spans="1:246">
      <c r="A21" s="115">
        <v>15</v>
      </c>
      <c r="B21" s="121">
        <v>44727</v>
      </c>
      <c r="C21" s="116">
        <v>44727</v>
      </c>
      <c r="D21" s="122">
        <v>6615.19</v>
      </c>
      <c r="E21" s="122">
        <v>6615.19</v>
      </c>
      <c r="F21" s="123">
        <v>384210</v>
      </c>
      <c r="G21" s="117">
        <f t="shared" si="2"/>
        <v>13721105</v>
      </c>
      <c r="H21" s="115">
        <v>0</v>
      </c>
      <c r="I21" s="119">
        <v>6.6</v>
      </c>
      <c r="J21" s="118">
        <f t="shared" si="1"/>
        <v>2535786</v>
      </c>
      <c r="K21" s="119" t="s">
        <v>13</v>
      </c>
      <c r="L21" s="119">
        <v>58.08</v>
      </c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4"/>
      <c r="BK21" s="114"/>
      <c r="BL21" s="114"/>
      <c r="BM21" s="114"/>
      <c r="BN21" s="114"/>
      <c r="BO21" s="114"/>
      <c r="BP21" s="114"/>
      <c r="BQ21" s="114"/>
      <c r="BR21" s="114"/>
      <c r="BS21" s="114"/>
      <c r="BT21" s="114"/>
      <c r="BU21" s="114"/>
      <c r="BV21" s="114"/>
      <c r="BW21" s="114"/>
      <c r="BX21" s="114"/>
      <c r="BY21" s="114"/>
      <c r="BZ21" s="114"/>
      <c r="CA21" s="114"/>
      <c r="CB21" s="114"/>
      <c r="CC21" s="114"/>
      <c r="CD21" s="114"/>
      <c r="CE21" s="114"/>
      <c r="CF21" s="114"/>
      <c r="CG21" s="114"/>
      <c r="CH21" s="114"/>
      <c r="CI21" s="114"/>
      <c r="CJ21" s="114"/>
      <c r="CK21" s="114"/>
      <c r="CL21" s="114"/>
      <c r="CM21" s="114"/>
      <c r="CN21" s="114"/>
      <c r="CO21" s="114"/>
      <c r="CP21" s="114"/>
      <c r="CQ21" s="114"/>
      <c r="CR21" s="114"/>
      <c r="CS21" s="114"/>
      <c r="CT21" s="114"/>
      <c r="CU21" s="114"/>
      <c r="CV21" s="114"/>
      <c r="CW21" s="114"/>
      <c r="CX21" s="114"/>
      <c r="CY21" s="114"/>
      <c r="CZ21" s="114"/>
      <c r="DA21" s="114"/>
      <c r="DB21" s="114"/>
      <c r="DC21" s="114"/>
      <c r="DD21" s="114"/>
      <c r="DE21" s="114"/>
      <c r="DF21" s="114"/>
      <c r="DG21" s="114"/>
      <c r="DH21" s="114"/>
      <c r="DI21" s="114"/>
      <c r="DJ21" s="114"/>
      <c r="DK21" s="114"/>
      <c r="DL21" s="114"/>
      <c r="DM21" s="114"/>
      <c r="DN21" s="114"/>
      <c r="DO21" s="114"/>
      <c r="DP21" s="114"/>
      <c r="DQ21" s="114"/>
      <c r="DR21" s="114"/>
      <c r="DS21" s="114"/>
      <c r="DT21" s="114"/>
      <c r="DU21" s="114"/>
      <c r="DV21" s="114"/>
      <c r="DW21" s="114"/>
      <c r="DX21" s="114"/>
      <c r="DY21" s="114"/>
      <c r="DZ21" s="114"/>
      <c r="EA21" s="114"/>
      <c r="EB21" s="114"/>
      <c r="EC21" s="114"/>
      <c r="ED21" s="114"/>
      <c r="EE21" s="114"/>
      <c r="EF21" s="114"/>
      <c r="EG21" s="114"/>
      <c r="EH21" s="114"/>
      <c r="EI21" s="114"/>
      <c r="EJ21" s="114"/>
      <c r="EK21" s="114"/>
      <c r="EL21" s="114"/>
      <c r="EM21" s="114"/>
      <c r="EN21" s="114"/>
      <c r="EO21" s="114"/>
      <c r="EP21" s="114"/>
      <c r="EQ21" s="114"/>
      <c r="ER21" s="114"/>
      <c r="ES21" s="114"/>
      <c r="ET21" s="114"/>
      <c r="EU21" s="114"/>
      <c r="EV21" s="114"/>
      <c r="EW21" s="114"/>
      <c r="EX21" s="114"/>
      <c r="EY21" s="114"/>
      <c r="EZ21" s="114"/>
      <c r="FA21" s="114"/>
      <c r="FB21" s="114"/>
      <c r="FC21" s="114"/>
      <c r="FD21" s="114"/>
      <c r="FE21" s="114"/>
      <c r="FF21" s="114"/>
      <c r="FG21" s="114"/>
      <c r="FH21" s="114"/>
      <c r="FI21" s="114"/>
      <c r="FJ21" s="114"/>
      <c r="FK21" s="114"/>
      <c r="FL21" s="114"/>
      <c r="FM21" s="114"/>
      <c r="FN21" s="114"/>
      <c r="FO21" s="114"/>
      <c r="FP21" s="114"/>
      <c r="FQ21" s="114"/>
      <c r="FR21" s="114"/>
      <c r="FS21" s="114"/>
      <c r="FT21" s="114"/>
      <c r="FU21" s="114"/>
      <c r="FV21" s="114"/>
      <c r="FW21" s="114"/>
      <c r="FX21" s="114"/>
      <c r="FY21" s="114"/>
      <c r="FZ21" s="114"/>
      <c r="GA21" s="114"/>
      <c r="GB21" s="114"/>
      <c r="GC21" s="114"/>
      <c r="GD21" s="114"/>
      <c r="GE21" s="114"/>
      <c r="GF21" s="114"/>
      <c r="GG21" s="114"/>
      <c r="GH21" s="114"/>
      <c r="GI21" s="114"/>
      <c r="GJ21" s="114"/>
      <c r="GK21" s="114"/>
      <c r="GL21" s="114"/>
      <c r="GM21" s="114"/>
      <c r="GN21" s="114"/>
      <c r="GO21" s="114"/>
      <c r="GP21" s="114"/>
      <c r="GQ21" s="114"/>
      <c r="GR21" s="114"/>
      <c r="GS21" s="114"/>
      <c r="GT21" s="114"/>
      <c r="GU21" s="114"/>
      <c r="GV21" s="114"/>
      <c r="GW21" s="114"/>
      <c r="GX21" s="114"/>
      <c r="GY21" s="114"/>
      <c r="GZ21" s="114"/>
      <c r="HA21" s="114"/>
      <c r="HB21" s="114"/>
      <c r="HC21" s="114"/>
      <c r="HD21" s="114"/>
      <c r="HE21" s="114"/>
      <c r="HF21" s="114"/>
      <c r="HG21" s="114"/>
      <c r="HH21" s="114"/>
      <c r="HI21" s="114"/>
      <c r="HJ21" s="114"/>
      <c r="HK21" s="114"/>
      <c r="HL21" s="114"/>
      <c r="HM21" s="114"/>
      <c r="HN21" s="114"/>
      <c r="HO21" s="114"/>
      <c r="HP21" s="114"/>
      <c r="HQ21" s="114"/>
      <c r="HR21" s="114"/>
      <c r="HS21" s="114"/>
      <c r="HT21" s="114"/>
      <c r="HU21" s="114"/>
      <c r="HV21" s="114"/>
      <c r="HW21" s="114"/>
      <c r="HX21" s="114"/>
      <c r="HY21" s="114"/>
      <c r="HZ21" s="114"/>
      <c r="IA21" s="114"/>
      <c r="IB21" s="114"/>
      <c r="IC21" s="114"/>
      <c r="ID21" s="114"/>
      <c r="IE21" s="114"/>
      <c r="IF21" s="114"/>
      <c r="IG21" s="114"/>
      <c r="IH21" s="114"/>
      <c r="II21" s="114"/>
      <c r="IJ21" s="114"/>
      <c r="IK21" s="114"/>
      <c r="IL21" s="114"/>
    </row>
    <row r="22" s="106" customFormat="1" ht="21" customHeight="1" spans="1:246">
      <c r="A22" s="115">
        <v>16</v>
      </c>
      <c r="B22" s="121">
        <v>44750</v>
      </c>
      <c r="C22" s="116">
        <v>44750</v>
      </c>
      <c r="D22" s="122">
        <v>18559.55</v>
      </c>
      <c r="E22" s="122">
        <v>18559.55</v>
      </c>
      <c r="F22" s="123">
        <v>1013351</v>
      </c>
      <c r="G22" s="117">
        <f t="shared" si="2"/>
        <v>14734456</v>
      </c>
      <c r="H22" s="115">
        <f t="shared" ref="H22:H25" si="4">E22-D22</f>
        <v>0</v>
      </c>
      <c r="I22" s="119">
        <v>6.65</v>
      </c>
      <c r="J22" s="118">
        <f t="shared" si="1"/>
        <v>6738784.15</v>
      </c>
      <c r="K22" s="119" t="s">
        <v>13</v>
      </c>
      <c r="L22" s="119">
        <v>54.6</v>
      </c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  <c r="BJ22" s="114"/>
      <c r="BK22" s="114"/>
      <c r="BL22" s="114"/>
      <c r="BM22" s="114"/>
      <c r="BN22" s="114"/>
      <c r="BO22" s="114"/>
      <c r="BP22" s="114"/>
      <c r="BQ22" s="114"/>
      <c r="BR22" s="114"/>
      <c r="BS22" s="114"/>
      <c r="BT22" s="114"/>
      <c r="BU22" s="114"/>
      <c r="BV22" s="114"/>
      <c r="BW22" s="114"/>
      <c r="BX22" s="114"/>
      <c r="BY22" s="114"/>
      <c r="BZ22" s="114"/>
      <c r="CA22" s="114"/>
      <c r="CB22" s="114"/>
      <c r="CC22" s="114"/>
      <c r="CD22" s="114"/>
      <c r="CE22" s="114"/>
      <c r="CF22" s="114"/>
      <c r="CG22" s="114"/>
      <c r="CH22" s="114"/>
      <c r="CI22" s="114"/>
      <c r="CJ22" s="114"/>
      <c r="CK22" s="114"/>
      <c r="CL22" s="114"/>
      <c r="CM22" s="114"/>
      <c r="CN22" s="114"/>
      <c r="CO22" s="114"/>
      <c r="CP22" s="114"/>
      <c r="CQ22" s="114"/>
      <c r="CR22" s="114"/>
      <c r="CS22" s="114"/>
      <c r="CT22" s="114"/>
      <c r="CU22" s="114"/>
      <c r="CV22" s="114"/>
      <c r="CW22" s="114"/>
      <c r="CX22" s="114"/>
      <c r="CY22" s="114"/>
      <c r="CZ22" s="114"/>
      <c r="DA22" s="114"/>
      <c r="DB22" s="114"/>
      <c r="DC22" s="114"/>
      <c r="DD22" s="114"/>
      <c r="DE22" s="114"/>
      <c r="DF22" s="114"/>
      <c r="DG22" s="114"/>
      <c r="DH22" s="114"/>
      <c r="DI22" s="114"/>
      <c r="DJ22" s="114"/>
      <c r="DK22" s="114"/>
      <c r="DL22" s="114"/>
      <c r="DM22" s="114"/>
      <c r="DN22" s="114"/>
      <c r="DO22" s="114"/>
      <c r="DP22" s="114"/>
      <c r="DQ22" s="114"/>
      <c r="DR22" s="114"/>
      <c r="DS22" s="114"/>
      <c r="DT22" s="114"/>
      <c r="DU22" s="114"/>
      <c r="DV22" s="114"/>
      <c r="DW22" s="114"/>
      <c r="DX22" s="114"/>
      <c r="DY22" s="114"/>
      <c r="DZ22" s="114"/>
      <c r="EA22" s="114"/>
      <c r="EB22" s="114"/>
      <c r="EC22" s="114"/>
      <c r="ED22" s="114"/>
      <c r="EE22" s="114"/>
      <c r="EF22" s="114"/>
      <c r="EG22" s="114"/>
      <c r="EH22" s="114"/>
      <c r="EI22" s="114"/>
      <c r="EJ22" s="114"/>
      <c r="EK22" s="114"/>
      <c r="EL22" s="114"/>
      <c r="EM22" s="114"/>
      <c r="EN22" s="114"/>
      <c r="EO22" s="114"/>
      <c r="EP22" s="114"/>
      <c r="EQ22" s="114"/>
      <c r="ER22" s="114"/>
      <c r="ES22" s="114"/>
      <c r="ET22" s="114"/>
      <c r="EU22" s="114"/>
      <c r="EV22" s="114"/>
      <c r="EW22" s="114"/>
      <c r="EX22" s="114"/>
      <c r="EY22" s="114"/>
      <c r="EZ22" s="114"/>
      <c r="FA22" s="114"/>
      <c r="FB22" s="114"/>
      <c r="FC22" s="114"/>
      <c r="FD22" s="114"/>
      <c r="FE22" s="114"/>
      <c r="FF22" s="114"/>
      <c r="FG22" s="114"/>
      <c r="FH22" s="114"/>
      <c r="FI22" s="114"/>
      <c r="FJ22" s="114"/>
      <c r="FK22" s="114"/>
      <c r="FL22" s="114"/>
      <c r="FM22" s="114"/>
      <c r="FN22" s="114"/>
      <c r="FO22" s="114"/>
      <c r="FP22" s="114"/>
      <c r="FQ22" s="114"/>
      <c r="FR22" s="114"/>
      <c r="FS22" s="114"/>
      <c r="FT22" s="114"/>
      <c r="FU22" s="114"/>
      <c r="FV22" s="114"/>
      <c r="FW22" s="114"/>
      <c r="FX22" s="114"/>
      <c r="FY22" s="114"/>
      <c r="FZ22" s="114"/>
      <c r="GA22" s="114"/>
      <c r="GB22" s="114"/>
      <c r="GC22" s="114"/>
      <c r="GD22" s="114"/>
      <c r="GE22" s="114"/>
      <c r="GF22" s="114"/>
      <c r="GG22" s="114"/>
      <c r="GH22" s="114"/>
      <c r="GI22" s="114"/>
      <c r="GJ22" s="114"/>
      <c r="GK22" s="114"/>
      <c r="GL22" s="114"/>
      <c r="GM22" s="114"/>
      <c r="GN22" s="114"/>
      <c r="GO22" s="114"/>
      <c r="GP22" s="114"/>
      <c r="GQ22" s="114"/>
      <c r="GR22" s="114"/>
      <c r="GS22" s="114"/>
      <c r="GT22" s="114"/>
      <c r="GU22" s="114"/>
      <c r="GV22" s="114"/>
      <c r="GW22" s="114"/>
      <c r="GX22" s="114"/>
      <c r="GY22" s="114"/>
      <c r="GZ22" s="114"/>
      <c r="HA22" s="114"/>
      <c r="HB22" s="114"/>
      <c r="HC22" s="114"/>
      <c r="HD22" s="114"/>
      <c r="HE22" s="114"/>
      <c r="HF22" s="114"/>
      <c r="HG22" s="114"/>
      <c r="HH22" s="114"/>
      <c r="HI22" s="114"/>
      <c r="HJ22" s="114"/>
      <c r="HK22" s="114"/>
      <c r="HL22" s="114"/>
      <c r="HM22" s="114"/>
      <c r="HN22" s="114"/>
      <c r="HO22" s="114"/>
      <c r="HP22" s="114"/>
      <c r="HQ22" s="114"/>
      <c r="HR22" s="114"/>
      <c r="HS22" s="114"/>
      <c r="HT22" s="114"/>
      <c r="HU22" s="114"/>
      <c r="HV22" s="114"/>
      <c r="HW22" s="114"/>
      <c r="HX22" s="114"/>
      <c r="HY22" s="114"/>
      <c r="HZ22" s="114"/>
      <c r="IA22" s="114"/>
      <c r="IB22" s="114"/>
      <c r="IC22" s="114"/>
      <c r="ID22" s="114"/>
      <c r="IE22" s="114"/>
      <c r="IF22" s="114"/>
      <c r="IG22" s="114"/>
      <c r="IH22" s="114"/>
      <c r="II22" s="114"/>
      <c r="IJ22" s="114"/>
      <c r="IK22" s="114"/>
      <c r="IL22" s="114"/>
    </row>
    <row r="23" s="106" customFormat="1" ht="21" customHeight="1" spans="1:246">
      <c r="A23" s="115">
        <v>17</v>
      </c>
      <c r="B23" s="121">
        <v>44763</v>
      </c>
      <c r="C23" s="121">
        <v>44763</v>
      </c>
      <c r="D23" s="122">
        <v>65314.2</v>
      </c>
      <c r="E23" s="122">
        <v>65233.9</v>
      </c>
      <c r="F23" s="123">
        <v>3426271</v>
      </c>
      <c r="G23" s="117">
        <f t="shared" si="2"/>
        <v>18160727</v>
      </c>
      <c r="H23" s="115">
        <f t="shared" si="4"/>
        <v>-80.2999999999956</v>
      </c>
      <c r="I23" s="119">
        <v>6.66</v>
      </c>
      <c r="J23" s="118">
        <f t="shared" si="1"/>
        <v>22818964.86</v>
      </c>
      <c r="K23" s="124" t="s">
        <v>15</v>
      </c>
      <c r="L23" s="119">
        <v>52.7</v>
      </c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14"/>
      <c r="BK23" s="114"/>
      <c r="BL23" s="114"/>
      <c r="BM23" s="114"/>
      <c r="BN23" s="114"/>
      <c r="BO23" s="114"/>
      <c r="BP23" s="114"/>
      <c r="BQ23" s="114"/>
      <c r="BR23" s="114"/>
      <c r="BS23" s="114"/>
      <c r="BT23" s="114"/>
      <c r="BU23" s="114"/>
      <c r="BV23" s="114"/>
      <c r="BW23" s="114"/>
      <c r="BX23" s="114"/>
      <c r="BY23" s="114"/>
      <c r="BZ23" s="114"/>
      <c r="CA23" s="114"/>
      <c r="CB23" s="114"/>
      <c r="CC23" s="114"/>
      <c r="CD23" s="114"/>
      <c r="CE23" s="114"/>
      <c r="CF23" s="114"/>
      <c r="CG23" s="114"/>
      <c r="CH23" s="114"/>
      <c r="CI23" s="114"/>
      <c r="CJ23" s="114"/>
      <c r="CK23" s="114"/>
      <c r="CL23" s="114"/>
      <c r="CM23" s="114"/>
      <c r="CN23" s="114"/>
      <c r="CO23" s="114"/>
      <c r="CP23" s="114"/>
      <c r="CQ23" s="114"/>
      <c r="CR23" s="114"/>
      <c r="CS23" s="114"/>
      <c r="CT23" s="114"/>
      <c r="CU23" s="114"/>
      <c r="CV23" s="114"/>
      <c r="CW23" s="114"/>
      <c r="CX23" s="114"/>
      <c r="CY23" s="114"/>
      <c r="CZ23" s="114"/>
      <c r="DA23" s="114"/>
      <c r="DB23" s="114"/>
      <c r="DC23" s="114"/>
      <c r="DD23" s="114"/>
      <c r="DE23" s="114"/>
      <c r="DF23" s="114"/>
      <c r="DG23" s="114"/>
      <c r="DH23" s="114"/>
      <c r="DI23" s="114"/>
      <c r="DJ23" s="114"/>
      <c r="DK23" s="114"/>
      <c r="DL23" s="114"/>
      <c r="DM23" s="114"/>
      <c r="DN23" s="114"/>
      <c r="DO23" s="114"/>
      <c r="DP23" s="114"/>
      <c r="DQ23" s="114"/>
      <c r="DR23" s="114"/>
      <c r="DS23" s="114"/>
      <c r="DT23" s="114"/>
      <c r="DU23" s="114"/>
      <c r="DV23" s="114"/>
      <c r="DW23" s="114"/>
      <c r="DX23" s="114"/>
      <c r="DY23" s="114"/>
      <c r="DZ23" s="114"/>
      <c r="EA23" s="114"/>
      <c r="EB23" s="114"/>
      <c r="EC23" s="114"/>
      <c r="ED23" s="114"/>
      <c r="EE23" s="114"/>
      <c r="EF23" s="114"/>
      <c r="EG23" s="114"/>
      <c r="EH23" s="114"/>
      <c r="EI23" s="114"/>
      <c r="EJ23" s="114"/>
      <c r="EK23" s="114"/>
      <c r="EL23" s="114"/>
      <c r="EM23" s="114"/>
      <c r="EN23" s="114"/>
      <c r="EO23" s="114"/>
      <c r="EP23" s="114"/>
      <c r="EQ23" s="114"/>
      <c r="ER23" s="114"/>
      <c r="ES23" s="114"/>
      <c r="ET23" s="114"/>
      <c r="EU23" s="114"/>
      <c r="EV23" s="114"/>
      <c r="EW23" s="114"/>
      <c r="EX23" s="114"/>
      <c r="EY23" s="114"/>
      <c r="EZ23" s="114"/>
      <c r="FA23" s="114"/>
      <c r="FB23" s="114"/>
      <c r="FC23" s="114"/>
      <c r="FD23" s="114"/>
      <c r="FE23" s="114"/>
      <c r="FF23" s="114"/>
      <c r="FG23" s="114"/>
      <c r="FH23" s="114"/>
      <c r="FI23" s="114"/>
      <c r="FJ23" s="114"/>
      <c r="FK23" s="114"/>
      <c r="FL23" s="114"/>
      <c r="FM23" s="114"/>
      <c r="FN23" s="114"/>
      <c r="FO23" s="114"/>
      <c r="FP23" s="114"/>
      <c r="FQ23" s="114"/>
      <c r="FR23" s="114"/>
      <c r="FS23" s="114"/>
      <c r="FT23" s="114"/>
      <c r="FU23" s="114"/>
      <c r="FV23" s="114"/>
      <c r="FW23" s="114"/>
      <c r="FX23" s="114"/>
      <c r="FY23" s="114"/>
      <c r="FZ23" s="114"/>
      <c r="GA23" s="114"/>
      <c r="GB23" s="114"/>
      <c r="GC23" s="114"/>
      <c r="GD23" s="114"/>
      <c r="GE23" s="114"/>
      <c r="GF23" s="114"/>
      <c r="GG23" s="114"/>
      <c r="GH23" s="114"/>
      <c r="GI23" s="114"/>
      <c r="GJ23" s="114"/>
      <c r="GK23" s="114"/>
      <c r="GL23" s="114"/>
      <c r="GM23" s="114"/>
      <c r="GN23" s="114"/>
      <c r="GO23" s="114"/>
      <c r="GP23" s="114"/>
      <c r="GQ23" s="114"/>
      <c r="GR23" s="114"/>
      <c r="GS23" s="114"/>
      <c r="GT23" s="114"/>
      <c r="GU23" s="114"/>
      <c r="GV23" s="114"/>
      <c r="GW23" s="114"/>
      <c r="GX23" s="114"/>
      <c r="GY23" s="114"/>
      <c r="GZ23" s="114"/>
      <c r="HA23" s="114"/>
      <c r="HB23" s="114"/>
      <c r="HC23" s="114"/>
      <c r="HD23" s="114"/>
      <c r="HE23" s="114"/>
      <c r="HF23" s="114"/>
      <c r="HG23" s="114"/>
      <c r="HH23" s="114"/>
      <c r="HI23" s="114"/>
      <c r="HJ23" s="114"/>
      <c r="HK23" s="114"/>
      <c r="HL23" s="114"/>
      <c r="HM23" s="114"/>
      <c r="HN23" s="114"/>
      <c r="HO23" s="114"/>
      <c r="HP23" s="114"/>
      <c r="HQ23" s="114"/>
      <c r="HR23" s="114"/>
      <c r="HS23" s="114"/>
      <c r="HT23" s="114"/>
      <c r="HU23" s="114"/>
      <c r="HV23" s="114"/>
      <c r="HW23" s="114"/>
      <c r="HX23" s="114"/>
      <c r="HY23" s="114"/>
      <c r="HZ23" s="114"/>
      <c r="IA23" s="114"/>
      <c r="IB23" s="114"/>
      <c r="IC23" s="114"/>
      <c r="ID23" s="114"/>
      <c r="IE23" s="114"/>
      <c r="IF23" s="114"/>
      <c r="IG23" s="114"/>
      <c r="IH23" s="114"/>
      <c r="II23" s="114"/>
      <c r="IJ23" s="114"/>
      <c r="IK23" s="114"/>
      <c r="IL23" s="114"/>
    </row>
    <row r="24" s="106" customFormat="1" ht="21" customHeight="1" spans="1:246">
      <c r="A24" s="115">
        <v>18</v>
      </c>
      <c r="B24" s="121">
        <v>44799</v>
      </c>
      <c r="C24" s="121">
        <v>44799</v>
      </c>
      <c r="D24" s="122">
        <v>11408.7</v>
      </c>
      <c r="E24" s="122">
        <v>11408.7</v>
      </c>
      <c r="F24" s="123">
        <v>627934.848</v>
      </c>
      <c r="G24" s="117">
        <f t="shared" si="2"/>
        <v>18788661.848</v>
      </c>
      <c r="H24" s="115">
        <f t="shared" si="4"/>
        <v>0</v>
      </c>
      <c r="I24" s="119">
        <v>6.68</v>
      </c>
      <c r="J24" s="118">
        <f t="shared" si="1"/>
        <v>4194604.78464</v>
      </c>
      <c r="K24" s="119" t="s">
        <v>13</v>
      </c>
      <c r="L24" s="119">
        <v>55.04</v>
      </c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  <c r="BF24" s="114"/>
      <c r="BG24" s="114"/>
      <c r="BH24" s="114"/>
      <c r="BI24" s="114"/>
      <c r="BJ24" s="114"/>
      <c r="BK24" s="114"/>
      <c r="BL24" s="114"/>
      <c r="BM24" s="114"/>
      <c r="BN24" s="114"/>
      <c r="BO24" s="114"/>
      <c r="BP24" s="114"/>
      <c r="BQ24" s="114"/>
      <c r="BR24" s="114"/>
      <c r="BS24" s="114"/>
      <c r="BT24" s="114"/>
      <c r="BU24" s="114"/>
      <c r="BV24" s="114"/>
      <c r="BW24" s="114"/>
      <c r="BX24" s="114"/>
      <c r="BY24" s="114"/>
      <c r="BZ24" s="114"/>
      <c r="CA24" s="114"/>
      <c r="CB24" s="114"/>
      <c r="CC24" s="114"/>
      <c r="CD24" s="114"/>
      <c r="CE24" s="114"/>
      <c r="CF24" s="114"/>
      <c r="CG24" s="114"/>
      <c r="CH24" s="114"/>
      <c r="CI24" s="114"/>
      <c r="CJ24" s="114"/>
      <c r="CK24" s="114"/>
      <c r="CL24" s="114"/>
      <c r="CM24" s="114"/>
      <c r="CN24" s="114"/>
      <c r="CO24" s="114"/>
      <c r="CP24" s="114"/>
      <c r="CQ24" s="114"/>
      <c r="CR24" s="114"/>
      <c r="CS24" s="114"/>
      <c r="CT24" s="114"/>
      <c r="CU24" s="114"/>
      <c r="CV24" s="114"/>
      <c r="CW24" s="114"/>
      <c r="CX24" s="114"/>
      <c r="CY24" s="114"/>
      <c r="CZ24" s="114"/>
      <c r="DA24" s="114"/>
      <c r="DB24" s="114"/>
      <c r="DC24" s="114"/>
      <c r="DD24" s="114"/>
      <c r="DE24" s="114"/>
      <c r="DF24" s="114"/>
      <c r="DG24" s="114"/>
      <c r="DH24" s="114"/>
      <c r="DI24" s="114"/>
      <c r="DJ24" s="114"/>
      <c r="DK24" s="114"/>
      <c r="DL24" s="114"/>
      <c r="DM24" s="114"/>
      <c r="DN24" s="114"/>
      <c r="DO24" s="114"/>
      <c r="DP24" s="114"/>
      <c r="DQ24" s="114"/>
      <c r="DR24" s="114"/>
      <c r="DS24" s="114"/>
      <c r="DT24" s="114"/>
      <c r="DU24" s="114"/>
      <c r="DV24" s="114"/>
      <c r="DW24" s="114"/>
      <c r="DX24" s="114"/>
      <c r="DY24" s="114"/>
      <c r="DZ24" s="114"/>
      <c r="EA24" s="114"/>
      <c r="EB24" s="114"/>
      <c r="EC24" s="114"/>
      <c r="ED24" s="114"/>
      <c r="EE24" s="114"/>
      <c r="EF24" s="114"/>
      <c r="EG24" s="114"/>
      <c r="EH24" s="114"/>
      <c r="EI24" s="114"/>
      <c r="EJ24" s="114"/>
      <c r="EK24" s="114"/>
      <c r="EL24" s="114"/>
      <c r="EM24" s="114"/>
      <c r="EN24" s="114"/>
      <c r="EO24" s="114"/>
      <c r="EP24" s="114"/>
      <c r="EQ24" s="114"/>
      <c r="ER24" s="114"/>
      <c r="ES24" s="114"/>
      <c r="ET24" s="114"/>
      <c r="EU24" s="114"/>
      <c r="EV24" s="114"/>
      <c r="EW24" s="114"/>
      <c r="EX24" s="114"/>
      <c r="EY24" s="114"/>
      <c r="EZ24" s="114"/>
      <c r="FA24" s="114"/>
      <c r="FB24" s="114"/>
      <c r="FC24" s="114"/>
      <c r="FD24" s="114"/>
      <c r="FE24" s="114"/>
      <c r="FF24" s="114"/>
      <c r="FG24" s="114"/>
      <c r="FH24" s="114"/>
      <c r="FI24" s="114"/>
      <c r="FJ24" s="114"/>
      <c r="FK24" s="114"/>
      <c r="FL24" s="114"/>
      <c r="FM24" s="114"/>
      <c r="FN24" s="114"/>
      <c r="FO24" s="114"/>
      <c r="FP24" s="114"/>
      <c r="FQ24" s="114"/>
      <c r="FR24" s="114"/>
      <c r="FS24" s="114"/>
      <c r="FT24" s="114"/>
      <c r="FU24" s="114"/>
      <c r="FV24" s="114"/>
      <c r="FW24" s="114"/>
      <c r="FX24" s="114"/>
      <c r="FY24" s="114"/>
      <c r="FZ24" s="114"/>
      <c r="GA24" s="114"/>
      <c r="GB24" s="114"/>
      <c r="GC24" s="114"/>
      <c r="GD24" s="114"/>
      <c r="GE24" s="114"/>
      <c r="GF24" s="114"/>
      <c r="GG24" s="114"/>
      <c r="GH24" s="114"/>
      <c r="GI24" s="114"/>
      <c r="GJ24" s="114"/>
      <c r="GK24" s="114"/>
      <c r="GL24" s="114"/>
      <c r="GM24" s="114"/>
      <c r="GN24" s="114"/>
      <c r="GO24" s="114"/>
      <c r="GP24" s="114"/>
      <c r="GQ24" s="114"/>
      <c r="GR24" s="114"/>
      <c r="GS24" s="114"/>
      <c r="GT24" s="114"/>
      <c r="GU24" s="114"/>
      <c r="GV24" s="114"/>
      <c r="GW24" s="114"/>
      <c r="GX24" s="114"/>
      <c r="GY24" s="114"/>
      <c r="GZ24" s="114"/>
      <c r="HA24" s="114"/>
      <c r="HB24" s="114"/>
      <c r="HC24" s="114"/>
      <c r="HD24" s="114"/>
      <c r="HE24" s="114"/>
      <c r="HF24" s="114"/>
      <c r="HG24" s="114"/>
      <c r="HH24" s="114"/>
      <c r="HI24" s="114"/>
      <c r="HJ24" s="114"/>
      <c r="HK24" s="114"/>
      <c r="HL24" s="114"/>
      <c r="HM24" s="114"/>
      <c r="HN24" s="114"/>
      <c r="HO24" s="114"/>
      <c r="HP24" s="114"/>
      <c r="HQ24" s="114"/>
      <c r="HR24" s="114"/>
      <c r="HS24" s="114"/>
      <c r="HT24" s="114"/>
      <c r="HU24" s="114"/>
      <c r="HV24" s="114"/>
      <c r="HW24" s="114"/>
      <c r="HX24" s="114"/>
      <c r="HY24" s="114"/>
      <c r="HZ24" s="114"/>
      <c r="IA24" s="114"/>
      <c r="IB24" s="114"/>
      <c r="IC24" s="114"/>
      <c r="ID24" s="114"/>
      <c r="IE24" s="114"/>
      <c r="IF24" s="114"/>
      <c r="IG24" s="114"/>
      <c r="IH24" s="114"/>
      <c r="II24" s="114"/>
      <c r="IJ24" s="114"/>
      <c r="IK24" s="114"/>
      <c r="IL24" s="114"/>
    </row>
    <row r="25" s="106" customFormat="1" ht="21" customHeight="1" spans="1:246">
      <c r="A25" s="115"/>
      <c r="B25" s="121"/>
      <c r="C25" s="121">
        <v>44799</v>
      </c>
      <c r="D25" s="122">
        <v>22607.29</v>
      </c>
      <c r="E25" s="122">
        <v>22607.29</v>
      </c>
      <c r="F25" s="123">
        <v>1234810.1798</v>
      </c>
      <c r="G25" s="117">
        <f t="shared" si="2"/>
        <v>20023472.0278</v>
      </c>
      <c r="H25" s="115">
        <f t="shared" si="4"/>
        <v>0</v>
      </c>
      <c r="I25" s="119">
        <v>6.68</v>
      </c>
      <c r="J25" s="118">
        <f t="shared" si="1"/>
        <v>8248532.001064</v>
      </c>
      <c r="K25" s="119" t="s">
        <v>13</v>
      </c>
      <c r="L25" s="119">
        <v>54.62</v>
      </c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4"/>
      <c r="BK25" s="114"/>
      <c r="BL25" s="114"/>
      <c r="BM25" s="114"/>
      <c r="BN25" s="114"/>
      <c r="BO25" s="114"/>
      <c r="BP25" s="114"/>
      <c r="BQ25" s="114"/>
      <c r="BR25" s="114"/>
      <c r="BS25" s="114"/>
      <c r="BT25" s="114"/>
      <c r="BU25" s="114"/>
      <c r="BV25" s="114"/>
      <c r="BW25" s="114"/>
      <c r="BX25" s="114"/>
      <c r="BY25" s="114"/>
      <c r="BZ25" s="114"/>
      <c r="CA25" s="114"/>
      <c r="CB25" s="114"/>
      <c r="CC25" s="114"/>
      <c r="CD25" s="114"/>
      <c r="CE25" s="114"/>
      <c r="CF25" s="114"/>
      <c r="CG25" s="114"/>
      <c r="CH25" s="114"/>
      <c r="CI25" s="114"/>
      <c r="CJ25" s="114"/>
      <c r="CK25" s="114"/>
      <c r="CL25" s="114"/>
      <c r="CM25" s="114"/>
      <c r="CN25" s="114"/>
      <c r="CO25" s="114"/>
      <c r="CP25" s="114"/>
      <c r="CQ25" s="114"/>
      <c r="CR25" s="114"/>
      <c r="CS25" s="114"/>
      <c r="CT25" s="114"/>
      <c r="CU25" s="114"/>
      <c r="CV25" s="114"/>
      <c r="CW25" s="114"/>
      <c r="CX25" s="114"/>
      <c r="CY25" s="114"/>
      <c r="CZ25" s="114"/>
      <c r="DA25" s="114"/>
      <c r="DB25" s="114"/>
      <c r="DC25" s="114"/>
      <c r="DD25" s="114"/>
      <c r="DE25" s="114"/>
      <c r="DF25" s="114"/>
      <c r="DG25" s="114"/>
      <c r="DH25" s="114"/>
      <c r="DI25" s="114"/>
      <c r="DJ25" s="114"/>
      <c r="DK25" s="114"/>
      <c r="DL25" s="114"/>
      <c r="DM25" s="114"/>
      <c r="DN25" s="114"/>
      <c r="DO25" s="114"/>
      <c r="DP25" s="114"/>
      <c r="DQ25" s="114"/>
      <c r="DR25" s="114"/>
      <c r="DS25" s="114"/>
      <c r="DT25" s="114"/>
      <c r="DU25" s="114"/>
      <c r="DV25" s="114"/>
      <c r="DW25" s="114"/>
      <c r="DX25" s="114"/>
      <c r="DY25" s="114"/>
      <c r="DZ25" s="114"/>
      <c r="EA25" s="114"/>
      <c r="EB25" s="114"/>
      <c r="EC25" s="114"/>
      <c r="ED25" s="114"/>
      <c r="EE25" s="114"/>
      <c r="EF25" s="114"/>
      <c r="EG25" s="114"/>
      <c r="EH25" s="114"/>
      <c r="EI25" s="114"/>
      <c r="EJ25" s="114"/>
      <c r="EK25" s="114"/>
      <c r="EL25" s="114"/>
      <c r="EM25" s="114"/>
      <c r="EN25" s="114"/>
      <c r="EO25" s="114"/>
      <c r="EP25" s="114"/>
      <c r="EQ25" s="114"/>
      <c r="ER25" s="114"/>
      <c r="ES25" s="114"/>
      <c r="ET25" s="114"/>
      <c r="EU25" s="114"/>
      <c r="EV25" s="114"/>
      <c r="EW25" s="114"/>
      <c r="EX25" s="114"/>
      <c r="EY25" s="114"/>
      <c r="EZ25" s="114"/>
      <c r="FA25" s="114"/>
      <c r="FB25" s="114"/>
      <c r="FC25" s="114"/>
      <c r="FD25" s="114"/>
      <c r="FE25" s="114"/>
      <c r="FF25" s="114"/>
      <c r="FG25" s="114"/>
      <c r="FH25" s="114"/>
      <c r="FI25" s="114"/>
      <c r="FJ25" s="114"/>
      <c r="FK25" s="114"/>
      <c r="FL25" s="114"/>
      <c r="FM25" s="114"/>
      <c r="FN25" s="114"/>
      <c r="FO25" s="114"/>
      <c r="FP25" s="114"/>
      <c r="FQ25" s="114"/>
      <c r="FR25" s="114"/>
      <c r="FS25" s="114"/>
      <c r="FT25" s="114"/>
      <c r="FU25" s="114"/>
      <c r="FV25" s="114"/>
      <c r="FW25" s="114"/>
      <c r="FX25" s="114"/>
      <c r="FY25" s="114"/>
      <c r="FZ25" s="114"/>
      <c r="GA25" s="114"/>
      <c r="GB25" s="114"/>
      <c r="GC25" s="114"/>
      <c r="GD25" s="114"/>
      <c r="GE25" s="114"/>
      <c r="GF25" s="114"/>
      <c r="GG25" s="114"/>
      <c r="GH25" s="114"/>
      <c r="GI25" s="114"/>
      <c r="GJ25" s="114"/>
      <c r="GK25" s="114"/>
      <c r="GL25" s="114"/>
      <c r="GM25" s="114"/>
      <c r="GN25" s="114"/>
      <c r="GO25" s="114"/>
      <c r="GP25" s="114"/>
      <c r="GQ25" s="114"/>
      <c r="GR25" s="114"/>
      <c r="GS25" s="114"/>
      <c r="GT25" s="114"/>
      <c r="GU25" s="114"/>
      <c r="GV25" s="114"/>
      <c r="GW25" s="114"/>
      <c r="GX25" s="114"/>
      <c r="GY25" s="114"/>
      <c r="GZ25" s="114"/>
      <c r="HA25" s="114"/>
      <c r="HB25" s="114"/>
      <c r="HC25" s="114"/>
      <c r="HD25" s="114"/>
      <c r="HE25" s="114"/>
      <c r="HF25" s="114"/>
      <c r="HG25" s="114"/>
      <c r="HH25" s="114"/>
      <c r="HI25" s="114"/>
      <c r="HJ25" s="114"/>
      <c r="HK25" s="114"/>
      <c r="HL25" s="114"/>
      <c r="HM25" s="114"/>
      <c r="HN25" s="114"/>
      <c r="HO25" s="114"/>
      <c r="HP25" s="114"/>
      <c r="HQ25" s="114"/>
      <c r="HR25" s="114"/>
      <c r="HS25" s="114"/>
      <c r="HT25" s="114"/>
      <c r="HU25" s="114"/>
      <c r="HV25" s="114"/>
      <c r="HW25" s="114"/>
      <c r="HX25" s="114"/>
      <c r="HY25" s="114"/>
      <c r="HZ25" s="114"/>
      <c r="IA25" s="114"/>
      <c r="IB25" s="114"/>
      <c r="IC25" s="114"/>
      <c r="ID25" s="114"/>
      <c r="IE25" s="114"/>
      <c r="IF25" s="114"/>
      <c r="IG25" s="114"/>
      <c r="IH25" s="114"/>
      <c r="II25" s="114"/>
      <c r="IJ25" s="114"/>
      <c r="IK25" s="114"/>
      <c r="IL25" s="114"/>
    </row>
    <row r="26" s="106" customFormat="1" ht="21" customHeight="1" spans="1:246">
      <c r="A26" s="115"/>
      <c r="B26" s="121"/>
      <c r="C26" s="121">
        <v>44799</v>
      </c>
      <c r="D26" s="122">
        <v>20588.54</v>
      </c>
      <c r="E26" s="122">
        <v>20588.54</v>
      </c>
      <c r="F26" s="123">
        <v>1123928</v>
      </c>
      <c r="G26" s="117">
        <f t="shared" si="2"/>
        <v>21147400.0278</v>
      </c>
      <c r="H26" s="119">
        <v>0</v>
      </c>
      <c r="I26" s="119">
        <v>6.68</v>
      </c>
      <c r="J26" s="118">
        <f t="shared" si="1"/>
        <v>7507839.04</v>
      </c>
      <c r="K26" s="119" t="s">
        <v>13</v>
      </c>
      <c r="L26" s="119">
        <v>54.59</v>
      </c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4"/>
      <c r="BF26" s="114"/>
      <c r="BG26" s="114"/>
      <c r="BH26" s="114"/>
      <c r="BI26" s="114"/>
      <c r="BJ26" s="114"/>
      <c r="BK26" s="114"/>
      <c r="BL26" s="114"/>
      <c r="BM26" s="114"/>
      <c r="BN26" s="114"/>
      <c r="BO26" s="114"/>
      <c r="BP26" s="114"/>
      <c r="BQ26" s="114"/>
      <c r="BR26" s="114"/>
      <c r="BS26" s="114"/>
      <c r="BT26" s="114"/>
      <c r="BU26" s="114"/>
      <c r="BV26" s="114"/>
      <c r="BW26" s="114"/>
      <c r="BX26" s="114"/>
      <c r="BY26" s="114"/>
      <c r="BZ26" s="114"/>
      <c r="CA26" s="114"/>
      <c r="CB26" s="114"/>
      <c r="CC26" s="114"/>
      <c r="CD26" s="114"/>
      <c r="CE26" s="114"/>
      <c r="CF26" s="114"/>
      <c r="CG26" s="114"/>
      <c r="CH26" s="114"/>
      <c r="CI26" s="114"/>
      <c r="CJ26" s="114"/>
      <c r="CK26" s="114"/>
      <c r="CL26" s="114"/>
      <c r="CM26" s="114"/>
      <c r="CN26" s="114"/>
      <c r="CO26" s="114"/>
      <c r="CP26" s="114"/>
      <c r="CQ26" s="114"/>
      <c r="CR26" s="114"/>
      <c r="CS26" s="114"/>
      <c r="CT26" s="114"/>
      <c r="CU26" s="114"/>
      <c r="CV26" s="114"/>
      <c r="CW26" s="114"/>
      <c r="CX26" s="114"/>
      <c r="CY26" s="114"/>
      <c r="CZ26" s="114"/>
      <c r="DA26" s="114"/>
      <c r="DB26" s="114"/>
      <c r="DC26" s="114"/>
      <c r="DD26" s="114"/>
      <c r="DE26" s="114"/>
      <c r="DF26" s="114"/>
      <c r="DG26" s="114"/>
      <c r="DH26" s="114"/>
      <c r="DI26" s="114"/>
      <c r="DJ26" s="114"/>
      <c r="DK26" s="114"/>
      <c r="DL26" s="114"/>
      <c r="DM26" s="114"/>
      <c r="DN26" s="114"/>
      <c r="DO26" s="114"/>
      <c r="DP26" s="114"/>
      <c r="DQ26" s="114"/>
      <c r="DR26" s="114"/>
      <c r="DS26" s="114"/>
      <c r="DT26" s="114"/>
      <c r="DU26" s="114"/>
      <c r="DV26" s="114"/>
      <c r="DW26" s="114"/>
      <c r="DX26" s="114"/>
      <c r="DY26" s="114"/>
      <c r="DZ26" s="114"/>
      <c r="EA26" s="114"/>
      <c r="EB26" s="114"/>
      <c r="EC26" s="114"/>
      <c r="ED26" s="114"/>
      <c r="EE26" s="114"/>
      <c r="EF26" s="114"/>
      <c r="EG26" s="114"/>
      <c r="EH26" s="114"/>
      <c r="EI26" s="114"/>
      <c r="EJ26" s="114"/>
      <c r="EK26" s="114"/>
      <c r="EL26" s="114"/>
      <c r="EM26" s="114"/>
      <c r="EN26" s="114"/>
      <c r="EO26" s="114"/>
      <c r="EP26" s="114"/>
      <c r="EQ26" s="114"/>
      <c r="ER26" s="114"/>
      <c r="ES26" s="114"/>
      <c r="ET26" s="114"/>
      <c r="EU26" s="114"/>
      <c r="EV26" s="114"/>
      <c r="EW26" s="114"/>
      <c r="EX26" s="114"/>
      <c r="EY26" s="114"/>
      <c r="EZ26" s="114"/>
      <c r="FA26" s="114"/>
      <c r="FB26" s="114"/>
      <c r="FC26" s="114"/>
      <c r="FD26" s="114"/>
      <c r="FE26" s="114"/>
      <c r="FF26" s="114"/>
      <c r="FG26" s="114"/>
      <c r="FH26" s="114"/>
      <c r="FI26" s="114"/>
      <c r="FJ26" s="114"/>
      <c r="FK26" s="114"/>
      <c r="FL26" s="114"/>
      <c r="FM26" s="114"/>
      <c r="FN26" s="114"/>
      <c r="FO26" s="114"/>
      <c r="FP26" s="114"/>
      <c r="FQ26" s="114"/>
      <c r="FR26" s="114"/>
      <c r="FS26" s="114"/>
      <c r="FT26" s="114"/>
      <c r="FU26" s="114"/>
      <c r="FV26" s="114"/>
      <c r="FW26" s="114"/>
      <c r="FX26" s="114"/>
      <c r="FY26" s="114"/>
      <c r="FZ26" s="114"/>
      <c r="GA26" s="114"/>
      <c r="GB26" s="114"/>
      <c r="GC26" s="114"/>
      <c r="GD26" s="114"/>
      <c r="GE26" s="114"/>
      <c r="GF26" s="114"/>
      <c r="GG26" s="114"/>
      <c r="GH26" s="114"/>
      <c r="GI26" s="114"/>
      <c r="GJ26" s="114"/>
      <c r="GK26" s="114"/>
      <c r="GL26" s="114"/>
      <c r="GM26" s="114"/>
      <c r="GN26" s="114"/>
      <c r="GO26" s="114"/>
      <c r="GP26" s="114"/>
      <c r="GQ26" s="114"/>
      <c r="GR26" s="114"/>
      <c r="GS26" s="114"/>
      <c r="GT26" s="114"/>
      <c r="GU26" s="114"/>
      <c r="GV26" s="114"/>
      <c r="GW26" s="114"/>
      <c r="GX26" s="114"/>
      <c r="GY26" s="114"/>
      <c r="GZ26" s="114"/>
      <c r="HA26" s="114"/>
      <c r="HB26" s="114"/>
      <c r="HC26" s="114"/>
      <c r="HD26" s="114"/>
      <c r="HE26" s="114"/>
      <c r="HF26" s="114"/>
      <c r="HG26" s="114"/>
      <c r="HH26" s="114"/>
      <c r="HI26" s="114"/>
      <c r="HJ26" s="114"/>
      <c r="HK26" s="114"/>
      <c r="HL26" s="114"/>
      <c r="HM26" s="114"/>
      <c r="HN26" s="114"/>
      <c r="HO26" s="114"/>
      <c r="HP26" s="114"/>
      <c r="HQ26" s="114"/>
      <c r="HR26" s="114"/>
      <c r="HS26" s="114"/>
      <c r="HT26" s="114"/>
      <c r="HU26" s="114"/>
      <c r="HV26" s="114"/>
      <c r="HW26" s="114"/>
      <c r="HX26" s="114"/>
      <c r="HY26" s="114"/>
      <c r="HZ26" s="114"/>
      <c r="IA26" s="114"/>
      <c r="IB26" s="114"/>
      <c r="IC26" s="114"/>
      <c r="ID26" s="114"/>
      <c r="IE26" s="114"/>
      <c r="IF26" s="114"/>
      <c r="IG26" s="114"/>
      <c r="IH26" s="114"/>
      <c r="II26" s="114"/>
      <c r="IJ26" s="114"/>
      <c r="IK26" s="114"/>
      <c r="IL26" s="114"/>
    </row>
    <row r="27" s="106" customFormat="1" ht="21" customHeight="1" spans="1:246">
      <c r="A27" s="119">
        <v>19</v>
      </c>
      <c r="B27" s="121">
        <v>44809</v>
      </c>
      <c r="C27" s="121">
        <v>44809</v>
      </c>
      <c r="D27" s="122">
        <v>3785.5</v>
      </c>
      <c r="E27" s="122">
        <v>3785.5</v>
      </c>
      <c r="F27" s="123">
        <v>203854</v>
      </c>
      <c r="G27" s="117">
        <f t="shared" si="2"/>
        <v>21351254.0278</v>
      </c>
      <c r="H27" s="119">
        <v>0</v>
      </c>
      <c r="I27" s="119">
        <v>6.8</v>
      </c>
      <c r="J27" s="118">
        <f t="shared" si="1"/>
        <v>1386207.2</v>
      </c>
      <c r="K27" s="119" t="s">
        <v>13</v>
      </c>
      <c r="L27" s="119">
        <v>53.85</v>
      </c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  <c r="BI27" s="114"/>
      <c r="BJ27" s="114"/>
      <c r="BK27" s="114"/>
      <c r="BL27" s="114"/>
      <c r="BM27" s="114"/>
      <c r="BN27" s="114"/>
      <c r="BO27" s="114"/>
      <c r="BP27" s="114"/>
      <c r="BQ27" s="114"/>
      <c r="BR27" s="114"/>
      <c r="BS27" s="114"/>
      <c r="BT27" s="114"/>
      <c r="BU27" s="114"/>
      <c r="BV27" s="114"/>
      <c r="BW27" s="114"/>
      <c r="BX27" s="114"/>
      <c r="BY27" s="114"/>
      <c r="BZ27" s="114"/>
      <c r="CA27" s="114"/>
      <c r="CB27" s="114"/>
      <c r="CC27" s="114"/>
      <c r="CD27" s="114"/>
      <c r="CE27" s="114"/>
      <c r="CF27" s="114"/>
      <c r="CG27" s="114"/>
      <c r="CH27" s="114"/>
      <c r="CI27" s="114"/>
      <c r="CJ27" s="114"/>
      <c r="CK27" s="114"/>
      <c r="CL27" s="114"/>
      <c r="CM27" s="114"/>
      <c r="CN27" s="114"/>
      <c r="CO27" s="114"/>
      <c r="CP27" s="114"/>
      <c r="CQ27" s="114"/>
      <c r="CR27" s="114"/>
      <c r="CS27" s="114"/>
      <c r="CT27" s="114"/>
      <c r="CU27" s="114"/>
      <c r="CV27" s="114"/>
      <c r="CW27" s="114"/>
      <c r="CX27" s="114"/>
      <c r="CY27" s="114"/>
      <c r="CZ27" s="114"/>
      <c r="DA27" s="114"/>
      <c r="DB27" s="114"/>
      <c r="DC27" s="114"/>
      <c r="DD27" s="114"/>
      <c r="DE27" s="114"/>
      <c r="DF27" s="114"/>
      <c r="DG27" s="114"/>
      <c r="DH27" s="114"/>
      <c r="DI27" s="114"/>
      <c r="DJ27" s="114"/>
      <c r="DK27" s="114"/>
      <c r="DL27" s="114"/>
      <c r="DM27" s="114"/>
      <c r="DN27" s="114"/>
      <c r="DO27" s="114"/>
      <c r="DP27" s="114"/>
      <c r="DQ27" s="114"/>
      <c r="DR27" s="114"/>
      <c r="DS27" s="114"/>
      <c r="DT27" s="114"/>
      <c r="DU27" s="114"/>
      <c r="DV27" s="114"/>
      <c r="DW27" s="114"/>
      <c r="DX27" s="114"/>
      <c r="DY27" s="114"/>
      <c r="DZ27" s="114"/>
      <c r="EA27" s="114"/>
      <c r="EB27" s="114"/>
      <c r="EC27" s="114"/>
      <c r="ED27" s="114"/>
      <c r="EE27" s="114"/>
      <c r="EF27" s="114"/>
      <c r="EG27" s="114"/>
      <c r="EH27" s="114"/>
      <c r="EI27" s="114"/>
      <c r="EJ27" s="114"/>
      <c r="EK27" s="114"/>
      <c r="EL27" s="114"/>
      <c r="EM27" s="114"/>
      <c r="EN27" s="114"/>
      <c r="EO27" s="114"/>
      <c r="EP27" s="114"/>
      <c r="EQ27" s="114"/>
      <c r="ER27" s="114"/>
      <c r="ES27" s="114"/>
      <c r="ET27" s="114"/>
      <c r="EU27" s="114"/>
      <c r="EV27" s="114"/>
      <c r="EW27" s="114"/>
      <c r="EX27" s="114"/>
      <c r="EY27" s="114"/>
      <c r="EZ27" s="114"/>
      <c r="FA27" s="114"/>
      <c r="FB27" s="114"/>
      <c r="FC27" s="114"/>
      <c r="FD27" s="114"/>
      <c r="FE27" s="114"/>
      <c r="FF27" s="114"/>
      <c r="FG27" s="114"/>
      <c r="FH27" s="114"/>
      <c r="FI27" s="114"/>
      <c r="FJ27" s="114"/>
      <c r="FK27" s="114"/>
      <c r="FL27" s="114"/>
      <c r="FM27" s="114"/>
      <c r="FN27" s="114"/>
      <c r="FO27" s="114"/>
      <c r="FP27" s="114"/>
      <c r="FQ27" s="114"/>
      <c r="FR27" s="114"/>
      <c r="FS27" s="114"/>
      <c r="FT27" s="114"/>
      <c r="FU27" s="114"/>
      <c r="FV27" s="114"/>
      <c r="FW27" s="114"/>
      <c r="FX27" s="114"/>
      <c r="FY27" s="114"/>
      <c r="FZ27" s="114"/>
      <c r="GA27" s="114"/>
      <c r="GB27" s="114"/>
      <c r="GC27" s="114"/>
      <c r="GD27" s="114"/>
      <c r="GE27" s="114"/>
      <c r="GF27" s="114"/>
      <c r="GG27" s="114"/>
      <c r="GH27" s="114"/>
      <c r="GI27" s="114"/>
      <c r="GJ27" s="114"/>
      <c r="GK27" s="114"/>
      <c r="GL27" s="114"/>
      <c r="GM27" s="114"/>
      <c r="GN27" s="114"/>
      <c r="GO27" s="114"/>
      <c r="GP27" s="114"/>
      <c r="GQ27" s="114"/>
      <c r="GR27" s="114"/>
      <c r="GS27" s="114"/>
      <c r="GT27" s="114"/>
      <c r="GU27" s="114"/>
      <c r="GV27" s="114"/>
      <c r="GW27" s="114"/>
      <c r="GX27" s="114"/>
      <c r="GY27" s="114"/>
      <c r="GZ27" s="114"/>
      <c r="HA27" s="114"/>
      <c r="HB27" s="114"/>
      <c r="HC27" s="114"/>
      <c r="HD27" s="114"/>
      <c r="HE27" s="114"/>
      <c r="HF27" s="114"/>
      <c r="HG27" s="114"/>
      <c r="HH27" s="114"/>
      <c r="HI27" s="114"/>
      <c r="HJ27" s="114"/>
      <c r="HK27" s="114"/>
      <c r="HL27" s="114"/>
      <c r="HM27" s="114"/>
      <c r="HN27" s="114"/>
      <c r="HO27" s="114"/>
      <c r="HP27" s="114"/>
      <c r="HQ27" s="114"/>
      <c r="HR27" s="114"/>
      <c r="HS27" s="114"/>
      <c r="HT27" s="114"/>
      <c r="HU27" s="114"/>
      <c r="HV27" s="114"/>
      <c r="HW27" s="114"/>
      <c r="HX27" s="114"/>
      <c r="HY27" s="114"/>
      <c r="HZ27" s="114"/>
      <c r="IA27" s="114"/>
      <c r="IB27" s="114"/>
      <c r="IC27" s="114"/>
      <c r="ID27" s="114"/>
      <c r="IE27" s="114"/>
      <c r="IF27" s="114"/>
      <c r="IG27" s="114"/>
      <c r="IH27" s="114"/>
      <c r="II27" s="114"/>
      <c r="IJ27" s="114"/>
      <c r="IK27" s="114"/>
      <c r="IL27" s="114"/>
    </row>
    <row r="28" s="106" customFormat="1" ht="21" customHeight="1" spans="1:246">
      <c r="A28" s="119"/>
      <c r="B28" s="121"/>
      <c r="C28" s="121"/>
      <c r="D28" s="122">
        <v>9691.36</v>
      </c>
      <c r="E28" s="122">
        <v>9691.36</v>
      </c>
      <c r="F28" s="123">
        <v>515677</v>
      </c>
      <c r="G28" s="117">
        <f t="shared" si="2"/>
        <v>21866931.0278</v>
      </c>
      <c r="H28" s="119">
        <v>0</v>
      </c>
      <c r="I28" s="119">
        <v>6.8</v>
      </c>
      <c r="J28" s="118">
        <f t="shared" si="1"/>
        <v>3506603.6</v>
      </c>
      <c r="K28" s="119" t="s">
        <v>13</v>
      </c>
      <c r="L28" s="119">
        <v>53.21</v>
      </c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4"/>
      <c r="BF28" s="114"/>
      <c r="BG28" s="114"/>
      <c r="BH28" s="114"/>
      <c r="BI28" s="114"/>
      <c r="BJ28" s="114"/>
      <c r="BK28" s="114"/>
      <c r="BL28" s="114"/>
      <c r="BM28" s="114"/>
      <c r="BN28" s="114"/>
      <c r="BO28" s="114"/>
      <c r="BP28" s="114"/>
      <c r="BQ28" s="114"/>
      <c r="BR28" s="114"/>
      <c r="BS28" s="114"/>
      <c r="BT28" s="114"/>
      <c r="BU28" s="114"/>
      <c r="BV28" s="114"/>
      <c r="BW28" s="114"/>
      <c r="BX28" s="114"/>
      <c r="BY28" s="114"/>
      <c r="BZ28" s="114"/>
      <c r="CA28" s="114"/>
      <c r="CB28" s="114"/>
      <c r="CC28" s="114"/>
      <c r="CD28" s="114"/>
      <c r="CE28" s="114"/>
      <c r="CF28" s="114"/>
      <c r="CG28" s="114"/>
      <c r="CH28" s="114"/>
      <c r="CI28" s="114"/>
      <c r="CJ28" s="114"/>
      <c r="CK28" s="114"/>
      <c r="CL28" s="114"/>
      <c r="CM28" s="114"/>
      <c r="CN28" s="114"/>
      <c r="CO28" s="114"/>
      <c r="CP28" s="114"/>
      <c r="CQ28" s="114"/>
      <c r="CR28" s="114"/>
      <c r="CS28" s="114"/>
      <c r="CT28" s="114"/>
      <c r="CU28" s="114"/>
      <c r="CV28" s="114"/>
      <c r="CW28" s="114"/>
      <c r="CX28" s="114"/>
      <c r="CY28" s="114"/>
      <c r="CZ28" s="114"/>
      <c r="DA28" s="114"/>
      <c r="DB28" s="114"/>
      <c r="DC28" s="114"/>
      <c r="DD28" s="114"/>
      <c r="DE28" s="114"/>
      <c r="DF28" s="114"/>
      <c r="DG28" s="114"/>
      <c r="DH28" s="114"/>
      <c r="DI28" s="114"/>
      <c r="DJ28" s="114"/>
      <c r="DK28" s="114"/>
      <c r="DL28" s="114"/>
      <c r="DM28" s="114"/>
      <c r="DN28" s="114"/>
      <c r="DO28" s="114"/>
      <c r="DP28" s="114"/>
      <c r="DQ28" s="114"/>
      <c r="DR28" s="114"/>
      <c r="DS28" s="114"/>
      <c r="DT28" s="114"/>
      <c r="DU28" s="114"/>
      <c r="DV28" s="114"/>
      <c r="DW28" s="114"/>
      <c r="DX28" s="114"/>
      <c r="DY28" s="114"/>
      <c r="DZ28" s="114"/>
      <c r="EA28" s="114"/>
      <c r="EB28" s="114"/>
      <c r="EC28" s="114"/>
      <c r="ED28" s="114"/>
      <c r="EE28" s="114"/>
      <c r="EF28" s="114"/>
      <c r="EG28" s="114"/>
      <c r="EH28" s="114"/>
      <c r="EI28" s="114"/>
      <c r="EJ28" s="114"/>
      <c r="EK28" s="114"/>
      <c r="EL28" s="114"/>
      <c r="EM28" s="114"/>
      <c r="EN28" s="114"/>
      <c r="EO28" s="114"/>
      <c r="EP28" s="114"/>
      <c r="EQ28" s="114"/>
      <c r="ER28" s="114"/>
      <c r="ES28" s="114"/>
      <c r="ET28" s="114"/>
      <c r="EU28" s="114"/>
      <c r="EV28" s="114"/>
      <c r="EW28" s="114"/>
      <c r="EX28" s="114"/>
      <c r="EY28" s="114"/>
      <c r="EZ28" s="114"/>
      <c r="FA28" s="114"/>
      <c r="FB28" s="114"/>
      <c r="FC28" s="114"/>
      <c r="FD28" s="114"/>
      <c r="FE28" s="114"/>
      <c r="FF28" s="114"/>
      <c r="FG28" s="114"/>
      <c r="FH28" s="114"/>
      <c r="FI28" s="114"/>
      <c r="FJ28" s="114"/>
      <c r="FK28" s="114"/>
      <c r="FL28" s="114"/>
      <c r="FM28" s="114"/>
      <c r="FN28" s="114"/>
      <c r="FO28" s="114"/>
      <c r="FP28" s="114"/>
      <c r="FQ28" s="114"/>
      <c r="FR28" s="114"/>
      <c r="FS28" s="114"/>
      <c r="FT28" s="114"/>
      <c r="FU28" s="114"/>
      <c r="FV28" s="114"/>
      <c r="FW28" s="114"/>
      <c r="FX28" s="114"/>
      <c r="FY28" s="114"/>
      <c r="FZ28" s="114"/>
      <c r="GA28" s="114"/>
      <c r="GB28" s="114"/>
      <c r="GC28" s="114"/>
      <c r="GD28" s="114"/>
      <c r="GE28" s="114"/>
      <c r="GF28" s="114"/>
      <c r="GG28" s="114"/>
      <c r="GH28" s="114"/>
      <c r="GI28" s="114"/>
      <c r="GJ28" s="114"/>
      <c r="GK28" s="114"/>
      <c r="GL28" s="114"/>
      <c r="GM28" s="114"/>
      <c r="GN28" s="114"/>
      <c r="GO28" s="114"/>
      <c r="GP28" s="114"/>
      <c r="GQ28" s="114"/>
      <c r="GR28" s="114"/>
      <c r="GS28" s="114"/>
      <c r="GT28" s="114"/>
      <c r="GU28" s="114"/>
      <c r="GV28" s="114"/>
      <c r="GW28" s="114"/>
      <c r="GX28" s="114"/>
      <c r="GY28" s="114"/>
      <c r="GZ28" s="114"/>
      <c r="HA28" s="114"/>
      <c r="HB28" s="114"/>
      <c r="HC28" s="114"/>
      <c r="HD28" s="114"/>
      <c r="HE28" s="114"/>
      <c r="HF28" s="114"/>
      <c r="HG28" s="114"/>
      <c r="HH28" s="114"/>
      <c r="HI28" s="114"/>
      <c r="HJ28" s="114"/>
      <c r="HK28" s="114"/>
      <c r="HL28" s="114"/>
      <c r="HM28" s="114"/>
      <c r="HN28" s="114"/>
      <c r="HO28" s="114"/>
      <c r="HP28" s="114"/>
      <c r="HQ28" s="114"/>
      <c r="HR28" s="114"/>
      <c r="HS28" s="114"/>
      <c r="HT28" s="114"/>
      <c r="HU28" s="114"/>
      <c r="HV28" s="114"/>
      <c r="HW28" s="114"/>
      <c r="HX28" s="114"/>
      <c r="HY28" s="114"/>
      <c r="HZ28" s="114"/>
      <c r="IA28" s="114"/>
      <c r="IB28" s="114"/>
      <c r="IC28" s="114"/>
      <c r="ID28" s="114"/>
      <c r="IE28" s="114"/>
      <c r="IF28" s="114"/>
      <c r="IG28" s="114"/>
      <c r="IH28" s="114"/>
      <c r="II28" s="114"/>
      <c r="IJ28" s="114"/>
      <c r="IK28" s="114"/>
      <c r="IL28" s="114"/>
    </row>
    <row r="29" s="106" customFormat="1" ht="21" customHeight="1" spans="1:246">
      <c r="A29" s="119">
        <v>20</v>
      </c>
      <c r="B29" s="121">
        <v>44827</v>
      </c>
      <c r="C29" s="121">
        <v>44827</v>
      </c>
      <c r="D29" s="122">
        <v>21998.05</v>
      </c>
      <c r="E29" s="122">
        <v>21998.05</v>
      </c>
      <c r="F29" s="123">
        <v>1134440</v>
      </c>
      <c r="G29" s="117">
        <f t="shared" si="2"/>
        <v>23001371.0278</v>
      </c>
      <c r="H29" s="119">
        <v>0</v>
      </c>
      <c r="I29" s="119">
        <v>6.9</v>
      </c>
      <c r="J29" s="118">
        <f t="shared" si="1"/>
        <v>7827636</v>
      </c>
      <c r="K29" s="124" t="s">
        <v>15</v>
      </c>
      <c r="L29" s="119">
        <v>51.57</v>
      </c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4"/>
      <c r="BM29" s="114"/>
      <c r="BN29" s="114"/>
      <c r="BO29" s="114"/>
      <c r="BP29" s="114"/>
      <c r="BQ29" s="114"/>
      <c r="BR29" s="114"/>
      <c r="BS29" s="114"/>
      <c r="BT29" s="114"/>
      <c r="BU29" s="114"/>
      <c r="BV29" s="114"/>
      <c r="BW29" s="114"/>
      <c r="BX29" s="114"/>
      <c r="BY29" s="114"/>
      <c r="BZ29" s="114"/>
      <c r="CA29" s="114"/>
      <c r="CB29" s="114"/>
      <c r="CC29" s="114"/>
      <c r="CD29" s="114"/>
      <c r="CE29" s="114"/>
      <c r="CF29" s="114"/>
      <c r="CG29" s="114"/>
      <c r="CH29" s="114"/>
      <c r="CI29" s="114"/>
      <c r="CJ29" s="114"/>
      <c r="CK29" s="114"/>
      <c r="CL29" s="114"/>
      <c r="CM29" s="114"/>
      <c r="CN29" s="114"/>
      <c r="CO29" s="114"/>
      <c r="CP29" s="114"/>
      <c r="CQ29" s="114"/>
      <c r="CR29" s="114"/>
      <c r="CS29" s="114"/>
      <c r="CT29" s="114"/>
      <c r="CU29" s="114"/>
      <c r="CV29" s="114"/>
      <c r="CW29" s="114"/>
      <c r="CX29" s="114"/>
      <c r="CY29" s="114"/>
      <c r="CZ29" s="114"/>
      <c r="DA29" s="114"/>
      <c r="DB29" s="114"/>
      <c r="DC29" s="114"/>
      <c r="DD29" s="114"/>
      <c r="DE29" s="114"/>
      <c r="DF29" s="114"/>
      <c r="DG29" s="114"/>
      <c r="DH29" s="114"/>
      <c r="DI29" s="114"/>
      <c r="DJ29" s="114"/>
      <c r="DK29" s="114"/>
      <c r="DL29" s="114"/>
      <c r="DM29" s="114"/>
      <c r="DN29" s="114"/>
      <c r="DO29" s="114"/>
      <c r="DP29" s="114"/>
      <c r="DQ29" s="114"/>
      <c r="DR29" s="114"/>
      <c r="DS29" s="114"/>
      <c r="DT29" s="114"/>
      <c r="DU29" s="114"/>
      <c r="DV29" s="114"/>
      <c r="DW29" s="114"/>
      <c r="DX29" s="114"/>
      <c r="DY29" s="114"/>
      <c r="DZ29" s="114"/>
      <c r="EA29" s="114"/>
      <c r="EB29" s="114"/>
      <c r="EC29" s="114"/>
      <c r="ED29" s="114"/>
      <c r="EE29" s="114"/>
      <c r="EF29" s="114"/>
      <c r="EG29" s="114"/>
      <c r="EH29" s="114"/>
      <c r="EI29" s="114"/>
      <c r="EJ29" s="114"/>
      <c r="EK29" s="114"/>
      <c r="EL29" s="114"/>
      <c r="EM29" s="114"/>
      <c r="EN29" s="114"/>
      <c r="EO29" s="114"/>
      <c r="EP29" s="114"/>
      <c r="EQ29" s="114"/>
      <c r="ER29" s="114"/>
      <c r="ES29" s="114"/>
      <c r="ET29" s="114"/>
      <c r="EU29" s="114"/>
      <c r="EV29" s="114"/>
      <c r="EW29" s="114"/>
      <c r="EX29" s="114"/>
      <c r="EY29" s="114"/>
      <c r="EZ29" s="114"/>
      <c r="FA29" s="114"/>
      <c r="FB29" s="114"/>
      <c r="FC29" s="114"/>
      <c r="FD29" s="114"/>
      <c r="FE29" s="114"/>
      <c r="FF29" s="114"/>
      <c r="FG29" s="114"/>
      <c r="FH29" s="114"/>
      <c r="FI29" s="114"/>
      <c r="FJ29" s="114"/>
      <c r="FK29" s="114"/>
      <c r="FL29" s="114"/>
      <c r="FM29" s="114"/>
      <c r="FN29" s="114"/>
      <c r="FO29" s="114"/>
      <c r="FP29" s="114"/>
      <c r="FQ29" s="114"/>
      <c r="FR29" s="114"/>
      <c r="FS29" s="114"/>
      <c r="FT29" s="114"/>
      <c r="FU29" s="114"/>
      <c r="FV29" s="114"/>
      <c r="FW29" s="114"/>
      <c r="FX29" s="114"/>
      <c r="FY29" s="114"/>
      <c r="FZ29" s="114"/>
      <c r="GA29" s="114"/>
      <c r="GB29" s="114"/>
      <c r="GC29" s="114"/>
      <c r="GD29" s="114"/>
      <c r="GE29" s="114"/>
      <c r="GF29" s="114"/>
      <c r="GG29" s="114"/>
      <c r="GH29" s="114"/>
      <c r="GI29" s="114"/>
      <c r="GJ29" s="114"/>
      <c r="GK29" s="114"/>
      <c r="GL29" s="114"/>
      <c r="GM29" s="114"/>
      <c r="GN29" s="114"/>
      <c r="GO29" s="114"/>
      <c r="GP29" s="114"/>
      <c r="GQ29" s="114"/>
      <c r="GR29" s="114"/>
      <c r="GS29" s="114"/>
      <c r="GT29" s="114"/>
      <c r="GU29" s="114"/>
      <c r="GV29" s="114"/>
      <c r="GW29" s="114"/>
      <c r="GX29" s="114"/>
      <c r="GY29" s="114"/>
      <c r="GZ29" s="114"/>
      <c r="HA29" s="114"/>
      <c r="HB29" s="114"/>
      <c r="HC29" s="114"/>
      <c r="HD29" s="114"/>
      <c r="HE29" s="114"/>
      <c r="HF29" s="114"/>
      <c r="HG29" s="114"/>
      <c r="HH29" s="114"/>
      <c r="HI29" s="114"/>
      <c r="HJ29" s="114"/>
      <c r="HK29" s="114"/>
      <c r="HL29" s="114"/>
      <c r="HM29" s="114"/>
      <c r="HN29" s="114"/>
      <c r="HO29" s="114"/>
      <c r="HP29" s="114"/>
      <c r="HQ29" s="114"/>
      <c r="HR29" s="114"/>
      <c r="HS29" s="114"/>
      <c r="HT29" s="114"/>
      <c r="HU29" s="114"/>
      <c r="HV29" s="114"/>
      <c r="HW29" s="114"/>
      <c r="HX29" s="114"/>
      <c r="HY29" s="114"/>
      <c r="HZ29" s="114"/>
      <c r="IA29" s="114"/>
      <c r="IB29" s="114"/>
      <c r="IC29" s="114"/>
      <c r="ID29" s="114"/>
      <c r="IE29" s="114"/>
      <c r="IF29" s="114"/>
      <c r="IG29" s="114"/>
      <c r="IH29" s="114"/>
      <c r="II29" s="114"/>
      <c r="IJ29" s="114"/>
      <c r="IK29" s="114"/>
      <c r="IL29" s="114"/>
    </row>
    <row r="30" s="106" customFormat="1" ht="21" customHeight="1" spans="1:246">
      <c r="A30" s="119"/>
      <c r="B30" s="121"/>
      <c r="C30" s="121"/>
      <c r="D30" s="122">
        <v>6830.73</v>
      </c>
      <c r="E30" s="122">
        <v>6818.16</v>
      </c>
      <c r="F30" s="123">
        <v>367500</v>
      </c>
      <c r="G30" s="117">
        <f t="shared" si="2"/>
        <v>23368871.0278</v>
      </c>
      <c r="H30" s="119">
        <f t="shared" ref="H30:H32" si="5">E30-D30</f>
        <v>-12.5699999999997</v>
      </c>
      <c r="I30" s="119">
        <v>6.9</v>
      </c>
      <c r="J30" s="118">
        <f t="shared" si="1"/>
        <v>2535750</v>
      </c>
      <c r="K30" s="124" t="s">
        <v>15</v>
      </c>
      <c r="L30" s="119">
        <v>53.9</v>
      </c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4"/>
      <c r="BF30" s="114"/>
      <c r="BG30" s="114"/>
      <c r="BH30" s="114"/>
      <c r="BI30" s="114"/>
      <c r="BJ30" s="114"/>
      <c r="BK30" s="114"/>
      <c r="BL30" s="114"/>
      <c r="BM30" s="114"/>
      <c r="BN30" s="114"/>
      <c r="BO30" s="114"/>
      <c r="BP30" s="114"/>
      <c r="BQ30" s="114"/>
      <c r="BR30" s="114"/>
      <c r="BS30" s="114"/>
      <c r="BT30" s="114"/>
      <c r="BU30" s="114"/>
      <c r="BV30" s="114"/>
      <c r="BW30" s="114"/>
      <c r="BX30" s="114"/>
      <c r="BY30" s="114"/>
      <c r="BZ30" s="114"/>
      <c r="CA30" s="114"/>
      <c r="CB30" s="114"/>
      <c r="CC30" s="114"/>
      <c r="CD30" s="114"/>
      <c r="CE30" s="114"/>
      <c r="CF30" s="114"/>
      <c r="CG30" s="114"/>
      <c r="CH30" s="114"/>
      <c r="CI30" s="114"/>
      <c r="CJ30" s="114"/>
      <c r="CK30" s="114"/>
      <c r="CL30" s="114"/>
      <c r="CM30" s="114"/>
      <c r="CN30" s="114"/>
      <c r="CO30" s="114"/>
      <c r="CP30" s="114"/>
      <c r="CQ30" s="114"/>
      <c r="CR30" s="114"/>
      <c r="CS30" s="114"/>
      <c r="CT30" s="114"/>
      <c r="CU30" s="114"/>
      <c r="CV30" s="114"/>
      <c r="CW30" s="114"/>
      <c r="CX30" s="114"/>
      <c r="CY30" s="114"/>
      <c r="CZ30" s="114"/>
      <c r="DA30" s="114"/>
      <c r="DB30" s="114"/>
      <c r="DC30" s="114"/>
      <c r="DD30" s="114"/>
      <c r="DE30" s="114"/>
      <c r="DF30" s="114"/>
      <c r="DG30" s="114"/>
      <c r="DH30" s="114"/>
      <c r="DI30" s="114"/>
      <c r="DJ30" s="114"/>
      <c r="DK30" s="114"/>
      <c r="DL30" s="114"/>
      <c r="DM30" s="114"/>
      <c r="DN30" s="114"/>
      <c r="DO30" s="114"/>
      <c r="DP30" s="114"/>
      <c r="DQ30" s="114"/>
      <c r="DR30" s="114"/>
      <c r="DS30" s="114"/>
      <c r="DT30" s="114"/>
      <c r="DU30" s="114"/>
      <c r="DV30" s="114"/>
      <c r="DW30" s="114"/>
      <c r="DX30" s="114"/>
      <c r="DY30" s="114"/>
      <c r="DZ30" s="114"/>
      <c r="EA30" s="114"/>
      <c r="EB30" s="114"/>
      <c r="EC30" s="114"/>
      <c r="ED30" s="114"/>
      <c r="EE30" s="114"/>
      <c r="EF30" s="114"/>
      <c r="EG30" s="114"/>
      <c r="EH30" s="114"/>
      <c r="EI30" s="114"/>
      <c r="EJ30" s="114"/>
      <c r="EK30" s="114"/>
      <c r="EL30" s="114"/>
      <c r="EM30" s="114"/>
      <c r="EN30" s="114"/>
      <c r="EO30" s="114"/>
      <c r="EP30" s="114"/>
      <c r="EQ30" s="114"/>
      <c r="ER30" s="114"/>
      <c r="ES30" s="114"/>
      <c r="ET30" s="114"/>
      <c r="EU30" s="114"/>
      <c r="EV30" s="114"/>
      <c r="EW30" s="114"/>
      <c r="EX30" s="114"/>
      <c r="EY30" s="114"/>
      <c r="EZ30" s="114"/>
      <c r="FA30" s="114"/>
      <c r="FB30" s="114"/>
      <c r="FC30" s="114"/>
      <c r="FD30" s="114"/>
      <c r="FE30" s="114"/>
      <c r="FF30" s="114"/>
      <c r="FG30" s="114"/>
      <c r="FH30" s="114"/>
      <c r="FI30" s="114"/>
      <c r="FJ30" s="114"/>
      <c r="FK30" s="114"/>
      <c r="FL30" s="114"/>
      <c r="FM30" s="114"/>
      <c r="FN30" s="114"/>
      <c r="FO30" s="114"/>
      <c r="FP30" s="114"/>
      <c r="FQ30" s="114"/>
      <c r="FR30" s="114"/>
      <c r="FS30" s="114"/>
      <c r="FT30" s="114"/>
      <c r="FU30" s="114"/>
      <c r="FV30" s="114"/>
      <c r="FW30" s="114"/>
      <c r="FX30" s="114"/>
      <c r="FY30" s="114"/>
      <c r="FZ30" s="114"/>
      <c r="GA30" s="114"/>
      <c r="GB30" s="114"/>
      <c r="GC30" s="114"/>
      <c r="GD30" s="114"/>
      <c r="GE30" s="114"/>
      <c r="GF30" s="114"/>
      <c r="GG30" s="114"/>
      <c r="GH30" s="114"/>
      <c r="GI30" s="114"/>
      <c r="GJ30" s="114"/>
      <c r="GK30" s="114"/>
      <c r="GL30" s="114"/>
      <c r="GM30" s="114"/>
      <c r="GN30" s="114"/>
      <c r="GO30" s="114"/>
      <c r="GP30" s="114"/>
      <c r="GQ30" s="114"/>
      <c r="GR30" s="114"/>
      <c r="GS30" s="114"/>
      <c r="GT30" s="114"/>
      <c r="GU30" s="114"/>
      <c r="GV30" s="114"/>
      <c r="GW30" s="114"/>
      <c r="GX30" s="114"/>
      <c r="GY30" s="114"/>
      <c r="GZ30" s="114"/>
      <c r="HA30" s="114"/>
      <c r="HB30" s="114"/>
      <c r="HC30" s="114"/>
      <c r="HD30" s="114"/>
      <c r="HE30" s="114"/>
      <c r="HF30" s="114"/>
      <c r="HG30" s="114"/>
      <c r="HH30" s="114"/>
      <c r="HI30" s="114"/>
      <c r="HJ30" s="114"/>
      <c r="HK30" s="114"/>
      <c r="HL30" s="114"/>
      <c r="HM30" s="114"/>
      <c r="HN30" s="114"/>
      <c r="HO30" s="114"/>
      <c r="HP30" s="114"/>
      <c r="HQ30" s="114"/>
      <c r="HR30" s="114"/>
      <c r="HS30" s="114"/>
      <c r="HT30" s="114"/>
      <c r="HU30" s="114"/>
      <c r="HV30" s="114"/>
      <c r="HW30" s="114"/>
      <c r="HX30" s="114"/>
      <c r="HY30" s="114"/>
      <c r="HZ30" s="114"/>
      <c r="IA30" s="114"/>
      <c r="IB30" s="114"/>
      <c r="IC30" s="114"/>
      <c r="ID30" s="114"/>
      <c r="IE30" s="114"/>
      <c r="IF30" s="114"/>
      <c r="IG30" s="114"/>
      <c r="IH30" s="114"/>
      <c r="II30" s="114"/>
      <c r="IJ30" s="114"/>
      <c r="IK30" s="114"/>
      <c r="IL30" s="114"/>
    </row>
    <row r="31" s="108" customFormat="1" ht="21" customHeight="1" spans="1:246">
      <c r="A31" s="125">
        <v>21</v>
      </c>
      <c r="B31" s="126">
        <v>44855</v>
      </c>
      <c r="C31" s="126">
        <v>44855</v>
      </c>
      <c r="D31" s="127">
        <v>40314.8</v>
      </c>
      <c r="E31" s="127">
        <v>40311.13</v>
      </c>
      <c r="F31" s="128">
        <v>2188088</v>
      </c>
      <c r="G31" s="129">
        <f t="shared" si="2"/>
        <v>25556959.0278</v>
      </c>
      <c r="H31" s="130">
        <f t="shared" si="5"/>
        <v>-3.67000000000553</v>
      </c>
      <c r="I31" s="130">
        <v>7.2</v>
      </c>
      <c r="J31" s="131">
        <f t="shared" si="1"/>
        <v>15754233.6</v>
      </c>
      <c r="K31" s="124" t="s">
        <v>15</v>
      </c>
      <c r="L31" s="130" t="s">
        <v>16</v>
      </c>
    </row>
    <row r="32" s="106" customFormat="1" ht="21" customHeight="1" spans="1:246">
      <c r="A32" s="132">
        <v>22</v>
      </c>
      <c r="B32" s="133">
        <v>44868</v>
      </c>
      <c r="C32" s="133">
        <v>44868</v>
      </c>
      <c r="D32" s="122">
        <v>18238.1</v>
      </c>
      <c r="E32" s="122">
        <v>18238.1</v>
      </c>
      <c r="F32" s="123">
        <v>929960</v>
      </c>
      <c r="G32" s="117">
        <f t="shared" si="2"/>
        <v>26486919.0278</v>
      </c>
      <c r="H32" s="119">
        <f t="shared" si="5"/>
        <v>0</v>
      </c>
      <c r="I32" s="119">
        <v>7.15</v>
      </c>
      <c r="J32" s="118">
        <f t="shared" si="1"/>
        <v>6649214</v>
      </c>
      <c r="K32" s="124"/>
      <c r="L32" s="119">
        <v>50.99</v>
      </c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14"/>
      <c r="BI32" s="114"/>
      <c r="BJ32" s="114"/>
      <c r="BK32" s="114"/>
      <c r="BL32" s="114"/>
      <c r="BM32" s="114"/>
      <c r="BN32" s="114"/>
      <c r="BO32" s="114"/>
      <c r="BP32" s="114"/>
      <c r="BQ32" s="114"/>
      <c r="BR32" s="114"/>
      <c r="BS32" s="114"/>
      <c r="BT32" s="114"/>
      <c r="BU32" s="114"/>
      <c r="BV32" s="114"/>
      <c r="BW32" s="114"/>
      <c r="BX32" s="114"/>
      <c r="BY32" s="114"/>
      <c r="BZ32" s="114"/>
      <c r="CA32" s="114"/>
      <c r="CB32" s="114"/>
      <c r="CC32" s="114"/>
      <c r="CD32" s="114"/>
      <c r="CE32" s="114"/>
      <c r="CF32" s="114"/>
      <c r="CG32" s="114"/>
      <c r="CH32" s="114"/>
      <c r="CI32" s="114"/>
      <c r="CJ32" s="114"/>
      <c r="CK32" s="114"/>
      <c r="CL32" s="114"/>
      <c r="CM32" s="114"/>
      <c r="CN32" s="114"/>
      <c r="CO32" s="114"/>
      <c r="CP32" s="114"/>
      <c r="CQ32" s="114"/>
      <c r="CR32" s="114"/>
      <c r="CS32" s="114"/>
      <c r="CT32" s="114"/>
      <c r="CU32" s="114"/>
      <c r="CV32" s="114"/>
      <c r="CW32" s="114"/>
      <c r="CX32" s="114"/>
      <c r="CY32" s="114"/>
      <c r="CZ32" s="114"/>
      <c r="DA32" s="114"/>
      <c r="DB32" s="114"/>
      <c r="DC32" s="114"/>
      <c r="DD32" s="114"/>
      <c r="DE32" s="114"/>
      <c r="DF32" s="114"/>
      <c r="DG32" s="114"/>
      <c r="DH32" s="114"/>
      <c r="DI32" s="114"/>
      <c r="DJ32" s="114"/>
      <c r="DK32" s="114"/>
      <c r="DL32" s="114"/>
      <c r="DM32" s="114"/>
      <c r="DN32" s="114"/>
      <c r="DO32" s="114"/>
      <c r="DP32" s="114"/>
      <c r="DQ32" s="114"/>
      <c r="DR32" s="114"/>
      <c r="DS32" s="114"/>
      <c r="DT32" s="114"/>
      <c r="DU32" s="114"/>
      <c r="DV32" s="114"/>
      <c r="DW32" s="114"/>
      <c r="DX32" s="114"/>
      <c r="DY32" s="114"/>
      <c r="DZ32" s="114"/>
      <c r="EA32" s="114"/>
      <c r="EB32" s="114"/>
      <c r="EC32" s="114"/>
      <c r="ED32" s="114"/>
      <c r="EE32" s="114"/>
      <c r="EF32" s="114"/>
      <c r="EG32" s="114"/>
      <c r="EH32" s="114"/>
      <c r="EI32" s="114"/>
      <c r="EJ32" s="114"/>
      <c r="EK32" s="114"/>
      <c r="EL32" s="114"/>
      <c r="EM32" s="114"/>
      <c r="EN32" s="114"/>
      <c r="EO32" s="114"/>
      <c r="EP32" s="114"/>
      <c r="EQ32" s="114"/>
      <c r="ER32" s="114"/>
      <c r="ES32" s="114"/>
      <c r="ET32" s="114"/>
      <c r="EU32" s="114"/>
      <c r="EV32" s="114"/>
      <c r="EW32" s="114"/>
      <c r="EX32" s="114"/>
      <c r="EY32" s="114"/>
      <c r="EZ32" s="114"/>
      <c r="FA32" s="114"/>
      <c r="FB32" s="114"/>
      <c r="FC32" s="114"/>
      <c r="FD32" s="114"/>
      <c r="FE32" s="114"/>
      <c r="FF32" s="114"/>
      <c r="FG32" s="114"/>
      <c r="FH32" s="114"/>
      <c r="FI32" s="114"/>
      <c r="FJ32" s="114"/>
      <c r="FK32" s="114"/>
      <c r="FL32" s="114"/>
      <c r="FM32" s="114"/>
      <c r="FN32" s="114"/>
      <c r="FO32" s="114"/>
      <c r="FP32" s="114"/>
      <c r="FQ32" s="114"/>
      <c r="FR32" s="114"/>
      <c r="FS32" s="114"/>
      <c r="FT32" s="114"/>
      <c r="FU32" s="114"/>
      <c r="FV32" s="114"/>
      <c r="FW32" s="114"/>
      <c r="FX32" s="114"/>
      <c r="FY32" s="114"/>
      <c r="FZ32" s="114"/>
      <c r="GA32" s="114"/>
      <c r="GB32" s="114"/>
      <c r="GC32" s="114"/>
      <c r="GD32" s="114"/>
      <c r="GE32" s="114"/>
      <c r="GF32" s="114"/>
      <c r="GG32" s="114"/>
      <c r="GH32" s="114"/>
      <c r="GI32" s="114"/>
      <c r="GJ32" s="114"/>
      <c r="GK32" s="114"/>
      <c r="GL32" s="114"/>
      <c r="GM32" s="114"/>
      <c r="GN32" s="114"/>
      <c r="GO32" s="114"/>
      <c r="GP32" s="114"/>
      <c r="GQ32" s="114"/>
      <c r="GR32" s="114"/>
      <c r="GS32" s="114"/>
      <c r="GT32" s="114"/>
      <c r="GU32" s="114"/>
      <c r="GV32" s="114"/>
      <c r="GW32" s="114"/>
      <c r="GX32" s="114"/>
      <c r="GY32" s="114"/>
      <c r="GZ32" s="114"/>
      <c r="HA32" s="114"/>
      <c r="HB32" s="114"/>
      <c r="HC32" s="114"/>
      <c r="HD32" s="114"/>
      <c r="HE32" s="114"/>
      <c r="HF32" s="114"/>
      <c r="HG32" s="114"/>
      <c r="HH32" s="114"/>
      <c r="HI32" s="114"/>
      <c r="HJ32" s="114"/>
      <c r="HK32" s="114"/>
      <c r="HL32" s="114"/>
      <c r="HM32" s="114"/>
      <c r="HN32" s="114"/>
      <c r="HO32" s="114"/>
      <c r="HP32" s="114"/>
      <c r="HQ32" s="114"/>
      <c r="HR32" s="114"/>
      <c r="HS32" s="114"/>
      <c r="HT32" s="114"/>
      <c r="HU32" s="114"/>
      <c r="HV32" s="114"/>
      <c r="HW32" s="114"/>
      <c r="HX32" s="114"/>
      <c r="HY32" s="114"/>
      <c r="HZ32" s="114"/>
      <c r="IA32" s="114"/>
      <c r="IB32" s="114"/>
      <c r="IC32" s="114"/>
      <c r="ID32" s="114"/>
      <c r="IE32" s="114"/>
      <c r="IF32" s="114"/>
      <c r="IG32" s="114"/>
      <c r="IH32" s="114"/>
      <c r="II32" s="114"/>
      <c r="IJ32" s="114"/>
      <c r="IK32" s="114"/>
      <c r="IL32" s="114"/>
    </row>
    <row r="33" s="106" customFormat="1" ht="21" customHeight="1" spans="1:246">
      <c r="A33" s="132">
        <v>23</v>
      </c>
      <c r="B33" s="121">
        <v>44886</v>
      </c>
      <c r="C33" s="116">
        <v>44886</v>
      </c>
      <c r="D33" s="122">
        <v>13336.31</v>
      </c>
      <c r="E33" s="122">
        <v>13336.31</v>
      </c>
      <c r="F33" s="123">
        <v>727058</v>
      </c>
      <c r="G33" s="117">
        <f t="shared" si="2"/>
        <v>27213977.0278</v>
      </c>
      <c r="H33" s="119">
        <v>0</v>
      </c>
      <c r="I33" s="119">
        <v>7.1</v>
      </c>
      <c r="J33" s="118">
        <f t="shared" si="1"/>
        <v>5162111.8</v>
      </c>
      <c r="K33" s="119" t="s">
        <v>13</v>
      </c>
      <c r="L33" s="119">
        <v>56.03</v>
      </c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4"/>
      <c r="BF33" s="114"/>
      <c r="BG33" s="114"/>
      <c r="BH33" s="114"/>
      <c r="BI33" s="114"/>
      <c r="BJ33" s="114"/>
      <c r="BK33" s="114"/>
      <c r="BL33" s="114"/>
      <c r="BM33" s="114"/>
      <c r="BN33" s="114"/>
      <c r="BO33" s="114"/>
      <c r="BP33" s="114"/>
      <c r="BQ33" s="114"/>
      <c r="BR33" s="114"/>
      <c r="BS33" s="114"/>
      <c r="BT33" s="114"/>
      <c r="BU33" s="114"/>
      <c r="BV33" s="114"/>
      <c r="BW33" s="114"/>
      <c r="BX33" s="114"/>
      <c r="BY33" s="114"/>
      <c r="BZ33" s="114"/>
      <c r="CA33" s="114"/>
      <c r="CB33" s="114"/>
      <c r="CC33" s="114"/>
      <c r="CD33" s="114"/>
      <c r="CE33" s="114"/>
      <c r="CF33" s="114"/>
      <c r="CG33" s="114"/>
      <c r="CH33" s="114"/>
      <c r="CI33" s="114"/>
      <c r="CJ33" s="114"/>
      <c r="CK33" s="114"/>
      <c r="CL33" s="114"/>
      <c r="CM33" s="114"/>
      <c r="CN33" s="114"/>
      <c r="CO33" s="114"/>
      <c r="CP33" s="114"/>
      <c r="CQ33" s="114"/>
      <c r="CR33" s="114"/>
      <c r="CS33" s="114"/>
      <c r="CT33" s="114"/>
      <c r="CU33" s="114"/>
      <c r="CV33" s="114"/>
      <c r="CW33" s="114"/>
      <c r="CX33" s="114"/>
      <c r="CY33" s="114"/>
      <c r="CZ33" s="114"/>
      <c r="DA33" s="114"/>
      <c r="DB33" s="114"/>
      <c r="DC33" s="114"/>
      <c r="DD33" s="114"/>
      <c r="DE33" s="114"/>
      <c r="DF33" s="114"/>
      <c r="DG33" s="114"/>
      <c r="DH33" s="114"/>
      <c r="DI33" s="114"/>
      <c r="DJ33" s="114"/>
      <c r="DK33" s="114"/>
      <c r="DL33" s="114"/>
      <c r="DM33" s="114"/>
      <c r="DN33" s="114"/>
      <c r="DO33" s="114"/>
      <c r="DP33" s="114"/>
      <c r="DQ33" s="114"/>
      <c r="DR33" s="114"/>
      <c r="DS33" s="114"/>
      <c r="DT33" s="114"/>
      <c r="DU33" s="114"/>
      <c r="DV33" s="114"/>
      <c r="DW33" s="114"/>
      <c r="DX33" s="114"/>
      <c r="DY33" s="114"/>
      <c r="DZ33" s="114"/>
      <c r="EA33" s="114"/>
      <c r="EB33" s="114"/>
      <c r="EC33" s="114"/>
      <c r="ED33" s="114"/>
      <c r="EE33" s="114"/>
      <c r="EF33" s="114"/>
      <c r="EG33" s="114"/>
      <c r="EH33" s="114"/>
      <c r="EI33" s="114"/>
      <c r="EJ33" s="114"/>
      <c r="EK33" s="114"/>
      <c r="EL33" s="114"/>
      <c r="EM33" s="114"/>
      <c r="EN33" s="114"/>
      <c r="EO33" s="114"/>
      <c r="EP33" s="114"/>
      <c r="EQ33" s="114"/>
      <c r="ER33" s="114"/>
      <c r="ES33" s="114"/>
      <c r="ET33" s="114"/>
      <c r="EU33" s="114"/>
      <c r="EV33" s="114"/>
      <c r="EW33" s="114"/>
      <c r="EX33" s="114"/>
      <c r="EY33" s="114"/>
      <c r="EZ33" s="114"/>
      <c r="FA33" s="114"/>
      <c r="FB33" s="114"/>
      <c r="FC33" s="114"/>
      <c r="FD33" s="114"/>
      <c r="FE33" s="114"/>
      <c r="FF33" s="114"/>
      <c r="FG33" s="114"/>
      <c r="FH33" s="114"/>
      <c r="FI33" s="114"/>
      <c r="FJ33" s="114"/>
      <c r="FK33" s="114"/>
      <c r="FL33" s="114"/>
      <c r="FM33" s="114"/>
      <c r="FN33" s="114"/>
      <c r="FO33" s="114"/>
      <c r="FP33" s="114"/>
      <c r="FQ33" s="114"/>
      <c r="FR33" s="114"/>
      <c r="FS33" s="114"/>
      <c r="FT33" s="114"/>
      <c r="FU33" s="114"/>
      <c r="FV33" s="114"/>
      <c r="FW33" s="114"/>
      <c r="FX33" s="114"/>
      <c r="FY33" s="114"/>
      <c r="FZ33" s="114"/>
      <c r="GA33" s="114"/>
      <c r="GB33" s="114"/>
      <c r="GC33" s="114"/>
      <c r="GD33" s="114"/>
      <c r="GE33" s="114"/>
      <c r="GF33" s="114"/>
      <c r="GG33" s="114"/>
      <c r="GH33" s="114"/>
      <c r="GI33" s="114"/>
      <c r="GJ33" s="114"/>
      <c r="GK33" s="114"/>
      <c r="GL33" s="114"/>
      <c r="GM33" s="114"/>
      <c r="GN33" s="114"/>
      <c r="GO33" s="114"/>
      <c r="GP33" s="114"/>
      <c r="GQ33" s="114"/>
      <c r="GR33" s="114"/>
      <c r="GS33" s="114"/>
      <c r="GT33" s="114"/>
      <c r="GU33" s="114"/>
      <c r="GV33" s="114"/>
      <c r="GW33" s="114"/>
      <c r="GX33" s="114"/>
      <c r="GY33" s="114"/>
      <c r="GZ33" s="114"/>
      <c r="HA33" s="114"/>
      <c r="HB33" s="114"/>
      <c r="HC33" s="114"/>
      <c r="HD33" s="114"/>
      <c r="HE33" s="114"/>
      <c r="HF33" s="114"/>
      <c r="HG33" s="114"/>
      <c r="HH33" s="114"/>
      <c r="HI33" s="114"/>
      <c r="HJ33" s="114"/>
      <c r="HK33" s="114"/>
      <c r="HL33" s="114"/>
      <c r="HM33" s="114"/>
      <c r="HN33" s="114"/>
      <c r="HO33" s="114"/>
      <c r="HP33" s="114"/>
      <c r="HQ33" s="114"/>
      <c r="HR33" s="114"/>
      <c r="HS33" s="114"/>
      <c r="HT33" s="114"/>
      <c r="HU33" s="114"/>
      <c r="HV33" s="114"/>
      <c r="HW33" s="114"/>
      <c r="HX33" s="114"/>
      <c r="HY33" s="114"/>
      <c r="HZ33" s="114"/>
      <c r="IA33" s="114"/>
      <c r="IB33" s="114"/>
      <c r="IC33" s="114"/>
      <c r="ID33" s="114"/>
      <c r="IE33" s="114"/>
      <c r="IF33" s="114"/>
      <c r="IG33" s="114"/>
      <c r="IH33" s="114"/>
      <c r="II33" s="114"/>
      <c r="IJ33" s="114"/>
      <c r="IK33" s="114"/>
      <c r="IL33" s="114"/>
    </row>
    <row r="34" s="106" customFormat="1" ht="21" customHeight="1" spans="1:246">
      <c r="A34" s="132">
        <v>24</v>
      </c>
      <c r="B34" s="121">
        <v>44894</v>
      </c>
      <c r="C34" s="121">
        <v>44894</v>
      </c>
      <c r="D34" s="122">
        <v>20302.66</v>
      </c>
      <c r="E34" s="122">
        <v>20302.66</v>
      </c>
      <c r="F34" s="123">
        <v>1100810</v>
      </c>
      <c r="G34" s="117">
        <f t="shared" si="2"/>
        <v>28314787.0278</v>
      </c>
      <c r="H34" s="119">
        <v>0</v>
      </c>
      <c r="I34" s="119">
        <v>7</v>
      </c>
      <c r="J34" s="118">
        <f t="shared" si="1"/>
        <v>7705670</v>
      </c>
      <c r="K34" s="124" t="s">
        <v>15</v>
      </c>
      <c r="L34" s="119">
        <v>54.22</v>
      </c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4"/>
      <c r="BF34" s="114"/>
      <c r="BG34" s="114"/>
      <c r="BH34" s="114"/>
      <c r="BI34" s="114"/>
      <c r="BJ34" s="114"/>
      <c r="BK34" s="114"/>
      <c r="BL34" s="114"/>
      <c r="BM34" s="114"/>
      <c r="BN34" s="114"/>
      <c r="BO34" s="114"/>
      <c r="BP34" s="114"/>
      <c r="BQ34" s="114"/>
      <c r="BR34" s="114"/>
      <c r="BS34" s="114"/>
      <c r="BT34" s="114"/>
      <c r="BU34" s="114"/>
      <c r="BV34" s="114"/>
      <c r="BW34" s="114"/>
      <c r="BX34" s="114"/>
      <c r="BY34" s="114"/>
      <c r="BZ34" s="114"/>
      <c r="CA34" s="114"/>
      <c r="CB34" s="114"/>
      <c r="CC34" s="114"/>
      <c r="CD34" s="114"/>
      <c r="CE34" s="114"/>
      <c r="CF34" s="114"/>
      <c r="CG34" s="114"/>
      <c r="CH34" s="114"/>
      <c r="CI34" s="114"/>
      <c r="CJ34" s="114"/>
      <c r="CK34" s="114"/>
      <c r="CL34" s="114"/>
      <c r="CM34" s="114"/>
      <c r="CN34" s="114"/>
      <c r="CO34" s="114"/>
      <c r="CP34" s="114"/>
      <c r="CQ34" s="114"/>
      <c r="CR34" s="114"/>
      <c r="CS34" s="114"/>
      <c r="CT34" s="114"/>
      <c r="CU34" s="114"/>
      <c r="CV34" s="114"/>
      <c r="CW34" s="114"/>
      <c r="CX34" s="114"/>
      <c r="CY34" s="114"/>
      <c r="CZ34" s="114"/>
      <c r="DA34" s="114"/>
      <c r="DB34" s="114"/>
      <c r="DC34" s="114"/>
      <c r="DD34" s="114"/>
      <c r="DE34" s="114"/>
      <c r="DF34" s="114"/>
      <c r="DG34" s="114"/>
      <c r="DH34" s="114"/>
      <c r="DI34" s="114"/>
      <c r="DJ34" s="114"/>
      <c r="DK34" s="114"/>
      <c r="DL34" s="114"/>
      <c r="DM34" s="114"/>
      <c r="DN34" s="114"/>
      <c r="DO34" s="114"/>
      <c r="DP34" s="114"/>
      <c r="DQ34" s="114"/>
      <c r="DR34" s="114"/>
      <c r="DS34" s="114"/>
      <c r="DT34" s="114"/>
      <c r="DU34" s="114"/>
      <c r="DV34" s="114"/>
      <c r="DW34" s="114"/>
      <c r="DX34" s="114"/>
      <c r="DY34" s="114"/>
      <c r="DZ34" s="114"/>
      <c r="EA34" s="114"/>
      <c r="EB34" s="114"/>
      <c r="EC34" s="114"/>
      <c r="ED34" s="114"/>
      <c r="EE34" s="114"/>
      <c r="EF34" s="114"/>
      <c r="EG34" s="114"/>
      <c r="EH34" s="114"/>
      <c r="EI34" s="114"/>
      <c r="EJ34" s="114"/>
      <c r="EK34" s="114"/>
      <c r="EL34" s="114"/>
      <c r="EM34" s="114"/>
      <c r="EN34" s="114"/>
      <c r="EO34" s="114"/>
      <c r="EP34" s="114"/>
      <c r="EQ34" s="114"/>
      <c r="ER34" s="114"/>
      <c r="ES34" s="114"/>
      <c r="ET34" s="114"/>
      <c r="EU34" s="114"/>
      <c r="EV34" s="114"/>
      <c r="EW34" s="114"/>
      <c r="EX34" s="114"/>
      <c r="EY34" s="114"/>
      <c r="EZ34" s="114"/>
      <c r="FA34" s="114"/>
      <c r="FB34" s="114"/>
      <c r="FC34" s="114"/>
      <c r="FD34" s="114"/>
      <c r="FE34" s="114"/>
      <c r="FF34" s="114"/>
      <c r="FG34" s="114"/>
      <c r="FH34" s="114"/>
      <c r="FI34" s="114"/>
      <c r="FJ34" s="114"/>
      <c r="FK34" s="114"/>
      <c r="FL34" s="114"/>
      <c r="FM34" s="114"/>
      <c r="FN34" s="114"/>
      <c r="FO34" s="114"/>
      <c r="FP34" s="114"/>
      <c r="FQ34" s="114"/>
      <c r="FR34" s="114"/>
      <c r="FS34" s="114"/>
      <c r="FT34" s="114"/>
      <c r="FU34" s="114"/>
      <c r="FV34" s="114"/>
      <c r="FW34" s="114"/>
      <c r="FX34" s="114"/>
      <c r="FY34" s="114"/>
      <c r="FZ34" s="114"/>
      <c r="GA34" s="114"/>
      <c r="GB34" s="114"/>
      <c r="GC34" s="114"/>
      <c r="GD34" s="114"/>
      <c r="GE34" s="114"/>
      <c r="GF34" s="114"/>
      <c r="GG34" s="114"/>
      <c r="GH34" s="114"/>
      <c r="GI34" s="114"/>
      <c r="GJ34" s="114"/>
      <c r="GK34" s="114"/>
      <c r="GL34" s="114"/>
      <c r="GM34" s="114"/>
      <c r="GN34" s="114"/>
      <c r="GO34" s="114"/>
      <c r="GP34" s="114"/>
      <c r="GQ34" s="114"/>
      <c r="GR34" s="114"/>
      <c r="GS34" s="114"/>
      <c r="GT34" s="114"/>
      <c r="GU34" s="114"/>
      <c r="GV34" s="114"/>
      <c r="GW34" s="114"/>
      <c r="GX34" s="114"/>
      <c r="GY34" s="114"/>
      <c r="GZ34" s="114"/>
      <c r="HA34" s="114"/>
      <c r="HB34" s="114"/>
      <c r="HC34" s="114"/>
      <c r="HD34" s="114"/>
      <c r="HE34" s="114"/>
      <c r="HF34" s="114"/>
      <c r="HG34" s="114"/>
      <c r="HH34" s="114"/>
      <c r="HI34" s="114"/>
      <c r="HJ34" s="114"/>
      <c r="HK34" s="114"/>
      <c r="HL34" s="114"/>
      <c r="HM34" s="114"/>
      <c r="HN34" s="114"/>
      <c r="HO34" s="114"/>
      <c r="HP34" s="114"/>
      <c r="HQ34" s="114"/>
      <c r="HR34" s="114"/>
      <c r="HS34" s="114"/>
      <c r="HT34" s="114"/>
      <c r="HU34" s="114"/>
      <c r="HV34" s="114"/>
      <c r="HW34" s="114"/>
      <c r="HX34" s="114"/>
      <c r="HY34" s="114"/>
      <c r="HZ34" s="114"/>
      <c r="IA34" s="114"/>
      <c r="IB34" s="114"/>
      <c r="IC34" s="114"/>
      <c r="ID34" s="114"/>
      <c r="IE34" s="114"/>
      <c r="IF34" s="114"/>
      <c r="IG34" s="114"/>
      <c r="IH34" s="114"/>
      <c r="II34" s="114"/>
      <c r="IJ34" s="114"/>
      <c r="IK34" s="114"/>
      <c r="IL34" s="114"/>
    </row>
    <row r="35" s="106" customFormat="1" ht="21" customHeight="1" spans="1:246">
      <c r="A35" s="132">
        <v>25</v>
      </c>
      <c r="B35" s="121">
        <v>44894</v>
      </c>
      <c r="C35" s="121">
        <v>44894</v>
      </c>
      <c r="D35" s="122">
        <v>26469.54</v>
      </c>
      <c r="E35" s="122">
        <v>26469.54</v>
      </c>
      <c r="F35" s="123">
        <v>1450025</v>
      </c>
      <c r="G35" s="117">
        <f t="shared" si="2"/>
        <v>29764812.0278</v>
      </c>
      <c r="H35" s="119">
        <v>0</v>
      </c>
      <c r="I35" s="119">
        <v>7</v>
      </c>
      <c r="J35" s="118">
        <f t="shared" si="1"/>
        <v>10150175</v>
      </c>
      <c r="K35" s="119" t="s">
        <v>13</v>
      </c>
      <c r="L35" s="119">
        <v>54.7809</v>
      </c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  <c r="BJ35" s="114"/>
      <c r="BK35" s="114"/>
      <c r="BL35" s="114"/>
      <c r="BM35" s="114"/>
      <c r="BN35" s="114"/>
      <c r="BO35" s="114"/>
      <c r="BP35" s="114"/>
      <c r="BQ35" s="114"/>
      <c r="BR35" s="114"/>
      <c r="BS35" s="114"/>
      <c r="BT35" s="114"/>
      <c r="BU35" s="114"/>
      <c r="BV35" s="114"/>
      <c r="BW35" s="114"/>
      <c r="BX35" s="114"/>
      <c r="BY35" s="114"/>
      <c r="BZ35" s="114"/>
      <c r="CA35" s="114"/>
      <c r="CB35" s="114"/>
      <c r="CC35" s="114"/>
      <c r="CD35" s="114"/>
      <c r="CE35" s="114"/>
      <c r="CF35" s="114"/>
      <c r="CG35" s="114"/>
      <c r="CH35" s="114"/>
      <c r="CI35" s="114"/>
      <c r="CJ35" s="114"/>
      <c r="CK35" s="114"/>
      <c r="CL35" s="114"/>
      <c r="CM35" s="114"/>
      <c r="CN35" s="114"/>
      <c r="CO35" s="114"/>
      <c r="CP35" s="114"/>
      <c r="CQ35" s="114"/>
      <c r="CR35" s="114"/>
      <c r="CS35" s="114"/>
      <c r="CT35" s="114"/>
      <c r="CU35" s="114"/>
      <c r="CV35" s="114"/>
      <c r="CW35" s="114"/>
      <c r="CX35" s="114"/>
      <c r="CY35" s="114"/>
      <c r="CZ35" s="114"/>
      <c r="DA35" s="114"/>
      <c r="DB35" s="114"/>
      <c r="DC35" s="114"/>
      <c r="DD35" s="114"/>
      <c r="DE35" s="114"/>
      <c r="DF35" s="114"/>
      <c r="DG35" s="114"/>
      <c r="DH35" s="114"/>
      <c r="DI35" s="114"/>
      <c r="DJ35" s="114"/>
      <c r="DK35" s="114"/>
      <c r="DL35" s="114"/>
      <c r="DM35" s="114"/>
      <c r="DN35" s="114"/>
      <c r="DO35" s="114"/>
      <c r="DP35" s="114"/>
      <c r="DQ35" s="114"/>
      <c r="DR35" s="114"/>
      <c r="DS35" s="114"/>
      <c r="DT35" s="114"/>
      <c r="DU35" s="114"/>
      <c r="DV35" s="114"/>
      <c r="DW35" s="114"/>
      <c r="DX35" s="114"/>
      <c r="DY35" s="114"/>
      <c r="DZ35" s="114"/>
      <c r="EA35" s="114"/>
      <c r="EB35" s="114"/>
      <c r="EC35" s="114"/>
      <c r="ED35" s="114"/>
      <c r="EE35" s="114"/>
      <c r="EF35" s="114"/>
      <c r="EG35" s="114"/>
      <c r="EH35" s="114"/>
      <c r="EI35" s="114"/>
      <c r="EJ35" s="114"/>
      <c r="EK35" s="114"/>
      <c r="EL35" s="114"/>
      <c r="EM35" s="114"/>
      <c r="EN35" s="114"/>
      <c r="EO35" s="114"/>
      <c r="EP35" s="114"/>
      <c r="EQ35" s="114"/>
      <c r="ER35" s="114"/>
      <c r="ES35" s="114"/>
      <c r="ET35" s="114"/>
      <c r="EU35" s="114"/>
      <c r="EV35" s="114"/>
      <c r="EW35" s="114"/>
      <c r="EX35" s="114"/>
      <c r="EY35" s="114"/>
      <c r="EZ35" s="114"/>
      <c r="FA35" s="114"/>
      <c r="FB35" s="114"/>
      <c r="FC35" s="114"/>
      <c r="FD35" s="114"/>
      <c r="FE35" s="114"/>
      <c r="FF35" s="114"/>
      <c r="FG35" s="114"/>
      <c r="FH35" s="114"/>
      <c r="FI35" s="114"/>
      <c r="FJ35" s="114"/>
      <c r="FK35" s="114"/>
      <c r="FL35" s="114"/>
      <c r="FM35" s="114"/>
      <c r="FN35" s="114"/>
      <c r="FO35" s="114"/>
      <c r="FP35" s="114"/>
      <c r="FQ35" s="114"/>
      <c r="FR35" s="114"/>
      <c r="FS35" s="114"/>
      <c r="FT35" s="114"/>
      <c r="FU35" s="114"/>
      <c r="FV35" s="114"/>
      <c r="FW35" s="114"/>
      <c r="FX35" s="114"/>
      <c r="FY35" s="114"/>
      <c r="FZ35" s="114"/>
      <c r="GA35" s="114"/>
      <c r="GB35" s="114"/>
      <c r="GC35" s="114"/>
      <c r="GD35" s="114"/>
      <c r="GE35" s="114"/>
      <c r="GF35" s="114"/>
      <c r="GG35" s="114"/>
      <c r="GH35" s="114"/>
      <c r="GI35" s="114"/>
      <c r="GJ35" s="114"/>
      <c r="GK35" s="114"/>
      <c r="GL35" s="114"/>
      <c r="GM35" s="114"/>
      <c r="GN35" s="114"/>
      <c r="GO35" s="114"/>
      <c r="GP35" s="114"/>
      <c r="GQ35" s="114"/>
      <c r="GR35" s="114"/>
      <c r="GS35" s="114"/>
      <c r="GT35" s="114"/>
      <c r="GU35" s="114"/>
      <c r="GV35" s="114"/>
      <c r="GW35" s="114"/>
      <c r="GX35" s="114"/>
      <c r="GY35" s="114"/>
      <c r="GZ35" s="114"/>
      <c r="HA35" s="114"/>
      <c r="HB35" s="114"/>
      <c r="HC35" s="114"/>
      <c r="HD35" s="114"/>
      <c r="HE35" s="114"/>
      <c r="HF35" s="114"/>
      <c r="HG35" s="114"/>
      <c r="HH35" s="114"/>
      <c r="HI35" s="114"/>
      <c r="HJ35" s="114"/>
      <c r="HK35" s="114"/>
      <c r="HL35" s="114"/>
      <c r="HM35" s="114"/>
      <c r="HN35" s="114"/>
      <c r="HO35" s="114"/>
      <c r="HP35" s="114"/>
      <c r="HQ35" s="114"/>
      <c r="HR35" s="114"/>
      <c r="HS35" s="114"/>
      <c r="HT35" s="114"/>
      <c r="HU35" s="114"/>
      <c r="HV35" s="114"/>
      <c r="HW35" s="114"/>
      <c r="HX35" s="114"/>
      <c r="HY35" s="114"/>
      <c r="HZ35" s="114"/>
      <c r="IA35" s="114"/>
      <c r="IB35" s="114"/>
      <c r="IC35" s="114"/>
      <c r="ID35" s="114"/>
      <c r="IE35" s="114"/>
      <c r="IF35" s="114"/>
      <c r="IG35" s="114"/>
      <c r="IH35" s="114"/>
      <c r="II35" s="114"/>
      <c r="IJ35" s="114"/>
      <c r="IK35" s="114"/>
      <c r="IL35" s="114"/>
    </row>
    <row r="36" s="106" customFormat="1" ht="21" customHeight="1" spans="1:246">
      <c r="A36" s="132">
        <v>26</v>
      </c>
      <c r="B36" s="121">
        <v>44903</v>
      </c>
      <c r="C36" s="121">
        <v>44903</v>
      </c>
      <c r="D36" s="122">
        <v>6874.47</v>
      </c>
      <c r="E36" s="122">
        <v>6874.47</v>
      </c>
      <c r="F36" s="123">
        <v>380570</v>
      </c>
      <c r="G36" s="117">
        <f t="shared" si="2"/>
        <v>30145382.0278</v>
      </c>
      <c r="H36" s="119">
        <f>E36-D36</f>
        <v>0</v>
      </c>
      <c r="I36" s="119">
        <v>6.8</v>
      </c>
      <c r="J36" s="118">
        <f t="shared" si="1"/>
        <v>2587876</v>
      </c>
      <c r="K36" s="119" t="s">
        <v>13</v>
      </c>
      <c r="L36" s="119">
        <v>55.36</v>
      </c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4"/>
      <c r="BK36" s="114"/>
      <c r="BL36" s="114"/>
      <c r="BM36" s="114"/>
      <c r="BN36" s="114"/>
      <c r="BO36" s="114"/>
      <c r="BP36" s="114"/>
      <c r="BQ36" s="114"/>
      <c r="BR36" s="114"/>
      <c r="BS36" s="114"/>
      <c r="BT36" s="114"/>
      <c r="BU36" s="114"/>
      <c r="BV36" s="114"/>
      <c r="BW36" s="114"/>
      <c r="BX36" s="114"/>
      <c r="BY36" s="114"/>
      <c r="BZ36" s="114"/>
      <c r="CA36" s="114"/>
      <c r="CB36" s="114"/>
      <c r="CC36" s="114"/>
      <c r="CD36" s="114"/>
      <c r="CE36" s="114"/>
      <c r="CF36" s="114"/>
      <c r="CG36" s="114"/>
      <c r="CH36" s="114"/>
      <c r="CI36" s="114"/>
      <c r="CJ36" s="114"/>
      <c r="CK36" s="114"/>
      <c r="CL36" s="114"/>
      <c r="CM36" s="114"/>
      <c r="CN36" s="114"/>
      <c r="CO36" s="114"/>
      <c r="CP36" s="114"/>
      <c r="CQ36" s="114"/>
      <c r="CR36" s="114"/>
      <c r="CS36" s="114"/>
      <c r="CT36" s="114"/>
      <c r="CU36" s="114"/>
      <c r="CV36" s="114"/>
      <c r="CW36" s="114"/>
      <c r="CX36" s="114"/>
      <c r="CY36" s="114"/>
      <c r="CZ36" s="114"/>
      <c r="DA36" s="114"/>
      <c r="DB36" s="114"/>
      <c r="DC36" s="114"/>
      <c r="DD36" s="114"/>
      <c r="DE36" s="114"/>
      <c r="DF36" s="114"/>
      <c r="DG36" s="114"/>
      <c r="DH36" s="114"/>
      <c r="DI36" s="114"/>
      <c r="DJ36" s="114"/>
      <c r="DK36" s="114"/>
      <c r="DL36" s="114"/>
      <c r="DM36" s="114"/>
      <c r="DN36" s="114"/>
      <c r="DO36" s="114"/>
      <c r="DP36" s="114"/>
      <c r="DQ36" s="114"/>
      <c r="DR36" s="114"/>
      <c r="DS36" s="114"/>
      <c r="DT36" s="114"/>
      <c r="DU36" s="114"/>
      <c r="DV36" s="114"/>
      <c r="DW36" s="114"/>
      <c r="DX36" s="114"/>
      <c r="DY36" s="114"/>
      <c r="DZ36" s="114"/>
      <c r="EA36" s="114"/>
      <c r="EB36" s="114"/>
      <c r="EC36" s="114"/>
      <c r="ED36" s="114"/>
      <c r="EE36" s="114"/>
      <c r="EF36" s="114"/>
      <c r="EG36" s="114"/>
      <c r="EH36" s="114"/>
      <c r="EI36" s="114"/>
      <c r="EJ36" s="114"/>
      <c r="EK36" s="114"/>
      <c r="EL36" s="114"/>
      <c r="EM36" s="114"/>
      <c r="EN36" s="114"/>
      <c r="EO36" s="114"/>
      <c r="EP36" s="114"/>
      <c r="EQ36" s="114"/>
      <c r="ER36" s="114"/>
      <c r="ES36" s="114"/>
      <c r="ET36" s="114"/>
      <c r="EU36" s="114"/>
      <c r="EV36" s="114"/>
      <c r="EW36" s="114"/>
      <c r="EX36" s="114"/>
      <c r="EY36" s="114"/>
      <c r="EZ36" s="114"/>
      <c r="FA36" s="114"/>
      <c r="FB36" s="114"/>
      <c r="FC36" s="114"/>
      <c r="FD36" s="114"/>
      <c r="FE36" s="114"/>
      <c r="FF36" s="114"/>
      <c r="FG36" s="114"/>
      <c r="FH36" s="114"/>
      <c r="FI36" s="114"/>
      <c r="FJ36" s="114"/>
      <c r="FK36" s="114"/>
      <c r="FL36" s="114"/>
      <c r="FM36" s="114"/>
      <c r="FN36" s="114"/>
      <c r="FO36" s="114"/>
      <c r="FP36" s="114"/>
      <c r="FQ36" s="114"/>
      <c r="FR36" s="114"/>
      <c r="FS36" s="114"/>
      <c r="FT36" s="114"/>
      <c r="FU36" s="114"/>
      <c r="FV36" s="114"/>
      <c r="FW36" s="114"/>
      <c r="FX36" s="114"/>
      <c r="FY36" s="114"/>
      <c r="FZ36" s="114"/>
      <c r="GA36" s="114"/>
      <c r="GB36" s="114"/>
      <c r="GC36" s="114"/>
      <c r="GD36" s="114"/>
      <c r="GE36" s="114"/>
      <c r="GF36" s="114"/>
      <c r="GG36" s="114"/>
      <c r="GH36" s="114"/>
      <c r="GI36" s="114"/>
      <c r="GJ36" s="114"/>
      <c r="GK36" s="114"/>
      <c r="GL36" s="114"/>
      <c r="GM36" s="114"/>
      <c r="GN36" s="114"/>
      <c r="GO36" s="114"/>
      <c r="GP36" s="114"/>
      <c r="GQ36" s="114"/>
      <c r="GR36" s="114"/>
      <c r="GS36" s="114"/>
      <c r="GT36" s="114"/>
      <c r="GU36" s="114"/>
      <c r="GV36" s="114"/>
      <c r="GW36" s="114"/>
      <c r="GX36" s="114"/>
      <c r="GY36" s="114"/>
      <c r="GZ36" s="114"/>
      <c r="HA36" s="114"/>
      <c r="HB36" s="114"/>
      <c r="HC36" s="114"/>
      <c r="HD36" s="114"/>
      <c r="HE36" s="114"/>
      <c r="HF36" s="114"/>
      <c r="HG36" s="114"/>
      <c r="HH36" s="114"/>
      <c r="HI36" s="114"/>
      <c r="HJ36" s="114"/>
      <c r="HK36" s="114"/>
      <c r="HL36" s="114"/>
      <c r="HM36" s="114"/>
      <c r="HN36" s="114"/>
      <c r="HO36" s="114"/>
      <c r="HP36" s="114"/>
      <c r="HQ36" s="114"/>
      <c r="HR36" s="114"/>
      <c r="HS36" s="114"/>
      <c r="HT36" s="114"/>
      <c r="HU36" s="114"/>
      <c r="HV36" s="114"/>
      <c r="HW36" s="114"/>
      <c r="HX36" s="114"/>
      <c r="HY36" s="114"/>
      <c r="HZ36" s="114"/>
      <c r="IA36" s="114"/>
      <c r="IB36" s="114"/>
      <c r="IC36" s="114"/>
      <c r="ID36" s="114"/>
      <c r="IE36" s="114"/>
      <c r="IF36" s="114"/>
      <c r="IG36" s="114"/>
      <c r="IH36" s="114"/>
      <c r="II36" s="114"/>
      <c r="IJ36" s="114"/>
      <c r="IK36" s="114"/>
      <c r="IL36" s="114"/>
    </row>
  </sheetData>
  <mergeCells count="10">
    <mergeCell ref="A1:G1"/>
    <mergeCell ref="A24:A26"/>
    <mergeCell ref="A27:A28"/>
    <mergeCell ref="A29:A30"/>
    <mergeCell ref="B24:B26"/>
    <mergeCell ref="B27:B28"/>
    <mergeCell ref="B29:B30"/>
    <mergeCell ref="C27:C28"/>
    <mergeCell ref="C29:C30"/>
    <mergeCell ref="D8:D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9"/>
  <sheetViews>
    <sheetView tabSelected="1" workbookViewId="0">
      <selection activeCell="D28" sqref="D28"/>
    </sheetView>
  </sheetViews>
  <sheetFormatPr defaultColWidth="9" defaultRowHeight="13.5"/>
  <cols>
    <col min="1" max="2" width="3.5" style="1" customWidth="1"/>
    <col min="3" max="3" width="6.375" style="1" customWidth="1"/>
    <col min="4" max="4" width="41.375" style="1" customWidth="1"/>
    <col min="5" max="5" width="11" style="1" customWidth="1"/>
    <col min="6" max="6" width="18.375" style="1" customWidth="1"/>
    <col min="7" max="7" width="13" style="1" customWidth="1"/>
    <col min="8" max="8" width="9.5" style="1" customWidth="1"/>
    <col min="9" max="9" width="12.75" style="1" customWidth="1"/>
    <col min="10" max="10" width="11" style="1" customWidth="1"/>
    <col min="11" max="11" width="11.875" style="1" customWidth="1"/>
    <col min="12" max="16384" width="9" style="1"/>
  </cols>
  <sheetData>
    <row r="1" s="1" customFormat="1" ht="22.5" spans="1:11">
      <c r="A1" s="82" t="s">
        <v>17</v>
      </c>
      <c r="B1" s="82"/>
      <c r="C1" s="82"/>
      <c r="D1" s="82"/>
      <c r="E1" s="82"/>
      <c r="F1" s="82"/>
      <c r="G1" s="82"/>
      <c r="H1" s="82"/>
      <c r="I1" s="82"/>
    </row>
    <row r="2" s="1" customFormat="1" ht="14.25" spans="1:11">
      <c r="A2" s="83" t="str">
        <f>'[2]1月'!A2</f>
        <v>2022年</v>
      </c>
      <c r="B2" s="83"/>
      <c r="C2" s="84" t="s">
        <v>18</v>
      </c>
      <c r="D2" s="85" t="s">
        <v>19</v>
      </c>
      <c r="E2" s="86" t="s">
        <v>20</v>
      </c>
      <c r="F2" s="87"/>
      <c r="G2" s="86" t="s">
        <v>21</v>
      </c>
      <c r="H2" s="87"/>
      <c r="I2" s="88" t="s">
        <v>22</v>
      </c>
      <c r="J2" s="66" t="s">
        <v>23</v>
      </c>
      <c r="K2" s="88" t="s">
        <v>22</v>
      </c>
    </row>
    <row r="3" s="1" customFormat="1" ht="14.25" spans="1:11">
      <c r="A3" s="89" t="s">
        <v>24</v>
      </c>
      <c r="B3" s="89" t="s">
        <v>25</v>
      </c>
      <c r="C3" s="84"/>
      <c r="D3" s="90"/>
      <c r="E3" s="91" t="s">
        <v>26</v>
      </c>
      <c r="F3" s="91" t="s">
        <v>27</v>
      </c>
      <c r="G3" s="91" t="s">
        <v>26</v>
      </c>
      <c r="H3" s="86" t="s">
        <v>27</v>
      </c>
      <c r="I3" s="92" t="s">
        <v>28</v>
      </c>
      <c r="J3" s="66"/>
      <c r="K3" s="92" t="s">
        <v>29</v>
      </c>
    </row>
    <row r="4" s="1" customFormat="1" ht="14.25" spans="1:11">
      <c r="A4" s="93">
        <v>1</v>
      </c>
      <c r="B4" s="94">
        <v>31</v>
      </c>
      <c r="C4" s="94">
        <v>1</v>
      </c>
      <c r="D4" s="95" t="s">
        <v>30</v>
      </c>
      <c r="E4" s="95" t="s">
        <v>31</v>
      </c>
      <c r="F4" s="95">
        <v>0</v>
      </c>
      <c r="G4" s="95" t="s">
        <v>32</v>
      </c>
      <c r="H4" s="96" t="s">
        <v>33</v>
      </c>
      <c r="I4" s="96">
        <v>526</v>
      </c>
      <c r="J4" s="97">
        <v>100000</v>
      </c>
      <c r="K4" s="76"/>
    </row>
    <row r="5" s="1" customFormat="1" ht="14.25" spans="1:11">
      <c r="A5" s="93">
        <v>1</v>
      </c>
      <c r="B5" s="94">
        <v>31</v>
      </c>
      <c r="C5" s="94">
        <v>1</v>
      </c>
      <c r="D5" s="95" t="s">
        <v>34</v>
      </c>
      <c r="E5" s="95" t="s">
        <v>31</v>
      </c>
      <c r="F5" s="95">
        <v>0</v>
      </c>
      <c r="G5" s="95" t="s">
        <v>32</v>
      </c>
      <c r="H5" s="96" t="s">
        <v>35</v>
      </c>
      <c r="I5" s="96">
        <v>1027</v>
      </c>
      <c r="J5" s="97">
        <v>190000</v>
      </c>
      <c r="K5" s="76"/>
    </row>
    <row r="6" s="1" customFormat="1" ht="14.25" spans="1:11">
      <c r="A6" s="93">
        <v>1</v>
      </c>
      <c r="B6" s="94">
        <v>31</v>
      </c>
      <c r="C6" s="94">
        <v>2</v>
      </c>
      <c r="D6" s="95" t="s">
        <v>36</v>
      </c>
      <c r="E6" s="95" t="s">
        <v>37</v>
      </c>
      <c r="F6" s="95">
        <v>0</v>
      </c>
      <c r="G6" s="95" t="s">
        <v>31</v>
      </c>
      <c r="H6" s="96" t="s">
        <v>38</v>
      </c>
      <c r="I6" s="96">
        <v>799.21</v>
      </c>
      <c r="J6" s="97">
        <v>117484.03</v>
      </c>
      <c r="K6" s="76"/>
    </row>
    <row r="7" s="1" customFormat="1" ht="14.25" spans="1:11">
      <c r="A7" s="93">
        <v>1</v>
      </c>
      <c r="B7" s="94">
        <v>31</v>
      </c>
      <c r="C7" s="94">
        <v>2</v>
      </c>
      <c r="D7" s="95" t="s">
        <v>39</v>
      </c>
      <c r="E7" s="95" t="s">
        <v>37</v>
      </c>
      <c r="F7" s="95">
        <v>0</v>
      </c>
      <c r="G7" s="95" t="s">
        <v>31</v>
      </c>
      <c r="H7" s="96" t="s">
        <v>40</v>
      </c>
      <c r="I7" s="96">
        <v>43.99</v>
      </c>
      <c r="J7" s="97">
        <v>6467.16</v>
      </c>
      <c r="K7" s="76"/>
    </row>
    <row r="8" s="1" customFormat="1" ht="14.25" spans="1:11">
      <c r="A8" s="93">
        <v>1</v>
      </c>
      <c r="B8" s="94">
        <v>31</v>
      </c>
      <c r="C8" s="94">
        <v>2</v>
      </c>
      <c r="D8" s="95" t="s">
        <v>41</v>
      </c>
      <c r="E8" s="95" t="s">
        <v>37</v>
      </c>
      <c r="F8" s="95">
        <v>0</v>
      </c>
      <c r="G8" s="95" t="s">
        <v>31</v>
      </c>
      <c r="H8" s="96" t="s">
        <v>40</v>
      </c>
      <c r="I8" s="96">
        <v>37.31</v>
      </c>
      <c r="J8" s="97">
        <v>5484.9</v>
      </c>
      <c r="K8" s="76"/>
    </row>
    <row r="9" s="1" customFormat="1" ht="14.25" spans="1:11">
      <c r="A9" s="93">
        <v>1</v>
      </c>
      <c r="B9" s="94">
        <v>31</v>
      </c>
      <c r="C9" s="94">
        <v>2</v>
      </c>
      <c r="D9" s="95" t="s">
        <v>42</v>
      </c>
      <c r="E9" s="95" t="s">
        <v>37</v>
      </c>
      <c r="F9" s="95">
        <v>0</v>
      </c>
      <c r="G9" s="95" t="s">
        <v>31</v>
      </c>
      <c r="H9" s="96" t="s">
        <v>43</v>
      </c>
      <c r="I9" s="96">
        <v>531.54</v>
      </c>
      <c r="J9" s="97">
        <v>78136.18</v>
      </c>
      <c r="K9" s="76"/>
    </row>
    <row r="10" s="1" customFormat="1" ht="14.25" spans="1:11">
      <c r="A10" s="93">
        <v>1</v>
      </c>
      <c r="B10" s="94">
        <v>31</v>
      </c>
      <c r="C10" s="94">
        <v>2</v>
      </c>
      <c r="D10" s="95" t="s">
        <v>44</v>
      </c>
      <c r="E10" s="95" t="s">
        <v>37</v>
      </c>
      <c r="F10" s="95">
        <v>0</v>
      </c>
      <c r="G10" s="95" t="s">
        <v>31</v>
      </c>
      <c r="H10" s="96" t="s">
        <v>43</v>
      </c>
      <c r="I10" s="96">
        <v>295.4</v>
      </c>
      <c r="J10" s="97">
        <v>43423.71</v>
      </c>
      <c r="K10" s="76"/>
    </row>
    <row r="11" s="1" customFormat="1" ht="14.25" spans="1:11">
      <c r="A11" s="93">
        <v>1</v>
      </c>
      <c r="B11" s="94">
        <v>31</v>
      </c>
      <c r="C11" s="94">
        <v>2</v>
      </c>
      <c r="D11" s="95" t="s">
        <v>45</v>
      </c>
      <c r="E11" s="95" t="s">
        <v>37</v>
      </c>
      <c r="F11" s="95">
        <v>0</v>
      </c>
      <c r="G11" s="95" t="s">
        <v>31</v>
      </c>
      <c r="H11" s="96" t="s">
        <v>46</v>
      </c>
      <c r="I11" s="96">
        <v>4291.33</v>
      </c>
      <c r="J11" s="97">
        <v>630825</v>
      </c>
      <c r="K11" s="76"/>
    </row>
    <row r="12" s="1" customFormat="1" ht="14.25" spans="1:11">
      <c r="A12" s="93">
        <v>1</v>
      </c>
      <c r="B12" s="94">
        <v>31</v>
      </c>
      <c r="C12" s="94">
        <v>2</v>
      </c>
      <c r="D12" s="95" t="s">
        <v>47</v>
      </c>
      <c r="E12" s="95" t="s">
        <v>48</v>
      </c>
      <c r="F12" s="95" t="s">
        <v>49</v>
      </c>
      <c r="G12" s="95" t="s">
        <v>31</v>
      </c>
      <c r="H12" s="96" t="s">
        <v>50</v>
      </c>
      <c r="I12" s="96">
        <v>6802.72</v>
      </c>
      <c r="J12" s="97">
        <v>1000000</v>
      </c>
      <c r="K12" s="76"/>
    </row>
    <row r="13" s="1" customFormat="1" ht="14.25" spans="1:11">
      <c r="A13" s="93">
        <v>1</v>
      </c>
      <c r="B13" s="94">
        <v>31</v>
      </c>
      <c r="C13" s="94">
        <v>2</v>
      </c>
      <c r="D13" s="95" t="s">
        <v>51</v>
      </c>
      <c r="E13" s="95" t="s">
        <v>37</v>
      </c>
      <c r="F13" s="95">
        <v>0</v>
      </c>
      <c r="G13" s="95" t="s">
        <v>31</v>
      </c>
      <c r="H13" s="96" t="s">
        <v>52</v>
      </c>
      <c r="I13" s="96">
        <v>101.81</v>
      </c>
      <c r="J13" s="97">
        <v>14966.18</v>
      </c>
      <c r="K13" s="76"/>
    </row>
    <row r="14" s="1" customFormat="1" ht="14.25" spans="1:11">
      <c r="A14" s="93">
        <v>1</v>
      </c>
      <c r="B14" s="94">
        <v>31</v>
      </c>
      <c r="C14" s="94">
        <v>2</v>
      </c>
      <c r="D14" s="95" t="s">
        <v>53</v>
      </c>
      <c r="E14" s="95" t="s">
        <v>54</v>
      </c>
      <c r="F14" s="95" t="s">
        <v>55</v>
      </c>
      <c r="G14" s="95" t="s">
        <v>31</v>
      </c>
      <c r="H14" s="96" t="s">
        <v>52</v>
      </c>
      <c r="I14" s="96">
        <v>215.69</v>
      </c>
      <c r="J14" s="97">
        <v>31706.2</v>
      </c>
      <c r="K14" s="76"/>
    </row>
    <row r="15" s="1" customFormat="1" ht="14.25" spans="1:11">
      <c r="A15" s="93">
        <v>3</v>
      </c>
      <c r="B15" s="94">
        <v>31</v>
      </c>
      <c r="C15" s="94">
        <v>1</v>
      </c>
      <c r="D15" s="95" t="s">
        <v>56</v>
      </c>
      <c r="E15" s="95" t="s">
        <v>31</v>
      </c>
      <c r="F15" s="95" t="s">
        <v>57</v>
      </c>
      <c r="G15" s="95" t="s">
        <v>32</v>
      </c>
      <c r="H15" s="96" t="s">
        <v>58</v>
      </c>
      <c r="I15" s="96">
        <v>2940</v>
      </c>
      <c r="J15" s="97">
        <v>700000</v>
      </c>
      <c r="K15" s="76"/>
    </row>
    <row r="16" s="1" customFormat="1" ht="14.25" spans="1:11">
      <c r="A16" s="93">
        <v>3</v>
      </c>
      <c r="B16" s="94">
        <v>31</v>
      </c>
      <c r="C16" s="94">
        <v>1</v>
      </c>
      <c r="D16" s="95" t="s">
        <v>59</v>
      </c>
      <c r="E16" s="95" t="s">
        <v>31</v>
      </c>
      <c r="F16" s="95" t="s">
        <v>60</v>
      </c>
      <c r="G16" s="95" t="s">
        <v>61</v>
      </c>
      <c r="H16" s="96" t="s">
        <v>62</v>
      </c>
      <c r="I16" s="96">
        <v>15.5</v>
      </c>
      <c r="J16" s="97">
        <v>3405.14</v>
      </c>
      <c r="K16" s="76"/>
    </row>
    <row r="17" s="1" customFormat="1" ht="14.25" spans="1:11">
      <c r="A17" s="93">
        <v>3</v>
      </c>
      <c r="B17" s="94">
        <v>31</v>
      </c>
      <c r="C17" s="94">
        <v>1</v>
      </c>
      <c r="D17" s="95" t="s">
        <v>63</v>
      </c>
      <c r="E17" s="95" t="s">
        <v>31</v>
      </c>
      <c r="F17" s="95" t="s">
        <v>60</v>
      </c>
      <c r="G17" s="95" t="s">
        <v>61</v>
      </c>
      <c r="H17" s="96" t="s">
        <v>64</v>
      </c>
      <c r="I17" s="96">
        <v>152</v>
      </c>
      <c r="J17" s="97">
        <v>33533.33</v>
      </c>
      <c r="K17" s="76"/>
    </row>
    <row r="18" s="1" customFormat="1" ht="14.25" spans="1:11">
      <c r="A18" s="93">
        <v>3</v>
      </c>
      <c r="B18" s="94">
        <v>31</v>
      </c>
      <c r="C18" s="94">
        <v>1</v>
      </c>
      <c r="D18" s="95" t="s">
        <v>65</v>
      </c>
      <c r="E18" s="95" t="s">
        <v>31</v>
      </c>
      <c r="F18" s="95" t="s">
        <v>60</v>
      </c>
      <c r="G18" s="95" t="s">
        <v>61</v>
      </c>
      <c r="H18" s="96" t="s">
        <v>64</v>
      </c>
      <c r="I18" s="96">
        <v>239</v>
      </c>
      <c r="J18" s="97">
        <v>52649.45</v>
      </c>
      <c r="K18" s="76"/>
    </row>
    <row r="19" s="1" customFormat="1" ht="14.25" spans="1:11">
      <c r="A19" s="93">
        <v>3</v>
      </c>
      <c r="B19" s="94">
        <v>31</v>
      </c>
      <c r="C19" s="94">
        <v>1</v>
      </c>
      <c r="D19" s="95" t="s">
        <v>66</v>
      </c>
      <c r="E19" s="95" t="s">
        <v>54</v>
      </c>
      <c r="F19" s="95" t="s">
        <v>55</v>
      </c>
      <c r="G19" s="95" t="s">
        <v>31</v>
      </c>
      <c r="H19" s="96" t="s">
        <v>67</v>
      </c>
      <c r="I19" s="96">
        <v>10</v>
      </c>
      <c r="J19" s="97">
        <v>2000</v>
      </c>
      <c r="K19" s="76"/>
    </row>
    <row r="20" s="1" customFormat="1" ht="14.25" spans="1:11">
      <c r="A20" s="93">
        <v>5</v>
      </c>
      <c r="B20" s="94">
        <v>31</v>
      </c>
      <c r="C20" s="94">
        <v>1</v>
      </c>
      <c r="D20" s="95" t="s">
        <v>68</v>
      </c>
      <c r="E20" s="95" t="s">
        <v>31</v>
      </c>
      <c r="F20" s="95" t="s">
        <v>69</v>
      </c>
      <c r="G20" s="95" t="s">
        <v>61</v>
      </c>
      <c r="H20" s="96" t="s">
        <v>64</v>
      </c>
      <c r="I20" s="96">
        <v>385</v>
      </c>
      <c r="J20" s="97">
        <v>152111.57</v>
      </c>
      <c r="K20" s="76"/>
    </row>
    <row r="21" s="1" customFormat="1" ht="14.25" spans="1:11">
      <c r="A21" s="93">
        <v>5</v>
      </c>
      <c r="B21" s="94">
        <v>31</v>
      </c>
      <c r="C21" s="94">
        <v>1</v>
      </c>
      <c r="D21" s="95" t="s">
        <v>70</v>
      </c>
      <c r="E21" s="95" t="s">
        <v>31</v>
      </c>
      <c r="F21" s="95" t="s">
        <v>69</v>
      </c>
      <c r="G21" s="95" t="s">
        <v>61</v>
      </c>
      <c r="H21" s="96" t="s">
        <v>64</v>
      </c>
      <c r="I21" s="96">
        <v>246</v>
      </c>
      <c r="J21" s="97">
        <v>97461.31</v>
      </c>
      <c r="K21" s="76"/>
    </row>
    <row r="22" s="1" customFormat="1" ht="14.25" spans="1:11">
      <c r="A22" s="93">
        <v>5</v>
      </c>
      <c r="B22" s="94">
        <v>31</v>
      </c>
      <c r="C22" s="94">
        <v>1</v>
      </c>
      <c r="D22" s="95" t="s">
        <v>71</v>
      </c>
      <c r="E22" s="95" t="s">
        <v>37</v>
      </c>
      <c r="F22" s="95">
        <v>0</v>
      </c>
      <c r="G22" s="95" t="s">
        <v>31</v>
      </c>
      <c r="H22" s="96" t="s">
        <v>72</v>
      </c>
      <c r="I22" s="96">
        <v>1675</v>
      </c>
      <c r="J22" s="97">
        <v>619773.84</v>
      </c>
      <c r="K22" s="76"/>
    </row>
    <row r="23" s="1" customFormat="1" ht="14.25" spans="1:11">
      <c r="A23" s="93">
        <v>5</v>
      </c>
      <c r="B23" s="94">
        <v>31</v>
      </c>
      <c r="C23" s="94">
        <v>1</v>
      </c>
      <c r="D23" s="95" t="s">
        <v>73</v>
      </c>
      <c r="E23" s="95" t="s">
        <v>54</v>
      </c>
      <c r="F23" s="95" t="s">
        <v>55</v>
      </c>
      <c r="G23" s="95" t="s">
        <v>31</v>
      </c>
      <c r="H23" s="96" t="s">
        <v>74</v>
      </c>
      <c r="I23" s="96">
        <v>49</v>
      </c>
      <c r="J23" s="97">
        <v>18145.48</v>
      </c>
      <c r="K23" s="76"/>
    </row>
    <row r="24" s="1" customFormat="1" ht="14.25" spans="1:11">
      <c r="A24" s="93">
        <v>5</v>
      </c>
      <c r="B24" s="94">
        <v>31</v>
      </c>
      <c r="C24" s="94">
        <v>1</v>
      </c>
      <c r="D24" s="95" t="s">
        <v>75</v>
      </c>
      <c r="E24" s="95" t="s">
        <v>31</v>
      </c>
      <c r="F24" s="95" t="s">
        <v>76</v>
      </c>
      <c r="G24" s="95" t="s">
        <v>32</v>
      </c>
      <c r="H24" s="96" t="s">
        <v>77</v>
      </c>
      <c r="I24" s="96">
        <v>1063</v>
      </c>
      <c r="J24" s="97">
        <v>420000</v>
      </c>
      <c r="K24" s="76"/>
    </row>
    <row r="25" s="1" customFormat="1" ht="14.25" spans="1:11">
      <c r="A25" s="93">
        <v>7</v>
      </c>
      <c r="B25" s="94">
        <v>31</v>
      </c>
      <c r="C25" s="94">
        <v>1</v>
      </c>
      <c r="D25" s="95" t="s">
        <v>78</v>
      </c>
      <c r="E25" s="95" t="s">
        <v>31</v>
      </c>
      <c r="F25" s="95" t="s">
        <v>79</v>
      </c>
      <c r="G25" s="95" t="s">
        <v>32</v>
      </c>
      <c r="H25" s="96" t="s">
        <v>80</v>
      </c>
      <c r="I25" s="96">
        <v>10255</v>
      </c>
      <c r="J25" s="97">
        <v>4000000</v>
      </c>
      <c r="K25" s="76"/>
    </row>
    <row r="26" s="1" customFormat="1" ht="14.25" spans="1:11">
      <c r="A26" s="93">
        <v>8</v>
      </c>
      <c r="B26" s="94">
        <v>31</v>
      </c>
      <c r="C26" s="94">
        <v>1</v>
      </c>
      <c r="D26" s="95" t="s">
        <v>81</v>
      </c>
      <c r="E26" s="95" t="s">
        <v>31</v>
      </c>
      <c r="F26" s="95" t="s">
        <v>82</v>
      </c>
      <c r="G26" s="95" t="s">
        <v>61</v>
      </c>
      <c r="H26" s="96" t="s">
        <v>64</v>
      </c>
      <c r="I26" s="96">
        <v>635</v>
      </c>
      <c r="J26" s="97">
        <v>247459.21</v>
      </c>
      <c r="K26" s="76"/>
    </row>
    <row r="27" s="1" customFormat="1" ht="14.25" spans="1:11">
      <c r="A27" s="93">
        <v>8</v>
      </c>
      <c r="B27" s="94">
        <v>31</v>
      </c>
      <c r="C27" s="94">
        <v>1</v>
      </c>
      <c r="D27" s="95" t="s">
        <v>81</v>
      </c>
      <c r="E27" s="95" t="s">
        <v>31</v>
      </c>
      <c r="F27" s="95" t="s">
        <v>83</v>
      </c>
      <c r="G27" s="95" t="s">
        <v>61</v>
      </c>
      <c r="H27" s="96" t="s">
        <v>64</v>
      </c>
      <c r="I27" s="96">
        <v>711</v>
      </c>
      <c r="J27" s="97">
        <v>277314.4</v>
      </c>
      <c r="K27" s="76"/>
    </row>
    <row r="28" s="1" customFormat="1" ht="14.25" spans="1:11">
      <c r="A28" s="93">
        <v>8</v>
      </c>
      <c r="B28" s="94">
        <v>31</v>
      </c>
      <c r="C28" s="94">
        <v>1</v>
      </c>
      <c r="D28" s="95" t="s">
        <v>84</v>
      </c>
      <c r="E28" s="95" t="s">
        <v>85</v>
      </c>
      <c r="F28" s="95" t="s">
        <v>86</v>
      </c>
      <c r="G28" s="95" t="s">
        <v>31</v>
      </c>
      <c r="H28" s="96" t="s">
        <v>87</v>
      </c>
      <c r="I28" s="96">
        <v>1764.5</v>
      </c>
      <c r="J28" s="97">
        <v>688202.64</v>
      </c>
      <c r="K28" s="76"/>
    </row>
    <row r="29" s="1" customFormat="1" ht="14.25" spans="1:11">
      <c r="A29" s="93">
        <v>8</v>
      </c>
      <c r="B29" s="94">
        <v>31</v>
      </c>
      <c r="C29" s="94">
        <v>1</v>
      </c>
      <c r="D29" s="95" t="s">
        <v>88</v>
      </c>
      <c r="E29" s="95" t="s">
        <v>85</v>
      </c>
      <c r="F29" s="95" t="s">
        <v>86</v>
      </c>
      <c r="G29" s="95" t="s">
        <v>31</v>
      </c>
      <c r="H29" s="96" t="s">
        <v>89</v>
      </c>
      <c r="I29" s="96">
        <v>10442</v>
      </c>
      <c r="J29" s="97">
        <v>4072490</v>
      </c>
      <c r="K29" s="76"/>
    </row>
    <row r="30" s="1" customFormat="1" ht="14.25" spans="1:11">
      <c r="A30" s="93">
        <v>8</v>
      </c>
      <c r="B30" s="94">
        <v>31</v>
      </c>
      <c r="C30" s="94">
        <v>1</v>
      </c>
      <c r="D30" s="95" t="s">
        <v>90</v>
      </c>
      <c r="E30" s="95" t="s">
        <v>54</v>
      </c>
      <c r="F30" s="95" t="s">
        <v>55</v>
      </c>
      <c r="G30" s="95" t="s">
        <v>31</v>
      </c>
      <c r="H30" s="96" t="s">
        <v>91</v>
      </c>
      <c r="I30" s="96">
        <v>293</v>
      </c>
      <c r="J30" s="97">
        <v>114392.69</v>
      </c>
      <c r="K30" s="76"/>
    </row>
    <row r="31" s="1" customFormat="1" ht="14.25" spans="1:11">
      <c r="A31" s="93">
        <v>8</v>
      </c>
      <c r="B31" s="94">
        <v>31</v>
      </c>
      <c r="C31" s="94">
        <v>1</v>
      </c>
      <c r="D31" s="95" t="s">
        <v>92</v>
      </c>
      <c r="E31" s="95" t="s">
        <v>54</v>
      </c>
      <c r="F31" s="95" t="s">
        <v>55</v>
      </c>
      <c r="G31" s="95" t="s">
        <v>31</v>
      </c>
      <c r="H31" s="96" t="s">
        <v>93</v>
      </c>
      <c r="I31" s="96">
        <v>2</v>
      </c>
      <c r="J31" s="97">
        <v>750</v>
      </c>
      <c r="K31" s="76"/>
    </row>
    <row r="32" s="1" customFormat="1" ht="14.25" spans="1:11">
      <c r="A32" s="98"/>
      <c r="B32" s="99"/>
      <c r="C32" s="99"/>
      <c r="D32" s="100"/>
      <c r="E32" s="101"/>
      <c r="F32" s="101"/>
      <c r="G32" s="101"/>
      <c r="H32" s="102"/>
      <c r="I32" s="103"/>
      <c r="J32" s="76"/>
      <c r="K32" s="76"/>
    </row>
    <row r="33" s="1" customFormat="1" ht="14.25" spans="1:11">
      <c r="A33" s="98"/>
      <c r="B33" s="99"/>
      <c r="C33" s="99"/>
      <c r="D33" s="100"/>
      <c r="E33" s="101"/>
      <c r="F33" s="101"/>
      <c r="G33" s="101"/>
      <c r="H33" s="102"/>
      <c r="I33" s="103"/>
      <c r="J33" s="76"/>
      <c r="K33" s="76"/>
    </row>
    <row r="34" s="1" customFormat="1" ht="14.25" spans="1:11">
      <c r="A34" s="98"/>
      <c r="B34" s="99"/>
      <c r="C34" s="99"/>
      <c r="D34" s="100"/>
      <c r="E34" s="101"/>
      <c r="F34" s="101"/>
      <c r="G34" s="101"/>
      <c r="H34" s="102"/>
      <c r="I34" s="103"/>
      <c r="J34" s="76"/>
      <c r="K34" s="76"/>
    </row>
    <row r="35" s="1" customFormat="1" ht="14.25" spans="1:11">
      <c r="A35" s="98"/>
      <c r="B35" s="99"/>
      <c r="C35" s="99"/>
      <c r="D35" s="100"/>
      <c r="E35" s="101"/>
      <c r="F35" s="101"/>
      <c r="G35" s="101"/>
      <c r="H35" s="102"/>
      <c r="I35" s="103"/>
      <c r="J35" s="76"/>
      <c r="K35" s="76"/>
    </row>
    <row r="36" s="1" customFormat="1" ht="14.25" spans="1:11">
      <c r="A36" s="98"/>
      <c r="B36" s="99"/>
      <c r="C36" s="99"/>
      <c r="D36" s="100"/>
      <c r="E36" s="101"/>
      <c r="F36" s="101"/>
      <c r="G36" s="101"/>
      <c r="H36" s="102"/>
      <c r="I36" s="103"/>
      <c r="J36" s="76"/>
      <c r="K36" s="76"/>
    </row>
    <row r="37" s="1" customFormat="1" ht="14.25" spans="1:11">
      <c r="A37" s="98"/>
      <c r="B37" s="99"/>
      <c r="C37" s="99"/>
      <c r="D37" s="100"/>
      <c r="E37" s="101"/>
      <c r="F37" s="101"/>
      <c r="G37" s="101"/>
      <c r="H37" s="102"/>
      <c r="I37" s="103"/>
      <c r="J37" s="76"/>
      <c r="K37" s="76"/>
    </row>
    <row r="38" s="1" customFormat="1" ht="14.25" spans="1:11">
      <c r="A38" s="98"/>
      <c r="B38" s="99"/>
      <c r="C38" s="99"/>
      <c r="D38" s="100"/>
      <c r="E38" s="101"/>
      <c r="F38" s="101"/>
      <c r="G38" s="101"/>
      <c r="H38" s="102"/>
      <c r="I38" s="103"/>
      <c r="J38" s="76"/>
      <c r="K38" s="76"/>
    </row>
    <row r="39" s="1" customFormat="1" ht="14.25" spans="1:11">
      <c r="A39" s="98"/>
      <c r="B39" s="99"/>
      <c r="C39" s="99"/>
      <c r="D39" s="100"/>
      <c r="E39" s="101"/>
      <c r="F39" s="101"/>
      <c r="G39" s="101"/>
      <c r="H39" s="102"/>
      <c r="I39" s="103"/>
      <c r="J39" s="76"/>
      <c r="K39" s="76"/>
    </row>
    <row r="40" s="1" customFormat="1" ht="14.25" spans="1:11">
      <c r="A40" s="98"/>
      <c r="B40" s="99"/>
      <c r="C40" s="99"/>
      <c r="D40" s="100"/>
      <c r="E40" s="101"/>
      <c r="F40" s="101"/>
      <c r="G40" s="101"/>
      <c r="H40" s="102"/>
      <c r="I40" s="103"/>
      <c r="J40" s="76"/>
      <c r="K40" s="76"/>
    </row>
    <row r="41" s="1" customFormat="1" ht="14.25" spans="1:11">
      <c r="A41" s="98"/>
      <c r="B41" s="99"/>
      <c r="C41" s="99"/>
      <c r="D41" s="100"/>
      <c r="E41" s="101"/>
      <c r="F41" s="101"/>
      <c r="G41" s="101"/>
      <c r="H41" s="102"/>
      <c r="I41" s="103"/>
      <c r="J41" s="76"/>
      <c r="K41" s="76"/>
    </row>
    <row r="42" s="1" customFormat="1" ht="14.25" spans="1:11">
      <c r="A42" s="98"/>
      <c r="B42" s="99"/>
      <c r="C42" s="99"/>
      <c r="D42" s="100"/>
      <c r="E42" s="101"/>
      <c r="F42" s="101"/>
      <c r="G42" s="101"/>
      <c r="H42" s="102"/>
      <c r="I42" s="103"/>
      <c r="J42" s="76"/>
      <c r="K42" s="76"/>
    </row>
    <row r="43" s="1" customFormat="1" ht="14.25" spans="1:11">
      <c r="A43" s="98"/>
      <c r="B43" s="99"/>
      <c r="C43" s="99"/>
      <c r="D43" s="100"/>
      <c r="E43" s="101"/>
      <c r="F43" s="101"/>
      <c r="G43" s="101"/>
      <c r="H43" s="102"/>
      <c r="I43" s="103"/>
      <c r="J43" s="76"/>
      <c r="K43" s="76"/>
    </row>
    <row r="44" s="1" customFormat="1" ht="14.25" spans="1:11">
      <c r="A44" s="98"/>
      <c r="B44" s="99"/>
      <c r="C44" s="99"/>
      <c r="D44" s="100"/>
      <c r="E44" s="101"/>
      <c r="F44" s="101"/>
      <c r="G44" s="101"/>
      <c r="H44" s="102"/>
      <c r="I44" s="103"/>
      <c r="J44" s="76"/>
      <c r="K44" s="76"/>
    </row>
    <row r="45" s="1" customFormat="1" ht="14.25" spans="1:11">
      <c r="A45" s="98"/>
      <c r="B45" s="99"/>
      <c r="C45" s="99"/>
      <c r="D45" s="100"/>
      <c r="E45" s="101"/>
      <c r="F45" s="101"/>
      <c r="G45" s="101"/>
      <c r="H45" s="102"/>
      <c r="I45" s="103"/>
      <c r="J45" s="76"/>
      <c r="K45" s="76"/>
    </row>
    <row r="46" s="1" customFormat="1" ht="14.25" spans="1:11">
      <c r="A46" s="98"/>
      <c r="B46" s="99"/>
      <c r="C46" s="99"/>
      <c r="D46" s="100"/>
      <c r="E46" s="101"/>
      <c r="F46" s="101"/>
      <c r="G46" s="101"/>
      <c r="H46" s="102"/>
      <c r="I46" s="103"/>
      <c r="J46" s="76"/>
      <c r="K46" s="76"/>
    </row>
    <row r="47" s="1" customFormat="1" ht="14.25" spans="1:11">
      <c r="A47" s="98"/>
      <c r="B47" s="99"/>
      <c r="C47" s="99"/>
      <c r="D47" s="100"/>
      <c r="E47" s="101"/>
      <c r="F47" s="101"/>
      <c r="G47" s="101"/>
      <c r="H47" s="102"/>
      <c r="I47" s="103"/>
      <c r="J47" s="76"/>
      <c r="K47" s="76"/>
    </row>
    <row r="48" s="1" customFormat="1" ht="14.25" spans="1:11">
      <c r="A48" s="98"/>
      <c r="B48" s="99"/>
      <c r="C48" s="99"/>
      <c r="D48" s="100"/>
      <c r="E48" s="101"/>
      <c r="F48" s="101"/>
      <c r="G48" s="101"/>
      <c r="H48" s="102"/>
      <c r="I48" s="103"/>
      <c r="J48" s="76"/>
      <c r="K48" s="76"/>
    </row>
    <row r="49" s="1" customFormat="1" ht="14.25" spans="1:11">
      <c r="A49" s="98"/>
      <c r="B49" s="99"/>
      <c r="C49" s="99"/>
      <c r="D49" s="100"/>
      <c r="E49" s="101"/>
      <c r="F49" s="101"/>
      <c r="G49" s="101"/>
      <c r="H49" s="102"/>
      <c r="I49" s="103"/>
      <c r="J49" s="76"/>
      <c r="K49" s="76"/>
    </row>
    <row r="50" s="1" customFormat="1" ht="14.25" spans="1:11">
      <c r="A50" s="98"/>
      <c r="B50" s="99"/>
      <c r="C50" s="99"/>
      <c r="D50" s="100"/>
      <c r="E50" s="101"/>
      <c r="F50" s="101"/>
      <c r="G50" s="101"/>
      <c r="H50" s="102"/>
      <c r="I50" s="103"/>
      <c r="J50" s="76"/>
      <c r="K50" s="76"/>
    </row>
    <row r="51" s="1" customFormat="1" ht="14.25" spans="1:11">
      <c r="A51" s="98"/>
      <c r="B51" s="99"/>
      <c r="C51" s="99"/>
      <c r="D51" s="100"/>
      <c r="E51" s="101"/>
      <c r="F51" s="101"/>
      <c r="G51" s="101"/>
      <c r="H51" s="102"/>
      <c r="I51" s="103"/>
      <c r="J51" s="76"/>
      <c r="K51" s="76"/>
    </row>
    <row r="52" s="1" customFormat="1" ht="14.25" spans="1:11">
      <c r="A52" s="98"/>
      <c r="B52" s="99"/>
      <c r="C52" s="99"/>
      <c r="D52" s="100"/>
      <c r="E52" s="101"/>
      <c r="F52" s="101"/>
      <c r="G52" s="101"/>
      <c r="H52" s="102"/>
      <c r="I52" s="103"/>
      <c r="J52" s="76"/>
      <c r="K52" s="76"/>
    </row>
    <row r="53" s="1" customFormat="1" ht="14.25" spans="1:11">
      <c r="A53" s="98"/>
      <c r="B53" s="99"/>
      <c r="C53" s="99"/>
      <c r="D53" s="100"/>
      <c r="E53" s="101"/>
      <c r="F53" s="101"/>
      <c r="G53" s="101"/>
      <c r="H53" s="102"/>
      <c r="I53" s="103"/>
      <c r="J53" s="76"/>
      <c r="K53" s="76"/>
    </row>
    <row r="54" s="1" customFormat="1" ht="14.25" spans="1:11">
      <c r="A54" s="98"/>
      <c r="B54" s="99"/>
      <c r="C54" s="99"/>
      <c r="D54" s="100"/>
      <c r="E54" s="101"/>
      <c r="F54" s="101"/>
      <c r="G54" s="101"/>
      <c r="H54" s="102"/>
      <c r="I54" s="103"/>
      <c r="J54" s="76"/>
      <c r="K54" s="76"/>
    </row>
    <row r="55" s="1" customFormat="1" ht="14.25" spans="1:11">
      <c r="A55" s="98"/>
      <c r="B55" s="99"/>
      <c r="C55" s="99"/>
      <c r="D55" s="100"/>
      <c r="E55" s="101"/>
      <c r="F55" s="101"/>
      <c r="G55" s="101"/>
      <c r="H55" s="102"/>
      <c r="I55" s="103"/>
      <c r="J55" s="76"/>
      <c r="K55" s="76"/>
    </row>
    <row r="56" s="1" customFormat="1" ht="14.25" spans="1:11">
      <c r="A56" s="98"/>
      <c r="B56" s="99"/>
      <c r="C56" s="99"/>
      <c r="D56" s="100"/>
      <c r="E56" s="101"/>
      <c r="F56" s="101"/>
      <c r="G56" s="101"/>
      <c r="H56" s="102"/>
      <c r="I56" s="103"/>
      <c r="J56" s="76"/>
      <c r="K56" s="76"/>
    </row>
    <row r="57" s="1" customFormat="1" ht="14.25" spans="1:11">
      <c r="A57" s="98"/>
      <c r="B57" s="99"/>
      <c r="C57" s="99"/>
      <c r="D57" s="100"/>
      <c r="E57" s="101"/>
      <c r="F57" s="101"/>
      <c r="G57" s="101"/>
      <c r="H57" s="102"/>
      <c r="I57" s="103"/>
      <c r="J57" s="76"/>
      <c r="K57" s="76"/>
    </row>
    <row r="58" s="1" customFormat="1" ht="14.25" spans="1:11">
      <c r="A58" s="98"/>
      <c r="B58" s="99"/>
      <c r="C58" s="99"/>
      <c r="D58" s="100"/>
      <c r="E58" s="101"/>
      <c r="F58" s="101"/>
      <c r="G58" s="101"/>
      <c r="H58" s="102"/>
      <c r="I58" s="103"/>
      <c r="J58" s="76"/>
      <c r="K58" s="76"/>
    </row>
    <row r="59" s="1" customFormat="1" ht="14.25" spans="1:11">
      <c r="A59" s="98"/>
      <c r="B59" s="99"/>
      <c r="C59" s="99"/>
      <c r="D59" s="100"/>
      <c r="E59" s="101"/>
      <c r="F59" s="101"/>
      <c r="G59" s="101"/>
      <c r="H59" s="102"/>
      <c r="I59" s="103"/>
      <c r="J59" s="76"/>
      <c r="K59" s="76"/>
    </row>
    <row r="60" s="1" customFormat="1" ht="14.25" spans="1:11">
      <c r="A60" s="98"/>
      <c r="B60" s="99"/>
      <c r="C60" s="99"/>
      <c r="D60" s="100"/>
      <c r="E60" s="101"/>
      <c r="F60" s="101"/>
      <c r="G60" s="101"/>
      <c r="H60" s="102"/>
      <c r="I60" s="103"/>
      <c r="J60" s="76"/>
      <c r="K60" s="76"/>
    </row>
    <row r="61" s="1" customFormat="1" ht="14.25" spans="1:11">
      <c r="A61" s="98"/>
      <c r="B61" s="99"/>
      <c r="C61" s="99"/>
      <c r="D61" s="100"/>
      <c r="E61" s="101"/>
      <c r="F61" s="101"/>
      <c r="G61" s="101"/>
      <c r="H61" s="102"/>
      <c r="I61" s="103"/>
      <c r="J61" s="76"/>
      <c r="K61" s="76"/>
    </row>
    <row r="62" s="1" customFormat="1" ht="14.25" spans="1:11">
      <c r="A62" s="98"/>
      <c r="B62" s="99"/>
      <c r="C62" s="99"/>
      <c r="D62" s="100"/>
      <c r="E62" s="101"/>
      <c r="F62" s="101"/>
      <c r="G62" s="101"/>
      <c r="H62" s="102"/>
      <c r="I62" s="103"/>
      <c r="J62" s="76"/>
      <c r="K62" s="76"/>
    </row>
    <row r="63" s="1" customFormat="1" ht="14.25" spans="1:11">
      <c r="A63" s="98"/>
      <c r="B63" s="99"/>
      <c r="C63" s="99"/>
      <c r="D63" s="100"/>
      <c r="E63" s="101"/>
      <c r="F63" s="101"/>
      <c r="G63" s="101"/>
      <c r="H63" s="102"/>
      <c r="I63" s="103"/>
      <c r="J63" s="76"/>
      <c r="K63" s="76"/>
    </row>
    <row r="64" s="1" customFormat="1" ht="14.25" spans="1:11">
      <c r="A64" s="98"/>
      <c r="B64" s="99"/>
      <c r="C64" s="99"/>
      <c r="D64" s="100"/>
      <c r="E64" s="101"/>
      <c r="F64" s="101"/>
      <c r="G64" s="101"/>
      <c r="H64" s="102"/>
      <c r="I64" s="103"/>
      <c r="J64" s="76"/>
      <c r="K64" s="76"/>
    </row>
    <row r="65" s="1" customFormat="1" ht="14.25" spans="1:11">
      <c r="A65" s="98"/>
      <c r="B65" s="99"/>
      <c r="C65" s="99"/>
      <c r="D65" s="100"/>
      <c r="E65" s="101"/>
      <c r="F65" s="101"/>
      <c r="G65" s="101"/>
      <c r="H65" s="102"/>
      <c r="I65" s="103"/>
      <c r="J65" s="76"/>
      <c r="K65" s="76"/>
    </row>
    <row r="66" s="1" customFormat="1" ht="14.25" spans="1:11">
      <c r="A66" s="98"/>
      <c r="B66" s="99"/>
      <c r="C66" s="99"/>
      <c r="D66" s="100"/>
      <c r="E66" s="101"/>
      <c r="F66" s="101"/>
      <c r="G66" s="101"/>
      <c r="H66" s="102"/>
      <c r="I66" s="103"/>
      <c r="J66" s="76"/>
      <c r="K66" s="76"/>
    </row>
    <row r="67" s="1" customFormat="1" ht="14.25" spans="1:11">
      <c r="A67" s="98"/>
      <c r="B67" s="99"/>
      <c r="C67" s="99"/>
      <c r="D67" s="100"/>
      <c r="E67" s="101"/>
      <c r="F67" s="101"/>
      <c r="G67" s="101"/>
      <c r="H67" s="102"/>
      <c r="I67" s="103"/>
      <c r="J67" s="76"/>
      <c r="K67" s="76"/>
    </row>
    <row r="68" s="1" customFormat="1" ht="14.25" spans="1:11">
      <c r="A68" s="98"/>
      <c r="B68" s="99"/>
      <c r="C68" s="99"/>
      <c r="D68" s="100"/>
      <c r="E68" s="101"/>
      <c r="F68" s="101"/>
      <c r="G68" s="101"/>
      <c r="H68" s="102"/>
      <c r="I68" s="103"/>
      <c r="J68" s="76"/>
      <c r="K68" s="76"/>
    </row>
    <row r="69" s="1" customFormat="1" ht="14.25" spans="1:11">
      <c r="A69" s="98"/>
      <c r="B69" s="99"/>
      <c r="C69" s="99"/>
      <c r="D69" s="100"/>
      <c r="E69" s="101"/>
      <c r="F69" s="101"/>
      <c r="G69" s="101"/>
      <c r="H69" s="102"/>
      <c r="I69" s="103"/>
      <c r="J69" s="76"/>
      <c r="K69" s="76"/>
    </row>
    <row r="70" s="1" customFormat="1" ht="14.25" spans="1:11">
      <c r="A70" s="98"/>
      <c r="B70" s="99"/>
      <c r="C70" s="99"/>
      <c r="D70" s="100"/>
      <c r="E70" s="101"/>
      <c r="F70" s="101"/>
      <c r="G70" s="101"/>
      <c r="H70" s="102"/>
      <c r="I70" s="103"/>
      <c r="J70" s="76"/>
      <c r="K70" s="76"/>
    </row>
    <row r="71" s="1" customFormat="1" ht="14.25" spans="1:11">
      <c r="A71" s="98"/>
      <c r="B71" s="99"/>
      <c r="C71" s="99"/>
      <c r="D71" s="100"/>
      <c r="E71" s="101"/>
      <c r="F71" s="101"/>
      <c r="G71" s="101"/>
      <c r="H71" s="102"/>
      <c r="I71" s="103"/>
      <c r="J71" s="76"/>
      <c r="K71" s="76"/>
    </row>
    <row r="72" s="1" customFormat="1" ht="14.25" spans="1:11">
      <c r="A72" s="98"/>
      <c r="B72" s="99"/>
      <c r="C72" s="99"/>
      <c r="D72" s="100"/>
      <c r="E72" s="101"/>
      <c r="F72" s="101"/>
      <c r="G72" s="101"/>
      <c r="H72" s="102"/>
      <c r="I72" s="103"/>
      <c r="J72" s="76"/>
      <c r="K72" s="76"/>
    </row>
    <row r="73" s="1" customFormat="1" ht="14.25" spans="1:11">
      <c r="A73" s="98"/>
      <c r="B73" s="99"/>
      <c r="C73" s="99"/>
      <c r="D73" s="100"/>
      <c r="E73" s="101"/>
      <c r="F73" s="101"/>
      <c r="G73" s="101"/>
      <c r="H73" s="102"/>
      <c r="I73" s="103"/>
      <c r="J73" s="76"/>
      <c r="K73" s="76"/>
    </row>
    <row r="74" s="1" customFormat="1" ht="14.25" spans="1:11">
      <c r="A74" s="98"/>
      <c r="B74" s="99"/>
      <c r="C74" s="99"/>
      <c r="D74" s="100"/>
      <c r="E74" s="101"/>
      <c r="F74" s="101"/>
      <c r="G74" s="101"/>
      <c r="H74" s="102"/>
      <c r="I74" s="103"/>
      <c r="J74" s="76"/>
      <c r="K74" s="76"/>
    </row>
    <row r="75" s="1" customFormat="1" ht="14.25" spans="1:11">
      <c r="A75" s="98"/>
      <c r="B75" s="99"/>
      <c r="C75" s="99"/>
      <c r="D75" s="100"/>
      <c r="E75" s="101"/>
      <c r="F75" s="101"/>
      <c r="G75" s="101"/>
      <c r="H75" s="102"/>
      <c r="I75" s="103"/>
      <c r="J75" s="76"/>
      <c r="K75" s="76"/>
    </row>
    <row r="76" s="1" customFormat="1" ht="14.25" spans="1:11">
      <c r="A76" s="98"/>
      <c r="B76" s="99"/>
      <c r="C76" s="99"/>
      <c r="D76" s="100"/>
      <c r="E76" s="101"/>
      <c r="F76" s="101"/>
      <c r="G76" s="101"/>
      <c r="H76" s="102"/>
      <c r="I76" s="103"/>
      <c r="J76" s="76"/>
      <c r="K76" s="76"/>
    </row>
    <row r="77" s="1" customFormat="1" ht="14.25" spans="1:11">
      <c r="A77" s="98"/>
      <c r="B77" s="99"/>
      <c r="C77" s="99"/>
      <c r="D77" s="100"/>
      <c r="E77" s="101"/>
      <c r="F77" s="101"/>
      <c r="G77" s="101"/>
      <c r="H77" s="102"/>
      <c r="I77" s="103"/>
      <c r="J77" s="76"/>
      <c r="K77" s="76"/>
    </row>
    <row r="78" s="1" customFormat="1" ht="14.25" spans="1:11">
      <c r="A78" s="98"/>
      <c r="B78" s="99"/>
      <c r="C78" s="99"/>
      <c r="D78" s="100"/>
      <c r="E78" s="101"/>
      <c r="F78" s="101"/>
      <c r="G78" s="101"/>
      <c r="H78" s="102"/>
      <c r="I78" s="103"/>
      <c r="J78" s="76"/>
      <c r="K78" s="76"/>
    </row>
    <row r="79" s="1" customFormat="1" ht="14.25" spans="1:11">
      <c r="A79" s="98"/>
      <c r="B79" s="99"/>
      <c r="C79" s="99"/>
      <c r="D79" s="100"/>
      <c r="E79" s="101"/>
      <c r="F79" s="101"/>
      <c r="G79" s="101"/>
      <c r="H79" s="102"/>
      <c r="I79" s="103"/>
      <c r="J79" s="76"/>
      <c r="K79" s="76"/>
    </row>
    <row r="80" s="1" customFormat="1" ht="14.25" spans="1:11">
      <c r="A80" s="98"/>
      <c r="B80" s="99"/>
      <c r="C80" s="99"/>
      <c r="D80" s="100"/>
      <c r="E80" s="101"/>
      <c r="F80" s="101"/>
      <c r="G80" s="101"/>
      <c r="H80" s="102"/>
      <c r="I80" s="103"/>
      <c r="J80" s="76"/>
      <c r="K80" s="76"/>
    </row>
    <row r="81" s="1" customFormat="1" ht="14.25" spans="1:11">
      <c r="A81" s="98"/>
      <c r="B81" s="99"/>
      <c r="C81" s="99"/>
      <c r="D81" s="100"/>
      <c r="E81" s="101"/>
      <c r="F81" s="101"/>
      <c r="G81" s="101"/>
      <c r="H81" s="102"/>
      <c r="I81" s="103"/>
      <c r="J81" s="76"/>
      <c r="K81" s="76"/>
    </row>
    <row r="82" s="1" customFormat="1" ht="14.25" spans="1:11">
      <c r="A82" s="98"/>
      <c r="B82" s="99"/>
      <c r="C82" s="99"/>
      <c r="D82" s="100"/>
      <c r="E82" s="101"/>
      <c r="F82" s="101"/>
      <c r="G82" s="101"/>
      <c r="H82" s="102"/>
      <c r="I82" s="103"/>
      <c r="J82" s="76"/>
      <c r="K82" s="76"/>
    </row>
    <row r="83" s="1" customFormat="1" ht="14.25" spans="1:11">
      <c r="A83" s="98"/>
      <c r="B83" s="99"/>
      <c r="C83" s="99"/>
      <c r="D83" s="100"/>
      <c r="E83" s="101"/>
      <c r="F83" s="101"/>
      <c r="G83" s="101"/>
      <c r="H83" s="102"/>
      <c r="I83" s="103"/>
      <c r="J83" s="76"/>
      <c r="K83" s="76"/>
    </row>
    <row r="84" s="1" customFormat="1" ht="14.25" spans="1:11">
      <c r="A84" s="98"/>
      <c r="B84" s="99"/>
      <c r="C84" s="99"/>
      <c r="D84" s="100"/>
      <c r="E84" s="101"/>
      <c r="F84" s="101"/>
      <c r="G84" s="101"/>
      <c r="H84" s="102"/>
      <c r="I84" s="103"/>
      <c r="J84" s="76"/>
      <c r="K84" s="76"/>
    </row>
    <row r="85" s="1" customFormat="1" ht="14.25" spans="1:11">
      <c r="A85" s="98"/>
      <c r="B85" s="99"/>
      <c r="C85" s="99"/>
      <c r="D85" s="100"/>
      <c r="E85" s="101"/>
      <c r="F85" s="101"/>
      <c r="G85" s="101"/>
      <c r="H85" s="102"/>
      <c r="I85" s="103"/>
      <c r="J85" s="76"/>
      <c r="K85" s="76"/>
    </row>
    <row r="86" s="1" customFormat="1" ht="14.25" spans="1:11">
      <c r="A86" s="98"/>
      <c r="B86" s="99"/>
      <c r="C86" s="99"/>
      <c r="D86" s="100"/>
      <c r="E86" s="101"/>
      <c r="F86" s="101"/>
      <c r="G86" s="101"/>
      <c r="H86" s="102"/>
      <c r="I86" s="103"/>
      <c r="J86" s="76"/>
      <c r="K86" s="76"/>
    </row>
    <row r="87" s="1" customFormat="1" ht="14.25" spans="1:11">
      <c r="A87" s="98"/>
      <c r="B87" s="99"/>
      <c r="C87" s="99"/>
      <c r="D87" s="100"/>
      <c r="E87" s="101"/>
      <c r="F87" s="101"/>
      <c r="G87" s="101"/>
      <c r="H87" s="102"/>
      <c r="I87" s="103"/>
      <c r="J87" s="76"/>
      <c r="K87" s="76"/>
    </row>
    <row r="88" s="1" customFormat="1" ht="14.25" spans="1:11">
      <c r="A88" s="98"/>
      <c r="B88" s="99"/>
      <c r="C88" s="99"/>
      <c r="D88" s="100"/>
      <c r="E88" s="101"/>
      <c r="F88" s="101"/>
      <c r="G88" s="101"/>
      <c r="H88" s="102"/>
      <c r="I88" s="103"/>
      <c r="J88" s="76"/>
      <c r="K88" s="76"/>
    </row>
    <row r="89" s="1" customFormat="1" ht="14.25" spans="1:11">
      <c r="A89" s="98"/>
      <c r="B89" s="99"/>
      <c r="C89" s="99"/>
      <c r="D89" s="100"/>
      <c r="E89" s="101"/>
      <c r="F89" s="101"/>
      <c r="G89" s="101"/>
      <c r="H89" s="102"/>
      <c r="I89" s="103"/>
      <c r="J89" s="76"/>
      <c r="K89" s="76"/>
    </row>
    <row r="90" s="1" customFormat="1" ht="14.25" spans="1:11">
      <c r="A90" s="98"/>
      <c r="B90" s="99"/>
      <c r="C90" s="99"/>
      <c r="D90" s="100"/>
      <c r="E90" s="101"/>
      <c r="F90" s="101"/>
      <c r="G90" s="101"/>
      <c r="H90" s="102"/>
      <c r="I90" s="103"/>
      <c r="J90" s="76"/>
      <c r="K90" s="76"/>
    </row>
    <row r="91" s="1" customFormat="1" ht="14.25" spans="1:11">
      <c r="A91" s="98"/>
      <c r="B91" s="99"/>
      <c r="C91" s="99"/>
      <c r="D91" s="100"/>
      <c r="E91" s="101"/>
      <c r="F91" s="101"/>
      <c r="G91" s="101"/>
      <c r="H91" s="102"/>
      <c r="I91" s="103"/>
      <c r="J91" s="76"/>
      <c r="K91" s="76"/>
    </row>
    <row r="92" s="1" customFormat="1" ht="14.25" spans="1:11">
      <c r="A92" s="98"/>
      <c r="B92" s="99"/>
      <c r="C92" s="99"/>
      <c r="D92" s="100"/>
      <c r="E92" s="101"/>
      <c r="F92" s="101"/>
      <c r="G92" s="101"/>
      <c r="H92" s="102"/>
      <c r="I92" s="103"/>
      <c r="J92" s="76"/>
      <c r="K92" s="76"/>
    </row>
    <row r="93" s="1" customFormat="1" ht="14.25" spans="1:11">
      <c r="A93" s="98"/>
      <c r="B93" s="99"/>
      <c r="C93" s="99"/>
      <c r="D93" s="100"/>
      <c r="E93" s="101"/>
      <c r="F93" s="101"/>
      <c r="G93" s="101"/>
      <c r="H93" s="102"/>
      <c r="I93" s="103"/>
      <c r="J93" s="76"/>
      <c r="K93" s="76"/>
    </row>
    <row r="94" s="1" customFormat="1" ht="14.25" spans="1:11">
      <c r="A94" s="98"/>
      <c r="B94" s="99"/>
      <c r="C94" s="99"/>
      <c r="D94" s="100"/>
      <c r="E94" s="101"/>
      <c r="F94" s="101"/>
      <c r="G94" s="101"/>
      <c r="H94" s="102"/>
      <c r="I94" s="103"/>
      <c r="J94" s="76"/>
      <c r="K94" s="76"/>
    </row>
    <row r="95" s="1" customFormat="1" ht="14.25" spans="1:11">
      <c r="A95" s="98"/>
      <c r="B95" s="99"/>
      <c r="C95" s="99"/>
      <c r="D95" s="100"/>
      <c r="E95" s="101"/>
      <c r="F95" s="101"/>
      <c r="G95" s="101"/>
      <c r="H95" s="102"/>
      <c r="I95" s="103"/>
      <c r="J95" s="76"/>
      <c r="K95" s="76"/>
    </row>
    <row r="96" s="1" customFormat="1" ht="14.25" spans="1:11">
      <c r="A96" s="98"/>
      <c r="B96" s="99"/>
      <c r="C96" s="99"/>
      <c r="D96" s="100"/>
      <c r="E96" s="101"/>
      <c r="F96" s="101"/>
      <c r="G96" s="101"/>
      <c r="H96" s="102"/>
      <c r="I96" s="103"/>
      <c r="J96" s="76"/>
      <c r="K96" s="76"/>
    </row>
    <row r="97" s="1" customFormat="1" ht="14.25" spans="1:11">
      <c r="A97" s="98"/>
      <c r="B97" s="99"/>
      <c r="C97" s="99"/>
      <c r="D97" s="100"/>
      <c r="E97" s="101"/>
      <c r="F97" s="101"/>
      <c r="G97" s="101"/>
      <c r="H97" s="102"/>
      <c r="I97" s="103"/>
      <c r="J97" s="76"/>
      <c r="K97" s="76"/>
    </row>
    <row r="98" s="1" customFormat="1" ht="14.25" spans="1:11">
      <c r="A98" s="98"/>
      <c r="B98" s="99"/>
      <c r="C98" s="99"/>
      <c r="D98" s="100"/>
      <c r="E98" s="101"/>
      <c r="F98" s="101"/>
      <c r="G98" s="101"/>
      <c r="H98" s="102"/>
      <c r="I98" s="103"/>
      <c r="J98" s="76"/>
      <c r="K98" s="76"/>
    </row>
    <row r="99" s="1" customFormat="1" ht="14.25" spans="1:11">
      <c r="A99" s="98"/>
      <c r="B99" s="99"/>
      <c r="C99" s="99"/>
      <c r="D99" s="100"/>
      <c r="E99" s="101"/>
      <c r="F99" s="101"/>
      <c r="G99" s="101"/>
      <c r="H99" s="102"/>
      <c r="I99" s="103"/>
      <c r="J99" s="76"/>
      <c r="K99" s="76"/>
    </row>
    <row r="100" s="1" customFormat="1" ht="14.25" spans="1:11">
      <c r="A100" s="98"/>
      <c r="B100" s="99"/>
      <c r="C100" s="99"/>
      <c r="D100" s="100"/>
      <c r="E100" s="101"/>
      <c r="F100" s="101"/>
      <c r="G100" s="101"/>
      <c r="H100" s="102"/>
      <c r="I100" s="103"/>
      <c r="J100" s="76"/>
      <c r="K100" s="76"/>
    </row>
    <row r="101" s="1" customFormat="1" ht="14.25" spans="1:11">
      <c r="A101" s="98"/>
      <c r="B101" s="99"/>
      <c r="C101" s="99"/>
      <c r="D101" s="100"/>
      <c r="E101" s="101"/>
      <c r="F101" s="101"/>
      <c r="G101" s="101"/>
      <c r="H101" s="102"/>
      <c r="I101" s="103"/>
      <c r="J101" s="76"/>
      <c r="K101" s="76"/>
    </row>
    <row r="102" s="1" customFormat="1" ht="14.25" spans="1:11">
      <c r="A102" s="98"/>
      <c r="B102" s="99"/>
      <c r="C102" s="99"/>
      <c r="D102" s="100"/>
      <c r="E102" s="101"/>
      <c r="F102" s="101"/>
      <c r="G102" s="101"/>
      <c r="H102" s="102"/>
      <c r="I102" s="103"/>
      <c r="J102" s="76"/>
      <c r="K102" s="76"/>
    </row>
    <row r="103" s="1" customFormat="1" ht="14.25" spans="1:11">
      <c r="A103" s="98"/>
      <c r="B103" s="99"/>
      <c r="C103" s="99"/>
      <c r="D103" s="100"/>
      <c r="E103" s="101"/>
      <c r="F103" s="101"/>
      <c r="G103" s="101"/>
      <c r="H103" s="102"/>
      <c r="I103" s="103"/>
      <c r="J103" s="76"/>
      <c r="K103" s="76"/>
    </row>
    <row r="104" s="1" customFormat="1" ht="14.25" spans="1:11">
      <c r="A104" s="98"/>
      <c r="B104" s="99"/>
      <c r="C104" s="99"/>
      <c r="D104" s="100"/>
      <c r="E104" s="101"/>
      <c r="F104" s="101"/>
      <c r="G104" s="101"/>
      <c r="H104" s="102"/>
      <c r="I104" s="103"/>
      <c r="J104" s="76"/>
      <c r="K104" s="76"/>
    </row>
    <row r="105" s="1" customFormat="1" ht="14.25" spans="1:11">
      <c r="A105" s="98"/>
      <c r="B105" s="99"/>
      <c r="C105" s="99"/>
      <c r="D105" s="100"/>
      <c r="E105" s="101"/>
      <c r="F105" s="101"/>
      <c r="G105" s="101"/>
      <c r="H105" s="102"/>
      <c r="I105" s="103"/>
      <c r="J105" s="76"/>
      <c r="K105" s="76"/>
    </row>
    <row r="106" s="1" customFormat="1" ht="14.25" spans="1:11">
      <c r="A106" s="98"/>
      <c r="B106" s="99"/>
      <c r="C106" s="99"/>
      <c r="D106" s="100"/>
      <c r="E106" s="101"/>
      <c r="F106" s="101"/>
      <c r="G106" s="101"/>
      <c r="H106" s="102"/>
      <c r="I106" s="103"/>
      <c r="J106" s="76"/>
      <c r="K106" s="76"/>
    </row>
    <row r="107" s="1" customFormat="1" ht="14.25" spans="1:11">
      <c r="A107" s="98"/>
      <c r="B107" s="99"/>
      <c r="C107" s="99"/>
      <c r="D107" s="100"/>
      <c r="E107" s="101"/>
      <c r="F107" s="101"/>
      <c r="G107" s="101"/>
      <c r="H107" s="102"/>
      <c r="I107" s="103"/>
      <c r="J107" s="76"/>
      <c r="K107" s="76"/>
    </row>
    <row r="108" s="1" customFormat="1" ht="14.25" spans="1:11">
      <c r="A108" s="98"/>
      <c r="B108" s="99"/>
      <c r="C108" s="99"/>
      <c r="D108" s="100"/>
      <c r="E108" s="101"/>
      <c r="F108" s="101"/>
      <c r="G108" s="101"/>
      <c r="H108" s="102"/>
      <c r="I108" s="103"/>
      <c r="J108" s="76"/>
      <c r="K108" s="76"/>
    </row>
    <row r="109" s="1" customFormat="1" ht="14.25" spans="1:11">
      <c r="A109" s="98"/>
      <c r="B109" s="99"/>
      <c r="C109" s="99"/>
      <c r="D109" s="100"/>
      <c r="E109" s="101"/>
      <c r="F109" s="101"/>
      <c r="G109" s="101"/>
      <c r="H109" s="102"/>
      <c r="I109" s="103"/>
      <c r="J109" s="76"/>
      <c r="K109" s="76"/>
    </row>
    <row r="110" s="1" customFormat="1" ht="14.25" spans="1:11">
      <c r="A110" s="98"/>
      <c r="B110" s="99"/>
      <c r="C110" s="99"/>
      <c r="D110" s="100"/>
      <c r="E110" s="101"/>
      <c r="F110" s="101"/>
      <c r="G110" s="101"/>
      <c r="H110" s="102"/>
      <c r="I110" s="103"/>
      <c r="J110" s="76"/>
      <c r="K110" s="76"/>
    </row>
    <row r="111" s="1" customFormat="1" ht="14.25" spans="1:11">
      <c r="A111" s="98"/>
      <c r="B111" s="99"/>
      <c r="C111" s="99"/>
      <c r="D111" s="100"/>
      <c r="E111" s="101"/>
      <c r="F111" s="101"/>
      <c r="G111" s="101"/>
      <c r="H111" s="102"/>
      <c r="I111" s="103"/>
      <c r="J111" s="76"/>
      <c r="K111" s="76"/>
    </row>
    <row r="112" s="1" customFormat="1" ht="14.25" spans="1:11">
      <c r="A112" s="98"/>
      <c r="B112" s="99"/>
      <c r="C112" s="99"/>
      <c r="D112" s="100"/>
      <c r="E112" s="101"/>
      <c r="F112" s="101"/>
      <c r="G112" s="101"/>
      <c r="H112" s="102"/>
      <c r="I112" s="103"/>
      <c r="J112" s="76"/>
      <c r="K112" s="76"/>
    </row>
    <row r="113" s="1" customFormat="1" ht="14.25" spans="1:11">
      <c r="A113" s="98"/>
      <c r="B113" s="99"/>
      <c r="C113" s="99"/>
      <c r="D113" s="100"/>
      <c r="E113" s="101"/>
      <c r="F113" s="101"/>
      <c r="G113" s="101"/>
      <c r="H113" s="102"/>
      <c r="I113" s="103"/>
      <c r="J113" s="76"/>
      <c r="K113" s="76"/>
    </row>
    <row r="114" s="1" customFormat="1" ht="14.25" spans="1:11">
      <c r="A114" s="98"/>
      <c r="B114" s="99"/>
      <c r="C114" s="99"/>
      <c r="D114" s="100"/>
      <c r="E114" s="101"/>
      <c r="F114" s="101"/>
      <c r="G114" s="101"/>
      <c r="H114" s="102"/>
      <c r="I114" s="103"/>
      <c r="J114" s="76"/>
      <c r="K114" s="76"/>
    </row>
    <row r="115" s="1" customFormat="1" ht="14.25" spans="1:11">
      <c r="A115" s="98"/>
      <c r="B115" s="99"/>
      <c r="C115" s="99"/>
      <c r="D115" s="100"/>
      <c r="E115" s="101"/>
      <c r="F115" s="101"/>
      <c r="G115" s="101"/>
      <c r="H115" s="102"/>
      <c r="I115" s="103"/>
      <c r="J115" s="76"/>
      <c r="K115" s="76"/>
    </row>
    <row r="116" s="1" customFormat="1" ht="14.25" spans="1:11">
      <c r="A116" s="98"/>
      <c r="B116" s="99"/>
      <c r="C116" s="99"/>
      <c r="D116" s="100"/>
      <c r="E116" s="101"/>
      <c r="F116" s="101"/>
      <c r="G116" s="101"/>
      <c r="H116" s="102"/>
      <c r="I116" s="103"/>
      <c r="J116" s="76"/>
      <c r="K116" s="76"/>
    </row>
    <row r="117" s="1" customFormat="1" ht="14.25" spans="1:11">
      <c r="A117" s="98"/>
      <c r="B117" s="99"/>
      <c r="C117" s="99"/>
      <c r="D117" s="100"/>
      <c r="E117" s="101"/>
      <c r="F117" s="101"/>
      <c r="G117" s="101"/>
      <c r="H117" s="102"/>
      <c r="I117" s="103"/>
      <c r="J117" s="76"/>
      <c r="K117" s="76"/>
    </row>
    <row r="118" s="1" customFormat="1" ht="14.25" spans="1:11">
      <c r="A118" s="98"/>
      <c r="B118" s="99"/>
      <c r="C118" s="99"/>
      <c r="D118" s="100"/>
      <c r="E118" s="101"/>
      <c r="F118" s="101"/>
      <c r="G118" s="101"/>
      <c r="H118" s="102"/>
      <c r="I118" s="103"/>
      <c r="J118" s="76"/>
      <c r="K118" s="76"/>
    </row>
    <row r="119" s="1" customFormat="1" ht="14.25" spans="1:11">
      <c r="A119" s="98"/>
      <c r="B119" s="99"/>
      <c r="C119" s="99"/>
      <c r="D119" s="100"/>
      <c r="E119" s="101"/>
      <c r="F119" s="101"/>
      <c r="G119" s="101"/>
      <c r="H119" s="102"/>
      <c r="I119" s="103"/>
      <c r="J119" s="76"/>
      <c r="K119" s="76"/>
    </row>
    <row r="120" s="1" customFormat="1" ht="14.25" spans="1:11">
      <c r="A120" s="98"/>
      <c r="B120" s="99"/>
      <c r="C120" s="99"/>
      <c r="D120" s="100"/>
      <c r="E120" s="101"/>
      <c r="F120" s="101"/>
      <c r="G120" s="101"/>
      <c r="H120" s="102"/>
      <c r="I120" s="103"/>
      <c r="J120" s="76"/>
      <c r="K120" s="76"/>
    </row>
    <row r="121" s="1" customFormat="1" ht="14.25" spans="1:11">
      <c r="A121" s="98"/>
      <c r="B121" s="99"/>
      <c r="C121" s="99"/>
      <c r="D121" s="100"/>
      <c r="E121" s="101"/>
      <c r="F121" s="101"/>
      <c r="G121" s="101"/>
      <c r="H121" s="102"/>
      <c r="I121" s="103"/>
      <c r="J121" s="76"/>
      <c r="K121" s="76"/>
    </row>
    <row r="122" s="1" customFormat="1" ht="14.25" spans="1:11">
      <c r="A122" s="98"/>
      <c r="B122" s="99"/>
      <c r="C122" s="99"/>
      <c r="D122" s="100"/>
      <c r="E122" s="101"/>
      <c r="F122" s="101"/>
      <c r="G122" s="101"/>
      <c r="H122" s="102"/>
      <c r="I122" s="103"/>
      <c r="J122" s="76"/>
      <c r="K122" s="76"/>
    </row>
    <row r="123" s="1" customFormat="1" ht="14.25" spans="1:11">
      <c r="A123" s="98"/>
      <c r="B123" s="99"/>
      <c r="C123" s="99"/>
      <c r="D123" s="100"/>
      <c r="E123" s="101"/>
      <c r="F123" s="101"/>
      <c r="G123" s="101"/>
      <c r="H123" s="102"/>
      <c r="I123" s="103"/>
      <c r="J123" s="76"/>
      <c r="K123" s="76"/>
    </row>
    <row r="124" s="1" customFormat="1" ht="14.25" spans="1:11">
      <c r="A124" s="98"/>
      <c r="B124" s="99"/>
      <c r="C124" s="99"/>
      <c r="D124" s="100"/>
      <c r="E124" s="101"/>
      <c r="F124" s="101"/>
      <c r="G124" s="101"/>
      <c r="H124" s="102"/>
      <c r="I124" s="103"/>
      <c r="J124" s="76"/>
      <c r="K124" s="76"/>
    </row>
    <row r="125" s="1" customFormat="1" ht="14.25" spans="1:11">
      <c r="A125" s="98"/>
      <c r="B125" s="99"/>
      <c r="C125" s="99"/>
      <c r="D125" s="100"/>
      <c r="E125" s="101"/>
      <c r="F125" s="101"/>
      <c r="G125" s="101"/>
      <c r="H125" s="102"/>
      <c r="I125" s="103"/>
      <c r="J125" s="76"/>
      <c r="K125" s="76"/>
    </row>
    <row r="126" s="1" customFormat="1" ht="14.25" spans="1:11">
      <c r="A126" s="98"/>
      <c r="B126" s="99"/>
      <c r="C126" s="99"/>
      <c r="D126" s="100"/>
      <c r="E126" s="101"/>
      <c r="F126" s="102"/>
      <c r="G126" s="101"/>
      <c r="H126" s="102"/>
      <c r="I126" s="103"/>
      <c r="J126" s="76"/>
      <c r="K126" s="76"/>
    </row>
    <row r="127" s="1" customFormat="1" ht="14.25" spans="1:11">
      <c r="A127" s="98"/>
      <c r="B127" s="99"/>
      <c r="C127" s="99"/>
      <c r="D127" s="100"/>
      <c r="E127" s="101"/>
      <c r="F127" s="101"/>
      <c r="G127" s="101"/>
      <c r="H127" s="102"/>
      <c r="I127" s="103"/>
      <c r="J127" s="76"/>
      <c r="K127" s="76"/>
    </row>
    <row r="128" s="1" customFormat="1" ht="14.25" spans="1:11">
      <c r="A128" s="98"/>
      <c r="B128" s="99"/>
      <c r="C128" s="99"/>
      <c r="D128" s="100"/>
      <c r="E128" s="101"/>
      <c r="F128" s="101"/>
      <c r="G128" s="101"/>
      <c r="H128" s="102"/>
      <c r="I128" s="103"/>
      <c r="J128" s="76"/>
      <c r="K128" s="76"/>
    </row>
    <row r="129" s="1" customFormat="1" ht="14.25" spans="1:11">
      <c r="A129" s="98"/>
      <c r="B129" s="99"/>
      <c r="C129" s="99"/>
      <c r="D129" s="100"/>
      <c r="E129" s="101"/>
      <c r="F129" s="101"/>
      <c r="G129" s="101"/>
      <c r="H129" s="102"/>
      <c r="I129" s="103"/>
      <c r="J129" s="76"/>
      <c r="K129" s="76"/>
    </row>
    <row r="130" s="1" customFormat="1" ht="14.25" spans="1:11">
      <c r="A130" s="98"/>
      <c r="B130" s="99"/>
      <c r="C130" s="99"/>
      <c r="D130" s="100"/>
      <c r="E130" s="101"/>
      <c r="F130" s="101"/>
      <c r="G130" s="101"/>
      <c r="H130" s="102"/>
      <c r="I130" s="103"/>
      <c r="J130" s="76"/>
      <c r="K130" s="76"/>
    </row>
    <row r="131" s="1" customFormat="1" ht="14.25" spans="1:11">
      <c r="A131" s="98"/>
      <c r="B131" s="99"/>
      <c r="C131" s="99"/>
      <c r="D131" s="100"/>
      <c r="E131" s="101"/>
      <c r="F131" s="101"/>
      <c r="G131" s="101"/>
      <c r="H131" s="102"/>
      <c r="I131" s="103"/>
      <c r="J131" s="76"/>
      <c r="K131" s="76"/>
    </row>
    <row r="132" s="1" customFormat="1" ht="14.25" spans="1:11">
      <c r="A132" s="98"/>
      <c r="B132" s="99"/>
      <c r="C132" s="99"/>
      <c r="D132" s="100"/>
      <c r="E132" s="101"/>
      <c r="F132" s="101"/>
      <c r="G132" s="101"/>
      <c r="H132" s="102"/>
      <c r="I132" s="103"/>
      <c r="J132" s="76"/>
      <c r="K132" s="76"/>
    </row>
    <row r="133" s="1" customFormat="1" ht="14.25" spans="1:11">
      <c r="A133" s="98"/>
      <c r="B133" s="99"/>
      <c r="C133" s="99"/>
      <c r="D133" s="100"/>
      <c r="E133" s="101"/>
      <c r="F133" s="101"/>
      <c r="G133" s="101"/>
      <c r="H133" s="102"/>
      <c r="I133" s="103"/>
      <c r="J133" s="76"/>
      <c r="K133" s="76"/>
    </row>
    <row r="134" s="1" customFormat="1" ht="14.25" spans="1:11">
      <c r="A134" s="98"/>
      <c r="B134" s="99"/>
      <c r="C134" s="99"/>
      <c r="D134" s="100"/>
      <c r="E134" s="101"/>
      <c r="F134" s="101"/>
      <c r="G134" s="101"/>
      <c r="H134" s="102"/>
      <c r="I134" s="103"/>
      <c r="J134" s="76"/>
      <c r="K134" s="76"/>
    </row>
    <row r="135" s="1" customFormat="1" ht="14.25" spans="1:11">
      <c r="A135" s="98"/>
      <c r="B135" s="99"/>
      <c r="C135" s="99"/>
      <c r="D135" s="100"/>
      <c r="E135" s="101"/>
      <c r="F135" s="102"/>
      <c r="G135" s="101"/>
      <c r="H135" s="102"/>
      <c r="I135" s="103"/>
      <c r="J135" s="76"/>
      <c r="K135" s="76"/>
    </row>
    <row r="136" s="1" customFormat="1" ht="14.25" spans="1:11">
      <c r="A136" s="98"/>
      <c r="B136" s="99"/>
      <c r="C136" s="99"/>
      <c r="D136" s="100"/>
      <c r="E136" s="101"/>
      <c r="F136" s="101"/>
      <c r="G136" s="101"/>
      <c r="H136" s="102"/>
      <c r="I136" s="103"/>
      <c r="J136" s="76"/>
      <c r="K136" s="76"/>
    </row>
    <row r="137" s="1" customFormat="1" ht="14.25" spans="1:11">
      <c r="A137" s="98"/>
      <c r="B137" s="99"/>
      <c r="C137" s="99"/>
      <c r="D137" s="100"/>
      <c r="E137" s="101"/>
      <c r="F137" s="101"/>
      <c r="G137" s="101"/>
      <c r="H137" s="102"/>
      <c r="I137" s="103"/>
      <c r="J137" s="76"/>
      <c r="K137" s="76"/>
    </row>
    <row r="138" s="1" customFormat="1" ht="14.25" spans="1:11">
      <c r="A138" s="98"/>
      <c r="B138" s="99"/>
      <c r="C138" s="99"/>
      <c r="D138" s="100"/>
      <c r="E138" s="101"/>
      <c r="F138" s="101"/>
      <c r="G138" s="101"/>
      <c r="H138" s="102"/>
      <c r="I138" s="103"/>
      <c r="J138" s="76"/>
      <c r="K138" s="76"/>
    </row>
    <row r="139" s="1" customFormat="1" ht="14.25" spans="1:11">
      <c r="A139" s="98"/>
      <c r="B139" s="99"/>
      <c r="C139" s="99"/>
      <c r="D139" s="100"/>
      <c r="E139" s="101"/>
      <c r="F139" s="101"/>
      <c r="G139" s="101"/>
      <c r="H139" s="102"/>
      <c r="I139" s="103"/>
      <c r="J139" s="76"/>
      <c r="K139" s="76"/>
    </row>
    <row r="140" s="1" customFormat="1" ht="14.25" spans="1:11">
      <c r="A140" s="98"/>
      <c r="B140" s="99"/>
      <c r="C140" s="99"/>
      <c r="D140" s="100"/>
      <c r="E140" s="101"/>
      <c r="F140" s="101"/>
      <c r="G140" s="101"/>
      <c r="H140" s="102"/>
      <c r="I140" s="103"/>
      <c r="J140" s="76"/>
      <c r="K140" s="76"/>
    </row>
    <row r="141" s="1" customFormat="1" ht="14.25" spans="1:11">
      <c r="A141" s="98"/>
      <c r="B141" s="99"/>
      <c r="C141" s="99"/>
      <c r="D141" s="100"/>
      <c r="E141" s="101"/>
      <c r="F141" s="101"/>
      <c r="G141" s="101"/>
      <c r="H141" s="102"/>
      <c r="I141" s="103"/>
      <c r="J141" s="76"/>
      <c r="K141" s="76"/>
    </row>
    <row r="142" s="1" customFormat="1" ht="14.25" spans="1:11">
      <c r="A142" s="98"/>
      <c r="B142" s="99"/>
      <c r="C142" s="99"/>
      <c r="D142" s="100"/>
      <c r="E142" s="101"/>
      <c r="F142" s="101"/>
      <c r="G142" s="101"/>
      <c r="H142" s="102"/>
      <c r="I142" s="103"/>
      <c r="J142" s="76"/>
      <c r="K142" s="76"/>
    </row>
    <row r="143" s="1" customFormat="1" ht="14.25" spans="1:11">
      <c r="A143" s="98"/>
      <c r="B143" s="99"/>
      <c r="C143" s="99"/>
      <c r="D143" s="100"/>
      <c r="E143" s="101"/>
      <c r="F143" s="102"/>
      <c r="G143" s="101"/>
      <c r="H143" s="102"/>
      <c r="I143" s="103"/>
      <c r="J143" s="76"/>
      <c r="K143" s="76"/>
    </row>
    <row r="144" s="1" customFormat="1" ht="14.25" spans="1:11">
      <c r="A144" s="98"/>
      <c r="B144" s="99"/>
      <c r="C144" s="99"/>
      <c r="D144" s="100"/>
      <c r="E144" s="101"/>
      <c r="F144" s="101"/>
      <c r="G144" s="101"/>
      <c r="H144" s="102"/>
      <c r="I144" s="103"/>
      <c r="J144" s="76"/>
      <c r="K144" s="76"/>
    </row>
    <row r="145" s="1" customFormat="1" ht="14.25" spans="1:11">
      <c r="A145" s="98"/>
      <c r="B145" s="99"/>
      <c r="C145" s="99"/>
      <c r="D145" s="100"/>
      <c r="E145" s="101"/>
      <c r="F145" s="101"/>
      <c r="G145" s="101"/>
      <c r="H145" s="102"/>
      <c r="I145" s="103"/>
      <c r="J145" s="76"/>
      <c r="K145" s="76"/>
    </row>
    <row r="146" s="1" customFormat="1" ht="14.25" spans="1:11">
      <c r="A146" s="98"/>
      <c r="B146" s="99"/>
      <c r="C146" s="99"/>
      <c r="D146" s="100"/>
      <c r="E146" s="101"/>
      <c r="F146" s="101"/>
      <c r="G146" s="101"/>
      <c r="H146" s="102"/>
      <c r="I146" s="103"/>
      <c r="J146" s="76"/>
      <c r="K146" s="76"/>
    </row>
    <row r="147" s="1" customFormat="1" ht="14.25" spans="1:11">
      <c r="A147" s="98"/>
      <c r="B147" s="99"/>
      <c r="C147" s="99"/>
      <c r="D147" s="100"/>
      <c r="E147" s="101"/>
      <c r="F147" s="101"/>
      <c r="G147" s="101"/>
      <c r="H147" s="102"/>
      <c r="I147" s="103"/>
      <c r="J147" s="76"/>
      <c r="K147" s="76"/>
    </row>
    <row r="148" s="1" customFormat="1" ht="14.25" spans="1:11">
      <c r="A148" s="98"/>
      <c r="B148" s="99"/>
      <c r="C148" s="99"/>
      <c r="D148" s="100"/>
      <c r="E148" s="101"/>
      <c r="F148" s="101"/>
      <c r="G148" s="101"/>
      <c r="H148" s="102"/>
      <c r="I148" s="103"/>
      <c r="J148" s="76"/>
      <c r="K148" s="76"/>
    </row>
    <row r="149" s="1" customFormat="1" ht="14.25" spans="1:11">
      <c r="A149" s="98"/>
      <c r="B149" s="99"/>
      <c r="C149" s="99"/>
      <c r="D149" s="100"/>
      <c r="E149" s="101"/>
      <c r="F149" s="101"/>
      <c r="G149" s="101"/>
      <c r="H149" s="102"/>
      <c r="I149" s="103"/>
      <c r="J149" s="76"/>
      <c r="K149" s="76"/>
    </row>
    <row r="150" s="1" customFormat="1" ht="14.25" spans="1:11">
      <c r="A150" s="98"/>
      <c r="B150" s="99"/>
      <c r="C150" s="99"/>
      <c r="D150" s="100"/>
      <c r="E150" s="101"/>
      <c r="F150" s="101"/>
      <c r="G150" s="101"/>
      <c r="H150" s="102"/>
      <c r="I150" s="103"/>
      <c r="J150" s="76"/>
      <c r="K150" s="76"/>
    </row>
    <row r="151" s="1" customFormat="1" ht="14.25" spans="1:11">
      <c r="A151" s="98"/>
      <c r="B151" s="99"/>
      <c r="C151" s="99"/>
      <c r="D151" s="100"/>
      <c r="E151" s="101"/>
      <c r="F151" s="101"/>
      <c r="G151" s="101"/>
      <c r="H151" s="102"/>
      <c r="I151" s="103"/>
      <c r="J151" s="76"/>
      <c r="K151" s="76"/>
    </row>
    <row r="152" s="1" customFormat="1" ht="14.25" spans="1:11">
      <c r="A152" s="98"/>
      <c r="B152" s="99"/>
      <c r="C152" s="99"/>
      <c r="D152" s="100"/>
      <c r="E152" s="101"/>
      <c r="F152" s="102"/>
      <c r="G152" s="101"/>
      <c r="H152" s="102"/>
      <c r="I152" s="103"/>
      <c r="J152" s="76"/>
      <c r="K152" s="76"/>
    </row>
    <row r="153" s="1" customFormat="1" ht="14.25" spans="1:11">
      <c r="A153" s="98"/>
      <c r="B153" s="99"/>
      <c r="C153" s="99"/>
      <c r="D153" s="100"/>
      <c r="E153" s="101"/>
      <c r="F153" s="101"/>
      <c r="G153" s="101"/>
      <c r="H153" s="102"/>
      <c r="I153" s="103"/>
      <c r="J153" s="76"/>
      <c r="K153" s="76"/>
    </row>
    <row r="154" s="1" customFormat="1" ht="14.25" spans="1:11">
      <c r="A154" s="98"/>
      <c r="B154" s="99"/>
      <c r="C154" s="99"/>
      <c r="D154" s="100"/>
      <c r="E154" s="101"/>
      <c r="F154" s="102"/>
      <c r="G154" s="101"/>
      <c r="H154" s="102"/>
      <c r="I154" s="103"/>
      <c r="J154" s="76"/>
      <c r="K154" s="76"/>
    </row>
    <row r="155" s="1" customFormat="1" ht="14.25" spans="1:11">
      <c r="A155" s="98"/>
      <c r="B155" s="99"/>
      <c r="C155" s="99"/>
      <c r="D155" s="100"/>
      <c r="E155" s="101"/>
      <c r="F155" s="101"/>
      <c r="G155" s="101"/>
      <c r="H155" s="102"/>
      <c r="I155" s="103"/>
      <c r="J155" s="76"/>
      <c r="K155" s="76"/>
    </row>
    <row r="156" s="1" customFormat="1" ht="14.25" spans="1:11">
      <c r="A156" s="98"/>
      <c r="B156" s="99"/>
      <c r="C156" s="99"/>
      <c r="D156" s="100"/>
      <c r="E156" s="101"/>
      <c r="F156" s="101"/>
      <c r="G156" s="101"/>
      <c r="H156" s="102"/>
      <c r="I156" s="103"/>
      <c r="J156" s="76"/>
      <c r="K156" s="76"/>
    </row>
    <row r="157" s="1" customFormat="1" ht="14.25" spans="1:11">
      <c r="A157" s="98"/>
      <c r="B157" s="99"/>
      <c r="C157" s="99"/>
      <c r="D157" s="100"/>
      <c r="E157" s="101"/>
      <c r="F157" s="101"/>
      <c r="G157" s="101"/>
      <c r="H157" s="102"/>
      <c r="I157" s="103"/>
      <c r="J157" s="76"/>
      <c r="K157" s="76"/>
    </row>
    <row r="158" s="1" customFormat="1" ht="14.25" spans="1:11">
      <c r="A158" s="98"/>
      <c r="B158" s="99"/>
      <c r="C158" s="99"/>
      <c r="D158" s="100"/>
      <c r="E158" s="101"/>
      <c r="F158" s="102"/>
      <c r="G158" s="101"/>
      <c r="H158" s="102"/>
      <c r="I158" s="103"/>
      <c r="J158" s="76"/>
      <c r="K158" s="76"/>
    </row>
    <row r="159" s="1" customFormat="1" ht="14.25" spans="1:11">
      <c r="A159" s="98"/>
      <c r="B159" s="99"/>
      <c r="C159" s="99"/>
      <c r="D159" s="100"/>
      <c r="E159" s="101"/>
      <c r="F159" s="102"/>
      <c r="G159" s="101"/>
      <c r="H159" s="102"/>
      <c r="I159" s="103"/>
      <c r="J159" s="76"/>
      <c r="K159" s="76"/>
    </row>
    <row r="160" s="1" customFormat="1" ht="14.25" spans="1:11">
      <c r="A160" s="98"/>
      <c r="B160" s="99"/>
      <c r="C160" s="99"/>
      <c r="D160" s="100"/>
      <c r="E160" s="101"/>
      <c r="F160" s="101"/>
      <c r="G160" s="101"/>
      <c r="H160" s="102"/>
      <c r="I160" s="103"/>
      <c r="J160" s="76"/>
      <c r="K160" s="76"/>
    </row>
    <row r="161" s="1" customFormat="1" ht="14.25" spans="1:11">
      <c r="A161" s="98"/>
      <c r="B161" s="99"/>
      <c r="C161" s="99"/>
      <c r="D161" s="100"/>
      <c r="E161" s="101"/>
      <c r="F161" s="101"/>
      <c r="G161" s="101"/>
      <c r="H161" s="102"/>
      <c r="I161" s="103"/>
      <c r="J161" s="76"/>
      <c r="K161" s="76"/>
    </row>
    <row r="162" s="1" customFormat="1" ht="14.25" spans="1:11">
      <c r="A162" s="98"/>
      <c r="B162" s="99"/>
      <c r="C162" s="99"/>
      <c r="D162" s="100"/>
      <c r="E162" s="101"/>
      <c r="F162" s="101"/>
      <c r="G162" s="101"/>
      <c r="H162" s="102"/>
      <c r="I162" s="103"/>
      <c r="J162" s="76"/>
      <c r="K162" s="76"/>
    </row>
    <row r="163" s="1" customFormat="1" ht="14.25" spans="1:11">
      <c r="A163" s="98"/>
      <c r="B163" s="99"/>
      <c r="C163" s="99"/>
      <c r="D163" s="100"/>
      <c r="E163" s="101"/>
      <c r="F163" s="101"/>
      <c r="G163" s="101"/>
      <c r="H163" s="102"/>
      <c r="I163" s="103"/>
      <c r="J163" s="76"/>
      <c r="K163" s="76"/>
    </row>
    <row r="164" s="1" customFormat="1" ht="14.25" spans="1:11">
      <c r="A164" s="98"/>
      <c r="B164" s="99"/>
      <c r="C164" s="99"/>
      <c r="D164" s="100"/>
      <c r="E164" s="101"/>
      <c r="F164" s="102"/>
      <c r="G164" s="101"/>
      <c r="H164" s="102"/>
      <c r="I164" s="103"/>
      <c r="J164" s="76"/>
      <c r="K164" s="76"/>
    </row>
    <row r="165" s="1" customFormat="1" ht="14.25" spans="1:11">
      <c r="A165" s="98"/>
      <c r="B165" s="99"/>
      <c r="C165" s="99"/>
      <c r="D165" s="100"/>
      <c r="E165" s="101"/>
      <c r="F165" s="101"/>
      <c r="G165" s="101"/>
      <c r="H165" s="102"/>
      <c r="I165" s="103"/>
      <c r="J165" s="76"/>
      <c r="K165" s="76"/>
    </row>
    <row r="166" s="1" customFormat="1" ht="14.25" spans="1:11">
      <c r="A166" s="98"/>
      <c r="B166" s="99"/>
      <c r="C166" s="99"/>
      <c r="D166" s="100"/>
      <c r="E166" s="101"/>
      <c r="F166" s="101"/>
      <c r="G166" s="101"/>
      <c r="H166" s="102"/>
      <c r="I166" s="103"/>
      <c r="J166" s="76"/>
      <c r="K166" s="76"/>
    </row>
    <row r="167" s="1" customFormat="1" ht="14.25" spans="1:11">
      <c r="A167" s="98"/>
      <c r="B167" s="99"/>
      <c r="C167" s="99"/>
      <c r="D167" s="100"/>
      <c r="E167" s="101"/>
      <c r="F167" s="101"/>
      <c r="G167" s="101"/>
      <c r="H167" s="102"/>
      <c r="I167" s="103"/>
      <c r="J167" s="76"/>
      <c r="K167" s="76"/>
    </row>
    <row r="168" s="1" customFormat="1" ht="14.25" spans="1:11">
      <c r="A168" s="98"/>
      <c r="B168" s="99"/>
      <c r="C168" s="99"/>
      <c r="D168" s="100"/>
      <c r="E168" s="101"/>
      <c r="F168" s="102"/>
      <c r="G168" s="101"/>
      <c r="H168" s="102"/>
      <c r="I168" s="103"/>
      <c r="J168" s="76"/>
      <c r="K168" s="76"/>
    </row>
    <row r="169" s="1" customFormat="1" ht="14.25" spans="1:11">
      <c r="A169" s="98"/>
      <c r="B169" s="99"/>
      <c r="C169" s="99"/>
      <c r="D169" s="100"/>
      <c r="E169" s="101"/>
      <c r="F169" s="101"/>
      <c r="G169" s="101"/>
      <c r="H169" s="102"/>
      <c r="I169" s="103"/>
      <c r="J169" s="76"/>
      <c r="K169" s="76"/>
    </row>
    <row r="170" s="1" customFormat="1" ht="14.25" spans="1:11">
      <c r="A170" s="98"/>
      <c r="B170" s="99"/>
      <c r="C170" s="99"/>
      <c r="D170" s="100"/>
      <c r="E170" s="101"/>
      <c r="F170" s="101"/>
      <c r="G170" s="101"/>
      <c r="H170" s="102"/>
      <c r="I170" s="103"/>
      <c r="J170" s="76"/>
      <c r="K170" s="76"/>
    </row>
    <row r="171" s="1" customFormat="1" ht="14.25" spans="1:11">
      <c r="A171" s="98"/>
      <c r="B171" s="99"/>
      <c r="C171" s="99"/>
      <c r="D171" s="100"/>
      <c r="E171" s="101"/>
      <c r="F171" s="101"/>
      <c r="G171" s="101"/>
      <c r="H171" s="102"/>
      <c r="I171" s="103"/>
      <c r="J171" s="76"/>
      <c r="K171" s="76"/>
    </row>
    <row r="172" s="1" customFormat="1" ht="14.25" spans="1:11">
      <c r="A172" s="98"/>
      <c r="B172" s="99"/>
      <c r="C172" s="99"/>
      <c r="D172" s="100"/>
      <c r="E172" s="101"/>
      <c r="F172" s="102"/>
      <c r="G172" s="101"/>
      <c r="H172" s="102"/>
      <c r="I172" s="103"/>
      <c r="J172" s="76"/>
      <c r="K172" s="76"/>
    </row>
    <row r="173" s="1" customFormat="1" ht="14.25" spans="1:11">
      <c r="A173" s="98"/>
      <c r="B173" s="99"/>
      <c r="C173" s="99"/>
      <c r="D173" s="100"/>
      <c r="E173" s="101"/>
      <c r="F173" s="101"/>
      <c r="G173" s="101"/>
      <c r="H173" s="102"/>
      <c r="I173" s="103"/>
      <c r="J173" s="76"/>
      <c r="K173" s="76"/>
    </row>
    <row r="174" s="1" customFormat="1" ht="14.25" spans="1:11">
      <c r="A174" s="98"/>
      <c r="B174" s="99"/>
      <c r="C174" s="99"/>
      <c r="D174" s="100"/>
      <c r="E174" s="101"/>
      <c r="F174" s="101"/>
      <c r="G174" s="101"/>
      <c r="H174" s="102"/>
      <c r="I174" s="103"/>
      <c r="J174" s="76"/>
      <c r="K174" s="76"/>
    </row>
    <row r="175" s="1" customFormat="1" ht="14.25" spans="1:11">
      <c r="A175" s="98"/>
      <c r="B175" s="99"/>
      <c r="C175" s="99"/>
      <c r="D175" s="100"/>
      <c r="E175" s="101"/>
      <c r="F175" s="102"/>
      <c r="G175" s="101"/>
      <c r="H175" s="102"/>
      <c r="I175" s="103"/>
      <c r="J175" s="76"/>
      <c r="K175" s="76"/>
    </row>
    <row r="176" s="1" customFormat="1" ht="14.25" spans="1:11">
      <c r="A176" s="98"/>
      <c r="B176" s="99"/>
      <c r="C176" s="99"/>
      <c r="D176" s="100"/>
      <c r="E176" s="101"/>
      <c r="F176" s="101"/>
      <c r="G176" s="101"/>
      <c r="H176" s="102"/>
      <c r="I176" s="103"/>
      <c r="J176" s="76"/>
      <c r="K176" s="76"/>
    </row>
    <row r="177" s="1" customFormat="1" ht="14.25" spans="1:11">
      <c r="A177" s="98"/>
      <c r="B177" s="99"/>
      <c r="C177" s="99"/>
      <c r="D177" s="100"/>
      <c r="E177" s="101"/>
      <c r="F177" s="101"/>
      <c r="G177" s="101"/>
      <c r="H177" s="102"/>
      <c r="I177" s="103"/>
      <c r="J177" s="76"/>
      <c r="K177" s="76"/>
    </row>
    <row r="178" s="1" customFormat="1" ht="14.25" spans="1:11">
      <c r="A178" s="98"/>
      <c r="B178" s="99"/>
      <c r="C178" s="99"/>
      <c r="D178" s="100"/>
      <c r="E178" s="101"/>
      <c r="F178" s="102"/>
      <c r="G178" s="101"/>
      <c r="H178" s="102"/>
      <c r="I178" s="103"/>
      <c r="J178" s="76"/>
      <c r="K178" s="76"/>
    </row>
    <row r="179" s="1" customFormat="1" ht="14.25" spans="1:11">
      <c r="A179" s="98"/>
      <c r="B179" s="99"/>
      <c r="C179" s="99"/>
      <c r="D179" s="100"/>
      <c r="E179" s="101"/>
      <c r="F179" s="101"/>
      <c r="G179" s="101"/>
      <c r="H179" s="102"/>
      <c r="I179" s="103"/>
      <c r="J179" s="76"/>
      <c r="K179" s="76"/>
    </row>
    <row r="180" s="1" customFormat="1" ht="14.25" spans="1:11">
      <c r="A180" s="98"/>
      <c r="B180" s="99"/>
      <c r="C180" s="99"/>
      <c r="D180" s="100"/>
      <c r="E180" s="101"/>
      <c r="F180" s="101"/>
      <c r="G180" s="101"/>
      <c r="H180" s="102"/>
      <c r="I180" s="103"/>
      <c r="J180" s="76"/>
      <c r="K180" s="76"/>
    </row>
    <row r="181" s="1" customFormat="1" ht="14.25" spans="1:11">
      <c r="A181" s="98"/>
      <c r="B181" s="99"/>
      <c r="C181" s="99"/>
      <c r="D181" s="100"/>
      <c r="E181" s="101"/>
      <c r="F181" s="101"/>
      <c r="G181" s="101"/>
      <c r="H181" s="102"/>
      <c r="I181" s="103"/>
      <c r="J181" s="76"/>
      <c r="K181" s="76"/>
    </row>
    <row r="182" s="1" customFormat="1" ht="14.25" spans="1:11">
      <c r="A182" s="98"/>
      <c r="B182" s="99"/>
      <c r="C182" s="99"/>
      <c r="D182" s="100"/>
      <c r="E182" s="101"/>
      <c r="F182" s="102"/>
      <c r="G182" s="101"/>
      <c r="H182" s="102"/>
      <c r="I182" s="103"/>
      <c r="J182" s="76"/>
      <c r="K182" s="76"/>
    </row>
    <row r="183" s="1" customFormat="1" ht="14.25" spans="1:11">
      <c r="A183" s="98"/>
      <c r="B183" s="99"/>
      <c r="C183" s="99"/>
      <c r="D183" s="100"/>
      <c r="E183" s="101"/>
      <c r="F183" s="101"/>
      <c r="G183" s="101"/>
      <c r="H183" s="102"/>
      <c r="I183" s="103"/>
      <c r="J183" s="76"/>
      <c r="K183" s="76"/>
    </row>
    <row r="184" s="1" customFormat="1" ht="14.25" spans="1:11">
      <c r="A184" s="98"/>
      <c r="B184" s="99"/>
      <c r="C184" s="99"/>
      <c r="D184" s="100"/>
      <c r="E184" s="101"/>
      <c r="F184" s="101"/>
      <c r="G184" s="101"/>
      <c r="H184" s="102"/>
      <c r="I184" s="103"/>
      <c r="J184" s="76"/>
      <c r="K184" s="76"/>
    </row>
    <row r="185" s="1" customFormat="1" ht="14.25" spans="1:11">
      <c r="A185" s="98"/>
      <c r="B185" s="99"/>
      <c r="C185" s="99"/>
      <c r="D185" s="100"/>
      <c r="E185" s="101"/>
      <c r="F185" s="101"/>
      <c r="G185" s="101"/>
      <c r="H185" s="102"/>
      <c r="I185" s="103"/>
      <c r="J185" s="76"/>
      <c r="K185" s="76"/>
    </row>
    <row r="186" s="1" customFormat="1" ht="14.25" spans="1:11">
      <c r="A186" s="98"/>
      <c r="B186" s="99"/>
      <c r="C186" s="99"/>
      <c r="D186" s="100"/>
      <c r="E186" s="101"/>
      <c r="F186" s="101"/>
      <c r="G186" s="101"/>
      <c r="H186" s="102"/>
      <c r="I186" s="103"/>
      <c r="J186" s="76"/>
      <c r="K186" s="76"/>
    </row>
    <row r="187" s="1" customFormat="1" ht="14.25" spans="1:11">
      <c r="A187" s="98"/>
      <c r="B187" s="99"/>
      <c r="C187" s="99"/>
      <c r="D187" s="100"/>
      <c r="E187" s="101"/>
      <c r="F187" s="101"/>
      <c r="G187" s="101"/>
      <c r="H187" s="102"/>
      <c r="I187" s="103"/>
      <c r="J187" s="76"/>
      <c r="K187" s="76"/>
    </row>
    <row r="188" s="1" customFormat="1" ht="14.25" spans="1:11">
      <c r="A188" s="98"/>
      <c r="B188" s="99"/>
      <c r="C188" s="99"/>
      <c r="D188" s="100"/>
      <c r="E188" s="101"/>
      <c r="F188" s="101"/>
      <c r="G188" s="101"/>
      <c r="H188" s="102"/>
      <c r="I188" s="103"/>
      <c r="J188" s="76"/>
      <c r="K188" s="76"/>
    </row>
    <row r="189" s="1" customFormat="1" ht="14.25" spans="1:11">
      <c r="A189" s="98"/>
      <c r="B189" s="99"/>
      <c r="C189" s="99"/>
      <c r="D189" s="100"/>
      <c r="E189" s="101"/>
      <c r="F189" s="101"/>
      <c r="G189" s="101"/>
      <c r="H189" s="102"/>
      <c r="I189" s="103"/>
      <c r="J189" s="76"/>
      <c r="K189" s="76"/>
    </row>
    <row r="190" s="1" customFormat="1" ht="14.25" spans="1:11">
      <c r="A190" s="98"/>
      <c r="B190" s="99"/>
      <c r="C190" s="99"/>
      <c r="D190" s="100"/>
      <c r="E190" s="101"/>
      <c r="F190" s="102"/>
      <c r="G190" s="100"/>
      <c r="H190" s="103"/>
      <c r="I190" s="103"/>
      <c r="J190" s="76"/>
      <c r="K190" s="76"/>
    </row>
    <row r="191" s="1" customFormat="1" ht="14.25" spans="1:11">
      <c r="A191" s="98"/>
      <c r="B191" s="99"/>
      <c r="C191" s="99"/>
      <c r="D191" s="100"/>
      <c r="E191" s="101"/>
      <c r="F191" s="101"/>
      <c r="G191" s="101"/>
      <c r="H191" s="102"/>
      <c r="I191" s="103"/>
      <c r="J191" s="76"/>
      <c r="K191" s="76"/>
    </row>
    <row r="192" s="1" customFormat="1" ht="14.25" spans="1:11">
      <c r="A192" s="98"/>
      <c r="B192" s="99"/>
      <c r="C192" s="99"/>
      <c r="D192" s="100"/>
      <c r="E192" s="101"/>
      <c r="F192" s="101"/>
      <c r="G192" s="101"/>
      <c r="H192" s="102"/>
      <c r="I192" s="103"/>
      <c r="J192" s="76"/>
      <c r="K192" s="76"/>
    </row>
    <row r="193" s="1" customFormat="1" ht="14.25" spans="1:11">
      <c r="A193" s="98"/>
      <c r="B193" s="99"/>
      <c r="C193" s="99"/>
      <c r="D193" s="100"/>
      <c r="E193" s="101"/>
      <c r="F193" s="101"/>
      <c r="G193" s="101"/>
      <c r="H193" s="102"/>
      <c r="I193" s="103"/>
      <c r="J193" s="76"/>
      <c r="K193" s="76"/>
    </row>
    <row r="194" s="1" customFormat="1" ht="14.25" spans="1:11">
      <c r="A194" s="98"/>
      <c r="B194" s="99"/>
      <c r="C194" s="99"/>
      <c r="D194" s="100"/>
      <c r="E194" s="101"/>
      <c r="F194" s="101"/>
      <c r="G194" s="101"/>
      <c r="H194" s="102"/>
      <c r="I194" s="103"/>
      <c r="J194" s="76"/>
      <c r="K194" s="76"/>
    </row>
    <row r="195" s="1" customFormat="1" ht="14.25" spans="1:11">
      <c r="A195" s="98"/>
      <c r="B195" s="99"/>
      <c r="C195" s="99"/>
      <c r="D195" s="100"/>
      <c r="E195" s="101"/>
      <c r="F195" s="102"/>
      <c r="G195" s="101"/>
      <c r="H195" s="102"/>
      <c r="I195" s="103"/>
      <c r="J195" s="76"/>
      <c r="K195" s="76"/>
    </row>
    <row r="196" s="1" customFormat="1" ht="14.25" spans="1:11">
      <c r="A196" s="98"/>
      <c r="B196" s="99"/>
      <c r="C196" s="99"/>
      <c r="D196" s="100"/>
      <c r="E196" s="101"/>
      <c r="F196" s="101"/>
      <c r="G196" s="101"/>
      <c r="H196" s="102"/>
      <c r="I196" s="103"/>
      <c r="J196" s="76"/>
      <c r="K196" s="76"/>
    </row>
    <row r="197" s="1" customFormat="1" ht="14.25" spans="1:11">
      <c r="A197" s="98"/>
      <c r="B197" s="99"/>
      <c r="C197" s="99"/>
      <c r="D197" s="100"/>
      <c r="E197" s="101"/>
      <c r="F197" s="101"/>
      <c r="G197" s="101"/>
      <c r="H197" s="102"/>
      <c r="I197" s="103"/>
      <c r="J197" s="76"/>
      <c r="K197" s="76"/>
    </row>
    <row r="198" s="1" customFormat="1" ht="14.25" spans="1:11">
      <c r="A198" s="98"/>
      <c r="B198" s="99"/>
      <c r="C198" s="99"/>
      <c r="D198" s="100"/>
      <c r="E198" s="101"/>
      <c r="F198" s="101"/>
      <c r="G198" s="101"/>
      <c r="H198" s="102"/>
      <c r="I198" s="103"/>
      <c r="J198" s="76"/>
      <c r="K198" s="76"/>
    </row>
    <row r="199" s="1" customFormat="1" ht="14.25" spans="1:11">
      <c r="A199" s="98"/>
      <c r="B199" s="99"/>
      <c r="C199" s="99"/>
      <c r="D199" s="100"/>
      <c r="E199" s="101"/>
      <c r="F199" s="101"/>
      <c r="G199" s="101"/>
      <c r="H199" s="102"/>
      <c r="I199" s="103"/>
      <c r="J199" s="76"/>
      <c r="K199" s="76"/>
    </row>
    <row r="200" s="1" customFormat="1" ht="14.25" spans="1:11">
      <c r="A200" s="98"/>
      <c r="B200" s="99"/>
      <c r="C200" s="99"/>
      <c r="D200" s="100"/>
      <c r="E200" s="101"/>
      <c r="F200" s="101"/>
      <c r="G200" s="101"/>
      <c r="H200" s="102"/>
      <c r="I200" s="103"/>
      <c r="J200" s="76"/>
      <c r="K200" s="76"/>
    </row>
    <row r="201" s="1" customFormat="1" ht="14.25" spans="1:11">
      <c r="A201" s="98"/>
      <c r="B201" s="99"/>
      <c r="C201" s="99"/>
      <c r="D201" s="100"/>
      <c r="E201" s="101"/>
      <c r="F201" s="101"/>
      <c r="G201" s="101"/>
      <c r="H201" s="102"/>
      <c r="I201" s="103"/>
      <c r="J201" s="76"/>
      <c r="K201" s="76"/>
    </row>
    <row r="202" s="1" customFormat="1" ht="14.25" spans="1:11">
      <c r="A202" s="98"/>
      <c r="B202" s="99"/>
      <c r="C202" s="99"/>
      <c r="D202" s="100"/>
      <c r="E202" s="101"/>
      <c r="F202" s="101"/>
      <c r="G202" s="101"/>
      <c r="H202" s="102"/>
      <c r="I202" s="103"/>
      <c r="J202" s="76"/>
      <c r="K202" s="76"/>
    </row>
    <row r="203" s="1" customFormat="1" ht="14.25" spans="1:11">
      <c r="A203" s="104"/>
      <c r="B203" s="105"/>
      <c r="C203" s="105"/>
      <c r="D203" s="101"/>
      <c r="E203" s="101"/>
      <c r="F203" s="101"/>
      <c r="G203" s="101"/>
      <c r="H203" s="102"/>
      <c r="I203" s="103"/>
      <c r="J203" s="76"/>
      <c r="K203" s="76"/>
    </row>
    <row r="204" s="1" customFormat="1" ht="14.25" spans="1:11">
      <c r="A204" s="98"/>
      <c r="B204" s="99"/>
      <c r="C204" s="99"/>
      <c r="D204" s="100"/>
      <c r="E204" s="101"/>
      <c r="F204" s="101"/>
      <c r="G204" s="101"/>
      <c r="H204" s="102"/>
      <c r="I204" s="103"/>
      <c r="J204" s="76"/>
      <c r="K204" s="76"/>
    </row>
    <row r="205" s="1" customFormat="1" ht="14.25" spans="1:11">
      <c r="A205" s="98"/>
      <c r="B205" s="99"/>
      <c r="C205" s="99"/>
      <c r="D205" s="100"/>
      <c r="E205" s="101"/>
      <c r="F205" s="101"/>
      <c r="G205" s="101"/>
      <c r="H205" s="102"/>
      <c r="I205" s="103"/>
      <c r="J205" s="76"/>
      <c r="K205" s="76"/>
    </row>
    <row r="206" s="1" customFormat="1" ht="14.25" spans="1:11">
      <c r="A206" s="98"/>
      <c r="B206" s="99"/>
      <c r="C206" s="99"/>
      <c r="D206" s="100"/>
      <c r="E206" s="101"/>
      <c r="F206" s="101"/>
      <c r="G206" s="101"/>
      <c r="H206" s="102"/>
      <c r="I206" s="103"/>
      <c r="J206" s="76"/>
      <c r="K206" s="76"/>
    </row>
    <row r="207" s="1" customFormat="1" ht="14.25" spans="1:11">
      <c r="A207" s="98"/>
      <c r="B207" s="99"/>
      <c r="C207" s="99"/>
      <c r="D207" s="100"/>
      <c r="E207" s="101"/>
      <c r="F207" s="101"/>
      <c r="G207" s="101"/>
      <c r="H207" s="102"/>
      <c r="I207" s="103"/>
      <c r="J207" s="76"/>
      <c r="K207" s="76"/>
    </row>
    <row r="208" s="1" customFormat="1" ht="14.25" spans="1:11">
      <c r="A208" s="98"/>
      <c r="B208" s="99"/>
      <c r="C208" s="99"/>
      <c r="D208" s="100"/>
      <c r="E208" s="101"/>
      <c r="F208" s="101"/>
      <c r="G208" s="101"/>
      <c r="H208" s="102"/>
      <c r="I208" s="103"/>
      <c r="J208" s="76"/>
      <c r="K208" s="76"/>
    </row>
    <row r="209" s="1" customFormat="1" ht="14.25" spans="1:11">
      <c r="A209" s="98"/>
      <c r="B209" s="99"/>
      <c r="C209" s="99"/>
      <c r="D209" s="100"/>
      <c r="E209" s="101"/>
      <c r="F209" s="101"/>
      <c r="G209" s="101"/>
      <c r="H209" s="102"/>
      <c r="I209" s="103"/>
      <c r="J209" s="76"/>
      <c r="K209" s="76"/>
    </row>
    <row r="210" s="1" customFormat="1" ht="14.25" spans="1:11">
      <c r="A210" s="98"/>
      <c r="B210" s="99"/>
      <c r="C210" s="99"/>
      <c r="D210" s="100"/>
      <c r="E210" s="101"/>
      <c r="F210" s="101"/>
      <c r="G210" s="101"/>
      <c r="H210" s="102"/>
      <c r="I210" s="103"/>
      <c r="J210" s="76"/>
      <c r="K210" s="76"/>
    </row>
    <row r="211" s="1" customFormat="1" ht="14.25" spans="1:11">
      <c r="A211" s="98"/>
      <c r="B211" s="99"/>
      <c r="C211" s="99"/>
      <c r="D211" s="100"/>
      <c r="E211" s="101"/>
      <c r="F211" s="101"/>
      <c r="G211" s="101"/>
      <c r="H211" s="102"/>
      <c r="I211" s="103"/>
      <c r="J211" s="76"/>
      <c r="K211" s="76"/>
    </row>
    <row r="212" s="1" customFormat="1" ht="14.25" spans="1:11">
      <c r="A212" s="98"/>
      <c r="B212" s="99"/>
      <c r="C212" s="99"/>
      <c r="D212" s="100"/>
      <c r="E212" s="101"/>
      <c r="F212" s="101"/>
      <c r="G212" s="101"/>
      <c r="H212" s="102"/>
      <c r="I212" s="103"/>
      <c r="J212" s="76"/>
      <c r="K212" s="76"/>
    </row>
    <row r="213" s="1" customFormat="1" ht="14.25" spans="1:11">
      <c r="A213" s="98"/>
      <c r="B213" s="99"/>
      <c r="C213" s="99"/>
      <c r="D213" s="100"/>
      <c r="E213" s="101"/>
      <c r="F213" s="101"/>
      <c r="G213" s="101"/>
      <c r="H213" s="102"/>
      <c r="I213" s="103"/>
      <c r="J213" s="76"/>
      <c r="K213" s="76"/>
    </row>
    <row r="214" s="1" customFormat="1" ht="14.25" spans="1:11">
      <c r="A214" s="98"/>
      <c r="B214" s="99"/>
      <c r="C214" s="99"/>
      <c r="D214" s="100"/>
      <c r="E214" s="101"/>
      <c r="F214" s="101"/>
      <c r="G214" s="101"/>
      <c r="H214" s="102"/>
      <c r="I214" s="103"/>
      <c r="J214" s="76"/>
      <c r="K214" s="76"/>
    </row>
    <row r="215" s="1" customFormat="1" ht="14.25" spans="1:11">
      <c r="A215" s="98"/>
      <c r="B215" s="99"/>
      <c r="C215" s="99"/>
      <c r="D215" s="100"/>
      <c r="E215" s="101"/>
      <c r="F215" s="101"/>
      <c r="G215" s="101"/>
      <c r="H215" s="102"/>
      <c r="I215" s="103"/>
      <c r="J215" s="76"/>
      <c r="K215" s="76"/>
    </row>
    <row r="216" s="1" customFormat="1" ht="14.25" spans="1:11">
      <c r="A216" s="98"/>
      <c r="B216" s="99"/>
      <c r="C216" s="99"/>
      <c r="D216" s="100"/>
      <c r="E216" s="101"/>
      <c r="F216" s="101"/>
      <c r="G216" s="101"/>
      <c r="H216" s="102"/>
      <c r="I216" s="103"/>
      <c r="J216" s="76"/>
      <c r="K216" s="76"/>
    </row>
    <row r="217" s="1" customFormat="1" ht="14.25" spans="1:11">
      <c r="A217" s="98"/>
      <c r="B217" s="99"/>
      <c r="C217" s="99"/>
      <c r="D217" s="100"/>
      <c r="E217" s="101"/>
      <c r="F217" s="101"/>
      <c r="G217" s="101"/>
      <c r="H217" s="102"/>
      <c r="I217" s="103"/>
      <c r="J217" s="76"/>
      <c r="K217" s="76"/>
    </row>
    <row r="218" s="1" customFormat="1" ht="14.25" spans="1:11">
      <c r="A218" s="98"/>
      <c r="B218" s="99"/>
      <c r="C218" s="99"/>
      <c r="D218" s="100"/>
      <c r="E218" s="101"/>
      <c r="F218" s="102"/>
      <c r="G218" s="101"/>
      <c r="H218" s="102"/>
      <c r="I218" s="103"/>
      <c r="J218" s="76"/>
      <c r="K218" s="76"/>
    </row>
    <row r="219" s="1" customFormat="1" ht="14.25" spans="1:11">
      <c r="A219" s="98"/>
      <c r="B219" s="99"/>
      <c r="C219" s="99"/>
      <c r="D219" s="100"/>
      <c r="E219" s="101"/>
      <c r="F219" s="101"/>
      <c r="G219" s="101"/>
      <c r="H219" s="102"/>
      <c r="I219" s="103"/>
      <c r="J219" s="76"/>
      <c r="K219" s="76"/>
    </row>
    <row r="220" s="1" customFormat="1" ht="14.25" spans="1:11">
      <c r="A220" s="98"/>
      <c r="B220" s="99"/>
      <c r="C220" s="99"/>
      <c r="D220" s="100"/>
      <c r="E220" s="101"/>
      <c r="F220" s="101"/>
      <c r="G220" s="101"/>
      <c r="H220" s="102"/>
      <c r="I220" s="103"/>
      <c r="J220" s="76"/>
      <c r="K220" s="76"/>
    </row>
    <row r="221" s="1" customFormat="1" ht="14.25" spans="1:11">
      <c r="A221" s="98"/>
      <c r="B221" s="99"/>
      <c r="C221" s="99"/>
      <c r="D221" s="100"/>
      <c r="E221" s="101"/>
      <c r="F221" s="101"/>
      <c r="G221" s="101"/>
      <c r="H221" s="102"/>
      <c r="I221" s="103"/>
      <c r="J221" s="76"/>
      <c r="K221" s="76"/>
    </row>
    <row r="222" s="1" customFormat="1" ht="14.25" spans="1:11">
      <c r="A222" s="98"/>
      <c r="B222" s="99"/>
      <c r="C222" s="99"/>
      <c r="D222" s="100"/>
      <c r="E222" s="101"/>
      <c r="F222" s="101"/>
      <c r="G222" s="101"/>
      <c r="H222" s="102"/>
      <c r="I222" s="103"/>
      <c r="J222" s="76"/>
      <c r="K222" s="76"/>
    </row>
    <row r="223" s="1" customFormat="1" ht="14.25" spans="1:11">
      <c r="A223" s="98"/>
      <c r="B223" s="99"/>
      <c r="C223" s="99"/>
      <c r="D223" s="100"/>
      <c r="E223" s="101"/>
      <c r="F223" s="101"/>
      <c r="G223" s="101"/>
      <c r="H223" s="102"/>
      <c r="I223" s="103"/>
      <c r="J223" s="76"/>
      <c r="K223" s="76"/>
    </row>
    <row r="224" s="1" customFormat="1" ht="14.25" spans="1:11">
      <c r="A224" s="98"/>
      <c r="B224" s="99"/>
      <c r="C224" s="99"/>
      <c r="D224" s="100"/>
      <c r="E224" s="101"/>
      <c r="F224" s="101"/>
      <c r="G224" s="101"/>
      <c r="H224" s="102"/>
      <c r="I224" s="103"/>
      <c r="J224" s="76"/>
      <c r="K224" s="76"/>
    </row>
    <row r="225" s="1" customFormat="1" ht="14.25" spans="1:11">
      <c r="A225" s="98"/>
      <c r="B225" s="99"/>
      <c r="C225" s="99"/>
      <c r="D225" s="100"/>
      <c r="E225" s="101"/>
      <c r="F225" s="101"/>
      <c r="G225" s="101"/>
      <c r="H225" s="102"/>
      <c r="I225" s="103"/>
      <c r="J225" s="76"/>
      <c r="K225" s="76"/>
    </row>
    <row r="226" s="1" customFormat="1" ht="14.25" spans="1:11">
      <c r="A226" s="98"/>
      <c r="B226" s="99"/>
      <c r="C226" s="99"/>
      <c r="D226" s="100"/>
      <c r="E226" s="101"/>
      <c r="F226" s="101"/>
      <c r="G226" s="101"/>
      <c r="H226" s="102"/>
      <c r="I226" s="103"/>
      <c r="J226" s="76"/>
      <c r="K226" s="76"/>
    </row>
    <row r="227" s="1" customFormat="1" ht="14.25" spans="1:11">
      <c r="A227" s="98"/>
      <c r="B227" s="99"/>
      <c r="C227" s="99"/>
      <c r="D227" s="100"/>
      <c r="E227" s="101"/>
      <c r="F227" s="101"/>
      <c r="G227" s="101"/>
      <c r="H227" s="102"/>
      <c r="I227" s="103"/>
      <c r="J227" s="76"/>
      <c r="K227" s="76"/>
    </row>
    <row r="228" s="1" customFormat="1" ht="14.25" spans="1:11">
      <c r="A228" s="98"/>
      <c r="B228" s="99"/>
      <c r="C228" s="99"/>
      <c r="D228" s="100"/>
      <c r="E228" s="101"/>
      <c r="F228" s="101"/>
      <c r="G228" s="101"/>
      <c r="H228" s="102"/>
      <c r="I228" s="103"/>
      <c r="J228" s="76"/>
      <c r="K228" s="76"/>
    </row>
    <row r="229" s="1" customFormat="1" ht="14.25" spans="1:11">
      <c r="A229" s="98"/>
      <c r="B229" s="99"/>
      <c r="C229" s="99"/>
      <c r="D229" s="100"/>
      <c r="E229" s="101"/>
      <c r="F229" s="101"/>
      <c r="G229" s="101"/>
      <c r="H229" s="102"/>
      <c r="I229" s="103"/>
      <c r="J229" s="76"/>
      <c r="K229" s="76"/>
    </row>
    <row r="230" s="1" customFormat="1" ht="14.25" spans="1:11">
      <c r="A230" s="98"/>
      <c r="B230" s="99"/>
      <c r="C230" s="99"/>
      <c r="D230" s="100"/>
      <c r="E230" s="101"/>
      <c r="F230" s="101"/>
      <c r="G230" s="101"/>
      <c r="H230" s="102"/>
      <c r="I230" s="103"/>
      <c r="J230" s="76"/>
      <c r="K230" s="76"/>
    </row>
    <row r="231" s="1" customFormat="1" ht="14.25" spans="1:11">
      <c r="A231" s="98"/>
      <c r="B231" s="99"/>
      <c r="C231" s="99"/>
      <c r="D231" s="100"/>
      <c r="E231" s="101"/>
      <c r="F231" s="101"/>
      <c r="G231" s="101"/>
      <c r="H231" s="102"/>
      <c r="I231" s="103"/>
      <c r="J231" s="76"/>
      <c r="K231" s="76"/>
    </row>
    <row r="232" s="1" customFormat="1" ht="14.25" spans="1:11">
      <c r="A232" s="98"/>
      <c r="B232" s="99"/>
      <c r="C232" s="99"/>
      <c r="D232" s="100"/>
      <c r="E232" s="101"/>
      <c r="F232" s="101"/>
      <c r="G232" s="101"/>
      <c r="H232" s="102"/>
      <c r="I232" s="103"/>
      <c r="J232" s="76"/>
      <c r="K232" s="76"/>
    </row>
    <row r="233" s="1" customFormat="1" ht="14.25" spans="1:11">
      <c r="A233" s="98"/>
      <c r="B233" s="99"/>
      <c r="C233" s="99"/>
      <c r="D233" s="100"/>
      <c r="E233" s="101"/>
      <c r="F233" s="101"/>
      <c r="G233" s="101"/>
      <c r="H233" s="102"/>
      <c r="I233" s="103"/>
      <c r="J233" s="76"/>
      <c r="K233" s="76"/>
    </row>
    <row r="234" s="1" customFormat="1" ht="14.25" spans="1:11">
      <c r="A234" s="98"/>
      <c r="B234" s="99"/>
      <c r="C234" s="99"/>
      <c r="D234" s="100"/>
      <c r="E234" s="101"/>
      <c r="F234" s="101"/>
      <c r="G234" s="101"/>
      <c r="H234" s="102"/>
      <c r="I234" s="103"/>
      <c r="J234" s="76"/>
      <c r="K234" s="76"/>
    </row>
    <row r="235" s="1" customFormat="1" ht="14.25" spans="1:11">
      <c r="A235" s="98"/>
      <c r="B235" s="99"/>
      <c r="C235" s="99"/>
      <c r="D235" s="100"/>
      <c r="E235" s="101"/>
      <c r="F235" s="101"/>
      <c r="G235" s="101"/>
      <c r="H235" s="102"/>
      <c r="I235" s="103"/>
      <c r="J235" s="76"/>
      <c r="K235" s="76"/>
    </row>
    <row r="236" s="1" customFormat="1" ht="14.25" spans="1:11">
      <c r="A236" s="98"/>
      <c r="B236" s="99"/>
      <c r="C236" s="99"/>
      <c r="D236" s="100"/>
      <c r="E236" s="101"/>
      <c r="F236" s="101"/>
      <c r="G236" s="101"/>
      <c r="H236" s="102"/>
      <c r="I236" s="103"/>
      <c r="J236" s="76"/>
      <c r="K236" s="76"/>
    </row>
    <row r="237" s="1" customFormat="1" ht="14.25" spans="1:11">
      <c r="A237" s="98"/>
      <c r="B237" s="99"/>
      <c r="C237" s="99"/>
      <c r="D237" s="100"/>
      <c r="E237" s="101"/>
      <c r="F237" s="101"/>
      <c r="G237" s="101"/>
      <c r="H237" s="102"/>
      <c r="I237" s="103"/>
      <c r="J237" s="76"/>
      <c r="K237" s="76"/>
    </row>
    <row r="238" s="1" customFormat="1" ht="14.25" spans="1:11">
      <c r="A238" s="98"/>
      <c r="B238" s="99"/>
      <c r="C238" s="99"/>
      <c r="D238" s="100"/>
      <c r="E238" s="101"/>
      <c r="F238" s="101"/>
      <c r="G238" s="101"/>
      <c r="H238" s="102"/>
      <c r="I238" s="103"/>
      <c r="J238" s="76"/>
      <c r="K238" s="76"/>
    </row>
    <row r="239" s="1" customFormat="1" ht="14.25" spans="1:11">
      <c r="A239" s="98"/>
      <c r="B239" s="99"/>
      <c r="C239" s="99"/>
      <c r="D239" s="100"/>
      <c r="E239" s="101"/>
      <c r="F239" s="101"/>
      <c r="G239" s="101"/>
      <c r="H239" s="102"/>
      <c r="I239" s="103"/>
      <c r="J239" s="76"/>
      <c r="K239" s="76"/>
    </row>
    <row r="240" s="1" customFormat="1" ht="14.25" spans="1:11">
      <c r="A240" s="98"/>
      <c r="B240" s="99"/>
      <c r="C240" s="99"/>
      <c r="D240" s="100"/>
      <c r="E240" s="101"/>
      <c r="F240" s="102"/>
      <c r="G240" s="101"/>
      <c r="H240" s="102"/>
      <c r="I240" s="103"/>
      <c r="J240" s="76"/>
      <c r="K240" s="76"/>
    </row>
    <row r="241" s="1" customFormat="1" ht="14.25" spans="1:11">
      <c r="A241" s="98"/>
      <c r="B241" s="99"/>
      <c r="C241" s="99"/>
      <c r="D241" s="100"/>
      <c r="E241" s="101"/>
      <c r="F241" s="101"/>
      <c r="G241" s="101"/>
      <c r="H241" s="102"/>
      <c r="I241" s="103"/>
      <c r="J241" s="76"/>
      <c r="K241" s="76"/>
    </row>
    <row r="242" s="1" customFormat="1" ht="14.25" spans="1:11">
      <c r="A242" s="98"/>
      <c r="B242" s="99"/>
      <c r="C242" s="99"/>
      <c r="D242" s="100"/>
      <c r="E242" s="101"/>
      <c r="F242" s="101"/>
      <c r="G242" s="101"/>
      <c r="H242" s="102"/>
      <c r="I242" s="103"/>
      <c r="J242" s="76"/>
      <c r="K242" s="76"/>
    </row>
    <row r="243" s="1" customFormat="1" ht="14.25" spans="1:11">
      <c r="A243" s="98"/>
      <c r="B243" s="99"/>
      <c r="C243" s="99"/>
      <c r="D243" s="100"/>
      <c r="E243" s="101"/>
      <c r="F243" s="101"/>
      <c r="G243" s="101"/>
      <c r="H243" s="102"/>
      <c r="I243" s="103"/>
      <c r="J243" s="76"/>
      <c r="K243" s="76"/>
    </row>
    <row r="244" s="1" customFormat="1" ht="14.25" spans="1:11">
      <c r="A244" s="98"/>
      <c r="B244" s="99"/>
      <c r="C244" s="99"/>
      <c r="D244" s="100"/>
      <c r="E244" s="101"/>
      <c r="F244" s="101"/>
      <c r="G244" s="101"/>
      <c r="H244" s="102"/>
      <c r="I244" s="103"/>
      <c r="J244" s="76"/>
      <c r="K244" s="76"/>
    </row>
    <row r="245" s="1" customFormat="1" ht="14.25" spans="1:11">
      <c r="A245" s="98"/>
      <c r="B245" s="99"/>
      <c r="C245" s="99"/>
      <c r="D245" s="100"/>
      <c r="E245" s="101"/>
      <c r="F245" s="101"/>
      <c r="G245" s="101"/>
      <c r="H245" s="102"/>
      <c r="I245" s="103"/>
      <c r="J245" s="76"/>
      <c r="K245" s="76"/>
    </row>
    <row r="246" s="1" customFormat="1" ht="14.25" spans="1:11">
      <c r="A246" s="98"/>
      <c r="B246" s="99"/>
      <c r="C246" s="99"/>
      <c r="D246" s="100"/>
      <c r="E246" s="101"/>
      <c r="F246" s="101"/>
      <c r="G246" s="101"/>
      <c r="H246" s="102"/>
      <c r="I246" s="103"/>
      <c r="J246" s="76"/>
      <c r="K246" s="76"/>
    </row>
    <row r="247" s="1" customFormat="1" ht="14.25" spans="1:11">
      <c r="A247" s="98"/>
      <c r="B247" s="99"/>
      <c r="C247" s="99"/>
      <c r="D247" s="100"/>
      <c r="E247" s="101"/>
      <c r="F247" s="101"/>
      <c r="G247" s="101"/>
      <c r="H247" s="102"/>
      <c r="I247" s="103"/>
      <c r="J247" s="76"/>
      <c r="K247" s="76"/>
    </row>
    <row r="248" s="1" customFormat="1" ht="14.25" spans="1:11">
      <c r="A248" s="98"/>
      <c r="B248" s="99"/>
      <c r="C248" s="99"/>
      <c r="D248" s="100"/>
      <c r="E248" s="101"/>
      <c r="F248" s="101"/>
      <c r="G248" s="101"/>
      <c r="H248" s="102"/>
      <c r="I248" s="103"/>
      <c r="J248" s="76"/>
      <c r="K248" s="76"/>
    </row>
    <row r="249" s="1" customFormat="1" ht="14.25" spans="1:11">
      <c r="A249" s="98"/>
      <c r="B249" s="99"/>
      <c r="C249" s="99"/>
      <c r="D249" s="100"/>
      <c r="E249" s="101"/>
      <c r="F249" s="101"/>
      <c r="G249" s="101"/>
      <c r="H249" s="102"/>
      <c r="I249" s="103"/>
      <c r="J249" s="76"/>
      <c r="K249" s="76"/>
    </row>
    <row r="250" s="1" customFormat="1" ht="14.25" spans="1:11">
      <c r="A250" s="98"/>
      <c r="B250" s="99"/>
      <c r="C250" s="99"/>
      <c r="D250" s="100"/>
      <c r="E250" s="101"/>
      <c r="F250" s="101"/>
      <c r="G250" s="101"/>
      <c r="H250" s="102"/>
      <c r="I250" s="103"/>
      <c r="J250" s="76"/>
      <c r="K250" s="76"/>
    </row>
    <row r="251" s="1" customFormat="1" ht="14.25" spans="1:11">
      <c r="A251" s="98"/>
      <c r="B251" s="99"/>
      <c r="C251" s="99"/>
      <c r="D251" s="100"/>
      <c r="E251" s="101"/>
      <c r="F251" s="101"/>
      <c r="G251" s="101"/>
      <c r="H251" s="102"/>
      <c r="I251" s="103"/>
      <c r="J251" s="76"/>
      <c r="K251" s="76"/>
    </row>
    <row r="252" s="1" customFormat="1" ht="14.25" spans="1:11">
      <c r="A252" s="98"/>
      <c r="B252" s="99"/>
      <c r="C252" s="99"/>
      <c r="D252" s="100"/>
      <c r="E252" s="101"/>
      <c r="F252" s="101"/>
      <c r="G252" s="101"/>
      <c r="H252" s="102"/>
      <c r="I252" s="103"/>
      <c r="J252" s="76"/>
      <c r="K252" s="76"/>
    </row>
    <row r="253" s="1" customFormat="1" ht="14.25" spans="1:11">
      <c r="A253" s="98"/>
      <c r="B253" s="99"/>
      <c r="C253" s="99"/>
      <c r="D253" s="100"/>
      <c r="E253" s="101"/>
      <c r="F253" s="101"/>
      <c r="G253" s="101"/>
      <c r="H253" s="102"/>
      <c r="I253" s="103"/>
      <c r="J253" s="76"/>
      <c r="K253" s="76"/>
    </row>
    <row r="254" s="1" customFormat="1" ht="14.25" spans="1:11">
      <c r="A254" s="98"/>
      <c r="B254" s="99"/>
      <c r="C254" s="99"/>
      <c r="D254" s="100"/>
      <c r="E254" s="101"/>
      <c r="F254" s="101"/>
      <c r="G254" s="101"/>
      <c r="H254" s="102"/>
      <c r="I254" s="103"/>
      <c r="J254" s="76"/>
      <c r="K254" s="76"/>
    </row>
    <row r="255" s="1" customFormat="1" ht="14.25" spans="1:11">
      <c r="A255" s="98"/>
      <c r="B255" s="99"/>
      <c r="C255" s="99"/>
      <c r="D255" s="100"/>
      <c r="E255" s="101"/>
      <c r="F255" s="101"/>
      <c r="G255" s="101"/>
      <c r="H255" s="102"/>
      <c r="I255" s="103"/>
      <c r="J255" s="76"/>
      <c r="K255" s="76"/>
    </row>
    <row r="256" s="1" customFormat="1" ht="14.25" spans="1:11">
      <c r="A256" s="98"/>
      <c r="B256" s="99"/>
      <c r="C256" s="99"/>
      <c r="D256" s="100"/>
      <c r="E256" s="101"/>
      <c r="F256" s="101"/>
      <c r="G256" s="101"/>
      <c r="H256" s="102"/>
      <c r="I256" s="103"/>
      <c r="J256" s="76"/>
      <c r="K256" s="76"/>
    </row>
    <row r="257" s="1" customFormat="1" ht="14.25" spans="1:11">
      <c r="A257" s="98"/>
      <c r="B257" s="99"/>
      <c r="C257" s="99"/>
      <c r="D257" s="100"/>
      <c r="E257" s="101"/>
      <c r="F257" s="101"/>
      <c r="G257" s="101"/>
      <c r="H257" s="102"/>
      <c r="I257" s="103"/>
      <c r="J257" s="76"/>
      <c r="K257" s="76"/>
    </row>
    <row r="258" s="1" customFormat="1" ht="14.25" spans="1:11">
      <c r="A258" s="98"/>
      <c r="B258" s="99"/>
      <c r="C258" s="99"/>
      <c r="D258" s="100"/>
      <c r="E258" s="101"/>
      <c r="F258" s="101"/>
      <c r="G258" s="101"/>
      <c r="H258" s="102"/>
      <c r="I258" s="103"/>
      <c r="J258" s="76"/>
      <c r="K258" s="76"/>
    </row>
    <row r="259" s="1" customFormat="1" ht="14.25" spans="1:11">
      <c r="A259" s="98"/>
      <c r="B259" s="99"/>
      <c r="C259" s="99"/>
      <c r="D259" s="100"/>
      <c r="E259" s="101"/>
      <c r="F259" s="101"/>
      <c r="G259" s="101"/>
      <c r="H259" s="102"/>
      <c r="I259" s="103"/>
      <c r="J259" s="76"/>
      <c r="K259" s="76"/>
    </row>
    <row r="260" s="1" customFormat="1" ht="14.25" spans="1:11">
      <c r="A260" s="98"/>
      <c r="B260" s="99"/>
      <c r="C260" s="99"/>
      <c r="D260" s="100"/>
      <c r="E260" s="101"/>
      <c r="F260" s="101"/>
      <c r="G260" s="101"/>
      <c r="H260" s="102"/>
      <c r="I260" s="103"/>
      <c r="J260" s="76"/>
      <c r="K260" s="76"/>
    </row>
    <row r="261" s="1" customFormat="1" ht="14.25" spans="1:11">
      <c r="A261" s="98"/>
      <c r="B261" s="99"/>
      <c r="C261" s="99"/>
      <c r="D261" s="100"/>
      <c r="E261" s="101"/>
      <c r="F261" s="101"/>
      <c r="G261" s="101"/>
      <c r="H261" s="102"/>
      <c r="I261" s="103"/>
      <c r="J261" s="76"/>
      <c r="K261" s="76"/>
    </row>
    <row r="262" s="1" customFormat="1" ht="14.25" spans="1:11">
      <c r="A262" s="98"/>
      <c r="B262" s="99"/>
      <c r="C262" s="99"/>
      <c r="D262" s="100"/>
      <c r="E262" s="101"/>
      <c r="F262" s="101"/>
      <c r="G262" s="101"/>
      <c r="H262" s="102"/>
      <c r="I262" s="103"/>
      <c r="J262" s="76"/>
      <c r="K262" s="76"/>
    </row>
    <row r="263" s="1" customFormat="1" ht="14.25" spans="1:11">
      <c r="A263" s="98"/>
      <c r="B263" s="99"/>
      <c r="C263" s="99"/>
      <c r="D263" s="100"/>
      <c r="E263" s="101"/>
      <c r="F263" s="101"/>
      <c r="G263" s="101"/>
      <c r="H263" s="102"/>
      <c r="I263" s="103"/>
      <c r="J263" s="76"/>
      <c r="K263" s="76"/>
    </row>
    <row r="264" s="1" customFormat="1" ht="14.25" spans="1:11">
      <c r="A264" s="98"/>
      <c r="B264" s="99"/>
      <c r="C264" s="99"/>
      <c r="D264" s="100"/>
      <c r="E264" s="101"/>
      <c r="F264" s="101"/>
      <c r="G264" s="101"/>
      <c r="H264" s="102"/>
      <c r="I264" s="103"/>
      <c r="J264" s="76"/>
      <c r="K264" s="76"/>
    </row>
    <row r="265" s="1" customFormat="1" ht="14.25" spans="1:11">
      <c r="A265" s="98"/>
      <c r="B265" s="99"/>
      <c r="C265" s="99"/>
      <c r="D265" s="100"/>
      <c r="E265" s="101"/>
      <c r="F265" s="101"/>
      <c r="G265" s="101"/>
      <c r="H265" s="102"/>
      <c r="I265" s="103"/>
      <c r="J265" s="76"/>
      <c r="K265" s="76"/>
    </row>
    <row r="266" s="1" customFormat="1" ht="14.25" spans="1:11">
      <c r="A266" s="98"/>
      <c r="B266" s="99"/>
      <c r="C266" s="99"/>
      <c r="D266" s="100"/>
      <c r="E266" s="101"/>
      <c r="F266" s="101"/>
      <c r="G266" s="101"/>
      <c r="H266" s="102"/>
      <c r="I266" s="103"/>
      <c r="J266" s="76"/>
      <c r="K266" s="76"/>
    </row>
    <row r="267" s="1" customFormat="1" ht="14.25" spans="1:11">
      <c r="A267" s="98"/>
      <c r="B267" s="99"/>
      <c r="C267" s="99"/>
      <c r="D267" s="100"/>
      <c r="E267" s="101"/>
      <c r="F267" s="101"/>
      <c r="G267" s="101"/>
      <c r="H267" s="102"/>
      <c r="I267" s="103"/>
      <c r="J267" s="76"/>
      <c r="K267" s="76"/>
    </row>
    <row r="268" s="1" customFormat="1" ht="14.25" spans="1:11">
      <c r="A268" s="98"/>
      <c r="B268" s="99"/>
      <c r="C268" s="99"/>
      <c r="D268" s="100"/>
      <c r="E268" s="101"/>
      <c r="F268" s="101"/>
      <c r="G268" s="101"/>
      <c r="H268" s="102"/>
      <c r="I268" s="103"/>
      <c r="J268" s="76"/>
      <c r="K268" s="76"/>
    </row>
    <row r="269" s="1" customFormat="1" ht="14.25" spans="1:11">
      <c r="A269" s="98"/>
      <c r="B269" s="99"/>
      <c r="C269" s="99"/>
      <c r="D269" s="100"/>
      <c r="E269" s="101"/>
      <c r="F269" s="101"/>
      <c r="G269" s="101"/>
      <c r="H269" s="102"/>
      <c r="I269" s="103"/>
      <c r="J269" s="76"/>
      <c r="K269" s="76"/>
    </row>
    <row r="270" s="1" customFormat="1" ht="14.25" spans="1:11">
      <c r="A270" s="98"/>
      <c r="B270" s="99"/>
      <c r="C270" s="99"/>
      <c r="D270" s="100"/>
      <c r="E270" s="101"/>
      <c r="F270" s="101"/>
      <c r="G270" s="101"/>
      <c r="H270" s="102"/>
      <c r="I270" s="103"/>
      <c r="J270" s="76"/>
      <c r="K270" s="76"/>
    </row>
    <row r="271" s="1" customFormat="1" ht="14.25" spans="1:11">
      <c r="A271" s="98"/>
      <c r="B271" s="99"/>
      <c r="C271" s="99"/>
      <c r="D271" s="100"/>
      <c r="E271" s="101"/>
      <c r="F271" s="101"/>
      <c r="G271" s="101"/>
      <c r="H271" s="102"/>
      <c r="I271" s="103"/>
      <c r="J271" s="76"/>
      <c r="K271" s="76"/>
    </row>
    <row r="272" s="1" customFormat="1" ht="14.25" spans="1:11">
      <c r="A272" s="98"/>
      <c r="B272" s="99"/>
      <c r="C272" s="99"/>
      <c r="D272" s="100"/>
      <c r="E272" s="101"/>
      <c r="F272" s="101"/>
      <c r="G272" s="101"/>
      <c r="H272" s="102"/>
      <c r="I272" s="103"/>
      <c r="J272" s="76"/>
      <c r="K272" s="76"/>
    </row>
    <row r="273" s="1" customFormat="1" ht="14.25" spans="1:11">
      <c r="A273" s="98"/>
      <c r="B273" s="99"/>
      <c r="C273" s="99"/>
      <c r="D273" s="100"/>
      <c r="E273" s="101"/>
      <c r="F273" s="102"/>
      <c r="G273" s="101"/>
      <c r="H273" s="102"/>
      <c r="I273" s="103"/>
      <c r="J273" s="76"/>
      <c r="K273" s="76"/>
    </row>
    <row r="274" s="1" customFormat="1" ht="14.25" spans="1:11">
      <c r="A274" s="98"/>
      <c r="B274" s="99"/>
      <c r="C274" s="99"/>
      <c r="D274" s="100"/>
      <c r="E274" s="101"/>
      <c r="F274" s="101"/>
      <c r="G274" s="101"/>
      <c r="H274" s="102"/>
      <c r="I274" s="103"/>
      <c r="J274" s="76"/>
      <c r="K274" s="76"/>
    </row>
    <row r="275" s="1" customFormat="1" ht="14.25" spans="1:11">
      <c r="A275" s="98"/>
      <c r="B275" s="99"/>
      <c r="C275" s="99"/>
      <c r="D275" s="100"/>
      <c r="E275" s="101"/>
      <c r="F275" s="101"/>
      <c r="G275" s="101"/>
      <c r="H275" s="102"/>
      <c r="I275" s="103"/>
      <c r="J275" s="76"/>
      <c r="K275" s="76"/>
    </row>
    <row r="276" s="1" customFormat="1" ht="14.25" spans="1:11">
      <c r="A276" s="98"/>
      <c r="B276" s="99"/>
      <c r="C276" s="99"/>
      <c r="D276" s="100"/>
      <c r="E276" s="101"/>
      <c r="F276" s="101"/>
      <c r="G276" s="101"/>
      <c r="H276" s="102"/>
      <c r="I276" s="103"/>
      <c r="J276" s="76"/>
      <c r="K276" s="76"/>
    </row>
    <row r="277" s="1" customFormat="1" ht="14.25" spans="1:11">
      <c r="A277" s="98"/>
      <c r="B277" s="99"/>
      <c r="C277" s="99"/>
      <c r="D277" s="100"/>
      <c r="E277" s="101"/>
      <c r="F277" s="101"/>
      <c r="G277" s="101"/>
      <c r="H277" s="102"/>
      <c r="I277" s="103"/>
      <c r="J277" s="76"/>
      <c r="K277" s="76"/>
    </row>
    <row r="278" s="1" customFormat="1" ht="14.25" spans="1:11">
      <c r="A278" s="98"/>
      <c r="B278" s="99"/>
      <c r="C278" s="99"/>
      <c r="D278" s="100"/>
      <c r="E278" s="101"/>
      <c r="F278" s="101"/>
      <c r="G278" s="101"/>
      <c r="H278" s="102"/>
      <c r="I278" s="103"/>
      <c r="J278" s="76"/>
      <c r="K278" s="76"/>
    </row>
    <row r="279" s="1" customFormat="1" ht="14.25" spans="1:11">
      <c r="A279" s="98"/>
      <c r="B279" s="99"/>
      <c r="C279" s="99"/>
      <c r="D279" s="100"/>
      <c r="E279" s="101"/>
      <c r="F279" s="101"/>
      <c r="G279" s="101"/>
      <c r="H279" s="102"/>
      <c r="I279" s="103"/>
      <c r="J279" s="76"/>
      <c r="K279" s="76"/>
    </row>
    <row r="280" s="1" customFormat="1" ht="14.25" spans="1:11">
      <c r="A280" s="98"/>
      <c r="B280" s="99"/>
      <c r="C280" s="99"/>
      <c r="D280" s="100"/>
      <c r="E280" s="101"/>
      <c r="F280" s="101"/>
      <c r="G280" s="101"/>
      <c r="H280" s="102"/>
      <c r="I280" s="103"/>
      <c r="J280" s="76"/>
      <c r="K280" s="76"/>
    </row>
    <row r="281" s="1" customFormat="1" ht="14.25" spans="1:11">
      <c r="A281" s="98"/>
      <c r="B281" s="99"/>
      <c r="C281" s="99"/>
      <c r="D281" s="100"/>
      <c r="E281" s="101"/>
      <c r="F281" s="101"/>
      <c r="G281" s="101"/>
      <c r="H281" s="102"/>
      <c r="I281" s="103"/>
      <c r="J281" s="76"/>
      <c r="K281" s="76"/>
    </row>
    <row r="282" s="1" customFormat="1" ht="14.25" spans="1:11">
      <c r="A282" s="98"/>
      <c r="B282" s="99"/>
      <c r="C282" s="99"/>
      <c r="D282" s="100"/>
      <c r="E282" s="101"/>
      <c r="F282" s="101"/>
      <c r="G282" s="101"/>
      <c r="H282" s="102"/>
      <c r="I282" s="103"/>
      <c r="J282" s="76"/>
      <c r="K282" s="76"/>
    </row>
    <row r="283" s="1" customFormat="1" ht="14.25" spans="1:11">
      <c r="A283" s="98"/>
      <c r="B283" s="99"/>
      <c r="C283" s="99"/>
      <c r="D283" s="100"/>
      <c r="E283" s="101"/>
      <c r="F283" s="101"/>
      <c r="G283" s="101"/>
      <c r="H283" s="102"/>
      <c r="I283" s="103"/>
      <c r="J283" s="76"/>
      <c r="K283" s="76"/>
    </row>
    <row r="284" s="1" customFormat="1" ht="14.25" spans="1:11">
      <c r="A284" s="98"/>
      <c r="B284" s="99"/>
      <c r="C284" s="99"/>
      <c r="D284" s="100"/>
      <c r="E284" s="101"/>
      <c r="F284" s="101"/>
      <c r="G284" s="101"/>
      <c r="H284" s="102"/>
      <c r="I284" s="103"/>
      <c r="J284" s="76"/>
      <c r="K284" s="76"/>
    </row>
    <row r="285" s="1" customFormat="1" ht="14.25" spans="1:11">
      <c r="A285" s="98"/>
      <c r="B285" s="99"/>
      <c r="C285" s="99"/>
      <c r="D285" s="100"/>
      <c r="E285" s="101"/>
      <c r="F285" s="101"/>
      <c r="G285" s="101"/>
      <c r="H285" s="102"/>
      <c r="I285" s="103"/>
      <c r="J285" s="76"/>
      <c r="K285" s="76"/>
    </row>
    <row r="286" s="1" customFormat="1" ht="14.25" spans="1:11">
      <c r="A286" s="98"/>
      <c r="B286" s="99"/>
      <c r="C286" s="99"/>
      <c r="D286" s="100"/>
      <c r="E286" s="101"/>
      <c r="F286" s="101"/>
      <c r="G286" s="101"/>
      <c r="H286" s="102"/>
      <c r="I286" s="103"/>
      <c r="J286" s="76"/>
      <c r="K286" s="76"/>
    </row>
    <row r="287" s="1" customFormat="1" ht="14.25" spans="1:11">
      <c r="A287" s="98"/>
      <c r="B287" s="99"/>
      <c r="C287" s="99"/>
      <c r="D287" s="100"/>
      <c r="E287" s="101"/>
      <c r="F287" s="101"/>
      <c r="G287" s="101"/>
      <c r="H287" s="102"/>
      <c r="I287" s="103"/>
      <c r="J287" s="76"/>
      <c r="K287" s="76"/>
    </row>
    <row r="288" s="1" customFormat="1" ht="14.25" spans="1:11">
      <c r="A288" s="98"/>
      <c r="B288" s="99"/>
      <c r="C288" s="99"/>
      <c r="D288" s="100"/>
      <c r="E288" s="101"/>
      <c r="F288" s="101"/>
      <c r="G288" s="101"/>
      <c r="H288" s="102"/>
      <c r="I288" s="103"/>
      <c r="J288" s="76"/>
      <c r="K288" s="76"/>
    </row>
    <row r="289" s="1" customFormat="1" ht="14.25" spans="1:11">
      <c r="A289" s="98"/>
      <c r="B289" s="99"/>
      <c r="C289" s="99"/>
      <c r="D289" s="100"/>
      <c r="E289" s="101"/>
      <c r="F289" s="101"/>
      <c r="G289" s="101"/>
      <c r="H289" s="102"/>
      <c r="I289" s="103"/>
      <c r="J289" s="76"/>
      <c r="K289" s="76"/>
    </row>
    <row r="290" s="1" customFormat="1" ht="14.25" spans="1:11">
      <c r="A290" s="98"/>
      <c r="B290" s="99"/>
      <c r="C290" s="99"/>
      <c r="D290" s="100"/>
      <c r="E290" s="101"/>
      <c r="F290" s="101"/>
      <c r="G290" s="101"/>
      <c r="H290" s="102"/>
      <c r="I290" s="103"/>
      <c r="J290" s="76"/>
      <c r="K290" s="76"/>
    </row>
    <row r="291" s="1" customFormat="1" ht="14.25" spans="1:11">
      <c r="A291" s="98"/>
      <c r="B291" s="99"/>
      <c r="C291" s="99"/>
      <c r="D291" s="100"/>
      <c r="E291" s="101"/>
      <c r="F291" s="101"/>
      <c r="G291" s="101"/>
      <c r="H291" s="102"/>
      <c r="I291" s="103"/>
      <c r="J291" s="76"/>
      <c r="K291" s="76"/>
    </row>
    <row r="292" s="1" customFormat="1" ht="14.25" spans="1:11">
      <c r="A292" s="98"/>
      <c r="B292" s="99"/>
      <c r="C292" s="99"/>
      <c r="D292" s="100"/>
      <c r="E292" s="101"/>
      <c r="F292" s="101"/>
      <c r="G292" s="101"/>
      <c r="H292" s="102"/>
      <c r="I292" s="103"/>
      <c r="J292" s="76"/>
      <c r="K292" s="76"/>
    </row>
    <row r="293" s="1" customFormat="1" ht="14.25" spans="1:11">
      <c r="A293" s="98"/>
      <c r="B293" s="99"/>
      <c r="C293" s="99"/>
      <c r="D293" s="100"/>
      <c r="E293" s="101"/>
      <c r="F293" s="101"/>
      <c r="G293" s="101"/>
      <c r="H293" s="102"/>
      <c r="I293" s="103"/>
      <c r="J293" s="76"/>
      <c r="K293" s="76"/>
    </row>
    <row r="294" s="1" customFormat="1" ht="14.25" spans="1:11">
      <c r="A294" s="98"/>
      <c r="B294" s="99"/>
      <c r="C294" s="99"/>
      <c r="D294" s="100"/>
      <c r="E294" s="101"/>
      <c r="F294" s="101"/>
      <c r="G294" s="101"/>
      <c r="H294" s="102"/>
      <c r="I294" s="103"/>
      <c r="J294" s="76"/>
      <c r="K294" s="76"/>
    </row>
    <row r="295" s="1" customFormat="1" ht="14.25" spans="1:11">
      <c r="A295" s="98"/>
      <c r="B295" s="99"/>
      <c r="C295" s="99"/>
      <c r="D295" s="100"/>
      <c r="E295" s="101"/>
      <c r="F295" s="101"/>
      <c r="G295" s="101"/>
      <c r="H295" s="102"/>
      <c r="I295" s="103"/>
      <c r="J295" s="76"/>
      <c r="K295" s="76"/>
    </row>
    <row r="296" s="1" customFormat="1" ht="14.25" spans="1:11">
      <c r="A296" s="98"/>
      <c r="B296" s="99"/>
      <c r="C296" s="99"/>
      <c r="D296" s="100"/>
      <c r="E296" s="101"/>
      <c r="F296" s="101"/>
      <c r="G296" s="101"/>
      <c r="H296" s="102"/>
      <c r="I296" s="103"/>
      <c r="J296" s="76"/>
      <c r="K296" s="76"/>
    </row>
    <row r="297" s="1" customFormat="1" ht="14.25" spans="1:11">
      <c r="A297" s="98"/>
      <c r="B297" s="99"/>
      <c r="C297" s="99"/>
      <c r="D297" s="100"/>
      <c r="E297" s="101"/>
      <c r="F297" s="101"/>
      <c r="G297" s="101"/>
      <c r="H297" s="102"/>
      <c r="I297" s="103"/>
      <c r="J297" s="76"/>
      <c r="K297" s="76"/>
    </row>
    <row r="298" s="1" customFormat="1" ht="14.25" spans="1:11">
      <c r="A298" s="98"/>
      <c r="B298" s="99"/>
      <c r="C298" s="99"/>
      <c r="D298" s="100"/>
      <c r="E298" s="101"/>
      <c r="F298" s="101"/>
      <c r="G298" s="101"/>
      <c r="H298" s="102"/>
      <c r="I298" s="103"/>
      <c r="J298" s="76"/>
      <c r="K298" s="76"/>
    </row>
    <row r="299" s="1" customFormat="1" ht="14.25" spans="1:11">
      <c r="A299" s="98"/>
      <c r="B299" s="99"/>
      <c r="C299" s="99"/>
      <c r="D299" s="100"/>
      <c r="E299" s="101"/>
      <c r="F299" s="101"/>
      <c r="G299" s="101"/>
      <c r="H299" s="102"/>
      <c r="I299" s="103"/>
      <c r="J299" s="76"/>
      <c r="K299" s="76"/>
    </row>
    <row r="300" s="1" customFormat="1" ht="14.25" spans="1:11">
      <c r="A300" s="98"/>
      <c r="B300" s="99"/>
      <c r="C300" s="99"/>
      <c r="D300" s="100"/>
      <c r="E300" s="101"/>
      <c r="F300" s="101"/>
      <c r="G300" s="101"/>
      <c r="H300" s="102"/>
      <c r="I300" s="103"/>
      <c r="J300" s="76"/>
      <c r="K300" s="76"/>
    </row>
    <row r="301" s="1" customFormat="1" ht="14.25" spans="1:11">
      <c r="A301" s="98"/>
      <c r="B301" s="99"/>
      <c r="C301" s="99"/>
      <c r="D301" s="100"/>
      <c r="E301" s="101"/>
      <c r="F301" s="101"/>
      <c r="G301" s="101"/>
      <c r="H301" s="102"/>
      <c r="I301" s="103"/>
      <c r="J301" s="76"/>
      <c r="K301" s="76"/>
    </row>
    <row r="302" s="1" customFormat="1" ht="14.25" spans="1:11">
      <c r="A302" s="98"/>
      <c r="B302" s="99"/>
      <c r="C302" s="99"/>
      <c r="D302" s="100"/>
      <c r="E302" s="101"/>
      <c r="F302" s="101"/>
      <c r="G302" s="101"/>
      <c r="H302" s="102"/>
      <c r="I302" s="103"/>
      <c r="J302" s="76"/>
      <c r="K302" s="76"/>
    </row>
    <row r="303" s="1" customFormat="1" ht="14.25" spans="1:11">
      <c r="A303" s="98"/>
      <c r="B303" s="99"/>
      <c r="C303" s="99"/>
      <c r="D303" s="100"/>
      <c r="E303" s="101"/>
      <c r="F303" s="101"/>
      <c r="G303" s="101"/>
      <c r="H303" s="102"/>
      <c r="I303" s="103"/>
      <c r="J303" s="76"/>
      <c r="K303" s="76"/>
    </row>
    <row r="304" s="1" customFormat="1" ht="14.25" spans="1:11">
      <c r="A304" s="98"/>
      <c r="B304" s="99"/>
      <c r="C304" s="99"/>
      <c r="D304" s="100"/>
      <c r="E304" s="101"/>
      <c r="F304" s="101"/>
      <c r="G304" s="101"/>
      <c r="H304" s="102"/>
      <c r="I304" s="103"/>
      <c r="J304" s="76"/>
      <c r="K304" s="76"/>
    </row>
    <row r="305" s="1" customFormat="1" ht="14.25" spans="1:11">
      <c r="A305" s="98"/>
      <c r="B305" s="99"/>
      <c r="C305" s="99"/>
      <c r="D305" s="100"/>
      <c r="E305" s="101"/>
      <c r="F305" s="101"/>
      <c r="G305" s="101"/>
      <c r="H305" s="102"/>
      <c r="I305" s="103"/>
      <c r="J305" s="76"/>
      <c r="K305" s="76"/>
    </row>
    <row r="306" s="1" customFormat="1" ht="14.25" spans="1:11">
      <c r="A306" s="98"/>
      <c r="B306" s="99"/>
      <c r="C306" s="99"/>
      <c r="D306" s="100"/>
      <c r="E306" s="101"/>
      <c r="F306" s="101"/>
      <c r="G306" s="101"/>
      <c r="H306" s="102"/>
      <c r="I306" s="103"/>
      <c r="J306" s="76"/>
      <c r="K306" s="76"/>
    </row>
    <row r="307" s="1" customFormat="1" ht="14.25" spans="1:11">
      <c r="A307" s="98"/>
      <c r="B307" s="99"/>
      <c r="C307" s="99"/>
      <c r="D307" s="100"/>
      <c r="E307" s="101"/>
      <c r="F307" s="101"/>
      <c r="G307" s="101"/>
      <c r="H307" s="102"/>
      <c r="I307" s="103"/>
      <c r="J307" s="76"/>
      <c r="K307" s="76"/>
    </row>
    <row r="308" s="1" customFormat="1" ht="14.25" spans="1:11">
      <c r="A308" s="98"/>
      <c r="B308" s="99"/>
      <c r="C308" s="99"/>
      <c r="D308" s="100"/>
      <c r="E308" s="101"/>
      <c r="F308" s="101"/>
      <c r="G308" s="101"/>
      <c r="H308" s="102"/>
      <c r="I308" s="103"/>
      <c r="J308" s="76"/>
      <c r="K308" s="76"/>
    </row>
    <row r="309" s="1" customFormat="1" ht="14.25" spans="1:11">
      <c r="A309" s="98"/>
      <c r="B309" s="99"/>
      <c r="C309" s="99"/>
      <c r="D309" s="100"/>
      <c r="E309" s="101"/>
      <c r="F309" s="101"/>
      <c r="G309" s="101"/>
      <c r="H309" s="102"/>
      <c r="I309" s="103"/>
      <c r="J309" s="76"/>
      <c r="K309" s="76"/>
    </row>
  </sheetData>
  <mergeCells count="7">
    <mergeCell ref="A1:I1"/>
    <mergeCell ref="A2:B2"/>
    <mergeCell ref="E2:F2"/>
    <mergeCell ref="G2:H2"/>
    <mergeCell ref="C2:C3"/>
    <mergeCell ref="D2:D3"/>
    <mergeCell ref="J2:J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36"/>
  <sheetViews>
    <sheetView workbookViewId="0">
      <selection activeCell="G27" sqref="G27"/>
    </sheetView>
  </sheetViews>
  <sheetFormatPr defaultColWidth="9" defaultRowHeight="13.5"/>
  <cols>
    <col min="1" max="2" width="3.5" style="1" customWidth="1"/>
    <col min="3" max="3" width="6.375" style="1" customWidth="1"/>
    <col min="4" max="4" width="41.375" style="1" customWidth="1"/>
    <col min="5" max="5" width="11" style="1" customWidth="1"/>
    <col min="6" max="6" width="18.375" style="1" customWidth="1"/>
    <col min="7" max="7" width="13" style="1" customWidth="1"/>
    <col min="8" max="8" width="9.5" style="1" customWidth="1"/>
    <col min="9" max="9" width="12.75" style="1" customWidth="1"/>
    <col min="10" max="10" width="11" style="1" customWidth="1"/>
    <col min="11" max="11" width="11.875" style="1" customWidth="1"/>
    <col min="12" max="13" width="9" style="1"/>
    <col min="14" max="14" width="9.375" style="1"/>
    <col min="15" max="16384" width="9" style="1"/>
  </cols>
  <sheetData>
    <row r="1" s="1" customFormat="1" ht="22.5" spans="1:11">
      <c r="A1" s="59" t="s">
        <v>17</v>
      </c>
      <c r="B1" s="59"/>
      <c r="C1" s="59"/>
      <c r="D1" s="59"/>
      <c r="E1" s="59"/>
      <c r="F1" s="59"/>
      <c r="G1" s="59"/>
      <c r="H1" s="59"/>
      <c r="I1" s="59"/>
    </row>
    <row r="2" s="1" customFormat="1" ht="14.25" spans="1:11">
      <c r="A2" s="60" t="str">
        <f>'[3]1月'!A2</f>
        <v>2022年</v>
      </c>
      <c r="B2" s="60"/>
      <c r="C2" s="61" t="s">
        <v>18</v>
      </c>
      <c r="D2" s="62" t="s">
        <v>19</v>
      </c>
      <c r="E2" s="63" t="s">
        <v>20</v>
      </c>
      <c r="F2" s="64"/>
      <c r="G2" s="63" t="s">
        <v>21</v>
      </c>
      <c r="H2" s="64"/>
      <c r="I2" s="65" t="s">
        <v>94</v>
      </c>
      <c r="J2" s="66" t="s">
        <v>23</v>
      </c>
      <c r="K2" s="65" t="s">
        <v>94</v>
      </c>
    </row>
    <row r="3" s="1" customFormat="1" ht="14.25" spans="1:11">
      <c r="A3" s="67" t="s">
        <v>24</v>
      </c>
      <c r="B3" s="67" t="s">
        <v>25</v>
      </c>
      <c r="C3" s="61"/>
      <c r="D3" s="68"/>
      <c r="E3" s="69" t="s">
        <v>26</v>
      </c>
      <c r="F3" s="69" t="s">
        <v>27</v>
      </c>
      <c r="G3" s="69" t="s">
        <v>26</v>
      </c>
      <c r="H3" s="63" t="s">
        <v>27</v>
      </c>
      <c r="I3" s="70" t="s">
        <v>28</v>
      </c>
      <c r="J3" s="66"/>
      <c r="K3" s="70" t="s">
        <v>29</v>
      </c>
    </row>
    <row r="4" s="1" customFormat="1" ht="14.25" spans="1:11">
      <c r="A4" s="71">
        <v>1</v>
      </c>
      <c r="B4" s="72">
        <v>31</v>
      </c>
      <c r="C4" s="72">
        <v>1</v>
      </c>
      <c r="D4" s="73" t="s">
        <v>95</v>
      </c>
      <c r="E4" s="73" t="s">
        <v>96</v>
      </c>
      <c r="F4" s="73" t="s">
        <v>97</v>
      </c>
      <c r="G4" s="73" t="s">
        <v>32</v>
      </c>
      <c r="H4" s="74" t="s">
        <v>98</v>
      </c>
      <c r="I4" s="74">
        <v>360</v>
      </c>
      <c r="J4" s="75">
        <v>0</v>
      </c>
      <c r="K4" s="75"/>
    </row>
    <row r="5" s="1" customFormat="1" ht="14.25" spans="1:11">
      <c r="A5" s="71">
        <v>1</v>
      </c>
      <c r="B5" s="72">
        <v>31</v>
      </c>
      <c r="C5" s="72">
        <v>1</v>
      </c>
      <c r="D5" s="73" t="s">
        <v>99</v>
      </c>
      <c r="E5" s="73" t="s">
        <v>100</v>
      </c>
      <c r="F5" s="73" t="s">
        <v>101</v>
      </c>
      <c r="G5" s="73" t="s">
        <v>32</v>
      </c>
      <c r="H5" s="74" t="s">
        <v>98</v>
      </c>
      <c r="I5" s="74">
        <v>35678.73</v>
      </c>
      <c r="J5" s="75">
        <v>0</v>
      </c>
      <c r="K5" s="75"/>
    </row>
    <row r="6" s="1" customFormat="1" ht="14.25" spans="1:11">
      <c r="A6" s="71">
        <v>1</v>
      </c>
      <c r="B6" s="72">
        <v>31</v>
      </c>
      <c r="C6" s="72">
        <v>1</v>
      </c>
      <c r="D6" s="73" t="s">
        <v>102</v>
      </c>
      <c r="E6" s="73" t="s">
        <v>48</v>
      </c>
      <c r="F6" s="73" t="s">
        <v>55</v>
      </c>
      <c r="G6" s="73" t="s">
        <v>32</v>
      </c>
      <c r="H6" s="74" t="s">
        <v>98</v>
      </c>
      <c r="I6" s="74">
        <v>30</v>
      </c>
      <c r="J6" s="75">
        <v>0</v>
      </c>
      <c r="K6" s="75"/>
    </row>
    <row r="7" s="1" customFormat="1" ht="14.25" spans="1:11">
      <c r="A7" s="71">
        <v>1</v>
      </c>
      <c r="B7" s="72">
        <v>31</v>
      </c>
      <c r="C7" s="72">
        <v>1</v>
      </c>
      <c r="D7" s="73" t="s">
        <v>103</v>
      </c>
      <c r="E7" s="73" t="s">
        <v>48</v>
      </c>
      <c r="F7" s="73" t="s">
        <v>49</v>
      </c>
      <c r="G7" s="73" t="s">
        <v>32</v>
      </c>
      <c r="H7" s="74" t="s">
        <v>98</v>
      </c>
      <c r="I7" s="74">
        <v>20</v>
      </c>
      <c r="J7" s="75">
        <v>0</v>
      </c>
      <c r="K7" s="75"/>
    </row>
    <row r="8" s="1" customFormat="1" ht="14.25" spans="1:11">
      <c r="A8" s="71">
        <v>1</v>
      </c>
      <c r="B8" s="72">
        <v>31</v>
      </c>
      <c r="C8" s="72">
        <v>1</v>
      </c>
      <c r="D8" s="73" t="s">
        <v>104</v>
      </c>
      <c r="E8" s="73" t="s">
        <v>100</v>
      </c>
      <c r="F8" s="73" t="s">
        <v>101</v>
      </c>
      <c r="G8" s="73" t="s">
        <v>32</v>
      </c>
      <c r="H8" s="74" t="s">
        <v>98</v>
      </c>
      <c r="I8" s="74">
        <v>388</v>
      </c>
      <c r="J8" s="75">
        <v>0</v>
      </c>
      <c r="K8" s="75"/>
    </row>
    <row r="9" s="1" customFormat="1" ht="14.25" spans="1:11">
      <c r="A9" s="71">
        <v>1</v>
      </c>
      <c r="B9" s="72">
        <v>31</v>
      </c>
      <c r="C9" s="72">
        <v>1</v>
      </c>
      <c r="D9" s="73" t="s">
        <v>105</v>
      </c>
      <c r="E9" s="73" t="s">
        <v>100</v>
      </c>
      <c r="F9" s="73" t="s">
        <v>101</v>
      </c>
      <c r="G9" s="73" t="s">
        <v>32</v>
      </c>
      <c r="H9" s="74" t="s">
        <v>106</v>
      </c>
      <c r="I9" s="74">
        <v>80.77</v>
      </c>
      <c r="J9" s="75">
        <v>0</v>
      </c>
      <c r="K9" s="75"/>
    </row>
    <row r="10" s="1" customFormat="1" ht="14.25" spans="1:11">
      <c r="A10" s="71">
        <v>1</v>
      </c>
      <c r="B10" s="72">
        <v>31</v>
      </c>
      <c r="C10" s="72">
        <v>1</v>
      </c>
      <c r="D10" s="73" t="s">
        <v>105</v>
      </c>
      <c r="E10" s="73" t="s">
        <v>100</v>
      </c>
      <c r="F10" s="73" t="s">
        <v>101</v>
      </c>
      <c r="G10" s="73" t="s">
        <v>32</v>
      </c>
      <c r="H10" s="74" t="s">
        <v>106</v>
      </c>
      <c r="I10" s="74">
        <v>20</v>
      </c>
      <c r="J10" s="75">
        <v>0</v>
      </c>
      <c r="K10" s="75"/>
    </row>
    <row r="11" s="1" customFormat="1" ht="14.25" spans="1:11">
      <c r="A11" s="71">
        <v>1</v>
      </c>
      <c r="B11" s="72">
        <v>31</v>
      </c>
      <c r="C11" s="72">
        <v>1</v>
      </c>
      <c r="D11" s="73" t="s">
        <v>105</v>
      </c>
      <c r="E11" s="73" t="s">
        <v>100</v>
      </c>
      <c r="F11" s="73" t="s">
        <v>101</v>
      </c>
      <c r="G11" s="73" t="s">
        <v>32</v>
      </c>
      <c r="H11" s="74" t="s">
        <v>106</v>
      </c>
      <c r="I11" s="74">
        <v>8</v>
      </c>
      <c r="J11" s="75">
        <v>0</v>
      </c>
      <c r="K11" s="75"/>
    </row>
    <row r="12" s="1" customFormat="1" ht="14.25" spans="1:11">
      <c r="A12" s="71">
        <v>1</v>
      </c>
      <c r="B12" s="72">
        <v>31</v>
      </c>
      <c r="C12" s="72">
        <v>1</v>
      </c>
      <c r="D12" s="73" t="s">
        <v>107</v>
      </c>
      <c r="E12" s="73" t="s">
        <v>48</v>
      </c>
      <c r="F12" s="73" t="s">
        <v>55</v>
      </c>
      <c r="G12" s="73" t="s">
        <v>32</v>
      </c>
      <c r="H12" s="74" t="s">
        <v>106</v>
      </c>
      <c r="I12" s="74">
        <v>41</v>
      </c>
      <c r="J12" s="75">
        <v>0</v>
      </c>
      <c r="K12" s="75"/>
    </row>
    <row r="13" s="1" customFormat="1" ht="14.25" spans="1:11">
      <c r="A13" s="71">
        <v>1</v>
      </c>
      <c r="B13" s="72">
        <v>31</v>
      </c>
      <c r="C13" s="72">
        <v>1</v>
      </c>
      <c r="D13" s="73" t="s">
        <v>105</v>
      </c>
      <c r="E13" s="73" t="s">
        <v>100</v>
      </c>
      <c r="F13" s="73" t="s">
        <v>101</v>
      </c>
      <c r="G13" s="73" t="s">
        <v>32</v>
      </c>
      <c r="H13" s="74" t="s">
        <v>106</v>
      </c>
      <c r="I13" s="74">
        <v>140</v>
      </c>
      <c r="J13" s="75">
        <v>0</v>
      </c>
      <c r="K13" s="75"/>
    </row>
    <row r="14" s="1" customFormat="1" ht="14.25" spans="1:11">
      <c r="A14" s="71">
        <v>1</v>
      </c>
      <c r="B14" s="72">
        <v>30</v>
      </c>
      <c r="C14" s="72">
        <v>2</v>
      </c>
      <c r="D14" s="73" t="s">
        <v>108</v>
      </c>
      <c r="E14" s="73" t="s">
        <v>48</v>
      </c>
      <c r="F14" s="73" t="s">
        <v>55</v>
      </c>
      <c r="G14" s="73" t="s">
        <v>32</v>
      </c>
      <c r="H14" s="74" t="s">
        <v>109</v>
      </c>
      <c r="I14" s="74">
        <v>80</v>
      </c>
      <c r="J14" s="75">
        <v>0</v>
      </c>
      <c r="K14" s="75"/>
    </row>
    <row r="15" s="1" customFormat="1" ht="14.25" spans="1:11">
      <c r="A15" s="71">
        <v>1</v>
      </c>
      <c r="B15" s="72">
        <v>30</v>
      </c>
      <c r="C15" s="72">
        <v>2</v>
      </c>
      <c r="D15" s="73" t="s">
        <v>110</v>
      </c>
      <c r="E15" s="73" t="s">
        <v>48</v>
      </c>
      <c r="F15" s="73" t="s">
        <v>49</v>
      </c>
      <c r="G15" s="73" t="s">
        <v>32</v>
      </c>
      <c r="H15" s="74" t="s">
        <v>109</v>
      </c>
      <c r="I15" s="74">
        <v>50</v>
      </c>
      <c r="J15" s="75">
        <v>0</v>
      </c>
      <c r="K15" s="75"/>
    </row>
    <row r="16" s="1" customFormat="1" ht="14.25" spans="1:11">
      <c r="A16" s="71">
        <v>1</v>
      </c>
      <c r="B16" s="72">
        <v>30</v>
      </c>
      <c r="C16" s="72">
        <v>2</v>
      </c>
      <c r="D16" s="73" t="s">
        <v>111</v>
      </c>
      <c r="E16" s="73" t="s">
        <v>100</v>
      </c>
      <c r="F16" s="73" t="s">
        <v>101</v>
      </c>
      <c r="G16" s="73" t="s">
        <v>32</v>
      </c>
      <c r="H16" s="74" t="s">
        <v>109</v>
      </c>
      <c r="I16" s="74">
        <v>75</v>
      </c>
      <c r="J16" s="75">
        <v>0</v>
      </c>
      <c r="K16" s="75"/>
    </row>
    <row r="17" s="1" customFormat="1" ht="14.25" spans="1:11">
      <c r="A17" s="71">
        <v>1</v>
      </c>
      <c r="B17" s="72">
        <v>30</v>
      </c>
      <c r="C17" s="72">
        <v>2</v>
      </c>
      <c r="D17" s="73" t="s">
        <v>112</v>
      </c>
      <c r="E17" s="73" t="s">
        <v>100</v>
      </c>
      <c r="F17" s="73" t="s">
        <v>101</v>
      </c>
      <c r="G17" s="73" t="s">
        <v>32</v>
      </c>
      <c r="H17" s="74" t="s">
        <v>109</v>
      </c>
      <c r="I17" s="74">
        <v>294.23</v>
      </c>
      <c r="J17" s="75">
        <v>0</v>
      </c>
      <c r="K17" s="75"/>
    </row>
    <row r="18" s="1" customFormat="1" ht="14.25" spans="1:11">
      <c r="A18" s="71">
        <v>1</v>
      </c>
      <c r="B18" s="72">
        <v>30</v>
      </c>
      <c r="C18" s="72">
        <v>2</v>
      </c>
      <c r="D18" s="73" t="s">
        <v>113</v>
      </c>
      <c r="E18" s="73" t="s">
        <v>48</v>
      </c>
      <c r="F18" s="73" t="s">
        <v>55</v>
      </c>
      <c r="G18" s="73" t="s">
        <v>32</v>
      </c>
      <c r="H18" s="74" t="s">
        <v>109</v>
      </c>
      <c r="I18" s="74">
        <v>500</v>
      </c>
      <c r="J18" s="75">
        <v>0</v>
      </c>
      <c r="K18" s="75"/>
    </row>
    <row r="19" s="1" customFormat="1" ht="14.25" spans="1:11">
      <c r="A19" s="71">
        <v>1</v>
      </c>
      <c r="B19" s="72">
        <v>30</v>
      </c>
      <c r="C19" s="72">
        <v>2</v>
      </c>
      <c r="D19" s="73" t="s">
        <v>114</v>
      </c>
      <c r="E19" s="73" t="s">
        <v>100</v>
      </c>
      <c r="F19" s="73" t="s">
        <v>115</v>
      </c>
      <c r="G19" s="73" t="s">
        <v>32</v>
      </c>
      <c r="H19" s="74" t="s">
        <v>116</v>
      </c>
      <c r="I19" s="74">
        <v>500</v>
      </c>
      <c r="J19" s="75">
        <v>0</v>
      </c>
      <c r="K19" s="75"/>
    </row>
    <row r="20" s="1" customFormat="1" ht="14.25" spans="1:11">
      <c r="A20" s="71">
        <v>1</v>
      </c>
      <c r="B20" s="72">
        <v>30</v>
      </c>
      <c r="C20" s="72">
        <v>2</v>
      </c>
      <c r="D20" s="73" t="s">
        <v>117</v>
      </c>
      <c r="E20" s="73" t="s">
        <v>118</v>
      </c>
      <c r="F20" s="73" t="s">
        <v>119</v>
      </c>
      <c r="G20" s="73" t="s">
        <v>32</v>
      </c>
      <c r="H20" s="74" t="s">
        <v>116</v>
      </c>
      <c r="I20" s="74">
        <v>94710</v>
      </c>
      <c r="J20" s="75">
        <v>0</v>
      </c>
      <c r="K20" s="75"/>
    </row>
    <row r="21" s="1" customFormat="1" ht="14.25" spans="1:11">
      <c r="A21" s="71">
        <v>1</v>
      </c>
      <c r="B21" s="72">
        <v>30</v>
      </c>
      <c r="C21" s="72">
        <v>2</v>
      </c>
      <c r="D21" s="73" t="s">
        <v>120</v>
      </c>
      <c r="E21" s="73" t="s">
        <v>100</v>
      </c>
      <c r="F21" s="73" t="s">
        <v>101</v>
      </c>
      <c r="G21" s="73" t="s">
        <v>32</v>
      </c>
      <c r="H21" s="74" t="s">
        <v>116</v>
      </c>
      <c r="I21" s="74">
        <v>159.62</v>
      </c>
      <c r="J21" s="75">
        <v>0</v>
      </c>
      <c r="K21" s="75"/>
    </row>
    <row r="22" s="1" customFormat="1" ht="14.25" spans="1:11">
      <c r="A22" s="71">
        <v>1</v>
      </c>
      <c r="B22" s="72">
        <v>30</v>
      </c>
      <c r="C22" s="72">
        <v>2</v>
      </c>
      <c r="D22" s="73" t="s">
        <v>120</v>
      </c>
      <c r="E22" s="73" t="s">
        <v>100</v>
      </c>
      <c r="F22" s="73" t="s">
        <v>101</v>
      </c>
      <c r="G22" s="73" t="s">
        <v>32</v>
      </c>
      <c r="H22" s="74" t="s">
        <v>116</v>
      </c>
      <c r="I22" s="74">
        <v>70</v>
      </c>
      <c r="J22" s="75">
        <v>0</v>
      </c>
      <c r="K22" s="75"/>
    </row>
    <row r="23" s="1" customFormat="1" ht="14.25" spans="1:11">
      <c r="A23" s="71">
        <v>1</v>
      </c>
      <c r="B23" s="72">
        <v>30</v>
      </c>
      <c r="C23" s="72">
        <v>2</v>
      </c>
      <c r="D23" s="73" t="s">
        <v>114</v>
      </c>
      <c r="E23" s="73" t="s">
        <v>100</v>
      </c>
      <c r="F23" s="73" t="s">
        <v>115</v>
      </c>
      <c r="G23" s="73" t="s">
        <v>32</v>
      </c>
      <c r="H23" s="74" t="s">
        <v>116</v>
      </c>
      <c r="I23" s="74">
        <v>40</v>
      </c>
      <c r="J23" s="75">
        <v>0</v>
      </c>
      <c r="K23" s="75"/>
    </row>
    <row r="24" s="1" customFormat="1" ht="14.25" spans="1:11">
      <c r="A24" s="71">
        <v>1</v>
      </c>
      <c r="B24" s="72">
        <v>31</v>
      </c>
      <c r="C24" s="72">
        <v>3</v>
      </c>
      <c r="D24" s="73" t="s">
        <v>121</v>
      </c>
      <c r="E24" s="73" t="s">
        <v>118</v>
      </c>
      <c r="F24" s="73" t="s">
        <v>122</v>
      </c>
      <c r="G24" s="73" t="s">
        <v>32</v>
      </c>
      <c r="H24" s="74" t="s">
        <v>123</v>
      </c>
      <c r="I24" s="74">
        <v>220</v>
      </c>
      <c r="J24" s="75">
        <v>0</v>
      </c>
      <c r="K24" s="75"/>
    </row>
    <row r="25" s="1" customFormat="1" ht="14.25" spans="1:11">
      <c r="A25" s="71">
        <v>1</v>
      </c>
      <c r="B25" s="72">
        <v>31</v>
      </c>
      <c r="C25" s="72">
        <v>3</v>
      </c>
      <c r="D25" s="73" t="s">
        <v>124</v>
      </c>
      <c r="E25" s="73" t="s">
        <v>48</v>
      </c>
      <c r="F25" s="73" t="s">
        <v>125</v>
      </c>
      <c r="G25" s="73" t="s">
        <v>32</v>
      </c>
      <c r="H25" s="74" t="s">
        <v>123</v>
      </c>
      <c r="I25" s="74">
        <v>4</v>
      </c>
      <c r="J25" s="75">
        <v>0</v>
      </c>
      <c r="K25" s="75"/>
    </row>
    <row r="26" s="1" customFormat="1" ht="14.25" spans="1:11">
      <c r="A26" s="71">
        <v>1</v>
      </c>
      <c r="B26" s="72">
        <v>31</v>
      </c>
      <c r="C26" s="72">
        <v>3</v>
      </c>
      <c r="D26" s="73" t="s">
        <v>126</v>
      </c>
      <c r="E26" s="73" t="s">
        <v>118</v>
      </c>
      <c r="F26" s="73" t="s">
        <v>127</v>
      </c>
      <c r="G26" s="73" t="s">
        <v>32</v>
      </c>
      <c r="H26" s="74" t="s">
        <v>123</v>
      </c>
      <c r="I26" s="74">
        <v>260</v>
      </c>
      <c r="J26" s="75">
        <v>0</v>
      </c>
      <c r="K26" s="75"/>
    </row>
    <row r="27" s="1" customFormat="1" ht="14.25" spans="1:11">
      <c r="A27" s="71">
        <v>1</v>
      </c>
      <c r="B27" s="72">
        <v>31</v>
      </c>
      <c r="C27" s="72">
        <v>3</v>
      </c>
      <c r="D27" s="73" t="s">
        <v>128</v>
      </c>
      <c r="E27" s="73" t="s">
        <v>118</v>
      </c>
      <c r="F27" s="73" t="s">
        <v>122</v>
      </c>
      <c r="G27" s="73" t="s">
        <v>32</v>
      </c>
      <c r="H27" s="74" t="s">
        <v>123</v>
      </c>
      <c r="I27" s="74">
        <v>20</v>
      </c>
      <c r="J27" s="75">
        <v>0</v>
      </c>
      <c r="K27" s="75"/>
    </row>
    <row r="28" s="1" customFormat="1" ht="14.25" spans="1:11">
      <c r="A28" s="71">
        <v>1</v>
      </c>
      <c r="B28" s="72">
        <v>31</v>
      </c>
      <c r="C28" s="72">
        <v>3</v>
      </c>
      <c r="D28" s="73" t="s">
        <v>124</v>
      </c>
      <c r="E28" s="73" t="s">
        <v>48</v>
      </c>
      <c r="F28" s="73" t="s">
        <v>125</v>
      </c>
      <c r="G28" s="73" t="s">
        <v>32</v>
      </c>
      <c r="H28" s="74" t="s">
        <v>129</v>
      </c>
      <c r="I28" s="74">
        <v>8</v>
      </c>
      <c r="J28" s="75">
        <v>0</v>
      </c>
      <c r="K28" s="75"/>
    </row>
    <row r="29" s="1" customFormat="1" ht="14.25" spans="1:11">
      <c r="A29" s="71">
        <v>1</v>
      </c>
      <c r="B29" s="72">
        <v>31</v>
      </c>
      <c r="C29" s="72">
        <v>3</v>
      </c>
      <c r="D29" s="73" t="s">
        <v>130</v>
      </c>
      <c r="E29" s="73" t="s">
        <v>48</v>
      </c>
      <c r="F29" s="73" t="s">
        <v>55</v>
      </c>
      <c r="G29" s="73" t="s">
        <v>32</v>
      </c>
      <c r="H29" s="74" t="s">
        <v>129</v>
      </c>
      <c r="I29" s="74">
        <v>100</v>
      </c>
      <c r="J29" s="75">
        <v>0</v>
      </c>
      <c r="K29" s="75"/>
    </row>
    <row r="30" s="1" customFormat="1" ht="14.25" spans="1:11">
      <c r="A30" s="71">
        <v>1</v>
      </c>
      <c r="B30" s="72">
        <v>31</v>
      </c>
      <c r="C30" s="72">
        <v>3</v>
      </c>
      <c r="D30" s="73" t="s">
        <v>131</v>
      </c>
      <c r="E30" s="73" t="s">
        <v>96</v>
      </c>
      <c r="F30" s="73" t="s">
        <v>97</v>
      </c>
      <c r="G30" s="73" t="s">
        <v>32</v>
      </c>
      <c r="H30" s="74" t="s">
        <v>129</v>
      </c>
      <c r="I30" s="74">
        <v>15</v>
      </c>
      <c r="J30" s="75">
        <v>0</v>
      </c>
      <c r="K30" s="75"/>
    </row>
    <row r="31" s="1" customFormat="1" ht="14.25" spans="1:11">
      <c r="A31" s="71">
        <v>1</v>
      </c>
      <c r="B31" s="72">
        <v>31</v>
      </c>
      <c r="C31" s="72">
        <v>3</v>
      </c>
      <c r="D31" s="73" t="s">
        <v>132</v>
      </c>
      <c r="E31" s="73" t="s">
        <v>48</v>
      </c>
      <c r="F31" s="73" t="s">
        <v>125</v>
      </c>
      <c r="G31" s="73" t="s">
        <v>32</v>
      </c>
      <c r="H31" s="74" t="s">
        <v>129</v>
      </c>
      <c r="I31" s="74">
        <v>3</v>
      </c>
      <c r="J31" s="75">
        <v>0</v>
      </c>
      <c r="K31" s="75"/>
    </row>
    <row r="32" s="1" customFormat="1" ht="14.25" spans="1:11">
      <c r="A32" s="71">
        <v>1</v>
      </c>
      <c r="B32" s="72">
        <v>31</v>
      </c>
      <c r="C32" s="72">
        <v>3</v>
      </c>
      <c r="D32" s="73" t="s">
        <v>133</v>
      </c>
      <c r="E32" s="73" t="s">
        <v>48</v>
      </c>
      <c r="F32" s="73" t="s">
        <v>125</v>
      </c>
      <c r="G32" s="73" t="s">
        <v>32</v>
      </c>
      <c r="H32" s="74" t="s">
        <v>129</v>
      </c>
      <c r="I32" s="74">
        <v>340</v>
      </c>
      <c r="J32" s="75">
        <v>0</v>
      </c>
      <c r="K32" s="75"/>
    </row>
    <row r="33" s="1" customFormat="1" ht="14.25" spans="1:11">
      <c r="A33" s="71">
        <v>1</v>
      </c>
      <c r="B33" s="72">
        <v>31</v>
      </c>
      <c r="C33" s="72">
        <v>4</v>
      </c>
      <c r="D33" s="73" t="s">
        <v>124</v>
      </c>
      <c r="E33" s="73" t="s">
        <v>48</v>
      </c>
      <c r="F33" s="73" t="s">
        <v>125</v>
      </c>
      <c r="G33" s="73" t="s">
        <v>32</v>
      </c>
      <c r="H33" s="74" t="s">
        <v>134</v>
      </c>
      <c r="I33" s="74">
        <v>18</v>
      </c>
      <c r="J33" s="75">
        <v>0</v>
      </c>
      <c r="K33" s="75"/>
    </row>
    <row r="34" s="1" customFormat="1" ht="14.25" spans="1:11">
      <c r="A34" s="71">
        <v>1</v>
      </c>
      <c r="B34" s="72">
        <v>31</v>
      </c>
      <c r="C34" s="72">
        <v>4</v>
      </c>
      <c r="D34" s="73" t="s">
        <v>135</v>
      </c>
      <c r="E34" s="73" t="s">
        <v>118</v>
      </c>
      <c r="F34" s="73" t="s">
        <v>136</v>
      </c>
      <c r="G34" s="73" t="s">
        <v>32</v>
      </c>
      <c r="H34" s="74" t="s">
        <v>134</v>
      </c>
      <c r="I34" s="74">
        <v>98</v>
      </c>
      <c r="J34" s="75">
        <v>0</v>
      </c>
      <c r="K34" s="75"/>
    </row>
    <row r="35" s="1" customFormat="1" ht="14.25" spans="1:11">
      <c r="A35" s="71">
        <v>1</v>
      </c>
      <c r="B35" s="72">
        <v>31</v>
      </c>
      <c r="C35" s="72">
        <v>4</v>
      </c>
      <c r="D35" s="73" t="s">
        <v>137</v>
      </c>
      <c r="E35" s="73" t="s">
        <v>48</v>
      </c>
      <c r="F35" s="73" t="s">
        <v>138</v>
      </c>
      <c r="G35" s="73" t="s">
        <v>32</v>
      </c>
      <c r="H35" s="74" t="s">
        <v>134</v>
      </c>
      <c r="I35" s="74">
        <v>30</v>
      </c>
      <c r="J35" s="75">
        <v>0</v>
      </c>
      <c r="K35" s="75"/>
    </row>
    <row r="36" s="1" customFormat="1" ht="14.25" spans="1:11">
      <c r="A36" s="71">
        <v>1</v>
      </c>
      <c r="B36" s="72">
        <v>31</v>
      </c>
      <c r="C36" s="72">
        <v>4</v>
      </c>
      <c r="D36" s="73" t="s">
        <v>131</v>
      </c>
      <c r="E36" s="73" t="s">
        <v>96</v>
      </c>
      <c r="F36" s="73" t="s">
        <v>97</v>
      </c>
      <c r="G36" s="73" t="s">
        <v>32</v>
      </c>
      <c r="H36" s="74" t="s">
        <v>134</v>
      </c>
      <c r="I36" s="74">
        <v>70</v>
      </c>
      <c r="J36" s="75">
        <v>0</v>
      </c>
      <c r="K36" s="75"/>
    </row>
    <row r="37" s="1" customFormat="1" ht="14.25" spans="1:11">
      <c r="A37" s="71">
        <v>1</v>
      </c>
      <c r="B37" s="72">
        <v>31</v>
      </c>
      <c r="C37" s="72">
        <v>4</v>
      </c>
      <c r="D37" s="73" t="s">
        <v>139</v>
      </c>
      <c r="E37" s="73" t="s">
        <v>48</v>
      </c>
      <c r="F37" s="73" t="s">
        <v>125</v>
      </c>
      <c r="G37" s="73" t="s">
        <v>32</v>
      </c>
      <c r="H37" s="74" t="s">
        <v>134</v>
      </c>
      <c r="I37" s="74">
        <v>80</v>
      </c>
      <c r="J37" s="75">
        <v>0</v>
      </c>
      <c r="K37" s="75"/>
    </row>
    <row r="38" s="1" customFormat="1" ht="14.25" spans="1:11">
      <c r="A38" s="71">
        <v>1</v>
      </c>
      <c r="B38" s="72">
        <v>31</v>
      </c>
      <c r="C38" s="72">
        <v>4</v>
      </c>
      <c r="D38" s="73" t="s">
        <v>140</v>
      </c>
      <c r="E38" s="73" t="s">
        <v>118</v>
      </c>
      <c r="F38" s="73" t="s">
        <v>136</v>
      </c>
      <c r="G38" s="73" t="s">
        <v>32</v>
      </c>
      <c r="H38" s="74" t="s">
        <v>141</v>
      </c>
      <c r="I38" s="74">
        <v>150</v>
      </c>
      <c r="J38" s="75">
        <v>0</v>
      </c>
      <c r="K38" s="75"/>
    </row>
    <row r="39" s="1" customFormat="1" ht="14.25" spans="1:11">
      <c r="A39" s="71">
        <v>1</v>
      </c>
      <c r="B39" s="72">
        <v>31</v>
      </c>
      <c r="C39" s="72">
        <v>4</v>
      </c>
      <c r="D39" s="73" t="s">
        <v>131</v>
      </c>
      <c r="E39" s="73" t="s">
        <v>96</v>
      </c>
      <c r="F39" s="73" t="s">
        <v>97</v>
      </c>
      <c r="G39" s="73" t="s">
        <v>32</v>
      </c>
      <c r="H39" s="74" t="s">
        <v>141</v>
      </c>
      <c r="I39" s="74">
        <v>200.5</v>
      </c>
      <c r="J39" s="75">
        <v>0</v>
      </c>
      <c r="K39" s="75"/>
    </row>
    <row r="40" s="1" customFormat="1" ht="14.25" spans="1:11">
      <c r="A40" s="71">
        <v>1</v>
      </c>
      <c r="B40" s="72">
        <v>31</v>
      </c>
      <c r="C40" s="72">
        <v>4</v>
      </c>
      <c r="D40" s="73" t="s">
        <v>142</v>
      </c>
      <c r="E40" s="73" t="s">
        <v>118</v>
      </c>
      <c r="F40" s="73" t="s">
        <v>136</v>
      </c>
      <c r="G40" s="73" t="s">
        <v>32</v>
      </c>
      <c r="H40" s="74" t="s">
        <v>141</v>
      </c>
      <c r="I40" s="74">
        <v>74</v>
      </c>
      <c r="J40" s="75">
        <v>0</v>
      </c>
      <c r="K40" s="75"/>
    </row>
    <row r="41" s="1" customFormat="1" ht="14.25" spans="1:11">
      <c r="A41" s="71">
        <v>1</v>
      </c>
      <c r="B41" s="72">
        <v>31</v>
      </c>
      <c r="C41" s="72">
        <v>4</v>
      </c>
      <c r="D41" s="73" t="s">
        <v>143</v>
      </c>
      <c r="E41" s="73" t="s">
        <v>118</v>
      </c>
      <c r="F41" s="73" t="s">
        <v>136</v>
      </c>
      <c r="G41" s="73" t="s">
        <v>32</v>
      </c>
      <c r="H41" s="74" t="s">
        <v>141</v>
      </c>
      <c r="I41" s="74">
        <v>78</v>
      </c>
      <c r="J41" s="75">
        <v>0</v>
      </c>
      <c r="K41" s="75"/>
    </row>
    <row r="42" s="1" customFormat="1" ht="14.25" spans="1:11">
      <c r="A42" s="71">
        <v>1</v>
      </c>
      <c r="B42" s="72">
        <v>31</v>
      </c>
      <c r="C42" s="72">
        <v>5</v>
      </c>
      <c r="D42" s="73" t="s">
        <v>124</v>
      </c>
      <c r="E42" s="73" t="s">
        <v>48</v>
      </c>
      <c r="F42" s="73" t="s">
        <v>125</v>
      </c>
      <c r="G42" s="73" t="s">
        <v>32</v>
      </c>
      <c r="H42" s="74" t="s">
        <v>144</v>
      </c>
      <c r="I42" s="74">
        <v>6</v>
      </c>
      <c r="J42" s="75">
        <v>0</v>
      </c>
      <c r="K42" s="75"/>
    </row>
    <row r="43" s="1" customFormat="1" ht="14.25" spans="1:11">
      <c r="A43" s="71">
        <v>1</v>
      </c>
      <c r="B43" s="72">
        <v>31</v>
      </c>
      <c r="C43" s="72">
        <v>5</v>
      </c>
      <c r="D43" s="73" t="s">
        <v>135</v>
      </c>
      <c r="E43" s="73" t="s">
        <v>118</v>
      </c>
      <c r="F43" s="73" t="s">
        <v>136</v>
      </c>
      <c r="G43" s="73" t="s">
        <v>32</v>
      </c>
      <c r="H43" s="74" t="s">
        <v>144</v>
      </c>
      <c r="I43" s="74">
        <v>20</v>
      </c>
      <c r="J43" s="75">
        <v>0</v>
      </c>
      <c r="K43" s="75"/>
    </row>
    <row r="44" s="1" customFormat="1" ht="14.25" spans="1:11">
      <c r="A44" s="71">
        <v>1</v>
      </c>
      <c r="B44" s="72">
        <v>31</v>
      </c>
      <c r="C44" s="72">
        <v>5</v>
      </c>
      <c r="D44" s="73" t="s">
        <v>139</v>
      </c>
      <c r="E44" s="73" t="s">
        <v>48</v>
      </c>
      <c r="F44" s="73" t="s">
        <v>125</v>
      </c>
      <c r="G44" s="73" t="s">
        <v>32</v>
      </c>
      <c r="H44" s="74" t="s">
        <v>144</v>
      </c>
      <c r="I44" s="74">
        <v>80</v>
      </c>
      <c r="J44" s="75">
        <v>0</v>
      </c>
      <c r="K44" s="75"/>
    </row>
    <row r="45" s="1" customFormat="1" ht="14.25" spans="1:11">
      <c r="A45" s="71">
        <v>1</v>
      </c>
      <c r="B45" s="72">
        <v>31</v>
      </c>
      <c r="C45" s="72">
        <v>5</v>
      </c>
      <c r="D45" s="73" t="s">
        <v>145</v>
      </c>
      <c r="E45" s="73" t="s">
        <v>118</v>
      </c>
      <c r="F45" s="73" t="s">
        <v>146</v>
      </c>
      <c r="G45" s="73" t="s">
        <v>32</v>
      </c>
      <c r="H45" s="74" t="s">
        <v>144</v>
      </c>
      <c r="I45" s="74">
        <v>225</v>
      </c>
      <c r="J45" s="75">
        <v>0</v>
      </c>
      <c r="K45" s="75"/>
    </row>
    <row r="46" s="1" customFormat="1" ht="14.25" spans="1:11">
      <c r="A46" s="71">
        <v>1</v>
      </c>
      <c r="B46" s="72">
        <v>31</v>
      </c>
      <c r="C46" s="72">
        <v>5</v>
      </c>
      <c r="D46" s="73" t="s">
        <v>147</v>
      </c>
      <c r="E46" s="73" t="s">
        <v>48</v>
      </c>
      <c r="F46" s="73" t="s">
        <v>125</v>
      </c>
      <c r="G46" s="73" t="s">
        <v>32</v>
      </c>
      <c r="H46" s="74" t="s">
        <v>148</v>
      </c>
      <c r="I46" s="74">
        <v>58</v>
      </c>
      <c r="J46" s="75">
        <v>0</v>
      </c>
      <c r="K46" s="75"/>
    </row>
    <row r="47" s="1" customFormat="1" ht="14.25" spans="1:11">
      <c r="A47" s="71">
        <v>1</v>
      </c>
      <c r="B47" s="72">
        <v>31</v>
      </c>
      <c r="C47" s="72">
        <v>5</v>
      </c>
      <c r="D47" s="73" t="s">
        <v>149</v>
      </c>
      <c r="E47" s="73" t="s">
        <v>48</v>
      </c>
      <c r="F47" s="73" t="s">
        <v>55</v>
      </c>
      <c r="G47" s="73" t="s">
        <v>32</v>
      </c>
      <c r="H47" s="74" t="s">
        <v>148</v>
      </c>
      <c r="I47" s="74">
        <v>20</v>
      </c>
      <c r="J47" s="75">
        <v>0</v>
      </c>
      <c r="K47" s="75"/>
    </row>
    <row r="48" s="1" customFormat="1" ht="14.25" spans="1:11">
      <c r="A48" s="71">
        <v>1</v>
      </c>
      <c r="B48" s="72">
        <v>31</v>
      </c>
      <c r="C48" s="72">
        <v>5</v>
      </c>
      <c r="D48" s="73" t="s">
        <v>150</v>
      </c>
      <c r="E48" s="73" t="s">
        <v>118</v>
      </c>
      <c r="F48" s="73" t="s">
        <v>151</v>
      </c>
      <c r="G48" s="73" t="s">
        <v>32</v>
      </c>
      <c r="H48" s="74" t="s">
        <v>148</v>
      </c>
      <c r="I48" s="74">
        <v>800</v>
      </c>
      <c r="J48" s="75">
        <v>0</v>
      </c>
      <c r="K48" s="75"/>
    </row>
    <row r="49" s="1" customFormat="1" ht="14.25" spans="1:11">
      <c r="A49" s="71">
        <v>1</v>
      </c>
      <c r="B49" s="72">
        <v>31</v>
      </c>
      <c r="C49" s="72">
        <v>5</v>
      </c>
      <c r="D49" s="73" t="s">
        <v>152</v>
      </c>
      <c r="E49" s="73" t="s">
        <v>118</v>
      </c>
      <c r="F49" s="73" t="s">
        <v>146</v>
      </c>
      <c r="G49" s="73" t="s">
        <v>32</v>
      </c>
      <c r="H49" s="74" t="s">
        <v>148</v>
      </c>
      <c r="I49" s="74">
        <v>840</v>
      </c>
      <c r="J49" s="75">
        <v>0</v>
      </c>
      <c r="K49" s="75"/>
    </row>
    <row r="50" s="1" customFormat="1" ht="14.25" spans="1:11">
      <c r="A50" s="71">
        <v>1</v>
      </c>
      <c r="B50" s="72">
        <v>31</v>
      </c>
      <c r="C50" s="72">
        <v>5</v>
      </c>
      <c r="D50" s="73" t="s">
        <v>153</v>
      </c>
      <c r="E50" s="73" t="s">
        <v>118</v>
      </c>
      <c r="F50" s="73" t="s">
        <v>154</v>
      </c>
      <c r="G50" s="73" t="s">
        <v>32</v>
      </c>
      <c r="H50" s="74" t="s">
        <v>148</v>
      </c>
      <c r="I50" s="74">
        <v>640</v>
      </c>
      <c r="J50" s="75">
        <v>0</v>
      </c>
      <c r="K50" s="75"/>
    </row>
    <row r="51" s="1" customFormat="1" ht="14.25" spans="1:11">
      <c r="A51" s="71">
        <v>1</v>
      </c>
      <c r="B51" s="72">
        <v>31</v>
      </c>
      <c r="C51" s="72">
        <v>6</v>
      </c>
      <c r="D51" s="73" t="s">
        <v>155</v>
      </c>
      <c r="E51" s="73" t="s">
        <v>118</v>
      </c>
      <c r="F51" s="73" t="s">
        <v>156</v>
      </c>
      <c r="G51" s="73" t="s">
        <v>32</v>
      </c>
      <c r="H51" s="74" t="s">
        <v>157</v>
      </c>
      <c r="I51" s="74">
        <v>400</v>
      </c>
      <c r="J51" s="75">
        <v>0</v>
      </c>
      <c r="K51" s="75"/>
    </row>
    <row r="52" s="1" customFormat="1" ht="14.25" spans="1:11">
      <c r="A52" s="71">
        <v>1</v>
      </c>
      <c r="B52" s="72">
        <v>31</v>
      </c>
      <c r="C52" s="72">
        <v>6</v>
      </c>
      <c r="D52" s="73" t="s">
        <v>158</v>
      </c>
      <c r="E52" s="73" t="s">
        <v>118</v>
      </c>
      <c r="F52" s="73" t="s">
        <v>119</v>
      </c>
      <c r="G52" s="73" t="s">
        <v>32</v>
      </c>
      <c r="H52" s="74" t="s">
        <v>157</v>
      </c>
      <c r="I52" s="74">
        <v>75000</v>
      </c>
      <c r="J52" s="75">
        <v>0</v>
      </c>
      <c r="K52" s="75"/>
    </row>
    <row r="53" s="1" customFormat="1" ht="14.25" spans="1:11">
      <c r="A53" s="71">
        <v>1</v>
      </c>
      <c r="B53" s="72">
        <v>31</v>
      </c>
      <c r="C53" s="72">
        <v>6</v>
      </c>
      <c r="D53" s="73" t="s">
        <v>159</v>
      </c>
      <c r="E53" s="73" t="s">
        <v>48</v>
      </c>
      <c r="F53" s="73" t="s">
        <v>55</v>
      </c>
      <c r="G53" s="73" t="s">
        <v>32</v>
      </c>
      <c r="H53" s="74" t="s">
        <v>157</v>
      </c>
      <c r="I53" s="74">
        <v>700</v>
      </c>
      <c r="J53" s="75">
        <v>0</v>
      </c>
      <c r="K53" s="75"/>
    </row>
    <row r="54" s="1" customFormat="1" ht="14.25" spans="1:11">
      <c r="A54" s="71">
        <v>1</v>
      </c>
      <c r="B54" s="72">
        <v>31</v>
      </c>
      <c r="C54" s="72">
        <v>6</v>
      </c>
      <c r="D54" s="73" t="s">
        <v>160</v>
      </c>
      <c r="E54" s="73" t="s">
        <v>118</v>
      </c>
      <c r="F54" s="73" t="s">
        <v>136</v>
      </c>
      <c r="G54" s="73" t="s">
        <v>32</v>
      </c>
      <c r="H54" s="74" t="s">
        <v>157</v>
      </c>
      <c r="I54" s="74">
        <v>20</v>
      </c>
      <c r="J54" s="75">
        <v>0</v>
      </c>
      <c r="K54" s="75"/>
    </row>
    <row r="55" s="1" customFormat="1" ht="14.25" spans="1:11">
      <c r="A55" s="71">
        <v>1</v>
      </c>
      <c r="B55" s="72">
        <v>31</v>
      </c>
      <c r="C55" s="72">
        <v>6</v>
      </c>
      <c r="D55" s="73" t="s">
        <v>161</v>
      </c>
      <c r="E55" s="73" t="s">
        <v>48</v>
      </c>
      <c r="F55" s="73" t="s">
        <v>138</v>
      </c>
      <c r="G55" s="73" t="s">
        <v>32</v>
      </c>
      <c r="H55" s="74" t="s">
        <v>157</v>
      </c>
      <c r="I55" s="74">
        <v>3</v>
      </c>
      <c r="J55" s="75">
        <v>0</v>
      </c>
      <c r="K55" s="75"/>
    </row>
    <row r="56" s="1" customFormat="1" ht="14.25" spans="1:11">
      <c r="A56" s="71">
        <v>1</v>
      </c>
      <c r="B56" s="72">
        <v>31</v>
      </c>
      <c r="C56" s="72">
        <v>6</v>
      </c>
      <c r="D56" s="73" t="s">
        <v>149</v>
      </c>
      <c r="E56" s="73" t="s">
        <v>48</v>
      </c>
      <c r="F56" s="73" t="s">
        <v>55</v>
      </c>
      <c r="G56" s="73" t="s">
        <v>32</v>
      </c>
      <c r="H56" s="74" t="s">
        <v>162</v>
      </c>
      <c r="I56" s="74">
        <v>37</v>
      </c>
      <c r="J56" s="75">
        <v>0</v>
      </c>
      <c r="K56" s="75"/>
    </row>
    <row r="57" s="1" customFormat="1" ht="14.25" spans="1:11">
      <c r="A57" s="71">
        <v>1</v>
      </c>
      <c r="B57" s="72">
        <v>31</v>
      </c>
      <c r="C57" s="72">
        <v>6</v>
      </c>
      <c r="D57" s="73" t="s">
        <v>163</v>
      </c>
      <c r="E57" s="73" t="s">
        <v>48</v>
      </c>
      <c r="F57" s="73" t="s">
        <v>164</v>
      </c>
      <c r="G57" s="73" t="s">
        <v>32</v>
      </c>
      <c r="H57" s="74" t="s">
        <v>162</v>
      </c>
      <c r="I57" s="74">
        <v>233</v>
      </c>
      <c r="J57" s="75">
        <v>0</v>
      </c>
      <c r="K57" s="75"/>
    </row>
    <row r="58" s="1" customFormat="1" ht="14.25" spans="1:11">
      <c r="A58" s="71">
        <v>1</v>
      </c>
      <c r="B58" s="72">
        <v>31</v>
      </c>
      <c r="C58" s="72">
        <v>6</v>
      </c>
      <c r="D58" s="73" t="s">
        <v>165</v>
      </c>
      <c r="E58" s="73" t="s">
        <v>96</v>
      </c>
      <c r="F58" s="73" t="s">
        <v>97</v>
      </c>
      <c r="G58" s="73" t="s">
        <v>32</v>
      </c>
      <c r="H58" s="74" t="s">
        <v>162</v>
      </c>
      <c r="I58" s="74">
        <v>355</v>
      </c>
      <c r="J58" s="75">
        <v>0</v>
      </c>
      <c r="K58" s="75"/>
    </row>
    <row r="59" s="1" customFormat="1" ht="14.25" spans="1:11">
      <c r="A59" s="71">
        <v>1</v>
      </c>
      <c r="B59" s="72">
        <v>31</v>
      </c>
      <c r="C59" s="72">
        <v>6</v>
      </c>
      <c r="D59" s="73" t="s">
        <v>166</v>
      </c>
      <c r="E59" s="73" t="s">
        <v>48</v>
      </c>
      <c r="F59" s="73" t="s">
        <v>164</v>
      </c>
      <c r="G59" s="73" t="s">
        <v>32</v>
      </c>
      <c r="H59" s="74" t="s">
        <v>162</v>
      </c>
      <c r="I59" s="74">
        <v>255</v>
      </c>
      <c r="J59" s="75">
        <v>0</v>
      </c>
      <c r="K59" s="75"/>
    </row>
    <row r="60" s="1" customFormat="1" ht="14.25" spans="1:11">
      <c r="A60" s="71">
        <v>1</v>
      </c>
      <c r="B60" s="72">
        <v>31</v>
      </c>
      <c r="C60" s="72">
        <v>6</v>
      </c>
      <c r="D60" s="73" t="s">
        <v>167</v>
      </c>
      <c r="E60" s="73" t="s">
        <v>48</v>
      </c>
      <c r="F60" s="73" t="s">
        <v>125</v>
      </c>
      <c r="G60" s="73" t="s">
        <v>32</v>
      </c>
      <c r="H60" s="74" t="s">
        <v>162</v>
      </c>
      <c r="I60" s="74">
        <v>54</v>
      </c>
      <c r="J60" s="75">
        <v>0</v>
      </c>
      <c r="K60" s="75"/>
    </row>
    <row r="61" s="1" customFormat="1" ht="14.25" spans="1:11">
      <c r="A61" s="71">
        <v>1</v>
      </c>
      <c r="B61" s="72">
        <v>31</v>
      </c>
      <c r="C61" s="72">
        <v>7</v>
      </c>
      <c r="D61" s="73" t="s">
        <v>124</v>
      </c>
      <c r="E61" s="73" t="s">
        <v>48</v>
      </c>
      <c r="F61" s="73" t="s">
        <v>125</v>
      </c>
      <c r="G61" s="73" t="s">
        <v>32</v>
      </c>
      <c r="H61" s="74" t="s">
        <v>168</v>
      </c>
      <c r="I61" s="74">
        <v>4</v>
      </c>
      <c r="J61" s="75">
        <v>0</v>
      </c>
      <c r="K61" s="75"/>
    </row>
    <row r="62" s="1" customFormat="1" ht="14.25" spans="1:11">
      <c r="A62" s="71">
        <v>1</v>
      </c>
      <c r="B62" s="72">
        <v>31</v>
      </c>
      <c r="C62" s="72">
        <v>7</v>
      </c>
      <c r="D62" s="73" t="s">
        <v>169</v>
      </c>
      <c r="E62" s="73" t="s">
        <v>96</v>
      </c>
      <c r="F62" s="73" t="s">
        <v>97</v>
      </c>
      <c r="G62" s="73" t="s">
        <v>32</v>
      </c>
      <c r="H62" s="74" t="s">
        <v>168</v>
      </c>
      <c r="I62" s="74">
        <v>20</v>
      </c>
      <c r="J62" s="75">
        <v>0</v>
      </c>
      <c r="K62" s="75"/>
    </row>
    <row r="63" s="1" customFormat="1" ht="14.25" spans="1:11">
      <c r="A63" s="71">
        <v>1</v>
      </c>
      <c r="B63" s="72">
        <v>31</v>
      </c>
      <c r="C63" s="72">
        <v>7</v>
      </c>
      <c r="D63" s="73" t="s">
        <v>170</v>
      </c>
      <c r="E63" s="73" t="s">
        <v>48</v>
      </c>
      <c r="F63" s="73" t="s">
        <v>55</v>
      </c>
      <c r="G63" s="73" t="s">
        <v>32</v>
      </c>
      <c r="H63" s="74" t="s">
        <v>168</v>
      </c>
      <c r="I63" s="74">
        <v>580</v>
      </c>
      <c r="J63" s="75">
        <v>0</v>
      </c>
      <c r="K63" s="75"/>
    </row>
    <row r="64" s="1" customFormat="1" ht="14.25" spans="1:11">
      <c r="A64" s="71">
        <v>1</v>
      </c>
      <c r="B64" s="72">
        <v>31</v>
      </c>
      <c r="C64" s="72">
        <v>7</v>
      </c>
      <c r="D64" s="73" t="s">
        <v>171</v>
      </c>
      <c r="E64" s="73" t="s">
        <v>172</v>
      </c>
      <c r="F64" s="73" t="s">
        <v>173</v>
      </c>
      <c r="G64" s="73" t="s">
        <v>32</v>
      </c>
      <c r="H64" s="74" t="s">
        <v>168</v>
      </c>
      <c r="I64" s="74">
        <v>9807</v>
      </c>
      <c r="J64" s="75">
        <v>0</v>
      </c>
      <c r="K64" s="75"/>
    </row>
    <row r="65" s="1" customFormat="1" ht="14.25" spans="1:11">
      <c r="A65" s="71">
        <v>1</v>
      </c>
      <c r="B65" s="72">
        <v>31</v>
      </c>
      <c r="C65" s="72">
        <v>7</v>
      </c>
      <c r="D65" s="73" t="s">
        <v>174</v>
      </c>
      <c r="E65" s="73" t="s">
        <v>48</v>
      </c>
      <c r="F65" s="73" t="s">
        <v>164</v>
      </c>
      <c r="G65" s="73" t="s">
        <v>32</v>
      </c>
      <c r="H65" s="74" t="s">
        <v>168</v>
      </c>
      <c r="I65" s="74">
        <v>6</v>
      </c>
      <c r="J65" s="75">
        <v>0</v>
      </c>
      <c r="K65" s="75"/>
    </row>
    <row r="66" s="1" customFormat="1" ht="14.25" spans="1:11">
      <c r="A66" s="71">
        <v>1</v>
      </c>
      <c r="B66" s="72">
        <v>31</v>
      </c>
      <c r="C66" s="72">
        <v>7</v>
      </c>
      <c r="D66" s="73" t="s">
        <v>175</v>
      </c>
      <c r="E66" s="73" t="s">
        <v>100</v>
      </c>
      <c r="F66" s="73" t="s">
        <v>176</v>
      </c>
      <c r="G66" s="73" t="s">
        <v>32</v>
      </c>
      <c r="H66" s="74" t="s">
        <v>177</v>
      </c>
      <c r="I66" s="74">
        <v>29000</v>
      </c>
      <c r="J66" s="75">
        <v>0</v>
      </c>
      <c r="K66" s="75"/>
    </row>
    <row r="67" s="1" customFormat="1" ht="14.25" spans="1:11">
      <c r="A67" s="71">
        <v>1</v>
      </c>
      <c r="B67" s="72">
        <v>31</v>
      </c>
      <c r="C67" s="72">
        <v>7</v>
      </c>
      <c r="D67" s="73" t="s">
        <v>178</v>
      </c>
      <c r="E67" s="73" t="s">
        <v>179</v>
      </c>
      <c r="F67" s="73" t="s">
        <v>180</v>
      </c>
      <c r="G67" s="73" t="s">
        <v>32</v>
      </c>
      <c r="H67" s="74" t="s">
        <v>177</v>
      </c>
      <c r="I67" s="74">
        <v>21580</v>
      </c>
      <c r="J67" s="75">
        <v>0</v>
      </c>
      <c r="K67" s="75"/>
    </row>
    <row r="68" s="1" customFormat="1" ht="14.25" spans="1:11">
      <c r="A68" s="71">
        <v>1</v>
      </c>
      <c r="B68" s="72">
        <v>31</v>
      </c>
      <c r="C68" s="72">
        <v>7</v>
      </c>
      <c r="D68" s="73" t="s">
        <v>181</v>
      </c>
      <c r="E68" s="73" t="s">
        <v>48</v>
      </c>
      <c r="F68" s="73" t="s">
        <v>164</v>
      </c>
      <c r="G68" s="73" t="s">
        <v>32</v>
      </c>
      <c r="H68" s="74" t="s">
        <v>177</v>
      </c>
      <c r="I68" s="74">
        <v>193.32</v>
      </c>
      <c r="J68" s="75">
        <v>0</v>
      </c>
      <c r="K68" s="75"/>
    </row>
    <row r="69" s="1" customFormat="1" ht="14.25" spans="1:11">
      <c r="A69" s="71">
        <v>1</v>
      </c>
      <c r="B69" s="72">
        <v>31</v>
      </c>
      <c r="C69" s="72">
        <v>7</v>
      </c>
      <c r="D69" s="73" t="s">
        <v>182</v>
      </c>
      <c r="E69" s="73" t="s">
        <v>48</v>
      </c>
      <c r="F69" s="73" t="s">
        <v>164</v>
      </c>
      <c r="G69" s="73" t="s">
        <v>32</v>
      </c>
      <c r="H69" s="74" t="s">
        <v>177</v>
      </c>
      <c r="I69" s="74">
        <v>350</v>
      </c>
      <c r="J69" s="75">
        <v>0</v>
      </c>
      <c r="K69" s="75"/>
    </row>
    <row r="70" s="1" customFormat="1" ht="14.25" spans="1:11">
      <c r="A70" s="71">
        <v>1</v>
      </c>
      <c r="B70" s="72">
        <v>31</v>
      </c>
      <c r="C70" s="72">
        <v>8</v>
      </c>
      <c r="D70" s="73" t="s">
        <v>183</v>
      </c>
      <c r="E70" s="73" t="s">
        <v>118</v>
      </c>
      <c r="F70" s="73" t="s">
        <v>184</v>
      </c>
      <c r="G70" s="73" t="s">
        <v>32</v>
      </c>
      <c r="H70" s="74" t="s">
        <v>185</v>
      </c>
      <c r="I70" s="74">
        <v>16000</v>
      </c>
      <c r="J70" s="75">
        <v>0</v>
      </c>
      <c r="K70" s="75"/>
    </row>
    <row r="71" s="1" customFormat="1" ht="14.25" spans="1:11">
      <c r="A71" s="71">
        <v>1</v>
      </c>
      <c r="B71" s="72">
        <v>31</v>
      </c>
      <c r="C71" s="72">
        <v>8</v>
      </c>
      <c r="D71" s="73" t="s">
        <v>186</v>
      </c>
      <c r="E71" s="73" t="s">
        <v>118</v>
      </c>
      <c r="F71" s="73" t="s">
        <v>187</v>
      </c>
      <c r="G71" s="73" t="s">
        <v>32</v>
      </c>
      <c r="H71" s="74" t="s">
        <v>185</v>
      </c>
      <c r="I71" s="74">
        <v>32450</v>
      </c>
      <c r="J71" s="75">
        <v>0</v>
      </c>
      <c r="K71" s="75"/>
    </row>
    <row r="72" s="1" customFormat="1" ht="14.25" spans="1:11">
      <c r="A72" s="71">
        <v>1</v>
      </c>
      <c r="B72" s="72">
        <v>31</v>
      </c>
      <c r="C72" s="72">
        <v>8</v>
      </c>
      <c r="D72" s="73" t="s">
        <v>188</v>
      </c>
      <c r="E72" s="73" t="s">
        <v>118</v>
      </c>
      <c r="F72" s="73" t="s">
        <v>146</v>
      </c>
      <c r="G72" s="73" t="s">
        <v>32</v>
      </c>
      <c r="H72" s="74" t="s">
        <v>185</v>
      </c>
      <c r="I72" s="74">
        <v>800</v>
      </c>
      <c r="J72" s="75">
        <v>0</v>
      </c>
      <c r="K72" s="75"/>
    </row>
    <row r="73" s="1" customFormat="1" ht="14.25" spans="1:11">
      <c r="A73" s="71">
        <v>1</v>
      </c>
      <c r="B73" s="72">
        <v>31</v>
      </c>
      <c r="C73" s="72">
        <v>8</v>
      </c>
      <c r="D73" s="73" t="s">
        <v>189</v>
      </c>
      <c r="E73" s="73" t="s">
        <v>118</v>
      </c>
      <c r="F73" s="73" t="s">
        <v>184</v>
      </c>
      <c r="G73" s="73" t="s">
        <v>32</v>
      </c>
      <c r="H73" s="74" t="s">
        <v>185</v>
      </c>
      <c r="I73" s="74">
        <v>300</v>
      </c>
      <c r="J73" s="75">
        <v>0</v>
      </c>
      <c r="K73" s="75"/>
    </row>
    <row r="74" s="1" customFormat="1" ht="14.25" spans="1:11">
      <c r="A74" s="71">
        <v>1</v>
      </c>
      <c r="B74" s="72">
        <v>31</v>
      </c>
      <c r="C74" s="72">
        <v>8</v>
      </c>
      <c r="D74" s="73" t="s">
        <v>190</v>
      </c>
      <c r="E74" s="73" t="s">
        <v>118</v>
      </c>
      <c r="F74" s="73" t="s">
        <v>187</v>
      </c>
      <c r="G74" s="73" t="s">
        <v>32</v>
      </c>
      <c r="H74" s="74" t="s">
        <v>185</v>
      </c>
      <c r="I74" s="74">
        <v>300</v>
      </c>
      <c r="J74" s="75">
        <v>0</v>
      </c>
      <c r="K74" s="75"/>
    </row>
    <row r="75" s="1" customFormat="1" ht="14.25" spans="1:11">
      <c r="A75" s="71">
        <v>1</v>
      </c>
      <c r="B75" s="72">
        <v>31</v>
      </c>
      <c r="C75" s="72">
        <v>8</v>
      </c>
      <c r="D75" s="73" t="s">
        <v>191</v>
      </c>
      <c r="E75" s="73" t="s">
        <v>118</v>
      </c>
      <c r="F75" s="73" t="s">
        <v>192</v>
      </c>
      <c r="G75" s="73" t="s">
        <v>32</v>
      </c>
      <c r="H75" s="74" t="s">
        <v>185</v>
      </c>
      <c r="I75" s="74">
        <v>6000</v>
      </c>
      <c r="J75" s="75">
        <v>0</v>
      </c>
      <c r="K75" s="75"/>
    </row>
    <row r="76" s="1" customFormat="1" ht="14.25" spans="1:11">
      <c r="A76" s="71">
        <v>1</v>
      </c>
      <c r="B76" s="72">
        <v>31</v>
      </c>
      <c r="C76" s="72">
        <v>8</v>
      </c>
      <c r="D76" s="73" t="s">
        <v>193</v>
      </c>
      <c r="E76" s="73" t="s">
        <v>32</v>
      </c>
      <c r="F76" s="73" t="s">
        <v>194</v>
      </c>
      <c r="G76" s="73" t="s">
        <v>61</v>
      </c>
      <c r="H76" s="74" t="s">
        <v>195</v>
      </c>
      <c r="I76" s="74">
        <v>20</v>
      </c>
      <c r="J76" s="75">
        <v>0</v>
      </c>
      <c r="K76" s="75"/>
    </row>
    <row r="77" s="1" customFormat="1" ht="14.25" spans="1:11">
      <c r="A77" s="71">
        <v>1</v>
      </c>
      <c r="B77" s="72">
        <v>31</v>
      </c>
      <c r="C77" s="72">
        <v>9</v>
      </c>
      <c r="D77" s="73" t="s">
        <v>196</v>
      </c>
      <c r="E77" s="73" t="s">
        <v>48</v>
      </c>
      <c r="F77" s="73" t="s">
        <v>125</v>
      </c>
      <c r="G77" s="73" t="s">
        <v>32</v>
      </c>
      <c r="H77" s="74" t="s">
        <v>197</v>
      </c>
      <c r="I77" s="74">
        <v>602</v>
      </c>
      <c r="J77" s="75">
        <v>0</v>
      </c>
      <c r="K77" s="75"/>
    </row>
    <row r="78" s="1" customFormat="1" ht="14.25" spans="1:11">
      <c r="A78" s="71">
        <v>1</v>
      </c>
      <c r="B78" s="72">
        <v>31</v>
      </c>
      <c r="C78" s="72">
        <v>9</v>
      </c>
      <c r="D78" s="73" t="s">
        <v>198</v>
      </c>
      <c r="E78" s="73" t="s">
        <v>118</v>
      </c>
      <c r="F78" s="73" t="s">
        <v>136</v>
      </c>
      <c r="G78" s="73" t="s">
        <v>32</v>
      </c>
      <c r="H78" s="74" t="s">
        <v>199</v>
      </c>
      <c r="I78" s="74">
        <v>270</v>
      </c>
      <c r="J78" s="75">
        <v>0</v>
      </c>
      <c r="K78" s="75"/>
    </row>
    <row r="79" s="1" customFormat="1" ht="14.25" spans="1:11">
      <c r="A79" s="71">
        <v>1</v>
      </c>
      <c r="B79" s="72">
        <v>31</v>
      </c>
      <c r="C79" s="72">
        <v>9</v>
      </c>
      <c r="D79" s="73" t="s">
        <v>200</v>
      </c>
      <c r="E79" s="73" t="s">
        <v>48</v>
      </c>
      <c r="F79" s="73" t="s">
        <v>55</v>
      </c>
      <c r="G79" s="73" t="s">
        <v>32</v>
      </c>
      <c r="H79" s="74" t="s">
        <v>199</v>
      </c>
      <c r="I79" s="74">
        <v>550</v>
      </c>
      <c r="J79" s="75">
        <v>0</v>
      </c>
      <c r="K79" s="75"/>
    </row>
    <row r="80" s="1" customFormat="1" ht="14.25" spans="1:11">
      <c r="A80" s="71">
        <v>1</v>
      </c>
      <c r="B80" s="72">
        <v>31</v>
      </c>
      <c r="C80" s="72">
        <v>9</v>
      </c>
      <c r="D80" s="73" t="s">
        <v>201</v>
      </c>
      <c r="E80" s="73" t="s">
        <v>48</v>
      </c>
      <c r="F80" s="73" t="s">
        <v>55</v>
      </c>
      <c r="G80" s="73" t="s">
        <v>32</v>
      </c>
      <c r="H80" s="74" t="s">
        <v>199</v>
      </c>
      <c r="I80" s="74">
        <v>115</v>
      </c>
      <c r="J80" s="75">
        <v>0</v>
      </c>
      <c r="K80" s="75"/>
    </row>
    <row r="81" s="1" customFormat="1" ht="14.25" spans="1:11">
      <c r="A81" s="71">
        <v>1</v>
      </c>
      <c r="B81" s="72">
        <v>31</v>
      </c>
      <c r="C81" s="72">
        <v>9</v>
      </c>
      <c r="D81" s="73" t="s">
        <v>202</v>
      </c>
      <c r="E81" s="73" t="s">
        <v>48</v>
      </c>
      <c r="F81" s="73" t="s">
        <v>125</v>
      </c>
      <c r="G81" s="73" t="s">
        <v>32</v>
      </c>
      <c r="H81" s="74" t="s">
        <v>199</v>
      </c>
      <c r="I81" s="74">
        <v>42</v>
      </c>
      <c r="J81" s="75">
        <v>0</v>
      </c>
      <c r="K81" s="75"/>
    </row>
    <row r="82" s="1" customFormat="1" ht="14.25" spans="1:11">
      <c r="A82" s="71">
        <v>1</v>
      </c>
      <c r="B82" s="72">
        <v>31</v>
      </c>
      <c r="C82" s="72">
        <v>9</v>
      </c>
      <c r="D82" s="73" t="s">
        <v>203</v>
      </c>
      <c r="E82" s="73" t="s">
        <v>118</v>
      </c>
      <c r="F82" s="73" t="s">
        <v>136</v>
      </c>
      <c r="G82" s="73" t="s">
        <v>32</v>
      </c>
      <c r="H82" s="74" t="s">
        <v>199</v>
      </c>
      <c r="I82" s="74">
        <v>377</v>
      </c>
      <c r="J82" s="75">
        <v>0</v>
      </c>
      <c r="K82" s="75"/>
    </row>
    <row r="83" s="1" customFormat="1" ht="14.25" spans="1:11">
      <c r="A83" s="71">
        <v>1</v>
      </c>
      <c r="B83" s="72">
        <v>31</v>
      </c>
      <c r="C83" s="72">
        <v>9</v>
      </c>
      <c r="D83" s="73" t="s">
        <v>204</v>
      </c>
      <c r="E83" s="73" t="s">
        <v>48</v>
      </c>
      <c r="F83" s="73" t="s">
        <v>55</v>
      </c>
      <c r="G83" s="73" t="s">
        <v>32</v>
      </c>
      <c r="H83" s="74" t="s">
        <v>205</v>
      </c>
      <c r="I83" s="74">
        <v>278</v>
      </c>
      <c r="J83" s="75">
        <v>0</v>
      </c>
      <c r="K83" s="75"/>
    </row>
    <row r="84" s="1" customFormat="1" ht="14.25" spans="1:11">
      <c r="A84" s="71">
        <v>1</v>
      </c>
      <c r="B84" s="72">
        <v>31</v>
      </c>
      <c r="C84" s="72">
        <v>9</v>
      </c>
      <c r="D84" s="73" t="s">
        <v>206</v>
      </c>
      <c r="E84" s="73" t="s">
        <v>48</v>
      </c>
      <c r="F84" s="73" t="s">
        <v>207</v>
      </c>
      <c r="G84" s="73" t="s">
        <v>32</v>
      </c>
      <c r="H84" s="74" t="s">
        <v>205</v>
      </c>
      <c r="I84" s="74">
        <v>3984</v>
      </c>
      <c r="J84" s="75">
        <v>0</v>
      </c>
      <c r="K84" s="75"/>
    </row>
    <row r="85" s="1" customFormat="1" ht="14.25" spans="1:11">
      <c r="A85" s="71">
        <v>1</v>
      </c>
      <c r="B85" s="72">
        <v>31</v>
      </c>
      <c r="C85" s="72">
        <v>9</v>
      </c>
      <c r="D85" s="73" t="s">
        <v>208</v>
      </c>
      <c r="E85" s="73" t="s">
        <v>48</v>
      </c>
      <c r="F85" s="73" t="s">
        <v>209</v>
      </c>
      <c r="G85" s="73" t="s">
        <v>32</v>
      </c>
      <c r="H85" s="74" t="s">
        <v>205</v>
      </c>
      <c r="I85" s="74">
        <v>1238</v>
      </c>
      <c r="J85" s="75">
        <v>0</v>
      </c>
      <c r="K85" s="75"/>
    </row>
    <row r="86" s="1" customFormat="1" ht="14.25" spans="1:11">
      <c r="A86" s="71">
        <v>1</v>
      </c>
      <c r="B86" s="72">
        <v>31</v>
      </c>
      <c r="C86" s="72">
        <v>9</v>
      </c>
      <c r="D86" s="73" t="s">
        <v>210</v>
      </c>
      <c r="E86" s="73" t="s">
        <v>211</v>
      </c>
      <c r="F86" s="73" t="s">
        <v>212</v>
      </c>
      <c r="G86" s="73" t="s">
        <v>32</v>
      </c>
      <c r="H86" s="74" t="s">
        <v>205</v>
      </c>
      <c r="I86" s="74">
        <v>596</v>
      </c>
      <c r="J86" s="75">
        <v>0</v>
      </c>
      <c r="K86" s="75"/>
    </row>
    <row r="87" s="1" customFormat="1" ht="14.25" spans="1:11">
      <c r="A87" s="71">
        <v>1</v>
      </c>
      <c r="B87" s="72">
        <v>31</v>
      </c>
      <c r="C87" s="72">
        <v>10</v>
      </c>
      <c r="D87" s="73" t="s">
        <v>213</v>
      </c>
      <c r="E87" s="73" t="s">
        <v>118</v>
      </c>
      <c r="F87" s="73" t="s">
        <v>136</v>
      </c>
      <c r="G87" s="73" t="s">
        <v>32</v>
      </c>
      <c r="H87" s="74" t="s">
        <v>214</v>
      </c>
      <c r="I87" s="74">
        <v>8</v>
      </c>
      <c r="J87" s="75">
        <v>0</v>
      </c>
      <c r="K87" s="75"/>
    </row>
    <row r="88" s="1" customFormat="1" ht="14.25" spans="1:11">
      <c r="A88" s="71">
        <v>1</v>
      </c>
      <c r="B88" s="72">
        <v>31</v>
      </c>
      <c r="C88" s="72">
        <v>10</v>
      </c>
      <c r="D88" s="73" t="s">
        <v>215</v>
      </c>
      <c r="E88" s="73" t="s">
        <v>172</v>
      </c>
      <c r="F88" s="73" t="s">
        <v>216</v>
      </c>
      <c r="G88" s="73" t="s">
        <v>32</v>
      </c>
      <c r="H88" s="74" t="s">
        <v>214</v>
      </c>
      <c r="I88" s="74">
        <v>296</v>
      </c>
      <c r="J88" s="75">
        <v>0</v>
      </c>
      <c r="K88" s="75"/>
    </row>
    <row r="89" s="1" customFormat="1" ht="14.25" spans="1:11">
      <c r="A89" s="71">
        <v>1</v>
      </c>
      <c r="B89" s="72">
        <v>31</v>
      </c>
      <c r="C89" s="72">
        <v>10</v>
      </c>
      <c r="D89" s="73" t="s">
        <v>217</v>
      </c>
      <c r="E89" s="73" t="s">
        <v>37</v>
      </c>
      <c r="F89" s="73">
        <v>0</v>
      </c>
      <c r="G89" s="73" t="s">
        <v>32</v>
      </c>
      <c r="H89" s="74" t="s">
        <v>214</v>
      </c>
      <c r="I89" s="74">
        <v>1070</v>
      </c>
      <c r="J89" s="75">
        <v>0</v>
      </c>
      <c r="K89" s="75"/>
    </row>
    <row r="90" s="1" customFormat="1" ht="14.25" spans="1:11">
      <c r="A90" s="71">
        <v>1</v>
      </c>
      <c r="B90" s="72">
        <v>31</v>
      </c>
      <c r="C90" s="72">
        <v>10</v>
      </c>
      <c r="D90" s="73" t="s">
        <v>218</v>
      </c>
      <c r="E90" s="73" t="s">
        <v>37</v>
      </c>
      <c r="F90" s="73">
        <v>0</v>
      </c>
      <c r="G90" s="73" t="s">
        <v>32</v>
      </c>
      <c r="H90" s="74" t="s">
        <v>214</v>
      </c>
      <c r="I90" s="74">
        <v>977</v>
      </c>
      <c r="J90" s="75">
        <v>0</v>
      </c>
      <c r="K90" s="75"/>
    </row>
    <row r="91" s="1" customFormat="1" ht="14.25" spans="1:11">
      <c r="A91" s="71">
        <v>1</v>
      </c>
      <c r="B91" s="72">
        <v>31</v>
      </c>
      <c r="C91" s="72">
        <v>10</v>
      </c>
      <c r="D91" s="73" t="s">
        <v>219</v>
      </c>
      <c r="E91" s="73" t="s">
        <v>118</v>
      </c>
      <c r="F91" s="73" t="s">
        <v>136</v>
      </c>
      <c r="G91" s="73" t="s">
        <v>32</v>
      </c>
      <c r="H91" s="74" t="s">
        <v>214</v>
      </c>
      <c r="I91" s="74">
        <v>230</v>
      </c>
      <c r="J91" s="75">
        <v>0</v>
      </c>
      <c r="K91" s="75"/>
    </row>
    <row r="92" s="1" customFormat="1" ht="14.25" spans="1:11">
      <c r="A92" s="71">
        <v>1</v>
      </c>
      <c r="B92" s="72">
        <v>31</v>
      </c>
      <c r="C92" s="72">
        <v>10</v>
      </c>
      <c r="D92" s="73" t="s">
        <v>220</v>
      </c>
      <c r="E92" s="73" t="s">
        <v>48</v>
      </c>
      <c r="F92" s="73" t="s">
        <v>209</v>
      </c>
      <c r="G92" s="73" t="s">
        <v>32</v>
      </c>
      <c r="H92" s="74" t="s">
        <v>33</v>
      </c>
      <c r="I92" s="74">
        <v>12</v>
      </c>
      <c r="J92" s="75">
        <v>0</v>
      </c>
      <c r="K92" s="75"/>
    </row>
    <row r="93" s="1" customFormat="1" ht="14.25" spans="1:11">
      <c r="A93" s="71">
        <v>1</v>
      </c>
      <c r="B93" s="72">
        <v>31</v>
      </c>
      <c r="C93" s="72">
        <v>10</v>
      </c>
      <c r="D93" s="73" t="s">
        <v>221</v>
      </c>
      <c r="E93" s="73" t="s">
        <v>48</v>
      </c>
      <c r="F93" s="73" t="s">
        <v>209</v>
      </c>
      <c r="G93" s="73" t="s">
        <v>32</v>
      </c>
      <c r="H93" s="74" t="s">
        <v>33</v>
      </c>
      <c r="I93" s="74">
        <v>43</v>
      </c>
      <c r="J93" s="75">
        <v>0</v>
      </c>
      <c r="K93" s="75"/>
    </row>
    <row r="94" s="1" customFormat="1" ht="14.25" spans="1:11">
      <c r="A94" s="71">
        <v>1</v>
      </c>
      <c r="B94" s="72">
        <v>31</v>
      </c>
      <c r="C94" s="72">
        <v>10</v>
      </c>
      <c r="D94" s="73" t="s">
        <v>222</v>
      </c>
      <c r="E94" s="73" t="s">
        <v>118</v>
      </c>
      <c r="F94" s="73" t="s">
        <v>136</v>
      </c>
      <c r="G94" s="73" t="s">
        <v>32</v>
      </c>
      <c r="H94" s="74" t="s">
        <v>33</v>
      </c>
      <c r="I94" s="74">
        <v>134</v>
      </c>
      <c r="J94" s="75">
        <v>0</v>
      </c>
      <c r="K94" s="75"/>
    </row>
    <row r="95" s="1" customFormat="1" ht="14.25" spans="1:11">
      <c r="A95" s="71">
        <v>1</v>
      </c>
      <c r="B95" s="72">
        <v>31</v>
      </c>
      <c r="C95" s="72">
        <v>10</v>
      </c>
      <c r="D95" s="73" t="s">
        <v>223</v>
      </c>
      <c r="E95" s="73" t="s">
        <v>96</v>
      </c>
      <c r="F95" s="73" t="s">
        <v>97</v>
      </c>
      <c r="G95" s="73" t="s">
        <v>32</v>
      </c>
      <c r="H95" s="74" t="s">
        <v>33</v>
      </c>
      <c r="I95" s="74">
        <v>160</v>
      </c>
      <c r="J95" s="75">
        <v>0</v>
      </c>
      <c r="K95" s="75"/>
    </row>
    <row r="96" s="1" customFormat="1" ht="14.25" spans="1:11">
      <c r="A96" s="71">
        <v>1</v>
      </c>
      <c r="B96" s="72">
        <v>31</v>
      </c>
      <c r="C96" s="72">
        <v>10</v>
      </c>
      <c r="D96" s="73" t="s">
        <v>224</v>
      </c>
      <c r="E96" s="73" t="s">
        <v>118</v>
      </c>
      <c r="F96" s="73" t="s">
        <v>136</v>
      </c>
      <c r="G96" s="73" t="s">
        <v>32</v>
      </c>
      <c r="H96" s="74" t="s">
        <v>33</v>
      </c>
      <c r="I96" s="74">
        <v>5.5</v>
      </c>
      <c r="J96" s="75">
        <v>0</v>
      </c>
      <c r="K96" s="75"/>
    </row>
    <row r="97" s="1" customFormat="1" ht="14.25" spans="1:11">
      <c r="A97" s="71">
        <v>1</v>
      </c>
      <c r="B97" s="72">
        <v>31</v>
      </c>
      <c r="C97" s="72">
        <v>11</v>
      </c>
      <c r="D97" s="73" t="s">
        <v>30</v>
      </c>
      <c r="E97" s="73" t="s">
        <v>31</v>
      </c>
      <c r="F97" s="73">
        <v>0</v>
      </c>
      <c r="G97" s="73" t="s">
        <v>32</v>
      </c>
      <c r="H97" s="74" t="s">
        <v>225</v>
      </c>
      <c r="I97" s="74">
        <v>526</v>
      </c>
      <c r="J97" s="75">
        <v>0</v>
      </c>
      <c r="K97" s="75"/>
    </row>
    <row r="98" s="1" customFormat="1" ht="14.25" spans="1:11">
      <c r="A98" s="71">
        <v>1</v>
      </c>
      <c r="B98" s="72">
        <v>31</v>
      </c>
      <c r="C98" s="72">
        <v>11</v>
      </c>
      <c r="D98" s="73" t="s">
        <v>226</v>
      </c>
      <c r="E98" s="73" t="s">
        <v>96</v>
      </c>
      <c r="F98" s="73" t="s">
        <v>97</v>
      </c>
      <c r="G98" s="73" t="s">
        <v>32</v>
      </c>
      <c r="H98" s="74" t="s">
        <v>227</v>
      </c>
      <c r="I98" s="74">
        <v>94</v>
      </c>
      <c r="J98" s="75">
        <v>0</v>
      </c>
      <c r="K98" s="75"/>
    </row>
    <row r="99" s="1" customFormat="1" ht="14.25" spans="1:11">
      <c r="A99" s="71">
        <v>1</v>
      </c>
      <c r="B99" s="72">
        <v>31</v>
      </c>
      <c r="C99" s="72">
        <v>11</v>
      </c>
      <c r="D99" s="73" t="s">
        <v>228</v>
      </c>
      <c r="E99" s="73" t="s">
        <v>118</v>
      </c>
      <c r="F99" s="73" t="s">
        <v>136</v>
      </c>
      <c r="G99" s="73" t="s">
        <v>32</v>
      </c>
      <c r="H99" s="74" t="s">
        <v>227</v>
      </c>
      <c r="I99" s="74">
        <v>160</v>
      </c>
      <c r="J99" s="75">
        <v>0</v>
      </c>
      <c r="K99" s="75"/>
    </row>
    <row r="100" s="1" customFormat="1" ht="14.25" spans="1:11">
      <c r="A100" s="71">
        <v>1</v>
      </c>
      <c r="B100" s="72">
        <v>31</v>
      </c>
      <c r="C100" s="72">
        <v>11</v>
      </c>
      <c r="D100" s="73" t="s">
        <v>229</v>
      </c>
      <c r="E100" s="73" t="s">
        <v>118</v>
      </c>
      <c r="F100" s="73" t="s">
        <v>136</v>
      </c>
      <c r="G100" s="73" t="s">
        <v>32</v>
      </c>
      <c r="H100" s="74" t="s">
        <v>227</v>
      </c>
      <c r="I100" s="74">
        <v>15</v>
      </c>
      <c r="J100" s="75">
        <v>0</v>
      </c>
      <c r="K100" s="75"/>
    </row>
    <row r="101" s="1" customFormat="1" ht="14.25" spans="1:11">
      <c r="A101" s="71">
        <v>1</v>
      </c>
      <c r="B101" s="72">
        <v>31</v>
      </c>
      <c r="C101" s="72">
        <v>11</v>
      </c>
      <c r="D101" s="73" t="s">
        <v>230</v>
      </c>
      <c r="E101" s="73" t="s">
        <v>172</v>
      </c>
      <c r="F101" s="73" t="s">
        <v>231</v>
      </c>
      <c r="G101" s="73" t="s">
        <v>32</v>
      </c>
      <c r="H101" s="74" t="s">
        <v>227</v>
      </c>
      <c r="I101" s="74">
        <v>450</v>
      </c>
      <c r="J101" s="75">
        <v>0</v>
      </c>
      <c r="K101" s="75"/>
    </row>
    <row r="102" s="1" customFormat="1" ht="14.25" spans="1:11">
      <c r="A102" s="71">
        <v>1</v>
      </c>
      <c r="B102" s="72">
        <v>31</v>
      </c>
      <c r="C102" s="72">
        <v>11</v>
      </c>
      <c r="D102" s="73" t="s">
        <v>232</v>
      </c>
      <c r="E102" s="73" t="s">
        <v>48</v>
      </c>
      <c r="F102" s="73" t="s">
        <v>233</v>
      </c>
      <c r="G102" s="73" t="s">
        <v>32</v>
      </c>
      <c r="H102" s="74" t="s">
        <v>227</v>
      </c>
      <c r="I102" s="74">
        <v>50</v>
      </c>
      <c r="J102" s="75">
        <v>0</v>
      </c>
      <c r="K102" s="75"/>
    </row>
    <row r="103" s="1" customFormat="1" ht="14.25" spans="1:11">
      <c r="A103" s="71">
        <v>1</v>
      </c>
      <c r="B103" s="72">
        <v>31</v>
      </c>
      <c r="C103" s="72">
        <v>11</v>
      </c>
      <c r="D103" s="73" t="s">
        <v>234</v>
      </c>
      <c r="E103" s="73" t="s">
        <v>48</v>
      </c>
      <c r="F103" s="73" t="s">
        <v>55</v>
      </c>
      <c r="G103" s="73" t="s">
        <v>32</v>
      </c>
      <c r="H103" s="74" t="s">
        <v>235</v>
      </c>
      <c r="I103" s="74">
        <v>201</v>
      </c>
      <c r="J103" s="75">
        <v>0</v>
      </c>
      <c r="K103" s="75"/>
    </row>
    <row r="104" s="1" customFormat="1" ht="14.25" spans="1:11">
      <c r="A104" s="71">
        <v>1</v>
      </c>
      <c r="B104" s="72">
        <v>31</v>
      </c>
      <c r="C104" s="72">
        <v>11</v>
      </c>
      <c r="D104" s="73" t="s">
        <v>236</v>
      </c>
      <c r="E104" s="73" t="s">
        <v>118</v>
      </c>
      <c r="F104" s="73" t="s">
        <v>136</v>
      </c>
      <c r="G104" s="73" t="s">
        <v>32</v>
      </c>
      <c r="H104" s="74" t="s">
        <v>235</v>
      </c>
      <c r="I104" s="74">
        <v>340</v>
      </c>
      <c r="J104" s="75">
        <v>0</v>
      </c>
      <c r="K104" s="75"/>
    </row>
    <row r="105" s="1" customFormat="1" ht="14.25" spans="1:11">
      <c r="A105" s="71">
        <v>1</v>
      </c>
      <c r="B105" s="72">
        <v>31</v>
      </c>
      <c r="C105" s="72">
        <v>11</v>
      </c>
      <c r="D105" s="73" t="s">
        <v>237</v>
      </c>
      <c r="E105" s="73" t="s">
        <v>96</v>
      </c>
      <c r="F105" s="73" t="s">
        <v>97</v>
      </c>
      <c r="G105" s="73" t="s">
        <v>32</v>
      </c>
      <c r="H105" s="74" t="s">
        <v>235</v>
      </c>
      <c r="I105" s="74">
        <v>225</v>
      </c>
      <c r="J105" s="75">
        <v>0</v>
      </c>
      <c r="K105" s="75"/>
    </row>
    <row r="106" s="1" customFormat="1" ht="14.25" spans="1:11">
      <c r="A106" s="71">
        <v>1</v>
      </c>
      <c r="B106" s="72">
        <v>31</v>
      </c>
      <c r="C106" s="72">
        <v>11</v>
      </c>
      <c r="D106" s="73" t="s">
        <v>238</v>
      </c>
      <c r="E106" s="73" t="s">
        <v>118</v>
      </c>
      <c r="F106" s="73" t="s">
        <v>136</v>
      </c>
      <c r="G106" s="73" t="s">
        <v>32</v>
      </c>
      <c r="H106" s="74" t="s">
        <v>235</v>
      </c>
      <c r="I106" s="74">
        <v>240</v>
      </c>
      <c r="J106" s="75">
        <v>0</v>
      </c>
      <c r="K106" s="75"/>
    </row>
    <row r="107" s="1" customFormat="1" ht="14.25" spans="1:11">
      <c r="A107" s="71">
        <v>1</v>
      </c>
      <c r="B107" s="72">
        <v>31</v>
      </c>
      <c r="C107" s="72">
        <v>12</v>
      </c>
      <c r="D107" s="73" t="s">
        <v>239</v>
      </c>
      <c r="E107" s="73" t="s">
        <v>96</v>
      </c>
      <c r="F107" s="73" t="s">
        <v>240</v>
      </c>
      <c r="G107" s="73" t="s">
        <v>32</v>
      </c>
      <c r="H107" s="74" t="s">
        <v>241</v>
      </c>
      <c r="I107" s="74">
        <v>5</v>
      </c>
      <c r="J107" s="75">
        <v>0</v>
      </c>
      <c r="K107" s="75"/>
    </row>
    <row r="108" s="1" customFormat="1" ht="14.25" spans="1:11">
      <c r="A108" s="71">
        <v>1</v>
      </c>
      <c r="B108" s="72">
        <v>31</v>
      </c>
      <c r="C108" s="72">
        <v>12</v>
      </c>
      <c r="D108" s="73" t="s">
        <v>242</v>
      </c>
      <c r="E108" s="73" t="s">
        <v>48</v>
      </c>
      <c r="F108" s="73" t="s">
        <v>55</v>
      </c>
      <c r="G108" s="73" t="s">
        <v>32</v>
      </c>
      <c r="H108" s="74" t="s">
        <v>241</v>
      </c>
      <c r="I108" s="74">
        <v>380</v>
      </c>
      <c r="J108" s="75">
        <v>0</v>
      </c>
      <c r="K108" s="75"/>
    </row>
    <row r="109" s="1" customFormat="1" ht="14.25" spans="1:11">
      <c r="A109" s="71">
        <v>1</v>
      </c>
      <c r="B109" s="72">
        <v>31</v>
      </c>
      <c r="C109" s="72">
        <v>12</v>
      </c>
      <c r="D109" s="73" t="s">
        <v>243</v>
      </c>
      <c r="E109" s="73" t="s">
        <v>118</v>
      </c>
      <c r="F109" s="73" t="s">
        <v>136</v>
      </c>
      <c r="G109" s="73" t="s">
        <v>32</v>
      </c>
      <c r="H109" s="74" t="s">
        <v>241</v>
      </c>
      <c r="I109" s="74">
        <v>293</v>
      </c>
      <c r="J109" s="75">
        <v>0</v>
      </c>
      <c r="K109" s="75"/>
    </row>
    <row r="110" s="1" customFormat="1" ht="14.25" spans="1:11">
      <c r="A110" s="71">
        <v>1</v>
      </c>
      <c r="B110" s="72">
        <v>31</v>
      </c>
      <c r="C110" s="72">
        <v>12</v>
      </c>
      <c r="D110" s="73" t="s">
        <v>244</v>
      </c>
      <c r="E110" s="73" t="s">
        <v>96</v>
      </c>
      <c r="F110" s="73" t="s">
        <v>55</v>
      </c>
      <c r="G110" s="73" t="s">
        <v>32</v>
      </c>
      <c r="H110" s="74" t="s">
        <v>241</v>
      </c>
      <c r="I110" s="74">
        <v>963</v>
      </c>
      <c r="J110" s="75">
        <v>0</v>
      </c>
      <c r="K110" s="75"/>
    </row>
    <row r="111" s="1" customFormat="1" ht="14.25" spans="1:11">
      <c r="A111" s="71">
        <v>1</v>
      </c>
      <c r="B111" s="72">
        <v>31</v>
      </c>
      <c r="C111" s="72">
        <v>12</v>
      </c>
      <c r="D111" s="73" t="s">
        <v>245</v>
      </c>
      <c r="E111" s="73" t="s">
        <v>118</v>
      </c>
      <c r="F111" s="73" t="s">
        <v>136</v>
      </c>
      <c r="G111" s="73" t="s">
        <v>32</v>
      </c>
      <c r="H111" s="74" t="s">
        <v>241</v>
      </c>
      <c r="I111" s="74">
        <v>3450</v>
      </c>
      <c r="J111" s="75">
        <v>0</v>
      </c>
      <c r="K111" s="75"/>
    </row>
    <row r="112" s="1" customFormat="1" ht="14.25" spans="1:11">
      <c r="A112" s="71">
        <v>1</v>
      </c>
      <c r="B112" s="72">
        <v>31</v>
      </c>
      <c r="C112" s="72">
        <v>12</v>
      </c>
      <c r="D112" s="73" t="s">
        <v>34</v>
      </c>
      <c r="E112" s="73" t="s">
        <v>31</v>
      </c>
      <c r="F112" s="73">
        <v>0</v>
      </c>
      <c r="G112" s="73" t="s">
        <v>32</v>
      </c>
      <c r="H112" s="74" t="s">
        <v>35</v>
      </c>
      <c r="I112" s="74">
        <v>1027</v>
      </c>
      <c r="J112" s="75">
        <v>0</v>
      </c>
      <c r="K112" s="75"/>
    </row>
    <row r="113" s="1" customFormat="1" ht="14.25" spans="1:11">
      <c r="A113" s="71">
        <v>1</v>
      </c>
      <c r="B113" s="72">
        <v>31</v>
      </c>
      <c r="C113" s="72">
        <v>12</v>
      </c>
      <c r="D113" s="73" t="s">
        <v>246</v>
      </c>
      <c r="E113" s="73" t="s">
        <v>118</v>
      </c>
      <c r="F113" s="73" t="s">
        <v>136</v>
      </c>
      <c r="G113" s="73" t="s">
        <v>32</v>
      </c>
      <c r="H113" s="74" t="s">
        <v>247</v>
      </c>
      <c r="I113" s="74">
        <v>18</v>
      </c>
      <c r="J113" s="75">
        <v>0</v>
      </c>
      <c r="K113" s="75"/>
    </row>
    <row r="114" s="1" customFormat="1" ht="14.25" spans="1:11">
      <c r="A114" s="71">
        <v>1</v>
      </c>
      <c r="B114" s="72">
        <v>31</v>
      </c>
      <c r="C114" s="72">
        <v>12</v>
      </c>
      <c r="D114" s="73" t="s">
        <v>248</v>
      </c>
      <c r="E114" s="73" t="s">
        <v>96</v>
      </c>
      <c r="F114" s="73" t="s">
        <v>55</v>
      </c>
      <c r="G114" s="73" t="s">
        <v>32</v>
      </c>
      <c r="H114" s="74" t="s">
        <v>247</v>
      </c>
      <c r="I114" s="74">
        <v>993.5</v>
      </c>
      <c r="J114" s="75">
        <v>0</v>
      </c>
      <c r="K114" s="75"/>
    </row>
    <row r="115" s="1" customFormat="1" ht="14.25" spans="1:11">
      <c r="A115" s="71">
        <v>1</v>
      </c>
      <c r="B115" s="72">
        <v>31</v>
      </c>
      <c r="C115" s="72">
        <v>12</v>
      </c>
      <c r="D115" s="73" t="s">
        <v>249</v>
      </c>
      <c r="E115" s="73" t="s">
        <v>118</v>
      </c>
      <c r="F115" s="73" t="s">
        <v>136</v>
      </c>
      <c r="G115" s="73" t="s">
        <v>32</v>
      </c>
      <c r="H115" s="74" t="s">
        <v>247</v>
      </c>
      <c r="I115" s="74">
        <v>644</v>
      </c>
      <c r="J115" s="75">
        <v>0</v>
      </c>
      <c r="K115" s="75"/>
    </row>
    <row r="116" s="1" customFormat="1" ht="14.25" spans="1:11">
      <c r="A116" s="71">
        <v>1</v>
      </c>
      <c r="B116" s="72">
        <v>31</v>
      </c>
      <c r="C116" s="72">
        <v>12</v>
      </c>
      <c r="D116" s="73" t="s">
        <v>250</v>
      </c>
      <c r="E116" s="73" t="s">
        <v>118</v>
      </c>
      <c r="F116" s="73" t="s">
        <v>136</v>
      </c>
      <c r="G116" s="73" t="s">
        <v>32</v>
      </c>
      <c r="H116" s="74" t="s">
        <v>247</v>
      </c>
      <c r="I116" s="74">
        <v>400</v>
      </c>
      <c r="J116" s="75">
        <v>0</v>
      </c>
      <c r="K116" s="75"/>
    </row>
    <row r="117" s="1" customFormat="1" ht="14.25" spans="1:11">
      <c r="A117" s="71">
        <v>1</v>
      </c>
      <c r="B117" s="72">
        <v>31</v>
      </c>
      <c r="C117" s="72">
        <v>13</v>
      </c>
      <c r="D117" s="73" t="s">
        <v>251</v>
      </c>
      <c r="E117" s="73" t="s">
        <v>48</v>
      </c>
      <c r="F117" s="73" t="s">
        <v>55</v>
      </c>
      <c r="G117" s="73" t="s">
        <v>32</v>
      </c>
      <c r="H117" s="74" t="s">
        <v>252</v>
      </c>
      <c r="I117" s="74">
        <v>10</v>
      </c>
      <c r="J117" s="75">
        <v>0</v>
      </c>
      <c r="K117" s="75"/>
    </row>
    <row r="118" s="1" customFormat="1" ht="14.25" spans="1:11">
      <c r="A118" s="71">
        <v>1</v>
      </c>
      <c r="B118" s="72">
        <v>31</v>
      </c>
      <c r="C118" s="72">
        <v>13</v>
      </c>
      <c r="D118" s="73" t="s">
        <v>253</v>
      </c>
      <c r="E118" s="73" t="s">
        <v>118</v>
      </c>
      <c r="F118" s="73" t="s">
        <v>136</v>
      </c>
      <c r="G118" s="73" t="s">
        <v>32</v>
      </c>
      <c r="H118" s="74" t="s">
        <v>252</v>
      </c>
      <c r="I118" s="74">
        <v>13</v>
      </c>
      <c r="J118" s="75">
        <v>0</v>
      </c>
      <c r="K118" s="75"/>
    </row>
    <row r="119" s="1" customFormat="1" ht="14.25" spans="1:11">
      <c r="A119" s="71">
        <v>1</v>
      </c>
      <c r="B119" s="72">
        <v>31</v>
      </c>
      <c r="C119" s="72">
        <v>13</v>
      </c>
      <c r="D119" s="73" t="s">
        <v>254</v>
      </c>
      <c r="E119" s="73" t="s">
        <v>48</v>
      </c>
      <c r="F119" s="74" t="s">
        <v>125</v>
      </c>
      <c r="G119" s="73" t="s">
        <v>32</v>
      </c>
      <c r="H119" s="74" t="s">
        <v>252</v>
      </c>
      <c r="I119" s="74">
        <v>89</v>
      </c>
      <c r="J119" s="75">
        <v>0</v>
      </c>
      <c r="K119" s="75"/>
    </row>
    <row r="120" s="1" customFormat="1" ht="14.25" spans="1:11">
      <c r="A120" s="71">
        <v>1</v>
      </c>
      <c r="B120" s="72">
        <v>31</v>
      </c>
      <c r="C120" s="72">
        <v>13</v>
      </c>
      <c r="D120" s="73" t="s">
        <v>255</v>
      </c>
      <c r="E120" s="73" t="s">
        <v>96</v>
      </c>
      <c r="F120" s="73" t="s">
        <v>97</v>
      </c>
      <c r="G120" s="73" t="s">
        <v>32</v>
      </c>
      <c r="H120" s="74" t="s">
        <v>252</v>
      </c>
      <c r="I120" s="74">
        <v>1020</v>
      </c>
      <c r="J120" s="75">
        <v>0</v>
      </c>
      <c r="K120" s="75"/>
    </row>
    <row r="121" s="1" customFormat="1" ht="14.25" spans="1:11">
      <c r="A121" s="71">
        <v>1</v>
      </c>
      <c r="B121" s="72">
        <v>31</v>
      </c>
      <c r="C121" s="72">
        <v>13</v>
      </c>
      <c r="D121" s="73" t="s">
        <v>256</v>
      </c>
      <c r="E121" s="73" t="s">
        <v>48</v>
      </c>
      <c r="F121" s="73" t="s">
        <v>55</v>
      </c>
      <c r="G121" s="73" t="s">
        <v>32</v>
      </c>
      <c r="H121" s="74" t="s">
        <v>252</v>
      </c>
      <c r="I121" s="74">
        <v>220</v>
      </c>
      <c r="J121" s="75">
        <v>0</v>
      </c>
      <c r="K121" s="75"/>
    </row>
    <row r="122" s="1" customFormat="1" ht="14.25" spans="1:11">
      <c r="A122" s="71">
        <v>1</v>
      </c>
      <c r="B122" s="72">
        <v>31</v>
      </c>
      <c r="C122" s="72">
        <v>13</v>
      </c>
      <c r="D122" s="73" t="s">
        <v>257</v>
      </c>
      <c r="E122" s="73" t="s">
        <v>118</v>
      </c>
      <c r="F122" s="73" t="s">
        <v>119</v>
      </c>
      <c r="G122" s="73" t="s">
        <v>32</v>
      </c>
      <c r="H122" s="74" t="s">
        <v>258</v>
      </c>
      <c r="I122" s="74">
        <v>35700</v>
      </c>
      <c r="J122" s="75">
        <v>0</v>
      </c>
      <c r="K122" s="75"/>
    </row>
    <row r="123" s="1" customFormat="1" ht="14.25" spans="1:11">
      <c r="A123" s="71">
        <v>1</v>
      </c>
      <c r="B123" s="72">
        <v>31</v>
      </c>
      <c r="C123" s="72">
        <v>13</v>
      </c>
      <c r="D123" s="73" t="s">
        <v>259</v>
      </c>
      <c r="E123" s="73" t="s">
        <v>118</v>
      </c>
      <c r="F123" s="73" t="s">
        <v>136</v>
      </c>
      <c r="G123" s="73" t="s">
        <v>32</v>
      </c>
      <c r="H123" s="74" t="s">
        <v>258</v>
      </c>
      <c r="I123" s="74">
        <v>489</v>
      </c>
      <c r="J123" s="75">
        <v>0</v>
      </c>
      <c r="K123" s="75"/>
    </row>
    <row r="124" s="1" customFormat="1" ht="14.25" spans="1:11">
      <c r="A124" s="71">
        <v>1</v>
      </c>
      <c r="B124" s="72">
        <v>31</v>
      </c>
      <c r="C124" s="72">
        <v>13</v>
      </c>
      <c r="D124" s="73" t="s">
        <v>260</v>
      </c>
      <c r="E124" s="73" t="s">
        <v>48</v>
      </c>
      <c r="F124" s="73" t="s">
        <v>49</v>
      </c>
      <c r="G124" s="73" t="s">
        <v>32</v>
      </c>
      <c r="H124" s="74" t="s">
        <v>261</v>
      </c>
      <c r="I124" s="74">
        <v>845</v>
      </c>
      <c r="J124" s="75">
        <v>0</v>
      </c>
      <c r="K124" s="75"/>
    </row>
    <row r="125" s="1" customFormat="1" ht="14.25" spans="1:11">
      <c r="A125" s="71">
        <v>1</v>
      </c>
      <c r="B125" s="72">
        <v>31</v>
      </c>
      <c r="C125" s="72">
        <v>13</v>
      </c>
      <c r="D125" s="73" t="s">
        <v>262</v>
      </c>
      <c r="E125" s="73" t="s">
        <v>48</v>
      </c>
      <c r="F125" s="73" t="s">
        <v>55</v>
      </c>
      <c r="G125" s="73" t="s">
        <v>32</v>
      </c>
      <c r="H125" s="74" t="s">
        <v>261</v>
      </c>
      <c r="I125" s="74">
        <v>25</v>
      </c>
      <c r="J125" s="75">
        <v>0</v>
      </c>
      <c r="K125" s="75"/>
    </row>
    <row r="126" s="1" customFormat="1" ht="14.25" spans="1:11">
      <c r="A126" s="71">
        <v>1</v>
      </c>
      <c r="B126" s="72">
        <v>31</v>
      </c>
      <c r="C126" s="72">
        <v>14</v>
      </c>
      <c r="D126" s="73" t="s">
        <v>263</v>
      </c>
      <c r="E126" s="73" t="s">
        <v>96</v>
      </c>
      <c r="F126" s="73" t="s">
        <v>97</v>
      </c>
      <c r="G126" s="73" t="s">
        <v>32</v>
      </c>
      <c r="H126" s="74" t="s">
        <v>264</v>
      </c>
      <c r="I126" s="74">
        <v>266</v>
      </c>
      <c r="J126" s="75">
        <v>0</v>
      </c>
      <c r="K126" s="75"/>
    </row>
    <row r="127" s="1" customFormat="1" ht="14.25" spans="1:11">
      <c r="A127" s="71">
        <v>1</v>
      </c>
      <c r="B127" s="72">
        <v>31</v>
      </c>
      <c r="C127" s="72">
        <v>14</v>
      </c>
      <c r="D127" s="73" t="s">
        <v>265</v>
      </c>
      <c r="E127" s="73" t="s">
        <v>118</v>
      </c>
      <c r="F127" s="74" t="s">
        <v>136</v>
      </c>
      <c r="G127" s="73" t="s">
        <v>32</v>
      </c>
      <c r="H127" s="74" t="s">
        <v>264</v>
      </c>
      <c r="I127" s="74">
        <v>2250</v>
      </c>
      <c r="J127" s="75">
        <v>0</v>
      </c>
      <c r="K127" s="75"/>
    </row>
    <row r="128" s="1" customFormat="1" ht="14.25" spans="1:11">
      <c r="A128" s="71">
        <v>1</v>
      </c>
      <c r="B128" s="72">
        <v>31</v>
      </c>
      <c r="C128" s="72">
        <v>14</v>
      </c>
      <c r="D128" s="73" t="s">
        <v>266</v>
      </c>
      <c r="E128" s="73" t="s">
        <v>118</v>
      </c>
      <c r="F128" s="73" t="s">
        <v>136</v>
      </c>
      <c r="G128" s="73" t="s">
        <v>32</v>
      </c>
      <c r="H128" s="74" t="s">
        <v>264</v>
      </c>
      <c r="I128" s="74">
        <v>96</v>
      </c>
      <c r="J128" s="75">
        <v>0</v>
      </c>
      <c r="K128" s="75"/>
    </row>
    <row r="129" s="1" customFormat="1" ht="14.25" spans="1:11">
      <c r="A129" s="71">
        <v>1</v>
      </c>
      <c r="B129" s="72">
        <v>31</v>
      </c>
      <c r="C129" s="72">
        <v>14</v>
      </c>
      <c r="D129" s="73" t="s">
        <v>267</v>
      </c>
      <c r="E129" s="73" t="s">
        <v>118</v>
      </c>
      <c r="F129" s="73" t="s">
        <v>146</v>
      </c>
      <c r="G129" s="73" t="s">
        <v>32</v>
      </c>
      <c r="H129" s="74" t="s">
        <v>264</v>
      </c>
      <c r="I129" s="74">
        <v>5165</v>
      </c>
      <c r="J129" s="75">
        <v>0</v>
      </c>
      <c r="K129" s="75"/>
    </row>
    <row r="130" s="1" customFormat="1" ht="14.25" spans="1:11">
      <c r="A130" s="71">
        <v>1</v>
      </c>
      <c r="B130" s="72">
        <v>31</v>
      </c>
      <c r="C130" s="72">
        <v>14</v>
      </c>
      <c r="D130" s="73" t="s">
        <v>268</v>
      </c>
      <c r="E130" s="73" t="s">
        <v>48</v>
      </c>
      <c r="F130" s="73" t="s">
        <v>233</v>
      </c>
      <c r="G130" s="73" t="s">
        <v>32</v>
      </c>
      <c r="H130" s="74" t="s">
        <v>264</v>
      </c>
      <c r="I130" s="74">
        <v>142</v>
      </c>
      <c r="J130" s="75">
        <v>0</v>
      </c>
      <c r="K130" s="75"/>
    </row>
    <row r="131" s="1" customFormat="1" ht="14.25" spans="1:11">
      <c r="A131" s="71">
        <v>1</v>
      </c>
      <c r="B131" s="72">
        <v>31</v>
      </c>
      <c r="C131" s="72">
        <v>14</v>
      </c>
      <c r="D131" s="73" t="s">
        <v>269</v>
      </c>
      <c r="E131" s="73" t="s">
        <v>96</v>
      </c>
      <c r="F131" s="73" t="s">
        <v>97</v>
      </c>
      <c r="G131" s="73" t="s">
        <v>32</v>
      </c>
      <c r="H131" s="74" t="s">
        <v>270</v>
      </c>
      <c r="I131" s="74">
        <v>185</v>
      </c>
      <c r="J131" s="75">
        <v>0</v>
      </c>
      <c r="K131" s="75"/>
    </row>
    <row r="132" s="1" customFormat="1" ht="14.25" spans="1:11">
      <c r="A132" s="71">
        <v>1</v>
      </c>
      <c r="B132" s="72">
        <v>31</v>
      </c>
      <c r="C132" s="72">
        <v>14</v>
      </c>
      <c r="D132" s="73" t="s">
        <v>271</v>
      </c>
      <c r="E132" s="73" t="s">
        <v>48</v>
      </c>
      <c r="F132" s="73" t="s">
        <v>55</v>
      </c>
      <c r="G132" s="73" t="s">
        <v>32</v>
      </c>
      <c r="H132" s="74" t="s">
        <v>270</v>
      </c>
      <c r="I132" s="74">
        <v>135</v>
      </c>
      <c r="J132" s="75">
        <v>0</v>
      </c>
      <c r="K132" s="75"/>
    </row>
    <row r="133" s="1" customFormat="1" ht="14.25" spans="1:11">
      <c r="A133" s="71">
        <v>1</v>
      </c>
      <c r="B133" s="72">
        <v>31</v>
      </c>
      <c r="C133" s="72">
        <v>14</v>
      </c>
      <c r="D133" s="73" t="s">
        <v>272</v>
      </c>
      <c r="E133" s="73" t="s">
        <v>48</v>
      </c>
      <c r="F133" s="73" t="s">
        <v>55</v>
      </c>
      <c r="G133" s="73" t="s">
        <v>32</v>
      </c>
      <c r="H133" s="74" t="s">
        <v>270</v>
      </c>
      <c r="I133" s="74">
        <v>80</v>
      </c>
      <c r="J133" s="75">
        <v>0</v>
      </c>
      <c r="K133" s="75"/>
    </row>
    <row r="134" s="1" customFormat="1" ht="14.25" spans="1:11">
      <c r="A134" s="71">
        <v>1</v>
      </c>
      <c r="B134" s="72">
        <v>31</v>
      </c>
      <c r="C134" s="72">
        <v>14</v>
      </c>
      <c r="D134" s="73" t="s">
        <v>273</v>
      </c>
      <c r="E134" s="73" t="s">
        <v>118</v>
      </c>
      <c r="F134" s="73" t="s">
        <v>136</v>
      </c>
      <c r="G134" s="73" t="s">
        <v>32</v>
      </c>
      <c r="H134" s="74" t="s">
        <v>270</v>
      </c>
      <c r="I134" s="74">
        <v>300</v>
      </c>
      <c r="J134" s="75">
        <v>0</v>
      </c>
      <c r="K134" s="75"/>
    </row>
    <row r="135" s="1" customFormat="1" ht="14.25" spans="1:11">
      <c r="A135" s="71">
        <v>1</v>
      </c>
      <c r="B135" s="72">
        <v>31</v>
      </c>
      <c r="C135" s="72">
        <v>14</v>
      </c>
      <c r="D135" s="73" t="s">
        <v>274</v>
      </c>
      <c r="E135" s="73" t="s">
        <v>118</v>
      </c>
      <c r="F135" s="74" t="s">
        <v>136</v>
      </c>
      <c r="G135" s="73" t="s">
        <v>32</v>
      </c>
      <c r="H135" s="74" t="s">
        <v>270</v>
      </c>
      <c r="I135" s="74">
        <v>33930</v>
      </c>
      <c r="J135" s="75">
        <v>0</v>
      </c>
      <c r="K135" s="75"/>
    </row>
    <row r="136" s="1" customFormat="1" ht="14.25" spans="1:11">
      <c r="A136" s="71">
        <v>1</v>
      </c>
      <c r="B136" s="72">
        <v>31</v>
      </c>
      <c r="C136" s="72">
        <v>15</v>
      </c>
      <c r="D136" s="73" t="s">
        <v>275</v>
      </c>
      <c r="E136" s="73" t="s">
        <v>48</v>
      </c>
      <c r="F136" s="73" t="s">
        <v>125</v>
      </c>
      <c r="G136" s="73" t="s">
        <v>32</v>
      </c>
      <c r="H136" s="74" t="s">
        <v>276</v>
      </c>
      <c r="I136" s="74">
        <v>90</v>
      </c>
      <c r="J136" s="75">
        <v>0</v>
      </c>
      <c r="K136" s="75"/>
    </row>
    <row r="137" s="1" customFormat="1" ht="14.25" spans="1:11">
      <c r="A137" s="71">
        <v>1</v>
      </c>
      <c r="B137" s="72">
        <v>31</v>
      </c>
      <c r="C137" s="72">
        <v>15</v>
      </c>
      <c r="D137" s="73" t="s">
        <v>277</v>
      </c>
      <c r="E137" s="73" t="s">
        <v>118</v>
      </c>
      <c r="F137" s="73" t="s">
        <v>122</v>
      </c>
      <c r="G137" s="73" t="s">
        <v>32</v>
      </c>
      <c r="H137" s="74" t="s">
        <v>276</v>
      </c>
      <c r="I137" s="74">
        <v>5700</v>
      </c>
      <c r="J137" s="75">
        <v>0</v>
      </c>
      <c r="K137" s="75"/>
    </row>
    <row r="138" s="1" customFormat="1" ht="14.25" spans="1:11">
      <c r="A138" s="71">
        <v>1</v>
      </c>
      <c r="B138" s="72">
        <v>31</v>
      </c>
      <c r="C138" s="72">
        <v>15</v>
      </c>
      <c r="D138" s="73" t="s">
        <v>278</v>
      </c>
      <c r="E138" s="73" t="s">
        <v>118</v>
      </c>
      <c r="F138" s="73" t="s">
        <v>136</v>
      </c>
      <c r="G138" s="73" t="s">
        <v>32</v>
      </c>
      <c r="H138" s="74" t="s">
        <v>276</v>
      </c>
      <c r="I138" s="74">
        <v>210</v>
      </c>
      <c r="J138" s="75">
        <v>0</v>
      </c>
      <c r="K138" s="75"/>
    </row>
    <row r="139" s="1" customFormat="1" ht="14.25" spans="1:11">
      <c r="A139" s="71">
        <v>1</v>
      </c>
      <c r="B139" s="72">
        <v>31</v>
      </c>
      <c r="C139" s="72">
        <v>15</v>
      </c>
      <c r="D139" s="73" t="s">
        <v>279</v>
      </c>
      <c r="E139" s="73" t="s">
        <v>96</v>
      </c>
      <c r="F139" s="73" t="s">
        <v>97</v>
      </c>
      <c r="G139" s="73" t="s">
        <v>32</v>
      </c>
      <c r="H139" s="74" t="s">
        <v>276</v>
      </c>
      <c r="I139" s="74">
        <v>415</v>
      </c>
      <c r="J139" s="75">
        <v>0</v>
      </c>
      <c r="K139" s="75"/>
    </row>
    <row r="140" s="1" customFormat="1" ht="14.25" spans="1:11">
      <c r="A140" s="71">
        <v>1</v>
      </c>
      <c r="B140" s="72">
        <v>31</v>
      </c>
      <c r="C140" s="72">
        <v>15</v>
      </c>
      <c r="D140" s="73" t="s">
        <v>280</v>
      </c>
      <c r="E140" s="73" t="s">
        <v>118</v>
      </c>
      <c r="F140" s="73" t="s">
        <v>281</v>
      </c>
      <c r="G140" s="73" t="s">
        <v>32</v>
      </c>
      <c r="H140" s="74" t="s">
        <v>276</v>
      </c>
      <c r="I140" s="74">
        <v>22973</v>
      </c>
      <c r="J140" s="75">
        <v>0</v>
      </c>
      <c r="K140" s="75"/>
    </row>
    <row r="141" s="1" customFormat="1" ht="14.25" spans="1:11">
      <c r="A141" s="71">
        <v>1</v>
      </c>
      <c r="B141" s="72">
        <v>31</v>
      </c>
      <c r="C141" s="72">
        <v>15</v>
      </c>
      <c r="D141" s="73" t="s">
        <v>282</v>
      </c>
      <c r="E141" s="73" t="s">
        <v>96</v>
      </c>
      <c r="F141" s="73" t="s">
        <v>97</v>
      </c>
      <c r="G141" s="73" t="s">
        <v>32</v>
      </c>
      <c r="H141" s="74" t="s">
        <v>283</v>
      </c>
      <c r="I141" s="74">
        <v>890</v>
      </c>
      <c r="J141" s="75">
        <v>0</v>
      </c>
      <c r="K141" s="75"/>
    </row>
    <row r="142" s="1" customFormat="1" ht="14.25" spans="1:11">
      <c r="A142" s="71">
        <v>1</v>
      </c>
      <c r="B142" s="72">
        <v>31</v>
      </c>
      <c r="C142" s="72">
        <v>15</v>
      </c>
      <c r="D142" s="73" t="s">
        <v>284</v>
      </c>
      <c r="E142" s="73" t="s">
        <v>48</v>
      </c>
      <c r="F142" s="73" t="s">
        <v>55</v>
      </c>
      <c r="G142" s="73" t="s">
        <v>32</v>
      </c>
      <c r="H142" s="74" t="s">
        <v>283</v>
      </c>
      <c r="I142" s="74">
        <v>55</v>
      </c>
      <c r="J142" s="75">
        <v>0</v>
      </c>
      <c r="K142" s="75"/>
    </row>
    <row r="143" s="1" customFormat="1" ht="14.25" spans="1:11">
      <c r="A143" s="71">
        <v>1</v>
      </c>
      <c r="B143" s="72">
        <v>31</v>
      </c>
      <c r="C143" s="72">
        <v>15</v>
      </c>
      <c r="D143" s="73" t="s">
        <v>285</v>
      </c>
      <c r="E143" s="73" t="s">
        <v>118</v>
      </c>
      <c r="F143" s="73" t="s">
        <v>286</v>
      </c>
      <c r="G143" s="73" t="s">
        <v>32</v>
      </c>
      <c r="H143" s="74" t="s">
        <v>283</v>
      </c>
      <c r="I143" s="74">
        <v>120</v>
      </c>
      <c r="J143" s="75">
        <v>0</v>
      </c>
      <c r="K143" s="75"/>
    </row>
    <row r="144" s="1" customFormat="1" ht="14.25" spans="1:11">
      <c r="A144" s="71">
        <v>1</v>
      </c>
      <c r="B144" s="72">
        <v>31</v>
      </c>
      <c r="C144" s="72">
        <v>15</v>
      </c>
      <c r="D144" s="73" t="s">
        <v>287</v>
      </c>
      <c r="E144" s="73" t="s">
        <v>118</v>
      </c>
      <c r="F144" s="74" t="s">
        <v>136</v>
      </c>
      <c r="G144" s="73" t="s">
        <v>32</v>
      </c>
      <c r="H144" s="74" t="s">
        <v>283</v>
      </c>
      <c r="I144" s="74">
        <v>120</v>
      </c>
      <c r="J144" s="75">
        <v>0</v>
      </c>
      <c r="K144" s="75"/>
    </row>
    <row r="145" s="1" customFormat="1" ht="14.25" spans="1:11">
      <c r="A145" s="71">
        <v>1</v>
      </c>
      <c r="B145" s="72">
        <v>31</v>
      </c>
      <c r="C145" s="72">
        <v>15</v>
      </c>
      <c r="D145" s="73" t="s">
        <v>288</v>
      </c>
      <c r="E145" s="73" t="s">
        <v>118</v>
      </c>
      <c r="F145" s="73" t="s">
        <v>136</v>
      </c>
      <c r="G145" s="73" t="s">
        <v>32</v>
      </c>
      <c r="H145" s="74" t="s">
        <v>283</v>
      </c>
      <c r="I145" s="74">
        <v>330</v>
      </c>
      <c r="J145" s="75">
        <v>0</v>
      </c>
      <c r="K145" s="75"/>
    </row>
    <row r="146" s="1" customFormat="1" ht="14.25" spans="1:11">
      <c r="A146" s="71">
        <v>1</v>
      </c>
      <c r="B146" s="72">
        <v>31</v>
      </c>
      <c r="C146" s="72">
        <v>16</v>
      </c>
      <c r="D146" s="73" t="s">
        <v>275</v>
      </c>
      <c r="E146" s="73" t="s">
        <v>48</v>
      </c>
      <c r="F146" s="74" t="s">
        <v>125</v>
      </c>
      <c r="G146" s="73" t="s">
        <v>32</v>
      </c>
      <c r="H146" s="74" t="s">
        <v>289</v>
      </c>
      <c r="I146" s="74">
        <v>100</v>
      </c>
      <c r="J146" s="75">
        <v>0</v>
      </c>
      <c r="K146" s="75"/>
    </row>
    <row r="147" s="1" customFormat="1" ht="14.25" spans="1:11">
      <c r="A147" s="71">
        <v>1</v>
      </c>
      <c r="B147" s="72">
        <v>31</v>
      </c>
      <c r="C147" s="72">
        <v>16</v>
      </c>
      <c r="D147" s="73" t="s">
        <v>290</v>
      </c>
      <c r="E147" s="73" t="s">
        <v>291</v>
      </c>
      <c r="F147" s="73" t="s">
        <v>292</v>
      </c>
      <c r="G147" s="73" t="s">
        <v>32</v>
      </c>
      <c r="H147" s="74" t="s">
        <v>289</v>
      </c>
      <c r="I147" s="74">
        <v>512</v>
      </c>
      <c r="J147" s="75">
        <v>0</v>
      </c>
      <c r="K147" s="75"/>
    </row>
    <row r="148" s="1" customFormat="1" ht="14.25" spans="1:11">
      <c r="A148" s="71">
        <v>1</v>
      </c>
      <c r="B148" s="72">
        <v>31</v>
      </c>
      <c r="C148" s="72">
        <v>16</v>
      </c>
      <c r="D148" s="73" t="s">
        <v>293</v>
      </c>
      <c r="E148" s="73" t="s">
        <v>118</v>
      </c>
      <c r="F148" s="73" t="s">
        <v>136</v>
      </c>
      <c r="G148" s="73" t="s">
        <v>32</v>
      </c>
      <c r="H148" s="74" t="s">
        <v>289</v>
      </c>
      <c r="I148" s="74">
        <v>23</v>
      </c>
      <c r="J148" s="75">
        <v>0</v>
      </c>
      <c r="K148" s="75"/>
    </row>
    <row r="149" s="1" customFormat="1" ht="14.25" spans="1:11">
      <c r="A149" s="71">
        <v>1</v>
      </c>
      <c r="B149" s="72">
        <v>31</v>
      </c>
      <c r="C149" s="72">
        <v>16</v>
      </c>
      <c r="D149" s="73" t="s">
        <v>294</v>
      </c>
      <c r="E149" s="73" t="s">
        <v>48</v>
      </c>
      <c r="F149" s="73" t="s">
        <v>138</v>
      </c>
      <c r="G149" s="73" t="s">
        <v>32</v>
      </c>
      <c r="H149" s="74" t="s">
        <v>289</v>
      </c>
      <c r="I149" s="74">
        <v>135</v>
      </c>
      <c r="J149" s="75">
        <v>0</v>
      </c>
      <c r="K149" s="75"/>
    </row>
    <row r="150" s="1" customFormat="1" ht="14.25" spans="1:11">
      <c r="A150" s="71">
        <v>1</v>
      </c>
      <c r="B150" s="72">
        <v>31</v>
      </c>
      <c r="C150" s="72">
        <v>16</v>
      </c>
      <c r="D150" s="73" t="s">
        <v>295</v>
      </c>
      <c r="E150" s="73" t="s">
        <v>118</v>
      </c>
      <c r="F150" s="74" t="s">
        <v>136</v>
      </c>
      <c r="G150" s="73" t="s">
        <v>32</v>
      </c>
      <c r="H150" s="74" t="s">
        <v>296</v>
      </c>
      <c r="I150" s="74">
        <v>272</v>
      </c>
      <c r="J150" s="75">
        <v>0</v>
      </c>
      <c r="K150" s="75"/>
    </row>
    <row r="151" s="1" customFormat="1" ht="14.25" spans="1:11">
      <c r="A151" s="71">
        <v>1</v>
      </c>
      <c r="B151" s="72">
        <v>31</v>
      </c>
      <c r="C151" s="72">
        <v>16</v>
      </c>
      <c r="D151" s="73" t="s">
        <v>297</v>
      </c>
      <c r="E151" s="73" t="s">
        <v>118</v>
      </c>
      <c r="F151" s="74" t="s">
        <v>136</v>
      </c>
      <c r="G151" s="73" t="s">
        <v>32</v>
      </c>
      <c r="H151" s="74" t="s">
        <v>296</v>
      </c>
      <c r="I151" s="74">
        <v>200</v>
      </c>
      <c r="J151" s="75">
        <v>0</v>
      </c>
      <c r="K151" s="75"/>
    </row>
    <row r="152" s="1" customFormat="1" ht="14.25" spans="1:11">
      <c r="A152" s="71">
        <v>1</v>
      </c>
      <c r="B152" s="72">
        <v>31</v>
      </c>
      <c r="C152" s="72">
        <v>16</v>
      </c>
      <c r="D152" s="73" t="s">
        <v>298</v>
      </c>
      <c r="E152" s="73" t="s">
        <v>48</v>
      </c>
      <c r="F152" s="73" t="s">
        <v>55</v>
      </c>
      <c r="G152" s="73" t="s">
        <v>32</v>
      </c>
      <c r="H152" s="74" t="s">
        <v>296</v>
      </c>
      <c r="I152" s="74">
        <v>310</v>
      </c>
      <c r="J152" s="75">
        <v>0</v>
      </c>
      <c r="K152" s="75"/>
    </row>
    <row r="153" s="1" customFormat="1" ht="14.25" spans="1:11">
      <c r="A153" s="71">
        <v>1</v>
      </c>
      <c r="B153" s="72">
        <v>31</v>
      </c>
      <c r="C153" s="72">
        <v>16</v>
      </c>
      <c r="D153" s="73" t="s">
        <v>299</v>
      </c>
      <c r="E153" s="73" t="s">
        <v>211</v>
      </c>
      <c r="F153" s="73" t="s">
        <v>300</v>
      </c>
      <c r="G153" s="73" t="s">
        <v>32</v>
      </c>
      <c r="H153" s="74" t="s">
        <v>296</v>
      </c>
      <c r="I153" s="74">
        <v>1560</v>
      </c>
      <c r="J153" s="75">
        <v>0</v>
      </c>
      <c r="K153" s="75"/>
    </row>
    <row r="154" s="1" customFormat="1" ht="14.25" spans="1:11">
      <c r="A154" s="71">
        <v>1</v>
      </c>
      <c r="B154" s="72">
        <v>31</v>
      </c>
      <c r="C154" s="72">
        <v>16</v>
      </c>
      <c r="D154" s="73" t="s">
        <v>301</v>
      </c>
      <c r="E154" s="73" t="s">
        <v>32</v>
      </c>
      <c r="F154" s="73" t="s">
        <v>302</v>
      </c>
      <c r="G154" s="73" t="s">
        <v>61</v>
      </c>
      <c r="H154" s="74" t="s">
        <v>303</v>
      </c>
      <c r="I154" s="74">
        <v>6000</v>
      </c>
      <c r="J154" s="75">
        <v>0</v>
      </c>
      <c r="K154" s="75"/>
    </row>
    <row r="155" s="1" customFormat="1" ht="14.25" spans="1:11">
      <c r="A155" s="71">
        <v>1</v>
      </c>
      <c r="B155" s="72">
        <v>31</v>
      </c>
      <c r="C155" s="72">
        <v>17</v>
      </c>
      <c r="D155" s="73" t="s">
        <v>275</v>
      </c>
      <c r="E155" s="73" t="s">
        <v>48</v>
      </c>
      <c r="F155" s="74" t="s">
        <v>125</v>
      </c>
      <c r="G155" s="73" t="s">
        <v>32</v>
      </c>
      <c r="H155" s="74" t="s">
        <v>304</v>
      </c>
      <c r="I155" s="74">
        <v>80</v>
      </c>
      <c r="J155" s="75">
        <v>0</v>
      </c>
      <c r="K155" s="75"/>
    </row>
    <row r="156" s="1" customFormat="1" ht="14.25" spans="1:11">
      <c r="A156" s="71">
        <v>1</v>
      </c>
      <c r="B156" s="72">
        <v>31</v>
      </c>
      <c r="C156" s="72">
        <v>17</v>
      </c>
      <c r="D156" s="73" t="s">
        <v>305</v>
      </c>
      <c r="E156" s="73" t="s">
        <v>118</v>
      </c>
      <c r="F156" s="73" t="s">
        <v>136</v>
      </c>
      <c r="G156" s="73" t="s">
        <v>32</v>
      </c>
      <c r="H156" s="74" t="s">
        <v>304</v>
      </c>
      <c r="I156" s="74">
        <v>2106</v>
      </c>
      <c r="J156" s="75">
        <v>0</v>
      </c>
      <c r="K156" s="75"/>
    </row>
    <row r="157" s="1" customFormat="1" ht="14.25" spans="1:11">
      <c r="A157" s="71">
        <v>1</v>
      </c>
      <c r="B157" s="72">
        <v>31</v>
      </c>
      <c r="C157" s="72">
        <v>17</v>
      </c>
      <c r="D157" s="73" t="s">
        <v>306</v>
      </c>
      <c r="E157" s="73" t="s">
        <v>118</v>
      </c>
      <c r="F157" s="73" t="s">
        <v>136</v>
      </c>
      <c r="G157" s="73" t="s">
        <v>32</v>
      </c>
      <c r="H157" s="74" t="s">
        <v>304</v>
      </c>
      <c r="I157" s="74">
        <v>6127</v>
      </c>
      <c r="J157" s="75">
        <v>0</v>
      </c>
      <c r="K157" s="75"/>
    </row>
    <row r="158" s="1" customFormat="1" ht="14.25" spans="1:11">
      <c r="A158" s="71">
        <v>1</v>
      </c>
      <c r="B158" s="72">
        <v>31</v>
      </c>
      <c r="C158" s="72">
        <v>17</v>
      </c>
      <c r="D158" s="73" t="s">
        <v>307</v>
      </c>
      <c r="E158" s="73" t="s">
        <v>118</v>
      </c>
      <c r="F158" s="73" t="s">
        <v>136</v>
      </c>
      <c r="G158" s="73" t="s">
        <v>32</v>
      </c>
      <c r="H158" s="74" t="s">
        <v>304</v>
      </c>
      <c r="I158" s="74">
        <v>10638</v>
      </c>
      <c r="J158" s="75">
        <v>0</v>
      </c>
      <c r="K158" s="75"/>
    </row>
    <row r="159" s="1" customFormat="1" ht="14.25" spans="1:11">
      <c r="A159" s="71">
        <v>1</v>
      </c>
      <c r="B159" s="72">
        <v>31</v>
      </c>
      <c r="C159" s="72">
        <v>17</v>
      </c>
      <c r="D159" s="73" t="s">
        <v>308</v>
      </c>
      <c r="E159" s="73" t="s">
        <v>48</v>
      </c>
      <c r="F159" s="74" t="s">
        <v>55</v>
      </c>
      <c r="G159" s="73" t="s">
        <v>32</v>
      </c>
      <c r="H159" s="74" t="s">
        <v>309</v>
      </c>
      <c r="I159" s="74">
        <v>92</v>
      </c>
      <c r="J159" s="75">
        <v>0</v>
      </c>
      <c r="K159" s="75"/>
    </row>
    <row r="160" s="1" customFormat="1" ht="14.25" spans="1:11">
      <c r="A160" s="71">
        <v>1</v>
      </c>
      <c r="B160" s="72">
        <v>31</v>
      </c>
      <c r="C160" s="72">
        <v>17</v>
      </c>
      <c r="D160" s="73" t="s">
        <v>310</v>
      </c>
      <c r="E160" s="73" t="s">
        <v>96</v>
      </c>
      <c r="F160" s="73" t="s">
        <v>97</v>
      </c>
      <c r="G160" s="73" t="s">
        <v>32</v>
      </c>
      <c r="H160" s="74" t="s">
        <v>309</v>
      </c>
      <c r="I160" s="74">
        <v>1259</v>
      </c>
      <c r="J160" s="75">
        <v>0</v>
      </c>
      <c r="K160" s="75"/>
    </row>
    <row r="161" s="1" customFormat="1" ht="14.25" spans="1:11">
      <c r="A161" s="71">
        <v>1</v>
      </c>
      <c r="B161" s="72">
        <v>31</v>
      </c>
      <c r="C161" s="72">
        <v>17</v>
      </c>
      <c r="D161" s="73" t="s">
        <v>311</v>
      </c>
      <c r="E161" s="73" t="s">
        <v>96</v>
      </c>
      <c r="F161" s="73" t="s">
        <v>97</v>
      </c>
      <c r="G161" s="73" t="s">
        <v>32</v>
      </c>
      <c r="H161" s="74" t="s">
        <v>312</v>
      </c>
      <c r="I161" s="74">
        <v>791</v>
      </c>
      <c r="J161" s="75">
        <v>0</v>
      </c>
      <c r="K161" s="75"/>
    </row>
    <row r="162" s="1" customFormat="1" ht="14.25" spans="1:11">
      <c r="A162" s="71">
        <v>1</v>
      </c>
      <c r="B162" s="72">
        <v>31</v>
      </c>
      <c r="C162" s="72">
        <v>17</v>
      </c>
      <c r="D162" s="73" t="s">
        <v>313</v>
      </c>
      <c r="E162" s="73" t="s">
        <v>291</v>
      </c>
      <c r="F162" s="73" t="s">
        <v>292</v>
      </c>
      <c r="G162" s="73" t="s">
        <v>32</v>
      </c>
      <c r="H162" s="74" t="s">
        <v>312</v>
      </c>
      <c r="I162" s="74">
        <v>1632</v>
      </c>
      <c r="J162" s="75">
        <v>0</v>
      </c>
      <c r="K162" s="75"/>
    </row>
    <row r="163" s="1" customFormat="1" ht="14.25" spans="1:11">
      <c r="A163" s="71">
        <v>1</v>
      </c>
      <c r="B163" s="72">
        <v>31</v>
      </c>
      <c r="C163" s="72">
        <v>17</v>
      </c>
      <c r="D163" s="73" t="s">
        <v>314</v>
      </c>
      <c r="E163" s="73" t="s">
        <v>118</v>
      </c>
      <c r="F163" s="74" t="s">
        <v>136</v>
      </c>
      <c r="G163" s="73" t="s">
        <v>32</v>
      </c>
      <c r="H163" s="74" t="s">
        <v>312</v>
      </c>
      <c r="I163" s="74">
        <v>50</v>
      </c>
      <c r="J163" s="75">
        <v>0</v>
      </c>
      <c r="K163" s="75"/>
    </row>
    <row r="164" s="1" customFormat="1" ht="14.25" spans="1:11">
      <c r="A164" s="71">
        <v>1</v>
      </c>
      <c r="B164" s="72">
        <v>31</v>
      </c>
      <c r="C164" s="72">
        <v>17</v>
      </c>
      <c r="D164" s="73" t="s">
        <v>315</v>
      </c>
      <c r="E164" s="73" t="s">
        <v>48</v>
      </c>
      <c r="F164" s="73" t="s">
        <v>55</v>
      </c>
      <c r="G164" s="73" t="s">
        <v>32</v>
      </c>
      <c r="H164" s="74" t="s">
        <v>312</v>
      </c>
      <c r="I164" s="74">
        <v>380</v>
      </c>
      <c r="J164" s="75">
        <v>0</v>
      </c>
      <c r="K164" s="75"/>
    </row>
    <row r="165" s="1" customFormat="1" ht="14.25" spans="1:11">
      <c r="A165" s="71">
        <v>2</v>
      </c>
      <c r="B165" s="72">
        <v>28</v>
      </c>
      <c r="C165" s="72">
        <v>1</v>
      </c>
      <c r="D165" s="73" t="s">
        <v>316</v>
      </c>
      <c r="E165" s="73" t="s">
        <v>32</v>
      </c>
      <c r="F165" s="73" t="s">
        <v>317</v>
      </c>
      <c r="G165" s="73" t="s">
        <v>61</v>
      </c>
      <c r="H165" s="74" t="s">
        <v>303</v>
      </c>
      <c r="I165" s="74">
        <v>350</v>
      </c>
      <c r="J165" s="75">
        <v>0</v>
      </c>
      <c r="K165" s="76"/>
    </row>
    <row r="166" s="1" customFormat="1" ht="14.25" spans="1:11">
      <c r="A166" s="71">
        <v>2</v>
      </c>
      <c r="B166" s="72">
        <v>28</v>
      </c>
      <c r="C166" s="72">
        <v>1</v>
      </c>
      <c r="D166" s="73" t="s">
        <v>255</v>
      </c>
      <c r="E166" s="73" t="s">
        <v>96</v>
      </c>
      <c r="F166" s="73" t="s">
        <v>97</v>
      </c>
      <c r="G166" s="73" t="s">
        <v>32</v>
      </c>
      <c r="H166" s="74" t="s">
        <v>318</v>
      </c>
      <c r="I166" s="74">
        <v>338.5</v>
      </c>
      <c r="J166" s="75">
        <v>0</v>
      </c>
      <c r="K166" s="76"/>
    </row>
    <row r="167" s="1" customFormat="1" ht="14.25" spans="1:11">
      <c r="A167" s="71">
        <v>2</v>
      </c>
      <c r="B167" s="72">
        <v>28</v>
      </c>
      <c r="C167" s="72">
        <v>1</v>
      </c>
      <c r="D167" s="73" t="s">
        <v>319</v>
      </c>
      <c r="E167" s="73" t="s">
        <v>48</v>
      </c>
      <c r="F167" s="73" t="s">
        <v>125</v>
      </c>
      <c r="G167" s="73" t="s">
        <v>32</v>
      </c>
      <c r="H167" s="74" t="s">
        <v>318</v>
      </c>
      <c r="I167" s="74">
        <v>34</v>
      </c>
      <c r="J167" s="75">
        <v>0</v>
      </c>
      <c r="K167" s="76"/>
    </row>
    <row r="168" s="1" customFormat="1" ht="14.25" spans="1:11">
      <c r="A168" s="71">
        <v>2</v>
      </c>
      <c r="B168" s="72">
        <v>28</v>
      </c>
      <c r="C168" s="72">
        <v>1</v>
      </c>
      <c r="D168" s="73" t="s">
        <v>320</v>
      </c>
      <c r="E168" s="73" t="s">
        <v>48</v>
      </c>
      <c r="F168" s="73" t="s">
        <v>125</v>
      </c>
      <c r="G168" s="73" t="s">
        <v>32</v>
      </c>
      <c r="H168" s="74" t="s">
        <v>318</v>
      </c>
      <c r="I168" s="74">
        <v>370</v>
      </c>
      <c r="J168" s="75">
        <v>0</v>
      </c>
      <c r="K168" s="76"/>
    </row>
    <row r="169" s="1" customFormat="1" ht="14.25" spans="1:11">
      <c r="A169" s="71">
        <v>2</v>
      </c>
      <c r="B169" s="72">
        <v>28</v>
      </c>
      <c r="C169" s="72">
        <v>1</v>
      </c>
      <c r="D169" s="73" t="s">
        <v>321</v>
      </c>
      <c r="E169" s="73" t="s">
        <v>118</v>
      </c>
      <c r="F169" s="73" t="s">
        <v>136</v>
      </c>
      <c r="G169" s="73" t="s">
        <v>32</v>
      </c>
      <c r="H169" s="74" t="s">
        <v>318</v>
      </c>
      <c r="I169" s="74">
        <v>1000</v>
      </c>
      <c r="J169" s="75">
        <v>0</v>
      </c>
      <c r="K169" s="76"/>
    </row>
    <row r="170" s="1" customFormat="1" ht="14.25" spans="1:11">
      <c r="A170" s="71">
        <v>2</v>
      </c>
      <c r="B170" s="72">
        <v>28</v>
      </c>
      <c r="C170" s="72">
        <v>1</v>
      </c>
      <c r="D170" s="73" t="s">
        <v>322</v>
      </c>
      <c r="E170" s="73" t="s">
        <v>291</v>
      </c>
      <c r="F170" s="73" t="s">
        <v>323</v>
      </c>
      <c r="G170" s="73" t="s">
        <v>32</v>
      </c>
      <c r="H170" s="74" t="s">
        <v>324</v>
      </c>
      <c r="I170" s="74">
        <v>7840</v>
      </c>
      <c r="J170" s="75">
        <v>0</v>
      </c>
      <c r="K170" s="76"/>
    </row>
    <row r="171" s="1" customFormat="1" ht="14.25" spans="1:11">
      <c r="A171" s="71">
        <v>2</v>
      </c>
      <c r="B171" s="72">
        <v>28</v>
      </c>
      <c r="C171" s="72">
        <v>1</v>
      </c>
      <c r="D171" s="73" t="s">
        <v>325</v>
      </c>
      <c r="E171" s="73" t="s">
        <v>100</v>
      </c>
      <c r="F171" s="73" t="s">
        <v>101</v>
      </c>
      <c r="G171" s="73" t="s">
        <v>32</v>
      </c>
      <c r="H171" s="74" t="s">
        <v>324</v>
      </c>
      <c r="I171" s="74">
        <v>1200</v>
      </c>
      <c r="J171" s="75">
        <v>0</v>
      </c>
      <c r="K171" s="76"/>
    </row>
    <row r="172" s="1" customFormat="1" ht="14.25" spans="1:11">
      <c r="A172" s="71">
        <v>2</v>
      </c>
      <c r="B172" s="72">
        <v>28</v>
      </c>
      <c r="C172" s="72">
        <v>1</v>
      </c>
      <c r="D172" s="73" t="s">
        <v>124</v>
      </c>
      <c r="E172" s="73" t="s">
        <v>48</v>
      </c>
      <c r="F172" s="73" t="s">
        <v>125</v>
      </c>
      <c r="G172" s="73" t="s">
        <v>32</v>
      </c>
      <c r="H172" s="74" t="s">
        <v>326</v>
      </c>
      <c r="I172" s="74">
        <v>8</v>
      </c>
      <c r="J172" s="75">
        <v>0</v>
      </c>
      <c r="K172" s="76"/>
    </row>
    <row r="173" s="1" customFormat="1" ht="14.25" spans="1:11">
      <c r="A173" s="71">
        <v>2</v>
      </c>
      <c r="B173" s="72">
        <v>28</v>
      </c>
      <c r="C173" s="72">
        <v>1</v>
      </c>
      <c r="D173" s="73" t="s">
        <v>275</v>
      </c>
      <c r="E173" s="73" t="s">
        <v>48</v>
      </c>
      <c r="F173" s="73" t="s">
        <v>125</v>
      </c>
      <c r="G173" s="73" t="s">
        <v>32</v>
      </c>
      <c r="H173" s="74" t="s">
        <v>326</v>
      </c>
      <c r="I173" s="74">
        <v>80</v>
      </c>
      <c r="J173" s="75">
        <v>0</v>
      </c>
      <c r="K173" s="76"/>
    </row>
    <row r="174" s="1" customFormat="1" ht="14.25" spans="1:11">
      <c r="A174" s="71">
        <v>2</v>
      </c>
      <c r="B174" s="72">
        <v>28</v>
      </c>
      <c r="C174" s="72">
        <v>1</v>
      </c>
      <c r="D174" s="73" t="s">
        <v>327</v>
      </c>
      <c r="E174" s="73" t="s">
        <v>118</v>
      </c>
      <c r="F174" s="73" t="s">
        <v>136</v>
      </c>
      <c r="G174" s="73" t="s">
        <v>32</v>
      </c>
      <c r="H174" s="74" t="s">
        <v>326</v>
      </c>
      <c r="I174" s="74">
        <v>15</v>
      </c>
      <c r="J174" s="75">
        <v>0</v>
      </c>
      <c r="K174" s="76"/>
    </row>
    <row r="175" s="1" customFormat="1" ht="14.25" spans="1:11">
      <c r="A175" s="71">
        <v>2</v>
      </c>
      <c r="B175" s="72">
        <v>28</v>
      </c>
      <c r="C175" s="72">
        <v>2</v>
      </c>
      <c r="D175" s="73" t="s">
        <v>328</v>
      </c>
      <c r="E175" s="73" t="s">
        <v>100</v>
      </c>
      <c r="F175" s="73" t="s">
        <v>101</v>
      </c>
      <c r="G175" s="73" t="s">
        <v>32</v>
      </c>
      <c r="H175" s="74" t="s">
        <v>329</v>
      </c>
      <c r="I175" s="74">
        <v>36232</v>
      </c>
      <c r="J175" s="75">
        <v>0</v>
      </c>
      <c r="K175" s="76"/>
    </row>
    <row r="176" s="1" customFormat="1" ht="14.25" spans="1:11">
      <c r="A176" s="71">
        <v>2</v>
      </c>
      <c r="B176" s="72">
        <v>28</v>
      </c>
      <c r="C176" s="72">
        <v>2</v>
      </c>
      <c r="D176" s="73" t="s">
        <v>330</v>
      </c>
      <c r="E176" s="73" t="s">
        <v>48</v>
      </c>
      <c r="F176" s="73" t="s">
        <v>331</v>
      </c>
      <c r="G176" s="73" t="s">
        <v>32</v>
      </c>
      <c r="H176" s="74" t="s">
        <v>329</v>
      </c>
      <c r="I176" s="74">
        <v>7900</v>
      </c>
      <c r="J176" s="75">
        <v>0</v>
      </c>
      <c r="K176" s="76"/>
    </row>
    <row r="177" s="1" customFormat="1" ht="14.25" spans="1:11">
      <c r="A177" s="71">
        <v>2</v>
      </c>
      <c r="B177" s="72">
        <v>28</v>
      </c>
      <c r="C177" s="72">
        <v>2</v>
      </c>
      <c r="D177" s="73" t="s">
        <v>332</v>
      </c>
      <c r="E177" s="73" t="s">
        <v>118</v>
      </c>
      <c r="F177" s="73" t="s">
        <v>119</v>
      </c>
      <c r="G177" s="73" t="s">
        <v>32</v>
      </c>
      <c r="H177" s="74" t="s">
        <v>329</v>
      </c>
      <c r="I177" s="74">
        <v>95480.44</v>
      </c>
      <c r="J177" s="75">
        <v>0</v>
      </c>
      <c r="K177" s="76"/>
    </row>
    <row r="178" s="1" customFormat="1" ht="14.25" spans="1:11">
      <c r="A178" s="71">
        <v>2</v>
      </c>
      <c r="B178" s="72">
        <v>28</v>
      </c>
      <c r="C178" s="72">
        <v>2</v>
      </c>
      <c r="D178" s="73" t="s">
        <v>333</v>
      </c>
      <c r="E178" s="73" t="s">
        <v>100</v>
      </c>
      <c r="F178" s="73" t="s">
        <v>101</v>
      </c>
      <c r="G178" s="73" t="s">
        <v>32</v>
      </c>
      <c r="H178" s="74" t="s">
        <v>334</v>
      </c>
      <c r="I178" s="74">
        <v>30</v>
      </c>
      <c r="J178" s="75">
        <v>0</v>
      </c>
      <c r="K178" s="76"/>
    </row>
    <row r="179" s="1" customFormat="1" ht="14.25" spans="1:11">
      <c r="A179" s="71">
        <v>2</v>
      </c>
      <c r="B179" s="72">
        <v>28</v>
      </c>
      <c r="C179" s="72">
        <v>2</v>
      </c>
      <c r="D179" s="73" t="s">
        <v>335</v>
      </c>
      <c r="E179" s="73" t="s">
        <v>48</v>
      </c>
      <c r="F179" s="73" t="s">
        <v>55</v>
      </c>
      <c r="G179" s="73" t="s">
        <v>32</v>
      </c>
      <c r="H179" s="74" t="s">
        <v>334</v>
      </c>
      <c r="I179" s="74">
        <v>30</v>
      </c>
      <c r="J179" s="75">
        <v>0</v>
      </c>
      <c r="K179" s="76"/>
    </row>
    <row r="180" s="1" customFormat="1" ht="14.25" spans="1:11">
      <c r="A180" s="71">
        <v>2</v>
      </c>
      <c r="B180" s="72">
        <v>28</v>
      </c>
      <c r="C180" s="72">
        <v>2</v>
      </c>
      <c r="D180" s="73" t="s">
        <v>336</v>
      </c>
      <c r="E180" s="73" t="s">
        <v>118</v>
      </c>
      <c r="F180" s="73" t="s">
        <v>136</v>
      </c>
      <c r="G180" s="73" t="s">
        <v>32</v>
      </c>
      <c r="H180" s="74" t="s">
        <v>334</v>
      </c>
      <c r="I180" s="74">
        <v>30</v>
      </c>
      <c r="J180" s="75">
        <v>0</v>
      </c>
      <c r="K180" s="76"/>
    </row>
    <row r="181" s="1" customFormat="1" ht="14.25" spans="1:11">
      <c r="A181" s="71">
        <v>2</v>
      </c>
      <c r="B181" s="72">
        <v>28</v>
      </c>
      <c r="C181" s="72">
        <v>2</v>
      </c>
      <c r="D181" s="73" t="s">
        <v>337</v>
      </c>
      <c r="E181" s="73" t="s">
        <v>96</v>
      </c>
      <c r="F181" s="73" t="s">
        <v>97</v>
      </c>
      <c r="G181" s="73" t="s">
        <v>32</v>
      </c>
      <c r="H181" s="74" t="s">
        <v>334</v>
      </c>
      <c r="I181" s="74">
        <v>10</v>
      </c>
      <c r="J181" s="75">
        <v>0</v>
      </c>
      <c r="K181" s="76"/>
    </row>
    <row r="182" s="1" customFormat="1" ht="14.25" spans="1:11">
      <c r="A182" s="71">
        <v>2</v>
      </c>
      <c r="B182" s="72">
        <v>28</v>
      </c>
      <c r="C182" s="72">
        <v>2</v>
      </c>
      <c r="D182" s="73" t="s">
        <v>338</v>
      </c>
      <c r="E182" s="73" t="s">
        <v>118</v>
      </c>
      <c r="F182" s="73" t="s">
        <v>136</v>
      </c>
      <c r="G182" s="73" t="s">
        <v>32</v>
      </c>
      <c r="H182" s="74" t="s">
        <v>334</v>
      </c>
      <c r="I182" s="74">
        <v>400</v>
      </c>
      <c r="J182" s="75">
        <v>0</v>
      </c>
      <c r="K182" s="76"/>
    </row>
    <row r="183" s="1" customFormat="1" ht="14.25" spans="1:11">
      <c r="A183" s="71">
        <v>2</v>
      </c>
      <c r="B183" s="72">
        <v>28</v>
      </c>
      <c r="C183" s="72">
        <v>2</v>
      </c>
      <c r="D183" s="73" t="s">
        <v>339</v>
      </c>
      <c r="E183" s="73" t="s">
        <v>118</v>
      </c>
      <c r="F183" s="73" t="s">
        <v>136</v>
      </c>
      <c r="G183" s="73" t="s">
        <v>32</v>
      </c>
      <c r="H183" s="74" t="s">
        <v>340</v>
      </c>
      <c r="I183" s="74">
        <v>1040</v>
      </c>
      <c r="J183" s="75">
        <v>0</v>
      </c>
      <c r="K183" s="76"/>
    </row>
    <row r="184" s="1" customFormat="1" ht="14.25" spans="1:11">
      <c r="A184" s="71">
        <v>2</v>
      </c>
      <c r="B184" s="72">
        <v>28</v>
      </c>
      <c r="C184" s="72">
        <v>2</v>
      </c>
      <c r="D184" s="73" t="s">
        <v>341</v>
      </c>
      <c r="E184" s="73" t="s">
        <v>118</v>
      </c>
      <c r="F184" s="73" t="s">
        <v>136</v>
      </c>
      <c r="G184" s="73" t="s">
        <v>32</v>
      </c>
      <c r="H184" s="74" t="s">
        <v>340</v>
      </c>
      <c r="I184" s="74">
        <v>116</v>
      </c>
      <c r="J184" s="75">
        <v>0</v>
      </c>
      <c r="K184" s="76"/>
    </row>
    <row r="185" s="1" customFormat="1" ht="14.25" spans="1:11">
      <c r="A185" s="71">
        <v>2</v>
      </c>
      <c r="B185" s="72">
        <v>28</v>
      </c>
      <c r="C185" s="72">
        <v>3</v>
      </c>
      <c r="D185" s="73" t="s">
        <v>342</v>
      </c>
      <c r="E185" s="73" t="s">
        <v>100</v>
      </c>
      <c r="F185" s="73" t="s">
        <v>101</v>
      </c>
      <c r="G185" s="73" t="s">
        <v>32</v>
      </c>
      <c r="H185" s="74" t="s">
        <v>343</v>
      </c>
      <c r="I185" s="74">
        <v>7796</v>
      </c>
      <c r="J185" s="75">
        <v>0</v>
      </c>
      <c r="K185" s="76"/>
    </row>
    <row r="186" s="1" customFormat="1" ht="14.25" spans="1:11">
      <c r="A186" s="71">
        <v>2</v>
      </c>
      <c r="B186" s="72">
        <v>28</v>
      </c>
      <c r="C186" s="72">
        <v>3</v>
      </c>
      <c r="D186" s="73" t="s">
        <v>344</v>
      </c>
      <c r="E186" s="73" t="s">
        <v>96</v>
      </c>
      <c r="F186" s="73" t="s">
        <v>345</v>
      </c>
      <c r="G186" s="73" t="s">
        <v>32</v>
      </c>
      <c r="H186" s="74" t="s">
        <v>343</v>
      </c>
      <c r="I186" s="74">
        <v>112</v>
      </c>
      <c r="J186" s="75">
        <v>0</v>
      </c>
      <c r="K186" s="76"/>
    </row>
    <row r="187" s="1" customFormat="1" ht="14.25" spans="1:11">
      <c r="A187" s="71">
        <v>2</v>
      </c>
      <c r="B187" s="72">
        <v>28</v>
      </c>
      <c r="C187" s="72">
        <v>3</v>
      </c>
      <c r="D187" s="73" t="s">
        <v>346</v>
      </c>
      <c r="E187" s="73" t="s">
        <v>100</v>
      </c>
      <c r="F187" s="73" t="s">
        <v>101</v>
      </c>
      <c r="G187" s="73" t="s">
        <v>32</v>
      </c>
      <c r="H187" s="74" t="s">
        <v>343</v>
      </c>
      <c r="I187" s="74">
        <v>20</v>
      </c>
      <c r="J187" s="75">
        <v>0</v>
      </c>
      <c r="K187" s="76"/>
    </row>
    <row r="188" s="1" customFormat="1" ht="14.25" spans="1:11">
      <c r="A188" s="71">
        <v>2</v>
      </c>
      <c r="B188" s="72">
        <v>28</v>
      </c>
      <c r="C188" s="72">
        <v>3</v>
      </c>
      <c r="D188" s="73" t="s">
        <v>347</v>
      </c>
      <c r="E188" s="73" t="s">
        <v>100</v>
      </c>
      <c r="F188" s="73" t="s">
        <v>115</v>
      </c>
      <c r="G188" s="73" t="s">
        <v>32</v>
      </c>
      <c r="H188" s="74" t="s">
        <v>343</v>
      </c>
      <c r="I188" s="74">
        <v>931</v>
      </c>
      <c r="J188" s="75">
        <v>0</v>
      </c>
      <c r="K188" s="76"/>
    </row>
    <row r="189" s="1" customFormat="1" ht="14.25" spans="1:11">
      <c r="A189" s="71">
        <v>2</v>
      </c>
      <c r="B189" s="72">
        <v>28</v>
      </c>
      <c r="C189" s="72">
        <v>3</v>
      </c>
      <c r="D189" s="73" t="s">
        <v>348</v>
      </c>
      <c r="E189" s="73" t="s">
        <v>291</v>
      </c>
      <c r="F189" s="73" t="s">
        <v>349</v>
      </c>
      <c r="G189" s="73" t="s">
        <v>32</v>
      </c>
      <c r="H189" s="74" t="s">
        <v>343</v>
      </c>
      <c r="I189" s="74">
        <v>1100</v>
      </c>
      <c r="J189" s="75">
        <v>0</v>
      </c>
      <c r="K189" s="76"/>
    </row>
    <row r="190" s="1" customFormat="1" ht="14.25" spans="1:11">
      <c r="A190" s="71">
        <v>2</v>
      </c>
      <c r="B190" s="72">
        <v>28</v>
      </c>
      <c r="C190" s="72">
        <v>3</v>
      </c>
      <c r="D190" s="73" t="s">
        <v>350</v>
      </c>
      <c r="E190" s="73" t="s">
        <v>118</v>
      </c>
      <c r="F190" s="73" t="s">
        <v>151</v>
      </c>
      <c r="G190" s="73" t="s">
        <v>32</v>
      </c>
      <c r="H190" s="74" t="s">
        <v>351</v>
      </c>
      <c r="I190" s="74">
        <v>9600</v>
      </c>
      <c r="J190" s="75">
        <v>0</v>
      </c>
      <c r="K190" s="76"/>
    </row>
    <row r="191" s="1" customFormat="1" ht="14.25" spans="1:11">
      <c r="A191" s="71">
        <v>2</v>
      </c>
      <c r="B191" s="72">
        <v>28</v>
      </c>
      <c r="C191" s="72">
        <v>3</v>
      </c>
      <c r="D191" s="73" t="s">
        <v>352</v>
      </c>
      <c r="E191" s="73" t="s">
        <v>118</v>
      </c>
      <c r="F191" s="73" t="s">
        <v>192</v>
      </c>
      <c r="G191" s="73" t="s">
        <v>32</v>
      </c>
      <c r="H191" s="74" t="s">
        <v>351</v>
      </c>
      <c r="I191" s="74">
        <v>150480</v>
      </c>
      <c r="J191" s="75">
        <v>0</v>
      </c>
      <c r="K191" s="76"/>
    </row>
    <row r="192" s="1" customFormat="1" ht="14.25" spans="1:11">
      <c r="A192" s="71">
        <v>2</v>
      </c>
      <c r="B192" s="72">
        <v>28</v>
      </c>
      <c r="C192" s="72">
        <v>3</v>
      </c>
      <c r="D192" s="73" t="s">
        <v>353</v>
      </c>
      <c r="E192" s="73" t="s">
        <v>118</v>
      </c>
      <c r="F192" s="73" t="s">
        <v>146</v>
      </c>
      <c r="G192" s="73" t="s">
        <v>32</v>
      </c>
      <c r="H192" s="74" t="s">
        <v>351</v>
      </c>
      <c r="I192" s="74">
        <v>4758</v>
      </c>
      <c r="J192" s="75">
        <v>0</v>
      </c>
      <c r="K192" s="76"/>
    </row>
    <row r="193" s="1" customFormat="1" ht="14.25" spans="1:11">
      <c r="A193" s="71">
        <v>2</v>
      </c>
      <c r="B193" s="72">
        <v>28</v>
      </c>
      <c r="C193" s="72">
        <v>3</v>
      </c>
      <c r="D193" s="73" t="s">
        <v>354</v>
      </c>
      <c r="E193" s="73" t="s">
        <v>118</v>
      </c>
      <c r="F193" s="73" t="s">
        <v>192</v>
      </c>
      <c r="G193" s="73" t="s">
        <v>32</v>
      </c>
      <c r="H193" s="74" t="s">
        <v>351</v>
      </c>
      <c r="I193" s="74">
        <v>4745</v>
      </c>
      <c r="J193" s="75">
        <v>0</v>
      </c>
      <c r="K193" s="76"/>
    </row>
    <row r="194" s="1" customFormat="1" ht="14.25" spans="1:11">
      <c r="A194" s="71">
        <v>2</v>
      </c>
      <c r="B194" s="72">
        <v>28</v>
      </c>
      <c r="C194" s="72">
        <v>3</v>
      </c>
      <c r="D194" s="73" t="s">
        <v>355</v>
      </c>
      <c r="E194" s="73" t="s">
        <v>118</v>
      </c>
      <c r="F194" s="73" t="s">
        <v>192</v>
      </c>
      <c r="G194" s="73" t="s">
        <v>32</v>
      </c>
      <c r="H194" s="74" t="s">
        <v>351</v>
      </c>
      <c r="I194" s="74">
        <v>6000</v>
      </c>
      <c r="J194" s="75">
        <v>0</v>
      </c>
      <c r="K194" s="76"/>
    </row>
    <row r="195" s="1" customFormat="1" ht="14.25" spans="1:11">
      <c r="A195" s="71">
        <v>2</v>
      </c>
      <c r="B195" s="72">
        <v>28</v>
      </c>
      <c r="C195" s="72">
        <v>4</v>
      </c>
      <c r="D195" s="73" t="s">
        <v>356</v>
      </c>
      <c r="E195" s="73" t="s">
        <v>48</v>
      </c>
      <c r="F195" s="73" t="s">
        <v>233</v>
      </c>
      <c r="G195" s="73" t="s">
        <v>32</v>
      </c>
      <c r="H195" s="74" t="s">
        <v>357</v>
      </c>
      <c r="I195" s="74">
        <v>11000</v>
      </c>
      <c r="J195" s="75">
        <v>0</v>
      </c>
      <c r="K195" s="76"/>
    </row>
    <row r="196" s="1" customFormat="1" ht="14.25" spans="1:11">
      <c r="A196" s="71">
        <v>2</v>
      </c>
      <c r="B196" s="72">
        <v>28</v>
      </c>
      <c r="C196" s="72">
        <v>4</v>
      </c>
      <c r="D196" s="73" t="s">
        <v>358</v>
      </c>
      <c r="E196" s="73" t="s">
        <v>118</v>
      </c>
      <c r="F196" s="73" t="s">
        <v>119</v>
      </c>
      <c r="G196" s="73" t="s">
        <v>32</v>
      </c>
      <c r="H196" s="74" t="s">
        <v>357</v>
      </c>
      <c r="I196" s="74">
        <v>98933.4</v>
      </c>
      <c r="J196" s="75">
        <v>0</v>
      </c>
      <c r="K196" s="76"/>
    </row>
    <row r="197" s="1" customFormat="1" ht="14.25" spans="1:11">
      <c r="A197" s="71">
        <v>2</v>
      </c>
      <c r="B197" s="72">
        <v>28</v>
      </c>
      <c r="C197" s="72">
        <v>4</v>
      </c>
      <c r="D197" s="73" t="s">
        <v>359</v>
      </c>
      <c r="E197" s="73" t="s">
        <v>118</v>
      </c>
      <c r="F197" s="73" t="s">
        <v>136</v>
      </c>
      <c r="G197" s="73" t="s">
        <v>32</v>
      </c>
      <c r="H197" s="74" t="s">
        <v>357</v>
      </c>
      <c r="I197" s="74">
        <v>2400</v>
      </c>
      <c r="J197" s="75">
        <v>0</v>
      </c>
      <c r="K197" s="76"/>
    </row>
    <row r="198" s="1" customFormat="1" ht="14.25" spans="1:11">
      <c r="A198" s="71">
        <v>2</v>
      </c>
      <c r="B198" s="72">
        <v>28</v>
      </c>
      <c r="C198" s="72">
        <v>4</v>
      </c>
      <c r="D198" s="73" t="s">
        <v>360</v>
      </c>
      <c r="E198" s="73" t="s">
        <v>118</v>
      </c>
      <c r="F198" s="73" t="s">
        <v>136</v>
      </c>
      <c r="G198" s="73" t="s">
        <v>32</v>
      </c>
      <c r="H198" s="74" t="s">
        <v>357</v>
      </c>
      <c r="I198" s="74">
        <v>100</v>
      </c>
      <c r="J198" s="75">
        <v>0</v>
      </c>
      <c r="K198" s="76"/>
    </row>
    <row r="199" s="1" customFormat="1" ht="14.25" spans="1:11">
      <c r="A199" s="71">
        <v>2</v>
      </c>
      <c r="B199" s="72">
        <v>28</v>
      </c>
      <c r="C199" s="72">
        <v>4</v>
      </c>
      <c r="D199" s="73" t="s">
        <v>361</v>
      </c>
      <c r="E199" s="73" t="s">
        <v>100</v>
      </c>
      <c r="F199" s="73" t="s">
        <v>115</v>
      </c>
      <c r="G199" s="73" t="s">
        <v>32</v>
      </c>
      <c r="H199" s="74" t="s">
        <v>357</v>
      </c>
      <c r="I199" s="74">
        <v>20</v>
      </c>
      <c r="J199" s="75">
        <v>0</v>
      </c>
      <c r="K199" s="76"/>
    </row>
    <row r="200" s="1" customFormat="1" ht="14.25" spans="1:11">
      <c r="A200" s="71">
        <v>2</v>
      </c>
      <c r="B200" s="72">
        <v>28</v>
      </c>
      <c r="C200" s="72">
        <v>4</v>
      </c>
      <c r="D200" s="73" t="s">
        <v>362</v>
      </c>
      <c r="E200" s="73" t="s">
        <v>48</v>
      </c>
      <c r="F200" s="73" t="s">
        <v>49</v>
      </c>
      <c r="G200" s="73" t="s">
        <v>32</v>
      </c>
      <c r="H200" s="74" t="s">
        <v>363</v>
      </c>
      <c r="I200" s="74">
        <v>300</v>
      </c>
      <c r="J200" s="75">
        <v>0</v>
      </c>
      <c r="K200" s="76"/>
    </row>
    <row r="201" s="1" customFormat="1" ht="14.25" spans="1:11">
      <c r="A201" s="71">
        <v>2</v>
      </c>
      <c r="B201" s="72">
        <v>28</v>
      </c>
      <c r="C201" s="72">
        <v>4</v>
      </c>
      <c r="D201" s="73" t="s">
        <v>124</v>
      </c>
      <c r="E201" s="73" t="s">
        <v>48</v>
      </c>
      <c r="F201" s="73" t="s">
        <v>125</v>
      </c>
      <c r="G201" s="73" t="s">
        <v>32</v>
      </c>
      <c r="H201" s="74" t="s">
        <v>363</v>
      </c>
      <c r="I201" s="74">
        <v>4</v>
      </c>
      <c r="J201" s="75">
        <v>0</v>
      </c>
      <c r="K201" s="76"/>
    </row>
    <row r="202" s="1" customFormat="1" ht="14.25" spans="1:11">
      <c r="A202" s="71">
        <v>2</v>
      </c>
      <c r="B202" s="72">
        <v>28</v>
      </c>
      <c r="C202" s="72">
        <v>4</v>
      </c>
      <c r="D202" s="73" t="s">
        <v>364</v>
      </c>
      <c r="E202" s="73" t="s">
        <v>118</v>
      </c>
      <c r="F202" s="73" t="s">
        <v>136</v>
      </c>
      <c r="G202" s="73" t="s">
        <v>32</v>
      </c>
      <c r="H202" s="74" t="s">
        <v>363</v>
      </c>
      <c r="I202" s="74">
        <v>48</v>
      </c>
      <c r="J202" s="75">
        <v>0</v>
      </c>
      <c r="K202" s="76"/>
    </row>
    <row r="203" s="1" customFormat="1" ht="14.25" spans="1:11">
      <c r="A203" s="71">
        <v>2</v>
      </c>
      <c r="B203" s="72">
        <v>28</v>
      </c>
      <c r="C203" s="72">
        <v>4</v>
      </c>
      <c r="D203" s="73" t="s">
        <v>365</v>
      </c>
      <c r="E203" s="73" t="s">
        <v>118</v>
      </c>
      <c r="F203" s="73" t="s">
        <v>136</v>
      </c>
      <c r="G203" s="73" t="s">
        <v>32</v>
      </c>
      <c r="H203" s="74" t="s">
        <v>363</v>
      </c>
      <c r="I203" s="74">
        <v>50</v>
      </c>
      <c r="J203" s="75">
        <v>0</v>
      </c>
      <c r="K203" s="76"/>
    </row>
    <row r="204" s="1" customFormat="1" ht="14.25" spans="1:11">
      <c r="A204" s="71">
        <v>2</v>
      </c>
      <c r="B204" s="72">
        <v>28</v>
      </c>
      <c r="C204" s="72">
        <v>4</v>
      </c>
      <c r="D204" s="73" t="s">
        <v>366</v>
      </c>
      <c r="E204" s="73" t="s">
        <v>118</v>
      </c>
      <c r="F204" s="73" t="s">
        <v>136</v>
      </c>
      <c r="G204" s="73" t="s">
        <v>32</v>
      </c>
      <c r="H204" s="74" t="s">
        <v>363</v>
      </c>
      <c r="I204" s="74">
        <v>96</v>
      </c>
      <c r="J204" s="75">
        <v>0</v>
      </c>
      <c r="K204" s="76"/>
    </row>
    <row r="205" s="1" customFormat="1" ht="14.25" spans="1:11">
      <c r="A205" s="71">
        <v>2</v>
      </c>
      <c r="B205" s="72">
        <v>28</v>
      </c>
      <c r="C205" s="72">
        <v>5</v>
      </c>
      <c r="D205" s="73" t="s">
        <v>367</v>
      </c>
      <c r="E205" s="73" t="s">
        <v>48</v>
      </c>
      <c r="F205" s="73" t="s">
        <v>49</v>
      </c>
      <c r="G205" s="73" t="s">
        <v>32</v>
      </c>
      <c r="H205" s="74" t="s">
        <v>368</v>
      </c>
      <c r="I205" s="74">
        <v>20</v>
      </c>
      <c r="J205" s="75">
        <v>0</v>
      </c>
      <c r="K205" s="76"/>
    </row>
    <row r="206" s="1" customFormat="1" ht="14.25" spans="1:11">
      <c r="A206" s="71">
        <v>2</v>
      </c>
      <c r="B206" s="72">
        <v>28</v>
      </c>
      <c r="C206" s="72">
        <v>5</v>
      </c>
      <c r="D206" s="73" t="s">
        <v>367</v>
      </c>
      <c r="E206" s="73" t="s">
        <v>48</v>
      </c>
      <c r="F206" s="73" t="s">
        <v>49</v>
      </c>
      <c r="G206" s="73" t="s">
        <v>32</v>
      </c>
      <c r="H206" s="74" t="s">
        <v>368</v>
      </c>
      <c r="I206" s="74">
        <v>90</v>
      </c>
      <c r="J206" s="75">
        <v>0</v>
      </c>
      <c r="K206" s="76"/>
    </row>
    <row r="207" s="1" customFormat="1" ht="14.25" spans="1:11">
      <c r="A207" s="71">
        <v>2</v>
      </c>
      <c r="B207" s="72">
        <v>28</v>
      </c>
      <c r="C207" s="72">
        <v>5</v>
      </c>
      <c r="D207" s="73" t="s">
        <v>369</v>
      </c>
      <c r="E207" s="73" t="s">
        <v>118</v>
      </c>
      <c r="F207" s="73" t="s">
        <v>136</v>
      </c>
      <c r="G207" s="73" t="s">
        <v>32</v>
      </c>
      <c r="H207" s="74" t="s">
        <v>368</v>
      </c>
      <c r="I207" s="74">
        <v>165</v>
      </c>
      <c r="J207" s="75">
        <v>0</v>
      </c>
      <c r="K207" s="76"/>
    </row>
    <row r="208" s="1" customFormat="1" ht="14.25" spans="1:11">
      <c r="A208" s="71">
        <v>2</v>
      </c>
      <c r="B208" s="72">
        <v>28</v>
      </c>
      <c r="C208" s="72">
        <v>5</v>
      </c>
      <c r="D208" s="73" t="s">
        <v>370</v>
      </c>
      <c r="E208" s="73" t="s">
        <v>118</v>
      </c>
      <c r="F208" s="73" t="s">
        <v>371</v>
      </c>
      <c r="G208" s="73" t="s">
        <v>32</v>
      </c>
      <c r="H208" s="74" t="s">
        <v>368</v>
      </c>
      <c r="I208" s="74">
        <v>17200</v>
      </c>
      <c r="J208" s="75">
        <v>0</v>
      </c>
      <c r="K208" s="76"/>
    </row>
    <row r="209" s="1" customFormat="1" ht="14.25" spans="1:11">
      <c r="A209" s="71">
        <v>2</v>
      </c>
      <c r="B209" s="72">
        <v>28</v>
      </c>
      <c r="C209" s="72">
        <v>5</v>
      </c>
      <c r="D209" s="73" t="s">
        <v>372</v>
      </c>
      <c r="E209" s="73" t="s">
        <v>48</v>
      </c>
      <c r="F209" s="73" t="s">
        <v>55</v>
      </c>
      <c r="G209" s="73" t="s">
        <v>32</v>
      </c>
      <c r="H209" s="74" t="s">
        <v>368</v>
      </c>
      <c r="I209" s="74">
        <v>20</v>
      </c>
      <c r="J209" s="75">
        <v>0</v>
      </c>
      <c r="K209" s="76"/>
    </row>
    <row r="210" s="1" customFormat="1" ht="14.25" spans="1:11">
      <c r="A210" s="71">
        <v>2</v>
      </c>
      <c r="B210" s="72">
        <v>28</v>
      </c>
      <c r="C210" s="72">
        <v>5</v>
      </c>
      <c r="D210" s="73" t="s">
        <v>373</v>
      </c>
      <c r="E210" s="73" t="s">
        <v>48</v>
      </c>
      <c r="F210" s="73" t="s">
        <v>233</v>
      </c>
      <c r="G210" s="73" t="s">
        <v>32</v>
      </c>
      <c r="H210" s="74" t="s">
        <v>374</v>
      </c>
      <c r="I210" s="74">
        <v>400</v>
      </c>
      <c r="J210" s="75">
        <v>0</v>
      </c>
      <c r="K210" s="76"/>
    </row>
    <row r="211" s="1" customFormat="1" ht="14.25" spans="1:11">
      <c r="A211" s="71">
        <v>2</v>
      </c>
      <c r="B211" s="72">
        <v>28</v>
      </c>
      <c r="C211" s="72">
        <v>5</v>
      </c>
      <c r="D211" s="73" t="s">
        <v>375</v>
      </c>
      <c r="E211" s="73" t="s">
        <v>48</v>
      </c>
      <c r="F211" s="73" t="s">
        <v>233</v>
      </c>
      <c r="G211" s="73" t="s">
        <v>32</v>
      </c>
      <c r="H211" s="74" t="s">
        <v>374</v>
      </c>
      <c r="I211" s="74">
        <v>900</v>
      </c>
      <c r="J211" s="75">
        <v>0</v>
      </c>
      <c r="K211" s="76"/>
    </row>
    <row r="212" s="1" customFormat="1" ht="14.25" spans="1:11">
      <c r="A212" s="71">
        <v>2</v>
      </c>
      <c r="B212" s="72">
        <v>28</v>
      </c>
      <c r="C212" s="72">
        <v>5</v>
      </c>
      <c r="D212" s="73" t="s">
        <v>376</v>
      </c>
      <c r="E212" s="73" t="s">
        <v>118</v>
      </c>
      <c r="F212" s="73" t="s">
        <v>136</v>
      </c>
      <c r="G212" s="73" t="s">
        <v>32</v>
      </c>
      <c r="H212" s="74" t="s">
        <v>374</v>
      </c>
      <c r="I212" s="74">
        <v>200</v>
      </c>
      <c r="J212" s="75">
        <v>0</v>
      </c>
      <c r="K212" s="76"/>
    </row>
    <row r="213" s="1" customFormat="1" ht="14.25" spans="1:11">
      <c r="A213" s="71">
        <v>2</v>
      </c>
      <c r="B213" s="72">
        <v>28</v>
      </c>
      <c r="C213" s="72">
        <v>5</v>
      </c>
      <c r="D213" s="73" t="s">
        <v>377</v>
      </c>
      <c r="E213" s="73" t="s">
        <v>118</v>
      </c>
      <c r="F213" s="73" t="s">
        <v>136</v>
      </c>
      <c r="G213" s="73" t="s">
        <v>32</v>
      </c>
      <c r="H213" s="74" t="s">
        <v>374</v>
      </c>
      <c r="I213" s="74">
        <v>100</v>
      </c>
      <c r="J213" s="75">
        <v>0</v>
      </c>
      <c r="K213" s="76"/>
    </row>
    <row r="214" s="1" customFormat="1" ht="14.25" spans="1:11">
      <c r="A214" s="71">
        <v>2</v>
      </c>
      <c r="B214" s="72">
        <v>28</v>
      </c>
      <c r="C214" s="72">
        <v>6</v>
      </c>
      <c r="D214" s="73" t="s">
        <v>378</v>
      </c>
      <c r="E214" s="73" t="s">
        <v>291</v>
      </c>
      <c r="F214" s="73" t="s">
        <v>379</v>
      </c>
      <c r="G214" s="73" t="s">
        <v>32</v>
      </c>
      <c r="H214" s="74" t="s">
        <v>380</v>
      </c>
      <c r="I214" s="74">
        <v>130</v>
      </c>
      <c r="J214" s="75">
        <v>0</v>
      </c>
      <c r="K214" s="76"/>
    </row>
    <row r="215" s="1" customFormat="1" ht="14.25" spans="1:11">
      <c r="A215" s="71">
        <v>2</v>
      </c>
      <c r="B215" s="72">
        <v>28</v>
      </c>
      <c r="C215" s="72">
        <v>6</v>
      </c>
      <c r="D215" s="73" t="s">
        <v>381</v>
      </c>
      <c r="E215" s="73" t="s">
        <v>100</v>
      </c>
      <c r="F215" s="73" t="s">
        <v>115</v>
      </c>
      <c r="G215" s="73" t="s">
        <v>32</v>
      </c>
      <c r="H215" s="74" t="s">
        <v>380</v>
      </c>
      <c r="I215" s="74">
        <v>30</v>
      </c>
      <c r="J215" s="75">
        <v>0</v>
      </c>
      <c r="K215" s="76"/>
    </row>
    <row r="216" s="1" customFormat="1" ht="14.25" spans="1:11">
      <c r="A216" s="71">
        <v>2</v>
      </c>
      <c r="B216" s="72">
        <v>28</v>
      </c>
      <c r="C216" s="72">
        <v>6</v>
      </c>
      <c r="D216" s="73" t="s">
        <v>382</v>
      </c>
      <c r="E216" s="73" t="s">
        <v>48</v>
      </c>
      <c r="F216" s="73" t="s">
        <v>383</v>
      </c>
      <c r="G216" s="73" t="s">
        <v>32</v>
      </c>
      <c r="H216" s="74" t="s">
        <v>380</v>
      </c>
      <c r="I216" s="74">
        <v>20</v>
      </c>
      <c r="J216" s="75">
        <v>0</v>
      </c>
      <c r="K216" s="76"/>
    </row>
    <row r="217" s="1" customFormat="1" ht="14.25" spans="1:11">
      <c r="A217" s="71">
        <v>2</v>
      </c>
      <c r="B217" s="72">
        <v>28</v>
      </c>
      <c r="C217" s="72">
        <v>6</v>
      </c>
      <c r="D217" s="73" t="s">
        <v>384</v>
      </c>
      <c r="E217" s="73" t="s">
        <v>291</v>
      </c>
      <c r="F217" s="73" t="s">
        <v>379</v>
      </c>
      <c r="G217" s="73" t="s">
        <v>32</v>
      </c>
      <c r="H217" s="74" t="s">
        <v>380</v>
      </c>
      <c r="I217" s="74">
        <v>260</v>
      </c>
      <c r="J217" s="75">
        <v>0</v>
      </c>
      <c r="K217" s="76"/>
    </row>
    <row r="218" s="1" customFormat="1" ht="14.25" spans="1:11">
      <c r="A218" s="71">
        <v>2</v>
      </c>
      <c r="B218" s="72">
        <v>28</v>
      </c>
      <c r="C218" s="72">
        <v>6</v>
      </c>
      <c r="D218" s="73" t="s">
        <v>385</v>
      </c>
      <c r="E218" s="73" t="s">
        <v>48</v>
      </c>
      <c r="F218" s="73" t="s">
        <v>331</v>
      </c>
      <c r="G218" s="73" t="s">
        <v>32</v>
      </c>
      <c r="H218" s="74" t="s">
        <v>380</v>
      </c>
      <c r="I218" s="74">
        <v>10320</v>
      </c>
      <c r="J218" s="75">
        <v>0</v>
      </c>
      <c r="K218" s="75"/>
    </row>
    <row r="219" s="1" customFormat="1" ht="14.25" spans="1:11">
      <c r="A219" s="71">
        <v>3</v>
      </c>
      <c r="B219" s="72">
        <v>31</v>
      </c>
      <c r="C219" s="72">
        <v>1</v>
      </c>
      <c r="D219" s="73" t="s">
        <v>386</v>
      </c>
      <c r="E219" s="73" t="s">
        <v>291</v>
      </c>
      <c r="F219" s="73" t="s">
        <v>323</v>
      </c>
      <c r="G219" s="73" t="s">
        <v>32</v>
      </c>
      <c r="H219" s="74" t="s">
        <v>387</v>
      </c>
      <c r="I219" s="74">
        <v>2025.4</v>
      </c>
      <c r="J219" s="75">
        <v>0</v>
      </c>
      <c r="K219" s="76"/>
    </row>
    <row r="220" s="1" customFormat="1" ht="14.25" spans="1:11">
      <c r="A220" s="71">
        <v>3</v>
      </c>
      <c r="B220" s="72">
        <v>31</v>
      </c>
      <c r="C220" s="72">
        <v>1</v>
      </c>
      <c r="D220" s="73" t="s">
        <v>388</v>
      </c>
      <c r="E220" s="73" t="s">
        <v>100</v>
      </c>
      <c r="F220" s="73" t="s">
        <v>101</v>
      </c>
      <c r="G220" s="73" t="s">
        <v>32</v>
      </c>
      <c r="H220" s="74" t="s">
        <v>387</v>
      </c>
      <c r="I220" s="74">
        <v>38</v>
      </c>
      <c r="J220" s="75">
        <v>0</v>
      </c>
      <c r="K220" s="76"/>
    </row>
    <row r="221" s="1" customFormat="1" ht="14.25" spans="1:11">
      <c r="A221" s="71">
        <v>3</v>
      </c>
      <c r="B221" s="72">
        <v>31</v>
      </c>
      <c r="C221" s="72">
        <v>1</v>
      </c>
      <c r="D221" s="73" t="s">
        <v>389</v>
      </c>
      <c r="E221" s="73" t="s">
        <v>100</v>
      </c>
      <c r="F221" s="73" t="s">
        <v>101</v>
      </c>
      <c r="G221" s="73" t="s">
        <v>32</v>
      </c>
      <c r="H221" s="74" t="s">
        <v>387</v>
      </c>
      <c r="I221" s="74">
        <v>1200</v>
      </c>
      <c r="J221" s="75">
        <v>0</v>
      </c>
      <c r="K221" s="76"/>
    </row>
    <row r="222" s="1" customFormat="1" ht="14.25" spans="1:11">
      <c r="A222" s="71">
        <v>3</v>
      </c>
      <c r="B222" s="72">
        <v>31</v>
      </c>
      <c r="C222" s="72">
        <v>1</v>
      </c>
      <c r="D222" s="73" t="s">
        <v>390</v>
      </c>
      <c r="E222" s="73" t="s">
        <v>100</v>
      </c>
      <c r="F222" s="73" t="s">
        <v>101</v>
      </c>
      <c r="G222" s="73" t="s">
        <v>32</v>
      </c>
      <c r="H222" s="74" t="s">
        <v>387</v>
      </c>
      <c r="I222" s="74">
        <v>341.59</v>
      </c>
      <c r="J222" s="75">
        <v>0</v>
      </c>
      <c r="K222" s="76"/>
    </row>
    <row r="223" s="1" customFormat="1" ht="14.25" spans="1:11">
      <c r="A223" s="71">
        <v>3</v>
      </c>
      <c r="B223" s="72">
        <v>31</v>
      </c>
      <c r="C223" s="72">
        <v>1</v>
      </c>
      <c r="D223" s="73" t="s">
        <v>391</v>
      </c>
      <c r="E223" s="73" t="s">
        <v>100</v>
      </c>
      <c r="F223" s="73" t="s">
        <v>101</v>
      </c>
      <c r="G223" s="73" t="s">
        <v>32</v>
      </c>
      <c r="H223" s="74" t="s">
        <v>387</v>
      </c>
      <c r="I223" s="74">
        <v>51.15</v>
      </c>
      <c r="J223" s="75">
        <v>0</v>
      </c>
      <c r="K223" s="76"/>
    </row>
    <row r="224" s="1" customFormat="1" ht="14.25" spans="1:11">
      <c r="A224" s="71">
        <v>3</v>
      </c>
      <c r="B224" s="72">
        <v>31</v>
      </c>
      <c r="C224" s="72">
        <v>1</v>
      </c>
      <c r="D224" s="73" t="s">
        <v>124</v>
      </c>
      <c r="E224" s="73" t="s">
        <v>48</v>
      </c>
      <c r="F224" s="73" t="s">
        <v>125</v>
      </c>
      <c r="G224" s="73" t="s">
        <v>32</v>
      </c>
      <c r="H224" s="74" t="s">
        <v>392</v>
      </c>
      <c r="I224" s="74">
        <v>4</v>
      </c>
      <c r="J224" s="75">
        <v>0</v>
      </c>
      <c r="K224" s="76"/>
    </row>
    <row r="225" s="1" customFormat="1" ht="14.25" spans="1:11">
      <c r="A225" s="71">
        <v>3</v>
      </c>
      <c r="B225" s="72">
        <v>31</v>
      </c>
      <c r="C225" s="72">
        <v>1</v>
      </c>
      <c r="D225" s="73" t="s">
        <v>393</v>
      </c>
      <c r="E225" s="73" t="s">
        <v>48</v>
      </c>
      <c r="F225" s="73" t="s">
        <v>55</v>
      </c>
      <c r="G225" s="73" t="s">
        <v>32</v>
      </c>
      <c r="H225" s="74" t="s">
        <v>392</v>
      </c>
      <c r="I225" s="74">
        <v>251</v>
      </c>
      <c r="J225" s="75">
        <v>0</v>
      </c>
      <c r="K225" s="76"/>
    </row>
    <row r="226" s="1" customFormat="1" ht="14.25" spans="1:11">
      <c r="A226" s="71">
        <v>3</v>
      </c>
      <c r="B226" s="72">
        <v>31</v>
      </c>
      <c r="C226" s="72">
        <v>1</v>
      </c>
      <c r="D226" s="73" t="s">
        <v>275</v>
      </c>
      <c r="E226" s="73" t="s">
        <v>48</v>
      </c>
      <c r="F226" s="73" t="s">
        <v>125</v>
      </c>
      <c r="G226" s="73" t="s">
        <v>32</v>
      </c>
      <c r="H226" s="74" t="s">
        <v>392</v>
      </c>
      <c r="I226" s="74">
        <v>75</v>
      </c>
      <c r="J226" s="75">
        <v>0</v>
      </c>
      <c r="K226" s="76"/>
    </row>
    <row r="227" s="1" customFormat="1" ht="14.25" spans="1:11">
      <c r="A227" s="71">
        <v>3</v>
      </c>
      <c r="B227" s="72">
        <v>31</v>
      </c>
      <c r="C227" s="72">
        <v>1</v>
      </c>
      <c r="D227" s="73" t="s">
        <v>394</v>
      </c>
      <c r="E227" s="73" t="s">
        <v>118</v>
      </c>
      <c r="F227" s="73" t="s">
        <v>136</v>
      </c>
      <c r="G227" s="73" t="s">
        <v>32</v>
      </c>
      <c r="H227" s="74" t="s">
        <v>392</v>
      </c>
      <c r="I227" s="74">
        <v>700</v>
      </c>
      <c r="J227" s="75">
        <v>0</v>
      </c>
      <c r="K227" s="76"/>
    </row>
    <row r="228" s="1" customFormat="1" ht="14.25" spans="1:11">
      <c r="A228" s="71">
        <v>3</v>
      </c>
      <c r="B228" s="72">
        <v>31</v>
      </c>
      <c r="C228" s="72">
        <v>1</v>
      </c>
      <c r="D228" s="73" t="s">
        <v>395</v>
      </c>
      <c r="E228" s="73" t="s">
        <v>172</v>
      </c>
      <c r="F228" s="73" t="s">
        <v>396</v>
      </c>
      <c r="G228" s="73" t="s">
        <v>32</v>
      </c>
      <c r="H228" s="74" t="s">
        <v>392</v>
      </c>
      <c r="I228" s="74">
        <v>41</v>
      </c>
      <c r="J228" s="75">
        <v>0</v>
      </c>
      <c r="K228" s="76"/>
    </row>
    <row r="229" s="1" customFormat="1" ht="14.25" spans="1:11">
      <c r="A229" s="71">
        <v>3</v>
      </c>
      <c r="B229" s="72">
        <v>31</v>
      </c>
      <c r="C229" s="72">
        <v>2</v>
      </c>
      <c r="D229" s="73" t="s">
        <v>397</v>
      </c>
      <c r="E229" s="73" t="s">
        <v>100</v>
      </c>
      <c r="F229" s="73" t="s">
        <v>101</v>
      </c>
      <c r="G229" s="73" t="s">
        <v>32</v>
      </c>
      <c r="H229" s="74" t="s">
        <v>398</v>
      </c>
      <c r="I229" s="74">
        <v>2772</v>
      </c>
      <c r="J229" s="75">
        <v>0</v>
      </c>
      <c r="K229" s="76"/>
    </row>
    <row r="230" s="1" customFormat="1" ht="14.25" spans="1:11">
      <c r="A230" s="71">
        <v>3</v>
      </c>
      <c r="B230" s="72">
        <v>31</v>
      </c>
      <c r="C230" s="72">
        <v>2</v>
      </c>
      <c r="D230" s="73" t="s">
        <v>399</v>
      </c>
      <c r="E230" s="73" t="s">
        <v>100</v>
      </c>
      <c r="F230" s="73" t="s">
        <v>101</v>
      </c>
      <c r="G230" s="73" t="s">
        <v>32</v>
      </c>
      <c r="H230" s="74" t="s">
        <v>398</v>
      </c>
      <c r="I230" s="74">
        <v>15.6</v>
      </c>
      <c r="J230" s="75">
        <v>0</v>
      </c>
      <c r="K230" s="76"/>
    </row>
    <row r="231" s="1" customFormat="1" ht="14.25" spans="1:11">
      <c r="A231" s="71">
        <v>3</v>
      </c>
      <c r="B231" s="72">
        <v>31</v>
      </c>
      <c r="C231" s="72">
        <v>2</v>
      </c>
      <c r="D231" s="73" t="s">
        <v>400</v>
      </c>
      <c r="E231" s="73" t="s">
        <v>100</v>
      </c>
      <c r="F231" s="73" t="s">
        <v>101</v>
      </c>
      <c r="G231" s="73" t="s">
        <v>32</v>
      </c>
      <c r="H231" s="74" t="s">
        <v>398</v>
      </c>
      <c r="I231" s="74">
        <v>32505</v>
      </c>
      <c r="J231" s="75">
        <v>0</v>
      </c>
      <c r="K231" s="76"/>
    </row>
    <row r="232" s="1" customFormat="1" ht="14.25" spans="1:11">
      <c r="A232" s="71">
        <v>3</v>
      </c>
      <c r="B232" s="72">
        <v>31</v>
      </c>
      <c r="C232" s="72">
        <v>2</v>
      </c>
      <c r="D232" s="73" t="s">
        <v>401</v>
      </c>
      <c r="E232" s="73" t="s">
        <v>118</v>
      </c>
      <c r="F232" s="73" t="s">
        <v>136</v>
      </c>
      <c r="G232" s="73" t="s">
        <v>32</v>
      </c>
      <c r="H232" s="74" t="s">
        <v>398</v>
      </c>
      <c r="I232" s="74">
        <v>45</v>
      </c>
      <c r="J232" s="75">
        <v>0</v>
      </c>
      <c r="K232" s="76"/>
    </row>
    <row r="233" s="1" customFormat="1" ht="14.25" spans="1:11">
      <c r="A233" s="71">
        <v>3</v>
      </c>
      <c r="B233" s="72">
        <v>31</v>
      </c>
      <c r="C233" s="72">
        <v>2</v>
      </c>
      <c r="D233" s="73" t="s">
        <v>402</v>
      </c>
      <c r="E233" s="73" t="s">
        <v>100</v>
      </c>
      <c r="F233" s="73" t="s">
        <v>101</v>
      </c>
      <c r="G233" s="73" t="s">
        <v>32</v>
      </c>
      <c r="H233" s="74" t="s">
        <v>398</v>
      </c>
      <c r="I233" s="74">
        <v>104</v>
      </c>
      <c r="J233" s="75">
        <v>0</v>
      </c>
      <c r="K233" s="76"/>
    </row>
    <row r="234" s="1" customFormat="1" ht="14.25" spans="1:11">
      <c r="A234" s="71">
        <v>3</v>
      </c>
      <c r="B234" s="72">
        <v>31</v>
      </c>
      <c r="C234" s="72">
        <v>2</v>
      </c>
      <c r="D234" s="73" t="s">
        <v>255</v>
      </c>
      <c r="E234" s="73" t="s">
        <v>96</v>
      </c>
      <c r="F234" s="73" t="s">
        <v>97</v>
      </c>
      <c r="G234" s="73" t="s">
        <v>32</v>
      </c>
      <c r="H234" s="74" t="s">
        <v>403</v>
      </c>
      <c r="I234" s="74">
        <v>55.91</v>
      </c>
      <c r="J234" s="75">
        <v>0</v>
      </c>
      <c r="K234" s="76"/>
    </row>
    <row r="235" s="1" customFormat="1" ht="14.25" spans="1:11">
      <c r="A235" s="71">
        <v>3</v>
      </c>
      <c r="B235" s="72">
        <v>31</v>
      </c>
      <c r="C235" s="72">
        <v>2</v>
      </c>
      <c r="D235" s="73" t="s">
        <v>124</v>
      </c>
      <c r="E235" s="73" t="s">
        <v>48</v>
      </c>
      <c r="F235" s="73" t="s">
        <v>125</v>
      </c>
      <c r="G235" s="73" t="s">
        <v>32</v>
      </c>
      <c r="H235" s="74" t="s">
        <v>403</v>
      </c>
      <c r="I235" s="74">
        <v>4</v>
      </c>
      <c r="J235" s="75">
        <v>0</v>
      </c>
      <c r="K235" s="76"/>
    </row>
    <row r="236" s="1" customFormat="1" ht="14.25" spans="1:11">
      <c r="A236" s="71">
        <v>3</v>
      </c>
      <c r="B236" s="72">
        <v>31</v>
      </c>
      <c r="C236" s="72">
        <v>2</v>
      </c>
      <c r="D236" s="73" t="s">
        <v>275</v>
      </c>
      <c r="E236" s="73" t="s">
        <v>48</v>
      </c>
      <c r="F236" s="73" t="s">
        <v>125</v>
      </c>
      <c r="G236" s="73" t="s">
        <v>32</v>
      </c>
      <c r="H236" s="74" t="s">
        <v>403</v>
      </c>
      <c r="I236" s="74">
        <v>100</v>
      </c>
      <c r="J236" s="75">
        <v>0</v>
      </c>
      <c r="K236" s="76"/>
    </row>
    <row r="237" s="1" customFormat="1" ht="14.25" spans="1:11">
      <c r="A237" s="71">
        <v>3</v>
      </c>
      <c r="B237" s="72">
        <v>31</v>
      </c>
      <c r="C237" s="72">
        <v>2</v>
      </c>
      <c r="D237" s="73" t="s">
        <v>404</v>
      </c>
      <c r="E237" s="73" t="s">
        <v>118</v>
      </c>
      <c r="F237" s="73" t="s">
        <v>136</v>
      </c>
      <c r="G237" s="73" t="s">
        <v>32</v>
      </c>
      <c r="H237" s="74" t="s">
        <v>403</v>
      </c>
      <c r="I237" s="74">
        <v>51.33</v>
      </c>
      <c r="J237" s="75">
        <v>0</v>
      </c>
      <c r="K237" s="76"/>
    </row>
    <row r="238" s="1" customFormat="1" ht="14.25" spans="1:11">
      <c r="A238" s="71">
        <v>3</v>
      </c>
      <c r="B238" s="72">
        <v>31</v>
      </c>
      <c r="C238" s="72">
        <v>2</v>
      </c>
      <c r="D238" s="73" t="s">
        <v>405</v>
      </c>
      <c r="E238" s="73" t="s">
        <v>118</v>
      </c>
      <c r="F238" s="73" t="s">
        <v>136</v>
      </c>
      <c r="G238" s="73" t="s">
        <v>32</v>
      </c>
      <c r="H238" s="74" t="s">
        <v>403</v>
      </c>
      <c r="I238" s="74">
        <v>90</v>
      </c>
      <c r="J238" s="75">
        <v>0</v>
      </c>
      <c r="K238" s="76"/>
    </row>
    <row r="239" s="1" customFormat="1" ht="14.25" spans="1:11">
      <c r="A239" s="71">
        <v>3</v>
      </c>
      <c r="B239" s="72">
        <v>31</v>
      </c>
      <c r="C239" s="72">
        <v>3</v>
      </c>
      <c r="D239" s="73" t="s">
        <v>406</v>
      </c>
      <c r="E239" s="73" t="s">
        <v>48</v>
      </c>
      <c r="F239" s="73" t="s">
        <v>331</v>
      </c>
      <c r="G239" s="73" t="s">
        <v>32</v>
      </c>
      <c r="H239" s="74" t="s">
        <v>407</v>
      </c>
      <c r="I239" s="74">
        <v>80</v>
      </c>
      <c r="J239" s="75">
        <v>0</v>
      </c>
      <c r="K239" s="76"/>
    </row>
    <row r="240" s="1" customFormat="1" ht="14.25" spans="1:11">
      <c r="A240" s="71">
        <v>3</v>
      </c>
      <c r="B240" s="72">
        <v>31</v>
      </c>
      <c r="C240" s="72">
        <v>3</v>
      </c>
      <c r="D240" s="73" t="s">
        <v>408</v>
      </c>
      <c r="E240" s="73" t="s">
        <v>48</v>
      </c>
      <c r="F240" s="73" t="s">
        <v>55</v>
      </c>
      <c r="G240" s="73" t="s">
        <v>32</v>
      </c>
      <c r="H240" s="74" t="s">
        <v>407</v>
      </c>
      <c r="I240" s="74">
        <v>150</v>
      </c>
      <c r="J240" s="75">
        <v>0</v>
      </c>
      <c r="K240" s="76"/>
    </row>
    <row r="241" s="1" customFormat="1" ht="14.25" spans="1:11">
      <c r="A241" s="71">
        <v>3</v>
      </c>
      <c r="B241" s="72">
        <v>31</v>
      </c>
      <c r="C241" s="72">
        <v>3</v>
      </c>
      <c r="D241" s="73" t="s">
        <v>409</v>
      </c>
      <c r="E241" s="73" t="s">
        <v>172</v>
      </c>
      <c r="F241" s="73" t="s">
        <v>396</v>
      </c>
      <c r="G241" s="73" t="s">
        <v>32</v>
      </c>
      <c r="H241" s="74" t="s">
        <v>407</v>
      </c>
      <c r="I241" s="74">
        <v>152</v>
      </c>
      <c r="J241" s="75">
        <v>0</v>
      </c>
      <c r="K241" s="76"/>
    </row>
    <row r="242" s="1" customFormat="1" ht="14.25" spans="1:11">
      <c r="A242" s="71">
        <v>3</v>
      </c>
      <c r="B242" s="72">
        <v>31</v>
      </c>
      <c r="C242" s="72">
        <v>3</v>
      </c>
      <c r="D242" s="73" t="s">
        <v>410</v>
      </c>
      <c r="E242" s="73" t="s">
        <v>48</v>
      </c>
      <c r="F242" s="73" t="s">
        <v>55</v>
      </c>
      <c r="G242" s="73" t="s">
        <v>32</v>
      </c>
      <c r="H242" s="74" t="s">
        <v>407</v>
      </c>
      <c r="I242" s="74">
        <v>20</v>
      </c>
      <c r="J242" s="75">
        <v>0</v>
      </c>
      <c r="K242" s="76"/>
    </row>
    <row r="243" s="1" customFormat="1" ht="14.25" spans="1:11">
      <c r="A243" s="71">
        <v>3</v>
      </c>
      <c r="B243" s="72">
        <v>31</v>
      </c>
      <c r="C243" s="72">
        <v>3</v>
      </c>
      <c r="D243" s="73" t="s">
        <v>411</v>
      </c>
      <c r="E243" s="73" t="s">
        <v>96</v>
      </c>
      <c r="F243" s="73" t="s">
        <v>97</v>
      </c>
      <c r="G243" s="73" t="s">
        <v>32</v>
      </c>
      <c r="H243" s="74" t="s">
        <v>407</v>
      </c>
      <c r="I243" s="74">
        <v>70</v>
      </c>
      <c r="J243" s="75">
        <v>0</v>
      </c>
      <c r="K243" s="76"/>
    </row>
    <row r="244" s="1" customFormat="1" ht="14.25" spans="1:11">
      <c r="A244" s="71">
        <v>3</v>
      </c>
      <c r="B244" s="72">
        <v>31</v>
      </c>
      <c r="C244" s="72">
        <v>3</v>
      </c>
      <c r="D244" s="73" t="s">
        <v>410</v>
      </c>
      <c r="E244" s="73" t="s">
        <v>48</v>
      </c>
      <c r="F244" s="73" t="s">
        <v>55</v>
      </c>
      <c r="G244" s="73" t="s">
        <v>32</v>
      </c>
      <c r="H244" s="74" t="s">
        <v>412</v>
      </c>
      <c r="I244" s="74">
        <v>20</v>
      </c>
      <c r="J244" s="75">
        <v>0</v>
      </c>
      <c r="K244" s="76"/>
    </row>
    <row r="245" s="1" customFormat="1" ht="14.25" spans="1:11">
      <c r="A245" s="71">
        <v>3</v>
      </c>
      <c r="B245" s="72">
        <v>31</v>
      </c>
      <c r="C245" s="72">
        <v>3</v>
      </c>
      <c r="D245" s="73" t="s">
        <v>413</v>
      </c>
      <c r="E245" s="73" t="s">
        <v>48</v>
      </c>
      <c r="F245" s="73" t="s">
        <v>125</v>
      </c>
      <c r="G245" s="73" t="s">
        <v>32</v>
      </c>
      <c r="H245" s="74" t="s">
        <v>412</v>
      </c>
      <c r="I245" s="74">
        <v>20</v>
      </c>
      <c r="J245" s="75">
        <v>0</v>
      </c>
      <c r="K245" s="76"/>
    </row>
    <row r="246" s="1" customFormat="1" ht="14.25" spans="1:11">
      <c r="A246" s="71">
        <v>3</v>
      </c>
      <c r="B246" s="72">
        <v>31</v>
      </c>
      <c r="C246" s="72">
        <v>3</v>
      </c>
      <c r="D246" s="73" t="s">
        <v>414</v>
      </c>
      <c r="E246" s="73" t="s">
        <v>48</v>
      </c>
      <c r="F246" s="73" t="s">
        <v>331</v>
      </c>
      <c r="G246" s="73" t="s">
        <v>32</v>
      </c>
      <c r="H246" s="74" t="s">
        <v>412</v>
      </c>
      <c r="I246" s="74">
        <v>380</v>
      </c>
      <c r="J246" s="75">
        <v>0</v>
      </c>
      <c r="K246" s="76"/>
    </row>
    <row r="247" s="1" customFormat="1" ht="14.25" spans="1:11">
      <c r="A247" s="71">
        <v>3</v>
      </c>
      <c r="B247" s="72">
        <v>31</v>
      </c>
      <c r="C247" s="72">
        <v>3</v>
      </c>
      <c r="D247" s="73" t="s">
        <v>415</v>
      </c>
      <c r="E247" s="73" t="s">
        <v>48</v>
      </c>
      <c r="F247" s="73" t="s">
        <v>207</v>
      </c>
      <c r="G247" s="73" t="s">
        <v>32</v>
      </c>
      <c r="H247" s="74" t="s">
        <v>412</v>
      </c>
      <c r="I247" s="74">
        <v>227.62</v>
      </c>
      <c r="J247" s="75">
        <v>0</v>
      </c>
      <c r="K247" s="76"/>
    </row>
    <row r="248" s="1" customFormat="1" ht="14.25" spans="1:11">
      <c r="A248" s="71">
        <v>3</v>
      </c>
      <c r="B248" s="72">
        <v>31</v>
      </c>
      <c r="C248" s="72">
        <v>3</v>
      </c>
      <c r="D248" s="73" t="s">
        <v>416</v>
      </c>
      <c r="E248" s="73" t="s">
        <v>100</v>
      </c>
      <c r="F248" s="73" t="s">
        <v>101</v>
      </c>
      <c r="G248" s="73" t="s">
        <v>32</v>
      </c>
      <c r="H248" s="74" t="s">
        <v>412</v>
      </c>
      <c r="I248" s="74">
        <v>180</v>
      </c>
      <c r="J248" s="75">
        <v>0</v>
      </c>
      <c r="K248" s="76"/>
    </row>
    <row r="249" s="1" customFormat="1" ht="14.25" spans="1:11">
      <c r="A249" s="71">
        <v>3</v>
      </c>
      <c r="B249" s="72">
        <v>31</v>
      </c>
      <c r="C249" s="72">
        <v>4</v>
      </c>
      <c r="D249" s="73" t="s">
        <v>417</v>
      </c>
      <c r="E249" s="73" t="s">
        <v>118</v>
      </c>
      <c r="F249" s="73" t="s">
        <v>136</v>
      </c>
      <c r="G249" s="73" t="s">
        <v>32</v>
      </c>
      <c r="H249" s="74" t="s">
        <v>418</v>
      </c>
      <c r="I249" s="74">
        <v>45</v>
      </c>
      <c r="J249" s="75">
        <v>0</v>
      </c>
      <c r="K249" s="76"/>
    </row>
    <row r="250" s="1" customFormat="1" ht="14.25" spans="1:11">
      <c r="A250" s="71">
        <v>3</v>
      </c>
      <c r="B250" s="72">
        <v>31</v>
      </c>
      <c r="C250" s="72">
        <v>4</v>
      </c>
      <c r="D250" s="73" t="s">
        <v>419</v>
      </c>
      <c r="E250" s="73" t="s">
        <v>118</v>
      </c>
      <c r="F250" s="73" t="s">
        <v>136</v>
      </c>
      <c r="G250" s="73" t="s">
        <v>32</v>
      </c>
      <c r="H250" s="74" t="s">
        <v>418</v>
      </c>
      <c r="I250" s="74">
        <v>2100</v>
      </c>
      <c r="J250" s="75">
        <v>0</v>
      </c>
      <c r="K250" s="76"/>
    </row>
    <row r="251" s="1" customFormat="1" ht="14.25" spans="1:11">
      <c r="A251" s="71">
        <v>3</v>
      </c>
      <c r="B251" s="72">
        <v>31</v>
      </c>
      <c r="C251" s="72">
        <v>4</v>
      </c>
      <c r="D251" s="73" t="s">
        <v>420</v>
      </c>
      <c r="E251" s="73" t="s">
        <v>118</v>
      </c>
      <c r="F251" s="73" t="s">
        <v>136</v>
      </c>
      <c r="G251" s="73" t="s">
        <v>32</v>
      </c>
      <c r="H251" s="74" t="s">
        <v>418</v>
      </c>
      <c r="I251" s="74">
        <v>930</v>
      </c>
      <c r="J251" s="75">
        <v>0</v>
      </c>
      <c r="K251" s="76"/>
    </row>
    <row r="252" s="1" customFormat="1" ht="14.25" spans="1:11">
      <c r="A252" s="71">
        <v>3</v>
      </c>
      <c r="B252" s="72">
        <v>31</v>
      </c>
      <c r="C252" s="72">
        <v>4</v>
      </c>
      <c r="D252" s="73" t="s">
        <v>255</v>
      </c>
      <c r="E252" s="73" t="s">
        <v>96</v>
      </c>
      <c r="F252" s="73" t="s">
        <v>97</v>
      </c>
      <c r="G252" s="73" t="s">
        <v>32</v>
      </c>
      <c r="H252" s="74" t="s">
        <v>418</v>
      </c>
      <c r="I252" s="74">
        <v>157</v>
      </c>
      <c r="J252" s="75">
        <v>0</v>
      </c>
      <c r="K252" s="76"/>
    </row>
    <row r="253" s="1" customFormat="1" ht="14.25" spans="1:11">
      <c r="A253" s="71">
        <v>3</v>
      </c>
      <c r="B253" s="72">
        <v>31</v>
      </c>
      <c r="C253" s="72">
        <v>4</v>
      </c>
      <c r="D253" s="73" t="s">
        <v>421</v>
      </c>
      <c r="E253" s="73" t="s">
        <v>118</v>
      </c>
      <c r="F253" s="73" t="s">
        <v>136</v>
      </c>
      <c r="G253" s="73" t="s">
        <v>32</v>
      </c>
      <c r="H253" s="74" t="s">
        <v>418</v>
      </c>
      <c r="I253" s="74">
        <v>16</v>
      </c>
      <c r="J253" s="75">
        <v>0</v>
      </c>
      <c r="K253" s="76"/>
    </row>
    <row r="254" s="1" customFormat="1" ht="14.25" spans="1:11">
      <c r="A254" s="71">
        <v>3</v>
      </c>
      <c r="B254" s="72">
        <v>31</v>
      </c>
      <c r="C254" s="72">
        <v>4</v>
      </c>
      <c r="D254" s="73" t="s">
        <v>422</v>
      </c>
      <c r="E254" s="73" t="s">
        <v>118</v>
      </c>
      <c r="F254" s="73" t="s">
        <v>156</v>
      </c>
      <c r="G254" s="73" t="s">
        <v>32</v>
      </c>
      <c r="H254" s="74" t="s">
        <v>423</v>
      </c>
      <c r="I254" s="74">
        <v>450</v>
      </c>
      <c r="J254" s="75">
        <v>0</v>
      </c>
      <c r="K254" s="76"/>
    </row>
    <row r="255" s="1" customFormat="1" ht="14.25" spans="1:11">
      <c r="A255" s="71">
        <v>3</v>
      </c>
      <c r="B255" s="72">
        <v>31</v>
      </c>
      <c r="C255" s="72">
        <v>4</v>
      </c>
      <c r="D255" s="73" t="s">
        <v>424</v>
      </c>
      <c r="E255" s="73" t="s">
        <v>118</v>
      </c>
      <c r="F255" s="73" t="s">
        <v>425</v>
      </c>
      <c r="G255" s="73" t="s">
        <v>32</v>
      </c>
      <c r="H255" s="74" t="s">
        <v>423</v>
      </c>
      <c r="I255" s="74">
        <v>390</v>
      </c>
      <c r="J255" s="75">
        <v>0</v>
      </c>
      <c r="K255" s="76"/>
    </row>
    <row r="256" s="1" customFormat="1" ht="14.25" spans="1:11">
      <c r="A256" s="71">
        <v>3</v>
      </c>
      <c r="B256" s="72">
        <v>31</v>
      </c>
      <c r="C256" s="72">
        <v>4</v>
      </c>
      <c r="D256" s="73" t="s">
        <v>426</v>
      </c>
      <c r="E256" s="73" t="s">
        <v>48</v>
      </c>
      <c r="F256" s="73" t="s">
        <v>49</v>
      </c>
      <c r="G256" s="73" t="s">
        <v>32</v>
      </c>
      <c r="H256" s="74" t="s">
        <v>423</v>
      </c>
      <c r="I256" s="74">
        <v>40</v>
      </c>
      <c r="J256" s="75">
        <v>0</v>
      </c>
      <c r="K256" s="76"/>
    </row>
    <row r="257" s="1" customFormat="1" ht="14.25" spans="1:11">
      <c r="A257" s="71">
        <v>3</v>
      </c>
      <c r="B257" s="72">
        <v>31</v>
      </c>
      <c r="C257" s="72">
        <v>4</v>
      </c>
      <c r="D257" s="73" t="s">
        <v>427</v>
      </c>
      <c r="E257" s="73" t="s">
        <v>48</v>
      </c>
      <c r="F257" s="73" t="s">
        <v>55</v>
      </c>
      <c r="G257" s="73" t="s">
        <v>32</v>
      </c>
      <c r="H257" s="74" t="s">
        <v>423</v>
      </c>
      <c r="I257" s="74">
        <v>575</v>
      </c>
      <c r="J257" s="75">
        <v>0</v>
      </c>
      <c r="K257" s="76"/>
    </row>
    <row r="258" s="1" customFormat="1" ht="14.25" spans="1:11">
      <c r="A258" s="71">
        <v>3</v>
      </c>
      <c r="B258" s="72">
        <v>31</v>
      </c>
      <c r="C258" s="72">
        <v>4</v>
      </c>
      <c r="D258" s="73" t="s">
        <v>428</v>
      </c>
      <c r="E258" s="73" t="s">
        <v>100</v>
      </c>
      <c r="F258" s="73" t="s">
        <v>101</v>
      </c>
      <c r="G258" s="73" t="s">
        <v>32</v>
      </c>
      <c r="H258" s="74" t="s">
        <v>423</v>
      </c>
      <c r="I258" s="74">
        <v>92</v>
      </c>
      <c r="J258" s="75">
        <v>0</v>
      </c>
      <c r="K258" s="76"/>
    </row>
    <row r="259" s="1" customFormat="1" ht="14.25" spans="1:11">
      <c r="A259" s="71">
        <v>3</v>
      </c>
      <c r="B259" s="72">
        <v>31</v>
      </c>
      <c r="C259" s="72">
        <v>5</v>
      </c>
      <c r="D259" s="73" t="s">
        <v>429</v>
      </c>
      <c r="E259" s="73" t="s">
        <v>100</v>
      </c>
      <c r="F259" s="73" t="s">
        <v>101</v>
      </c>
      <c r="G259" s="73" t="s">
        <v>32</v>
      </c>
      <c r="H259" s="74" t="s">
        <v>430</v>
      </c>
      <c r="I259" s="74">
        <v>100</v>
      </c>
      <c r="J259" s="75">
        <v>0</v>
      </c>
      <c r="K259" s="76"/>
    </row>
    <row r="260" s="1" customFormat="1" ht="14.25" spans="1:11">
      <c r="A260" s="71">
        <v>3</v>
      </c>
      <c r="B260" s="72">
        <v>31</v>
      </c>
      <c r="C260" s="72">
        <v>5</v>
      </c>
      <c r="D260" s="73" t="s">
        <v>431</v>
      </c>
      <c r="E260" s="73" t="s">
        <v>100</v>
      </c>
      <c r="F260" s="73" t="s">
        <v>101</v>
      </c>
      <c r="G260" s="73" t="s">
        <v>32</v>
      </c>
      <c r="H260" s="74" t="s">
        <v>430</v>
      </c>
      <c r="I260" s="74">
        <v>910</v>
      </c>
      <c r="J260" s="75">
        <v>0</v>
      </c>
      <c r="K260" s="76"/>
    </row>
    <row r="261" s="1" customFormat="1" ht="14.25" spans="1:11">
      <c r="A261" s="71">
        <v>3</v>
      </c>
      <c r="B261" s="72">
        <v>31</v>
      </c>
      <c r="C261" s="72">
        <v>5</v>
      </c>
      <c r="D261" s="73" t="s">
        <v>432</v>
      </c>
      <c r="E261" s="73" t="s">
        <v>48</v>
      </c>
      <c r="F261" s="73" t="s">
        <v>55</v>
      </c>
      <c r="G261" s="73" t="s">
        <v>32</v>
      </c>
      <c r="H261" s="74" t="s">
        <v>430</v>
      </c>
      <c r="I261" s="74">
        <v>10</v>
      </c>
      <c r="J261" s="75">
        <v>0</v>
      </c>
      <c r="K261" s="76"/>
    </row>
    <row r="262" s="1" customFormat="1" ht="14.25" spans="1:11">
      <c r="A262" s="71">
        <v>3</v>
      </c>
      <c r="B262" s="72">
        <v>31</v>
      </c>
      <c r="C262" s="72">
        <v>5</v>
      </c>
      <c r="D262" s="73" t="s">
        <v>433</v>
      </c>
      <c r="E262" s="73" t="s">
        <v>118</v>
      </c>
      <c r="F262" s="73" t="s">
        <v>136</v>
      </c>
      <c r="G262" s="73" t="s">
        <v>32</v>
      </c>
      <c r="H262" s="74" t="s">
        <v>430</v>
      </c>
      <c r="I262" s="74">
        <v>37.7</v>
      </c>
      <c r="J262" s="75">
        <v>0</v>
      </c>
      <c r="K262" s="76"/>
    </row>
    <row r="263" s="1" customFormat="1" ht="14.25" spans="1:11">
      <c r="A263" s="71">
        <v>3</v>
      </c>
      <c r="B263" s="72">
        <v>31</v>
      </c>
      <c r="C263" s="72">
        <v>5</v>
      </c>
      <c r="D263" s="73" t="s">
        <v>434</v>
      </c>
      <c r="E263" s="73" t="s">
        <v>48</v>
      </c>
      <c r="F263" s="73" t="s">
        <v>331</v>
      </c>
      <c r="G263" s="73" t="s">
        <v>32</v>
      </c>
      <c r="H263" s="74" t="s">
        <v>430</v>
      </c>
      <c r="I263" s="74">
        <v>105</v>
      </c>
      <c r="J263" s="75">
        <v>0</v>
      </c>
      <c r="K263" s="76"/>
    </row>
    <row r="264" s="1" customFormat="1" ht="14.25" spans="1:11">
      <c r="A264" s="71">
        <v>3</v>
      </c>
      <c r="B264" s="72">
        <v>31</v>
      </c>
      <c r="C264" s="72">
        <v>5</v>
      </c>
      <c r="D264" s="73" t="s">
        <v>435</v>
      </c>
      <c r="E264" s="73" t="s">
        <v>172</v>
      </c>
      <c r="F264" s="73" t="s">
        <v>396</v>
      </c>
      <c r="G264" s="73" t="s">
        <v>32</v>
      </c>
      <c r="H264" s="74" t="s">
        <v>436</v>
      </c>
      <c r="I264" s="74">
        <v>18</v>
      </c>
      <c r="J264" s="75">
        <v>0</v>
      </c>
      <c r="K264" s="76"/>
    </row>
    <row r="265" s="1" customFormat="1" ht="14.25" spans="1:11">
      <c r="A265" s="71">
        <v>3</v>
      </c>
      <c r="B265" s="72">
        <v>31</v>
      </c>
      <c r="C265" s="72">
        <v>5</v>
      </c>
      <c r="D265" s="73" t="s">
        <v>437</v>
      </c>
      <c r="E265" s="73" t="s">
        <v>48</v>
      </c>
      <c r="F265" s="73" t="s">
        <v>125</v>
      </c>
      <c r="G265" s="73" t="s">
        <v>32</v>
      </c>
      <c r="H265" s="74" t="s">
        <v>436</v>
      </c>
      <c r="I265" s="74">
        <v>100</v>
      </c>
      <c r="J265" s="75">
        <v>0</v>
      </c>
      <c r="K265" s="76"/>
    </row>
    <row r="266" s="1" customFormat="1" ht="14.25" spans="1:11">
      <c r="A266" s="71">
        <v>3</v>
      </c>
      <c r="B266" s="72">
        <v>31</v>
      </c>
      <c r="C266" s="72">
        <v>5</v>
      </c>
      <c r="D266" s="73" t="s">
        <v>438</v>
      </c>
      <c r="E266" s="73" t="s">
        <v>48</v>
      </c>
      <c r="F266" s="73" t="s">
        <v>55</v>
      </c>
      <c r="G266" s="73" t="s">
        <v>32</v>
      </c>
      <c r="H266" s="74" t="s">
        <v>436</v>
      </c>
      <c r="I266" s="74">
        <v>30</v>
      </c>
      <c r="J266" s="75">
        <v>0</v>
      </c>
      <c r="K266" s="76"/>
    </row>
    <row r="267" s="1" customFormat="1" ht="14.25" spans="1:11">
      <c r="A267" s="71">
        <v>3</v>
      </c>
      <c r="B267" s="72">
        <v>31</v>
      </c>
      <c r="C267" s="72">
        <v>5</v>
      </c>
      <c r="D267" s="73" t="s">
        <v>439</v>
      </c>
      <c r="E267" s="73" t="s">
        <v>172</v>
      </c>
      <c r="F267" s="73" t="s">
        <v>396</v>
      </c>
      <c r="G267" s="73" t="s">
        <v>32</v>
      </c>
      <c r="H267" s="74" t="s">
        <v>436</v>
      </c>
      <c r="I267" s="74">
        <v>235</v>
      </c>
      <c r="J267" s="75">
        <v>0</v>
      </c>
      <c r="K267" s="76"/>
    </row>
    <row r="268" s="1" customFormat="1" ht="14.25" spans="1:11">
      <c r="A268" s="71">
        <v>3</v>
      </c>
      <c r="B268" s="72">
        <v>31</v>
      </c>
      <c r="C268" s="72">
        <v>5</v>
      </c>
      <c r="D268" s="73" t="s">
        <v>440</v>
      </c>
      <c r="E268" s="73" t="s">
        <v>118</v>
      </c>
      <c r="F268" s="73" t="s">
        <v>136</v>
      </c>
      <c r="G268" s="73" t="s">
        <v>32</v>
      </c>
      <c r="H268" s="74" t="s">
        <v>436</v>
      </c>
      <c r="I268" s="74">
        <v>40</v>
      </c>
      <c r="J268" s="75">
        <v>0</v>
      </c>
      <c r="K268" s="76"/>
    </row>
    <row r="269" s="1" customFormat="1" ht="14.25" spans="1:11">
      <c r="A269" s="71">
        <v>3</v>
      </c>
      <c r="B269" s="72">
        <v>31</v>
      </c>
      <c r="C269" s="72">
        <v>6</v>
      </c>
      <c r="D269" s="73" t="s">
        <v>124</v>
      </c>
      <c r="E269" s="73" t="s">
        <v>48</v>
      </c>
      <c r="F269" s="73" t="s">
        <v>125</v>
      </c>
      <c r="G269" s="73" t="s">
        <v>32</v>
      </c>
      <c r="H269" s="74" t="s">
        <v>441</v>
      </c>
      <c r="I269" s="74">
        <v>4</v>
      </c>
      <c r="J269" s="75">
        <v>0</v>
      </c>
      <c r="K269" s="76"/>
    </row>
    <row r="270" s="1" customFormat="1" ht="14.25" spans="1:11">
      <c r="A270" s="71">
        <v>3</v>
      </c>
      <c r="B270" s="72">
        <v>31</v>
      </c>
      <c r="C270" s="72">
        <v>6</v>
      </c>
      <c r="D270" s="73" t="s">
        <v>442</v>
      </c>
      <c r="E270" s="73" t="s">
        <v>96</v>
      </c>
      <c r="F270" s="73" t="s">
        <v>443</v>
      </c>
      <c r="G270" s="73" t="s">
        <v>32</v>
      </c>
      <c r="H270" s="74" t="s">
        <v>441</v>
      </c>
      <c r="I270" s="74">
        <v>79</v>
      </c>
      <c r="J270" s="75">
        <v>0</v>
      </c>
      <c r="K270" s="76"/>
    </row>
    <row r="271" s="1" customFormat="1" ht="14.25" spans="1:11">
      <c r="A271" s="71">
        <v>3</v>
      </c>
      <c r="B271" s="72">
        <v>31</v>
      </c>
      <c r="C271" s="72">
        <v>6</v>
      </c>
      <c r="D271" s="73" t="s">
        <v>444</v>
      </c>
      <c r="E271" s="73" t="s">
        <v>118</v>
      </c>
      <c r="F271" s="73" t="s">
        <v>136</v>
      </c>
      <c r="G271" s="73" t="s">
        <v>32</v>
      </c>
      <c r="H271" s="74" t="s">
        <v>441</v>
      </c>
      <c r="I271" s="74">
        <v>25</v>
      </c>
      <c r="J271" s="75">
        <v>0</v>
      </c>
      <c r="K271" s="76"/>
    </row>
    <row r="272" s="1" customFormat="1" ht="14.25" spans="1:11">
      <c r="A272" s="71">
        <v>3</v>
      </c>
      <c r="B272" s="72">
        <v>31</v>
      </c>
      <c r="C272" s="72">
        <v>6</v>
      </c>
      <c r="D272" s="73" t="s">
        <v>445</v>
      </c>
      <c r="E272" s="73" t="s">
        <v>118</v>
      </c>
      <c r="F272" s="73" t="s">
        <v>446</v>
      </c>
      <c r="G272" s="73" t="s">
        <v>32</v>
      </c>
      <c r="H272" s="74" t="s">
        <v>441</v>
      </c>
      <c r="I272" s="74">
        <v>1650</v>
      </c>
      <c r="J272" s="75">
        <v>0</v>
      </c>
      <c r="K272" s="76"/>
    </row>
    <row r="273" s="1" customFormat="1" ht="14.25" spans="1:11">
      <c r="A273" s="71">
        <v>3</v>
      </c>
      <c r="B273" s="72">
        <v>31</v>
      </c>
      <c r="C273" s="72">
        <v>6</v>
      </c>
      <c r="D273" s="73" t="s">
        <v>447</v>
      </c>
      <c r="E273" s="73" t="s">
        <v>211</v>
      </c>
      <c r="F273" s="73" t="s">
        <v>448</v>
      </c>
      <c r="G273" s="73" t="s">
        <v>32</v>
      </c>
      <c r="H273" s="74" t="s">
        <v>441</v>
      </c>
      <c r="I273" s="74">
        <v>210</v>
      </c>
      <c r="J273" s="75">
        <v>0</v>
      </c>
      <c r="K273" s="76"/>
    </row>
    <row r="274" s="1" customFormat="1" ht="14.25" spans="1:11">
      <c r="A274" s="71">
        <v>3</v>
      </c>
      <c r="B274" s="72">
        <v>31</v>
      </c>
      <c r="C274" s="72">
        <v>6</v>
      </c>
      <c r="D274" s="73" t="s">
        <v>449</v>
      </c>
      <c r="E274" s="73" t="s">
        <v>118</v>
      </c>
      <c r="F274" s="73" t="s">
        <v>136</v>
      </c>
      <c r="G274" s="73" t="s">
        <v>32</v>
      </c>
      <c r="H274" s="74" t="s">
        <v>450</v>
      </c>
      <c r="I274" s="74">
        <v>180</v>
      </c>
      <c r="J274" s="75">
        <v>0</v>
      </c>
      <c r="K274" s="76"/>
    </row>
    <row r="275" s="1" customFormat="1" ht="14.25" spans="1:11">
      <c r="A275" s="71">
        <v>3</v>
      </c>
      <c r="B275" s="72">
        <v>31</v>
      </c>
      <c r="C275" s="72">
        <v>6</v>
      </c>
      <c r="D275" s="73" t="s">
        <v>451</v>
      </c>
      <c r="E275" s="73" t="s">
        <v>172</v>
      </c>
      <c r="F275" s="73" t="s">
        <v>452</v>
      </c>
      <c r="G275" s="73" t="s">
        <v>32</v>
      </c>
      <c r="H275" s="74" t="s">
        <v>450</v>
      </c>
      <c r="I275" s="74">
        <v>380</v>
      </c>
      <c r="J275" s="75">
        <v>0</v>
      </c>
      <c r="K275" s="76"/>
    </row>
    <row r="276" s="1" customFormat="1" ht="14.25" spans="1:11">
      <c r="A276" s="71">
        <v>3</v>
      </c>
      <c r="B276" s="72">
        <v>31</v>
      </c>
      <c r="C276" s="72">
        <v>6</v>
      </c>
      <c r="D276" s="73" t="s">
        <v>453</v>
      </c>
      <c r="E276" s="73" t="s">
        <v>48</v>
      </c>
      <c r="F276" s="73" t="s">
        <v>49</v>
      </c>
      <c r="G276" s="73" t="s">
        <v>32</v>
      </c>
      <c r="H276" s="74" t="s">
        <v>450</v>
      </c>
      <c r="I276" s="74">
        <v>60</v>
      </c>
      <c r="J276" s="75">
        <v>0</v>
      </c>
      <c r="K276" s="76"/>
    </row>
    <row r="277" s="1" customFormat="1" ht="14.25" spans="1:11">
      <c r="A277" s="71">
        <v>3</v>
      </c>
      <c r="B277" s="72">
        <v>31</v>
      </c>
      <c r="C277" s="72">
        <v>6</v>
      </c>
      <c r="D277" s="73" t="s">
        <v>454</v>
      </c>
      <c r="E277" s="73" t="s">
        <v>96</v>
      </c>
      <c r="F277" s="73" t="s">
        <v>443</v>
      </c>
      <c r="G277" s="73" t="s">
        <v>32</v>
      </c>
      <c r="H277" s="74" t="s">
        <v>450</v>
      </c>
      <c r="I277" s="74">
        <v>5</v>
      </c>
      <c r="J277" s="75">
        <v>0</v>
      </c>
      <c r="K277" s="76"/>
    </row>
    <row r="278" s="1" customFormat="1" ht="14.25" spans="1:11">
      <c r="A278" s="71">
        <v>3</v>
      </c>
      <c r="B278" s="72">
        <v>31</v>
      </c>
      <c r="C278" s="72">
        <v>6</v>
      </c>
      <c r="D278" s="73" t="s">
        <v>455</v>
      </c>
      <c r="E278" s="73" t="s">
        <v>118</v>
      </c>
      <c r="F278" s="73" t="s">
        <v>119</v>
      </c>
      <c r="G278" s="73" t="s">
        <v>32</v>
      </c>
      <c r="H278" s="74" t="s">
        <v>450</v>
      </c>
      <c r="I278" s="74">
        <v>100738</v>
      </c>
      <c r="J278" s="75">
        <v>0</v>
      </c>
      <c r="K278" s="76"/>
    </row>
    <row r="279" s="1" customFormat="1" ht="14.25" spans="1:11">
      <c r="A279" s="71">
        <v>3</v>
      </c>
      <c r="B279" s="72">
        <v>31</v>
      </c>
      <c r="C279" s="72">
        <v>7</v>
      </c>
      <c r="D279" s="73" t="s">
        <v>456</v>
      </c>
      <c r="E279" s="73" t="s">
        <v>96</v>
      </c>
      <c r="F279" s="73" t="s">
        <v>97</v>
      </c>
      <c r="G279" s="73" t="s">
        <v>32</v>
      </c>
      <c r="H279" s="74" t="s">
        <v>457</v>
      </c>
      <c r="I279" s="74">
        <v>168</v>
      </c>
      <c r="J279" s="75">
        <v>0</v>
      </c>
      <c r="K279" s="76"/>
    </row>
    <row r="280" s="1" customFormat="1" ht="14.25" spans="1:11">
      <c r="A280" s="71">
        <v>3</v>
      </c>
      <c r="B280" s="72">
        <v>31</v>
      </c>
      <c r="C280" s="72">
        <v>7</v>
      </c>
      <c r="D280" s="73" t="s">
        <v>458</v>
      </c>
      <c r="E280" s="73" t="s">
        <v>48</v>
      </c>
      <c r="F280" s="73" t="s">
        <v>55</v>
      </c>
      <c r="G280" s="73" t="s">
        <v>32</v>
      </c>
      <c r="H280" s="74" t="s">
        <v>457</v>
      </c>
      <c r="I280" s="74">
        <v>81</v>
      </c>
      <c r="J280" s="75">
        <v>0</v>
      </c>
      <c r="K280" s="76"/>
    </row>
    <row r="281" s="1" customFormat="1" ht="14.25" spans="1:11">
      <c r="A281" s="71">
        <v>3</v>
      </c>
      <c r="B281" s="72">
        <v>31</v>
      </c>
      <c r="C281" s="72">
        <v>7</v>
      </c>
      <c r="D281" s="73" t="s">
        <v>459</v>
      </c>
      <c r="E281" s="73" t="s">
        <v>48</v>
      </c>
      <c r="F281" s="73" t="s">
        <v>49</v>
      </c>
      <c r="G281" s="73" t="s">
        <v>32</v>
      </c>
      <c r="H281" s="74" t="s">
        <v>457</v>
      </c>
      <c r="I281" s="74">
        <v>100</v>
      </c>
      <c r="J281" s="75">
        <v>0</v>
      </c>
      <c r="K281" s="76"/>
    </row>
    <row r="282" s="1" customFormat="1" ht="14.25" spans="1:11">
      <c r="A282" s="71">
        <v>3</v>
      </c>
      <c r="B282" s="72">
        <v>31</v>
      </c>
      <c r="C282" s="72">
        <v>7</v>
      </c>
      <c r="D282" s="73" t="s">
        <v>460</v>
      </c>
      <c r="E282" s="73" t="s">
        <v>96</v>
      </c>
      <c r="F282" s="73" t="s">
        <v>97</v>
      </c>
      <c r="G282" s="73" t="s">
        <v>32</v>
      </c>
      <c r="H282" s="74" t="s">
        <v>457</v>
      </c>
      <c r="I282" s="74">
        <v>7</v>
      </c>
      <c r="J282" s="75">
        <v>0</v>
      </c>
      <c r="K282" s="76"/>
    </row>
    <row r="283" s="1" customFormat="1" ht="14.25" spans="1:11">
      <c r="A283" s="71">
        <v>3</v>
      </c>
      <c r="B283" s="72">
        <v>31</v>
      </c>
      <c r="C283" s="72">
        <v>7</v>
      </c>
      <c r="D283" s="73" t="s">
        <v>461</v>
      </c>
      <c r="E283" s="73" t="s">
        <v>96</v>
      </c>
      <c r="F283" s="73" t="s">
        <v>97</v>
      </c>
      <c r="G283" s="73" t="s">
        <v>32</v>
      </c>
      <c r="H283" s="74" t="s">
        <v>457</v>
      </c>
      <c r="I283" s="74">
        <v>5</v>
      </c>
      <c r="J283" s="75">
        <v>0</v>
      </c>
      <c r="K283" s="76"/>
    </row>
    <row r="284" s="1" customFormat="1" ht="14.25" spans="1:11">
      <c r="A284" s="71">
        <v>3</v>
      </c>
      <c r="B284" s="72">
        <v>31</v>
      </c>
      <c r="C284" s="72">
        <v>7</v>
      </c>
      <c r="D284" s="73" t="s">
        <v>462</v>
      </c>
      <c r="E284" s="73" t="s">
        <v>48</v>
      </c>
      <c r="F284" s="73" t="s">
        <v>233</v>
      </c>
      <c r="G284" s="73" t="s">
        <v>32</v>
      </c>
      <c r="H284" s="74" t="s">
        <v>463</v>
      </c>
      <c r="I284" s="74">
        <v>30</v>
      </c>
      <c r="J284" s="75">
        <v>0</v>
      </c>
      <c r="K284" s="76"/>
    </row>
    <row r="285" s="1" customFormat="1" ht="14.25" spans="1:11">
      <c r="A285" s="71">
        <v>3</v>
      </c>
      <c r="B285" s="72">
        <v>31</v>
      </c>
      <c r="C285" s="72">
        <v>7</v>
      </c>
      <c r="D285" s="73" t="s">
        <v>464</v>
      </c>
      <c r="E285" s="73" t="s">
        <v>118</v>
      </c>
      <c r="F285" s="73" t="s">
        <v>122</v>
      </c>
      <c r="G285" s="73" t="s">
        <v>32</v>
      </c>
      <c r="H285" s="74" t="s">
        <v>463</v>
      </c>
      <c r="I285" s="74">
        <v>13</v>
      </c>
      <c r="J285" s="75">
        <v>0</v>
      </c>
      <c r="K285" s="76"/>
    </row>
    <row r="286" s="1" customFormat="1" ht="14.25" spans="1:11">
      <c r="A286" s="71">
        <v>3</v>
      </c>
      <c r="B286" s="72">
        <v>31</v>
      </c>
      <c r="C286" s="72">
        <v>7</v>
      </c>
      <c r="D286" s="73" t="s">
        <v>465</v>
      </c>
      <c r="E286" s="73" t="s">
        <v>48</v>
      </c>
      <c r="F286" s="73" t="s">
        <v>49</v>
      </c>
      <c r="G286" s="73" t="s">
        <v>32</v>
      </c>
      <c r="H286" s="74" t="s">
        <v>463</v>
      </c>
      <c r="I286" s="74">
        <v>40</v>
      </c>
      <c r="J286" s="75">
        <v>0</v>
      </c>
      <c r="K286" s="76"/>
    </row>
    <row r="287" s="1" customFormat="1" ht="14.25" spans="1:11">
      <c r="A287" s="71">
        <v>3</v>
      </c>
      <c r="B287" s="72">
        <v>31</v>
      </c>
      <c r="C287" s="72">
        <v>7</v>
      </c>
      <c r="D287" s="73" t="s">
        <v>466</v>
      </c>
      <c r="E287" s="73" t="s">
        <v>48</v>
      </c>
      <c r="F287" s="73" t="s">
        <v>207</v>
      </c>
      <c r="G287" s="73" t="s">
        <v>32</v>
      </c>
      <c r="H287" s="74" t="s">
        <v>463</v>
      </c>
      <c r="I287" s="74">
        <v>1057</v>
      </c>
      <c r="J287" s="75">
        <v>0</v>
      </c>
      <c r="K287" s="76"/>
    </row>
    <row r="288" s="1" customFormat="1" ht="14.25" spans="1:11">
      <c r="A288" s="71">
        <v>3</v>
      </c>
      <c r="B288" s="72">
        <v>31</v>
      </c>
      <c r="C288" s="72">
        <v>7</v>
      </c>
      <c r="D288" s="73" t="s">
        <v>467</v>
      </c>
      <c r="E288" s="73" t="s">
        <v>100</v>
      </c>
      <c r="F288" s="73" t="s">
        <v>101</v>
      </c>
      <c r="G288" s="73" t="s">
        <v>32</v>
      </c>
      <c r="H288" s="74" t="s">
        <v>463</v>
      </c>
      <c r="I288" s="74">
        <v>350</v>
      </c>
      <c r="J288" s="75">
        <v>0</v>
      </c>
      <c r="K288" s="76"/>
    </row>
    <row r="289" s="1" customFormat="1" ht="14.25" spans="1:11">
      <c r="A289" s="71">
        <v>3</v>
      </c>
      <c r="B289" s="72">
        <v>31</v>
      </c>
      <c r="C289" s="72">
        <v>8</v>
      </c>
      <c r="D289" s="73" t="s">
        <v>468</v>
      </c>
      <c r="E289" s="73" t="s">
        <v>48</v>
      </c>
      <c r="F289" s="73" t="s">
        <v>331</v>
      </c>
      <c r="G289" s="73" t="s">
        <v>32</v>
      </c>
      <c r="H289" s="74" t="s">
        <v>469</v>
      </c>
      <c r="I289" s="74">
        <v>9716</v>
      </c>
      <c r="J289" s="75">
        <v>0</v>
      </c>
      <c r="K289" s="76"/>
    </row>
    <row r="290" s="1" customFormat="1" ht="14.25" spans="1:11">
      <c r="A290" s="71">
        <v>3</v>
      </c>
      <c r="B290" s="72">
        <v>31</v>
      </c>
      <c r="C290" s="72">
        <v>8</v>
      </c>
      <c r="D290" s="73" t="s">
        <v>470</v>
      </c>
      <c r="E290" s="73" t="s">
        <v>291</v>
      </c>
      <c r="F290" s="73" t="s">
        <v>323</v>
      </c>
      <c r="G290" s="73" t="s">
        <v>32</v>
      </c>
      <c r="H290" s="74" t="s">
        <v>469</v>
      </c>
      <c r="I290" s="74">
        <v>5555.03</v>
      </c>
      <c r="J290" s="75">
        <v>0</v>
      </c>
      <c r="K290" s="76"/>
    </row>
    <row r="291" s="1" customFormat="1" ht="14.25" spans="1:11">
      <c r="A291" s="71">
        <v>3</v>
      </c>
      <c r="B291" s="72">
        <v>31</v>
      </c>
      <c r="C291" s="72">
        <v>8</v>
      </c>
      <c r="D291" s="73" t="s">
        <v>255</v>
      </c>
      <c r="E291" s="73" t="s">
        <v>96</v>
      </c>
      <c r="F291" s="73" t="s">
        <v>97</v>
      </c>
      <c r="G291" s="73" t="s">
        <v>32</v>
      </c>
      <c r="H291" s="74" t="s">
        <v>469</v>
      </c>
      <c r="I291" s="74">
        <v>20</v>
      </c>
      <c r="J291" s="75">
        <v>0</v>
      </c>
      <c r="K291" s="76"/>
    </row>
    <row r="292" s="1" customFormat="1" ht="14.25" spans="1:11">
      <c r="A292" s="71">
        <v>3</v>
      </c>
      <c r="B292" s="72">
        <v>31</v>
      </c>
      <c r="C292" s="72">
        <v>8</v>
      </c>
      <c r="D292" s="73" t="s">
        <v>124</v>
      </c>
      <c r="E292" s="73" t="s">
        <v>48</v>
      </c>
      <c r="F292" s="73" t="s">
        <v>125</v>
      </c>
      <c r="G292" s="73" t="s">
        <v>32</v>
      </c>
      <c r="H292" s="74" t="s">
        <v>469</v>
      </c>
      <c r="I292" s="74">
        <v>2</v>
      </c>
      <c r="J292" s="75">
        <v>0</v>
      </c>
      <c r="K292" s="76"/>
    </row>
    <row r="293" s="1" customFormat="1" ht="14.25" spans="1:11">
      <c r="A293" s="71">
        <v>3</v>
      </c>
      <c r="B293" s="72">
        <v>31</v>
      </c>
      <c r="C293" s="72">
        <v>8</v>
      </c>
      <c r="D293" s="73" t="s">
        <v>275</v>
      </c>
      <c r="E293" s="73" t="s">
        <v>48</v>
      </c>
      <c r="F293" s="73" t="s">
        <v>125</v>
      </c>
      <c r="G293" s="73" t="s">
        <v>32</v>
      </c>
      <c r="H293" s="74" t="s">
        <v>469</v>
      </c>
      <c r="I293" s="74">
        <v>70</v>
      </c>
      <c r="J293" s="75">
        <v>0</v>
      </c>
      <c r="K293" s="76"/>
    </row>
    <row r="294" s="1" customFormat="1" ht="14.25" spans="1:11">
      <c r="A294" s="71">
        <v>3</v>
      </c>
      <c r="B294" s="72">
        <v>31</v>
      </c>
      <c r="C294" s="72">
        <v>8</v>
      </c>
      <c r="D294" s="73" t="s">
        <v>471</v>
      </c>
      <c r="E294" s="73" t="s">
        <v>118</v>
      </c>
      <c r="F294" s="73" t="s">
        <v>136</v>
      </c>
      <c r="G294" s="73" t="s">
        <v>32</v>
      </c>
      <c r="H294" s="74" t="s">
        <v>472</v>
      </c>
      <c r="I294" s="74">
        <v>10</v>
      </c>
      <c r="J294" s="75">
        <v>0</v>
      </c>
      <c r="K294" s="76"/>
    </row>
    <row r="295" s="1" customFormat="1" ht="14.25" spans="1:11">
      <c r="A295" s="71">
        <v>3</v>
      </c>
      <c r="B295" s="72">
        <v>31</v>
      </c>
      <c r="C295" s="72">
        <v>8</v>
      </c>
      <c r="D295" s="73" t="s">
        <v>473</v>
      </c>
      <c r="E295" s="73" t="s">
        <v>118</v>
      </c>
      <c r="F295" s="73" t="s">
        <v>136</v>
      </c>
      <c r="G295" s="73" t="s">
        <v>32</v>
      </c>
      <c r="H295" s="74" t="s">
        <v>472</v>
      </c>
      <c r="I295" s="74">
        <v>90</v>
      </c>
      <c r="J295" s="75">
        <v>0</v>
      </c>
      <c r="K295" s="76"/>
    </row>
    <row r="296" s="1" customFormat="1" ht="14.25" spans="1:11">
      <c r="A296" s="71">
        <v>3</v>
      </c>
      <c r="B296" s="72">
        <v>31</v>
      </c>
      <c r="C296" s="72">
        <v>8</v>
      </c>
      <c r="D296" s="73" t="s">
        <v>474</v>
      </c>
      <c r="E296" s="73" t="s">
        <v>118</v>
      </c>
      <c r="F296" s="73" t="s">
        <v>136</v>
      </c>
      <c r="G296" s="73" t="s">
        <v>32</v>
      </c>
      <c r="H296" s="74" t="s">
        <v>472</v>
      </c>
      <c r="I296" s="74">
        <v>600</v>
      </c>
      <c r="J296" s="75">
        <v>0</v>
      </c>
      <c r="K296" s="76"/>
    </row>
    <row r="297" s="1" customFormat="1" ht="14.25" spans="1:11">
      <c r="A297" s="71">
        <v>3</v>
      </c>
      <c r="B297" s="72">
        <v>31</v>
      </c>
      <c r="C297" s="72">
        <v>8</v>
      </c>
      <c r="D297" s="73" t="s">
        <v>475</v>
      </c>
      <c r="E297" s="73" t="s">
        <v>48</v>
      </c>
      <c r="F297" s="73" t="s">
        <v>207</v>
      </c>
      <c r="G297" s="73" t="s">
        <v>32</v>
      </c>
      <c r="H297" s="74" t="s">
        <v>472</v>
      </c>
      <c r="I297" s="74">
        <v>20</v>
      </c>
      <c r="J297" s="75">
        <v>0</v>
      </c>
      <c r="K297" s="76"/>
    </row>
    <row r="298" s="1" customFormat="1" ht="14.25" spans="1:11">
      <c r="A298" s="71">
        <v>3</v>
      </c>
      <c r="B298" s="72">
        <v>31</v>
      </c>
      <c r="C298" s="72">
        <v>8</v>
      </c>
      <c r="D298" s="73" t="s">
        <v>476</v>
      </c>
      <c r="E298" s="73" t="s">
        <v>172</v>
      </c>
      <c r="F298" s="73" t="s">
        <v>396</v>
      </c>
      <c r="G298" s="73" t="s">
        <v>32</v>
      </c>
      <c r="H298" s="74" t="s">
        <v>472</v>
      </c>
      <c r="I298" s="74">
        <v>10</v>
      </c>
      <c r="J298" s="75">
        <v>0</v>
      </c>
      <c r="K298" s="76"/>
    </row>
    <row r="299" s="1" customFormat="1" ht="14.25" spans="1:11">
      <c r="A299" s="71">
        <v>3</v>
      </c>
      <c r="B299" s="72">
        <v>31</v>
      </c>
      <c r="C299" s="72">
        <v>9</v>
      </c>
      <c r="D299" s="73" t="s">
        <v>477</v>
      </c>
      <c r="E299" s="73" t="s">
        <v>118</v>
      </c>
      <c r="F299" s="73" t="s">
        <v>192</v>
      </c>
      <c r="G299" s="73" t="s">
        <v>32</v>
      </c>
      <c r="H299" s="74" t="s">
        <v>478</v>
      </c>
      <c r="I299" s="74">
        <v>72000</v>
      </c>
      <c r="J299" s="75">
        <v>0</v>
      </c>
      <c r="K299" s="76"/>
    </row>
    <row r="300" s="1" customFormat="1" ht="14.25" spans="1:11">
      <c r="A300" s="71">
        <v>3</v>
      </c>
      <c r="B300" s="72">
        <v>31</v>
      </c>
      <c r="C300" s="72">
        <v>9</v>
      </c>
      <c r="D300" s="73" t="s">
        <v>479</v>
      </c>
      <c r="E300" s="73" t="s">
        <v>118</v>
      </c>
      <c r="F300" s="73" t="s">
        <v>119</v>
      </c>
      <c r="G300" s="73" t="s">
        <v>32</v>
      </c>
      <c r="H300" s="74" t="s">
        <v>478</v>
      </c>
      <c r="I300" s="74">
        <v>95247</v>
      </c>
      <c r="J300" s="75">
        <v>0</v>
      </c>
      <c r="K300" s="76"/>
    </row>
    <row r="301" s="1" customFormat="1" ht="14.25" spans="1:11">
      <c r="A301" s="71">
        <v>3</v>
      </c>
      <c r="B301" s="72">
        <v>31</v>
      </c>
      <c r="C301" s="72">
        <v>9</v>
      </c>
      <c r="D301" s="73" t="s">
        <v>480</v>
      </c>
      <c r="E301" s="73" t="s">
        <v>118</v>
      </c>
      <c r="F301" s="73" t="s">
        <v>192</v>
      </c>
      <c r="G301" s="73" t="s">
        <v>32</v>
      </c>
      <c r="H301" s="74" t="s">
        <v>478</v>
      </c>
      <c r="I301" s="74">
        <v>140000</v>
      </c>
      <c r="J301" s="75">
        <v>0</v>
      </c>
      <c r="K301" s="76"/>
    </row>
    <row r="302" s="1" customFormat="1" ht="14.25" spans="1:11">
      <c r="A302" s="71">
        <v>3</v>
      </c>
      <c r="B302" s="72">
        <v>31</v>
      </c>
      <c r="C302" s="72">
        <v>9</v>
      </c>
      <c r="D302" s="73" t="s">
        <v>481</v>
      </c>
      <c r="E302" s="73" t="s">
        <v>172</v>
      </c>
      <c r="F302" s="73" t="s">
        <v>173</v>
      </c>
      <c r="G302" s="73" t="s">
        <v>32</v>
      </c>
      <c r="H302" s="74" t="s">
        <v>478</v>
      </c>
      <c r="I302" s="74">
        <v>26180</v>
      </c>
      <c r="J302" s="75">
        <v>0</v>
      </c>
      <c r="K302" s="76"/>
    </row>
    <row r="303" s="1" customFormat="1" ht="14.25" spans="1:11">
      <c r="A303" s="71">
        <v>3</v>
      </c>
      <c r="B303" s="72">
        <v>31</v>
      </c>
      <c r="C303" s="72">
        <v>9</v>
      </c>
      <c r="D303" s="73" t="s">
        <v>482</v>
      </c>
      <c r="E303" s="73" t="s">
        <v>118</v>
      </c>
      <c r="F303" s="73" t="s">
        <v>119</v>
      </c>
      <c r="G303" s="73" t="s">
        <v>32</v>
      </c>
      <c r="H303" s="74" t="s">
        <v>478</v>
      </c>
      <c r="I303" s="74">
        <v>118900</v>
      </c>
      <c r="J303" s="75">
        <v>0</v>
      </c>
      <c r="K303" s="76"/>
    </row>
    <row r="304" s="1" customFormat="1" ht="14.25" spans="1:11">
      <c r="A304" s="71">
        <v>3</v>
      </c>
      <c r="B304" s="72">
        <v>31</v>
      </c>
      <c r="C304" s="72">
        <v>9</v>
      </c>
      <c r="D304" s="73" t="s">
        <v>483</v>
      </c>
      <c r="E304" s="73" t="s">
        <v>118</v>
      </c>
      <c r="F304" s="73" t="s">
        <v>119</v>
      </c>
      <c r="G304" s="73" t="s">
        <v>32</v>
      </c>
      <c r="H304" s="74" t="s">
        <v>484</v>
      </c>
      <c r="I304" s="74">
        <v>74250</v>
      </c>
      <c r="J304" s="75">
        <v>0</v>
      </c>
      <c r="K304" s="76"/>
    </row>
    <row r="305" s="1" customFormat="1" ht="14.25" spans="1:11">
      <c r="A305" s="71">
        <v>3</v>
      </c>
      <c r="B305" s="72">
        <v>31</v>
      </c>
      <c r="C305" s="72">
        <v>9</v>
      </c>
      <c r="D305" s="73" t="s">
        <v>485</v>
      </c>
      <c r="E305" s="73" t="s">
        <v>118</v>
      </c>
      <c r="F305" s="73" t="s">
        <v>486</v>
      </c>
      <c r="G305" s="73" t="s">
        <v>32</v>
      </c>
      <c r="H305" s="74" t="s">
        <v>484</v>
      </c>
      <c r="I305" s="74">
        <v>5760</v>
      </c>
      <c r="J305" s="75">
        <v>0</v>
      </c>
      <c r="K305" s="76"/>
    </row>
    <row r="306" s="1" customFormat="1" ht="14.25" spans="1:11">
      <c r="A306" s="71">
        <v>3</v>
      </c>
      <c r="B306" s="72">
        <v>31</v>
      </c>
      <c r="C306" s="72">
        <v>9</v>
      </c>
      <c r="D306" s="73" t="s">
        <v>487</v>
      </c>
      <c r="E306" s="73" t="s">
        <v>118</v>
      </c>
      <c r="F306" s="73" t="s">
        <v>192</v>
      </c>
      <c r="G306" s="73" t="s">
        <v>32</v>
      </c>
      <c r="H306" s="74" t="s">
        <v>484</v>
      </c>
      <c r="I306" s="74">
        <v>100000</v>
      </c>
      <c r="J306" s="75">
        <v>0</v>
      </c>
      <c r="K306" s="76"/>
    </row>
    <row r="307" s="1" customFormat="1" ht="14.25" spans="1:11">
      <c r="A307" s="71">
        <v>3</v>
      </c>
      <c r="B307" s="72">
        <v>31</v>
      </c>
      <c r="C307" s="72">
        <v>9</v>
      </c>
      <c r="D307" s="73" t="s">
        <v>488</v>
      </c>
      <c r="E307" s="73" t="s">
        <v>118</v>
      </c>
      <c r="F307" s="73" t="s">
        <v>119</v>
      </c>
      <c r="G307" s="73" t="s">
        <v>32</v>
      </c>
      <c r="H307" s="74" t="s">
        <v>484</v>
      </c>
      <c r="I307" s="74">
        <v>39089</v>
      </c>
      <c r="J307" s="75">
        <v>0</v>
      </c>
      <c r="K307" s="76"/>
    </row>
    <row r="308" s="1" customFormat="1" ht="14.25" spans="1:11">
      <c r="A308" s="71">
        <v>3</v>
      </c>
      <c r="B308" s="72">
        <v>31</v>
      </c>
      <c r="C308" s="72">
        <v>10</v>
      </c>
      <c r="D308" s="73" t="s">
        <v>489</v>
      </c>
      <c r="E308" s="73" t="s">
        <v>118</v>
      </c>
      <c r="F308" s="73" t="s">
        <v>489</v>
      </c>
      <c r="G308" s="73" t="s">
        <v>32</v>
      </c>
      <c r="H308" s="74" t="s">
        <v>490</v>
      </c>
      <c r="I308" s="74">
        <v>895.54</v>
      </c>
      <c r="J308" s="75">
        <v>0</v>
      </c>
      <c r="K308" s="76"/>
    </row>
    <row r="309" s="1" customFormat="1" ht="14.25" spans="1:11">
      <c r="A309" s="71">
        <v>3</v>
      </c>
      <c r="B309" s="72">
        <v>31</v>
      </c>
      <c r="C309" s="72">
        <v>10</v>
      </c>
      <c r="D309" s="73" t="s">
        <v>491</v>
      </c>
      <c r="E309" s="73" t="s">
        <v>118</v>
      </c>
      <c r="F309" s="73" t="s">
        <v>446</v>
      </c>
      <c r="G309" s="73" t="s">
        <v>32</v>
      </c>
      <c r="H309" s="74" t="s">
        <v>490</v>
      </c>
      <c r="I309" s="74">
        <v>6023</v>
      </c>
      <c r="J309" s="75">
        <v>0</v>
      </c>
      <c r="K309" s="76"/>
    </row>
    <row r="310" s="1" customFormat="1" ht="14.25" spans="1:11">
      <c r="A310" s="71">
        <v>3</v>
      </c>
      <c r="B310" s="72">
        <v>31</v>
      </c>
      <c r="C310" s="72">
        <v>10</v>
      </c>
      <c r="D310" s="73" t="s">
        <v>492</v>
      </c>
      <c r="E310" s="73" t="s">
        <v>118</v>
      </c>
      <c r="F310" s="73" t="s">
        <v>187</v>
      </c>
      <c r="G310" s="73" t="s">
        <v>32</v>
      </c>
      <c r="H310" s="74" t="s">
        <v>490</v>
      </c>
      <c r="I310" s="74">
        <v>46030</v>
      </c>
      <c r="J310" s="75">
        <v>0</v>
      </c>
      <c r="K310" s="76"/>
    </row>
    <row r="311" s="1" customFormat="1" ht="14.25" spans="1:11">
      <c r="A311" s="71">
        <v>3</v>
      </c>
      <c r="B311" s="72">
        <v>31</v>
      </c>
      <c r="C311" s="72">
        <v>10</v>
      </c>
      <c r="D311" s="73" t="s">
        <v>493</v>
      </c>
      <c r="E311" s="73" t="s">
        <v>118</v>
      </c>
      <c r="F311" s="73" t="s">
        <v>187</v>
      </c>
      <c r="G311" s="73" t="s">
        <v>32</v>
      </c>
      <c r="H311" s="74" t="s">
        <v>490</v>
      </c>
      <c r="I311" s="74">
        <v>81500</v>
      </c>
      <c r="J311" s="75">
        <v>0</v>
      </c>
      <c r="K311" s="76"/>
    </row>
    <row r="312" s="1" customFormat="1" ht="14.25" spans="1:11">
      <c r="A312" s="71">
        <v>3</v>
      </c>
      <c r="B312" s="72">
        <v>31</v>
      </c>
      <c r="C312" s="72">
        <v>10</v>
      </c>
      <c r="D312" s="73" t="s">
        <v>494</v>
      </c>
      <c r="E312" s="73" t="s">
        <v>118</v>
      </c>
      <c r="F312" s="73" t="s">
        <v>192</v>
      </c>
      <c r="G312" s="73" t="s">
        <v>32</v>
      </c>
      <c r="H312" s="74" t="s">
        <v>490</v>
      </c>
      <c r="I312" s="74">
        <v>100000</v>
      </c>
      <c r="J312" s="75">
        <v>0</v>
      </c>
      <c r="K312" s="76"/>
    </row>
    <row r="313" s="1" customFormat="1" ht="14.25" spans="1:11">
      <c r="A313" s="71">
        <v>3</v>
      </c>
      <c r="B313" s="72">
        <v>31</v>
      </c>
      <c r="C313" s="72">
        <v>10</v>
      </c>
      <c r="D313" s="73" t="s">
        <v>255</v>
      </c>
      <c r="E313" s="73" t="s">
        <v>96</v>
      </c>
      <c r="F313" s="73" t="s">
        <v>97</v>
      </c>
      <c r="G313" s="73" t="s">
        <v>32</v>
      </c>
      <c r="H313" s="74" t="s">
        <v>495</v>
      </c>
      <c r="I313" s="74">
        <v>1548.48</v>
      </c>
      <c r="J313" s="75">
        <v>0</v>
      </c>
      <c r="K313" s="76"/>
    </row>
    <row r="314" s="1" customFormat="1" ht="14.25" spans="1:11">
      <c r="A314" s="71">
        <v>3</v>
      </c>
      <c r="B314" s="72">
        <v>31</v>
      </c>
      <c r="C314" s="72">
        <v>10</v>
      </c>
      <c r="D314" s="73" t="s">
        <v>496</v>
      </c>
      <c r="E314" s="73" t="s">
        <v>118</v>
      </c>
      <c r="F314" s="73" t="s">
        <v>136</v>
      </c>
      <c r="G314" s="73" t="s">
        <v>32</v>
      </c>
      <c r="H314" s="74" t="s">
        <v>495</v>
      </c>
      <c r="I314" s="74">
        <v>180</v>
      </c>
      <c r="J314" s="75">
        <v>0</v>
      </c>
      <c r="K314" s="76"/>
    </row>
    <row r="315" s="1" customFormat="1" ht="14.25" spans="1:11">
      <c r="A315" s="71">
        <v>3</v>
      </c>
      <c r="B315" s="72">
        <v>31</v>
      </c>
      <c r="C315" s="72">
        <v>10</v>
      </c>
      <c r="D315" s="73" t="s">
        <v>497</v>
      </c>
      <c r="E315" s="73" t="s">
        <v>118</v>
      </c>
      <c r="F315" s="73" t="s">
        <v>136</v>
      </c>
      <c r="G315" s="73" t="s">
        <v>32</v>
      </c>
      <c r="H315" s="74" t="s">
        <v>495</v>
      </c>
      <c r="I315" s="74">
        <v>16.35</v>
      </c>
      <c r="J315" s="75">
        <v>0</v>
      </c>
      <c r="K315" s="76"/>
    </row>
    <row r="316" s="1" customFormat="1" ht="14.25" spans="1:11">
      <c r="A316" s="71">
        <v>3</v>
      </c>
      <c r="B316" s="72">
        <v>31</v>
      </c>
      <c r="C316" s="72">
        <v>10</v>
      </c>
      <c r="D316" s="73" t="s">
        <v>498</v>
      </c>
      <c r="E316" s="73" t="s">
        <v>118</v>
      </c>
      <c r="F316" s="73" t="s">
        <v>136</v>
      </c>
      <c r="G316" s="73" t="s">
        <v>32</v>
      </c>
      <c r="H316" s="74" t="s">
        <v>495</v>
      </c>
      <c r="I316" s="74">
        <v>59.14</v>
      </c>
      <c r="J316" s="75">
        <v>0</v>
      </c>
      <c r="K316" s="76"/>
    </row>
    <row r="317" s="1" customFormat="1" ht="14.25" spans="1:11">
      <c r="A317" s="71">
        <v>3</v>
      </c>
      <c r="B317" s="72">
        <v>31</v>
      </c>
      <c r="C317" s="72">
        <v>10</v>
      </c>
      <c r="D317" s="73" t="s">
        <v>499</v>
      </c>
      <c r="E317" s="73" t="s">
        <v>96</v>
      </c>
      <c r="F317" s="73" t="s">
        <v>97</v>
      </c>
      <c r="G317" s="73" t="s">
        <v>32</v>
      </c>
      <c r="H317" s="74" t="s">
        <v>495</v>
      </c>
      <c r="I317" s="74">
        <v>20</v>
      </c>
      <c r="J317" s="75">
        <v>0</v>
      </c>
      <c r="K317" s="76"/>
    </row>
    <row r="318" s="1" customFormat="1" ht="14.25" spans="1:11">
      <c r="A318" s="71">
        <v>3</v>
      </c>
      <c r="B318" s="72">
        <v>31</v>
      </c>
      <c r="C318" s="72">
        <v>11</v>
      </c>
      <c r="D318" s="73" t="s">
        <v>500</v>
      </c>
      <c r="E318" s="73" t="s">
        <v>118</v>
      </c>
      <c r="F318" s="73" t="s">
        <v>136</v>
      </c>
      <c r="G318" s="73" t="s">
        <v>32</v>
      </c>
      <c r="H318" s="74" t="s">
        <v>501</v>
      </c>
      <c r="I318" s="74">
        <v>150</v>
      </c>
      <c r="J318" s="75">
        <v>0</v>
      </c>
      <c r="K318" s="76"/>
    </row>
    <row r="319" s="1" customFormat="1" ht="14.25" spans="1:11">
      <c r="A319" s="71">
        <v>3</v>
      </c>
      <c r="B319" s="72">
        <v>31</v>
      </c>
      <c r="C319" s="72">
        <v>11</v>
      </c>
      <c r="D319" s="73" t="s">
        <v>500</v>
      </c>
      <c r="E319" s="73" t="s">
        <v>118</v>
      </c>
      <c r="F319" s="73" t="s">
        <v>136</v>
      </c>
      <c r="G319" s="73" t="s">
        <v>32</v>
      </c>
      <c r="H319" s="74" t="s">
        <v>501</v>
      </c>
      <c r="I319" s="74">
        <v>180</v>
      </c>
      <c r="J319" s="75">
        <v>0</v>
      </c>
      <c r="K319" s="76"/>
    </row>
    <row r="320" s="1" customFormat="1" ht="14.25" spans="1:11">
      <c r="A320" s="71">
        <v>3</v>
      </c>
      <c r="B320" s="72">
        <v>31</v>
      </c>
      <c r="C320" s="72">
        <v>11</v>
      </c>
      <c r="D320" s="73" t="s">
        <v>502</v>
      </c>
      <c r="E320" s="73" t="s">
        <v>118</v>
      </c>
      <c r="F320" s="73" t="s">
        <v>136</v>
      </c>
      <c r="G320" s="73" t="s">
        <v>32</v>
      </c>
      <c r="H320" s="74" t="s">
        <v>501</v>
      </c>
      <c r="I320" s="74">
        <v>140</v>
      </c>
      <c r="J320" s="75">
        <v>0</v>
      </c>
      <c r="K320" s="76"/>
    </row>
    <row r="321" s="1" customFormat="1" ht="14.25" spans="1:11">
      <c r="A321" s="71">
        <v>3</v>
      </c>
      <c r="B321" s="72">
        <v>31</v>
      </c>
      <c r="C321" s="72">
        <v>11</v>
      </c>
      <c r="D321" s="73" t="s">
        <v>503</v>
      </c>
      <c r="E321" s="73" t="s">
        <v>118</v>
      </c>
      <c r="F321" s="73" t="s">
        <v>136</v>
      </c>
      <c r="G321" s="73" t="s">
        <v>32</v>
      </c>
      <c r="H321" s="74" t="s">
        <v>501</v>
      </c>
      <c r="I321" s="74">
        <v>192</v>
      </c>
      <c r="J321" s="75">
        <v>0</v>
      </c>
      <c r="K321" s="76"/>
    </row>
    <row r="322" s="1" customFormat="1" ht="14.25" spans="1:11">
      <c r="A322" s="71">
        <v>3</v>
      </c>
      <c r="B322" s="72">
        <v>31</v>
      </c>
      <c r="C322" s="72">
        <v>11</v>
      </c>
      <c r="D322" s="73" t="s">
        <v>504</v>
      </c>
      <c r="E322" s="73" t="s">
        <v>118</v>
      </c>
      <c r="F322" s="73" t="s">
        <v>136</v>
      </c>
      <c r="G322" s="73" t="s">
        <v>32</v>
      </c>
      <c r="H322" s="74" t="s">
        <v>501</v>
      </c>
      <c r="I322" s="74">
        <v>4485</v>
      </c>
      <c r="J322" s="75">
        <v>0</v>
      </c>
      <c r="K322" s="76"/>
    </row>
    <row r="323" s="1" customFormat="1" ht="14.25" spans="1:11">
      <c r="A323" s="71">
        <v>3</v>
      </c>
      <c r="B323" s="72">
        <v>31</v>
      </c>
      <c r="C323" s="72">
        <v>11</v>
      </c>
      <c r="D323" s="73" t="s">
        <v>505</v>
      </c>
      <c r="E323" s="73" t="s">
        <v>118</v>
      </c>
      <c r="F323" s="73" t="s">
        <v>136</v>
      </c>
      <c r="G323" s="73" t="s">
        <v>32</v>
      </c>
      <c r="H323" s="74" t="s">
        <v>506</v>
      </c>
      <c r="I323" s="74">
        <v>1080</v>
      </c>
      <c r="J323" s="75">
        <v>0</v>
      </c>
      <c r="K323" s="76"/>
    </row>
    <row r="324" s="1" customFormat="1" ht="14.25" spans="1:11">
      <c r="A324" s="71">
        <v>3</v>
      </c>
      <c r="B324" s="72">
        <v>31</v>
      </c>
      <c r="C324" s="72">
        <v>11</v>
      </c>
      <c r="D324" s="73" t="s">
        <v>507</v>
      </c>
      <c r="E324" s="73" t="s">
        <v>118</v>
      </c>
      <c r="F324" s="73" t="s">
        <v>136</v>
      </c>
      <c r="G324" s="73" t="s">
        <v>32</v>
      </c>
      <c r="H324" s="74" t="s">
        <v>506</v>
      </c>
      <c r="I324" s="74">
        <v>40</v>
      </c>
      <c r="J324" s="75">
        <v>0</v>
      </c>
      <c r="K324" s="76"/>
    </row>
    <row r="325" s="1" customFormat="1" ht="14.25" spans="1:11">
      <c r="A325" s="71">
        <v>3</v>
      </c>
      <c r="B325" s="72">
        <v>31</v>
      </c>
      <c r="C325" s="72">
        <v>11</v>
      </c>
      <c r="D325" s="73" t="s">
        <v>124</v>
      </c>
      <c r="E325" s="73" t="s">
        <v>48</v>
      </c>
      <c r="F325" s="73" t="s">
        <v>125</v>
      </c>
      <c r="G325" s="73" t="s">
        <v>32</v>
      </c>
      <c r="H325" s="74" t="s">
        <v>506</v>
      </c>
      <c r="I325" s="74">
        <v>2</v>
      </c>
      <c r="J325" s="75">
        <v>0</v>
      </c>
      <c r="K325" s="76"/>
    </row>
    <row r="326" s="1" customFormat="1" ht="14.25" spans="1:11">
      <c r="A326" s="71">
        <v>3</v>
      </c>
      <c r="B326" s="72">
        <v>31</v>
      </c>
      <c r="C326" s="72">
        <v>11</v>
      </c>
      <c r="D326" s="73" t="s">
        <v>275</v>
      </c>
      <c r="E326" s="73" t="s">
        <v>48</v>
      </c>
      <c r="F326" s="73" t="s">
        <v>125</v>
      </c>
      <c r="G326" s="73" t="s">
        <v>32</v>
      </c>
      <c r="H326" s="74" t="s">
        <v>506</v>
      </c>
      <c r="I326" s="74">
        <v>50</v>
      </c>
      <c r="J326" s="75">
        <v>0</v>
      </c>
      <c r="K326" s="76"/>
    </row>
    <row r="327" s="1" customFormat="1" ht="14.25" spans="1:11">
      <c r="A327" s="71">
        <v>3</v>
      </c>
      <c r="B327" s="72">
        <v>31</v>
      </c>
      <c r="C327" s="72">
        <v>11</v>
      </c>
      <c r="D327" s="73" t="s">
        <v>508</v>
      </c>
      <c r="E327" s="73" t="s">
        <v>96</v>
      </c>
      <c r="F327" s="73" t="s">
        <v>443</v>
      </c>
      <c r="G327" s="73" t="s">
        <v>32</v>
      </c>
      <c r="H327" s="74" t="s">
        <v>506</v>
      </c>
      <c r="I327" s="74">
        <v>10</v>
      </c>
      <c r="J327" s="75">
        <v>0</v>
      </c>
      <c r="K327" s="76"/>
    </row>
    <row r="328" s="1" customFormat="1" ht="14.25" spans="1:11">
      <c r="A328" s="71">
        <v>3</v>
      </c>
      <c r="B328" s="72">
        <v>31</v>
      </c>
      <c r="C328" s="72">
        <v>12</v>
      </c>
      <c r="D328" s="73" t="s">
        <v>509</v>
      </c>
      <c r="E328" s="73" t="s">
        <v>96</v>
      </c>
      <c r="F328" s="73" t="s">
        <v>443</v>
      </c>
      <c r="G328" s="73" t="s">
        <v>32</v>
      </c>
      <c r="H328" s="74" t="s">
        <v>510</v>
      </c>
      <c r="I328" s="74">
        <v>5</v>
      </c>
      <c r="J328" s="75">
        <v>0</v>
      </c>
      <c r="K328" s="76"/>
    </row>
    <row r="329" s="1" customFormat="1" ht="14.25" spans="1:11">
      <c r="A329" s="71">
        <v>3</v>
      </c>
      <c r="B329" s="72">
        <v>31</v>
      </c>
      <c r="C329" s="72">
        <v>12</v>
      </c>
      <c r="D329" s="73" t="s">
        <v>511</v>
      </c>
      <c r="E329" s="73" t="s">
        <v>48</v>
      </c>
      <c r="F329" s="73" t="s">
        <v>55</v>
      </c>
      <c r="G329" s="73" t="s">
        <v>32</v>
      </c>
      <c r="H329" s="74" t="s">
        <v>510</v>
      </c>
      <c r="I329" s="74">
        <v>350</v>
      </c>
      <c r="J329" s="75">
        <v>0</v>
      </c>
      <c r="K329" s="76"/>
    </row>
    <row r="330" s="1" customFormat="1" ht="14.25" spans="1:11">
      <c r="A330" s="71">
        <v>3</v>
      </c>
      <c r="B330" s="72">
        <v>31</v>
      </c>
      <c r="C330" s="72">
        <v>12</v>
      </c>
      <c r="D330" s="73" t="s">
        <v>512</v>
      </c>
      <c r="E330" s="73" t="s">
        <v>118</v>
      </c>
      <c r="F330" s="73" t="s">
        <v>513</v>
      </c>
      <c r="G330" s="73" t="s">
        <v>32</v>
      </c>
      <c r="H330" s="74" t="s">
        <v>510</v>
      </c>
      <c r="I330" s="74">
        <v>28224</v>
      </c>
      <c r="J330" s="75">
        <v>0</v>
      </c>
      <c r="K330" s="76"/>
    </row>
    <row r="331" s="1" customFormat="1" ht="14.25" spans="1:11">
      <c r="A331" s="71">
        <v>3</v>
      </c>
      <c r="B331" s="72">
        <v>31</v>
      </c>
      <c r="C331" s="72">
        <v>12</v>
      </c>
      <c r="D331" s="73" t="s">
        <v>514</v>
      </c>
      <c r="E331" s="73" t="s">
        <v>118</v>
      </c>
      <c r="F331" s="73" t="s">
        <v>513</v>
      </c>
      <c r="G331" s="73" t="s">
        <v>32</v>
      </c>
      <c r="H331" s="74" t="s">
        <v>510</v>
      </c>
      <c r="I331" s="74">
        <v>2591</v>
      </c>
      <c r="J331" s="75">
        <v>0</v>
      </c>
      <c r="K331" s="76"/>
    </row>
    <row r="332" s="1" customFormat="1" ht="14.25" spans="1:11">
      <c r="A332" s="71">
        <v>3</v>
      </c>
      <c r="B332" s="72">
        <v>31</v>
      </c>
      <c r="C332" s="72">
        <v>12</v>
      </c>
      <c r="D332" s="73" t="s">
        <v>515</v>
      </c>
      <c r="E332" s="73" t="s">
        <v>179</v>
      </c>
      <c r="F332" s="73" t="s">
        <v>516</v>
      </c>
      <c r="G332" s="73" t="s">
        <v>32</v>
      </c>
      <c r="H332" s="74" t="s">
        <v>510</v>
      </c>
      <c r="I332" s="74">
        <v>20000</v>
      </c>
      <c r="J332" s="75">
        <v>0</v>
      </c>
      <c r="K332" s="76"/>
    </row>
    <row r="333" s="1" customFormat="1" ht="14.25" spans="1:11">
      <c r="A333" s="71">
        <v>3</v>
      </c>
      <c r="B333" s="72">
        <v>31</v>
      </c>
      <c r="C333" s="72">
        <v>12</v>
      </c>
      <c r="D333" s="73" t="s">
        <v>517</v>
      </c>
      <c r="E333" s="73" t="s">
        <v>118</v>
      </c>
      <c r="F333" s="73" t="s">
        <v>136</v>
      </c>
      <c r="G333" s="73" t="s">
        <v>32</v>
      </c>
      <c r="H333" s="74" t="s">
        <v>510</v>
      </c>
      <c r="I333" s="74">
        <v>21600</v>
      </c>
      <c r="J333" s="75">
        <v>0</v>
      </c>
      <c r="K333" s="76"/>
    </row>
    <row r="334" s="1" customFormat="1" ht="14.25" spans="1:11">
      <c r="A334" s="71">
        <v>3</v>
      </c>
      <c r="B334" s="72">
        <v>31</v>
      </c>
      <c r="C334" s="72">
        <v>12</v>
      </c>
      <c r="D334" s="73" t="s">
        <v>518</v>
      </c>
      <c r="E334" s="73" t="s">
        <v>48</v>
      </c>
      <c r="F334" s="73" t="s">
        <v>55</v>
      </c>
      <c r="G334" s="73" t="s">
        <v>32</v>
      </c>
      <c r="H334" s="74" t="s">
        <v>519</v>
      </c>
      <c r="I334" s="74">
        <v>3155</v>
      </c>
      <c r="J334" s="75">
        <v>0</v>
      </c>
      <c r="K334" s="76"/>
    </row>
    <row r="335" s="1" customFormat="1" ht="14.25" spans="1:11">
      <c r="A335" s="71">
        <v>3</v>
      </c>
      <c r="B335" s="72">
        <v>31</v>
      </c>
      <c r="C335" s="72">
        <v>12</v>
      </c>
      <c r="D335" s="73" t="s">
        <v>520</v>
      </c>
      <c r="E335" s="73" t="s">
        <v>118</v>
      </c>
      <c r="F335" s="73" t="s">
        <v>151</v>
      </c>
      <c r="G335" s="73" t="s">
        <v>32</v>
      </c>
      <c r="H335" s="74" t="s">
        <v>521</v>
      </c>
      <c r="I335" s="74">
        <v>5160</v>
      </c>
      <c r="J335" s="75">
        <v>0</v>
      </c>
      <c r="K335" s="76"/>
    </row>
    <row r="336" s="1" customFormat="1" ht="14.25" spans="1:11">
      <c r="A336" s="71">
        <v>3</v>
      </c>
      <c r="B336" s="72">
        <v>31</v>
      </c>
      <c r="C336" s="72">
        <v>12</v>
      </c>
      <c r="D336" s="73" t="s">
        <v>522</v>
      </c>
      <c r="E336" s="73" t="s">
        <v>96</v>
      </c>
      <c r="F336" s="73" t="s">
        <v>97</v>
      </c>
      <c r="G336" s="73" t="s">
        <v>32</v>
      </c>
      <c r="H336" s="74" t="s">
        <v>523</v>
      </c>
      <c r="I336" s="74">
        <v>7032</v>
      </c>
      <c r="J336" s="75">
        <v>0</v>
      </c>
      <c r="K336" s="76"/>
    </row>
    <row r="337" s="1" customFormat="1" ht="14.25" spans="1:11">
      <c r="A337" s="71">
        <v>3</v>
      </c>
      <c r="B337" s="72">
        <v>31</v>
      </c>
      <c r="C337" s="72">
        <v>12</v>
      </c>
      <c r="D337" s="73" t="s">
        <v>524</v>
      </c>
      <c r="E337" s="73" t="s">
        <v>48</v>
      </c>
      <c r="F337" s="73" t="s">
        <v>55</v>
      </c>
      <c r="G337" s="73" t="s">
        <v>32</v>
      </c>
      <c r="H337" s="74" t="s">
        <v>523</v>
      </c>
      <c r="I337" s="74">
        <v>362</v>
      </c>
      <c r="J337" s="75">
        <v>0</v>
      </c>
      <c r="K337" s="76"/>
    </row>
    <row r="338" s="1" customFormat="1" ht="14.25" spans="1:11">
      <c r="A338" s="71">
        <v>3</v>
      </c>
      <c r="B338" s="72">
        <v>31</v>
      </c>
      <c r="C338" s="72">
        <v>13</v>
      </c>
      <c r="D338" s="73" t="s">
        <v>255</v>
      </c>
      <c r="E338" s="73" t="s">
        <v>96</v>
      </c>
      <c r="F338" s="73" t="s">
        <v>97</v>
      </c>
      <c r="G338" s="73" t="s">
        <v>32</v>
      </c>
      <c r="H338" s="74" t="s">
        <v>525</v>
      </c>
      <c r="I338" s="74">
        <v>35</v>
      </c>
      <c r="J338" s="75">
        <v>0</v>
      </c>
      <c r="K338" s="76"/>
    </row>
    <row r="339" s="1" customFormat="1" ht="14.25" spans="1:11">
      <c r="A339" s="71">
        <v>3</v>
      </c>
      <c r="B339" s="72">
        <v>31</v>
      </c>
      <c r="C339" s="72">
        <v>13</v>
      </c>
      <c r="D339" s="73" t="s">
        <v>275</v>
      </c>
      <c r="E339" s="73" t="s">
        <v>48</v>
      </c>
      <c r="F339" s="73" t="s">
        <v>125</v>
      </c>
      <c r="G339" s="73" t="s">
        <v>32</v>
      </c>
      <c r="H339" s="74" t="s">
        <v>525</v>
      </c>
      <c r="I339" s="74">
        <v>150</v>
      </c>
      <c r="J339" s="75">
        <v>0</v>
      </c>
      <c r="K339" s="76"/>
    </row>
    <row r="340" s="1" customFormat="1" ht="14.25" spans="1:11">
      <c r="A340" s="71">
        <v>3</v>
      </c>
      <c r="B340" s="72">
        <v>31</v>
      </c>
      <c r="C340" s="72">
        <v>13</v>
      </c>
      <c r="D340" s="73" t="s">
        <v>526</v>
      </c>
      <c r="E340" s="73" t="s">
        <v>48</v>
      </c>
      <c r="F340" s="74" t="s">
        <v>55</v>
      </c>
      <c r="G340" s="73" t="s">
        <v>32</v>
      </c>
      <c r="H340" s="74" t="s">
        <v>525</v>
      </c>
      <c r="I340" s="74">
        <v>180</v>
      </c>
      <c r="J340" s="75">
        <v>0</v>
      </c>
      <c r="K340" s="76"/>
    </row>
    <row r="341" s="1" customFormat="1" ht="14.25" spans="1:11">
      <c r="A341" s="71">
        <v>3</v>
      </c>
      <c r="B341" s="72">
        <v>31</v>
      </c>
      <c r="C341" s="72">
        <v>13</v>
      </c>
      <c r="D341" s="73" t="s">
        <v>527</v>
      </c>
      <c r="E341" s="73" t="s">
        <v>48</v>
      </c>
      <c r="F341" s="73" t="s">
        <v>55</v>
      </c>
      <c r="G341" s="73" t="s">
        <v>32</v>
      </c>
      <c r="H341" s="74" t="s">
        <v>525</v>
      </c>
      <c r="I341" s="74">
        <v>94</v>
      </c>
      <c r="J341" s="75">
        <v>0</v>
      </c>
      <c r="K341" s="76"/>
    </row>
    <row r="342" s="1" customFormat="1" ht="14.25" spans="1:11">
      <c r="A342" s="71">
        <v>3</v>
      </c>
      <c r="B342" s="72">
        <v>31</v>
      </c>
      <c r="C342" s="72">
        <v>13</v>
      </c>
      <c r="D342" s="73" t="s">
        <v>528</v>
      </c>
      <c r="E342" s="73" t="s">
        <v>48</v>
      </c>
      <c r="F342" s="73" t="s">
        <v>55</v>
      </c>
      <c r="G342" s="73" t="s">
        <v>32</v>
      </c>
      <c r="H342" s="74" t="s">
        <v>525</v>
      </c>
      <c r="I342" s="74">
        <v>66</v>
      </c>
      <c r="J342" s="75">
        <v>0</v>
      </c>
      <c r="K342" s="76"/>
    </row>
    <row r="343" s="1" customFormat="1" ht="14.25" spans="1:11">
      <c r="A343" s="71">
        <v>3</v>
      </c>
      <c r="B343" s="72">
        <v>31</v>
      </c>
      <c r="C343" s="72">
        <v>13</v>
      </c>
      <c r="D343" s="73" t="s">
        <v>275</v>
      </c>
      <c r="E343" s="73" t="s">
        <v>48</v>
      </c>
      <c r="F343" s="73" t="s">
        <v>125</v>
      </c>
      <c r="G343" s="73" t="s">
        <v>32</v>
      </c>
      <c r="H343" s="74" t="s">
        <v>529</v>
      </c>
      <c r="I343" s="74">
        <v>100</v>
      </c>
      <c r="J343" s="75">
        <v>0</v>
      </c>
      <c r="K343" s="76"/>
    </row>
    <row r="344" s="1" customFormat="1" ht="14.25" spans="1:11">
      <c r="A344" s="71">
        <v>3</v>
      </c>
      <c r="B344" s="72">
        <v>31</v>
      </c>
      <c r="C344" s="72">
        <v>13</v>
      </c>
      <c r="D344" s="73" t="s">
        <v>530</v>
      </c>
      <c r="E344" s="73" t="s">
        <v>118</v>
      </c>
      <c r="F344" s="73" t="s">
        <v>136</v>
      </c>
      <c r="G344" s="73" t="s">
        <v>32</v>
      </c>
      <c r="H344" s="74" t="s">
        <v>529</v>
      </c>
      <c r="I344" s="74">
        <v>23</v>
      </c>
      <c r="J344" s="75">
        <v>0</v>
      </c>
      <c r="K344" s="76"/>
    </row>
    <row r="345" s="1" customFormat="1" ht="14.25" spans="1:11">
      <c r="A345" s="71">
        <v>3</v>
      </c>
      <c r="B345" s="72">
        <v>31</v>
      </c>
      <c r="C345" s="72">
        <v>13</v>
      </c>
      <c r="D345" s="73" t="s">
        <v>531</v>
      </c>
      <c r="E345" s="73" t="s">
        <v>118</v>
      </c>
      <c r="F345" s="73" t="s">
        <v>136</v>
      </c>
      <c r="G345" s="73" t="s">
        <v>32</v>
      </c>
      <c r="H345" s="74" t="s">
        <v>529</v>
      </c>
      <c r="I345" s="74">
        <v>111.5</v>
      </c>
      <c r="J345" s="75">
        <v>0</v>
      </c>
      <c r="K345" s="76"/>
    </row>
    <row r="346" s="1" customFormat="1" ht="14.25" spans="1:11">
      <c r="A346" s="71">
        <v>3</v>
      </c>
      <c r="B346" s="72">
        <v>31</v>
      </c>
      <c r="C346" s="72">
        <v>13</v>
      </c>
      <c r="D346" s="73" t="s">
        <v>532</v>
      </c>
      <c r="E346" s="73" t="s">
        <v>48</v>
      </c>
      <c r="F346" s="73" t="s">
        <v>55</v>
      </c>
      <c r="G346" s="73" t="s">
        <v>32</v>
      </c>
      <c r="H346" s="74" t="s">
        <v>529</v>
      </c>
      <c r="I346" s="74">
        <v>180</v>
      </c>
      <c r="J346" s="75">
        <v>0</v>
      </c>
      <c r="K346" s="76"/>
    </row>
    <row r="347" s="1" customFormat="1" ht="14.25" spans="1:11">
      <c r="A347" s="71">
        <v>3</v>
      </c>
      <c r="B347" s="72">
        <v>31</v>
      </c>
      <c r="C347" s="72">
        <v>13</v>
      </c>
      <c r="D347" s="73" t="s">
        <v>533</v>
      </c>
      <c r="E347" s="73" t="s">
        <v>96</v>
      </c>
      <c r="F347" s="73" t="s">
        <v>97</v>
      </c>
      <c r="G347" s="73" t="s">
        <v>32</v>
      </c>
      <c r="H347" s="74" t="s">
        <v>529</v>
      </c>
      <c r="I347" s="74">
        <v>415</v>
      </c>
      <c r="J347" s="75">
        <v>0</v>
      </c>
      <c r="K347" s="76"/>
    </row>
    <row r="348" s="1" customFormat="1" ht="14.25" spans="1:11">
      <c r="A348" s="71">
        <v>3</v>
      </c>
      <c r="B348" s="72">
        <v>31</v>
      </c>
      <c r="C348" s="72">
        <v>14</v>
      </c>
      <c r="D348" s="73" t="s">
        <v>275</v>
      </c>
      <c r="E348" s="73" t="s">
        <v>48</v>
      </c>
      <c r="F348" s="73" t="s">
        <v>125</v>
      </c>
      <c r="G348" s="73" t="s">
        <v>32</v>
      </c>
      <c r="H348" s="74" t="s">
        <v>534</v>
      </c>
      <c r="I348" s="74">
        <v>110</v>
      </c>
      <c r="J348" s="75">
        <v>0</v>
      </c>
      <c r="K348" s="76"/>
    </row>
    <row r="349" s="1" customFormat="1" ht="14.25" spans="1:11">
      <c r="A349" s="71">
        <v>3</v>
      </c>
      <c r="B349" s="72">
        <v>31</v>
      </c>
      <c r="C349" s="72">
        <v>14</v>
      </c>
      <c r="D349" s="73" t="s">
        <v>535</v>
      </c>
      <c r="E349" s="73" t="s">
        <v>118</v>
      </c>
      <c r="F349" s="74" t="s">
        <v>136</v>
      </c>
      <c r="G349" s="73" t="s">
        <v>32</v>
      </c>
      <c r="H349" s="74" t="s">
        <v>534</v>
      </c>
      <c r="I349" s="74">
        <v>836</v>
      </c>
      <c r="J349" s="75">
        <v>0</v>
      </c>
      <c r="K349" s="76"/>
    </row>
    <row r="350" s="1" customFormat="1" ht="14.25" spans="1:11">
      <c r="A350" s="71">
        <v>3</v>
      </c>
      <c r="B350" s="72">
        <v>31</v>
      </c>
      <c r="C350" s="72">
        <v>14</v>
      </c>
      <c r="D350" s="73" t="s">
        <v>536</v>
      </c>
      <c r="E350" s="73" t="s">
        <v>118</v>
      </c>
      <c r="F350" s="73" t="s">
        <v>136</v>
      </c>
      <c r="G350" s="73" t="s">
        <v>32</v>
      </c>
      <c r="H350" s="74" t="s">
        <v>534</v>
      </c>
      <c r="I350" s="74">
        <v>230</v>
      </c>
      <c r="J350" s="75">
        <v>0</v>
      </c>
      <c r="K350" s="76"/>
    </row>
    <row r="351" s="1" customFormat="1" ht="14.25" spans="1:11">
      <c r="A351" s="71">
        <v>3</v>
      </c>
      <c r="B351" s="72">
        <v>31</v>
      </c>
      <c r="C351" s="72">
        <v>14</v>
      </c>
      <c r="D351" s="73" t="s">
        <v>537</v>
      </c>
      <c r="E351" s="73" t="s">
        <v>118</v>
      </c>
      <c r="F351" s="73" t="s">
        <v>136</v>
      </c>
      <c r="G351" s="73" t="s">
        <v>32</v>
      </c>
      <c r="H351" s="74" t="s">
        <v>534</v>
      </c>
      <c r="I351" s="74">
        <v>28</v>
      </c>
      <c r="J351" s="75">
        <v>0</v>
      </c>
      <c r="K351" s="76"/>
    </row>
    <row r="352" s="1" customFormat="1" ht="14.25" spans="1:11">
      <c r="A352" s="71">
        <v>3</v>
      </c>
      <c r="B352" s="72">
        <v>31</v>
      </c>
      <c r="C352" s="72">
        <v>14</v>
      </c>
      <c r="D352" s="73" t="s">
        <v>538</v>
      </c>
      <c r="E352" s="73" t="s">
        <v>118</v>
      </c>
      <c r="F352" s="73" t="s">
        <v>136</v>
      </c>
      <c r="G352" s="73" t="s">
        <v>32</v>
      </c>
      <c r="H352" s="74" t="s">
        <v>534</v>
      </c>
      <c r="I352" s="74">
        <v>25</v>
      </c>
      <c r="J352" s="75">
        <v>0</v>
      </c>
      <c r="K352" s="76"/>
    </row>
    <row r="353" s="1" customFormat="1" ht="14.25" spans="1:11">
      <c r="A353" s="71">
        <v>3</v>
      </c>
      <c r="B353" s="72">
        <v>31</v>
      </c>
      <c r="C353" s="72">
        <v>14</v>
      </c>
      <c r="D353" s="73" t="s">
        <v>539</v>
      </c>
      <c r="E353" s="73" t="s">
        <v>48</v>
      </c>
      <c r="F353" s="73" t="s">
        <v>49</v>
      </c>
      <c r="G353" s="73" t="s">
        <v>32</v>
      </c>
      <c r="H353" s="74" t="s">
        <v>540</v>
      </c>
      <c r="I353" s="74">
        <v>80</v>
      </c>
      <c r="J353" s="75">
        <v>0</v>
      </c>
      <c r="K353" s="76"/>
    </row>
    <row r="354" s="1" customFormat="1" ht="14.25" spans="1:11">
      <c r="A354" s="71">
        <v>3</v>
      </c>
      <c r="B354" s="72">
        <v>31</v>
      </c>
      <c r="C354" s="72">
        <v>14</v>
      </c>
      <c r="D354" s="73" t="s">
        <v>541</v>
      </c>
      <c r="E354" s="73" t="s">
        <v>118</v>
      </c>
      <c r="F354" s="73" t="s">
        <v>136</v>
      </c>
      <c r="G354" s="73" t="s">
        <v>32</v>
      </c>
      <c r="H354" s="74" t="s">
        <v>540</v>
      </c>
      <c r="I354" s="74">
        <v>300</v>
      </c>
      <c r="J354" s="75">
        <v>0</v>
      </c>
      <c r="K354" s="76"/>
    </row>
    <row r="355" s="1" customFormat="1" ht="14.25" spans="1:11">
      <c r="A355" s="71">
        <v>3</v>
      </c>
      <c r="B355" s="72">
        <v>31</v>
      </c>
      <c r="C355" s="72">
        <v>14</v>
      </c>
      <c r="D355" s="73" t="s">
        <v>542</v>
      </c>
      <c r="E355" s="73" t="s">
        <v>118</v>
      </c>
      <c r="F355" s="73" t="s">
        <v>136</v>
      </c>
      <c r="G355" s="73" t="s">
        <v>32</v>
      </c>
      <c r="H355" s="74" t="s">
        <v>540</v>
      </c>
      <c r="I355" s="74">
        <v>196</v>
      </c>
      <c r="J355" s="75">
        <v>0</v>
      </c>
      <c r="K355" s="76"/>
    </row>
    <row r="356" s="1" customFormat="1" ht="14.25" spans="1:11">
      <c r="A356" s="71">
        <v>3</v>
      </c>
      <c r="B356" s="72">
        <v>31</v>
      </c>
      <c r="C356" s="72">
        <v>15</v>
      </c>
      <c r="D356" s="73" t="s">
        <v>543</v>
      </c>
      <c r="E356" s="73" t="s">
        <v>96</v>
      </c>
      <c r="F356" s="73" t="s">
        <v>97</v>
      </c>
      <c r="G356" s="73" t="s">
        <v>32</v>
      </c>
      <c r="H356" s="74" t="s">
        <v>544</v>
      </c>
      <c r="I356" s="74">
        <v>620</v>
      </c>
      <c r="J356" s="75">
        <v>0</v>
      </c>
      <c r="K356" s="76"/>
    </row>
    <row r="357" s="1" customFormat="1" ht="14.25" spans="1:11">
      <c r="A357" s="71">
        <v>3</v>
      </c>
      <c r="B357" s="72">
        <v>31</v>
      </c>
      <c r="C357" s="72">
        <v>15</v>
      </c>
      <c r="D357" s="73" t="s">
        <v>545</v>
      </c>
      <c r="E357" s="73" t="s">
        <v>48</v>
      </c>
      <c r="F357" s="73" t="s">
        <v>546</v>
      </c>
      <c r="G357" s="73" t="s">
        <v>32</v>
      </c>
      <c r="H357" s="74" t="s">
        <v>544</v>
      </c>
      <c r="I357" s="74">
        <v>300</v>
      </c>
      <c r="J357" s="75">
        <v>0</v>
      </c>
      <c r="K357" s="76"/>
    </row>
    <row r="358" s="1" customFormat="1" ht="14.25" spans="1:11">
      <c r="A358" s="71">
        <v>3</v>
      </c>
      <c r="B358" s="72">
        <v>31</v>
      </c>
      <c r="C358" s="72">
        <v>15</v>
      </c>
      <c r="D358" s="73" t="s">
        <v>547</v>
      </c>
      <c r="E358" s="73" t="s">
        <v>118</v>
      </c>
      <c r="F358" s="73" t="s">
        <v>136</v>
      </c>
      <c r="G358" s="73" t="s">
        <v>32</v>
      </c>
      <c r="H358" s="74" t="s">
        <v>544</v>
      </c>
      <c r="I358" s="74">
        <v>135</v>
      </c>
      <c r="J358" s="75">
        <v>0</v>
      </c>
      <c r="K358" s="76"/>
    </row>
    <row r="359" s="1" customFormat="1" ht="14.25" spans="1:11">
      <c r="A359" s="71">
        <v>3</v>
      </c>
      <c r="B359" s="72">
        <v>31</v>
      </c>
      <c r="C359" s="72">
        <v>15</v>
      </c>
      <c r="D359" s="73" t="s">
        <v>548</v>
      </c>
      <c r="E359" s="73" t="s">
        <v>118</v>
      </c>
      <c r="F359" s="73" t="s">
        <v>136</v>
      </c>
      <c r="G359" s="73" t="s">
        <v>32</v>
      </c>
      <c r="H359" s="74" t="s">
        <v>544</v>
      </c>
      <c r="I359" s="74">
        <v>18</v>
      </c>
      <c r="J359" s="75">
        <v>0</v>
      </c>
      <c r="K359" s="76"/>
    </row>
    <row r="360" s="1" customFormat="1" ht="14.25" spans="1:11">
      <c r="A360" s="71">
        <v>3</v>
      </c>
      <c r="B360" s="72">
        <v>31</v>
      </c>
      <c r="C360" s="72">
        <v>15</v>
      </c>
      <c r="D360" s="73" t="s">
        <v>549</v>
      </c>
      <c r="E360" s="73" t="s">
        <v>96</v>
      </c>
      <c r="F360" s="73" t="s">
        <v>345</v>
      </c>
      <c r="G360" s="73" t="s">
        <v>32</v>
      </c>
      <c r="H360" s="74" t="s">
        <v>550</v>
      </c>
      <c r="I360" s="74">
        <v>260</v>
      </c>
      <c r="J360" s="75">
        <v>0</v>
      </c>
      <c r="K360" s="76"/>
    </row>
    <row r="361" s="1" customFormat="1" ht="14.25" spans="1:11">
      <c r="A361" s="71">
        <v>3</v>
      </c>
      <c r="B361" s="72">
        <v>31</v>
      </c>
      <c r="C361" s="72">
        <v>15</v>
      </c>
      <c r="D361" s="73" t="s">
        <v>551</v>
      </c>
      <c r="E361" s="73" t="s">
        <v>118</v>
      </c>
      <c r="F361" s="73" t="s">
        <v>136</v>
      </c>
      <c r="G361" s="73" t="s">
        <v>32</v>
      </c>
      <c r="H361" s="74" t="s">
        <v>550</v>
      </c>
      <c r="I361" s="74">
        <v>80</v>
      </c>
      <c r="J361" s="75">
        <v>0</v>
      </c>
      <c r="K361" s="76"/>
    </row>
    <row r="362" s="1" customFormat="1" ht="14.25" spans="1:11">
      <c r="A362" s="71">
        <v>3</v>
      </c>
      <c r="B362" s="72">
        <v>31</v>
      </c>
      <c r="C362" s="72">
        <v>15</v>
      </c>
      <c r="D362" s="73" t="s">
        <v>552</v>
      </c>
      <c r="E362" s="73" t="s">
        <v>118</v>
      </c>
      <c r="F362" s="73" t="s">
        <v>489</v>
      </c>
      <c r="G362" s="73" t="s">
        <v>32</v>
      </c>
      <c r="H362" s="74" t="s">
        <v>550</v>
      </c>
      <c r="I362" s="74">
        <v>900</v>
      </c>
      <c r="J362" s="75">
        <v>0</v>
      </c>
      <c r="K362" s="76"/>
    </row>
    <row r="363" s="1" customFormat="1" ht="14.25" spans="1:11">
      <c r="A363" s="71">
        <v>3</v>
      </c>
      <c r="B363" s="72">
        <v>31</v>
      </c>
      <c r="C363" s="72">
        <v>15</v>
      </c>
      <c r="D363" s="73" t="s">
        <v>553</v>
      </c>
      <c r="E363" s="73" t="s">
        <v>118</v>
      </c>
      <c r="F363" s="73" t="s">
        <v>489</v>
      </c>
      <c r="G363" s="73" t="s">
        <v>32</v>
      </c>
      <c r="H363" s="74" t="s">
        <v>550</v>
      </c>
      <c r="I363" s="74">
        <v>950</v>
      </c>
      <c r="J363" s="75">
        <v>0</v>
      </c>
      <c r="K363" s="76"/>
    </row>
    <row r="364" s="1" customFormat="1" ht="14.25" spans="1:11">
      <c r="A364" s="71">
        <v>3</v>
      </c>
      <c r="B364" s="72">
        <v>31</v>
      </c>
      <c r="C364" s="72">
        <v>15</v>
      </c>
      <c r="D364" s="73" t="s">
        <v>554</v>
      </c>
      <c r="E364" s="73" t="s">
        <v>118</v>
      </c>
      <c r="F364" s="74" t="s">
        <v>489</v>
      </c>
      <c r="G364" s="73" t="s">
        <v>32</v>
      </c>
      <c r="H364" s="74" t="s">
        <v>550</v>
      </c>
      <c r="I364" s="74">
        <v>135</v>
      </c>
      <c r="J364" s="75">
        <v>0</v>
      </c>
      <c r="K364" s="76"/>
    </row>
    <row r="365" s="1" customFormat="1" ht="14.25" spans="1:11">
      <c r="A365" s="71">
        <v>3</v>
      </c>
      <c r="B365" s="72">
        <v>31</v>
      </c>
      <c r="C365" s="72">
        <v>16</v>
      </c>
      <c r="D365" s="73" t="s">
        <v>555</v>
      </c>
      <c r="E365" s="73" t="s">
        <v>118</v>
      </c>
      <c r="F365" s="74" t="s">
        <v>136</v>
      </c>
      <c r="G365" s="73" t="s">
        <v>32</v>
      </c>
      <c r="H365" s="74" t="s">
        <v>556</v>
      </c>
      <c r="I365" s="74">
        <v>564</v>
      </c>
      <c r="J365" s="75">
        <v>0</v>
      </c>
      <c r="K365" s="76"/>
    </row>
    <row r="366" s="1" customFormat="1" ht="14.25" spans="1:11">
      <c r="A366" s="71">
        <v>3</v>
      </c>
      <c r="B366" s="72">
        <v>31</v>
      </c>
      <c r="C366" s="72">
        <v>16</v>
      </c>
      <c r="D366" s="73" t="s">
        <v>557</v>
      </c>
      <c r="E366" s="73" t="s">
        <v>118</v>
      </c>
      <c r="F366" s="73" t="s">
        <v>136</v>
      </c>
      <c r="G366" s="73" t="s">
        <v>32</v>
      </c>
      <c r="H366" s="74" t="s">
        <v>556</v>
      </c>
      <c r="I366" s="74">
        <v>5160</v>
      </c>
      <c r="J366" s="75">
        <v>0</v>
      </c>
      <c r="K366" s="76"/>
    </row>
    <row r="367" s="1" customFormat="1" ht="14.25" spans="1:11">
      <c r="A367" s="71">
        <v>3</v>
      </c>
      <c r="B367" s="72">
        <v>31</v>
      </c>
      <c r="C367" s="72">
        <v>16</v>
      </c>
      <c r="D367" s="73" t="s">
        <v>558</v>
      </c>
      <c r="E367" s="73" t="s">
        <v>48</v>
      </c>
      <c r="F367" s="73" t="s">
        <v>559</v>
      </c>
      <c r="G367" s="73" t="s">
        <v>32</v>
      </c>
      <c r="H367" s="74" t="s">
        <v>556</v>
      </c>
      <c r="I367" s="74">
        <v>10000</v>
      </c>
      <c r="J367" s="75">
        <v>0</v>
      </c>
      <c r="K367" s="76"/>
    </row>
    <row r="368" s="1" customFormat="1" ht="14.25" spans="1:11">
      <c r="A368" s="71">
        <v>3</v>
      </c>
      <c r="B368" s="72">
        <v>31</v>
      </c>
      <c r="C368" s="72">
        <v>16</v>
      </c>
      <c r="D368" s="73" t="s">
        <v>560</v>
      </c>
      <c r="E368" s="73" t="s">
        <v>96</v>
      </c>
      <c r="F368" s="73" t="s">
        <v>97</v>
      </c>
      <c r="G368" s="73" t="s">
        <v>32</v>
      </c>
      <c r="H368" s="74" t="s">
        <v>561</v>
      </c>
      <c r="I368" s="74">
        <v>214</v>
      </c>
      <c r="J368" s="75">
        <v>0</v>
      </c>
      <c r="K368" s="76"/>
    </row>
    <row r="369" s="1" customFormat="1" ht="14.25" spans="1:11">
      <c r="A369" s="71">
        <v>3</v>
      </c>
      <c r="B369" s="72">
        <v>31</v>
      </c>
      <c r="C369" s="72">
        <v>16</v>
      </c>
      <c r="D369" s="73" t="s">
        <v>562</v>
      </c>
      <c r="E369" s="73" t="s">
        <v>96</v>
      </c>
      <c r="F369" s="74" t="s">
        <v>97</v>
      </c>
      <c r="G369" s="73" t="s">
        <v>32</v>
      </c>
      <c r="H369" s="74" t="s">
        <v>561</v>
      </c>
      <c r="I369" s="74">
        <v>245</v>
      </c>
      <c r="J369" s="75">
        <v>0</v>
      </c>
      <c r="K369" s="76"/>
    </row>
    <row r="370" s="1" customFormat="1" ht="14.25" spans="1:11">
      <c r="A370" s="71">
        <v>3</v>
      </c>
      <c r="B370" s="72">
        <v>31</v>
      </c>
      <c r="C370" s="72">
        <v>16</v>
      </c>
      <c r="D370" s="73" t="s">
        <v>555</v>
      </c>
      <c r="E370" s="73" t="s">
        <v>118</v>
      </c>
      <c r="F370" s="74" t="s">
        <v>136</v>
      </c>
      <c r="G370" s="73" t="s">
        <v>32</v>
      </c>
      <c r="H370" s="74" t="s">
        <v>561</v>
      </c>
      <c r="I370" s="74">
        <v>271</v>
      </c>
      <c r="J370" s="75">
        <v>0</v>
      </c>
      <c r="K370" s="76"/>
    </row>
    <row r="371" s="1" customFormat="1" ht="14.25" spans="1:11">
      <c r="A371" s="71">
        <v>3</v>
      </c>
      <c r="B371" s="72">
        <v>31</v>
      </c>
      <c r="C371" s="72">
        <v>16</v>
      </c>
      <c r="D371" s="73" t="s">
        <v>536</v>
      </c>
      <c r="E371" s="73" t="s">
        <v>118</v>
      </c>
      <c r="F371" s="73" t="s">
        <v>136</v>
      </c>
      <c r="G371" s="73" t="s">
        <v>32</v>
      </c>
      <c r="H371" s="74" t="s">
        <v>561</v>
      </c>
      <c r="I371" s="74">
        <v>230</v>
      </c>
      <c r="J371" s="75">
        <v>0</v>
      </c>
      <c r="K371" s="76"/>
    </row>
    <row r="372" s="1" customFormat="1" ht="14.25" spans="1:11">
      <c r="A372" s="71">
        <v>3</v>
      </c>
      <c r="B372" s="72">
        <v>31</v>
      </c>
      <c r="C372" s="72">
        <v>16</v>
      </c>
      <c r="D372" s="73" t="s">
        <v>563</v>
      </c>
      <c r="E372" s="73" t="s">
        <v>118</v>
      </c>
      <c r="F372" s="73" t="s">
        <v>136</v>
      </c>
      <c r="G372" s="73" t="s">
        <v>32</v>
      </c>
      <c r="H372" s="74" t="s">
        <v>561</v>
      </c>
      <c r="I372" s="74">
        <v>155</v>
      </c>
      <c r="J372" s="75">
        <v>0</v>
      </c>
      <c r="K372" s="76"/>
    </row>
    <row r="373" s="1" customFormat="1" ht="14.25" spans="1:11">
      <c r="A373" s="71">
        <v>3</v>
      </c>
      <c r="B373" s="72">
        <v>31</v>
      </c>
      <c r="C373" s="72">
        <v>17</v>
      </c>
      <c r="D373" s="73" t="s">
        <v>564</v>
      </c>
      <c r="E373" s="73" t="s">
        <v>96</v>
      </c>
      <c r="F373" s="74" t="s">
        <v>97</v>
      </c>
      <c r="G373" s="73" t="s">
        <v>32</v>
      </c>
      <c r="H373" s="74" t="s">
        <v>565</v>
      </c>
      <c r="I373" s="74">
        <v>291</v>
      </c>
      <c r="J373" s="75">
        <v>0</v>
      </c>
      <c r="K373" s="76"/>
    </row>
    <row r="374" s="1" customFormat="1" ht="14.25" spans="1:11">
      <c r="A374" s="71">
        <v>3</v>
      </c>
      <c r="B374" s="72">
        <v>31</v>
      </c>
      <c r="C374" s="72">
        <v>17</v>
      </c>
      <c r="D374" s="73" t="s">
        <v>562</v>
      </c>
      <c r="E374" s="73" t="s">
        <v>96</v>
      </c>
      <c r="F374" s="73" t="s">
        <v>97</v>
      </c>
      <c r="G374" s="73" t="s">
        <v>32</v>
      </c>
      <c r="H374" s="74" t="s">
        <v>565</v>
      </c>
      <c r="I374" s="74">
        <v>96</v>
      </c>
      <c r="J374" s="75">
        <v>0</v>
      </c>
      <c r="K374" s="76"/>
    </row>
    <row r="375" s="1" customFormat="1" ht="14.25" spans="1:11">
      <c r="A375" s="71">
        <v>3</v>
      </c>
      <c r="B375" s="72">
        <v>31</v>
      </c>
      <c r="C375" s="72">
        <v>17</v>
      </c>
      <c r="D375" s="73" t="s">
        <v>566</v>
      </c>
      <c r="E375" s="73" t="s">
        <v>48</v>
      </c>
      <c r="F375" s="73" t="s">
        <v>125</v>
      </c>
      <c r="G375" s="73" t="s">
        <v>32</v>
      </c>
      <c r="H375" s="74" t="s">
        <v>565</v>
      </c>
      <c r="I375" s="74">
        <v>193</v>
      </c>
      <c r="J375" s="75">
        <v>0</v>
      </c>
      <c r="K375" s="76"/>
    </row>
    <row r="376" s="1" customFormat="1" ht="14.25" spans="1:11">
      <c r="A376" s="71">
        <v>3</v>
      </c>
      <c r="B376" s="72">
        <v>31</v>
      </c>
      <c r="C376" s="72">
        <v>17</v>
      </c>
      <c r="D376" s="73" t="s">
        <v>567</v>
      </c>
      <c r="E376" s="73" t="s">
        <v>48</v>
      </c>
      <c r="F376" s="73" t="s">
        <v>125</v>
      </c>
      <c r="G376" s="73" t="s">
        <v>32</v>
      </c>
      <c r="H376" s="74" t="s">
        <v>565</v>
      </c>
      <c r="I376" s="74">
        <v>20</v>
      </c>
      <c r="J376" s="75">
        <v>0</v>
      </c>
      <c r="K376" s="76"/>
    </row>
    <row r="377" s="1" customFormat="1" ht="14.25" spans="1:11">
      <c r="A377" s="71">
        <v>3</v>
      </c>
      <c r="B377" s="72">
        <v>31</v>
      </c>
      <c r="C377" s="72">
        <v>17</v>
      </c>
      <c r="D377" s="73" t="s">
        <v>568</v>
      </c>
      <c r="E377" s="73" t="s">
        <v>48</v>
      </c>
      <c r="F377" s="74" t="s">
        <v>125</v>
      </c>
      <c r="G377" s="73" t="s">
        <v>32</v>
      </c>
      <c r="H377" s="74" t="s">
        <v>565</v>
      </c>
      <c r="I377" s="74">
        <v>60</v>
      </c>
      <c r="J377" s="75">
        <v>0</v>
      </c>
      <c r="K377" s="76"/>
    </row>
    <row r="378" s="1" customFormat="1" ht="14.25" spans="1:11">
      <c r="A378" s="71">
        <v>3</v>
      </c>
      <c r="B378" s="72">
        <v>31</v>
      </c>
      <c r="C378" s="72">
        <v>17</v>
      </c>
      <c r="D378" s="73" t="s">
        <v>569</v>
      </c>
      <c r="E378" s="73" t="s">
        <v>118</v>
      </c>
      <c r="F378" s="73" t="s">
        <v>136</v>
      </c>
      <c r="G378" s="73" t="s">
        <v>32</v>
      </c>
      <c r="H378" s="74" t="s">
        <v>570</v>
      </c>
      <c r="I378" s="74">
        <v>320</v>
      </c>
      <c r="J378" s="75">
        <v>0</v>
      </c>
      <c r="K378" s="76"/>
    </row>
    <row r="379" s="1" customFormat="1" ht="14.25" spans="1:11">
      <c r="A379" s="71">
        <v>3</v>
      </c>
      <c r="B379" s="72">
        <v>31</v>
      </c>
      <c r="C379" s="72">
        <v>17</v>
      </c>
      <c r="D379" s="73" t="s">
        <v>571</v>
      </c>
      <c r="E379" s="73" t="s">
        <v>118</v>
      </c>
      <c r="F379" s="73" t="s">
        <v>154</v>
      </c>
      <c r="G379" s="73" t="s">
        <v>32</v>
      </c>
      <c r="H379" s="74" t="s">
        <v>570</v>
      </c>
      <c r="I379" s="74">
        <v>9730</v>
      </c>
      <c r="J379" s="75">
        <v>0</v>
      </c>
      <c r="K379" s="76"/>
    </row>
    <row r="380" s="1" customFormat="1" ht="14.25" spans="1:11">
      <c r="A380" s="71">
        <v>3</v>
      </c>
      <c r="B380" s="72">
        <v>31</v>
      </c>
      <c r="C380" s="72">
        <v>17</v>
      </c>
      <c r="D380" s="73" t="s">
        <v>572</v>
      </c>
      <c r="E380" s="73" t="s">
        <v>118</v>
      </c>
      <c r="F380" s="73" t="s">
        <v>154</v>
      </c>
      <c r="G380" s="73" t="s">
        <v>32</v>
      </c>
      <c r="H380" s="74" t="s">
        <v>570</v>
      </c>
      <c r="I380" s="74">
        <v>8205</v>
      </c>
      <c r="J380" s="75">
        <v>0</v>
      </c>
      <c r="K380" s="76"/>
    </row>
    <row r="381" s="1" customFormat="1" ht="14.25" spans="1:11">
      <c r="A381" s="71">
        <v>3</v>
      </c>
      <c r="B381" s="72">
        <v>31</v>
      </c>
      <c r="C381" s="72">
        <v>18</v>
      </c>
      <c r="D381" s="73" t="s">
        <v>573</v>
      </c>
      <c r="E381" s="73" t="s">
        <v>96</v>
      </c>
      <c r="F381" s="73" t="s">
        <v>443</v>
      </c>
      <c r="G381" s="73" t="s">
        <v>32</v>
      </c>
      <c r="H381" s="74" t="s">
        <v>574</v>
      </c>
      <c r="I381" s="74">
        <v>3</v>
      </c>
      <c r="J381" s="75">
        <v>0</v>
      </c>
      <c r="K381" s="76"/>
    </row>
    <row r="382" s="1" customFormat="1" ht="14.25" spans="1:11">
      <c r="A382" s="71">
        <v>3</v>
      </c>
      <c r="B382" s="72">
        <v>31</v>
      </c>
      <c r="C382" s="72">
        <v>18</v>
      </c>
      <c r="D382" s="73" t="s">
        <v>575</v>
      </c>
      <c r="E382" s="73" t="s">
        <v>48</v>
      </c>
      <c r="F382" s="74" t="s">
        <v>125</v>
      </c>
      <c r="G382" s="73" t="s">
        <v>32</v>
      </c>
      <c r="H382" s="74" t="s">
        <v>574</v>
      </c>
      <c r="I382" s="74">
        <v>16</v>
      </c>
      <c r="J382" s="75">
        <v>0</v>
      </c>
      <c r="K382" s="76"/>
    </row>
    <row r="383" s="1" customFormat="1" ht="14.25" spans="1:11">
      <c r="A383" s="71">
        <v>3</v>
      </c>
      <c r="B383" s="72">
        <v>31</v>
      </c>
      <c r="C383" s="72">
        <v>18</v>
      </c>
      <c r="D383" s="73" t="s">
        <v>562</v>
      </c>
      <c r="E383" s="73" t="s">
        <v>96</v>
      </c>
      <c r="F383" s="73" t="s">
        <v>97</v>
      </c>
      <c r="G383" s="73" t="s">
        <v>32</v>
      </c>
      <c r="H383" s="74" t="s">
        <v>574</v>
      </c>
      <c r="I383" s="74">
        <v>160</v>
      </c>
      <c r="J383" s="75">
        <v>0</v>
      </c>
      <c r="K383" s="76"/>
    </row>
    <row r="384" s="1" customFormat="1" ht="14.25" spans="1:11">
      <c r="A384" s="71">
        <v>3</v>
      </c>
      <c r="B384" s="72">
        <v>31</v>
      </c>
      <c r="C384" s="72">
        <v>18</v>
      </c>
      <c r="D384" s="73" t="s">
        <v>576</v>
      </c>
      <c r="E384" s="73" t="s">
        <v>48</v>
      </c>
      <c r="F384" s="73" t="s">
        <v>207</v>
      </c>
      <c r="G384" s="73" t="s">
        <v>32</v>
      </c>
      <c r="H384" s="74" t="s">
        <v>574</v>
      </c>
      <c r="I384" s="74">
        <v>1200</v>
      </c>
      <c r="J384" s="75">
        <v>0</v>
      </c>
      <c r="K384" s="76"/>
    </row>
    <row r="385" s="1" customFormat="1" ht="14.25" spans="1:11">
      <c r="A385" s="71">
        <v>3</v>
      </c>
      <c r="B385" s="72">
        <v>31</v>
      </c>
      <c r="C385" s="72">
        <v>18</v>
      </c>
      <c r="D385" s="73" t="s">
        <v>577</v>
      </c>
      <c r="E385" s="73" t="s">
        <v>48</v>
      </c>
      <c r="F385" s="74" t="s">
        <v>207</v>
      </c>
      <c r="G385" s="73" t="s">
        <v>32</v>
      </c>
      <c r="H385" s="74" t="s">
        <v>574</v>
      </c>
      <c r="I385" s="74">
        <v>700</v>
      </c>
      <c r="J385" s="75">
        <v>0</v>
      </c>
      <c r="K385" s="76"/>
    </row>
    <row r="386" s="1" customFormat="1" ht="14.25" spans="1:11">
      <c r="A386" s="71">
        <v>3</v>
      </c>
      <c r="B386" s="72">
        <v>31</v>
      </c>
      <c r="C386" s="72">
        <v>18</v>
      </c>
      <c r="D386" s="73" t="s">
        <v>578</v>
      </c>
      <c r="E386" s="73" t="s">
        <v>96</v>
      </c>
      <c r="F386" s="73" t="s">
        <v>55</v>
      </c>
      <c r="G386" s="73" t="s">
        <v>32</v>
      </c>
      <c r="H386" s="74" t="s">
        <v>579</v>
      </c>
      <c r="I386" s="74">
        <v>392</v>
      </c>
      <c r="J386" s="75">
        <v>0</v>
      </c>
      <c r="K386" s="76"/>
    </row>
    <row r="387" s="1" customFormat="1" ht="14.25" spans="1:11">
      <c r="A387" s="71">
        <v>3</v>
      </c>
      <c r="B387" s="72">
        <v>31</v>
      </c>
      <c r="C387" s="72">
        <v>18</v>
      </c>
      <c r="D387" s="73" t="s">
        <v>580</v>
      </c>
      <c r="E387" s="73" t="s">
        <v>96</v>
      </c>
      <c r="F387" s="73" t="s">
        <v>55</v>
      </c>
      <c r="G387" s="73" t="s">
        <v>32</v>
      </c>
      <c r="H387" s="74" t="s">
        <v>579</v>
      </c>
      <c r="I387" s="74">
        <v>449</v>
      </c>
      <c r="J387" s="75">
        <v>0</v>
      </c>
      <c r="K387" s="76"/>
    </row>
    <row r="388" s="1" customFormat="1" ht="14.25" spans="1:11">
      <c r="A388" s="71">
        <v>3</v>
      </c>
      <c r="B388" s="72">
        <v>31</v>
      </c>
      <c r="C388" s="72">
        <v>18</v>
      </c>
      <c r="D388" s="73" t="s">
        <v>581</v>
      </c>
      <c r="E388" s="73" t="s">
        <v>48</v>
      </c>
      <c r="F388" s="73" t="s">
        <v>383</v>
      </c>
      <c r="G388" s="73" t="s">
        <v>32</v>
      </c>
      <c r="H388" s="74" t="s">
        <v>579</v>
      </c>
      <c r="I388" s="74">
        <v>234</v>
      </c>
      <c r="J388" s="75">
        <v>0</v>
      </c>
      <c r="K388" s="76"/>
    </row>
    <row r="389" s="1" customFormat="1" ht="14.25" spans="1:11">
      <c r="A389" s="71">
        <v>3</v>
      </c>
      <c r="B389" s="72">
        <v>31</v>
      </c>
      <c r="C389" s="72">
        <v>18</v>
      </c>
      <c r="D389" s="73" t="s">
        <v>582</v>
      </c>
      <c r="E389" s="73" t="s">
        <v>48</v>
      </c>
      <c r="F389" s="74" t="s">
        <v>55</v>
      </c>
      <c r="G389" s="73" t="s">
        <v>32</v>
      </c>
      <c r="H389" s="74" t="s">
        <v>579</v>
      </c>
      <c r="I389" s="74">
        <v>280</v>
      </c>
      <c r="J389" s="75">
        <v>0</v>
      </c>
      <c r="K389" s="76"/>
    </row>
    <row r="390" s="1" customFormat="1" ht="14.25" spans="1:11">
      <c r="A390" s="71">
        <v>3</v>
      </c>
      <c r="B390" s="72">
        <v>31</v>
      </c>
      <c r="C390" s="72">
        <v>18</v>
      </c>
      <c r="D390" s="73" t="s">
        <v>583</v>
      </c>
      <c r="E390" s="73" t="s">
        <v>48</v>
      </c>
      <c r="F390" s="73" t="s">
        <v>55</v>
      </c>
      <c r="G390" s="73" t="s">
        <v>32</v>
      </c>
      <c r="H390" s="74" t="s">
        <v>579</v>
      </c>
      <c r="I390" s="74">
        <v>50</v>
      </c>
      <c r="J390" s="75">
        <v>0</v>
      </c>
      <c r="K390" s="76"/>
    </row>
    <row r="391" s="1" customFormat="1" ht="14.25" spans="1:11">
      <c r="A391" s="71">
        <v>3</v>
      </c>
      <c r="B391" s="72">
        <v>31</v>
      </c>
      <c r="C391" s="72">
        <v>19</v>
      </c>
      <c r="D391" s="73" t="s">
        <v>562</v>
      </c>
      <c r="E391" s="73" t="s">
        <v>96</v>
      </c>
      <c r="F391" s="73" t="s">
        <v>97</v>
      </c>
      <c r="G391" s="73" t="s">
        <v>32</v>
      </c>
      <c r="H391" s="74" t="s">
        <v>584</v>
      </c>
      <c r="I391" s="74">
        <v>198</v>
      </c>
      <c r="J391" s="75">
        <v>0</v>
      </c>
      <c r="K391" s="76"/>
    </row>
    <row r="392" s="1" customFormat="1" ht="14.25" spans="1:11">
      <c r="A392" s="71">
        <v>3</v>
      </c>
      <c r="B392" s="72">
        <v>31</v>
      </c>
      <c r="C392" s="72">
        <v>19</v>
      </c>
      <c r="D392" s="73" t="s">
        <v>585</v>
      </c>
      <c r="E392" s="73" t="s">
        <v>48</v>
      </c>
      <c r="F392" s="73" t="s">
        <v>55</v>
      </c>
      <c r="G392" s="73" t="s">
        <v>32</v>
      </c>
      <c r="H392" s="74" t="s">
        <v>584</v>
      </c>
      <c r="I392" s="74">
        <v>140</v>
      </c>
      <c r="J392" s="75">
        <v>0</v>
      </c>
      <c r="K392" s="76"/>
    </row>
    <row r="393" s="1" customFormat="1" ht="14.25" spans="1:11">
      <c r="A393" s="71">
        <v>3</v>
      </c>
      <c r="B393" s="72">
        <v>31</v>
      </c>
      <c r="C393" s="72">
        <v>19</v>
      </c>
      <c r="D393" s="73" t="s">
        <v>586</v>
      </c>
      <c r="E393" s="73" t="s">
        <v>37</v>
      </c>
      <c r="F393" s="73">
        <v>0</v>
      </c>
      <c r="G393" s="73" t="s">
        <v>32</v>
      </c>
      <c r="H393" s="74" t="s">
        <v>584</v>
      </c>
      <c r="I393" s="74">
        <v>2712</v>
      </c>
      <c r="J393" s="75">
        <v>0</v>
      </c>
      <c r="K393" s="76"/>
    </row>
    <row r="394" s="1" customFormat="1" ht="14.25" spans="1:11">
      <c r="A394" s="71">
        <v>3</v>
      </c>
      <c r="B394" s="72">
        <v>31</v>
      </c>
      <c r="C394" s="72">
        <v>19</v>
      </c>
      <c r="D394" s="73" t="s">
        <v>587</v>
      </c>
      <c r="E394" s="73" t="s">
        <v>37</v>
      </c>
      <c r="F394" s="73">
        <v>0</v>
      </c>
      <c r="G394" s="73" t="s">
        <v>32</v>
      </c>
      <c r="H394" s="74" t="s">
        <v>584</v>
      </c>
      <c r="I394" s="74">
        <v>2840</v>
      </c>
      <c r="J394" s="75">
        <v>0</v>
      </c>
      <c r="K394" s="76"/>
    </row>
    <row r="395" s="1" customFormat="1" ht="14.25" spans="1:11">
      <c r="A395" s="71">
        <v>3</v>
      </c>
      <c r="B395" s="72">
        <v>31</v>
      </c>
      <c r="C395" s="72">
        <v>19</v>
      </c>
      <c r="D395" s="73" t="s">
        <v>588</v>
      </c>
      <c r="E395" s="73" t="s">
        <v>48</v>
      </c>
      <c r="F395" s="73" t="s">
        <v>55</v>
      </c>
      <c r="G395" s="73" t="s">
        <v>32</v>
      </c>
      <c r="H395" s="74" t="s">
        <v>589</v>
      </c>
      <c r="I395" s="74">
        <v>200</v>
      </c>
      <c r="J395" s="75">
        <v>0</v>
      </c>
      <c r="K395" s="76"/>
    </row>
    <row r="396" s="1" customFormat="1" ht="14.25" spans="1:11">
      <c r="A396" s="71">
        <v>3</v>
      </c>
      <c r="B396" s="72">
        <v>31</v>
      </c>
      <c r="C396" s="72">
        <v>19</v>
      </c>
      <c r="D396" s="73" t="s">
        <v>590</v>
      </c>
      <c r="E396" s="73" t="s">
        <v>96</v>
      </c>
      <c r="F396" s="73" t="s">
        <v>345</v>
      </c>
      <c r="G396" s="73" t="s">
        <v>32</v>
      </c>
      <c r="H396" s="74" t="s">
        <v>589</v>
      </c>
      <c r="I396" s="74">
        <v>104</v>
      </c>
      <c r="J396" s="75">
        <v>0</v>
      </c>
      <c r="K396" s="76"/>
    </row>
    <row r="397" s="1" customFormat="1" ht="14.25" spans="1:11">
      <c r="A397" s="71">
        <v>3</v>
      </c>
      <c r="B397" s="72">
        <v>31</v>
      </c>
      <c r="C397" s="72">
        <v>19</v>
      </c>
      <c r="D397" s="73" t="s">
        <v>591</v>
      </c>
      <c r="E397" s="73" t="s">
        <v>118</v>
      </c>
      <c r="F397" s="74" t="s">
        <v>136</v>
      </c>
      <c r="G397" s="73" t="s">
        <v>32</v>
      </c>
      <c r="H397" s="74" t="s">
        <v>589</v>
      </c>
      <c r="I397" s="74">
        <v>726</v>
      </c>
      <c r="J397" s="75">
        <v>0</v>
      </c>
      <c r="K397" s="76"/>
    </row>
    <row r="398" s="1" customFormat="1" ht="14.25" spans="1:11">
      <c r="A398" s="71">
        <v>3</v>
      </c>
      <c r="B398" s="72">
        <v>31</v>
      </c>
      <c r="C398" s="72">
        <v>19</v>
      </c>
      <c r="D398" s="73" t="s">
        <v>592</v>
      </c>
      <c r="E398" s="73" t="s">
        <v>118</v>
      </c>
      <c r="F398" s="73" t="s">
        <v>136</v>
      </c>
      <c r="G398" s="73" t="s">
        <v>32</v>
      </c>
      <c r="H398" s="74" t="s">
        <v>589</v>
      </c>
      <c r="I398" s="74">
        <v>1967</v>
      </c>
      <c r="J398" s="75">
        <v>0</v>
      </c>
      <c r="K398" s="76"/>
    </row>
    <row r="399" s="1" customFormat="1" ht="14.25" spans="1:11">
      <c r="A399" s="71">
        <v>3</v>
      </c>
      <c r="B399" s="72">
        <v>31</v>
      </c>
      <c r="C399" s="72">
        <v>20</v>
      </c>
      <c r="D399" s="73" t="s">
        <v>593</v>
      </c>
      <c r="E399" s="73" t="s">
        <v>118</v>
      </c>
      <c r="F399" s="73" t="s">
        <v>136</v>
      </c>
      <c r="G399" s="73" t="s">
        <v>32</v>
      </c>
      <c r="H399" s="74" t="s">
        <v>594</v>
      </c>
      <c r="I399" s="74">
        <v>15.5</v>
      </c>
      <c r="J399" s="75">
        <v>0</v>
      </c>
      <c r="K399" s="76"/>
    </row>
    <row r="400" s="1" customFormat="1" ht="14.25" spans="1:11">
      <c r="A400" s="71">
        <v>3</v>
      </c>
      <c r="B400" s="72">
        <v>31</v>
      </c>
      <c r="C400" s="72">
        <v>20</v>
      </c>
      <c r="D400" s="73" t="s">
        <v>595</v>
      </c>
      <c r="E400" s="73" t="s">
        <v>118</v>
      </c>
      <c r="F400" s="74" t="s">
        <v>136</v>
      </c>
      <c r="G400" s="73" t="s">
        <v>32</v>
      </c>
      <c r="H400" s="74" t="s">
        <v>594</v>
      </c>
      <c r="I400" s="74">
        <v>55</v>
      </c>
      <c r="J400" s="75">
        <v>0</v>
      </c>
      <c r="K400" s="76"/>
    </row>
    <row r="401" s="1" customFormat="1" ht="14.25" spans="1:11">
      <c r="A401" s="71">
        <v>3</v>
      </c>
      <c r="B401" s="72">
        <v>31</v>
      </c>
      <c r="C401" s="72">
        <v>20</v>
      </c>
      <c r="D401" s="73" t="s">
        <v>596</v>
      </c>
      <c r="E401" s="73" t="s">
        <v>48</v>
      </c>
      <c r="F401" s="73" t="s">
        <v>207</v>
      </c>
      <c r="G401" s="73" t="s">
        <v>32</v>
      </c>
      <c r="H401" s="74" t="s">
        <v>594</v>
      </c>
      <c r="I401" s="74">
        <v>984</v>
      </c>
      <c r="J401" s="75">
        <v>0</v>
      </c>
      <c r="K401" s="76"/>
    </row>
    <row r="402" s="1" customFormat="1" ht="14.25" spans="1:11">
      <c r="A402" s="71">
        <v>3</v>
      </c>
      <c r="B402" s="72">
        <v>31</v>
      </c>
      <c r="C402" s="72">
        <v>20</v>
      </c>
      <c r="D402" s="73" t="s">
        <v>597</v>
      </c>
      <c r="E402" s="73" t="s">
        <v>48</v>
      </c>
      <c r="F402" s="73" t="s">
        <v>207</v>
      </c>
      <c r="G402" s="73" t="s">
        <v>32</v>
      </c>
      <c r="H402" s="74" t="s">
        <v>594</v>
      </c>
      <c r="I402" s="74">
        <v>2700</v>
      </c>
      <c r="J402" s="75">
        <v>0</v>
      </c>
      <c r="K402" s="76"/>
    </row>
    <row r="403" s="1" customFormat="1" ht="14.25" spans="1:11">
      <c r="A403" s="71">
        <v>3</v>
      </c>
      <c r="B403" s="72">
        <v>31</v>
      </c>
      <c r="C403" s="72">
        <v>20</v>
      </c>
      <c r="D403" s="73" t="s">
        <v>562</v>
      </c>
      <c r="E403" s="73" t="s">
        <v>96</v>
      </c>
      <c r="F403" s="73" t="s">
        <v>97</v>
      </c>
      <c r="G403" s="73" t="s">
        <v>32</v>
      </c>
      <c r="H403" s="74" t="s">
        <v>598</v>
      </c>
      <c r="I403" s="74">
        <v>250</v>
      </c>
      <c r="J403" s="75">
        <v>0</v>
      </c>
      <c r="K403" s="76"/>
    </row>
    <row r="404" s="1" customFormat="1" ht="14.25" spans="1:11">
      <c r="A404" s="71">
        <v>3</v>
      </c>
      <c r="B404" s="72">
        <v>31</v>
      </c>
      <c r="C404" s="72">
        <v>20</v>
      </c>
      <c r="D404" s="73" t="s">
        <v>275</v>
      </c>
      <c r="E404" s="73" t="s">
        <v>48</v>
      </c>
      <c r="F404" s="73" t="s">
        <v>125</v>
      </c>
      <c r="G404" s="73" t="s">
        <v>32</v>
      </c>
      <c r="H404" s="74" t="s">
        <v>598</v>
      </c>
      <c r="I404" s="74">
        <v>100</v>
      </c>
      <c r="J404" s="75">
        <v>0</v>
      </c>
      <c r="K404" s="76"/>
    </row>
    <row r="405" s="1" customFormat="1" ht="14.25" spans="1:11">
      <c r="A405" s="71">
        <v>3</v>
      </c>
      <c r="B405" s="72">
        <v>31</v>
      </c>
      <c r="C405" s="72">
        <v>20</v>
      </c>
      <c r="D405" s="73" t="s">
        <v>599</v>
      </c>
      <c r="E405" s="73" t="s">
        <v>118</v>
      </c>
      <c r="F405" s="73" t="s">
        <v>136</v>
      </c>
      <c r="G405" s="73" t="s">
        <v>32</v>
      </c>
      <c r="H405" s="74" t="s">
        <v>598</v>
      </c>
      <c r="I405" s="74">
        <v>1620</v>
      </c>
      <c r="J405" s="75">
        <v>0</v>
      </c>
      <c r="K405" s="76"/>
    </row>
    <row r="406" s="1" customFormat="1" ht="14.25" spans="1:11">
      <c r="A406" s="71">
        <v>3</v>
      </c>
      <c r="B406" s="72">
        <v>31</v>
      </c>
      <c r="C406" s="72">
        <v>20</v>
      </c>
      <c r="D406" s="73" t="s">
        <v>600</v>
      </c>
      <c r="E406" s="73" t="s">
        <v>118</v>
      </c>
      <c r="F406" s="73" t="s">
        <v>136</v>
      </c>
      <c r="G406" s="73" t="s">
        <v>32</v>
      </c>
      <c r="H406" s="74" t="s">
        <v>598</v>
      </c>
      <c r="I406" s="74">
        <v>2480</v>
      </c>
      <c r="J406" s="75">
        <v>0</v>
      </c>
      <c r="K406" s="76"/>
    </row>
    <row r="407" s="1" customFormat="1" ht="14.25" spans="1:11">
      <c r="A407" s="71">
        <v>3</v>
      </c>
      <c r="B407" s="72">
        <v>31</v>
      </c>
      <c r="C407" s="72">
        <v>20</v>
      </c>
      <c r="D407" s="73" t="s">
        <v>601</v>
      </c>
      <c r="E407" s="73" t="s">
        <v>118</v>
      </c>
      <c r="F407" s="73" t="s">
        <v>136</v>
      </c>
      <c r="G407" s="73" t="s">
        <v>32</v>
      </c>
      <c r="H407" s="74" t="s">
        <v>598</v>
      </c>
      <c r="I407" s="74">
        <v>9000</v>
      </c>
      <c r="J407" s="75">
        <v>0</v>
      </c>
      <c r="K407" s="76"/>
    </row>
    <row r="408" s="1" customFormat="1" ht="14.25" spans="1:11">
      <c r="A408" s="71">
        <v>3</v>
      </c>
      <c r="B408" s="72">
        <v>31</v>
      </c>
      <c r="C408" s="72">
        <v>21</v>
      </c>
      <c r="D408" s="73" t="s">
        <v>275</v>
      </c>
      <c r="E408" s="73" t="s">
        <v>48</v>
      </c>
      <c r="F408" s="73" t="s">
        <v>125</v>
      </c>
      <c r="G408" s="73" t="s">
        <v>32</v>
      </c>
      <c r="H408" s="74" t="s">
        <v>602</v>
      </c>
      <c r="I408" s="74">
        <v>93</v>
      </c>
      <c r="J408" s="75">
        <v>0</v>
      </c>
      <c r="K408" s="76"/>
    </row>
    <row r="409" s="1" customFormat="1" ht="14.25" spans="1:11">
      <c r="A409" s="71">
        <v>3</v>
      </c>
      <c r="B409" s="72">
        <v>31</v>
      </c>
      <c r="C409" s="72">
        <v>21</v>
      </c>
      <c r="D409" s="73" t="s">
        <v>603</v>
      </c>
      <c r="E409" s="73" t="s">
        <v>96</v>
      </c>
      <c r="F409" s="73" t="s">
        <v>345</v>
      </c>
      <c r="G409" s="73" t="s">
        <v>32</v>
      </c>
      <c r="H409" s="74" t="s">
        <v>602</v>
      </c>
      <c r="I409" s="74">
        <v>52</v>
      </c>
      <c r="J409" s="75">
        <v>0</v>
      </c>
      <c r="K409" s="76"/>
    </row>
    <row r="410" s="1" customFormat="1" ht="14.25" spans="1:11">
      <c r="A410" s="71">
        <v>3</v>
      </c>
      <c r="B410" s="72">
        <v>31</v>
      </c>
      <c r="C410" s="72">
        <v>21</v>
      </c>
      <c r="D410" s="73" t="s">
        <v>562</v>
      </c>
      <c r="E410" s="73" t="s">
        <v>96</v>
      </c>
      <c r="F410" s="73" t="s">
        <v>97</v>
      </c>
      <c r="G410" s="73" t="s">
        <v>32</v>
      </c>
      <c r="H410" s="74" t="s">
        <v>602</v>
      </c>
      <c r="I410" s="74">
        <v>266</v>
      </c>
      <c r="J410" s="75">
        <v>0</v>
      </c>
      <c r="K410" s="76"/>
    </row>
    <row r="411" s="1" customFormat="1" ht="14.25" spans="1:11">
      <c r="A411" s="71">
        <v>3</v>
      </c>
      <c r="B411" s="72">
        <v>31</v>
      </c>
      <c r="C411" s="72">
        <v>21</v>
      </c>
      <c r="D411" s="73" t="s">
        <v>604</v>
      </c>
      <c r="E411" s="73" t="s">
        <v>48</v>
      </c>
      <c r="F411" s="73" t="s">
        <v>55</v>
      </c>
      <c r="G411" s="73" t="s">
        <v>32</v>
      </c>
      <c r="H411" s="74" t="s">
        <v>602</v>
      </c>
      <c r="I411" s="74">
        <v>60</v>
      </c>
      <c r="J411" s="75">
        <v>0</v>
      </c>
      <c r="K411" s="76"/>
    </row>
    <row r="412" s="1" customFormat="1" ht="14.25" spans="1:11">
      <c r="A412" s="71">
        <v>3</v>
      </c>
      <c r="B412" s="72">
        <v>31</v>
      </c>
      <c r="C412" s="72">
        <v>21</v>
      </c>
      <c r="D412" s="73" t="s">
        <v>605</v>
      </c>
      <c r="E412" s="73" t="s">
        <v>48</v>
      </c>
      <c r="F412" s="73" t="s">
        <v>55</v>
      </c>
      <c r="G412" s="73" t="s">
        <v>32</v>
      </c>
      <c r="H412" s="74" t="s">
        <v>602</v>
      </c>
      <c r="I412" s="74">
        <v>250</v>
      </c>
      <c r="J412" s="75">
        <v>0</v>
      </c>
      <c r="K412" s="76"/>
    </row>
    <row r="413" s="1" customFormat="1" ht="14.25" spans="1:11">
      <c r="A413" s="71">
        <v>3</v>
      </c>
      <c r="B413" s="72">
        <v>31</v>
      </c>
      <c r="C413" s="72">
        <v>21</v>
      </c>
      <c r="D413" s="73" t="s">
        <v>606</v>
      </c>
      <c r="E413" s="73" t="s">
        <v>118</v>
      </c>
      <c r="F413" s="73" t="s">
        <v>136</v>
      </c>
      <c r="G413" s="73" t="s">
        <v>32</v>
      </c>
      <c r="H413" s="74" t="s">
        <v>607</v>
      </c>
      <c r="I413" s="74">
        <v>130</v>
      </c>
      <c r="J413" s="75">
        <v>0</v>
      </c>
      <c r="K413" s="76"/>
    </row>
    <row r="414" s="1" customFormat="1" ht="14.25" spans="1:11">
      <c r="A414" s="71">
        <v>3</v>
      </c>
      <c r="B414" s="72">
        <v>31</v>
      </c>
      <c r="C414" s="72">
        <v>21</v>
      </c>
      <c r="D414" s="73" t="s">
        <v>608</v>
      </c>
      <c r="E414" s="73" t="s">
        <v>118</v>
      </c>
      <c r="F414" s="73" t="s">
        <v>136</v>
      </c>
      <c r="G414" s="73" t="s">
        <v>32</v>
      </c>
      <c r="H414" s="74" t="s">
        <v>607</v>
      </c>
      <c r="I414" s="74">
        <v>20</v>
      </c>
      <c r="J414" s="75">
        <v>0</v>
      </c>
      <c r="K414" s="76"/>
    </row>
    <row r="415" s="1" customFormat="1" ht="14.25" spans="1:11">
      <c r="A415" s="71">
        <v>3</v>
      </c>
      <c r="B415" s="72">
        <v>31</v>
      </c>
      <c r="C415" s="72">
        <v>21</v>
      </c>
      <c r="D415" s="73" t="s">
        <v>609</v>
      </c>
      <c r="E415" s="73" t="s">
        <v>118</v>
      </c>
      <c r="F415" s="73" t="s">
        <v>151</v>
      </c>
      <c r="G415" s="73" t="s">
        <v>32</v>
      </c>
      <c r="H415" s="74" t="s">
        <v>607</v>
      </c>
      <c r="I415" s="74">
        <v>5760</v>
      </c>
      <c r="J415" s="75">
        <v>0</v>
      </c>
      <c r="K415" s="76"/>
    </row>
    <row r="416" s="1" customFormat="1" ht="14.25" spans="1:11">
      <c r="A416" s="71">
        <v>3</v>
      </c>
      <c r="B416" s="72">
        <v>31</v>
      </c>
      <c r="C416" s="72">
        <v>21</v>
      </c>
      <c r="D416" s="73" t="s">
        <v>610</v>
      </c>
      <c r="E416" s="73" t="s">
        <v>118</v>
      </c>
      <c r="F416" s="73" t="s">
        <v>136</v>
      </c>
      <c r="G416" s="73" t="s">
        <v>32</v>
      </c>
      <c r="H416" s="74" t="s">
        <v>607</v>
      </c>
      <c r="I416" s="74">
        <v>175</v>
      </c>
      <c r="J416" s="75">
        <v>0</v>
      </c>
      <c r="K416" s="76"/>
    </row>
    <row r="417" s="1" customFormat="1" ht="14.25" spans="1:11">
      <c r="A417" s="71">
        <v>3</v>
      </c>
      <c r="B417" s="72">
        <v>31</v>
      </c>
      <c r="C417" s="72">
        <v>21</v>
      </c>
      <c r="D417" s="73" t="s">
        <v>611</v>
      </c>
      <c r="E417" s="73" t="s">
        <v>96</v>
      </c>
      <c r="F417" s="73" t="s">
        <v>97</v>
      </c>
      <c r="G417" s="73" t="s">
        <v>32</v>
      </c>
      <c r="H417" s="74" t="s">
        <v>607</v>
      </c>
      <c r="I417" s="74">
        <v>302</v>
      </c>
      <c r="J417" s="75">
        <v>0</v>
      </c>
      <c r="K417" s="76"/>
    </row>
    <row r="418" s="1" customFormat="1" ht="14.25" spans="1:11">
      <c r="A418" s="71">
        <v>3</v>
      </c>
      <c r="B418" s="72">
        <v>31</v>
      </c>
      <c r="C418" s="72">
        <v>22</v>
      </c>
      <c r="D418" s="73" t="s">
        <v>612</v>
      </c>
      <c r="E418" s="73" t="s">
        <v>118</v>
      </c>
      <c r="F418" s="73" t="s">
        <v>136</v>
      </c>
      <c r="G418" s="73" t="s">
        <v>32</v>
      </c>
      <c r="H418" s="74" t="s">
        <v>613</v>
      </c>
      <c r="I418" s="74">
        <v>204</v>
      </c>
      <c r="J418" s="75">
        <v>0</v>
      </c>
      <c r="K418" s="76"/>
    </row>
    <row r="419" s="1" customFormat="1" ht="14.25" spans="1:11">
      <c r="A419" s="71">
        <v>3</v>
      </c>
      <c r="B419" s="72">
        <v>31</v>
      </c>
      <c r="C419" s="72">
        <v>22</v>
      </c>
      <c r="D419" s="73" t="s">
        <v>562</v>
      </c>
      <c r="E419" s="73" t="s">
        <v>96</v>
      </c>
      <c r="F419" s="73" t="s">
        <v>97</v>
      </c>
      <c r="G419" s="73" t="s">
        <v>32</v>
      </c>
      <c r="H419" s="74" t="s">
        <v>613</v>
      </c>
      <c r="I419" s="74">
        <v>267</v>
      </c>
      <c r="J419" s="75">
        <v>0</v>
      </c>
      <c r="K419" s="76"/>
    </row>
    <row r="420" s="1" customFormat="1" ht="14.25" spans="1:11">
      <c r="A420" s="71">
        <v>3</v>
      </c>
      <c r="B420" s="72">
        <v>31</v>
      </c>
      <c r="C420" s="72">
        <v>22</v>
      </c>
      <c r="D420" s="73" t="s">
        <v>614</v>
      </c>
      <c r="E420" s="73" t="s">
        <v>118</v>
      </c>
      <c r="F420" s="73" t="s">
        <v>136</v>
      </c>
      <c r="G420" s="73" t="s">
        <v>32</v>
      </c>
      <c r="H420" s="74" t="s">
        <v>613</v>
      </c>
      <c r="I420" s="74">
        <v>8</v>
      </c>
      <c r="J420" s="75">
        <v>0</v>
      </c>
      <c r="K420" s="76"/>
    </row>
    <row r="421" s="1" customFormat="1" ht="14.25" spans="1:11">
      <c r="A421" s="71">
        <v>3</v>
      </c>
      <c r="B421" s="72">
        <v>31</v>
      </c>
      <c r="C421" s="72">
        <v>22</v>
      </c>
      <c r="D421" s="73" t="s">
        <v>615</v>
      </c>
      <c r="E421" s="73" t="s">
        <v>118</v>
      </c>
      <c r="F421" s="73" t="s">
        <v>136</v>
      </c>
      <c r="G421" s="73" t="s">
        <v>32</v>
      </c>
      <c r="H421" s="74" t="s">
        <v>613</v>
      </c>
      <c r="I421" s="74">
        <v>170</v>
      </c>
      <c r="J421" s="75">
        <v>0</v>
      </c>
      <c r="K421" s="76"/>
    </row>
    <row r="422" s="1" customFormat="1" ht="14.25" spans="1:11">
      <c r="A422" s="71">
        <v>3</v>
      </c>
      <c r="B422" s="72">
        <v>31</v>
      </c>
      <c r="C422" s="72">
        <v>22</v>
      </c>
      <c r="D422" s="73" t="s">
        <v>616</v>
      </c>
      <c r="E422" s="73" t="s">
        <v>118</v>
      </c>
      <c r="F422" s="74" t="s">
        <v>136</v>
      </c>
      <c r="G422" s="73" t="s">
        <v>32</v>
      </c>
      <c r="H422" s="74" t="s">
        <v>613</v>
      </c>
      <c r="I422" s="74">
        <v>180</v>
      </c>
      <c r="J422" s="75">
        <v>0</v>
      </c>
      <c r="K422" s="76"/>
    </row>
    <row r="423" s="1" customFormat="1" ht="14.25" spans="1:11">
      <c r="A423" s="71">
        <v>3</v>
      </c>
      <c r="B423" s="72">
        <v>31</v>
      </c>
      <c r="C423" s="72">
        <v>22</v>
      </c>
      <c r="D423" s="73" t="s">
        <v>617</v>
      </c>
      <c r="E423" s="73" t="s">
        <v>48</v>
      </c>
      <c r="F423" s="73" t="s">
        <v>49</v>
      </c>
      <c r="G423" s="73" t="s">
        <v>32</v>
      </c>
      <c r="H423" s="74" t="s">
        <v>618</v>
      </c>
      <c r="I423" s="74">
        <v>1000</v>
      </c>
      <c r="J423" s="75">
        <v>0</v>
      </c>
      <c r="K423" s="76"/>
    </row>
    <row r="424" s="1" customFormat="1" ht="14.25" spans="1:11">
      <c r="A424" s="71">
        <v>3</v>
      </c>
      <c r="B424" s="72">
        <v>31</v>
      </c>
      <c r="C424" s="72">
        <v>22</v>
      </c>
      <c r="D424" s="73" t="s">
        <v>619</v>
      </c>
      <c r="E424" s="73" t="s">
        <v>48</v>
      </c>
      <c r="F424" s="73" t="s">
        <v>49</v>
      </c>
      <c r="G424" s="73" t="s">
        <v>32</v>
      </c>
      <c r="H424" s="74" t="s">
        <v>618</v>
      </c>
      <c r="I424" s="74">
        <v>5000</v>
      </c>
      <c r="J424" s="75">
        <v>0</v>
      </c>
      <c r="K424" s="76"/>
    </row>
    <row r="425" s="1" customFormat="1" ht="14.25" spans="1:11">
      <c r="A425" s="71">
        <v>3</v>
      </c>
      <c r="B425" s="72">
        <v>31</v>
      </c>
      <c r="C425" s="72">
        <v>22</v>
      </c>
      <c r="D425" s="73" t="s">
        <v>620</v>
      </c>
      <c r="E425" s="73" t="s">
        <v>48</v>
      </c>
      <c r="F425" s="73" t="s">
        <v>207</v>
      </c>
      <c r="G425" s="73" t="s">
        <v>32</v>
      </c>
      <c r="H425" s="74" t="s">
        <v>618</v>
      </c>
      <c r="I425" s="74">
        <v>100</v>
      </c>
      <c r="J425" s="75">
        <v>0</v>
      </c>
      <c r="K425" s="76"/>
    </row>
    <row r="426" s="1" customFormat="1" ht="14.25" spans="1:11">
      <c r="A426" s="71">
        <v>3</v>
      </c>
      <c r="B426" s="72">
        <v>31</v>
      </c>
      <c r="C426" s="72">
        <v>22</v>
      </c>
      <c r="D426" s="73" t="s">
        <v>621</v>
      </c>
      <c r="E426" s="73" t="s">
        <v>48</v>
      </c>
      <c r="F426" s="73" t="s">
        <v>207</v>
      </c>
      <c r="G426" s="73" t="s">
        <v>32</v>
      </c>
      <c r="H426" s="74" t="s">
        <v>618</v>
      </c>
      <c r="I426" s="74">
        <v>1360</v>
      </c>
      <c r="J426" s="75">
        <v>0</v>
      </c>
      <c r="K426" s="76"/>
    </row>
    <row r="427" s="1" customFormat="1" ht="14.25" spans="1:11">
      <c r="A427" s="71">
        <v>3</v>
      </c>
      <c r="B427" s="72">
        <v>31</v>
      </c>
      <c r="C427" s="72">
        <v>22</v>
      </c>
      <c r="D427" s="73" t="s">
        <v>622</v>
      </c>
      <c r="E427" s="73" t="s">
        <v>48</v>
      </c>
      <c r="F427" s="73" t="s">
        <v>49</v>
      </c>
      <c r="G427" s="73" t="s">
        <v>32</v>
      </c>
      <c r="H427" s="74" t="s">
        <v>618</v>
      </c>
      <c r="I427" s="74">
        <v>400</v>
      </c>
      <c r="J427" s="75">
        <v>0</v>
      </c>
      <c r="K427" s="76"/>
    </row>
    <row r="428" s="1" customFormat="1" ht="14.25" spans="1:11">
      <c r="A428" s="71">
        <v>3</v>
      </c>
      <c r="B428" s="72">
        <v>31</v>
      </c>
      <c r="C428" s="72">
        <v>23</v>
      </c>
      <c r="D428" s="73" t="s">
        <v>623</v>
      </c>
      <c r="E428" s="73" t="s">
        <v>48</v>
      </c>
      <c r="F428" s="73" t="s">
        <v>55</v>
      </c>
      <c r="G428" s="73" t="s">
        <v>32</v>
      </c>
      <c r="H428" s="74" t="s">
        <v>624</v>
      </c>
      <c r="I428" s="74">
        <v>140</v>
      </c>
      <c r="J428" s="75">
        <v>0</v>
      </c>
      <c r="K428" s="76"/>
    </row>
    <row r="429" s="1" customFormat="1" ht="14.25" spans="1:11">
      <c r="A429" s="71">
        <v>3</v>
      </c>
      <c r="B429" s="72">
        <v>31</v>
      </c>
      <c r="C429" s="72">
        <v>23</v>
      </c>
      <c r="D429" s="73" t="s">
        <v>625</v>
      </c>
      <c r="E429" s="73" t="s">
        <v>96</v>
      </c>
      <c r="F429" s="73" t="s">
        <v>443</v>
      </c>
      <c r="G429" s="73" t="s">
        <v>32</v>
      </c>
      <c r="H429" s="74" t="s">
        <v>624</v>
      </c>
      <c r="I429" s="74">
        <v>4</v>
      </c>
      <c r="J429" s="75">
        <v>0</v>
      </c>
      <c r="K429" s="76"/>
    </row>
    <row r="430" s="1" customFormat="1" ht="14.25" spans="1:11">
      <c r="A430" s="71">
        <v>3</v>
      </c>
      <c r="B430" s="72">
        <v>31</v>
      </c>
      <c r="C430" s="72">
        <v>23</v>
      </c>
      <c r="D430" s="73" t="s">
        <v>626</v>
      </c>
      <c r="E430" s="73" t="s">
        <v>118</v>
      </c>
      <c r="F430" s="73" t="s">
        <v>136</v>
      </c>
      <c r="G430" s="73" t="s">
        <v>32</v>
      </c>
      <c r="H430" s="74" t="s">
        <v>624</v>
      </c>
      <c r="I430" s="74">
        <v>1400</v>
      </c>
      <c r="J430" s="75">
        <v>0</v>
      </c>
      <c r="K430" s="76"/>
    </row>
    <row r="431" s="1" customFormat="1" ht="14.25" spans="1:11">
      <c r="A431" s="71">
        <v>3</v>
      </c>
      <c r="B431" s="72">
        <v>31</v>
      </c>
      <c r="C431" s="72">
        <v>23</v>
      </c>
      <c r="D431" s="73" t="s">
        <v>627</v>
      </c>
      <c r="E431" s="73" t="s">
        <v>118</v>
      </c>
      <c r="F431" s="73" t="s">
        <v>136</v>
      </c>
      <c r="G431" s="73" t="s">
        <v>32</v>
      </c>
      <c r="H431" s="74" t="s">
        <v>624</v>
      </c>
      <c r="I431" s="74">
        <v>70</v>
      </c>
      <c r="J431" s="75">
        <v>0</v>
      </c>
      <c r="K431" s="76"/>
    </row>
    <row r="432" s="1" customFormat="1" ht="14.25" spans="1:11">
      <c r="A432" s="71">
        <v>3</v>
      </c>
      <c r="B432" s="72">
        <v>31</v>
      </c>
      <c r="C432" s="72">
        <v>23</v>
      </c>
      <c r="D432" s="73" t="s">
        <v>628</v>
      </c>
      <c r="E432" s="73" t="s">
        <v>118</v>
      </c>
      <c r="F432" s="73" t="s">
        <v>136</v>
      </c>
      <c r="G432" s="73" t="s">
        <v>32</v>
      </c>
      <c r="H432" s="74" t="s">
        <v>624</v>
      </c>
      <c r="I432" s="74">
        <v>25</v>
      </c>
      <c r="J432" s="75">
        <v>0</v>
      </c>
      <c r="K432" s="76"/>
    </row>
    <row r="433" s="1" customFormat="1" ht="14.25" spans="1:11">
      <c r="A433" s="71">
        <v>3</v>
      </c>
      <c r="B433" s="72">
        <v>31</v>
      </c>
      <c r="C433" s="72">
        <v>23</v>
      </c>
      <c r="D433" s="73" t="s">
        <v>629</v>
      </c>
      <c r="E433" s="73" t="s">
        <v>48</v>
      </c>
      <c r="F433" s="73" t="s">
        <v>55</v>
      </c>
      <c r="G433" s="73" t="s">
        <v>32</v>
      </c>
      <c r="H433" s="74" t="s">
        <v>630</v>
      </c>
      <c r="I433" s="74">
        <v>230</v>
      </c>
      <c r="J433" s="75">
        <v>0</v>
      </c>
      <c r="K433" s="76"/>
    </row>
    <row r="434" s="1" customFormat="1" ht="14.25" spans="1:11">
      <c r="A434" s="71">
        <v>3</v>
      </c>
      <c r="B434" s="72">
        <v>31</v>
      </c>
      <c r="C434" s="72">
        <v>23</v>
      </c>
      <c r="D434" s="73" t="s">
        <v>590</v>
      </c>
      <c r="E434" s="73" t="s">
        <v>96</v>
      </c>
      <c r="F434" s="73" t="s">
        <v>345</v>
      </c>
      <c r="G434" s="73" t="s">
        <v>32</v>
      </c>
      <c r="H434" s="74" t="s">
        <v>630</v>
      </c>
      <c r="I434" s="74">
        <v>120</v>
      </c>
      <c r="J434" s="75">
        <v>0</v>
      </c>
      <c r="K434" s="76"/>
    </row>
    <row r="435" s="1" customFormat="1" ht="14.25" spans="1:11">
      <c r="A435" s="71">
        <v>3</v>
      </c>
      <c r="B435" s="72">
        <v>31</v>
      </c>
      <c r="C435" s="72">
        <v>23</v>
      </c>
      <c r="D435" s="73" t="s">
        <v>562</v>
      </c>
      <c r="E435" s="73" t="s">
        <v>96</v>
      </c>
      <c r="F435" s="73" t="s">
        <v>97</v>
      </c>
      <c r="G435" s="73" t="s">
        <v>32</v>
      </c>
      <c r="H435" s="74" t="s">
        <v>630</v>
      </c>
      <c r="I435" s="74">
        <v>135</v>
      </c>
      <c r="J435" s="75">
        <v>0</v>
      </c>
      <c r="K435" s="76"/>
    </row>
    <row r="436" s="1" customFormat="1" ht="14.25" spans="1:11">
      <c r="A436" s="71">
        <v>3</v>
      </c>
      <c r="B436" s="72">
        <v>31</v>
      </c>
      <c r="C436" s="72">
        <v>23</v>
      </c>
      <c r="D436" s="73" t="s">
        <v>631</v>
      </c>
      <c r="E436" s="73" t="s">
        <v>96</v>
      </c>
      <c r="F436" s="73" t="s">
        <v>97</v>
      </c>
      <c r="G436" s="73" t="s">
        <v>32</v>
      </c>
      <c r="H436" s="74" t="s">
        <v>630</v>
      </c>
      <c r="I436" s="74">
        <v>422</v>
      </c>
      <c r="J436" s="75">
        <v>0</v>
      </c>
      <c r="K436" s="76"/>
    </row>
    <row r="437" s="1" customFormat="1" ht="14.25" spans="1:11">
      <c r="A437" s="71">
        <v>3</v>
      </c>
      <c r="B437" s="72">
        <v>31</v>
      </c>
      <c r="C437" s="72">
        <v>23</v>
      </c>
      <c r="D437" s="73" t="s">
        <v>632</v>
      </c>
      <c r="E437" s="73" t="s">
        <v>96</v>
      </c>
      <c r="F437" s="73" t="s">
        <v>97</v>
      </c>
      <c r="G437" s="73" t="s">
        <v>32</v>
      </c>
      <c r="H437" s="74" t="s">
        <v>630</v>
      </c>
      <c r="I437" s="74">
        <v>128</v>
      </c>
      <c r="J437" s="75">
        <v>0</v>
      </c>
      <c r="K437" s="76"/>
    </row>
    <row r="438" s="1" customFormat="1" ht="14.25" spans="1:11">
      <c r="A438" s="71">
        <v>3</v>
      </c>
      <c r="B438" s="72">
        <v>31</v>
      </c>
      <c r="C438" s="72">
        <v>25</v>
      </c>
      <c r="D438" s="73" t="s">
        <v>56</v>
      </c>
      <c r="E438" s="73" t="s">
        <v>31</v>
      </c>
      <c r="F438" s="73" t="s">
        <v>57</v>
      </c>
      <c r="G438" s="73" t="s">
        <v>32</v>
      </c>
      <c r="H438" s="74" t="s">
        <v>58</v>
      </c>
      <c r="I438" s="74">
        <v>2940</v>
      </c>
      <c r="J438" s="75">
        <v>0</v>
      </c>
      <c r="K438" s="76"/>
    </row>
    <row r="439" s="1" customFormat="1" ht="14.25" spans="1:11">
      <c r="A439" s="71">
        <v>3</v>
      </c>
      <c r="B439" s="72">
        <v>31</v>
      </c>
      <c r="C439" s="72">
        <v>24</v>
      </c>
      <c r="D439" s="73" t="s">
        <v>633</v>
      </c>
      <c r="E439" s="73" t="s">
        <v>118</v>
      </c>
      <c r="F439" s="73" t="s">
        <v>156</v>
      </c>
      <c r="G439" s="73" t="s">
        <v>32</v>
      </c>
      <c r="H439" s="74" t="s">
        <v>634</v>
      </c>
      <c r="I439" s="74">
        <v>25330</v>
      </c>
      <c r="J439" s="75">
        <v>0</v>
      </c>
      <c r="K439" s="76"/>
    </row>
    <row r="440" s="1" customFormat="1" ht="14.25" spans="1:11">
      <c r="A440" s="71">
        <v>3</v>
      </c>
      <c r="B440" s="72">
        <v>31</v>
      </c>
      <c r="C440" s="72">
        <v>24</v>
      </c>
      <c r="D440" s="73" t="s">
        <v>635</v>
      </c>
      <c r="E440" s="73" t="s">
        <v>118</v>
      </c>
      <c r="F440" s="73" t="s">
        <v>154</v>
      </c>
      <c r="G440" s="73" t="s">
        <v>32</v>
      </c>
      <c r="H440" s="74" t="s">
        <v>634</v>
      </c>
      <c r="I440" s="74">
        <v>588</v>
      </c>
      <c r="J440" s="75">
        <v>0</v>
      </c>
      <c r="K440" s="76"/>
    </row>
    <row r="441" s="1" customFormat="1" ht="14.25" spans="1:11">
      <c r="A441" s="71">
        <v>3</v>
      </c>
      <c r="B441" s="72">
        <v>31</v>
      </c>
      <c r="C441" s="72">
        <v>24</v>
      </c>
      <c r="D441" s="73" t="s">
        <v>636</v>
      </c>
      <c r="E441" s="73" t="s">
        <v>48</v>
      </c>
      <c r="F441" s="73" t="s">
        <v>233</v>
      </c>
      <c r="G441" s="73" t="s">
        <v>32</v>
      </c>
      <c r="H441" s="74" t="s">
        <v>634</v>
      </c>
      <c r="I441" s="74">
        <v>380</v>
      </c>
      <c r="J441" s="75">
        <v>0</v>
      </c>
      <c r="K441" s="76"/>
    </row>
    <row r="442" s="1" customFormat="1" ht="14.25" spans="1:11">
      <c r="A442" s="71">
        <v>3</v>
      </c>
      <c r="B442" s="72">
        <v>31</v>
      </c>
      <c r="C442" s="72">
        <v>24</v>
      </c>
      <c r="D442" s="73" t="s">
        <v>637</v>
      </c>
      <c r="E442" s="73" t="s">
        <v>118</v>
      </c>
      <c r="F442" s="73" t="s">
        <v>154</v>
      </c>
      <c r="G442" s="73" t="s">
        <v>32</v>
      </c>
      <c r="H442" s="74" t="s">
        <v>634</v>
      </c>
      <c r="I442" s="74">
        <v>520</v>
      </c>
      <c r="J442" s="75">
        <v>0</v>
      </c>
      <c r="K442" s="76"/>
    </row>
    <row r="443" s="1" customFormat="1" ht="14.25" spans="1:11">
      <c r="A443" s="71">
        <v>3</v>
      </c>
      <c r="B443" s="72">
        <v>31</v>
      </c>
      <c r="C443" s="72">
        <v>24</v>
      </c>
      <c r="D443" s="73" t="s">
        <v>638</v>
      </c>
      <c r="E443" s="73" t="s">
        <v>118</v>
      </c>
      <c r="F443" s="73" t="s">
        <v>154</v>
      </c>
      <c r="G443" s="73" t="s">
        <v>32</v>
      </c>
      <c r="H443" s="74" t="s">
        <v>634</v>
      </c>
      <c r="I443" s="74">
        <v>70</v>
      </c>
      <c r="J443" s="75">
        <v>0</v>
      </c>
      <c r="K443" s="76"/>
    </row>
    <row r="444" s="1" customFormat="1" ht="14.25" spans="1:11">
      <c r="A444" s="71">
        <v>3</v>
      </c>
      <c r="B444" s="72">
        <v>31</v>
      </c>
      <c r="C444" s="72">
        <v>24</v>
      </c>
      <c r="D444" s="73" t="s">
        <v>639</v>
      </c>
      <c r="E444" s="73" t="s">
        <v>96</v>
      </c>
      <c r="F444" s="73" t="s">
        <v>97</v>
      </c>
      <c r="G444" s="73" t="s">
        <v>32</v>
      </c>
      <c r="H444" s="74" t="s">
        <v>640</v>
      </c>
      <c r="I444" s="74">
        <v>195</v>
      </c>
      <c r="J444" s="75">
        <v>0</v>
      </c>
      <c r="K444" s="76"/>
    </row>
    <row r="445" s="1" customFormat="1" ht="14.25" spans="1:11">
      <c r="A445" s="71">
        <v>3</v>
      </c>
      <c r="B445" s="72">
        <v>31</v>
      </c>
      <c r="C445" s="72">
        <v>24</v>
      </c>
      <c r="D445" s="73" t="s">
        <v>641</v>
      </c>
      <c r="E445" s="73" t="s">
        <v>118</v>
      </c>
      <c r="F445" s="74" t="s">
        <v>136</v>
      </c>
      <c r="G445" s="73" t="s">
        <v>32</v>
      </c>
      <c r="H445" s="74" t="s">
        <v>640</v>
      </c>
      <c r="I445" s="74">
        <v>45</v>
      </c>
      <c r="J445" s="75">
        <v>0</v>
      </c>
      <c r="K445" s="76"/>
    </row>
    <row r="446" s="1" customFormat="1" ht="14.25" spans="1:11">
      <c r="A446" s="71">
        <v>3</v>
      </c>
      <c r="B446" s="72">
        <v>31</v>
      </c>
      <c r="C446" s="72">
        <v>24</v>
      </c>
      <c r="D446" s="73" t="s">
        <v>642</v>
      </c>
      <c r="E446" s="73" t="s">
        <v>96</v>
      </c>
      <c r="F446" s="73" t="s">
        <v>97</v>
      </c>
      <c r="G446" s="73" t="s">
        <v>32</v>
      </c>
      <c r="H446" s="74" t="s">
        <v>640</v>
      </c>
      <c r="I446" s="74">
        <v>150</v>
      </c>
      <c r="J446" s="75">
        <v>0</v>
      </c>
      <c r="K446" s="76"/>
    </row>
    <row r="447" s="1" customFormat="1" ht="14.25" spans="1:11">
      <c r="A447" s="71">
        <v>3</v>
      </c>
      <c r="B447" s="72">
        <v>31</v>
      </c>
      <c r="C447" s="72">
        <v>24</v>
      </c>
      <c r="D447" s="73" t="s">
        <v>643</v>
      </c>
      <c r="E447" s="73" t="s">
        <v>48</v>
      </c>
      <c r="F447" s="73" t="s">
        <v>49</v>
      </c>
      <c r="G447" s="73" t="s">
        <v>32</v>
      </c>
      <c r="H447" s="74" t="s">
        <v>640</v>
      </c>
      <c r="I447" s="74">
        <v>420</v>
      </c>
      <c r="J447" s="75">
        <v>0</v>
      </c>
      <c r="K447" s="76"/>
    </row>
    <row r="448" s="1" customFormat="1" ht="14.25" spans="1:11">
      <c r="A448" s="71">
        <v>3</v>
      </c>
      <c r="B448" s="72">
        <v>31</v>
      </c>
      <c r="C448" s="72">
        <v>24</v>
      </c>
      <c r="D448" s="73" t="s">
        <v>644</v>
      </c>
      <c r="E448" s="73" t="s">
        <v>48</v>
      </c>
      <c r="F448" s="73" t="s">
        <v>49</v>
      </c>
      <c r="G448" s="73" t="s">
        <v>32</v>
      </c>
      <c r="H448" s="74" t="s">
        <v>640</v>
      </c>
      <c r="I448" s="74">
        <v>3800</v>
      </c>
      <c r="J448" s="75">
        <v>0</v>
      </c>
      <c r="K448" s="76"/>
    </row>
    <row r="449" s="1" customFormat="1" ht="14.25" spans="1:11">
      <c r="A449" s="71">
        <v>3</v>
      </c>
      <c r="B449" s="72">
        <v>31</v>
      </c>
      <c r="C449" s="72">
        <v>25</v>
      </c>
      <c r="D449" s="73" t="s">
        <v>645</v>
      </c>
      <c r="E449" s="73" t="s">
        <v>48</v>
      </c>
      <c r="F449" s="73" t="s">
        <v>55</v>
      </c>
      <c r="G449" s="73" t="s">
        <v>32</v>
      </c>
      <c r="H449" s="74" t="s">
        <v>646</v>
      </c>
      <c r="I449" s="74">
        <v>176</v>
      </c>
      <c r="J449" s="75">
        <v>0</v>
      </c>
      <c r="K449" s="76"/>
    </row>
    <row r="450" s="1" customFormat="1" ht="14.25" spans="1:11">
      <c r="A450" s="71">
        <v>3</v>
      </c>
      <c r="B450" s="72">
        <v>31</v>
      </c>
      <c r="C450" s="72">
        <v>25</v>
      </c>
      <c r="D450" s="73" t="s">
        <v>647</v>
      </c>
      <c r="E450" s="73" t="s">
        <v>48</v>
      </c>
      <c r="F450" s="73" t="s">
        <v>209</v>
      </c>
      <c r="G450" s="73" t="s">
        <v>32</v>
      </c>
      <c r="H450" s="74" t="s">
        <v>646</v>
      </c>
      <c r="I450" s="74">
        <v>120</v>
      </c>
      <c r="J450" s="75">
        <v>0</v>
      </c>
      <c r="K450" s="76"/>
    </row>
    <row r="451" s="1" customFormat="1" ht="14.25" spans="1:11">
      <c r="A451" s="71">
        <v>3</v>
      </c>
      <c r="B451" s="72">
        <v>31</v>
      </c>
      <c r="C451" s="72">
        <v>25</v>
      </c>
      <c r="D451" s="73" t="s">
        <v>648</v>
      </c>
      <c r="E451" s="73" t="s">
        <v>118</v>
      </c>
      <c r="F451" s="73" t="s">
        <v>136</v>
      </c>
      <c r="G451" s="73" t="s">
        <v>32</v>
      </c>
      <c r="H451" s="74" t="s">
        <v>646</v>
      </c>
      <c r="I451" s="74">
        <v>50</v>
      </c>
      <c r="J451" s="75">
        <v>0</v>
      </c>
      <c r="K451" s="76"/>
    </row>
    <row r="452" s="1" customFormat="1" ht="14.25" spans="1:11">
      <c r="A452" s="71">
        <v>3</v>
      </c>
      <c r="B452" s="72">
        <v>31</v>
      </c>
      <c r="C452" s="72">
        <v>25</v>
      </c>
      <c r="D452" s="73" t="s">
        <v>649</v>
      </c>
      <c r="E452" s="73" t="s">
        <v>96</v>
      </c>
      <c r="F452" s="73" t="s">
        <v>650</v>
      </c>
      <c r="G452" s="73" t="s">
        <v>32</v>
      </c>
      <c r="H452" s="74" t="s">
        <v>646</v>
      </c>
      <c r="I452" s="74">
        <v>230</v>
      </c>
      <c r="J452" s="75">
        <v>0</v>
      </c>
      <c r="K452" s="76"/>
    </row>
    <row r="453" s="1" customFormat="1" ht="14.25" spans="1:11">
      <c r="A453" s="71">
        <v>3</v>
      </c>
      <c r="B453" s="72">
        <v>31</v>
      </c>
      <c r="C453" s="72">
        <v>25</v>
      </c>
      <c r="D453" s="73" t="s">
        <v>651</v>
      </c>
      <c r="E453" s="73" t="s">
        <v>118</v>
      </c>
      <c r="F453" s="73" t="s">
        <v>136</v>
      </c>
      <c r="G453" s="73" t="s">
        <v>32</v>
      </c>
      <c r="H453" s="74" t="s">
        <v>646</v>
      </c>
      <c r="I453" s="74">
        <v>11850</v>
      </c>
      <c r="J453" s="75">
        <v>0</v>
      </c>
      <c r="K453" s="76"/>
    </row>
    <row r="454" s="1" customFormat="1" ht="14.25" spans="1:11">
      <c r="A454" s="71">
        <v>4</v>
      </c>
      <c r="B454" s="72">
        <v>30</v>
      </c>
      <c r="C454" s="72">
        <v>1</v>
      </c>
      <c r="D454" s="73" t="s">
        <v>652</v>
      </c>
      <c r="E454" s="73" t="s">
        <v>96</v>
      </c>
      <c r="F454" s="73" t="s">
        <v>55</v>
      </c>
      <c r="G454" s="73" t="s">
        <v>32</v>
      </c>
      <c r="H454" s="74" t="s">
        <v>653</v>
      </c>
      <c r="I454" s="74">
        <v>70</v>
      </c>
      <c r="J454" s="75">
        <v>0</v>
      </c>
      <c r="K454" s="75"/>
    </row>
    <row r="455" s="1" customFormat="1" ht="14.25" spans="1:11">
      <c r="A455" s="71">
        <v>4</v>
      </c>
      <c r="B455" s="72">
        <v>30</v>
      </c>
      <c r="C455" s="72">
        <v>1</v>
      </c>
      <c r="D455" s="73" t="s">
        <v>654</v>
      </c>
      <c r="E455" s="73" t="s">
        <v>48</v>
      </c>
      <c r="F455" s="73" t="s">
        <v>49</v>
      </c>
      <c r="G455" s="73" t="s">
        <v>32</v>
      </c>
      <c r="H455" s="74" t="s">
        <v>653</v>
      </c>
      <c r="I455" s="74">
        <v>80</v>
      </c>
      <c r="J455" s="75">
        <v>0</v>
      </c>
      <c r="K455" s="75"/>
    </row>
    <row r="456" s="1" customFormat="1" ht="14.25" spans="1:11">
      <c r="A456" s="71">
        <v>4</v>
      </c>
      <c r="B456" s="72">
        <v>30</v>
      </c>
      <c r="C456" s="72">
        <v>1</v>
      </c>
      <c r="D456" s="73" t="s">
        <v>655</v>
      </c>
      <c r="E456" s="73" t="s">
        <v>118</v>
      </c>
      <c r="F456" s="73" t="s">
        <v>136</v>
      </c>
      <c r="G456" s="73" t="s">
        <v>32</v>
      </c>
      <c r="H456" s="74" t="s">
        <v>653</v>
      </c>
      <c r="I456" s="74">
        <v>50</v>
      </c>
      <c r="J456" s="75">
        <v>0</v>
      </c>
      <c r="K456" s="75"/>
    </row>
    <row r="457" s="1" customFormat="1" ht="14.25" spans="1:11">
      <c r="A457" s="71">
        <v>4</v>
      </c>
      <c r="B457" s="72">
        <v>30</v>
      </c>
      <c r="C457" s="72">
        <v>1</v>
      </c>
      <c r="D457" s="73" t="s">
        <v>656</v>
      </c>
      <c r="E457" s="73" t="s">
        <v>96</v>
      </c>
      <c r="F457" s="73" t="s">
        <v>97</v>
      </c>
      <c r="G457" s="73" t="s">
        <v>32</v>
      </c>
      <c r="H457" s="74" t="s">
        <v>653</v>
      </c>
      <c r="I457" s="74">
        <v>132</v>
      </c>
      <c r="J457" s="75">
        <v>0</v>
      </c>
      <c r="K457" s="75"/>
    </row>
    <row r="458" s="1" customFormat="1" ht="14.25" spans="1:11">
      <c r="A458" s="71">
        <v>4</v>
      </c>
      <c r="B458" s="72">
        <v>30</v>
      </c>
      <c r="C458" s="72">
        <v>1</v>
      </c>
      <c r="D458" s="73" t="s">
        <v>657</v>
      </c>
      <c r="E458" s="73" t="s">
        <v>118</v>
      </c>
      <c r="F458" s="73" t="s">
        <v>136</v>
      </c>
      <c r="G458" s="73" t="s">
        <v>32</v>
      </c>
      <c r="H458" s="74" t="s">
        <v>653</v>
      </c>
      <c r="I458" s="74">
        <v>18</v>
      </c>
      <c r="J458" s="75">
        <v>0</v>
      </c>
      <c r="K458" s="75"/>
    </row>
    <row r="459" s="1" customFormat="1" ht="14.25" spans="1:11">
      <c r="A459" s="71">
        <v>4</v>
      </c>
      <c r="B459" s="72">
        <v>30</v>
      </c>
      <c r="C459" s="72">
        <v>1</v>
      </c>
      <c r="D459" s="73" t="s">
        <v>658</v>
      </c>
      <c r="E459" s="73" t="s">
        <v>118</v>
      </c>
      <c r="F459" s="73" t="s">
        <v>489</v>
      </c>
      <c r="G459" s="73" t="s">
        <v>32</v>
      </c>
      <c r="H459" s="74" t="s">
        <v>659</v>
      </c>
      <c r="I459" s="74">
        <v>220</v>
      </c>
      <c r="J459" s="75">
        <v>0</v>
      </c>
      <c r="K459" s="75"/>
    </row>
    <row r="460" s="1" customFormat="1" ht="14.25" spans="1:11">
      <c r="A460" s="71">
        <v>4</v>
      </c>
      <c r="B460" s="72">
        <v>30</v>
      </c>
      <c r="C460" s="72">
        <v>1</v>
      </c>
      <c r="D460" s="73" t="s">
        <v>660</v>
      </c>
      <c r="E460" s="73" t="s">
        <v>48</v>
      </c>
      <c r="F460" s="73" t="s">
        <v>49</v>
      </c>
      <c r="G460" s="73" t="s">
        <v>32</v>
      </c>
      <c r="H460" s="74" t="s">
        <v>659</v>
      </c>
      <c r="I460" s="74">
        <v>262</v>
      </c>
      <c r="J460" s="75">
        <v>0</v>
      </c>
      <c r="K460" s="75"/>
    </row>
    <row r="461" s="1" customFormat="1" ht="14.25" spans="1:11">
      <c r="A461" s="71">
        <v>4</v>
      </c>
      <c r="B461" s="72">
        <v>30</v>
      </c>
      <c r="C461" s="72">
        <v>1</v>
      </c>
      <c r="D461" s="73" t="s">
        <v>661</v>
      </c>
      <c r="E461" s="73" t="s">
        <v>118</v>
      </c>
      <c r="F461" s="73" t="s">
        <v>136</v>
      </c>
      <c r="G461" s="73" t="s">
        <v>32</v>
      </c>
      <c r="H461" s="74" t="s">
        <v>659</v>
      </c>
      <c r="I461" s="74">
        <v>60</v>
      </c>
      <c r="J461" s="75">
        <v>0</v>
      </c>
      <c r="K461" s="75"/>
    </row>
    <row r="462" s="1" customFormat="1" ht="14.25" spans="1:11">
      <c r="A462" s="71">
        <v>4</v>
      </c>
      <c r="B462" s="72">
        <v>30</v>
      </c>
      <c r="C462" s="72">
        <v>1</v>
      </c>
      <c r="D462" s="73" t="s">
        <v>662</v>
      </c>
      <c r="E462" s="73" t="s">
        <v>96</v>
      </c>
      <c r="F462" s="73" t="s">
        <v>345</v>
      </c>
      <c r="G462" s="73" t="s">
        <v>32</v>
      </c>
      <c r="H462" s="74" t="s">
        <v>659</v>
      </c>
      <c r="I462" s="74">
        <v>14</v>
      </c>
      <c r="J462" s="75">
        <v>0</v>
      </c>
      <c r="K462" s="75"/>
    </row>
    <row r="463" s="1" customFormat="1" ht="14.25" spans="1:11">
      <c r="A463" s="71">
        <v>4</v>
      </c>
      <c r="B463" s="72">
        <v>30</v>
      </c>
      <c r="C463" s="72">
        <v>1</v>
      </c>
      <c r="D463" s="73" t="s">
        <v>663</v>
      </c>
      <c r="E463" s="73" t="s">
        <v>172</v>
      </c>
      <c r="F463" s="73" t="s">
        <v>664</v>
      </c>
      <c r="G463" s="73" t="s">
        <v>32</v>
      </c>
      <c r="H463" s="74" t="s">
        <v>659</v>
      </c>
      <c r="I463" s="74">
        <v>12</v>
      </c>
      <c r="J463" s="75">
        <v>0</v>
      </c>
      <c r="K463" s="75"/>
    </row>
    <row r="464" s="1" customFormat="1" ht="14.25" spans="1:11">
      <c r="A464" s="71">
        <v>4</v>
      </c>
      <c r="B464" s="72">
        <v>30</v>
      </c>
      <c r="C464" s="72">
        <v>2</v>
      </c>
      <c r="D464" s="73" t="s">
        <v>665</v>
      </c>
      <c r="E464" s="73" t="s">
        <v>96</v>
      </c>
      <c r="F464" s="73" t="s">
        <v>240</v>
      </c>
      <c r="G464" s="73" t="s">
        <v>32</v>
      </c>
      <c r="H464" s="74" t="s">
        <v>666</v>
      </c>
      <c r="I464" s="74">
        <v>3</v>
      </c>
      <c r="J464" s="75">
        <v>0</v>
      </c>
      <c r="K464" s="75"/>
    </row>
    <row r="465" s="1" customFormat="1" ht="14.25" spans="1:11">
      <c r="A465" s="71">
        <v>4</v>
      </c>
      <c r="B465" s="72">
        <v>30</v>
      </c>
      <c r="C465" s="72">
        <v>2</v>
      </c>
      <c r="D465" s="73" t="s">
        <v>667</v>
      </c>
      <c r="E465" s="73" t="s">
        <v>118</v>
      </c>
      <c r="F465" s="73" t="s">
        <v>136</v>
      </c>
      <c r="G465" s="73" t="s">
        <v>32</v>
      </c>
      <c r="H465" s="74" t="s">
        <v>666</v>
      </c>
      <c r="I465" s="74">
        <v>400</v>
      </c>
      <c r="J465" s="75">
        <v>0</v>
      </c>
      <c r="K465" s="75"/>
    </row>
    <row r="466" s="1" customFormat="1" ht="14.25" spans="1:11">
      <c r="A466" s="71">
        <v>4</v>
      </c>
      <c r="B466" s="72">
        <v>30</v>
      </c>
      <c r="C466" s="72">
        <v>2</v>
      </c>
      <c r="D466" s="73" t="s">
        <v>668</v>
      </c>
      <c r="E466" s="73" t="s">
        <v>118</v>
      </c>
      <c r="F466" s="73" t="s">
        <v>136</v>
      </c>
      <c r="G466" s="73" t="s">
        <v>32</v>
      </c>
      <c r="H466" s="74" t="s">
        <v>666</v>
      </c>
      <c r="I466" s="74">
        <v>400</v>
      </c>
      <c r="J466" s="75">
        <v>0</v>
      </c>
      <c r="K466" s="75"/>
    </row>
    <row r="467" s="1" customFormat="1" ht="14.25" spans="1:11">
      <c r="A467" s="71">
        <v>4</v>
      </c>
      <c r="B467" s="72">
        <v>30</v>
      </c>
      <c r="C467" s="72">
        <v>2</v>
      </c>
      <c r="D467" s="73" t="s">
        <v>669</v>
      </c>
      <c r="E467" s="73" t="s">
        <v>96</v>
      </c>
      <c r="F467" s="73" t="s">
        <v>97</v>
      </c>
      <c r="G467" s="73" t="s">
        <v>32</v>
      </c>
      <c r="H467" s="74" t="s">
        <v>666</v>
      </c>
      <c r="I467" s="74">
        <v>126</v>
      </c>
      <c r="J467" s="75">
        <v>0</v>
      </c>
      <c r="K467" s="75"/>
    </row>
    <row r="468" s="1" customFormat="1" ht="14.25" spans="1:11">
      <c r="A468" s="71">
        <v>4</v>
      </c>
      <c r="B468" s="72">
        <v>30</v>
      </c>
      <c r="C468" s="72">
        <v>2</v>
      </c>
      <c r="D468" s="73" t="s">
        <v>670</v>
      </c>
      <c r="E468" s="73" t="s">
        <v>118</v>
      </c>
      <c r="F468" s="73" t="s">
        <v>136</v>
      </c>
      <c r="G468" s="73" t="s">
        <v>32</v>
      </c>
      <c r="H468" s="74" t="s">
        <v>666</v>
      </c>
      <c r="I468" s="74">
        <v>370</v>
      </c>
      <c r="J468" s="75">
        <v>0</v>
      </c>
      <c r="K468" s="75"/>
    </row>
    <row r="469" s="1" customFormat="1" ht="14.25" spans="1:11">
      <c r="A469" s="71">
        <v>4</v>
      </c>
      <c r="B469" s="72">
        <v>30</v>
      </c>
      <c r="C469" s="72">
        <v>2</v>
      </c>
      <c r="D469" s="73" t="s">
        <v>255</v>
      </c>
      <c r="E469" s="73" t="s">
        <v>96</v>
      </c>
      <c r="F469" s="73" t="s">
        <v>97</v>
      </c>
      <c r="G469" s="73" t="s">
        <v>32</v>
      </c>
      <c r="H469" s="74" t="s">
        <v>671</v>
      </c>
      <c r="I469" s="74">
        <v>121.6</v>
      </c>
      <c r="J469" s="75">
        <v>0</v>
      </c>
      <c r="K469" s="75"/>
    </row>
    <row r="470" s="1" customFormat="1" ht="14.25" spans="1:11">
      <c r="A470" s="71">
        <v>4</v>
      </c>
      <c r="B470" s="72">
        <v>30</v>
      </c>
      <c r="C470" s="72">
        <v>2</v>
      </c>
      <c r="D470" s="73" t="s">
        <v>124</v>
      </c>
      <c r="E470" s="73" t="s">
        <v>48</v>
      </c>
      <c r="F470" s="73" t="s">
        <v>125</v>
      </c>
      <c r="G470" s="73" t="s">
        <v>32</v>
      </c>
      <c r="H470" s="74" t="s">
        <v>671</v>
      </c>
      <c r="I470" s="74">
        <v>8</v>
      </c>
      <c r="J470" s="75">
        <v>0</v>
      </c>
      <c r="K470" s="75"/>
    </row>
    <row r="471" s="1" customFormat="1" ht="14.25" spans="1:11">
      <c r="A471" s="71">
        <v>4</v>
      </c>
      <c r="B471" s="72">
        <v>30</v>
      </c>
      <c r="C471" s="72">
        <v>2</v>
      </c>
      <c r="D471" s="73" t="s">
        <v>275</v>
      </c>
      <c r="E471" s="73" t="s">
        <v>48</v>
      </c>
      <c r="F471" s="73" t="s">
        <v>125</v>
      </c>
      <c r="G471" s="73" t="s">
        <v>32</v>
      </c>
      <c r="H471" s="74" t="s">
        <v>671</v>
      </c>
      <c r="I471" s="74">
        <v>100</v>
      </c>
      <c r="J471" s="75">
        <v>0</v>
      </c>
      <c r="K471" s="75"/>
    </row>
    <row r="472" s="1" customFormat="1" ht="14.25" spans="1:11">
      <c r="A472" s="71">
        <v>4</v>
      </c>
      <c r="B472" s="72">
        <v>30</v>
      </c>
      <c r="C472" s="72">
        <v>2</v>
      </c>
      <c r="D472" s="73" t="s">
        <v>275</v>
      </c>
      <c r="E472" s="73" t="s">
        <v>48</v>
      </c>
      <c r="F472" s="73" t="s">
        <v>125</v>
      </c>
      <c r="G472" s="73" t="s">
        <v>32</v>
      </c>
      <c r="H472" s="74" t="s">
        <v>671</v>
      </c>
      <c r="I472" s="74">
        <v>100</v>
      </c>
      <c r="J472" s="75">
        <v>0</v>
      </c>
      <c r="K472" s="75"/>
    </row>
    <row r="473" s="1" customFormat="1" ht="14.25" spans="1:11">
      <c r="A473" s="71">
        <v>4</v>
      </c>
      <c r="B473" s="72">
        <v>30</v>
      </c>
      <c r="C473" s="72">
        <v>2</v>
      </c>
      <c r="D473" s="73" t="s">
        <v>672</v>
      </c>
      <c r="E473" s="73" t="s">
        <v>96</v>
      </c>
      <c r="F473" s="73" t="s">
        <v>55</v>
      </c>
      <c r="G473" s="73" t="s">
        <v>32</v>
      </c>
      <c r="H473" s="74" t="s">
        <v>671</v>
      </c>
      <c r="I473" s="74">
        <v>3.42</v>
      </c>
      <c r="J473" s="75">
        <v>0</v>
      </c>
      <c r="K473" s="75"/>
    </row>
    <row r="474" s="1" customFormat="1" ht="14.25" spans="1:11">
      <c r="A474" s="71">
        <v>4</v>
      </c>
      <c r="B474" s="72">
        <v>30</v>
      </c>
      <c r="C474" s="72">
        <v>3</v>
      </c>
      <c r="D474" s="73" t="s">
        <v>124</v>
      </c>
      <c r="E474" s="73" t="s">
        <v>48</v>
      </c>
      <c r="F474" s="73" t="s">
        <v>125</v>
      </c>
      <c r="G474" s="73" t="s">
        <v>32</v>
      </c>
      <c r="H474" s="74" t="s">
        <v>673</v>
      </c>
      <c r="I474" s="74">
        <v>6</v>
      </c>
      <c r="J474" s="75">
        <v>0</v>
      </c>
      <c r="K474" s="75"/>
    </row>
    <row r="475" s="1" customFormat="1" ht="14.25" spans="1:11">
      <c r="A475" s="71">
        <v>4</v>
      </c>
      <c r="B475" s="72">
        <v>30</v>
      </c>
      <c r="C475" s="72">
        <v>3</v>
      </c>
      <c r="D475" s="73" t="s">
        <v>674</v>
      </c>
      <c r="E475" s="73" t="s">
        <v>48</v>
      </c>
      <c r="F475" s="73" t="s">
        <v>125</v>
      </c>
      <c r="G475" s="73" t="s">
        <v>32</v>
      </c>
      <c r="H475" s="74" t="s">
        <v>673</v>
      </c>
      <c r="I475" s="74">
        <v>7</v>
      </c>
      <c r="J475" s="75">
        <v>0</v>
      </c>
      <c r="K475" s="75"/>
    </row>
    <row r="476" s="1" customFormat="1" ht="14.25" spans="1:11">
      <c r="A476" s="71">
        <v>4</v>
      </c>
      <c r="B476" s="72">
        <v>30</v>
      </c>
      <c r="C476" s="72">
        <v>3</v>
      </c>
      <c r="D476" s="73" t="s">
        <v>675</v>
      </c>
      <c r="E476" s="73" t="s">
        <v>48</v>
      </c>
      <c r="F476" s="73" t="s">
        <v>125</v>
      </c>
      <c r="G476" s="73" t="s">
        <v>32</v>
      </c>
      <c r="H476" s="74" t="s">
        <v>673</v>
      </c>
      <c r="I476" s="74">
        <v>6</v>
      </c>
      <c r="J476" s="75">
        <v>0</v>
      </c>
      <c r="K476" s="75"/>
    </row>
    <row r="477" s="1" customFormat="1" ht="14.25" spans="1:11">
      <c r="A477" s="71">
        <v>4</v>
      </c>
      <c r="B477" s="72">
        <v>30</v>
      </c>
      <c r="C477" s="72">
        <v>3</v>
      </c>
      <c r="D477" s="73" t="s">
        <v>676</v>
      </c>
      <c r="E477" s="73" t="s">
        <v>118</v>
      </c>
      <c r="F477" s="73" t="s">
        <v>136</v>
      </c>
      <c r="G477" s="73" t="s">
        <v>32</v>
      </c>
      <c r="H477" s="74" t="s">
        <v>673</v>
      </c>
      <c r="I477" s="74">
        <v>10</v>
      </c>
      <c r="J477" s="75">
        <v>0</v>
      </c>
      <c r="K477" s="75"/>
    </row>
    <row r="478" s="1" customFormat="1" ht="14.25" spans="1:11">
      <c r="A478" s="71">
        <v>4</v>
      </c>
      <c r="B478" s="72">
        <v>30</v>
      </c>
      <c r="C478" s="72">
        <v>3</v>
      </c>
      <c r="D478" s="73" t="s">
        <v>677</v>
      </c>
      <c r="E478" s="73" t="s">
        <v>48</v>
      </c>
      <c r="F478" s="73" t="s">
        <v>125</v>
      </c>
      <c r="G478" s="73" t="s">
        <v>32</v>
      </c>
      <c r="H478" s="74" t="s">
        <v>673</v>
      </c>
      <c r="I478" s="74">
        <v>15</v>
      </c>
      <c r="J478" s="75">
        <v>0</v>
      </c>
      <c r="K478" s="75"/>
    </row>
    <row r="479" s="1" customFormat="1" ht="14.25" spans="1:11">
      <c r="A479" s="71">
        <v>4</v>
      </c>
      <c r="B479" s="72">
        <v>30</v>
      </c>
      <c r="C479" s="72">
        <v>3</v>
      </c>
      <c r="D479" s="73" t="s">
        <v>678</v>
      </c>
      <c r="E479" s="73" t="s">
        <v>48</v>
      </c>
      <c r="F479" s="73" t="s">
        <v>55</v>
      </c>
      <c r="G479" s="73" t="s">
        <v>32</v>
      </c>
      <c r="H479" s="74" t="s">
        <v>679</v>
      </c>
      <c r="I479" s="74">
        <v>15</v>
      </c>
      <c r="J479" s="75">
        <v>0</v>
      </c>
      <c r="K479" s="75"/>
    </row>
    <row r="480" s="1" customFormat="1" ht="14.25" spans="1:11">
      <c r="A480" s="71">
        <v>4</v>
      </c>
      <c r="B480" s="72">
        <v>30</v>
      </c>
      <c r="C480" s="72">
        <v>3</v>
      </c>
      <c r="D480" s="73" t="s">
        <v>674</v>
      </c>
      <c r="E480" s="73" t="s">
        <v>48</v>
      </c>
      <c r="F480" s="73" t="s">
        <v>125</v>
      </c>
      <c r="G480" s="73" t="s">
        <v>32</v>
      </c>
      <c r="H480" s="74" t="s">
        <v>679</v>
      </c>
      <c r="I480" s="74">
        <v>5</v>
      </c>
      <c r="J480" s="75">
        <v>0</v>
      </c>
      <c r="K480" s="75"/>
    </row>
    <row r="481" s="1" customFormat="1" ht="14.25" spans="1:11">
      <c r="A481" s="71">
        <v>4</v>
      </c>
      <c r="B481" s="72">
        <v>30</v>
      </c>
      <c r="C481" s="72">
        <v>3</v>
      </c>
      <c r="D481" s="73" t="s">
        <v>453</v>
      </c>
      <c r="E481" s="73" t="s">
        <v>48</v>
      </c>
      <c r="F481" s="73" t="s">
        <v>49</v>
      </c>
      <c r="G481" s="73" t="s">
        <v>32</v>
      </c>
      <c r="H481" s="74" t="s">
        <v>679</v>
      </c>
      <c r="I481" s="74">
        <v>120</v>
      </c>
      <c r="J481" s="75">
        <v>0</v>
      </c>
      <c r="K481" s="75"/>
    </row>
    <row r="482" s="1" customFormat="1" ht="14.25" spans="1:11">
      <c r="A482" s="71">
        <v>4</v>
      </c>
      <c r="B482" s="72">
        <v>30</v>
      </c>
      <c r="C482" s="72">
        <v>3</v>
      </c>
      <c r="D482" s="73" t="s">
        <v>680</v>
      </c>
      <c r="E482" s="73" t="s">
        <v>172</v>
      </c>
      <c r="F482" s="73" t="s">
        <v>681</v>
      </c>
      <c r="G482" s="73" t="s">
        <v>32</v>
      </c>
      <c r="H482" s="74" t="s">
        <v>679</v>
      </c>
      <c r="I482" s="74">
        <v>700</v>
      </c>
      <c r="J482" s="75">
        <v>0</v>
      </c>
      <c r="K482" s="75"/>
    </row>
    <row r="483" s="1" customFormat="1" ht="14.25" spans="1:11">
      <c r="A483" s="71">
        <v>4</v>
      </c>
      <c r="B483" s="72">
        <v>30</v>
      </c>
      <c r="C483" s="72">
        <v>3</v>
      </c>
      <c r="D483" s="73" t="s">
        <v>682</v>
      </c>
      <c r="E483" s="73" t="s">
        <v>118</v>
      </c>
      <c r="F483" s="73" t="s">
        <v>136</v>
      </c>
      <c r="G483" s="73" t="s">
        <v>32</v>
      </c>
      <c r="H483" s="74" t="s">
        <v>679</v>
      </c>
      <c r="I483" s="74">
        <v>350</v>
      </c>
      <c r="J483" s="75">
        <v>0</v>
      </c>
      <c r="K483" s="75"/>
    </row>
    <row r="484" s="1" customFormat="1" ht="14.25" spans="1:11">
      <c r="A484" s="71">
        <v>4</v>
      </c>
      <c r="B484" s="72">
        <v>30</v>
      </c>
      <c r="C484" s="72">
        <v>4</v>
      </c>
      <c r="D484" s="73" t="s">
        <v>683</v>
      </c>
      <c r="E484" s="73" t="s">
        <v>96</v>
      </c>
      <c r="F484" s="73" t="s">
        <v>55</v>
      </c>
      <c r="G484" s="73" t="s">
        <v>32</v>
      </c>
      <c r="H484" s="74" t="s">
        <v>684</v>
      </c>
      <c r="I484" s="74">
        <v>8</v>
      </c>
      <c r="J484" s="75">
        <v>0</v>
      </c>
      <c r="K484" s="75"/>
    </row>
    <row r="485" s="1" customFormat="1" ht="14.25" spans="1:11">
      <c r="A485" s="71">
        <v>4</v>
      </c>
      <c r="B485" s="72">
        <v>30</v>
      </c>
      <c r="C485" s="72">
        <v>4</v>
      </c>
      <c r="D485" s="73" t="s">
        <v>685</v>
      </c>
      <c r="E485" s="73" t="s">
        <v>172</v>
      </c>
      <c r="F485" s="73" t="s">
        <v>396</v>
      </c>
      <c r="G485" s="73" t="s">
        <v>32</v>
      </c>
      <c r="H485" s="74" t="s">
        <v>684</v>
      </c>
      <c r="I485" s="74">
        <v>4</v>
      </c>
      <c r="J485" s="75">
        <v>0</v>
      </c>
      <c r="K485" s="75"/>
    </row>
    <row r="486" s="1" customFormat="1" ht="14.25" spans="1:11">
      <c r="A486" s="71">
        <v>4</v>
      </c>
      <c r="B486" s="72">
        <v>30</v>
      </c>
      <c r="C486" s="72">
        <v>4</v>
      </c>
      <c r="D486" s="73" t="s">
        <v>686</v>
      </c>
      <c r="E486" s="73" t="s">
        <v>48</v>
      </c>
      <c r="F486" s="73" t="s">
        <v>55</v>
      </c>
      <c r="G486" s="73" t="s">
        <v>32</v>
      </c>
      <c r="H486" s="74" t="s">
        <v>684</v>
      </c>
      <c r="I486" s="74">
        <v>3</v>
      </c>
      <c r="J486" s="75">
        <v>0</v>
      </c>
      <c r="K486" s="75"/>
    </row>
    <row r="487" s="1" customFormat="1" ht="14.25" spans="1:11">
      <c r="A487" s="71">
        <v>4</v>
      </c>
      <c r="B487" s="72">
        <v>30</v>
      </c>
      <c r="C487" s="72">
        <v>4</v>
      </c>
      <c r="D487" s="73" t="s">
        <v>687</v>
      </c>
      <c r="E487" s="73" t="s">
        <v>172</v>
      </c>
      <c r="F487" s="73" t="s">
        <v>396</v>
      </c>
      <c r="G487" s="73" t="s">
        <v>32</v>
      </c>
      <c r="H487" s="74" t="s">
        <v>684</v>
      </c>
      <c r="I487" s="74">
        <v>21</v>
      </c>
      <c r="J487" s="75">
        <v>0</v>
      </c>
      <c r="K487" s="75"/>
    </row>
    <row r="488" s="1" customFormat="1" ht="14.25" spans="1:11">
      <c r="A488" s="71">
        <v>4</v>
      </c>
      <c r="B488" s="72">
        <v>30</v>
      </c>
      <c r="C488" s="72">
        <v>4</v>
      </c>
      <c r="D488" s="73" t="s">
        <v>688</v>
      </c>
      <c r="E488" s="73" t="s">
        <v>96</v>
      </c>
      <c r="F488" s="73" t="s">
        <v>97</v>
      </c>
      <c r="G488" s="73" t="s">
        <v>32</v>
      </c>
      <c r="H488" s="74" t="s">
        <v>684</v>
      </c>
      <c r="I488" s="74">
        <v>172</v>
      </c>
      <c r="J488" s="75">
        <v>0</v>
      </c>
      <c r="K488" s="75"/>
    </row>
    <row r="489" s="1" customFormat="1" ht="14.25" spans="1:11">
      <c r="A489" s="71">
        <v>4</v>
      </c>
      <c r="B489" s="72">
        <v>30</v>
      </c>
      <c r="C489" s="72">
        <v>4</v>
      </c>
      <c r="D489" s="73" t="s">
        <v>689</v>
      </c>
      <c r="E489" s="73" t="s">
        <v>118</v>
      </c>
      <c r="F489" s="73" t="s">
        <v>136</v>
      </c>
      <c r="G489" s="73" t="s">
        <v>32</v>
      </c>
      <c r="H489" s="74" t="s">
        <v>690</v>
      </c>
      <c r="I489" s="74">
        <v>11</v>
      </c>
      <c r="J489" s="75">
        <v>0</v>
      </c>
      <c r="K489" s="75"/>
    </row>
    <row r="490" s="1" customFormat="1" ht="14.25" spans="1:11">
      <c r="A490" s="71">
        <v>4</v>
      </c>
      <c r="B490" s="72">
        <v>30</v>
      </c>
      <c r="C490" s="72">
        <v>4</v>
      </c>
      <c r="D490" s="73" t="s">
        <v>691</v>
      </c>
      <c r="E490" s="73" t="s">
        <v>118</v>
      </c>
      <c r="F490" s="73" t="s">
        <v>136</v>
      </c>
      <c r="G490" s="73" t="s">
        <v>32</v>
      </c>
      <c r="H490" s="74" t="s">
        <v>690</v>
      </c>
      <c r="I490" s="74">
        <v>392</v>
      </c>
      <c r="J490" s="75">
        <v>0</v>
      </c>
      <c r="K490" s="75"/>
    </row>
    <row r="491" s="1" customFormat="1" ht="14.25" spans="1:11">
      <c r="A491" s="71">
        <v>4</v>
      </c>
      <c r="B491" s="72">
        <v>30</v>
      </c>
      <c r="C491" s="72">
        <v>4</v>
      </c>
      <c r="D491" s="73" t="s">
        <v>692</v>
      </c>
      <c r="E491" s="73" t="s">
        <v>96</v>
      </c>
      <c r="F491" s="73" t="s">
        <v>97</v>
      </c>
      <c r="G491" s="73" t="s">
        <v>32</v>
      </c>
      <c r="H491" s="74" t="s">
        <v>690</v>
      </c>
      <c r="I491" s="74">
        <v>168</v>
      </c>
      <c r="J491" s="75">
        <v>0</v>
      </c>
      <c r="K491" s="75"/>
    </row>
    <row r="492" s="1" customFormat="1" ht="14.25" spans="1:11">
      <c r="A492" s="71">
        <v>4</v>
      </c>
      <c r="B492" s="72">
        <v>30</v>
      </c>
      <c r="C492" s="72">
        <v>4</v>
      </c>
      <c r="D492" s="73" t="s">
        <v>693</v>
      </c>
      <c r="E492" s="73" t="s">
        <v>118</v>
      </c>
      <c r="F492" s="73" t="s">
        <v>136</v>
      </c>
      <c r="G492" s="73" t="s">
        <v>32</v>
      </c>
      <c r="H492" s="74" t="s">
        <v>690</v>
      </c>
      <c r="I492" s="74">
        <v>100</v>
      </c>
      <c r="J492" s="75">
        <v>0</v>
      </c>
      <c r="K492" s="75"/>
    </row>
    <row r="493" s="1" customFormat="1" ht="14.25" spans="1:11">
      <c r="A493" s="71">
        <v>4</v>
      </c>
      <c r="B493" s="72">
        <v>30</v>
      </c>
      <c r="C493" s="72">
        <v>4</v>
      </c>
      <c r="D493" s="73" t="s">
        <v>694</v>
      </c>
      <c r="E493" s="73" t="s">
        <v>118</v>
      </c>
      <c r="F493" s="73" t="s">
        <v>136</v>
      </c>
      <c r="G493" s="73" t="s">
        <v>32</v>
      </c>
      <c r="H493" s="74" t="s">
        <v>690</v>
      </c>
      <c r="I493" s="74">
        <v>130</v>
      </c>
      <c r="J493" s="75">
        <v>0</v>
      </c>
      <c r="K493" s="75"/>
    </row>
    <row r="494" s="1" customFormat="1" ht="14.25" spans="1:11">
      <c r="A494" s="71">
        <v>4</v>
      </c>
      <c r="B494" s="72">
        <v>30</v>
      </c>
      <c r="C494" s="72">
        <v>5</v>
      </c>
      <c r="D494" s="73" t="s">
        <v>695</v>
      </c>
      <c r="E494" s="73" t="s">
        <v>118</v>
      </c>
      <c r="F494" s="73" t="s">
        <v>154</v>
      </c>
      <c r="G494" s="73" t="s">
        <v>32</v>
      </c>
      <c r="H494" s="74" t="s">
        <v>696</v>
      </c>
      <c r="I494" s="74">
        <v>550</v>
      </c>
      <c r="J494" s="75">
        <v>0</v>
      </c>
      <c r="K494" s="75"/>
    </row>
    <row r="495" s="1" customFormat="1" ht="14.25" spans="1:11">
      <c r="A495" s="71">
        <v>4</v>
      </c>
      <c r="B495" s="72">
        <v>30</v>
      </c>
      <c r="C495" s="72">
        <v>5</v>
      </c>
      <c r="D495" s="73" t="s">
        <v>697</v>
      </c>
      <c r="E495" s="73" t="s">
        <v>48</v>
      </c>
      <c r="F495" s="73" t="s">
        <v>209</v>
      </c>
      <c r="G495" s="73" t="s">
        <v>32</v>
      </c>
      <c r="H495" s="74" t="s">
        <v>696</v>
      </c>
      <c r="I495" s="74">
        <v>57</v>
      </c>
      <c r="J495" s="75">
        <v>0</v>
      </c>
      <c r="K495" s="75"/>
    </row>
    <row r="496" s="1" customFormat="1" ht="14.25" spans="1:11">
      <c r="A496" s="71">
        <v>4</v>
      </c>
      <c r="B496" s="72">
        <v>30</v>
      </c>
      <c r="C496" s="72">
        <v>5</v>
      </c>
      <c r="D496" s="73" t="s">
        <v>698</v>
      </c>
      <c r="E496" s="73" t="s">
        <v>118</v>
      </c>
      <c r="F496" s="73" t="s">
        <v>136</v>
      </c>
      <c r="G496" s="73" t="s">
        <v>32</v>
      </c>
      <c r="H496" s="74" t="s">
        <v>696</v>
      </c>
      <c r="I496" s="74">
        <v>100</v>
      </c>
      <c r="J496" s="75">
        <v>0</v>
      </c>
      <c r="K496" s="75"/>
    </row>
    <row r="497" s="1" customFormat="1" ht="14.25" spans="1:11">
      <c r="A497" s="71">
        <v>4</v>
      </c>
      <c r="B497" s="72">
        <v>30</v>
      </c>
      <c r="C497" s="72">
        <v>5</v>
      </c>
      <c r="D497" s="73" t="s">
        <v>699</v>
      </c>
      <c r="E497" s="73" t="s">
        <v>118</v>
      </c>
      <c r="F497" s="73" t="s">
        <v>154</v>
      </c>
      <c r="G497" s="73" t="s">
        <v>32</v>
      </c>
      <c r="H497" s="74" t="s">
        <v>696</v>
      </c>
      <c r="I497" s="74">
        <v>2250</v>
      </c>
      <c r="J497" s="75">
        <v>0</v>
      </c>
      <c r="K497" s="75"/>
    </row>
    <row r="498" s="1" customFormat="1" ht="14.25" spans="1:11">
      <c r="A498" s="71">
        <v>4</v>
      </c>
      <c r="B498" s="72">
        <v>30</v>
      </c>
      <c r="C498" s="72">
        <v>5</v>
      </c>
      <c r="D498" s="73" t="s">
        <v>700</v>
      </c>
      <c r="E498" s="73" t="s">
        <v>48</v>
      </c>
      <c r="F498" s="73" t="s">
        <v>55</v>
      </c>
      <c r="G498" s="73" t="s">
        <v>32</v>
      </c>
      <c r="H498" s="74" t="s">
        <v>696</v>
      </c>
      <c r="I498" s="74">
        <v>189</v>
      </c>
      <c r="J498" s="75">
        <v>0</v>
      </c>
      <c r="K498" s="75"/>
    </row>
    <row r="499" s="1" customFormat="1" ht="14.25" spans="1:11">
      <c r="A499" s="71">
        <v>4</v>
      </c>
      <c r="B499" s="72">
        <v>30</v>
      </c>
      <c r="C499" s="72">
        <v>5</v>
      </c>
      <c r="D499" s="73" t="s">
        <v>701</v>
      </c>
      <c r="E499" s="73" t="s">
        <v>48</v>
      </c>
      <c r="F499" s="73" t="s">
        <v>55</v>
      </c>
      <c r="G499" s="73" t="s">
        <v>32</v>
      </c>
      <c r="H499" s="74" t="s">
        <v>702</v>
      </c>
      <c r="I499" s="74">
        <v>160</v>
      </c>
      <c r="J499" s="75">
        <v>0</v>
      </c>
      <c r="K499" s="75"/>
    </row>
    <row r="500" s="1" customFormat="1" ht="14.25" spans="1:11">
      <c r="A500" s="71">
        <v>4</v>
      </c>
      <c r="B500" s="72">
        <v>30</v>
      </c>
      <c r="C500" s="72">
        <v>5</v>
      </c>
      <c r="D500" s="73" t="s">
        <v>703</v>
      </c>
      <c r="E500" s="73" t="s">
        <v>48</v>
      </c>
      <c r="F500" s="73" t="s">
        <v>55</v>
      </c>
      <c r="G500" s="73" t="s">
        <v>32</v>
      </c>
      <c r="H500" s="74" t="s">
        <v>702</v>
      </c>
      <c r="I500" s="74">
        <v>140</v>
      </c>
      <c r="J500" s="75">
        <v>0</v>
      </c>
      <c r="K500" s="75"/>
    </row>
    <row r="501" s="1" customFormat="1" ht="14.25" spans="1:11">
      <c r="A501" s="71">
        <v>4</v>
      </c>
      <c r="B501" s="72">
        <v>30</v>
      </c>
      <c r="C501" s="72">
        <v>5</v>
      </c>
      <c r="D501" s="73" t="s">
        <v>704</v>
      </c>
      <c r="E501" s="73" t="s">
        <v>48</v>
      </c>
      <c r="F501" s="73" t="s">
        <v>55</v>
      </c>
      <c r="G501" s="73" t="s">
        <v>32</v>
      </c>
      <c r="H501" s="74" t="s">
        <v>702</v>
      </c>
      <c r="I501" s="74">
        <v>2950</v>
      </c>
      <c r="J501" s="75">
        <v>0</v>
      </c>
      <c r="K501" s="75"/>
    </row>
    <row r="502" s="1" customFormat="1" ht="14.25" spans="1:11">
      <c r="A502" s="71">
        <v>4</v>
      </c>
      <c r="B502" s="72">
        <v>30</v>
      </c>
      <c r="C502" s="72">
        <v>5</v>
      </c>
      <c r="D502" s="73" t="s">
        <v>705</v>
      </c>
      <c r="E502" s="73" t="s">
        <v>118</v>
      </c>
      <c r="F502" s="73" t="s">
        <v>489</v>
      </c>
      <c r="G502" s="73" t="s">
        <v>32</v>
      </c>
      <c r="H502" s="74" t="s">
        <v>702</v>
      </c>
      <c r="I502" s="74">
        <v>182</v>
      </c>
      <c r="J502" s="75">
        <v>0</v>
      </c>
      <c r="K502" s="75"/>
    </row>
    <row r="503" s="1" customFormat="1" ht="14.25" spans="1:11">
      <c r="A503" s="71">
        <v>4</v>
      </c>
      <c r="B503" s="72">
        <v>30</v>
      </c>
      <c r="C503" s="72">
        <v>5</v>
      </c>
      <c r="D503" s="73" t="s">
        <v>705</v>
      </c>
      <c r="E503" s="73" t="s">
        <v>118</v>
      </c>
      <c r="F503" s="73" t="s">
        <v>489</v>
      </c>
      <c r="G503" s="73" t="s">
        <v>32</v>
      </c>
      <c r="H503" s="74" t="s">
        <v>702</v>
      </c>
      <c r="I503" s="74">
        <v>1148</v>
      </c>
      <c r="J503" s="75">
        <v>0</v>
      </c>
      <c r="K503" s="75"/>
    </row>
    <row r="504" s="1" customFormat="1" ht="14.25" spans="1:11">
      <c r="A504" s="71">
        <v>4</v>
      </c>
      <c r="B504" s="72">
        <v>30</v>
      </c>
      <c r="C504" s="72">
        <v>6</v>
      </c>
      <c r="D504" s="73" t="s">
        <v>706</v>
      </c>
      <c r="E504" s="73" t="s">
        <v>118</v>
      </c>
      <c r="F504" s="73" t="s">
        <v>136</v>
      </c>
      <c r="G504" s="73" t="s">
        <v>32</v>
      </c>
      <c r="H504" s="74" t="s">
        <v>707</v>
      </c>
      <c r="I504" s="74">
        <v>410</v>
      </c>
      <c r="J504" s="75">
        <v>0</v>
      </c>
      <c r="K504" s="75"/>
    </row>
    <row r="505" s="1" customFormat="1" ht="14.25" spans="1:11">
      <c r="A505" s="71">
        <v>4</v>
      </c>
      <c r="B505" s="72">
        <v>30</v>
      </c>
      <c r="C505" s="72">
        <v>6</v>
      </c>
      <c r="D505" s="73" t="s">
        <v>124</v>
      </c>
      <c r="E505" s="73" t="s">
        <v>48</v>
      </c>
      <c r="F505" s="73" t="s">
        <v>125</v>
      </c>
      <c r="G505" s="73" t="s">
        <v>32</v>
      </c>
      <c r="H505" s="74" t="s">
        <v>707</v>
      </c>
      <c r="I505" s="74">
        <v>4</v>
      </c>
      <c r="J505" s="75">
        <v>0</v>
      </c>
      <c r="K505" s="75"/>
    </row>
    <row r="506" s="1" customFormat="1" ht="14.25" spans="1:11">
      <c r="A506" s="71">
        <v>4</v>
      </c>
      <c r="B506" s="72">
        <v>30</v>
      </c>
      <c r="C506" s="72">
        <v>6</v>
      </c>
      <c r="D506" s="73" t="s">
        <v>708</v>
      </c>
      <c r="E506" s="73" t="s">
        <v>172</v>
      </c>
      <c r="F506" s="73" t="s">
        <v>396</v>
      </c>
      <c r="G506" s="73" t="s">
        <v>32</v>
      </c>
      <c r="H506" s="74" t="s">
        <v>707</v>
      </c>
      <c r="I506" s="74">
        <v>100</v>
      </c>
      <c r="J506" s="75">
        <v>0</v>
      </c>
      <c r="K506" s="75"/>
    </row>
    <row r="507" s="1" customFormat="1" ht="14.25" spans="1:11">
      <c r="A507" s="71">
        <v>4</v>
      </c>
      <c r="B507" s="72">
        <v>30</v>
      </c>
      <c r="C507" s="72">
        <v>6</v>
      </c>
      <c r="D507" s="73" t="s">
        <v>709</v>
      </c>
      <c r="E507" s="73" t="s">
        <v>118</v>
      </c>
      <c r="F507" s="73" t="s">
        <v>136</v>
      </c>
      <c r="G507" s="73" t="s">
        <v>32</v>
      </c>
      <c r="H507" s="74" t="s">
        <v>707</v>
      </c>
      <c r="I507" s="74">
        <v>6</v>
      </c>
      <c r="J507" s="75">
        <v>0</v>
      </c>
      <c r="K507" s="75"/>
    </row>
    <row r="508" s="1" customFormat="1" ht="14.25" spans="1:11">
      <c r="A508" s="71">
        <v>4</v>
      </c>
      <c r="B508" s="72">
        <v>30</v>
      </c>
      <c r="C508" s="72">
        <v>6</v>
      </c>
      <c r="D508" s="73" t="s">
        <v>710</v>
      </c>
      <c r="E508" s="73" t="s">
        <v>96</v>
      </c>
      <c r="F508" s="73" t="s">
        <v>97</v>
      </c>
      <c r="G508" s="73" t="s">
        <v>32</v>
      </c>
      <c r="H508" s="74" t="s">
        <v>707</v>
      </c>
      <c r="I508" s="74">
        <v>176</v>
      </c>
      <c r="J508" s="75">
        <v>0</v>
      </c>
      <c r="K508" s="75"/>
    </row>
    <row r="509" s="1" customFormat="1" ht="14.25" spans="1:11">
      <c r="A509" s="71">
        <v>4</v>
      </c>
      <c r="B509" s="72">
        <v>30</v>
      </c>
      <c r="C509" s="72">
        <v>6</v>
      </c>
      <c r="D509" s="73" t="s">
        <v>124</v>
      </c>
      <c r="E509" s="73" t="s">
        <v>48</v>
      </c>
      <c r="F509" s="73" t="s">
        <v>125</v>
      </c>
      <c r="G509" s="73" t="s">
        <v>32</v>
      </c>
      <c r="H509" s="74" t="s">
        <v>711</v>
      </c>
      <c r="I509" s="74">
        <v>6</v>
      </c>
      <c r="J509" s="75">
        <v>0</v>
      </c>
      <c r="K509" s="75"/>
    </row>
    <row r="510" s="1" customFormat="1" ht="14.25" spans="1:11">
      <c r="A510" s="71">
        <v>4</v>
      </c>
      <c r="B510" s="72">
        <v>30</v>
      </c>
      <c r="C510" s="72">
        <v>6</v>
      </c>
      <c r="D510" s="73" t="s">
        <v>672</v>
      </c>
      <c r="E510" s="73" t="s">
        <v>96</v>
      </c>
      <c r="F510" s="73" t="s">
        <v>55</v>
      </c>
      <c r="G510" s="73" t="s">
        <v>32</v>
      </c>
      <c r="H510" s="74" t="s">
        <v>711</v>
      </c>
      <c r="I510" s="74">
        <v>40</v>
      </c>
      <c r="J510" s="75">
        <v>0</v>
      </c>
      <c r="K510" s="75"/>
    </row>
    <row r="511" s="1" customFormat="1" ht="14.25" spans="1:11">
      <c r="A511" s="71">
        <v>4</v>
      </c>
      <c r="B511" s="72">
        <v>30</v>
      </c>
      <c r="C511" s="72">
        <v>6</v>
      </c>
      <c r="D511" s="73" t="s">
        <v>712</v>
      </c>
      <c r="E511" s="73" t="s">
        <v>96</v>
      </c>
      <c r="F511" s="73" t="s">
        <v>97</v>
      </c>
      <c r="G511" s="73" t="s">
        <v>32</v>
      </c>
      <c r="H511" s="74" t="s">
        <v>711</v>
      </c>
      <c r="I511" s="74">
        <v>10</v>
      </c>
      <c r="J511" s="75">
        <v>0</v>
      </c>
      <c r="K511" s="75"/>
    </row>
    <row r="512" s="1" customFormat="1" ht="14.25" spans="1:11">
      <c r="A512" s="71">
        <v>4</v>
      </c>
      <c r="B512" s="72">
        <v>30</v>
      </c>
      <c r="C512" s="72">
        <v>6</v>
      </c>
      <c r="D512" s="73" t="s">
        <v>713</v>
      </c>
      <c r="E512" s="73" t="s">
        <v>118</v>
      </c>
      <c r="F512" s="73" t="s">
        <v>136</v>
      </c>
      <c r="G512" s="73" t="s">
        <v>32</v>
      </c>
      <c r="H512" s="74" t="s">
        <v>711</v>
      </c>
      <c r="I512" s="74">
        <v>36</v>
      </c>
      <c r="J512" s="75">
        <v>0</v>
      </c>
      <c r="K512" s="75"/>
    </row>
    <row r="513" s="1" customFormat="1" ht="14.25" spans="1:11">
      <c r="A513" s="71">
        <v>4</v>
      </c>
      <c r="B513" s="72">
        <v>30</v>
      </c>
      <c r="C513" s="72">
        <v>6</v>
      </c>
      <c r="D513" s="73" t="s">
        <v>275</v>
      </c>
      <c r="E513" s="73" t="s">
        <v>48</v>
      </c>
      <c r="F513" s="73" t="s">
        <v>125</v>
      </c>
      <c r="G513" s="73" t="s">
        <v>32</v>
      </c>
      <c r="H513" s="74" t="s">
        <v>711</v>
      </c>
      <c r="I513" s="74">
        <v>165</v>
      </c>
      <c r="J513" s="75">
        <v>0</v>
      </c>
      <c r="K513" s="75"/>
    </row>
    <row r="514" s="1" customFormat="1" ht="14.25" spans="1:11">
      <c r="A514" s="71">
        <v>4</v>
      </c>
      <c r="B514" s="72">
        <v>30</v>
      </c>
      <c r="C514" s="72">
        <v>7</v>
      </c>
      <c r="D514" s="73" t="s">
        <v>714</v>
      </c>
      <c r="E514" s="73" t="s">
        <v>118</v>
      </c>
      <c r="F514" s="73" t="s">
        <v>192</v>
      </c>
      <c r="G514" s="73" t="s">
        <v>32</v>
      </c>
      <c r="H514" s="74" t="s">
        <v>715</v>
      </c>
      <c r="I514" s="74">
        <v>500000</v>
      </c>
      <c r="J514" s="75">
        <v>0</v>
      </c>
      <c r="K514" s="75"/>
    </row>
    <row r="515" s="1" customFormat="1" ht="14.25" spans="1:11">
      <c r="A515" s="71">
        <v>4</v>
      </c>
      <c r="B515" s="72">
        <v>30</v>
      </c>
      <c r="C515" s="72">
        <v>7</v>
      </c>
      <c r="D515" s="73" t="s">
        <v>716</v>
      </c>
      <c r="E515" s="73" t="s">
        <v>48</v>
      </c>
      <c r="F515" s="73" t="s">
        <v>55</v>
      </c>
      <c r="G515" s="73" t="s">
        <v>32</v>
      </c>
      <c r="H515" s="74" t="s">
        <v>715</v>
      </c>
      <c r="I515" s="74">
        <v>40</v>
      </c>
      <c r="J515" s="75">
        <v>0</v>
      </c>
      <c r="K515" s="75"/>
    </row>
    <row r="516" s="1" customFormat="1" ht="14.25" spans="1:11">
      <c r="A516" s="71">
        <v>4</v>
      </c>
      <c r="B516" s="72">
        <v>30</v>
      </c>
      <c r="C516" s="72">
        <v>7</v>
      </c>
      <c r="D516" s="73" t="s">
        <v>717</v>
      </c>
      <c r="E516" s="73" t="s">
        <v>118</v>
      </c>
      <c r="F516" s="73" t="s">
        <v>154</v>
      </c>
      <c r="G516" s="73" t="s">
        <v>32</v>
      </c>
      <c r="H516" s="74" t="s">
        <v>715</v>
      </c>
      <c r="I516" s="74">
        <v>880</v>
      </c>
      <c r="J516" s="75">
        <v>0</v>
      </c>
      <c r="K516" s="75"/>
    </row>
    <row r="517" s="1" customFormat="1" ht="14.25" spans="1:11">
      <c r="A517" s="71">
        <v>4</v>
      </c>
      <c r="B517" s="72">
        <v>30</v>
      </c>
      <c r="C517" s="72">
        <v>7</v>
      </c>
      <c r="D517" s="73" t="s">
        <v>718</v>
      </c>
      <c r="E517" s="73" t="s">
        <v>291</v>
      </c>
      <c r="F517" s="73" t="s">
        <v>719</v>
      </c>
      <c r="G517" s="73" t="s">
        <v>32</v>
      </c>
      <c r="H517" s="74" t="s">
        <v>715</v>
      </c>
      <c r="I517" s="74">
        <v>14250</v>
      </c>
      <c r="J517" s="75">
        <v>0</v>
      </c>
      <c r="K517" s="75"/>
    </row>
    <row r="518" s="1" customFormat="1" ht="14.25" spans="1:11">
      <c r="A518" s="71">
        <v>4</v>
      </c>
      <c r="B518" s="72">
        <v>30</v>
      </c>
      <c r="C518" s="72">
        <v>7</v>
      </c>
      <c r="D518" s="73" t="s">
        <v>720</v>
      </c>
      <c r="E518" s="73" t="s">
        <v>118</v>
      </c>
      <c r="F518" s="73" t="s">
        <v>127</v>
      </c>
      <c r="G518" s="73" t="s">
        <v>32</v>
      </c>
      <c r="H518" s="74" t="s">
        <v>715</v>
      </c>
      <c r="I518" s="74">
        <v>260</v>
      </c>
      <c r="J518" s="75">
        <v>0</v>
      </c>
      <c r="K518" s="75"/>
    </row>
    <row r="519" s="1" customFormat="1" ht="14.25" spans="1:11">
      <c r="A519" s="71">
        <v>4</v>
      </c>
      <c r="B519" s="72">
        <v>30</v>
      </c>
      <c r="C519" s="72">
        <v>7</v>
      </c>
      <c r="D519" s="73" t="s">
        <v>721</v>
      </c>
      <c r="E519" s="73" t="s">
        <v>100</v>
      </c>
      <c r="F519" s="73" t="s">
        <v>101</v>
      </c>
      <c r="G519" s="73" t="s">
        <v>32</v>
      </c>
      <c r="H519" s="74" t="s">
        <v>722</v>
      </c>
      <c r="I519" s="74">
        <v>311.54</v>
      </c>
      <c r="J519" s="75">
        <v>0</v>
      </c>
      <c r="K519" s="75"/>
    </row>
    <row r="520" s="1" customFormat="1" ht="14.25" spans="1:11">
      <c r="A520" s="71">
        <v>4</v>
      </c>
      <c r="B520" s="72">
        <v>30</v>
      </c>
      <c r="C520" s="72">
        <v>7</v>
      </c>
      <c r="D520" s="73" t="s">
        <v>723</v>
      </c>
      <c r="E520" s="73" t="s">
        <v>100</v>
      </c>
      <c r="F520" s="73" t="s">
        <v>101</v>
      </c>
      <c r="G520" s="73" t="s">
        <v>32</v>
      </c>
      <c r="H520" s="74" t="s">
        <v>722</v>
      </c>
      <c r="I520" s="74">
        <v>134.63</v>
      </c>
      <c r="J520" s="75">
        <v>0</v>
      </c>
      <c r="K520" s="75"/>
    </row>
    <row r="521" s="1" customFormat="1" ht="14.25" spans="1:11">
      <c r="A521" s="71">
        <v>4</v>
      </c>
      <c r="B521" s="72">
        <v>30</v>
      </c>
      <c r="C521" s="72">
        <v>7</v>
      </c>
      <c r="D521" s="73" t="s">
        <v>275</v>
      </c>
      <c r="E521" s="73" t="s">
        <v>48</v>
      </c>
      <c r="F521" s="73" t="s">
        <v>125</v>
      </c>
      <c r="G521" s="73" t="s">
        <v>32</v>
      </c>
      <c r="H521" s="74" t="s">
        <v>722</v>
      </c>
      <c r="I521" s="74">
        <v>165</v>
      </c>
      <c r="J521" s="75">
        <v>0</v>
      </c>
      <c r="K521" s="75"/>
    </row>
    <row r="522" s="1" customFormat="1" ht="14.25" spans="1:11">
      <c r="A522" s="71">
        <v>4</v>
      </c>
      <c r="B522" s="72">
        <v>30</v>
      </c>
      <c r="C522" s="72">
        <v>7</v>
      </c>
      <c r="D522" s="73" t="s">
        <v>275</v>
      </c>
      <c r="E522" s="73" t="s">
        <v>48</v>
      </c>
      <c r="F522" s="73" t="s">
        <v>125</v>
      </c>
      <c r="G522" s="73" t="s">
        <v>32</v>
      </c>
      <c r="H522" s="74" t="s">
        <v>722</v>
      </c>
      <c r="I522" s="74">
        <v>110</v>
      </c>
      <c r="J522" s="75">
        <v>0</v>
      </c>
      <c r="K522" s="75"/>
    </row>
    <row r="523" s="1" customFormat="1" ht="14.25" spans="1:11">
      <c r="A523" s="71">
        <v>4</v>
      </c>
      <c r="B523" s="72">
        <v>30</v>
      </c>
      <c r="C523" s="72">
        <v>7</v>
      </c>
      <c r="D523" s="73" t="s">
        <v>275</v>
      </c>
      <c r="E523" s="73" t="s">
        <v>48</v>
      </c>
      <c r="F523" s="73" t="s">
        <v>125</v>
      </c>
      <c r="G523" s="73" t="s">
        <v>32</v>
      </c>
      <c r="H523" s="74" t="s">
        <v>722</v>
      </c>
      <c r="I523" s="74">
        <v>100</v>
      </c>
      <c r="J523" s="75">
        <v>0</v>
      </c>
      <c r="K523" s="75"/>
    </row>
    <row r="524" s="1" customFormat="1" ht="14.25" spans="1:11">
      <c r="A524" s="71">
        <v>4</v>
      </c>
      <c r="B524" s="72">
        <v>30</v>
      </c>
      <c r="C524" s="72">
        <v>8</v>
      </c>
      <c r="D524" s="73" t="s">
        <v>724</v>
      </c>
      <c r="E524" s="73" t="s">
        <v>96</v>
      </c>
      <c r="F524" s="73" t="s">
        <v>97</v>
      </c>
      <c r="G524" s="73" t="s">
        <v>32</v>
      </c>
      <c r="H524" s="74" t="s">
        <v>725</v>
      </c>
      <c r="I524" s="74">
        <v>394.5</v>
      </c>
      <c r="J524" s="75">
        <v>0</v>
      </c>
      <c r="K524" s="75"/>
    </row>
    <row r="525" s="1" customFormat="1" ht="14.25" spans="1:11">
      <c r="A525" s="71">
        <v>4</v>
      </c>
      <c r="B525" s="72">
        <v>30</v>
      </c>
      <c r="C525" s="72">
        <v>8</v>
      </c>
      <c r="D525" s="73" t="s">
        <v>726</v>
      </c>
      <c r="E525" s="73" t="s">
        <v>118</v>
      </c>
      <c r="F525" s="73" t="s">
        <v>136</v>
      </c>
      <c r="G525" s="73" t="s">
        <v>32</v>
      </c>
      <c r="H525" s="74" t="s">
        <v>725</v>
      </c>
      <c r="I525" s="74">
        <v>38.5</v>
      </c>
      <c r="J525" s="75">
        <v>0</v>
      </c>
      <c r="K525" s="75"/>
    </row>
    <row r="526" s="1" customFormat="1" ht="14.25" spans="1:11">
      <c r="A526" s="71">
        <v>4</v>
      </c>
      <c r="B526" s="72">
        <v>30</v>
      </c>
      <c r="C526" s="72">
        <v>8</v>
      </c>
      <c r="D526" s="73" t="s">
        <v>727</v>
      </c>
      <c r="E526" s="73" t="s">
        <v>100</v>
      </c>
      <c r="F526" s="73" t="s">
        <v>101</v>
      </c>
      <c r="G526" s="73" t="s">
        <v>32</v>
      </c>
      <c r="H526" s="74" t="s">
        <v>725</v>
      </c>
      <c r="I526" s="74">
        <v>70</v>
      </c>
      <c r="J526" s="75">
        <v>0</v>
      </c>
      <c r="K526" s="75"/>
    </row>
    <row r="527" s="1" customFormat="1" ht="14.25" spans="1:11">
      <c r="A527" s="71">
        <v>4</v>
      </c>
      <c r="B527" s="72">
        <v>30</v>
      </c>
      <c r="C527" s="72">
        <v>8</v>
      </c>
      <c r="D527" s="73" t="s">
        <v>728</v>
      </c>
      <c r="E527" s="73" t="s">
        <v>100</v>
      </c>
      <c r="F527" s="73" t="s">
        <v>101</v>
      </c>
      <c r="G527" s="73" t="s">
        <v>32</v>
      </c>
      <c r="H527" s="74" t="s">
        <v>725</v>
      </c>
      <c r="I527" s="74">
        <v>103.75</v>
      </c>
      <c r="J527" s="75">
        <v>0</v>
      </c>
      <c r="K527" s="75"/>
    </row>
    <row r="528" s="1" customFormat="1" ht="14.25" spans="1:11">
      <c r="A528" s="71">
        <v>4</v>
      </c>
      <c r="B528" s="72">
        <v>30</v>
      </c>
      <c r="C528" s="72">
        <v>8</v>
      </c>
      <c r="D528" s="73" t="s">
        <v>729</v>
      </c>
      <c r="E528" s="73" t="s">
        <v>100</v>
      </c>
      <c r="F528" s="73" t="s">
        <v>101</v>
      </c>
      <c r="G528" s="73" t="s">
        <v>32</v>
      </c>
      <c r="H528" s="74" t="s">
        <v>725</v>
      </c>
      <c r="I528" s="74">
        <v>265.38</v>
      </c>
      <c r="J528" s="75">
        <v>0</v>
      </c>
      <c r="K528" s="75"/>
    </row>
    <row r="529" s="1" customFormat="1" ht="14.25" spans="1:11">
      <c r="A529" s="71">
        <v>4</v>
      </c>
      <c r="B529" s="72">
        <v>30</v>
      </c>
      <c r="C529" s="72">
        <v>8</v>
      </c>
      <c r="D529" s="73" t="s">
        <v>730</v>
      </c>
      <c r="E529" s="73" t="s">
        <v>118</v>
      </c>
      <c r="F529" s="73" t="s">
        <v>119</v>
      </c>
      <c r="G529" s="73" t="s">
        <v>32</v>
      </c>
      <c r="H529" s="74" t="s">
        <v>731</v>
      </c>
      <c r="I529" s="74">
        <v>36900</v>
      </c>
      <c r="J529" s="75">
        <v>0</v>
      </c>
      <c r="K529" s="75"/>
    </row>
    <row r="530" s="1" customFormat="1" ht="14.25" spans="1:11">
      <c r="A530" s="71">
        <v>4</v>
      </c>
      <c r="B530" s="72">
        <v>30</v>
      </c>
      <c r="C530" s="72">
        <v>8</v>
      </c>
      <c r="D530" s="73" t="s">
        <v>732</v>
      </c>
      <c r="E530" s="73" t="s">
        <v>172</v>
      </c>
      <c r="F530" s="73" t="s">
        <v>173</v>
      </c>
      <c r="G530" s="73" t="s">
        <v>32</v>
      </c>
      <c r="H530" s="74" t="s">
        <v>731</v>
      </c>
      <c r="I530" s="74">
        <v>15603</v>
      </c>
      <c r="J530" s="75">
        <v>0</v>
      </c>
      <c r="K530" s="75"/>
    </row>
    <row r="531" s="1" customFormat="1" ht="14.25" spans="1:11">
      <c r="A531" s="71">
        <v>4</v>
      </c>
      <c r="B531" s="72">
        <v>30</v>
      </c>
      <c r="C531" s="72">
        <v>8</v>
      </c>
      <c r="D531" s="73" t="s">
        <v>733</v>
      </c>
      <c r="E531" s="73" t="s">
        <v>118</v>
      </c>
      <c r="F531" s="73" t="s">
        <v>127</v>
      </c>
      <c r="G531" s="73" t="s">
        <v>32</v>
      </c>
      <c r="H531" s="74" t="s">
        <v>731</v>
      </c>
      <c r="I531" s="74">
        <v>260</v>
      </c>
      <c r="J531" s="75">
        <v>0</v>
      </c>
      <c r="K531" s="75"/>
    </row>
    <row r="532" s="1" customFormat="1" ht="14.25" spans="1:11">
      <c r="A532" s="71">
        <v>4</v>
      </c>
      <c r="B532" s="72">
        <v>30</v>
      </c>
      <c r="C532" s="72">
        <v>8</v>
      </c>
      <c r="D532" s="73" t="s">
        <v>734</v>
      </c>
      <c r="E532" s="73" t="s">
        <v>118</v>
      </c>
      <c r="F532" s="73" t="s">
        <v>136</v>
      </c>
      <c r="G532" s="73" t="s">
        <v>32</v>
      </c>
      <c r="H532" s="74" t="s">
        <v>731</v>
      </c>
      <c r="I532" s="74">
        <v>28</v>
      </c>
      <c r="J532" s="75">
        <v>0</v>
      </c>
      <c r="K532" s="75"/>
    </row>
    <row r="533" s="1" customFormat="1" ht="14.25" spans="1:11">
      <c r="A533" s="71">
        <v>4</v>
      </c>
      <c r="B533" s="72">
        <v>30</v>
      </c>
      <c r="C533" s="72">
        <v>8</v>
      </c>
      <c r="D533" s="73" t="s">
        <v>735</v>
      </c>
      <c r="E533" s="73" t="s">
        <v>48</v>
      </c>
      <c r="F533" s="73" t="s">
        <v>55</v>
      </c>
      <c r="G533" s="73" t="s">
        <v>32</v>
      </c>
      <c r="H533" s="74" t="s">
        <v>731</v>
      </c>
      <c r="I533" s="74">
        <v>8</v>
      </c>
      <c r="J533" s="75">
        <v>0</v>
      </c>
      <c r="K533" s="75"/>
    </row>
    <row r="534" s="1" customFormat="1" ht="14.25" spans="1:11">
      <c r="A534" s="71">
        <v>4</v>
      </c>
      <c r="B534" s="72">
        <v>30</v>
      </c>
      <c r="C534" s="72">
        <v>9</v>
      </c>
      <c r="D534" s="73" t="s">
        <v>736</v>
      </c>
      <c r="E534" s="73" t="s">
        <v>48</v>
      </c>
      <c r="F534" s="73" t="s">
        <v>55</v>
      </c>
      <c r="G534" s="73" t="s">
        <v>32</v>
      </c>
      <c r="H534" s="74" t="s">
        <v>737</v>
      </c>
      <c r="I534" s="74">
        <v>9</v>
      </c>
      <c r="J534" s="75">
        <v>0</v>
      </c>
      <c r="K534" s="75"/>
    </row>
    <row r="535" s="1" customFormat="1" ht="14.25" spans="1:11">
      <c r="A535" s="71">
        <v>4</v>
      </c>
      <c r="B535" s="72">
        <v>30</v>
      </c>
      <c r="C535" s="72">
        <v>9</v>
      </c>
      <c r="D535" s="73" t="s">
        <v>738</v>
      </c>
      <c r="E535" s="73" t="s">
        <v>96</v>
      </c>
      <c r="F535" s="73" t="s">
        <v>55</v>
      </c>
      <c r="G535" s="73" t="s">
        <v>32</v>
      </c>
      <c r="H535" s="74" t="s">
        <v>737</v>
      </c>
      <c r="I535" s="74">
        <v>680</v>
      </c>
      <c r="J535" s="75">
        <v>0</v>
      </c>
      <c r="K535" s="75"/>
    </row>
    <row r="536" s="1" customFormat="1" ht="14.25" spans="1:11">
      <c r="A536" s="71">
        <v>4</v>
      </c>
      <c r="B536" s="72">
        <v>30</v>
      </c>
      <c r="C536" s="72">
        <v>9</v>
      </c>
      <c r="D536" s="73" t="s">
        <v>739</v>
      </c>
      <c r="E536" s="73" t="s">
        <v>118</v>
      </c>
      <c r="F536" s="73" t="s">
        <v>146</v>
      </c>
      <c r="G536" s="73" t="s">
        <v>32</v>
      </c>
      <c r="H536" s="74" t="s">
        <v>737</v>
      </c>
      <c r="I536" s="74">
        <v>24</v>
      </c>
      <c r="J536" s="75">
        <v>0</v>
      </c>
      <c r="K536" s="75"/>
    </row>
    <row r="537" s="1" customFormat="1" ht="14.25" spans="1:11">
      <c r="A537" s="71">
        <v>4</v>
      </c>
      <c r="B537" s="72">
        <v>30</v>
      </c>
      <c r="C537" s="72">
        <v>9</v>
      </c>
      <c r="D537" s="73" t="s">
        <v>740</v>
      </c>
      <c r="E537" s="73" t="s">
        <v>118</v>
      </c>
      <c r="F537" s="73" t="s">
        <v>741</v>
      </c>
      <c r="G537" s="73" t="s">
        <v>32</v>
      </c>
      <c r="H537" s="74" t="s">
        <v>737</v>
      </c>
      <c r="I537" s="74">
        <v>40</v>
      </c>
      <c r="J537" s="75">
        <v>0</v>
      </c>
      <c r="K537" s="75"/>
    </row>
    <row r="538" s="1" customFormat="1" ht="14.25" spans="1:11">
      <c r="A538" s="71">
        <v>4</v>
      </c>
      <c r="B538" s="72">
        <v>30</v>
      </c>
      <c r="C538" s="72">
        <v>9</v>
      </c>
      <c r="D538" s="73" t="s">
        <v>742</v>
      </c>
      <c r="E538" s="73" t="s">
        <v>172</v>
      </c>
      <c r="F538" s="73" t="s">
        <v>396</v>
      </c>
      <c r="G538" s="73" t="s">
        <v>32</v>
      </c>
      <c r="H538" s="74" t="s">
        <v>737</v>
      </c>
      <c r="I538" s="74">
        <v>20</v>
      </c>
      <c r="J538" s="75">
        <v>0</v>
      </c>
      <c r="K538" s="75"/>
    </row>
    <row r="539" s="1" customFormat="1" ht="14.25" spans="1:11">
      <c r="A539" s="71">
        <v>4</v>
      </c>
      <c r="B539" s="72">
        <v>30</v>
      </c>
      <c r="C539" s="72">
        <v>9</v>
      </c>
      <c r="D539" s="73" t="s">
        <v>720</v>
      </c>
      <c r="E539" s="73" t="s">
        <v>118</v>
      </c>
      <c r="F539" s="73" t="s">
        <v>127</v>
      </c>
      <c r="G539" s="73" t="s">
        <v>32</v>
      </c>
      <c r="H539" s="74" t="s">
        <v>743</v>
      </c>
      <c r="I539" s="74">
        <v>260</v>
      </c>
      <c r="J539" s="75">
        <v>0</v>
      </c>
      <c r="K539" s="75"/>
    </row>
    <row r="540" s="1" customFormat="1" ht="14.25" spans="1:11">
      <c r="A540" s="71">
        <v>4</v>
      </c>
      <c r="B540" s="72">
        <v>30</v>
      </c>
      <c r="C540" s="72">
        <v>9</v>
      </c>
      <c r="D540" s="73" t="s">
        <v>744</v>
      </c>
      <c r="E540" s="73" t="s">
        <v>118</v>
      </c>
      <c r="F540" s="73" t="s">
        <v>154</v>
      </c>
      <c r="G540" s="73" t="s">
        <v>32</v>
      </c>
      <c r="H540" s="74" t="s">
        <v>743</v>
      </c>
      <c r="I540" s="74">
        <v>17200</v>
      </c>
      <c r="J540" s="75">
        <v>0</v>
      </c>
      <c r="K540" s="75"/>
    </row>
    <row r="541" s="1" customFormat="1" ht="14.25" spans="1:11">
      <c r="A541" s="71">
        <v>4</v>
      </c>
      <c r="B541" s="72">
        <v>30</v>
      </c>
      <c r="C541" s="72">
        <v>9</v>
      </c>
      <c r="D541" s="73" t="s">
        <v>124</v>
      </c>
      <c r="E541" s="73" t="s">
        <v>48</v>
      </c>
      <c r="F541" s="73" t="s">
        <v>125</v>
      </c>
      <c r="G541" s="73" t="s">
        <v>32</v>
      </c>
      <c r="H541" s="74" t="s">
        <v>743</v>
      </c>
      <c r="I541" s="74">
        <v>16</v>
      </c>
      <c r="J541" s="75">
        <v>0</v>
      </c>
      <c r="K541" s="75"/>
    </row>
    <row r="542" s="1" customFormat="1" ht="14.25" spans="1:11">
      <c r="A542" s="71">
        <v>4</v>
      </c>
      <c r="B542" s="72">
        <v>30</v>
      </c>
      <c r="C542" s="72">
        <v>9</v>
      </c>
      <c r="D542" s="73" t="s">
        <v>745</v>
      </c>
      <c r="E542" s="73" t="s">
        <v>118</v>
      </c>
      <c r="F542" s="73" t="s">
        <v>127</v>
      </c>
      <c r="G542" s="73" t="s">
        <v>32</v>
      </c>
      <c r="H542" s="74" t="s">
        <v>743</v>
      </c>
      <c r="I542" s="74">
        <v>15</v>
      </c>
      <c r="J542" s="75">
        <v>0</v>
      </c>
      <c r="K542" s="75"/>
    </row>
    <row r="543" s="1" customFormat="1" ht="14.25" spans="1:11">
      <c r="A543" s="71">
        <v>4</v>
      </c>
      <c r="B543" s="72">
        <v>30</v>
      </c>
      <c r="C543" s="72">
        <v>9</v>
      </c>
      <c r="D543" s="73" t="s">
        <v>746</v>
      </c>
      <c r="E543" s="73" t="s">
        <v>96</v>
      </c>
      <c r="F543" s="73" t="s">
        <v>97</v>
      </c>
      <c r="G543" s="73" t="s">
        <v>32</v>
      </c>
      <c r="H543" s="74" t="s">
        <v>743</v>
      </c>
      <c r="I543" s="74">
        <v>168</v>
      </c>
      <c r="J543" s="75">
        <v>0</v>
      </c>
      <c r="K543" s="75"/>
    </row>
    <row r="544" s="1" customFormat="1" ht="14.25" spans="1:11">
      <c r="A544" s="71">
        <v>4</v>
      </c>
      <c r="B544" s="72">
        <v>30</v>
      </c>
      <c r="C544" s="72">
        <v>10</v>
      </c>
      <c r="D544" s="73" t="s">
        <v>747</v>
      </c>
      <c r="E544" s="73" t="s">
        <v>118</v>
      </c>
      <c r="F544" s="73" t="s">
        <v>122</v>
      </c>
      <c r="G544" s="73" t="s">
        <v>32</v>
      </c>
      <c r="H544" s="74" t="s">
        <v>748</v>
      </c>
      <c r="I544" s="74">
        <v>100</v>
      </c>
      <c r="J544" s="75">
        <v>0</v>
      </c>
      <c r="K544" s="75"/>
    </row>
    <row r="545" s="1" customFormat="1" ht="14.25" spans="1:11">
      <c r="A545" s="71">
        <v>4</v>
      </c>
      <c r="B545" s="72">
        <v>30</v>
      </c>
      <c r="C545" s="72">
        <v>10</v>
      </c>
      <c r="D545" s="73" t="s">
        <v>749</v>
      </c>
      <c r="E545" s="73" t="s">
        <v>118</v>
      </c>
      <c r="F545" s="73" t="s">
        <v>122</v>
      </c>
      <c r="G545" s="73" t="s">
        <v>32</v>
      </c>
      <c r="H545" s="74" t="s">
        <v>748</v>
      </c>
      <c r="I545" s="74">
        <v>200</v>
      </c>
      <c r="J545" s="75">
        <v>0</v>
      </c>
      <c r="K545" s="75"/>
    </row>
    <row r="546" s="1" customFormat="1" ht="14.25" spans="1:11">
      <c r="A546" s="71">
        <v>4</v>
      </c>
      <c r="B546" s="72">
        <v>30</v>
      </c>
      <c r="C546" s="72">
        <v>10</v>
      </c>
      <c r="D546" s="73" t="s">
        <v>747</v>
      </c>
      <c r="E546" s="73" t="s">
        <v>118</v>
      </c>
      <c r="F546" s="73" t="s">
        <v>122</v>
      </c>
      <c r="G546" s="73" t="s">
        <v>32</v>
      </c>
      <c r="H546" s="74" t="s">
        <v>748</v>
      </c>
      <c r="I546" s="74">
        <v>100</v>
      </c>
      <c r="J546" s="75">
        <v>0</v>
      </c>
      <c r="K546" s="75"/>
    </row>
    <row r="547" s="1" customFormat="1" ht="14.25" spans="1:11">
      <c r="A547" s="71">
        <v>4</v>
      </c>
      <c r="B547" s="72">
        <v>30</v>
      </c>
      <c r="C547" s="72">
        <v>10</v>
      </c>
      <c r="D547" s="73" t="s">
        <v>750</v>
      </c>
      <c r="E547" s="73" t="s">
        <v>118</v>
      </c>
      <c r="F547" s="73" t="s">
        <v>741</v>
      </c>
      <c r="G547" s="73" t="s">
        <v>32</v>
      </c>
      <c r="H547" s="74" t="s">
        <v>748</v>
      </c>
      <c r="I547" s="74">
        <v>40</v>
      </c>
      <c r="J547" s="75">
        <v>0</v>
      </c>
      <c r="K547" s="75"/>
    </row>
    <row r="548" s="1" customFormat="1" ht="14.25" spans="1:11">
      <c r="A548" s="71">
        <v>4</v>
      </c>
      <c r="B548" s="72">
        <v>30</v>
      </c>
      <c r="C548" s="72">
        <v>10</v>
      </c>
      <c r="D548" s="73" t="s">
        <v>751</v>
      </c>
      <c r="E548" s="73" t="s">
        <v>48</v>
      </c>
      <c r="F548" s="73" t="s">
        <v>125</v>
      </c>
      <c r="G548" s="73" t="s">
        <v>32</v>
      </c>
      <c r="H548" s="74" t="s">
        <v>748</v>
      </c>
      <c r="I548" s="74">
        <v>424</v>
      </c>
      <c r="J548" s="75">
        <v>0</v>
      </c>
      <c r="K548" s="75"/>
    </row>
    <row r="549" s="1" customFormat="1" ht="14.25" spans="1:11">
      <c r="A549" s="71">
        <v>4</v>
      </c>
      <c r="B549" s="72">
        <v>30</v>
      </c>
      <c r="C549" s="72">
        <v>10</v>
      </c>
      <c r="D549" s="73" t="s">
        <v>752</v>
      </c>
      <c r="E549" s="73" t="s">
        <v>118</v>
      </c>
      <c r="F549" s="73" t="s">
        <v>151</v>
      </c>
      <c r="G549" s="73" t="s">
        <v>32</v>
      </c>
      <c r="H549" s="74" t="s">
        <v>753</v>
      </c>
      <c r="I549" s="74">
        <v>5760</v>
      </c>
      <c r="J549" s="75">
        <v>0</v>
      </c>
      <c r="K549" s="75"/>
    </row>
    <row r="550" s="1" customFormat="1" ht="14.25" spans="1:11">
      <c r="A550" s="71">
        <v>4</v>
      </c>
      <c r="B550" s="72">
        <v>30</v>
      </c>
      <c r="C550" s="72">
        <v>10</v>
      </c>
      <c r="D550" s="73" t="s">
        <v>754</v>
      </c>
      <c r="E550" s="73" t="s">
        <v>172</v>
      </c>
      <c r="F550" s="73" t="s">
        <v>396</v>
      </c>
      <c r="G550" s="73" t="s">
        <v>32</v>
      </c>
      <c r="H550" s="74" t="s">
        <v>753</v>
      </c>
      <c r="I550" s="74">
        <v>30</v>
      </c>
      <c r="J550" s="75">
        <v>0</v>
      </c>
      <c r="K550" s="75"/>
    </row>
    <row r="551" s="1" customFormat="1" ht="14.25" spans="1:11">
      <c r="A551" s="71">
        <v>4</v>
      </c>
      <c r="B551" s="72">
        <v>30</v>
      </c>
      <c r="C551" s="72">
        <v>10</v>
      </c>
      <c r="D551" s="73" t="s">
        <v>755</v>
      </c>
      <c r="E551" s="73" t="s">
        <v>48</v>
      </c>
      <c r="F551" s="73" t="s">
        <v>49</v>
      </c>
      <c r="G551" s="73" t="s">
        <v>32</v>
      </c>
      <c r="H551" s="74" t="s">
        <v>753</v>
      </c>
      <c r="I551" s="74">
        <v>220</v>
      </c>
      <c r="J551" s="75">
        <v>0</v>
      </c>
      <c r="K551" s="75"/>
    </row>
    <row r="552" s="1" customFormat="1" ht="14.25" spans="1:11">
      <c r="A552" s="71">
        <v>4</v>
      </c>
      <c r="B552" s="72">
        <v>30</v>
      </c>
      <c r="C552" s="72">
        <v>10</v>
      </c>
      <c r="D552" s="73" t="s">
        <v>756</v>
      </c>
      <c r="E552" s="73" t="s">
        <v>118</v>
      </c>
      <c r="F552" s="73" t="s">
        <v>136</v>
      </c>
      <c r="G552" s="73" t="s">
        <v>32</v>
      </c>
      <c r="H552" s="74" t="s">
        <v>753</v>
      </c>
      <c r="I552" s="74">
        <v>301</v>
      </c>
      <c r="J552" s="75">
        <v>0</v>
      </c>
      <c r="K552" s="75"/>
    </row>
    <row r="553" s="1" customFormat="1" ht="14.25" spans="1:11">
      <c r="A553" s="71">
        <v>4</v>
      </c>
      <c r="B553" s="72">
        <v>30</v>
      </c>
      <c r="C553" s="72">
        <v>10</v>
      </c>
      <c r="D553" s="73" t="s">
        <v>757</v>
      </c>
      <c r="E553" s="73" t="s">
        <v>118</v>
      </c>
      <c r="F553" s="73" t="s">
        <v>136</v>
      </c>
      <c r="G553" s="73" t="s">
        <v>32</v>
      </c>
      <c r="H553" s="74" t="s">
        <v>753</v>
      </c>
      <c r="I553" s="74">
        <v>61</v>
      </c>
      <c r="J553" s="75">
        <v>0</v>
      </c>
      <c r="K553" s="75"/>
    </row>
    <row r="554" s="1" customFormat="1" ht="14.25" spans="1:11">
      <c r="A554" s="71">
        <v>4</v>
      </c>
      <c r="B554" s="72">
        <v>30</v>
      </c>
      <c r="C554" s="72">
        <v>11</v>
      </c>
      <c r="D554" s="73" t="s">
        <v>758</v>
      </c>
      <c r="E554" s="73" t="s">
        <v>48</v>
      </c>
      <c r="F554" s="73" t="s">
        <v>55</v>
      </c>
      <c r="G554" s="73" t="s">
        <v>32</v>
      </c>
      <c r="H554" s="74" t="s">
        <v>759</v>
      </c>
      <c r="I554" s="74">
        <v>38.8</v>
      </c>
      <c r="J554" s="75">
        <v>0</v>
      </c>
      <c r="K554" s="75"/>
    </row>
    <row r="555" s="1" customFormat="1" ht="14.25" spans="1:11">
      <c r="A555" s="71">
        <v>4</v>
      </c>
      <c r="B555" s="72">
        <v>30</v>
      </c>
      <c r="C555" s="72">
        <v>11</v>
      </c>
      <c r="D555" s="73" t="s">
        <v>760</v>
      </c>
      <c r="E555" s="73" t="s">
        <v>48</v>
      </c>
      <c r="F555" s="73" t="s">
        <v>55</v>
      </c>
      <c r="G555" s="73" t="s">
        <v>32</v>
      </c>
      <c r="H555" s="74" t="s">
        <v>759</v>
      </c>
      <c r="I555" s="74">
        <v>5</v>
      </c>
      <c r="J555" s="75">
        <v>0</v>
      </c>
      <c r="K555" s="75"/>
    </row>
    <row r="556" s="1" customFormat="1" ht="14.25" spans="1:11">
      <c r="A556" s="71">
        <v>4</v>
      </c>
      <c r="B556" s="72">
        <v>30</v>
      </c>
      <c r="C556" s="72">
        <v>11</v>
      </c>
      <c r="D556" s="73" t="s">
        <v>761</v>
      </c>
      <c r="E556" s="73" t="s">
        <v>48</v>
      </c>
      <c r="F556" s="73" t="s">
        <v>55</v>
      </c>
      <c r="G556" s="73" t="s">
        <v>32</v>
      </c>
      <c r="H556" s="74" t="s">
        <v>759</v>
      </c>
      <c r="I556" s="74">
        <v>52</v>
      </c>
      <c r="J556" s="75">
        <v>0</v>
      </c>
      <c r="K556" s="75"/>
    </row>
    <row r="557" s="1" customFormat="1" ht="14.25" spans="1:11">
      <c r="A557" s="71">
        <v>4</v>
      </c>
      <c r="B557" s="72">
        <v>30</v>
      </c>
      <c r="C557" s="72">
        <v>11</v>
      </c>
      <c r="D557" s="73" t="s">
        <v>762</v>
      </c>
      <c r="E557" s="73" t="s">
        <v>48</v>
      </c>
      <c r="F557" s="73" t="s">
        <v>49</v>
      </c>
      <c r="G557" s="73" t="s">
        <v>32</v>
      </c>
      <c r="H557" s="74" t="s">
        <v>759</v>
      </c>
      <c r="I557" s="74">
        <v>16</v>
      </c>
      <c r="J557" s="75">
        <v>0</v>
      </c>
      <c r="K557" s="75"/>
    </row>
    <row r="558" s="1" customFormat="1" ht="14.25" spans="1:11">
      <c r="A558" s="71">
        <v>4</v>
      </c>
      <c r="B558" s="72">
        <v>30</v>
      </c>
      <c r="C558" s="72">
        <v>11</v>
      </c>
      <c r="D558" s="73" t="s">
        <v>763</v>
      </c>
      <c r="E558" s="73" t="s">
        <v>48</v>
      </c>
      <c r="F558" s="73" t="s">
        <v>49</v>
      </c>
      <c r="G558" s="73" t="s">
        <v>32</v>
      </c>
      <c r="H558" s="74" t="s">
        <v>759</v>
      </c>
      <c r="I558" s="74">
        <v>240</v>
      </c>
      <c r="J558" s="75">
        <v>0</v>
      </c>
      <c r="K558" s="75"/>
    </row>
    <row r="559" s="1" customFormat="1" ht="14.25" spans="1:11">
      <c r="A559" s="71">
        <v>4</v>
      </c>
      <c r="B559" s="72">
        <v>30</v>
      </c>
      <c r="C559" s="72">
        <v>11</v>
      </c>
      <c r="D559" s="73" t="s">
        <v>764</v>
      </c>
      <c r="E559" s="73" t="s">
        <v>96</v>
      </c>
      <c r="F559" s="73" t="s">
        <v>55</v>
      </c>
      <c r="G559" s="73" t="s">
        <v>32</v>
      </c>
      <c r="H559" s="74" t="s">
        <v>765</v>
      </c>
      <c r="I559" s="74">
        <v>312</v>
      </c>
      <c r="J559" s="75">
        <v>0</v>
      </c>
      <c r="K559" s="75"/>
    </row>
    <row r="560" s="1" customFormat="1" ht="14.25" spans="1:11">
      <c r="A560" s="71">
        <v>4</v>
      </c>
      <c r="B560" s="72">
        <v>30</v>
      </c>
      <c r="C560" s="72">
        <v>11</v>
      </c>
      <c r="D560" s="73" t="s">
        <v>766</v>
      </c>
      <c r="E560" s="73" t="s">
        <v>118</v>
      </c>
      <c r="F560" s="73" t="s">
        <v>136</v>
      </c>
      <c r="G560" s="73" t="s">
        <v>32</v>
      </c>
      <c r="H560" s="74" t="s">
        <v>765</v>
      </c>
      <c r="I560" s="74">
        <v>14</v>
      </c>
      <c r="J560" s="75">
        <v>0</v>
      </c>
      <c r="K560" s="75"/>
    </row>
    <row r="561" s="1" customFormat="1" ht="14.25" spans="1:11">
      <c r="A561" s="71">
        <v>4</v>
      </c>
      <c r="B561" s="72">
        <v>30</v>
      </c>
      <c r="C561" s="72">
        <v>11</v>
      </c>
      <c r="D561" s="73" t="s">
        <v>767</v>
      </c>
      <c r="E561" s="73" t="s">
        <v>48</v>
      </c>
      <c r="F561" s="73" t="s">
        <v>55</v>
      </c>
      <c r="G561" s="73" t="s">
        <v>32</v>
      </c>
      <c r="H561" s="74" t="s">
        <v>765</v>
      </c>
      <c r="I561" s="74">
        <v>11</v>
      </c>
      <c r="J561" s="75">
        <v>0</v>
      </c>
      <c r="K561" s="75"/>
    </row>
    <row r="562" s="1" customFormat="1" ht="14.25" spans="1:11">
      <c r="A562" s="71">
        <v>4</v>
      </c>
      <c r="B562" s="72">
        <v>30</v>
      </c>
      <c r="C562" s="72">
        <v>11</v>
      </c>
      <c r="D562" s="73" t="s">
        <v>768</v>
      </c>
      <c r="E562" s="73" t="s">
        <v>96</v>
      </c>
      <c r="F562" s="73" t="s">
        <v>240</v>
      </c>
      <c r="G562" s="73" t="s">
        <v>32</v>
      </c>
      <c r="H562" s="74" t="s">
        <v>765</v>
      </c>
      <c r="I562" s="74">
        <v>8</v>
      </c>
      <c r="J562" s="75">
        <v>0</v>
      </c>
      <c r="K562" s="75"/>
    </row>
    <row r="563" s="1" customFormat="1" ht="14.25" spans="1:11">
      <c r="A563" s="71">
        <v>4</v>
      </c>
      <c r="B563" s="72">
        <v>30</v>
      </c>
      <c r="C563" s="72">
        <v>11</v>
      </c>
      <c r="D563" s="73" t="s">
        <v>769</v>
      </c>
      <c r="E563" s="73" t="s">
        <v>48</v>
      </c>
      <c r="F563" s="73" t="s">
        <v>125</v>
      </c>
      <c r="G563" s="73" t="s">
        <v>32</v>
      </c>
      <c r="H563" s="74" t="s">
        <v>765</v>
      </c>
      <c r="I563" s="74">
        <v>7</v>
      </c>
      <c r="J563" s="75">
        <v>0</v>
      </c>
      <c r="K563" s="75"/>
    </row>
    <row r="564" s="1" customFormat="1" ht="14.25" spans="1:11">
      <c r="A564" s="71">
        <v>4</v>
      </c>
      <c r="B564" s="72">
        <v>30</v>
      </c>
      <c r="C564" s="72">
        <v>12</v>
      </c>
      <c r="D564" s="73" t="s">
        <v>770</v>
      </c>
      <c r="E564" s="73" t="s">
        <v>96</v>
      </c>
      <c r="F564" s="73" t="s">
        <v>240</v>
      </c>
      <c r="G564" s="73" t="s">
        <v>32</v>
      </c>
      <c r="H564" s="74" t="s">
        <v>771</v>
      </c>
      <c r="I564" s="74">
        <v>35</v>
      </c>
      <c r="J564" s="75">
        <v>0</v>
      </c>
      <c r="K564" s="75"/>
    </row>
    <row r="565" s="1" customFormat="1" ht="14.25" spans="1:11">
      <c r="A565" s="71">
        <v>4</v>
      </c>
      <c r="B565" s="72">
        <v>30</v>
      </c>
      <c r="C565" s="72">
        <v>12</v>
      </c>
      <c r="D565" s="73" t="s">
        <v>772</v>
      </c>
      <c r="E565" s="73" t="s">
        <v>100</v>
      </c>
      <c r="F565" s="74" t="s">
        <v>101</v>
      </c>
      <c r="G565" s="73" t="s">
        <v>32</v>
      </c>
      <c r="H565" s="74" t="s">
        <v>771</v>
      </c>
      <c r="I565" s="74">
        <v>272.31</v>
      </c>
      <c r="J565" s="75">
        <v>0</v>
      </c>
      <c r="K565" s="75"/>
    </row>
    <row r="566" s="1" customFormat="1" ht="14.25" spans="1:11">
      <c r="A566" s="71">
        <v>4</v>
      </c>
      <c r="B566" s="72">
        <v>30</v>
      </c>
      <c r="C566" s="72">
        <v>12</v>
      </c>
      <c r="D566" s="73" t="s">
        <v>773</v>
      </c>
      <c r="E566" s="73" t="s">
        <v>100</v>
      </c>
      <c r="F566" s="73" t="s">
        <v>101</v>
      </c>
      <c r="G566" s="73" t="s">
        <v>32</v>
      </c>
      <c r="H566" s="74" t="s">
        <v>771</v>
      </c>
      <c r="I566" s="74">
        <v>151.66</v>
      </c>
      <c r="J566" s="75">
        <v>0</v>
      </c>
      <c r="K566" s="75"/>
    </row>
    <row r="567" s="1" customFormat="1" ht="14.25" spans="1:11">
      <c r="A567" s="71">
        <v>4</v>
      </c>
      <c r="B567" s="72">
        <v>30</v>
      </c>
      <c r="C567" s="72">
        <v>12</v>
      </c>
      <c r="D567" s="73" t="s">
        <v>774</v>
      </c>
      <c r="E567" s="73" t="s">
        <v>100</v>
      </c>
      <c r="F567" s="73" t="s">
        <v>101</v>
      </c>
      <c r="G567" s="73" t="s">
        <v>32</v>
      </c>
      <c r="H567" s="74" t="s">
        <v>771</v>
      </c>
      <c r="I567" s="74">
        <v>60.63</v>
      </c>
      <c r="J567" s="75">
        <v>0</v>
      </c>
      <c r="K567" s="75"/>
    </row>
    <row r="568" s="1" customFormat="1" ht="14.25" spans="1:11">
      <c r="A568" s="71">
        <v>4</v>
      </c>
      <c r="B568" s="72">
        <v>30</v>
      </c>
      <c r="C568" s="72">
        <v>12</v>
      </c>
      <c r="D568" s="73" t="s">
        <v>775</v>
      </c>
      <c r="E568" s="73" t="s">
        <v>100</v>
      </c>
      <c r="F568" s="73" t="s">
        <v>101</v>
      </c>
      <c r="G568" s="73" t="s">
        <v>32</v>
      </c>
      <c r="H568" s="74" t="s">
        <v>771</v>
      </c>
      <c r="I568" s="74">
        <v>95</v>
      </c>
      <c r="J568" s="75">
        <v>0</v>
      </c>
      <c r="K568" s="75"/>
    </row>
    <row r="569" s="1" customFormat="1" ht="14.25" spans="1:11">
      <c r="A569" s="71">
        <v>4</v>
      </c>
      <c r="B569" s="72">
        <v>30</v>
      </c>
      <c r="C569" s="72">
        <v>12</v>
      </c>
      <c r="D569" s="73" t="s">
        <v>776</v>
      </c>
      <c r="E569" s="73" t="s">
        <v>96</v>
      </c>
      <c r="F569" s="73" t="s">
        <v>55</v>
      </c>
      <c r="G569" s="73" t="s">
        <v>32</v>
      </c>
      <c r="H569" s="74" t="s">
        <v>777</v>
      </c>
      <c r="I569" s="74">
        <v>36.5</v>
      </c>
      <c r="J569" s="75">
        <v>0</v>
      </c>
      <c r="K569" s="75"/>
    </row>
    <row r="570" s="1" customFormat="1" ht="14.25" spans="1:11">
      <c r="A570" s="71">
        <v>4</v>
      </c>
      <c r="B570" s="72">
        <v>30</v>
      </c>
      <c r="C570" s="72">
        <v>12</v>
      </c>
      <c r="D570" s="73" t="s">
        <v>778</v>
      </c>
      <c r="E570" s="73" t="s">
        <v>48</v>
      </c>
      <c r="F570" s="73" t="s">
        <v>125</v>
      </c>
      <c r="G570" s="73" t="s">
        <v>32</v>
      </c>
      <c r="H570" s="74" t="s">
        <v>777</v>
      </c>
      <c r="I570" s="74">
        <v>30</v>
      </c>
      <c r="J570" s="75">
        <v>0</v>
      </c>
      <c r="K570" s="75"/>
    </row>
    <row r="571" s="1" customFormat="1" ht="14.25" spans="1:11">
      <c r="A571" s="71">
        <v>4</v>
      </c>
      <c r="B571" s="72">
        <v>30</v>
      </c>
      <c r="C571" s="72">
        <v>13</v>
      </c>
      <c r="D571" s="73" t="s">
        <v>779</v>
      </c>
      <c r="E571" s="73" t="s">
        <v>100</v>
      </c>
      <c r="F571" s="73" t="s">
        <v>101</v>
      </c>
      <c r="G571" s="73" t="s">
        <v>32</v>
      </c>
      <c r="H571" s="74" t="s">
        <v>780</v>
      </c>
      <c r="I571" s="74">
        <v>1445</v>
      </c>
      <c r="J571" s="75">
        <v>0</v>
      </c>
      <c r="K571" s="75"/>
    </row>
    <row r="572" s="1" customFormat="1" ht="14.25" spans="1:11">
      <c r="A572" s="71">
        <v>4</v>
      </c>
      <c r="B572" s="72">
        <v>30</v>
      </c>
      <c r="C572" s="72">
        <v>13</v>
      </c>
      <c r="D572" s="73" t="s">
        <v>413</v>
      </c>
      <c r="E572" s="73" t="s">
        <v>48</v>
      </c>
      <c r="F572" s="73" t="s">
        <v>125</v>
      </c>
      <c r="G572" s="73" t="s">
        <v>32</v>
      </c>
      <c r="H572" s="74" t="s">
        <v>780</v>
      </c>
      <c r="I572" s="74">
        <v>15</v>
      </c>
      <c r="J572" s="75">
        <v>0</v>
      </c>
      <c r="K572" s="75"/>
    </row>
    <row r="573" s="1" customFormat="1" ht="14.25" spans="1:11">
      <c r="A573" s="71">
        <v>4</v>
      </c>
      <c r="B573" s="72">
        <v>30</v>
      </c>
      <c r="C573" s="72">
        <v>13</v>
      </c>
      <c r="D573" s="73" t="s">
        <v>411</v>
      </c>
      <c r="E573" s="73" t="s">
        <v>96</v>
      </c>
      <c r="F573" s="73" t="s">
        <v>97</v>
      </c>
      <c r="G573" s="73" t="s">
        <v>32</v>
      </c>
      <c r="H573" s="74" t="s">
        <v>780</v>
      </c>
      <c r="I573" s="74">
        <v>70</v>
      </c>
      <c r="J573" s="75">
        <v>0</v>
      </c>
      <c r="K573" s="75"/>
    </row>
    <row r="574" s="1" customFormat="1" ht="14.25" spans="1:11">
      <c r="A574" s="71">
        <v>4</v>
      </c>
      <c r="B574" s="72">
        <v>30</v>
      </c>
      <c r="C574" s="72">
        <v>13</v>
      </c>
      <c r="D574" s="73" t="s">
        <v>781</v>
      </c>
      <c r="E574" s="73" t="s">
        <v>48</v>
      </c>
      <c r="F574" s="73" t="s">
        <v>55</v>
      </c>
      <c r="G574" s="73" t="s">
        <v>32</v>
      </c>
      <c r="H574" s="74" t="s">
        <v>780</v>
      </c>
      <c r="I574" s="74">
        <v>10</v>
      </c>
      <c r="J574" s="75">
        <v>0</v>
      </c>
      <c r="K574" s="75"/>
    </row>
    <row r="575" s="1" customFormat="1" ht="14.25" spans="1:11">
      <c r="A575" s="71">
        <v>4</v>
      </c>
      <c r="B575" s="72">
        <v>30</v>
      </c>
      <c r="C575" s="72">
        <v>13</v>
      </c>
      <c r="D575" s="73" t="s">
        <v>782</v>
      </c>
      <c r="E575" s="73" t="s">
        <v>96</v>
      </c>
      <c r="F575" s="74" t="s">
        <v>97</v>
      </c>
      <c r="G575" s="73" t="s">
        <v>32</v>
      </c>
      <c r="H575" s="74" t="s">
        <v>780</v>
      </c>
      <c r="I575" s="74">
        <v>320</v>
      </c>
      <c r="J575" s="75">
        <v>0</v>
      </c>
      <c r="K575" s="75"/>
    </row>
    <row r="576" s="1" customFormat="1" ht="14.25" spans="1:11">
      <c r="A576" s="71">
        <v>4</v>
      </c>
      <c r="B576" s="72">
        <v>30</v>
      </c>
      <c r="C576" s="72">
        <v>13</v>
      </c>
      <c r="D576" s="73" t="s">
        <v>783</v>
      </c>
      <c r="E576" s="73" t="s">
        <v>118</v>
      </c>
      <c r="F576" s="73" t="s">
        <v>136</v>
      </c>
      <c r="G576" s="73" t="s">
        <v>32</v>
      </c>
      <c r="H576" s="74" t="s">
        <v>784</v>
      </c>
      <c r="I576" s="74">
        <v>20</v>
      </c>
      <c r="J576" s="75">
        <v>0</v>
      </c>
      <c r="K576" s="75"/>
    </row>
    <row r="577" s="1" customFormat="1" ht="14.25" spans="1:11">
      <c r="A577" s="71">
        <v>4</v>
      </c>
      <c r="B577" s="72">
        <v>30</v>
      </c>
      <c r="C577" s="72">
        <v>13</v>
      </c>
      <c r="D577" s="73" t="s">
        <v>785</v>
      </c>
      <c r="E577" s="73" t="s">
        <v>48</v>
      </c>
      <c r="F577" s="73" t="s">
        <v>55</v>
      </c>
      <c r="G577" s="73" t="s">
        <v>32</v>
      </c>
      <c r="H577" s="74" t="s">
        <v>784</v>
      </c>
      <c r="I577" s="74">
        <v>115</v>
      </c>
      <c r="J577" s="75">
        <v>0</v>
      </c>
      <c r="K577" s="75"/>
    </row>
    <row r="578" s="1" customFormat="1" ht="14.25" spans="1:11">
      <c r="A578" s="71">
        <v>4</v>
      </c>
      <c r="B578" s="72">
        <v>30</v>
      </c>
      <c r="C578" s="72">
        <v>13</v>
      </c>
      <c r="D578" s="73" t="s">
        <v>786</v>
      </c>
      <c r="E578" s="73" t="s">
        <v>96</v>
      </c>
      <c r="F578" s="73" t="s">
        <v>97</v>
      </c>
      <c r="G578" s="73" t="s">
        <v>32</v>
      </c>
      <c r="H578" s="74" t="s">
        <v>784</v>
      </c>
      <c r="I578" s="74">
        <v>524</v>
      </c>
      <c r="J578" s="75">
        <v>0</v>
      </c>
      <c r="K578" s="75"/>
    </row>
    <row r="579" s="1" customFormat="1" ht="14.25" spans="1:11">
      <c r="A579" s="71">
        <v>4</v>
      </c>
      <c r="B579" s="72">
        <v>30</v>
      </c>
      <c r="C579" s="72">
        <v>13</v>
      </c>
      <c r="D579" s="73" t="s">
        <v>787</v>
      </c>
      <c r="E579" s="73" t="s">
        <v>100</v>
      </c>
      <c r="F579" s="73" t="s">
        <v>101</v>
      </c>
      <c r="G579" s="73" t="s">
        <v>32</v>
      </c>
      <c r="H579" s="74" t="s">
        <v>784</v>
      </c>
      <c r="I579" s="74">
        <v>50</v>
      </c>
      <c r="J579" s="75">
        <v>0</v>
      </c>
      <c r="K579" s="75"/>
    </row>
    <row r="580" s="1" customFormat="1" ht="14.25" spans="1:11">
      <c r="A580" s="71">
        <v>4</v>
      </c>
      <c r="B580" s="72">
        <v>30</v>
      </c>
      <c r="C580" s="72">
        <v>13</v>
      </c>
      <c r="D580" s="73" t="s">
        <v>788</v>
      </c>
      <c r="E580" s="73" t="s">
        <v>100</v>
      </c>
      <c r="F580" s="73" t="s">
        <v>101</v>
      </c>
      <c r="G580" s="73" t="s">
        <v>32</v>
      </c>
      <c r="H580" s="74" t="s">
        <v>784</v>
      </c>
      <c r="I580" s="74">
        <v>39073</v>
      </c>
      <c r="J580" s="75">
        <v>0</v>
      </c>
      <c r="K580" s="75"/>
    </row>
    <row r="581" s="1" customFormat="1" ht="14.25" spans="1:11">
      <c r="A581" s="71">
        <v>4</v>
      </c>
      <c r="B581" s="72">
        <v>30</v>
      </c>
      <c r="C581" s="72">
        <v>14</v>
      </c>
      <c r="D581" s="73" t="s">
        <v>789</v>
      </c>
      <c r="E581" s="73" t="s">
        <v>48</v>
      </c>
      <c r="F581" s="73" t="s">
        <v>55</v>
      </c>
      <c r="G581" s="73" t="s">
        <v>32</v>
      </c>
      <c r="H581" s="74" t="s">
        <v>790</v>
      </c>
      <c r="I581" s="74">
        <v>292</v>
      </c>
      <c r="J581" s="75">
        <v>0</v>
      </c>
      <c r="K581" s="75"/>
    </row>
    <row r="582" s="1" customFormat="1" ht="14.25" spans="1:11">
      <c r="A582" s="71">
        <v>4</v>
      </c>
      <c r="B582" s="72">
        <v>30</v>
      </c>
      <c r="C582" s="72">
        <v>14</v>
      </c>
      <c r="D582" s="73" t="s">
        <v>791</v>
      </c>
      <c r="E582" s="73" t="s">
        <v>48</v>
      </c>
      <c r="F582" s="73" t="s">
        <v>55</v>
      </c>
      <c r="G582" s="73" t="s">
        <v>32</v>
      </c>
      <c r="H582" s="74" t="s">
        <v>790</v>
      </c>
      <c r="I582" s="74">
        <v>1057</v>
      </c>
      <c r="J582" s="75">
        <v>0</v>
      </c>
      <c r="K582" s="75"/>
    </row>
    <row r="583" s="1" customFormat="1" ht="14.25" spans="1:11">
      <c r="A583" s="71">
        <v>4</v>
      </c>
      <c r="B583" s="72">
        <v>30</v>
      </c>
      <c r="C583" s="72">
        <v>14</v>
      </c>
      <c r="D583" s="73" t="s">
        <v>792</v>
      </c>
      <c r="E583" s="73" t="s">
        <v>291</v>
      </c>
      <c r="F583" s="73" t="s">
        <v>379</v>
      </c>
      <c r="G583" s="73" t="s">
        <v>32</v>
      </c>
      <c r="H583" s="74" t="s">
        <v>790</v>
      </c>
      <c r="I583" s="74">
        <v>600</v>
      </c>
      <c r="J583" s="75">
        <v>0</v>
      </c>
      <c r="K583" s="75"/>
    </row>
    <row r="584" s="1" customFormat="1" ht="14.25" spans="1:11">
      <c r="A584" s="71">
        <v>4</v>
      </c>
      <c r="B584" s="72">
        <v>30</v>
      </c>
      <c r="C584" s="72">
        <v>14</v>
      </c>
      <c r="D584" s="73" t="s">
        <v>793</v>
      </c>
      <c r="E584" s="73" t="s">
        <v>48</v>
      </c>
      <c r="F584" s="73" t="s">
        <v>233</v>
      </c>
      <c r="G584" s="73" t="s">
        <v>32</v>
      </c>
      <c r="H584" s="74" t="s">
        <v>790</v>
      </c>
      <c r="I584" s="74">
        <v>5</v>
      </c>
      <c r="J584" s="75">
        <v>0</v>
      </c>
      <c r="K584" s="75"/>
    </row>
    <row r="585" s="1" customFormat="1" ht="14.25" spans="1:11">
      <c r="A585" s="71">
        <v>4</v>
      </c>
      <c r="B585" s="72">
        <v>30</v>
      </c>
      <c r="C585" s="72">
        <v>14</v>
      </c>
      <c r="D585" s="73" t="s">
        <v>794</v>
      </c>
      <c r="E585" s="73" t="s">
        <v>118</v>
      </c>
      <c r="F585" s="73" t="s">
        <v>136</v>
      </c>
      <c r="G585" s="73" t="s">
        <v>32</v>
      </c>
      <c r="H585" s="74" t="s">
        <v>790</v>
      </c>
      <c r="I585" s="74">
        <v>830</v>
      </c>
      <c r="J585" s="75">
        <v>0</v>
      </c>
      <c r="K585" s="75"/>
    </row>
    <row r="586" s="1" customFormat="1" ht="14.25" spans="1:11">
      <c r="A586" s="71">
        <v>4</v>
      </c>
      <c r="B586" s="72">
        <v>30</v>
      </c>
      <c r="C586" s="72">
        <v>14</v>
      </c>
      <c r="D586" s="73" t="s">
        <v>456</v>
      </c>
      <c r="E586" s="73" t="s">
        <v>96</v>
      </c>
      <c r="F586" s="73" t="s">
        <v>97</v>
      </c>
      <c r="G586" s="73" t="s">
        <v>32</v>
      </c>
      <c r="H586" s="74" t="s">
        <v>795</v>
      </c>
      <c r="I586" s="74">
        <v>168</v>
      </c>
      <c r="J586" s="75">
        <v>0</v>
      </c>
      <c r="K586" s="75"/>
    </row>
    <row r="587" s="1" customFormat="1" ht="14.25" spans="1:11">
      <c r="A587" s="71">
        <v>4</v>
      </c>
      <c r="B587" s="72">
        <v>30</v>
      </c>
      <c r="C587" s="72">
        <v>14</v>
      </c>
      <c r="D587" s="73" t="s">
        <v>796</v>
      </c>
      <c r="E587" s="73" t="s">
        <v>118</v>
      </c>
      <c r="F587" s="73" t="s">
        <v>136</v>
      </c>
      <c r="G587" s="73" t="s">
        <v>32</v>
      </c>
      <c r="H587" s="74" t="s">
        <v>795</v>
      </c>
      <c r="I587" s="74">
        <v>90</v>
      </c>
      <c r="J587" s="75">
        <v>0</v>
      </c>
      <c r="K587" s="75"/>
    </row>
    <row r="588" s="1" customFormat="1" ht="14.25" spans="1:11">
      <c r="A588" s="71">
        <v>4</v>
      </c>
      <c r="B588" s="72">
        <v>30</v>
      </c>
      <c r="C588" s="72">
        <v>14</v>
      </c>
      <c r="D588" s="73" t="s">
        <v>797</v>
      </c>
      <c r="E588" s="73" t="s">
        <v>48</v>
      </c>
      <c r="F588" s="73" t="s">
        <v>55</v>
      </c>
      <c r="G588" s="73" t="s">
        <v>32</v>
      </c>
      <c r="H588" s="74" t="s">
        <v>795</v>
      </c>
      <c r="I588" s="74">
        <v>7</v>
      </c>
      <c r="J588" s="75">
        <v>0</v>
      </c>
      <c r="K588" s="75"/>
    </row>
    <row r="589" s="1" customFormat="1" ht="14.25" spans="1:11">
      <c r="A589" s="71">
        <v>4</v>
      </c>
      <c r="B589" s="72">
        <v>30</v>
      </c>
      <c r="C589" s="72">
        <v>14</v>
      </c>
      <c r="D589" s="73" t="s">
        <v>798</v>
      </c>
      <c r="E589" s="73" t="s">
        <v>96</v>
      </c>
      <c r="F589" s="73" t="s">
        <v>97</v>
      </c>
      <c r="G589" s="73" t="s">
        <v>32</v>
      </c>
      <c r="H589" s="74" t="s">
        <v>795</v>
      </c>
      <c r="I589" s="74">
        <v>4</v>
      </c>
      <c r="J589" s="75">
        <v>0</v>
      </c>
      <c r="K589" s="75"/>
    </row>
    <row r="590" s="1" customFormat="1" ht="14.25" spans="1:11">
      <c r="A590" s="71">
        <v>4</v>
      </c>
      <c r="B590" s="72">
        <v>30</v>
      </c>
      <c r="C590" s="72">
        <v>14</v>
      </c>
      <c r="D590" s="73" t="s">
        <v>799</v>
      </c>
      <c r="E590" s="73" t="s">
        <v>118</v>
      </c>
      <c r="F590" s="73" t="s">
        <v>136</v>
      </c>
      <c r="G590" s="73" t="s">
        <v>32</v>
      </c>
      <c r="H590" s="74" t="s">
        <v>795</v>
      </c>
      <c r="I590" s="74">
        <v>45</v>
      </c>
      <c r="J590" s="75">
        <v>0</v>
      </c>
      <c r="K590" s="75"/>
    </row>
    <row r="591" s="1" customFormat="1" ht="14.25" spans="1:11">
      <c r="A591" s="71">
        <v>4</v>
      </c>
      <c r="B591" s="72">
        <v>30</v>
      </c>
      <c r="C591" s="72">
        <v>15</v>
      </c>
      <c r="D591" s="73" t="s">
        <v>800</v>
      </c>
      <c r="E591" s="73" t="s">
        <v>96</v>
      </c>
      <c r="F591" s="73" t="s">
        <v>240</v>
      </c>
      <c r="G591" s="73" t="s">
        <v>32</v>
      </c>
      <c r="H591" s="74" t="s">
        <v>801</v>
      </c>
      <c r="I591" s="74">
        <v>20</v>
      </c>
      <c r="J591" s="75">
        <v>0</v>
      </c>
      <c r="K591" s="75"/>
    </row>
    <row r="592" s="1" customFormat="1" ht="14.25" spans="1:11">
      <c r="A592" s="71">
        <v>4</v>
      </c>
      <c r="B592" s="72">
        <v>30</v>
      </c>
      <c r="C592" s="72">
        <v>15</v>
      </c>
      <c r="D592" s="73" t="s">
        <v>802</v>
      </c>
      <c r="E592" s="73" t="s">
        <v>48</v>
      </c>
      <c r="F592" s="73" t="s">
        <v>383</v>
      </c>
      <c r="G592" s="73" t="s">
        <v>32</v>
      </c>
      <c r="H592" s="74" t="s">
        <v>801</v>
      </c>
      <c r="I592" s="74">
        <v>10</v>
      </c>
      <c r="J592" s="75">
        <v>0</v>
      </c>
      <c r="K592" s="75"/>
    </row>
    <row r="593" s="1" customFormat="1" ht="14.25" spans="1:11">
      <c r="A593" s="71">
        <v>4</v>
      </c>
      <c r="B593" s="72">
        <v>30</v>
      </c>
      <c r="C593" s="72">
        <v>15</v>
      </c>
      <c r="D593" s="73" t="s">
        <v>803</v>
      </c>
      <c r="E593" s="73" t="s">
        <v>48</v>
      </c>
      <c r="F593" s="73" t="s">
        <v>55</v>
      </c>
      <c r="G593" s="73" t="s">
        <v>32</v>
      </c>
      <c r="H593" s="74" t="s">
        <v>801</v>
      </c>
      <c r="I593" s="74">
        <v>11</v>
      </c>
      <c r="J593" s="75">
        <v>0</v>
      </c>
      <c r="K593" s="75"/>
    </row>
    <row r="594" s="1" customFormat="1" ht="14.25" spans="1:11">
      <c r="A594" s="71">
        <v>4</v>
      </c>
      <c r="B594" s="72">
        <v>30</v>
      </c>
      <c r="C594" s="72">
        <v>15</v>
      </c>
      <c r="D594" s="73" t="s">
        <v>804</v>
      </c>
      <c r="E594" s="73" t="s">
        <v>48</v>
      </c>
      <c r="F594" s="73" t="s">
        <v>49</v>
      </c>
      <c r="G594" s="73" t="s">
        <v>32</v>
      </c>
      <c r="H594" s="74" t="s">
        <v>801</v>
      </c>
      <c r="I594" s="74">
        <v>50</v>
      </c>
      <c r="J594" s="75">
        <v>0</v>
      </c>
      <c r="K594" s="75"/>
    </row>
    <row r="595" s="1" customFormat="1" ht="14.25" spans="1:11">
      <c r="A595" s="71">
        <v>4</v>
      </c>
      <c r="B595" s="72">
        <v>30</v>
      </c>
      <c r="C595" s="72">
        <v>15</v>
      </c>
      <c r="D595" s="73" t="s">
        <v>805</v>
      </c>
      <c r="E595" s="73" t="s">
        <v>48</v>
      </c>
      <c r="F595" s="73" t="s">
        <v>55</v>
      </c>
      <c r="G595" s="73" t="s">
        <v>32</v>
      </c>
      <c r="H595" s="74" t="s">
        <v>801</v>
      </c>
      <c r="I595" s="74">
        <v>130</v>
      </c>
      <c r="J595" s="75">
        <v>0</v>
      </c>
      <c r="K595" s="75"/>
    </row>
    <row r="596" s="1" customFormat="1" ht="14.25" spans="1:11">
      <c r="A596" s="71">
        <v>4</v>
      </c>
      <c r="B596" s="72">
        <v>30</v>
      </c>
      <c r="C596" s="72">
        <v>15</v>
      </c>
      <c r="D596" s="73" t="s">
        <v>806</v>
      </c>
      <c r="E596" s="73" t="s">
        <v>96</v>
      </c>
      <c r="F596" s="73" t="s">
        <v>55</v>
      </c>
      <c r="G596" s="73" t="s">
        <v>32</v>
      </c>
      <c r="H596" s="74" t="s">
        <v>807</v>
      </c>
      <c r="I596" s="74">
        <v>50</v>
      </c>
      <c r="J596" s="75">
        <v>0</v>
      </c>
      <c r="K596" s="75"/>
    </row>
    <row r="597" s="1" customFormat="1" ht="14.25" spans="1:11">
      <c r="A597" s="71">
        <v>4</v>
      </c>
      <c r="B597" s="72">
        <v>30</v>
      </c>
      <c r="C597" s="72">
        <v>15</v>
      </c>
      <c r="D597" s="73" t="s">
        <v>808</v>
      </c>
      <c r="E597" s="73" t="s">
        <v>118</v>
      </c>
      <c r="F597" s="74" t="s">
        <v>136</v>
      </c>
      <c r="G597" s="73" t="s">
        <v>32</v>
      </c>
      <c r="H597" s="74" t="s">
        <v>807</v>
      </c>
      <c r="I597" s="74">
        <v>20</v>
      </c>
      <c r="J597" s="75">
        <v>0</v>
      </c>
      <c r="K597" s="75"/>
    </row>
    <row r="598" s="1" customFormat="1" ht="14.25" spans="1:11">
      <c r="A598" s="71">
        <v>4</v>
      </c>
      <c r="B598" s="72">
        <v>30</v>
      </c>
      <c r="C598" s="72">
        <v>15</v>
      </c>
      <c r="D598" s="73" t="s">
        <v>809</v>
      </c>
      <c r="E598" s="73" t="s">
        <v>118</v>
      </c>
      <c r="F598" s="73" t="s">
        <v>136</v>
      </c>
      <c r="G598" s="73" t="s">
        <v>32</v>
      </c>
      <c r="H598" s="74" t="s">
        <v>807</v>
      </c>
      <c r="I598" s="74">
        <v>10</v>
      </c>
      <c r="J598" s="75">
        <v>0</v>
      </c>
      <c r="K598" s="75"/>
    </row>
    <row r="599" s="1" customFormat="1" ht="14.25" spans="1:11">
      <c r="A599" s="71">
        <v>4</v>
      </c>
      <c r="B599" s="72">
        <v>30</v>
      </c>
      <c r="C599" s="72">
        <v>15</v>
      </c>
      <c r="D599" s="73" t="s">
        <v>810</v>
      </c>
      <c r="E599" s="73" t="s">
        <v>48</v>
      </c>
      <c r="F599" s="73" t="s">
        <v>55</v>
      </c>
      <c r="G599" s="73" t="s">
        <v>32</v>
      </c>
      <c r="H599" s="74" t="s">
        <v>807</v>
      </c>
      <c r="I599" s="74">
        <v>5</v>
      </c>
      <c r="J599" s="75">
        <v>0</v>
      </c>
      <c r="K599" s="75"/>
    </row>
    <row r="600" s="1" customFormat="1" ht="14.25" spans="1:11">
      <c r="A600" s="71">
        <v>4</v>
      </c>
      <c r="B600" s="72">
        <v>30</v>
      </c>
      <c r="C600" s="72">
        <v>15</v>
      </c>
      <c r="D600" s="73" t="s">
        <v>811</v>
      </c>
      <c r="E600" s="73" t="s">
        <v>118</v>
      </c>
      <c r="F600" s="73" t="s">
        <v>136</v>
      </c>
      <c r="G600" s="73" t="s">
        <v>32</v>
      </c>
      <c r="H600" s="74" t="s">
        <v>807</v>
      </c>
      <c r="I600" s="74">
        <v>8</v>
      </c>
      <c r="J600" s="75">
        <v>0</v>
      </c>
      <c r="K600" s="75"/>
    </row>
    <row r="601" s="1" customFormat="1" ht="14.25" spans="1:11">
      <c r="A601" s="71">
        <v>4</v>
      </c>
      <c r="B601" s="72">
        <v>30</v>
      </c>
      <c r="C601" s="72">
        <v>16</v>
      </c>
      <c r="D601" s="73" t="s">
        <v>812</v>
      </c>
      <c r="E601" s="73" t="s">
        <v>48</v>
      </c>
      <c r="F601" s="74" t="s">
        <v>233</v>
      </c>
      <c r="G601" s="73" t="s">
        <v>32</v>
      </c>
      <c r="H601" s="74" t="s">
        <v>813</v>
      </c>
      <c r="I601" s="74">
        <v>35</v>
      </c>
      <c r="J601" s="75">
        <v>0</v>
      </c>
      <c r="K601" s="75"/>
    </row>
    <row r="602" s="1" customFormat="1" ht="14.25" spans="1:11">
      <c r="A602" s="71">
        <v>4</v>
      </c>
      <c r="B602" s="72">
        <v>30</v>
      </c>
      <c r="C602" s="72">
        <v>16</v>
      </c>
      <c r="D602" s="73" t="s">
        <v>814</v>
      </c>
      <c r="E602" s="73" t="s">
        <v>48</v>
      </c>
      <c r="F602" s="74" t="s">
        <v>233</v>
      </c>
      <c r="G602" s="73" t="s">
        <v>32</v>
      </c>
      <c r="H602" s="74" t="s">
        <v>813</v>
      </c>
      <c r="I602" s="74">
        <v>10</v>
      </c>
      <c r="J602" s="75">
        <v>0</v>
      </c>
      <c r="K602" s="75"/>
    </row>
    <row r="603" s="1" customFormat="1" ht="14.25" spans="1:11">
      <c r="A603" s="71">
        <v>4</v>
      </c>
      <c r="B603" s="72">
        <v>30</v>
      </c>
      <c r="C603" s="72">
        <v>16</v>
      </c>
      <c r="D603" s="73" t="s">
        <v>815</v>
      </c>
      <c r="E603" s="73" t="s">
        <v>48</v>
      </c>
      <c r="F603" s="73" t="s">
        <v>233</v>
      </c>
      <c r="G603" s="73" t="s">
        <v>32</v>
      </c>
      <c r="H603" s="74" t="s">
        <v>813</v>
      </c>
      <c r="I603" s="74">
        <v>70</v>
      </c>
      <c r="J603" s="75">
        <v>0</v>
      </c>
      <c r="K603" s="75"/>
    </row>
    <row r="604" s="1" customFormat="1" ht="14.25" spans="1:11">
      <c r="A604" s="71">
        <v>4</v>
      </c>
      <c r="B604" s="72">
        <v>30</v>
      </c>
      <c r="C604" s="72">
        <v>16</v>
      </c>
      <c r="D604" s="73" t="s">
        <v>816</v>
      </c>
      <c r="E604" s="73" t="s">
        <v>100</v>
      </c>
      <c r="F604" s="73" t="s">
        <v>101</v>
      </c>
      <c r="G604" s="73" t="s">
        <v>32</v>
      </c>
      <c r="H604" s="74" t="s">
        <v>813</v>
      </c>
      <c r="I604" s="74">
        <v>75</v>
      </c>
      <c r="J604" s="75">
        <v>0</v>
      </c>
      <c r="K604" s="75"/>
    </row>
    <row r="605" s="1" customFormat="1" ht="14.25" spans="1:11">
      <c r="A605" s="71">
        <v>4</v>
      </c>
      <c r="B605" s="72">
        <v>30</v>
      </c>
      <c r="C605" s="72">
        <v>16</v>
      </c>
      <c r="D605" s="73" t="s">
        <v>817</v>
      </c>
      <c r="E605" s="73" t="s">
        <v>100</v>
      </c>
      <c r="F605" s="73" t="s">
        <v>101</v>
      </c>
      <c r="G605" s="73" t="s">
        <v>32</v>
      </c>
      <c r="H605" s="74" t="s">
        <v>813</v>
      </c>
      <c r="I605" s="74">
        <v>10</v>
      </c>
      <c r="J605" s="75">
        <v>0</v>
      </c>
      <c r="K605" s="75"/>
    </row>
    <row r="606" s="1" customFormat="1" ht="14.25" spans="1:11">
      <c r="A606" s="71">
        <v>4</v>
      </c>
      <c r="B606" s="72">
        <v>30</v>
      </c>
      <c r="C606" s="72">
        <v>16</v>
      </c>
      <c r="D606" s="73" t="s">
        <v>818</v>
      </c>
      <c r="E606" s="73" t="s">
        <v>118</v>
      </c>
      <c r="F606" s="73" t="s">
        <v>136</v>
      </c>
      <c r="G606" s="73" t="s">
        <v>32</v>
      </c>
      <c r="H606" s="74" t="s">
        <v>819</v>
      </c>
      <c r="I606" s="74">
        <v>4200</v>
      </c>
      <c r="J606" s="75">
        <v>0</v>
      </c>
      <c r="K606" s="75"/>
    </row>
    <row r="607" s="1" customFormat="1" ht="14.25" spans="1:11">
      <c r="A607" s="71">
        <v>4</v>
      </c>
      <c r="B607" s="72">
        <v>30</v>
      </c>
      <c r="C607" s="72">
        <v>16</v>
      </c>
      <c r="D607" s="73" t="s">
        <v>820</v>
      </c>
      <c r="E607" s="73" t="s">
        <v>48</v>
      </c>
      <c r="F607" s="74" t="s">
        <v>125</v>
      </c>
      <c r="G607" s="73" t="s">
        <v>32</v>
      </c>
      <c r="H607" s="74" t="s">
        <v>819</v>
      </c>
      <c r="I607" s="74">
        <v>47</v>
      </c>
      <c r="J607" s="75">
        <v>0</v>
      </c>
      <c r="K607" s="75"/>
    </row>
    <row r="608" s="1" customFormat="1" ht="14.25" spans="1:11">
      <c r="A608" s="71">
        <v>4</v>
      </c>
      <c r="B608" s="72">
        <v>30</v>
      </c>
      <c r="C608" s="72">
        <v>16</v>
      </c>
      <c r="D608" s="73" t="s">
        <v>821</v>
      </c>
      <c r="E608" s="73" t="s">
        <v>48</v>
      </c>
      <c r="F608" s="73" t="s">
        <v>125</v>
      </c>
      <c r="G608" s="73" t="s">
        <v>32</v>
      </c>
      <c r="H608" s="74" t="s">
        <v>819</v>
      </c>
      <c r="I608" s="74">
        <v>150</v>
      </c>
      <c r="J608" s="75">
        <v>0</v>
      </c>
      <c r="K608" s="75"/>
    </row>
    <row r="609" s="1" customFormat="1" ht="14.25" spans="1:11">
      <c r="A609" s="71">
        <v>4</v>
      </c>
      <c r="B609" s="72">
        <v>30</v>
      </c>
      <c r="C609" s="72">
        <v>16</v>
      </c>
      <c r="D609" s="73" t="s">
        <v>822</v>
      </c>
      <c r="E609" s="73" t="s">
        <v>118</v>
      </c>
      <c r="F609" s="73" t="s">
        <v>136</v>
      </c>
      <c r="G609" s="73" t="s">
        <v>32</v>
      </c>
      <c r="H609" s="74" t="s">
        <v>819</v>
      </c>
      <c r="I609" s="74">
        <v>330</v>
      </c>
      <c r="J609" s="75">
        <v>0</v>
      </c>
      <c r="K609" s="75"/>
    </row>
    <row r="610" s="1" customFormat="1" ht="14.25" spans="1:11">
      <c r="A610" s="71">
        <v>4</v>
      </c>
      <c r="B610" s="72">
        <v>30</v>
      </c>
      <c r="C610" s="72">
        <v>17</v>
      </c>
      <c r="D610" s="73" t="s">
        <v>823</v>
      </c>
      <c r="E610" s="73" t="s">
        <v>118</v>
      </c>
      <c r="F610" s="74" t="s">
        <v>151</v>
      </c>
      <c r="G610" s="73" t="s">
        <v>32</v>
      </c>
      <c r="H610" s="74" t="s">
        <v>824</v>
      </c>
      <c r="I610" s="74">
        <v>446</v>
      </c>
      <c r="J610" s="75">
        <v>0</v>
      </c>
      <c r="K610" s="75"/>
    </row>
    <row r="611" s="1" customFormat="1" ht="14.25" spans="1:11">
      <c r="A611" s="71">
        <v>4</v>
      </c>
      <c r="B611" s="72">
        <v>30</v>
      </c>
      <c r="C611" s="72">
        <v>17</v>
      </c>
      <c r="D611" s="73" t="s">
        <v>825</v>
      </c>
      <c r="E611" s="73" t="s">
        <v>118</v>
      </c>
      <c r="F611" s="73" t="s">
        <v>136</v>
      </c>
      <c r="G611" s="73" t="s">
        <v>32</v>
      </c>
      <c r="H611" s="74" t="s">
        <v>824</v>
      </c>
      <c r="I611" s="74">
        <v>2850</v>
      </c>
      <c r="J611" s="75">
        <v>0</v>
      </c>
      <c r="K611" s="75"/>
    </row>
    <row r="612" s="1" customFormat="1" ht="14.25" spans="1:11">
      <c r="A612" s="71">
        <v>4</v>
      </c>
      <c r="B612" s="72">
        <v>30</v>
      </c>
      <c r="C612" s="72">
        <v>17</v>
      </c>
      <c r="D612" s="73" t="s">
        <v>826</v>
      </c>
      <c r="E612" s="73" t="s">
        <v>118</v>
      </c>
      <c r="F612" s="73" t="s">
        <v>136</v>
      </c>
      <c r="G612" s="73" t="s">
        <v>32</v>
      </c>
      <c r="H612" s="74" t="s">
        <v>824</v>
      </c>
      <c r="I612" s="74">
        <v>300</v>
      </c>
      <c r="J612" s="75">
        <v>0</v>
      </c>
      <c r="K612" s="75"/>
    </row>
    <row r="613" s="1" customFormat="1" ht="14.25" spans="1:11">
      <c r="A613" s="71">
        <v>4</v>
      </c>
      <c r="B613" s="72">
        <v>30</v>
      </c>
      <c r="C613" s="72">
        <v>17</v>
      </c>
      <c r="D613" s="73" t="s">
        <v>827</v>
      </c>
      <c r="E613" s="73" t="s">
        <v>100</v>
      </c>
      <c r="F613" s="73" t="s">
        <v>101</v>
      </c>
      <c r="G613" s="73" t="s">
        <v>32</v>
      </c>
      <c r="H613" s="74" t="s">
        <v>824</v>
      </c>
      <c r="I613" s="74">
        <v>1025</v>
      </c>
      <c r="J613" s="75">
        <v>0</v>
      </c>
      <c r="K613" s="75"/>
    </row>
    <row r="614" s="1" customFormat="1" ht="14.25" spans="1:11">
      <c r="A614" s="71">
        <v>4</v>
      </c>
      <c r="B614" s="72">
        <v>30</v>
      </c>
      <c r="C614" s="72">
        <v>17</v>
      </c>
      <c r="D614" s="73" t="s">
        <v>828</v>
      </c>
      <c r="E614" s="73" t="s">
        <v>48</v>
      </c>
      <c r="F614" s="74" t="s">
        <v>55</v>
      </c>
      <c r="G614" s="73" t="s">
        <v>32</v>
      </c>
      <c r="H614" s="74" t="s">
        <v>824</v>
      </c>
      <c r="I614" s="74">
        <v>125</v>
      </c>
      <c r="J614" s="75">
        <v>0</v>
      </c>
      <c r="K614" s="75"/>
    </row>
    <row r="615" s="1" customFormat="1" ht="14.25" spans="1:11">
      <c r="A615" s="71">
        <v>4</v>
      </c>
      <c r="B615" s="72">
        <v>30</v>
      </c>
      <c r="C615" s="72">
        <v>17</v>
      </c>
      <c r="D615" s="73" t="s">
        <v>829</v>
      </c>
      <c r="E615" s="73" t="s">
        <v>48</v>
      </c>
      <c r="F615" s="73" t="s">
        <v>125</v>
      </c>
      <c r="G615" s="73" t="s">
        <v>32</v>
      </c>
      <c r="H615" s="74" t="s">
        <v>830</v>
      </c>
      <c r="I615" s="74">
        <v>110</v>
      </c>
      <c r="J615" s="75">
        <v>0</v>
      </c>
      <c r="K615" s="75"/>
    </row>
    <row r="616" s="1" customFormat="1" ht="14.25" spans="1:11">
      <c r="A616" s="71">
        <v>4</v>
      </c>
      <c r="B616" s="72">
        <v>30</v>
      </c>
      <c r="C616" s="72">
        <v>17</v>
      </c>
      <c r="D616" s="73" t="s">
        <v>831</v>
      </c>
      <c r="E616" s="73" t="s">
        <v>48</v>
      </c>
      <c r="F616" s="73" t="s">
        <v>125</v>
      </c>
      <c r="G616" s="73" t="s">
        <v>32</v>
      </c>
      <c r="H616" s="74" t="s">
        <v>830</v>
      </c>
      <c r="I616" s="74">
        <v>420</v>
      </c>
      <c r="J616" s="75">
        <v>0</v>
      </c>
      <c r="K616" s="75"/>
    </row>
    <row r="617" s="1" customFormat="1" ht="14.25" spans="1:11">
      <c r="A617" s="71">
        <v>4</v>
      </c>
      <c r="B617" s="72">
        <v>30</v>
      </c>
      <c r="C617" s="72">
        <v>17</v>
      </c>
      <c r="D617" s="73" t="s">
        <v>832</v>
      </c>
      <c r="E617" s="73" t="s">
        <v>118</v>
      </c>
      <c r="F617" s="74" t="s">
        <v>136</v>
      </c>
      <c r="G617" s="73" t="s">
        <v>32</v>
      </c>
      <c r="H617" s="74" t="s">
        <v>830</v>
      </c>
      <c r="I617" s="74">
        <v>46</v>
      </c>
      <c r="J617" s="75">
        <v>0</v>
      </c>
      <c r="K617" s="75"/>
    </row>
    <row r="618" s="1" customFormat="1" ht="14.25" spans="1:11">
      <c r="A618" s="71">
        <v>4</v>
      </c>
      <c r="B618" s="72">
        <v>30</v>
      </c>
      <c r="C618" s="72">
        <v>17</v>
      </c>
      <c r="D618" s="73" t="s">
        <v>692</v>
      </c>
      <c r="E618" s="73" t="s">
        <v>96</v>
      </c>
      <c r="F618" s="73" t="s">
        <v>97</v>
      </c>
      <c r="G618" s="73" t="s">
        <v>32</v>
      </c>
      <c r="H618" s="74" t="s">
        <v>830</v>
      </c>
      <c r="I618" s="74">
        <v>168</v>
      </c>
      <c r="J618" s="75">
        <v>0</v>
      </c>
      <c r="K618" s="75"/>
    </row>
    <row r="619" s="1" customFormat="1" ht="14.25" spans="1:11">
      <c r="A619" s="71">
        <v>4</v>
      </c>
      <c r="B619" s="72">
        <v>30</v>
      </c>
      <c r="C619" s="72">
        <v>17</v>
      </c>
      <c r="D619" s="73" t="s">
        <v>833</v>
      </c>
      <c r="E619" s="73" t="s">
        <v>96</v>
      </c>
      <c r="F619" s="73" t="s">
        <v>55</v>
      </c>
      <c r="G619" s="73" t="s">
        <v>32</v>
      </c>
      <c r="H619" s="74" t="s">
        <v>830</v>
      </c>
      <c r="I619" s="74">
        <v>129</v>
      </c>
      <c r="J619" s="75">
        <v>0</v>
      </c>
      <c r="K619" s="75"/>
    </row>
    <row r="620" s="1" customFormat="1" ht="14.25" spans="1:11">
      <c r="A620" s="71">
        <v>4</v>
      </c>
      <c r="B620" s="72">
        <v>30</v>
      </c>
      <c r="C620" s="72">
        <v>18</v>
      </c>
      <c r="D620" s="73" t="s">
        <v>834</v>
      </c>
      <c r="E620" s="73" t="s">
        <v>172</v>
      </c>
      <c r="F620" s="74" t="s">
        <v>173</v>
      </c>
      <c r="G620" s="73" t="s">
        <v>32</v>
      </c>
      <c r="H620" s="74" t="s">
        <v>835</v>
      </c>
      <c r="I620" s="74">
        <v>16297</v>
      </c>
      <c r="J620" s="75">
        <v>0</v>
      </c>
      <c r="K620" s="75"/>
    </row>
    <row r="621" s="1" customFormat="1" ht="14.25" spans="1:11">
      <c r="A621" s="71">
        <v>4</v>
      </c>
      <c r="B621" s="72">
        <v>30</v>
      </c>
      <c r="C621" s="72">
        <v>18</v>
      </c>
      <c r="D621" s="73" t="s">
        <v>836</v>
      </c>
      <c r="E621" s="73" t="s">
        <v>48</v>
      </c>
      <c r="F621" s="73" t="s">
        <v>55</v>
      </c>
      <c r="G621" s="73" t="s">
        <v>32</v>
      </c>
      <c r="H621" s="74" t="s">
        <v>835</v>
      </c>
      <c r="I621" s="74">
        <v>90</v>
      </c>
      <c r="J621" s="75">
        <v>0</v>
      </c>
      <c r="K621" s="75"/>
    </row>
    <row r="622" s="1" customFormat="1" ht="14.25" spans="1:11">
      <c r="A622" s="71">
        <v>4</v>
      </c>
      <c r="B622" s="72">
        <v>30</v>
      </c>
      <c r="C622" s="72">
        <v>18</v>
      </c>
      <c r="D622" s="73" t="s">
        <v>837</v>
      </c>
      <c r="E622" s="73" t="s">
        <v>118</v>
      </c>
      <c r="F622" s="73" t="s">
        <v>136</v>
      </c>
      <c r="G622" s="73" t="s">
        <v>32</v>
      </c>
      <c r="H622" s="74" t="s">
        <v>835</v>
      </c>
      <c r="I622" s="74">
        <v>21</v>
      </c>
      <c r="J622" s="75">
        <v>0</v>
      </c>
      <c r="K622" s="75"/>
    </row>
    <row r="623" s="1" customFormat="1" ht="14.25" spans="1:11">
      <c r="A623" s="71">
        <v>4</v>
      </c>
      <c r="B623" s="72">
        <v>30</v>
      </c>
      <c r="C623" s="72">
        <v>18</v>
      </c>
      <c r="D623" s="73" t="s">
        <v>838</v>
      </c>
      <c r="E623" s="73" t="s">
        <v>118</v>
      </c>
      <c r="F623" s="73" t="s">
        <v>136</v>
      </c>
      <c r="G623" s="73" t="s">
        <v>32</v>
      </c>
      <c r="H623" s="74" t="s">
        <v>835</v>
      </c>
      <c r="I623" s="74">
        <v>40</v>
      </c>
      <c r="J623" s="75">
        <v>0</v>
      </c>
      <c r="K623" s="75"/>
    </row>
    <row r="624" s="1" customFormat="1" ht="14.25" spans="1:11">
      <c r="A624" s="71">
        <v>4</v>
      </c>
      <c r="B624" s="72">
        <v>30</v>
      </c>
      <c r="C624" s="72">
        <v>18</v>
      </c>
      <c r="D624" s="73" t="s">
        <v>839</v>
      </c>
      <c r="E624" s="73" t="s">
        <v>96</v>
      </c>
      <c r="F624" s="74" t="s">
        <v>97</v>
      </c>
      <c r="G624" s="73" t="s">
        <v>32</v>
      </c>
      <c r="H624" s="74" t="s">
        <v>835</v>
      </c>
      <c r="I624" s="74">
        <v>364</v>
      </c>
      <c r="J624" s="75">
        <v>0</v>
      </c>
      <c r="K624" s="75"/>
    </row>
    <row r="625" s="1" customFormat="1" ht="14.25" spans="1:11">
      <c r="A625" s="71">
        <v>4</v>
      </c>
      <c r="B625" s="72">
        <v>30</v>
      </c>
      <c r="C625" s="72">
        <v>18</v>
      </c>
      <c r="D625" s="73" t="s">
        <v>840</v>
      </c>
      <c r="E625" s="73" t="s">
        <v>48</v>
      </c>
      <c r="F625" s="73" t="s">
        <v>55</v>
      </c>
      <c r="G625" s="73" t="s">
        <v>32</v>
      </c>
      <c r="H625" s="74" t="s">
        <v>841</v>
      </c>
      <c r="I625" s="74">
        <v>40</v>
      </c>
      <c r="J625" s="75">
        <v>0</v>
      </c>
      <c r="K625" s="75"/>
    </row>
    <row r="626" s="1" customFormat="1" ht="14.25" spans="1:11">
      <c r="A626" s="71">
        <v>4</v>
      </c>
      <c r="B626" s="72">
        <v>30</v>
      </c>
      <c r="C626" s="72">
        <v>18</v>
      </c>
      <c r="D626" s="73" t="s">
        <v>842</v>
      </c>
      <c r="E626" s="73" t="s">
        <v>48</v>
      </c>
      <c r="F626" s="73" t="s">
        <v>49</v>
      </c>
      <c r="G626" s="73" t="s">
        <v>32</v>
      </c>
      <c r="H626" s="74" t="s">
        <v>841</v>
      </c>
      <c r="I626" s="74">
        <v>60</v>
      </c>
      <c r="J626" s="75">
        <v>0</v>
      </c>
      <c r="K626" s="75"/>
    </row>
    <row r="627" s="1" customFormat="1" ht="14.25" spans="1:11">
      <c r="A627" s="71">
        <v>4</v>
      </c>
      <c r="B627" s="72">
        <v>30</v>
      </c>
      <c r="C627" s="72">
        <v>18</v>
      </c>
      <c r="D627" s="73" t="s">
        <v>843</v>
      </c>
      <c r="E627" s="73" t="s">
        <v>48</v>
      </c>
      <c r="F627" s="73" t="s">
        <v>55</v>
      </c>
      <c r="G627" s="73" t="s">
        <v>32</v>
      </c>
      <c r="H627" s="74" t="s">
        <v>841</v>
      </c>
      <c r="I627" s="74">
        <v>8</v>
      </c>
      <c r="J627" s="75">
        <v>0</v>
      </c>
      <c r="K627" s="75"/>
    </row>
    <row r="628" s="1" customFormat="1" ht="14.25" spans="1:11">
      <c r="A628" s="71">
        <v>4</v>
      </c>
      <c r="B628" s="72">
        <v>30</v>
      </c>
      <c r="C628" s="72">
        <v>18</v>
      </c>
      <c r="D628" s="73" t="s">
        <v>124</v>
      </c>
      <c r="E628" s="73" t="s">
        <v>48</v>
      </c>
      <c r="F628" s="74" t="s">
        <v>125</v>
      </c>
      <c r="G628" s="73" t="s">
        <v>32</v>
      </c>
      <c r="H628" s="74" t="s">
        <v>841</v>
      </c>
      <c r="I628" s="74">
        <v>16</v>
      </c>
      <c r="J628" s="75">
        <v>0</v>
      </c>
      <c r="K628" s="75"/>
    </row>
    <row r="629" s="1" customFormat="1" ht="14.25" spans="1:11">
      <c r="A629" s="71">
        <v>4</v>
      </c>
      <c r="B629" s="72">
        <v>30</v>
      </c>
      <c r="C629" s="72">
        <v>18</v>
      </c>
      <c r="D629" s="73" t="s">
        <v>844</v>
      </c>
      <c r="E629" s="73" t="s">
        <v>48</v>
      </c>
      <c r="F629" s="73" t="s">
        <v>125</v>
      </c>
      <c r="G629" s="73" t="s">
        <v>32</v>
      </c>
      <c r="H629" s="74" t="s">
        <v>841</v>
      </c>
      <c r="I629" s="74">
        <v>4</v>
      </c>
      <c r="J629" s="75">
        <v>0</v>
      </c>
      <c r="K629" s="75"/>
    </row>
    <row r="630" s="1" customFormat="1" ht="14.25" spans="1:11">
      <c r="A630" s="71">
        <v>4</v>
      </c>
      <c r="B630" s="72">
        <v>30</v>
      </c>
      <c r="C630" s="72">
        <v>19</v>
      </c>
      <c r="D630" s="73" t="s">
        <v>845</v>
      </c>
      <c r="E630" s="73" t="s">
        <v>48</v>
      </c>
      <c r="F630" s="73" t="s">
        <v>233</v>
      </c>
      <c r="G630" s="73" t="s">
        <v>32</v>
      </c>
      <c r="H630" s="74" t="s">
        <v>846</v>
      </c>
      <c r="I630" s="74">
        <v>15</v>
      </c>
      <c r="J630" s="75">
        <v>0</v>
      </c>
      <c r="K630" s="75"/>
    </row>
    <row r="631" s="1" customFormat="1" ht="14.25" spans="1:11">
      <c r="A631" s="71">
        <v>4</v>
      </c>
      <c r="B631" s="72">
        <v>30</v>
      </c>
      <c r="C631" s="72">
        <v>19</v>
      </c>
      <c r="D631" s="73" t="s">
        <v>847</v>
      </c>
      <c r="E631" s="73" t="s">
        <v>48</v>
      </c>
      <c r="F631" s="73" t="s">
        <v>233</v>
      </c>
      <c r="G631" s="73" t="s">
        <v>32</v>
      </c>
      <c r="H631" s="74" t="s">
        <v>846</v>
      </c>
      <c r="I631" s="74">
        <v>50</v>
      </c>
      <c r="J631" s="75">
        <v>0</v>
      </c>
      <c r="K631" s="75"/>
    </row>
    <row r="632" s="1" customFormat="1" ht="14.25" spans="1:11">
      <c r="A632" s="71">
        <v>4</v>
      </c>
      <c r="B632" s="72">
        <v>30</v>
      </c>
      <c r="C632" s="72">
        <v>19</v>
      </c>
      <c r="D632" s="73" t="s">
        <v>848</v>
      </c>
      <c r="E632" s="73" t="s">
        <v>48</v>
      </c>
      <c r="F632" s="73" t="s">
        <v>55</v>
      </c>
      <c r="G632" s="73" t="s">
        <v>32</v>
      </c>
      <c r="H632" s="74" t="s">
        <v>846</v>
      </c>
      <c r="I632" s="74">
        <v>30</v>
      </c>
      <c r="J632" s="75">
        <v>0</v>
      </c>
      <c r="K632" s="75"/>
    </row>
    <row r="633" s="1" customFormat="1" ht="14.25" spans="1:11">
      <c r="A633" s="71">
        <v>4</v>
      </c>
      <c r="B633" s="72">
        <v>30</v>
      </c>
      <c r="C633" s="72">
        <v>19</v>
      </c>
      <c r="D633" s="73" t="s">
        <v>849</v>
      </c>
      <c r="E633" s="73" t="s">
        <v>118</v>
      </c>
      <c r="F633" s="73" t="s">
        <v>136</v>
      </c>
      <c r="G633" s="73" t="s">
        <v>32</v>
      </c>
      <c r="H633" s="74" t="s">
        <v>846</v>
      </c>
      <c r="I633" s="74">
        <v>225</v>
      </c>
      <c r="J633" s="75">
        <v>0</v>
      </c>
      <c r="K633" s="75"/>
    </row>
    <row r="634" s="1" customFormat="1" ht="14.25" spans="1:11">
      <c r="A634" s="71">
        <v>4</v>
      </c>
      <c r="B634" s="72">
        <v>30</v>
      </c>
      <c r="C634" s="72">
        <v>19</v>
      </c>
      <c r="D634" s="73" t="s">
        <v>850</v>
      </c>
      <c r="E634" s="73" t="s">
        <v>48</v>
      </c>
      <c r="F634" s="73" t="s">
        <v>55</v>
      </c>
      <c r="G634" s="73" t="s">
        <v>32</v>
      </c>
      <c r="H634" s="74" t="s">
        <v>846</v>
      </c>
      <c r="I634" s="74">
        <v>95</v>
      </c>
      <c r="J634" s="75">
        <v>0</v>
      </c>
      <c r="K634" s="75"/>
    </row>
    <row r="635" s="1" customFormat="1" ht="14.25" spans="1:11">
      <c r="A635" s="71">
        <v>4</v>
      </c>
      <c r="B635" s="72">
        <v>30</v>
      </c>
      <c r="C635" s="72">
        <v>19</v>
      </c>
      <c r="D635" s="73" t="s">
        <v>851</v>
      </c>
      <c r="E635" s="73" t="s">
        <v>48</v>
      </c>
      <c r="F635" s="73" t="s">
        <v>55</v>
      </c>
      <c r="G635" s="73" t="s">
        <v>32</v>
      </c>
      <c r="H635" s="74" t="s">
        <v>852</v>
      </c>
      <c r="I635" s="74">
        <v>60</v>
      </c>
      <c r="J635" s="75">
        <v>0</v>
      </c>
      <c r="K635" s="75"/>
    </row>
    <row r="636" s="1" customFormat="1" ht="14.25" spans="1:11">
      <c r="A636" s="71">
        <v>4</v>
      </c>
      <c r="B636" s="72">
        <v>30</v>
      </c>
      <c r="C636" s="72">
        <v>19</v>
      </c>
      <c r="D636" s="73" t="s">
        <v>853</v>
      </c>
      <c r="E636" s="73" t="s">
        <v>96</v>
      </c>
      <c r="F636" s="74" t="s">
        <v>97</v>
      </c>
      <c r="G636" s="73" t="s">
        <v>32</v>
      </c>
      <c r="H636" s="74" t="s">
        <v>852</v>
      </c>
      <c r="I636" s="74">
        <v>10</v>
      </c>
      <c r="J636" s="75">
        <v>0</v>
      </c>
      <c r="K636" s="75"/>
    </row>
    <row r="637" s="1" customFormat="1" ht="14.25" spans="1:11">
      <c r="A637" s="71">
        <v>4</v>
      </c>
      <c r="B637" s="72">
        <v>30</v>
      </c>
      <c r="C637" s="72">
        <v>19</v>
      </c>
      <c r="D637" s="73" t="s">
        <v>714</v>
      </c>
      <c r="E637" s="73" t="s">
        <v>118</v>
      </c>
      <c r="F637" s="73" t="s">
        <v>192</v>
      </c>
      <c r="G637" s="73" t="s">
        <v>32</v>
      </c>
      <c r="H637" s="74" t="s">
        <v>852</v>
      </c>
      <c r="I637" s="74">
        <v>220203</v>
      </c>
      <c r="J637" s="75">
        <v>0</v>
      </c>
      <c r="K637" s="75"/>
    </row>
    <row r="638" s="1" customFormat="1" ht="14.25" spans="1:11">
      <c r="A638" s="71">
        <v>4</v>
      </c>
      <c r="B638" s="72">
        <v>30</v>
      </c>
      <c r="C638" s="72">
        <v>19</v>
      </c>
      <c r="D638" s="73" t="s">
        <v>854</v>
      </c>
      <c r="E638" s="73" t="s">
        <v>118</v>
      </c>
      <c r="F638" s="73" t="s">
        <v>151</v>
      </c>
      <c r="G638" s="73" t="s">
        <v>32</v>
      </c>
      <c r="H638" s="74" t="s">
        <v>852</v>
      </c>
      <c r="I638" s="74">
        <v>10050</v>
      </c>
      <c r="J638" s="75">
        <v>0</v>
      </c>
      <c r="K638" s="75"/>
    </row>
    <row r="639" s="1" customFormat="1" ht="14.25" spans="1:11">
      <c r="A639" s="71">
        <v>4</v>
      </c>
      <c r="B639" s="72">
        <v>30</v>
      </c>
      <c r="C639" s="72">
        <v>19</v>
      </c>
      <c r="D639" s="73" t="s">
        <v>855</v>
      </c>
      <c r="E639" s="73" t="s">
        <v>118</v>
      </c>
      <c r="F639" s="73" t="s">
        <v>151</v>
      </c>
      <c r="G639" s="73" t="s">
        <v>32</v>
      </c>
      <c r="H639" s="74" t="s">
        <v>852</v>
      </c>
      <c r="I639" s="74">
        <v>9600</v>
      </c>
      <c r="J639" s="75">
        <v>0</v>
      </c>
      <c r="K639" s="75"/>
    </row>
    <row r="640" s="1" customFormat="1" ht="14.25" spans="1:11">
      <c r="A640" s="71">
        <v>4</v>
      </c>
      <c r="B640" s="72">
        <v>30</v>
      </c>
      <c r="C640" s="72">
        <v>20</v>
      </c>
      <c r="D640" s="73" t="s">
        <v>856</v>
      </c>
      <c r="E640" s="73" t="s">
        <v>118</v>
      </c>
      <c r="F640" s="73" t="s">
        <v>136</v>
      </c>
      <c r="G640" s="73" t="s">
        <v>32</v>
      </c>
      <c r="H640" s="74" t="s">
        <v>857</v>
      </c>
      <c r="I640" s="74">
        <v>6142</v>
      </c>
      <c r="J640" s="75">
        <v>0</v>
      </c>
      <c r="K640" s="75"/>
    </row>
    <row r="641" s="1" customFormat="1" ht="14.25" spans="1:11">
      <c r="A641" s="71">
        <v>4</v>
      </c>
      <c r="B641" s="72">
        <v>30</v>
      </c>
      <c r="C641" s="72">
        <v>20</v>
      </c>
      <c r="D641" s="73" t="s">
        <v>858</v>
      </c>
      <c r="E641" s="73" t="s">
        <v>118</v>
      </c>
      <c r="F641" s="74" t="s">
        <v>136</v>
      </c>
      <c r="G641" s="73" t="s">
        <v>32</v>
      </c>
      <c r="H641" s="74" t="s">
        <v>857</v>
      </c>
      <c r="I641" s="74">
        <v>5325</v>
      </c>
      <c r="J641" s="75">
        <v>0</v>
      </c>
      <c r="K641" s="75"/>
    </row>
    <row r="642" s="1" customFormat="1" ht="14.25" spans="1:11">
      <c r="A642" s="71">
        <v>4</v>
      </c>
      <c r="B642" s="72">
        <v>30</v>
      </c>
      <c r="C642" s="72">
        <v>20</v>
      </c>
      <c r="D642" s="73" t="s">
        <v>859</v>
      </c>
      <c r="E642" s="73" t="s">
        <v>118</v>
      </c>
      <c r="F642" s="73" t="s">
        <v>136</v>
      </c>
      <c r="G642" s="73" t="s">
        <v>32</v>
      </c>
      <c r="H642" s="74" t="s">
        <v>857</v>
      </c>
      <c r="I642" s="74">
        <v>2158</v>
      </c>
      <c r="J642" s="75">
        <v>0</v>
      </c>
      <c r="K642" s="75"/>
    </row>
    <row r="643" s="1" customFormat="1" ht="14.25" spans="1:11">
      <c r="A643" s="71">
        <v>4</v>
      </c>
      <c r="B643" s="72">
        <v>30</v>
      </c>
      <c r="C643" s="72">
        <v>20</v>
      </c>
      <c r="D643" s="73" t="s">
        <v>860</v>
      </c>
      <c r="E643" s="73" t="s">
        <v>118</v>
      </c>
      <c r="F643" s="73" t="s">
        <v>136</v>
      </c>
      <c r="G643" s="73" t="s">
        <v>32</v>
      </c>
      <c r="H643" s="74" t="s">
        <v>857</v>
      </c>
      <c r="I643" s="74">
        <v>8875</v>
      </c>
      <c r="J643" s="75">
        <v>0</v>
      </c>
      <c r="K643" s="75"/>
    </row>
    <row r="644" s="1" customFormat="1" ht="14.25" spans="1:11">
      <c r="A644" s="71">
        <v>4</v>
      </c>
      <c r="B644" s="72">
        <v>30</v>
      </c>
      <c r="C644" s="72">
        <v>20</v>
      </c>
      <c r="D644" s="73" t="s">
        <v>861</v>
      </c>
      <c r="E644" s="73" t="s">
        <v>48</v>
      </c>
      <c r="F644" s="73" t="s">
        <v>331</v>
      </c>
      <c r="G644" s="73" t="s">
        <v>32</v>
      </c>
      <c r="H644" s="74" t="s">
        <v>862</v>
      </c>
      <c r="I644" s="74">
        <v>5320</v>
      </c>
      <c r="J644" s="75">
        <v>0</v>
      </c>
      <c r="K644" s="75"/>
    </row>
    <row r="645" s="1" customFormat="1" ht="14.25" spans="1:11">
      <c r="A645" s="71">
        <v>4</v>
      </c>
      <c r="B645" s="72">
        <v>30</v>
      </c>
      <c r="C645" s="72">
        <v>12</v>
      </c>
      <c r="D645" s="73" t="s">
        <v>863</v>
      </c>
      <c r="E645" s="73" t="s">
        <v>32</v>
      </c>
      <c r="F645" s="73" t="s">
        <v>864</v>
      </c>
      <c r="G645" s="73" t="s">
        <v>48</v>
      </c>
      <c r="H645" s="74" t="s">
        <v>55</v>
      </c>
      <c r="I645" s="74">
        <v>81</v>
      </c>
      <c r="J645" s="75">
        <v>0</v>
      </c>
      <c r="K645" s="75"/>
    </row>
    <row r="646" s="1" customFormat="1" ht="14.25" spans="1:11">
      <c r="A646" s="71">
        <v>5</v>
      </c>
      <c r="B646" s="72">
        <v>31</v>
      </c>
      <c r="C646" s="72">
        <v>1</v>
      </c>
      <c r="D646" s="73" t="s">
        <v>865</v>
      </c>
      <c r="E646" s="73" t="s">
        <v>48</v>
      </c>
      <c r="F646" s="73" t="s">
        <v>55</v>
      </c>
      <c r="G646" s="73" t="s">
        <v>32</v>
      </c>
      <c r="H646" s="74" t="s">
        <v>866</v>
      </c>
      <c r="I646" s="74">
        <v>38</v>
      </c>
      <c r="J646" s="75">
        <v>0</v>
      </c>
      <c r="K646" s="75"/>
    </row>
    <row r="647" s="1" customFormat="1" ht="14.25" spans="1:11">
      <c r="A647" s="71">
        <v>5</v>
      </c>
      <c r="B647" s="72">
        <v>31</v>
      </c>
      <c r="C647" s="72">
        <v>1</v>
      </c>
      <c r="D647" s="73" t="s">
        <v>867</v>
      </c>
      <c r="E647" s="73" t="s">
        <v>96</v>
      </c>
      <c r="F647" s="73" t="s">
        <v>97</v>
      </c>
      <c r="G647" s="73" t="s">
        <v>32</v>
      </c>
      <c r="H647" s="74" t="s">
        <v>866</v>
      </c>
      <c r="I647" s="74">
        <v>6</v>
      </c>
      <c r="J647" s="75">
        <v>0</v>
      </c>
      <c r="K647" s="75"/>
    </row>
    <row r="648" s="1" customFormat="1" ht="14.25" spans="1:11">
      <c r="A648" s="71">
        <v>5</v>
      </c>
      <c r="B648" s="72">
        <v>31</v>
      </c>
      <c r="C648" s="72">
        <v>1</v>
      </c>
      <c r="D648" s="73" t="s">
        <v>868</v>
      </c>
      <c r="E648" s="73" t="s">
        <v>48</v>
      </c>
      <c r="F648" s="73" t="s">
        <v>233</v>
      </c>
      <c r="G648" s="73" t="s">
        <v>32</v>
      </c>
      <c r="H648" s="74" t="s">
        <v>866</v>
      </c>
      <c r="I648" s="74">
        <v>444.6</v>
      </c>
      <c r="J648" s="75">
        <v>0</v>
      </c>
      <c r="K648" s="75"/>
    </row>
    <row r="649" s="1" customFormat="1" ht="14.25" spans="1:11">
      <c r="A649" s="71">
        <v>5</v>
      </c>
      <c r="B649" s="72">
        <v>31</v>
      </c>
      <c r="C649" s="72">
        <v>1</v>
      </c>
      <c r="D649" s="73" t="s">
        <v>869</v>
      </c>
      <c r="E649" s="73" t="s">
        <v>118</v>
      </c>
      <c r="F649" s="73" t="s">
        <v>146</v>
      </c>
      <c r="G649" s="73" t="s">
        <v>32</v>
      </c>
      <c r="H649" s="74" t="s">
        <v>866</v>
      </c>
      <c r="I649" s="74">
        <v>2700</v>
      </c>
      <c r="J649" s="75">
        <v>0</v>
      </c>
      <c r="K649" s="75"/>
    </row>
    <row r="650" s="1" customFormat="1" ht="14.25" spans="1:11">
      <c r="A650" s="71">
        <v>5</v>
      </c>
      <c r="B650" s="72">
        <v>31</v>
      </c>
      <c r="C650" s="72">
        <v>1</v>
      </c>
      <c r="D650" s="73" t="s">
        <v>870</v>
      </c>
      <c r="E650" s="73" t="s">
        <v>291</v>
      </c>
      <c r="F650" s="73" t="s">
        <v>871</v>
      </c>
      <c r="G650" s="73" t="s">
        <v>32</v>
      </c>
      <c r="H650" s="74" t="s">
        <v>866</v>
      </c>
      <c r="I650" s="74">
        <v>800</v>
      </c>
      <c r="J650" s="75">
        <v>0</v>
      </c>
      <c r="K650" s="75"/>
    </row>
    <row r="651" s="1" customFormat="1" ht="14.25" spans="1:11">
      <c r="A651" s="71">
        <v>5</v>
      </c>
      <c r="B651" s="72">
        <v>31</v>
      </c>
      <c r="C651" s="72">
        <v>1</v>
      </c>
      <c r="D651" s="73" t="s">
        <v>872</v>
      </c>
      <c r="E651" s="73" t="s">
        <v>48</v>
      </c>
      <c r="F651" s="73" t="s">
        <v>55</v>
      </c>
      <c r="G651" s="73" t="s">
        <v>32</v>
      </c>
      <c r="H651" s="74" t="s">
        <v>873</v>
      </c>
      <c r="I651" s="74">
        <v>38</v>
      </c>
      <c r="J651" s="75">
        <v>0</v>
      </c>
      <c r="K651" s="75"/>
    </row>
    <row r="652" s="1" customFormat="1" ht="14.25" spans="1:11">
      <c r="A652" s="71">
        <v>5</v>
      </c>
      <c r="B652" s="72">
        <v>31</v>
      </c>
      <c r="C652" s="72">
        <v>1</v>
      </c>
      <c r="D652" s="73" t="s">
        <v>874</v>
      </c>
      <c r="E652" s="73" t="s">
        <v>172</v>
      </c>
      <c r="F652" s="73" t="s">
        <v>396</v>
      </c>
      <c r="G652" s="73" t="s">
        <v>32</v>
      </c>
      <c r="H652" s="74" t="s">
        <v>873</v>
      </c>
      <c r="I652" s="74">
        <v>2820</v>
      </c>
      <c r="J652" s="75">
        <v>0</v>
      </c>
      <c r="K652" s="75"/>
    </row>
    <row r="653" s="1" customFormat="1" ht="14.25" spans="1:11">
      <c r="A653" s="71">
        <v>5</v>
      </c>
      <c r="B653" s="72">
        <v>31</v>
      </c>
      <c r="C653" s="72">
        <v>1</v>
      </c>
      <c r="D653" s="73" t="s">
        <v>870</v>
      </c>
      <c r="E653" s="73" t="s">
        <v>291</v>
      </c>
      <c r="F653" s="73" t="s">
        <v>871</v>
      </c>
      <c r="G653" s="73" t="s">
        <v>32</v>
      </c>
      <c r="H653" s="74" t="s">
        <v>873</v>
      </c>
      <c r="I653" s="74">
        <v>900</v>
      </c>
      <c r="J653" s="75">
        <v>0</v>
      </c>
      <c r="K653" s="75"/>
    </row>
    <row r="654" s="1" customFormat="1" ht="14.25" spans="1:11">
      <c r="A654" s="71">
        <v>5</v>
      </c>
      <c r="B654" s="72">
        <v>31</v>
      </c>
      <c r="C654" s="72">
        <v>1</v>
      </c>
      <c r="D654" s="73" t="s">
        <v>875</v>
      </c>
      <c r="E654" s="73" t="s">
        <v>172</v>
      </c>
      <c r="F654" s="73" t="s">
        <v>876</v>
      </c>
      <c r="G654" s="73" t="s">
        <v>32</v>
      </c>
      <c r="H654" s="74" t="s">
        <v>873</v>
      </c>
      <c r="I654" s="74">
        <v>400</v>
      </c>
      <c r="J654" s="75">
        <v>0</v>
      </c>
      <c r="K654" s="75"/>
    </row>
    <row r="655" s="1" customFormat="1" ht="14.25" spans="1:11">
      <c r="A655" s="71">
        <v>5</v>
      </c>
      <c r="B655" s="72">
        <v>31</v>
      </c>
      <c r="C655" s="72">
        <v>1</v>
      </c>
      <c r="D655" s="73" t="s">
        <v>877</v>
      </c>
      <c r="E655" s="73" t="s">
        <v>118</v>
      </c>
      <c r="F655" s="73" t="s">
        <v>878</v>
      </c>
      <c r="G655" s="73" t="s">
        <v>32</v>
      </c>
      <c r="H655" s="74" t="s">
        <v>873</v>
      </c>
      <c r="I655" s="74">
        <v>22236</v>
      </c>
      <c r="J655" s="75">
        <v>0</v>
      </c>
      <c r="K655" s="75"/>
    </row>
    <row r="656" s="1" customFormat="1" ht="14.25" spans="1:11">
      <c r="A656" s="71">
        <v>5</v>
      </c>
      <c r="B656" s="72">
        <v>31</v>
      </c>
      <c r="C656" s="72">
        <v>2</v>
      </c>
      <c r="D656" s="73" t="s">
        <v>124</v>
      </c>
      <c r="E656" s="73" t="s">
        <v>48</v>
      </c>
      <c r="F656" s="73" t="s">
        <v>125</v>
      </c>
      <c r="G656" s="73" t="s">
        <v>32</v>
      </c>
      <c r="H656" s="74" t="s">
        <v>879</v>
      </c>
      <c r="I656" s="74">
        <v>8</v>
      </c>
      <c r="J656" s="75">
        <v>0</v>
      </c>
      <c r="K656" s="75"/>
    </row>
    <row r="657" s="1" customFormat="1" ht="14.25" spans="1:11">
      <c r="A657" s="71">
        <v>5</v>
      </c>
      <c r="B657" s="72">
        <v>31</v>
      </c>
      <c r="C657" s="72">
        <v>2</v>
      </c>
      <c r="D657" s="73" t="s">
        <v>275</v>
      </c>
      <c r="E657" s="73" t="s">
        <v>48</v>
      </c>
      <c r="F657" s="73" t="s">
        <v>125</v>
      </c>
      <c r="G657" s="73" t="s">
        <v>32</v>
      </c>
      <c r="H657" s="74" t="s">
        <v>879</v>
      </c>
      <c r="I657" s="74">
        <v>357</v>
      </c>
      <c r="J657" s="75">
        <v>0</v>
      </c>
      <c r="K657" s="75"/>
    </row>
    <row r="658" s="1" customFormat="1" ht="14.25" spans="1:11">
      <c r="A658" s="71">
        <v>5</v>
      </c>
      <c r="B658" s="72">
        <v>31</v>
      </c>
      <c r="C658" s="72">
        <v>2</v>
      </c>
      <c r="D658" s="73" t="s">
        <v>880</v>
      </c>
      <c r="E658" s="73" t="s">
        <v>172</v>
      </c>
      <c r="F658" s="73" t="s">
        <v>881</v>
      </c>
      <c r="G658" s="73" t="s">
        <v>32</v>
      </c>
      <c r="H658" s="74" t="s">
        <v>879</v>
      </c>
      <c r="I658" s="74">
        <v>800</v>
      </c>
      <c r="J658" s="75">
        <v>0</v>
      </c>
      <c r="K658" s="75"/>
    </row>
    <row r="659" s="1" customFormat="1" ht="14.25" spans="1:11">
      <c r="A659" s="71">
        <v>5</v>
      </c>
      <c r="B659" s="72">
        <v>31</v>
      </c>
      <c r="C659" s="72">
        <v>2</v>
      </c>
      <c r="D659" s="73" t="s">
        <v>882</v>
      </c>
      <c r="E659" s="73" t="s">
        <v>48</v>
      </c>
      <c r="F659" s="73" t="s">
        <v>233</v>
      </c>
      <c r="G659" s="73" t="s">
        <v>32</v>
      </c>
      <c r="H659" s="74" t="s">
        <v>879</v>
      </c>
      <c r="I659" s="74">
        <v>120</v>
      </c>
      <c r="J659" s="75">
        <v>0</v>
      </c>
      <c r="K659" s="75"/>
    </row>
    <row r="660" s="1" customFormat="1" ht="14.25" spans="1:11">
      <c r="A660" s="71">
        <v>5</v>
      </c>
      <c r="B660" s="72">
        <v>31</v>
      </c>
      <c r="C660" s="72">
        <v>2</v>
      </c>
      <c r="D660" s="73" t="s">
        <v>692</v>
      </c>
      <c r="E660" s="73" t="s">
        <v>96</v>
      </c>
      <c r="F660" s="73" t="s">
        <v>97</v>
      </c>
      <c r="G660" s="73" t="s">
        <v>32</v>
      </c>
      <c r="H660" s="74" t="s">
        <v>879</v>
      </c>
      <c r="I660" s="74">
        <v>168</v>
      </c>
      <c r="J660" s="75">
        <v>0</v>
      </c>
      <c r="K660" s="75"/>
    </row>
    <row r="661" s="1" customFormat="1" ht="14.25" spans="1:11">
      <c r="A661" s="71">
        <v>5</v>
      </c>
      <c r="B661" s="72">
        <v>31</v>
      </c>
      <c r="C661" s="72">
        <v>2</v>
      </c>
      <c r="D661" s="73" t="s">
        <v>883</v>
      </c>
      <c r="E661" s="73" t="s">
        <v>291</v>
      </c>
      <c r="F661" s="73" t="s">
        <v>871</v>
      </c>
      <c r="G661" s="73" t="s">
        <v>32</v>
      </c>
      <c r="H661" s="74" t="s">
        <v>884</v>
      </c>
      <c r="I661" s="74">
        <v>20</v>
      </c>
      <c r="J661" s="75">
        <v>0</v>
      </c>
      <c r="K661" s="75"/>
    </row>
    <row r="662" s="1" customFormat="1" ht="14.25" spans="1:11">
      <c r="A662" s="71">
        <v>5</v>
      </c>
      <c r="B662" s="72">
        <v>31</v>
      </c>
      <c r="C662" s="72">
        <v>2</v>
      </c>
      <c r="D662" s="73" t="s">
        <v>885</v>
      </c>
      <c r="E662" s="73" t="s">
        <v>85</v>
      </c>
      <c r="F662" s="73" t="s">
        <v>886</v>
      </c>
      <c r="G662" s="73" t="s">
        <v>32</v>
      </c>
      <c r="H662" s="74" t="s">
        <v>884</v>
      </c>
      <c r="I662" s="74">
        <v>30</v>
      </c>
      <c r="J662" s="75">
        <v>0</v>
      </c>
      <c r="K662" s="75"/>
    </row>
    <row r="663" s="1" customFormat="1" ht="14.25" spans="1:11">
      <c r="A663" s="71">
        <v>5</v>
      </c>
      <c r="B663" s="72">
        <v>31</v>
      </c>
      <c r="C663" s="72">
        <v>2</v>
      </c>
      <c r="D663" s="73" t="s">
        <v>887</v>
      </c>
      <c r="E663" s="73" t="s">
        <v>48</v>
      </c>
      <c r="F663" s="73" t="s">
        <v>55</v>
      </c>
      <c r="G663" s="73" t="s">
        <v>32</v>
      </c>
      <c r="H663" s="74" t="s">
        <v>884</v>
      </c>
      <c r="I663" s="74">
        <v>13</v>
      </c>
      <c r="J663" s="75">
        <v>0</v>
      </c>
      <c r="K663" s="75"/>
    </row>
    <row r="664" s="1" customFormat="1" ht="14.25" spans="1:11">
      <c r="A664" s="71">
        <v>5</v>
      </c>
      <c r="B664" s="72">
        <v>31</v>
      </c>
      <c r="C664" s="72">
        <v>2</v>
      </c>
      <c r="D664" s="73" t="s">
        <v>888</v>
      </c>
      <c r="E664" s="73" t="s">
        <v>48</v>
      </c>
      <c r="F664" s="73" t="s">
        <v>49</v>
      </c>
      <c r="G664" s="73" t="s">
        <v>32</v>
      </c>
      <c r="H664" s="74" t="s">
        <v>884</v>
      </c>
      <c r="I664" s="74">
        <v>80</v>
      </c>
      <c r="J664" s="75">
        <v>0</v>
      </c>
      <c r="K664" s="75"/>
    </row>
    <row r="665" s="1" customFormat="1" ht="14.25" spans="1:11">
      <c r="A665" s="71">
        <v>5</v>
      </c>
      <c r="B665" s="72">
        <v>31</v>
      </c>
      <c r="C665" s="72">
        <v>2</v>
      </c>
      <c r="D665" s="73" t="s">
        <v>889</v>
      </c>
      <c r="E665" s="73" t="s">
        <v>100</v>
      </c>
      <c r="F665" s="73" t="s">
        <v>101</v>
      </c>
      <c r="G665" s="73" t="s">
        <v>32</v>
      </c>
      <c r="H665" s="74" t="s">
        <v>884</v>
      </c>
      <c r="I665" s="74">
        <v>38</v>
      </c>
      <c r="J665" s="75">
        <v>0</v>
      </c>
      <c r="K665" s="75"/>
    </row>
    <row r="666" s="1" customFormat="1" ht="14.25" spans="1:11">
      <c r="A666" s="71">
        <v>5</v>
      </c>
      <c r="B666" s="72">
        <v>31</v>
      </c>
      <c r="C666" s="72">
        <v>3</v>
      </c>
      <c r="D666" s="73" t="s">
        <v>890</v>
      </c>
      <c r="E666" s="73" t="s">
        <v>291</v>
      </c>
      <c r="F666" s="73" t="s">
        <v>323</v>
      </c>
      <c r="G666" s="73" t="s">
        <v>32</v>
      </c>
      <c r="H666" s="74" t="s">
        <v>891</v>
      </c>
      <c r="I666" s="74">
        <v>6049.45</v>
      </c>
      <c r="J666" s="75">
        <v>0</v>
      </c>
      <c r="K666" s="75"/>
    </row>
    <row r="667" s="1" customFormat="1" ht="14.25" spans="1:11">
      <c r="A667" s="71">
        <v>5</v>
      </c>
      <c r="B667" s="72">
        <v>31</v>
      </c>
      <c r="C667" s="72">
        <v>3</v>
      </c>
      <c r="D667" s="73" t="s">
        <v>892</v>
      </c>
      <c r="E667" s="73" t="s">
        <v>100</v>
      </c>
      <c r="F667" s="73" t="s">
        <v>101</v>
      </c>
      <c r="G667" s="73" t="s">
        <v>32</v>
      </c>
      <c r="H667" s="74" t="s">
        <v>891</v>
      </c>
      <c r="I667" s="74">
        <v>41338</v>
      </c>
      <c r="J667" s="75">
        <v>0</v>
      </c>
      <c r="K667" s="75"/>
    </row>
    <row r="668" s="1" customFormat="1" ht="14.25" spans="1:11">
      <c r="A668" s="71">
        <v>5</v>
      </c>
      <c r="B668" s="72">
        <v>31</v>
      </c>
      <c r="C668" s="72">
        <v>3</v>
      </c>
      <c r="D668" s="73" t="s">
        <v>893</v>
      </c>
      <c r="E668" s="73" t="s">
        <v>100</v>
      </c>
      <c r="F668" s="73" t="s">
        <v>101</v>
      </c>
      <c r="G668" s="73" t="s">
        <v>32</v>
      </c>
      <c r="H668" s="74" t="s">
        <v>891</v>
      </c>
      <c r="I668" s="74">
        <v>21</v>
      </c>
      <c r="J668" s="75">
        <v>0</v>
      </c>
      <c r="K668" s="75"/>
    </row>
    <row r="669" s="1" customFormat="1" ht="14.25" spans="1:11">
      <c r="A669" s="71">
        <v>5</v>
      </c>
      <c r="B669" s="72">
        <v>31</v>
      </c>
      <c r="C669" s="72">
        <v>3</v>
      </c>
      <c r="D669" s="73" t="s">
        <v>894</v>
      </c>
      <c r="E669" s="73" t="s">
        <v>172</v>
      </c>
      <c r="F669" s="73" t="s">
        <v>396</v>
      </c>
      <c r="G669" s="73" t="s">
        <v>32</v>
      </c>
      <c r="H669" s="74" t="s">
        <v>891</v>
      </c>
      <c r="I669" s="74">
        <v>50</v>
      </c>
      <c r="J669" s="75">
        <v>0</v>
      </c>
      <c r="K669" s="75"/>
    </row>
    <row r="670" s="1" customFormat="1" ht="14.25" spans="1:11">
      <c r="A670" s="71">
        <v>5</v>
      </c>
      <c r="B670" s="72">
        <v>31</v>
      </c>
      <c r="C670" s="72">
        <v>3</v>
      </c>
      <c r="D670" s="73" t="s">
        <v>895</v>
      </c>
      <c r="E670" s="73" t="s">
        <v>48</v>
      </c>
      <c r="F670" s="73" t="s">
        <v>55</v>
      </c>
      <c r="G670" s="73" t="s">
        <v>32</v>
      </c>
      <c r="H670" s="74" t="s">
        <v>891</v>
      </c>
      <c r="I670" s="74">
        <v>15</v>
      </c>
      <c r="J670" s="75">
        <v>0</v>
      </c>
      <c r="K670" s="75"/>
    </row>
    <row r="671" s="1" customFormat="1" ht="14.25" spans="1:11">
      <c r="A671" s="71">
        <v>5</v>
      </c>
      <c r="B671" s="72">
        <v>31</v>
      </c>
      <c r="C671" s="72">
        <v>3</v>
      </c>
      <c r="D671" s="73" t="s">
        <v>896</v>
      </c>
      <c r="E671" s="73" t="s">
        <v>48</v>
      </c>
      <c r="F671" s="73" t="s">
        <v>55</v>
      </c>
      <c r="G671" s="73" t="s">
        <v>32</v>
      </c>
      <c r="H671" s="74" t="s">
        <v>897</v>
      </c>
      <c r="I671" s="74">
        <v>30</v>
      </c>
      <c r="J671" s="75">
        <v>0</v>
      </c>
      <c r="K671" s="75"/>
    </row>
    <row r="672" s="1" customFormat="1" ht="14.25" spans="1:11">
      <c r="A672" s="71">
        <v>5</v>
      </c>
      <c r="B672" s="72">
        <v>31</v>
      </c>
      <c r="C672" s="72">
        <v>3</v>
      </c>
      <c r="D672" s="73" t="s">
        <v>898</v>
      </c>
      <c r="E672" s="73" t="s">
        <v>48</v>
      </c>
      <c r="F672" s="73" t="s">
        <v>49</v>
      </c>
      <c r="G672" s="73" t="s">
        <v>32</v>
      </c>
      <c r="H672" s="74" t="s">
        <v>897</v>
      </c>
      <c r="I672" s="74">
        <v>60</v>
      </c>
      <c r="J672" s="75">
        <v>0</v>
      </c>
      <c r="K672" s="75"/>
    </row>
    <row r="673" s="1" customFormat="1" ht="14.25" spans="1:11">
      <c r="A673" s="71">
        <v>5</v>
      </c>
      <c r="B673" s="72">
        <v>31</v>
      </c>
      <c r="C673" s="72">
        <v>3</v>
      </c>
      <c r="D673" s="73" t="s">
        <v>899</v>
      </c>
      <c r="E673" s="73" t="s">
        <v>48</v>
      </c>
      <c r="F673" s="73" t="s">
        <v>55</v>
      </c>
      <c r="G673" s="73" t="s">
        <v>32</v>
      </c>
      <c r="H673" s="74" t="s">
        <v>897</v>
      </c>
      <c r="I673" s="74">
        <v>25</v>
      </c>
      <c r="J673" s="75">
        <v>0</v>
      </c>
      <c r="K673" s="75"/>
    </row>
    <row r="674" s="1" customFormat="1" ht="14.25" spans="1:11">
      <c r="A674" s="71">
        <v>5</v>
      </c>
      <c r="B674" s="72">
        <v>31</v>
      </c>
      <c r="C674" s="72">
        <v>3</v>
      </c>
      <c r="D674" s="73" t="s">
        <v>900</v>
      </c>
      <c r="E674" s="73" t="s">
        <v>48</v>
      </c>
      <c r="F674" s="73" t="s">
        <v>55</v>
      </c>
      <c r="G674" s="73" t="s">
        <v>32</v>
      </c>
      <c r="H674" s="74" t="s">
        <v>897</v>
      </c>
      <c r="I674" s="74">
        <v>20</v>
      </c>
      <c r="J674" s="75">
        <v>0</v>
      </c>
      <c r="K674" s="75"/>
    </row>
    <row r="675" s="1" customFormat="1" ht="14.25" spans="1:11">
      <c r="A675" s="71">
        <v>5</v>
      </c>
      <c r="B675" s="72">
        <v>31</v>
      </c>
      <c r="C675" s="72">
        <v>4</v>
      </c>
      <c r="D675" s="73" t="s">
        <v>901</v>
      </c>
      <c r="E675" s="73" t="s">
        <v>96</v>
      </c>
      <c r="F675" s="73" t="s">
        <v>97</v>
      </c>
      <c r="G675" s="73" t="s">
        <v>32</v>
      </c>
      <c r="H675" s="74" t="s">
        <v>902</v>
      </c>
      <c r="I675" s="74">
        <v>255</v>
      </c>
      <c r="J675" s="75">
        <v>0</v>
      </c>
      <c r="K675" s="75"/>
    </row>
    <row r="676" s="1" customFormat="1" ht="14.25" spans="1:11">
      <c r="A676" s="71">
        <v>5</v>
      </c>
      <c r="B676" s="72">
        <v>31</v>
      </c>
      <c r="C676" s="72">
        <v>4</v>
      </c>
      <c r="D676" s="73" t="s">
        <v>903</v>
      </c>
      <c r="E676" s="73" t="s">
        <v>96</v>
      </c>
      <c r="F676" s="73" t="s">
        <v>345</v>
      </c>
      <c r="G676" s="73" t="s">
        <v>32</v>
      </c>
      <c r="H676" s="74" t="s">
        <v>902</v>
      </c>
      <c r="I676" s="74">
        <v>70</v>
      </c>
      <c r="J676" s="75">
        <v>0</v>
      </c>
      <c r="K676" s="75"/>
    </row>
    <row r="677" s="1" customFormat="1" ht="14.25" spans="1:11">
      <c r="A677" s="71">
        <v>5</v>
      </c>
      <c r="B677" s="72">
        <v>31</v>
      </c>
      <c r="C677" s="72">
        <v>4</v>
      </c>
      <c r="D677" s="73" t="s">
        <v>904</v>
      </c>
      <c r="E677" s="73" t="s">
        <v>172</v>
      </c>
      <c r="F677" s="73" t="s">
        <v>396</v>
      </c>
      <c r="G677" s="73" t="s">
        <v>32</v>
      </c>
      <c r="H677" s="74" t="s">
        <v>902</v>
      </c>
      <c r="I677" s="74">
        <v>68</v>
      </c>
      <c r="J677" s="75">
        <v>0</v>
      </c>
      <c r="K677" s="75"/>
    </row>
    <row r="678" s="1" customFormat="1" ht="14.25" spans="1:11">
      <c r="A678" s="71">
        <v>5</v>
      </c>
      <c r="B678" s="72">
        <v>31</v>
      </c>
      <c r="C678" s="72">
        <v>4</v>
      </c>
      <c r="D678" s="73" t="s">
        <v>905</v>
      </c>
      <c r="E678" s="73" t="s">
        <v>100</v>
      </c>
      <c r="F678" s="73" t="s">
        <v>101</v>
      </c>
      <c r="G678" s="73" t="s">
        <v>32</v>
      </c>
      <c r="H678" s="74" t="s">
        <v>902</v>
      </c>
      <c r="I678" s="74">
        <v>1640</v>
      </c>
      <c r="J678" s="75">
        <v>0</v>
      </c>
      <c r="K678" s="75"/>
    </row>
    <row r="679" s="1" customFormat="1" ht="14.25" spans="1:11">
      <c r="A679" s="71">
        <v>5</v>
      </c>
      <c r="B679" s="72">
        <v>31</v>
      </c>
      <c r="C679" s="72">
        <v>4</v>
      </c>
      <c r="D679" s="73" t="s">
        <v>906</v>
      </c>
      <c r="E679" s="73" t="s">
        <v>96</v>
      </c>
      <c r="F679" s="73" t="s">
        <v>97</v>
      </c>
      <c r="G679" s="73" t="s">
        <v>32</v>
      </c>
      <c r="H679" s="74" t="s">
        <v>902</v>
      </c>
      <c r="I679" s="74">
        <v>6256</v>
      </c>
      <c r="J679" s="75">
        <v>0</v>
      </c>
      <c r="K679" s="75"/>
    </row>
    <row r="680" s="1" customFormat="1" ht="14.25" spans="1:11">
      <c r="A680" s="71">
        <v>5</v>
      </c>
      <c r="B680" s="72">
        <v>31</v>
      </c>
      <c r="C680" s="72">
        <v>4</v>
      </c>
      <c r="D680" s="73" t="s">
        <v>907</v>
      </c>
      <c r="E680" s="73" t="s">
        <v>48</v>
      </c>
      <c r="F680" s="73" t="s">
        <v>125</v>
      </c>
      <c r="G680" s="73" t="s">
        <v>32</v>
      </c>
      <c r="H680" s="74" t="s">
        <v>908</v>
      </c>
      <c r="I680" s="74">
        <v>9</v>
      </c>
      <c r="J680" s="75">
        <v>0</v>
      </c>
      <c r="K680" s="75"/>
    </row>
    <row r="681" s="1" customFormat="1" ht="14.25" spans="1:11">
      <c r="A681" s="71">
        <v>5</v>
      </c>
      <c r="B681" s="72">
        <v>31</v>
      </c>
      <c r="C681" s="72">
        <v>4</v>
      </c>
      <c r="D681" s="73" t="s">
        <v>909</v>
      </c>
      <c r="E681" s="73" t="s">
        <v>96</v>
      </c>
      <c r="F681" s="73" t="s">
        <v>97</v>
      </c>
      <c r="G681" s="73" t="s">
        <v>32</v>
      </c>
      <c r="H681" s="74" t="s">
        <v>908</v>
      </c>
      <c r="I681" s="74">
        <v>26</v>
      </c>
      <c r="J681" s="75">
        <v>0</v>
      </c>
      <c r="K681" s="75"/>
    </row>
    <row r="682" s="1" customFormat="1" ht="14.25" spans="1:11">
      <c r="A682" s="71">
        <v>5</v>
      </c>
      <c r="B682" s="72">
        <v>31</v>
      </c>
      <c r="C682" s="72">
        <v>4</v>
      </c>
      <c r="D682" s="73" t="s">
        <v>910</v>
      </c>
      <c r="E682" s="73" t="s">
        <v>172</v>
      </c>
      <c r="F682" s="73" t="s">
        <v>396</v>
      </c>
      <c r="G682" s="73" t="s">
        <v>32</v>
      </c>
      <c r="H682" s="74" t="s">
        <v>908</v>
      </c>
      <c r="I682" s="74">
        <v>30</v>
      </c>
      <c r="J682" s="75">
        <v>0</v>
      </c>
      <c r="K682" s="75"/>
    </row>
    <row r="683" s="1" customFormat="1" ht="14.25" spans="1:11">
      <c r="A683" s="71">
        <v>5</v>
      </c>
      <c r="B683" s="72">
        <v>31</v>
      </c>
      <c r="C683" s="72">
        <v>4</v>
      </c>
      <c r="D683" s="73" t="s">
        <v>911</v>
      </c>
      <c r="E683" s="73" t="s">
        <v>96</v>
      </c>
      <c r="F683" s="73" t="s">
        <v>345</v>
      </c>
      <c r="G683" s="73" t="s">
        <v>32</v>
      </c>
      <c r="H683" s="74" t="s">
        <v>908</v>
      </c>
      <c r="I683" s="74">
        <v>105</v>
      </c>
      <c r="J683" s="75">
        <v>0</v>
      </c>
      <c r="K683" s="75"/>
    </row>
    <row r="684" s="1" customFormat="1" ht="14.25" spans="1:11">
      <c r="A684" s="71">
        <v>5</v>
      </c>
      <c r="B684" s="72">
        <v>31</v>
      </c>
      <c r="C684" s="72">
        <v>4</v>
      </c>
      <c r="D684" s="73" t="s">
        <v>255</v>
      </c>
      <c r="E684" s="73" t="s">
        <v>96</v>
      </c>
      <c r="F684" s="73" t="s">
        <v>97</v>
      </c>
      <c r="G684" s="73" t="s">
        <v>32</v>
      </c>
      <c r="H684" s="74" t="s">
        <v>908</v>
      </c>
      <c r="I684" s="74">
        <v>37</v>
      </c>
      <c r="J684" s="75">
        <v>0</v>
      </c>
      <c r="K684" s="75"/>
    </row>
    <row r="685" s="1" customFormat="1" ht="14.25" spans="1:11">
      <c r="A685" s="71">
        <v>5</v>
      </c>
      <c r="B685" s="72">
        <v>31</v>
      </c>
      <c r="C685" s="72">
        <v>5</v>
      </c>
      <c r="D685" s="73" t="s">
        <v>912</v>
      </c>
      <c r="E685" s="73" t="s">
        <v>172</v>
      </c>
      <c r="F685" s="73" t="s">
        <v>396</v>
      </c>
      <c r="G685" s="73" t="s">
        <v>32</v>
      </c>
      <c r="H685" s="74" t="s">
        <v>913</v>
      </c>
      <c r="I685" s="74">
        <v>20</v>
      </c>
      <c r="J685" s="75">
        <v>0</v>
      </c>
      <c r="K685" s="75"/>
    </row>
    <row r="686" s="1" customFormat="1" ht="14.25" spans="1:11">
      <c r="A686" s="71">
        <v>5</v>
      </c>
      <c r="B686" s="72">
        <v>31</v>
      </c>
      <c r="C686" s="72">
        <v>5</v>
      </c>
      <c r="D686" s="73" t="s">
        <v>914</v>
      </c>
      <c r="E686" s="73" t="s">
        <v>118</v>
      </c>
      <c r="F686" s="73" t="s">
        <v>136</v>
      </c>
      <c r="G686" s="73" t="s">
        <v>32</v>
      </c>
      <c r="H686" s="74" t="s">
        <v>913</v>
      </c>
      <c r="I686" s="74">
        <v>110</v>
      </c>
      <c r="J686" s="75">
        <v>0</v>
      </c>
      <c r="K686" s="75"/>
    </row>
    <row r="687" s="1" customFormat="1" ht="14.25" spans="1:11">
      <c r="A687" s="71">
        <v>5</v>
      </c>
      <c r="B687" s="72">
        <v>31</v>
      </c>
      <c r="C687" s="72">
        <v>5</v>
      </c>
      <c r="D687" s="73" t="s">
        <v>915</v>
      </c>
      <c r="E687" s="73" t="s">
        <v>118</v>
      </c>
      <c r="F687" s="73" t="s">
        <v>136</v>
      </c>
      <c r="G687" s="73" t="s">
        <v>32</v>
      </c>
      <c r="H687" s="74" t="s">
        <v>913</v>
      </c>
      <c r="I687" s="74">
        <v>120</v>
      </c>
      <c r="J687" s="75">
        <v>0</v>
      </c>
      <c r="K687" s="75"/>
    </row>
    <row r="688" s="1" customFormat="1" ht="14.25" spans="1:11">
      <c r="A688" s="71">
        <v>5</v>
      </c>
      <c r="B688" s="72">
        <v>31</v>
      </c>
      <c r="C688" s="72">
        <v>5</v>
      </c>
      <c r="D688" s="73" t="s">
        <v>912</v>
      </c>
      <c r="E688" s="73" t="s">
        <v>172</v>
      </c>
      <c r="F688" s="73" t="s">
        <v>396</v>
      </c>
      <c r="G688" s="73" t="s">
        <v>32</v>
      </c>
      <c r="H688" s="74" t="s">
        <v>913</v>
      </c>
      <c r="I688" s="74">
        <v>20</v>
      </c>
      <c r="J688" s="75">
        <v>0</v>
      </c>
      <c r="K688" s="75"/>
    </row>
    <row r="689" s="1" customFormat="1" ht="14.25" spans="1:11">
      <c r="A689" s="71">
        <v>5</v>
      </c>
      <c r="B689" s="72">
        <v>31</v>
      </c>
      <c r="C689" s="72">
        <v>5</v>
      </c>
      <c r="D689" s="73" t="s">
        <v>916</v>
      </c>
      <c r="E689" s="73" t="s">
        <v>100</v>
      </c>
      <c r="F689" s="73" t="s">
        <v>101</v>
      </c>
      <c r="G689" s="73" t="s">
        <v>32</v>
      </c>
      <c r="H689" s="74" t="s">
        <v>913</v>
      </c>
      <c r="I689" s="74">
        <v>1260</v>
      </c>
      <c r="J689" s="75">
        <v>0</v>
      </c>
      <c r="K689" s="75"/>
    </row>
    <row r="690" s="1" customFormat="1" ht="14.25" spans="1:11">
      <c r="A690" s="71">
        <v>5</v>
      </c>
      <c r="B690" s="72">
        <v>31</v>
      </c>
      <c r="C690" s="72">
        <v>5</v>
      </c>
      <c r="D690" s="73" t="s">
        <v>917</v>
      </c>
      <c r="E690" s="73" t="s">
        <v>96</v>
      </c>
      <c r="F690" s="73" t="s">
        <v>97</v>
      </c>
      <c r="G690" s="73" t="s">
        <v>32</v>
      </c>
      <c r="H690" s="74" t="s">
        <v>918</v>
      </c>
      <c r="I690" s="74">
        <v>9</v>
      </c>
      <c r="J690" s="75">
        <v>0</v>
      </c>
      <c r="K690" s="75"/>
    </row>
    <row r="691" s="1" customFormat="1" ht="14.25" spans="1:11">
      <c r="A691" s="71">
        <v>5</v>
      </c>
      <c r="B691" s="72">
        <v>31</v>
      </c>
      <c r="C691" s="72">
        <v>5</v>
      </c>
      <c r="D691" s="73" t="s">
        <v>919</v>
      </c>
      <c r="E691" s="73" t="s">
        <v>48</v>
      </c>
      <c r="F691" s="73" t="s">
        <v>55</v>
      </c>
      <c r="G691" s="73" t="s">
        <v>32</v>
      </c>
      <c r="H691" s="74" t="s">
        <v>918</v>
      </c>
      <c r="I691" s="74">
        <v>15</v>
      </c>
      <c r="J691" s="75">
        <v>0</v>
      </c>
      <c r="K691" s="75"/>
    </row>
    <row r="692" s="1" customFormat="1" ht="14.25" spans="1:11">
      <c r="A692" s="71">
        <v>5</v>
      </c>
      <c r="B692" s="72">
        <v>31</v>
      </c>
      <c r="C692" s="72">
        <v>5</v>
      </c>
      <c r="D692" s="73" t="s">
        <v>920</v>
      </c>
      <c r="E692" s="73" t="s">
        <v>96</v>
      </c>
      <c r="F692" s="73" t="s">
        <v>443</v>
      </c>
      <c r="G692" s="73" t="s">
        <v>32</v>
      </c>
      <c r="H692" s="74" t="s">
        <v>918</v>
      </c>
      <c r="I692" s="74">
        <v>11.2</v>
      </c>
      <c r="J692" s="75">
        <v>0</v>
      </c>
      <c r="K692" s="75"/>
    </row>
    <row r="693" s="1" customFormat="1" ht="14.25" spans="1:11">
      <c r="A693" s="71">
        <v>5</v>
      </c>
      <c r="B693" s="72">
        <v>31</v>
      </c>
      <c r="C693" s="72">
        <v>5</v>
      </c>
      <c r="D693" s="73" t="s">
        <v>921</v>
      </c>
      <c r="E693" s="73" t="s">
        <v>48</v>
      </c>
      <c r="F693" s="73" t="s">
        <v>49</v>
      </c>
      <c r="G693" s="73" t="s">
        <v>32</v>
      </c>
      <c r="H693" s="74" t="s">
        <v>918</v>
      </c>
      <c r="I693" s="74">
        <v>20</v>
      </c>
      <c r="J693" s="75">
        <v>0</v>
      </c>
      <c r="K693" s="75"/>
    </row>
    <row r="694" s="1" customFormat="1" ht="14.25" spans="1:11">
      <c r="A694" s="71">
        <v>5</v>
      </c>
      <c r="B694" s="72">
        <v>31</v>
      </c>
      <c r="C694" s="72">
        <v>5</v>
      </c>
      <c r="D694" s="73" t="s">
        <v>894</v>
      </c>
      <c r="E694" s="73" t="s">
        <v>172</v>
      </c>
      <c r="F694" s="73" t="s">
        <v>396</v>
      </c>
      <c r="G694" s="73" t="s">
        <v>32</v>
      </c>
      <c r="H694" s="74" t="s">
        <v>918</v>
      </c>
      <c r="I694" s="74">
        <v>80</v>
      </c>
      <c r="J694" s="75">
        <v>0</v>
      </c>
      <c r="K694" s="75"/>
    </row>
    <row r="695" s="1" customFormat="1" ht="14.25" spans="1:11">
      <c r="A695" s="71">
        <v>5</v>
      </c>
      <c r="B695" s="72">
        <v>31</v>
      </c>
      <c r="C695" s="72">
        <v>6</v>
      </c>
      <c r="D695" s="73" t="s">
        <v>124</v>
      </c>
      <c r="E695" s="73" t="s">
        <v>48</v>
      </c>
      <c r="F695" s="73">
        <v>0</v>
      </c>
      <c r="G695" s="73" t="s">
        <v>32</v>
      </c>
      <c r="H695" s="74" t="s">
        <v>922</v>
      </c>
      <c r="I695" s="74">
        <v>8</v>
      </c>
      <c r="J695" s="75">
        <v>0</v>
      </c>
      <c r="K695" s="75"/>
    </row>
    <row r="696" s="1" customFormat="1" ht="14.25" spans="1:11">
      <c r="A696" s="71">
        <v>5</v>
      </c>
      <c r="B696" s="72">
        <v>31</v>
      </c>
      <c r="C696" s="72">
        <v>6</v>
      </c>
      <c r="D696" s="73" t="s">
        <v>923</v>
      </c>
      <c r="E696" s="73" t="s">
        <v>96</v>
      </c>
      <c r="F696" s="73" t="s">
        <v>97</v>
      </c>
      <c r="G696" s="73" t="s">
        <v>32</v>
      </c>
      <c r="H696" s="74" t="s">
        <v>922</v>
      </c>
      <c r="I696" s="74">
        <v>5</v>
      </c>
      <c r="J696" s="75">
        <v>0</v>
      </c>
      <c r="K696" s="75"/>
    </row>
    <row r="697" s="1" customFormat="1" ht="14.25" spans="1:11">
      <c r="A697" s="71">
        <v>5</v>
      </c>
      <c r="B697" s="72">
        <v>31</v>
      </c>
      <c r="C697" s="72">
        <v>6</v>
      </c>
      <c r="D697" s="73" t="s">
        <v>924</v>
      </c>
      <c r="E697" s="73" t="s">
        <v>291</v>
      </c>
      <c r="F697" s="73" t="s">
        <v>871</v>
      </c>
      <c r="G697" s="73" t="s">
        <v>32</v>
      </c>
      <c r="H697" s="74" t="s">
        <v>922</v>
      </c>
      <c r="I697" s="74">
        <v>900</v>
      </c>
      <c r="J697" s="75">
        <v>0</v>
      </c>
      <c r="K697" s="75"/>
    </row>
    <row r="698" s="1" customFormat="1" ht="14.25" spans="1:11">
      <c r="A698" s="71">
        <v>5</v>
      </c>
      <c r="B698" s="72">
        <v>31</v>
      </c>
      <c r="C698" s="72">
        <v>6</v>
      </c>
      <c r="D698" s="73" t="s">
        <v>925</v>
      </c>
      <c r="E698" s="73" t="s">
        <v>172</v>
      </c>
      <c r="F698" s="73" t="s">
        <v>881</v>
      </c>
      <c r="G698" s="73" t="s">
        <v>32</v>
      </c>
      <c r="H698" s="74" t="s">
        <v>922</v>
      </c>
      <c r="I698" s="74">
        <v>10300</v>
      </c>
      <c r="J698" s="75">
        <v>0</v>
      </c>
      <c r="K698" s="75"/>
    </row>
    <row r="699" s="1" customFormat="1" ht="14.25" spans="1:11">
      <c r="A699" s="71">
        <v>5</v>
      </c>
      <c r="B699" s="72">
        <v>31</v>
      </c>
      <c r="C699" s="72">
        <v>6</v>
      </c>
      <c r="D699" s="73" t="s">
        <v>926</v>
      </c>
      <c r="E699" s="73" t="s">
        <v>172</v>
      </c>
      <c r="F699" s="73" t="s">
        <v>396</v>
      </c>
      <c r="G699" s="73" t="s">
        <v>32</v>
      </c>
      <c r="H699" s="74" t="s">
        <v>922</v>
      </c>
      <c r="I699" s="74">
        <v>4750</v>
      </c>
      <c r="J699" s="75">
        <v>0</v>
      </c>
      <c r="K699" s="75"/>
    </row>
    <row r="700" s="1" customFormat="1" ht="14.25" spans="1:11">
      <c r="A700" s="71">
        <v>5</v>
      </c>
      <c r="B700" s="72">
        <v>31</v>
      </c>
      <c r="C700" s="72">
        <v>6</v>
      </c>
      <c r="D700" s="73" t="s">
        <v>927</v>
      </c>
      <c r="E700" s="73" t="s">
        <v>48</v>
      </c>
      <c r="F700" s="73" t="s">
        <v>55</v>
      </c>
      <c r="G700" s="73" t="s">
        <v>32</v>
      </c>
      <c r="H700" s="74" t="s">
        <v>928</v>
      </c>
      <c r="I700" s="74">
        <v>75</v>
      </c>
      <c r="J700" s="75">
        <v>0</v>
      </c>
      <c r="K700" s="75"/>
    </row>
    <row r="701" s="1" customFormat="1" ht="14.25" spans="1:11">
      <c r="A701" s="71">
        <v>5</v>
      </c>
      <c r="B701" s="72">
        <v>31</v>
      </c>
      <c r="C701" s="72">
        <v>6</v>
      </c>
      <c r="D701" s="73" t="s">
        <v>929</v>
      </c>
      <c r="E701" s="73" t="s">
        <v>48</v>
      </c>
      <c r="F701" s="73" t="s">
        <v>49</v>
      </c>
      <c r="G701" s="73" t="s">
        <v>32</v>
      </c>
      <c r="H701" s="74" t="s">
        <v>928</v>
      </c>
      <c r="I701" s="74">
        <v>300</v>
      </c>
      <c r="J701" s="75">
        <v>0</v>
      </c>
      <c r="K701" s="75"/>
    </row>
    <row r="702" s="1" customFormat="1" ht="14.25" spans="1:11">
      <c r="A702" s="71">
        <v>5</v>
      </c>
      <c r="B702" s="72">
        <v>31</v>
      </c>
      <c r="C702" s="72">
        <v>6</v>
      </c>
      <c r="D702" s="73" t="s">
        <v>930</v>
      </c>
      <c r="E702" s="73" t="s">
        <v>48</v>
      </c>
      <c r="F702" s="73" t="s">
        <v>49</v>
      </c>
      <c r="G702" s="73" t="s">
        <v>32</v>
      </c>
      <c r="H702" s="74" t="s">
        <v>928</v>
      </c>
      <c r="I702" s="74">
        <v>300</v>
      </c>
      <c r="J702" s="75">
        <v>0</v>
      </c>
      <c r="K702" s="75"/>
    </row>
    <row r="703" s="1" customFormat="1" ht="14.25" spans="1:11">
      <c r="A703" s="71">
        <v>5</v>
      </c>
      <c r="B703" s="72">
        <v>31</v>
      </c>
      <c r="C703" s="72">
        <v>6</v>
      </c>
      <c r="D703" s="73" t="s">
        <v>931</v>
      </c>
      <c r="E703" s="73" t="s">
        <v>48</v>
      </c>
      <c r="F703" s="73" t="s">
        <v>125</v>
      </c>
      <c r="G703" s="73" t="s">
        <v>32</v>
      </c>
      <c r="H703" s="74" t="s">
        <v>928</v>
      </c>
      <c r="I703" s="74">
        <v>440</v>
      </c>
      <c r="J703" s="75">
        <v>0</v>
      </c>
      <c r="K703" s="75"/>
    </row>
    <row r="704" s="1" customFormat="1" ht="14.25" spans="1:11">
      <c r="A704" s="71">
        <v>5</v>
      </c>
      <c r="B704" s="72">
        <v>31</v>
      </c>
      <c r="C704" s="72">
        <v>6</v>
      </c>
      <c r="D704" s="73" t="s">
        <v>932</v>
      </c>
      <c r="E704" s="73" t="s">
        <v>96</v>
      </c>
      <c r="F704" s="73" t="s">
        <v>97</v>
      </c>
      <c r="G704" s="73" t="s">
        <v>32</v>
      </c>
      <c r="H704" s="74" t="s">
        <v>928</v>
      </c>
      <c r="I704" s="74">
        <v>176</v>
      </c>
      <c r="J704" s="75">
        <v>0</v>
      </c>
      <c r="K704" s="75"/>
    </row>
    <row r="705" s="1" customFormat="1" ht="14.25" spans="1:11">
      <c r="A705" s="71">
        <v>5</v>
      </c>
      <c r="B705" s="72">
        <v>31</v>
      </c>
      <c r="C705" s="72">
        <v>7</v>
      </c>
      <c r="D705" s="73" t="s">
        <v>933</v>
      </c>
      <c r="E705" s="73" t="s">
        <v>100</v>
      </c>
      <c r="F705" s="73" t="s">
        <v>101</v>
      </c>
      <c r="G705" s="73" t="s">
        <v>32</v>
      </c>
      <c r="H705" s="74" t="s">
        <v>934</v>
      </c>
      <c r="I705" s="74">
        <v>162</v>
      </c>
      <c r="J705" s="75">
        <v>0</v>
      </c>
      <c r="K705" s="75"/>
    </row>
    <row r="706" s="1" customFormat="1" ht="14.25" spans="1:11">
      <c r="A706" s="71">
        <v>5</v>
      </c>
      <c r="B706" s="72">
        <v>31</v>
      </c>
      <c r="C706" s="72">
        <v>7</v>
      </c>
      <c r="D706" s="73" t="s">
        <v>935</v>
      </c>
      <c r="E706" s="73" t="s">
        <v>172</v>
      </c>
      <c r="F706" s="73" t="s">
        <v>231</v>
      </c>
      <c r="G706" s="73" t="s">
        <v>32</v>
      </c>
      <c r="H706" s="74" t="s">
        <v>934</v>
      </c>
      <c r="I706" s="74">
        <v>600</v>
      </c>
      <c r="J706" s="75">
        <v>0</v>
      </c>
      <c r="K706" s="75"/>
    </row>
    <row r="707" s="1" customFormat="1" ht="14.25" spans="1:11">
      <c r="A707" s="71">
        <v>5</v>
      </c>
      <c r="B707" s="72">
        <v>31</v>
      </c>
      <c r="C707" s="72">
        <v>7</v>
      </c>
      <c r="D707" s="73" t="s">
        <v>936</v>
      </c>
      <c r="E707" s="73" t="s">
        <v>96</v>
      </c>
      <c r="F707" s="73" t="s">
        <v>97</v>
      </c>
      <c r="G707" s="73" t="s">
        <v>32</v>
      </c>
      <c r="H707" s="74" t="s">
        <v>934</v>
      </c>
      <c r="I707" s="74">
        <v>55</v>
      </c>
      <c r="J707" s="75">
        <v>0</v>
      </c>
      <c r="K707" s="75"/>
    </row>
    <row r="708" s="1" customFormat="1" ht="14.25" spans="1:11">
      <c r="A708" s="71">
        <v>5</v>
      </c>
      <c r="B708" s="72">
        <v>31</v>
      </c>
      <c r="C708" s="72">
        <v>7</v>
      </c>
      <c r="D708" s="73" t="s">
        <v>124</v>
      </c>
      <c r="E708" s="73" t="s">
        <v>48</v>
      </c>
      <c r="F708" s="73" t="s">
        <v>125</v>
      </c>
      <c r="G708" s="73" t="s">
        <v>32</v>
      </c>
      <c r="H708" s="74" t="s">
        <v>934</v>
      </c>
      <c r="I708" s="74">
        <v>2</v>
      </c>
      <c r="J708" s="75">
        <v>0</v>
      </c>
      <c r="K708" s="75"/>
    </row>
    <row r="709" s="1" customFormat="1" ht="14.25" spans="1:11">
      <c r="A709" s="71">
        <v>5</v>
      </c>
      <c r="B709" s="72">
        <v>31</v>
      </c>
      <c r="C709" s="72">
        <v>7</v>
      </c>
      <c r="D709" s="73" t="s">
        <v>937</v>
      </c>
      <c r="E709" s="73" t="s">
        <v>48</v>
      </c>
      <c r="F709" s="73" t="s">
        <v>125</v>
      </c>
      <c r="G709" s="73" t="s">
        <v>32</v>
      </c>
      <c r="H709" s="74" t="s">
        <v>934</v>
      </c>
      <c r="I709" s="74">
        <v>190</v>
      </c>
      <c r="J709" s="75">
        <v>0</v>
      </c>
      <c r="K709" s="75"/>
    </row>
    <row r="710" s="1" customFormat="1" ht="14.25" spans="1:11">
      <c r="A710" s="71">
        <v>5</v>
      </c>
      <c r="B710" s="72">
        <v>31</v>
      </c>
      <c r="C710" s="72">
        <v>7</v>
      </c>
      <c r="D710" s="73" t="s">
        <v>938</v>
      </c>
      <c r="E710" s="73" t="s">
        <v>48</v>
      </c>
      <c r="F710" s="73" t="s">
        <v>55</v>
      </c>
      <c r="G710" s="73" t="s">
        <v>32</v>
      </c>
      <c r="H710" s="74" t="s">
        <v>939</v>
      </c>
      <c r="I710" s="74">
        <v>45</v>
      </c>
      <c r="J710" s="75">
        <v>0</v>
      </c>
      <c r="K710" s="75"/>
    </row>
    <row r="711" s="1" customFormat="1" ht="14.25" spans="1:11">
      <c r="A711" s="71">
        <v>5</v>
      </c>
      <c r="B711" s="72">
        <v>31</v>
      </c>
      <c r="C711" s="72">
        <v>7</v>
      </c>
      <c r="D711" s="73" t="s">
        <v>940</v>
      </c>
      <c r="E711" s="73" t="s">
        <v>118</v>
      </c>
      <c r="F711" s="73" t="s">
        <v>941</v>
      </c>
      <c r="G711" s="73" t="s">
        <v>32</v>
      </c>
      <c r="H711" s="74" t="s">
        <v>939</v>
      </c>
      <c r="I711" s="74">
        <v>2600</v>
      </c>
      <c r="J711" s="75">
        <v>0</v>
      </c>
      <c r="K711" s="75"/>
    </row>
    <row r="712" s="1" customFormat="1" ht="14.25" spans="1:11">
      <c r="A712" s="71">
        <v>5</v>
      </c>
      <c r="B712" s="72">
        <v>31</v>
      </c>
      <c r="C712" s="72">
        <v>7</v>
      </c>
      <c r="D712" s="73" t="s">
        <v>942</v>
      </c>
      <c r="E712" s="73" t="s">
        <v>48</v>
      </c>
      <c r="F712" s="73" t="s">
        <v>55</v>
      </c>
      <c r="G712" s="73" t="s">
        <v>32</v>
      </c>
      <c r="H712" s="74" t="s">
        <v>939</v>
      </c>
      <c r="I712" s="74">
        <v>100</v>
      </c>
      <c r="J712" s="75">
        <v>0</v>
      </c>
      <c r="K712" s="75"/>
    </row>
    <row r="713" s="1" customFormat="1" ht="14.25" spans="1:11">
      <c r="A713" s="71">
        <v>5</v>
      </c>
      <c r="B713" s="72">
        <v>31</v>
      </c>
      <c r="C713" s="72">
        <v>7</v>
      </c>
      <c r="D713" s="73" t="s">
        <v>943</v>
      </c>
      <c r="E713" s="73" t="s">
        <v>48</v>
      </c>
      <c r="F713" s="73" t="s">
        <v>55</v>
      </c>
      <c r="G713" s="73" t="s">
        <v>32</v>
      </c>
      <c r="H713" s="74" t="s">
        <v>939</v>
      </c>
      <c r="I713" s="74">
        <v>50</v>
      </c>
      <c r="J713" s="75">
        <v>0</v>
      </c>
      <c r="K713" s="75"/>
    </row>
    <row r="714" s="1" customFormat="1" ht="14.25" spans="1:11">
      <c r="A714" s="71">
        <v>5</v>
      </c>
      <c r="B714" s="72">
        <v>31</v>
      </c>
      <c r="C714" s="72">
        <v>7</v>
      </c>
      <c r="D714" s="73" t="s">
        <v>944</v>
      </c>
      <c r="E714" s="73" t="s">
        <v>96</v>
      </c>
      <c r="F714" s="73" t="s">
        <v>97</v>
      </c>
      <c r="G714" s="73" t="s">
        <v>32</v>
      </c>
      <c r="H714" s="74" t="s">
        <v>939</v>
      </c>
      <c r="I714" s="74">
        <v>150</v>
      </c>
      <c r="J714" s="75">
        <v>0</v>
      </c>
      <c r="K714" s="75"/>
    </row>
    <row r="715" s="1" customFormat="1" ht="14.25" spans="1:11">
      <c r="A715" s="71">
        <v>5</v>
      </c>
      <c r="B715" s="72">
        <v>31</v>
      </c>
      <c r="C715" s="72">
        <v>8</v>
      </c>
      <c r="D715" s="73" t="s">
        <v>945</v>
      </c>
      <c r="E715" s="73" t="s">
        <v>96</v>
      </c>
      <c r="F715" s="73" t="s">
        <v>97</v>
      </c>
      <c r="G715" s="73" t="s">
        <v>32</v>
      </c>
      <c r="H715" s="74" t="s">
        <v>946</v>
      </c>
      <c r="I715" s="74">
        <v>220</v>
      </c>
      <c r="J715" s="75">
        <v>0</v>
      </c>
      <c r="K715" s="75"/>
    </row>
    <row r="716" s="1" customFormat="1" ht="14.25" spans="1:11">
      <c r="A716" s="71">
        <v>5</v>
      </c>
      <c r="B716" s="72">
        <v>31</v>
      </c>
      <c r="C716" s="72">
        <v>8</v>
      </c>
      <c r="D716" s="73" t="s">
        <v>947</v>
      </c>
      <c r="E716" s="73" t="s">
        <v>96</v>
      </c>
      <c r="F716" s="73" t="s">
        <v>97</v>
      </c>
      <c r="G716" s="73" t="s">
        <v>32</v>
      </c>
      <c r="H716" s="74" t="s">
        <v>946</v>
      </c>
      <c r="I716" s="74">
        <v>40</v>
      </c>
      <c r="J716" s="75">
        <v>0</v>
      </c>
      <c r="K716" s="75"/>
    </row>
    <row r="717" s="1" customFormat="1" ht="14.25" spans="1:11">
      <c r="A717" s="71">
        <v>5</v>
      </c>
      <c r="B717" s="72">
        <v>31</v>
      </c>
      <c r="C717" s="72">
        <v>8</v>
      </c>
      <c r="D717" s="73" t="s">
        <v>948</v>
      </c>
      <c r="E717" s="73" t="s">
        <v>118</v>
      </c>
      <c r="F717" s="73" t="s">
        <v>136</v>
      </c>
      <c r="G717" s="73" t="s">
        <v>32</v>
      </c>
      <c r="H717" s="74" t="s">
        <v>946</v>
      </c>
      <c r="I717" s="74">
        <v>26</v>
      </c>
      <c r="J717" s="75">
        <v>0</v>
      </c>
      <c r="K717" s="75"/>
    </row>
    <row r="718" s="1" customFormat="1" ht="14.25" spans="1:11">
      <c r="A718" s="71">
        <v>5</v>
      </c>
      <c r="B718" s="72">
        <v>31</v>
      </c>
      <c r="C718" s="72">
        <v>8</v>
      </c>
      <c r="D718" s="73" t="s">
        <v>949</v>
      </c>
      <c r="E718" s="73" t="s">
        <v>172</v>
      </c>
      <c r="F718" s="73" t="s">
        <v>396</v>
      </c>
      <c r="G718" s="73" t="s">
        <v>32</v>
      </c>
      <c r="H718" s="74" t="s">
        <v>946</v>
      </c>
      <c r="I718" s="74">
        <v>10</v>
      </c>
      <c r="J718" s="75">
        <v>0</v>
      </c>
      <c r="K718" s="75"/>
    </row>
    <row r="719" s="1" customFormat="1" ht="14.25" spans="1:11">
      <c r="A719" s="71">
        <v>5</v>
      </c>
      <c r="B719" s="72">
        <v>31</v>
      </c>
      <c r="C719" s="72">
        <v>8</v>
      </c>
      <c r="D719" s="73" t="s">
        <v>950</v>
      </c>
      <c r="E719" s="73" t="s">
        <v>118</v>
      </c>
      <c r="F719" s="73" t="s">
        <v>489</v>
      </c>
      <c r="G719" s="73" t="s">
        <v>32</v>
      </c>
      <c r="H719" s="74" t="s">
        <v>946</v>
      </c>
      <c r="I719" s="74">
        <v>220</v>
      </c>
      <c r="J719" s="75">
        <v>0</v>
      </c>
      <c r="K719" s="75"/>
    </row>
    <row r="720" s="1" customFormat="1" ht="14.25" spans="1:11">
      <c r="A720" s="71">
        <v>5</v>
      </c>
      <c r="B720" s="72">
        <v>31</v>
      </c>
      <c r="C720" s="72">
        <v>8</v>
      </c>
      <c r="D720" s="73" t="s">
        <v>951</v>
      </c>
      <c r="E720" s="73" t="s">
        <v>48</v>
      </c>
      <c r="F720" s="73" t="s">
        <v>55</v>
      </c>
      <c r="G720" s="73" t="s">
        <v>32</v>
      </c>
      <c r="H720" s="74" t="s">
        <v>952</v>
      </c>
      <c r="I720" s="74">
        <v>50</v>
      </c>
      <c r="J720" s="75">
        <v>0</v>
      </c>
      <c r="K720" s="75"/>
    </row>
    <row r="721" s="1" customFormat="1" ht="14.25" spans="1:11">
      <c r="A721" s="71">
        <v>5</v>
      </c>
      <c r="B721" s="72">
        <v>31</v>
      </c>
      <c r="C721" s="72">
        <v>8</v>
      </c>
      <c r="D721" s="73" t="s">
        <v>953</v>
      </c>
      <c r="E721" s="73" t="s">
        <v>48</v>
      </c>
      <c r="F721" s="73" t="s">
        <v>55</v>
      </c>
      <c r="G721" s="73" t="s">
        <v>32</v>
      </c>
      <c r="H721" s="74" t="s">
        <v>952</v>
      </c>
      <c r="I721" s="74">
        <v>70</v>
      </c>
      <c r="J721" s="75">
        <v>0</v>
      </c>
      <c r="K721" s="75"/>
    </row>
    <row r="722" s="1" customFormat="1" ht="14.25" spans="1:11">
      <c r="A722" s="71">
        <v>5</v>
      </c>
      <c r="B722" s="72">
        <v>31</v>
      </c>
      <c r="C722" s="72">
        <v>8</v>
      </c>
      <c r="D722" s="73" t="s">
        <v>954</v>
      </c>
      <c r="E722" s="73" t="s">
        <v>48</v>
      </c>
      <c r="F722" s="73" t="s">
        <v>55</v>
      </c>
      <c r="G722" s="73" t="s">
        <v>32</v>
      </c>
      <c r="H722" s="74" t="s">
        <v>952</v>
      </c>
      <c r="I722" s="74">
        <v>25</v>
      </c>
      <c r="J722" s="75">
        <v>0</v>
      </c>
      <c r="K722" s="75"/>
    </row>
    <row r="723" s="1" customFormat="1" ht="14.25" spans="1:11">
      <c r="A723" s="71">
        <v>5</v>
      </c>
      <c r="B723" s="72">
        <v>31</v>
      </c>
      <c r="C723" s="72">
        <v>8</v>
      </c>
      <c r="D723" s="73" t="s">
        <v>275</v>
      </c>
      <c r="E723" s="73" t="s">
        <v>48</v>
      </c>
      <c r="F723" s="73" t="s">
        <v>125</v>
      </c>
      <c r="G723" s="73" t="s">
        <v>32</v>
      </c>
      <c r="H723" s="74" t="s">
        <v>952</v>
      </c>
      <c r="I723" s="74">
        <v>122</v>
      </c>
      <c r="J723" s="75">
        <v>0</v>
      </c>
      <c r="K723" s="75"/>
    </row>
    <row r="724" s="1" customFormat="1" ht="14.25" spans="1:11">
      <c r="A724" s="71">
        <v>5</v>
      </c>
      <c r="B724" s="72">
        <v>31</v>
      </c>
      <c r="C724" s="72">
        <v>8</v>
      </c>
      <c r="D724" s="73" t="s">
        <v>275</v>
      </c>
      <c r="E724" s="73" t="s">
        <v>48</v>
      </c>
      <c r="F724" s="73" t="s">
        <v>125</v>
      </c>
      <c r="G724" s="73" t="s">
        <v>32</v>
      </c>
      <c r="H724" s="74" t="s">
        <v>952</v>
      </c>
      <c r="I724" s="74">
        <v>90</v>
      </c>
      <c r="J724" s="75">
        <v>0</v>
      </c>
      <c r="K724" s="75"/>
    </row>
    <row r="725" s="1" customFormat="1" ht="14.25" spans="1:11">
      <c r="A725" s="71">
        <v>5</v>
      </c>
      <c r="B725" s="72">
        <v>31</v>
      </c>
      <c r="C725" s="72">
        <v>9</v>
      </c>
      <c r="D725" s="73" t="s">
        <v>955</v>
      </c>
      <c r="E725" s="73" t="s">
        <v>48</v>
      </c>
      <c r="F725" s="73" t="s">
        <v>55</v>
      </c>
      <c r="G725" s="73" t="s">
        <v>32</v>
      </c>
      <c r="H725" s="74" t="s">
        <v>956</v>
      </c>
      <c r="I725" s="74">
        <v>60</v>
      </c>
      <c r="J725" s="75">
        <v>0</v>
      </c>
      <c r="K725" s="75"/>
    </row>
    <row r="726" s="1" customFormat="1" ht="14.25" spans="1:11">
      <c r="A726" s="71">
        <v>5</v>
      </c>
      <c r="B726" s="72">
        <v>31</v>
      </c>
      <c r="C726" s="72">
        <v>9</v>
      </c>
      <c r="D726" s="73" t="s">
        <v>953</v>
      </c>
      <c r="E726" s="73" t="s">
        <v>48</v>
      </c>
      <c r="F726" s="73" t="s">
        <v>55</v>
      </c>
      <c r="G726" s="73" t="s">
        <v>32</v>
      </c>
      <c r="H726" s="74" t="s">
        <v>956</v>
      </c>
      <c r="I726" s="74">
        <v>10</v>
      </c>
      <c r="J726" s="75">
        <v>0</v>
      </c>
      <c r="K726" s="75"/>
    </row>
    <row r="727" s="1" customFormat="1" ht="14.25" spans="1:11">
      <c r="A727" s="71">
        <v>5</v>
      </c>
      <c r="B727" s="72">
        <v>31</v>
      </c>
      <c r="C727" s="72">
        <v>9</v>
      </c>
      <c r="D727" s="73" t="s">
        <v>957</v>
      </c>
      <c r="E727" s="73" t="s">
        <v>48</v>
      </c>
      <c r="F727" s="73" t="s">
        <v>55</v>
      </c>
      <c r="G727" s="73" t="s">
        <v>32</v>
      </c>
      <c r="H727" s="74" t="s">
        <v>956</v>
      </c>
      <c r="I727" s="74">
        <v>134</v>
      </c>
      <c r="J727" s="75">
        <v>0</v>
      </c>
      <c r="K727" s="75"/>
    </row>
    <row r="728" s="1" customFormat="1" ht="14.25" spans="1:11">
      <c r="A728" s="71">
        <v>5</v>
      </c>
      <c r="B728" s="72">
        <v>31</v>
      </c>
      <c r="C728" s="72">
        <v>9</v>
      </c>
      <c r="D728" s="73" t="s">
        <v>958</v>
      </c>
      <c r="E728" s="73" t="s">
        <v>172</v>
      </c>
      <c r="F728" s="73" t="s">
        <v>396</v>
      </c>
      <c r="G728" s="73" t="s">
        <v>32</v>
      </c>
      <c r="H728" s="74" t="s">
        <v>956</v>
      </c>
      <c r="I728" s="74">
        <v>10</v>
      </c>
      <c r="J728" s="75">
        <v>0</v>
      </c>
      <c r="K728" s="75"/>
    </row>
    <row r="729" s="1" customFormat="1" ht="14.25" spans="1:11">
      <c r="A729" s="71">
        <v>5</v>
      </c>
      <c r="B729" s="72">
        <v>31</v>
      </c>
      <c r="C729" s="72">
        <v>9</v>
      </c>
      <c r="D729" s="73" t="s">
        <v>959</v>
      </c>
      <c r="E729" s="73" t="s">
        <v>48</v>
      </c>
      <c r="F729" s="73" t="s">
        <v>49</v>
      </c>
      <c r="G729" s="73" t="s">
        <v>32</v>
      </c>
      <c r="H729" s="74" t="s">
        <v>956</v>
      </c>
      <c r="I729" s="74">
        <v>30</v>
      </c>
      <c r="J729" s="75">
        <v>0</v>
      </c>
      <c r="K729" s="75"/>
    </row>
    <row r="730" s="1" customFormat="1" ht="14.25" spans="1:11">
      <c r="A730" s="71">
        <v>5</v>
      </c>
      <c r="B730" s="72">
        <v>31</v>
      </c>
      <c r="C730" s="72">
        <v>9</v>
      </c>
      <c r="D730" s="73" t="s">
        <v>960</v>
      </c>
      <c r="E730" s="73" t="s">
        <v>211</v>
      </c>
      <c r="F730" s="73" t="s">
        <v>961</v>
      </c>
      <c r="G730" s="73" t="s">
        <v>32</v>
      </c>
      <c r="H730" s="74" t="s">
        <v>962</v>
      </c>
      <c r="I730" s="74">
        <v>1000</v>
      </c>
      <c r="J730" s="75">
        <v>0</v>
      </c>
      <c r="K730" s="75"/>
    </row>
    <row r="731" s="1" customFormat="1" ht="14.25" spans="1:11">
      <c r="A731" s="71">
        <v>5</v>
      </c>
      <c r="B731" s="72">
        <v>31</v>
      </c>
      <c r="C731" s="72">
        <v>9</v>
      </c>
      <c r="D731" s="73" t="s">
        <v>963</v>
      </c>
      <c r="E731" s="73" t="s">
        <v>211</v>
      </c>
      <c r="F731" s="73" t="s">
        <v>961</v>
      </c>
      <c r="G731" s="73" t="s">
        <v>32</v>
      </c>
      <c r="H731" s="74" t="s">
        <v>962</v>
      </c>
      <c r="I731" s="74">
        <v>65</v>
      </c>
      <c r="J731" s="75">
        <v>0</v>
      </c>
      <c r="K731" s="75"/>
    </row>
    <row r="732" s="1" customFormat="1" ht="14.25" spans="1:11">
      <c r="A732" s="71">
        <v>5</v>
      </c>
      <c r="B732" s="72">
        <v>31</v>
      </c>
      <c r="C732" s="72">
        <v>9</v>
      </c>
      <c r="D732" s="73" t="s">
        <v>964</v>
      </c>
      <c r="E732" s="73" t="s">
        <v>118</v>
      </c>
      <c r="F732" s="73" t="s">
        <v>151</v>
      </c>
      <c r="G732" s="73" t="s">
        <v>32</v>
      </c>
      <c r="H732" s="74" t="s">
        <v>962</v>
      </c>
      <c r="I732" s="74">
        <v>5800</v>
      </c>
      <c r="J732" s="75">
        <v>0</v>
      </c>
      <c r="K732" s="75"/>
    </row>
    <row r="733" s="1" customFormat="1" ht="14.25" spans="1:11">
      <c r="A733" s="71">
        <v>5</v>
      </c>
      <c r="B733" s="72">
        <v>31</v>
      </c>
      <c r="C733" s="72">
        <v>9</v>
      </c>
      <c r="D733" s="73" t="s">
        <v>965</v>
      </c>
      <c r="E733" s="73" t="s">
        <v>118</v>
      </c>
      <c r="F733" s="73" t="s">
        <v>151</v>
      </c>
      <c r="G733" s="73" t="s">
        <v>32</v>
      </c>
      <c r="H733" s="74" t="s">
        <v>962</v>
      </c>
      <c r="I733" s="74">
        <v>9900</v>
      </c>
      <c r="J733" s="75">
        <v>0</v>
      </c>
      <c r="K733" s="75"/>
    </row>
    <row r="734" s="1" customFormat="1" ht="14.25" spans="1:11">
      <c r="A734" s="71">
        <v>5</v>
      </c>
      <c r="B734" s="72">
        <v>31</v>
      </c>
      <c r="C734" s="72">
        <v>9</v>
      </c>
      <c r="D734" s="73" t="s">
        <v>966</v>
      </c>
      <c r="E734" s="73" t="s">
        <v>85</v>
      </c>
      <c r="F734" s="73" t="s">
        <v>967</v>
      </c>
      <c r="G734" s="73" t="s">
        <v>32</v>
      </c>
      <c r="H734" s="74" t="s">
        <v>962</v>
      </c>
      <c r="I734" s="74">
        <v>450</v>
      </c>
      <c r="J734" s="75">
        <v>0</v>
      </c>
      <c r="K734" s="75"/>
    </row>
    <row r="735" s="1" customFormat="1" ht="14.25" spans="1:11">
      <c r="A735" s="71">
        <v>5</v>
      </c>
      <c r="B735" s="72">
        <v>31</v>
      </c>
      <c r="C735" s="72">
        <v>10</v>
      </c>
      <c r="D735" s="73" t="s">
        <v>124</v>
      </c>
      <c r="E735" s="73" t="s">
        <v>48</v>
      </c>
      <c r="F735" s="73" t="s">
        <v>125</v>
      </c>
      <c r="G735" s="73" t="s">
        <v>32</v>
      </c>
      <c r="H735" s="74" t="s">
        <v>968</v>
      </c>
      <c r="I735" s="74">
        <v>4</v>
      </c>
      <c r="J735" s="75">
        <v>0</v>
      </c>
      <c r="K735" s="75"/>
    </row>
    <row r="736" s="1" customFormat="1" ht="14.25" spans="1:11">
      <c r="A736" s="71">
        <v>5</v>
      </c>
      <c r="B736" s="72">
        <v>31</v>
      </c>
      <c r="C736" s="72">
        <v>10</v>
      </c>
      <c r="D736" s="73" t="s">
        <v>844</v>
      </c>
      <c r="E736" s="73" t="s">
        <v>48</v>
      </c>
      <c r="F736" s="73" t="s">
        <v>125</v>
      </c>
      <c r="G736" s="73" t="s">
        <v>32</v>
      </c>
      <c r="H736" s="74" t="s">
        <v>968</v>
      </c>
      <c r="I736" s="74">
        <v>12</v>
      </c>
      <c r="J736" s="75">
        <v>0</v>
      </c>
      <c r="K736" s="75"/>
    </row>
    <row r="737" s="1" customFormat="1" ht="14.25" spans="1:11">
      <c r="A737" s="71">
        <v>5</v>
      </c>
      <c r="B737" s="72">
        <v>31</v>
      </c>
      <c r="C737" s="72">
        <v>10</v>
      </c>
      <c r="D737" s="73" t="s">
        <v>969</v>
      </c>
      <c r="E737" s="73" t="s">
        <v>48</v>
      </c>
      <c r="F737" s="73" t="s">
        <v>49</v>
      </c>
      <c r="G737" s="73" t="s">
        <v>32</v>
      </c>
      <c r="H737" s="74" t="s">
        <v>968</v>
      </c>
      <c r="I737" s="74">
        <v>30</v>
      </c>
      <c r="J737" s="75">
        <v>0</v>
      </c>
      <c r="K737" s="75"/>
    </row>
    <row r="738" s="1" customFormat="1" ht="14.25" spans="1:11">
      <c r="A738" s="71">
        <v>5</v>
      </c>
      <c r="B738" s="72">
        <v>31</v>
      </c>
      <c r="C738" s="72">
        <v>10</v>
      </c>
      <c r="D738" s="73" t="s">
        <v>970</v>
      </c>
      <c r="E738" s="73" t="s">
        <v>48</v>
      </c>
      <c r="F738" s="73" t="s">
        <v>125</v>
      </c>
      <c r="G738" s="73" t="s">
        <v>32</v>
      </c>
      <c r="H738" s="74" t="s">
        <v>968</v>
      </c>
      <c r="I738" s="74">
        <v>25</v>
      </c>
      <c r="J738" s="75">
        <v>0</v>
      </c>
      <c r="K738" s="75"/>
    </row>
    <row r="739" s="1" customFormat="1" ht="14.25" spans="1:11">
      <c r="A739" s="71">
        <v>5</v>
      </c>
      <c r="B739" s="72">
        <v>31</v>
      </c>
      <c r="C739" s="72">
        <v>10</v>
      </c>
      <c r="D739" s="73" t="s">
        <v>255</v>
      </c>
      <c r="E739" s="73" t="s">
        <v>96</v>
      </c>
      <c r="F739" s="73" t="s">
        <v>97</v>
      </c>
      <c r="G739" s="73" t="s">
        <v>32</v>
      </c>
      <c r="H739" s="74" t="s">
        <v>968</v>
      </c>
      <c r="I739" s="74">
        <v>11</v>
      </c>
      <c r="J739" s="75">
        <v>0</v>
      </c>
      <c r="K739" s="75"/>
    </row>
    <row r="740" s="1" customFormat="1" ht="14.25" spans="1:11">
      <c r="A740" s="71">
        <v>5</v>
      </c>
      <c r="B740" s="72">
        <v>31</v>
      </c>
      <c r="C740" s="72">
        <v>10</v>
      </c>
      <c r="D740" s="73" t="s">
        <v>971</v>
      </c>
      <c r="E740" s="73" t="s">
        <v>48</v>
      </c>
      <c r="F740" s="73" t="s">
        <v>331</v>
      </c>
      <c r="G740" s="73" t="s">
        <v>32</v>
      </c>
      <c r="H740" s="74" t="s">
        <v>972</v>
      </c>
      <c r="I740" s="74">
        <v>4972</v>
      </c>
      <c r="J740" s="75">
        <v>0</v>
      </c>
      <c r="K740" s="75"/>
    </row>
    <row r="741" s="1" customFormat="1" ht="14.25" spans="1:11">
      <c r="A741" s="71">
        <v>5</v>
      </c>
      <c r="B741" s="72">
        <v>31</v>
      </c>
      <c r="C741" s="72">
        <v>10</v>
      </c>
      <c r="D741" s="73" t="s">
        <v>973</v>
      </c>
      <c r="E741" s="73" t="s">
        <v>48</v>
      </c>
      <c r="F741" s="73" t="s">
        <v>233</v>
      </c>
      <c r="G741" s="73" t="s">
        <v>32</v>
      </c>
      <c r="H741" s="74" t="s">
        <v>972</v>
      </c>
      <c r="I741" s="74">
        <v>10</v>
      </c>
      <c r="J741" s="75">
        <v>0</v>
      </c>
      <c r="K741" s="76"/>
    </row>
    <row r="742" s="1" customFormat="1" ht="14.25" spans="1:11">
      <c r="A742" s="71">
        <v>5</v>
      </c>
      <c r="B742" s="72">
        <v>31</v>
      </c>
      <c r="C742" s="72">
        <v>11</v>
      </c>
      <c r="D742" s="73" t="s">
        <v>974</v>
      </c>
      <c r="E742" s="73" t="s">
        <v>118</v>
      </c>
      <c r="F742" s="73" t="s">
        <v>136</v>
      </c>
      <c r="G742" s="73" t="s">
        <v>32</v>
      </c>
      <c r="H742" s="74" t="s">
        <v>975</v>
      </c>
      <c r="I742" s="74">
        <v>60</v>
      </c>
      <c r="J742" s="75">
        <v>0</v>
      </c>
      <c r="K742" s="76"/>
    </row>
    <row r="743" s="1" customFormat="1" ht="14.25" spans="1:11">
      <c r="A743" s="71">
        <v>5</v>
      </c>
      <c r="B743" s="72">
        <v>31</v>
      </c>
      <c r="C743" s="72">
        <v>11</v>
      </c>
      <c r="D743" s="73" t="s">
        <v>976</v>
      </c>
      <c r="E743" s="73" t="s">
        <v>48</v>
      </c>
      <c r="F743" s="73" t="s">
        <v>55</v>
      </c>
      <c r="G743" s="73" t="s">
        <v>32</v>
      </c>
      <c r="H743" s="74" t="s">
        <v>975</v>
      </c>
      <c r="I743" s="74">
        <v>500</v>
      </c>
      <c r="J743" s="75">
        <v>0</v>
      </c>
      <c r="K743" s="76"/>
    </row>
    <row r="744" s="1" customFormat="1" ht="14.25" spans="1:11">
      <c r="A744" s="71">
        <v>5</v>
      </c>
      <c r="B744" s="72">
        <v>31</v>
      </c>
      <c r="C744" s="72">
        <v>11</v>
      </c>
      <c r="D744" s="73" t="s">
        <v>977</v>
      </c>
      <c r="E744" s="73" t="s">
        <v>118</v>
      </c>
      <c r="F744" s="73" t="s">
        <v>136</v>
      </c>
      <c r="G744" s="73" t="s">
        <v>32</v>
      </c>
      <c r="H744" s="74" t="s">
        <v>975</v>
      </c>
      <c r="I744" s="74">
        <v>1660</v>
      </c>
      <c r="J744" s="75">
        <v>0</v>
      </c>
      <c r="K744" s="76"/>
    </row>
    <row r="745" s="1" customFormat="1" ht="14.25" spans="1:11">
      <c r="A745" s="71">
        <v>5</v>
      </c>
      <c r="B745" s="72">
        <v>31</v>
      </c>
      <c r="C745" s="72">
        <v>11</v>
      </c>
      <c r="D745" s="73" t="s">
        <v>978</v>
      </c>
      <c r="E745" s="73" t="s">
        <v>172</v>
      </c>
      <c r="F745" s="73" t="s">
        <v>664</v>
      </c>
      <c r="G745" s="73" t="s">
        <v>32</v>
      </c>
      <c r="H745" s="74" t="s">
        <v>975</v>
      </c>
      <c r="I745" s="74">
        <v>160</v>
      </c>
      <c r="J745" s="75">
        <v>0</v>
      </c>
      <c r="K745" s="76"/>
    </row>
    <row r="746" s="1" customFormat="1" ht="14.25" spans="1:11">
      <c r="A746" s="71">
        <v>5</v>
      </c>
      <c r="B746" s="72">
        <v>31</v>
      </c>
      <c r="C746" s="72">
        <v>11</v>
      </c>
      <c r="D746" s="73" t="s">
        <v>979</v>
      </c>
      <c r="E746" s="73" t="s">
        <v>172</v>
      </c>
      <c r="F746" s="73" t="s">
        <v>664</v>
      </c>
      <c r="G746" s="73" t="s">
        <v>32</v>
      </c>
      <c r="H746" s="74" t="s">
        <v>975</v>
      </c>
      <c r="I746" s="74">
        <v>160</v>
      </c>
      <c r="J746" s="75">
        <v>0</v>
      </c>
      <c r="K746" s="76"/>
    </row>
    <row r="747" s="1" customFormat="1" ht="14.25" spans="1:11">
      <c r="A747" s="71">
        <v>5</v>
      </c>
      <c r="B747" s="72">
        <v>31</v>
      </c>
      <c r="C747" s="72">
        <v>11</v>
      </c>
      <c r="D747" s="73" t="s">
        <v>980</v>
      </c>
      <c r="E747" s="73" t="s">
        <v>96</v>
      </c>
      <c r="F747" s="73" t="s">
        <v>345</v>
      </c>
      <c r="G747" s="73" t="s">
        <v>32</v>
      </c>
      <c r="H747" s="74" t="s">
        <v>981</v>
      </c>
      <c r="I747" s="74">
        <v>780</v>
      </c>
      <c r="J747" s="75">
        <v>0</v>
      </c>
      <c r="K747" s="76"/>
    </row>
    <row r="748" s="1" customFormat="1" ht="14.25" spans="1:11">
      <c r="A748" s="71">
        <v>5</v>
      </c>
      <c r="B748" s="72">
        <v>31</v>
      </c>
      <c r="C748" s="72">
        <v>11</v>
      </c>
      <c r="D748" s="73" t="s">
        <v>982</v>
      </c>
      <c r="E748" s="73" t="s">
        <v>118</v>
      </c>
      <c r="F748" s="73" t="s">
        <v>136</v>
      </c>
      <c r="G748" s="73" t="s">
        <v>32</v>
      </c>
      <c r="H748" s="74" t="s">
        <v>981</v>
      </c>
      <c r="I748" s="74">
        <v>430</v>
      </c>
      <c r="J748" s="75">
        <v>0</v>
      </c>
      <c r="K748" s="76"/>
    </row>
    <row r="749" s="1" customFormat="1" ht="14.25" spans="1:11">
      <c r="A749" s="71">
        <v>5</v>
      </c>
      <c r="B749" s="72">
        <v>31</v>
      </c>
      <c r="C749" s="72">
        <v>11</v>
      </c>
      <c r="D749" s="73" t="s">
        <v>983</v>
      </c>
      <c r="E749" s="73" t="s">
        <v>48</v>
      </c>
      <c r="F749" s="73" t="s">
        <v>55</v>
      </c>
      <c r="G749" s="73" t="s">
        <v>32</v>
      </c>
      <c r="H749" s="74" t="s">
        <v>981</v>
      </c>
      <c r="I749" s="74">
        <v>20</v>
      </c>
      <c r="J749" s="75">
        <v>0</v>
      </c>
      <c r="K749" s="76"/>
    </row>
    <row r="750" s="1" customFormat="1" ht="14.25" spans="1:11">
      <c r="A750" s="71">
        <v>5</v>
      </c>
      <c r="B750" s="72">
        <v>31</v>
      </c>
      <c r="C750" s="72">
        <v>11</v>
      </c>
      <c r="D750" s="73" t="s">
        <v>984</v>
      </c>
      <c r="E750" s="73" t="s">
        <v>96</v>
      </c>
      <c r="F750" s="73" t="s">
        <v>97</v>
      </c>
      <c r="G750" s="73" t="s">
        <v>32</v>
      </c>
      <c r="H750" s="74" t="s">
        <v>981</v>
      </c>
      <c r="I750" s="74">
        <v>291</v>
      </c>
      <c r="J750" s="75">
        <v>0</v>
      </c>
      <c r="K750" s="76"/>
    </row>
    <row r="751" s="1" customFormat="1" ht="14.25" spans="1:11">
      <c r="A751" s="71">
        <v>5</v>
      </c>
      <c r="B751" s="72">
        <v>31</v>
      </c>
      <c r="C751" s="72">
        <v>11</v>
      </c>
      <c r="D751" s="73" t="s">
        <v>985</v>
      </c>
      <c r="E751" s="73" t="s">
        <v>118</v>
      </c>
      <c r="F751" s="73" t="s">
        <v>136</v>
      </c>
      <c r="G751" s="73" t="s">
        <v>32</v>
      </c>
      <c r="H751" s="74" t="s">
        <v>981</v>
      </c>
      <c r="I751" s="74">
        <v>1000</v>
      </c>
      <c r="J751" s="75">
        <v>0</v>
      </c>
      <c r="K751" s="76"/>
    </row>
    <row r="752" s="1" customFormat="1" ht="14.25" spans="1:11">
      <c r="A752" s="71">
        <v>5</v>
      </c>
      <c r="B752" s="72">
        <v>31</v>
      </c>
      <c r="C752" s="72">
        <v>12</v>
      </c>
      <c r="D752" s="73" t="s">
        <v>986</v>
      </c>
      <c r="E752" s="73" t="s">
        <v>48</v>
      </c>
      <c r="F752" s="73" t="s">
        <v>233</v>
      </c>
      <c r="G752" s="73" t="s">
        <v>32</v>
      </c>
      <c r="H752" s="74" t="s">
        <v>987</v>
      </c>
      <c r="I752" s="74">
        <v>100</v>
      </c>
      <c r="J752" s="75">
        <v>0</v>
      </c>
      <c r="K752" s="76"/>
    </row>
    <row r="753" s="1" customFormat="1" ht="14.25" spans="1:11">
      <c r="A753" s="71">
        <v>5</v>
      </c>
      <c r="B753" s="72">
        <v>31</v>
      </c>
      <c r="C753" s="72">
        <v>12</v>
      </c>
      <c r="D753" s="73" t="s">
        <v>297</v>
      </c>
      <c r="E753" s="73" t="s">
        <v>118</v>
      </c>
      <c r="F753" s="73" t="s">
        <v>136</v>
      </c>
      <c r="G753" s="73" t="s">
        <v>32</v>
      </c>
      <c r="H753" s="74" t="s">
        <v>987</v>
      </c>
      <c r="I753" s="74">
        <v>200</v>
      </c>
      <c r="J753" s="75">
        <v>0</v>
      </c>
      <c r="K753" s="76"/>
    </row>
    <row r="754" s="1" customFormat="1" ht="14.25" spans="1:11">
      <c r="A754" s="71">
        <v>5</v>
      </c>
      <c r="B754" s="72">
        <v>31</v>
      </c>
      <c r="C754" s="72">
        <v>12</v>
      </c>
      <c r="D754" s="73" t="s">
        <v>988</v>
      </c>
      <c r="E754" s="73" t="s">
        <v>85</v>
      </c>
      <c r="F754" s="73" t="s">
        <v>989</v>
      </c>
      <c r="G754" s="73" t="s">
        <v>32</v>
      </c>
      <c r="H754" s="74" t="s">
        <v>987</v>
      </c>
      <c r="I754" s="74">
        <v>55</v>
      </c>
      <c r="J754" s="75">
        <v>0</v>
      </c>
      <c r="K754" s="76"/>
    </row>
    <row r="755" s="1" customFormat="1" ht="14.25" spans="1:11">
      <c r="A755" s="71">
        <v>5</v>
      </c>
      <c r="B755" s="72">
        <v>31</v>
      </c>
      <c r="C755" s="72">
        <v>12</v>
      </c>
      <c r="D755" s="73" t="s">
        <v>990</v>
      </c>
      <c r="E755" s="73" t="s">
        <v>48</v>
      </c>
      <c r="F755" s="73" t="s">
        <v>55</v>
      </c>
      <c r="G755" s="73" t="s">
        <v>32</v>
      </c>
      <c r="H755" s="74" t="s">
        <v>987</v>
      </c>
      <c r="I755" s="74">
        <v>80</v>
      </c>
      <c r="J755" s="75">
        <v>0</v>
      </c>
      <c r="K755" s="76"/>
    </row>
    <row r="756" s="1" customFormat="1" ht="14.25" spans="1:11">
      <c r="A756" s="71">
        <v>5</v>
      </c>
      <c r="B756" s="72">
        <v>31</v>
      </c>
      <c r="C756" s="72">
        <v>12</v>
      </c>
      <c r="D756" s="73" t="s">
        <v>991</v>
      </c>
      <c r="E756" s="73" t="s">
        <v>118</v>
      </c>
      <c r="F756" s="73" t="s">
        <v>136</v>
      </c>
      <c r="G756" s="73" t="s">
        <v>32</v>
      </c>
      <c r="H756" s="74" t="s">
        <v>987</v>
      </c>
      <c r="I756" s="74">
        <v>8</v>
      </c>
      <c r="J756" s="75">
        <v>0</v>
      </c>
      <c r="K756" s="76"/>
    </row>
    <row r="757" s="1" customFormat="1" ht="14.25" spans="1:11">
      <c r="A757" s="71">
        <v>5</v>
      </c>
      <c r="B757" s="72">
        <v>31</v>
      </c>
      <c r="C757" s="72">
        <v>12</v>
      </c>
      <c r="D757" s="73" t="s">
        <v>992</v>
      </c>
      <c r="E757" s="73" t="s">
        <v>118</v>
      </c>
      <c r="F757" s="73" t="s">
        <v>119</v>
      </c>
      <c r="G757" s="73" t="s">
        <v>32</v>
      </c>
      <c r="H757" s="74" t="s">
        <v>993</v>
      </c>
      <c r="I757" s="74">
        <v>123810</v>
      </c>
      <c r="J757" s="75">
        <v>0</v>
      </c>
      <c r="K757" s="76"/>
    </row>
    <row r="758" s="1" customFormat="1" ht="14.25" spans="1:11">
      <c r="A758" s="71">
        <v>5</v>
      </c>
      <c r="B758" s="72">
        <v>31</v>
      </c>
      <c r="C758" s="72">
        <v>12</v>
      </c>
      <c r="D758" s="73" t="s">
        <v>994</v>
      </c>
      <c r="E758" s="73" t="s">
        <v>179</v>
      </c>
      <c r="F758" s="73" t="s">
        <v>516</v>
      </c>
      <c r="G758" s="73" t="s">
        <v>32</v>
      </c>
      <c r="H758" s="74" t="s">
        <v>993</v>
      </c>
      <c r="I758" s="74">
        <v>100000</v>
      </c>
      <c r="J758" s="75">
        <v>0</v>
      </c>
      <c r="K758" s="76"/>
    </row>
    <row r="759" s="1" customFormat="1" ht="14.25" spans="1:11">
      <c r="A759" s="71">
        <v>5</v>
      </c>
      <c r="B759" s="72">
        <v>31</v>
      </c>
      <c r="C759" s="72">
        <v>12</v>
      </c>
      <c r="D759" s="73" t="s">
        <v>995</v>
      </c>
      <c r="E759" s="73" t="s">
        <v>48</v>
      </c>
      <c r="F759" s="73" t="s">
        <v>49</v>
      </c>
      <c r="G759" s="73" t="s">
        <v>32</v>
      </c>
      <c r="H759" s="74" t="s">
        <v>993</v>
      </c>
      <c r="I759" s="74">
        <v>700</v>
      </c>
      <c r="J759" s="75">
        <v>0</v>
      </c>
      <c r="K759" s="76"/>
    </row>
    <row r="760" s="1" customFormat="1" ht="14.25" spans="1:11">
      <c r="A760" s="71">
        <v>5</v>
      </c>
      <c r="B760" s="72">
        <v>31</v>
      </c>
      <c r="C760" s="72">
        <v>12</v>
      </c>
      <c r="D760" s="73" t="s">
        <v>996</v>
      </c>
      <c r="E760" s="73" t="s">
        <v>179</v>
      </c>
      <c r="F760" s="73" t="s">
        <v>997</v>
      </c>
      <c r="G760" s="73" t="s">
        <v>32</v>
      </c>
      <c r="H760" s="74" t="s">
        <v>993</v>
      </c>
      <c r="I760" s="74">
        <v>40000</v>
      </c>
      <c r="J760" s="75">
        <v>0</v>
      </c>
      <c r="K760" s="76"/>
    </row>
    <row r="761" s="1" customFormat="1" ht="14.25" spans="1:11">
      <c r="A761" s="71">
        <v>5</v>
      </c>
      <c r="B761" s="72">
        <v>31</v>
      </c>
      <c r="C761" s="72">
        <v>13</v>
      </c>
      <c r="D761" s="73" t="s">
        <v>998</v>
      </c>
      <c r="E761" s="73" t="s">
        <v>48</v>
      </c>
      <c r="F761" s="73" t="s">
        <v>55</v>
      </c>
      <c r="G761" s="73" t="s">
        <v>32</v>
      </c>
      <c r="H761" s="74" t="s">
        <v>999</v>
      </c>
      <c r="I761" s="74">
        <v>96</v>
      </c>
      <c r="J761" s="75">
        <v>0</v>
      </c>
      <c r="K761" s="76"/>
    </row>
    <row r="762" s="1" customFormat="1" ht="14.25" spans="1:11">
      <c r="A762" s="71">
        <v>5</v>
      </c>
      <c r="B762" s="72">
        <v>31</v>
      </c>
      <c r="C762" s="72">
        <v>13</v>
      </c>
      <c r="D762" s="73" t="s">
        <v>1000</v>
      </c>
      <c r="E762" s="73" t="s">
        <v>85</v>
      </c>
      <c r="F762" s="73" t="s">
        <v>989</v>
      </c>
      <c r="G762" s="73" t="s">
        <v>32</v>
      </c>
      <c r="H762" s="74" t="s">
        <v>999</v>
      </c>
      <c r="I762" s="74">
        <v>120</v>
      </c>
      <c r="J762" s="75">
        <v>0</v>
      </c>
      <c r="K762" s="76"/>
    </row>
    <row r="763" s="1" customFormat="1" ht="14.25" spans="1:11">
      <c r="A763" s="71">
        <v>5</v>
      </c>
      <c r="B763" s="72">
        <v>31</v>
      </c>
      <c r="C763" s="72">
        <v>13</v>
      </c>
      <c r="D763" s="73" t="s">
        <v>1001</v>
      </c>
      <c r="E763" s="73" t="s">
        <v>48</v>
      </c>
      <c r="F763" s="74" t="s">
        <v>125</v>
      </c>
      <c r="G763" s="73" t="s">
        <v>32</v>
      </c>
      <c r="H763" s="74" t="s">
        <v>999</v>
      </c>
      <c r="I763" s="74">
        <v>340</v>
      </c>
      <c r="J763" s="75">
        <v>0</v>
      </c>
      <c r="K763" s="76"/>
    </row>
    <row r="764" s="1" customFormat="1" ht="14.25" spans="1:11">
      <c r="A764" s="71">
        <v>5</v>
      </c>
      <c r="B764" s="72">
        <v>31</v>
      </c>
      <c r="C764" s="72">
        <v>13</v>
      </c>
      <c r="D764" s="73" t="s">
        <v>1002</v>
      </c>
      <c r="E764" s="73" t="s">
        <v>48</v>
      </c>
      <c r="F764" s="73" t="s">
        <v>233</v>
      </c>
      <c r="G764" s="73" t="s">
        <v>32</v>
      </c>
      <c r="H764" s="74" t="s">
        <v>999</v>
      </c>
      <c r="I764" s="74">
        <v>100</v>
      </c>
      <c r="J764" s="75">
        <v>0</v>
      </c>
      <c r="K764" s="76"/>
    </row>
    <row r="765" s="1" customFormat="1" ht="14.25" spans="1:11">
      <c r="A765" s="71">
        <v>5</v>
      </c>
      <c r="B765" s="72">
        <v>31</v>
      </c>
      <c r="C765" s="72">
        <v>13</v>
      </c>
      <c r="D765" s="73" t="s">
        <v>1003</v>
      </c>
      <c r="E765" s="73" t="s">
        <v>48</v>
      </c>
      <c r="F765" s="73" t="s">
        <v>233</v>
      </c>
      <c r="G765" s="73" t="s">
        <v>32</v>
      </c>
      <c r="H765" s="74" t="s">
        <v>999</v>
      </c>
      <c r="I765" s="74">
        <v>150</v>
      </c>
      <c r="J765" s="75">
        <v>0</v>
      </c>
      <c r="K765" s="76"/>
    </row>
    <row r="766" s="1" customFormat="1" ht="14.25" spans="1:11">
      <c r="A766" s="71">
        <v>5</v>
      </c>
      <c r="B766" s="72">
        <v>31</v>
      </c>
      <c r="C766" s="72">
        <v>13</v>
      </c>
      <c r="D766" s="73" t="s">
        <v>1004</v>
      </c>
      <c r="E766" s="73" t="s">
        <v>96</v>
      </c>
      <c r="F766" s="73" t="s">
        <v>443</v>
      </c>
      <c r="G766" s="73" t="s">
        <v>32</v>
      </c>
      <c r="H766" s="74" t="s">
        <v>1005</v>
      </c>
      <c r="I766" s="74">
        <v>4</v>
      </c>
      <c r="J766" s="75">
        <v>0</v>
      </c>
      <c r="K766" s="76"/>
    </row>
    <row r="767" s="1" customFormat="1" ht="14.25" spans="1:11">
      <c r="A767" s="71">
        <v>5</v>
      </c>
      <c r="B767" s="72">
        <v>31</v>
      </c>
      <c r="C767" s="72">
        <v>13</v>
      </c>
      <c r="D767" s="73" t="s">
        <v>1006</v>
      </c>
      <c r="E767" s="73" t="s">
        <v>118</v>
      </c>
      <c r="F767" s="73" t="s">
        <v>136</v>
      </c>
      <c r="G767" s="73" t="s">
        <v>32</v>
      </c>
      <c r="H767" s="74" t="s">
        <v>1005</v>
      </c>
      <c r="I767" s="74">
        <v>46</v>
      </c>
      <c r="J767" s="75">
        <v>0</v>
      </c>
      <c r="K767" s="76"/>
    </row>
    <row r="768" s="1" customFormat="1" ht="14.25" spans="1:11">
      <c r="A768" s="71">
        <v>5</v>
      </c>
      <c r="B768" s="72">
        <v>31</v>
      </c>
      <c r="C768" s="72">
        <v>13</v>
      </c>
      <c r="D768" s="73" t="s">
        <v>1007</v>
      </c>
      <c r="E768" s="73" t="s">
        <v>48</v>
      </c>
      <c r="F768" s="73" t="s">
        <v>1008</v>
      </c>
      <c r="G768" s="73" t="s">
        <v>32</v>
      </c>
      <c r="H768" s="74" t="s">
        <v>1005</v>
      </c>
      <c r="I768" s="74">
        <v>2000</v>
      </c>
      <c r="J768" s="75">
        <v>0</v>
      </c>
      <c r="K768" s="76"/>
    </row>
    <row r="769" s="1" customFormat="1" ht="14.25" spans="1:11">
      <c r="A769" s="71">
        <v>5</v>
      </c>
      <c r="B769" s="72">
        <v>31</v>
      </c>
      <c r="C769" s="72">
        <v>13</v>
      </c>
      <c r="D769" s="73" t="s">
        <v>1009</v>
      </c>
      <c r="E769" s="73" t="s">
        <v>118</v>
      </c>
      <c r="F769" s="73" t="s">
        <v>119</v>
      </c>
      <c r="G769" s="73" t="s">
        <v>32</v>
      </c>
      <c r="H769" s="74" t="s">
        <v>1010</v>
      </c>
      <c r="I769" s="74">
        <v>124000</v>
      </c>
      <c r="J769" s="75">
        <v>0</v>
      </c>
      <c r="K769" s="76"/>
    </row>
    <row r="770" s="1" customFormat="1" ht="14.25" spans="1:11">
      <c r="A770" s="71">
        <v>5</v>
      </c>
      <c r="B770" s="72">
        <v>31</v>
      </c>
      <c r="C770" s="72">
        <v>14</v>
      </c>
      <c r="D770" s="73" t="s">
        <v>1011</v>
      </c>
      <c r="E770" s="73" t="s">
        <v>48</v>
      </c>
      <c r="F770" s="73" t="s">
        <v>125</v>
      </c>
      <c r="G770" s="73" t="s">
        <v>32</v>
      </c>
      <c r="H770" s="74" t="s">
        <v>1012</v>
      </c>
      <c r="I770" s="74">
        <v>10</v>
      </c>
      <c r="J770" s="75">
        <v>0</v>
      </c>
      <c r="K770" s="76"/>
    </row>
    <row r="771" s="1" customFormat="1" ht="14.25" spans="1:11">
      <c r="A771" s="71">
        <v>5</v>
      </c>
      <c r="B771" s="72">
        <v>31</v>
      </c>
      <c r="C771" s="72">
        <v>14</v>
      </c>
      <c r="D771" s="73" t="s">
        <v>1013</v>
      </c>
      <c r="E771" s="73" t="s">
        <v>96</v>
      </c>
      <c r="F771" s="74" t="s">
        <v>55</v>
      </c>
      <c r="G771" s="73" t="s">
        <v>32</v>
      </c>
      <c r="H771" s="74" t="s">
        <v>1012</v>
      </c>
      <c r="I771" s="74">
        <v>54</v>
      </c>
      <c r="J771" s="75">
        <v>0</v>
      </c>
      <c r="K771" s="76"/>
    </row>
    <row r="772" s="1" customFormat="1" ht="14.25" spans="1:11">
      <c r="A772" s="71">
        <v>5</v>
      </c>
      <c r="B772" s="72">
        <v>31</v>
      </c>
      <c r="C772" s="72">
        <v>14</v>
      </c>
      <c r="D772" s="73" t="s">
        <v>1014</v>
      </c>
      <c r="E772" s="73" t="s">
        <v>48</v>
      </c>
      <c r="F772" s="73" t="s">
        <v>55</v>
      </c>
      <c r="G772" s="73" t="s">
        <v>32</v>
      </c>
      <c r="H772" s="74" t="s">
        <v>1012</v>
      </c>
      <c r="I772" s="74">
        <v>80.5</v>
      </c>
      <c r="J772" s="75">
        <v>0</v>
      </c>
      <c r="K772" s="76"/>
    </row>
    <row r="773" s="1" customFormat="1" ht="14.25" spans="1:11">
      <c r="A773" s="71">
        <v>5</v>
      </c>
      <c r="B773" s="72">
        <v>31</v>
      </c>
      <c r="C773" s="72">
        <v>14</v>
      </c>
      <c r="D773" s="73" t="s">
        <v>1015</v>
      </c>
      <c r="E773" s="73" t="s">
        <v>96</v>
      </c>
      <c r="F773" s="73" t="s">
        <v>443</v>
      </c>
      <c r="G773" s="73" t="s">
        <v>32</v>
      </c>
      <c r="H773" s="74" t="s">
        <v>1012</v>
      </c>
      <c r="I773" s="74">
        <v>3</v>
      </c>
      <c r="J773" s="75">
        <v>0</v>
      </c>
      <c r="K773" s="76"/>
    </row>
    <row r="774" s="1" customFormat="1" ht="14.25" spans="1:11">
      <c r="A774" s="71">
        <v>5</v>
      </c>
      <c r="B774" s="72">
        <v>31</v>
      </c>
      <c r="C774" s="72">
        <v>14</v>
      </c>
      <c r="D774" s="73" t="s">
        <v>1016</v>
      </c>
      <c r="E774" s="73" t="s">
        <v>96</v>
      </c>
      <c r="F774" s="73" t="s">
        <v>97</v>
      </c>
      <c r="G774" s="73" t="s">
        <v>32</v>
      </c>
      <c r="H774" s="74" t="s">
        <v>1012</v>
      </c>
      <c r="I774" s="74">
        <v>47.5</v>
      </c>
      <c r="J774" s="75">
        <v>0</v>
      </c>
      <c r="K774" s="76"/>
    </row>
    <row r="775" s="1" customFormat="1" ht="14.25" spans="1:11">
      <c r="A775" s="71">
        <v>5</v>
      </c>
      <c r="B775" s="72">
        <v>31</v>
      </c>
      <c r="C775" s="72">
        <v>14</v>
      </c>
      <c r="D775" s="73" t="s">
        <v>1017</v>
      </c>
      <c r="E775" s="73" t="s">
        <v>118</v>
      </c>
      <c r="F775" s="73" t="s">
        <v>136</v>
      </c>
      <c r="G775" s="73" t="s">
        <v>32</v>
      </c>
      <c r="H775" s="74" t="s">
        <v>1018</v>
      </c>
      <c r="I775" s="74">
        <v>1400</v>
      </c>
      <c r="J775" s="75">
        <v>0</v>
      </c>
      <c r="K775" s="76"/>
    </row>
    <row r="776" s="1" customFormat="1" ht="14.25" spans="1:11">
      <c r="A776" s="71">
        <v>5</v>
      </c>
      <c r="B776" s="72">
        <v>31</v>
      </c>
      <c r="C776" s="72">
        <v>14</v>
      </c>
      <c r="D776" s="73" t="s">
        <v>275</v>
      </c>
      <c r="E776" s="73" t="s">
        <v>48</v>
      </c>
      <c r="F776" s="73" t="s">
        <v>125</v>
      </c>
      <c r="G776" s="73" t="s">
        <v>32</v>
      </c>
      <c r="H776" s="74" t="s">
        <v>1018</v>
      </c>
      <c r="I776" s="74">
        <v>120</v>
      </c>
      <c r="J776" s="75">
        <v>0</v>
      </c>
      <c r="K776" s="76"/>
    </row>
    <row r="777" s="1" customFormat="1" ht="14.25" spans="1:11">
      <c r="A777" s="71">
        <v>5</v>
      </c>
      <c r="B777" s="72">
        <v>31</v>
      </c>
      <c r="C777" s="72">
        <v>14</v>
      </c>
      <c r="D777" s="73" t="s">
        <v>1019</v>
      </c>
      <c r="E777" s="73" t="s">
        <v>96</v>
      </c>
      <c r="F777" s="73" t="s">
        <v>97</v>
      </c>
      <c r="G777" s="73" t="s">
        <v>32</v>
      </c>
      <c r="H777" s="74" t="s">
        <v>1018</v>
      </c>
      <c r="I777" s="74">
        <v>125</v>
      </c>
      <c r="J777" s="75">
        <v>0</v>
      </c>
      <c r="K777" s="76"/>
    </row>
    <row r="778" s="1" customFormat="1" ht="14.25" spans="1:11">
      <c r="A778" s="71">
        <v>5</v>
      </c>
      <c r="B778" s="72">
        <v>31</v>
      </c>
      <c r="C778" s="72">
        <v>14</v>
      </c>
      <c r="D778" s="73" t="s">
        <v>1020</v>
      </c>
      <c r="E778" s="73" t="s">
        <v>48</v>
      </c>
      <c r="F778" s="73" t="s">
        <v>209</v>
      </c>
      <c r="G778" s="73" t="s">
        <v>32</v>
      </c>
      <c r="H778" s="74" t="s">
        <v>1018</v>
      </c>
      <c r="I778" s="74">
        <v>7</v>
      </c>
      <c r="J778" s="75">
        <v>0</v>
      </c>
      <c r="K778" s="76"/>
    </row>
    <row r="779" s="1" customFormat="1" ht="14.25" spans="1:11">
      <c r="A779" s="71">
        <v>5</v>
      </c>
      <c r="B779" s="72">
        <v>31</v>
      </c>
      <c r="C779" s="72">
        <v>14</v>
      </c>
      <c r="D779" s="73" t="s">
        <v>1021</v>
      </c>
      <c r="E779" s="73" t="s">
        <v>118</v>
      </c>
      <c r="F779" s="74" t="s">
        <v>151</v>
      </c>
      <c r="G779" s="73" t="s">
        <v>32</v>
      </c>
      <c r="H779" s="74" t="s">
        <v>1018</v>
      </c>
      <c r="I779" s="74">
        <v>11350</v>
      </c>
      <c r="J779" s="75">
        <v>0</v>
      </c>
      <c r="K779" s="76"/>
    </row>
    <row r="780" s="1" customFormat="1" ht="14.25" spans="1:11">
      <c r="A780" s="71">
        <v>5</v>
      </c>
      <c r="B780" s="72">
        <v>31</v>
      </c>
      <c r="C780" s="72">
        <v>15</v>
      </c>
      <c r="D780" s="73" t="s">
        <v>1022</v>
      </c>
      <c r="E780" s="73" t="s">
        <v>118</v>
      </c>
      <c r="F780" s="73" t="s">
        <v>136</v>
      </c>
      <c r="G780" s="73" t="s">
        <v>32</v>
      </c>
      <c r="H780" s="74" t="s">
        <v>1023</v>
      </c>
      <c r="I780" s="74">
        <v>20</v>
      </c>
      <c r="J780" s="75">
        <v>0</v>
      </c>
      <c r="K780" s="76"/>
    </row>
    <row r="781" s="1" customFormat="1" ht="14.25" spans="1:11">
      <c r="A781" s="71">
        <v>5</v>
      </c>
      <c r="B781" s="72">
        <v>31</v>
      </c>
      <c r="C781" s="72">
        <v>15</v>
      </c>
      <c r="D781" s="73" t="s">
        <v>1024</v>
      </c>
      <c r="E781" s="73" t="s">
        <v>118</v>
      </c>
      <c r="F781" s="73" t="s">
        <v>136</v>
      </c>
      <c r="G781" s="73" t="s">
        <v>32</v>
      </c>
      <c r="H781" s="74" t="s">
        <v>1023</v>
      </c>
      <c r="I781" s="74">
        <v>3870</v>
      </c>
      <c r="J781" s="75">
        <v>0</v>
      </c>
      <c r="K781" s="76"/>
    </row>
    <row r="782" s="1" customFormat="1" ht="14.25" spans="1:11">
      <c r="A782" s="71">
        <v>5</v>
      </c>
      <c r="B782" s="72">
        <v>31</v>
      </c>
      <c r="C782" s="72">
        <v>15</v>
      </c>
      <c r="D782" s="73" t="s">
        <v>1025</v>
      </c>
      <c r="E782" s="73" t="s">
        <v>211</v>
      </c>
      <c r="F782" s="73" t="s">
        <v>448</v>
      </c>
      <c r="G782" s="73" t="s">
        <v>32</v>
      </c>
      <c r="H782" s="74" t="s">
        <v>1023</v>
      </c>
      <c r="I782" s="74">
        <v>956</v>
      </c>
      <c r="J782" s="75">
        <v>0</v>
      </c>
      <c r="K782" s="76"/>
    </row>
    <row r="783" s="1" customFormat="1" ht="14.25" spans="1:11">
      <c r="A783" s="71">
        <v>5</v>
      </c>
      <c r="B783" s="72">
        <v>31</v>
      </c>
      <c r="C783" s="72">
        <v>15</v>
      </c>
      <c r="D783" s="73" t="s">
        <v>1026</v>
      </c>
      <c r="E783" s="73" t="s">
        <v>118</v>
      </c>
      <c r="F783" s="73" t="s">
        <v>136</v>
      </c>
      <c r="G783" s="73" t="s">
        <v>32</v>
      </c>
      <c r="H783" s="74" t="s">
        <v>1023</v>
      </c>
      <c r="I783" s="74">
        <v>42</v>
      </c>
      <c r="J783" s="75">
        <v>0</v>
      </c>
      <c r="K783" s="76"/>
    </row>
    <row r="784" s="1" customFormat="1" ht="14.25" spans="1:11">
      <c r="A784" s="71">
        <v>5</v>
      </c>
      <c r="B784" s="72">
        <v>31</v>
      </c>
      <c r="C784" s="72">
        <v>15</v>
      </c>
      <c r="D784" s="73" t="s">
        <v>1027</v>
      </c>
      <c r="E784" s="73" t="s">
        <v>118</v>
      </c>
      <c r="F784" s="73" t="s">
        <v>136</v>
      </c>
      <c r="G784" s="73" t="s">
        <v>32</v>
      </c>
      <c r="H784" s="74" t="s">
        <v>1023</v>
      </c>
      <c r="I784" s="74">
        <v>1968</v>
      </c>
      <c r="J784" s="75">
        <v>0</v>
      </c>
      <c r="K784" s="76"/>
    </row>
    <row r="785" s="1" customFormat="1" ht="14.25" spans="1:11">
      <c r="A785" s="71">
        <v>5</v>
      </c>
      <c r="B785" s="72">
        <v>31</v>
      </c>
      <c r="C785" s="72">
        <v>15</v>
      </c>
      <c r="D785" s="73" t="s">
        <v>255</v>
      </c>
      <c r="E785" s="73" t="s">
        <v>96</v>
      </c>
      <c r="F785" s="73" t="s">
        <v>97</v>
      </c>
      <c r="G785" s="73" t="s">
        <v>32</v>
      </c>
      <c r="H785" s="74" t="s">
        <v>1028</v>
      </c>
      <c r="I785" s="74">
        <v>184</v>
      </c>
      <c r="J785" s="75">
        <v>0</v>
      </c>
      <c r="K785" s="76"/>
    </row>
    <row r="786" s="1" customFormat="1" ht="14.25" spans="1:11">
      <c r="A786" s="71">
        <v>5</v>
      </c>
      <c r="B786" s="72">
        <v>31</v>
      </c>
      <c r="C786" s="72">
        <v>15</v>
      </c>
      <c r="D786" s="73" t="s">
        <v>1029</v>
      </c>
      <c r="E786" s="73" t="s">
        <v>96</v>
      </c>
      <c r="F786" s="73" t="s">
        <v>97</v>
      </c>
      <c r="G786" s="73" t="s">
        <v>32</v>
      </c>
      <c r="H786" s="74" t="s">
        <v>1028</v>
      </c>
      <c r="I786" s="74">
        <v>307</v>
      </c>
      <c r="J786" s="75">
        <v>0</v>
      </c>
      <c r="K786" s="76"/>
    </row>
    <row r="787" s="1" customFormat="1" ht="14.25" spans="1:11">
      <c r="A787" s="71">
        <v>5</v>
      </c>
      <c r="B787" s="72">
        <v>31</v>
      </c>
      <c r="C787" s="72">
        <v>15</v>
      </c>
      <c r="D787" s="73" t="s">
        <v>1030</v>
      </c>
      <c r="E787" s="73" t="s">
        <v>96</v>
      </c>
      <c r="F787" s="73" t="s">
        <v>97</v>
      </c>
      <c r="G787" s="73" t="s">
        <v>32</v>
      </c>
      <c r="H787" s="74" t="s">
        <v>1028</v>
      </c>
      <c r="I787" s="74">
        <v>45</v>
      </c>
      <c r="J787" s="75">
        <v>0</v>
      </c>
      <c r="K787" s="76"/>
    </row>
    <row r="788" s="1" customFormat="1" ht="14.25" spans="1:11">
      <c r="A788" s="71">
        <v>5</v>
      </c>
      <c r="B788" s="72">
        <v>31</v>
      </c>
      <c r="C788" s="72">
        <v>15</v>
      </c>
      <c r="D788" s="73" t="s">
        <v>1031</v>
      </c>
      <c r="E788" s="73" t="s">
        <v>118</v>
      </c>
      <c r="F788" s="74" t="s">
        <v>136</v>
      </c>
      <c r="G788" s="73" t="s">
        <v>32</v>
      </c>
      <c r="H788" s="74" t="s">
        <v>1028</v>
      </c>
      <c r="I788" s="74">
        <v>5</v>
      </c>
      <c r="J788" s="75">
        <v>0</v>
      </c>
      <c r="K788" s="76"/>
    </row>
    <row r="789" s="1" customFormat="1" ht="14.25" spans="1:11">
      <c r="A789" s="71">
        <v>5</v>
      </c>
      <c r="B789" s="72">
        <v>31</v>
      </c>
      <c r="C789" s="72">
        <v>15</v>
      </c>
      <c r="D789" s="73" t="s">
        <v>1032</v>
      </c>
      <c r="E789" s="73" t="s">
        <v>96</v>
      </c>
      <c r="F789" s="73" t="s">
        <v>97</v>
      </c>
      <c r="G789" s="73" t="s">
        <v>32</v>
      </c>
      <c r="H789" s="74" t="s">
        <v>1028</v>
      </c>
      <c r="I789" s="74">
        <v>1410</v>
      </c>
      <c r="J789" s="75">
        <v>0</v>
      </c>
      <c r="K789" s="76"/>
    </row>
    <row r="790" s="1" customFormat="1" ht="14.25" spans="1:11">
      <c r="A790" s="71">
        <v>5</v>
      </c>
      <c r="B790" s="72">
        <v>31</v>
      </c>
      <c r="C790" s="72">
        <v>16</v>
      </c>
      <c r="D790" s="73" t="s">
        <v>1033</v>
      </c>
      <c r="E790" s="73" t="s">
        <v>118</v>
      </c>
      <c r="F790" s="74" t="s">
        <v>119</v>
      </c>
      <c r="G790" s="73" t="s">
        <v>32</v>
      </c>
      <c r="H790" s="74" t="s">
        <v>1034</v>
      </c>
      <c r="I790" s="74">
        <v>123200</v>
      </c>
      <c r="J790" s="75">
        <v>0</v>
      </c>
      <c r="K790" s="76"/>
    </row>
    <row r="791" s="1" customFormat="1" ht="14.25" spans="1:11">
      <c r="A791" s="71">
        <v>5</v>
      </c>
      <c r="B791" s="72">
        <v>31</v>
      </c>
      <c r="C791" s="72">
        <v>16</v>
      </c>
      <c r="D791" s="73" t="s">
        <v>1035</v>
      </c>
      <c r="E791" s="73" t="s">
        <v>37</v>
      </c>
      <c r="F791" s="73">
        <v>0</v>
      </c>
      <c r="G791" s="73" t="s">
        <v>32</v>
      </c>
      <c r="H791" s="74" t="s">
        <v>1034</v>
      </c>
      <c r="I791" s="74">
        <v>2695</v>
      </c>
      <c r="J791" s="75">
        <v>0</v>
      </c>
      <c r="K791" s="76"/>
    </row>
    <row r="792" s="1" customFormat="1" ht="14.25" spans="1:11">
      <c r="A792" s="71">
        <v>5</v>
      </c>
      <c r="B792" s="72">
        <v>31</v>
      </c>
      <c r="C792" s="72">
        <v>16</v>
      </c>
      <c r="D792" s="73" t="s">
        <v>1036</v>
      </c>
      <c r="E792" s="73" t="s">
        <v>37</v>
      </c>
      <c r="F792" s="73">
        <v>0</v>
      </c>
      <c r="G792" s="73" t="s">
        <v>32</v>
      </c>
      <c r="H792" s="74" t="s">
        <v>1034</v>
      </c>
      <c r="I792" s="74">
        <v>3065</v>
      </c>
      <c r="J792" s="75">
        <v>0</v>
      </c>
      <c r="K792" s="76"/>
    </row>
    <row r="793" s="1" customFormat="1" ht="14.25" spans="1:11">
      <c r="A793" s="71">
        <v>5</v>
      </c>
      <c r="B793" s="72">
        <v>31</v>
      </c>
      <c r="C793" s="72">
        <v>16</v>
      </c>
      <c r="D793" s="73" t="s">
        <v>1037</v>
      </c>
      <c r="E793" s="73" t="s">
        <v>118</v>
      </c>
      <c r="F793" s="73" t="s">
        <v>151</v>
      </c>
      <c r="G793" s="73" t="s">
        <v>32</v>
      </c>
      <c r="H793" s="74" t="s">
        <v>1034</v>
      </c>
      <c r="I793" s="74">
        <v>29327</v>
      </c>
      <c r="J793" s="75">
        <v>0</v>
      </c>
      <c r="K793" s="76"/>
    </row>
    <row r="794" s="1" customFormat="1" ht="14.25" spans="1:11">
      <c r="A794" s="71">
        <v>5</v>
      </c>
      <c r="B794" s="72">
        <v>31</v>
      </c>
      <c r="C794" s="72">
        <v>16</v>
      </c>
      <c r="D794" s="73" t="s">
        <v>1038</v>
      </c>
      <c r="E794" s="73" t="s">
        <v>37</v>
      </c>
      <c r="F794" s="74">
        <v>0</v>
      </c>
      <c r="G794" s="73" t="s">
        <v>32</v>
      </c>
      <c r="H794" s="74" t="s">
        <v>1039</v>
      </c>
      <c r="I794" s="74">
        <v>207</v>
      </c>
      <c r="J794" s="75">
        <v>0</v>
      </c>
      <c r="K794" s="76"/>
    </row>
    <row r="795" s="1" customFormat="1" ht="14.25" spans="1:11">
      <c r="A795" s="71">
        <v>5</v>
      </c>
      <c r="B795" s="72">
        <v>31</v>
      </c>
      <c r="C795" s="72">
        <v>16</v>
      </c>
      <c r="D795" s="73" t="s">
        <v>1040</v>
      </c>
      <c r="E795" s="73" t="s">
        <v>37</v>
      </c>
      <c r="F795" s="74">
        <v>0</v>
      </c>
      <c r="G795" s="73" t="s">
        <v>32</v>
      </c>
      <c r="H795" s="74" t="s">
        <v>1039</v>
      </c>
      <c r="I795" s="74">
        <v>330</v>
      </c>
      <c r="J795" s="75">
        <v>0</v>
      </c>
      <c r="K795" s="76"/>
    </row>
    <row r="796" s="1" customFormat="1" ht="14.25" spans="1:11">
      <c r="A796" s="71">
        <v>5</v>
      </c>
      <c r="B796" s="72">
        <v>31</v>
      </c>
      <c r="C796" s="72">
        <v>16</v>
      </c>
      <c r="D796" s="73" t="s">
        <v>1041</v>
      </c>
      <c r="E796" s="73" t="s">
        <v>37</v>
      </c>
      <c r="F796" s="73">
        <v>0</v>
      </c>
      <c r="G796" s="73" t="s">
        <v>32</v>
      </c>
      <c r="H796" s="74" t="s">
        <v>1039</v>
      </c>
      <c r="I796" s="74">
        <v>426</v>
      </c>
      <c r="J796" s="75">
        <v>0</v>
      </c>
      <c r="K796" s="76"/>
    </row>
    <row r="797" s="1" customFormat="1" ht="14.25" spans="1:11">
      <c r="A797" s="71">
        <v>5</v>
      </c>
      <c r="B797" s="72">
        <v>31</v>
      </c>
      <c r="C797" s="72">
        <v>17</v>
      </c>
      <c r="D797" s="73" t="s">
        <v>124</v>
      </c>
      <c r="E797" s="73" t="s">
        <v>48</v>
      </c>
      <c r="F797" s="74" t="s">
        <v>125</v>
      </c>
      <c r="G797" s="73" t="s">
        <v>32</v>
      </c>
      <c r="H797" s="74" t="s">
        <v>1042</v>
      </c>
      <c r="I797" s="74">
        <v>2</v>
      </c>
      <c r="J797" s="75">
        <v>0</v>
      </c>
      <c r="K797" s="76"/>
    </row>
    <row r="798" s="1" customFormat="1" ht="14.25" spans="1:11">
      <c r="A798" s="71">
        <v>5</v>
      </c>
      <c r="B798" s="72">
        <v>31</v>
      </c>
      <c r="C798" s="72">
        <v>17</v>
      </c>
      <c r="D798" s="73" t="s">
        <v>1043</v>
      </c>
      <c r="E798" s="73" t="s">
        <v>96</v>
      </c>
      <c r="F798" s="73" t="s">
        <v>97</v>
      </c>
      <c r="G798" s="73" t="s">
        <v>32</v>
      </c>
      <c r="H798" s="74" t="s">
        <v>1042</v>
      </c>
      <c r="I798" s="74">
        <v>278</v>
      </c>
      <c r="J798" s="75">
        <v>0</v>
      </c>
      <c r="K798" s="76"/>
    </row>
    <row r="799" s="1" customFormat="1" ht="14.25" spans="1:11">
      <c r="A799" s="71">
        <v>5</v>
      </c>
      <c r="B799" s="72">
        <v>31</v>
      </c>
      <c r="C799" s="72">
        <v>17</v>
      </c>
      <c r="D799" s="73" t="s">
        <v>1044</v>
      </c>
      <c r="E799" s="73" t="s">
        <v>118</v>
      </c>
      <c r="F799" s="73" t="s">
        <v>878</v>
      </c>
      <c r="G799" s="73" t="s">
        <v>32</v>
      </c>
      <c r="H799" s="74" t="s">
        <v>1042</v>
      </c>
      <c r="I799" s="74">
        <v>25310</v>
      </c>
      <c r="J799" s="75">
        <v>0</v>
      </c>
      <c r="K799" s="76"/>
    </row>
    <row r="800" s="1" customFormat="1" ht="14.25" spans="1:11">
      <c r="A800" s="71">
        <v>5</v>
      </c>
      <c r="B800" s="72">
        <v>31</v>
      </c>
      <c r="C800" s="72">
        <v>17</v>
      </c>
      <c r="D800" s="73" t="s">
        <v>1045</v>
      </c>
      <c r="E800" s="73" t="s">
        <v>96</v>
      </c>
      <c r="F800" s="73" t="s">
        <v>97</v>
      </c>
      <c r="G800" s="73" t="s">
        <v>32</v>
      </c>
      <c r="H800" s="74" t="s">
        <v>1042</v>
      </c>
      <c r="I800" s="74">
        <v>1020</v>
      </c>
      <c r="J800" s="75">
        <v>0</v>
      </c>
      <c r="K800" s="76"/>
    </row>
    <row r="801" s="1" customFormat="1" ht="14.25" spans="1:11">
      <c r="A801" s="71">
        <v>5</v>
      </c>
      <c r="B801" s="72">
        <v>31</v>
      </c>
      <c r="C801" s="72">
        <v>17</v>
      </c>
      <c r="D801" s="73" t="s">
        <v>1046</v>
      </c>
      <c r="E801" s="73" t="s">
        <v>118</v>
      </c>
      <c r="F801" s="74" t="s">
        <v>136</v>
      </c>
      <c r="G801" s="73" t="s">
        <v>32</v>
      </c>
      <c r="H801" s="74" t="s">
        <v>1042</v>
      </c>
      <c r="I801" s="74">
        <v>1870</v>
      </c>
      <c r="J801" s="75">
        <v>0</v>
      </c>
      <c r="K801" s="76"/>
    </row>
    <row r="802" s="1" customFormat="1" ht="14.25" spans="1:11">
      <c r="A802" s="71">
        <v>5</v>
      </c>
      <c r="B802" s="72">
        <v>31</v>
      </c>
      <c r="C802" s="72">
        <v>17</v>
      </c>
      <c r="D802" s="73" t="s">
        <v>1047</v>
      </c>
      <c r="E802" s="73" t="s">
        <v>172</v>
      </c>
      <c r="F802" s="73" t="s">
        <v>396</v>
      </c>
      <c r="G802" s="73" t="s">
        <v>32</v>
      </c>
      <c r="H802" s="74" t="s">
        <v>1048</v>
      </c>
      <c r="I802" s="74">
        <v>3400</v>
      </c>
      <c r="J802" s="75">
        <v>0</v>
      </c>
      <c r="K802" s="76"/>
    </row>
    <row r="803" s="1" customFormat="1" ht="14.25" spans="1:11">
      <c r="A803" s="71">
        <v>5</v>
      </c>
      <c r="B803" s="72">
        <v>31</v>
      </c>
      <c r="C803" s="72">
        <v>17</v>
      </c>
      <c r="D803" s="73" t="s">
        <v>1049</v>
      </c>
      <c r="E803" s="73" t="s">
        <v>85</v>
      </c>
      <c r="F803" s="73" t="s">
        <v>86</v>
      </c>
      <c r="G803" s="73" t="s">
        <v>32</v>
      </c>
      <c r="H803" s="74" t="s">
        <v>1048</v>
      </c>
      <c r="I803" s="74">
        <v>4400</v>
      </c>
      <c r="J803" s="75">
        <v>0</v>
      </c>
      <c r="K803" s="76"/>
    </row>
    <row r="804" s="1" customFormat="1" ht="14.25" spans="1:11">
      <c r="A804" s="71">
        <v>5</v>
      </c>
      <c r="B804" s="72">
        <v>31</v>
      </c>
      <c r="C804" s="72">
        <v>17</v>
      </c>
      <c r="D804" s="73" t="s">
        <v>1050</v>
      </c>
      <c r="E804" s="73" t="s">
        <v>118</v>
      </c>
      <c r="F804" s="73" t="s">
        <v>119</v>
      </c>
      <c r="G804" s="73" t="s">
        <v>32</v>
      </c>
      <c r="H804" s="74" t="s">
        <v>1048</v>
      </c>
      <c r="I804" s="74">
        <v>147000</v>
      </c>
      <c r="J804" s="75">
        <v>0</v>
      </c>
      <c r="K804" s="76"/>
    </row>
    <row r="805" s="1" customFormat="1" ht="14.25" spans="1:11">
      <c r="A805" s="71">
        <v>5</v>
      </c>
      <c r="B805" s="72">
        <v>31</v>
      </c>
      <c r="C805" s="72">
        <v>17</v>
      </c>
      <c r="D805" s="73" t="s">
        <v>1051</v>
      </c>
      <c r="E805" s="73" t="s">
        <v>85</v>
      </c>
      <c r="F805" s="74" t="s">
        <v>989</v>
      </c>
      <c r="G805" s="73" t="s">
        <v>32</v>
      </c>
      <c r="H805" s="74" t="s">
        <v>1048</v>
      </c>
      <c r="I805" s="74">
        <v>3000</v>
      </c>
      <c r="J805" s="75">
        <v>0</v>
      </c>
      <c r="K805" s="76"/>
    </row>
    <row r="806" s="1" customFormat="1" ht="14.25" spans="1:11">
      <c r="A806" s="71">
        <v>5</v>
      </c>
      <c r="B806" s="72">
        <v>31</v>
      </c>
      <c r="C806" s="72">
        <v>18</v>
      </c>
      <c r="D806" s="73" t="s">
        <v>1052</v>
      </c>
      <c r="E806" s="73" t="s">
        <v>96</v>
      </c>
      <c r="F806" s="73" t="s">
        <v>97</v>
      </c>
      <c r="G806" s="73" t="s">
        <v>32</v>
      </c>
      <c r="H806" s="74" t="s">
        <v>1053</v>
      </c>
      <c r="I806" s="74">
        <v>464</v>
      </c>
      <c r="J806" s="75">
        <v>0</v>
      </c>
      <c r="K806" s="76"/>
    </row>
    <row r="807" s="1" customFormat="1" ht="14.25" spans="1:11">
      <c r="A807" s="71">
        <v>5</v>
      </c>
      <c r="B807" s="72">
        <v>31</v>
      </c>
      <c r="C807" s="72">
        <v>18</v>
      </c>
      <c r="D807" s="73" t="s">
        <v>1054</v>
      </c>
      <c r="E807" s="73" t="s">
        <v>48</v>
      </c>
      <c r="F807" s="74" t="s">
        <v>331</v>
      </c>
      <c r="G807" s="73" t="s">
        <v>32</v>
      </c>
      <c r="H807" s="74" t="s">
        <v>1053</v>
      </c>
      <c r="I807" s="74">
        <v>130</v>
      </c>
      <c r="J807" s="75">
        <v>0</v>
      </c>
      <c r="K807" s="76"/>
    </row>
    <row r="808" s="1" customFormat="1" ht="14.25" spans="1:11">
      <c r="A808" s="71">
        <v>5</v>
      </c>
      <c r="B808" s="72">
        <v>31</v>
      </c>
      <c r="C808" s="72">
        <v>18</v>
      </c>
      <c r="D808" s="73" t="s">
        <v>1055</v>
      </c>
      <c r="E808" s="73" t="s">
        <v>85</v>
      </c>
      <c r="F808" s="73" t="s">
        <v>86</v>
      </c>
      <c r="G808" s="73" t="s">
        <v>32</v>
      </c>
      <c r="H808" s="74" t="s">
        <v>1053</v>
      </c>
      <c r="I808" s="74">
        <v>1300</v>
      </c>
      <c r="J808" s="75">
        <v>0</v>
      </c>
      <c r="K808" s="76"/>
    </row>
    <row r="809" s="1" customFormat="1" ht="14.25" spans="1:11">
      <c r="A809" s="71">
        <v>5</v>
      </c>
      <c r="B809" s="72">
        <v>31</v>
      </c>
      <c r="C809" s="72">
        <v>18</v>
      </c>
      <c r="D809" s="73" t="s">
        <v>1056</v>
      </c>
      <c r="E809" s="73" t="s">
        <v>85</v>
      </c>
      <c r="F809" s="73" t="s">
        <v>86</v>
      </c>
      <c r="G809" s="73" t="s">
        <v>32</v>
      </c>
      <c r="H809" s="74" t="s">
        <v>1053</v>
      </c>
      <c r="I809" s="74">
        <v>432</v>
      </c>
      <c r="J809" s="75">
        <v>0</v>
      </c>
      <c r="K809" s="76"/>
    </row>
    <row r="810" s="1" customFormat="1" ht="14.25" spans="1:11">
      <c r="A810" s="71">
        <v>5</v>
      </c>
      <c r="B810" s="72">
        <v>31</v>
      </c>
      <c r="C810" s="72">
        <v>18</v>
      </c>
      <c r="D810" s="73" t="s">
        <v>1057</v>
      </c>
      <c r="E810" s="73" t="s">
        <v>48</v>
      </c>
      <c r="F810" s="74" t="s">
        <v>164</v>
      </c>
      <c r="G810" s="73" t="s">
        <v>32</v>
      </c>
      <c r="H810" s="74" t="s">
        <v>1053</v>
      </c>
      <c r="I810" s="74">
        <v>2500</v>
      </c>
      <c r="J810" s="75">
        <v>0</v>
      </c>
      <c r="K810" s="76"/>
    </row>
    <row r="811" s="1" customFormat="1" ht="14.25" spans="1:11">
      <c r="A811" s="71">
        <v>5</v>
      </c>
      <c r="B811" s="72">
        <v>31</v>
      </c>
      <c r="C811" s="72">
        <v>18</v>
      </c>
      <c r="D811" s="73" t="s">
        <v>1058</v>
      </c>
      <c r="E811" s="73" t="s">
        <v>85</v>
      </c>
      <c r="F811" s="73" t="s">
        <v>86</v>
      </c>
      <c r="G811" s="73" t="s">
        <v>32</v>
      </c>
      <c r="H811" s="74" t="s">
        <v>1059</v>
      </c>
      <c r="I811" s="74">
        <v>5100</v>
      </c>
      <c r="J811" s="75">
        <v>0</v>
      </c>
      <c r="K811" s="76"/>
    </row>
    <row r="812" s="1" customFormat="1" ht="14.25" spans="1:11">
      <c r="A812" s="71">
        <v>5</v>
      </c>
      <c r="B812" s="72">
        <v>31</v>
      </c>
      <c r="C812" s="72">
        <v>18</v>
      </c>
      <c r="D812" s="73" t="s">
        <v>1060</v>
      </c>
      <c r="E812" s="73" t="s">
        <v>85</v>
      </c>
      <c r="F812" s="73" t="s">
        <v>86</v>
      </c>
      <c r="G812" s="73" t="s">
        <v>32</v>
      </c>
      <c r="H812" s="74" t="s">
        <v>1059</v>
      </c>
      <c r="I812" s="74">
        <v>4700</v>
      </c>
      <c r="J812" s="75">
        <v>0</v>
      </c>
      <c r="K812" s="76"/>
    </row>
    <row r="813" s="1" customFormat="1" ht="14.25" spans="1:11">
      <c r="A813" s="71">
        <v>5</v>
      </c>
      <c r="B813" s="72">
        <v>31</v>
      </c>
      <c r="C813" s="72">
        <v>18</v>
      </c>
      <c r="D813" s="73" t="s">
        <v>1061</v>
      </c>
      <c r="E813" s="73" t="s">
        <v>85</v>
      </c>
      <c r="F813" s="73" t="s">
        <v>86</v>
      </c>
      <c r="G813" s="73" t="s">
        <v>32</v>
      </c>
      <c r="H813" s="74" t="s">
        <v>1059</v>
      </c>
      <c r="I813" s="74">
        <v>2915</v>
      </c>
      <c r="J813" s="75">
        <v>0</v>
      </c>
      <c r="K813" s="76"/>
    </row>
    <row r="814" s="1" customFormat="1" ht="14.25" spans="1:11">
      <c r="A814" s="71">
        <v>5</v>
      </c>
      <c r="B814" s="72">
        <v>31</v>
      </c>
      <c r="C814" s="72">
        <v>18</v>
      </c>
      <c r="D814" s="73" t="s">
        <v>1062</v>
      </c>
      <c r="E814" s="73" t="s">
        <v>85</v>
      </c>
      <c r="F814" s="74" t="s">
        <v>86</v>
      </c>
      <c r="G814" s="73" t="s">
        <v>32</v>
      </c>
      <c r="H814" s="74" t="s">
        <v>1059</v>
      </c>
      <c r="I814" s="74">
        <v>1818</v>
      </c>
      <c r="J814" s="75">
        <v>0</v>
      </c>
      <c r="K814" s="76"/>
    </row>
    <row r="815" s="1" customFormat="1" ht="14.25" spans="1:11">
      <c r="A815" s="71">
        <v>5</v>
      </c>
      <c r="B815" s="72">
        <v>31</v>
      </c>
      <c r="C815" s="72">
        <v>19</v>
      </c>
      <c r="D815" s="73" t="s">
        <v>1063</v>
      </c>
      <c r="E815" s="73" t="s">
        <v>48</v>
      </c>
      <c r="F815" s="73" t="s">
        <v>55</v>
      </c>
      <c r="G815" s="73" t="s">
        <v>32</v>
      </c>
      <c r="H815" s="74" t="s">
        <v>1064</v>
      </c>
      <c r="I815" s="74">
        <v>68</v>
      </c>
      <c r="J815" s="75">
        <v>0</v>
      </c>
      <c r="K815" s="76"/>
    </row>
    <row r="816" s="1" customFormat="1" ht="14.25" spans="1:11">
      <c r="A816" s="71">
        <v>5</v>
      </c>
      <c r="B816" s="72">
        <v>31</v>
      </c>
      <c r="C816" s="72">
        <v>19</v>
      </c>
      <c r="D816" s="73" t="s">
        <v>844</v>
      </c>
      <c r="E816" s="73" t="s">
        <v>48</v>
      </c>
      <c r="F816" s="73" t="s">
        <v>125</v>
      </c>
      <c r="G816" s="73" t="s">
        <v>32</v>
      </c>
      <c r="H816" s="74" t="s">
        <v>1064</v>
      </c>
      <c r="I816" s="74">
        <v>5</v>
      </c>
      <c r="J816" s="75">
        <v>0</v>
      </c>
      <c r="K816" s="76"/>
    </row>
    <row r="817" s="1" customFormat="1" ht="14.25" spans="1:11">
      <c r="A817" s="71">
        <v>5</v>
      </c>
      <c r="B817" s="72">
        <v>31</v>
      </c>
      <c r="C817" s="72">
        <v>19</v>
      </c>
      <c r="D817" s="73" t="s">
        <v>1065</v>
      </c>
      <c r="E817" s="73" t="s">
        <v>48</v>
      </c>
      <c r="F817" s="73" t="s">
        <v>55</v>
      </c>
      <c r="G817" s="73" t="s">
        <v>32</v>
      </c>
      <c r="H817" s="74" t="s">
        <v>1064</v>
      </c>
      <c r="I817" s="74">
        <v>55</v>
      </c>
      <c r="J817" s="75">
        <v>0</v>
      </c>
      <c r="K817" s="76"/>
    </row>
    <row r="818" s="1" customFormat="1" ht="14.25" spans="1:11">
      <c r="A818" s="71">
        <v>5</v>
      </c>
      <c r="B818" s="72">
        <v>31</v>
      </c>
      <c r="C818" s="72">
        <v>19</v>
      </c>
      <c r="D818" s="73" t="s">
        <v>1066</v>
      </c>
      <c r="E818" s="73" t="s">
        <v>48</v>
      </c>
      <c r="F818" s="73" t="s">
        <v>233</v>
      </c>
      <c r="G818" s="73" t="s">
        <v>32</v>
      </c>
      <c r="H818" s="74" t="s">
        <v>1064</v>
      </c>
      <c r="I818" s="74">
        <v>380</v>
      </c>
      <c r="J818" s="75">
        <v>0</v>
      </c>
      <c r="K818" s="76"/>
    </row>
    <row r="819" s="1" customFormat="1" ht="14.25" spans="1:11">
      <c r="A819" s="71">
        <v>5</v>
      </c>
      <c r="B819" s="72">
        <v>31</v>
      </c>
      <c r="C819" s="72">
        <v>19</v>
      </c>
      <c r="D819" s="73" t="s">
        <v>1067</v>
      </c>
      <c r="E819" s="73" t="s">
        <v>118</v>
      </c>
      <c r="F819" s="73" t="s">
        <v>136</v>
      </c>
      <c r="G819" s="73" t="s">
        <v>32</v>
      </c>
      <c r="H819" s="74" t="s">
        <v>1064</v>
      </c>
      <c r="I819" s="74">
        <v>47</v>
      </c>
      <c r="J819" s="75">
        <v>0</v>
      </c>
      <c r="K819" s="76"/>
    </row>
    <row r="820" s="1" customFormat="1" ht="14.25" spans="1:11">
      <c r="A820" s="71">
        <v>5</v>
      </c>
      <c r="B820" s="72">
        <v>31</v>
      </c>
      <c r="C820" s="72">
        <v>19</v>
      </c>
      <c r="D820" s="73" t="s">
        <v>1068</v>
      </c>
      <c r="E820" s="73" t="s">
        <v>48</v>
      </c>
      <c r="F820" s="73" t="s">
        <v>55</v>
      </c>
      <c r="G820" s="73" t="s">
        <v>32</v>
      </c>
      <c r="H820" s="74" t="s">
        <v>1069</v>
      </c>
      <c r="I820" s="74">
        <v>230</v>
      </c>
      <c r="J820" s="75">
        <v>0</v>
      </c>
      <c r="K820" s="76"/>
    </row>
    <row r="821" s="1" customFormat="1" ht="14.25" spans="1:11">
      <c r="A821" s="71">
        <v>5</v>
      </c>
      <c r="B821" s="72">
        <v>31</v>
      </c>
      <c r="C821" s="72">
        <v>19</v>
      </c>
      <c r="D821" s="73" t="s">
        <v>1070</v>
      </c>
      <c r="E821" s="73" t="s">
        <v>118</v>
      </c>
      <c r="F821" s="74" t="s">
        <v>136</v>
      </c>
      <c r="G821" s="73" t="s">
        <v>32</v>
      </c>
      <c r="H821" s="74" t="s">
        <v>1069</v>
      </c>
      <c r="I821" s="74">
        <v>100</v>
      </c>
      <c r="J821" s="75">
        <v>0</v>
      </c>
      <c r="K821" s="76"/>
    </row>
    <row r="822" s="1" customFormat="1" ht="14.25" spans="1:11">
      <c r="A822" s="71">
        <v>5</v>
      </c>
      <c r="B822" s="72">
        <v>31</v>
      </c>
      <c r="C822" s="72">
        <v>19</v>
      </c>
      <c r="D822" s="73" t="s">
        <v>1071</v>
      </c>
      <c r="E822" s="73" t="s">
        <v>118</v>
      </c>
      <c r="F822" s="73" t="s">
        <v>136</v>
      </c>
      <c r="G822" s="73" t="s">
        <v>32</v>
      </c>
      <c r="H822" s="74" t="s">
        <v>1069</v>
      </c>
      <c r="I822" s="74">
        <v>1434</v>
      </c>
      <c r="J822" s="75">
        <v>0</v>
      </c>
      <c r="K822" s="76"/>
    </row>
    <row r="823" s="1" customFormat="1" ht="14.25" spans="1:11">
      <c r="A823" s="71">
        <v>5</v>
      </c>
      <c r="B823" s="72">
        <v>31</v>
      </c>
      <c r="C823" s="72">
        <v>19</v>
      </c>
      <c r="D823" s="73" t="s">
        <v>1072</v>
      </c>
      <c r="E823" s="73" t="s">
        <v>118</v>
      </c>
      <c r="F823" s="73" t="s">
        <v>136</v>
      </c>
      <c r="G823" s="73" t="s">
        <v>32</v>
      </c>
      <c r="H823" s="74" t="s">
        <v>1069</v>
      </c>
      <c r="I823" s="74">
        <v>10</v>
      </c>
      <c r="J823" s="75">
        <v>0</v>
      </c>
      <c r="K823" s="76"/>
    </row>
    <row r="824" s="1" customFormat="1" ht="14.25" spans="1:11">
      <c r="A824" s="71">
        <v>5</v>
      </c>
      <c r="B824" s="72">
        <v>31</v>
      </c>
      <c r="C824" s="72">
        <v>19</v>
      </c>
      <c r="D824" s="73" t="s">
        <v>1073</v>
      </c>
      <c r="E824" s="73" t="s">
        <v>118</v>
      </c>
      <c r="F824" s="73" t="s">
        <v>136</v>
      </c>
      <c r="G824" s="73" t="s">
        <v>32</v>
      </c>
      <c r="H824" s="74" t="s">
        <v>1069</v>
      </c>
      <c r="I824" s="74">
        <v>1378</v>
      </c>
      <c r="J824" s="75">
        <v>0</v>
      </c>
      <c r="K824" s="76"/>
    </row>
    <row r="825" s="1" customFormat="1" ht="14.25" spans="1:11">
      <c r="A825" s="71">
        <v>5</v>
      </c>
      <c r="B825" s="72">
        <v>31</v>
      </c>
      <c r="C825" s="72">
        <v>20</v>
      </c>
      <c r="D825" s="73" t="s">
        <v>1074</v>
      </c>
      <c r="E825" s="73" t="s">
        <v>48</v>
      </c>
      <c r="F825" s="73" t="s">
        <v>55</v>
      </c>
      <c r="G825" s="73" t="s">
        <v>32</v>
      </c>
      <c r="H825" s="74" t="s">
        <v>1075</v>
      </c>
      <c r="I825" s="74">
        <v>115</v>
      </c>
      <c r="J825" s="75">
        <v>0</v>
      </c>
      <c r="K825" s="76"/>
    </row>
    <row r="826" s="1" customFormat="1" ht="14.25" spans="1:11">
      <c r="A826" s="71">
        <v>5</v>
      </c>
      <c r="B826" s="72">
        <v>31</v>
      </c>
      <c r="C826" s="72">
        <v>20</v>
      </c>
      <c r="D826" s="73" t="s">
        <v>275</v>
      </c>
      <c r="E826" s="73" t="s">
        <v>48</v>
      </c>
      <c r="F826" s="74" t="s">
        <v>125</v>
      </c>
      <c r="G826" s="73" t="s">
        <v>32</v>
      </c>
      <c r="H826" s="74" t="s">
        <v>1075</v>
      </c>
      <c r="I826" s="74">
        <v>181</v>
      </c>
      <c r="J826" s="75">
        <v>0</v>
      </c>
      <c r="K826" s="76"/>
    </row>
    <row r="827" s="1" customFormat="1" ht="14.25" spans="1:11">
      <c r="A827" s="71">
        <v>5</v>
      </c>
      <c r="B827" s="72">
        <v>31</v>
      </c>
      <c r="C827" s="72">
        <v>20</v>
      </c>
      <c r="D827" s="73" t="s">
        <v>1002</v>
      </c>
      <c r="E827" s="73" t="s">
        <v>172</v>
      </c>
      <c r="F827" s="73" t="s">
        <v>664</v>
      </c>
      <c r="G827" s="73" t="s">
        <v>32</v>
      </c>
      <c r="H827" s="74" t="s">
        <v>1075</v>
      </c>
      <c r="I827" s="74">
        <v>440</v>
      </c>
      <c r="J827" s="75">
        <v>0</v>
      </c>
      <c r="K827" s="76"/>
    </row>
    <row r="828" s="1" customFormat="1" ht="14.25" spans="1:11">
      <c r="A828" s="71">
        <v>5</v>
      </c>
      <c r="B828" s="72">
        <v>31</v>
      </c>
      <c r="C828" s="72">
        <v>20</v>
      </c>
      <c r="D828" s="73" t="s">
        <v>1076</v>
      </c>
      <c r="E828" s="73" t="s">
        <v>118</v>
      </c>
      <c r="F828" s="73" t="s">
        <v>136</v>
      </c>
      <c r="G828" s="73" t="s">
        <v>32</v>
      </c>
      <c r="H828" s="74" t="s">
        <v>1075</v>
      </c>
      <c r="I828" s="74">
        <v>13</v>
      </c>
      <c r="J828" s="75">
        <v>0</v>
      </c>
      <c r="K828" s="76"/>
    </row>
    <row r="829" s="1" customFormat="1" ht="14.25" spans="1:11">
      <c r="A829" s="71">
        <v>5</v>
      </c>
      <c r="B829" s="72">
        <v>31</v>
      </c>
      <c r="C829" s="72">
        <v>20</v>
      </c>
      <c r="D829" s="73" t="s">
        <v>275</v>
      </c>
      <c r="E829" s="73" t="s">
        <v>48</v>
      </c>
      <c r="F829" s="73" t="s">
        <v>125</v>
      </c>
      <c r="G829" s="73" t="s">
        <v>32</v>
      </c>
      <c r="H829" s="74" t="s">
        <v>1077</v>
      </c>
      <c r="I829" s="74">
        <v>104</v>
      </c>
      <c r="J829" s="75">
        <v>0</v>
      </c>
      <c r="K829" s="76"/>
    </row>
    <row r="830" s="1" customFormat="1" ht="14.25" spans="1:11">
      <c r="A830" s="71">
        <v>5</v>
      </c>
      <c r="B830" s="72">
        <v>31</v>
      </c>
      <c r="C830" s="72">
        <v>20</v>
      </c>
      <c r="D830" s="73" t="s">
        <v>724</v>
      </c>
      <c r="E830" s="73" t="s">
        <v>96</v>
      </c>
      <c r="F830" s="73" t="s">
        <v>97</v>
      </c>
      <c r="G830" s="73" t="s">
        <v>32</v>
      </c>
      <c r="H830" s="74" t="s">
        <v>1077</v>
      </c>
      <c r="I830" s="74">
        <v>306</v>
      </c>
      <c r="J830" s="75">
        <v>0</v>
      </c>
      <c r="K830" s="76"/>
    </row>
    <row r="831" s="1" customFormat="1" ht="14.25" spans="1:11">
      <c r="A831" s="71">
        <v>5</v>
      </c>
      <c r="B831" s="72">
        <v>31</v>
      </c>
      <c r="C831" s="72">
        <v>20</v>
      </c>
      <c r="D831" s="73" t="s">
        <v>1004</v>
      </c>
      <c r="E831" s="73" t="s">
        <v>96</v>
      </c>
      <c r="F831" s="73" t="s">
        <v>443</v>
      </c>
      <c r="G831" s="73" t="s">
        <v>32</v>
      </c>
      <c r="H831" s="74" t="s">
        <v>1077</v>
      </c>
      <c r="I831" s="74">
        <v>35</v>
      </c>
      <c r="J831" s="75">
        <v>0</v>
      </c>
      <c r="K831" s="76"/>
    </row>
    <row r="832" s="1" customFormat="1" ht="14.25" spans="1:11">
      <c r="A832" s="71">
        <v>5</v>
      </c>
      <c r="B832" s="72">
        <v>31</v>
      </c>
      <c r="C832" s="72">
        <v>20</v>
      </c>
      <c r="D832" s="73" t="s">
        <v>603</v>
      </c>
      <c r="E832" s="73" t="s">
        <v>96</v>
      </c>
      <c r="F832" s="73" t="s">
        <v>345</v>
      </c>
      <c r="G832" s="73" t="s">
        <v>32</v>
      </c>
      <c r="H832" s="74" t="s">
        <v>1077</v>
      </c>
      <c r="I832" s="74">
        <v>60</v>
      </c>
      <c r="J832" s="75">
        <v>0</v>
      </c>
      <c r="K832" s="76"/>
    </row>
    <row r="833" s="1" customFormat="1" ht="14.25" spans="1:11">
      <c r="A833" s="71">
        <v>5</v>
      </c>
      <c r="B833" s="72">
        <v>31</v>
      </c>
      <c r="C833" s="72">
        <v>20</v>
      </c>
      <c r="D833" s="73" t="s">
        <v>1078</v>
      </c>
      <c r="E833" s="73" t="s">
        <v>96</v>
      </c>
      <c r="F833" s="73" t="s">
        <v>97</v>
      </c>
      <c r="G833" s="73" t="s">
        <v>32</v>
      </c>
      <c r="H833" s="74" t="s">
        <v>1077</v>
      </c>
      <c r="I833" s="74">
        <v>470</v>
      </c>
      <c r="J833" s="75">
        <v>0</v>
      </c>
      <c r="K833" s="76"/>
    </row>
    <row r="834" s="1" customFormat="1" ht="14.25" spans="1:11">
      <c r="A834" s="71">
        <v>5</v>
      </c>
      <c r="B834" s="72">
        <v>31</v>
      </c>
      <c r="C834" s="72">
        <v>21</v>
      </c>
      <c r="D834" s="73" t="s">
        <v>1079</v>
      </c>
      <c r="E834" s="73" t="s">
        <v>48</v>
      </c>
      <c r="F834" s="73" t="s">
        <v>1008</v>
      </c>
      <c r="G834" s="73" t="s">
        <v>32</v>
      </c>
      <c r="H834" s="74" t="s">
        <v>1080</v>
      </c>
      <c r="I834" s="74">
        <v>140</v>
      </c>
      <c r="J834" s="75">
        <v>0</v>
      </c>
      <c r="K834" s="76"/>
    </row>
    <row r="835" s="1" customFormat="1" ht="14.25" spans="1:11">
      <c r="A835" s="71">
        <v>5</v>
      </c>
      <c r="B835" s="72">
        <v>31</v>
      </c>
      <c r="C835" s="72">
        <v>21</v>
      </c>
      <c r="D835" s="73" t="s">
        <v>1081</v>
      </c>
      <c r="E835" s="73" t="s">
        <v>118</v>
      </c>
      <c r="F835" s="73" t="s">
        <v>119</v>
      </c>
      <c r="G835" s="73" t="s">
        <v>32</v>
      </c>
      <c r="H835" s="74" t="s">
        <v>1080</v>
      </c>
      <c r="I835" s="74">
        <v>153000</v>
      </c>
      <c r="J835" s="75">
        <v>0</v>
      </c>
      <c r="K835" s="76"/>
    </row>
    <row r="836" s="1" customFormat="1" ht="14.25" spans="1:11">
      <c r="A836" s="71">
        <v>5</v>
      </c>
      <c r="B836" s="72">
        <v>31</v>
      </c>
      <c r="C836" s="72">
        <v>21</v>
      </c>
      <c r="D836" s="73" t="s">
        <v>1082</v>
      </c>
      <c r="E836" s="73" t="s">
        <v>48</v>
      </c>
      <c r="F836" s="73" t="s">
        <v>207</v>
      </c>
      <c r="G836" s="73" t="s">
        <v>32</v>
      </c>
      <c r="H836" s="74" t="s">
        <v>1080</v>
      </c>
      <c r="I836" s="74">
        <v>650</v>
      </c>
      <c r="J836" s="75">
        <v>0</v>
      </c>
      <c r="K836" s="76"/>
    </row>
    <row r="837" s="1" customFormat="1" ht="14.25" spans="1:11">
      <c r="A837" s="71">
        <v>5</v>
      </c>
      <c r="B837" s="72">
        <v>31</v>
      </c>
      <c r="C837" s="72">
        <v>21</v>
      </c>
      <c r="D837" s="73" t="s">
        <v>1083</v>
      </c>
      <c r="E837" s="73" t="s">
        <v>118</v>
      </c>
      <c r="F837" s="73" t="s">
        <v>122</v>
      </c>
      <c r="G837" s="73" t="s">
        <v>32</v>
      </c>
      <c r="H837" s="74" t="s">
        <v>1080</v>
      </c>
      <c r="I837" s="74">
        <v>4980</v>
      </c>
      <c r="J837" s="75">
        <v>0</v>
      </c>
      <c r="K837" s="76"/>
    </row>
    <row r="838" s="1" customFormat="1" ht="14.25" spans="1:11">
      <c r="A838" s="71">
        <v>5</v>
      </c>
      <c r="B838" s="72">
        <v>31</v>
      </c>
      <c r="C838" s="72">
        <v>21</v>
      </c>
      <c r="D838" s="73" t="s">
        <v>1084</v>
      </c>
      <c r="E838" s="73" t="s">
        <v>37</v>
      </c>
      <c r="F838" s="73">
        <v>0</v>
      </c>
      <c r="G838" s="73" t="s">
        <v>32</v>
      </c>
      <c r="H838" s="74" t="s">
        <v>1080</v>
      </c>
      <c r="I838" s="74">
        <v>35</v>
      </c>
      <c r="J838" s="75">
        <v>0</v>
      </c>
      <c r="K838" s="76"/>
    </row>
    <row r="839" s="1" customFormat="1" ht="14.25" spans="1:11">
      <c r="A839" s="71">
        <v>5</v>
      </c>
      <c r="B839" s="72">
        <v>31</v>
      </c>
      <c r="C839" s="72">
        <v>21</v>
      </c>
      <c r="D839" s="73" t="s">
        <v>1085</v>
      </c>
      <c r="E839" s="73" t="s">
        <v>96</v>
      </c>
      <c r="F839" s="73" t="s">
        <v>97</v>
      </c>
      <c r="G839" s="73" t="s">
        <v>32</v>
      </c>
      <c r="H839" s="74" t="s">
        <v>1086</v>
      </c>
      <c r="I839" s="74">
        <v>990</v>
      </c>
      <c r="J839" s="75">
        <v>0</v>
      </c>
      <c r="K839" s="76"/>
    </row>
    <row r="840" s="1" customFormat="1" ht="14.25" spans="1:11">
      <c r="A840" s="71">
        <v>5</v>
      </c>
      <c r="B840" s="72">
        <v>31</v>
      </c>
      <c r="C840" s="72">
        <v>21</v>
      </c>
      <c r="D840" s="73" t="s">
        <v>1087</v>
      </c>
      <c r="E840" s="73" t="s">
        <v>96</v>
      </c>
      <c r="F840" s="73" t="s">
        <v>443</v>
      </c>
      <c r="G840" s="73" t="s">
        <v>32</v>
      </c>
      <c r="H840" s="74" t="s">
        <v>1086</v>
      </c>
      <c r="I840" s="74">
        <v>295</v>
      </c>
      <c r="J840" s="75">
        <v>0</v>
      </c>
      <c r="K840" s="76"/>
    </row>
    <row r="841" s="1" customFormat="1" ht="14.25" spans="1:11">
      <c r="A841" s="71">
        <v>5</v>
      </c>
      <c r="B841" s="72">
        <v>31</v>
      </c>
      <c r="C841" s="72">
        <v>21</v>
      </c>
      <c r="D841" s="73" t="s">
        <v>1088</v>
      </c>
      <c r="E841" s="73" t="s">
        <v>48</v>
      </c>
      <c r="F841" s="73" t="s">
        <v>207</v>
      </c>
      <c r="G841" s="73" t="s">
        <v>32</v>
      </c>
      <c r="H841" s="74" t="s">
        <v>1086</v>
      </c>
      <c r="I841" s="74">
        <v>500</v>
      </c>
      <c r="J841" s="75">
        <v>0</v>
      </c>
      <c r="K841" s="76"/>
    </row>
    <row r="842" s="1" customFormat="1" ht="14.25" spans="1:11">
      <c r="A842" s="71">
        <v>5</v>
      </c>
      <c r="B842" s="72">
        <v>31</v>
      </c>
      <c r="C842" s="72">
        <v>21</v>
      </c>
      <c r="D842" s="73" t="s">
        <v>1089</v>
      </c>
      <c r="E842" s="73" t="s">
        <v>179</v>
      </c>
      <c r="F842" s="73" t="s">
        <v>997</v>
      </c>
      <c r="G842" s="73" t="s">
        <v>32</v>
      </c>
      <c r="H842" s="74" t="s">
        <v>1086</v>
      </c>
      <c r="I842" s="74">
        <v>40000</v>
      </c>
      <c r="J842" s="75">
        <v>0</v>
      </c>
      <c r="K842" s="76"/>
    </row>
    <row r="843" s="1" customFormat="1" ht="14.25" spans="1:11">
      <c r="A843" s="71">
        <v>5</v>
      </c>
      <c r="B843" s="72">
        <v>31</v>
      </c>
      <c r="C843" s="72">
        <v>21</v>
      </c>
      <c r="D843" s="73" t="s">
        <v>1090</v>
      </c>
      <c r="E843" s="73" t="s">
        <v>172</v>
      </c>
      <c r="F843" s="73" t="s">
        <v>396</v>
      </c>
      <c r="G843" s="73" t="s">
        <v>32</v>
      </c>
      <c r="H843" s="74" t="s">
        <v>1086</v>
      </c>
      <c r="I843" s="74">
        <v>15000</v>
      </c>
      <c r="J843" s="75">
        <v>0</v>
      </c>
      <c r="K843" s="76"/>
    </row>
    <row r="844" s="1" customFormat="1" ht="14.25" spans="1:11">
      <c r="A844" s="71">
        <v>5</v>
      </c>
      <c r="B844" s="72">
        <v>31</v>
      </c>
      <c r="C844" s="72">
        <v>22</v>
      </c>
      <c r="D844" s="73" t="s">
        <v>1091</v>
      </c>
      <c r="E844" s="73" t="s">
        <v>48</v>
      </c>
      <c r="F844" s="73" t="s">
        <v>207</v>
      </c>
      <c r="G844" s="73" t="s">
        <v>32</v>
      </c>
      <c r="H844" s="74" t="s">
        <v>1092</v>
      </c>
      <c r="I844" s="74">
        <v>200</v>
      </c>
      <c r="J844" s="75">
        <v>0</v>
      </c>
      <c r="K844" s="76"/>
    </row>
    <row r="845" s="1" customFormat="1" ht="14.25" spans="1:11">
      <c r="A845" s="71">
        <v>5</v>
      </c>
      <c r="B845" s="72">
        <v>31</v>
      </c>
      <c r="C845" s="72">
        <v>22</v>
      </c>
      <c r="D845" s="73" t="s">
        <v>1093</v>
      </c>
      <c r="E845" s="73" t="s">
        <v>48</v>
      </c>
      <c r="F845" s="73" t="s">
        <v>207</v>
      </c>
      <c r="G845" s="73" t="s">
        <v>32</v>
      </c>
      <c r="H845" s="74" t="s">
        <v>1092</v>
      </c>
      <c r="I845" s="74">
        <v>100</v>
      </c>
      <c r="J845" s="75">
        <v>0</v>
      </c>
      <c r="K845" s="76"/>
    </row>
    <row r="846" s="1" customFormat="1" ht="14.25" spans="1:11">
      <c r="A846" s="71">
        <v>5</v>
      </c>
      <c r="B846" s="72">
        <v>31</v>
      </c>
      <c r="C846" s="72">
        <v>22</v>
      </c>
      <c r="D846" s="73" t="s">
        <v>1094</v>
      </c>
      <c r="E846" s="73" t="s">
        <v>48</v>
      </c>
      <c r="F846" s="73" t="s">
        <v>207</v>
      </c>
      <c r="G846" s="73" t="s">
        <v>32</v>
      </c>
      <c r="H846" s="74" t="s">
        <v>1092</v>
      </c>
      <c r="I846" s="74">
        <v>500</v>
      </c>
      <c r="J846" s="75">
        <v>0</v>
      </c>
      <c r="K846" s="76"/>
    </row>
    <row r="847" s="1" customFormat="1" ht="14.25" spans="1:11">
      <c r="A847" s="71">
        <v>5</v>
      </c>
      <c r="B847" s="72">
        <v>31</v>
      </c>
      <c r="C847" s="72">
        <v>22</v>
      </c>
      <c r="D847" s="73" t="s">
        <v>1095</v>
      </c>
      <c r="E847" s="73" t="s">
        <v>48</v>
      </c>
      <c r="F847" s="73" t="s">
        <v>55</v>
      </c>
      <c r="G847" s="73" t="s">
        <v>32</v>
      </c>
      <c r="H847" s="74" t="s">
        <v>1096</v>
      </c>
      <c r="I847" s="74">
        <v>52</v>
      </c>
      <c r="J847" s="75">
        <v>0</v>
      </c>
      <c r="K847" s="76"/>
    </row>
    <row r="848" s="1" customFormat="1" ht="14.25" spans="1:11">
      <c r="A848" s="71">
        <v>5</v>
      </c>
      <c r="B848" s="72">
        <v>31</v>
      </c>
      <c r="C848" s="72">
        <v>22</v>
      </c>
      <c r="D848" s="73" t="s">
        <v>1097</v>
      </c>
      <c r="E848" s="73" t="s">
        <v>118</v>
      </c>
      <c r="F848" s="74" t="s">
        <v>136</v>
      </c>
      <c r="G848" s="73" t="s">
        <v>32</v>
      </c>
      <c r="H848" s="74" t="s">
        <v>1096</v>
      </c>
      <c r="I848" s="74">
        <v>5242</v>
      </c>
      <c r="J848" s="75">
        <v>0</v>
      </c>
      <c r="K848" s="76"/>
    </row>
    <row r="849" s="1" customFormat="1" ht="14.25" spans="1:11">
      <c r="A849" s="71">
        <v>5</v>
      </c>
      <c r="B849" s="72">
        <v>31</v>
      </c>
      <c r="C849" s="72">
        <v>22</v>
      </c>
      <c r="D849" s="73" t="s">
        <v>1098</v>
      </c>
      <c r="E849" s="73" t="s">
        <v>118</v>
      </c>
      <c r="F849" s="73" t="s">
        <v>136</v>
      </c>
      <c r="G849" s="73" t="s">
        <v>32</v>
      </c>
      <c r="H849" s="74" t="s">
        <v>1096</v>
      </c>
      <c r="I849" s="74">
        <v>51</v>
      </c>
      <c r="J849" s="75">
        <v>0</v>
      </c>
      <c r="K849" s="76"/>
    </row>
    <row r="850" s="1" customFormat="1" ht="14.25" spans="1:11">
      <c r="A850" s="71">
        <v>5</v>
      </c>
      <c r="B850" s="72">
        <v>31</v>
      </c>
      <c r="C850" s="72">
        <v>22</v>
      </c>
      <c r="D850" s="73" t="s">
        <v>1099</v>
      </c>
      <c r="E850" s="73" t="s">
        <v>118</v>
      </c>
      <c r="F850" s="73" t="s">
        <v>136</v>
      </c>
      <c r="G850" s="73" t="s">
        <v>32</v>
      </c>
      <c r="H850" s="74" t="s">
        <v>1096</v>
      </c>
      <c r="I850" s="74">
        <v>54</v>
      </c>
      <c r="J850" s="75">
        <v>0</v>
      </c>
      <c r="K850" s="76"/>
    </row>
    <row r="851" s="1" customFormat="1" ht="14.25" spans="1:11">
      <c r="A851" s="71">
        <v>5</v>
      </c>
      <c r="B851" s="72">
        <v>31</v>
      </c>
      <c r="C851" s="72">
        <v>22</v>
      </c>
      <c r="D851" s="73" t="s">
        <v>1100</v>
      </c>
      <c r="E851" s="73" t="s">
        <v>31</v>
      </c>
      <c r="F851" s="73" t="s">
        <v>1101</v>
      </c>
      <c r="G851" s="73" t="s">
        <v>32</v>
      </c>
      <c r="H851" s="74" t="s">
        <v>1101</v>
      </c>
      <c r="I851" s="74">
        <v>21265</v>
      </c>
      <c r="J851" s="75">
        <v>0</v>
      </c>
      <c r="K851" s="76"/>
    </row>
    <row r="852" s="1" customFormat="1" ht="14.25" spans="1:11">
      <c r="A852" s="71">
        <v>5</v>
      </c>
      <c r="B852" s="72">
        <v>31</v>
      </c>
      <c r="C852" s="72">
        <v>22</v>
      </c>
      <c r="D852" s="73" t="s">
        <v>1102</v>
      </c>
      <c r="E852" s="73" t="s">
        <v>31</v>
      </c>
      <c r="F852" s="73" t="s">
        <v>77</v>
      </c>
      <c r="G852" s="73" t="s">
        <v>32</v>
      </c>
      <c r="H852" s="74" t="s">
        <v>77</v>
      </c>
      <c r="I852" s="74">
        <v>1063</v>
      </c>
      <c r="J852" s="75">
        <v>0</v>
      </c>
      <c r="K852" s="76"/>
    </row>
    <row r="853" s="1" customFormat="1" ht="14.25" spans="1:11">
      <c r="A853" s="71">
        <v>5</v>
      </c>
      <c r="B853" s="72">
        <v>31</v>
      </c>
      <c r="C853" s="72">
        <v>16</v>
      </c>
      <c r="D853" s="73" t="s">
        <v>1103</v>
      </c>
      <c r="E853" s="73" t="s">
        <v>32</v>
      </c>
      <c r="F853" s="73" t="s">
        <v>1104</v>
      </c>
      <c r="G853" s="73" t="s">
        <v>61</v>
      </c>
      <c r="H853" s="74" t="s">
        <v>195</v>
      </c>
      <c r="I853" s="74">
        <v>4394</v>
      </c>
      <c r="J853" s="75">
        <v>0</v>
      </c>
      <c r="K853" s="76"/>
    </row>
    <row r="854" s="1" customFormat="1" ht="14.25" spans="1:11">
      <c r="A854" s="71">
        <v>6</v>
      </c>
      <c r="B854" s="72">
        <v>30</v>
      </c>
      <c r="C854" s="72">
        <v>1</v>
      </c>
      <c r="D854" s="73" t="s">
        <v>350</v>
      </c>
      <c r="E854" s="73" t="s">
        <v>118</v>
      </c>
      <c r="F854" s="73" t="s">
        <v>151</v>
      </c>
      <c r="G854" s="73" t="s">
        <v>32</v>
      </c>
      <c r="H854" s="74" t="s">
        <v>1105</v>
      </c>
      <c r="I854" s="74">
        <v>9600</v>
      </c>
      <c r="J854" s="75">
        <v>0</v>
      </c>
      <c r="K854" s="76"/>
    </row>
    <row r="855" s="1" customFormat="1" ht="14.25" spans="1:11">
      <c r="A855" s="71">
        <v>6</v>
      </c>
      <c r="B855" s="72">
        <v>30</v>
      </c>
      <c r="C855" s="72">
        <v>1</v>
      </c>
      <c r="D855" s="73" t="s">
        <v>350</v>
      </c>
      <c r="E855" s="73" t="s">
        <v>118</v>
      </c>
      <c r="F855" s="73" t="s">
        <v>151</v>
      </c>
      <c r="G855" s="73" t="s">
        <v>32</v>
      </c>
      <c r="H855" s="74" t="s">
        <v>1105</v>
      </c>
      <c r="I855" s="74">
        <v>9600</v>
      </c>
      <c r="J855" s="75">
        <v>0</v>
      </c>
      <c r="K855" s="76"/>
    </row>
    <row r="856" s="1" customFormat="1" ht="14.25" spans="1:11">
      <c r="A856" s="71">
        <v>6</v>
      </c>
      <c r="B856" s="72">
        <v>30</v>
      </c>
      <c r="C856" s="72">
        <v>1</v>
      </c>
      <c r="D856" s="73" t="s">
        <v>1106</v>
      </c>
      <c r="E856" s="73" t="s">
        <v>118</v>
      </c>
      <c r="F856" s="73" t="s">
        <v>151</v>
      </c>
      <c r="G856" s="73" t="s">
        <v>32</v>
      </c>
      <c r="H856" s="74" t="s">
        <v>1105</v>
      </c>
      <c r="I856" s="74">
        <v>900</v>
      </c>
      <c r="J856" s="75">
        <v>0</v>
      </c>
      <c r="K856" s="76"/>
    </row>
    <row r="857" s="1" customFormat="1" ht="14.25" spans="1:11">
      <c r="A857" s="71">
        <v>6</v>
      </c>
      <c r="B857" s="72">
        <v>30</v>
      </c>
      <c r="C857" s="72">
        <v>1</v>
      </c>
      <c r="D857" s="73" t="s">
        <v>1107</v>
      </c>
      <c r="E857" s="73" t="s">
        <v>118</v>
      </c>
      <c r="F857" s="73" t="s">
        <v>151</v>
      </c>
      <c r="G857" s="73" t="s">
        <v>32</v>
      </c>
      <c r="H857" s="74" t="s">
        <v>1105</v>
      </c>
      <c r="I857" s="74">
        <v>20100</v>
      </c>
      <c r="J857" s="75">
        <v>0</v>
      </c>
      <c r="K857" s="76"/>
    </row>
    <row r="858" s="1" customFormat="1" ht="14.25" spans="1:11">
      <c r="A858" s="71">
        <v>6</v>
      </c>
      <c r="B858" s="72">
        <v>30</v>
      </c>
      <c r="C858" s="72">
        <v>1</v>
      </c>
      <c r="D858" s="73" t="s">
        <v>714</v>
      </c>
      <c r="E858" s="73" t="s">
        <v>118</v>
      </c>
      <c r="F858" s="73" t="s">
        <v>192</v>
      </c>
      <c r="G858" s="73" t="s">
        <v>32</v>
      </c>
      <c r="H858" s="74" t="s">
        <v>1105</v>
      </c>
      <c r="I858" s="74">
        <v>100000</v>
      </c>
      <c r="J858" s="75">
        <v>0</v>
      </c>
      <c r="K858" s="76"/>
    </row>
    <row r="859" s="1" customFormat="1" ht="14.25" spans="1:11">
      <c r="A859" s="71">
        <v>6</v>
      </c>
      <c r="B859" s="72">
        <v>30</v>
      </c>
      <c r="C859" s="72">
        <v>1</v>
      </c>
      <c r="D859" s="73" t="s">
        <v>724</v>
      </c>
      <c r="E859" s="73" t="s">
        <v>96</v>
      </c>
      <c r="F859" s="73" t="s">
        <v>97</v>
      </c>
      <c r="G859" s="73" t="s">
        <v>32</v>
      </c>
      <c r="H859" s="74" t="s">
        <v>1108</v>
      </c>
      <c r="I859" s="74">
        <v>215.1</v>
      </c>
      <c r="J859" s="75">
        <v>0</v>
      </c>
      <c r="K859" s="76"/>
    </row>
    <row r="860" s="1" customFormat="1" ht="14.25" spans="1:11">
      <c r="A860" s="71">
        <v>6</v>
      </c>
      <c r="B860" s="72">
        <v>30</v>
      </c>
      <c r="C860" s="72">
        <v>1</v>
      </c>
      <c r="D860" s="73" t="s">
        <v>724</v>
      </c>
      <c r="E860" s="73" t="s">
        <v>96</v>
      </c>
      <c r="F860" s="73" t="s">
        <v>97</v>
      </c>
      <c r="G860" s="73" t="s">
        <v>32</v>
      </c>
      <c r="H860" s="74" t="s">
        <v>1108</v>
      </c>
      <c r="I860" s="74">
        <v>132</v>
      </c>
      <c r="J860" s="75">
        <v>0</v>
      </c>
      <c r="K860" s="76"/>
    </row>
    <row r="861" s="1" customFormat="1" ht="14.25" spans="1:11">
      <c r="A861" s="71">
        <v>6</v>
      </c>
      <c r="B861" s="72">
        <v>30</v>
      </c>
      <c r="C861" s="72">
        <v>1</v>
      </c>
      <c r="D861" s="73" t="s">
        <v>124</v>
      </c>
      <c r="E861" s="73" t="s">
        <v>48</v>
      </c>
      <c r="F861" s="73" t="s">
        <v>125</v>
      </c>
      <c r="G861" s="73" t="s">
        <v>32</v>
      </c>
      <c r="H861" s="74" t="s">
        <v>1108</v>
      </c>
      <c r="I861" s="74">
        <v>4</v>
      </c>
      <c r="J861" s="75">
        <v>0</v>
      </c>
      <c r="K861" s="76"/>
    </row>
    <row r="862" s="1" customFormat="1" ht="14.25" spans="1:11">
      <c r="A862" s="71">
        <v>6</v>
      </c>
      <c r="B862" s="72">
        <v>30</v>
      </c>
      <c r="C862" s="72">
        <v>1</v>
      </c>
      <c r="D862" s="73" t="s">
        <v>275</v>
      </c>
      <c r="E862" s="73" t="s">
        <v>48</v>
      </c>
      <c r="F862" s="73" t="s">
        <v>125</v>
      </c>
      <c r="G862" s="73" t="s">
        <v>32</v>
      </c>
      <c r="H862" s="74" t="s">
        <v>1108</v>
      </c>
      <c r="I862" s="74">
        <v>60</v>
      </c>
      <c r="J862" s="75">
        <v>0</v>
      </c>
      <c r="K862" s="76"/>
    </row>
    <row r="863" s="1" customFormat="1" ht="14.25" spans="1:11">
      <c r="A863" s="71">
        <v>6</v>
      </c>
      <c r="B863" s="72">
        <v>30</v>
      </c>
      <c r="C863" s="72">
        <v>1</v>
      </c>
      <c r="D863" s="73" t="s">
        <v>275</v>
      </c>
      <c r="E863" s="73" t="s">
        <v>48</v>
      </c>
      <c r="F863" s="73" t="s">
        <v>125</v>
      </c>
      <c r="G863" s="73" t="s">
        <v>32</v>
      </c>
      <c r="H863" s="74" t="s">
        <v>1108</v>
      </c>
      <c r="I863" s="74">
        <v>60</v>
      </c>
      <c r="J863" s="75">
        <v>0</v>
      </c>
      <c r="K863" s="76"/>
    </row>
    <row r="864" s="1" customFormat="1" ht="14.25" spans="1:11">
      <c r="A864" s="71">
        <v>6</v>
      </c>
      <c r="B864" s="72">
        <v>30</v>
      </c>
      <c r="C864" s="72">
        <v>2</v>
      </c>
      <c r="D864" s="73" t="s">
        <v>1109</v>
      </c>
      <c r="E864" s="73" t="s">
        <v>48</v>
      </c>
      <c r="F864" s="73" t="s">
        <v>125</v>
      </c>
      <c r="G864" s="73" t="s">
        <v>32</v>
      </c>
      <c r="H864" s="74" t="s">
        <v>1110</v>
      </c>
      <c r="I864" s="74">
        <v>13</v>
      </c>
      <c r="J864" s="75">
        <v>0</v>
      </c>
      <c r="K864" s="76"/>
    </row>
    <row r="865" s="1" customFormat="1" ht="14.25" spans="1:11">
      <c r="A865" s="71">
        <v>6</v>
      </c>
      <c r="B865" s="72">
        <v>30</v>
      </c>
      <c r="C865" s="72">
        <v>2</v>
      </c>
      <c r="D865" s="73" t="s">
        <v>1111</v>
      </c>
      <c r="E865" s="73" t="s">
        <v>85</v>
      </c>
      <c r="F865" s="73" t="s">
        <v>1112</v>
      </c>
      <c r="G865" s="73" t="s">
        <v>32</v>
      </c>
      <c r="H865" s="74" t="s">
        <v>1110</v>
      </c>
      <c r="I865" s="74">
        <v>120</v>
      </c>
      <c r="J865" s="75">
        <v>0</v>
      </c>
      <c r="K865" s="76"/>
    </row>
    <row r="866" s="1" customFormat="1" ht="14.25" spans="1:11">
      <c r="A866" s="71">
        <v>6</v>
      </c>
      <c r="B866" s="72">
        <v>30</v>
      </c>
      <c r="C866" s="72">
        <v>2</v>
      </c>
      <c r="D866" s="73" t="s">
        <v>724</v>
      </c>
      <c r="E866" s="73" t="s">
        <v>96</v>
      </c>
      <c r="F866" s="73" t="s">
        <v>97</v>
      </c>
      <c r="G866" s="73" t="s">
        <v>32</v>
      </c>
      <c r="H866" s="74" t="s">
        <v>1110</v>
      </c>
      <c r="I866" s="74">
        <v>191.36</v>
      </c>
      <c r="J866" s="75">
        <v>0</v>
      </c>
      <c r="K866" s="76"/>
    </row>
    <row r="867" s="1" customFormat="1" ht="14.25" spans="1:11">
      <c r="A867" s="71">
        <v>6</v>
      </c>
      <c r="B867" s="72">
        <v>30</v>
      </c>
      <c r="C867" s="72">
        <v>2</v>
      </c>
      <c r="D867" s="73" t="s">
        <v>1113</v>
      </c>
      <c r="E867" s="73" t="s">
        <v>48</v>
      </c>
      <c r="F867" s="73" t="s">
        <v>49</v>
      </c>
      <c r="G867" s="73" t="s">
        <v>32</v>
      </c>
      <c r="H867" s="74" t="s">
        <v>1110</v>
      </c>
      <c r="I867" s="74">
        <v>10</v>
      </c>
      <c r="J867" s="75">
        <v>0</v>
      </c>
      <c r="K867" s="76"/>
    </row>
    <row r="868" s="1" customFormat="1" ht="14.25" spans="1:11">
      <c r="A868" s="71">
        <v>6</v>
      </c>
      <c r="B868" s="72">
        <v>30</v>
      </c>
      <c r="C868" s="72">
        <v>2</v>
      </c>
      <c r="D868" s="73" t="s">
        <v>1114</v>
      </c>
      <c r="E868" s="73" t="s">
        <v>118</v>
      </c>
      <c r="F868" s="73" t="s">
        <v>489</v>
      </c>
      <c r="G868" s="73" t="s">
        <v>32</v>
      </c>
      <c r="H868" s="74" t="s">
        <v>1110</v>
      </c>
      <c r="I868" s="74">
        <v>200</v>
      </c>
      <c r="J868" s="75">
        <v>0</v>
      </c>
      <c r="K868" s="76"/>
    </row>
    <row r="869" s="1" customFormat="1" ht="14.25" spans="1:11">
      <c r="A869" s="71">
        <v>6</v>
      </c>
      <c r="B869" s="72">
        <v>30</v>
      </c>
      <c r="C869" s="72">
        <v>2</v>
      </c>
      <c r="D869" s="73" t="s">
        <v>1115</v>
      </c>
      <c r="E869" s="73" t="s">
        <v>48</v>
      </c>
      <c r="F869" s="73" t="s">
        <v>55</v>
      </c>
      <c r="G869" s="73" t="s">
        <v>32</v>
      </c>
      <c r="H869" s="74" t="s">
        <v>1116</v>
      </c>
      <c r="I869" s="74">
        <v>1640</v>
      </c>
      <c r="J869" s="75">
        <v>0</v>
      </c>
      <c r="K869" s="76"/>
    </row>
    <row r="870" s="1" customFormat="1" ht="14.25" spans="1:11">
      <c r="A870" s="71">
        <v>6</v>
      </c>
      <c r="B870" s="72">
        <v>30</v>
      </c>
      <c r="C870" s="72">
        <v>2</v>
      </c>
      <c r="D870" s="73" t="s">
        <v>1117</v>
      </c>
      <c r="E870" s="73" t="s">
        <v>118</v>
      </c>
      <c r="F870" s="73" t="s">
        <v>187</v>
      </c>
      <c r="G870" s="73" t="s">
        <v>32</v>
      </c>
      <c r="H870" s="74" t="s">
        <v>1116</v>
      </c>
      <c r="I870" s="74">
        <v>71990</v>
      </c>
      <c r="J870" s="75">
        <v>0</v>
      </c>
      <c r="K870" s="76"/>
    </row>
    <row r="871" s="1" customFormat="1" ht="14.25" spans="1:11">
      <c r="A871" s="71">
        <v>6</v>
      </c>
      <c r="B871" s="72">
        <v>30</v>
      </c>
      <c r="C871" s="72">
        <v>2</v>
      </c>
      <c r="D871" s="73" t="s">
        <v>1118</v>
      </c>
      <c r="E871" s="73" t="s">
        <v>118</v>
      </c>
      <c r="F871" s="73" t="s">
        <v>136</v>
      </c>
      <c r="G871" s="73" t="s">
        <v>32</v>
      </c>
      <c r="H871" s="74" t="s">
        <v>1116</v>
      </c>
      <c r="I871" s="74">
        <v>1430</v>
      </c>
      <c r="J871" s="75">
        <v>0</v>
      </c>
      <c r="K871" s="76"/>
    </row>
    <row r="872" s="1" customFormat="1" ht="14.25" spans="1:11">
      <c r="A872" s="71">
        <v>6</v>
      </c>
      <c r="B872" s="72">
        <v>30</v>
      </c>
      <c r="C872" s="72">
        <v>2</v>
      </c>
      <c r="D872" s="73" t="s">
        <v>1119</v>
      </c>
      <c r="E872" s="73" t="s">
        <v>118</v>
      </c>
      <c r="F872" s="73" t="s">
        <v>136</v>
      </c>
      <c r="G872" s="73" t="s">
        <v>32</v>
      </c>
      <c r="H872" s="74" t="s">
        <v>1116</v>
      </c>
      <c r="I872" s="74">
        <v>3250</v>
      </c>
      <c r="J872" s="75">
        <v>0</v>
      </c>
      <c r="K872" s="76"/>
    </row>
    <row r="873" s="1" customFormat="1" ht="14.25" spans="1:11">
      <c r="A873" s="71">
        <v>6</v>
      </c>
      <c r="B873" s="72">
        <v>30</v>
      </c>
      <c r="C873" s="72">
        <v>4</v>
      </c>
      <c r="D873" s="73" t="s">
        <v>1120</v>
      </c>
      <c r="E873" s="73" t="s">
        <v>48</v>
      </c>
      <c r="F873" s="73" t="s">
        <v>55</v>
      </c>
      <c r="G873" s="73" t="s">
        <v>32</v>
      </c>
      <c r="H873" s="74" t="s">
        <v>1121</v>
      </c>
      <c r="I873" s="74">
        <v>20</v>
      </c>
      <c r="J873" s="75">
        <v>0</v>
      </c>
      <c r="K873" s="76"/>
    </row>
    <row r="874" s="1" customFormat="1" ht="14.25" spans="1:11">
      <c r="A874" s="71">
        <v>6</v>
      </c>
      <c r="B874" s="72">
        <v>30</v>
      </c>
      <c r="C874" s="72">
        <v>4</v>
      </c>
      <c r="D874" s="73" t="s">
        <v>1122</v>
      </c>
      <c r="E874" s="73" t="s">
        <v>96</v>
      </c>
      <c r="F874" s="73" t="s">
        <v>97</v>
      </c>
      <c r="G874" s="73" t="s">
        <v>32</v>
      </c>
      <c r="H874" s="74" t="s">
        <v>1121</v>
      </c>
      <c r="I874" s="74">
        <v>23</v>
      </c>
      <c r="J874" s="75">
        <v>0</v>
      </c>
      <c r="K874" s="76"/>
    </row>
    <row r="875" s="1" customFormat="1" ht="14.25" spans="1:11">
      <c r="A875" s="71">
        <v>6</v>
      </c>
      <c r="B875" s="72">
        <v>30</v>
      </c>
      <c r="C875" s="72">
        <v>3</v>
      </c>
      <c r="D875" s="73" t="s">
        <v>124</v>
      </c>
      <c r="E875" s="73" t="s">
        <v>48</v>
      </c>
      <c r="F875" s="73" t="s">
        <v>125</v>
      </c>
      <c r="G875" s="73" t="s">
        <v>32</v>
      </c>
      <c r="H875" s="74" t="s">
        <v>1123</v>
      </c>
      <c r="I875" s="74">
        <v>2</v>
      </c>
      <c r="J875" s="75">
        <v>0</v>
      </c>
      <c r="K875" s="76"/>
    </row>
    <row r="876" s="1" customFormat="1" ht="14.25" spans="1:11">
      <c r="A876" s="71">
        <v>6</v>
      </c>
      <c r="B876" s="72">
        <v>30</v>
      </c>
      <c r="C876" s="72">
        <v>3</v>
      </c>
      <c r="D876" s="73" t="s">
        <v>255</v>
      </c>
      <c r="E876" s="73" t="s">
        <v>96</v>
      </c>
      <c r="F876" s="73" t="s">
        <v>97</v>
      </c>
      <c r="G876" s="73" t="s">
        <v>32</v>
      </c>
      <c r="H876" s="74" t="s">
        <v>1123</v>
      </c>
      <c r="I876" s="74">
        <v>78.85</v>
      </c>
      <c r="J876" s="75">
        <v>0</v>
      </c>
      <c r="K876" s="76"/>
    </row>
    <row r="877" s="1" customFormat="1" ht="14.25" spans="1:11">
      <c r="A877" s="71">
        <v>6</v>
      </c>
      <c r="B877" s="72">
        <v>30</v>
      </c>
      <c r="C877" s="72">
        <v>3</v>
      </c>
      <c r="D877" s="73" t="s">
        <v>1124</v>
      </c>
      <c r="E877" s="73" t="s">
        <v>118</v>
      </c>
      <c r="F877" s="73" t="s">
        <v>136</v>
      </c>
      <c r="G877" s="73" t="s">
        <v>32</v>
      </c>
      <c r="H877" s="74" t="s">
        <v>1123</v>
      </c>
      <c r="I877" s="74">
        <v>44</v>
      </c>
      <c r="J877" s="75">
        <v>0</v>
      </c>
      <c r="K877" s="76"/>
    </row>
    <row r="878" s="1" customFormat="1" ht="14.25" spans="1:11">
      <c r="A878" s="71">
        <v>6</v>
      </c>
      <c r="B878" s="72">
        <v>30</v>
      </c>
      <c r="C878" s="72">
        <v>3</v>
      </c>
      <c r="D878" s="73" t="s">
        <v>1125</v>
      </c>
      <c r="E878" s="73" t="s">
        <v>48</v>
      </c>
      <c r="F878" s="73" t="s">
        <v>55</v>
      </c>
      <c r="G878" s="73" t="s">
        <v>32</v>
      </c>
      <c r="H878" s="74" t="s">
        <v>1123</v>
      </c>
      <c r="I878" s="74">
        <v>120</v>
      </c>
      <c r="J878" s="75">
        <v>0</v>
      </c>
      <c r="K878" s="76"/>
    </row>
    <row r="879" s="1" customFormat="1" ht="14.25" spans="1:11">
      <c r="A879" s="71">
        <v>6</v>
      </c>
      <c r="B879" s="72">
        <v>30</v>
      </c>
      <c r="C879" s="72">
        <v>3</v>
      </c>
      <c r="D879" s="73" t="s">
        <v>192</v>
      </c>
      <c r="E879" s="73" t="s">
        <v>118</v>
      </c>
      <c r="F879" s="73" t="s">
        <v>192</v>
      </c>
      <c r="G879" s="73" t="s">
        <v>32</v>
      </c>
      <c r="H879" s="74" t="s">
        <v>1123</v>
      </c>
      <c r="I879" s="74">
        <v>90000</v>
      </c>
      <c r="J879" s="75">
        <v>0</v>
      </c>
      <c r="K879" s="76"/>
    </row>
    <row r="880" s="1" customFormat="1" ht="14.25" spans="1:11">
      <c r="A880" s="71">
        <v>6</v>
      </c>
      <c r="B880" s="72">
        <v>30</v>
      </c>
      <c r="C880" s="72">
        <v>3</v>
      </c>
      <c r="D880" s="73" t="s">
        <v>1126</v>
      </c>
      <c r="E880" s="73" t="s">
        <v>118</v>
      </c>
      <c r="F880" s="73" t="s">
        <v>151</v>
      </c>
      <c r="G880" s="73" t="s">
        <v>32</v>
      </c>
      <c r="H880" s="74" t="s">
        <v>1127</v>
      </c>
      <c r="I880" s="74">
        <v>180000</v>
      </c>
      <c r="J880" s="75">
        <v>0</v>
      </c>
      <c r="K880" s="76"/>
    </row>
    <row r="881" s="1" customFormat="1" ht="14.25" spans="1:11">
      <c r="A881" s="71">
        <v>6</v>
      </c>
      <c r="B881" s="72">
        <v>30</v>
      </c>
      <c r="C881" s="72">
        <v>3</v>
      </c>
      <c r="D881" s="73" t="s">
        <v>1128</v>
      </c>
      <c r="E881" s="73" t="s">
        <v>118</v>
      </c>
      <c r="F881" s="73" t="s">
        <v>136</v>
      </c>
      <c r="G881" s="73" t="s">
        <v>32</v>
      </c>
      <c r="H881" s="74" t="s">
        <v>1127</v>
      </c>
      <c r="I881" s="74">
        <v>520</v>
      </c>
      <c r="J881" s="75">
        <v>0</v>
      </c>
      <c r="K881" s="76"/>
    </row>
    <row r="882" s="1" customFormat="1" ht="14.25" spans="1:11">
      <c r="A882" s="71">
        <v>6</v>
      </c>
      <c r="B882" s="72">
        <v>30</v>
      </c>
      <c r="C882" s="72">
        <v>3</v>
      </c>
      <c r="D882" s="73" t="s">
        <v>255</v>
      </c>
      <c r="E882" s="73" t="s">
        <v>96</v>
      </c>
      <c r="F882" s="73" t="s">
        <v>97</v>
      </c>
      <c r="G882" s="73" t="s">
        <v>32</v>
      </c>
      <c r="H882" s="74" t="s">
        <v>1127</v>
      </c>
      <c r="I882" s="74">
        <v>437.96</v>
      </c>
      <c r="J882" s="75">
        <v>0</v>
      </c>
      <c r="K882" s="76"/>
    </row>
    <row r="883" s="1" customFormat="1" ht="14.25" spans="1:11">
      <c r="A883" s="71">
        <v>6</v>
      </c>
      <c r="B883" s="72">
        <v>30</v>
      </c>
      <c r="C883" s="72">
        <v>3</v>
      </c>
      <c r="D883" s="73" t="s">
        <v>255</v>
      </c>
      <c r="E883" s="73" t="s">
        <v>96</v>
      </c>
      <c r="F883" s="73" t="s">
        <v>97</v>
      </c>
      <c r="G883" s="73" t="s">
        <v>32</v>
      </c>
      <c r="H883" s="74" t="s">
        <v>1127</v>
      </c>
      <c r="I883" s="74">
        <v>40</v>
      </c>
      <c r="J883" s="75">
        <v>0</v>
      </c>
      <c r="K883" s="76"/>
    </row>
    <row r="884" s="1" customFormat="1" ht="14.25" spans="1:11">
      <c r="A884" s="71">
        <v>6</v>
      </c>
      <c r="B884" s="72">
        <v>30</v>
      </c>
      <c r="C884" s="72">
        <v>3</v>
      </c>
      <c r="D884" s="73" t="s">
        <v>255</v>
      </c>
      <c r="E884" s="73" t="s">
        <v>96</v>
      </c>
      <c r="F884" s="73" t="s">
        <v>97</v>
      </c>
      <c r="G884" s="73" t="s">
        <v>32</v>
      </c>
      <c r="H884" s="74" t="s">
        <v>1127</v>
      </c>
      <c r="I884" s="74">
        <v>393</v>
      </c>
      <c r="J884" s="75">
        <v>0</v>
      </c>
      <c r="K884" s="76"/>
    </row>
    <row r="885" s="1" customFormat="1" ht="14.25" spans="1:11">
      <c r="A885" s="71">
        <v>6</v>
      </c>
      <c r="B885" s="72">
        <v>30</v>
      </c>
      <c r="C885" s="72">
        <v>4</v>
      </c>
      <c r="D885" s="73" t="s">
        <v>1129</v>
      </c>
      <c r="E885" s="73" t="s">
        <v>211</v>
      </c>
      <c r="F885" s="73" t="s">
        <v>1129</v>
      </c>
      <c r="G885" s="73" t="s">
        <v>32</v>
      </c>
      <c r="H885" s="74" t="s">
        <v>1130</v>
      </c>
      <c r="I885" s="74">
        <v>1430</v>
      </c>
      <c r="J885" s="75">
        <v>0</v>
      </c>
      <c r="K885" s="76"/>
    </row>
    <row r="886" s="1" customFormat="1" ht="14.25" spans="1:11">
      <c r="A886" s="71">
        <v>6</v>
      </c>
      <c r="B886" s="72">
        <v>30</v>
      </c>
      <c r="C886" s="72">
        <v>4</v>
      </c>
      <c r="D886" s="73" t="s">
        <v>255</v>
      </c>
      <c r="E886" s="73" t="s">
        <v>96</v>
      </c>
      <c r="F886" s="73" t="s">
        <v>97</v>
      </c>
      <c r="G886" s="73" t="s">
        <v>32</v>
      </c>
      <c r="H886" s="74" t="s">
        <v>1130</v>
      </c>
      <c r="I886" s="74">
        <v>20</v>
      </c>
      <c r="J886" s="75">
        <v>0</v>
      </c>
      <c r="K886" s="76"/>
    </row>
    <row r="887" s="1" customFormat="1" ht="14.25" spans="1:11">
      <c r="A887" s="71">
        <v>6</v>
      </c>
      <c r="B887" s="72">
        <v>30</v>
      </c>
      <c r="C887" s="72">
        <v>4</v>
      </c>
      <c r="D887" s="73" t="s">
        <v>335</v>
      </c>
      <c r="E887" s="73" t="s">
        <v>48</v>
      </c>
      <c r="F887" s="73" t="s">
        <v>55</v>
      </c>
      <c r="G887" s="73" t="s">
        <v>32</v>
      </c>
      <c r="H887" s="74" t="s">
        <v>1131</v>
      </c>
      <c r="I887" s="74">
        <v>20</v>
      </c>
      <c r="J887" s="75">
        <v>0</v>
      </c>
      <c r="K887" s="76"/>
    </row>
    <row r="888" s="1" customFormat="1" ht="14.25" spans="1:11">
      <c r="A888" s="71">
        <v>6</v>
      </c>
      <c r="B888" s="72">
        <v>30</v>
      </c>
      <c r="C888" s="72">
        <v>4</v>
      </c>
      <c r="D888" s="73" t="s">
        <v>1132</v>
      </c>
      <c r="E888" s="73" t="s">
        <v>100</v>
      </c>
      <c r="F888" s="73" t="s">
        <v>101</v>
      </c>
      <c r="G888" s="73" t="s">
        <v>32</v>
      </c>
      <c r="H888" s="74" t="s">
        <v>1131</v>
      </c>
      <c r="I888" s="74">
        <v>1255</v>
      </c>
      <c r="J888" s="75">
        <v>0</v>
      </c>
      <c r="K888" s="76"/>
    </row>
    <row r="889" s="1" customFormat="1" ht="14.25" spans="1:11">
      <c r="A889" s="71">
        <v>6</v>
      </c>
      <c r="B889" s="72">
        <v>30</v>
      </c>
      <c r="C889" s="72">
        <v>4</v>
      </c>
      <c r="D889" s="73" t="s">
        <v>1133</v>
      </c>
      <c r="E889" s="73" t="s">
        <v>100</v>
      </c>
      <c r="F889" s="73" t="s">
        <v>101</v>
      </c>
      <c r="G889" s="73" t="s">
        <v>32</v>
      </c>
      <c r="H889" s="74" t="s">
        <v>1131</v>
      </c>
      <c r="I889" s="74">
        <v>50</v>
      </c>
      <c r="J889" s="75">
        <v>0</v>
      </c>
      <c r="K889" s="76"/>
    </row>
    <row r="890" s="1" customFormat="1" ht="14.25" spans="1:11">
      <c r="A890" s="71">
        <v>6</v>
      </c>
      <c r="B890" s="72">
        <v>30</v>
      </c>
      <c r="C890" s="72">
        <v>4</v>
      </c>
      <c r="D890" s="73" t="s">
        <v>1133</v>
      </c>
      <c r="E890" s="73" t="s">
        <v>100</v>
      </c>
      <c r="F890" s="73" t="s">
        <v>101</v>
      </c>
      <c r="G890" s="73" t="s">
        <v>32</v>
      </c>
      <c r="H890" s="74" t="s">
        <v>1131</v>
      </c>
      <c r="I890" s="74">
        <v>160</v>
      </c>
      <c r="J890" s="75">
        <v>0</v>
      </c>
      <c r="K890" s="76"/>
    </row>
    <row r="891" s="1" customFormat="1" ht="14.25" spans="1:11">
      <c r="A891" s="71">
        <v>6</v>
      </c>
      <c r="B891" s="72">
        <v>30</v>
      </c>
      <c r="C891" s="72">
        <v>5</v>
      </c>
      <c r="D891" s="73" t="s">
        <v>1134</v>
      </c>
      <c r="E891" s="73" t="s">
        <v>85</v>
      </c>
      <c r="F891" s="73" t="s">
        <v>1135</v>
      </c>
      <c r="G891" s="73" t="s">
        <v>32</v>
      </c>
      <c r="H891" s="74" t="s">
        <v>1136</v>
      </c>
      <c r="I891" s="74">
        <v>900</v>
      </c>
      <c r="J891" s="75">
        <v>0</v>
      </c>
      <c r="K891" s="76"/>
    </row>
    <row r="892" s="1" customFormat="1" ht="14.25" spans="1:11">
      <c r="A892" s="71">
        <v>6</v>
      </c>
      <c r="B892" s="72">
        <v>30</v>
      </c>
      <c r="C892" s="72">
        <v>5</v>
      </c>
      <c r="D892" s="73" t="s">
        <v>1137</v>
      </c>
      <c r="E892" s="73" t="s">
        <v>100</v>
      </c>
      <c r="F892" s="73" t="s">
        <v>101</v>
      </c>
      <c r="G892" s="73" t="s">
        <v>32</v>
      </c>
      <c r="H892" s="74" t="s">
        <v>1136</v>
      </c>
      <c r="I892" s="74">
        <v>48467</v>
      </c>
      <c r="J892" s="75">
        <v>0</v>
      </c>
      <c r="K892" s="76"/>
    </row>
    <row r="893" s="1" customFormat="1" ht="14.25" spans="1:11">
      <c r="A893" s="71">
        <v>6</v>
      </c>
      <c r="B893" s="72">
        <v>30</v>
      </c>
      <c r="C893" s="72">
        <v>5</v>
      </c>
      <c r="D893" s="73" t="s">
        <v>1138</v>
      </c>
      <c r="E893" s="73" t="s">
        <v>96</v>
      </c>
      <c r="F893" s="73" t="s">
        <v>97</v>
      </c>
      <c r="G893" s="73" t="s">
        <v>32</v>
      </c>
      <c r="H893" s="74" t="s">
        <v>1136</v>
      </c>
      <c r="I893" s="74">
        <v>30</v>
      </c>
      <c r="J893" s="75">
        <v>0</v>
      </c>
      <c r="K893" s="76"/>
    </row>
    <row r="894" s="1" customFormat="1" ht="14.25" spans="1:11">
      <c r="A894" s="71">
        <v>6</v>
      </c>
      <c r="B894" s="72">
        <v>30</v>
      </c>
      <c r="C894" s="72">
        <v>5</v>
      </c>
      <c r="D894" s="73" t="s">
        <v>1139</v>
      </c>
      <c r="E894" s="73" t="s">
        <v>48</v>
      </c>
      <c r="F894" s="73" t="s">
        <v>383</v>
      </c>
      <c r="G894" s="73" t="s">
        <v>32</v>
      </c>
      <c r="H894" s="74" t="s">
        <v>1136</v>
      </c>
      <c r="I894" s="74">
        <v>10</v>
      </c>
      <c r="J894" s="75">
        <v>0</v>
      </c>
      <c r="K894" s="76"/>
    </row>
    <row r="895" s="1" customFormat="1" ht="14.25" spans="1:11">
      <c r="A895" s="71">
        <v>6</v>
      </c>
      <c r="B895" s="72">
        <v>30</v>
      </c>
      <c r="C895" s="72">
        <v>5</v>
      </c>
      <c r="D895" s="73" t="s">
        <v>1140</v>
      </c>
      <c r="E895" s="73" t="s">
        <v>118</v>
      </c>
      <c r="F895" s="73" t="s">
        <v>136</v>
      </c>
      <c r="G895" s="73" t="s">
        <v>32</v>
      </c>
      <c r="H895" s="74" t="s">
        <v>1136</v>
      </c>
      <c r="I895" s="74">
        <v>34</v>
      </c>
      <c r="J895" s="75">
        <v>0</v>
      </c>
      <c r="K895" s="76"/>
    </row>
    <row r="896" s="1" customFormat="1" ht="14.25" spans="1:11">
      <c r="A896" s="71">
        <v>6</v>
      </c>
      <c r="B896" s="72">
        <v>30</v>
      </c>
      <c r="C896" s="72">
        <v>5</v>
      </c>
      <c r="D896" s="73" t="s">
        <v>1141</v>
      </c>
      <c r="E896" s="73" t="s">
        <v>48</v>
      </c>
      <c r="F896" s="73" t="s">
        <v>49</v>
      </c>
      <c r="G896" s="73" t="s">
        <v>32</v>
      </c>
      <c r="H896" s="74" t="s">
        <v>1142</v>
      </c>
      <c r="I896" s="74">
        <v>20</v>
      </c>
      <c r="J896" s="75">
        <v>0</v>
      </c>
      <c r="K896" s="76"/>
    </row>
    <row r="897" s="1" customFormat="1" ht="14.25" spans="1:11">
      <c r="A897" s="71">
        <v>6</v>
      </c>
      <c r="B897" s="72">
        <v>30</v>
      </c>
      <c r="C897" s="72">
        <v>5</v>
      </c>
      <c r="D897" s="73" t="s">
        <v>967</v>
      </c>
      <c r="E897" s="73" t="s">
        <v>85</v>
      </c>
      <c r="F897" s="73" t="s">
        <v>967</v>
      </c>
      <c r="G897" s="73" t="s">
        <v>32</v>
      </c>
      <c r="H897" s="74" t="s">
        <v>1142</v>
      </c>
      <c r="I897" s="74">
        <v>10</v>
      </c>
      <c r="J897" s="75">
        <v>0</v>
      </c>
      <c r="K897" s="76"/>
    </row>
    <row r="898" s="1" customFormat="1" ht="14.25" spans="1:11">
      <c r="A898" s="71">
        <v>6</v>
      </c>
      <c r="B898" s="72">
        <v>30</v>
      </c>
      <c r="C898" s="72">
        <v>5</v>
      </c>
      <c r="D898" s="73" t="s">
        <v>255</v>
      </c>
      <c r="E898" s="73" t="s">
        <v>96</v>
      </c>
      <c r="F898" s="73" t="s">
        <v>97</v>
      </c>
      <c r="G898" s="73" t="s">
        <v>32</v>
      </c>
      <c r="H898" s="74" t="s">
        <v>1142</v>
      </c>
      <c r="I898" s="74">
        <v>27</v>
      </c>
      <c r="J898" s="75">
        <v>0</v>
      </c>
      <c r="K898" s="76"/>
    </row>
    <row r="899" s="1" customFormat="1" ht="14.25" spans="1:11">
      <c r="A899" s="71">
        <v>6</v>
      </c>
      <c r="B899" s="72">
        <v>30</v>
      </c>
      <c r="C899" s="72">
        <v>5</v>
      </c>
      <c r="D899" s="73" t="s">
        <v>1143</v>
      </c>
      <c r="E899" s="73" t="s">
        <v>48</v>
      </c>
      <c r="F899" s="73" t="s">
        <v>55</v>
      </c>
      <c r="G899" s="73" t="s">
        <v>32</v>
      </c>
      <c r="H899" s="74" t="s">
        <v>1142</v>
      </c>
      <c r="I899" s="74">
        <v>25</v>
      </c>
      <c r="J899" s="75">
        <v>0</v>
      </c>
      <c r="K899" s="76"/>
    </row>
    <row r="900" s="1" customFormat="1" ht="14.25" spans="1:11">
      <c r="A900" s="71">
        <v>6</v>
      </c>
      <c r="B900" s="72">
        <v>30</v>
      </c>
      <c r="C900" s="72">
        <v>5</v>
      </c>
      <c r="D900" s="73" t="s">
        <v>124</v>
      </c>
      <c r="E900" s="73" t="s">
        <v>48</v>
      </c>
      <c r="F900" s="73" t="s">
        <v>125</v>
      </c>
      <c r="G900" s="73" t="s">
        <v>32</v>
      </c>
      <c r="H900" s="74" t="s">
        <v>1142</v>
      </c>
      <c r="I900" s="74">
        <v>8</v>
      </c>
      <c r="J900" s="75">
        <v>0</v>
      </c>
      <c r="K900" s="76"/>
    </row>
    <row r="901" s="1" customFormat="1" ht="14.25" spans="1:11">
      <c r="A901" s="71">
        <v>6</v>
      </c>
      <c r="B901" s="72">
        <v>30</v>
      </c>
      <c r="C901" s="72">
        <v>6</v>
      </c>
      <c r="D901" s="73" t="s">
        <v>1144</v>
      </c>
      <c r="E901" s="73" t="s">
        <v>48</v>
      </c>
      <c r="F901" s="73" t="s">
        <v>233</v>
      </c>
      <c r="G901" s="73" t="s">
        <v>32</v>
      </c>
      <c r="H901" s="74" t="s">
        <v>1145</v>
      </c>
      <c r="I901" s="74">
        <v>200</v>
      </c>
      <c r="J901" s="75">
        <v>0</v>
      </c>
      <c r="K901" s="76"/>
    </row>
    <row r="902" s="1" customFormat="1" ht="14.25" spans="1:11">
      <c r="A902" s="71">
        <v>6</v>
      </c>
      <c r="B902" s="72">
        <v>30</v>
      </c>
      <c r="C902" s="72">
        <v>6</v>
      </c>
      <c r="D902" s="73" t="s">
        <v>1146</v>
      </c>
      <c r="E902" s="73" t="s">
        <v>211</v>
      </c>
      <c r="F902" s="73" t="s">
        <v>1146</v>
      </c>
      <c r="G902" s="73" t="s">
        <v>32</v>
      </c>
      <c r="H902" s="74" t="s">
        <v>1145</v>
      </c>
      <c r="I902" s="74">
        <v>210</v>
      </c>
      <c r="J902" s="75">
        <v>0</v>
      </c>
      <c r="K902" s="76"/>
    </row>
    <row r="903" s="1" customFormat="1" ht="14.25" spans="1:11">
      <c r="A903" s="71">
        <v>6</v>
      </c>
      <c r="B903" s="72">
        <v>30</v>
      </c>
      <c r="C903" s="72">
        <v>6</v>
      </c>
      <c r="D903" s="73" t="s">
        <v>275</v>
      </c>
      <c r="E903" s="73" t="s">
        <v>48</v>
      </c>
      <c r="F903" s="73" t="s">
        <v>125</v>
      </c>
      <c r="G903" s="73" t="s">
        <v>32</v>
      </c>
      <c r="H903" s="74" t="s">
        <v>1145</v>
      </c>
      <c r="I903" s="74">
        <v>155</v>
      </c>
      <c r="J903" s="75">
        <v>0</v>
      </c>
      <c r="K903" s="76"/>
    </row>
    <row r="904" s="1" customFormat="1" ht="14.25" spans="1:11">
      <c r="A904" s="71">
        <v>6</v>
      </c>
      <c r="B904" s="72">
        <v>30</v>
      </c>
      <c r="C904" s="72">
        <v>6</v>
      </c>
      <c r="D904" s="73" t="s">
        <v>1147</v>
      </c>
      <c r="E904" s="73" t="s">
        <v>48</v>
      </c>
      <c r="F904" s="73" t="s">
        <v>55</v>
      </c>
      <c r="G904" s="73" t="s">
        <v>32</v>
      </c>
      <c r="H904" s="74" t="s">
        <v>1145</v>
      </c>
      <c r="I904" s="74">
        <v>100</v>
      </c>
      <c r="J904" s="75">
        <v>0</v>
      </c>
      <c r="K904" s="76"/>
    </row>
    <row r="905" s="1" customFormat="1" ht="14.25" spans="1:11">
      <c r="A905" s="71">
        <v>6</v>
      </c>
      <c r="B905" s="72">
        <v>30</v>
      </c>
      <c r="C905" s="72">
        <v>6</v>
      </c>
      <c r="D905" s="73" t="s">
        <v>255</v>
      </c>
      <c r="E905" s="73" t="s">
        <v>96</v>
      </c>
      <c r="F905" s="73" t="s">
        <v>97</v>
      </c>
      <c r="G905" s="73" t="s">
        <v>32</v>
      </c>
      <c r="H905" s="74" t="s">
        <v>1145</v>
      </c>
      <c r="I905" s="74">
        <v>134.35</v>
      </c>
      <c r="J905" s="75">
        <v>0</v>
      </c>
      <c r="K905" s="76"/>
    </row>
    <row r="906" s="1" customFormat="1" ht="14.25" spans="1:11">
      <c r="A906" s="71">
        <v>6</v>
      </c>
      <c r="B906" s="72">
        <v>30</v>
      </c>
      <c r="C906" s="72">
        <v>6</v>
      </c>
      <c r="D906" s="73" t="s">
        <v>1148</v>
      </c>
      <c r="E906" s="73" t="s">
        <v>48</v>
      </c>
      <c r="F906" s="73" t="s">
        <v>55</v>
      </c>
      <c r="G906" s="73" t="s">
        <v>32</v>
      </c>
      <c r="H906" s="74" t="s">
        <v>1149</v>
      </c>
      <c r="I906" s="74">
        <v>55</v>
      </c>
      <c r="J906" s="75">
        <v>0</v>
      </c>
      <c r="K906" s="76"/>
    </row>
    <row r="907" s="1" customFormat="1" ht="14.25" spans="1:11">
      <c r="A907" s="71">
        <v>6</v>
      </c>
      <c r="B907" s="72">
        <v>30</v>
      </c>
      <c r="C907" s="72">
        <v>6</v>
      </c>
      <c r="D907" s="73" t="s">
        <v>1150</v>
      </c>
      <c r="E907" s="73" t="s">
        <v>48</v>
      </c>
      <c r="F907" s="73" t="s">
        <v>55</v>
      </c>
      <c r="G907" s="73" t="s">
        <v>32</v>
      </c>
      <c r="H907" s="74" t="s">
        <v>1149</v>
      </c>
      <c r="I907" s="74">
        <v>120</v>
      </c>
      <c r="J907" s="75">
        <v>0</v>
      </c>
      <c r="K907" s="76"/>
    </row>
    <row r="908" s="1" customFormat="1" ht="14.25" spans="1:11">
      <c r="A908" s="71">
        <v>6</v>
      </c>
      <c r="B908" s="72">
        <v>30</v>
      </c>
      <c r="C908" s="72">
        <v>6</v>
      </c>
      <c r="D908" s="73" t="s">
        <v>1151</v>
      </c>
      <c r="E908" s="73" t="s">
        <v>48</v>
      </c>
      <c r="F908" s="73" t="s">
        <v>55</v>
      </c>
      <c r="G908" s="73" t="s">
        <v>32</v>
      </c>
      <c r="H908" s="74" t="s">
        <v>1149</v>
      </c>
      <c r="I908" s="74">
        <v>150</v>
      </c>
      <c r="J908" s="75">
        <v>0</v>
      </c>
      <c r="K908" s="76"/>
    </row>
    <row r="909" s="1" customFormat="1" ht="14.25" spans="1:11">
      <c r="A909" s="71">
        <v>6</v>
      </c>
      <c r="B909" s="72">
        <v>30</v>
      </c>
      <c r="C909" s="72">
        <v>6</v>
      </c>
      <c r="D909" s="73" t="s">
        <v>1152</v>
      </c>
      <c r="E909" s="73" t="s">
        <v>48</v>
      </c>
      <c r="F909" s="73" t="s">
        <v>55</v>
      </c>
      <c r="G909" s="73" t="s">
        <v>32</v>
      </c>
      <c r="H909" s="74" t="s">
        <v>1149</v>
      </c>
      <c r="I909" s="74">
        <v>93</v>
      </c>
      <c r="J909" s="75">
        <v>0</v>
      </c>
      <c r="K909" s="76"/>
    </row>
    <row r="910" s="1" customFormat="1" ht="14.25" spans="1:11">
      <c r="A910" s="71">
        <v>6</v>
      </c>
      <c r="B910" s="72">
        <v>30</v>
      </c>
      <c r="C910" s="72">
        <v>6</v>
      </c>
      <c r="D910" s="73" t="s">
        <v>1153</v>
      </c>
      <c r="E910" s="73" t="s">
        <v>48</v>
      </c>
      <c r="F910" s="73" t="s">
        <v>55</v>
      </c>
      <c r="G910" s="73" t="s">
        <v>32</v>
      </c>
      <c r="H910" s="74" t="s">
        <v>1149</v>
      </c>
      <c r="I910" s="74">
        <v>62</v>
      </c>
      <c r="J910" s="75">
        <v>0</v>
      </c>
      <c r="K910" s="76"/>
    </row>
    <row r="911" s="1" customFormat="1" ht="14.25" spans="1:11">
      <c r="A911" s="71">
        <v>6</v>
      </c>
      <c r="B911" s="72">
        <v>30</v>
      </c>
      <c r="C911" s="72">
        <v>7</v>
      </c>
      <c r="D911" s="73" t="s">
        <v>255</v>
      </c>
      <c r="E911" s="73" t="s">
        <v>96</v>
      </c>
      <c r="F911" s="73" t="s">
        <v>97</v>
      </c>
      <c r="G911" s="73" t="s">
        <v>32</v>
      </c>
      <c r="H911" s="74" t="s">
        <v>1154</v>
      </c>
      <c r="I911" s="74">
        <v>175</v>
      </c>
      <c r="J911" s="75">
        <v>0</v>
      </c>
      <c r="K911" s="76"/>
    </row>
    <row r="912" s="1" customFormat="1" ht="14.25" spans="1:11">
      <c r="A912" s="71">
        <v>6</v>
      </c>
      <c r="B912" s="72">
        <v>30</v>
      </c>
      <c r="C912" s="72">
        <v>7</v>
      </c>
      <c r="D912" s="73" t="s">
        <v>1155</v>
      </c>
      <c r="E912" s="73" t="s">
        <v>48</v>
      </c>
      <c r="F912" s="73" t="s">
        <v>49</v>
      </c>
      <c r="G912" s="73" t="s">
        <v>32</v>
      </c>
      <c r="H912" s="74" t="s">
        <v>1154</v>
      </c>
      <c r="I912" s="74">
        <v>4500</v>
      </c>
      <c r="J912" s="75">
        <v>0</v>
      </c>
      <c r="K912" s="76"/>
    </row>
    <row r="913" s="1" customFormat="1" ht="14.25" spans="1:11">
      <c r="A913" s="71">
        <v>6</v>
      </c>
      <c r="B913" s="72">
        <v>30</v>
      </c>
      <c r="C913" s="72">
        <v>7</v>
      </c>
      <c r="D913" s="73" t="s">
        <v>1156</v>
      </c>
      <c r="E913" s="73" t="s">
        <v>48</v>
      </c>
      <c r="F913" s="73" t="s">
        <v>233</v>
      </c>
      <c r="G913" s="73" t="s">
        <v>32</v>
      </c>
      <c r="H913" s="74" t="s">
        <v>1154</v>
      </c>
      <c r="I913" s="74">
        <v>4</v>
      </c>
      <c r="J913" s="75">
        <v>0</v>
      </c>
      <c r="K913" s="76"/>
    </row>
    <row r="914" s="1" customFormat="1" ht="14.25" spans="1:11">
      <c r="A914" s="71">
        <v>6</v>
      </c>
      <c r="B914" s="72">
        <v>30</v>
      </c>
      <c r="C914" s="72">
        <v>7</v>
      </c>
      <c r="D914" s="73" t="s">
        <v>1157</v>
      </c>
      <c r="E914" s="73" t="s">
        <v>48</v>
      </c>
      <c r="F914" s="73" t="s">
        <v>233</v>
      </c>
      <c r="G914" s="73" t="s">
        <v>32</v>
      </c>
      <c r="H914" s="74" t="s">
        <v>1154</v>
      </c>
      <c r="I914" s="74">
        <v>100</v>
      </c>
      <c r="J914" s="75">
        <v>0</v>
      </c>
      <c r="K914" s="76"/>
    </row>
    <row r="915" s="1" customFormat="1" ht="14.25" spans="1:11">
      <c r="A915" s="71">
        <v>6</v>
      </c>
      <c r="B915" s="72">
        <v>30</v>
      </c>
      <c r="C915" s="72">
        <v>7</v>
      </c>
      <c r="D915" s="73" t="s">
        <v>1158</v>
      </c>
      <c r="E915" s="73" t="s">
        <v>48</v>
      </c>
      <c r="F915" s="73" t="s">
        <v>55</v>
      </c>
      <c r="G915" s="73" t="s">
        <v>32</v>
      </c>
      <c r="H915" s="74" t="s">
        <v>1154</v>
      </c>
      <c r="I915" s="74">
        <v>80</v>
      </c>
      <c r="J915" s="75">
        <v>0</v>
      </c>
      <c r="K915" s="76"/>
    </row>
    <row r="916" s="1" customFormat="1" ht="14.25" spans="1:11">
      <c r="A916" s="71">
        <v>6</v>
      </c>
      <c r="B916" s="72">
        <v>30</v>
      </c>
      <c r="C916" s="72">
        <v>7</v>
      </c>
      <c r="D916" s="73" t="s">
        <v>1159</v>
      </c>
      <c r="E916" s="73" t="s">
        <v>48</v>
      </c>
      <c r="F916" s="73" t="s">
        <v>233</v>
      </c>
      <c r="G916" s="73" t="s">
        <v>32</v>
      </c>
      <c r="H916" s="74" t="s">
        <v>1160</v>
      </c>
      <c r="I916" s="74">
        <v>50</v>
      </c>
      <c r="J916" s="75">
        <v>0</v>
      </c>
      <c r="K916" s="76"/>
    </row>
    <row r="917" s="1" customFormat="1" ht="14.25" spans="1:11">
      <c r="A917" s="71">
        <v>6</v>
      </c>
      <c r="B917" s="72">
        <v>30</v>
      </c>
      <c r="C917" s="72">
        <v>7</v>
      </c>
      <c r="D917" s="73" t="s">
        <v>1161</v>
      </c>
      <c r="E917" s="73" t="s">
        <v>48</v>
      </c>
      <c r="F917" s="73" t="s">
        <v>233</v>
      </c>
      <c r="G917" s="73" t="s">
        <v>32</v>
      </c>
      <c r="H917" s="74" t="s">
        <v>1160</v>
      </c>
      <c r="I917" s="74">
        <v>566</v>
      </c>
      <c r="J917" s="75">
        <v>0</v>
      </c>
      <c r="K917" s="76"/>
    </row>
    <row r="918" s="1" customFormat="1" ht="14.25" spans="1:11">
      <c r="A918" s="71">
        <v>6</v>
      </c>
      <c r="B918" s="72">
        <v>30</v>
      </c>
      <c r="C918" s="72">
        <v>7</v>
      </c>
      <c r="D918" s="73" t="s">
        <v>255</v>
      </c>
      <c r="E918" s="73" t="s">
        <v>96</v>
      </c>
      <c r="F918" s="73" t="s">
        <v>97</v>
      </c>
      <c r="G918" s="73" t="s">
        <v>32</v>
      </c>
      <c r="H918" s="74" t="s">
        <v>1160</v>
      </c>
      <c r="I918" s="74">
        <v>25</v>
      </c>
      <c r="J918" s="75">
        <v>0</v>
      </c>
      <c r="K918" s="76"/>
    </row>
    <row r="919" s="1" customFormat="1" ht="14.25" spans="1:11">
      <c r="A919" s="71">
        <v>6</v>
      </c>
      <c r="B919" s="72">
        <v>30</v>
      </c>
      <c r="C919" s="72">
        <v>7</v>
      </c>
      <c r="D919" s="73" t="s">
        <v>255</v>
      </c>
      <c r="E919" s="73" t="s">
        <v>96</v>
      </c>
      <c r="F919" s="73" t="s">
        <v>97</v>
      </c>
      <c r="G919" s="73" t="s">
        <v>32</v>
      </c>
      <c r="H919" s="74" t="s">
        <v>1160</v>
      </c>
      <c r="I919" s="74">
        <v>170</v>
      </c>
      <c r="J919" s="75">
        <v>0</v>
      </c>
      <c r="K919" s="76"/>
    </row>
    <row r="920" s="1" customFormat="1" ht="14.25" spans="1:11">
      <c r="A920" s="71">
        <v>6</v>
      </c>
      <c r="B920" s="72">
        <v>30</v>
      </c>
      <c r="C920" s="72">
        <v>7</v>
      </c>
      <c r="D920" s="73" t="s">
        <v>255</v>
      </c>
      <c r="E920" s="73" t="s">
        <v>96</v>
      </c>
      <c r="F920" s="73" t="s">
        <v>97</v>
      </c>
      <c r="G920" s="73" t="s">
        <v>32</v>
      </c>
      <c r="H920" s="74" t="s">
        <v>1160</v>
      </c>
      <c r="I920" s="74">
        <v>22</v>
      </c>
      <c r="J920" s="75">
        <v>0</v>
      </c>
      <c r="K920" s="76"/>
    </row>
    <row r="921" s="1" customFormat="1" ht="14.25" spans="1:11">
      <c r="A921" s="71">
        <v>6</v>
      </c>
      <c r="B921" s="72">
        <v>30</v>
      </c>
      <c r="C921" s="72">
        <v>8</v>
      </c>
      <c r="D921" s="73" t="s">
        <v>1162</v>
      </c>
      <c r="E921" s="73" t="s">
        <v>48</v>
      </c>
      <c r="F921" s="73" t="s">
        <v>49</v>
      </c>
      <c r="G921" s="73" t="s">
        <v>32</v>
      </c>
      <c r="H921" s="74" t="s">
        <v>1163</v>
      </c>
      <c r="I921" s="74">
        <v>6656</v>
      </c>
      <c r="J921" s="75">
        <v>0</v>
      </c>
      <c r="K921" s="76"/>
    </row>
    <row r="922" s="1" customFormat="1" ht="14.25" spans="1:11">
      <c r="A922" s="71">
        <v>6</v>
      </c>
      <c r="B922" s="72">
        <v>30</v>
      </c>
      <c r="C922" s="72">
        <v>8</v>
      </c>
      <c r="D922" s="73" t="s">
        <v>1164</v>
      </c>
      <c r="E922" s="73" t="s">
        <v>96</v>
      </c>
      <c r="F922" s="73" t="s">
        <v>55</v>
      </c>
      <c r="G922" s="73" t="s">
        <v>32</v>
      </c>
      <c r="H922" s="74" t="s">
        <v>1163</v>
      </c>
      <c r="I922" s="74">
        <v>120</v>
      </c>
      <c r="J922" s="75">
        <v>0</v>
      </c>
      <c r="K922" s="76"/>
    </row>
    <row r="923" s="1" customFormat="1" ht="14.25" spans="1:11">
      <c r="A923" s="71">
        <v>6</v>
      </c>
      <c r="B923" s="72">
        <v>30</v>
      </c>
      <c r="C923" s="72">
        <v>8</v>
      </c>
      <c r="D923" s="73" t="s">
        <v>1165</v>
      </c>
      <c r="E923" s="73" t="s">
        <v>118</v>
      </c>
      <c r="F923" s="73" t="s">
        <v>136</v>
      </c>
      <c r="G923" s="73" t="s">
        <v>32</v>
      </c>
      <c r="H923" s="74" t="s">
        <v>1163</v>
      </c>
      <c r="I923" s="74">
        <v>80</v>
      </c>
      <c r="J923" s="75">
        <v>0</v>
      </c>
      <c r="K923" s="76"/>
    </row>
    <row r="924" s="1" customFormat="1" ht="14.25" spans="1:11">
      <c r="A924" s="71">
        <v>6</v>
      </c>
      <c r="B924" s="72">
        <v>30</v>
      </c>
      <c r="C924" s="72">
        <v>8</v>
      </c>
      <c r="D924" s="73" t="s">
        <v>1166</v>
      </c>
      <c r="E924" s="73" t="s">
        <v>96</v>
      </c>
      <c r="F924" s="73" t="s">
        <v>55</v>
      </c>
      <c r="G924" s="73" t="s">
        <v>32</v>
      </c>
      <c r="H924" s="74" t="s">
        <v>1163</v>
      </c>
      <c r="I924" s="74">
        <v>90</v>
      </c>
      <c r="J924" s="75">
        <v>0</v>
      </c>
      <c r="K924" s="76"/>
    </row>
    <row r="925" s="1" customFormat="1" ht="14.25" spans="1:11">
      <c r="A925" s="71">
        <v>6</v>
      </c>
      <c r="B925" s="72">
        <v>30</v>
      </c>
      <c r="C925" s="72">
        <v>8</v>
      </c>
      <c r="D925" s="73" t="s">
        <v>1167</v>
      </c>
      <c r="E925" s="73" t="s">
        <v>48</v>
      </c>
      <c r="F925" s="73" t="s">
        <v>55</v>
      </c>
      <c r="G925" s="73" t="s">
        <v>32</v>
      </c>
      <c r="H925" s="74" t="s">
        <v>1163</v>
      </c>
      <c r="I925" s="74">
        <v>15</v>
      </c>
      <c r="J925" s="75">
        <v>0</v>
      </c>
      <c r="K925" s="76"/>
    </row>
    <row r="926" s="1" customFormat="1" ht="14.25" spans="1:11">
      <c r="A926" s="71">
        <v>6</v>
      </c>
      <c r="B926" s="72">
        <v>30</v>
      </c>
      <c r="C926" s="72">
        <v>8</v>
      </c>
      <c r="D926" s="73" t="s">
        <v>719</v>
      </c>
      <c r="E926" s="73" t="s">
        <v>291</v>
      </c>
      <c r="F926" s="73" t="s">
        <v>719</v>
      </c>
      <c r="G926" s="73" t="s">
        <v>32</v>
      </c>
      <c r="H926" s="74" t="s">
        <v>1168</v>
      </c>
      <c r="I926" s="74">
        <v>5750</v>
      </c>
      <c r="J926" s="75">
        <v>0</v>
      </c>
      <c r="K926" s="76"/>
    </row>
    <row r="927" s="1" customFormat="1" ht="14.25" spans="1:11">
      <c r="A927" s="71">
        <v>6</v>
      </c>
      <c r="B927" s="72">
        <v>30</v>
      </c>
      <c r="C927" s="72">
        <v>8</v>
      </c>
      <c r="D927" s="73" t="s">
        <v>1169</v>
      </c>
      <c r="E927" s="73" t="s">
        <v>100</v>
      </c>
      <c r="F927" s="73" t="s">
        <v>101</v>
      </c>
      <c r="G927" s="73" t="s">
        <v>32</v>
      </c>
      <c r="H927" s="74" t="s">
        <v>1168</v>
      </c>
      <c r="I927" s="74">
        <v>46</v>
      </c>
      <c r="J927" s="75">
        <v>0</v>
      </c>
      <c r="K927" s="76"/>
    </row>
    <row r="928" s="1" customFormat="1" ht="14.25" spans="1:11">
      <c r="A928" s="71">
        <v>6</v>
      </c>
      <c r="B928" s="72">
        <v>30</v>
      </c>
      <c r="C928" s="72">
        <v>8</v>
      </c>
      <c r="D928" s="73" t="s">
        <v>1170</v>
      </c>
      <c r="E928" s="73" t="s">
        <v>118</v>
      </c>
      <c r="F928" s="73" t="s">
        <v>151</v>
      </c>
      <c r="G928" s="73" t="s">
        <v>32</v>
      </c>
      <c r="H928" s="74" t="s">
        <v>1168</v>
      </c>
      <c r="I928" s="74">
        <v>19200</v>
      </c>
      <c r="J928" s="75">
        <v>0</v>
      </c>
      <c r="K928" s="76"/>
    </row>
    <row r="929" s="1" customFormat="1" ht="14.25" spans="1:11">
      <c r="A929" s="71">
        <v>6</v>
      </c>
      <c r="B929" s="72">
        <v>30</v>
      </c>
      <c r="C929" s="72">
        <v>8</v>
      </c>
      <c r="D929" s="73" t="s">
        <v>1171</v>
      </c>
      <c r="E929" s="73" t="s">
        <v>118</v>
      </c>
      <c r="F929" s="73" t="s">
        <v>151</v>
      </c>
      <c r="G929" s="73" t="s">
        <v>32</v>
      </c>
      <c r="H929" s="74" t="s">
        <v>1168</v>
      </c>
      <c r="I929" s="74">
        <v>5184</v>
      </c>
      <c r="J929" s="75">
        <v>0</v>
      </c>
      <c r="K929" s="76"/>
    </row>
    <row r="930" s="1" customFormat="1" ht="14.25" spans="1:11">
      <c r="A930" s="71">
        <v>6</v>
      </c>
      <c r="B930" s="72">
        <v>30</v>
      </c>
      <c r="C930" s="72">
        <v>8</v>
      </c>
      <c r="D930" s="73" t="s">
        <v>1155</v>
      </c>
      <c r="E930" s="73" t="s">
        <v>48</v>
      </c>
      <c r="F930" s="73" t="s">
        <v>49</v>
      </c>
      <c r="G930" s="73" t="s">
        <v>32</v>
      </c>
      <c r="H930" s="74" t="s">
        <v>1168</v>
      </c>
      <c r="I930" s="74">
        <v>500</v>
      </c>
      <c r="J930" s="75">
        <v>0</v>
      </c>
      <c r="K930" s="76"/>
    </row>
    <row r="931" s="1" customFormat="1" ht="14.25" spans="1:11">
      <c r="A931" s="71">
        <v>6</v>
      </c>
      <c r="B931" s="72">
        <v>30</v>
      </c>
      <c r="C931" s="72">
        <v>9</v>
      </c>
      <c r="D931" s="73" t="s">
        <v>255</v>
      </c>
      <c r="E931" s="73" t="s">
        <v>96</v>
      </c>
      <c r="F931" s="73" t="s">
        <v>97</v>
      </c>
      <c r="G931" s="73" t="s">
        <v>32</v>
      </c>
      <c r="H931" s="74" t="s">
        <v>1172</v>
      </c>
      <c r="I931" s="74">
        <v>10</v>
      </c>
      <c r="J931" s="75">
        <v>0</v>
      </c>
      <c r="K931" s="76"/>
    </row>
    <row r="932" s="1" customFormat="1" ht="14.25" spans="1:11">
      <c r="A932" s="71">
        <v>6</v>
      </c>
      <c r="B932" s="72">
        <v>30</v>
      </c>
      <c r="C932" s="72">
        <v>9</v>
      </c>
      <c r="D932" s="73" t="s">
        <v>1173</v>
      </c>
      <c r="E932" s="73" t="s">
        <v>48</v>
      </c>
      <c r="F932" s="73" t="s">
        <v>207</v>
      </c>
      <c r="G932" s="73" t="s">
        <v>32</v>
      </c>
      <c r="H932" s="74" t="s">
        <v>1172</v>
      </c>
      <c r="I932" s="74">
        <v>92</v>
      </c>
      <c r="J932" s="75">
        <v>0</v>
      </c>
      <c r="K932" s="76"/>
    </row>
    <row r="933" s="1" customFormat="1" ht="14.25" spans="1:11">
      <c r="A933" s="71">
        <v>6</v>
      </c>
      <c r="B933" s="72">
        <v>30</v>
      </c>
      <c r="C933" s="72">
        <v>9</v>
      </c>
      <c r="D933" s="73" t="s">
        <v>331</v>
      </c>
      <c r="E933" s="73" t="s">
        <v>48</v>
      </c>
      <c r="F933" s="73" t="s">
        <v>331</v>
      </c>
      <c r="G933" s="73" t="s">
        <v>32</v>
      </c>
      <c r="H933" s="74" t="s">
        <v>1172</v>
      </c>
      <c r="I933" s="74">
        <v>10250</v>
      </c>
      <c r="J933" s="75">
        <v>0</v>
      </c>
      <c r="K933" s="76"/>
    </row>
    <row r="934" s="1" customFormat="1" ht="14.25" spans="1:11">
      <c r="A934" s="71">
        <v>6</v>
      </c>
      <c r="B934" s="72">
        <v>30</v>
      </c>
      <c r="C934" s="72">
        <v>9</v>
      </c>
      <c r="D934" s="73" t="s">
        <v>1174</v>
      </c>
      <c r="E934" s="73" t="s">
        <v>96</v>
      </c>
      <c r="F934" s="73" t="s">
        <v>97</v>
      </c>
      <c r="G934" s="73" t="s">
        <v>32</v>
      </c>
      <c r="H934" s="74" t="s">
        <v>1172</v>
      </c>
      <c r="I934" s="74">
        <v>350</v>
      </c>
      <c r="J934" s="75">
        <v>0</v>
      </c>
      <c r="K934" s="76"/>
    </row>
    <row r="935" s="1" customFormat="1" ht="14.25" spans="1:11">
      <c r="A935" s="71">
        <v>6</v>
      </c>
      <c r="B935" s="72">
        <v>30</v>
      </c>
      <c r="C935" s="72">
        <v>9</v>
      </c>
      <c r="D935" s="73" t="s">
        <v>1175</v>
      </c>
      <c r="E935" s="73" t="s">
        <v>48</v>
      </c>
      <c r="F935" s="73" t="s">
        <v>55</v>
      </c>
      <c r="G935" s="73" t="s">
        <v>32</v>
      </c>
      <c r="H935" s="74" t="s">
        <v>1172</v>
      </c>
      <c r="I935" s="74">
        <v>73</v>
      </c>
      <c r="J935" s="75">
        <v>0</v>
      </c>
      <c r="K935" s="76"/>
    </row>
    <row r="936" s="1" customFormat="1" ht="14.25" spans="1:11">
      <c r="A936" s="71">
        <v>6</v>
      </c>
      <c r="B936" s="72">
        <v>30</v>
      </c>
      <c r="C936" s="72">
        <v>10</v>
      </c>
      <c r="D936" s="73" t="s">
        <v>1176</v>
      </c>
      <c r="E936" s="73" t="s">
        <v>118</v>
      </c>
      <c r="F936" s="73" t="s">
        <v>489</v>
      </c>
      <c r="G936" s="73" t="s">
        <v>32</v>
      </c>
      <c r="H936" s="74" t="s">
        <v>1177</v>
      </c>
      <c r="I936" s="74">
        <v>500</v>
      </c>
      <c r="J936" s="75">
        <v>0</v>
      </c>
      <c r="K936" s="76"/>
    </row>
    <row r="937" s="1" customFormat="1" ht="14.25" spans="1:11">
      <c r="A937" s="71">
        <v>6</v>
      </c>
      <c r="B937" s="72">
        <v>30</v>
      </c>
      <c r="C937" s="72">
        <v>10</v>
      </c>
      <c r="D937" s="73" t="s">
        <v>1178</v>
      </c>
      <c r="E937" s="73" t="s">
        <v>118</v>
      </c>
      <c r="F937" s="73" t="s">
        <v>489</v>
      </c>
      <c r="G937" s="73" t="s">
        <v>32</v>
      </c>
      <c r="H937" s="74" t="s">
        <v>1177</v>
      </c>
      <c r="I937" s="74">
        <v>800</v>
      </c>
      <c r="J937" s="75">
        <v>0</v>
      </c>
      <c r="K937" s="76"/>
    </row>
    <row r="938" s="1" customFormat="1" ht="14.25" spans="1:11">
      <c r="A938" s="71">
        <v>6</v>
      </c>
      <c r="B938" s="72">
        <v>30</v>
      </c>
      <c r="C938" s="72">
        <v>10</v>
      </c>
      <c r="D938" s="73" t="s">
        <v>1179</v>
      </c>
      <c r="E938" s="73" t="s">
        <v>172</v>
      </c>
      <c r="F938" s="73" t="s">
        <v>876</v>
      </c>
      <c r="G938" s="73" t="s">
        <v>32</v>
      </c>
      <c r="H938" s="74" t="s">
        <v>1177</v>
      </c>
      <c r="I938" s="74">
        <v>200</v>
      </c>
      <c r="J938" s="75">
        <v>0</v>
      </c>
      <c r="K938" s="76"/>
    </row>
    <row r="939" s="1" customFormat="1" ht="14.25" spans="1:11">
      <c r="A939" s="71">
        <v>6</v>
      </c>
      <c r="B939" s="72">
        <v>30</v>
      </c>
      <c r="C939" s="72">
        <v>10</v>
      </c>
      <c r="D939" s="73" t="s">
        <v>1180</v>
      </c>
      <c r="E939" s="73" t="s">
        <v>96</v>
      </c>
      <c r="F939" s="73" t="s">
        <v>97</v>
      </c>
      <c r="G939" s="73" t="s">
        <v>32</v>
      </c>
      <c r="H939" s="74" t="s">
        <v>1177</v>
      </c>
      <c r="I939" s="74">
        <v>447</v>
      </c>
      <c r="J939" s="75">
        <v>0</v>
      </c>
      <c r="K939" s="76"/>
    </row>
    <row r="940" s="1" customFormat="1" ht="14.25" spans="1:11">
      <c r="A940" s="71">
        <v>6</v>
      </c>
      <c r="B940" s="72">
        <v>30</v>
      </c>
      <c r="C940" s="72">
        <v>10</v>
      </c>
      <c r="D940" s="73" t="s">
        <v>1181</v>
      </c>
      <c r="E940" s="73" t="s">
        <v>211</v>
      </c>
      <c r="F940" s="73" t="s">
        <v>448</v>
      </c>
      <c r="G940" s="73" t="s">
        <v>32</v>
      </c>
      <c r="H940" s="74" t="s">
        <v>1177</v>
      </c>
      <c r="I940" s="74">
        <v>150</v>
      </c>
      <c r="J940" s="75">
        <v>0</v>
      </c>
      <c r="K940" s="76"/>
    </row>
    <row r="941" s="1" customFormat="1" ht="14.25" spans="1:11">
      <c r="A941" s="71">
        <v>6</v>
      </c>
      <c r="B941" s="72">
        <v>30</v>
      </c>
      <c r="C941" s="72">
        <v>10</v>
      </c>
      <c r="D941" s="73" t="s">
        <v>1182</v>
      </c>
      <c r="E941" s="73" t="s">
        <v>118</v>
      </c>
      <c r="F941" s="73" t="s">
        <v>136</v>
      </c>
      <c r="G941" s="73" t="s">
        <v>32</v>
      </c>
      <c r="H941" s="74" t="s">
        <v>1177</v>
      </c>
      <c r="I941" s="74">
        <v>366</v>
      </c>
      <c r="J941" s="75">
        <v>0</v>
      </c>
      <c r="K941" s="76"/>
    </row>
    <row r="942" s="1" customFormat="1" ht="14.25" spans="1:11">
      <c r="A942" s="71">
        <v>6</v>
      </c>
      <c r="B942" s="72">
        <v>30</v>
      </c>
      <c r="C942" s="72">
        <v>10</v>
      </c>
      <c r="D942" s="73" t="s">
        <v>1183</v>
      </c>
      <c r="E942" s="73" t="s">
        <v>291</v>
      </c>
      <c r="F942" s="73" t="s">
        <v>1184</v>
      </c>
      <c r="G942" s="73" t="s">
        <v>32</v>
      </c>
      <c r="H942" s="74" t="s">
        <v>1177</v>
      </c>
      <c r="I942" s="74">
        <v>153100</v>
      </c>
      <c r="J942" s="75">
        <v>0</v>
      </c>
      <c r="K942" s="76"/>
    </row>
    <row r="943" s="1" customFormat="1" ht="14.25" spans="1:11">
      <c r="A943" s="71">
        <v>6</v>
      </c>
      <c r="B943" s="72">
        <v>30</v>
      </c>
      <c r="C943" s="72">
        <v>9</v>
      </c>
      <c r="D943" s="73" t="s">
        <v>255</v>
      </c>
      <c r="E943" s="73" t="s">
        <v>96</v>
      </c>
      <c r="F943" s="73" t="s">
        <v>97</v>
      </c>
      <c r="G943" s="73" t="s">
        <v>32</v>
      </c>
      <c r="H943" s="74" t="s">
        <v>1185</v>
      </c>
      <c r="I943" s="74">
        <v>10</v>
      </c>
      <c r="J943" s="75">
        <v>0</v>
      </c>
      <c r="K943" s="76"/>
    </row>
    <row r="944" s="1" customFormat="1" ht="14.25" spans="1:11">
      <c r="A944" s="71">
        <v>6</v>
      </c>
      <c r="B944" s="72">
        <v>30</v>
      </c>
      <c r="C944" s="72">
        <v>9</v>
      </c>
      <c r="D944" s="73" t="s">
        <v>1186</v>
      </c>
      <c r="E944" s="73" t="s">
        <v>48</v>
      </c>
      <c r="F944" s="73" t="s">
        <v>55</v>
      </c>
      <c r="G944" s="73" t="s">
        <v>32</v>
      </c>
      <c r="H944" s="74" t="s">
        <v>1185</v>
      </c>
      <c r="I944" s="74">
        <v>40</v>
      </c>
      <c r="J944" s="75">
        <v>0</v>
      </c>
      <c r="K944" s="76"/>
    </row>
    <row r="945" s="1" customFormat="1" ht="14.25" spans="1:11">
      <c r="A945" s="71">
        <v>6</v>
      </c>
      <c r="B945" s="72">
        <v>30</v>
      </c>
      <c r="C945" s="72">
        <v>9</v>
      </c>
      <c r="D945" s="73" t="s">
        <v>1187</v>
      </c>
      <c r="E945" s="73" t="s">
        <v>118</v>
      </c>
      <c r="F945" s="73" t="s">
        <v>151</v>
      </c>
      <c r="G945" s="73" t="s">
        <v>32</v>
      </c>
      <c r="H945" s="74" t="s">
        <v>1185</v>
      </c>
      <c r="I945" s="74">
        <v>510</v>
      </c>
      <c r="J945" s="75">
        <v>0</v>
      </c>
      <c r="K945" s="76"/>
    </row>
    <row r="946" s="1" customFormat="1" ht="14.25" spans="1:11">
      <c r="A946" s="71">
        <v>6</v>
      </c>
      <c r="B946" s="72">
        <v>30</v>
      </c>
      <c r="C946" s="72">
        <v>9</v>
      </c>
      <c r="D946" s="73" t="s">
        <v>1187</v>
      </c>
      <c r="E946" s="73" t="s">
        <v>118</v>
      </c>
      <c r="F946" s="73" t="s">
        <v>151</v>
      </c>
      <c r="G946" s="73" t="s">
        <v>32</v>
      </c>
      <c r="H946" s="74" t="s">
        <v>1185</v>
      </c>
      <c r="I946" s="74">
        <v>510</v>
      </c>
      <c r="J946" s="75">
        <v>0</v>
      </c>
      <c r="K946" s="76"/>
    </row>
    <row r="947" s="1" customFormat="1" ht="14.25" spans="1:11">
      <c r="A947" s="71">
        <v>6</v>
      </c>
      <c r="B947" s="72">
        <v>30</v>
      </c>
      <c r="C947" s="72">
        <v>9</v>
      </c>
      <c r="D947" s="73" t="s">
        <v>1188</v>
      </c>
      <c r="E947" s="73" t="s">
        <v>48</v>
      </c>
      <c r="F947" s="73" t="s">
        <v>207</v>
      </c>
      <c r="G947" s="73" t="s">
        <v>32</v>
      </c>
      <c r="H947" s="74" t="s">
        <v>1185</v>
      </c>
      <c r="I947" s="74">
        <v>990</v>
      </c>
      <c r="J947" s="75">
        <v>0</v>
      </c>
      <c r="K947" s="76"/>
    </row>
    <row r="948" s="1" customFormat="1" ht="14.25" spans="1:11">
      <c r="A948" s="71">
        <v>6</v>
      </c>
      <c r="B948" s="72">
        <v>30</v>
      </c>
      <c r="C948" s="72">
        <v>10</v>
      </c>
      <c r="D948" s="73" t="s">
        <v>1189</v>
      </c>
      <c r="E948" s="73" t="s">
        <v>96</v>
      </c>
      <c r="F948" s="73" t="s">
        <v>97</v>
      </c>
      <c r="G948" s="73" t="s">
        <v>32</v>
      </c>
      <c r="H948" s="74" t="s">
        <v>1190</v>
      </c>
      <c r="I948" s="74">
        <v>436</v>
      </c>
      <c r="J948" s="75">
        <v>0</v>
      </c>
      <c r="K948" s="76"/>
    </row>
    <row r="949" s="1" customFormat="1" ht="14.25" spans="1:11">
      <c r="A949" s="71">
        <v>6</v>
      </c>
      <c r="B949" s="72">
        <v>30</v>
      </c>
      <c r="C949" s="72">
        <v>10</v>
      </c>
      <c r="D949" s="73" t="s">
        <v>1191</v>
      </c>
      <c r="E949" s="73" t="s">
        <v>118</v>
      </c>
      <c r="F949" s="73" t="s">
        <v>151</v>
      </c>
      <c r="G949" s="73" t="s">
        <v>32</v>
      </c>
      <c r="H949" s="74" t="s">
        <v>1190</v>
      </c>
      <c r="I949" s="74">
        <v>512</v>
      </c>
      <c r="J949" s="75">
        <v>0</v>
      </c>
      <c r="K949" s="76"/>
    </row>
    <row r="950" s="1" customFormat="1" ht="14.25" spans="1:11">
      <c r="A950" s="71">
        <v>7</v>
      </c>
      <c r="B950" s="72">
        <v>31</v>
      </c>
      <c r="C950" s="72">
        <v>1</v>
      </c>
      <c r="D950" s="73" t="s">
        <v>1192</v>
      </c>
      <c r="E950" s="73" t="s">
        <v>48</v>
      </c>
      <c r="F950" s="73" t="s">
        <v>125</v>
      </c>
      <c r="G950" s="73" t="s">
        <v>32</v>
      </c>
      <c r="H950" s="74" t="s">
        <v>1193</v>
      </c>
      <c r="I950" s="74">
        <v>175</v>
      </c>
      <c r="J950" s="75">
        <v>0</v>
      </c>
      <c r="K950" s="76"/>
    </row>
    <row r="951" s="1" customFormat="1" ht="14.25" spans="1:11">
      <c r="A951" s="71">
        <v>7</v>
      </c>
      <c r="B951" s="72">
        <v>31</v>
      </c>
      <c r="C951" s="72">
        <v>1</v>
      </c>
      <c r="D951" s="73" t="s">
        <v>1194</v>
      </c>
      <c r="E951" s="73" t="s">
        <v>96</v>
      </c>
      <c r="F951" s="73" t="s">
        <v>97</v>
      </c>
      <c r="G951" s="73" t="s">
        <v>32</v>
      </c>
      <c r="H951" s="74" t="s">
        <v>1193</v>
      </c>
      <c r="I951" s="74">
        <v>622</v>
      </c>
      <c r="J951" s="75">
        <v>0</v>
      </c>
      <c r="K951" s="76"/>
    </row>
    <row r="952" s="1" customFormat="1" ht="14.25" spans="1:11">
      <c r="A952" s="71">
        <v>7</v>
      </c>
      <c r="B952" s="72">
        <v>31</v>
      </c>
      <c r="C952" s="72">
        <v>1</v>
      </c>
      <c r="D952" s="73" t="s">
        <v>275</v>
      </c>
      <c r="E952" s="73" t="s">
        <v>48</v>
      </c>
      <c r="F952" s="73" t="s">
        <v>125</v>
      </c>
      <c r="G952" s="73" t="s">
        <v>32</v>
      </c>
      <c r="H952" s="74" t="s">
        <v>1193</v>
      </c>
      <c r="I952" s="74">
        <v>130</v>
      </c>
      <c r="J952" s="75">
        <v>0</v>
      </c>
      <c r="K952" s="76"/>
    </row>
    <row r="953" s="1" customFormat="1" ht="14.25" spans="1:11">
      <c r="A953" s="71">
        <v>7</v>
      </c>
      <c r="B953" s="72">
        <v>31</v>
      </c>
      <c r="C953" s="72">
        <v>1</v>
      </c>
      <c r="D953" s="73" t="s">
        <v>1195</v>
      </c>
      <c r="E953" s="73" t="s">
        <v>211</v>
      </c>
      <c r="F953" s="73" t="s">
        <v>1129</v>
      </c>
      <c r="G953" s="73" t="s">
        <v>32</v>
      </c>
      <c r="H953" s="74" t="s">
        <v>1193</v>
      </c>
      <c r="I953" s="74">
        <v>7420</v>
      </c>
      <c r="J953" s="75">
        <v>0</v>
      </c>
      <c r="K953" s="76"/>
    </row>
    <row r="954" s="1" customFormat="1" ht="14.25" spans="1:11">
      <c r="A954" s="71">
        <v>7</v>
      </c>
      <c r="B954" s="72">
        <v>31</v>
      </c>
      <c r="C954" s="72">
        <v>1</v>
      </c>
      <c r="D954" s="73" t="s">
        <v>1196</v>
      </c>
      <c r="E954" s="73" t="s">
        <v>118</v>
      </c>
      <c r="F954" s="73" t="s">
        <v>136</v>
      </c>
      <c r="G954" s="73" t="s">
        <v>32</v>
      </c>
      <c r="H954" s="74" t="s">
        <v>1193</v>
      </c>
      <c r="I954" s="74">
        <v>166</v>
      </c>
      <c r="J954" s="75">
        <v>0</v>
      </c>
      <c r="K954" s="76"/>
    </row>
    <row r="955" s="1" customFormat="1" ht="14.25" spans="1:11">
      <c r="A955" s="71">
        <v>7</v>
      </c>
      <c r="B955" s="72">
        <v>31</v>
      </c>
      <c r="C955" s="72">
        <v>1</v>
      </c>
      <c r="D955" s="73" t="s">
        <v>1197</v>
      </c>
      <c r="E955" s="73" t="s">
        <v>118</v>
      </c>
      <c r="F955" s="73" t="s">
        <v>119</v>
      </c>
      <c r="G955" s="73" t="s">
        <v>32</v>
      </c>
      <c r="H955" s="74" t="s">
        <v>1198</v>
      </c>
      <c r="I955" s="74">
        <v>70800</v>
      </c>
      <c r="J955" s="75">
        <v>0</v>
      </c>
      <c r="K955" s="76"/>
    </row>
    <row r="956" s="1" customFormat="1" ht="14.25" spans="1:11">
      <c r="A956" s="71">
        <v>7</v>
      </c>
      <c r="B956" s="72">
        <v>31</v>
      </c>
      <c r="C956" s="72">
        <v>1</v>
      </c>
      <c r="D956" s="73" t="s">
        <v>1199</v>
      </c>
      <c r="E956" s="73" t="s">
        <v>118</v>
      </c>
      <c r="F956" s="73" t="s">
        <v>119</v>
      </c>
      <c r="G956" s="73" t="s">
        <v>32</v>
      </c>
      <c r="H956" s="74" t="s">
        <v>1198</v>
      </c>
      <c r="I956" s="74">
        <v>100000</v>
      </c>
      <c r="J956" s="75">
        <v>0</v>
      </c>
      <c r="K956" s="76"/>
    </row>
    <row r="957" s="1" customFormat="1" ht="14.25" spans="1:11">
      <c r="A957" s="71">
        <v>7</v>
      </c>
      <c r="B957" s="72">
        <v>31</v>
      </c>
      <c r="C957" s="72">
        <v>1</v>
      </c>
      <c r="D957" s="73" t="s">
        <v>1200</v>
      </c>
      <c r="E957" s="73" t="s">
        <v>118</v>
      </c>
      <c r="F957" s="73" t="s">
        <v>119</v>
      </c>
      <c r="G957" s="73" t="s">
        <v>32</v>
      </c>
      <c r="H957" s="74" t="s">
        <v>1198</v>
      </c>
      <c r="I957" s="74">
        <v>41600</v>
      </c>
      <c r="J957" s="75">
        <v>0</v>
      </c>
      <c r="K957" s="76"/>
    </row>
    <row r="958" s="1" customFormat="1" ht="14.25" spans="1:11">
      <c r="A958" s="71">
        <v>7</v>
      </c>
      <c r="B958" s="72">
        <v>31</v>
      </c>
      <c r="C958" s="72">
        <v>1</v>
      </c>
      <c r="D958" s="73" t="s">
        <v>1201</v>
      </c>
      <c r="E958" s="73" t="s">
        <v>118</v>
      </c>
      <c r="F958" s="73" t="s">
        <v>119</v>
      </c>
      <c r="G958" s="73" t="s">
        <v>32</v>
      </c>
      <c r="H958" s="74" t="s">
        <v>1198</v>
      </c>
      <c r="I958" s="74">
        <v>141600</v>
      </c>
      <c r="J958" s="75">
        <v>0</v>
      </c>
      <c r="K958" s="76"/>
    </row>
    <row r="959" s="1" customFormat="1" ht="14.25" spans="1:11">
      <c r="A959" s="71">
        <v>7</v>
      </c>
      <c r="B959" s="72">
        <v>31</v>
      </c>
      <c r="C959" s="72">
        <v>2</v>
      </c>
      <c r="D959" s="73" t="s">
        <v>1202</v>
      </c>
      <c r="E959" s="73" t="s">
        <v>85</v>
      </c>
      <c r="F959" s="73" t="s">
        <v>86</v>
      </c>
      <c r="G959" s="73" t="s">
        <v>32</v>
      </c>
      <c r="H959" s="74" t="s">
        <v>1203</v>
      </c>
      <c r="I959" s="74">
        <v>5200</v>
      </c>
      <c r="J959" s="75">
        <v>0</v>
      </c>
      <c r="K959" s="76"/>
    </row>
    <row r="960" s="1" customFormat="1" ht="14.25" spans="1:11">
      <c r="A960" s="71">
        <v>7</v>
      </c>
      <c r="B960" s="72">
        <v>31</v>
      </c>
      <c r="C960" s="72">
        <v>2</v>
      </c>
      <c r="D960" s="73" t="s">
        <v>1204</v>
      </c>
      <c r="E960" s="73" t="s">
        <v>85</v>
      </c>
      <c r="F960" s="73" t="s">
        <v>86</v>
      </c>
      <c r="G960" s="73" t="s">
        <v>32</v>
      </c>
      <c r="H960" s="74" t="s">
        <v>1203</v>
      </c>
      <c r="I960" s="74">
        <v>2710</v>
      </c>
      <c r="J960" s="75">
        <v>0</v>
      </c>
      <c r="K960" s="76"/>
    </row>
    <row r="961" s="1" customFormat="1" ht="14.25" spans="1:11">
      <c r="A961" s="71">
        <v>7</v>
      </c>
      <c r="B961" s="72">
        <v>31</v>
      </c>
      <c r="C961" s="72">
        <v>1</v>
      </c>
      <c r="D961" s="73" t="s">
        <v>1205</v>
      </c>
      <c r="E961" s="73" t="s">
        <v>31</v>
      </c>
      <c r="F961" s="73" t="s">
        <v>1206</v>
      </c>
      <c r="G961" s="73" t="s">
        <v>32</v>
      </c>
      <c r="H961" s="74" t="s">
        <v>1207</v>
      </c>
      <c r="I961" s="74">
        <v>200</v>
      </c>
      <c r="J961" s="75">
        <v>0</v>
      </c>
      <c r="K961" s="76"/>
    </row>
    <row r="962" s="1" customFormat="1" ht="14.25" spans="1:11">
      <c r="A962" s="71">
        <v>7</v>
      </c>
      <c r="B962" s="72">
        <v>31</v>
      </c>
      <c r="C962" s="72">
        <v>2</v>
      </c>
      <c r="D962" s="73" t="s">
        <v>1208</v>
      </c>
      <c r="E962" s="73" t="s">
        <v>48</v>
      </c>
      <c r="F962" s="73" t="s">
        <v>207</v>
      </c>
      <c r="G962" s="73" t="s">
        <v>32</v>
      </c>
      <c r="H962" s="74" t="s">
        <v>1209</v>
      </c>
      <c r="I962" s="74">
        <v>144</v>
      </c>
      <c r="J962" s="75">
        <v>0</v>
      </c>
      <c r="K962" s="76"/>
    </row>
    <row r="963" s="1" customFormat="1" ht="14.25" spans="1:11">
      <c r="A963" s="71">
        <v>7</v>
      </c>
      <c r="B963" s="72">
        <v>31</v>
      </c>
      <c r="C963" s="72">
        <v>2</v>
      </c>
      <c r="D963" s="73" t="s">
        <v>1210</v>
      </c>
      <c r="E963" s="73" t="s">
        <v>211</v>
      </c>
      <c r="F963" s="73" t="s">
        <v>1211</v>
      </c>
      <c r="G963" s="73" t="s">
        <v>32</v>
      </c>
      <c r="H963" s="74" t="s">
        <v>1209</v>
      </c>
      <c r="I963" s="74">
        <v>2740</v>
      </c>
      <c r="J963" s="75">
        <v>0</v>
      </c>
      <c r="K963" s="76"/>
    </row>
    <row r="964" s="1" customFormat="1" ht="14.25" spans="1:11">
      <c r="A964" s="71">
        <v>7</v>
      </c>
      <c r="B964" s="72">
        <v>31</v>
      </c>
      <c r="C964" s="72">
        <v>2</v>
      </c>
      <c r="D964" s="73" t="s">
        <v>275</v>
      </c>
      <c r="E964" s="73" t="s">
        <v>48</v>
      </c>
      <c r="F964" s="73" t="s">
        <v>125</v>
      </c>
      <c r="G964" s="73" t="s">
        <v>32</v>
      </c>
      <c r="H964" s="74" t="s">
        <v>1209</v>
      </c>
      <c r="I964" s="74">
        <v>145</v>
      </c>
      <c r="J964" s="75">
        <v>0</v>
      </c>
      <c r="K964" s="76"/>
    </row>
    <row r="965" s="1" customFormat="1" ht="14.25" spans="1:11">
      <c r="A965" s="71">
        <v>7</v>
      </c>
      <c r="B965" s="72">
        <v>31</v>
      </c>
      <c r="C965" s="72">
        <v>2</v>
      </c>
      <c r="D965" s="73" t="s">
        <v>1212</v>
      </c>
      <c r="E965" s="73" t="s">
        <v>48</v>
      </c>
      <c r="F965" s="73" t="s">
        <v>55</v>
      </c>
      <c r="G965" s="73" t="s">
        <v>32</v>
      </c>
      <c r="H965" s="74" t="s">
        <v>1209</v>
      </c>
      <c r="I965" s="74">
        <v>371</v>
      </c>
      <c r="J965" s="75">
        <v>0</v>
      </c>
      <c r="K965" s="76"/>
    </row>
    <row r="966" s="1" customFormat="1" ht="14.25" spans="1:11">
      <c r="A966" s="71">
        <v>7</v>
      </c>
      <c r="B966" s="72">
        <v>31</v>
      </c>
      <c r="C966" s="72">
        <v>2</v>
      </c>
      <c r="D966" s="73" t="s">
        <v>1213</v>
      </c>
      <c r="E966" s="73" t="s">
        <v>96</v>
      </c>
      <c r="F966" s="73" t="s">
        <v>97</v>
      </c>
      <c r="G966" s="73" t="s">
        <v>32</v>
      </c>
      <c r="H966" s="74" t="s">
        <v>1209</v>
      </c>
      <c r="I966" s="74">
        <v>1763</v>
      </c>
      <c r="J966" s="75">
        <v>0</v>
      </c>
      <c r="K966" s="76"/>
    </row>
    <row r="967" s="1" customFormat="1" ht="14.25" spans="1:11">
      <c r="A967" s="71">
        <v>7</v>
      </c>
      <c r="B967" s="72">
        <v>31</v>
      </c>
      <c r="C967" s="72">
        <v>2</v>
      </c>
      <c r="D967" s="73" t="s">
        <v>1214</v>
      </c>
      <c r="E967" s="73" t="s">
        <v>85</v>
      </c>
      <c r="F967" s="73" t="s">
        <v>86</v>
      </c>
      <c r="G967" s="73" t="s">
        <v>32</v>
      </c>
      <c r="H967" s="74" t="s">
        <v>1215</v>
      </c>
      <c r="I967" s="74">
        <v>85</v>
      </c>
      <c r="J967" s="75">
        <v>0</v>
      </c>
      <c r="K967" s="76"/>
    </row>
    <row r="968" s="1" customFormat="1" ht="14.25" spans="1:11">
      <c r="A968" s="71">
        <v>7</v>
      </c>
      <c r="B968" s="72">
        <v>31</v>
      </c>
      <c r="C968" s="72">
        <v>2</v>
      </c>
      <c r="D968" s="73" t="s">
        <v>1216</v>
      </c>
      <c r="E968" s="73" t="s">
        <v>118</v>
      </c>
      <c r="F968" s="73" t="s">
        <v>122</v>
      </c>
      <c r="G968" s="73" t="s">
        <v>32</v>
      </c>
      <c r="H968" s="74" t="s">
        <v>1215</v>
      </c>
      <c r="I968" s="74">
        <v>10160</v>
      </c>
      <c r="J968" s="75">
        <v>0</v>
      </c>
      <c r="K968" s="76"/>
    </row>
    <row r="969" s="1" customFormat="1" ht="14.25" spans="1:11">
      <c r="A969" s="71">
        <v>7</v>
      </c>
      <c r="B969" s="72">
        <v>31</v>
      </c>
      <c r="C969" s="72">
        <v>2</v>
      </c>
      <c r="D969" s="73" t="s">
        <v>1217</v>
      </c>
      <c r="E969" s="73" t="s">
        <v>118</v>
      </c>
      <c r="F969" s="73" t="s">
        <v>119</v>
      </c>
      <c r="G969" s="73" t="s">
        <v>32</v>
      </c>
      <c r="H969" s="74" t="s">
        <v>1215</v>
      </c>
      <c r="I969" s="74">
        <v>155000</v>
      </c>
      <c r="J969" s="75">
        <v>0</v>
      </c>
      <c r="K969" s="76"/>
    </row>
    <row r="970" s="1" customFormat="1" ht="14.25" spans="1:11">
      <c r="A970" s="71">
        <v>7</v>
      </c>
      <c r="B970" s="72">
        <v>31</v>
      </c>
      <c r="C970" s="72">
        <v>3</v>
      </c>
      <c r="D970" s="73" t="s">
        <v>1218</v>
      </c>
      <c r="E970" s="73" t="s">
        <v>48</v>
      </c>
      <c r="F970" s="73" t="s">
        <v>49</v>
      </c>
      <c r="G970" s="73" t="s">
        <v>32</v>
      </c>
      <c r="H970" s="74" t="s">
        <v>1219</v>
      </c>
      <c r="I970" s="74">
        <v>1500</v>
      </c>
      <c r="J970" s="75">
        <v>0</v>
      </c>
      <c r="K970" s="76"/>
    </row>
    <row r="971" s="1" customFormat="1" ht="14.25" spans="1:11">
      <c r="A971" s="71">
        <v>7</v>
      </c>
      <c r="B971" s="72">
        <v>31</v>
      </c>
      <c r="C971" s="72">
        <v>3</v>
      </c>
      <c r="D971" s="73" t="s">
        <v>1220</v>
      </c>
      <c r="E971" s="73" t="s">
        <v>48</v>
      </c>
      <c r="F971" s="73" t="s">
        <v>49</v>
      </c>
      <c r="G971" s="73" t="s">
        <v>32</v>
      </c>
      <c r="H971" s="74" t="s">
        <v>1219</v>
      </c>
      <c r="I971" s="74">
        <v>3600</v>
      </c>
      <c r="J971" s="75">
        <v>0</v>
      </c>
      <c r="K971" s="76"/>
    </row>
    <row r="972" s="1" customFormat="1" ht="14.25" spans="1:11">
      <c r="A972" s="71">
        <v>7</v>
      </c>
      <c r="B972" s="72">
        <v>31</v>
      </c>
      <c r="C972" s="72">
        <v>3</v>
      </c>
      <c r="D972" s="73" t="s">
        <v>1221</v>
      </c>
      <c r="E972" s="73" t="s">
        <v>48</v>
      </c>
      <c r="F972" s="73" t="s">
        <v>207</v>
      </c>
      <c r="G972" s="73" t="s">
        <v>32</v>
      </c>
      <c r="H972" s="74" t="s">
        <v>1219</v>
      </c>
      <c r="I972" s="74">
        <v>2100</v>
      </c>
      <c r="J972" s="75">
        <v>0</v>
      </c>
      <c r="K972" s="76"/>
    </row>
    <row r="973" s="1" customFormat="1" ht="14.25" spans="1:11">
      <c r="A973" s="71">
        <v>7</v>
      </c>
      <c r="B973" s="72">
        <v>31</v>
      </c>
      <c r="C973" s="72">
        <v>3</v>
      </c>
      <c r="D973" s="73" t="s">
        <v>1222</v>
      </c>
      <c r="E973" s="73" t="s">
        <v>48</v>
      </c>
      <c r="F973" s="73" t="s">
        <v>207</v>
      </c>
      <c r="G973" s="73" t="s">
        <v>32</v>
      </c>
      <c r="H973" s="74" t="s">
        <v>1219</v>
      </c>
      <c r="I973" s="74">
        <v>3000</v>
      </c>
      <c r="J973" s="75">
        <v>0</v>
      </c>
      <c r="K973" s="76"/>
    </row>
    <row r="974" s="1" customFormat="1" ht="14.25" spans="1:11">
      <c r="A974" s="71">
        <v>7</v>
      </c>
      <c r="B974" s="72">
        <v>31</v>
      </c>
      <c r="C974" s="72">
        <v>3</v>
      </c>
      <c r="D974" s="73" t="s">
        <v>1223</v>
      </c>
      <c r="E974" s="73" t="s">
        <v>48</v>
      </c>
      <c r="F974" s="73" t="s">
        <v>207</v>
      </c>
      <c r="G974" s="73" t="s">
        <v>32</v>
      </c>
      <c r="H974" s="74" t="s">
        <v>1219</v>
      </c>
      <c r="I974" s="74">
        <v>500</v>
      </c>
      <c r="J974" s="75">
        <v>0</v>
      </c>
      <c r="K974" s="76"/>
    </row>
    <row r="975" s="1" customFormat="1" ht="14.25" spans="1:11">
      <c r="A975" s="71">
        <v>7</v>
      </c>
      <c r="B975" s="72">
        <v>31</v>
      </c>
      <c r="C975" s="72">
        <v>3</v>
      </c>
      <c r="D975" s="73" t="s">
        <v>1224</v>
      </c>
      <c r="E975" s="73" t="s">
        <v>118</v>
      </c>
      <c r="F975" s="73" t="s">
        <v>136</v>
      </c>
      <c r="G975" s="73" t="s">
        <v>32</v>
      </c>
      <c r="H975" s="74" t="s">
        <v>1225</v>
      </c>
      <c r="I975" s="74">
        <v>24</v>
      </c>
      <c r="J975" s="75">
        <v>0</v>
      </c>
      <c r="K975" s="76"/>
    </row>
    <row r="976" s="1" customFormat="1" ht="14.25" spans="1:11">
      <c r="A976" s="71">
        <v>7</v>
      </c>
      <c r="B976" s="72">
        <v>31</v>
      </c>
      <c r="C976" s="72">
        <v>3</v>
      </c>
      <c r="D976" s="73" t="s">
        <v>1226</v>
      </c>
      <c r="E976" s="73" t="s">
        <v>118</v>
      </c>
      <c r="F976" s="73" t="s">
        <v>136</v>
      </c>
      <c r="G976" s="73" t="s">
        <v>32</v>
      </c>
      <c r="H976" s="74" t="s">
        <v>1225</v>
      </c>
      <c r="I976" s="74">
        <v>960</v>
      </c>
      <c r="J976" s="75">
        <v>0</v>
      </c>
      <c r="K976" s="76"/>
    </row>
    <row r="977" s="1" customFormat="1" ht="14.25" spans="1:11">
      <c r="A977" s="71">
        <v>7</v>
      </c>
      <c r="B977" s="72">
        <v>31</v>
      </c>
      <c r="C977" s="72">
        <v>3</v>
      </c>
      <c r="D977" s="73" t="s">
        <v>1227</v>
      </c>
      <c r="E977" s="73" t="s">
        <v>48</v>
      </c>
      <c r="F977" s="73" t="s">
        <v>209</v>
      </c>
      <c r="G977" s="73" t="s">
        <v>32</v>
      </c>
      <c r="H977" s="74" t="s">
        <v>1225</v>
      </c>
      <c r="I977" s="74">
        <v>250</v>
      </c>
      <c r="J977" s="75">
        <v>0</v>
      </c>
      <c r="K977" s="76"/>
    </row>
    <row r="978" s="1" customFormat="1" ht="14.25" spans="1:11">
      <c r="A978" s="71">
        <v>7</v>
      </c>
      <c r="B978" s="72">
        <v>31</v>
      </c>
      <c r="C978" s="72">
        <v>3</v>
      </c>
      <c r="D978" s="73" t="s">
        <v>1228</v>
      </c>
      <c r="E978" s="73" t="s">
        <v>96</v>
      </c>
      <c r="F978" s="73" t="s">
        <v>345</v>
      </c>
      <c r="G978" s="73" t="s">
        <v>32</v>
      </c>
      <c r="H978" s="74" t="s">
        <v>1225</v>
      </c>
      <c r="I978" s="74">
        <v>650</v>
      </c>
      <c r="J978" s="75">
        <v>0</v>
      </c>
      <c r="K978" s="76"/>
    </row>
    <row r="979" s="1" customFormat="1" ht="14.25" spans="1:11">
      <c r="A979" s="71">
        <v>7</v>
      </c>
      <c r="B979" s="72">
        <v>31</v>
      </c>
      <c r="C979" s="72">
        <v>3</v>
      </c>
      <c r="D979" s="73" t="s">
        <v>1229</v>
      </c>
      <c r="E979" s="73" t="s">
        <v>118</v>
      </c>
      <c r="F979" s="73" t="s">
        <v>136</v>
      </c>
      <c r="G979" s="73" t="s">
        <v>32</v>
      </c>
      <c r="H979" s="74" t="s">
        <v>1225</v>
      </c>
      <c r="I979" s="74">
        <v>2880</v>
      </c>
      <c r="J979" s="75">
        <v>0</v>
      </c>
      <c r="K979" s="76"/>
    </row>
    <row r="980" s="1" customFormat="1" ht="14.25" spans="1:11">
      <c r="A980" s="71">
        <v>7</v>
      </c>
      <c r="B980" s="72">
        <v>31</v>
      </c>
      <c r="C980" s="72">
        <v>4</v>
      </c>
      <c r="D980" s="73" t="s">
        <v>1230</v>
      </c>
      <c r="E980" s="73" t="s">
        <v>31</v>
      </c>
      <c r="F980" s="73" t="s">
        <v>79</v>
      </c>
      <c r="G980" s="73" t="s">
        <v>32</v>
      </c>
      <c r="H980" s="74" t="s">
        <v>1231</v>
      </c>
      <c r="I980" s="74">
        <v>4500</v>
      </c>
      <c r="J980" s="75">
        <v>0</v>
      </c>
      <c r="K980" s="76"/>
    </row>
    <row r="981" s="1" customFormat="1" ht="14.25" spans="1:11">
      <c r="A981" s="71">
        <v>7</v>
      </c>
      <c r="B981" s="72">
        <v>31</v>
      </c>
      <c r="C981" s="72">
        <v>4</v>
      </c>
      <c r="D981" s="73" t="s">
        <v>1232</v>
      </c>
      <c r="E981" s="73" t="s">
        <v>48</v>
      </c>
      <c r="F981" s="73" t="s">
        <v>49</v>
      </c>
      <c r="G981" s="73" t="s">
        <v>32</v>
      </c>
      <c r="H981" s="74" t="s">
        <v>1233</v>
      </c>
      <c r="I981" s="74">
        <v>2965</v>
      </c>
      <c r="J981" s="75">
        <v>0</v>
      </c>
      <c r="K981" s="76"/>
    </row>
    <row r="982" s="1" customFormat="1" ht="14.25" spans="1:11">
      <c r="A982" s="71">
        <v>7</v>
      </c>
      <c r="B982" s="72">
        <v>31</v>
      </c>
      <c r="C982" s="72">
        <v>4</v>
      </c>
      <c r="D982" s="73" t="s">
        <v>1234</v>
      </c>
      <c r="E982" s="73" t="s">
        <v>48</v>
      </c>
      <c r="F982" s="73" t="s">
        <v>49</v>
      </c>
      <c r="G982" s="73" t="s">
        <v>32</v>
      </c>
      <c r="H982" s="74" t="s">
        <v>1233</v>
      </c>
      <c r="I982" s="74">
        <v>63360</v>
      </c>
      <c r="J982" s="75">
        <v>0</v>
      </c>
      <c r="K982" s="76"/>
    </row>
    <row r="983" s="1" customFormat="1" ht="14.25" spans="1:11">
      <c r="A983" s="71">
        <v>7</v>
      </c>
      <c r="B983" s="72">
        <v>31</v>
      </c>
      <c r="C983" s="72">
        <v>4</v>
      </c>
      <c r="D983" s="73" t="s">
        <v>1235</v>
      </c>
      <c r="E983" s="73" t="s">
        <v>85</v>
      </c>
      <c r="F983" s="73" t="s">
        <v>86</v>
      </c>
      <c r="G983" s="73" t="s">
        <v>32</v>
      </c>
      <c r="H983" s="74" t="s">
        <v>1236</v>
      </c>
      <c r="I983" s="74">
        <v>4700</v>
      </c>
      <c r="J983" s="75">
        <v>0</v>
      </c>
      <c r="K983" s="76"/>
    </row>
    <row r="984" s="1" customFormat="1" ht="14.25" spans="1:11">
      <c r="A984" s="71">
        <v>7</v>
      </c>
      <c r="B984" s="72">
        <v>31</v>
      </c>
      <c r="C984" s="72">
        <v>4</v>
      </c>
      <c r="D984" s="73" t="s">
        <v>1235</v>
      </c>
      <c r="E984" s="73" t="s">
        <v>85</v>
      </c>
      <c r="F984" s="73" t="s">
        <v>86</v>
      </c>
      <c r="G984" s="73" t="s">
        <v>32</v>
      </c>
      <c r="H984" s="74" t="s">
        <v>1236</v>
      </c>
      <c r="I984" s="74">
        <v>4700</v>
      </c>
      <c r="J984" s="75">
        <v>0</v>
      </c>
      <c r="K984" s="76"/>
    </row>
    <row r="985" s="1" customFormat="1" ht="14.25" spans="1:11">
      <c r="A985" s="71">
        <v>7</v>
      </c>
      <c r="B985" s="72">
        <v>31</v>
      </c>
      <c r="C985" s="72">
        <v>4</v>
      </c>
      <c r="D985" s="73" t="s">
        <v>1235</v>
      </c>
      <c r="E985" s="73" t="s">
        <v>85</v>
      </c>
      <c r="F985" s="73" t="s">
        <v>86</v>
      </c>
      <c r="G985" s="73" t="s">
        <v>32</v>
      </c>
      <c r="H985" s="74" t="s">
        <v>1236</v>
      </c>
      <c r="I985" s="74">
        <v>7555</v>
      </c>
      <c r="J985" s="75">
        <v>0</v>
      </c>
      <c r="K985" s="76"/>
    </row>
    <row r="986" s="1" customFormat="1" ht="14.25" spans="1:11">
      <c r="A986" s="71">
        <v>7</v>
      </c>
      <c r="B986" s="72">
        <v>31</v>
      </c>
      <c r="C986" s="72">
        <v>4</v>
      </c>
      <c r="D986" s="73" t="s">
        <v>1237</v>
      </c>
      <c r="E986" s="73" t="s">
        <v>31</v>
      </c>
      <c r="F986" s="73" t="s">
        <v>79</v>
      </c>
      <c r="G986" s="73" t="s">
        <v>32</v>
      </c>
      <c r="H986" s="74" t="s">
        <v>80</v>
      </c>
      <c r="I986" s="74">
        <v>10255</v>
      </c>
      <c r="J986" s="75">
        <v>0</v>
      </c>
      <c r="K986" s="76"/>
    </row>
    <row r="987" s="1" customFormat="1" ht="14.25" spans="1:11">
      <c r="A987" s="71">
        <v>7</v>
      </c>
      <c r="B987" s="72">
        <v>31</v>
      </c>
      <c r="C987" s="72">
        <v>4</v>
      </c>
      <c r="D987" s="73" t="s">
        <v>1238</v>
      </c>
      <c r="E987" s="73" t="s">
        <v>85</v>
      </c>
      <c r="F987" s="73" t="s">
        <v>86</v>
      </c>
      <c r="G987" s="73" t="s">
        <v>32</v>
      </c>
      <c r="H987" s="74" t="s">
        <v>1239</v>
      </c>
      <c r="I987" s="74">
        <v>4900</v>
      </c>
      <c r="J987" s="75">
        <v>0</v>
      </c>
      <c r="K987" s="76"/>
    </row>
    <row r="988" s="1" customFormat="1" ht="14.25" spans="1:11">
      <c r="A988" s="71">
        <v>7</v>
      </c>
      <c r="B988" s="72">
        <v>31</v>
      </c>
      <c r="C988" s="72">
        <v>4</v>
      </c>
      <c r="D988" s="73" t="s">
        <v>1240</v>
      </c>
      <c r="E988" s="73" t="s">
        <v>85</v>
      </c>
      <c r="F988" s="73" t="s">
        <v>86</v>
      </c>
      <c r="G988" s="73" t="s">
        <v>32</v>
      </c>
      <c r="H988" s="74" t="s">
        <v>1239</v>
      </c>
      <c r="I988" s="74">
        <v>5300</v>
      </c>
      <c r="J988" s="75">
        <v>0</v>
      </c>
      <c r="K988" s="76"/>
    </row>
    <row r="989" s="1" customFormat="1" ht="14.25" spans="1:11">
      <c r="A989" s="71">
        <v>7</v>
      </c>
      <c r="B989" s="72">
        <v>31</v>
      </c>
      <c r="C989" s="72">
        <v>5</v>
      </c>
      <c r="D989" s="73" t="s">
        <v>1241</v>
      </c>
      <c r="E989" s="73" t="s">
        <v>37</v>
      </c>
      <c r="F989" s="73">
        <v>0</v>
      </c>
      <c r="G989" s="73" t="s">
        <v>32</v>
      </c>
      <c r="H989" s="74" t="s">
        <v>1242</v>
      </c>
      <c r="I989" s="74">
        <v>200</v>
      </c>
      <c r="J989" s="75">
        <v>0</v>
      </c>
      <c r="K989" s="76"/>
    </row>
    <row r="990" s="1" customFormat="1" ht="14.25" spans="1:11">
      <c r="A990" s="71">
        <v>7</v>
      </c>
      <c r="B990" s="72">
        <v>31</v>
      </c>
      <c r="C990" s="72">
        <v>5</v>
      </c>
      <c r="D990" s="73" t="s">
        <v>1243</v>
      </c>
      <c r="E990" s="73" t="s">
        <v>118</v>
      </c>
      <c r="F990" s="73" t="s">
        <v>122</v>
      </c>
      <c r="G990" s="73" t="s">
        <v>32</v>
      </c>
      <c r="H990" s="74" t="s">
        <v>1242</v>
      </c>
      <c r="I990" s="74">
        <v>4980</v>
      </c>
      <c r="J990" s="75">
        <v>0</v>
      </c>
      <c r="K990" s="76"/>
    </row>
    <row r="991" s="1" customFormat="1" ht="14.25" spans="1:11">
      <c r="A991" s="71">
        <v>7</v>
      </c>
      <c r="B991" s="72">
        <v>31</v>
      </c>
      <c r="C991" s="72">
        <v>5</v>
      </c>
      <c r="D991" s="73" t="s">
        <v>1244</v>
      </c>
      <c r="E991" s="73" t="s">
        <v>96</v>
      </c>
      <c r="F991" s="73" t="s">
        <v>97</v>
      </c>
      <c r="G991" s="73" t="s">
        <v>32</v>
      </c>
      <c r="H991" s="74" t="s">
        <v>1242</v>
      </c>
      <c r="I991" s="74">
        <v>220</v>
      </c>
      <c r="J991" s="75">
        <v>0</v>
      </c>
      <c r="K991" s="76"/>
    </row>
    <row r="992" s="1" customFormat="1" ht="14.25" spans="1:11">
      <c r="A992" s="71">
        <v>7</v>
      </c>
      <c r="B992" s="72">
        <v>31</v>
      </c>
      <c r="C992" s="72">
        <v>5</v>
      </c>
      <c r="D992" s="73" t="s">
        <v>1245</v>
      </c>
      <c r="E992" s="73" t="s">
        <v>96</v>
      </c>
      <c r="F992" s="73" t="s">
        <v>97</v>
      </c>
      <c r="G992" s="73" t="s">
        <v>32</v>
      </c>
      <c r="H992" s="74" t="s">
        <v>1242</v>
      </c>
      <c r="I992" s="74">
        <v>705</v>
      </c>
      <c r="J992" s="75">
        <v>0</v>
      </c>
      <c r="K992" s="76"/>
    </row>
    <row r="993" s="1" customFormat="1" ht="14.25" spans="1:11">
      <c r="A993" s="71">
        <v>7</v>
      </c>
      <c r="B993" s="72">
        <v>31</v>
      </c>
      <c r="C993" s="72">
        <v>5</v>
      </c>
      <c r="D993" s="73" t="s">
        <v>1246</v>
      </c>
      <c r="E993" s="73" t="s">
        <v>118</v>
      </c>
      <c r="F993" s="73" t="s">
        <v>136</v>
      </c>
      <c r="G993" s="73" t="s">
        <v>32</v>
      </c>
      <c r="H993" s="74" t="s">
        <v>1242</v>
      </c>
      <c r="I993" s="74">
        <v>7650</v>
      </c>
      <c r="J993" s="75">
        <v>0</v>
      </c>
      <c r="K993" s="76"/>
    </row>
    <row r="994" s="1" customFormat="1" ht="14.25" spans="1:11">
      <c r="A994" s="71">
        <v>7</v>
      </c>
      <c r="B994" s="72">
        <v>31</v>
      </c>
      <c r="C994" s="72">
        <v>4</v>
      </c>
      <c r="D994" s="73" t="s">
        <v>1247</v>
      </c>
      <c r="E994" s="73" t="s">
        <v>37</v>
      </c>
      <c r="F994" s="73">
        <v>0</v>
      </c>
      <c r="G994" s="73" t="s">
        <v>32</v>
      </c>
      <c r="H994" s="74" t="s">
        <v>1248</v>
      </c>
      <c r="I994" s="74">
        <v>7110</v>
      </c>
      <c r="J994" s="75">
        <v>0</v>
      </c>
      <c r="K994" s="76"/>
    </row>
    <row r="995" s="1" customFormat="1" ht="14.25" spans="1:11">
      <c r="A995" s="71">
        <v>7</v>
      </c>
      <c r="B995" s="72">
        <v>31</v>
      </c>
      <c r="C995" s="72">
        <v>5</v>
      </c>
      <c r="D995" s="73" t="s">
        <v>1249</v>
      </c>
      <c r="E995" s="73" t="s">
        <v>118</v>
      </c>
      <c r="F995" s="73" t="s">
        <v>119</v>
      </c>
      <c r="G995" s="73" t="s">
        <v>32</v>
      </c>
      <c r="H995" s="74" t="s">
        <v>1250</v>
      </c>
      <c r="I995" s="74">
        <v>64400</v>
      </c>
      <c r="J995" s="75">
        <v>0</v>
      </c>
      <c r="K995" s="76"/>
    </row>
    <row r="996" s="1" customFormat="1" ht="14.25" spans="1:11">
      <c r="A996" s="71">
        <v>7</v>
      </c>
      <c r="B996" s="72">
        <v>31</v>
      </c>
      <c r="C996" s="72">
        <v>5</v>
      </c>
      <c r="D996" s="73" t="s">
        <v>1217</v>
      </c>
      <c r="E996" s="73" t="s">
        <v>118</v>
      </c>
      <c r="F996" s="73" t="s">
        <v>119</v>
      </c>
      <c r="G996" s="73" t="s">
        <v>32</v>
      </c>
      <c r="H996" s="74" t="s">
        <v>1250</v>
      </c>
      <c r="I996" s="74">
        <v>155000</v>
      </c>
      <c r="J996" s="75">
        <v>0</v>
      </c>
      <c r="K996" s="76"/>
    </row>
    <row r="997" s="1" customFormat="1" ht="14.25" spans="1:11">
      <c r="A997" s="71">
        <v>7</v>
      </c>
      <c r="B997" s="72">
        <v>31</v>
      </c>
      <c r="C997" s="72">
        <v>5</v>
      </c>
      <c r="D997" s="73" t="s">
        <v>139</v>
      </c>
      <c r="E997" s="73" t="s">
        <v>48</v>
      </c>
      <c r="F997" s="73" t="s">
        <v>125</v>
      </c>
      <c r="G997" s="73" t="s">
        <v>32</v>
      </c>
      <c r="H997" s="74" t="s">
        <v>1250</v>
      </c>
      <c r="I997" s="74">
        <v>100</v>
      </c>
      <c r="J997" s="75">
        <v>0</v>
      </c>
      <c r="K997" s="76"/>
    </row>
    <row r="998" s="1" customFormat="1" ht="14.25" spans="1:11">
      <c r="A998" s="71">
        <v>7</v>
      </c>
      <c r="B998" s="72">
        <v>31</v>
      </c>
      <c r="C998" s="72">
        <v>5</v>
      </c>
      <c r="D998" s="73" t="s">
        <v>1251</v>
      </c>
      <c r="E998" s="73" t="s">
        <v>118</v>
      </c>
      <c r="F998" s="73" t="s">
        <v>136</v>
      </c>
      <c r="G998" s="73" t="s">
        <v>32</v>
      </c>
      <c r="H998" s="74" t="s">
        <v>1250</v>
      </c>
      <c r="I998" s="74">
        <v>49</v>
      </c>
      <c r="J998" s="75">
        <v>0</v>
      </c>
      <c r="K998" s="76"/>
    </row>
    <row r="999" s="1" customFormat="1" ht="14.25" spans="1:11">
      <c r="A999" s="71">
        <v>7</v>
      </c>
      <c r="B999" s="72">
        <v>31</v>
      </c>
      <c r="C999" s="72">
        <v>5</v>
      </c>
      <c r="D999" s="73" t="s">
        <v>1252</v>
      </c>
      <c r="E999" s="73" t="s">
        <v>118</v>
      </c>
      <c r="F999" s="73" t="s">
        <v>136</v>
      </c>
      <c r="G999" s="73" t="s">
        <v>32</v>
      </c>
      <c r="H999" s="74" t="s">
        <v>1250</v>
      </c>
      <c r="I999" s="74">
        <v>205</v>
      </c>
      <c r="J999" s="75">
        <v>0</v>
      </c>
      <c r="K999" s="76"/>
    </row>
    <row r="1000" s="1" customFormat="1" ht="14.25" spans="1:11">
      <c r="A1000" s="71">
        <v>7</v>
      </c>
      <c r="B1000" s="72">
        <v>31</v>
      </c>
      <c r="C1000" s="72">
        <v>6</v>
      </c>
      <c r="D1000" s="73" t="s">
        <v>1249</v>
      </c>
      <c r="E1000" s="73" t="s">
        <v>118</v>
      </c>
      <c r="F1000" s="73" t="s">
        <v>119</v>
      </c>
      <c r="G1000" s="73" t="s">
        <v>32</v>
      </c>
      <c r="H1000" s="74" t="s">
        <v>1253</v>
      </c>
      <c r="I1000" s="74">
        <v>64400</v>
      </c>
      <c r="J1000" s="75">
        <v>0</v>
      </c>
      <c r="K1000" s="76"/>
    </row>
    <row r="1001" s="1" customFormat="1" ht="14.25" spans="1:11">
      <c r="A1001" s="71">
        <v>7</v>
      </c>
      <c r="B1001" s="72">
        <v>31</v>
      </c>
      <c r="C1001" s="72">
        <v>6</v>
      </c>
      <c r="D1001" s="73" t="s">
        <v>1254</v>
      </c>
      <c r="E1001" s="73" t="s">
        <v>211</v>
      </c>
      <c r="F1001" s="73" t="s">
        <v>1129</v>
      </c>
      <c r="G1001" s="73" t="s">
        <v>32</v>
      </c>
      <c r="H1001" s="74" t="s">
        <v>1253</v>
      </c>
      <c r="I1001" s="74">
        <v>1430</v>
      </c>
      <c r="J1001" s="75">
        <v>0</v>
      </c>
      <c r="K1001" s="76"/>
    </row>
    <row r="1002" s="1" customFormat="1" ht="14.25" spans="1:11">
      <c r="A1002" s="71">
        <v>7</v>
      </c>
      <c r="B1002" s="72">
        <v>31</v>
      </c>
      <c r="C1002" s="72">
        <v>6</v>
      </c>
      <c r="D1002" s="73" t="s">
        <v>1255</v>
      </c>
      <c r="E1002" s="73" t="s">
        <v>211</v>
      </c>
      <c r="F1002" s="73" t="s">
        <v>1129</v>
      </c>
      <c r="G1002" s="73" t="s">
        <v>32</v>
      </c>
      <c r="H1002" s="74" t="s">
        <v>1253</v>
      </c>
      <c r="I1002" s="74">
        <v>3880</v>
      </c>
      <c r="J1002" s="75">
        <v>0</v>
      </c>
      <c r="K1002" s="76"/>
    </row>
    <row r="1003" s="1" customFormat="1" ht="14.25" spans="1:11">
      <c r="A1003" s="71">
        <v>7</v>
      </c>
      <c r="B1003" s="72">
        <v>31</v>
      </c>
      <c r="C1003" s="72">
        <v>6</v>
      </c>
      <c r="D1003" s="73" t="s">
        <v>1256</v>
      </c>
      <c r="E1003" s="73" t="s">
        <v>118</v>
      </c>
      <c r="F1003" s="73" t="s">
        <v>136</v>
      </c>
      <c r="G1003" s="73" t="s">
        <v>32</v>
      </c>
      <c r="H1003" s="74" t="s">
        <v>1253</v>
      </c>
      <c r="I1003" s="74">
        <v>581</v>
      </c>
      <c r="J1003" s="75">
        <v>0</v>
      </c>
      <c r="K1003" s="76"/>
    </row>
    <row r="1004" s="1" customFormat="1" ht="14.25" spans="1:11">
      <c r="A1004" s="71">
        <v>7</v>
      </c>
      <c r="B1004" s="72">
        <v>31</v>
      </c>
      <c r="C1004" s="72">
        <v>6</v>
      </c>
      <c r="D1004" s="73" t="s">
        <v>1257</v>
      </c>
      <c r="E1004" s="73" t="s">
        <v>118</v>
      </c>
      <c r="F1004" s="73" t="s">
        <v>136</v>
      </c>
      <c r="G1004" s="73" t="s">
        <v>32</v>
      </c>
      <c r="H1004" s="74" t="s">
        <v>1253</v>
      </c>
      <c r="I1004" s="74">
        <v>8079</v>
      </c>
      <c r="J1004" s="75">
        <v>0</v>
      </c>
      <c r="K1004" s="76"/>
    </row>
    <row r="1005" s="1" customFormat="1" ht="14.25" spans="1:11">
      <c r="A1005" s="71">
        <v>7</v>
      </c>
      <c r="B1005" s="72">
        <v>31</v>
      </c>
      <c r="C1005" s="72">
        <v>6</v>
      </c>
      <c r="D1005" s="73" t="s">
        <v>1258</v>
      </c>
      <c r="E1005" s="73" t="s">
        <v>118</v>
      </c>
      <c r="F1005" s="73" t="s">
        <v>136</v>
      </c>
      <c r="G1005" s="73" t="s">
        <v>32</v>
      </c>
      <c r="H1005" s="74" t="s">
        <v>1259</v>
      </c>
      <c r="I1005" s="74">
        <v>173</v>
      </c>
      <c r="J1005" s="75">
        <v>0</v>
      </c>
      <c r="K1005" s="76"/>
    </row>
    <row r="1006" s="1" customFormat="1" ht="14.25" spans="1:11">
      <c r="A1006" s="71">
        <v>7</v>
      </c>
      <c r="B1006" s="72">
        <v>31</v>
      </c>
      <c r="C1006" s="72">
        <v>6</v>
      </c>
      <c r="D1006" s="73" t="s">
        <v>1260</v>
      </c>
      <c r="E1006" s="73" t="s">
        <v>118</v>
      </c>
      <c r="F1006" s="73" t="s">
        <v>119</v>
      </c>
      <c r="G1006" s="73" t="s">
        <v>32</v>
      </c>
      <c r="H1006" s="74" t="s">
        <v>1259</v>
      </c>
      <c r="I1006" s="74">
        <v>533</v>
      </c>
      <c r="J1006" s="75">
        <v>0</v>
      </c>
      <c r="K1006" s="76"/>
    </row>
    <row r="1007" s="1" customFormat="1" ht="14.25" spans="1:11">
      <c r="A1007" s="71">
        <v>7</v>
      </c>
      <c r="B1007" s="72">
        <v>31</v>
      </c>
      <c r="C1007" s="72">
        <v>6</v>
      </c>
      <c r="D1007" s="73" t="s">
        <v>1261</v>
      </c>
      <c r="E1007" s="73" t="s">
        <v>118</v>
      </c>
      <c r="F1007" s="73" t="s">
        <v>136</v>
      </c>
      <c r="G1007" s="73" t="s">
        <v>32</v>
      </c>
      <c r="H1007" s="74" t="s">
        <v>1259</v>
      </c>
      <c r="I1007" s="74">
        <v>29</v>
      </c>
      <c r="J1007" s="75">
        <v>0</v>
      </c>
      <c r="K1007" s="76"/>
    </row>
    <row r="1008" s="1" customFormat="1" ht="14.25" spans="1:11">
      <c r="A1008" s="71">
        <v>7</v>
      </c>
      <c r="B1008" s="72">
        <v>31</v>
      </c>
      <c r="C1008" s="72">
        <v>6</v>
      </c>
      <c r="D1008" s="73" t="s">
        <v>504</v>
      </c>
      <c r="E1008" s="73" t="s">
        <v>118</v>
      </c>
      <c r="F1008" s="73" t="s">
        <v>136</v>
      </c>
      <c r="G1008" s="73" t="s">
        <v>32</v>
      </c>
      <c r="H1008" s="74" t="s">
        <v>1259</v>
      </c>
      <c r="I1008" s="74">
        <v>25200</v>
      </c>
      <c r="J1008" s="75">
        <v>0</v>
      </c>
      <c r="K1008" s="76"/>
    </row>
    <row r="1009" s="1" customFormat="1" ht="14.25" spans="1:11">
      <c r="A1009" s="71">
        <v>7</v>
      </c>
      <c r="B1009" s="72">
        <v>31</v>
      </c>
      <c r="C1009" s="72">
        <v>6</v>
      </c>
      <c r="D1009" s="73" t="s">
        <v>1262</v>
      </c>
      <c r="E1009" s="73" t="s">
        <v>118</v>
      </c>
      <c r="F1009" s="73" t="s">
        <v>136</v>
      </c>
      <c r="G1009" s="73" t="s">
        <v>32</v>
      </c>
      <c r="H1009" s="74" t="s">
        <v>1259</v>
      </c>
      <c r="I1009" s="74">
        <v>4050</v>
      </c>
      <c r="J1009" s="75">
        <v>0</v>
      </c>
      <c r="K1009" s="76"/>
    </row>
    <row r="1010" s="1" customFormat="1" ht="14.25" spans="1:11">
      <c r="A1010" s="71">
        <v>7</v>
      </c>
      <c r="B1010" s="72">
        <v>31</v>
      </c>
      <c r="C1010" s="72">
        <v>7</v>
      </c>
      <c r="D1010" s="73" t="s">
        <v>1263</v>
      </c>
      <c r="E1010" s="73" t="s">
        <v>31</v>
      </c>
      <c r="F1010" s="73" t="s">
        <v>79</v>
      </c>
      <c r="G1010" s="73" t="s">
        <v>32</v>
      </c>
      <c r="H1010" s="74" t="s">
        <v>1264</v>
      </c>
      <c r="I1010" s="74">
        <v>20000</v>
      </c>
      <c r="J1010" s="75">
        <v>0</v>
      </c>
      <c r="K1010" s="76"/>
    </row>
    <row r="1011" s="1" customFormat="1" ht="14.25" spans="1:11">
      <c r="A1011" s="71">
        <v>7</v>
      </c>
      <c r="B1011" s="72">
        <v>31</v>
      </c>
      <c r="C1011" s="72">
        <v>7</v>
      </c>
      <c r="D1011" s="73" t="s">
        <v>1265</v>
      </c>
      <c r="E1011" s="73" t="s">
        <v>179</v>
      </c>
      <c r="F1011" s="73" t="s">
        <v>1266</v>
      </c>
      <c r="G1011" s="73" t="s">
        <v>32</v>
      </c>
      <c r="H1011" s="74" t="s">
        <v>1267</v>
      </c>
      <c r="I1011" s="74">
        <v>5200</v>
      </c>
      <c r="J1011" s="75">
        <v>0</v>
      </c>
      <c r="K1011" s="76"/>
    </row>
    <row r="1012" s="1" customFormat="1" ht="14.25" spans="1:11">
      <c r="A1012" s="71">
        <v>7</v>
      </c>
      <c r="B1012" s="72">
        <v>31</v>
      </c>
      <c r="C1012" s="72">
        <v>7</v>
      </c>
      <c r="D1012" s="73" t="s">
        <v>1268</v>
      </c>
      <c r="E1012" s="73" t="s">
        <v>85</v>
      </c>
      <c r="F1012" s="73" t="s">
        <v>86</v>
      </c>
      <c r="G1012" s="73" t="s">
        <v>32</v>
      </c>
      <c r="H1012" s="74" t="s">
        <v>1267</v>
      </c>
      <c r="I1012" s="74">
        <v>5200</v>
      </c>
      <c r="J1012" s="75">
        <v>0</v>
      </c>
      <c r="K1012" s="76"/>
    </row>
    <row r="1013" s="1" customFormat="1" ht="14.25" spans="1:11">
      <c r="A1013" s="71">
        <v>7</v>
      </c>
      <c r="B1013" s="72">
        <v>31</v>
      </c>
      <c r="C1013" s="72">
        <v>7</v>
      </c>
      <c r="D1013" s="73" t="s">
        <v>1269</v>
      </c>
      <c r="E1013" s="73" t="s">
        <v>85</v>
      </c>
      <c r="F1013" s="73" t="s">
        <v>86</v>
      </c>
      <c r="G1013" s="73" t="s">
        <v>32</v>
      </c>
      <c r="H1013" s="74" t="s">
        <v>1267</v>
      </c>
      <c r="I1013" s="74">
        <v>7910</v>
      </c>
      <c r="J1013" s="75">
        <v>0</v>
      </c>
      <c r="K1013" s="76"/>
    </row>
    <row r="1014" s="1" customFormat="1" ht="14.25" spans="1:11">
      <c r="A1014" s="71">
        <v>7</v>
      </c>
      <c r="B1014" s="72">
        <v>31</v>
      </c>
      <c r="C1014" s="72">
        <v>7</v>
      </c>
      <c r="D1014" s="73" t="s">
        <v>1270</v>
      </c>
      <c r="E1014" s="73" t="s">
        <v>85</v>
      </c>
      <c r="F1014" s="73" t="s">
        <v>86</v>
      </c>
      <c r="G1014" s="73" t="s">
        <v>32</v>
      </c>
      <c r="H1014" s="74" t="s">
        <v>1271</v>
      </c>
      <c r="I1014" s="74">
        <v>15300</v>
      </c>
      <c r="J1014" s="75">
        <v>0</v>
      </c>
      <c r="K1014" s="76"/>
    </row>
    <row r="1015" s="1" customFormat="1" ht="14.25" spans="1:11">
      <c r="A1015" s="71">
        <v>7</v>
      </c>
      <c r="B1015" s="72">
        <v>31</v>
      </c>
      <c r="C1015" s="72">
        <v>7</v>
      </c>
      <c r="D1015" s="73" t="s">
        <v>1272</v>
      </c>
      <c r="E1015" s="73" t="s">
        <v>37</v>
      </c>
      <c r="F1015" s="73">
        <v>0</v>
      </c>
      <c r="G1015" s="73" t="s">
        <v>32</v>
      </c>
      <c r="H1015" s="74" t="s">
        <v>1273</v>
      </c>
      <c r="I1015" s="74">
        <v>302</v>
      </c>
      <c r="J1015" s="75">
        <v>0</v>
      </c>
      <c r="K1015" s="76"/>
    </row>
    <row r="1016" s="1" customFormat="1" ht="14.25" spans="1:11">
      <c r="A1016" s="71">
        <v>7</v>
      </c>
      <c r="B1016" s="72">
        <v>31</v>
      </c>
      <c r="C1016" s="72">
        <v>7</v>
      </c>
      <c r="D1016" s="73" t="s">
        <v>1274</v>
      </c>
      <c r="E1016" s="73" t="s">
        <v>37</v>
      </c>
      <c r="F1016" s="73">
        <v>0</v>
      </c>
      <c r="G1016" s="73" t="s">
        <v>32</v>
      </c>
      <c r="H1016" s="74" t="s">
        <v>1273</v>
      </c>
      <c r="I1016" s="74">
        <v>164</v>
      </c>
      <c r="J1016" s="75">
        <v>0</v>
      </c>
      <c r="K1016" s="76"/>
    </row>
    <row r="1017" s="1" customFormat="1" ht="14.25" spans="1:11">
      <c r="A1017" s="71">
        <v>7</v>
      </c>
      <c r="B1017" s="72">
        <v>31</v>
      </c>
      <c r="C1017" s="72">
        <v>7</v>
      </c>
      <c r="D1017" s="73" t="s">
        <v>1275</v>
      </c>
      <c r="E1017" s="73" t="s">
        <v>37</v>
      </c>
      <c r="F1017" s="73">
        <v>0</v>
      </c>
      <c r="G1017" s="73" t="s">
        <v>32</v>
      </c>
      <c r="H1017" s="74" t="s">
        <v>1273</v>
      </c>
      <c r="I1017" s="74">
        <v>162</v>
      </c>
      <c r="J1017" s="75">
        <v>0</v>
      </c>
      <c r="K1017" s="76"/>
    </row>
    <row r="1018" s="1" customFormat="1" ht="14.25" spans="1:11">
      <c r="A1018" s="71">
        <v>7</v>
      </c>
      <c r="B1018" s="72">
        <v>31</v>
      </c>
      <c r="C1018" s="72">
        <v>7</v>
      </c>
      <c r="D1018" s="73" t="s">
        <v>1276</v>
      </c>
      <c r="E1018" s="73" t="s">
        <v>37</v>
      </c>
      <c r="F1018" s="73">
        <v>0</v>
      </c>
      <c r="G1018" s="73" t="s">
        <v>32</v>
      </c>
      <c r="H1018" s="74" t="s">
        <v>1273</v>
      </c>
      <c r="I1018" s="74">
        <v>854</v>
      </c>
      <c r="J1018" s="75">
        <v>0</v>
      </c>
      <c r="K1018" s="76"/>
    </row>
    <row r="1019" s="1" customFormat="1" ht="14.25" spans="1:11">
      <c r="A1019" s="71">
        <v>7</v>
      </c>
      <c r="B1019" s="72">
        <v>31</v>
      </c>
      <c r="C1019" s="72">
        <v>8</v>
      </c>
      <c r="D1019" s="73" t="s">
        <v>1277</v>
      </c>
      <c r="E1019" s="73" t="s">
        <v>118</v>
      </c>
      <c r="F1019" s="73" t="s">
        <v>136</v>
      </c>
      <c r="G1019" s="73" t="s">
        <v>32</v>
      </c>
      <c r="H1019" s="74" t="s">
        <v>1278</v>
      </c>
      <c r="I1019" s="74">
        <v>82</v>
      </c>
      <c r="J1019" s="75">
        <v>0</v>
      </c>
      <c r="K1019" s="76"/>
    </row>
    <row r="1020" s="1" customFormat="1" ht="14.25" spans="1:11">
      <c r="A1020" s="71">
        <v>7</v>
      </c>
      <c r="B1020" s="72">
        <v>31</v>
      </c>
      <c r="C1020" s="72">
        <v>8</v>
      </c>
      <c r="D1020" s="73" t="s">
        <v>1279</v>
      </c>
      <c r="E1020" s="73" t="s">
        <v>96</v>
      </c>
      <c r="F1020" s="73" t="s">
        <v>97</v>
      </c>
      <c r="G1020" s="73" t="s">
        <v>32</v>
      </c>
      <c r="H1020" s="74" t="s">
        <v>1278</v>
      </c>
      <c r="I1020" s="74">
        <v>168</v>
      </c>
      <c r="J1020" s="75">
        <v>0</v>
      </c>
      <c r="K1020" s="76"/>
    </row>
    <row r="1021" s="1" customFormat="1" ht="14.25" spans="1:11">
      <c r="A1021" s="71">
        <v>7</v>
      </c>
      <c r="B1021" s="72">
        <v>31</v>
      </c>
      <c r="C1021" s="72">
        <v>8</v>
      </c>
      <c r="D1021" s="73" t="s">
        <v>1280</v>
      </c>
      <c r="E1021" s="73" t="s">
        <v>48</v>
      </c>
      <c r="F1021" s="73" t="s">
        <v>125</v>
      </c>
      <c r="G1021" s="73" t="s">
        <v>32</v>
      </c>
      <c r="H1021" s="74" t="s">
        <v>1278</v>
      </c>
      <c r="I1021" s="74">
        <v>4</v>
      </c>
      <c r="J1021" s="75">
        <v>0</v>
      </c>
      <c r="K1021" s="76"/>
    </row>
    <row r="1022" s="1" customFormat="1" ht="14.25" spans="1:11">
      <c r="A1022" s="71">
        <v>7</v>
      </c>
      <c r="B1022" s="72">
        <v>31</v>
      </c>
      <c r="C1022" s="72">
        <v>8</v>
      </c>
      <c r="D1022" s="73" t="s">
        <v>1281</v>
      </c>
      <c r="E1022" s="73" t="s">
        <v>48</v>
      </c>
      <c r="F1022" s="73" t="s">
        <v>233</v>
      </c>
      <c r="G1022" s="73" t="s">
        <v>32</v>
      </c>
      <c r="H1022" s="74" t="s">
        <v>1278</v>
      </c>
      <c r="I1022" s="74">
        <v>23</v>
      </c>
      <c r="J1022" s="75">
        <v>0</v>
      </c>
      <c r="K1022" s="76"/>
    </row>
    <row r="1023" s="1" customFormat="1" ht="14.25" spans="1:11">
      <c r="A1023" s="71">
        <v>7</v>
      </c>
      <c r="B1023" s="72">
        <v>31</v>
      </c>
      <c r="C1023" s="72">
        <v>8</v>
      </c>
      <c r="D1023" s="73" t="s">
        <v>1282</v>
      </c>
      <c r="E1023" s="73" t="s">
        <v>118</v>
      </c>
      <c r="F1023" s="73" t="s">
        <v>136</v>
      </c>
      <c r="G1023" s="73" t="s">
        <v>32</v>
      </c>
      <c r="H1023" s="74" t="s">
        <v>1278</v>
      </c>
      <c r="I1023" s="74">
        <v>5</v>
      </c>
      <c r="J1023" s="75">
        <v>0</v>
      </c>
      <c r="K1023" s="76"/>
    </row>
    <row r="1024" s="1" customFormat="1" ht="14.25" spans="1:11">
      <c r="A1024" s="71">
        <v>7</v>
      </c>
      <c r="B1024" s="72">
        <v>31</v>
      </c>
      <c r="C1024" s="72">
        <v>8</v>
      </c>
      <c r="D1024" s="73" t="s">
        <v>1283</v>
      </c>
      <c r="E1024" s="73" t="s">
        <v>48</v>
      </c>
      <c r="F1024" s="73" t="s">
        <v>125</v>
      </c>
      <c r="G1024" s="73" t="s">
        <v>32</v>
      </c>
      <c r="H1024" s="74" t="s">
        <v>1284</v>
      </c>
      <c r="I1024" s="74">
        <v>400</v>
      </c>
      <c r="J1024" s="75">
        <v>0</v>
      </c>
      <c r="K1024" s="76"/>
    </row>
    <row r="1025" s="1" customFormat="1" ht="14.25" spans="1:11">
      <c r="A1025" s="71">
        <v>7</v>
      </c>
      <c r="B1025" s="72">
        <v>31</v>
      </c>
      <c r="C1025" s="72">
        <v>8</v>
      </c>
      <c r="D1025" s="73" t="s">
        <v>275</v>
      </c>
      <c r="E1025" s="73" t="s">
        <v>48</v>
      </c>
      <c r="F1025" s="73" t="s">
        <v>125</v>
      </c>
      <c r="G1025" s="73" t="s">
        <v>32</v>
      </c>
      <c r="H1025" s="74" t="s">
        <v>1284</v>
      </c>
      <c r="I1025" s="74">
        <v>150</v>
      </c>
      <c r="J1025" s="75">
        <v>0</v>
      </c>
      <c r="K1025" s="76"/>
    </row>
    <row r="1026" s="1" customFormat="1" ht="14.25" spans="1:11">
      <c r="A1026" s="71">
        <v>7</v>
      </c>
      <c r="B1026" s="72">
        <v>31</v>
      </c>
      <c r="C1026" s="72">
        <v>8</v>
      </c>
      <c r="D1026" s="73" t="s">
        <v>537</v>
      </c>
      <c r="E1026" s="73" t="s">
        <v>118</v>
      </c>
      <c r="F1026" s="73" t="s">
        <v>136</v>
      </c>
      <c r="G1026" s="73" t="s">
        <v>32</v>
      </c>
      <c r="H1026" s="74" t="s">
        <v>1284</v>
      </c>
      <c r="I1026" s="74">
        <v>14</v>
      </c>
      <c r="J1026" s="75">
        <v>0</v>
      </c>
      <c r="K1026" s="76"/>
    </row>
    <row r="1027" s="1" customFormat="1" ht="14.25" spans="1:11">
      <c r="A1027" s="71">
        <v>7</v>
      </c>
      <c r="B1027" s="72">
        <v>31</v>
      </c>
      <c r="C1027" s="72">
        <v>8</v>
      </c>
      <c r="D1027" s="73" t="s">
        <v>1285</v>
      </c>
      <c r="E1027" s="73" t="s">
        <v>118</v>
      </c>
      <c r="F1027" s="73" t="s">
        <v>136</v>
      </c>
      <c r="G1027" s="73" t="s">
        <v>32</v>
      </c>
      <c r="H1027" s="74" t="s">
        <v>1284</v>
      </c>
      <c r="I1027" s="74">
        <v>157</v>
      </c>
      <c r="J1027" s="75">
        <v>0</v>
      </c>
      <c r="K1027" s="76"/>
    </row>
    <row r="1028" s="1" customFormat="1" ht="14.25" spans="1:11">
      <c r="A1028" s="71">
        <v>7</v>
      </c>
      <c r="B1028" s="72">
        <v>31</v>
      </c>
      <c r="C1028" s="72">
        <v>8</v>
      </c>
      <c r="D1028" s="73" t="s">
        <v>1285</v>
      </c>
      <c r="E1028" s="73" t="s">
        <v>118</v>
      </c>
      <c r="F1028" s="73" t="s">
        <v>136</v>
      </c>
      <c r="G1028" s="73" t="s">
        <v>32</v>
      </c>
      <c r="H1028" s="74" t="s">
        <v>1284</v>
      </c>
      <c r="I1028" s="74">
        <v>107</v>
      </c>
      <c r="J1028" s="75">
        <v>0</v>
      </c>
      <c r="K1028" s="76"/>
    </row>
    <row r="1029" s="1" customFormat="1" ht="14.25" spans="1:11">
      <c r="A1029" s="71">
        <v>7</v>
      </c>
      <c r="B1029" s="72">
        <v>31</v>
      </c>
      <c r="C1029" s="72">
        <v>9</v>
      </c>
      <c r="D1029" s="73" t="s">
        <v>1286</v>
      </c>
      <c r="E1029" s="73" t="s">
        <v>48</v>
      </c>
      <c r="F1029" s="73" t="s">
        <v>209</v>
      </c>
      <c r="G1029" s="73" t="s">
        <v>32</v>
      </c>
      <c r="H1029" s="74" t="s">
        <v>1287</v>
      </c>
      <c r="I1029" s="74">
        <v>30</v>
      </c>
      <c r="J1029" s="75">
        <v>0</v>
      </c>
      <c r="K1029" s="76"/>
    </row>
    <row r="1030" s="1" customFormat="1" ht="14.25" spans="1:11">
      <c r="A1030" s="71">
        <v>7</v>
      </c>
      <c r="B1030" s="72">
        <v>31</v>
      </c>
      <c r="C1030" s="72">
        <v>9</v>
      </c>
      <c r="D1030" s="73" t="s">
        <v>1288</v>
      </c>
      <c r="E1030" s="73" t="s">
        <v>48</v>
      </c>
      <c r="F1030" s="73" t="s">
        <v>55</v>
      </c>
      <c r="G1030" s="73" t="s">
        <v>32</v>
      </c>
      <c r="H1030" s="74" t="s">
        <v>1287</v>
      </c>
      <c r="I1030" s="74">
        <v>28</v>
      </c>
      <c r="J1030" s="75">
        <v>0</v>
      </c>
      <c r="K1030" s="76"/>
    </row>
    <row r="1031" s="1" customFormat="1" ht="14.25" spans="1:11">
      <c r="A1031" s="71">
        <v>7</v>
      </c>
      <c r="B1031" s="72">
        <v>31</v>
      </c>
      <c r="C1031" s="72">
        <v>9</v>
      </c>
      <c r="D1031" s="73" t="s">
        <v>275</v>
      </c>
      <c r="E1031" s="73" t="s">
        <v>48</v>
      </c>
      <c r="F1031" s="73" t="s">
        <v>125</v>
      </c>
      <c r="G1031" s="73" t="s">
        <v>32</v>
      </c>
      <c r="H1031" s="74" t="s">
        <v>1287</v>
      </c>
      <c r="I1031" s="74">
        <v>190</v>
      </c>
      <c r="J1031" s="75">
        <v>0</v>
      </c>
      <c r="K1031" s="76"/>
    </row>
    <row r="1032" s="1" customFormat="1" ht="14.25" spans="1:11">
      <c r="A1032" s="71">
        <v>7</v>
      </c>
      <c r="B1032" s="72">
        <v>31</v>
      </c>
      <c r="C1032" s="72">
        <v>9</v>
      </c>
      <c r="D1032" s="73" t="s">
        <v>1285</v>
      </c>
      <c r="E1032" s="73" t="s">
        <v>118</v>
      </c>
      <c r="F1032" s="73" t="s">
        <v>136</v>
      </c>
      <c r="G1032" s="73" t="s">
        <v>32</v>
      </c>
      <c r="H1032" s="74" t="s">
        <v>1287</v>
      </c>
      <c r="I1032" s="74">
        <v>10</v>
      </c>
      <c r="J1032" s="75">
        <v>0</v>
      </c>
      <c r="K1032" s="76"/>
    </row>
    <row r="1033" s="1" customFormat="1" ht="14.25" spans="1:11">
      <c r="A1033" s="71">
        <v>7</v>
      </c>
      <c r="B1033" s="72">
        <v>31</v>
      </c>
      <c r="C1033" s="72">
        <v>9</v>
      </c>
      <c r="D1033" s="73" t="s">
        <v>458</v>
      </c>
      <c r="E1033" s="73" t="s">
        <v>48</v>
      </c>
      <c r="F1033" s="73" t="s">
        <v>55</v>
      </c>
      <c r="G1033" s="73" t="s">
        <v>32</v>
      </c>
      <c r="H1033" s="74" t="s">
        <v>1287</v>
      </c>
      <c r="I1033" s="74">
        <v>200</v>
      </c>
      <c r="J1033" s="75">
        <v>0</v>
      </c>
      <c r="K1033" s="76"/>
    </row>
    <row r="1034" s="1" customFormat="1" ht="14.25" spans="1:11">
      <c r="A1034" s="71">
        <v>7</v>
      </c>
      <c r="B1034" s="72">
        <v>31</v>
      </c>
      <c r="C1034" s="72">
        <v>9</v>
      </c>
      <c r="D1034" s="73" t="s">
        <v>1289</v>
      </c>
      <c r="E1034" s="73" t="s">
        <v>96</v>
      </c>
      <c r="F1034" s="73" t="s">
        <v>97</v>
      </c>
      <c r="G1034" s="73" t="s">
        <v>32</v>
      </c>
      <c r="H1034" s="74" t="s">
        <v>1290</v>
      </c>
      <c r="I1034" s="74">
        <v>14</v>
      </c>
      <c r="J1034" s="75">
        <v>0</v>
      </c>
      <c r="K1034" s="76"/>
    </row>
    <row r="1035" s="1" customFormat="1" ht="14.25" spans="1:11">
      <c r="A1035" s="71">
        <v>7</v>
      </c>
      <c r="B1035" s="72">
        <v>31</v>
      </c>
      <c r="C1035" s="72">
        <v>9</v>
      </c>
      <c r="D1035" s="73" t="s">
        <v>1291</v>
      </c>
      <c r="E1035" s="73" t="s">
        <v>118</v>
      </c>
      <c r="F1035" s="73" t="s">
        <v>136</v>
      </c>
      <c r="G1035" s="73" t="s">
        <v>32</v>
      </c>
      <c r="H1035" s="74" t="s">
        <v>1290</v>
      </c>
      <c r="I1035" s="74">
        <v>35</v>
      </c>
      <c r="J1035" s="75">
        <v>0</v>
      </c>
      <c r="K1035" s="76"/>
    </row>
    <row r="1036" s="1" customFormat="1" ht="14.25" spans="1:11">
      <c r="A1036" s="71">
        <v>7</v>
      </c>
      <c r="B1036" s="72">
        <v>31</v>
      </c>
      <c r="C1036" s="72">
        <v>9</v>
      </c>
      <c r="D1036" s="73" t="s">
        <v>1292</v>
      </c>
      <c r="E1036" s="73" t="s">
        <v>118</v>
      </c>
      <c r="F1036" s="73" t="s">
        <v>136</v>
      </c>
      <c r="G1036" s="73" t="s">
        <v>32</v>
      </c>
      <c r="H1036" s="74" t="s">
        <v>1290</v>
      </c>
      <c r="I1036" s="74">
        <v>185</v>
      </c>
      <c r="J1036" s="75">
        <v>0</v>
      </c>
      <c r="K1036" s="76"/>
    </row>
    <row r="1037" s="1" customFormat="1" ht="14.25" spans="1:11">
      <c r="A1037" s="71">
        <v>7</v>
      </c>
      <c r="B1037" s="72">
        <v>31</v>
      </c>
      <c r="C1037" s="72">
        <v>9</v>
      </c>
      <c r="D1037" s="73" t="s">
        <v>537</v>
      </c>
      <c r="E1037" s="73" t="s">
        <v>118</v>
      </c>
      <c r="F1037" s="73" t="s">
        <v>136</v>
      </c>
      <c r="G1037" s="73" t="s">
        <v>32</v>
      </c>
      <c r="H1037" s="74" t="s">
        <v>1290</v>
      </c>
      <c r="I1037" s="74">
        <v>53.88</v>
      </c>
      <c r="J1037" s="75">
        <v>0</v>
      </c>
      <c r="K1037" s="76"/>
    </row>
    <row r="1038" s="1" customFormat="1" ht="14.25" spans="1:11">
      <c r="A1038" s="71">
        <v>7</v>
      </c>
      <c r="B1038" s="72">
        <v>31</v>
      </c>
      <c r="C1038" s="72">
        <v>9</v>
      </c>
      <c r="D1038" s="73" t="s">
        <v>1293</v>
      </c>
      <c r="E1038" s="73" t="s">
        <v>48</v>
      </c>
      <c r="F1038" s="73" t="s">
        <v>55</v>
      </c>
      <c r="G1038" s="73" t="s">
        <v>32</v>
      </c>
      <c r="H1038" s="74" t="s">
        <v>1290</v>
      </c>
      <c r="I1038" s="74">
        <v>25</v>
      </c>
      <c r="J1038" s="75">
        <v>0</v>
      </c>
      <c r="K1038" s="76"/>
    </row>
    <row r="1039" s="1" customFormat="1" ht="14.25" spans="1:11">
      <c r="A1039" s="71">
        <v>7</v>
      </c>
      <c r="B1039" s="72">
        <v>31</v>
      </c>
      <c r="C1039" s="72">
        <v>10</v>
      </c>
      <c r="D1039" s="73" t="s">
        <v>1294</v>
      </c>
      <c r="E1039" s="73" t="s">
        <v>118</v>
      </c>
      <c r="F1039" s="73" t="s">
        <v>136</v>
      </c>
      <c r="G1039" s="73" t="s">
        <v>32</v>
      </c>
      <c r="H1039" s="74" t="s">
        <v>1295</v>
      </c>
      <c r="I1039" s="74">
        <v>12</v>
      </c>
      <c r="J1039" s="75">
        <v>0</v>
      </c>
      <c r="K1039" s="76"/>
    </row>
    <row r="1040" s="1" customFormat="1" ht="14.25" spans="1:11">
      <c r="A1040" s="71">
        <v>7</v>
      </c>
      <c r="B1040" s="72">
        <v>31</v>
      </c>
      <c r="C1040" s="72">
        <v>10</v>
      </c>
      <c r="D1040" s="73" t="s">
        <v>1296</v>
      </c>
      <c r="E1040" s="73" t="s">
        <v>118</v>
      </c>
      <c r="F1040" s="73" t="s">
        <v>136</v>
      </c>
      <c r="G1040" s="73" t="s">
        <v>32</v>
      </c>
      <c r="H1040" s="74" t="s">
        <v>1295</v>
      </c>
      <c r="I1040" s="74">
        <v>27</v>
      </c>
      <c r="J1040" s="75">
        <v>0</v>
      </c>
      <c r="K1040" s="76"/>
    </row>
    <row r="1041" s="1" customFormat="1" ht="14.25" spans="1:11">
      <c r="A1041" s="71">
        <v>7</v>
      </c>
      <c r="B1041" s="72">
        <v>31</v>
      </c>
      <c r="C1041" s="72">
        <v>10</v>
      </c>
      <c r="D1041" s="73" t="s">
        <v>226</v>
      </c>
      <c r="E1041" s="73" t="s">
        <v>96</v>
      </c>
      <c r="F1041" s="73" t="s">
        <v>97</v>
      </c>
      <c r="G1041" s="73" t="s">
        <v>32</v>
      </c>
      <c r="H1041" s="74" t="s">
        <v>1295</v>
      </c>
      <c r="I1041" s="74">
        <v>172</v>
      </c>
      <c r="J1041" s="75">
        <v>0</v>
      </c>
      <c r="K1041" s="76"/>
    </row>
    <row r="1042" s="1" customFormat="1" ht="14.25" spans="1:11">
      <c r="A1042" s="71">
        <v>7</v>
      </c>
      <c r="B1042" s="72">
        <v>31</v>
      </c>
      <c r="C1042" s="72">
        <v>10</v>
      </c>
      <c r="D1042" s="73" t="s">
        <v>124</v>
      </c>
      <c r="E1042" s="73" t="s">
        <v>48</v>
      </c>
      <c r="F1042" s="73" t="s">
        <v>125</v>
      </c>
      <c r="G1042" s="73" t="s">
        <v>32</v>
      </c>
      <c r="H1042" s="74" t="s">
        <v>1295</v>
      </c>
      <c r="I1042" s="74">
        <v>4</v>
      </c>
      <c r="J1042" s="75">
        <v>0</v>
      </c>
      <c r="K1042" s="76"/>
    </row>
    <row r="1043" s="1" customFormat="1" ht="14.25" spans="1:11">
      <c r="A1043" s="71">
        <v>7</v>
      </c>
      <c r="B1043" s="72">
        <v>31</v>
      </c>
      <c r="C1043" s="72">
        <v>10</v>
      </c>
      <c r="D1043" s="73" t="s">
        <v>1297</v>
      </c>
      <c r="E1043" s="73" t="s">
        <v>118</v>
      </c>
      <c r="F1043" s="73" t="s">
        <v>136</v>
      </c>
      <c r="G1043" s="73" t="s">
        <v>32</v>
      </c>
      <c r="H1043" s="74" t="s">
        <v>1295</v>
      </c>
      <c r="I1043" s="74">
        <v>500</v>
      </c>
      <c r="J1043" s="75">
        <v>0</v>
      </c>
      <c r="K1043" s="76"/>
    </row>
    <row r="1044" s="1" customFormat="1" ht="14.25" spans="1:11">
      <c r="A1044" s="71">
        <v>7</v>
      </c>
      <c r="B1044" s="72">
        <v>31</v>
      </c>
      <c r="C1044" s="72">
        <v>10</v>
      </c>
      <c r="D1044" s="73" t="s">
        <v>1298</v>
      </c>
      <c r="E1044" s="73" t="s">
        <v>118</v>
      </c>
      <c r="F1044" s="73" t="s">
        <v>136</v>
      </c>
      <c r="G1044" s="73" t="s">
        <v>32</v>
      </c>
      <c r="H1044" s="74" t="s">
        <v>1299</v>
      </c>
      <c r="I1044" s="74">
        <v>15</v>
      </c>
      <c r="J1044" s="75">
        <v>0</v>
      </c>
      <c r="K1044" s="76"/>
    </row>
    <row r="1045" s="1" customFormat="1" ht="14.25" spans="1:11">
      <c r="A1045" s="71">
        <v>7</v>
      </c>
      <c r="B1045" s="72">
        <v>31</v>
      </c>
      <c r="C1045" s="72">
        <v>10</v>
      </c>
      <c r="D1045" s="73" t="s">
        <v>1294</v>
      </c>
      <c r="E1045" s="73" t="s">
        <v>118</v>
      </c>
      <c r="F1045" s="73" t="s">
        <v>136</v>
      </c>
      <c r="G1045" s="73" t="s">
        <v>32</v>
      </c>
      <c r="H1045" s="74" t="s">
        <v>1299</v>
      </c>
      <c r="I1045" s="74">
        <v>30</v>
      </c>
      <c r="J1045" s="75">
        <v>0</v>
      </c>
      <c r="K1045" s="76"/>
    </row>
    <row r="1046" s="1" customFormat="1" ht="14.25" spans="1:11">
      <c r="A1046" s="71">
        <v>7</v>
      </c>
      <c r="B1046" s="72">
        <v>31</v>
      </c>
      <c r="C1046" s="72">
        <v>10</v>
      </c>
      <c r="D1046" s="73" t="s">
        <v>1300</v>
      </c>
      <c r="E1046" s="73" t="s">
        <v>118</v>
      </c>
      <c r="F1046" s="73" t="s">
        <v>136</v>
      </c>
      <c r="G1046" s="73" t="s">
        <v>32</v>
      </c>
      <c r="H1046" s="74" t="s">
        <v>1299</v>
      </c>
      <c r="I1046" s="74">
        <v>5</v>
      </c>
      <c r="J1046" s="75">
        <v>0</v>
      </c>
      <c r="K1046" s="76"/>
    </row>
    <row r="1047" s="1" customFormat="1" ht="14.25" spans="1:11">
      <c r="A1047" s="71">
        <v>7</v>
      </c>
      <c r="B1047" s="72">
        <v>31</v>
      </c>
      <c r="C1047" s="72">
        <v>10</v>
      </c>
      <c r="D1047" s="73" t="s">
        <v>1067</v>
      </c>
      <c r="E1047" s="73" t="s">
        <v>118</v>
      </c>
      <c r="F1047" s="73" t="s">
        <v>136</v>
      </c>
      <c r="G1047" s="73" t="s">
        <v>32</v>
      </c>
      <c r="H1047" s="74" t="s">
        <v>1299</v>
      </c>
      <c r="I1047" s="74">
        <v>43</v>
      </c>
      <c r="J1047" s="75">
        <v>0</v>
      </c>
      <c r="K1047" s="76"/>
    </row>
    <row r="1048" s="1" customFormat="1" ht="14.25" spans="1:11">
      <c r="A1048" s="71">
        <v>7</v>
      </c>
      <c r="B1048" s="72">
        <v>31</v>
      </c>
      <c r="C1048" s="72">
        <v>10</v>
      </c>
      <c r="D1048" s="73" t="s">
        <v>1301</v>
      </c>
      <c r="E1048" s="73" t="s">
        <v>48</v>
      </c>
      <c r="F1048" s="73" t="s">
        <v>233</v>
      </c>
      <c r="G1048" s="73" t="s">
        <v>32</v>
      </c>
      <c r="H1048" s="74" t="s">
        <v>1299</v>
      </c>
      <c r="I1048" s="74">
        <v>30</v>
      </c>
      <c r="J1048" s="75">
        <v>0</v>
      </c>
      <c r="K1048" s="76"/>
    </row>
    <row r="1049" s="1" customFormat="1" ht="14.25" spans="1:11">
      <c r="A1049" s="71">
        <v>7</v>
      </c>
      <c r="B1049" s="72">
        <v>31</v>
      </c>
      <c r="C1049" s="72">
        <v>11</v>
      </c>
      <c r="D1049" s="73" t="s">
        <v>1302</v>
      </c>
      <c r="E1049" s="73" t="s">
        <v>100</v>
      </c>
      <c r="F1049" s="73" t="s">
        <v>101</v>
      </c>
      <c r="G1049" s="73" t="s">
        <v>32</v>
      </c>
      <c r="H1049" s="74" t="s">
        <v>1303</v>
      </c>
      <c r="I1049" s="74">
        <v>1552</v>
      </c>
      <c r="J1049" s="75">
        <v>0</v>
      </c>
      <c r="K1049" s="76"/>
    </row>
    <row r="1050" s="1" customFormat="1" ht="14.25" spans="1:11">
      <c r="A1050" s="71">
        <v>7</v>
      </c>
      <c r="B1050" s="72">
        <v>31</v>
      </c>
      <c r="C1050" s="72">
        <v>11</v>
      </c>
      <c r="D1050" s="73" t="s">
        <v>1304</v>
      </c>
      <c r="E1050" s="73" t="s">
        <v>100</v>
      </c>
      <c r="F1050" s="73" t="s">
        <v>101</v>
      </c>
      <c r="G1050" s="73" t="s">
        <v>32</v>
      </c>
      <c r="H1050" s="74" t="s">
        <v>1305</v>
      </c>
      <c r="I1050" s="74">
        <v>8266</v>
      </c>
      <c r="J1050" s="75">
        <v>0</v>
      </c>
      <c r="K1050" s="76"/>
    </row>
    <row r="1051" s="1" customFormat="1" ht="14.25" spans="1:11">
      <c r="A1051" s="71">
        <v>7</v>
      </c>
      <c r="B1051" s="72">
        <v>31</v>
      </c>
      <c r="C1051" s="72">
        <v>11</v>
      </c>
      <c r="D1051" s="73" t="s">
        <v>1306</v>
      </c>
      <c r="E1051" s="73" t="s">
        <v>96</v>
      </c>
      <c r="F1051" s="73" t="s">
        <v>97</v>
      </c>
      <c r="G1051" s="73" t="s">
        <v>32</v>
      </c>
      <c r="H1051" s="74" t="s">
        <v>1307</v>
      </c>
      <c r="I1051" s="74">
        <v>63</v>
      </c>
      <c r="J1051" s="75">
        <v>0</v>
      </c>
      <c r="K1051" s="76"/>
    </row>
    <row r="1052" s="1" customFormat="1" ht="14.25" spans="1:11">
      <c r="A1052" s="71">
        <v>7</v>
      </c>
      <c r="B1052" s="72">
        <v>31</v>
      </c>
      <c r="C1052" s="72">
        <v>11</v>
      </c>
      <c r="D1052" s="73" t="s">
        <v>1308</v>
      </c>
      <c r="E1052" s="73" t="s">
        <v>48</v>
      </c>
      <c r="F1052" s="73" t="s">
        <v>55</v>
      </c>
      <c r="G1052" s="73" t="s">
        <v>32</v>
      </c>
      <c r="H1052" s="74" t="s">
        <v>1307</v>
      </c>
      <c r="I1052" s="74">
        <v>10</v>
      </c>
      <c r="J1052" s="75">
        <v>0</v>
      </c>
      <c r="K1052" s="76"/>
    </row>
    <row r="1053" s="1" customFormat="1" ht="14.25" spans="1:11">
      <c r="A1053" s="71">
        <v>7</v>
      </c>
      <c r="B1053" s="72">
        <v>31</v>
      </c>
      <c r="C1053" s="72">
        <v>11</v>
      </c>
      <c r="D1053" s="73" t="s">
        <v>1309</v>
      </c>
      <c r="E1053" s="73" t="s">
        <v>291</v>
      </c>
      <c r="F1053" s="73" t="s">
        <v>323</v>
      </c>
      <c r="G1053" s="73" t="s">
        <v>32</v>
      </c>
      <c r="H1053" s="74" t="s">
        <v>1307</v>
      </c>
      <c r="I1053" s="74">
        <v>2743</v>
      </c>
      <c r="J1053" s="75">
        <v>0</v>
      </c>
      <c r="K1053" s="76"/>
    </row>
    <row r="1054" s="1" customFormat="1" ht="14.25" spans="1:11">
      <c r="A1054" s="71">
        <v>7</v>
      </c>
      <c r="B1054" s="72">
        <v>31</v>
      </c>
      <c r="C1054" s="72">
        <v>11</v>
      </c>
      <c r="D1054" s="73" t="s">
        <v>1310</v>
      </c>
      <c r="E1054" s="73" t="s">
        <v>100</v>
      </c>
      <c r="F1054" s="73" t="s">
        <v>101</v>
      </c>
      <c r="G1054" s="73" t="s">
        <v>32</v>
      </c>
      <c r="H1054" s="74" t="s">
        <v>1311</v>
      </c>
      <c r="I1054" s="74">
        <v>44071</v>
      </c>
      <c r="J1054" s="75">
        <v>0</v>
      </c>
      <c r="K1054" s="76"/>
    </row>
    <row r="1055" s="1" customFormat="1" ht="14.25" spans="1:11">
      <c r="A1055" s="71">
        <v>7</v>
      </c>
      <c r="B1055" s="72">
        <v>31</v>
      </c>
      <c r="C1055" s="72">
        <v>11</v>
      </c>
      <c r="D1055" s="73" t="s">
        <v>1312</v>
      </c>
      <c r="E1055" s="73" t="s">
        <v>291</v>
      </c>
      <c r="F1055" s="73" t="s">
        <v>719</v>
      </c>
      <c r="G1055" s="73" t="s">
        <v>32</v>
      </c>
      <c r="H1055" s="74" t="s">
        <v>1311</v>
      </c>
      <c r="I1055" s="74">
        <v>31764</v>
      </c>
      <c r="J1055" s="75">
        <v>0</v>
      </c>
      <c r="K1055" s="76"/>
    </row>
    <row r="1056" s="1" customFormat="1" ht="14.25" spans="1:11">
      <c r="A1056" s="71">
        <v>7</v>
      </c>
      <c r="B1056" s="72">
        <v>31</v>
      </c>
      <c r="C1056" s="72">
        <v>11</v>
      </c>
      <c r="D1056" s="73" t="s">
        <v>1313</v>
      </c>
      <c r="E1056" s="73" t="s">
        <v>48</v>
      </c>
      <c r="F1056" s="73" t="s">
        <v>55</v>
      </c>
      <c r="G1056" s="73" t="s">
        <v>32</v>
      </c>
      <c r="H1056" s="74" t="s">
        <v>1314</v>
      </c>
      <c r="I1056" s="74">
        <v>120</v>
      </c>
      <c r="J1056" s="75">
        <v>0</v>
      </c>
      <c r="K1056" s="76"/>
    </row>
    <row r="1057" s="1" customFormat="1" ht="14.25" spans="1:11">
      <c r="A1057" s="71">
        <v>7</v>
      </c>
      <c r="B1057" s="72">
        <v>31</v>
      </c>
      <c r="C1057" s="72">
        <v>11</v>
      </c>
      <c r="D1057" s="73" t="s">
        <v>1315</v>
      </c>
      <c r="E1057" s="73" t="s">
        <v>96</v>
      </c>
      <c r="F1057" s="73" t="s">
        <v>97</v>
      </c>
      <c r="G1057" s="73" t="s">
        <v>32</v>
      </c>
      <c r="H1057" s="74" t="s">
        <v>1314</v>
      </c>
      <c r="I1057" s="74">
        <v>105</v>
      </c>
      <c r="J1057" s="75">
        <v>0</v>
      </c>
      <c r="K1057" s="76"/>
    </row>
    <row r="1058" s="1" customFormat="1" ht="14.25" spans="1:11">
      <c r="A1058" s="71">
        <v>7</v>
      </c>
      <c r="B1058" s="72">
        <v>31</v>
      </c>
      <c r="C1058" s="72">
        <v>11</v>
      </c>
      <c r="D1058" s="73" t="s">
        <v>1316</v>
      </c>
      <c r="E1058" s="73" t="s">
        <v>85</v>
      </c>
      <c r="F1058" s="74" t="s">
        <v>1317</v>
      </c>
      <c r="G1058" s="73" t="s">
        <v>32</v>
      </c>
      <c r="H1058" s="74" t="s">
        <v>1314</v>
      </c>
      <c r="I1058" s="74">
        <v>810</v>
      </c>
      <c r="J1058" s="75">
        <v>0</v>
      </c>
      <c r="K1058" s="76"/>
    </row>
    <row r="1059" s="1" customFormat="1" ht="14.25" spans="1:11">
      <c r="A1059" s="71">
        <v>7</v>
      </c>
      <c r="B1059" s="72">
        <v>31</v>
      </c>
      <c r="C1059" s="72">
        <v>12</v>
      </c>
      <c r="D1059" s="73" t="s">
        <v>124</v>
      </c>
      <c r="E1059" s="73" t="s">
        <v>48</v>
      </c>
      <c r="F1059" s="73" t="s">
        <v>125</v>
      </c>
      <c r="G1059" s="73" t="s">
        <v>32</v>
      </c>
      <c r="H1059" s="74" t="s">
        <v>1318</v>
      </c>
      <c r="I1059" s="74">
        <v>6</v>
      </c>
      <c r="J1059" s="75">
        <v>0</v>
      </c>
      <c r="K1059" s="76"/>
    </row>
    <row r="1060" s="1" customFormat="1" ht="14.25" spans="1:11">
      <c r="A1060" s="71">
        <v>7</v>
      </c>
      <c r="B1060" s="72">
        <v>31</v>
      </c>
      <c r="C1060" s="72">
        <v>12</v>
      </c>
      <c r="D1060" s="73" t="s">
        <v>1319</v>
      </c>
      <c r="E1060" s="73" t="s">
        <v>48</v>
      </c>
      <c r="F1060" s="73" t="s">
        <v>55</v>
      </c>
      <c r="G1060" s="73" t="s">
        <v>32</v>
      </c>
      <c r="H1060" s="74" t="s">
        <v>1318</v>
      </c>
      <c r="I1060" s="74">
        <v>20</v>
      </c>
      <c r="J1060" s="75">
        <v>0</v>
      </c>
      <c r="K1060" s="76"/>
    </row>
    <row r="1061" s="1" customFormat="1" ht="14.25" spans="1:11">
      <c r="A1061" s="71">
        <v>7</v>
      </c>
      <c r="B1061" s="72">
        <v>31</v>
      </c>
      <c r="C1061" s="72">
        <v>12</v>
      </c>
      <c r="D1061" s="73" t="s">
        <v>281</v>
      </c>
      <c r="E1061" s="73" t="s">
        <v>118</v>
      </c>
      <c r="F1061" s="73" t="s">
        <v>136</v>
      </c>
      <c r="G1061" s="73" t="s">
        <v>32</v>
      </c>
      <c r="H1061" s="74" t="s">
        <v>1318</v>
      </c>
      <c r="I1061" s="74">
        <v>100</v>
      </c>
      <c r="J1061" s="75">
        <v>0</v>
      </c>
      <c r="K1061" s="76"/>
    </row>
    <row r="1062" s="1" customFormat="1" ht="14.25" spans="1:11">
      <c r="A1062" s="71">
        <v>7</v>
      </c>
      <c r="B1062" s="72">
        <v>31</v>
      </c>
      <c r="C1062" s="72">
        <v>12</v>
      </c>
      <c r="D1062" s="73" t="s">
        <v>1320</v>
      </c>
      <c r="E1062" s="73" t="s">
        <v>48</v>
      </c>
      <c r="F1062" s="73" t="s">
        <v>383</v>
      </c>
      <c r="G1062" s="73" t="s">
        <v>32</v>
      </c>
      <c r="H1062" s="74" t="s">
        <v>1318</v>
      </c>
      <c r="I1062" s="74">
        <v>10</v>
      </c>
      <c r="J1062" s="75">
        <v>0</v>
      </c>
      <c r="K1062" s="76"/>
    </row>
    <row r="1063" s="1" customFormat="1" ht="14.25" spans="1:11">
      <c r="A1063" s="71">
        <v>7</v>
      </c>
      <c r="B1063" s="72">
        <v>31</v>
      </c>
      <c r="C1063" s="72">
        <v>12</v>
      </c>
      <c r="D1063" s="73" t="s">
        <v>1321</v>
      </c>
      <c r="E1063" s="73" t="s">
        <v>118</v>
      </c>
      <c r="F1063" s="73" t="s">
        <v>136</v>
      </c>
      <c r="G1063" s="73" t="s">
        <v>32</v>
      </c>
      <c r="H1063" s="74" t="s">
        <v>1318</v>
      </c>
      <c r="I1063" s="74">
        <v>55</v>
      </c>
      <c r="J1063" s="75">
        <v>0</v>
      </c>
      <c r="K1063" s="76"/>
    </row>
    <row r="1064" s="1" customFormat="1" ht="14.25" spans="1:11">
      <c r="A1064" s="71">
        <v>7</v>
      </c>
      <c r="B1064" s="72">
        <v>31</v>
      </c>
      <c r="C1064" s="72">
        <v>12</v>
      </c>
      <c r="D1064" s="73" t="s">
        <v>1322</v>
      </c>
      <c r="E1064" s="73" t="s">
        <v>48</v>
      </c>
      <c r="F1064" s="73" t="s">
        <v>233</v>
      </c>
      <c r="G1064" s="73" t="s">
        <v>32</v>
      </c>
      <c r="H1064" s="74" t="s">
        <v>1323</v>
      </c>
      <c r="I1064" s="74">
        <v>30</v>
      </c>
      <c r="J1064" s="75">
        <v>0</v>
      </c>
      <c r="K1064" s="76"/>
    </row>
    <row r="1065" s="1" customFormat="1" ht="14.25" spans="1:11">
      <c r="A1065" s="71">
        <v>7</v>
      </c>
      <c r="B1065" s="72">
        <v>31</v>
      </c>
      <c r="C1065" s="72">
        <v>12</v>
      </c>
      <c r="D1065" s="73" t="s">
        <v>1324</v>
      </c>
      <c r="E1065" s="73" t="s">
        <v>172</v>
      </c>
      <c r="F1065" s="73" t="s">
        <v>1325</v>
      </c>
      <c r="G1065" s="73" t="s">
        <v>32</v>
      </c>
      <c r="H1065" s="74" t="s">
        <v>1323</v>
      </c>
      <c r="I1065" s="74">
        <v>2000</v>
      </c>
      <c r="J1065" s="75">
        <v>0</v>
      </c>
      <c r="K1065" s="76"/>
    </row>
    <row r="1066" s="1" customFormat="1" ht="14.25" spans="1:11">
      <c r="A1066" s="71">
        <v>7</v>
      </c>
      <c r="B1066" s="72">
        <v>31</v>
      </c>
      <c r="C1066" s="72">
        <v>12</v>
      </c>
      <c r="D1066" s="73" t="s">
        <v>1326</v>
      </c>
      <c r="E1066" s="73" t="s">
        <v>172</v>
      </c>
      <c r="F1066" s="73" t="s">
        <v>396</v>
      </c>
      <c r="G1066" s="73" t="s">
        <v>32</v>
      </c>
      <c r="H1066" s="74" t="s">
        <v>1323</v>
      </c>
      <c r="I1066" s="74">
        <v>25</v>
      </c>
      <c r="J1066" s="75">
        <v>0</v>
      </c>
      <c r="K1066" s="76"/>
    </row>
    <row r="1067" s="1" customFormat="1" ht="14.25" spans="1:11">
      <c r="A1067" s="71">
        <v>7</v>
      </c>
      <c r="B1067" s="72">
        <v>31</v>
      </c>
      <c r="C1067" s="72">
        <v>12</v>
      </c>
      <c r="D1067" s="73" t="s">
        <v>1327</v>
      </c>
      <c r="E1067" s="73" t="s">
        <v>48</v>
      </c>
      <c r="F1067" s="73" t="s">
        <v>49</v>
      </c>
      <c r="G1067" s="73" t="s">
        <v>32</v>
      </c>
      <c r="H1067" s="74" t="s">
        <v>1323</v>
      </c>
      <c r="I1067" s="74">
        <v>30</v>
      </c>
      <c r="J1067" s="75">
        <v>0</v>
      </c>
      <c r="K1067" s="76"/>
    </row>
    <row r="1068" s="1" customFormat="1" ht="14.25" spans="1:11">
      <c r="A1068" s="71">
        <v>7</v>
      </c>
      <c r="B1068" s="72">
        <v>31</v>
      </c>
      <c r="C1068" s="72">
        <v>12</v>
      </c>
      <c r="D1068" s="73" t="s">
        <v>1328</v>
      </c>
      <c r="E1068" s="73" t="s">
        <v>48</v>
      </c>
      <c r="F1068" s="73" t="s">
        <v>49</v>
      </c>
      <c r="G1068" s="73" t="s">
        <v>32</v>
      </c>
      <c r="H1068" s="74" t="s">
        <v>1323</v>
      </c>
      <c r="I1068" s="74">
        <v>10</v>
      </c>
      <c r="J1068" s="75">
        <v>0</v>
      </c>
      <c r="K1068" s="76"/>
    </row>
    <row r="1069" s="1" customFormat="1" ht="14.25" spans="1:11">
      <c r="A1069" s="71">
        <v>7</v>
      </c>
      <c r="B1069" s="72">
        <v>31</v>
      </c>
      <c r="C1069" s="72">
        <v>13</v>
      </c>
      <c r="D1069" s="73" t="s">
        <v>1329</v>
      </c>
      <c r="E1069" s="73" t="s">
        <v>48</v>
      </c>
      <c r="F1069" s="73" t="s">
        <v>49</v>
      </c>
      <c r="G1069" s="73" t="s">
        <v>32</v>
      </c>
      <c r="H1069" s="74" t="s">
        <v>1330</v>
      </c>
      <c r="I1069" s="74">
        <v>30</v>
      </c>
      <c r="J1069" s="75">
        <v>0</v>
      </c>
      <c r="K1069" s="76"/>
    </row>
    <row r="1070" s="1" customFormat="1" ht="14.25" spans="1:11">
      <c r="A1070" s="71">
        <v>7</v>
      </c>
      <c r="B1070" s="72">
        <v>31</v>
      </c>
      <c r="C1070" s="72">
        <v>13</v>
      </c>
      <c r="D1070" s="73" t="s">
        <v>1331</v>
      </c>
      <c r="E1070" s="73" t="s">
        <v>48</v>
      </c>
      <c r="F1070" s="73" t="s">
        <v>55</v>
      </c>
      <c r="G1070" s="73" t="s">
        <v>32</v>
      </c>
      <c r="H1070" s="74" t="s">
        <v>1330</v>
      </c>
      <c r="I1070" s="74">
        <v>978</v>
      </c>
      <c r="J1070" s="75">
        <v>0</v>
      </c>
      <c r="K1070" s="76"/>
    </row>
    <row r="1071" s="1" customFormat="1" ht="14.25" spans="1:11">
      <c r="A1071" s="71">
        <v>7</v>
      </c>
      <c r="B1071" s="72">
        <v>31</v>
      </c>
      <c r="C1071" s="72">
        <v>13</v>
      </c>
      <c r="D1071" s="73" t="s">
        <v>1332</v>
      </c>
      <c r="E1071" s="73" t="s">
        <v>48</v>
      </c>
      <c r="F1071" s="74" t="s">
        <v>233</v>
      </c>
      <c r="G1071" s="73" t="s">
        <v>32</v>
      </c>
      <c r="H1071" s="74" t="s">
        <v>1330</v>
      </c>
      <c r="I1071" s="74">
        <v>800</v>
      </c>
      <c r="J1071" s="75">
        <v>0</v>
      </c>
      <c r="K1071" s="76"/>
    </row>
    <row r="1072" s="1" customFormat="1" ht="14.25" spans="1:11">
      <c r="A1072" s="71">
        <v>7</v>
      </c>
      <c r="B1072" s="72">
        <v>31</v>
      </c>
      <c r="C1072" s="72">
        <v>13</v>
      </c>
      <c r="D1072" s="73" t="s">
        <v>1157</v>
      </c>
      <c r="E1072" s="73" t="s">
        <v>118</v>
      </c>
      <c r="F1072" s="73" t="s">
        <v>136</v>
      </c>
      <c r="G1072" s="73" t="s">
        <v>32</v>
      </c>
      <c r="H1072" s="74" t="s">
        <v>1330</v>
      </c>
      <c r="I1072" s="74">
        <v>15</v>
      </c>
      <c r="J1072" s="75">
        <v>0</v>
      </c>
      <c r="K1072" s="76"/>
    </row>
    <row r="1073" s="1" customFormat="1" ht="14.25" spans="1:11">
      <c r="A1073" s="71">
        <v>7</v>
      </c>
      <c r="B1073" s="72">
        <v>31</v>
      </c>
      <c r="C1073" s="72">
        <v>13</v>
      </c>
      <c r="D1073" s="73" t="s">
        <v>1333</v>
      </c>
      <c r="E1073" s="73" t="s">
        <v>172</v>
      </c>
      <c r="F1073" s="73" t="s">
        <v>876</v>
      </c>
      <c r="G1073" s="73" t="s">
        <v>32</v>
      </c>
      <c r="H1073" s="74" t="s">
        <v>1330</v>
      </c>
      <c r="I1073" s="74">
        <v>500</v>
      </c>
      <c r="J1073" s="75">
        <v>0</v>
      </c>
      <c r="K1073" s="76"/>
    </row>
    <row r="1074" s="1" customFormat="1" ht="14.25" spans="1:11">
      <c r="A1074" s="71">
        <v>7</v>
      </c>
      <c r="B1074" s="72">
        <v>31</v>
      </c>
      <c r="C1074" s="72">
        <v>13</v>
      </c>
      <c r="D1074" s="73" t="s">
        <v>1334</v>
      </c>
      <c r="E1074" s="73" t="s">
        <v>48</v>
      </c>
      <c r="F1074" s="73" t="s">
        <v>55</v>
      </c>
      <c r="G1074" s="73" t="s">
        <v>32</v>
      </c>
      <c r="H1074" s="74" t="s">
        <v>1335</v>
      </c>
      <c r="I1074" s="74">
        <v>140</v>
      </c>
      <c r="J1074" s="75">
        <v>0</v>
      </c>
      <c r="K1074" s="76"/>
    </row>
    <row r="1075" s="1" customFormat="1" ht="14.25" spans="1:11">
      <c r="A1075" s="71">
        <v>7</v>
      </c>
      <c r="B1075" s="72">
        <v>31</v>
      </c>
      <c r="C1075" s="72">
        <v>13</v>
      </c>
      <c r="D1075" s="73" t="s">
        <v>1336</v>
      </c>
      <c r="E1075" s="73" t="s">
        <v>48</v>
      </c>
      <c r="F1075" s="73" t="s">
        <v>125</v>
      </c>
      <c r="G1075" s="73" t="s">
        <v>32</v>
      </c>
      <c r="H1075" s="74" t="s">
        <v>1335</v>
      </c>
      <c r="I1075" s="74">
        <v>980</v>
      </c>
      <c r="J1075" s="75">
        <v>0</v>
      </c>
      <c r="K1075" s="76"/>
    </row>
    <row r="1076" s="1" customFormat="1" ht="14.25" spans="1:11">
      <c r="A1076" s="71">
        <v>7</v>
      </c>
      <c r="B1076" s="72">
        <v>31</v>
      </c>
      <c r="C1076" s="72">
        <v>13</v>
      </c>
      <c r="D1076" s="73" t="s">
        <v>1337</v>
      </c>
      <c r="E1076" s="73" t="s">
        <v>172</v>
      </c>
      <c r="F1076" s="73" t="s">
        <v>876</v>
      </c>
      <c r="G1076" s="73" t="s">
        <v>32</v>
      </c>
      <c r="H1076" s="74" t="s">
        <v>1335</v>
      </c>
      <c r="I1076" s="74">
        <v>380</v>
      </c>
      <c r="J1076" s="75">
        <v>0</v>
      </c>
      <c r="K1076" s="76"/>
    </row>
    <row r="1077" s="1" customFormat="1" ht="14.25" spans="1:11">
      <c r="A1077" s="71">
        <v>7</v>
      </c>
      <c r="B1077" s="72">
        <v>31</v>
      </c>
      <c r="C1077" s="72">
        <v>13</v>
      </c>
      <c r="D1077" s="73" t="s">
        <v>1338</v>
      </c>
      <c r="E1077" s="73" t="s">
        <v>48</v>
      </c>
      <c r="F1077" s="73" t="s">
        <v>49</v>
      </c>
      <c r="G1077" s="73" t="s">
        <v>32</v>
      </c>
      <c r="H1077" s="74" t="s">
        <v>1335</v>
      </c>
      <c r="I1077" s="74">
        <v>100</v>
      </c>
      <c r="J1077" s="75">
        <v>0</v>
      </c>
      <c r="K1077" s="76"/>
    </row>
    <row r="1078" s="1" customFormat="1" ht="14.25" spans="1:11">
      <c r="A1078" s="71">
        <v>7</v>
      </c>
      <c r="B1078" s="72">
        <v>31</v>
      </c>
      <c r="C1078" s="72">
        <v>13</v>
      </c>
      <c r="D1078" s="73" t="s">
        <v>1339</v>
      </c>
      <c r="E1078" s="73" t="s">
        <v>48</v>
      </c>
      <c r="F1078" s="73" t="s">
        <v>49</v>
      </c>
      <c r="G1078" s="73" t="s">
        <v>32</v>
      </c>
      <c r="H1078" s="74" t="s">
        <v>1335</v>
      </c>
      <c r="I1078" s="74">
        <v>30</v>
      </c>
      <c r="J1078" s="75">
        <v>0</v>
      </c>
      <c r="K1078" s="76"/>
    </row>
    <row r="1079" s="1" customFormat="1" ht="14.25" spans="1:11">
      <c r="A1079" s="71">
        <v>7</v>
      </c>
      <c r="B1079" s="72">
        <v>31</v>
      </c>
      <c r="C1079" s="72">
        <v>14</v>
      </c>
      <c r="D1079" s="73" t="s">
        <v>1340</v>
      </c>
      <c r="E1079" s="73" t="s">
        <v>118</v>
      </c>
      <c r="F1079" s="73" t="s">
        <v>136</v>
      </c>
      <c r="G1079" s="73" t="s">
        <v>32</v>
      </c>
      <c r="H1079" s="74" t="s">
        <v>1341</v>
      </c>
      <c r="I1079" s="74">
        <v>12</v>
      </c>
      <c r="J1079" s="75">
        <v>0</v>
      </c>
      <c r="K1079" s="76"/>
    </row>
    <row r="1080" s="1" customFormat="1" ht="14.25" spans="1:11">
      <c r="A1080" s="71">
        <v>7</v>
      </c>
      <c r="B1080" s="72">
        <v>31</v>
      </c>
      <c r="C1080" s="72">
        <v>14</v>
      </c>
      <c r="D1080" s="73" t="s">
        <v>124</v>
      </c>
      <c r="E1080" s="73" t="s">
        <v>48</v>
      </c>
      <c r="F1080" s="74" t="s">
        <v>125</v>
      </c>
      <c r="G1080" s="73" t="s">
        <v>32</v>
      </c>
      <c r="H1080" s="74" t="s">
        <v>1341</v>
      </c>
      <c r="I1080" s="74">
        <v>4</v>
      </c>
      <c r="J1080" s="75">
        <v>0</v>
      </c>
      <c r="K1080" s="76"/>
    </row>
    <row r="1081" s="1" customFormat="1" ht="14.25" spans="1:11">
      <c r="A1081" s="71">
        <v>7</v>
      </c>
      <c r="B1081" s="72">
        <v>31</v>
      </c>
      <c r="C1081" s="72">
        <v>14</v>
      </c>
      <c r="D1081" s="73" t="s">
        <v>119</v>
      </c>
      <c r="E1081" s="73" t="s">
        <v>118</v>
      </c>
      <c r="F1081" s="73" t="s">
        <v>119</v>
      </c>
      <c r="G1081" s="73" t="s">
        <v>32</v>
      </c>
      <c r="H1081" s="74" t="s">
        <v>1341</v>
      </c>
      <c r="I1081" s="74">
        <v>170</v>
      </c>
      <c r="J1081" s="75">
        <v>0</v>
      </c>
      <c r="K1081" s="76"/>
    </row>
    <row r="1082" s="1" customFormat="1" ht="14.25" spans="1:11">
      <c r="A1082" s="71">
        <v>7</v>
      </c>
      <c r="B1082" s="72">
        <v>31</v>
      </c>
      <c r="C1082" s="72">
        <v>14</v>
      </c>
      <c r="D1082" s="73" t="s">
        <v>255</v>
      </c>
      <c r="E1082" s="73" t="s">
        <v>96</v>
      </c>
      <c r="F1082" s="73" t="s">
        <v>97</v>
      </c>
      <c r="G1082" s="73" t="s">
        <v>32</v>
      </c>
      <c r="H1082" s="74" t="s">
        <v>1341</v>
      </c>
      <c r="I1082" s="74">
        <v>198</v>
      </c>
      <c r="J1082" s="75">
        <v>0</v>
      </c>
      <c r="K1082" s="76"/>
    </row>
    <row r="1083" s="1" customFormat="1" ht="14.25" spans="1:11">
      <c r="A1083" s="71">
        <v>7</v>
      </c>
      <c r="B1083" s="72">
        <v>31</v>
      </c>
      <c r="C1083" s="72">
        <v>14</v>
      </c>
      <c r="D1083" s="73" t="s">
        <v>1169</v>
      </c>
      <c r="E1083" s="73" t="s">
        <v>100</v>
      </c>
      <c r="F1083" s="73" t="s">
        <v>101</v>
      </c>
      <c r="G1083" s="73" t="s">
        <v>32</v>
      </c>
      <c r="H1083" s="74" t="s">
        <v>1341</v>
      </c>
      <c r="I1083" s="74">
        <v>280</v>
      </c>
      <c r="J1083" s="75">
        <v>0</v>
      </c>
      <c r="K1083" s="76"/>
    </row>
    <row r="1084" s="1" customFormat="1" ht="14.25" spans="1:11">
      <c r="A1084" s="71">
        <v>7</v>
      </c>
      <c r="B1084" s="72">
        <v>31</v>
      </c>
      <c r="C1084" s="72">
        <v>14</v>
      </c>
      <c r="D1084" s="73" t="s">
        <v>1342</v>
      </c>
      <c r="E1084" s="73" t="s">
        <v>118</v>
      </c>
      <c r="F1084" s="73" t="s">
        <v>151</v>
      </c>
      <c r="G1084" s="73" t="s">
        <v>32</v>
      </c>
      <c r="H1084" s="74" t="s">
        <v>1343</v>
      </c>
      <c r="I1084" s="74">
        <v>2592</v>
      </c>
      <c r="J1084" s="75">
        <v>0</v>
      </c>
      <c r="K1084" s="76"/>
    </row>
    <row r="1085" s="1" customFormat="1" ht="14.25" spans="1:11">
      <c r="A1085" s="71">
        <v>7</v>
      </c>
      <c r="B1085" s="72">
        <v>31</v>
      </c>
      <c r="C1085" s="72">
        <v>14</v>
      </c>
      <c r="D1085" s="73" t="s">
        <v>1344</v>
      </c>
      <c r="E1085" s="73" t="s">
        <v>118</v>
      </c>
      <c r="F1085" s="73" t="s">
        <v>122</v>
      </c>
      <c r="G1085" s="73" t="s">
        <v>32</v>
      </c>
      <c r="H1085" s="74" t="s">
        <v>1343</v>
      </c>
      <c r="I1085" s="74">
        <v>240</v>
      </c>
      <c r="J1085" s="75">
        <v>0</v>
      </c>
      <c r="K1085" s="76"/>
    </row>
    <row r="1086" s="1" customFormat="1" ht="14.25" spans="1:11">
      <c r="A1086" s="71">
        <v>7</v>
      </c>
      <c r="B1086" s="72">
        <v>31</v>
      </c>
      <c r="C1086" s="72">
        <v>14</v>
      </c>
      <c r="D1086" s="73" t="s">
        <v>1345</v>
      </c>
      <c r="E1086" s="73" t="s">
        <v>48</v>
      </c>
      <c r="F1086" s="73" t="s">
        <v>49</v>
      </c>
      <c r="G1086" s="73" t="s">
        <v>32</v>
      </c>
      <c r="H1086" s="74" t="s">
        <v>1343</v>
      </c>
      <c r="I1086" s="74">
        <v>60</v>
      </c>
      <c r="J1086" s="75">
        <v>0</v>
      </c>
      <c r="K1086" s="76"/>
    </row>
    <row r="1087" s="1" customFormat="1" ht="14.25" spans="1:11">
      <c r="A1087" s="71">
        <v>7</v>
      </c>
      <c r="B1087" s="72">
        <v>31</v>
      </c>
      <c r="C1087" s="72">
        <v>14</v>
      </c>
      <c r="D1087" s="73" t="s">
        <v>818</v>
      </c>
      <c r="E1087" s="73" t="s">
        <v>118</v>
      </c>
      <c r="F1087" s="73" t="s">
        <v>136</v>
      </c>
      <c r="G1087" s="73" t="s">
        <v>32</v>
      </c>
      <c r="H1087" s="74" t="s">
        <v>1343</v>
      </c>
      <c r="I1087" s="74">
        <v>1200</v>
      </c>
      <c r="J1087" s="75">
        <v>0</v>
      </c>
      <c r="K1087" s="76"/>
    </row>
    <row r="1088" s="1" customFormat="1" ht="14.25" spans="1:11">
      <c r="A1088" s="71">
        <v>7</v>
      </c>
      <c r="B1088" s="72">
        <v>31</v>
      </c>
      <c r="C1088" s="72">
        <v>14</v>
      </c>
      <c r="D1088" s="73" t="s">
        <v>1346</v>
      </c>
      <c r="E1088" s="73" t="s">
        <v>118</v>
      </c>
      <c r="F1088" s="74" t="s">
        <v>136</v>
      </c>
      <c r="G1088" s="73" t="s">
        <v>32</v>
      </c>
      <c r="H1088" s="74" t="s">
        <v>1343</v>
      </c>
      <c r="I1088" s="74">
        <v>10</v>
      </c>
      <c r="J1088" s="75">
        <v>0</v>
      </c>
      <c r="K1088" s="76"/>
    </row>
    <row r="1089" s="1" customFormat="1" ht="14.25" spans="1:11">
      <c r="A1089" s="71">
        <v>7</v>
      </c>
      <c r="B1089" s="72">
        <v>31</v>
      </c>
      <c r="C1089" s="72">
        <v>15</v>
      </c>
      <c r="D1089" s="73" t="s">
        <v>124</v>
      </c>
      <c r="E1089" s="73" t="s">
        <v>48</v>
      </c>
      <c r="F1089" s="73" t="s">
        <v>125</v>
      </c>
      <c r="G1089" s="73" t="s">
        <v>32</v>
      </c>
      <c r="H1089" s="74" t="s">
        <v>1347</v>
      </c>
      <c r="I1089" s="74">
        <v>8</v>
      </c>
      <c r="J1089" s="75">
        <v>0</v>
      </c>
      <c r="K1089" s="76"/>
    </row>
    <row r="1090" s="1" customFormat="1" ht="14.25" spans="1:11">
      <c r="A1090" s="71">
        <v>7</v>
      </c>
      <c r="B1090" s="72">
        <v>31</v>
      </c>
      <c r="C1090" s="72">
        <v>15</v>
      </c>
      <c r="D1090" s="73" t="s">
        <v>119</v>
      </c>
      <c r="E1090" s="73" t="s">
        <v>48</v>
      </c>
      <c r="F1090" s="73" t="s">
        <v>125</v>
      </c>
      <c r="G1090" s="73" t="s">
        <v>32</v>
      </c>
      <c r="H1090" s="74" t="s">
        <v>1347</v>
      </c>
      <c r="I1090" s="74">
        <v>138</v>
      </c>
      <c r="J1090" s="75">
        <v>0</v>
      </c>
      <c r="K1090" s="76"/>
    </row>
    <row r="1091" s="1" customFormat="1" ht="14.25" spans="1:11">
      <c r="A1091" s="71">
        <v>7</v>
      </c>
      <c r="B1091" s="72">
        <v>31</v>
      </c>
      <c r="C1091" s="72">
        <v>15</v>
      </c>
      <c r="D1091" s="73" t="s">
        <v>255</v>
      </c>
      <c r="E1091" s="73" t="s">
        <v>96</v>
      </c>
      <c r="F1091" s="73" t="s">
        <v>97</v>
      </c>
      <c r="G1091" s="73" t="s">
        <v>32</v>
      </c>
      <c r="H1091" s="74" t="s">
        <v>1347</v>
      </c>
      <c r="I1091" s="74">
        <v>45</v>
      </c>
      <c r="J1091" s="75">
        <v>0</v>
      </c>
      <c r="K1091" s="76"/>
    </row>
    <row r="1092" s="1" customFormat="1" ht="14.25" spans="1:11">
      <c r="A1092" s="71">
        <v>7</v>
      </c>
      <c r="B1092" s="72">
        <v>31</v>
      </c>
      <c r="C1092" s="72">
        <v>15</v>
      </c>
      <c r="D1092" s="73" t="s">
        <v>1348</v>
      </c>
      <c r="E1092" s="73" t="s">
        <v>118</v>
      </c>
      <c r="F1092" s="73" t="s">
        <v>136</v>
      </c>
      <c r="G1092" s="73" t="s">
        <v>32</v>
      </c>
      <c r="H1092" s="74" t="s">
        <v>1347</v>
      </c>
      <c r="I1092" s="74">
        <v>5</v>
      </c>
      <c r="J1092" s="75">
        <v>0</v>
      </c>
      <c r="K1092" s="76"/>
    </row>
    <row r="1093" s="1" customFormat="1" ht="14.25" spans="1:11">
      <c r="A1093" s="71">
        <v>7</v>
      </c>
      <c r="B1093" s="72">
        <v>31</v>
      </c>
      <c r="C1093" s="72">
        <v>15</v>
      </c>
      <c r="D1093" s="73" t="s">
        <v>1349</v>
      </c>
      <c r="E1093" s="73" t="s">
        <v>48</v>
      </c>
      <c r="F1093" s="73" t="s">
        <v>55</v>
      </c>
      <c r="G1093" s="73" t="s">
        <v>32</v>
      </c>
      <c r="H1093" s="74" t="s">
        <v>1347</v>
      </c>
      <c r="I1093" s="74">
        <v>8</v>
      </c>
      <c r="J1093" s="75">
        <v>0</v>
      </c>
      <c r="K1093" s="76"/>
    </row>
    <row r="1094" s="1" customFormat="1" ht="14.25" spans="1:11">
      <c r="A1094" s="71">
        <v>7</v>
      </c>
      <c r="B1094" s="72">
        <v>31</v>
      </c>
      <c r="C1094" s="72">
        <v>15</v>
      </c>
      <c r="D1094" s="73" t="s">
        <v>255</v>
      </c>
      <c r="E1094" s="73" t="s">
        <v>96</v>
      </c>
      <c r="F1094" s="73" t="s">
        <v>97</v>
      </c>
      <c r="G1094" s="73" t="s">
        <v>32</v>
      </c>
      <c r="H1094" s="74" t="s">
        <v>1350</v>
      </c>
      <c r="I1094" s="74">
        <v>5</v>
      </c>
      <c r="J1094" s="75">
        <v>0</v>
      </c>
      <c r="K1094" s="76"/>
    </row>
    <row r="1095" s="1" customFormat="1" ht="14.25" spans="1:11">
      <c r="A1095" s="71">
        <v>7</v>
      </c>
      <c r="B1095" s="72">
        <v>31</v>
      </c>
      <c r="C1095" s="72">
        <v>15</v>
      </c>
      <c r="D1095" s="73" t="s">
        <v>1351</v>
      </c>
      <c r="E1095" s="73" t="s">
        <v>172</v>
      </c>
      <c r="F1095" s="73" t="s">
        <v>1352</v>
      </c>
      <c r="G1095" s="73" t="s">
        <v>32</v>
      </c>
      <c r="H1095" s="74" t="s">
        <v>1350</v>
      </c>
      <c r="I1095" s="74">
        <v>15552</v>
      </c>
      <c r="J1095" s="75">
        <v>0</v>
      </c>
      <c r="K1095" s="76"/>
    </row>
    <row r="1096" s="1" customFormat="1" ht="14.25" spans="1:11">
      <c r="A1096" s="71">
        <v>7</v>
      </c>
      <c r="B1096" s="72">
        <v>31</v>
      </c>
      <c r="C1096" s="72">
        <v>15</v>
      </c>
      <c r="D1096" s="73" t="s">
        <v>1353</v>
      </c>
      <c r="E1096" s="73" t="s">
        <v>48</v>
      </c>
      <c r="F1096" s="73" t="s">
        <v>49</v>
      </c>
      <c r="G1096" s="73" t="s">
        <v>32</v>
      </c>
      <c r="H1096" s="74" t="s">
        <v>1350</v>
      </c>
      <c r="I1096" s="74">
        <v>2000</v>
      </c>
      <c r="J1096" s="75">
        <v>0</v>
      </c>
      <c r="K1096" s="76"/>
    </row>
    <row r="1097" s="1" customFormat="1" ht="14.25" spans="1:11">
      <c r="A1097" s="71">
        <v>7</v>
      </c>
      <c r="B1097" s="72">
        <v>31</v>
      </c>
      <c r="C1097" s="72">
        <v>15</v>
      </c>
      <c r="D1097" s="73" t="s">
        <v>1354</v>
      </c>
      <c r="E1097" s="73" t="s">
        <v>172</v>
      </c>
      <c r="F1097" s="74" t="s">
        <v>396</v>
      </c>
      <c r="G1097" s="73" t="s">
        <v>32</v>
      </c>
      <c r="H1097" s="74" t="s">
        <v>1350</v>
      </c>
      <c r="I1097" s="74">
        <v>30</v>
      </c>
      <c r="J1097" s="75">
        <v>0</v>
      </c>
      <c r="K1097" s="76"/>
    </row>
    <row r="1098" s="1" customFormat="1" ht="14.25" spans="1:11">
      <c r="A1098" s="71">
        <v>7</v>
      </c>
      <c r="B1098" s="72">
        <v>31</v>
      </c>
      <c r="C1098" s="72">
        <v>15</v>
      </c>
      <c r="D1098" s="73" t="s">
        <v>1355</v>
      </c>
      <c r="E1098" s="73" t="s">
        <v>48</v>
      </c>
      <c r="F1098" s="73" t="s">
        <v>55</v>
      </c>
      <c r="G1098" s="73" t="s">
        <v>32</v>
      </c>
      <c r="H1098" s="74" t="s">
        <v>1350</v>
      </c>
      <c r="I1098" s="74">
        <v>24</v>
      </c>
      <c r="J1098" s="75">
        <v>0</v>
      </c>
      <c r="K1098" s="76"/>
    </row>
    <row r="1099" s="1" customFormat="1" ht="14.25" spans="1:11">
      <c r="A1099" s="71">
        <v>7</v>
      </c>
      <c r="B1099" s="72">
        <v>31</v>
      </c>
      <c r="C1099" s="72">
        <v>16</v>
      </c>
      <c r="D1099" s="73" t="s">
        <v>1356</v>
      </c>
      <c r="E1099" s="73" t="s">
        <v>48</v>
      </c>
      <c r="F1099" s="74" t="s">
        <v>55</v>
      </c>
      <c r="G1099" s="73" t="s">
        <v>32</v>
      </c>
      <c r="H1099" s="74" t="s">
        <v>1357</v>
      </c>
      <c r="I1099" s="74">
        <v>10</v>
      </c>
      <c r="J1099" s="75">
        <v>0</v>
      </c>
      <c r="K1099" s="76"/>
    </row>
    <row r="1100" s="1" customFormat="1" ht="14.25" spans="1:11">
      <c r="A1100" s="71">
        <v>7</v>
      </c>
      <c r="B1100" s="72">
        <v>31</v>
      </c>
      <c r="C1100" s="72">
        <v>16</v>
      </c>
      <c r="D1100" s="73" t="s">
        <v>1358</v>
      </c>
      <c r="E1100" s="73" t="s">
        <v>96</v>
      </c>
      <c r="F1100" s="73" t="s">
        <v>97</v>
      </c>
      <c r="G1100" s="73" t="s">
        <v>32</v>
      </c>
      <c r="H1100" s="74" t="s">
        <v>1357</v>
      </c>
      <c r="I1100" s="74">
        <v>63</v>
      </c>
      <c r="J1100" s="75">
        <v>0</v>
      </c>
      <c r="K1100" s="76"/>
    </row>
    <row r="1101" s="1" customFormat="1" ht="14.25" spans="1:11">
      <c r="A1101" s="71">
        <v>7</v>
      </c>
      <c r="B1101" s="72">
        <v>31</v>
      </c>
      <c r="C1101" s="72">
        <v>16</v>
      </c>
      <c r="D1101" s="73" t="s">
        <v>1359</v>
      </c>
      <c r="E1101" s="73" t="s">
        <v>118</v>
      </c>
      <c r="F1101" s="73" t="s">
        <v>127</v>
      </c>
      <c r="G1101" s="73" t="s">
        <v>32</v>
      </c>
      <c r="H1101" s="74" t="s">
        <v>1357</v>
      </c>
      <c r="I1101" s="74">
        <v>1170</v>
      </c>
      <c r="J1101" s="75">
        <v>0</v>
      </c>
      <c r="K1101" s="76"/>
    </row>
    <row r="1102" s="1" customFormat="1" ht="14.25" spans="1:11">
      <c r="A1102" s="71">
        <v>7</v>
      </c>
      <c r="B1102" s="72">
        <v>31</v>
      </c>
      <c r="C1102" s="72">
        <v>16</v>
      </c>
      <c r="D1102" s="73" t="s">
        <v>1360</v>
      </c>
      <c r="E1102" s="73" t="s">
        <v>96</v>
      </c>
      <c r="F1102" s="73" t="s">
        <v>97</v>
      </c>
      <c r="G1102" s="73" t="s">
        <v>32</v>
      </c>
      <c r="H1102" s="74" t="s">
        <v>1357</v>
      </c>
      <c r="I1102" s="74">
        <v>6</v>
      </c>
      <c r="J1102" s="75">
        <v>0</v>
      </c>
      <c r="K1102" s="76"/>
    </row>
    <row r="1103" s="1" customFormat="1" ht="14.25" spans="1:11">
      <c r="A1103" s="71">
        <v>7</v>
      </c>
      <c r="B1103" s="72">
        <v>31</v>
      </c>
      <c r="C1103" s="72">
        <v>16</v>
      </c>
      <c r="D1103" s="73" t="s">
        <v>1361</v>
      </c>
      <c r="E1103" s="73" t="s">
        <v>118</v>
      </c>
      <c r="F1103" s="74" t="s">
        <v>127</v>
      </c>
      <c r="G1103" s="73" t="s">
        <v>32</v>
      </c>
      <c r="H1103" s="74" t="s">
        <v>1357</v>
      </c>
      <c r="I1103" s="74">
        <v>520</v>
      </c>
      <c r="J1103" s="75">
        <v>0</v>
      </c>
      <c r="K1103" s="76"/>
    </row>
    <row r="1104" s="1" customFormat="1" ht="14.25" spans="1:11">
      <c r="A1104" s="71">
        <v>7</v>
      </c>
      <c r="B1104" s="72">
        <v>31</v>
      </c>
      <c r="C1104" s="72">
        <v>16</v>
      </c>
      <c r="D1104" s="73" t="s">
        <v>124</v>
      </c>
      <c r="E1104" s="73" t="s">
        <v>48</v>
      </c>
      <c r="F1104" s="74" t="s">
        <v>125</v>
      </c>
      <c r="G1104" s="73" t="s">
        <v>32</v>
      </c>
      <c r="H1104" s="74" t="s">
        <v>1362</v>
      </c>
      <c r="I1104" s="74">
        <v>5</v>
      </c>
      <c r="J1104" s="75">
        <v>0</v>
      </c>
      <c r="K1104" s="76"/>
    </row>
    <row r="1105" s="1" customFormat="1" ht="14.25" spans="1:11">
      <c r="A1105" s="71">
        <v>7</v>
      </c>
      <c r="B1105" s="72">
        <v>31</v>
      </c>
      <c r="C1105" s="72">
        <v>16</v>
      </c>
      <c r="D1105" s="73" t="s">
        <v>1363</v>
      </c>
      <c r="E1105" s="73" t="s">
        <v>96</v>
      </c>
      <c r="F1105" s="73" t="s">
        <v>97</v>
      </c>
      <c r="G1105" s="73" t="s">
        <v>32</v>
      </c>
      <c r="H1105" s="74" t="s">
        <v>1362</v>
      </c>
      <c r="I1105" s="74">
        <v>1676</v>
      </c>
      <c r="J1105" s="75">
        <v>0</v>
      </c>
      <c r="K1105" s="76"/>
    </row>
    <row r="1106" s="1" customFormat="1" ht="14.25" spans="1:11">
      <c r="A1106" s="71">
        <v>7</v>
      </c>
      <c r="B1106" s="72">
        <v>31</v>
      </c>
      <c r="C1106" s="72">
        <v>16</v>
      </c>
      <c r="D1106" s="73" t="s">
        <v>1112</v>
      </c>
      <c r="E1106" s="73" t="s">
        <v>85</v>
      </c>
      <c r="F1106" s="73" t="s">
        <v>1364</v>
      </c>
      <c r="G1106" s="73" t="s">
        <v>32</v>
      </c>
      <c r="H1106" s="74" t="s">
        <v>1362</v>
      </c>
      <c r="I1106" s="74">
        <v>740</v>
      </c>
      <c r="J1106" s="75">
        <v>0</v>
      </c>
      <c r="K1106" s="76"/>
    </row>
    <row r="1107" s="1" customFormat="1" ht="14.25" spans="1:11">
      <c r="A1107" s="71">
        <v>7</v>
      </c>
      <c r="B1107" s="72">
        <v>31</v>
      </c>
      <c r="C1107" s="72">
        <v>16</v>
      </c>
      <c r="D1107" s="73" t="s">
        <v>275</v>
      </c>
      <c r="E1107" s="73" t="s">
        <v>48</v>
      </c>
      <c r="F1107" s="73" t="s">
        <v>125</v>
      </c>
      <c r="G1107" s="73" t="s">
        <v>32</v>
      </c>
      <c r="H1107" s="74" t="s">
        <v>1362</v>
      </c>
      <c r="I1107" s="74">
        <v>85</v>
      </c>
      <c r="J1107" s="75">
        <v>0</v>
      </c>
      <c r="K1107" s="76"/>
    </row>
    <row r="1108" s="1" customFormat="1" ht="14.25" spans="1:11">
      <c r="A1108" s="71">
        <v>7</v>
      </c>
      <c r="B1108" s="72">
        <v>31</v>
      </c>
      <c r="C1108" s="72">
        <v>16</v>
      </c>
      <c r="D1108" s="73" t="s">
        <v>1365</v>
      </c>
      <c r="E1108" s="73" t="s">
        <v>118</v>
      </c>
      <c r="F1108" s="73" t="s">
        <v>136</v>
      </c>
      <c r="G1108" s="73" t="s">
        <v>32</v>
      </c>
      <c r="H1108" s="74" t="s">
        <v>1362</v>
      </c>
      <c r="I1108" s="74">
        <v>950</v>
      </c>
      <c r="J1108" s="75">
        <v>0</v>
      </c>
      <c r="K1108" s="76"/>
    </row>
    <row r="1109" s="1" customFormat="1" ht="14.25" spans="1:11">
      <c r="A1109" s="71">
        <v>7</v>
      </c>
      <c r="B1109" s="72">
        <v>31</v>
      </c>
      <c r="C1109" s="72">
        <v>17</v>
      </c>
      <c r="D1109" s="73" t="s">
        <v>1366</v>
      </c>
      <c r="E1109" s="73" t="s">
        <v>48</v>
      </c>
      <c r="F1109" s="74" t="s">
        <v>125</v>
      </c>
      <c r="G1109" s="73" t="s">
        <v>32</v>
      </c>
      <c r="H1109" s="74" t="s">
        <v>1367</v>
      </c>
      <c r="I1109" s="74">
        <v>56</v>
      </c>
      <c r="J1109" s="75">
        <v>0</v>
      </c>
      <c r="K1109" s="76"/>
    </row>
    <row r="1110" s="1" customFormat="1" ht="14.25" spans="1:11">
      <c r="A1110" s="71">
        <v>7</v>
      </c>
      <c r="B1110" s="72">
        <v>31</v>
      </c>
      <c r="C1110" s="72">
        <v>17</v>
      </c>
      <c r="D1110" s="73" t="s">
        <v>1112</v>
      </c>
      <c r="E1110" s="73" t="s">
        <v>85</v>
      </c>
      <c r="F1110" s="73" t="s">
        <v>1364</v>
      </c>
      <c r="G1110" s="73" t="s">
        <v>32</v>
      </c>
      <c r="H1110" s="74" t="s">
        <v>1367</v>
      </c>
      <c r="I1110" s="74">
        <v>2300</v>
      </c>
      <c r="J1110" s="75">
        <v>0</v>
      </c>
      <c r="K1110" s="76"/>
    </row>
    <row r="1111" s="1" customFormat="1" ht="14.25" spans="1:11">
      <c r="A1111" s="71">
        <v>7</v>
      </c>
      <c r="B1111" s="72">
        <v>31</v>
      </c>
      <c r="C1111" s="72">
        <v>17</v>
      </c>
      <c r="D1111" s="73" t="s">
        <v>192</v>
      </c>
      <c r="E1111" s="73" t="s">
        <v>118</v>
      </c>
      <c r="F1111" s="73" t="s">
        <v>192</v>
      </c>
      <c r="G1111" s="73" t="s">
        <v>32</v>
      </c>
      <c r="H1111" s="74" t="s">
        <v>1367</v>
      </c>
      <c r="I1111" s="74">
        <v>200000</v>
      </c>
      <c r="J1111" s="75">
        <v>0</v>
      </c>
      <c r="K1111" s="76"/>
    </row>
    <row r="1112" s="1" customFormat="1" ht="14.25" spans="1:11">
      <c r="A1112" s="71">
        <v>7</v>
      </c>
      <c r="B1112" s="72">
        <v>31</v>
      </c>
      <c r="C1112" s="72">
        <v>17</v>
      </c>
      <c r="D1112" s="73" t="s">
        <v>192</v>
      </c>
      <c r="E1112" s="73" t="s">
        <v>118</v>
      </c>
      <c r="F1112" s="73" t="s">
        <v>192</v>
      </c>
      <c r="G1112" s="73" t="s">
        <v>32</v>
      </c>
      <c r="H1112" s="74" t="s">
        <v>1367</v>
      </c>
      <c r="I1112" s="74">
        <v>460000</v>
      </c>
      <c r="J1112" s="75">
        <v>0</v>
      </c>
      <c r="K1112" s="76"/>
    </row>
    <row r="1113" s="1" customFormat="1" ht="14.25" spans="1:11">
      <c r="A1113" s="71">
        <v>7</v>
      </c>
      <c r="B1113" s="72">
        <v>31</v>
      </c>
      <c r="C1113" s="72">
        <v>17</v>
      </c>
      <c r="D1113" s="73" t="s">
        <v>1187</v>
      </c>
      <c r="E1113" s="73" t="s">
        <v>85</v>
      </c>
      <c r="F1113" s="74" t="s">
        <v>1317</v>
      </c>
      <c r="G1113" s="73" t="s">
        <v>32</v>
      </c>
      <c r="H1113" s="74" t="s">
        <v>1368</v>
      </c>
      <c r="I1113" s="74">
        <v>810</v>
      </c>
      <c r="J1113" s="75">
        <v>0</v>
      </c>
      <c r="K1113" s="76"/>
    </row>
    <row r="1114" s="1" customFormat="1" ht="14.25" spans="1:11">
      <c r="A1114" s="71">
        <v>7</v>
      </c>
      <c r="B1114" s="72">
        <v>31</v>
      </c>
      <c r="C1114" s="72">
        <v>17</v>
      </c>
      <c r="D1114" s="73" t="s">
        <v>1353</v>
      </c>
      <c r="E1114" s="73" t="s">
        <v>48</v>
      </c>
      <c r="F1114" s="73" t="s">
        <v>49</v>
      </c>
      <c r="G1114" s="73" t="s">
        <v>32</v>
      </c>
      <c r="H1114" s="74" t="s">
        <v>1368</v>
      </c>
      <c r="I1114" s="74">
        <v>100</v>
      </c>
      <c r="J1114" s="75">
        <v>0</v>
      </c>
      <c r="K1114" s="76"/>
    </row>
    <row r="1115" s="1" customFormat="1" ht="14.25" spans="1:11">
      <c r="A1115" s="71">
        <v>7</v>
      </c>
      <c r="B1115" s="72">
        <v>31</v>
      </c>
      <c r="C1115" s="72">
        <v>17</v>
      </c>
      <c r="D1115" s="73" t="s">
        <v>714</v>
      </c>
      <c r="E1115" s="73" t="s">
        <v>118</v>
      </c>
      <c r="F1115" s="73" t="s">
        <v>192</v>
      </c>
      <c r="G1115" s="73" t="s">
        <v>32</v>
      </c>
      <c r="H1115" s="74" t="s">
        <v>1368</v>
      </c>
      <c r="I1115" s="74">
        <v>300000</v>
      </c>
      <c r="J1115" s="75">
        <v>0</v>
      </c>
      <c r="K1115" s="76"/>
    </row>
    <row r="1116" s="1" customFormat="1" ht="14.25" spans="1:11">
      <c r="A1116" s="71">
        <v>7</v>
      </c>
      <c r="B1116" s="72">
        <v>31</v>
      </c>
      <c r="C1116" s="72">
        <v>17</v>
      </c>
      <c r="D1116" s="73" t="s">
        <v>1369</v>
      </c>
      <c r="E1116" s="73" t="s">
        <v>118</v>
      </c>
      <c r="F1116" s="73" t="s">
        <v>818</v>
      </c>
      <c r="G1116" s="73" t="s">
        <v>32</v>
      </c>
      <c r="H1116" s="74" t="s">
        <v>1368</v>
      </c>
      <c r="I1116" s="74">
        <v>12000</v>
      </c>
      <c r="J1116" s="75">
        <v>0</v>
      </c>
      <c r="K1116" s="76"/>
    </row>
    <row r="1117" s="1" customFormat="1" ht="14.25" spans="1:11">
      <c r="A1117" s="71">
        <v>7</v>
      </c>
      <c r="B1117" s="72">
        <v>31</v>
      </c>
      <c r="C1117" s="72">
        <v>17</v>
      </c>
      <c r="D1117" s="73" t="s">
        <v>1370</v>
      </c>
      <c r="E1117" s="73" t="s">
        <v>118</v>
      </c>
      <c r="F1117" s="74" t="s">
        <v>184</v>
      </c>
      <c r="G1117" s="73" t="s">
        <v>32</v>
      </c>
      <c r="H1117" s="74" t="s">
        <v>1371</v>
      </c>
      <c r="I1117" s="74">
        <v>33200</v>
      </c>
      <c r="J1117" s="75">
        <v>0</v>
      </c>
      <c r="K1117" s="76"/>
    </row>
    <row r="1118" s="1" customFormat="1" ht="14.25" spans="1:11">
      <c r="A1118" s="71">
        <v>7</v>
      </c>
      <c r="B1118" s="72">
        <v>31</v>
      </c>
      <c r="C1118" s="72">
        <v>17</v>
      </c>
      <c r="D1118" s="73" t="s">
        <v>1372</v>
      </c>
      <c r="E1118" s="73" t="s">
        <v>118</v>
      </c>
      <c r="F1118" s="73" t="s">
        <v>187</v>
      </c>
      <c r="G1118" s="73" t="s">
        <v>32</v>
      </c>
      <c r="H1118" s="74" t="s">
        <v>1371</v>
      </c>
      <c r="I1118" s="74">
        <v>63400</v>
      </c>
      <c r="J1118" s="75">
        <v>0</v>
      </c>
      <c r="K1118" s="76"/>
    </row>
    <row r="1119" s="1" customFormat="1" ht="14.25" spans="1:11">
      <c r="A1119" s="71">
        <v>7</v>
      </c>
      <c r="B1119" s="72">
        <v>31</v>
      </c>
      <c r="C1119" s="72">
        <v>18</v>
      </c>
      <c r="D1119" s="73" t="s">
        <v>1373</v>
      </c>
      <c r="E1119" s="73" t="s">
        <v>48</v>
      </c>
      <c r="F1119" s="73" t="s">
        <v>331</v>
      </c>
      <c r="G1119" s="73" t="s">
        <v>32</v>
      </c>
      <c r="H1119" s="74" t="s">
        <v>1371</v>
      </c>
      <c r="I1119" s="74">
        <v>9314</v>
      </c>
      <c r="J1119" s="75">
        <v>0</v>
      </c>
      <c r="K1119" s="76"/>
    </row>
    <row r="1120" s="1" customFormat="1" ht="14.25" spans="1:11">
      <c r="A1120" s="71">
        <v>7</v>
      </c>
      <c r="B1120" s="72">
        <v>31</v>
      </c>
      <c r="C1120" s="72">
        <v>18</v>
      </c>
      <c r="D1120" s="73" t="s">
        <v>1374</v>
      </c>
      <c r="E1120" s="73" t="s">
        <v>172</v>
      </c>
      <c r="F1120" s="74" t="s">
        <v>876</v>
      </c>
      <c r="G1120" s="73" t="s">
        <v>32</v>
      </c>
      <c r="H1120" s="74" t="s">
        <v>1371</v>
      </c>
      <c r="I1120" s="74">
        <v>2000</v>
      </c>
      <c r="J1120" s="75">
        <v>0</v>
      </c>
      <c r="K1120" s="76"/>
    </row>
    <row r="1121" s="1" customFormat="1" ht="14.25" spans="1:11">
      <c r="A1121" s="71">
        <v>8</v>
      </c>
      <c r="B1121" s="72">
        <v>31</v>
      </c>
      <c r="C1121" s="72">
        <v>1</v>
      </c>
      <c r="D1121" s="73" t="s">
        <v>1375</v>
      </c>
      <c r="E1121" s="73" t="s">
        <v>31</v>
      </c>
      <c r="F1121" s="73" t="s">
        <v>1376</v>
      </c>
      <c r="G1121" s="73" t="s">
        <v>32</v>
      </c>
      <c r="H1121" s="74" t="s">
        <v>98</v>
      </c>
      <c r="I1121" s="74">
        <v>2040</v>
      </c>
      <c r="J1121" s="75">
        <v>0</v>
      </c>
      <c r="K1121" s="76"/>
    </row>
    <row r="1122" s="1" customFormat="1" ht="14.25" spans="1:11">
      <c r="A1122" s="71">
        <v>8</v>
      </c>
      <c r="B1122" s="72">
        <v>31</v>
      </c>
      <c r="C1122" s="72">
        <v>1</v>
      </c>
      <c r="D1122" s="73" t="s">
        <v>1377</v>
      </c>
      <c r="E1122" s="73" t="s">
        <v>48</v>
      </c>
      <c r="F1122" s="73" t="s">
        <v>49</v>
      </c>
      <c r="G1122" s="73" t="s">
        <v>32</v>
      </c>
      <c r="H1122" s="74" t="s">
        <v>106</v>
      </c>
      <c r="I1122" s="74">
        <v>50</v>
      </c>
      <c r="J1122" s="75">
        <v>0</v>
      </c>
      <c r="K1122" s="76"/>
    </row>
    <row r="1123" s="1" customFormat="1" ht="14.25" spans="1:11">
      <c r="A1123" s="71">
        <v>8</v>
      </c>
      <c r="B1123" s="72">
        <v>31</v>
      </c>
      <c r="C1123" s="72">
        <v>1</v>
      </c>
      <c r="D1123" s="73" t="s">
        <v>1378</v>
      </c>
      <c r="E1123" s="73" t="s">
        <v>118</v>
      </c>
      <c r="F1123" s="73" t="s">
        <v>151</v>
      </c>
      <c r="G1123" s="73" t="s">
        <v>32</v>
      </c>
      <c r="H1123" s="74" t="s">
        <v>106</v>
      </c>
      <c r="I1123" s="74">
        <v>18000</v>
      </c>
      <c r="J1123" s="75">
        <v>0</v>
      </c>
      <c r="K1123" s="76"/>
    </row>
    <row r="1124" s="1" customFormat="1" ht="14.25" spans="1:11">
      <c r="A1124" s="71">
        <v>8</v>
      </c>
      <c r="B1124" s="72">
        <v>31</v>
      </c>
      <c r="C1124" s="72">
        <v>1</v>
      </c>
      <c r="D1124" s="73" t="s">
        <v>1379</v>
      </c>
      <c r="E1124" s="73" t="s">
        <v>85</v>
      </c>
      <c r="F1124" s="73" t="s">
        <v>86</v>
      </c>
      <c r="G1124" s="73" t="s">
        <v>32</v>
      </c>
      <c r="H1124" s="74" t="s">
        <v>109</v>
      </c>
      <c r="I1124" s="74">
        <v>10255</v>
      </c>
      <c r="J1124" s="75">
        <v>0</v>
      </c>
      <c r="K1124" s="76"/>
    </row>
    <row r="1125" s="1" customFormat="1" ht="14.25" spans="1:11">
      <c r="A1125" s="71">
        <v>8</v>
      </c>
      <c r="B1125" s="72">
        <v>31</v>
      </c>
      <c r="C1125" s="72">
        <v>1</v>
      </c>
      <c r="D1125" s="73" t="s">
        <v>1380</v>
      </c>
      <c r="E1125" s="73" t="s">
        <v>96</v>
      </c>
      <c r="F1125" s="73" t="s">
        <v>97</v>
      </c>
      <c r="G1125" s="73" t="s">
        <v>32</v>
      </c>
      <c r="H1125" s="74" t="s">
        <v>116</v>
      </c>
      <c r="I1125" s="74">
        <v>931</v>
      </c>
      <c r="J1125" s="75">
        <v>0</v>
      </c>
      <c r="K1125" s="76"/>
    </row>
    <row r="1126" s="1" customFormat="1" ht="14.25" spans="1:11">
      <c r="A1126" s="71">
        <v>8</v>
      </c>
      <c r="B1126" s="72">
        <v>31</v>
      </c>
      <c r="C1126" s="72">
        <v>1</v>
      </c>
      <c r="D1126" s="73" t="s">
        <v>1381</v>
      </c>
      <c r="E1126" s="73" t="s">
        <v>37</v>
      </c>
      <c r="F1126" s="73">
        <v>0</v>
      </c>
      <c r="G1126" s="73" t="s">
        <v>32</v>
      </c>
      <c r="H1126" s="74" t="s">
        <v>116</v>
      </c>
      <c r="I1126" s="74">
        <v>2120</v>
      </c>
      <c r="J1126" s="75">
        <v>0</v>
      </c>
      <c r="K1126" s="76"/>
    </row>
    <row r="1127" s="1" customFormat="1" ht="14.25" spans="1:11">
      <c r="A1127" s="71">
        <v>8</v>
      </c>
      <c r="B1127" s="72">
        <v>31</v>
      </c>
      <c r="C1127" s="72">
        <v>1</v>
      </c>
      <c r="D1127" s="73" t="s">
        <v>1382</v>
      </c>
      <c r="E1127" s="73" t="s">
        <v>118</v>
      </c>
      <c r="F1127" s="73" t="s">
        <v>119</v>
      </c>
      <c r="G1127" s="73" t="s">
        <v>32</v>
      </c>
      <c r="H1127" s="74" t="s">
        <v>123</v>
      </c>
      <c r="I1127" s="74">
        <v>213200</v>
      </c>
      <c r="J1127" s="75">
        <v>0</v>
      </c>
      <c r="K1127" s="76"/>
    </row>
    <row r="1128" s="1" customFormat="1" ht="14.25" spans="1:11">
      <c r="A1128" s="71">
        <v>8</v>
      </c>
      <c r="B1128" s="72">
        <v>31</v>
      </c>
      <c r="C1128" s="72">
        <v>1</v>
      </c>
      <c r="D1128" s="73" t="s">
        <v>1382</v>
      </c>
      <c r="E1128" s="73" t="s">
        <v>118</v>
      </c>
      <c r="F1128" s="73" t="s">
        <v>119</v>
      </c>
      <c r="G1128" s="73" t="s">
        <v>32</v>
      </c>
      <c r="H1128" s="74" t="s">
        <v>123</v>
      </c>
      <c r="I1128" s="74">
        <v>165000</v>
      </c>
      <c r="J1128" s="75">
        <v>0</v>
      </c>
      <c r="K1128" s="76"/>
    </row>
    <row r="1129" s="1" customFormat="1" ht="14.25" spans="1:11">
      <c r="A1129" s="71">
        <v>8</v>
      </c>
      <c r="B1129" s="72">
        <v>31</v>
      </c>
      <c r="C1129" s="72">
        <v>1</v>
      </c>
      <c r="D1129" s="73" t="s">
        <v>1383</v>
      </c>
      <c r="E1129" s="73" t="s">
        <v>118</v>
      </c>
      <c r="F1129" s="73" t="s">
        <v>119</v>
      </c>
      <c r="G1129" s="73" t="s">
        <v>32</v>
      </c>
      <c r="H1129" s="74" t="s">
        <v>123</v>
      </c>
      <c r="I1129" s="74">
        <v>167000</v>
      </c>
      <c r="J1129" s="75">
        <v>0</v>
      </c>
      <c r="K1129" s="76"/>
    </row>
    <row r="1130" s="1" customFormat="1" ht="14.25" spans="1:11">
      <c r="A1130" s="71">
        <v>8</v>
      </c>
      <c r="B1130" s="72">
        <v>31</v>
      </c>
      <c r="C1130" s="72">
        <v>2</v>
      </c>
      <c r="D1130" s="73" t="s">
        <v>1384</v>
      </c>
      <c r="E1130" s="73" t="s">
        <v>172</v>
      </c>
      <c r="F1130" s="73" t="s">
        <v>876</v>
      </c>
      <c r="G1130" s="73" t="s">
        <v>32</v>
      </c>
      <c r="H1130" s="74" t="s">
        <v>129</v>
      </c>
      <c r="I1130" s="74">
        <v>80</v>
      </c>
      <c r="J1130" s="75">
        <v>0</v>
      </c>
      <c r="K1130" s="76"/>
    </row>
    <row r="1131" s="1" customFormat="1" ht="14.25" spans="1:11">
      <c r="A1131" s="71">
        <v>8</v>
      </c>
      <c r="B1131" s="72">
        <v>31</v>
      </c>
      <c r="C1131" s="72">
        <v>2</v>
      </c>
      <c r="D1131" s="73" t="s">
        <v>1385</v>
      </c>
      <c r="E1131" s="73" t="s">
        <v>48</v>
      </c>
      <c r="F1131" s="73" t="s">
        <v>207</v>
      </c>
      <c r="G1131" s="73" t="s">
        <v>32</v>
      </c>
      <c r="H1131" s="74" t="s">
        <v>129</v>
      </c>
      <c r="I1131" s="74">
        <v>900</v>
      </c>
      <c r="J1131" s="75">
        <v>0</v>
      </c>
      <c r="K1131" s="76"/>
    </row>
    <row r="1132" s="1" customFormat="1" ht="14.25" spans="1:11">
      <c r="A1132" s="71">
        <v>8</v>
      </c>
      <c r="B1132" s="72">
        <v>31</v>
      </c>
      <c r="C1132" s="72">
        <v>2</v>
      </c>
      <c r="D1132" s="73" t="s">
        <v>1386</v>
      </c>
      <c r="E1132" s="73" t="s">
        <v>48</v>
      </c>
      <c r="F1132" s="73" t="s">
        <v>207</v>
      </c>
      <c r="G1132" s="73" t="s">
        <v>32</v>
      </c>
      <c r="H1132" s="74" t="s">
        <v>129</v>
      </c>
      <c r="I1132" s="74">
        <v>100</v>
      </c>
      <c r="J1132" s="75">
        <v>0</v>
      </c>
      <c r="K1132" s="76"/>
    </row>
    <row r="1133" s="1" customFormat="1" ht="14.25" spans="1:11">
      <c r="A1133" s="71">
        <v>8</v>
      </c>
      <c r="B1133" s="72">
        <v>31</v>
      </c>
      <c r="C1133" s="72">
        <v>2</v>
      </c>
      <c r="D1133" s="73" t="s">
        <v>1387</v>
      </c>
      <c r="E1133" s="73" t="s">
        <v>48</v>
      </c>
      <c r="F1133" s="73" t="s">
        <v>207</v>
      </c>
      <c r="G1133" s="73" t="s">
        <v>32</v>
      </c>
      <c r="H1133" s="74" t="s">
        <v>129</v>
      </c>
      <c r="I1133" s="74">
        <v>100</v>
      </c>
      <c r="J1133" s="75">
        <v>0</v>
      </c>
      <c r="K1133" s="76"/>
    </row>
    <row r="1134" s="1" customFormat="1" ht="14.25" spans="1:11">
      <c r="A1134" s="71">
        <v>8</v>
      </c>
      <c r="B1134" s="72">
        <v>31</v>
      </c>
      <c r="C1134" s="72">
        <v>2</v>
      </c>
      <c r="D1134" s="73" t="s">
        <v>1388</v>
      </c>
      <c r="E1134" s="73" t="s">
        <v>48</v>
      </c>
      <c r="F1134" s="73" t="s">
        <v>207</v>
      </c>
      <c r="G1134" s="73" t="s">
        <v>32</v>
      </c>
      <c r="H1134" s="74" t="s">
        <v>129</v>
      </c>
      <c r="I1134" s="74">
        <v>200</v>
      </c>
      <c r="J1134" s="75">
        <v>0</v>
      </c>
      <c r="K1134" s="76"/>
    </row>
    <row r="1135" s="1" customFormat="1" ht="14.25" spans="1:11">
      <c r="A1135" s="71">
        <v>8</v>
      </c>
      <c r="B1135" s="72">
        <v>31</v>
      </c>
      <c r="C1135" s="72">
        <v>2</v>
      </c>
      <c r="D1135" s="73" t="s">
        <v>1389</v>
      </c>
      <c r="E1135" s="73" t="s">
        <v>85</v>
      </c>
      <c r="F1135" s="73" t="s">
        <v>86</v>
      </c>
      <c r="G1135" s="73" t="s">
        <v>32</v>
      </c>
      <c r="H1135" s="74" t="s">
        <v>129</v>
      </c>
      <c r="I1135" s="74">
        <v>5425</v>
      </c>
      <c r="J1135" s="75">
        <v>0</v>
      </c>
      <c r="K1135" s="76"/>
    </row>
    <row r="1136" s="1" customFormat="1" ht="14.25" spans="1:11">
      <c r="A1136" s="71">
        <v>8</v>
      </c>
      <c r="B1136" s="72">
        <v>31</v>
      </c>
      <c r="C1136" s="72">
        <v>2</v>
      </c>
      <c r="D1136" s="73" t="s">
        <v>1390</v>
      </c>
      <c r="E1136" s="73" t="s">
        <v>48</v>
      </c>
      <c r="F1136" s="73" t="s">
        <v>49</v>
      </c>
      <c r="G1136" s="73" t="s">
        <v>32</v>
      </c>
      <c r="H1136" s="74" t="s">
        <v>129</v>
      </c>
      <c r="I1136" s="74">
        <v>2000</v>
      </c>
      <c r="J1136" s="75">
        <v>0</v>
      </c>
      <c r="K1136" s="76"/>
    </row>
    <row r="1137" s="1" customFormat="1" ht="14.25" spans="1:11">
      <c r="A1137" s="71">
        <v>8</v>
      </c>
      <c r="B1137" s="72">
        <v>31</v>
      </c>
      <c r="C1137" s="72">
        <v>2</v>
      </c>
      <c r="D1137" s="73" t="s">
        <v>1391</v>
      </c>
      <c r="E1137" s="73" t="s">
        <v>85</v>
      </c>
      <c r="F1137" s="73" t="s">
        <v>86</v>
      </c>
      <c r="G1137" s="73" t="s">
        <v>32</v>
      </c>
      <c r="H1137" s="74" t="s">
        <v>1392</v>
      </c>
      <c r="I1137" s="74">
        <v>5624</v>
      </c>
      <c r="J1137" s="75">
        <v>0</v>
      </c>
      <c r="K1137" s="76"/>
    </row>
    <row r="1138" s="1" customFormat="1" ht="14.25" spans="1:11">
      <c r="A1138" s="71">
        <v>8</v>
      </c>
      <c r="B1138" s="72">
        <v>31</v>
      </c>
      <c r="C1138" s="72">
        <v>2</v>
      </c>
      <c r="D1138" s="73" t="s">
        <v>1393</v>
      </c>
      <c r="E1138" s="73" t="s">
        <v>48</v>
      </c>
      <c r="F1138" s="73" t="s">
        <v>207</v>
      </c>
      <c r="G1138" s="73" t="s">
        <v>32</v>
      </c>
      <c r="H1138" s="74" t="s">
        <v>1394</v>
      </c>
      <c r="I1138" s="74">
        <v>2023</v>
      </c>
      <c r="J1138" s="75">
        <v>0</v>
      </c>
      <c r="K1138" s="76"/>
    </row>
    <row r="1139" s="1" customFormat="1" ht="14.25" spans="1:11">
      <c r="A1139" s="71">
        <v>8</v>
      </c>
      <c r="B1139" s="72">
        <v>31</v>
      </c>
      <c r="C1139" s="72">
        <v>3</v>
      </c>
      <c r="D1139" s="73" t="s">
        <v>1395</v>
      </c>
      <c r="E1139" s="73" t="s">
        <v>96</v>
      </c>
      <c r="F1139" s="73" t="s">
        <v>97</v>
      </c>
      <c r="G1139" s="73" t="s">
        <v>32</v>
      </c>
      <c r="H1139" s="74" t="s">
        <v>134</v>
      </c>
      <c r="I1139" s="74">
        <v>113</v>
      </c>
      <c r="J1139" s="75">
        <v>0</v>
      </c>
      <c r="K1139" s="76"/>
    </row>
    <row r="1140" s="1" customFormat="1" ht="14.25" spans="1:11">
      <c r="A1140" s="71">
        <v>8</v>
      </c>
      <c r="B1140" s="72">
        <v>31</v>
      </c>
      <c r="C1140" s="72">
        <v>3</v>
      </c>
      <c r="D1140" s="73" t="s">
        <v>1396</v>
      </c>
      <c r="E1140" s="73" t="s">
        <v>118</v>
      </c>
      <c r="F1140" s="73" t="s">
        <v>151</v>
      </c>
      <c r="G1140" s="73" t="s">
        <v>32</v>
      </c>
      <c r="H1140" s="74" t="s">
        <v>134</v>
      </c>
      <c r="I1140" s="74">
        <v>5760</v>
      </c>
      <c r="J1140" s="75">
        <v>0</v>
      </c>
      <c r="K1140" s="76"/>
    </row>
    <row r="1141" s="1" customFormat="1" ht="14.25" spans="1:11">
      <c r="A1141" s="71">
        <v>8</v>
      </c>
      <c r="B1141" s="72">
        <v>31</v>
      </c>
      <c r="C1141" s="72">
        <v>3</v>
      </c>
      <c r="D1141" s="73" t="s">
        <v>1397</v>
      </c>
      <c r="E1141" s="73" t="s">
        <v>172</v>
      </c>
      <c r="F1141" s="73" t="s">
        <v>876</v>
      </c>
      <c r="G1141" s="73" t="s">
        <v>32</v>
      </c>
      <c r="H1141" s="74" t="s">
        <v>134</v>
      </c>
      <c r="I1141" s="74">
        <v>2990</v>
      </c>
      <c r="J1141" s="75">
        <v>0</v>
      </c>
      <c r="K1141" s="76"/>
    </row>
    <row r="1142" s="1" customFormat="1" ht="14.25" spans="1:11">
      <c r="A1142" s="71">
        <v>8</v>
      </c>
      <c r="B1142" s="72">
        <v>31</v>
      </c>
      <c r="C1142" s="72">
        <v>3</v>
      </c>
      <c r="D1142" s="73" t="s">
        <v>1398</v>
      </c>
      <c r="E1142" s="73" t="s">
        <v>48</v>
      </c>
      <c r="F1142" s="73" t="s">
        <v>49</v>
      </c>
      <c r="G1142" s="73" t="s">
        <v>32</v>
      </c>
      <c r="H1142" s="74" t="s">
        <v>134</v>
      </c>
      <c r="I1142" s="74">
        <v>350</v>
      </c>
      <c r="J1142" s="75">
        <v>0</v>
      </c>
      <c r="K1142" s="76"/>
    </row>
    <row r="1143" s="1" customFormat="1" ht="14.25" spans="1:11">
      <c r="A1143" s="71">
        <v>8</v>
      </c>
      <c r="B1143" s="72">
        <v>31</v>
      </c>
      <c r="C1143" s="72">
        <v>3</v>
      </c>
      <c r="D1143" s="73" t="s">
        <v>1399</v>
      </c>
      <c r="E1143" s="73" t="s">
        <v>85</v>
      </c>
      <c r="F1143" s="73" t="s">
        <v>86</v>
      </c>
      <c r="G1143" s="73" t="s">
        <v>32</v>
      </c>
      <c r="H1143" s="74" t="s">
        <v>134</v>
      </c>
      <c r="I1143" s="74">
        <v>223</v>
      </c>
      <c r="J1143" s="75">
        <v>0</v>
      </c>
      <c r="K1143" s="76"/>
    </row>
    <row r="1144" s="1" customFormat="1" ht="14.25" spans="1:11">
      <c r="A1144" s="71">
        <v>8</v>
      </c>
      <c r="B1144" s="72">
        <v>31</v>
      </c>
      <c r="C1144" s="72">
        <v>3</v>
      </c>
      <c r="D1144" s="73" t="s">
        <v>1400</v>
      </c>
      <c r="E1144" s="73" t="s">
        <v>48</v>
      </c>
      <c r="F1144" s="73" t="s">
        <v>207</v>
      </c>
      <c r="G1144" s="73" t="s">
        <v>32</v>
      </c>
      <c r="H1144" s="74" t="s">
        <v>141</v>
      </c>
      <c r="I1144" s="74">
        <v>280</v>
      </c>
      <c r="J1144" s="75">
        <v>0</v>
      </c>
      <c r="K1144" s="76"/>
    </row>
    <row r="1145" s="1" customFormat="1" ht="14.25" spans="1:11">
      <c r="A1145" s="71">
        <v>8</v>
      </c>
      <c r="B1145" s="72">
        <v>31</v>
      </c>
      <c r="C1145" s="72">
        <v>3</v>
      </c>
      <c r="D1145" s="73" t="s">
        <v>1401</v>
      </c>
      <c r="E1145" s="73" t="s">
        <v>48</v>
      </c>
      <c r="F1145" s="73" t="s">
        <v>49</v>
      </c>
      <c r="G1145" s="73" t="s">
        <v>32</v>
      </c>
      <c r="H1145" s="74" t="s">
        <v>141</v>
      </c>
      <c r="I1145" s="74">
        <v>2600</v>
      </c>
      <c r="J1145" s="75">
        <v>0</v>
      </c>
      <c r="K1145" s="76"/>
    </row>
    <row r="1146" s="1" customFormat="1" ht="14.25" spans="1:11">
      <c r="A1146" s="71">
        <v>8</v>
      </c>
      <c r="B1146" s="72">
        <v>31</v>
      </c>
      <c r="C1146" s="72">
        <v>3</v>
      </c>
      <c r="D1146" s="73" t="s">
        <v>1383</v>
      </c>
      <c r="E1146" s="73" t="s">
        <v>118</v>
      </c>
      <c r="F1146" s="73" t="s">
        <v>119</v>
      </c>
      <c r="G1146" s="73" t="s">
        <v>32</v>
      </c>
      <c r="H1146" s="74" t="s">
        <v>141</v>
      </c>
      <c r="I1146" s="74">
        <v>32400</v>
      </c>
      <c r="J1146" s="75">
        <v>0</v>
      </c>
      <c r="K1146" s="76"/>
    </row>
    <row r="1147" s="1" customFormat="1" ht="14.25" spans="1:11">
      <c r="A1147" s="71">
        <v>8</v>
      </c>
      <c r="B1147" s="72">
        <v>31</v>
      </c>
      <c r="C1147" s="72">
        <v>3</v>
      </c>
      <c r="D1147" s="73" t="s">
        <v>1402</v>
      </c>
      <c r="E1147" s="73" t="s">
        <v>48</v>
      </c>
      <c r="F1147" s="73" t="s">
        <v>383</v>
      </c>
      <c r="G1147" s="73" t="s">
        <v>32</v>
      </c>
      <c r="H1147" s="74" t="s">
        <v>141</v>
      </c>
      <c r="I1147" s="74">
        <v>1160</v>
      </c>
      <c r="J1147" s="75">
        <v>0</v>
      </c>
      <c r="K1147" s="76"/>
    </row>
    <row r="1148" s="1" customFormat="1" ht="14.25" spans="1:11">
      <c r="A1148" s="71">
        <v>8</v>
      </c>
      <c r="B1148" s="72">
        <v>31</v>
      </c>
      <c r="C1148" s="72">
        <v>4</v>
      </c>
      <c r="D1148" s="73" t="s">
        <v>1382</v>
      </c>
      <c r="E1148" s="73" t="s">
        <v>118</v>
      </c>
      <c r="F1148" s="73" t="s">
        <v>119</v>
      </c>
      <c r="G1148" s="73" t="s">
        <v>32</v>
      </c>
      <c r="H1148" s="74" t="s">
        <v>1403</v>
      </c>
      <c r="I1148" s="74">
        <v>162000</v>
      </c>
      <c r="J1148" s="75">
        <v>0</v>
      </c>
      <c r="K1148" s="76"/>
    </row>
    <row r="1149" s="1" customFormat="1" ht="14.25" spans="1:11">
      <c r="A1149" s="71">
        <v>8</v>
      </c>
      <c r="B1149" s="72">
        <v>31</v>
      </c>
      <c r="C1149" s="72">
        <v>4</v>
      </c>
      <c r="D1149" s="73" t="s">
        <v>1404</v>
      </c>
      <c r="E1149" s="73" t="s">
        <v>48</v>
      </c>
      <c r="F1149" s="73" t="s">
        <v>207</v>
      </c>
      <c r="G1149" s="73" t="s">
        <v>32</v>
      </c>
      <c r="H1149" s="74" t="s">
        <v>1403</v>
      </c>
      <c r="I1149" s="74">
        <v>1500</v>
      </c>
      <c r="J1149" s="75">
        <v>0</v>
      </c>
      <c r="K1149" s="76"/>
    </row>
    <row r="1150" s="1" customFormat="1" ht="14.25" spans="1:11">
      <c r="A1150" s="71">
        <v>8</v>
      </c>
      <c r="B1150" s="72">
        <v>31</v>
      </c>
      <c r="C1150" s="72">
        <v>4</v>
      </c>
      <c r="D1150" s="73" t="s">
        <v>1378</v>
      </c>
      <c r="E1150" s="73" t="s">
        <v>118</v>
      </c>
      <c r="F1150" s="73" t="s">
        <v>151</v>
      </c>
      <c r="G1150" s="73" t="s">
        <v>32</v>
      </c>
      <c r="H1150" s="74" t="s">
        <v>1403</v>
      </c>
      <c r="I1150" s="74">
        <v>18200</v>
      </c>
      <c r="J1150" s="75">
        <v>0</v>
      </c>
      <c r="K1150" s="76"/>
    </row>
    <row r="1151" s="1" customFormat="1" ht="14.25" spans="1:11">
      <c r="A1151" s="71">
        <v>8</v>
      </c>
      <c r="B1151" s="72">
        <v>31</v>
      </c>
      <c r="C1151" s="72">
        <v>4</v>
      </c>
      <c r="D1151" s="73" t="s">
        <v>1405</v>
      </c>
      <c r="E1151" s="73" t="s">
        <v>48</v>
      </c>
      <c r="F1151" s="73" t="s">
        <v>207</v>
      </c>
      <c r="G1151" s="73" t="s">
        <v>32</v>
      </c>
      <c r="H1151" s="74" t="s">
        <v>1403</v>
      </c>
      <c r="I1151" s="74">
        <v>7440</v>
      </c>
      <c r="J1151" s="75">
        <v>0</v>
      </c>
      <c r="K1151" s="76"/>
    </row>
    <row r="1152" s="1" customFormat="1" ht="14.25" spans="1:11">
      <c r="A1152" s="71">
        <v>8</v>
      </c>
      <c r="B1152" s="72">
        <v>31</v>
      </c>
      <c r="C1152" s="72">
        <v>4</v>
      </c>
      <c r="D1152" s="73" t="s">
        <v>1406</v>
      </c>
      <c r="E1152" s="73" t="s">
        <v>118</v>
      </c>
      <c r="F1152" s="73" t="s">
        <v>127</v>
      </c>
      <c r="G1152" s="73" t="s">
        <v>32</v>
      </c>
      <c r="H1152" s="74" t="s">
        <v>1407</v>
      </c>
      <c r="I1152" s="74">
        <v>700</v>
      </c>
      <c r="J1152" s="75">
        <v>0</v>
      </c>
      <c r="K1152" s="76"/>
    </row>
    <row r="1153" s="1" customFormat="1" ht="14.25" spans="1:11">
      <c r="A1153" s="71">
        <v>8</v>
      </c>
      <c r="B1153" s="72">
        <v>31</v>
      </c>
      <c r="C1153" s="72">
        <v>4</v>
      </c>
      <c r="D1153" s="73" t="s">
        <v>1408</v>
      </c>
      <c r="E1153" s="73" t="s">
        <v>172</v>
      </c>
      <c r="F1153" s="73" t="s">
        <v>396</v>
      </c>
      <c r="G1153" s="73" t="s">
        <v>32</v>
      </c>
      <c r="H1153" s="74" t="s">
        <v>1407</v>
      </c>
      <c r="I1153" s="74">
        <v>4500</v>
      </c>
      <c r="J1153" s="75">
        <v>0</v>
      </c>
      <c r="K1153" s="76"/>
    </row>
    <row r="1154" s="1" customFormat="1" ht="14.25" spans="1:11">
      <c r="A1154" s="71">
        <v>8</v>
      </c>
      <c r="B1154" s="72">
        <v>31</v>
      </c>
      <c r="C1154" s="72">
        <v>4</v>
      </c>
      <c r="D1154" s="73" t="s">
        <v>1409</v>
      </c>
      <c r="E1154" s="73" t="s">
        <v>172</v>
      </c>
      <c r="F1154" s="73" t="s">
        <v>876</v>
      </c>
      <c r="G1154" s="73" t="s">
        <v>32</v>
      </c>
      <c r="H1154" s="74" t="s">
        <v>1410</v>
      </c>
      <c r="I1154" s="74">
        <v>1500</v>
      </c>
      <c r="J1154" s="75">
        <v>0</v>
      </c>
      <c r="K1154" s="76"/>
    </row>
    <row r="1155" s="1" customFormat="1" ht="14.25" spans="1:11">
      <c r="A1155" s="71">
        <v>8</v>
      </c>
      <c r="B1155" s="72">
        <v>31</v>
      </c>
      <c r="C1155" s="72">
        <v>4</v>
      </c>
      <c r="D1155" s="73" t="s">
        <v>1139</v>
      </c>
      <c r="E1155" s="73" t="s">
        <v>48</v>
      </c>
      <c r="F1155" s="73" t="s">
        <v>383</v>
      </c>
      <c r="G1155" s="73" t="s">
        <v>32</v>
      </c>
      <c r="H1155" s="74" t="s">
        <v>1410</v>
      </c>
      <c r="I1155" s="74">
        <v>10</v>
      </c>
      <c r="J1155" s="75">
        <v>0</v>
      </c>
      <c r="K1155" s="76"/>
    </row>
    <row r="1156" s="1" customFormat="1" ht="14.25" spans="1:11">
      <c r="A1156" s="71">
        <v>8</v>
      </c>
      <c r="B1156" s="72">
        <v>31</v>
      </c>
      <c r="C1156" s="72">
        <v>4</v>
      </c>
      <c r="D1156" s="73" t="s">
        <v>1411</v>
      </c>
      <c r="E1156" s="73" t="s">
        <v>172</v>
      </c>
      <c r="F1156" s="73" t="s">
        <v>1412</v>
      </c>
      <c r="G1156" s="73" t="s">
        <v>32</v>
      </c>
      <c r="H1156" s="74" t="s">
        <v>1410</v>
      </c>
      <c r="I1156" s="74">
        <v>90</v>
      </c>
      <c r="J1156" s="75">
        <v>0</v>
      </c>
      <c r="K1156" s="76"/>
    </row>
    <row r="1157" s="1" customFormat="1" ht="14.25" spans="1:11">
      <c r="A1157" s="71">
        <v>8</v>
      </c>
      <c r="B1157" s="72">
        <v>31</v>
      </c>
      <c r="C1157" s="72">
        <v>4</v>
      </c>
      <c r="D1157" s="73" t="s">
        <v>1413</v>
      </c>
      <c r="E1157" s="73" t="s">
        <v>172</v>
      </c>
      <c r="F1157" s="73" t="s">
        <v>1412</v>
      </c>
      <c r="G1157" s="73" t="s">
        <v>32</v>
      </c>
      <c r="H1157" s="74" t="s">
        <v>1410</v>
      </c>
      <c r="I1157" s="74">
        <v>85</v>
      </c>
      <c r="J1157" s="75">
        <v>0</v>
      </c>
      <c r="K1157" s="76"/>
    </row>
    <row r="1158" s="1" customFormat="1" ht="14.25" spans="1:11">
      <c r="A1158" s="71">
        <v>8</v>
      </c>
      <c r="B1158" s="72">
        <v>31</v>
      </c>
      <c r="C1158" s="72">
        <v>5</v>
      </c>
      <c r="D1158" s="73" t="s">
        <v>1414</v>
      </c>
      <c r="E1158" s="73" t="s">
        <v>118</v>
      </c>
      <c r="F1158" s="73" t="s">
        <v>127</v>
      </c>
      <c r="G1158" s="73" t="s">
        <v>32</v>
      </c>
      <c r="H1158" s="74" t="s">
        <v>1415</v>
      </c>
      <c r="I1158" s="74">
        <v>520</v>
      </c>
      <c r="J1158" s="75">
        <v>0</v>
      </c>
      <c r="K1158" s="76"/>
    </row>
    <row r="1159" s="1" customFormat="1" ht="14.25" spans="1:11">
      <c r="A1159" s="71">
        <v>8</v>
      </c>
      <c r="B1159" s="72">
        <v>31</v>
      </c>
      <c r="C1159" s="72">
        <v>5</v>
      </c>
      <c r="D1159" s="73" t="s">
        <v>310</v>
      </c>
      <c r="E1159" s="73" t="s">
        <v>96</v>
      </c>
      <c r="F1159" s="73" t="s">
        <v>97</v>
      </c>
      <c r="G1159" s="73" t="s">
        <v>32</v>
      </c>
      <c r="H1159" s="74" t="s">
        <v>1415</v>
      </c>
      <c r="I1159" s="74">
        <v>180</v>
      </c>
      <c r="J1159" s="75">
        <v>0</v>
      </c>
      <c r="K1159" s="76"/>
    </row>
    <row r="1160" s="1" customFormat="1" ht="14.25" spans="1:11">
      <c r="A1160" s="71">
        <v>8</v>
      </c>
      <c r="B1160" s="72">
        <v>31</v>
      </c>
      <c r="C1160" s="72">
        <v>5</v>
      </c>
      <c r="D1160" s="73" t="s">
        <v>1416</v>
      </c>
      <c r="E1160" s="73" t="s">
        <v>48</v>
      </c>
      <c r="F1160" s="73" t="s">
        <v>49</v>
      </c>
      <c r="G1160" s="73" t="s">
        <v>32</v>
      </c>
      <c r="H1160" s="74" t="s">
        <v>1415</v>
      </c>
      <c r="I1160" s="74">
        <v>50</v>
      </c>
      <c r="J1160" s="75">
        <v>0</v>
      </c>
      <c r="K1160" s="76"/>
    </row>
    <row r="1161" s="1" customFormat="1" ht="14.25" spans="1:11">
      <c r="A1161" s="71">
        <v>8</v>
      </c>
      <c r="B1161" s="72">
        <v>31</v>
      </c>
      <c r="C1161" s="72">
        <v>5</v>
      </c>
      <c r="D1161" s="73" t="s">
        <v>1417</v>
      </c>
      <c r="E1161" s="73" t="s">
        <v>48</v>
      </c>
      <c r="F1161" s="73" t="s">
        <v>125</v>
      </c>
      <c r="G1161" s="73" t="s">
        <v>32</v>
      </c>
      <c r="H1161" s="74" t="s">
        <v>1415</v>
      </c>
      <c r="I1161" s="74">
        <v>199</v>
      </c>
      <c r="J1161" s="75">
        <v>0</v>
      </c>
      <c r="K1161" s="76"/>
    </row>
    <row r="1162" s="1" customFormat="1" ht="14.25" spans="1:11">
      <c r="A1162" s="71">
        <v>8</v>
      </c>
      <c r="B1162" s="72">
        <v>31</v>
      </c>
      <c r="C1162" s="72">
        <v>5</v>
      </c>
      <c r="D1162" s="73" t="s">
        <v>1418</v>
      </c>
      <c r="E1162" s="73" t="s">
        <v>48</v>
      </c>
      <c r="F1162" s="73" t="s">
        <v>209</v>
      </c>
      <c r="G1162" s="73" t="s">
        <v>32</v>
      </c>
      <c r="H1162" s="74" t="s">
        <v>1415</v>
      </c>
      <c r="I1162" s="74">
        <v>128</v>
      </c>
      <c r="J1162" s="75">
        <v>0</v>
      </c>
      <c r="K1162" s="76"/>
    </row>
    <row r="1163" s="1" customFormat="1" ht="14.25" spans="1:11">
      <c r="A1163" s="71">
        <v>8</v>
      </c>
      <c r="B1163" s="72">
        <v>31</v>
      </c>
      <c r="C1163" s="72">
        <v>5</v>
      </c>
      <c r="D1163" s="73" t="s">
        <v>1419</v>
      </c>
      <c r="E1163" s="73" t="s">
        <v>48</v>
      </c>
      <c r="F1163" s="73" t="s">
        <v>233</v>
      </c>
      <c r="G1163" s="73" t="s">
        <v>32</v>
      </c>
      <c r="H1163" s="74" t="s">
        <v>1420</v>
      </c>
      <c r="I1163" s="74">
        <v>308</v>
      </c>
      <c r="J1163" s="75">
        <v>0</v>
      </c>
      <c r="K1163" s="76"/>
    </row>
    <row r="1164" s="1" customFormat="1" ht="14.25" spans="1:11">
      <c r="A1164" s="71">
        <v>8</v>
      </c>
      <c r="B1164" s="72">
        <v>31</v>
      </c>
      <c r="C1164" s="72">
        <v>5</v>
      </c>
      <c r="D1164" s="73" t="s">
        <v>1421</v>
      </c>
      <c r="E1164" s="73" t="s">
        <v>48</v>
      </c>
      <c r="F1164" s="73" t="s">
        <v>55</v>
      </c>
      <c r="G1164" s="73" t="s">
        <v>32</v>
      </c>
      <c r="H1164" s="74" t="s">
        <v>1420</v>
      </c>
      <c r="I1164" s="74">
        <v>130</v>
      </c>
      <c r="J1164" s="75">
        <v>0</v>
      </c>
      <c r="K1164" s="76"/>
    </row>
    <row r="1165" s="1" customFormat="1" ht="14.25" spans="1:11">
      <c r="A1165" s="71">
        <v>8</v>
      </c>
      <c r="B1165" s="72">
        <v>31</v>
      </c>
      <c r="C1165" s="72">
        <v>5</v>
      </c>
      <c r="D1165" s="73" t="s">
        <v>1422</v>
      </c>
      <c r="E1165" s="73" t="s">
        <v>85</v>
      </c>
      <c r="F1165" s="73" t="s">
        <v>1317</v>
      </c>
      <c r="G1165" s="73" t="s">
        <v>32</v>
      </c>
      <c r="H1165" s="74" t="s">
        <v>1420</v>
      </c>
      <c r="I1165" s="74">
        <v>810</v>
      </c>
      <c r="J1165" s="75">
        <v>0</v>
      </c>
      <c r="K1165" s="76"/>
    </row>
    <row r="1166" s="1" customFormat="1" ht="14.25" spans="1:11">
      <c r="A1166" s="71">
        <v>8</v>
      </c>
      <c r="B1166" s="72">
        <v>31</v>
      </c>
      <c r="C1166" s="72">
        <v>5</v>
      </c>
      <c r="D1166" s="73" t="s">
        <v>1423</v>
      </c>
      <c r="E1166" s="73" t="s">
        <v>172</v>
      </c>
      <c r="F1166" s="73" t="s">
        <v>1412</v>
      </c>
      <c r="G1166" s="73" t="s">
        <v>32</v>
      </c>
      <c r="H1166" s="74" t="s">
        <v>1420</v>
      </c>
      <c r="I1166" s="74">
        <v>50</v>
      </c>
      <c r="J1166" s="75">
        <v>0</v>
      </c>
      <c r="K1166" s="76"/>
    </row>
    <row r="1167" s="1" customFormat="1" ht="14.25" spans="1:11">
      <c r="A1167" s="71">
        <v>8</v>
      </c>
      <c r="B1167" s="72">
        <v>31</v>
      </c>
      <c r="C1167" s="72">
        <v>5</v>
      </c>
      <c r="D1167" s="73" t="s">
        <v>1184</v>
      </c>
      <c r="E1167" s="73" t="s">
        <v>291</v>
      </c>
      <c r="F1167" s="73" t="s">
        <v>1184</v>
      </c>
      <c r="G1167" s="73" t="s">
        <v>32</v>
      </c>
      <c r="H1167" s="74" t="s">
        <v>1420</v>
      </c>
      <c r="I1167" s="74">
        <v>20750</v>
      </c>
      <c r="J1167" s="75">
        <v>0</v>
      </c>
      <c r="K1167" s="76"/>
    </row>
    <row r="1168" s="1" customFormat="1" ht="14.25" spans="1:11">
      <c r="A1168" s="71">
        <v>8</v>
      </c>
      <c r="B1168" s="72">
        <v>31</v>
      </c>
      <c r="C1168" s="72">
        <v>6</v>
      </c>
      <c r="D1168" s="73" t="s">
        <v>310</v>
      </c>
      <c r="E1168" s="73" t="s">
        <v>96</v>
      </c>
      <c r="F1168" s="73" t="s">
        <v>97</v>
      </c>
      <c r="G1168" s="73" t="s">
        <v>32</v>
      </c>
      <c r="H1168" s="74" t="s">
        <v>1424</v>
      </c>
      <c r="I1168" s="74">
        <v>98</v>
      </c>
      <c r="J1168" s="75">
        <v>0</v>
      </c>
      <c r="K1168" s="76"/>
    </row>
    <row r="1169" s="1" customFormat="1" ht="14.25" spans="1:11">
      <c r="A1169" s="71">
        <v>8</v>
      </c>
      <c r="B1169" s="72">
        <v>31</v>
      </c>
      <c r="C1169" s="72">
        <v>6</v>
      </c>
      <c r="D1169" s="73" t="s">
        <v>1425</v>
      </c>
      <c r="E1169" s="73" t="s">
        <v>118</v>
      </c>
      <c r="F1169" s="73" t="s">
        <v>122</v>
      </c>
      <c r="G1169" s="73" t="s">
        <v>32</v>
      </c>
      <c r="H1169" s="74" t="s">
        <v>1424</v>
      </c>
      <c r="I1169" s="74">
        <v>260</v>
      </c>
      <c r="J1169" s="75">
        <v>0</v>
      </c>
      <c r="K1169" s="76"/>
    </row>
    <row r="1170" s="1" customFormat="1" ht="14.25" spans="1:11">
      <c r="A1170" s="71">
        <v>8</v>
      </c>
      <c r="B1170" s="72">
        <v>31</v>
      </c>
      <c r="C1170" s="72">
        <v>6</v>
      </c>
      <c r="D1170" s="73" t="s">
        <v>1426</v>
      </c>
      <c r="E1170" s="73" t="s">
        <v>96</v>
      </c>
      <c r="F1170" s="73" t="s">
        <v>55</v>
      </c>
      <c r="G1170" s="73" t="s">
        <v>32</v>
      </c>
      <c r="H1170" s="74" t="s">
        <v>1424</v>
      </c>
      <c r="I1170" s="74">
        <v>8</v>
      </c>
      <c r="J1170" s="75">
        <v>0</v>
      </c>
      <c r="K1170" s="76"/>
    </row>
    <row r="1171" s="1" customFormat="1" ht="14.25" spans="1:11">
      <c r="A1171" s="71">
        <v>8</v>
      </c>
      <c r="B1171" s="72">
        <v>31</v>
      </c>
      <c r="C1171" s="72">
        <v>6</v>
      </c>
      <c r="D1171" s="73" t="s">
        <v>1169</v>
      </c>
      <c r="E1171" s="73" t="s">
        <v>100</v>
      </c>
      <c r="F1171" s="73" t="s">
        <v>101</v>
      </c>
      <c r="G1171" s="73" t="s">
        <v>32</v>
      </c>
      <c r="H1171" s="74" t="s">
        <v>1424</v>
      </c>
      <c r="I1171" s="74">
        <v>461</v>
      </c>
      <c r="J1171" s="75">
        <v>0</v>
      </c>
      <c r="K1171" s="76"/>
    </row>
    <row r="1172" s="1" customFormat="1" ht="14.25" spans="1:11">
      <c r="A1172" s="71">
        <v>8</v>
      </c>
      <c r="B1172" s="72">
        <v>31</v>
      </c>
      <c r="C1172" s="72">
        <v>6</v>
      </c>
      <c r="D1172" s="73" t="s">
        <v>1427</v>
      </c>
      <c r="E1172" s="73" t="s">
        <v>100</v>
      </c>
      <c r="F1172" s="73" t="s">
        <v>101</v>
      </c>
      <c r="G1172" s="73" t="s">
        <v>32</v>
      </c>
      <c r="H1172" s="74" t="s">
        <v>1424</v>
      </c>
      <c r="I1172" s="74">
        <v>445</v>
      </c>
      <c r="J1172" s="75">
        <v>0</v>
      </c>
      <c r="K1172" s="76"/>
    </row>
    <row r="1173" s="1" customFormat="1" ht="14.25" spans="1:11">
      <c r="A1173" s="71">
        <v>8</v>
      </c>
      <c r="B1173" s="72">
        <v>31</v>
      </c>
      <c r="C1173" s="72">
        <v>6</v>
      </c>
      <c r="D1173" s="73" t="s">
        <v>1428</v>
      </c>
      <c r="E1173" s="73" t="s">
        <v>100</v>
      </c>
      <c r="F1173" s="73" t="s">
        <v>101</v>
      </c>
      <c r="G1173" s="73" t="s">
        <v>32</v>
      </c>
      <c r="H1173" s="74" t="s">
        <v>1429</v>
      </c>
      <c r="I1173" s="74">
        <v>46602</v>
      </c>
      <c r="J1173" s="75">
        <v>0</v>
      </c>
      <c r="K1173" s="76"/>
    </row>
    <row r="1174" s="1" customFormat="1" ht="14.25" spans="1:11">
      <c r="A1174" s="71">
        <v>8</v>
      </c>
      <c r="B1174" s="72">
        <v>31</v>
      </c>
      <c r="C1174" s="72">
        <v>6</v>
      </c>
      <c r="D1174" s="73" t="s">
        <v>1430</v>
      </c>
      <c r="E1174" s="73" t="s">
        <v>100</v>
      </c>
      <c r="F1174" s="73" t="s">
        <v>101</v>
      </c>
      <c r="G1174" s="73" t="s">
        <v>32</v>
      </c>
      <c r="H1174" s="74" t="s">
        <v>1429</v>
      </c>
      <c r="I1174" s="74">
        <v>1570</v>
      </c>
      <c r="J1174" s="75">
        <v>0</v>
      </c>
      <c r="K1174" s="76"/>
    </row>
    <row r="1175" s="1" customFormat="1" ht="14.25" spans="1:11">
      <c r="A1175" s="71">
        <v>8</v>
      </c>
      <c r="B1175" s="72">
        <v>31</v>
      </c>
      <c r="C1175" s="72">
        <v>6</v>
      </c>
      <c r="D1175" s="73" t="s">
        <v>1169</v>
      </c>
      <c r="E1175" s="73" t="s">
        <v>100</v>
      </c>
      <c r="F1175" s="73" t="s">
        <v>101</v>
      </c>
      <c r="G1175" s="73" t="s">
        <v>32</v>
      </c>
      <c r="H1175" s="74" t="s">
        <v>1429</v>
      </c>
      <c r="I1175" s="74">
        <v>79</v>
      </c>
      <c r="J1175" s="75">
        <v>0</v>
      </c>
      <c r="K1175" s="76"/>
    </row>
    <row r="1176" s="1" customFormat="1" ht="14.25" spans="1:11">
      <c r="A1176" s="71">
        <v>8</v>
      </c>
      <c r="B1176" s="72">
        <v>31</v>
      </c>
      <c r="C1176" s="72">
        <v>6</v>
      </c>
      <c r="D1176" s="73" t="s">
        <v>1431</v>
      </c>
      <c r="E1176" s="73" t="s">
        <v>96</v>
      </c>
      <c r="F1176" s="73" t="s">
        <v>97</v>
      </c>
      <c r="G1176" s="73" t="s">
        <v>32</v>
      </c>
      <c r="H1176" s="74" t="s">
        <v>1429</v>
      </c>
      <c r="I1176" s="74">
        <v>30</v>
      </c>
      <c r="J1176" s="75">
        <v>0</v>
      </c>
      <c r="K1176" s="76"/>
    </row>
    <row r="1177" s="1" customFormat="1" ht="14.25" spans="1:11">
      <c r="A1177" s="71">
        <v>8</v>
      </c>
      <c r="B1177" s="72">
        <v>31</v>
      </c>
      <c r="C1177" s="72">
        <v>7</v>
      </c>
      <c r="D1177" s="73" t="s">
        <v>255</v>
      </c>
      <c r="E1177" s="73" t="s">
        <v>96</v>
      </c>
      <c r="F1177" s="73" t="s">
        <v>97</v>
      </c>
      <c r="G1177" s="73" t="s">
        <v>32</v>
      </c>
      <c r="H1177" s="74" t="s">
        <v>1432</v>
      </c>
      <c r="I1177" s="74">
        <v>134.35</v>
      </c>
      <c r="J1177" s="75">
        <v>0</v>
      </c>
      <c r="K1177" s="76"/>
    </row>
    <row r="1178" s="1" customFormat="1" ht="14.25" spans="1:11">
      <c r="A1178" s="71">
        <v>8</v>
      </c>
      <c r="B1178" s="72">
        <v>31</v>
      </c>
      <c r="C1178" s="72">
        <v>7</v>
      </c>
      <c r="D1178" s="73" t="s">
        <v>1433</v>
      </c>
      <c r="E1178" s="73" t="s">
        <v>48</v>
      </c>
      <c r="F1178" s="73" t="s">
        <v>55</v>
      </c>
      <c r="G1178" s="73" t="s">
        <v>32</v>
      </c>
      <c r="H1178" s="74" t="s">
        <v>1432</v>
      </c>
      <c r="I1178" s="74">
        <v>180</v>
      </c>
      <c r="J1178" s="75">
        <v>0</v>
      </c>
      <c r="K1178" s="76"/>
    </row>
    <row r="1179" s="1" customFormat="1" ht="14.25" spans="1:11">
      <c r="A1179" s="71">
        <v>8</v>
      </c>
      <c r="B1179" s="72">
        <v>31</v>
      </c>
      <c r="C1179" s="72">
        <v>7</v>
      </c>
      <c r="D1179" s="73" t="s">
        <v>1434</v>
      </c>
      <c r="E1179" s="73" t="s">
        <v>48</v>
      </c>
      <c r="F1179" s="73" t="s">
        <v>1435</v>
      </c>
      <c r="G1179" s="73" t="s">
        <v>32</v>
      </c>
      <c r="H1179" s="74" t="s">
        <v>1432</v>
      </c>
      <c r="I1179" s="74">
        <v>10320</v>
      </c>
      <c r="J1179" s="75">
        <v>0</v>
      </c>
      <c r="K1179" s="76"/>
    </row>
    <row r="1180" s="1" customFormat="1" ht="14.25" spans="1:11">
      <c r="A1180" s="71">
        <v>8</v>
      </c>
      <c r="B1180" s="72">
        <v>31</v>
      </c>
      <c r="C1180" s="72">
        <v>7</v>
      </c>
      <c r="D1180" s="73" t="s">
        <v>124</v>
      </c>
      <c r="E1180" s="73" t="s">
        <v>48</v>
      </c>
      <c r="F1180" s="73" t="s">
        <v>125</v>
      </c>
      <c r="G1180" s="73" t="s">
        <v>32</v>
      </c>
      <c r="H1180" s="74" t="s">
        <v>1432</v>
      </c>
      <c r="I1180" s="74">
        <v>14</v>
      </c>
      <c r="J1180" s="75">
        <v>0</v>
      </c>
      <c r="K1180" s="76"/>
    </row>
    <row r="1181" s="1" customFormat="1" ht="14.25" spans="1:11">
      <c r="A1181" s="71">
        <v>8</v>
      </c>
      <c r="B1181" s="72">
        <v>31</v>
      </c>
      <c r="C1181" s="72">
        <v>7</v>
      </c>
      <c r="D1181" s="73" t="s">
        <v>1436</v>
      </c>
      <c r="E1181" s="73" t="s">
        <v>48</v>
      </c>
      <c r="F1181" s="73" t="s">
        <v>207</v>
      </c>
      <c r="G1181" s="73" t="s">
        <v>32</v>
      </c>
      <c r="H1181" s="74" t="s">
        <v>1432</v>
      </c>
      <c r="I1181" s="74">
        <v>1290</v>
      </c>
      <c r="J1181" s="75">
        <v>0</v>
      </c>
      <c r="K1181" s="76"/>
    </row>
    <row r="1182" s="1" customFormat="1" ht="14.25" spans="1:11">
      <c r="A1182" s="71">
        <v>8</v>
      </c>
      <c r="B1182" s="72">
        <v>31</v>
      </c>
      <c r="C1182" s="72">
        <v>7</v>
      </c>
      <c r="D1182" s="73" t="s">
        <v>1437</v>
      </c>
      <c r="E1182" s="73" t="s">
        <v>48</v>
      </c>
      <c r="F1182" s="73" t="s">
        <v>55</v>
      </c>
      <c r="G1182" s="73" t="s">
        <v>32</v>
      </c>
      <c r="H1182" s="74" t="s">
        <v>1438</v>
      </c>
      <c r="I1182" s="74">
        <v>30</v>
      </c>
      <c r="J1182" s="75">
        <v>0</v>
      </c>
      <c r="K1182" s="76"/>
    </row>
    <row r="1183" s="1" customFormat="1" ht="14.25" spans="1:11">
      <c r="A1183" s="71">
        <v>8</v>
      </c>
      <c r="B1183" s="72">
        <v>31</v>
      </c>
      <c r="C1183" s="72">
        <v>7</v>
      </c>
      <c r="D1183" s="73" t="s">
        <v>1439</v>
      </c>
      <c r="E1183" s="73" t="s">
        <v>48</v>
      </c>
      <c r="F1183" s="73" t="s">
        <v>49</v>
      </c>
      <c r="G1183" s="73" t="s">
        <v>32</v>
      </c>
      <c r="H1183" s="74" t="s">
        <v>1438</v>
      </c>
      <c r="I1183" s="74">
        <v>50</v>
      </c>
      <c r="J1183" s="75">
        <v>0</v>
      </c>
      <c r="K1183" s="76"/>
    </row>
    <row r="1184" s="1" customFormat="1" ht="14.25" spans="1:11">
      <c r="A1184" s="71">
        <v>8</v>
      </c>
      <c r="B1184" s="72">
        <v>31</v>
      </c>
      <c r="C1184" s="72">
        <v>7</v>
      </c>
      <c r="D1184" s="73" t="s">
        <v>1440</v>
      </c>
      <c r="E1184" s="73" t="s">
        <v>48</v>
      </c>
      <c r="F1184" s="73" t="s">
        <v>49</v>
      </c>
      <c r="G1184" s="73" t="s">
        <v>32</v>
      </c>
      <c r="H1184" s="74" t="s">
        <v>1438</v>
      </c>
      <c r="I1184" s="74">
        <v>50</v>
      </c>
      <c r="J1184" s="75">
        <v>0</v>
      </c>
      <c r="K1184" s="76"/>
    </row>
    <row r="1185" s="1" customFormat="1" ht="14.25" spans="1:11">
      <c r="A1185" s="71">
        <v>8</v>
      </c>
      <c r="B1185" s="72">
        <v>31</v>
      </c>
      <c r="C1185" s="72">
        <v>7</v>
      </c>
      <c r="D1185" s="73" t="s">
        <v>1441</v>
      </c>
      <c r="E1185" s="73" t="s">
        <v>48</v>
      </c>
      <c r="F1185" s="73" t="s">
        <v>125</v>
      </c>
      <c r="G1185" s="73" t="s">
        <v>32</v>
      </c>
      <c r="H1185" s="74" t="s">
        <v>1438</v>
      </c>
      <c r="I1185" s="74">
        <v>186</v>
      </c>
      <c r="J1185" s="75">
        <v>0</v>
      </c>
      <c r="K1185" s="76"/>
    </row>
    <row r="1186" s="1" customFormat="1" ht="14.25" spans="1:11">
      <c r="A1186" s="71">
        <v>8</v>
      </c>
      <c r="B1186" s="72">
        <v>31</v>
      </c>
      <c r="C1186" s="72">
        <v>7</v>
      </c>
      <c r="D1186" s="73" t="s">
        <v>1442</v>
      </c>
      <c r="E1186" s="73" t="s">
        <v>48</v>
      </c>
      <c r="F1186" s="73" t="s">
        <v>55</v>
      </c>
      <c r="G1186" s="73" t="s">
        <v>32</v>
      </c>
      <c r="H1186" s="74" t="s">
        <v>1438</v>
      </c>
      <c r="I1186" s="74">
        <v>55</v>
      </c>
      <c r="J1186" s="75">
        <v>0</v>
      </c>
      <c r="K1186" s="76"/>
    </row>
    <row r="1187" s="1" customFormat="1" ht="14.25" spans="1:11">
      <c r="A1187" s="71">
        <v>8</v>
      </c>
      <c r="B1187" s="72">
        <v>31</v>
      </c>
      <c r="C1187" s="72">
        <v>8</v>
      </c>
      <c r="D1187" s="73" t="s">
        <v>1443</v>
      </c>
      <c r="E1187" s="73" t="s">
        <v>48</v>
      </c>
      <c r="F1187" s="73" t="s">
        <v>125</v>
      </c>
      <c r="G1187" s="73" t="s">
        <v>32</v>
      </c>
      <c r="H1187" s="74" t="s">
        <v>1444</v>
      </c>
      <c r="I1187" s="74">
        <v>400</v>
      </c>
      <c r="J1187" s="75">
        <v>0</v>
      </c>
      <c r="K1187" s="76"/>
    </row>
    <row r="1188" s="1" customFormat="1" ht="14.25" spans="1:11">
      <c r="A1188" s="71">
        <v>8</v>
      </c>
      <c r="B1188" s="72">
        <v>31</v>
      </c>
      <c r="C1188" s="72">
        <v>8</v>
      </c>
      <c r="D1188" s="73" t="s">
        <v>1445</v>
      </c>
      <c r="E1188" s="73" t="s">
        <v>96</v>
      </c>
      <c r="F1188" s="73" t="s">
        <v>97</v>
      </c>
      <c r="G1188" s="73" t="s">
        <v>32</v>
      </c>
      <c r="H1188" s="74" t="s">
        <v>1444</v>
      </c>
      <c r="I1188" s="74">
        <v>60</v>
      </c>
      <c r="J1188" s="75">
        <v>0</v>
      </c>
      <c r="K1188" s="76"/>
    </row>
    <row r="1189" s="1" customFormat="1" ht="14.25" spans="1:11">
      <c r="A1189" s="71">
        <v>8</v>
      </c>
      <c r="B1189" s="72">
        <v>31</v>
      </c>
      <c r="C1189" s="72">
        <v>8</v>
      </c>
      <c r="D1189" s="73" t="s">
        <v>1446</v>
      </c>
      <c r="E1189" s="73" t="s">
        <v>100</v>
      </c>
      <c r="F1189" s="73" t="s">
        <v>101</v>
      </c>
      <c r="G1189" s="73" t="s">
        <v>32</v>
      </c>
      <c r="H1189" s="74" t="s">
        <v>1444</v>
      </c>
      <c r="I1189" s="74">
        <v>3904</v>
      </c>
      <c r="J1189" s="75">
        <v>0</v>
      </c>
      <c r="K1189" s="76"/>
    </row>
    <row r="1190" s="1" customFormat="1" ht="14.25" spans="1:11">
      <c r="A1190" s="71">
        <v>8</v>
      </c>
      <c r="B1190" s="72">
        <v>31</v>
      </c>
      <c r="C1190" s="72">
        <v>8</v>
      </c>
      <c r="D1190" s="73" t="s">
        <v>1447</v>
      </c>
      <c r="E1190" s="73" t="s">
        <v>48</v>
      </c>
      <c r="F1190" s="73" t="s">
        <v>55</v>
      </c>
      <c r="G1190" s="73" t="s">
        <v>32</v>
      </c>
      <c r="H1190" s="74" t="s">
        <v>1444</v>
      </c>
      <c r="I1190" s="74">
        <v>132</v>
      </c>
      <c r="J1190" s="75">
        <v>0</v>
      </c>
      <c r="K1190" s="76"/>
    </row>
    <row r="1191" s="1" customFormat="1" ht="14.25" spans="1:11">
      <c r="A1191" s="71">
        <v>8</v>
      </c>
      <c r="B1191" s="72">
        <v>31</v>
      </c>
      <c r="C1191" s="72">
        <v>8</v>
      </c>
      <c r="D1191" s="73" t="s">
        <v>1448</v>
      </c>
      <c r="E1191" s="73" t="s">
        <v>118</v>
      </c>
      <c r="F1191" s="73" t="s">
        <v>489</v>
      </c>
      <c r="G1191" s="73" t="s">
        <v>32</v>
      </c>
      <c r="H1191" s="74" t="s">
        <v>1444</v>
      </c>
      <c r="I1191" s="74">
        <v>392.4</v>
      </c>
      <c r="J1191" s="75">
        <v>0</v>
      </c>
      <c r="K1191" s="76"/>
    </row>
    <row r="1192" s="1" customFormat="1" ht="14.25" spans="1:11">
      <c r="A1192" s="71">
        <v>8</v>
      </c>
      <c r="B1192" s="72">
        <v>31</v>
      </c>
      <c r="C1192" s="72">
        <v>8</v>
      </c>
      <c r="D1192" s="73" t="s">
        <v>1449</v>
      </c>
      <c r="E1192" s="73" t="s">
        <v>118</v>
      </c>
      <c r="F1192" s="73" t="s">
        <v>55</v>
      </c>
      <c r="G1192" s="73" t="s">
        <v>32</v>
      </c>
      <c r="H1192" s="74" t="s">
        <v>1450</v>
      </c>
      <c r="I1192" s="74">
        <v>165</v>
      </c>
      <c r="J1192" s="75">
        <v>0</v>
      </c>
      <c r="K1192" s="76"/>
    </row>
    <row r="1193" s="1" customFormat="1" ht="14.25" spans="1:11">
      <c r="A1193" s="71">
        <v>8</v>
      </c>
      <c r="B1193" s="72">
        <v>31</v>
      </c>
      <c r="C1193" s="72">
        <v>8</v>
      </c>
      <c r="D1193" s="73" t="s">
        <v>1451</v>
      </c>
      <c r="E1193" s="73" t="s">
        <v>96</v>
      </c>
      <c r="F1193" s="73" t="s">
        <v>97</v>
      </c>
      <c r="G1193" s="73" t="s">
        <v>32</v>
      </c>
      <c r="H1193" s="74" t="s">
        <v>1450</v>
      </c>
      <c r="I1193" s="74">
        <v>97</v>
      </c>
      <c r="J1193" s="75">
        <v>0</v>
      </c>
      <c r="K1193" s="76"/>
    </row>
    <row r="1194" s="1" customFormat="1" ht="14.25" spans="1:11">
      <c r="A1194" s="71">
        <v>8</v>
      </c>
      <c r="B1194" s="72">
        <v>31</v>
      </c>
      <c r="C1194" s="72">
        <v>8</v>
      </c>
      <c r="D1194" s="73" t="s">
        <v>1452</v>
      </c>
      <c r="E1194" s="73" t="s">
        <v>48</v>
      </c>
      <c r="F1194" s="73" t="s">
        <v>55</v>
      </c>
      <c r="G1194" s="73" t="s">
        <v>32</v>
      </c>
      <c r="H1194" s="74" t="s">
        <v>1450</v>
      </c>
      <c r="I1194" s="74">
        <v>105</v>
      </c>
      <c r="J1194" s="75">
        <v>0</v>
      </c>
      <c r="K1194" s="76"/>
    </row>
    <row r="1195" s="1" customFormat="1" ht="14.25" spans="1:11">
      <c r="A1195" s="71">
        <v>8</v>
      </c>
      <c r="B1195" s="72">
        <v>31</v>
      </c>
      <c r="C1195" s="72">
        <v>8</v>
      </c>
      <c r="D1195" s="73" t="s">
        <v>1453</v>
      </c>
      <c r="E1195" s="73" t="s">
        <v>48</v>
      </c>
      <c r="F1195" s="73" t="s">
        <v>49</v>
      </c>
      <c r="G1195" s="73" t="s">
        <v>32</v>
      </c>
      <c r="H1195" s="74" t="s">
        <v>1450</v>
      </c>
      <c r="I1195" s="74">
        <v>10</v>
      </c>
      <c r="J1195" s="75">
        <v>0</v>
      </c>
      <c r="K1195" s="76"/>
    </row>
    <row r="1196" s="1" customFormat="1" ht="14.25" spans="1:11">
      <c r="A1196" s="71">
        <v>8</v>
      </c>
      <c r="B1196" s="72">
        <v>31</v>
      </c>
      <c r="C1196" s="72">
        <v>8</v>
      </c>
      <c r="D1196" s="73" t="s">
        <v>1454</v>
      </c>
      <c r="E1196" s="73" t="s">
        <v>48</v>
      </c>
      <c r="F1196" s="73" t="s">
        <v>49</v>
      </c>
      <c r="G1196" s="73" t="s">
        <v>32</v>
      </c>
      <c r="H1196" s="74" t="s">
        <v>1450</v>
      </c>
      <c r="I1196" s="74">
        <v>140</v>
      </c>
      <c r="J1196" s="75">
        <v>0</v>
      </c>
      <c r="K1196" s="76"/>
    </row>
    <row r="1197" s="1" customFormat="1" ht="14.25" spans="1:11">
      <c r="A1197" s="71">
        <v>8</v>
      </c>
      <c r="B1197" s="72">
        <v>31</v>
      </c>
      <c r="C1197" s="72">
        <v>9</v>
      </c>
      <c r="D1197" s="73" t="s">
        <v>255</v>
      </c>
      <c r="E1197" s="73" t="s">
        <v>96</v>
      </c>
      <c r="F1197" s="73" t="s">
        <v>97</v>
      </c>
      <c r="G1197" s="73" t="s">
        <v>32</v>
      </c>
      <c r="H1197" s="74" t="s">
        <v>1455</v>
      </c>
      <c r="I1197" s="74">
        <v>115</v>
      </c>
      <c r="J1197" s="75">
        <v>0</v>
      </c>
      <c r="K1197" s="76"/>
    </row>
    <row r="1198" s="1" customFormat="1" ht="14.25" spans="1:11">
      <c r="A1198" s="71">
        <v>8</v>
      </c>
      <c r="B1198" s="72">
        <v>31</v>
      </c>
      <c r="C1198" s="72">
        <v>9</v>
      </c>
      <c r="D1198" s="73" t="s">
        <v>1456</v>
      </c>
      <c r="E1198" s="73" t="s">
        <v>96</v>
      </c>
      <c r="F1198" s="73" t="s">
        <v>97</v>
      </c>
      <c r="G1198" s="73" t="s">
        <v>32</v>
      </c>
      <c r="H1198" s="74" t="s">
        <v>1455</v>
      </c>
      <c r="I1198" s="74">
        <v>84</v>
      </c>
      <c r="J1198" s="75">
        <v>0</v>
      </c>
      <c r="K1198" s="76"/>
    </row>
    <row r="1199" s="1" customFormat="1" ht="14.25" spans="1:11">
      <c r="A1199" s="71">
        <v>8</v>
      </c>
      <c r="B1199" s="72">
        <v>31</v>
      </c>
      <c r="C1199" s="72">
        <v>9</v>
      </c>
      <c r="D1199" s="73" t="s">
        <v>1457</v>
      </c>
      <c r="E1199" s="73" t="s">
        <v>48</v>
      </c>
      <c r="F1199" s="73" t="s">
        <v>233</v>
      </c>
      <c r="G1199" s="73" t="s">
        <v>32</v>
      </c>
      <c r="H1199" s="74" t="s">
        <v>1455</v>
      </c>
      <c r="I1199" s="74">
        <v>64</v>
      </c>
      <c r="J1199" s="75">
        <v>0</v>
      </c>
      <c r="K1199" s="76"/>
    </row>
    <row r="1200" s="1" customFormat="1" ht="14.25" spans="1:11">
      <c r="A1200" s="71">
        <v>8</v>
      </c>
      <c r="B1200" s="72">
        <v>31</v>
      </c>
      <c r="C1200" s="72">
        <v>9</v>
      </c>
      <c r="D1200" s="73" t="s">
        <v>1409</v>
      </c>
      <c r="E1200" s="73" t="s">
        <v>172</v>
      </c>
      <c r="F1200" s="73" t="s">
        <v>876</v>
      </c>
      <c r="G1200" s="73" t="s">
        <v>32</v>
      </c>
      <c r="H1200" s="74" t="s">
        <v>1455</v>
      </c>
      <c r="I1200" s="74">
        <v>600</v>
      </c>
      <c r="J1200" s="75">
        <v>0</v>
      </c>
      <c r="K1200" s="76"/>
    </row>
    <row r="1201" s="1" customFormat="1" ht="14.25" spans="1:11">
      <c r="A1201" s="71">
        <v>8</v>
      </c>
      <c r="B1201" s="72">
        <v>31</v>
      </c>
      <c r="C1201" s="72">
        <v>9</v>
      </c>
      <c r="D1201" s="73" t="s">
        <v>1458</v>
      </c>
      <c r="E1201" s="73" t="s">
        <v>48</v>
      </c>
      <c r="F1201" s="73" t="s">
        <v>49</v>
      </c>
      <c r="G1201" s="73" t="s">
        <v>32</v>
      </c>
      <c r="H1201" s="74" t="s">
        <v>1455</v>
      </c>
      <c r="I1201" s="74">
        <v>145</v>
      </c>
      <c r="J1201" s="75">
        <v>0</v>
      </c>
      <c r="K1201" s="76"/>
    </row>
    <row r="1202" s="1" customFormat="1" ht="14.25" spans="1:11">
      <c r="A1202" s="71">
        <v>8</v>
      </c>
      <c r="B1202" s="72">
        <v>31</v>
      </c>
      <c r="C1202" s="72">
        <v>9</v>
      </c>
      <c r="D1202" s="73" t="s">
        <v>1459</v>
      </c>
      <c r="E1202" s="73" t="s">
        <v>48</v>
      </c>
      <c r="F1202" s="73" t="s">
        <v>55</v>
      </c>
      <c r="G1202" s="73" t="s">
        <v>32</v>
      </c>
      <c r="H1202" s="74" t="s">
        <v>1460</v>
      </c>
      <c r="I1202" s="74">
        <v>12</v>
      </c>
      <c r="J1202" s="75">
        <v>0</v>
      </c>
      <c r="K1202" s="76"/>
    </row>
    <row r="1203" s="1" customFormat="1" ht="14.25" spans="1:11">
      <c r="A1203" s="71">
        <v>8</v>
      </c>
      <c r="B1203" s="72">
        <v>31</v>
      </c>
      <c r="C1203" s="72">
        <v>9</v>
      </c>
      <c r="D1203" s="73" t="s">
        <v>1461</v>
      </c>
      <c r="E1203" s="73" t="s">
        <v>48</v>
      </c>
      <c r="F1203" s="73" t="s">
        <v>55</v>
      </c>
      <c r="G1203" s="73" t="s">
        <v>32</v>
      </c>
      <c r="H1203" s="74" t="s">
        <v>1460</v>
      </c>
      <c r="I1203" s="74">
        <v>10</v>
      </c>
      <c r="J1203" s="75">
        <v>0</v>
      </c>
      <c r="K1203" s="76"/>
    </row>
    <row r="1204" s="1" customFormat="1" ht="14.25" spans="1:11">
      <c r="A1204" s="71">
        <v>8</v>
      </c>
      <c r="B1204" s="72">
        <v>31</v>
      </c>
      <c r="C1204" s="72">
        <v>9</v>
      </c>
      <c r="D1204" s="73" t="s">
        <v>1462</v>
      </c>
      <c r="E1204" s="73" t="s">
        <v>48</v>
      </c>
      <c r="F1204" s="73" t="s">
        <v>125</v>
      </c>
      <c r="G1204" s="73" t="s">
        <v>32</v>
      </c>
      <c r="H1204" s="74" t="s">
        <v>1460</v>
      </c>
      <c r="I1204" s="74">
        <v>3</v>
      </c>
      <c r="J1204" s="75">
        <v>0</v>
      </c>
      <c r="K1204" s="76"/>
    </row>
    <row r="1205" s="1" customFormat="1" ht="14.25" spans="1:11">
      <c r="A1205" s="71">
        <v>8</v>
      </c>
      <c r="B1205" s="72">
        <v>31</v>
      </c>
      <c r="C1205" s="72">
        <v>9</v>
      </c>
      <c r="D1205" s="73" t="s">
        <v>124</v>
      </c>
      <c r="E1205" s="73" t="s">
        <v>48</v>
      </c>
      <c r="F1205" s="73" t="s">
        <v>125</v>
      </c>
      <c r="G1205" s="73" t="s">
        <v>32</v>
      </c>
      <c r="H1205" s="74" t="s">
        <v>1460</v>
      </c>
      <c r="I1205" s="74">
        <v>2</v>
      </c>
      <c r="J1205" s="75">
        <v>0</v>
      </c>
      <c r="K1205" s="76"/>
    </row>
    <row r="1206" s="1" customFormat="1" ht="14.25" spans="1:11">
      <c r="A1206" s="71">
        <v>8</v>
      </c>
      <c r="B1206" s="72">
        <v>31</v>
      </c>
      <c r="C1206" s="72">
        <v>9</v>
      </c>
      <c r="D1206" s="73" t="s">
        <v>1463</v>
      </c>
      <c r="E1206" s="73" t="s">
        <v>96</v>
      </c>
      <c r="F1206" s="73" t="s">
        <v>240</v>
      </c>
      <c r="G1206" s="73" t="s">
        <v>32</v>
      </c>
      <c r="H1206" s="74" t="s">
        <v>1460</v>
      </c>
      <c r="I1206" s="74">
        <v>120</v>
      </c>
      <c r="J1206" s="75">
        <v>0</v>
      </c>
      <c r="K1206" s="76"/>
    </row>
    <row r="1207" s="1" customFormat="1" ht="14.25" spans="1:11">
      <c r="A1207" s="71">
        <v>8</v>
      </c>
      <c r="B1207" s="72">
        <v>31</v>
      </c>
      <c r="C1207" s="72">
        <v>10</v>
      </c>
      <c r="D1207" s="73" t="s">
        <v>1464</v>
      </c>
      <c r="E1207" s="73" t="s">
        <v>48</v>
      </c>
      <c r="F1207" s="73" t="s">
        <v>209</v>
      </c>
      <c r="G1207" s="73" t="s">
        <v>32</v>
      </c>
      <c r="H1207" s="74" t="s">
        <v>1465</v>
      </c>
      <c r="I1207" s="74">
        <v>154.8</v>
      </c>
      <c r="J1207" s="75">
        <v>0</v>
      </c>
      <c r="K1207" s="76"/>
    </row>
    <row r="1208" s="1" customFormat="1" ht="14.25" spans="1:11">
      <c r="A1208" s="71">
        <v>8</v>
      </c>
      <c r="B1208" s="72">
        <v>31</v>
      </c>
      <c r="C1208" s="72">
        <v>10</v>
      </c>
      <c r="D1208" s="73" t="s">
        <v>1462</v>
      </c>
      <c r="E1208" s="73" t="s">
        <v>48</v>
      </c>
      <c r="F1208" s="73" t="s">
        <v>125</v>
      </c>
      <c r="G1208" s="73" t="s">
        <v>32</v>
      </c>
      <c r="H1208" s="74" t="s">
        <v>1465</v>
      </c>
      <c r="I1208" s="74">
        <v>4</v>
      </c>
      <c r="J1208" s="75">
        <v>0</v>
      </c>
      <c r="K1208" s="76"/>
    </row>
    <row r="1209" s="1" customFormat="1" ht="14.25" spans="1:11">
      <c r="A1209" s="71">
        <v>8</v>
      </c>
      <c r="B1209" s="72">
        <v>31</v>
      </c>
      <c r="C1209" s="72">
        <v>10</v>
      </c>
      <c r="D1209" s="73" t="s">
        <v>124</v>
      </c>
      <c r="E1209" s="73" t="s">
        <v>48</v>
      </c>
      <c r="F1209" s="73" t="s">
        <v>125</v>
      </c>
      <c r="G1209" s="73" t="s">
        <v>32</v>
      </c>
      <c r="H1209" s="74" t="s">
        <v>1465</v>
      </c>
      <c r="I1209" s="74">
        <v>8</v>
      </c>
      <c r="J1209" s="75">
        <v>0</v>
      </c>
      <c r="K1209" s="76"/>
    </row>
    <row r="1210" s="1" customFormat="1" ht="14.25" spans="1:11">
      <c r="A1210" s="71">
        <v>8</v>
      </c>
      <c r="B1210" s="72">
        <v>31</v>
      </c>
      <c r="C1210" s="72">
        <v>10</v>
      </c>
      <c r="D1210" s="73" t="s">
        <v>275</v>
      </c>
      <c r="E1210" s="73" t="s">
        <v>48</v>
      </c>
      <c r="F1210" s="73" t="s">
        <v>125</v>
      </c>
      <c r="G1210" s="73" t="s">
        <v>32</v>
      </c>
      <c r="H1210" s="74" t="s">
        <v>1465</v>
      </c>
      <c r="I1210" s="74">
        <v>148</v>
      </c>
      <c r="J1210" s="75">
        <v>0</v>
      </c>
      <c r="K1210" s="76"/>
    </row>
    <row r="1211" s="1" customFormat="1" ht="14.25" spans="1:11">
      <c r="A1211" s="71">
        <v>8</v>
      </c>
      <c r="B1211" s="72">
        <v>31</v>
      </c>
      <c r="C1211" s="72">
        <v>10</v>
      </c>
      <c r="D1211" s="73" t="s">
        <v>1466</v>
      </c>
      <c r="E1211" s="73" t="s">
        <v>48</v>
      </c>
      <c r="F1211" s="73" t="s">
        <v>233</v>
      </c>
      <c r="G1211" s="73" t="s">
        <v>32</v>
      </c>
      <c r="H1211" s="74" t="s">
        <v>1465</v>
      </c>
      <c r="I1211" s="74">
        <v>10</v>
      </c>
      <c r="J1211" s="75">
        <v>0</v>
      </c>
      <c r="K1211" s="76"/>
    </row>
    <row r="1212" s="1" customFormat="1" ht="14.25" spans="1:11">
      <c r="A1212" s="71">
        <v>8</v>
      </c>
      <c r="B1212" s="72">
        <v>31</v>
      </c>
      <c r="C1212" s="72">
        <v>10</v>
      </c>
      <c r="D1212" s="73" t="s">
        <v>1467</v>
      </c>
      <c r="E1212" s="73" t="s">
        <v>118</v>
      </c>
      <c r="F1212" s="73" t="s">
        <v>151</v>
      </c>
      <c r="G1212" s="73" t="s">
        <v>32</v>
      </c>
      <c r="H1212" s="74" t="s">
        <v>1468</v>
      </c>
      <c r="I1212" s="74">
        <v>180000</v>
      </c>
      <c r="J1212" s="75">
        <v>0</v>
      </c>
      <c r="K1212" s="76"/>
    </row>
    <row r="1213" s="1" customFormat="1" ht="14.25" spans="1:11">
      <c r="A1213" s="71">
        <v>8</v>
      </c>
      <c r="B1213" s="72">
        <v>31</v>
      </c>
      <c r="C1213" s="72">
        <v>10</v>
      </c>
      <c r="D1213" s="73" t="s">
        <v>1469</v>
      </c>
      <c r="E1213" s="73" t="s">
        <v>118</v>
      </c>
      <c r="F1213" s="73" t="s">
        <v>192</v>
      </c>
      <c r="G1213" s="73" t="s">
        <v>32</v>
      </c>
      <c r="H1213" s="74" t="s">
        <v>1468</v>
      </c>
      <c r="I1213" s="74">
        <v>687600</v>
      </c>
      <c r="J1213" s="75">
        <v>0</v>
      </c>
      <c r="K1213" s="76"/>
    </row>
    <row r="1214" s="1" customFormat="1" ht="14.25" spans="1:11">
      <c r="A1214" s="71">
        <v>8</v>
      </c>
      <c r="B1214" s="72">
        <v>31</v>
      </c>
      <c r="C1214" s="72">
        <v>10</v>
      </c>
      <c r="D1214" s="73" t="s">
        <v>1470</v>
      </c>
      <c r="E1214" s="73" t="s">
        <v>118</v>
      </c>
      <c r="F1214" s="73" t="s">
        <v>187</v>
      </c>
      <c r="G1214" s="73" t="s">
        <v>32</v>
      </c>
      <c r="H1214" s="74" t="s">
        <v>1468</v>
      </c>
      <c r="I1214" s="74">
        <v>132400</v>
      </c>
      <c r="J1214" s="75">
        <v>0</v>
      </c>
      <c r="K1214" s="76"/>
    </row>
    <row r="1215" s="1" customFormat="1" ht="14.25" spans="1:11">
      <c r="A1215" s="71">
        <v>8</v>
      </c>
      <c r="B1215" s="72">
        <v>31</v>
      </c>
      <c r="C1215" s="72">
        <v>10</v>
      </c>
      <c r="D1215" s="73" t="s">
        <v>275</v>
      </c>
      <c r="E1215" s="73" t="s">
        <v>48</v>
      </c>
      <c r="F1215" s="73" t="s">
        <v>125</v>
      </c>
      <c r="G1215" s="73" t="s">
        <v>32</v>
      </c>
      <c r="H1215" s="74" t="s">
        <v>1468</v>
      </c>
      <c r="I1215" s="74">
        <v>105</v>
      </c>
      <c r="J1215" s="75">
        <v>0</v>
      </c>
      <c r="K1215" s="76"/>
    </row>
    <row r="1216" s="1" customFormat="1" ht="14.25" spans="1:11">
      <c r="A1216" s="71">
        <v>8</v>
      </c>
      <c r="B1216" s="72">
        <v>31</v>
      </c>
      <c r="C1216" s="72">
        <v>10</v>
      </c>
      <c r="D1216" s="73" t="s">
        <v>1471</v>
      </c>
      <c r="E1216" s="73" t="s">
        <v>118</v>
      </c>
      <c r="F1216" s="73" t="s">
        <v>55</v>
      </c>
      <c r="G1216" s="73" t="s">
        <v>32</v>
      </c>
      <c r="H1216" s="74" t="s">
        <v>1468</v>
      </c>
      <c r="I1216" s="74">
        <v>340</v>
      </c>
      <c r="J1216" s="75">
        <v>0</v>
      </c>
      <c r="K1216" s="76"/>
    </row>
    <row r="1217" s="1" customFormat="1" ht="14.25" spans="1:11">
      <c r="A1217" s="71">
        <v>9</v>
      </c>
      <c r="B1217" s="72">
        <v>30</v>
      </c>
      <c r="C1217" s="72">
        <v>1</v>
      </c>
      <c r="D1217" s="73" t="s">
        <v>1472</v>
      </c>
      <c r="E1217" s="73" t="s">
        <v>48</v>
      </c>
      <c r="F1217" s="73" t="s">
        <v>55</v>
      </c>
      <c r="G1217" s="73" t="s">
        <v>32</v>
      </c>
      <c r="H1217" s="74" t="s">
        <v>1473</v>
      </c>
      <c r="I1217" s="74">
        <v>32</v>
      </c>
      <c r="J1217" s="75">
        <v>0</v>
      </c>
      <c r="K1217" s="75"/>
    </row>
    <row r="1218" s="1" customFormat="1" ht="14.25" spans="1:11">
      <c r="A1218" s="71">
        <v>9</v>
      </c>
      <c r="B1218" s="72">
        <v>30</v>
      </c>
      <c r="C1218" s="72">
        <v>1</v>
      </c>
      <c r="D1218" s="73" t="s">
        <v>1474</v>
      </c>
      <c r="E1218" s="73" t="s">
        <v>96</v>
      </c>
      <c r="F1218" s="73" t="s">
        <v>55</v>
      </c>
      <c r="G1218" s="73" t="s">
        <v>32</v>
      </c>
      <c r="H1218" s="74" t="s">
        <v>1473</v>
      </c>
      <c r="I1218" s="74">
        <v>145</v>
      </c>
      <c r="J1218" s="75">
        <v>0</v>
      </c>
      <c r="K1218" s="75"/>
    </row>
    <row r="1219" s="1" customFormat="1" ht="14.25" spans="1:11">
      <c r="A1219" s="71">
        <v>9</v>
      </c>
      <c r="B1219" s="72">
        <v>30</v>
      </c>
      <c r="C1219" s="72">
        <v>1</v>
      </c>
      <c r="D1219" s="73" t="s">
        <v>1475</v>
      </c>
      <c r="E1219" s="73" t="s">
        <v>118</v>
      </c>
      <c r="F1219" s="73" t="s">
        <v>136</v>
      </c>
      <c r="G1219" s="73" t="s">
        <v>32</v>
      </c>
      <c r="H1219" s="74" t="s">
        <v>1476</v>
      </c>
      <c r="I1219" s="74">
        <v>12</v>
      </c>
      <c r="J1219" s="75">
        <v>0</v>
      </c>
      <c r="K1219" s="75"/>
    </row>
    <row r="1220" s="1" customFormat="1" ht="14.25" spans="1:11">
      <c r="A1220" s="71">
        <v>9</v>
      </c>
      <c r="B1220" s="72">
        <v>30</v>
      </c>
      <c r="C1220" s="72">
        <v>1</v>
      </c>
      <c r="D1220" s="73" t="s">
        <v>275</v>
      </c>
      <c r="E1220" s="73" t="s">
        <v>48</v>
      </c>
      <c r="F1220" s="73" t="s">
        <v>125</v>
      </c>
      <c r="G1220" s="73" t="s">
        <v>32</v>
      </c>
      <c r="H1220" s="74" t="s">
        <v>1476</v>
      </c>
      <c r="I1220" s="74">
        <v>125</v>
      </c>
      <c r="J1220" s="75">
        <v>0</v>
      </c>
      <c r="K1220" s="75"/>
    </row>
    <row r="1221" s="1" customFormat="1" ht="14.25" spans="1:11">
      <c r="A1221" s="71">
        <v>9</v>
      </c>
      <c r="B1221" s="72">
        <v>30</v>
      </c>
      <c r="C1221" s="72">
        <v>1</v>
      </c>
      <c r="D1221" s="73" t="s">
        <v>124</v>
      </c>
      <c r="E1221" s="73" t="s">
        <v>48</v>
      </c>
      <c r="F1221" s="73" t="s">
        <v>125</v>
      </c>
      <c r="G1221" s="73" t="s">
        <v>32</v>
      </c>
      <c r="H1221" s="74" t="s">
        <v>1476</v>
      </c>
      <c r="I1221" s="74">
        <v>4</v>
      </c>
      <c r="J1221" s="75">
        <v>0</v>
      </c>
      <c r="K1221" s="75"/>
    </row>
    <row r="1222" s="1" customFormat="1" ht="14.25" spans="1:11">
      <c r="A1222" s="71">
        <v>9</v>
      </c>
      <c r="B1222" s="72">
        <v>30</v>
      </c>
      <c r="C1222" s="72">
        <v>1</v>
      </c>
      <c r="D1222" s="73" t="s">
        <v>1477</v>
      </c>
      <c r="E1222" s="73" t="s">
        <v>96</v>
      </c>
      <c r="F1222" s="73" t="s">
        <v>97</v>
      </c>
      <c r="G1222" s="73" t="s">
        <v>32</v>
      </c>
      <c r="H1222" s="74" t="s">
        <v>1476</v>
      </c>
      <c r="I1222" s="74">
        <v>63.57</v>
      </c>
      <c r="J1222" s="75">
        <v>0</v>
      </c>
      <c r="K1222" s="75"/>
    </row>
    <row r="1223" s="1" customFormat="1" ht="14.25" spans="1:11">
      <c r="A1223" s="71">
        <v>9</v>
      </c>
      <c r="B1223" s="72">
        <v>30</v>
      </c>
      <c r="C1223" s="72">
        <v>1</v>
      </c>
      <c r="D1223" s="73" t="s">
        <v>1478</v>
      </c>
      <c r="E1223" s="73" t="s">
        <v>118</v>
      </c>
      <c r="F1223" s="73" t="s">
        <v>136</v>
      </c>
      <c r="G1223" s="73" t="s">
        <v>32</v>
      </c>
      <c r="H1223" s="74" t="s">
        <v>1476</v>
      </c>
      <c r="I1223" s="74">
        <v>25</v>
      </c>
      <c r="J1223" s="75">
        <v>0</v>
      </c>
      <c r="K1223" s="75"/>
    </row>
    <row r="1224" s="1" customFormat="1" ht="14.25" spans="1:11">
      <c r="A1224" s="71">
        <v>9</v>
      </c>
      <c r="B1224" s="72">
        <v>30</v>
      </c>
      <c r="C1224" s="72">
        <v>2</v>
      </c>
      <c r="D1224" s="73" t="s">
        <v>1479</v>
      </c>
      <c r="E1224" s="73" t="s">
        <v>118</v>
      </c>
      <c r="F1224" s="73" t="s">
        <v>122</v>
      </c>
      <c r="G1224" s="73" t="s">
        <v>32</v>
      </c>
      <c r="H1224" s="74" t="s">
        <v>1480</v>
      </c>
      <c r="I1224" s="74">
        <v>13</v>
      </c>
      <c r="J1224" s="75">
        <v>0</v>
      </c>
      <c r="K1224" s="75"/>
    </row>
    <row r="1225" s="1" customFormat="1" ht="14.25" spans="1:11">
      <c r="A1225" s="71">
        <v>9</v>
      </c>
      <c r="B1225" s="72">
        <v>30</v>
      </c>
      <c r="C1225" s="72">
        <v>2</v>
      </c>
      <c r="D1225" s="73" t="s">
        <v>131</v>
      </c>
      <c r="E1225" s="73" t="s">
        <v>96</v>
      </c>
      <c r="F1225" s="73" t="s">
        <v>97</v>
      </c>
      <c r="G1225" s="73" t="s">
        <v>32</v>
      </c>
      <c r="H1225" s="74" t="s">
        <v>1480</v>
      </c>
      <c r="I1225" s="74">
        <v>19</v>
      </c>
      <c r="J1225" s="75">
        <v>0</v>
      </c>
      <c r="K1225" s="75"/>
    </row>
    <row r="1226" s="1" customFormat="1" ht="14.25" spans="1:11">
      <c r="A1226" s="71">
        <v>9</v>
      </c>
      <c r="B1226" s="72">
        <v>30</v>
      </c>
      <c r="C1226" s="72">
        <v>2</v>
      </c>
      <c r="D1226" s="73" t="s">
        <v>1481</v>
      </c>
      <c r="E1226" s="73" t="s">
        <v>96</v>
      </c>
      <c r="F1226" s="73" t="s">
        <v>97</v>
      </c>
      <c r="G1226" s="73" t="s">
        <v>32</v>
      </c>
      <c r="H1226" s="74" t="s">
        <v>1480</v>
      </c>
      <c r="I1226" s="74">
        <v>70</v>
      </c>
      <c r="J1226" s="75">
        <v>0</v>
      </c>
      <c r="K1226" s="75"/>
    </row>
    <row r="1227" s="1" customFormat="1" ht="14.25" spans="1:11">
      <c r="A1227" s="71">
        <v>9</v>
      </c>
      <c r="B1227" s="72">
        <v>30</v>
      </c>
      <c r="C1227" s="72">
        <v>2</v>
      </c>
      <c r="D1227" s="73" t="s">
        <v>1482</v>
      </c>
      <c r="E1227" s="73" t="s">
        <v>118</v>
      </c>
      <c r="F1227" s="73" t="s">
        <v>136</v>
      </c>
      <c r="G1227" s="73" t="s">
        <v>32</v>
      </c>
      <c r="H1227" s="74" t="s">
        <v>1480</v>
      </c>
      <c r="I1227" s="74">
        <v>10</v>
      </c>
      <c r="J1227" s="75">
        <v>0</v>
      </c>
      <c r="K1227" s="75"/>
    </row>
    <row r="1228" s="1" customFormat="1" ht="14.25" spans="1:11">
      <c r="A1228" s="71">
        <v>9</v>
      </c>
      <c r="B1228" s="72">
        <v>30</v>
      </c>
      <c r="C1228" s="72">
        <v>2</v>
      </c>
      <c r="D1228" s="73" t="s">
        <v>1483</v>
      </c>
      <c r="E1228" s="73" t="s">
        <v>172</v>
      </c>
      <c r="F1228" s="73" t="s">
        <v>1325</v>
      </c>
      <c r="G1228" s="73" t="s">
        <v>32</v>
      </c>
      <c r="H1228" s="74" t="s">
        <v>1480</v>
      </c>
      <c r="I1228" s="74">
        <v>600</v>
      </c>
      <c r="J1228" s="75">
        <v>0</v>
      </c>
      <c r="K1228" s="75"/>
    </row>
    <row r="1229" s="1" customFormat="1" ht="14.25" spans="1:11">
      <c r="A1229" s="71">
        <v>9</v>
      </c>
      <c r="B1229" s="72">
        <v>30</v>
      </c>
      <c r="C1229" s="72">
        <v>2</v>
      </c>
      <c r="D1229" s="73" t="s">
        <v>124</v>
      </c>
      <c r="E1229" s="73" t="s">
        <v>48</v>
      </c>
      <c r="F1229" s="73" t="s">
        <v>125</v>
      </c>
      <c r="G1229" s="73" t="s">
        <v>32</v>
      </c>
      <c r="H1229" s="74" t="s">
        <v>1484</v>
      </c>
      <c r="I1229" s="74">
        <v>12</v>
      </c>
      <c r="J1229" s="75">
        <v>0</v>
      </c>
      <c r="K1229" s="75"/>
    </row>
    <row r="1230" s="1" customFormat="1" ht="14.25" spans="1:11">
      <c r="A1230" s="71">
        <v>9</v>
      </c>
      <c r="B1230" s="72">
        <v>30</v>
      </c>
      <c r="C1230" s="72">
        <v>2</v>
      </c>
      <c r="D1230" s="73" t="s">
        <v>1485</v>
      </c>
      <c r="E1230" s="73" t="s">
        <v>118</v>
      </c>
      <c r="F1230" s="73" t="s">
        <v>136</v>
      </c>
      <c r="G1230" s="73" t="s">
        <v>32</v>
      </c>
      <c r="H1230" s="74" t="s">
        <v>1484</v>
      </c>
      <c r="I1230" s="74">
        <v>90</v>
      </c>
      <c r="J1230" s="75">
        <v>0</v>
      </c>
      <c r="K1230" s="75"/>
    </row>
    <row r="1231" s="1" customFormat="1" ht="14.25" spans="1:11">
      <c r="A1231" s="71">
        <v>9</v>
      </c>
      <c r="B1231" s="72">
        <v>30</v>
      </c>
      <c r="C1231" s="72">
        <v>2</v>
      </c>
      <c r="D1231" s="73" t="s">
        <v>1486</v>
      </c>
      <c r="E1231" s="73" t="s">
        <v>96</v>
      </c>
      <c r="F1231" s="73" t="s">
        <v>97</v>
      </c>
      <c r="G1231" s="73" t="s">
        <v>32</v>
      </c>
      <c r="H1231" s="74" t="s">
        <v>1484</v>
      </c>
      <c r="I1231" s="74">
        <v>158</v>
      </c>
      <c r="J1231" s="75">
        <v>0</v>
      </c>
      <c r="K1231" s="75"/>
    </row>
    <row r="1232" s="1" customFormat="1" ht="14.25" spans="1:11">
      <c r="A1232" s="71">
        <v>9</v>
      </c>
      <c r="B1232" s="72">
        <v>30</v>
      </c>
      <c r="C1232" s="72">
        <v>2</v>
      </c>
      <c r="D1232" s="73" t="s">
        <v>275</v>
      </c>
      <c r="E1232" s="73" t="s">
        <v>48</v>
      </c>
      <c r="F1232" s="73" t="s">
        <v>125</v>
      </c>
      <c r="G1232" s="73" t="s">
        <v>32</v>
      </c>
      <c r="H1232" s="74" t="s">
        <v>1484</v>
      </c>
      <c r="I1232" s="74">
        <v>80</v>
      </c>
      <c r="J1232" s="75">
        <v>0</v>
      </c>
      <c r="K1232" s="75"/>
    </row>
    <row r="1233" s="1" customFormat="1" ht="14.25" spans="1:11">
      <c r="A1233" s="71">
        <v>9</v>
      </c>
      <c r="B1233" s="72">
        <v>30</v>
      </c>
      <c r="C1233" s="72">
        <v>2</v>
      </c>
      <c r="D1233" s="73" t="s">
        <v>122</v>
      </c>
      <c r="E1233" s="73" t="s">
        <v>118</v>
      </c>
      <c r="F1233" s="73" t="s">
        <v>122</v>
      </c>
      <c r="G1233" s="73" t="s">
        <v>32</v>
      </c>
      <c r="H1233" s="74" t="s">
        <v>1484</v>
      </c>
      <c r="I1233" s="74">
        <v>26</v>
      </c>
      <c r="J1233" s="75">
        <v>0</v>
      </c>
      <c r="K1233" s="75"/>
    </row>
    <row r="1234" s="1" customFormat="1" ht="14.25" spans="1:11">
      <c r="A1234" s="71">
        <v>9</v>
      </c>
      <c r="B1234" s="72">
        <v>30</v>
      </c>
      <c r="C1234" s="72">
        <v>3</v>
      </c>
      <c r="D1234" s="73" t="s">
        <v>124</v>
      </c>
      <c r="E1234" s="73" t="s">
        <v>48</v>
      </c>
      <c r="F1234" s="73" t="s">
        <v>125</v>
      </c>
      <c r="G1234" s="73" t="s">
        <v>32</v>
      </c>
      <c r="H1234" s="74" t="s">
        <v>1487</v>
      </c>
      <c r="I1234" s="74">
        <v>12</v>
      </c>
      <c r="J1234" s="75">
        <v>0</v>
      </c>
      <c r="K1234" s="75"/>
    </row>
    <row r="1235" s="1" customFormat="1" ht="14.25" spans="1:11">
      <c r="A1235" s="71">
        <v>9</v>
      </c>
      <c r="B1235" s="72">
        <v>30</v>
      </c>
      <c r="C1235" s="72">
        <v>3</v>
      </c>
      <c r="D1235" s="73" t="s">
        <v>131</v>
      </c>
      <c r="E1235" s="73" t="s">
        <v>96</v>
      </c>
      <c r="F1235" s="73" t="s">
        <v>97</v>
      </c>
      <c r="G1235" s="73" t="s">
        <v>32</v>
      </c>
      <c r="H1235" s="74" t="s">
        <v>1487</v>
      </c>
      <c r="I1235" s="74">
        <v>496.17</v>
      </c>
      <c r="J1235" s="75">
        <v>0</v>
      </c>
      <c r="K1235" s="75"/>
    </row>
    <row r="1236" s="1" customFormat="1" ht="14.25" spans="1:11">
      <c r="A1236" s="71">
        <v>9</v>
      </c>
      <c r="B1236" s="72">
        <v>30</v>
      </c>
      <c r="C1236" s="72">
        <v>3</v>
      </c>
      <c r="D1236" s="73" t="s">
        <v>131</v>
      </c>
      <c r="E1236" s="73" t="s">
        <v>96</v>
      </c>
      <c r="F1236" s="73" t="s">
        <v>97</v>
      </c>
      <c r="G1236" s="73" t="s">
        <v>32</v>
      </c>
      <c r="H1236" s="74" t="s">
        <v>1487</v>
      </c>
      <c r="I1236" s="74">
        <v>242.95</v>
      </c>
      <c r="J1236" s="75">
        <v>0</v>
      </c>
      <c r="K1236" s="75"/>
    </row>
    <row r="1237" s="1" customFormat="1" ht="14.25" spans="1:11">
      <c r="A1237" s="71">
        <v>9</v>
      </c>
      <c r="B1237" s="72">
        <v>30</v>
      </c>
      <c r="C1237" s="72">
        <v>3</v>
      </c>
      <c r="D1237" s="73" t="s">
        <v>275</v>
      </c>
      <c r="E1237" s="73" t="s">
        <v>48</v>
      </c>
      <c r="F1237" s="73" t="s">
        <v>125</v>
      </c>
      <c r="G1237" s="73" t="s">
        <v>32</v>
      </c>
      <c r="H1237" s="74" t="s">
        <v>1487</v>
      </c>
      <c r="I1237" s="74">
        <v>90</v>
      </c>
      <c r="J1237" s="75">
        <v>0</v>
      </c>
      <c r="K1237" s="75"/>
    </row>
    <row r="1238" s="1" customFormat="1" ht="14.25" spans="1:11">
      <c r="A1238" s="71">
        <v>9</v>
      </c>
      <c r="B1238" s="72">
        <v>30</v>
      </c>
      <c r="C1238" s="72">
        <v>3</v>
      </c>
      <c r="D1238" s="73" t="s">
        <v>421</v>
      </c>
      <c r="E1238" s="73" t="s">
        <v>118</v>
      </c>
      <c r="F1238" s="73" t="s">
        <v>136</v>
      </c>
      <c r="G1238" s="73" t="s">
        <v>32</v>
      </c>
      <c r="H1238" s="74" t="s">
        <v>1487</v>
      </c>
      <c r="I1238" s="74">
        <v>5</v>
      </c>
      <c r="J1238" s="75">
        <v>0</v>
      </c>
      <c r="K1238" s="75"/>
    </row>
    <row r="1239" s="1" customFormat="1" ht="14.25" spans="1:11">
      <c r="A1239" s="71">
        <v>9</v>
      </c>
      <c r="B1239" s="72">
        <v>30</v>
      </c>
      <c r="C1239" s="72">
        <v>3</v>
      </c>
      <c r="D1239" s="73" t="s">
        <v>1488</v>
      </c>
      <c r="E1239" s="73" t="s">
        <v>118</v>
      </c>
      <c r="F1239" s="73" t="s">
        <v>136</v>
      </c>
      <c r="G1239" s="73" t="s">
        <v>32</v>
      </c>
      <c r="H1239" s="74" t="s">
        <v>1487</v>
      </c>
      <c r="I1239" s="74">
        <v>1200</v>
      </c>
      <c r="J1239" s="75">
        <v>0</v>
      </c>
      <c r="K1239" s="75"/>
    </row>
    <row r="1240" s="1" customFormat="1" ht="14.25" spans="1:11">
      <c r="A1240" s="71">
        <v>9</v>
      </c>
      <c r="B1240" s="72">
        <v>30</v>
      </c>
      <c r="C1240" s="72">
        <v>3</v>
      </c>
      <c r="D1240" s="73" t="s">
        <v>1489</v>
      </c>
      <c r="E1240" s="73" t="s">
        <v>48</v>
      </c>
      <c r="F1240" s="73" t="s">
        <v>55</v>
      </c>
      <c r="G1240" s="73" t="s">
        <v>32</v>
      </c>
      <c r="H1240" s="74" t="s">
        <v>1490</v>
      </c>
      <c r="I1240" s="74">
        <v>15</v>
      </c>
      <c r="J1240" s="75">
        <v>0</v>
      </c>
      <c r="K1240" s="75"/>
    </row>
    <row r="1241" s="1" customFormat="1" ht="14.25" spans="1:11">
      <c r="A1241" s="71">
        <v>9</v>
      </c>
      <c r="B1241" s="72">
        <v>30</v>
      </c>
      <c r="C1241" s="72">
        <v>3</v>
      </c>
      <c r="D1241" s="73" t="s">
        <v>308</v>
      </c>
      <c r="E1241" s="73" t="s">
        <v>48</v>
      </c>
      <c r="F1241" s="73" t="s">
        <v>55</v>
      </c>
      <c r="G1241" s="73" t="s">
        <v>32</v>
      </c>
      <c r="H1241" s="74" t="s">
        <v>1490</v>
      </c>
      <c r="I1241" s="74">
        <v>105</v>
      </c>
      <c r="J1241" s="75">
        <v>0</v>
      </c>
      <c r="K1241" s="75"/>
    </row>
    <row r="1242" s="1" customFormat="1" ht="14.25" spans="1:11">
      <c r="A1242" s="71">
        <v>9</v>
      </c>
      <c r="B1242" s="72">
        <v>30</v>
      </c>
      <c r="C1242" s="72">
        <v>3</v>
      </c>
      <c r="D1242" s="73" t="s">
        <v>131</v>
      </c>
      <c r="E1242" s="73" t="s">
        <v>96</v>
      </c>
      <c r="F1242" s="73" t="s">
        <v>97</v>
      </c>
      <c r="G1242" s="73" t="s">
        <v>32</v>
      </c>
      <c r="H1242" s="74" t="s">
        <v>1490</v>
      </c>
      <c r="I1242" s="74">
        <v>70</v>
      </c>
      <c r="J1242" s="75">
        <v>0</v>
      </c>
      <c r="K1242" s="75"/>
    </row>
    <row r="1243" s="1" customFormat="1" ht="14.25" spans="1:11">
      <c r="A1243" s="71">
        <v>9</v>
      </c>
      <c r="B1243" s="72">
        <v>30</v>
      </c>
      <c r="C1243" s="72">
        <v>3</v>
      </c>
      <c r="D1243" s="73" t="s">
        <v>1491</v>
      </c>
      <c r="E1243" s="73" t="s">
        <v>48</v>
      </c>
      <c r="F1243" s="73" t="s">
        <v>55</v>
      </c>
      <c r="G1243" s="73" t="s">
        <v>32</v>
      </c>
      <c r="H1243" s="74" t="s">
        <v>1490</v>
      </c>
      <c r="I1243" s="74">
        <v>330</v>
      </c>
      <c r="J1243" s="75">
        <v>0</v>
      </c>
      <c r="K1243" s="75"/>
    </row>
    <row r="1244" s="1" customFormat="1" ht="14.25" spans="1:11">
      <c r="A1244" s="71">
        <v>9</v>
      </c>
      <c r="B1244" s="72">
        <v>30</v>
      </c>
      <c r="C1244" s="72">
        <v>4</v>
      </c>
      <c r="D1244" s="73" t="s">
        <v>131</v>
      </c>
      <c r="E1244" s="73" t="s">
        <v>96</v>
      </c>
      <c r="F1244" s="73" t="s">
        <v>97</v>
      </c>
      <c r="G1244" s="73" t="s">
        <v>32</v>
      </c>
      <c r="H1244" s="74" t="s">
        <v>1492</v>
      </c>
      <c r="I1244" s="74">
        <v>59.4</v>
      </c>
      <c r="J1244" s="75">
        <v>0</v>
      </c>
      <c r="K1244" s="75"/>
    </row>
    <row r="1245" s="1" customFormat="1" ht="14.25" spans="1:11">
      <c r="A1245" s="71">
        <v>9</v>
      </c>
      <c r="B1245" s="72">
        <v>30</v>
      </c>
      <c r="C1245" s="72">
        <v>4</v>
      </c>
      <c r="D1245" s="73" t="s">
        <v>131</v>
      </c>
      <c r="E1245" s="73" t="s">
        <v>96</v>
      </c>
      <c r="F1245" s="73" t="s">
        <v>97</v>
      </c>
      <c r="G1245" s="73" t="s">
        <v>32</v>
      </c>
      <c r="H1245" s="74" t="s">
        <v>1492</v>
      </c>
      <c r="I1245" s="74">
        <v>41.8</v>
      </c>
      <c r="J1245" s="75">
        <v>0</v>
      </c>
      <c r="K1245" s="75"/>
    </row>
    <row r="1246" s="1" customFormat="1" ht="14.25" spans="1:11">
      <c r="A1246" s="71">
        <v>9</v>
      </c>
      <c r="B1246" s="72">
        <v>30</v>
      </c>
      <c r="C1246" s="72">
        <v>4</v>
      </c>
      <c r="D1246" s="73" t="s">
        <v>275</v>
      </c>
      <c r="E1246" s="73" t="s">
        <v>48</v>
      </c>
      <c r="F1246" s="73" t="s">
        <v>125</v>
      </c>
      <c r="G1246" s="73" t="s">
        <v>32</v>
      </c>
      <c r="H1246" s="74" t="s">
        <v>1492</v>
      </c>
      <c r="I1246" s="74">
        <v>200</v>
      </c>
      <c r="J1246" s="75">
        <v>0</v>
      </c>
      <c r="K1246" s="75"/>
    </row>
    <row r="1247" s="1" customFormat="1" ht="14.25" spans="1:11">
      <c r="A1247" s="71">
        <v>9</v>
      </c>
      <c r="B1247" s="72">
        <v>30</v>
      </c>
      <c r="C1247" s="72">
        <v>4</v>
      </c>
      <c r="D1247" s="73" t="s">
        <v>1439</v>
      </c>
      <c r="E1247" s="73" t="s">
        <v>48</v>
      </c>
      <c r="F1247" s="73" t="s">
        <v>49</v>
      </c>
      <c r="G1247" s="73" t="s">
        <v>32</v>
      </c>
      <c r="H1247" s="74" t="s">
        <v>1492</v>
      </c>
      <c r="I1247" s="74">
        <v>30</v>
      </c>
      <c r="J1247" s="75">
        <v>0</v>
      </c>
      <c r="K1247" s="75"/>
    </row>
    <row r="1248" s="1" customFormat="1" ht="14.25" spans="1:11">
      <c r="A1248" s="71">
        <v>9</v>
      </c>
      <c r="B1248" s="72">
        <v>30</v>
      </c>
      <c r="C1248" s="72">
        <v>4</v>
      </c>
      <c r="D1248" s="73" t="s">
        <v>1493</v>
      </c>
      <c r="E1248" s="73" t="s">
        <v>48</v>
      </c>
      <c r="F1248" s="73" t="s">
        <v>55</v>
      </c>
      <c r="G1248" s="73" t="s">
        <v>32</v>
      </c>
      <c r="H1248" s="74" t="s">
        <v>1492</v>
      </c>
      <c r="I1248" s="74">
        <v>34</v>
      </c>
      <c r="J1248" s="75">
        <v>0</v>
      </c>
      <c r="K1248" s="75"/>
    </row>
    <row r="1249" s="1" customFormat="1" ht="14.25" spans="1:11">
      <c r="A1249" s="71">
        <v>9</v>
      </c>
      <c r="B1249" s="72">
        <v>30</v>
      </c>
      <c r="C1249" s="72">
        <v>4</v>
      </c>
      <c r="D1249" s="73" t="s">
        <v>345</v>
      </c>
      <c r="E1249" s="73" t="s">
        <v>96</v>
      </c>
      <c r="F1249" s="73" t="s">
        <v>345</v>
      </c>
      <c r="G1249" s="73" t="s">
        <v>32</v>
      </c>
      <c r="H1249" s="74" t="s">
        <v>1494</v>
      </c>
      <c r="I1249" s="74">
        <v>105</v>
      </c>
      <c r="J1249" s="75">
        <v>0</v>
      </c>
      <c r="K1249" s="75"/>
    </row>
    <row r="1250" s="1" customFormat="1" ht="14.25" spans="1:11">
      <c r="A1250" s="71">
        <v>9</v>
      </c>
      <c r="B1250" s="72">
        <v>30</v>
      </c>
      <c r="C1250" s="72">
        <v>4</v>
      </c>
      <c r="D1250" s="73" t="s">
        <v>1285</v>
      </c>
      <c r="E1250" s="73" t="s">
        <v>118</v>
      </c>
      <c r="F1250" s="73" t="s">
        <v>136</v>
      </c>
      <c r="G1250" s="73" t="s">
        <v>32</v>
      </c>
      <c r="H1250" s="74" t="s">
        <v>1494</v>
      </c>
      <c r="I1250" s="74">
        <v>14.94</v>
      </c>
      <c r="J1250" s="75">
        <v>0</v>
      </c>
      <c r="K1250" s="75"/>
    </row>
    <row r="1251" s="1" customFormat="1" ht="14.25" spans="1:11">
      <c r="A1251" s="71">
        <v>9</v>
      </c>
      <c r="B1251" s="72">
        <v>30</v>
      </c>
      <c r="C1251" s="72">
        <v>4</v>
      </c>
      <c r="D1251" s="73" t="s">
        <v>246</v>
      </c>
      <c r="E1251" s="73" t="s">
        <v>118</v>
      </c>
      <c r="F1251" s="73" t="s">
        <v>136</v>
      </c>
      <c r="G1251" s="73" t="s">
        <v>32</v>
      </c>
      <c r="H1251" s="74" t="s">
        <v>1494</v>
      </c>
      <c r="I1251" s="74">
        <v>16</v>
      </c>
      <c r="J1251" s="75">
        <v>0</v>
      </c>
      <c r="K1251" s="75"/>
    </row>
    <row r="1252" s="1" customFormat="1" ht="14.25" spans="1:11">
      <c r="A1252" s="71">
        <v>9</v>
      </c>
      <c r="B1252" s="72">
        <v>30</v>
      </c>
      <c r="C1252" s="72">
        <v>4</v>
      </c>
      <c r="D1252" s="73" t="s">
        <v>1469</v>
      </c>
      <c r="E1252" s="73" t="s">
        <v>118</v>
      </c>
      <c r="F1252" s="73" t="s">
        <v>192</v>
      </c>
      <c r="G1252" s="73" t="s">
        <v>32</v>
      </c>
      <c r="H1252" s="74" t="s">
        <v>1494</v>
      </c>
      <c r="I1252" s="74">
        <v>750000</v>
      </c>
      <c r="J1252" s="75">
        <v>0</v>
      </c>
      <c r="K1252" s="75"/>
    </row>
    <row r="1253" s="1" customFormat="1" ht="14.25" spans="1:11">
      <c r="A1253" s="71">
        <v>9</v>
      </c>
      <c r="B1253" s="72">
        <v>30</v>
      </c>
      <c r="C1253" s="72">
        <v>4</v>
      </c>
      <c r="D1253" s="73" t="s">
        <v>1495</v>
      </c>
      <c r="E1253" s="73" t="s">
        <v>118</v>
      </c>
      <c r="F1253" s="73" t="s">
        <v>136</v>
      </c>
      <c r="G1253" s="73" t="s">
        <v>32</v>
      </c>
      <c r="H1253" s="74" t="s">
        <v>1494</v>
      </c>
      <c r="I1253" s="74">
        <v>50</v>
      </c>
      <c r="J1253" s="75">
        <v>0</v>
      </c>
      <c r="K1253" s="75"/>
    </row>
    <row r="1254" s="1" customFormat="1" ht="14.25" spans="1:11">
      <c r="A1254" s="71">
        <v>9</v>
      </c>
      <c r="B1254" s="72">
        <v>30</v>
      </c>
      <c r="C1254" s="72">
        <v>5</v>
      </c>
      <c r="D1254" s="73" t="s">
        <v>124</v>
      </c>
      <c r="E1254" s="73" t="s">
        <v>48</v>
      </c>
      <c r="F1254" s="73" t="s">
        <v>125</v>
      </c>
      <c r="G1254" s="73" t="s">
        <v>32</v>
      </c>
      <c r="H1254" s="74" t="s">
        <v>1496</v>
      </c>
      <c r="I1254" s="74">
        <v>4</v>
      </c>
      <c r="J1254" s="75">
        <v>0</v>
      </c>
      <c r="K1254" s="75"/>
    </row>
    <row r="1255" s="1" customFormat="1" ht="14.25" spans="1:11">
      <c r="A1255" s="71">
        <v>9</v>
      </c>
      <c r="B1255" s="72">
        <v>30</v>
      </c>
      <c r="C1255" s="72">
        <v>5</v>
      </c>
      <c r="D1255" s="73" t="s">
        <v>1497</v>
      </c>
      <c r="E1255" s="73" t="s">
        <v>118</v>
      </c>
      <c r="F1255" s="73" t="s">
        <v>136</v>
      </c>
      <c r="G1255" s="73" t="s">
        <v>32</v>
      </c>
      <c r="H1255" s="74" t="s">
        <v>1496</v>
      </c>
      <c r="I1255" s="74">
        <v>14.78</v>
      </c>
      <c r="J1255" s="75">
        <v>0</v>
      </c>
      <c r="K1255" s="75"/>
    </row>
    <row r="1256" s="1" customFormat="1" ht="14.25" spans="1:11">
      <c r="A1256" s="71">
        <v>9</v>
      </c>
      <c r="B1256" s="72">
        <v>30</v>
      </c>
      <c r="C1256" s="72">
        <v>5</v>
      </c>
      <c r="D1256" s="73" t="s">
        <v>1475</v>
      </c>
      <c r="E1256" s="73" t="s">
        <v>118</v>
      </c>
      <c r="F1256" s="73" t="s">
        <v>136</v>
      </c>
      <c r="G1256" s="73" t="s">
        <v>32</v>
      </c>
      <c r="H1256" s="74" t="s">
        <v>1496</v>
      </c>
      <c r="I1256" s="74">
        <v>45</v>
      </c>
      <c r="J1256" s="75">
        <v>0</v>
      </c>
      <c r="K1256" s="75"/>
    </row>
    <row r="1257" s="1" customFormat="1" ht="14.25" spans="1:11">
      <c r="A1257" s="71">
        <v>9</v>
      </c>
      <c r="B1257" s="72">
        <v>30</v>
      </c>
      <c r="C1257" s="72">
        <v>5</v>
      </c>
      <c r="D1257" s="73" t="s">
        <v>1498</v>
      </c>
      <c r="E1257" s="73" t="s">
        <v>96</v>
      </c>
      <c r="F1257" s="73" t="s">
        <v>97</v>
      </c>
      <c r="G1257" s="73" t="s">
        <v>32</v>
      </c>
      <c r="H1257" s="74" t="s">
        <v>1496</v>
      </c>
      <c r="I1257" s="74">
        <v>60</v>
      </c>
      <c r="J1257" s="75">
        <v>0</v>
      </c>
      <c r="K1257" s="75"/>
    </row>
    <row r="1258" s="1" customFormat="1" ht="14.25" spans="1:11">
      <c r="A1258" s="71">
        <v>9</v>
      </c>
      <c r="B1258" s="72">
        <v>30</v>
      </c>
      <c r="C1258" s="72">
        <v>5</v>
      </c>
      <c r="D1258" s="73" t="s">
        <v>1499</v>
      </c>
      <c r="E1258" s="73" t="s">
        <v>211</v>
      </c>
      <c r="F1258" s="73" t="s">
        <v>1499</v>
      </c>
      <c r="G1258" s="73" t="s">
        <v>32</v>
      </c>
      <c r="H1258" s="74" t="s">
        <v>1496</v>
      </c>
      <c r="I1258" s="74">
        <v>530</v>
      </c>
      <c r="J1258" s="75">
        <v>0</v>
      </c>
      <c r="K1258" s="75"/>
    </row>
    <row r="1259" s="1" customFormat="1" ht="14.25" spans="1:11">
      <c r="A1259" s="71">
        <v>9</v>
      </c>
      <c r="B1259" s="72">
        <v>30</v>
      </c>
      <c r="C1259" s="72">
        <v>5</v>
      </c>
      <c r="D1259" s="73" t="s">
        <v>1283</v>
      </c>
      <c r="E1259" s="73" t="s">
        <v>48</v>
      </c>
      <c r="F1259" s="73" t="s">
        <v>125</v>
      </c>
      <c r="G1259" s="73" t="s">
        <v>32</v>
      </c>
      <c r="H1259" s="74" t="s">
        <v>1500</v>
      </c>
      <c r="I1259" s="74">
        <v>420</v>
      </c>
      <c r="J1259" s="75">
        <v>0</v>
      </c>
      <c r="K1259" s="75"/>
    </row>
    <row r="1260" s="1" customFormat="1" ht="14.25" spans="1:11">
      <c r="A1260" s="71">
        <v>9</v>
      </c>
      <c r="B1260" s="72">
        <v>30</v>
      </c>
      <c r="C1260" s="72">
        <v>5</v>
      </c>
      <c r="D1260" s="73" t="s">
        <v>1501</v>
      </c>
      <c r="E1260" s="73" t="s">
        <v>118</v>
      </c>
      <c r="F1260" s="73" t="s">
        <v>136</v>
      </c>
      <c r="G1260" s="73" t="s">
        <v>32</v>
      </c>
      <c r="H1260" s="74" t="s">
        <v>1500</v>
      </c>
      <c r="I1260" s="74">
        <v>40</v>
      </c>
      <c r="J1260" s="75">
        <v>0</v>
      </c>
      <c r="K1260" s="75"/>
    </row>
    <row r="1261" s="1" customFormat="1" ht="14.25" spans="1:11">
      <c r="A1261" s="71">
        <v>9</v>
      </c>
      <c r="B1261" s="72">
        <v>30</v>
      </c>
      <c r="C1261" s="72">
        <v>5</v>
      </c>
      <c r="D1261" s="73" t="s">
        <v>878</v>
      </c>
      <c r="E1261" s="73" t="s">
        <v>118</v>
      </c>
      <c r="F1261" s="73" t="s">
        <v>878</v>
      </c>
      <c r="G1261" s="73" t="s">
        <v>32</v>
      </c>
      <c r="H1261" s="74" t="s">
        <v>1500</v>
      </c>
      <c r="I1261" s="74">
        <v>14200</v>
      </c>
      <c r="J1261" s="75">
        <v>0</v>
      </c>
      <c r="K1261" s="75"/>
    </row>
    <row r="1262" s="1" customFormat="1" ht="14.25" spans="1:11">
      <c r="A1262" s="71">
        <v>9</v>
      </c>
      <c r="B1262" s="72">
        <v>30</v>
      </c>
      <c r="C1262" s="72">
        <v>5</v>
      </c>
      <c r="D1262" s="73" t="s">
        <v>783</v>
      </c>
      <c r="E1262" s="73" t="s">
        <v>118</v>
      </c>
      <c r="F1262" s="73" t="s">
        <v>136</v>
      </c>
      <c r="G1262" s="73" t="s">
        <v>32</v>
      </c>
      <c r="H1262" s="74" t="s">
        <v>1500</v>
      </c>
      <c r="I1262" s="74">
        <v>16</v>
      </c>
      <c r="J1262" s="75">
        <v>0</v>
      </c>
      <c r="K1262" s="75"/>
    </row>
    <row r="1263" s="1" customFormat="1" ht="14.25" spans="1:11">
      <c r="A1263" s="71">
        <v>9</v>
      </c>
      <c r="B1263" s="72">
        <v>30</v>
      </c>
      <c r="C1263" s="72">
        <v>5</v>
      </c>
      <c r="D1263" s="73" t="s">
        <v>1502</v>
      </c>
      <c r="E1263" s="73" t="s">
        <v>118</v>
      </c>
      <c r="F1263" s="73" t="s">
        <v>136</v>
      </c>
      <c r="G1263" s="73" t="s">
        <v>32</v>
      </c>
      <c r="H1263" s="74" t="s">
        <v>1500</v>
      </c>
      <c r="I1263" s="74">
        <v>25</v>
      </c>
      <c r="J1263" s="75">
        <v>0</v>
      </c>
      <c r="K1263" s="75"/>
    </row>
    <row r="1264" s="1" customFormat="1" ht="14.25" spans="1:11">
      <c r="A1264" s="71">
        <v>9</v>
      </c>
      <c r="B1264" s="72">
        <v>30</v>
      </c>
      <c r="C1264" s="72">
        <v>6</v>
      </c>
      <c r="D1264" s="73" t="s">
        <v>1503</v>
      </c>
      <c r="E1264" s="73" t="s">
        <v>48</v>
      </c>
      <c r="F1264" s="73" t="s">
        <v>55</v>
      </c>
      <c r="G1264" s="73" t="s">
        <v>32</v>
      </c>
      <c r="H1264" s="74" t="s">
        <v>1504</v>
      </c>
      <c r="I1264" s="74">
        <v>70</v>
      </c>
      <c r="J1264" s="75">
        <v>0</v>
      </c>
      <c r="K1264" s="75"/>
    </row>
    <row r="1265" s="1" customFormat="1" ht="14.25" spans="1:11">
      <c r="A1265" s="71">
        <v>9</v>
      </c>
      <c r="B1265" s="72">
        <v>30</v>
      </c>
      <c r="C1265" s="72">
        <v>6</v>
      </c>
      <c r="D1265" s="73" t="s">
        <v>124</v>
      </c>
      <c r="E1265" s="73" t="s">
        <v>48</v>
      </c>
      <c r="F1265" s="73" t="s">
        <v>125</v>
      </c>
      <c r="G1265" s="73" t="s">
        <v>32</v>
      </c>
      <c r="H1265" s="74" t="s">
        <v>1504</v>
      </c>
      <c r="I1265" s="74">
        <v>4</v>
      </c>
      <c r="J1265" s="75">
        <v>0</v>
      </c>
      <c r="K1265" s="75"/>
    </row>
    <row r="1266" s="1" customFormat="1" ht="14.25" spans="1:11">
      <c r="A1266" s="71">
        <v>9</v>
      </c>
      <c r="B1266" s="72">
        <v>30</v>
      </c>
      <c r="C1266" s="72">
        <v>6</v>
      </c>
      <c r="D1266" s="73" t="s">
        <v>1129</v>
      </c>
      <c r="E1266" s="73" t="s">
        <v>211</v>
      </c>
      <c r="F1266" s="73" t="s">
        <v>1129</v>
      </c>
      <c r="G1266" s="73" t="s">
        <v>32</v>
      </c>
      <c r="H1266" s="74" t="s">
        <v>1504</v>
      </c>
      <c r="I1266" s="74">
        <v>1240</v>
      </c>
      <c r="J1266" s="75">
        <v>0</v>
      </c>
      <c r="K1266" s="75"/>
    </row>
    <row r="1267" s="1" customFormat="1" ht="14.25" spans="1:11">
      <c r="A1267" s="71">
        <v>9</v>
      </c>
      <c r="B1267" s="72">
        <v>30</v>
      </c>
      <c r="C1267" s="72">
        <v>6</v>
      </c>
      <c r="D1267" s="73" t="s">
        <v>504</v>
      </c>
      <c r="E1267" s="73" t="s">
        <v>118</v>
      </c>
      <c r="F1267" s="73" t="s">
        <v>136</v>
      </c>
      <c r="G1267" s="73" t="s">
        <v>32</v>
      </c>
      <c r="H1267" s="74" t="s">
        <v>1504</v>
      </c>
      <c r="I1267" s="74">
        <v>300</v>
      </c>
      <c r="J1267" s="75">
        <v>0</v>
      </c>
      <c r="K1267" s="75"/>
    </row>
    <row r="1268" s="1" customFormat="1" ht="14.25" spans="1:11">
      <c r="A1268" s="71">
        <v>9</v>
      </c>
      <c r="B1268" s="72">
        <v>30</v>
      </c>
      <c r="C1268" s="72">
        <v>6</v>
      </c>
      <c r="D1268" s="73" t="s">
        <v>1505</v>
      </c>
      <c r="E1268" s="73" t="s">
        <v>118</v>
      </c>
      <c r="F1268" s="73" t="s">
        <v>136</v>
      </c>
      <c r="G1268" s="73" t="s">
        <v>32</v>
      </c>
      <c r="H1268" s="74" t="s">
        <v>1504</v>
      </c>
      <c r="I1268" s="74">
        <v>48.99</v>
      </c>
      <c r="J1268" s="75">
        <v>0</v>
      </c>
      <c r="K1268" s="75"/>
    </row>
    <row r="1269" s="1" customFormat="1" ht="14.25" spans="1:11">
      <c r="A1269" s="71">
        <v>9</v>
      </c>
      <c r="B1269" s="72">
        <v>30</v>
      </c>
      <c r="C1269" s="72">
        <v>6</v>
      </c>
      <c r="D1269" s="73" t="s">
        <v>1506</v>
      </c>
      <c r="E1269" s="73" t="s">
        <v>100</v>
      </c>
      <c r="F1269" s="73" t="s">
        <v>101</v>
      </c>
      <c r="G1269" s="73" t="s">
        <v>32</v>
      </c>
      <c r="H1269" s="74" t="s">
        <v>1507</v>
      </c>
      <c r="I1269" s="74">
        <v>50158</v>
      </c>
      <c r="J1269" s="75">
        <v>0</v>
      </c>
      <c r="K1269" s="75"/>
    </row>
    <row r="1270" s="1" customFormat="1" ht="14.25" spans="1:11">
      <c r="A1270" s="71">
        <v>9</v>
      </c>
      <c r="B1270" s="72">
        <v>30</v>
      </c>
      <c r="C1270" s="72">
        <v>6</v>
      </c>
      <c r="D1270" s="73" t="s">
        <v>1508</v>
      </c>
      <c r="E1270" s="73" t="s">
        <v>100</v>
      </c>
      <c r="F1270" s="73" t="s">
        <v>101</v>
      </c>
      <c r="G1270" s="73" t="s">
        <v>32</v>
      </c>
      <c r="H1270" s="74" t="s">
        <v>1507</v>
      </c>
      <c r="I1270" s="74">
        <v>1670</v>
      </c>
      <c r="J1270" s="75">
        <v>0</v>
      </c>
      <c r="K1270" s="75"/>
    </row>
    <row r="1271" s="1" customFormat="1" ht="14.25" spans="1:11">
      <c r="A1271" s="71">
        <v>9</v>
      </c>
      <c r="B1271" s="72">
        <v>30</v>
      </c>
      <c r="C1271" s="72">
        <v>6</v>
      </c>
      <c r="D1271" s="73" t="s">
        <v>1509</v>
      </c>
      <c r="E1271" s="73" t="s">
        <v>100</v>
      </c>
      <c r="F1271" s="73" t="s">
        <v>101</v>
      </c>
      <c r="G1271" s="73" t="s">
        <v>32</v>
      </c>
      <c r="H1271" s="74" t="s">
        <v>1507</v>
      </c>
      <c r="I1271" s="74">
        <v>2031</v>
      </c>
      <c r="J1271" s="75">
        <v>0</v>
      </c>
      <c r="K1271" s="75"/>
    </row>
    <row r="1272" s="1" customFormat="1" ht="14.25" spans="1:11">
      <c r="A1272" s="71">
        <v>9</v>
      </c>
      <c r="B1272" s="72">
        <v>30</v>
      </c>
      <c r="C1272" s="72">
        <v>6</v>
      </c>
      <c r="D1272" s="73" t="s">
        <v>1510</v>
      </c>
      <c r="E1272" s="73" t="s">
        <v>100</v>
      </c>
      <c r="F1272" s="73" t="s">
        <v>101</v>
      </c>
      <c r="G1272" s="73" t="s">
        <v>32</v>
      </c>
      <c r="H1272" s="74" t="s">
        <v>1507</v>
      </c>
      <c r="I1272" s="74">
        <v>2357</v>
      </c>
      <c r="J1272" s="75">
        <v>0</v>
      </c>
      <c r="K1272" s="75"/>
    </row>
    <row r="1273" s="1" customFormat="1" ht="14.25" spans="1:11">
      <c r="A1273" s="71">
        <v>9</v>
      </c>
      <c r="B1273" s="72">
        <v>30</v>
      </c>
      <c r="C1273" s="72">
        <v>7</v>
      </c>
      <c r="D1273" s="73" t="s">
        <v>310</v>
      </c>
      <c r="E1273" s="73" t="s">
        <v>96</v>
      </c>
      <c r="F1273" s="73" t="s">
        <v>97</v>
      </c>
      <c r="G1273" s="73" t="s">
        <v>32</v>
      </c>
      <c r="H1273" s="74" t="s">
        <v>1511</v>
      </c>
      <c r="I1273" s="74">
        <v>337</v>
      </c>
      <c r="J1273" s="75">
        <v>0</v>
      </c>
      <c r="K1273" s="75"/>
    </row>
    <row r="1274" s="1" customFormat="1" ht="14.25" spans="1:11">
      <c r="A1274" s="71">
        <v>9</v>
      </c>
      <c r="B1274" s="72">
        <v>30</v>
      </c>
      <c r="C1274" s="72">
        <v>7</v>
      </c>
      <c r="D1274" s="73" t="s">
        <v>1416</v>
      </c>
      <c r="E1274" s="73" t="s">
        <v>172</v>
      </c>
      <c r="F1274" s="73" t="s">
        <v>396</v>
      </c>
      <c r="G1274" s="73" t="s">
        <v>32</v>
      </c>
      <c r="H1274" s="74" t="s">
        <v>1511</v>
      </c>
      <c r="I1274" s="74">
        <v>40</v>
      </c>
      <c r="J1274" s="75">
        <v>0</v>
      </c>
      <c r="K1274" s="75"/>
    </row>
    <row r="1275" s="1" customFormat="1" ht="14.25" spans="1:11">
      <c r="A1275" s="71">
        <v>9</v>
      </c>
      <c r="B1275" s="72">
        <v>30</v>
      </c>
      <c r="C1275" s="72">
        <v>7</v>
      </c>
      <c r="D1275" s="73" t="s">
        <v>1512</v>
      </c>
      <c r="E1275" s="73" t="s">
        <v>172</v>
      </c>
      <c r="F1275" s="73" t="s">
        <v>396</v>
      </c>
      <c r="G1275" s="73" t="s">
        <v>32</v>
      </c>
      <c r="H1275" s="74" t="s">
        <v>1511</v>
      </c>
      <c r="I1275" s="74">
        <v>50</v>
      </c>
      <c r="J1275" s="75">
        <v>0</v>
      </c>
      <c r="K1275" s="75"/>
    </row>
    <row r="1276" s="1" customFormat="1" ht="14.25" spans="1:11">
      <c r="A1276" s="71">
        <v>9</v>
      </c>
      <c r="B1276" s="72">
        <v>30</v>
      </c>
      <c r="C1276" s="72">
        <v>7</v>
      </c>
      <c r="D1276" s="73" t="s">
        <v>1513</v>
      </c>
      <c r="E1276" s="73" t="s">
        <v>172</v>
      </c>
      <c r="F1276" s="73" t="s">
        <v>396</v>
      </c>
      <c r="G1276" s="73" t="s">
        <v>32</v>
      </c>
      <c r="H1276" s="74" t="s">
        <v>1511</v>
      </c>
      <c r="I1276" s="74">
        <v>20</v>
      </c>
      <c r="J1276" s="75">
        <v>0</v>
      </c>
      <c r="K1276" s="75"/>
    </row>
    <row r="1277" s="1" customFormat="1" ht="14.25" spans="1:11">
      <c r="A1277" s="71">
        <v>9</v>
      </c>
      <c r="B1277" s="72">
        <v>30</v>
      </c>
      <c r="C1277" s="72">
        <v>7</v>
      </c>
      <c r="D1277" s="73" t="s">
        <v>1514</v>
      </c>
      <c r="E1277" s="73" t="s">
        <v>172</v>
      </c>
      <c r="F1277" s="73" t="s">
        <v>396</v>
      </c>
      <c r="G1277" s="73" t="s">
        <v>32</v>
      </c>
      <c r="H1277" s="74" t="s">
        <v>1511</v>
      </c>
      <c r="I1277" s="74">
        <v>20</v>
      </c>
      <c r="J1277" s="75">
        <v>0</v>
      </c>
      <c r="K1277" s="75"/>
    </row>
    <row r="1278" s="1" customFormat="1" ht="14.25" spans="1:11">
      <c r="A1278" s="71">
        <v>9</v>
      </c>
      <c r="B1278" s="72">
        <v>30</v>
      </c>
      <c r="C1278" s="72">
        <v>7</v>
      </c>
      <c r="D1278" s="73" t="s">
        <v>1515</v>
      </c>
      <c r="E1278" s="73" t="s">
        <v>172</v>
      </c>
      <c r="F1278" s="73" t="s">
        <v>396</v>
      </c>
      <c r="G1278" s="73" t="s">
        <v>32</v>
      </c>
      <c r="H1278" s="74" t="s">
        <v>1516</v>
      </c>
      <c r="I1278" s="74">
        <v>613</v>
      </c>
      <c r="J1278" s="75">
        <v>0</v>
      </c>
      <c r="K1278" s="75"/>
    </row>
    <row r="1279" s="1" customFormat="1" ht="14.25" spans="1:11">
      <c r="A1279" s="71">
        <v>9</v>
      </c>
      <c r="B1279" s="72">
        <v>30</v>
      </c>
      <c r="C1279" s="72">
        <v>7</v>
      </c>
      <c r="D1279" s="73" t="s">
        <v>1517</v>
      </c>
      <c r="E1279" s="73" t="s">
        <v>118</v>
      </c>
      <c r="F1279" s="73" t="s">
        <v>192</v>
      </c>
      <c r="G1279" s="73" t="s">
        <v>32</v>
      </c>
      <c r="H1279" s="74" t="s">
        <v>1516</v>
      </c>
      <c r="I1279" s="74">
        <v>15600</v>
      </c>
      <c r="J1279" s="75">
        <v>0</v>
      </c>
      <c r="K1279" s="75"/>
    </row>
    <row r="1280" s="1" customFormat="1" ht="14.25" spans="1:11">
      <c r="A1280" s="71">
        <v>9</v>
      </c>
      <c r="B1280" s="72">
        <v>30</v>
      </c>
      <c r="C1280" s="72">
        <v>8</v>
      </c>
      <c r="D1280" s="73" t="s">
        <v>1518</v>
      </c>
      <c r="E1280" s="73" t="s">
        <v>48</v>
      </c>
      <c r="F1280" s="73" t="s">
        <v>49</v>
      </c>
      <c r="G1280" s="73" t="s">
        <v>32</v>
      </c>
      <c r="H1280" s="74" t="s">
        <v>1519</v>
      </c>
      <c r="I1280" s="74">
        <v>100</v>
      </c>
      <c r="J1280" s="75">
        <v>0</v>
      </c>
      <c r="K1280" s="75"/>
    </row>
    <row r="1281" s="1" customFormat="1" ht="14.25" spans="1:11">
      <c r="A1281" s="71">
        <v>9</v>
      </c>
      <c r="B1281" s="72">
        <v>30</v>
      </c>
      <c r="C1281" s="72">
        <v>8</v>
      </c>
      <c r="D1281" s="73" t="s">
        <v>1520</v>
      </c>
      <c r="E1281" s="73" t="s">
        <v>48</v>
      </c>
      <c r="F1281" s="73" t="s">
        <v>55</v>
      </c>
      <c r="G1281" s="73" t="s">
        <v>32</v>
      </c>
      <c r="H1281" s="74" t="s">
        <v>1519</v>
      </c>
      <c r="I1281" s="74">
        <v>120</v>
      </c>
      <c r="J1281" s="75">
        <v>0</v>
      </c>
      <c r="K1281" s="75"/>
    </row>
    <row r="1282" s="1" customFormat="1" ht="14.25" spans="1:11">
      <c r="A1282" s="71">
        <v>9</v>
      </c>
      <c r="B1282" s="72">
        <v>30</v>
      </c>
      <c r="C1282" s="72">
        <v>8</v>
      </c>
      <c r="D1282" s="73" t="s">
        <v>1521</v>
      </c>
      <c r="E1282" s="73" t="s">
        <v>48</v>
      </c>
      <c r="F1282" s="73" t="s">
        <v>55</v>
      </c>
      <c r="G1282" s="73" t="s">
        <v>32</v>
      </c>
      <c r="H1282" s="74" t="s">
        <v>1519</v>
      </c>
      <c r="I1282" s="74">
        <v>30</v>
      </c>
      <c r="J1282" s="75">
        <v>0</v>
      </c>
      <c r="K1282" s="75"/>
    </row>
    <row r="1283" s="1" customFormat="1" ht="14.25" spans="1:11">
      <c r="A1283" s="71">
        <v>9</v>
      </c>
      <c r="B1283" s="72">
        <v>30</v>
      </c>
      <c r="C1283" s="72">
        <v>8</v>
      </c>
      <c r="D1283" s="73" t="s">
        <v>1522</v>
      </c>
      <c r="E1283" s="73" t="s">
        <v>48</v>
      </c>
      <c r="F1283" s="73" t="s">
        <v>49</v>
      </c>
      <c r="G1283" s="73" t="s">
        <v>32</v>
      </c>
      <c r="H1283" s="74" t="s">
        <v>1519</v>
      </c>
      <c r="I1283" s="74">
        <v>670</v>
      </c>
      <c r="J1283" s="75">
        <v>0</v>
      </c>
      <c r="K1283" s="75"/>
    </row>
    <row r="1284" s="1" customFormat="1" ht="14.25" spans="1:11">
      <c r="A1284" s="71">
        <v>9</v>
      </c>
      <c r="B1284" s="72">
        <v>30</v>
      </c>
      <c r="C1284" s="72">
        <v>8</v>
      </c>
      <c r="D1284" s="73" t="s">
        <v>1523</v>
      </c>
      <c r="E1284" s="73" t="s">
        <v>48</v>
      </c>
      <c r="F1284" s="73" t="s">
        <v>49</v>
      </c>
      <c r="G1284" s="73" t="s">
        <v>32</v>
      </c>
      <c r="H1284" s="74" t="s">
        <v>1519</v>
      </c>
      <c r="I1284" s="74">
        <v>200</v>
      </c>
      <c r="J1284" s="75">
        <v>0</v>
      </c>
      <c r="K1284" s="75"/>
    </row>
    <row r="1285" s="1" customFormat="1" ht="14.25" spans="1:11">
      <c r="A1285" s="71">
        <v>9</v>
      </c>
      <c r="B1285" s="72">
        <v>30</v>
      </c>
      <c r="C1285" s="72">
        <v>8</v>
      </c>
      <c r="D1285" s="73" t="s">
        <v>1524</v>
      </c>
      <c r="E1285" s="73" t="s">
        <v>48</v>
      </c>
      <c r="F1285" s="73" t="s">
        <v>207</v>
      </c>
      <c r="G1285" s="73" t="s">
        <v>32</v>
      </c>
      <c r="H1285" s="74" t="s">
        <v>1525</v>
      </c>
      <c r="I1285" s="74">
        <v>315</v>
      </c>
      <c r="J1285" s="75">
        <v>0</v>
      </c>
      <c r="K1285" s="75"/>
    </row>
    <row r="1286" s="1" customFormat="1" ht="14.25" spans="1:11">
      <c r="A1286" s="71">
        <v>9</v>
      </c>
      <c r="B1286" s="72">
        <v>30</v>
      </c>
      <c r="C1286" s="72">
        <v>8</v>
      </c>
      <c r="D1286" s="73" t="s">
        <v>1526</v>
      </c>
      <c r="E1286" s="73" t="s">
        <v>48</v>
      </c>
      <c r="F1286" s="73" t="s">
        <v>207</v>
      </c>
      <c r="G1286" s="73" t="s">
        <v>32</v>
      </c>
      <c r="H1286" s="74" t="s">
        <v>1525</v>
      </c>
      <c r="I1286" s="74">
        <v>239</v>
      </c>
      <c r="J1286" s="75">
        <v>0</v>
      </c>
      <c r="K1286" s="75"/>
    </row>
    <row r="1287" s="1" customFormat="1" ht="14.25" spans="1:11">
      <c r="A1287" s="71">
        <v>9</v>
      </c>
      <c r="B1287" s="72">
        <v>30</v>
      </c>
      <c r="C1287" s="72">
        <v>8</v>
      </c>
      <c r="D1287" s="73" t="s">
        <v>1527</v>
      </c>
      <c r="E1287" s="73" t="s">
        <v>48</v>
      </c>
      <c r="F1287" s="73" t="s">
        <v>207</v>
      </c>
      <c r="G1287" s="73" t="s">
        <v>32</v>
      </c>
      <c r="H1287" s="74" t="s">
        <v>1525</v>
      </c>
      <c r="I1287" s="74">
        <v>150</v>
      </c>
      <c r="J1287" s="75">
        <v>0</v>
      </c>
      <c r="K1287" s="75"/>
    </row>
    <row r="1288" s="1" customFormat="1" ht="14.25" spans="1:11">
      <c r="A1288" s="71">
        <v>9</v>
      </c>
      <c r="B1288" s="72">
        <v>30</v>
      </c>
      <c r="C1288" s="72">
        <v>8</v>
      </c>
      <c r="D1288" s="73" t="s">
        <v>1528</v>
      </c>
      <c r="E1288" s="73" t="s">
        <v>48</v>
      </c>
      <c r="F1288" s="73" t="s">
        <v>207</v>
      </c>
      <c r="G1288" s="73" t="s">
        <v>32</v>
      </c>
      <c r="H1288" s="74" t="s">
        <v>1525</v>
      </c>
      <c r="I1288" s="74">
        <v>202</v>
      </c>
      <c r="J1288" s="75">
        <v>0</v>
      </c>
      <c r="K1288" s="75"/>
    </row>
    <row r="1289" s="1" customFormat="1" ht="14.25" spans="1:11">
      <c r="A1289" s="71">
        <v>9</v>
      </c>
      <c r="B1289" s="72">
        <v>30</v>
      </c>
      <c r="C1289" s="72">
        <v>8</v>
      </c>
      <c r="D1289" s="73" t="s">
        <v>1529</v>
      </c>
      <c r="E1289" s="73" t="s">
        <v>48</v>
      </c>
      <c r="F1289" s="73" t="s">
        <v>207</v>
      </c>
      <c r="G1289" s="73" t="s">
        <v>32</v>
      </c>
      <c r="H1289" s="74" t="s">
        <v>1525</v>
      </c>
      <c r="I1289" s="74">
        <v>280</v>
      </c>
      <c r="J1289" s="75">
        <v>0</v>
      </c>
      <c r="K1289" s="75"/>
    </row>
    <row r="1290" s="1" customFormat="1" ht="14.25" spans="1:11">
      <c r="A1290" s="71">
        <v>9</v>
      </c>
      <c r="B1290" s="72">
        <v>30</v>
      </c>
      <c r="C1290" s="72">
        <v>9</v>
      </c>
      <c r="D1290" s="73" t="s">
        <v>1530</v>
      </c>
      <c r="E1290" s="73" t="s">
        <v>48</v>
      </c>
      <c r="F1290" s="73" t="s">
        <v>55</v>
      </c>
      <c r="G1290" s="73" t="s">
        <v>32</v>
      </c>
      <c r="H1290" s="74" t="s">
        <v>1531</v>
      </c>
      <c r="I1290" s="74">
        <v>23</v>
      </c>
      <c r="J1290" s="75">
        <v>0</v>
      </c>
      <c r="K1290" s="75"/>
    </row>
    <row r="1291" s="1" customFormat="1" ht="14.25" spans="1:11">
      <c r="A1291" s="71">
        <v>9</v>
      </c>
      <c r="B1291" s="72">
        <v>30</v>
      </c>
      <c r="C1291" s="72">
        <v>9</v>
      </c>
      <c r="D1291" s="73" t="s">
        <v>1169</v>
      </c>
      <c r="E1291" s="73" t="s">
        <v>100</v>
      </c>
      <c r="F1291" s="73" t="s">
        <v>101</v>
      </c>
      <c r="G1291" s="73" t="s">
        <v>32</v>
      </c>
      <c r="H1291" s="74" t="s">
        <v>1531</v>
      </c>
      <c r="I1291" s="74">
        <v>1034</v>
      </c>
      <c r="J1291" s="75">
        <v>0</v>
      </c>
      <c r="K1291" s="75"/>
    </row>
    <row r="1292" s="1" customFormat="1" ht="14.25" spans="1:11">
      <c r="A1292" s="71">
        <v>9</v>
      </c>
      <c r="B1292" s="72">
        <v>30</v>
      </c>
      <c r="C1292" s="72">
        <v>9</v>
      </c>
      <c r="D1292" s="73" t="s">
        <v>1532</v>
      </c>
      <c r="E1292" s="73" t="s">
        <v>48</v>
      </c>
      <c r="F1292" s="73" t="s">
        <v>207</v>
      </c>
      <c r="G1292" s="73" t="s">
        <v>32</v>
      </c>
      <c r="H1292" s="74" t="s">
        <v>1531</v>
      </c>
      <c r="I1292" s="74">
        <v>280</v>
      </c>
      <c r="J1292" s="75">
        <v>0</v>
      </c>
      <c r="K1292" s="75"/>
    </row>
    <row r="1293" s="1" customFormat="1" ht="14.25" spans="1:11">
      <c r="A1293" s="71">
        <v>9</v>
      </c>
      <c r="B1293" s="72">
        <v>30</v>
      </c>
      <c r="C1293" s="72">
        <v>9</v>
      </c>
      <c r="D1293" s="73" t="s">
        <v>1533</v>
      </c>
      <c r="E1293" s="73" t="s">
        <v>48</v>
      </c>
      <c r="F1293" s="73" t="s">
        <v>207</v>
      </c>
      <c r="G1293" s="73" t="s">
        <v>32</v>
      </c>
      <c r="H1293" s="74" t="s">
        <v>1531</v>
      </c>
      <c r="I1293" s="74">
        <v>8095</v>
      </c>
      <c r="J1293" s="75">
        <v>0</v>
      </c>
      <c r="K1293" s="75"/>
    </row>
    <row r="1294" s="1" customFormat="1" ht="14.25" spans="1:11">
      <c r="A1294" s="71">
        <v>9</v>
      </c>
      <c r="B1294" s="72">
        <v>30</v>
      </c>
      <c r="C1294" s="72">
        <v>9</v>
      </c>
      <c r="D1294" s="73" t="s">
        <v>1534</v>
      </c>
      <c r="E1294" s="73" t="s">
        <v>48</v>
      </c>
      <c r="F1294" s="73" t="s">
        <v>207</v>
      </c>
      <c r="G1294" s="73" t="s">
        <v>32</v>
      </c>
      <c r="H1294" s="74" t="s">
        <v>1531</v>
      </c>
      <c r="I1294" s="74">
        <v>238</v>
      </c>
      <c r="J1294" s="75">
        <v>0</v>
      </c>
      <c r="K1294" s="75"/>
    </row>
    <row r="1295" s="1" customFormat="1" ht="14.25" spans="1:11">
      <c r="A1295" s="71">
        <v>9</v>
      </c>
      <c r="B1295" s="72">
        <v>30</v>
      </c>
      <c r="C1295" s="72">
        <v>9</v>
      </c>
      <c r="D1295" s="73" t="s">
        <v>1535</v>
      </c>
      <c r="E1295" s="73" t="s">
        <v>48</v>
      </c>
      <c r="F1295" s="73" t="s">
        <v>55</v>
      </c>
      <c r="G1295" s="73" t="s">
        <v>32</v>
      </c>
      <c r="H1295" s="74" t="s">
        <v>1536</v>
      </c>
      <c r="I1295" s="74">
        <v>308</v>
      </c>
      <c r="J1295" s="75">
        <v>0</v>
      </c>
      <c r="K1295" s="75"/>
    </row>
    <row r="1296" s="1" customFormat="1" ht="14.25" spans="1:11">
      <c r="A1296" s="71">
        <v>9</v>
      </c>
      <c r="B1296" s="72">
        <v>30</v>
      </c>
      <c r="C1296" s="72">
        <v>9</v>
      </c>
      <c r="D1296" s="73" t="s">
        <v>1537</v>
      </c>
      <c r="E1296" s="73" t="s">
        <v>291</v>
      </c>
      <c r="F1296" s="73" t="s">
        <v>323</v>
      </c>
      <c r="G1296" s="73" t="s">
        <v>32</v>
      </c>
      <c r="H1296" s="74" t="s">
        <v>1536</v>
      </c>
      <c r="I1296" s="74">
        <v>1577.6</v>
      </c>
      <c r="J1296" s="75">
        <v>0</v>
      </c>
      <c r="K1296" s="75"/>
    </row>
    <row r="1297" s="1" customFormat="1" ht="14.25" spans="1:11">
      <c r="A1297" s="71">
        <v>9</v>
      </c>
      <c r="B1297" s="72">
        <v>30</v>
      </c>
      <c r="C1297" s="72">
        <v>9</v>
      </c>
      <c r="D1297" s="73" t="s">
        <v>1538</v>
      </c>
      <c r="E1297" s="73" t="s">
        <v>291</v>
      </c>
      <c r="F1297" s="73" t="s">
        <v>1539</v>
      </c>
      <c r="G1297" s="73" t="s">
        <v>32</v>
      </c>
      <c r="H1297" s="74" t="s">
        <v>1536</v>
      </c>
      <c r="I1297" s="74">
        <v>1000</v>
      </c>
      <c r="J1297" s="75">
        <v>0</v>
      </c>
      <c r="K1297" s="75"/>
    </row>
    <row r="1298" s="1" customFormat="1" ht="14.25" spans="1:11">
      <c r="A1298" s="71">
        <v>9</v>
      </c>
      <c r="B1298" s="72">
        <v>30</v>
      </c>
      <c r="C1298" s="72">
        <v>9</v>
      </c>
      <c r="D1298" s="73" t="s">
        <v>1540</v>
      </c>
      <c r="E1298" s="73" t="s">
        <v>172</v>
      </c>
      <c r="F1298" s="73" t="s">
        <v>396</v>
      </c>
      <c r="G1298" s="73" t="s">
        <v>32</v>
      </c>
      <c r="H1298" s="74" t="s">
        <v>1536</v>
      </c>
      <c r="I1298" s="74">
        <v>2800</v>
      </c>
      <c r="J1298" s="75">
        <v>0</v>
      </c>
      <c r="K1298" s="75"/>
    </row>
    <row r="1299" s="1" customFormat="1" ht="14.25" spans="1:11">
      <c r="A1299" s="71">
        <v>9</v>
      </c>
      <c r="B1299" s="72">
        <v>30</v>
      </c>
      <c r="C1299" s="72">
        <v>9</v>
      </c>
      <c r="D1299" s="73" t="s">
        <v>1541</v>
      </c>
      <c r="E1299" s="73" t="s">
        <v>172</v>
      </c>
      <c r="F1299" s="73" t="s">
        <v>396</v>
      </c>
      <c r="G1299" s="73" t="s">
        <v>32</v>
      </c>
      <c r="H1299" s="74" t="s">
        <v>1536</v>
      </c>
      <c r="I1299" s="74">
        <v>9300</v>
      </c>
      <c r="J1299" s="75">
        <v>0</v>
      </c>
      <c r="K1299" s="75"/>
    </row>
    <row r="1300" s="1" customFormat="1" ht="14.25" spans="1:11">
      <c r="A1300" s="71">
        <v>9</v>
      </c>
      <c r="B1300" s="72">
        <v>30</v>
      </c>
      <c r="C1300" s="72">
        <v>10</v>
      </c>
      <c r="D1300" s="73" t="s">
        <v>1542</v>
      </c>
      <c r="E1300" s="73" t="s">
        <v>172</v>
      </c>
      <c r="F1300" s="73" t="s">
        <v>1325</v>
      </c>
      <c r="G1300" s="73" t="s">
        <v>32</v>
      </c>
      <c r="H1300" s="74" t="s">
        <v>1543</v>
      </c>
      <c r="I1300" s="74">
        <v>1500</v>
      </c>
      <c r="J1300" s="75">
        <v>0</v>
      </c>
      <c r="K1300" s="75"/>
    </row>
    <row r="1301" s="1" customFormat="1" ht="14.25" spans="1:11">
      <c r="A1301" s="71">
        <v>9</v>
      </c>
      <c r="B1301" s="72">
        <v>30</v>
      </c>
      <c r="C1301" s="72">
        <v>10</v>
      </c>
      <c r="D1301" s="73" t="s">
        <v>1544</v>
      </c>
      <c r="E1301" s="73" t="s">
        <v>172</v>
      </c>
      <c r="F1301" s="73" t="s">
        <v>876</v>
      </c>
      <c r="G1301" s="73" t="s">
        <v>32</v>
      </c>
      <c r="H1301" s="74" t="s">
        <v>1543</v>
      </c>
      <c r="I1301" s="74">
        <v>400</v>
      </c>
      <c r="J1301" s="75">
        <v>0</v>
      </c>
      <c r="K1301" s="75"/>
    </row>
    <row r="1302" s="1" customFormat="1" ht="14.25" spans="1:11">
      <c r="A1302" s="71">
        <v>9</v>
      </c>
      <c r="B1302" s="72">
        <v>30</v>
      </c>
      <c r="C1302" s="72">
        <v>10</v>
      </c>
      <c r="D1302" s="73" t="s">
        <v>1545</v>
      </c>
      <c r="E1302" s="73" t="s">
        <v>172</v>
      </c>
      <c r="F1302" s="73" t="s">
        <v>1325</v>
      </c>
      <c r="G1302" s="73" t="s">
        <v>32</v>
      </c>
      <c r="H1302" s="74" t="s">
        <v>1543</v>
      </c>
      <c r="I1302" s="74">
        <v>100</v>
      </c>
      <c r="J1302" s="75">
        <v>0</v>
      </c>
      <c r="K1302" s="75"/>
    </row>
    <row r="1303" s="1" customFormat="1" ht="14.25" spans="1:11">
      <c r="A1303" s="71">
        <v>9</v>
      </c>
      <c r="B1303" s="72">
        <v>30</v>
      </c>
      <c r="C1303" s="72">
        <v>10</v>
      </c>
      <c r="D1303" s="73" t="s">
        <v>1546</v>
      </c>
      <c r="E1303" s="73" t="s">
        <v>172</v>
      </c>
      <c r="F1303" s="73" t="s">
        <v>1325</v>
      </c>
      <c r="G1303" s="73" t="s">
        <v>32</v>
      </c>
      <c r="H1303" s="74" t="s">
        <v>1543</v>
      </c>
      <c r="I1303" s="74">
        <v>400</v>
      </c>
      <c r="J1303" s="75">
        <v>0</v>
      </c>
      <c r="K1303" s="75"/>
    </row>
    <row r="1304" s="1" customFormat="1" ht="14.25" spans="1:11">
      <c r="A1304" s="71">
        <v>9</v>
      </c>
      <c r="B1304" s="72">
        <v>30</v>
      </c>
      <c r="C1304" s="72">
        <v>10</v>
      </c>
      <c r="D1304" s="73" t="s">
        <v>1547</v>
      </c>
      <c r="E1304" s="73" t="s">
        <v>291</v>
      </c>
      <c r="F1304" s="73" t="s">
        <v>719</v>
      </c>
      <c r="G1304" s="73" t="s">
        <v>32</v>
      </c>
      <c r="H1304" s="74" t="s">
        <v>1543</v>
      </c>
      <c r="I1304" s="74">
        <v>37965</v>
      </c>
      <c r="J1304" s="75">
        <v>0</v>
      </c>
      <c r="K1304" s="75"/>
    </row>
    <row r="1305" s="1" customFormat="1" ht="14.25" spans="1:11">
      <c r="A1305" s="77">
        <v>10</v>
      </c>
      <c r="B1305" s="78">
        <v>31</v>
      </c>
      <c r="C1305" s="78">
        <v>1</v>
      </c>
      <c r="D1305" s="79" t="s">
        <v>1548</v>
      </c>
      <c r="E1305" s="79" t="s">
        <v>48</v>
      </c>
      <c r="F1305" s="79" t="s">
        <v>55</v>
      </c>
      <c r="G1305" s="79" t="s">
        <v>32</v>
      </c>
      <c r="H1305" s="74" t="s">
        <v>1549</v>
      </c>
      <c r="I1305" s="80">
        <v>50</v>
      </c>
      <c r="J1305" s="25">
        <v>0</v>
      </c>
      <c r="K1305" s="76"/>
    </row>
    <row r="1306" s="1" customFormat="1" ht="14.25" spans="1:11">
      <c r="A1306" s="77">
        <v>10</v>
      </c>
      <c r="B1306" s="78">
        <v>31</v>
      </c>
      <c r="C1306" s="78">
        <v>1</v>
      </c>
      <c r="D1306" s="79" t="s">
        <v>1550</v>
      </c>
      <c r="E1306" s="79" t="s">
        <v>118</v>
      </c>
      <c r="F1306" s="79" t="s">
        <v>55</v>
      </c>
      <c r="G1306" s="79" t="s">
        <v>32</v>
      </c>
      <c r="H1306" s="74" t="s">
        <v>1549</v>
      </c>
      <c r="I1306" s="80">
        <v>24</v>
      </c>
      <c r="J1306" s="25">
        <v>0</v>
      </c>
      <c r="K1306" s="76"/>
    </row>
    <row r="1307" s="1" customFormat="1" ht="14.25" spans="1:11">
      <c r="A1307" s="77">
        <v>10</v>
      </c>
      <c r="B1307" s="78">
        <v>31</v>
      </c>
      <c r="C1307" s="78">
        <v>1</v>
      </c>
      <c r="D1307" s="79" t="s">
        <v>1551</v>
      </c>
      <c r="E1307" s="79" t="s">
        <v>118</v>
      </c>
      <c r="F1307" s="79" t="s">
        <v>154</v>
      </c>
      <c r="G1307" s="79" t="s">
        <v>32</v>
      </c>
      <c r="H1307" s="74" t="s">
        <v>1549</v>
      </c>
      <c r="I1307" s="80">
        <v>10</v>
      </c>
      <c r="J1307" s="25">
        <v>0</v>
      </c>
      <c r="K1307" s="76"/>
    </row>
    <row r="1308" s="1" customFormat="1" ht="14.25" spans="1:11">
      <c r="A1308" s="77">
        <v>10</v>
      </c>
      <c r="B1308" s="78">
        <v>31</v>
      </c>
      <c r="C1308" s="78">
        <v>1</v>
      </c>
      <c r="D1308" s="79" t="s">
        <v>1552</v>
      </c>
      <c r="E1308" s="79" t="s">
        <v>37</v>
      </c>
      <c r="F1308" s="79">
        <v>0</v>
      </c>
      <c r="G1308" s="79" t="s">
        <v>32</v>
      </c>
      <c r="H1308" s="74" t="s">
        <v>1549</v>
      </c>
      <c r="I1308" s="80">
        <v>3485</v>
      </c>
      <c r="J1308" s="25">
        <v>0</v>
      </c>
      <c r="K1308" s="76"/>
    </row>
    <row r="1309" s="1" customFormat="1" ht="14.25" spans="1:11">
      <c r="A1309" s="77">
        <v>10</v>
      </c>
      <c r="B1309" s="78">
        <v>31</v>
      </c>
      <c r="C1309" s="78">
        <v>1</v>
      </c>
      <c r="D1309" s="79" t="s">
        <v>1553</v>
      </c>
      <c r="E1309" s="79" t="s">
        <v>37</v>
      </c>
      <c r="F1309" s="79">
        <v>0</v>
      </c>
      <c r="G1309" s="79" t="s">
        <v>32</v>
      </c>
      <c r="H1309" s="74" t="s">
        <v>1549</v>
      </c>
      <c r="I1309" s="80">
        <v>3175</v>
      </c>
      <c r="J1309" s="25">
        <v>0</v>
      </c>
      <c r="K1309" s="76"/>
    </row>
    <row r="1310" s="1" customFormat="1" ht="14.25" spans="1:11">
      <c r="A1310" s="77">
        <v>10</v>
      </c>
      <c r="B1310" s="78">
        <v>31</v>
      </c>
      <c r="C1310" s="78">
        <v>1</v>
      </c>
      <c r="D1310" s="79" t="s">
        <v>1554</v>
      </c>
      <c r="E1310" s="79" t="s">
        <v>96</v>
      </c>
      <c r="F1310" s="79" t="s">
        <v>97</v>
      </c>
      <c r="G1310" s="79" t="s">
        <v>32</v>
      </c>
      <c r="H1310" s="74" t="s">
        <v>1555</v>
      </c>
      <c r="I1310" s="80">
        <v>64</v>
      </c>
      <c r="J1310" s="25">
        <v>0</v>
      </c>
      <c r="K1310" s="76"/>
    </row>
    <row r="1311" s="1" customFormat="1" ht="14.25" spans="1:11">
      <c r="A1311" s="77">
        <v>10</v>
      </c>
      <c r="B1311" s="78">
        <v>31</v>
      </c>
      <c r="C1311" s="78">
        <v>1</v>
      </c>
      <c r="D1311" s="79" t="s">
        <v>1556</v>
      </c>
      <c r="E1311" s="79" t="s">
        <v>48</v>
      </c>
      <c r="F1311" s="79" t="s">
        <v>1557</v>
      </c>
      <c r="G1311" s="79" t="s">
        <v>32</v>
      </c>
      <c r="H1311" s="74" t="s">
        <v>1555</v>
      </c>
      <c r="I1311" s="80">
        <v>215</v>
      </c>
      <c r="J1311" s="25">
        <v>0</v>
      </c>
      <c r="K1311" s="76"/>
    </row>
    <row r="1312" s="1" customFormat="1" spans="1:11">
      <c r="A1312" s="66">
        <v>10</v>
      </c>
      <c r="B1312" s="66">
        <v>31</v>
      </c>
      <c r="C1312" s="66">
        <v>1</v>
      </c>
      <c r="D1312" s="76" t="s">
        <v>1558</v>
      </c>
      <c r="E1312" s="76" t="s">
        <v>118</v>
      </c>
      <c r="F1312" s="76" t="s">
        <v>55</v>
      </c>
      <c r="G1312" s="76" t="s">
        <v>32</v>
      </c>
      <c r="H1312" s="74" t="s">
        <v>1555</v>
      </c>
      <c r="I1312" s="76">
        <v>260</v>
      </c>
      <c r="J1312" s="76">
        <v>0</v>
      </c>
      <c r="K1312" s="76"/>
    </row>
    <row r="1313" s="1" customFormat="1" spans="1:11">
      <c r="A1313" s="66">
        <v>10</v>
      </c>
      <c r="B1313" s="66">
        <v>31</v>
      </c>
      <c r="C1313" s="66">
        <v>1</v>
      </c>
      <c r="D1313" s="76" t="s">
        <v>1559</v>
      </c>
      <c r="E1313" s="76" t="s">
        <v>48</v>
      </c>
      <c r="F1313" s="76" t="s">
        <v>383</v>
      </c>
      <c r="G1313" s="76" t="s">
        <v>32</v>
      </c>
      <c r="H1313" s="74" t="s">
        <v>1555</v>
      </c>
      <c r="I1313" s="76">
        <v>550</v>
      </c>
      <c r="J1313" s="76">
        <v>0</v>
      </c>
      <c r="K1313" s="76"/>
    </row>
    <row r="1314" s="1" customFormat="1" ht="14.25" spans="1:11">
      <c r="A1314" s="77">
        <v>10</v>
      </c>
      <c r="B1314" s="78">
        <v>31</v>
      </c>
      <c r="C1314" s="78">
        <v>2</v>
      </c>
      <c r="D1314" s="79" t="s">
        <v>1560</v>
      </c>
      <c r="E1314" s="79" t="s">
        <v>96</v>
      </c>
      <c r="F1314" s="79" t="s">
        <v>1561</v>
      </c>
      <c r="G1314" s="79" t="s">
        <v>32</v>
      </c>
      <c r="H1314" s="74" t="s">
        <v>1562</v>
      </c>
      <c r="I1314" s="80">
        <v>3</v>
      </c>
      <c r="J1314" s="25">
        <v>0</v>
      </c>
      <c r="K1314" s="76"/>
    </row>
    <row r="1315" s="1" customFormat="1" ht="14.25" spans="1:11">
      <c r="A1315" s="77">
        <v>10</v>
      </c>
      <c r="B1315" s="78">
        <v>31</v>
      </c>
      <c r="C1315" s="78">
        <v>2</v>
      </c>
      <c r="D1315" s="79" t="s">
        <v>1563</v>
      </c>
      <c r="E1315" s="79" t="s">
        <v>118</v>
      </c>
      <c r="F1315" s="79" t="s">
        <v>136</v>
      </c>
      <c r="G1315" s="79" t="s">
        <v>32</v>
      </c>
      <c r="H1315" s="74" t="s">
        <v>1562</v>
      </c>
      <c r="I1315" s="80">
        <v>15</v>
      </c>
      <c r="J1315" s="25">
        <v>0</v>
      </c>
      <c r="K1315" s="76"/>
    </row>
    <row r="1316" s="1" customFormat="1" ht="14.25" spans="1:11">
      <c r="A1316" s="77">
        <v>10</v>
      </c>
      <c r="B1316" s="78">
        <v>31</v>
      </c>
      <c r="C1316" s="78">
        <v>2</v>
      </c>
      <c r="D1316" s="79" t="s">
        <v>1564</v>
      </c>
      <c r="E1316" s="79" t="s">
        <v>48</v>
      </c>
      <c r="F1316" s="79" t="s">
        <v>1565</v>
      </c>
      <c r="G1316" s="79" t="s">
        <v>32</v>
      </c>
      <c r="H1316" s="74" t="s">
        <v>1562</v>
      </c>
      <c r="I1316" s="80">
        <v>1050</v>
      </c>
      <c r="J1316" s="25">
        <v>0</v>
      </c>
      <c r="K1316" s="76"/>
    </row>
    <row r="1317" s="1" customFormat="1" ht="14.25" spans="1:11">
      <c r="A1317" s="77">
        <v>10</v>
      </c>
      <c r="B1317" s="78">
        <v>31</v>
      </c>
      <c r="C1317" s="78">
        <v>2</v>
      </c>
      <c r="D1317" s="79" t="s">
        <v>1566</v>
      </c>
      <c r="E1317" s="79" t="s">
        <v>118</v>
      </c>
      <c r="F1317" s="79" t="s">
        <v>136</v>
      </c>
      <c r="G1317" s="79" t="s">
        <v>32</v>
      </c>
      <c r="H1317" s="74" t="s">
        <v>1562</v>
      </c>
      <c r="I1317" s="80">
        <v>883</v>
      </c>
      <c r="J1317" s="25">
        <v>0</v>
      </c>
      <c r="K1317" s="76"/>
    </row>
    <row r="1318" s="1" customFormat="1" ht="14.25" spans="1:11">
      <c r="A1318" s="77">
        <v>10</v>
      </c>
      <c r="B1318" s="78">
        <v>31</v>
      </c>
      <c r="C1318" s="78">
        <v>2</v>
      </c>
      <c r="D1318" s="79" t="s">
        <v>1567</v>
      </c>
      <c r="E1318" s="79" t="s">
        <v>118</v>
      </c>
      <c r="F1318" s="79" t="s">
        <v>136</v>
      </c>
      <c r="G1318" s="79" t="s">
        <v>32</v>
      </c>
      <c r="H1318" s="74" t="s">
        <v>1562</v>
      </c>
      <c r="I1318" s="80">
        <v>550</v>
      </c>
      <c r="J1318" s="25">
        <v>0</v>
      </c>
      <c r="K1318" s="76"/>
    </row>
    <row r="1319" s="1" customFormat="1" ht="14.25" spans="1:11">
      <c r="A1319" s="77">
        <v>10</v>
      </c>
      <c r="B1319" s="78">
        <v>31</v>
      </c>
      <c r="C1319" s="78">
        <v>2</v>
      </c>
      <c r="D1319" s="79" t="s">
        <v>1285</v>
      </c>
      <c r="E1319" s="79" t="s">
        <v>118</v>
      </c>
      <c r="F1319" s="79" t="s">
        <v>136</v>
      </c>
      <c r="G1319" s="79" t="s">
        <v>32</v>
      </c>
      <c r="H1319" s="74" t="s">
        <v>1568</v>
      </c>
      <c r="I1319" s="80">
        <v>31</v>
      </c>
      <c r="J1319" s="25">
        <v>0</v>
      </c>
      <c r="K1319" s="76"/>
    </row>
    <row r="1320" s="1" customFormat="1" ht="14.25" spans="1:11">
      <c r="A1320" s="77">
        <v>10</v>
      </c>
      <c r="B1320" s="78">
        <v>31</v>
      </c>
      <c r="C1320" s="78">
        <v>2</v>
      </c>
      <c r="D1320" s="79" t="s">
        <v>1569</v>
      </c>
      <c r="E1320" s="79" t="s">
        <v>118</v>
      </c>
      <c r="F1320" s="79" t="s">
        <v>136</v>
      </c>
      <c r="G1320" s="79" t="s">
        <v>32</v>
      </c>
      <c r="H1320" s="74" t="s">
        <v>1568</v>
      </c>
      <c r="I1320" s="80">
        <v>225</v>
      </c>
      <c r="J1320" s="25">
        <v>0</v>
      </c>
      <c r="K1320" s="76"/>
    </row>
    <row r="1321" s="1" customFormat="1" ht="14.25" spans="1:11">
      <c r="A1321" s="77">
        <v>10</v>
      </c>
      <c r="B1321" s="78">
        <v>31</v>
      </c>
      <c r="C1321" s="78">
        <v>2</v>
      </c>
      <c r="D1321" s="79" t="s">
        <v>611</v>
      </c>
      <c r="E1321" s="79" t="s">
        <v>96</v>
      </c>
      <c r="F1321" s="79" t="s">
        <v>97</v>
      </c>
      <c r="G1321" s="79" t="s">
        <v>32</v>
      </c>
      <c r="H1321" s="74" t="s">
        <v>1568</v>
      </c>
      <c r="I1321" s="80">
        <v>243</v>
      </c>
      <c r="J1321" s="25">
        <v>0</v>
      </c>
      <c r="K1321" s="76"/>
    </row>
    <row r="1322" s="1" customFormat="1" ht="14.25" spans="1:11">
      <c r="A1322" s="77">
        <v>10</v>
      </c>
      <c r="B1322" s="78">
        <v>31</v>
      </c>
      <c r="C1322" s="78">
        <v>2</v>
      </c>
      <c r="D1322" s="79" t="s">
        <v>1570</v>
      </c>
      <c r="E1322" s="79" t="s">
        <v>118</v>
      </c>
      <c r="F1322" s="79" t="s">
        <v>136</v>
      </c>
      <c r="G1322" s="79" t="s">
        <v>32</v>
      </c>
      <c r="H1322" s="74" t="s">
        <v>1568</v>
      </c>
      <c r="I1322" s="80">
        <v>190</v>
      </c>
      <c r="J1322" s="25">
        <v>0</v>
      </c>
      <c r="K1322" s="76"/>
    </row>
    <row r="1323" s="1" customFormat="1" ht="14.25" spans="1:11">
      <c r="A1323" s="77">
        <v>10</v>
      </c>
      <c r="B1323" s="78">
        <v>31</v>
      </c>
      <c r="C1323" s="78">
        <v>2</v>
      </c>
      <c r="D1323" s="79" t="s">
        <v>1571</v>
      </c>
      <c r="E1323" s="79" t="s">
        <v>118</v>
      </c>
      <c r="F1323" s="79" t="s">
        <v>156</v>
      </c>
      <c r="G1323" s="79" t="s">
        <v>32</v>
      </c>
      <c r="H1323" s="74" t="s">
        <v>1568</v>
      </c>
      <c r="I1323" s="80">
        <v>650</v>
      </c>
      <c r="J1323" s="25">
        <v>0</v>
      </c>
      <c r="K1323" s="76"/>
    </row>
    <row r="1324" s="1" customFormat="1" ht="14.25" spans="1:11">
      <c r="A1324" s="77">
        <v>10</v>
      </c>
      <c r="B1324" s="78">
        <v>31</v>
      </c>
      <c r="C1324" s="78">
        <v>3</v>
      </c>
      <c r="D1324" s="79" t="s">
        <v>1572</v>
      </c>
      <c r="E1324" s="79" t="s">
        <v>96</v>
      </c>
      <c r="F1324" s="79" t="s">
        <v>1561</v>
      </c>
      <c r="G1324" s="79" t="s">
        <v>32</v>
      </c>
      <c r="H1324" s="74" t="s">
        <v>1573</v>
      </c>
      <c r="I1324" s="80">
        <v>9</v>
      </c>
      <c r="J1324" s="25">
        <v>0</v>
      </c>
      <c r="K1324" s="76"/>
    </row>
    <row r="1325" s="1" customFormat="1" ht="14.25" spans="1:11">
      <c r="A1325" s="77">
        <v>10</v>
      </c>
      <c r="B1325" s="78">
        <v>31</v>
      </c>
      <c r="C1325" s="78">
        <v>3</v>
      </c>
      <c r="D1325" s="79" t="s">
        <v>275</v>
      </c>
      <c r="E1325" s="79" t="s">
        <v>48</v>
      </c>
      <c r="F1325" s="79" t="s">
        <v>1565</v>
      </c>
      <c r="G1325" s="79" t="s">
        <v>32</v>
      </c>
      <c r="H1325" s="74" t="s">
        <v>1573</v>
      </c>
      <c r="I1325" s="80">
        <v>136</v>
      </c>
      <c r="J1325" s="25">
        <v>0</v>
      </c>
      <c r="K1325" s="76"/>
    </row>
    <row r="1326" s="1" customFormat="1" ht="14.25" spans="1:11">
      <c r="A1326" s="77">
        <v>10</v>
      </c>
      <c r="B1326" s="78">
        <v>31</v>
      </c>
      <c r="C1326" s="78">
        <v>3</v>
      </c>
      <c r="D1326" s="79" t="s">
        <v>1574</v>
      </c>
      <c r="E1326" s="79" t="s">
        <v>96</v>
      </c>
      <c r="F1326" s="79" t="s">
        <v>97</v>
      </c>
      <c r="G1326" s="79" t="s">
        <v>32</v>
      </c>
      <c r="H1326" s="74" t="s">
        <v>1573</v>
      </c>
      <c r="I1326" s="80">
        <v>90</v>
      </c>
      <c r="J1326" s="25">
        <v>0</v>
      </c>
      <c r="K1326" s="76"/>
    </row>
    <row r="1327" s="1" customFormat="1" ht="14.25" spans="1:11">
      <c r="A1327" s="77">
        <v>10</v>
      </c>
      <c r="B1327" s="78">
        <v>31</v>
      </c>
      <c r="C1327" s="78">
        <v>3</v>
      </c>
      <c r="D1327" s="79" t="s">
        <v>1575</v>
      </c>
      <c r="E1327" s="79" t="s">
        <v>118</v>
      </c>
      <c r="F1327" s="79" t="s">
        <v>55</v>
      </c>
      <c r="G1327" s="79" t="s">
        <v>32</v>
      </c>
      <c r="H1327" s="74" t="s">
        <v>1573</v>
      </c>
      <c r="I1327" s="80">
        <v>1400</v>
      </c>
      <c r="J1327" s="25">
        <v>0</v>
      </c>
      <c r="K1327" s="76"/>
    </row>
    <row r="1328" s="1" customFormat="1" ht="14.25" spans="1:11">
      <c r="A1328" s="77">
        <v>10</v>
      </c>
      <c r="B1328" s="78">
        <v>31</v>
      </c>
      <c r="C1328" s="78">
        <v>3</v>
      </c>
      <c r="D1328" s="79" t="s">
        <v>1576</v>
      </c>
      <c r="E1328" s="79" t="s">
        <v>48</v>
      </c>
      <c r="F1328" s="79" t="s">
        <v>1008</v>
      </c>
      <c r="G1328" s="79" t="s">
        <v>32</v>
      </c>
      <c r="H1328" s="74" t="s">
        <v>1573</v>
      </c>
      <c r="I1328" s="80">
        <v>50</v>
      </c>
      <c r="J1328" s="25">
        <v>0</v>
      </c>
      <c r="K1328" s="76"/>
    </row>
    <row r="1329" s="1" customFormat="1" ht="14.25" spans="1:11">
      <c r="A1329" s="77">
        <v>10</v>
      </c>
      <c r="B1329" s="78">
        <v>31</v>
      </c>
      <c r="C1329" s="78">
        <v>3</v>
      </c>
      <c r="D1329" s="79" t="s">
        <v>1577</v>
      </c>
      <c r="E1329" s="79" t="s">
        <v>118</v>
      </c>
      <c r="F1329" s="80" t="s">
        <v>55</v>
      </c>
      <c r="G1329" s="79" t="s">
        <v>32</v>
      </c>
      <c r="H1329" s="74" t="s">
        <v>1578</v>
      </c>
      <c r="I1329" s="80">
        <v>190</v>
      </c>
      <c r="J1329" s="25">
        <v>0</v>
      </c>
      <c r="K1329" s="76"/>
    </row>
    <row r="1330" s="1" customFormat="1" ht="14.25" spans="1:11">
      <c r="A1330" s="77">
        <v>10</v>
      </c>
      <c r="B1330" s="78">
        <v>31</v>
      </c>
      <c r="C1330" s="78">
        <v>3</v>
      </c>
      <c r="D1330" s="79" t="s">
        <v>1579</v>
      </c>
      <c r="E1330" s="79" t="s">
        <v>118</v>
      </c>
      <c r="F1330" s="80" t="s">
        <v>55</v>
      </c>
      <c r="G1330" s="79" t="s">
        <v>32</v>
      </c>
      <c r="H1330" s="74" t="s">
        <v>1578</v>
      </c>
      <c r="I1330" s="80">
        <v>2600</v>
      </c>
      <c r="J1330" s="25">
        <v>0</v>
      </c>
      <c r="K1330" s="76"/>
    </row>
    <row r="1331" s="1" customFormat="1" ht="14.25" spans="1:11">
      <c r="A1331" s="77">
        <v>10</v>
      </c>
      <c r="B1331" s="78">
        <v>31</v>
      </c>
      <c r="C1331" s="78">
        <v>3</v>
      </c>
      <c r="D1331" s="79" t="s">
        <v>1580</v>
      </c>
      <c r="E1331" s="79" t="s">
        <v>172</v>
      </c>
      <c r="F1331" s="79" t="s">
        <v>396</v>
      </c>
      <c r="G1331" s="79" t="s">
        <v>32</v>
      </c>
      <c r="H1331" s="74" t="s">
        <v>1578</v>
      </c>
      <c r="I1331" s="80">
        <v>360</v>
      </c>
      <c r="J1331" s="25">
        <v>0</v>
      </c>
      <c r="K1331" s="76"/>
    </row>
    <row r="1332" s="1" customFormat="1" ht="14.25" spans="1:11">
      <c r="A1332" s="77">
        <v>10</v>
      </c>
      <c r="B1332" s="78">
        <v>31</v>
      </c>
      <c r="C1332" s="78">
        <v>3</v>
      </c>
      <c r="D1332" s="79" t="s">
        <v>1581</v>
      </c>
      <c r="E1332" s="79" t="s">
        <v>118</v>
      </c>
      <c r="F1332" s="79" t="s">
        <v>55</v>
      </c>
      <c r="G1332" s="79" t="s">
        <v>32</v>
      </c>
      <c r="H1332" s="74" t="s">
        <v>1578</v>
      </c>
      <c r="I1332" s="80">
        <v>600</v>
      </c>
      <c r="J1332" s="25">
        <v>0</v>
      </c>
      <c r="K1332" s="76"/>
    </row>
    <row r="1333" s="1" customFormat="1" ht="14.25" spans="1:11">
      <c r="A1333" s="77">
        <v>10</v>
      </c>
      <c r="B1333" s="78">
        <v>31</v>
      </c>
      <c r="C1333" s="78">
        <v>3</v>
      </c>
      <c r="D1333" s="79" t="s">
        <v>1582</v>
      </c>
      <c r="E1333" s="79" t="s">
        <v>172</v>
      </c>
      <c r="F1333" s="79" t="s">
        <v>681</v>
      </c>
      <c r="G1333" s="79" t="s">
        <v>32</v>
      </c>
      <c r="H1333" s="74" t="s">
        <v>1578</v>
      </c>
      <c r="I1333" s="80">
        <v>140</v>
      </c>
      <c r="J1333" s="25">
        <v>0</v>
      </c>
      <c r="K1333" s="76"/>
    </row>
    <row r="1334" s="1" customFormat="1" ht="14.25" spans="1:11">
      <c r="A1334" s="77">
        <v>10</v>
      </c>
      <c r="B1334" s="78">
        <v>31</v>
      </c>
      <c r="C1334" s="78">
        <v>4</v>
      </c>
      <c r="D1334" s="79" t="s">
        <v>131</v>
      </c>
      <c r="E1334" s="79" t="s">
        <v>96</v>
      </c>
      <c r="F1334" s="79" t="s">
        <v>97</v>
      </c>
      <c r="G1334" s="79" t="s">
        <v>32</v>
      </c>
      <c r="H1334" s="74" t="s">
        <v>1583</v>
      </c>
      <c r="I1334" s="80">
        <v>378</v>
      </c>
      <c r="J1334" s="25">
        <v>0</v>
      </c>
      <c r="K1334" s="76"/>
    </row>
    <row r="1335" s="1" customFormat="1" spans="1:11">
      <c r="A1335" s="21">
        <v>10</v>
      </c>
      <c r="B1335" s="78">
        <v>31</v>
      </c>
      <c r="C1335" s="21">
        <v>4</v>
      </c>
      <c r="D1335" s="25" t="s">
        <v>1584</v>
      </c>
      <c r="E1335" s="25" t="s">
        <v>48</v>
      </c>
      <c r="F1335" s="25" t="s">
        <v>1565</v>
      </c>
      <c r="G1335" s="25" t="s">
        <v>32</v>
      </c>
      <c r="H1335" s="74" t="s">
        <v>1583</v>
      </c>
      <c r="I1335" s="25">
        <v>60</v>
      </c>
      <c r="J1335" s="25">
        <v>0</v>
      </c>
      <c r="K1335" s="76"/>
    </row>
    <row r="1336" s="1" customFormat="1" ht="14.25" spans="1:11">
      <c r="A1336" s="77">
        <v>10</v>
      </c>
      <c r="B1336" s="78">
        <v>31</v>
      </c>
      <c r="C1336" s="78">
        <v>4</v>
      </c>
      <c r="D1336" s="79" t="s">
        <v>1585</v>
      </c>
      <c r="E1336" s="79" t="s">
        <v>48</v>
      </c>
      <c r="F1336" s="79" t="s">
        <v>1557</v>
      </c>
      <c r="G1336" s="79" t="s">
        <v>32</v>
      </c>
      <c r="H1336" s="74" t="s">
        <v>1583</v>
      </c>
      <c r="I1336" s="80">
        <v>42</v>
      </c>
      <c r="J1336" s="25">
        <v>0</v>
      </c>
      <c r="K1336" s="76"/>
    </row>
    <row r="1337" s="1" customFormat="1" ht="14.25" spans="1:11">
      <c r="A1337" s="77">
        <v>10</v>
      </c>
      <c r="B1337" s="78">
        <v>31</v>
      </c>
      <c r="C1337" s="78">
        <v>4</v>
      </c>
      <c r="D1337" s="79" t="s">
        <v>1586</v>
      </c>
      <c r="E1337" s="79" t="s">
        <v>118</v>
      </c>
      <c r="F1337" s="80" t="s">
        <v>55</v>
      </c>
      <c r="G1337" s="79" t="s">
        <v>32</v>
      </c>
      <c r="H1337" s="74" t="s">
        <v>1583</v>
      </c>
      <c r="I1337" s="80">
        <v>635</v>
      </c>
      <c r="J1337" s="25">
        <v>0</v>
      </c>
      <c r="K1337" s="76"/>
    </row>
    <row r="1338" s="1" customFormat="1" ht="14.25" spans="1:11">
      <c r="A1338" s="77">
        <v>10</v>
      </c>
      <c r="B1338" s="78">
        <v>31</v>
      </c>
      <c r="C1338" s="78">
        <v>4</v>
      </c>
      <c r="D1338" s="79" t="s">
        <v>1587</v>
      </c>
      <c r="E1338" s="79" t="s">
        <v>48</v>
      </c>
      <c r="F1338" s="79" t="s">
        <v>55</v>
      </c>
      <c r="G1338" s="79" t="s">
        <v>32</v>
      </c>
      <c r="H1338" s="74" t="s">
        <v>1583</v>
      </c>
      <c r="I1338" s="80">
        <v>22</v>
      </c>
      <c r="J1338" s="25">
        <v>0</v>
      </c>
      <c r="K1338" s="76"/>
    </row>
    <row r="1339" s="1" customFormat="1" spans="1:11">
      <c r="A1339" s="21">
        <v>10</v>
      </c>
      <c r="B1339" s="78">
        <v>31</v>
      </c>
      <c r="C1339" s="21">
        <v>4</v>
      </c>
      <c r="D1339" s="25" t="s">
        <v>1588</v>
      </c>
      <c r="E1339" s="25" t="s">
        <v>172</v>
      </c>
      <c r="F1339" s="25" t="s">
        <v>681</v>
      </c>
      <c r="G1339" s="25" t="s">
        <v>32</v>
      </c>
      <c r="H1339" s="74" t="s">
        <v>1589</v>
      </c>
      <c r="I1339" s="25">
        <v>130</v>
      </c>
      <c r="J1339" s="25">
        <v>0</v>
      </c>
      <c r="K1339" s="76"/>
    </row>
    <row r="1340" s="1" customFormat="1" ht="14.25" spans="1:11">
      <c r="A1340" s="77">
        <v>10</v>
      </c>
      <c r="B1340" s="78">
        <v>31</v>
      </c>
      <c r="C1340" s="78">
        <v>4</v>
      </c>
      <c r="D1340" s="79" t="s">
        <v>1590</v>
      </c>
      <c r="E1340" s="79" t="s">
        <v>118</v>
      </c>
      <c r="F1340" s="79" t="s">
        <v>55</v>
      </c>
      <c r="G1340" s="79" t="s">
        <v>32</v>
      </c>
      <c r="H1340" s="74" t="s">
        <v>1589</v>
      </c>
      <c r="I1340" s="80">
        <v>31</v>
      </c>
      <c r="J1340" s="25">
        <v>0</v>
      </c>
      <c r="K1340" s="76"/>
    </row>
    <row r="1341" s="1" customFormat="1" ht="14.25" spans="1:11">
      <c r="A1341" s="77">
        <v>10</v>
      </c>
      <c r="B1341" s="78">
        <v>31</v>
      </c>
      <c r="C1341" s="78">
        <v>4</v>
      </c>
      <c r="D1341" s="79" t="s">
        <v>1587</v>
      </c>
      <c r="E1341" s="79" t="s">
        <v>48</v>
      </c>
      <c r="F1341" s="79" t="s">
        <v>55</v>
      </c>
      <c r="G1341" s="79" t="s">
        <v>32</v>
      </c>
      <c r="H1341" s="74" t="s">
        <v>1589</v>
      </c>
      <c r="I1341" s="80">
        <v>22</v>
      </c>
      <c r="J1341" s="25">
        <v>0</v>
      </c>
      <c r="K1341" s="76"/>
    </row>
    <row r="1342" s="1" customFormat="1" ht="14.25" spans="1:11">
      <c r="A1342" s="77">
        <v>10</v>
      </c>
      <c r="B1342" s="78">
        <v>31</v>
      </c>
      <c r="C1342" s="78">
        <v>4</v>
      </c>
      <c r="D1342" s="79" t="s">
        <v>1591</v>
      </c>
      <c r="E1342" s="79" t="s">
        <v>118</v>
      </c>
      <c r="F1342" s="79" t="s">
        <v>55</v>
      </c>
      <c r="G1342" s="79" t="s">
        <v>32</v>
      </c>
      <c r="H1342" s="74" t="s">
        <v>1589</v>
      </c>
      <c r="I1342" s="80">
        <v>480</v>
      </c>
      <c r="J1342" s="25">
        <v>0</v>
      </c>
      <c r="K1342" s="76"/>
    </row>
    <row r="1343" s="1" customFormat="1" ht="14.25" spans="1:11">
      <c r="A1343" s="77">
        <v>10</v>
      </c>
      <c r="B1343" s="78">
        <v>31</v>
      </c>
      <c r="C1343" s="78">
        <v>5</v>
      </c>
      <c r="D1343" s="79" t="s">
        <v>275</v>
      </c>
      <c r="E1343" s="79" t="s">
        <v>48</v>
      </c>
      <c r="F1343" s="79" t="s">
        <v>1565</v>
      </c>
      <c r="G1343" s="79" t="s">
        <v>32</v>
      </c>
      <c r="H1343" s="74" t="s">
        <v>1592</v>
      </c>
      <c r="I1343" s="80">
        <v>297</v>
      </c>
      <c r="J1343" s="25">
        <v>0</v>
      </c>
      <c r="K1343" s="76"/>
    </row>
    <row r="1344" s="1" customFormat="1" ht="14.25" spans="1:11">
      <c r="A1344" s="77">
        <v>10</v>
      </c>
      <c r="B1344" s="78">
        <v>31</v>
      </c>
      <c r="C1344" s="78">
        <v>5</v>
      </c>
      <c r="D1344" s="79" t="s">
        <v>1593</v>
      </c>
      <c r="E1344" s="79" t="s">
        <v>48</v>
      </c>
      <c r="F1344" s="79" t="s">
        <v>383</v>
      </c>
      <c r="G1344" s="79" t="s">
        <v>32</v>
      </c>
      <c r="H1344" s="74" t="s">
        <v>1592</v>
      </c>
      <c r="I1344" s="80">
        <v>550</v>
      </c>
      <c r="J1344" s="25">
        <v>0</v>
      </c>
      <c r="K1344" s="76"/>
    </row>
    <row r="1345" s="1" customFormat="1" ht="14.25" spans="1:11">
      <c r="A1345" s="77">
        <v>10</v>
      </c>
      <c r="B1345" s="78">
        <v>31</v>
      </c>
      <c r="C1345" s="78">
        <v>5</v>
      </c>
      <c r="D1345" s="79" t="s">
        <v>1594</v>
      </c>
      <c r="E1345" s="79" t="s">
        <v>172</v>
      </c>
      <c r="F1345" s="79" t="s">
        <v>452</v>
      </c>
      <c r="G1345" s="79" t="s">
        <v>32</v>
      </c>
      <c r="H1345" s="74" t="s">
        <v>1592</v>
      </c>
      <c r="I1345" s="80">
        <v>220</v>
      </c>
      <c r="J1345" s="25">
        <v>0</v>
      </c>
      <c r="K1345" s="76"/>
    </row>
    <row r="1346" s="1" customFormat="1" ht="14.25" spans="1:11">
      <c r="A1346" s="77">
        <v>10</v>
      </c>
      <c r="B1346" s="78">
        <v>31</v>
      </c>
      <c r="C1346" s="78">
        <v>5</v>
      </c>
      <c r="D1346" s="79" t="s">
        <v>1595</v>
      </c>
      <c r="E1346" s="79" t="s">
        <v>118</v>
      </c>
      <c r="F1346" s="79" t="s">
        <v>55</v>
      </c>
      <c r="G1346" s="79" t="s">
        <v>32</v>
      </c>
      <c r="H1346" s="74" t="s">
        <v>1596</v>
      </c>
      <c r="I1346" s="80">
        <v>180</v>
      </c>
      <c r="J1346" s="25">
        <v>0</v>
      </c>
      <c r="K1346" s="76"/>
    </row>
    <row r="1347" s="1" customFormat="1" ht="14.25" spans="1:11">
      <c r="A1347" s="77">
        <v>10</v>
      </c>
      <c r="B1347" s="78">
        <v>31</v>
      </c>
      <c r="C1347" s="78">
        <v>5</v>
      </c>
      <c r="D1347" s="79" t="s">
        <v>1597</v>
      </c>
      <c r="E1347" s="79" t="s">
        <v>118</v>
      </c>
      <c r="F1347" s="79" t="s">
        <v>55</v>
      </c>
      <c r="G1347" s="79" t="s">
        <v>32</v>
      </c>
      <c r="H1347" s="74" t="s">
        <v>1596</v>
      </c>
      <c r="I1347" s="80">
        <v>71</v>
      </c>
      <c r="J1347" s="25">
        <v>0</v>
      </c>
      <c r="K1347" s="76"/>
    </row>
    <row r="1348" s="1" customFormat="1" ht="14.25" spans="1:11">
      <c r="A1348" s="77">
        <v>10</v>
      </c>
      <c r="B1348" s="78">
        <v>31</v>
      </c>
      <c r="C1348" s="78">
        <v>5</v>
      </c>
      <c r="D1348" s="79" t="s">
        <v>1598</v>
      </c>
      <c r="E1348" s="79" t="s">
        <v>48</v>
      </c>
      <c r="F1348" s="79" t="s">
        <v>1565</v>
      </c>
      <c r="G1348" s="79" t="s">
        <v>32</v>
      </c>
      <c r="H1348" s="74" t="s">
        <v>1596</v>
      </c>
      <c r="I1348" s="80">
        <v>50</v>
      </c>
      <c r="J1348" s="25">
        <v>0</v>
      </c>
      <c r="K1348" s="76"/>
    </row>
    <row r="1349" s="1" customFormat="1" ht="14.25" spans="1:11">
      <c r="A1349" s="77">
        <v>10</v>
      </c>
      <c r="B1349" s="78">
        <v>31</v>
      </c>
      <c r="C1349" s="78">
        <v>5</v>
      </c>
      <c r="D1349" s="79" t="s">
        <v>1599</v>
      </c>
      <c r="E1349" s="79" t="s">
        <v>172</v>
      </c>
      <c r="F1349" s="79" t="s">
        <v>681</v>
      </c>
      <c r="G1349" s="79" t="s">
        <v>32</v>
      </c>
      <c r="H1349" s="74" t="s">
        <v>1596</v>
      </c>
      <c r="I1349" s="80">
        <v>360</v>
      </c>
      <c r="J1349" s="25">
        <v>0</v>
      </c>
      <c r="K1349" s="76"/>
    </row>
    <row r="1350" s="1" customFormat="1" ht="14.25" spans="1:11">
      <c r="A1350" s="77">
        <v>10</v>
      </c>
      <c r="B1350" s="78">
        <v>31</v>
      </c>
      <c r="C1350" s="78">
        <v>5</v>
      </c>
      <c r="D1350" s="79" t="s">
        <v>1600</v>
      </c>
      <c r="E1350" s="79" t="s">
        <v>118</v>
      </c>
      <c r="F1350" s="79" t="s">
        <v>55</v>
      </c>
      <c r="G1350" s="79" t="s">
        <v>32</v>
      </c>
      <c r="H1350" s="74" t="s">
        <v>1596</v>
      </c>
      <c r="I1350" s="80">
        <v>2000</v>
      </c>
      <c r="J1350" s="25">
        <v>0</v>
      </c>
      <c r="K1350" s="76"/>
    </row>
    <row r="1351" s="1" customFormat="1" ht="14.25" spans="1:11">
      <c r="A1351" s="77">
        <v>10</v>
      </c>
      <c r="B1351" s="78">
        <v>31</v>
      </c>
      <c r="C1351" s="78">
        <v>6</v>
      </c>
      <c r="D1351" s="79" t="s">
        <v>1601</v>
      </c>
      <c r="E1351" s="79" t="s">
        <v>118</v>
      </c>
      <c r="F1351" s="79" t="s">
        <v>1602</v>
      </c>
      <c r="G1351" s="79" t="s">
        <v>32</v>
      </c>
      <c r="H1351" s="74" t="s">
        <v>1603</v>
      </c>
      <c r="I1351" s="80">
        <v>2840</v>
      </c>
      <c r="J1351" s="25">
        <v>0</v>
      </c>
      <c r="K1351" s="76"/>
    </row>
    <row r="1352" s="1" customFormat="1" ht="14.25" spans="1:11">
      <c r="A1352" s="77">
        <v>10</v>
      </c>
      <c r="B1352" s="78">
        <v>31</v>
      </c>
      <c r="C1352" s="78">
        <v>6</v>
      </c>
      <c r="D1352" s="79" t="s">
        <v>1604</v>
      </c>
      <c r="E1352" s="79" t="s">
        <v>118</v>
      </c>
      <c r="F1352" s="79" t="s">
        <v>1602</v>
      </c>
      <c r="G1352" s="79" t="s">
        <v>32</v>
      </c>
      <c r="H1352" s="74" t="s">
        <v>1603</v>
      </c>
      <c r="I1352" s="80">
        <v>50</v>
      </c>
      <c r="J1352" s="25">
        <v>0</v>
      </c>
      <c r="K1352" s="76"/>
    </row>
    <row r="1353" s="1" customFormat="1" ht="14.25" spans="1:11">
      <c r="A1353" s="77">
        <v>10</v>
      </c>
      <c r="B1353" s="78">
        <v>31</v>
      </c>
      <c r="C1353" s="78">
        <v>6</v>
      </c>
      <c r="D1353" s="79" t="s">
        <v>1605</v>
      </c>
      <c r="E1353" s="79" t="s">
        <v>118</v>
      </c>
      <c r="F1353" s="79" t="s">
        <v>1602</v>
      </c>
      <c r="G1353" s="79" t="s">
        <v>32</v>
      </c>
      <c r="H1353" s="74" t="s">
        <v>1603</v>
      </c>
      <c r="I1353" s="80">
        <v>6</v>
      </c>
      <c r="J1353" s="25">
        <v>0</v>
      </c>
      <c r="K1353" s="76"/>
    </row>
    <row r="1354" s="1" customFormat="1" ht="14.25" spans="1:11">
      <c r="A1354" s="77">
        <v>10</v>
      </c>
      <c r="B1354" s="78">
        <v>31</v>
      </c>
      <c r="C1354" s="78">
        <v>6</v>
      </c>
      <c r="D1354" s="79" t="s">
        <v>1606</v>
      </c>
      <c r="E1354" s="79" t="s">
        <v>118</v>
      </c>
      <c r="F1354" s="79" t="s">
        <v>55</v>
      </c>
      <c r="G1354" s="79" t="s">
        <v>32</v>
      </c>
      <c r="H1354" s="74" t="s">
        <v>1603</v>
      </c>
      <c r="I1354" s="80">
        <v>219</v>
      </c>
      <c r="J1354" s="25">
        <v>0</v>
      </c>
      <c r="K1354" s="76"/>
    </row>
    <row r="1355" s="1" customFormat="1" ht="14.25" spans="1:11">
      <c r="A1355" s="77">
        <v>10</v>
      </c>
      <c r="B1355" s="78">
        <v>31</v>
      </c>
      <c r="C1355" s="78">
        <v>6</v>
      </c>
      <c r="D1355" s="79" t="s">
        <v>1607</v>
      </c>
      <c r="E1355" s="79" t="s">
        <v>118</v>
      </c>
      <c r="F1355" s="79" t="s">
        <v>55</v>
      </c>
      <c r="G1355" s="79" t="s">
        <v>32</v>
      </c>
      <c r="H1355" s="74" t="s">
        <v>1603</v>
      </c>
      <c r="I1355" s="80">
        <v>30</v>
      </c>
      <c r="J1355" s="25">
        <v>0</v>
      </c>
      <c r="K1355" s="76"/>
    </row>
    <row r="1356" s="1" customFormat="1" ht="14.25" spans="1:11">
      <c r="A1356" s="77">
        <v>10</v>
      </c>
      <c r="B1356" s="78">
        <v>31</v>
      </c>
      <c r="C1356" s="78">
        <v>6</v>
      </c>
      <c r="D1356" s="79" t="s">
        <v>1608</v>
      </c>
      <c r="E1356" s="79" t="s">
        <v>118</v>
      </c>
      <c r="F1356" s="79" t="s">
        <v>55</v>
      </c>
      <c r="G1356" s="79" t="s">
        <v>32</v>
      </c>
      <c r="H1356" s="74" t="s">
        <v>1609</v>
      </c>
      <c r="I1356" s="80">
        <v>288</v>
      </c>
      <c r="J1356" s="25">
        <v>0</v>
      </c>
      <c r="K1356" s="76"/>
    </row>
    <row r="1357" s="1" customFormat="1" ht="14.25" spans="1:11">
      <c r="A1357" s="77">
        <v>10</v>
      </c>
      <c r="B1357" s="78">
        <v>31</v>
      </c>
      <c r="C1357" s="78">
        <v>6</v>
      </c>
      <c r="D1357" s="79" t="s">
        <v>1610</v>
      </c>
      <c r="E1357" s="79" t="s">
        <v>96</v>
      </c>
      <c r="F1357" s="79" t="s">
        <v>97</v>
      </c>
      <c r="G1357" s="79" t="s">
        <v>32</v>
      </c>
      <c r="H1357" s="74" t="s">
        <v>1609</v>
      </c>
      <c r="I1357" s="80">
        <v>240</v>
      </c>
      <c r="J1357" s="25">
        <v>0</v>
      </c>
      <c r="K1357" s="76"/>
    </row>
    <row r="1358" s="1" customFormat="1" ht="14.25" spans="1:11">
      <c r="A1358" s="77">
        <v>10</v>
      </c>
      <c r="B1358" s="78">
        <v>31</v>
      </c>
      <c r="C1358" s="78">
        <v>6</v>
      </c>
      <c r="D1358" s="79" t="s">
        <v>1611</v>
      </c>
      <c r="E1358" s="79" t="s">
        <v>96</v>
      </c>
      <c r="F1358" s="79" t="s">
        <v>1561</v>
      </c>
      <c r="G1358" s="79" t="s">
        <v>32</v>
      </c>
      <c r="H1358" s="74" t="s">
        <v>1609</v>
      </c>
      <c r="I1358" s="80">
        <v>33.5</v>
      </c>
      <c r="J1358" s="25">
        <v>0</v>
      </c>
      <c r="K1358" s="76"/>
    </row>
    <row r="1359" s="1" customFormat="1" ht="14.25" spans="1:11">
      <c r="A1359" s="77">
        <v>10</v>
      </c>
      <c r="B1359" s="78">
        <v>31</v>
      </c>
      <c r="C1359" s="78">
        <v>6</v>
      </c>
      <c r="D1359" s="79" t="s">
        <v>1612</v>
      </c>
      <c r="E1359" s="79" t="s">
        <v>118</v>
      </c>
      <c r="F1359" s="79" t="s">
        <v>55</v>
      </c>
      <c r="G1359" s="79" t="s">
        <v>32</v>
      </c>
      <c r="H1359" s="74" t="s">
        <v>1609</v>
      </c>
      <c r="I1359" s="80">
        <v>400</v>
      </c>
      <c r="J1359" s="25">
        <v>0</v>
      </c>
      <c r="K1359" s="76"/>
    </row>
    <row r="1360" s="1" customFormat="1" spans="1:11">
      <c r="A1360" s="21">
        <v>10</v>
      </c>
      <c r="B1360" s="78">
        <v>31</v>
      </c>
      <c r="C1360" s="21">
        <v>7</v>
      </c>
      <c r="D1360" s="25" t="s">
        <v>1613</v>
      </c>
      <c r="E1360" s="25" t="s">
        <v>118</v>
      </c>
      <c r="F1360" s="25" t="s">
        <v>55</v>
      </c>
      <c r="G1360" s="25" t="s">
        <v>32</v>
      </c>
      <c r="H1360" s="74" t="s">
        <v>1614</v>
      </c>
      <c r="I1360" s="25">
        <v>300</v>
      </c>
      <c r="J1360" s="25">
        <v>0</v>
      </c>
      <c r="K1360" s="76"/>
    </row>
    <row r="1361" s="1" customFormat="1" ht="14.25" spans="1:11">
      <c r="A1361" s="77">
        <v>10</v>
      </c>
      <c r="B1361" s="78">
        <v>31</v>
      </c>
      <c r="C1361" s="78">
        <v>7</v>
      </c>
      <c r="D1361" s="79" t="s">
        <v>1615</v>
      </c>
      <c r="E1361" s="79" t="s">
        <v>48</v>
      </c>
      <c r="F1361" s="79" t="s">
        <v>1565</v>
      </c>
      <c r="G1361" s="79" t="s">
        <v>32</v>
      </c>
      <c r="H1361" s="74" t="s">
        <v>1614</v>
      </c>
      <c r="I1361" s="80">
        <v>36</v>
      </c>
      <c r="J1361" s="25">
        <v>0</v>
      </c>
      <c r="K1361" s="76"/>
    </row>
    <row r="1362" s="1" customFormat="1" ht="14.25" spans="1:11">
      <c r="A1362" s="77">
        <v>10</v>
      </c>
      <c r="B1362" s="78">
        <v>31</v>
      </c>
      <c r="C1362" s="78">
        <v>7</v>
      </c>
      <c r="D1362" s="79" t="s">
        <v>1616</v>
      </c>
      <c r="E1362" s="79" t="s">
        <v>48</v>
      </c>
      <c r="F1362" s="79" t="s">
        <v>1565</v>
      </c>
      <c r="G1362" s="79" t="s">
        <v>32</v>
      </c>
      <c r="H1362" s="74" t="s">
        <v>1614</v>
      </c>
      <c r="I1362" s="80">
        <v>30</v>
      </c>
      <c r="J1362" s="25">
        <v>0</v>
      </c>
      <c r="K1362" s="76"/>
    </row>
    <row r="1363" s="1" customFormat="1" ht="14.25" spans="1:11">
      <c r="A1363" s="77">
        <v>10</v>
      </c>
      <c r="B1363" s="78">
        <v>31</v>
      </c>
      <c r="C1363" s="78">
        <v>7</v>
      </c>
      <c r="D1363" s="79" t="s">
        <v>1617</v>
      </c>
      <c r="E1363" s="79" t="s">
        <v>48</v>
      </c>
      <c r="F1363" s="79" t="s">
        <v>209</v>
      </c>
      <c r="G1363" s="79" t="s">
        <v>32</v>
      </c>
      <c r="H1363" s="74" t="s">
        <v>1614</v>
      </c>
      <c r="I1363" s="80">
        <v>16.5</v>
      </c>
      <c r="J1363" s="25">
        <v>0</v>
      </c>
      <c r="K1363" s="76"/>
    </row>
    <row r="1364" s="1" customFormat="1" ht="14.25" spans="1:11">
      <c r="A1364" s="77">
        <v>10</v>
      </c>
      <c r="B1364" s="78">
        <v>31</v>
      </c>
      <c r="C1364" s="78">
        <v>7</v>
      </c>
      <c r="D1364" s="79" t="s">
        <v>1618</v>
      </c>
      <c r="E1364" s="79" t="s">
        <v>118</v>
      </c>
      <c r="F1364" s="79" t="s">
        <v>55</v>
      </c>
      <c r="G1364" s="79" t="s">
        <v>32</v>
      </c>
      <c r="H1364" s="74" t="s">
        <v>1614</v>
      </c>
      <c r="I1364" s="80">
        <v>52</v>
      </c>
      <c r="J1364" s="25">
        <v>0</v>
      </c>
      <c r="K1364" s="76"/>
    </row>
    <row r="1365" s="1" customFormat="1" ht="14.25" spans="1:11">
      <c r="A1365" s="77">
        <v>10</v>
      </c>
      <c r="B1365" s="78">
        <v>31</v>
      </c>
      <c r="C1365" s="78">
        <v>7</v>
      </c>
      <c r="D1365" s="79" t="s">
        <v>1619</v>
      </c>
      <c r="E1365" s="79" t="s">
        <v>118</v>
      </c>
      <c r="F1365" s="79" t="s">
        <v>55</v>
      </c>
      <c r="G1365" s="79" t="s">
        <v>32</v>
      </c>
      <c r="H1365" s="74" t="s">
        <v>1620</v>
      </c>
      <c r="I1365" s="80">
        <v>575</v>
      </c>
      <c r="J1365" s="25">
        <v>0</v>
      </c>
      <c r="K1365" s="76"/>
    </row>
    <row r="1366" s="1" customFormat="1" ht="14.25" spans="1:11">
      <c r="A1366" s="77">
        <v>10</v>
      </c>
      <c r="B1366" s="78">
        <v>31</v>
      </c>
      <c r="C1366" s="78">
        <v>7</v>
      </c>
      <c r="D1366" s="79" t="s">
        <v>275</v>
      </c>
      <c r="E1366" s="79" t="s">
        <v>48</v>
      </c>
      <c r="F1366" s="79" t="s">
        <v>1565</v>
      </c>
      <c r="G1366" s="79" t="s">
        <v>32</v>
      </c>
      <c r="H1366" s="74" t="s">
        <v>1620</v>
      </c>
      <c r="I1366" s="80">
        <v>140</v>
      </c>
      <c r="J1366" s="25">
        <v>0</v>
      </c>
      <c r="K1366" s="76"/>
    </row>
    <row r="1367" s="1" customFormat="1" ht="14.25" spans="1:11">
      <c r="A1367" s="77">
        <v>10</v>
      </c>
      <c r="B1367" s="78">
        <v>31</v>
      </c>
      <c r="C1367" s="78">
        <v>7</v>
      </c>
      <c r="D1367" s="79" t="s">
        <v>1621</v>
      </c>
      <c r="E1367" s="79" t="s">
        <v>118</v>
      </c>
      <c r="F1367" s="79" t="s">
        <v>55</v>
      </c>
      <c r="G1367" s="79" t="s">
        <v>32</v>
      </c>
      <c r="H1367" s="74" t="s">
        <v>1620</v>
      </c>
      <c r="I1367" s="80">
        <v>10</v>
      </c>
      <c r="J1367" s="25">
        <v>0</v>
      </c>
      <c r="K1367" s="76"/>
    </row>
    <row r="1368" s="1" customFormat="1" spans="1:11">
      <c r="A1368" s="21">
        <v>10</v>
      </c>
      <c r="B1368" s="78">
        <v>31</v>
      </c>
      <c r="C1368" s="21">
        <v>7</v>
      </c>
      <c r="D1368" s="25" t="s">
        <v>1622</v>
      </c>
      <c r="E1368" s="25" t="s">
        <v>118</v>
      </c>
      <c r="F1368" s="25" t="s">
        <v>55</v>
      </c>
      <c r="G1368" s="25" t="s">
        <v>32</v>
      </c>
      <c r="H1368" s="74" t="s">
        <v>1620</v>
      </c>
      <c r="I1368" s="25">
        <v>10</v>
      </c>
      <c r="J1368" s="25">
        <v>0</v>
      </c>
      <c r="K1368" s="76"/>
    </row>
    <row r="1369" s="1" customFormat="1" ht="14.25" spans="1:11">
      <c r="A1369" s="77">
        <v>10</v>
      </c>
      <c r="B1369" s="78">
        <v>31</v>
      </c>
      <c r="C1369" s="78">
        <v>7</v>
      </c>
      <c r="D1369" s="79" t="s">
        <v>1623</v>
      </c>
      <c r="E1369" s="79" t="s">
        <v>96</v>
      </c>
      <c r="F1369" s="79" t="s">
        <v>97</v>
      </c>
      <c r="G1369" s="79" t="s">
        <v>32</v>
      </c>
      <c r="H1369" s="74" t="s">
        <v>1620</v>
      </c>
      <c r="I1369" s="80">
        <v>2117</v>
      </c>
      <c r="J1369" s="25">
        <v>0</v>
      </c>
      <c r="K1369" s="76"/>
    </row>
    <row r="1370" s="1" customFormat="1" ht="14.25" spans="1:11">
      <c r="A1370" s="77">
        <v>10</v>
      </c>
      <c r="B1370" s="78">
        <v>31</v>
      </c>
      <c r="C1370" s="78">
        <v>8</v>
      </c>
      <c r="D1370" s="79" t="s">
        <v>1624</v>
      </c>
      <c r="E1370" s="79" t="s">
        <v>118</v>
      </c>
      <c r="F1370" s="79" t="s">
        <v>55</v>
      </c>
      <c r="G1370" s="79" t="s">
        <v>32</v>
      </c>
      <c r="H1370" s="74" t="s">
        <v>1625</v>
      </c>
      <c r="I1370" s="80">
        <v>98</v>
      </c>
      <c r="J1370" s="25">
        <v>0</v>
      </c>
      <c r="K1370" s="76"/>
    </row>
    <row r="1371" s="1" customFormat="1" spans="1:11">
      <c r="A1371" s="66">
        <v>10</v>
      </c>
      <c r="B1371" s="66">
        <v>31</v>
      </c>
      <c r="C1371" s="66">
        <v>8</v>
      </c>
      <c r="D1371" s="76" t="s">
        <v>1626</v>
      </c>
      <c r="E1371" s="76" t="s">
        <v>118</v>
      </c>
      <c r="F1371" s="76" t="s">
        <v>55</v>
      </c>
      <c r="G1371" s="76" t="s">
        <v>32</v>
      </c>
      <c r="H1371" s="74" t="s">
        <v>1625</v>
      </c>
      <c r="I1371" s="76">
        <v>2340</v>
      </c>
      <c r="J1371" s="76">
        <v>0</v>
      </c>
      <c r="K1371" s="76"/>
    </row>
    <row r="1372" s="1" customFormat="1" ht="14.25" spans="1:11">
      <c r="A1372" s="77">
        <v>10</v>
      </c>
      <c r="B1372" s="78">
        <v>31</v>
      </c>
      <c r="C1372" s="78">
        <v>8</v>
      </c>
      <c r="D1372" s="79" t="s">
        <v>1627</v>
      </c>
      <c r="E1372" s="79" t="s">
        <v>118</v>
      </c>
      <c r="F1372" s="79" t="s">
        <v>55</v>
      </c>
      <c r="G1372" s="79" t="s">
        <v>32</v>
      </c>
      <c r="H1372" s="74" t="s">
        <v>1625</v>
      </c>
      <c r="I1372" s="80">
        <v>5160</v>
      </c>
      <c r="J1372" s="25">
        <v>0</v>
      </c>
      <c r="K1372" s="76"/>
    </row>
    <row r="1373" s="1" customFormat="1" ht="14.25" spans="1:11">
      <c r="A1373" s="77">
        <v>10</v>
      </c>
      <c r="B1373" s="78">
        <v>31</v>
      </c>
      <c r="C1373" s="78">
        <v>8</v>
      </c>
      <c r="D1373" s="79" t="s">
        <v>1628</v>
      </c>
      <c r="E1373" s="79" t="s">
        <v>118</v>
      </c>
      <c r="F1373" s="80" t="s">
        <v>55</v>
      </c>
      <c r="G1373" s="79" t="s">
        <v>32</v>
      </c>
      <c r="H1373" s="74" t="s">
        <v>1625</v>
      </c>
      <c r="I1373" s="80">
        <v>56</v>
      </c>
      <c r="J1373" s="25">
        <v>0</v>
      </c>
      <c r="K1373" s="76"/>
    </row>
    <row r="1374" s="1" customFormat="1" ht="14.25" spans="1:11">
      <c r="A1374" s="77">
        <v>10</v>
      </c>
      <c r="B1374" s="78">
        <v>31</v>
      </c>
      <c r="C1374" s="78">
        <v>8</v>
      </c>
      <c r="D1374" s="79" t="s">
        <v>1629</v>
      </c>
      <c r="E1374" s="79" t="s">
        <v>118</v>
      </c>
      <c r="F1374" s="79" t="s">
        <v>55</v>
      </c>
      <c r="G1374" s="79" t="s">
        <v>32</v>
      </c>
      <c r="H1374" s="74" t="s">
        <v>1625</v>
      </c>
      <c r="I1374" s="80">
        <v>165</v>
      </c>
      <c r="J1374" s="25">
        <v>0</v>
      </c>
      <c r="K1374" s="76"/>
    </row>
    <row r="1375" s="1" customFormat="1" ht="14.25" spans="1:11">
      <c r="A1375" s="77">
        <v>10</v>
      </c>
      <c r="B1375" s="78">
        <v>31</v>
      </c>
      <c r="C1375" s="78">
        <v>8</v>
      </c>
      <c r="D1375" s="79" t="s">
        <v>1630</v>
      </c>
      <c r="E1375" s="79" t="s">
        <v>48</v>
      </c>
      <c r="F1375" s="79" t="s">
        <v>55</v>
      </c>
      <c r="G1375" s="79" t="s">
        <v>32</v>
      </c>
      <c r="H1375" s="74" t="s">
        <v>1631</v>
      </c>
      <c r="I1375" s="80">
        <v>10</v>
      </c>
      <c r="J1375" s="25">
        <v>0</v>
      </c>
      <c r="K1375" s="76"/>
    </row>
    <row r="1376" s="1" customFormat="1" ht="14.25" spans="1:11">
      <c r="A1376" s="77">
        <v>10</v>
      </c>
      <c r="B1376" s="78">
        <v>31</v>
      </c>
      <c r="C1376" s="78">
        <v>8</v>
      </c>
      <c r="D1376" s="79" t="s">
        <v>1632</v>
      </c>
      <c r="E1376" s="79" t="s">
        <v>118</v>
      </c>
      <c r="F1376" s="79" t="s">
        <v>55</v>
      </c>
      <c r="G1376" s="79" t="s">
        <v>32</v>
      </c>
      <c r="H1376" s="74" t="s">
        <v>1631</v>
      </c>
      <c r="I1376" s="80">
        <v>2500</v>
      </c>
      <c r="J1376" s="25">
        <v>0</v>
      </c>
      <c r="K1376" s="76"/>
    </row>
    <row r="1377" s="1" customFormat="1" ht="14.25" spans="1:11">
      <c r="A1377" s="77">
        <v>10</v>
      </c>
      <c r="B1377" s="78">
        <v>31</v>
      </c>
      <c r="C1377" s="78">
        <v>8</v>
      </c>
      <c r="D1377" s="79" t="s">
        <v>1633</v>
      </c>
      <c r="E1377" s="79" t="s">
        <v>118</v>
      </c>
      <c r="F1377" s="79" t="s">
        <v>55</v>
      </c>
      <c r="G1377" s="79" t="s">
        <v>32</v>
      </c>
      <c r="H1377" s="74" t="s">
        <v>1631</v>
      </c>
      <c r="I1377" s="80">
        <v>48</v>
      </c>
      <c r="J1377" s="25">
        <v>0</v>
      </c>
      <c r="K1377" s="76"/>
    </row>
    <row r="1378" s="1" customFormat="1" ht="14.25" spans="1:11">
      <c r="A1378" s="77">
        <v>10</v>
      </c>
      <c r="B1378" s="78">
        <v>31</v>
      </c>
      <c r="C1378" s="78">
        <v>8</v>
      </c>
      <c r="D1378" s="79" t="s">
        <v>1634</v>
      </c>
      <c r="E1378" s="79" t="s">
        <v>48</v>
      </c>
      <c r="F1378" s="79" t="s">
        <v>55</v>
      </c>
      <c r="G1378" s="79" t="s">
        <v>32</v>
      </c>
      <c r="H1378" s="74" t="s">
        <v>1631</v>
      </c>
      <c r="I1378" s="80">
        <v>60</v>
      </c>
      <c r="J1378" s="25">
        <v>0</v>
      </c>
      <c r="K1378" s="76"/>
    </row>
    <row r="1379" s="1" customFormat="1" ht="14.25" spans="1:11">
      <c r="A1379" s="77">
        <v>10</v>
      </c>
      <c r="B1379" s="78">
        <v>31</v>
      </c>
      <c r="C1379" s="78">
        <v>8</v>
      </c>
      <c r="D1379" s="79" t="s">
        <v>1635</v>
      </c>
      <c r="E1379" s="79" t="s">
        <v>118</v>
      </c>
      <c r="F1379" s="79" t="s">
        <v>55</v>
      </c>
      <c r="G1379" s="79" t="s">
        <v>32</v>
      </c>
      <c r="H1379" s="74" t="s">
        <v>1631</v>
      </c>
      <c r="I1379" s="80">
        <v>20</v>
      </c>
      <c r="J1379" s="25">
        <v>0</v>
      </c>
      <c r="K1379" s="76"/>
    </row>
    <row r="1380" s="1" customFormat="1" ht="14.25" spans="1:11">
      <c r="A1380" s="77">
        <v>10</v>
      </c>
      <c r="B1380" s="78">
        <v>31</v>
      </c>
      <c r="C1380" s="78">
        <v>9</v>
      </c>
      <c r="D1380" s="79" t="s">
        <v>1636</v>
      </c>
      <c r="E1380" s="79" t="s">
        <v>96</v>
      </c>
      <c r="F1380" s="79" t="s">
        <v>345</v>
      </c>
      <c r="G1380" s="79" t="s">
        <v>32</v>
      </c>
      <c r="H1380" s="74" t="s">
        <v>1637</v>
      </c>
      <c r="I1380" s="80">
        <v>420</v>
      </c>
      <c r="J1380" s="25">
        <v>0</v>
      </c>
      <c r="K1380" s="76"/>
    </row>
    <row r="1381" s="1" customFormat="1" ht="14.25" spans="1:11">
      <c r="A1381" s="77">
        <v>10</v>
      </c>
      <c r="B1381" s="78">
        <v>31</v>
      </c>
      <c r="C1381" s="78">
        <v>9</v>
      </c>
      <c r="D1381" s="79" t="s">
        <v>1638</v>
      </c>
      <c r="E1381" s="79" t="s">
        <v>118</v>
      </c>
      <c r="F1381" s="79" t="s">
        <v>55</v>
      </c>
      <c r="G1381" s="79" t="s">
        <v>32</v>
      </c>
      <c r="H1381" s="74" t="s">
        <v>1637</v>
      </c>
      <c r="I1381" s="80">
        <v>2600</v>
      </c>
      <c r="J1381" s="25">
        <v>0</v>
      </c>
      <c r="K1381" s="76"/>
    </row>
    <row r="1382" s="1" customFormat="1" ht="14.25" spans="1:11">
      <c r="A1382" s="77">
        <v>10</v>
      </c>
      <c r="B1382" s="78">
        <v>31</v>
      </c>
      <c r="C1382" s="78">
        <v>9</v>
      </c>
      <c r="D1382" s="79" t="s">
        <v>1639</v>
      </c>
      <c r="E1382" s="79" t="s">
        <v>85</v>
      </c>
      <c r="F1382" s="79" t="s">
        <v>989</v>
      </c>
      <c r="G1382" s="79" t="s">
        <v>32</v>
      </c>
      <c r="H1382" s="74" t="s">
        <v>1637</v>
      </c>
      <c r="I1382" s="80">
        <v>400</v>
      </c>
      <c r="J1382" s="25">
        <v>0</v>
      </c>
      <c r="K1382" s="76"/>
    </row>
    <row r="1383" s="1" customFormat="1" ht="14.25" spans="1:11">
      <c r="A1383" s="77">
        <v>10</v>
      </c>
      <c r="B1383" s="78">
        <v>31</v>
      </c>
      <c r="C1383" s="78">
        <v>9</v>
      </c>
      <c r="D1383" s="79" t="s">
        <v>1640</v>
      </c>
      <c r="E1383" s="79" t="s">
        <v>118</v>
      </c>
      <c r="F1383" s="79" t="s">
        <v>55</v>
      </c>
      <c r="G1383" s="79" t="s">
        <v>32</v>
      </c>
      <c r="H1383" s="74" t="s">
        <v>1637</v>
      </c>
      <c r="I1383" s="80">
        <v>48</v>
      </c>
      <c r="J1383" s="25">
        <v>0</v>
      </c>
      <c r="K1383" s="76"/>
    </row>
    <row r="1384" s="1" customFormat="1" ht="14.25" spans="1:11">
      <c r="A1384" s="77">
        <v>10</v>
      </c>
      <c r="B1384" s="78">
        <v>31</v>
      </c>
      <c r="C1384" s="78">
        <v>9</v>
      </c>
      <c r="D1384" s="79" t="s">
        <v>1641</v>
      </c>
      <c r="E1384" s="79" t="s">
        <v>118</v>
      </c>
      <c r="F1384" s="79" t="s">
        <v>55</v>
      </c>
      <c r="G1384" s="79" t="s">
        <v>32</v>
      </c>
      <c r="H1384" s="74" t="s">
        <v>1637</v>
      </c>
      <c r="I1384" s="80">
        <v>155</v>
      </c>
      <c r="J1384" s="25">
        <v>0</v>
      </c>
      <c r="K1384" s="76"/>
    </row>
    <row r="1385" s="1" customFormat="1" ht="14.25" spans="1:11">
      <c r="A1385" s="77">
        <v>10</v>
      </c>
      <c r="B1385" s="78">
        <v>31</v>
      </c>
      <c r="C1385" s="78">
        <v>9</v>
      </c>
      <c r="D1385" s="79" t="s">
        <v>1642</v>
      </c>
      <c r="E1385" s="79" t="s">
        <v>118</v>
      </c>
      <c r="F1385" s="79" t="s">
        <v>55</v>
      </c>
      <c r="G1385" s="79" t="s">
        <v>32</v>
      </c>
      <c r="H1385" s="74" t="s">
        <v>1643</v>
      </c>
      <c r="I1385" s="80">
        <v>180</v>
      </c>
      <c r="J1385" s="25">
        <v>0</v>
      </c>
      <c r="K1385" s="76"/>
    </row>
    <row r="1386" s="1" customFormat="1" ht="14.25" spans="1:11">
      <c r="A1386" s="77">
        <v>10</v>
      </c>
      <c r="B1386" s="78">
        <v>31</v>
      </c>
      <c r="C1386" s="78">
        <v>9</v>
      </c>
      <c r="D1386" s="79" t="s">
        <v>1644</v>
      </c>
      <c r="E1386" s="79" t="s">
        <v>118</v>
      </c>
      <c r="F1386" s="79" t="s">
        <v>55</v>
      </c>
      <c r="G1386" s="79" t="s">
        <v>32</v>
      </c>
      <c r="H1386" s="74" t="s">
        <v>1643</v>
      </c>
      <c r="I1386" s="80">
        <v>135</v>
      </c>
      <c r="J1386" s="25">
        <v>0</v>
      </c>
      <c r="K1386" s="76"/>
    </row>
    <row r="1387" s="1" customFormat="1" ht="14.25" spans="1:11">
      <c r="A1387" s="77">
        <v>10</v>
      </c>
      <c r="B1387" s="78">
        <v>31</v>
      </c>
      <c r="C1387" s="78">
        <v>9</v>
      </c>
      <c r="D1387" s="79" t="s">
        <v>1645</v>
      </c>
      <c r="E1387" s="79" t="s">
        <v>118</v>
      </c>
      <c r="F1387" s="79" t="s">
        <v>55</v>
      </c>
      <c r="G1387" s="79" t="s">
        <v>32</v>
      </c>
      <c r="H1387" s="74" t="s">
        <v>1643</v>
      </c>
      <c r="I1387" s="80">
        <v>271</v>
      </c>
      <c r="J1387" s="25">
        <v>0</v>
      </c>
      <c r="K1387" s="76"/>
    </row>
    <row r="1388" s="1" customFormat="1" ht="14.25" spans="1:11">
      <c r="A1388" s="77">
        <v>10</v>
      </c>
      <c r="B1388" s="78">
        <v>31</v>
      </c>
      <c r="C1388" s="78">
        <v>9</v>
      </c>
      <c r="D1388" s="79" t="s">
        <v>1646</v>
      </c>
      <c r="E1388" s="79" t="s">
        <v>118</v>
      </c>
      <c r="F1388" s="80" t="s">
        <v>55</v>
      </c>
      <c r="G1388" s="79" t="s">
        <v>32</v>
      </c>
      <c r="H1388" s="74" t="s">
        <v>1643</v>
      </c>
      <c r="I1388" s="80">
        <v>680</v>
      </c>
      <c r="J1388" s="25">
        <v>0</v>
      </c>
      <c r="K1388" s="76"/>
    </row>
    <row r="1389" s="1" customFormat="1" ht="14.25" spans="1:11">
      <c r="A1389" s="77">
        <v>10</v>
      </c>
      <c r="B1389" s="78">
        <v>31</v>
      </c>
      <c r="C1389" s="78">
        <v>9</v>
      </c>
      <c r="D1389" s="79" t="s">
        <v>1647</v>
      </c>
      <c r="E1389" s="79" t="s">
        <v>118</v>
      </c>
      <c r="F1389" s="79" t="s">
        <v>55</v>
      </c>
      <c r="G1389" s="79" t="s">
        <v>32</v>
      </c>
      <c r="H1389" s="74" t="s">
        <v>1643</v>
      </c>
      <c r="I1389" s="80">
        <v>250</v>
      </c>
      <c r="J1389" s="25">
        <v>0</v>
      </c>
      <c r="K1389" s="76"/>
    </row>
    <row r="1390" s="1" customFormat="1" spans="1:11">
      <c r="A1390" s="21">
        <v>10</v>
      </c>
      <c r="B1390" s="78">
        <v>31</v>
      </c>
      <c r="C1390" s="21">
        <v>10</v>
      </c>
      <c r="D1390" s="25" t="s">
        <v>1648</v>
      </c>
      <c r="E1390" s="25" t="s">
        <v>118</v>
      </c>
      <c r="F1390" s="25" t="s">
        <v>55</v>
      </c>
      <c r="G1390" s="25" t="s">
        <v>32</v>
      </c>
      <c r="H1390" s="74" t="s">
        <v>1649</v>
      </c>
      <c r="I1390" s="25">
        <v>150</v>
      </c>
      <c r="J1390" s="25">
        <v>0</v>
      </c>
      <c r="K1390" s="76"/>
    </row>
    <row r="1391" s="1" customFormat="1" ht="14.25" spans="1:11">
      <c r="A1391" s="77">
        <v>10</v>
      </c>
      <c r="B1391" s="78">
        <v>31</v>
      </c>
      <c r="C1391" s="78">
        <v>10</v>
      </c>
      <c r="D1391" s="79" t="s">
        <v>1650</v>
      </c>
      <c r="E1391" s="79" t="s">
        <v>118</v>
      </c>
      <c r="F1391" s="79" t="s">
        <v>55</v>
      </c>
      <c r="G1391" s="79" t="s">
        <v>32</v>
      </c>
      <c r="H1391" s="74" t="s">
        <v>1649</v>
      </c>
      <c r="I1391" s="80">
        <v>850</v>
      </c>
      <c r="J1391" s="25">
        <v>0</v>
      </c>
      <c r="K1391" s="76"/>
    </row>
    <row r="1392" s="1" customFormat="1" ht="14.25" spans="1:11">
      <c r="A1392" s="77">
        <v>10</v>
      </c>
      <c r="B1392" s="78">
        <v>31</v>
      </c>
      <c r="C1392" s="78">
        <v>10</v>
      </c>
      <c r="D1392" s="79" t="s">
        <v>255</v>
      </c>
      <c r="E1392" s="79" t="s">
        <v>96</v>
      </c>
      <c r="F1392" s="79" t="s">
        <v>97</v>
      </c>
      <c r="G1392" s="79" t="s">
        <v>32</v>
      </c>
      <c r="H1392" s="74" t="s">
        <v>1649</v>
      </c>
      <c r="I1392" s="80">
        <v>90</v>
      </c>
      <c r="J1392" s="25">
        <v>0</v>
      </c>
      <c r="K1392" s="76"/>
    </row>
    <row r="1393" s="1" customFormat="1" ht="14.25" spans="1:11">
      <c r="A1393" s="77">
        <v>10</v>
      </c>
      <c r="B1393" s="78">
        <v>31</v>
      </c>
      <c r="C1393" s="78">
        <v>10</v>
      </c>
      <c r="D1393" s="79" t="s">
        <v>1651</v>
      </c>
      <c r="E1393" s="79" t="s">
        <v>118</v>
      </c>
      <c r="F1393" s="79" t="s">
        <v>55</v>
      </c>
      <c r="G1393" s="79" t="s">
        <v>32</v>
      </c>
      <c r="H1393" s="74" t="s">
        <v>1649</v>
      </c>
      <c r="I1393" s="80">
        <v>370</v>
      </c>
      <c r="J1393" s="25">
        <v>0</v>
      </c>
      <c r="K1393" s="76"/>
    </row>
    <row r="1394" s="1" customFormat="1" ht="14.25" spans="1:11">
      <c r="A1394" s="77">
        <v>10</v>
      </c>
      <c r="B1394" s="78">
        <v>31</v>
      </c>
      <c r="C1394" s="78">
        <v>10</v>
      </c>
      <c r="D1394" s="79" t="s">
        <v>1652</v>
      </c>
      <c r="E1394" s="79" t="s">
        <v>48</v>
      </c>
      <c r="F1394" s="79" t="s">
        <v>1565</v>
      </c>
      <c r="G1394" s="79" t="s">
        <v>32</v>
      </c>
      <c r="H1394" s="74" t="s">
        <v>1649</v>
      </c>
      <c r="I1394" s="80">
        <v>500</v>
      </c>
      <c r="J1394" s="25">
        <v>0</v>
      </c>
      <c r="K1394" s="76"/>
    </row>
    <row r="1395" s="1" customFormat="1" ht="14.25" spans="1:11">
      <c r="A1395" s="77">
        <v>10</v>
      </c>
      <c r="B1395" s="78">
        <v>31</v>
      </c>
      <c r="C1395" s="78">
        <v>10</v>
      </c>
      <c r="D1395" s="79" t="s">
        <v>1653</v>
      </c>
      <c r="E1395" s="79" t="s">
        <v>118</v>
      </c>
      <c r="F1395" s="79" t="s">
        <v>55</v>
      </c>
      <c r="G1395" s="79" t="s">
        <v>32</v>
      </c>
      <c r="H1395" s="74" t="s">
        <v>1654</v>
      </c>
      <c r="I1395" s="80">
        <v>210</v>
      </c>
      <c r="J1395" s="25">
        <v>0</v>
      </c>
      <c r="K1395" s="76"/>
    </row>
    <row r="1396" s="1" customFormat="1" ht="14.25" spans="1:11">
      <c r="A1396" s="77">
        <v>10</v>
      </c>
      <c r="B1396" s="78">
        <v>31</v>
      </c>
      <c r="C1396" s="78">
        <v>10</v>
      </c>
      <c r="D1396" s="79" t="s">
        <v>1655</v>
      </c>
      <c r="E1396" s="79" t="s">
        <v>118</v>
      </c>
      <c r="F1396" s="79" t="s">
        <v>55</v>
      </c>
      <c r="G1396" s="79" t="s">
        <v>32</v>
      </c>
      <c r="H1396" s="74" t="s">
        <v>1654</v>
      </c>
      <c r="I1396" s="80">
        <v>385</v>
      </c>
      <c r="J1396" s="25">
        <v>0</v>
      </c>
      <c r="K1396" s="76"/>
    </row>
    <row r="1397" s="1" customFormat="1" ht="14.25" spans="1:11">
      <c r="A1397" s="77">
        <v>10</v>
      </c>
      <c r="B1397" s="78">
        <v>31</v>
      </c>
      <c r="C1397" s="78">
        <v>10</v>
      </c>
      <c r="D1397" s="79" t="s">
        <v>1656</v>
      </c>
      <c r="E1397" s="79" t="s">
        <v>118</v>
      </c>
      <c r="F1397" s="79" t="s">
        <v>55</v>
      </c>
      <c r="G1397" s="79" t="s">
        <v>32</v>
      </c>
      <c r="H1397" s="74" t="s">
        <v>1654</v>
      </c>
      <c r="I1397" s="80">
        <v>18</v>
      </c>
      <c r="J1397" s="25">
        <v>0</v>
      </c>
      <c r="K1397" s="76"/>
    </row>
    <row r="1398" s="1" customFormat="1" ht="14.25" spans="1:11">
      <c r="A1398" s="77">
        <v>10</v>
      </c>
      <c r="B1398" s="78">
        <v>31</v>
      </c>
      <c r="C1398" s="78">
        <v>10</v>
      </c>
      <c r="D1398" s="79" t="s">
        <v>1657</v>
      </c>
      <c r="E1398" s="79" t="s">
        <v>172</v>
      </c>
      <c r="F1398" s="79" t="s">
        <v>681</v>
      </c>
      <c r="G1398" s="79" t="s">
        <v>32</v>
      </c>
      <c r="H1398" s="74" t="s">
        <v>1654</v>
      </c>
      <c r="I1398" s="80">
        <v>130</v>
      </c>
      <c r="J1398" s="25">
        <v>0</v>
      </c>
      <c r="K1398" s="76"/>
    </row>
    <row r="1399" s="1" customFormat="1" ht="14.25" spans="1:11">
      <c r="A1399" s="77">
        <v>10</v>
      </c>
      <c r="B1399" s="78">
        <v>31</v>
      </c>
      <c r="C1399" s="78">
        <v>10</v>
      </c>
      <c r="D1399" s="79" t="s">
        <v>1658</v>
      </c>
      <c r="E1399" s="79" t="s">
        <v>118</v>
      </c>
      <c r="F1399" s="79" t="s">
        <v>55</v>
      </c>
      <c r="G1399" s="79" t="s">
        <v>32</v>
      </c>
      <c r="H1399" s="74" t="s">
        <v>1654</v>
      </c>
      <c r="I1399" s="80">
        <v>927</v>
      </c>
      <c r="J1399" s="25">
        <v>0</v>
      </c>
      <c r="K1399" s="76"/>
    </row>
    <row r="1400" s="1" customFormat="1" ht="14.25" spans="1:11">
      <c r="A1400" s="77">
        <v>10</v>
      </c>
      <c r="B1400" s="78">
        <v>31</v>
      </c>
      <c r="C1400" s="78">
        <v>11</v>
      </c>
      <c r="D1400" s="79" t="s">
        <v>1659</v>
      </c>
      <c r="E1400" s="79" t="s">
        <v>118</v>
      </c>
      <c r="F1400" s="79" t="s">
        <v>55</v>
      </c>
      <c r="G1400" s="79" t="s">
        <v>32</v>
      </c>
      <c r="H1400" s="74" t="s">
        <v>1660</v>
      </c>
      <c r="I1400" s="80">
        <v>96</v>
      </c>
      <c r="J1400" s="25">
        <v>0</v>
      </c>
      <c r="K1400" s="76"/>
    </row>
    <row r="1401" s="1" customFormat="1" ht="14.25" spans="1:11">
      <c r="A1401" s="77">
        <v>10</v>
      </c>
      <c r="B1401" s="78">
        <v>31</v>
      </c>
      <c r="C1401" s="78">
        <v>11</v>
      </c>
      <c r="D1401" s="79" t="s">
        <v>1661</v>
      </c>
      <c r="E1401" s="79" t="s">
        <v>118</v>
      </c>
      <c r="F1401" s="79" t="s">
        <v>55</v>
      </c>
      <c r="G1401" s="79" t="s">
        <v>32</v>
      </c>
      <c r="H1401" s="74" t="s">
        <v>1660</v>
      </c>
      <c r="I1401" s="80">
        <v>180</v>
      </c>
      <c r="J1401" s="25">
        <v>0</v>
      </c>
      <c r="K1401" s="76"/>
    </row>
    <row r="1402" s="1" customFormat="1" ht="14.25" spans="1:11">
      <c r="A1402" s="77">
        <v>10</v>
      </c>
      <c r="B1402" s="78">
        <v>31</v>
      </c>
      <c r="C1402" s="78">
        <v>11</v>
      </c>
      <c r="D1402" s="79" t="s">
        <v>1662</v>
      </c>
      <c r="E1402" s="79" t="s">
        <v>118</v>
      </c>
      <c r="F1402" s="79" t="s">
        <v>55</v>
      </c>
      <c r="G1402" s="79" t="s">
        <v>32</v>
      </c>
      <c r="H1402" s="74" t="s">
        <v>1660</v>
      </c>
      <c r="I1402" s="80">
        <v>192</v>
      </c>
      <c r="J1402" s="25">
        <v>0</v>
      </c>
      <c r="K1402" s="76"/>
    </row>
    <row r="1403" s="1" customFormat="1" ht="14.25" spans="1:11">
      <c r="A1403" s="77">
        <v>10</v>
      </c>
      <c r="B1403" s="78">
        <v>31</v>
      </c>
      <c r="C1403" s="78">
        <v>11</v>
      </c>
      <c r="D1403" s="79" t="s">
        <v>1663</v>
      </c>
      <c r="E1403" s="79" t="s">
        <v>118</v>
      </c>
      <c r="F1403" s="79" t="s">
        <v>55</v>
      </c>
      <c r="G1403" s="79" t="s">
        <v>32</v>
      </c>
      <c r="H1403" s="74" t="s">
        <v>1660</v>
      </c>
      <c r="I1403" s="80">
        <v>310</v>
      </c>
      <c r="J1403" s="25">
        <v>0</v>
      </c>
      <c r="K1403" s="76"/>
    </row>
    <row r="1404" s="1" customFormat="1" ht="14.25" spans="1:11">
      <c r="A1404" s="77">
        <v>10</v>
      </c>
      <c r="B1404" s="78">
        <v>31</v>
      </c>
      <c r="C1404" s="78">
        <v>11</v>
      </c>
      <c r="D1404" s="79" t="s">
        <v>1664</v>
      </c>
      <c r="E1404" s="79" t="s">
        <v>48</v>
      </c>
      <c r="F1404" s="79" t="s">
        <v>1565</v>
      </c>
      <c r="G1404" s="79" t="s">
        <v>32</v>
      </c>
      <c r="H1404" s="74" t="s">
        <v>1660</v>
      </c>
      <c r="I1404" s="80">
        <v>300</v>
      </c>
      <c r="J1404" s="25">
        <v>0</v>
      </c>
      <c r="K1404" s="76"/>
    </row>
    <row r="1405" s="1" customFormat="1" ht="14.25" spans="1:11">
      <c r="A1405" s="77">
        <v>10</v>
      </c>
      <c r="B1405" s="78">
        <v>31</v>
      </c>
      <c r="C1405" s="78">
        <v>11</v>
      </c>
      <c r="D1405" s="79" t="s">
        <v>1639</v>
      </c>
      <c r="E1405" s="79" t="s">
        <v>85</v>
      </c>
      <c r="F1405" s="80" t="s">
        <v>989</v>
      </c>
      <c r="G1405" s="79" t="s">
        <v>32</v>
      </c>
      <c r="H1405" s="74" t="s">
        <v>1665</v>
      </c>
      <c r="I1405" s="80">
        <v>550</v>
      </c>
      <c r="J1405" s="25">
        <v>0</v>
      </c>
      <c r="K1405" s="76"/>
    </row>
    <row r="1406" s="1" customFormat="1" ht="14.25" spans="1:11">
      <c r="A1406" s="77">
        <v>10</v>
      </c>
      <c r="B1406" s="78">
        <v>31</v>
      </c>
      <c r="C1406" s="78">
        <v>11</v>
      </c>
      <c r="D1406" s="79" t="s">
        <v>1666</v>
      </c>
      <c r="E1406" s="79" t="s">
        <v>48</v>
      </c>
      <c r="F1406" s="79" t="s">
        <v>55</v>
      </c>
      <c r="G1406" s="79" t="s">
        <v>32</v>
      </c>
      <c r="H1406" s="74" t="s">
        <v>1665</v>
      </c>
      <c r="I1406" s="80">
        <v>40</v>
      </c>
      <c r="J1406" s="25">
        <v>0</v>
      </c>
      <c r="K1406" s="76"/>
    </row>
    <row r="1407" s="1" customFormat="1" spans="1:11">
      <c r="A1407" s="21">
        <v>10</v>
      </c>
      <c r="B1407" s="78">
        <v>31</v>
      </c>
      <c r="C1407" s="21">
        <v>11</v>
      </c>
      <c r="D1407" s="25" t="s">
        <v>1667</v>
      </c>
      <c r="E1407" s="79" t="s">
        <v>48</v>
      </c>
      <c r="F1407" s="25" t="s">
        <v>1565</v>
      </c>
      <c r="G1407" s="25" t="s">
        <v>32</v>
      </c>
      <c r="H1407" s="74" t="s">
        <v>1665</v>
      </c>
      <c r="I1407" s="25">
        <v>86</v>
      </c>
      <c r="J1407" s="25">
        <v>0</v>
      </c>
      <c r="K1407" s="76"/>
    </row>
    <row r="1408" s="1" customFormat="1" ht="14.25" spans="1:11">
      <c r="A1408" s="77">
        <v>10</v>
      </c>
      <c r="B1408" s="78">
        <v>31</v>
      </c>
      <c r="C1408" s="78">
        <v>11</v>
      </c>
      <c r="D1408" s="79" t="s">
        <v>1668</v>
      </c>
      <c r="E1408" s="79" t="s">
        <v>118</v>
      </c>
      <c r="F1408" s="79" t="s">
        <v>55</v>
      </c>
      <c r="G1408" s="79" t="s">
        <v>32</v>
      </c>
      <c r="H1408" s="74" t="s">
        <v>1665</v>
      </c>
      <c r="I1408" s="80">
        <v>490</v>
      </c>
      <c r="J1408" s="25">
        <v>0</v>
      </c>
      <c r="K1408" s="76"/>
    </row>
    <row r="1409" s="1" customFormat="1" ht="14.25" spans="1:11">
      <c r="A1409" s="77">
        <v>10</v>
      </c>
      <c r="B1409" s="78">
        <v>31</v>
      </c>
      <c r="C1409" s="78">
        <v>11</v>
      </c>
      <c r="D1409" s="79" t="s">
        <v>1669</v>
      </c>
      <c r="E1409" s="79" t="s">
        <v>118</v>
      </c>
      <c r="F1409" s="79" t="s">
        <v>55</v>
      </c>
      <c r="G1409" s="79" t="s">
        <v>32</v>
      </c>
      <c r="H1409" s="74" t="s">
        <v>1665</v>
      </c>
      <c r="I1409" s="80">
        <v>375</v>
      </c>
      <c r="J1409" s="25">
        <v>0</v>
      </c>
      <c r="K1409" s="76"/>
    </row>
    <row r="1410" s="1" customFormat="1" ht="14.25" spans="1:11">
      <c r="A1410" s="77">
        <v>10</v>
      </c>
      <c r="B1410" s="78">
        <v>31</v>
      </c>
      <c r="C1410" s="78">
        <v>12</v>
      </c>
      <c r="D1410" s="79" t="s">
        <v>1670</v>
      </c>
      <c r="E1410" s="79" t="s">
        <v>37</v>
      </c>
      <c r="F1410" s="79">
        <v>0</v>
      </c>
      <c r="G1410" s="79" t="s">
        <v>32</v>
      </c>
      <c r="H1410" s="74" t="s">
        <v>1671</v>
      </c>
      <c r="I1410" s="80">
        <v>3410</v>
      </c>
      <c r="J1410" s="25">
        <v>0</v>
      </c>
      <c r="K1410" s="76"/>
    </row>
    <row r="1411" s="1" customFormat="1" ht="14.25" spans="1:11">
      <c r="A1411" s="77">
        <v>10</v>
      </c>
      <c r="B1411" s="78">
        <v>31</v>
      </c>
      <c r="C1411" s="78">
        <v>12</v>
      </c>
      <c r="D1411" s="79" t="s">
        <v>1672</v>
      </c>
      <c r="E1411" s="79" t="s">
        <v>37</v>
      </c>
      <c r="F1411" s="79">
        <v>0</v>
      </c>
      <c r="G1411" s="79" t="s">
        <v>32</v>
      </c>
      <c r="H1411" s="74" t="s">
        <v>1671</v>
      </c>
      <c r="I1411" s="80">
        <v>3300</v>
      </c>
      <c r="J1411" s="25">
        <v>0</v>
      </c>
      <c r="K1411" s="76"/>
    </row>
    <row r="1412" s="1" customFormat="1" ht="14.25" spans="1:11">
      <c r="A1412" s="77">
        <v>10</v>
      </c>
      <c r="B1412" s="78">
        <v>31</v>
      </c>
      <c r="C1412" s="78">
        <v>12</v>
      </c>
      <c r="D1412" s="79" t="s">
        <v>1673</v>
      </c>
      <c r="E1412" s="79" t="s">
        <v>172</v>
      </c>
      <c r="F1412" s="79" t="s">
        <v>681</v>
      </c>
      <c r="G1412" s="79" t="s">
        <v>32</v>
      </c>
      <c r="H1412" s="74" t="s">
        <v>1671</v>
      </c>
      <c r="I1412" s="80">
        <v>260</v>
      </c>
      <c r="J1412" s="25">
        <v>0</v>
      </c>
      <c r="K1412" s="76"/>
    </row>
    <row r="1413" s="1" customFormat="1" spans="1:11">
      <c r="A1413" s="21">
        <v>10</v>
      </c>
      <c r="B1413" s="78">
        <v>31</v>
      </c>
      <c r="C1413" s="21">
        <v>12</v>
      </c>
      <c r="D1413" s="25" t="s">
        <v>1674</v>
      </c>
      <c r="E1413" s="25" t="s">
        <v>48</v>
      </c>
      <c r="F1413" s="25" t="s">
        <v>209</v>
      </c>
      <c r="G1413" s="25" t="s">
        <v>32</v>
      </c>
      <c r="H1413" s="74" t="s">
        <v>1671</v>
      </c>
      <c r="I1413" s="25">
        <v>60</v>
      </c>
      <c r="J1413" s="25">
        <v>0</v>
      </c>
      <c r="K1413" s="76"/>
    </row>
    <row r="1414" s="1" customFormat="1" spans="1:11">
      <c r="A1414" s="21">
        <v>10</v>
      </c>
      <c r="B1414" s="78">
        <v>31</v>
      </c>
      <c r="C1414" s="21">
        <v>12</v>
      </c>
      <c r="D1414" s="25" t="s">
        <v>1675</v>
      </c>
      <c r="E1414" s="25" t="s">
        <v>48</v>
      </c>
      <c r="F1414" s="25" t="s">
        <v>55</v>
      </c>
      <c r="G1414" s="25" t="s">
        <v>32</v>
      </c>
      <c r="H1414" s="74" t="s">
        <v>1676</v>
      </c>
      <c r="I1414" s="25">
        <v>196</v>
      </c>
      <c r="J1414" s="25">
        <v>0</v>
      </c>
      <c r="K1414" s="76"/>
    </row>
    <row r="1415" s="1" customFormat="1" ht="14.25" spans="1:11">
      <c r="A1415" s="77">
        <v>10</v>
      </c>
      <c r="B1415" s="78">
        <v>31</v>
      </c>
      <c r="C1415" s="78">
        <v>12</v>
      </c>
      <c r="D1415" s="79" t="s">
        <v>1677</v>
      </c>
      <c r="E1415" s="79" t="s">
        <v>118</v>
      </c>
      <c r="F1415" s="79" t="s">
        <v>55</v>
      </c>
      <c r="G1415" s="79" t="s">
        <v>32</v>
      </c>
      <c r="H1415" s="74" t="s">
        <v>1676</v>
      </c>
      <c r="I1415" s="80">
        <v>150</v>
      </c>
      <c r="J1415" s="25">
        <v>0</v>
      </c>
      <c r="K1415" s="76"/>
    </row>
    <row r="1416" s="1" customFormat="1" ht="14.25" spans="1:11">
      <c r="A1416" s="77">
        <v>10</v>
      </c>
      <c r="B1416" s="78">
        <v>31</v>
      </c>
      <c r="C1416" s="78">
        <v>12</v>
      </c>
      <c r="D1416" s="79" t="s">
        <v>1678</v>
      </c>
      <c r="E1416" s="79" t="s">
        <v>118</v>
      </c>
      <c r="F1416" s="79" t="s">
        <v>55</v>
      </c>
      <c r="G1416" s="79" t="s">
        <v>32</v>
      </c>
      <c r="H1416" s="74" t="s">
        <v>1676</v>
      </c>
      <c r="I1416" s="80">
        <v>40</v>
      </c>
      <c r="J1416" s="25">
        <v>0</v>
      </c>
      <c r="K1416" s="76"/>
    </row>
    <row r="1417" s="1" customFormat="1" ht="14.25" spans="1:11">
      <c r="A1417" s="77">
        <v>10</v>
      </c>
      <c r="B1417" s="78">
        <v>31</v>
      </c>
      <c r="C1417" s="78">
        <v>12</v>
      </c>
      <c r="D1417" s="79" t="s">
        <v>1679</v>
      </c>
      <c r="E1417" s="79" t="s">
        <v>118</v>
      </c>
      <c r="F1417" s="79" t="s">
        <v>55</v>
      </c>
      <c r="G1417" s="79" t="s">
        <v>32</v>
      </c>
      <c r="H1417" s="74" t="s">
        <v>1676</v>
      </c>
      <c r="I1417" s="80">
        <v>28</v>
      </c>
      <c r="J1417" s="25">
        <v>0</v>
      </c>
      <c r="K1417" s="76"/>
    </row>
    <row r="1418" s="1" customFormat="1" ht="14.25" spans="1:11">
      <c r="A1418" s="77">
        <v>10</v>
      </c>
      <c r="B1418" s="78">
        <v>31</v>
      </c>
      <c r="C1418" s="78">
        <v>12</v>
      </c>
      <c r="D1418" s="79" t="s">
        <v>1680</v>
      </c>
      <c r="E1418" s="79" t="s">
        <v>118</v>
      </c>
      <c r="F1418" s="79" t="s">
        <v>55</v>
      </c>
      <c r="G1418" s="79" t="s">
        <v>32</v>
      </c>
      <c r="H1418" s="74" t="s">
        <v>1676</v>
      </c>
      <c r="I1418" s="80">
        <v>320</v>
      </c>
      <c r="J1418" s="25">
        <v>0</v>
      </c>
      <c r="K1418" s="76"/>
    </row>
    <row r="1419" s="1" customFormat="1" ht="14.25" spans="1:11">
      <c r="A1419" s="77">
        <v>10</v>
      </c>
      <c r="B1419" s="78">
        <v>31</v>
      </c>
      <c r="C1419" s="78">
        <v>13</v>
      </c>
      <c r="D1419" s="79" t="s">
        <v>1681</v>
      </c>
      <c r="E1419" s="79" t="s">
        <v>118</v>
      </c>
      <c r="F1419" s="79" t="s">
        <v>55</v>
      </c>
      <c r="G1419" s="79" t="s">
        <v>32</v>
      </c>
      <c r="H1419" s="74" t="s">
        <v>1682</v>
      </c>
      <c r="I1419" s="80">
        <v>922</v>
      </c>
      <c r="J1419" s="25">
        <v>0</v>
      </c>
      <c r="K1419" s="76"/>
    </row>
    <row r="1420" s="1" customFormat="1" ht="14.25" spans="1:11">
      <c r="A1420" s="77">
        <v>10</v>
      </c>
      <c r="B1420" s="78">
        <v>31</v>
      </c>
      <c r="C1420" s="78">
        <v>13</v>
      </c>
      <c r="D1420" s="79" t="s">
        <v>345</v>
      </c>
      <c r="E1420" s="79" t="s">
        <v>96</v>
      </c>
      <c r="F1420" s="79" t="s">
        <v>345</v>
      </c>
      <c r="G1420" s="79" t="s">
        <v>32</v>
      </c>
      <c r="H1420" s="74" t="s">
        <v>1682</v>
      </c>
      <c r="I1420" s="80">
        <v>480</v>
      </c>
      <c r="J1420" s="25">
        <v>0</v>
      </c>
      <c r="K1420" s="76"/>
    </row>
    <row r="1421" s="1" customFormat="1" ht="14.25" spans="1:11">
      <c r="A1421" s="77">
        <v>10</v>
      </c>
      <c r="B1421" s="78">
        <v>31</v>
      </c>
      <c r="C1421" s="78">
        <v>13</v>
      </c>
      <c r="D1421" s="79" t="s">
        <v>1683</v>
      </c>
      <c r="E1421" s="79" t="s">
        <v>96</v>
      </c>
      <c r="F1421" s="79" t="s">
        <v>97</v>
      </c>
      <c r="G1421" s="79" t="s">
        <v>32</v>
      </c>
      <c r="H1421" s="74" t="s">
        <v>1682</v>
      </c>
      <c r="I1421" s="80">
        <v>698</v>
      </c>
      <c r="J1421" s="25">
        <v>0</v>
      </c>
      <c r="K1421" s="76"/>
    </row>
    <row r="1422" s="1" customFormat="1" ht="14.25" spans="1:11">
      <c r="A1422" s="77">
        <v>10</v>
      </c>
      <c r="B1422" s="78">
        <v>31</v>
      </c>
      <c r="C1422" s="78">
        <v>13</v>
      </c>
      <c r="D1422" s="79" t="s">
        <v>1684</v>
      </c>
      <c r="E1422" s="79" t="s">
        <v>118</v>
      </c>
      <c r="F1422" s="79" t="s">
        <v>1685</v>
      </c>
      <c r="G1422" s="79" t="s">
        <v>32</v>
      </c>
      <c r="H1422" s="74" t="s">
        <v>1682</v>
      </c>
      <c r="I1422" s="80">
        <v>78</v>
      </c>
      <c r="J1422" s="25">
        <v>0</v>
      </c>
      <c r="K1422" s="76"/>
    </row>
    <row r="1423" s="1" customFormat="1" ht="14.25" spans="1:11">
      <c r="A1423" s="77">
        <v>10</v>
      </c>
      <c r="B1423" s="78">
        <v>31</v>
      </c>
      <c r="C1423" s="78">
        <v>13</v>
      </c>
      <c r="D1423" s="79" t="s">
        <v>1686</v>
      </c>
      <c r="E1423" s="79" t="s">
        <v>118</v>
      </c>
      <c r="F1423" s="79" t="s">
        <v>55</v>
      </c>
      <c r="G1423" s="79" t="s">
        <v>32</v>
      </c>
      <c r="H1423" s="74" t="s">
        <v>1682</v>
      </c>
      <c r="I1423" s="80">
        <v>1565</v>
      </c>
      <c r="J1423" s="25">
        <v>0</v>
      </c>
      <c r="K1423" s="76"/>
    </row>
    <row r="1424" s="1" customFormat="1" ht="14.25" spans="1:11">
      <c r="A1424" s="77">
        <v>10</v>
      </c>
      <c r="B1424" s="78">
        <v>31</v>
      </c>
      <c r="C1424" s="78">
        <v>13</v>
      </c>
      <c r="D1424" s="79" t="s">
        <v>1687</v>
      </c>
      <c r="E1424" s="79" t="s">
        <v>48</v>
      </c>
      <c r="F1424" s="79" t="s">
        <v>55</v>
      </c>
      <c r="G1424" s="79" t="s">
        <v>32</v>
      </c>
      <c r="H1424" s="74" t="s">
        <v>1688</v>
      </c>
      <c r="I1424" s="80">
        <v>160</v>
      </c>
      <c r="J1424" s="25">
        <v>0</v>
      </c>
      <c r="K1424" s="76"/>
    </row>
    <row r="1425" s="1" customFormat="1" ht="14.25" spans="1:11">
      <c r="A1425" s="77">
        <v>10</v>
      </c>
      <c r="B1425" s="78">
        <v>31</v>
      </c>
      <c r="C1425" s="78">
        <v>13</v>
      </c>
      <c r="D1425" s="79" t="s">
        <v>1689</v>
      </c>
      <c r="E1425" s="79" t="s">
        <v>118</v>
      </c>
      <c r="F1425" s="79" t="s">
        <v>55</v>
      </c>
      <c r="G1425" s="79" t="s">
        <v>32</v>
      </c>
      <c r="H1425" s="74" t="s">
        <v>1688</v>
      </c>
      <c r="I1425" s="80">
        <v>160</v>
      </c>
      <c r="J1425" s="25">
        <v>0</v>
      </c>
      <c r="K1425" s="76"/>
    </row>
    <row r="1426" s="1" customFormat="1" ht="14.25" spans="1:11">
      <c r="A1426" s="77">
        <v>10</v>
      </c>
      <c r="B1426" s="78">
        <v>31</v>
      </c>
      <c r="C1426" s="78">
        <v>13</v>
      </c>
      <c r="D1426" s="79" t="s">
        <v>1680</v>
      </c>
      <c r="E1426" s="79" t="s">
        <v>118</v>
      </c>
      <c r="F1426" s="79" t="s">
        <v>55</v>
      </c>
      <c r="G1426" s="79" t="s">
        <v>32</v>
      </c>
      <c r="H1426" s="74" t="s">
        <v>1688</v>
      </c>
      <c r="I1426" s="80">
        <v>380</v>
      </c>
      <c r="J1426" s="25">
        <v>0</v>
      </c>
      <c r="K1426" s="76"/>
    </row>
    <row r="1427" s="1" customFormat="1" ht="14.25" spans="1:11">
      <c r="A1427" s="77">
        <v>10</v>
      </c>
      <c r="B1427" s="78">
        <v>31</v>
      </c>
      <c r="C1427" s="78">
        <v>13</v>
      </c>
      <c r="D1427" s="79" t="s">
        <v>1690</v>
      </c>
      <c r="E1427" s="79" t="s">
        <v>118</v>
      </c>
      <c r="F1427" s="79" t="s">
        <v>55</v>
      </c>
      <c r="G1427" s="79" t="s">
        <v>32</v>
      </c>
      <c r="H1427" s="74" t="s">
        <v>1688</v>
      </c>
      <c r="I1427" s="80">
        <v>4128</v>
      </c>
      <c r="J1427" s="25">
        <v>0</v>
      </c>
      <c r="K1427" s="76"/>
    </row>
    <row r="1428" s="1" customFormat="1" ht="14.25" spans="1:11">
      <c r="A1428" s="77">
        <v>10</v>
      </c>
      <c r="B1428" s="78">
        <v>31</v>
      </c>
      <c r="C1428" s="78">
        <v>13</v>
      </c>
      <c r="D1428" s="79" t="s">
        <v>1691</v>
      </c>
      <c r="E1428" s="79" t="s">
        <v>118</v>
      </c>
      <c r="F1428" s="79" t="s">
        <v>55</v>
      </c>
      <c r="G1428" s="79" t="s">
        <v>32</v>
      </c>
      <c r="H1428" s="74" t="s">
        <v>1688</v>
      </c>
      <c r="I1428" s="80">
        <v>3880</v>
      </c>
      <c r="J1428" s="25">
        <v>0</v>
      </c>
      <c r="K1428" s="76"/>
    </row>
    <row r="1429" s="1" customFormat="1" ht="14.25" spans="1:11">
      <c r="A1429" s="77">
        <v>10</v>
      </c>
      <c r="B1429" s="78">
        <v>31</v>
      </c>
      <c r="C1429" s="78">
        <v>14</v>
      </c>
      <c r="D1429" s="79" t="s">
        <v>1692</v>
      </c>
      <c r="E1429" s="79" t="s">
        <v>96</v>
      </c>
      <c r="F1429" s="79" t="s">
        <v>97</v>
      </c>
      <c r="G1429" s="79" t="s">
        <v>32</v>
      </c>
      <c r="H1429" s="74" t="s">
        <v>1693</v>
      </c>
      <c r="I1429" s="80">
        <v>86</v>
      </c>
      <c r="J1429" s="25">
        <v>0</v>
      </c>
      <c r="K1429" s="76"/>
    </row>
    <row r="1430" s="1" customFormat="1" ht="14.25" spans="1:11">
      <c r="A1430" s="77">
        <v>10</v>
      </c>
      <c r="B1430" s="78">
        <v>31</v>
      </c>
      <c r="C1430" s="78">
        <v>14</v>
      </c>
      <c r="D1430" s="79" t="s">
        <v>1694</v>
      </c>
      <c r="E1430" s="79" t="s">
        <v>118</v>
      </c>
      <c r="F1430" s="79" t="s">
        <v>55</v>
      </c>
      <c r="G1430" s="79" t="s">
        <v>32</v>
      </c>
      <c r="H1430" s="74" t="s">
        <v>1693</v>
      </c>
      <c r="I1430" s="80">
        <v>85</v>
      </c>
      <c r="J1430" s="25">
        <v>0</v>
      </c>
      <c r="K1430" s="76"/>
    </row>
    <row r="1431" s="1" customFormat="1" ht="14.25" spans="1:11">
      <c r="A1431" s="77">
        <v>10</v>
      </c>
      <c r="B1431" s="78">
        <v>31</v>
      </c>
      <c r="C1431" s="78">
        <v>14</v>
      </c>
      <c r="D1431" s="79" t="s">
        <v>1695</v>
      </c>
      <c r="E1431" s="79" t="s">
        <v>48</v>
      </c>
      <c r="F1431" s="79" t="s">
        <v>49</v>
      </c>
      <c r="G1431" s="79" t="s">
        <v>32</v>
      </c>
      <c r="H1431" s="74" t="s">
        <v>1693</v>
      </c>
      <c r="I1431" s="80">
        <v>700</v>
      </c>
      <c r="J1431" s="25">
        <v>0</v>
      </c>
      <c r="K1431" s="76"/>
    </row>
    <row r="1432" s="1" customFormat="1" ht="14.25" spans="1:11">
      <c r="A1432" s="77">
        <v>10</v>
      </c>
      <c r="B1432" s="78">
        <v>31</v>
      </c>
      <c r="C1432" s="78">
        <v>14</v>
      </c>
      <c r="D1432" s="79" t="s">
        <v>1696</v>
      </c>
      <c r="E1432" s="79" t="s">
        <v>48</v>
      </c>
      <c r="F1432" s="79" t="s">
        <v>209</v>
      </c>
      <c r="G1432" s="79" t="s">
        <v>32</v>
      </c>
      <c r="H1432" s="74" t="s">
        <v>1693</v>
      </c>
      <c r="I1432" s="80">
        <v>9</v>
      </c>
      <c r="J1432" s="25">
        <v>0</v>
      </c>
      <c r="K1432" s="76"/>
    </row>
    <row r="1433" s="1" customFormat="1" ht="14.25" spans="1:11">
      <c r="A1433" s="77">
        <v>10</v>
      </c>
      <c r="B1433" s="78">
        <v>31</v>
      </c>
      <c r="C1433" s="78">
        <v>14</v>
      </c>
      <c r="D1433" s="79" t="s">
        <v>1697</v>
      </c>
      <c r="E1433" s="79" t="s">
        <v>118</v>
      </c>
      <c r="F1433" s="79" t="s">
        <v>55</v>
      </c>
      <c r="G1433" s="79" t="s">
        <v>32</v>
      </c>
      <c r="H1433" s="74" t="s">
        <v>1693</v>
      </c>
      <c r="I1433" s="80">
        <v>2403</v>
      </c>
      <c r="J1433" s="25">
        <v>0</v>
      </c>
      <c r="K1433" s="76"/>
    </row>
    <row r="1434" s="1" customFormat="1" ht="14.25" spans="1:11">
      <c r="A1434" s="77">
        <v>10</v>
      </c>
      <c r="B1434" s="78">
        <v>31</v>
      </c>
      <c r="C1434" s="78">
        <v>14</v>
      </c>
      <c r="D1434" s="79" t="s">
        <v>1698</v>
      </c>
      <c r="E1434" s="79" t="s">
        <v>118</v>
      </c>
      <c r="F1434" s="79" t="s">
        <v>55</v>
      </c>
      <c r="G1434" s="79" t="s">
        <v>32</v>
      </c>
      <c r="H1434" s="74" t="s">
        <v>1699</v>
      </c>
      <c r="I1434" s="80">
        <v>3.5</v>
      </c>
      <c r="J1434" s="25">
        <v>0</v>
      </c>
      <c r="K1434" s="76"/>
    </row>
    <row r="1435" s="1" customFormat="1" ht="14.25" spans="1:11">
      <c r="A1435" s="77">
        <v>10</v>
      </c>
      <c r="B1435" s="78">
        <v>31</v>
      </c>
      <c r="C1435" s="78">
        <v>14</v>
      </c>
      <c r="D1435" s="79" t="s">
        <v>275</v>
      </c>
      <c r="E1435" s="79" t="s">
        <v>48</v>
      </c>
      <c r="F1435" s="79" t="s">
        <v>1565</v>
      </c>
      <c r="G1435" s="79" t="s">
        <v>32</v>
      </c>
      <c r="H1435" s="74" t="s">
        <v>1699</v>
      </c>
      <c r="I1435" s="80">
        <v>207</v>
      </c>
      <c r="J1435" s="25">
        <v>0</v>
      </c>
      <c r="K1435" s="76"/>
    </row>
    <row r="1436" s="1" customFormat="1" ht="14.25" spans="1:11">
      <c r="A1436" s="77">
        <v>10</v>
      </c>
      <c r="B1436" s="78">
        <v>31</v>
      </c>
      <c r="C1436" s="78">
        <v>14</v>
      </c>
      <c r="D1436" s="79" t="s">
        <v>1700</v>
      </c>
      <c r="E1436" s="79" t="s">
        <v>118</v>
      </c>
      <c r="F1436" s="79" t="s">
        <v>55</v>
      </c>
      <c r="G1436" s="79" t="s">
        <v>32</v>
      </c>
      <c r="H1436" s="74" t="s">
        <v>1699</v>
      </c>
      <c r="I1436" s="80">
        <v>110</v>
      </c>
      <c r="J1436" s="25">
        <v>0</v>
      </c>
      <c r="K1436" s="76"/>
    </row>
    <row r="1437" s="1" customFormat="1" ht="14.25" spans="1:11">
      <c r="A1437" s="77">
        <v>10</v>
      </c>
      <c r="B1437" s="78">
        <v>31</v>
      </c>
      <c r="C1437" s="78">
        <v>14</v>
      </c>
      <c r="D1437" s="79" t="s">
        <v>1701</v>
      </c>
      <c r="E1437" s="79" t="s">
        <v>85</v>
      </c>
      <c r="F1437" s="79" t="s">
        <v>989</v>
      </c>
      <c r="G1437" s="79" t="s">
        <v>32</v>
      </c>
      <c r="H1437" s="74" t="s">
        <v>1699</v>
      </c>
      <c r="I1437" s="80">
        <v>600</v>
      </c>
      <c r="J1437" s="25">
        <v>0</v>
      </c>
      <c r="K1437" s="76"/>
    </row>
    <row r="1438" s="1" customFormat="1" ht="14.25" spans="1:11">
      <c r="A1438" s="77">
        <v>10</v>
      </c>
      <c r="B1438" s="78">
        <v>31</v>
      </c>
      <c r="C1438" s="78">
        <v>15</v>
      </c>
      <c r="D1438" s="79" t="s">
        <v>1702</v>
      </c>
      <c r="E1438" s="79" t="s">
        <v>96</v>
      </c>
      <c r="F1438" s="79" t="s">
        <v>97</v>
      </c>
      <c r="G1438" s="79" t="s">
        <v>32</v>
      </c>
      <c r="H1438" s="74" t="s">
        <v>1703</v>
      </c>
      <c r="I1438" s="80">
        <v>77.5</v>
      </c>
      <c r="J1438" s="25">
        <v>0</v>
      </c>
      <c r="K1438" s="76"/>
    </row>
    <row r="1439" s="1" customFormat="1" ht="14.25" spans="1:11">
      <c r="A1439" s="77">
        <v>10</v>
      </c>
      <c r="B1439" s="78">
        <v>31</v>
      </c>
      <c r="C1439" s="78">
        <v>15</v>
      </c>
      <c r="D1439" s="79" t="s">
        <v>1704</v>
      </c>
      <c r="E1439" s="79" t="s">
        <v>48</v>
      </c>
      <c r="F1439" s="79" t="s">
        <v>55</v>
      </c>
      <c r="G1439" s="79" t="s">
        <v>32</v>
      </c>
      <c r="H1439" s="74" t="s">
        <v>1703</v>
      </c>
      <c r="I1439" s="80">
        <v>16.5</v>
      </c>
      <c r="J1439" s="25">
        <v>0</v>
      </c>
      <c r="K1439" s="76"/>
    </row>
    <row r="1440" s="1" customFormat="1" ht="14.25" spans="1:11">
      <c r="A1440" s="77">
        <v>10</v>
      </c>
      <c r="B1440" s="78">
        <v>31</v>
      </c>
      <c r="C1440" s="78">
        <v>15</v>
      </c>
      <c r="D1440" s="79" t="s">
        <v>1705</v>
      </c>
      <c r="E1440" s="79" t="s">
        <v>118</v>
      </c>
      <c r="F1440" s="79" t="s">
        <v>136</v>
      </c>
      <c r="G1440" s="79" t="s">
        <v>32</v>
      </c>
      <c r="H1440" s="74" t="s">
        <v>1703</v>
      </c>
      <c r="I1440" s="80">
        <v>10320</v>
      </c>
      <c r="J1440" s="25">
        <v>0</v>
      </c>
      <c r="K1440" s="76"/>
    </row>
    <row r="1441" s="1" customFormat="1" ht="14.25" spans="1:11">
      <c r="A1441" s="77">
        <v>10</v>
      </c>
      <c r="B1441" s="78">
        <v>31</v>
      </c>
      <c r="C1441" s="78">
        <v>15</v>
      </c>
      <c r="D1441" s="79" t="s">
        <v>1706</v>
      </c>
      <c r="E1441" s="79" t="s">
        <v>118</v>
      </c>
      <c r="F1441" s="79" t="s">
        <v>136</v>
      </c>
      <c r="G1441" s="79" t="s">
        <v>32</v>
      </c>
      <c r="H1441" s="74" t="s">
        <v>1703</v>
      </c>
      <c r="I1441" s="80">
        <v>760</v>
      </c>
      <c r="J1441" s="25">
        <v>0</v>
      </c>
      <c r="K1441" s="76"/>
    </row>
    <row r="1442" s="1" customFormat="1" ht="14.25" spans="1:11">
      <c r="A1442" s="77">
        <v>10</v>
      </c>
      <c r="B1442" s="78">
        <v>31</v>
      </c>
      <c r="C1442" s="78">
        <v>15</v>
      </c>
      <c r="D1442" s="79" t="s">
        <v>1707</v>
      </c>
      <c r="E1442" s="79" t="s">
        <v>48</v>
      </c>
      <c r="F1442" s="79" t="s">
        <v>1565</v>
      </c>
      <c r="G1442" s="79" t="s">
        <v>32</v>
      </c>
      <c r="H1442" s="74" t="s">
        <v>1708</v>
      </c>
      <c r="I1442" s="80">
        <v>155</v>
      </c>
      <c r="J1442" s="25">
        <v>0</v>
      </c>
      <c r="K1442" s="76"/>
    </row>
    <row r="1443" s="1" customFormat="1" ht="14.25" spans="1:11">
      <c r="A1443" s="77">
        <v>10</v>
      </c>
      <c r="B1443" s="78">
        <v>31</v>
      </c>
      <c r="C1443" s="78">
        <v>15</v>
      </c>
      <c r="D1443" s="79" t="s">
        <v>1709</v>
      </c>
      <c r="E1443" s="79" t="s">
        <v>48</v>
      </c>
      <c r="F1443" s="79" t="s">
        <v>1565</v>
      </c>
      <c r="G1443" s="79" t="s">
        <v>32</v>
      </c>
      <c r="H1443" s="74" t="s">
        <v>1708</v>
      </c>
      <c r="I1443" s="80">
        <v>40</v>
      </c>
      <c r="J1443" s="25">
        <v>0</v>
      </c>
      <c r="K1443" s="76"/>
    </row>
    <row r="1444" s="1" customFormat="1" ht="14.25" spans="1:11">
      <c r="A1444" s="77">
        <v>10</v>
      </c>
      <c r="B1444" s="78">
        <v>31</v>
      </c>
      <c r="C1444" s="78">
        <v>15</v>
      </c>
      <c r="D1444" s="79" t="s">
        <v>1710</v>
      </c>
      <c r="E1444" s="79" t="s">
        <v>118</v>
      </c>
      <c r="F1444" s="79" t="s">
        <v>136</v>
      </c>
      <c r="G1444" s="79" t="s">
        <v>32</v>
      </c>
      <c r="H1444" s="74" t="s">
        <v>1708</v>
      </c>
      <c r="I1444" s="80">
        <v>2620</v>
      </c>
      <c r="J1444" s="25">
        <v>0</v>
      </c>
      <c r="K1444" s="76"/>
    </row>
    <row r="1445" s="1" customFormat="1" ht="14.25" spans="1:11">
      <c r="A1445" s="77">
        <v>10</v>
      </c>
      <c r="B1445" s="78">
        <v>31</v>
      </c>
      <c r="C1445" s="78">
        <v>15</v>
      </c>
      <c r="D1445" s="79" t="s">
        <v>1710</v>
      </c>
      <c r="E1445" s="79" t="s">
        <v>118</v>
      </c>
      <c r="F1445" s="79" t="s">
        <v>136</v>
      </c>
      <c r="G1445" s="79" t="s">
        <v>32</v>
      </c>
      <c r="H1445" s="74" t="s">
        <v>1708</v>
      </c>
      <c r="I1445" s="80">
        <v>1884</v>
      </c>
      <c r="J1445" s="25">
        <v>0</v>
      </c>
      <c r="K1445" s="76"/>
    </row>
    <row r="1446" s="1" customFormat="1" ht="14.25" spans="1:11">
      <c r="A1446" s="77">
        <v>10</v>
      </c>
      <c r="B1446" s="78">
        <v>31</v>
      </c>
      <c r="C1446" s="78">
        <v>16</v>
      </c>
      <c r="D1446" s="79" t="s">
        <v>275</v>
      </c>
      <c r="E1446" s="79" t="s">
        <v>48</v>
      </c>
      <c r="F1446" s="79" t="s">
        <v>1565</v>
      </c>
      <c r="G1446" s="79" t="s">
        <v>32</v>
      </c>
      <c r="H1446" s="74" t="s">
        <v>1711</v>
      </c>
      <c r="I1446" s="80">
        <v>136</v>
      </c>
      <c r="J1446" s="25">
        <v>0</v>
      </c>
      <c r="K1446" s="76"/>
    </row>
    <row r="1447" s="1" customFormat="1" ht="14.25" spans="1:11">
      <c r="A1447" s="77">
        <v>10</v>
      </c>
      <c r="B1447" s="78">
        <v>31</v>
      </c>
      <c r="C1447" s="78">
        <v>16</v>
      </c>
      <c r="D1447" s="79" t="s">
        <v>1712</v>
      </c>
      <c r="E1447" s="79" t="s">
        <v>85</v>
      </c>
      <c r="F1447" s="79" t="s">
        <v>989</v>
      </c>
      <c r="G1447" s="79" t="s">
        <v>32</v>
      </c>
      <c r="H1447" s="74" t="s">
        <v>1711</v>
      </c>
      <c r="I1447" s="80">
        <v>380</v>
      </c>
      <c r="J1447" s="25">
        <v>0</v>
      </c>
      <c r="K1447" s="76"/>
    </row>
    <row r="1448" s="1" customFormat="1" ht="14.25" spans="1:11">
      <c r="A1448" s="77">
        <v>10</v>
      </c>
      <c r="B1448" s="78">
        <v>31</v>
      </c>
      <c r="C1448" s="78">
        <v>16</v>
      </c>
      <c r="D1448" s="79" t="s">
        <v>1713</v>
      </c>
      <c r="E1448" s="79" t="s">
        <v>118</v>
      </c>
      <c r="F1448" s="79" t="s">
        <v>55</v>
      </c>
      <c r="G1448" s="79" t="s">
        <v>32</v>
      </c>
      <c r="H1448" s="74" t="s">
        <v>1711</v>
      </c>
      <c r="I1448" s="80">
        <v>4180</v>
      </c>
      <c r="J1448" s="25">
        <v>0</v>
      </c>
      <c r="K1448" s="76"/>
    </row>
    <row r="1449" s="1" customFormat="1" ht="14.25" spans="1:11">
      <c r="A1449" s="77">
        <v>10</v>
      </c>
      <c r="B1449" s="78">
        <v>31</v>
      </c>
      <c r="C1449" s="78">
        <v>16</v>
      </c>
      <c r="D1449" s="79" t="s">
        <v>1714</v>
      </c>
      <c r="E1449" s="79" t="s">
        <v>118</v>
      </c>
      <c r="F1449" s="79" t="s">
        <v>55</v>
      </c>
      <c r="G1449" s="79" t="s">
        <v>32</v>
      </c>
      <c r="H1449" s="74" t="s">
        <v>1711</v>
      </c>
      <c r="I1449" s="80">
        <v>20</v>
      </c>
      <c r="J1449" s="25">
        <v>0</v>
      </c>
      <c r="K1449" s="76"/>
    </row>
    <row r="1450" s="1" customFormat="1" ht="14.25" spans="1:11">
      <c r="A1450" s="77">
        <v>10</v>
      </c>
      <c r="B1450" s="78">
        <v>31</v>
      </c>
      <c r="C1450" s="78">
        <v>16</v>
      </c>
      <c r="D1450" s="79" t="s">
        <v>1715</v>
      </c>
      <c r="E1450" s="79" t="s">
        <v>118</v>
      </c>
      <c r="F1450" s="79" t="s">
        <v>55</v>
      </c>
      <c r="G1450" s="79" t="s">
        <v>32</v>
      </c>
      <c r="H1450" s="74" t="s">
        <v>1711</v>
      </c>
      <c r="I1450" s="80">
        <v>3791</v>
      </c>
      <c r="J1450" s="25">
        <v>0</v>
      </c>
      <c r="K1450" s="76"/>
    </row>
    <row r="1451" s="1" customFormat="1" ht="14.25" spans="1:11">
      <c r="A1451" s="77">
        <v>10</v>
      </c>
      <c r="B1451" s="78">
        <v>31</v>
      </c>
      <c r="C1451" s="78">
        <v>16</v>
      </c>
      <c r="D1451" s="79" t="s">
        <v>1716</v>
      </c>
      <c r="E1451" s="79" t="s">
        <v>37</v>
      </c>
      <c r="F1451" s="79">
        <v>0</v>
      </c>
      <c r="G1451" s="79" t="s">
        <v>32</v>
      </c>
      <c r="H1451" s="74" t="s">
        <v>1717</v>
      </c>
      <c r="I1451" s="80">
        <v>3344</v>
      </c>
      <c r="J1451" s="25">
        <v>0</v>
      </c>
      <c r="K1451" s="76"/>
    </row>
    <row r="1452" s="1" customFormat="1" ht="14.25" spans="1:11">
      <c r="A1452" s="77">
        <v>10</v>
      </c>
      <c r="B1452" s="78">
        <v>31</v>
      </c>
      <c r="C1452" s="78">
        <v>16</v>
      </c>
      <c r="D1452" s="79" t="s">
        <v>1718</v>
      </c>
      <c r="E1452" s="79" t="s">
        <v>37</v>
      </c>
      <c r="F1452" s="79">
        <v>0</v>
      </c>
      <c r="G1452" s="79" t="s">
        <v>32</v>
      </c>
      <c r="H1452" s="74" t="s">
        <v>1717</v>
      </c>
      <c r="I1452" s="80">
        <v>3371</v>
      </c>
      <c r="J1452" s="25">
        <v>0</v>
      </c>
      <c r="K1452" s="76"/>
    </row>
    <row r="1453" s="1" customFormat="1" ht="14.25" spans="1:11">
      <c r="A1453" s="77">
        <v>10</v>
      </c>
      <c r="B1453" s="78">
        <v>31</v>
      </c>
      <c r="C1453" s="78">
        <v>16</v>
      </c>
      <c r="D1453" s="79" t="s">
        <v>1719</v>
      </c>
      <c r="E1453" s="79" t="s">
        <v>37</v>
      </c>
      <c r="F1453" s="79">
        <v>0</v>
      </c>
      <c r="G1453" s="79" t="s">
        <v>32</v>
      </c>
      <c r="H1453" s="74" t="s">
        <v>1717</v>
      </c>
      <c r="I1453" s="80">
        <v>3824</v>
      </c>
      <c r="J1453" s="25">
        <v>0</v>
      </c>
      <c r="K1453" s="76"/>
    </row>
    <row r="1454" s="1" customFormat="1" ht="14.25" spans="1:11">
      <c r="A1454" s="77">
        <v>10</v>
      </c>
      <c r="B1454" s="78">
        <v>31</v>
      </c>
      <c r="C1454" s="78">
        <v>16</v>
      </c>
      <c r="D1454" s="79" t="s">
        <v>1720</v>
      </c>
      <c r="E1454" s="79" t="s">
        <v>37</v>
      </c>
      <c r="F1454" s="79">
        <v>0</v>
      </c>
      <c r="G1454" s="79" t="s">
        <v>32</v>
      </c>
      <c r="H1454" s="74" t="s">
        <v>1717</v>
      </c>
      <c r="I1454" s="80">
        <v>3352</v>
      </c>
      <c r="J1454" s="25">
        <v>0</v>
      </c>
      <c r="K1454" s="76"/>
    </row>
    <row r="1455" s="1" customFormat="1" ht="14.25" spans="1:11">
      <c r="A1455" s="77">
        <v>10</v>
      </c>
      <c r="B1455" s="78">
        <v>31</v>
      </c>
      <c r="C1455" s="78">
        <v>17</v>
      </c>
      <c r="D1455" s="79" t="s">
        <v>1721</v>
      </c>
      <c r="E1455" s="79" t="s">
        <v>172</v>
      </c>
      <c r="F1455" s="79" t="s">
        <v>681</v>
      </c>
      <c r="G1455" s="79" t="s">
        <v>32</v>
      </c>
      <c r="H1455" s="74" t="s">
        <v>1722</v>
      </c>
      <c r="I1455" s="80">
        <v>155</v>
      </c>
      <c r="J1455" s="25">
        <v>0</v>
      </c>
      <c r="K1455" s="76"/>
    </row>
    <row r="1456" s="1" customFormat="1" ht="14.25" spans="1:11">
      <c r="A1456" s="77">
        <v>10</v>
      </c>
      <c r="B1456" s="78">
        <v>31</v>
      </c>
      <c r="C1456" s="78">
        <v>17</v>
      </c>
      <c r="D1456" s="79" t="s">
        <v>1723</v>
      </c>
      <c r="E1456" s="79" t="s">
        <v>118</v>
      </c>
      <c r="F1456" s="79" t="s">
        <v>55</v>
      </c>
      <c r="G1456" s="79" t="s">
        <v>32</v>
      </c>
      <c r="H1456" s="74" t="s">
        <v>1722</v>
      </c>
      <c r="I1456" s="80">
        <v>90</v>
      </c>
      <c r="J1456" s="25">
        <v>0</v>
      </c>
      <c r="K1456" s="76"/>
    </row>
    <row r="1457" s="1" customFormat="1" spans="1:11">
      <c r="A1457" s="21">
        <v>10</v>
      </c>
      <c r="B1457" s="78">
        <v>31</v>
      </c>
      <c r="C1457" s="21">
        <v>17</v>
      </c>
      <c r="D1457" s="25" t="s">
        <v>1724</v>
      </c>
      <c r="E1457" s="25" t="s">
        <v>118</v>
      </c>
      <c r="F1457" s="25" t="s">
        <v>55</v>
      </c>
      <c r="G1457" s="25" t="s">
        <v>32</v>
      </c>
      <c r="H1457" s="74" t="s">
        <v>1722</v>
      </c>
      <c r="I1457" s="25">
        <v>40</v>
      </c>
      <c r="J1457" s="25">
        <v>0</v>
      </c>
      <c r="K1457" s="76"/>
    </row>
    <row r="1458" s="1" customFormat="1" spans="1:11">
      <c r="A1458" s="66">
        <v>10</v>
      </c>
      <c r="B1458" s="66">
        <v>31</v>
      </c>
      <c r="C1458" s="66">
        <v>17</v>
      </c>
      <c r="D1458" s="76" t="s">
        <v>1725</v>
      </c>
      <c r="E1458" s="76" t="s">
        <v>48</v>
      </c>
      <c r="F1458" s="76" t="s">
        <v>55</v>
      </c>
      <c r="G1458" s="76" t="s">
        <v>32</v>
      </c>
      <c r="H1458" s="74" t="s">
        <v>1722</v>
      </c>
      <c r="I1458" s="76">
        <v>83</v>
      </c>
      <c r="J1458" s="76">
        <v>0</v>
      </c>
      <c r="K1458" s="76"/>
    </row>
    <row r="1459" s="1" customFormat="1" spans="1:11">
      <c r="A1459" s="66">
        <v>10</v>
      </c>
      <c r="B1459" s="66">
        <v>31</v>
      </c>
      <c r="C1459" s="66">
        <v>17</v>
      </c>
      <c r="D1459" s="76" t="s">
        <v>1726</v>
      </c>
      <c r="E1459" s="76" t="s">
        <v>118</v>
      </c>
      <c r="F1459" s="76" t="s">
        <v>55</v>
      </c>
      <c r="G1459" s="76" t="s">
        <v>32</v>
      </c>
      <c r="H1459" s="74" t="s">
        <v>1722</v>
      </c>
      <c r="I1459" s="76">
        <v>39</v>
      </c>
      <c r="J1459" s="76">
        <v>0</v>
      </c>
      <c r="K1459" s="76"/>
    </row>
    <row r="1460" s="1" customFormat="1" spans="1:11">
      <c r="A1460" s="66">
        <v>10</v>
      </c>
      <c r="B1460" s="66">
        <v>31</v>
      </c>
      <c r="C1460" s="66">
        <v>17</v>
      </c>
      <c r="D1460" s="76" t="s">
        <v>1727</v>
      </c>
      <c r="E1460" s="76" t="s">
        <v>96</v>
      </c>
      <c r="F1460" s="76" t="s">
        <v>97</v>
      </c>
      <c r="G1460" s="76" t="s">
        <v>32</v>
      </c>
      <c r="H1460" s="74" t="s">
        <v>1728</v>
      </c>
      <c r="I1460" s="76">
        <v>734</v>
      </c>
      <c r="J1460" s="76">
        <v>0</v>
      </c>
      <c r="K1460" s="76"/>
    </row>
    <row r="1461" s="1" customFormat="1" spans="1:11">
      <c r="A1461" s="66">
        <v>10</v>
      </c>
      <c r="B1461" s="66">
        <v>31</v>
      </c>
      <c r="C1461" s="66">
        <v>17</v>
      </c>
      <c r="D1461" s="76" t="s">
        <v>1729</v>
      </c>
      <c r="E1461" s="76" t="s">
        <v>118</v>
      </c>
      <c r="F1461" s="76" t="s">
        <v>55</v>
      </c>
      <c r="G1461" s="76" t="s">
        <v>32</v>
      </c>
      <c r="H1461" s="74" t="s">
        <v>1728</v>
      </c>
      <c r="I1461" s="76">
        <v>137.5</v>
      </c>
      <c r="J1461" s="76">
        <v>0</v>
      </c>
      <c r="K1461" s="76"/>
    </row>
    <row r="1462" s="1" customFormat="1" spans="1:11">
      <c r="A1462" s="66">
        <v>10</v>
      </c>
      <c r="B1462" s="66">
        <v>31</v>
      </c>
      <c r="C1462" s="66">
        <v>17</v>
      </c>
      <c r="D1462" s="76" t="s">
        <v>1730</v>
      </c>
      <c r="E1462" s="76" t="s">
        <v>96</v>
      </c>
      <c r="F1462" s="76" t="s">
        <v>97</v>
      </c>
      <c r="G1462" s="76" t="s">
        <v>32</v>
      </c>
      <c r="H1462" s="74" t="s">
        <v>1728</v>
      </c>
      <c r="I1462" s="76">
        <v>12</v>
      </c>
      <c r="J1462" s="76">
        <v>0</v>
      </c>
      <c r="K1462" s="76"/>
    </row>
    <row r="1463" s="1" customFormat="1" spans="1:11">
      <c r="A1463" s="66">
        <v>10</v>
      </c>
      <c r="B1463" s="66">
        <v>31</v>
      </c>
      <c r="C1463" s="66">
        <v>17</v>
      </c>
      <c r="D1463" s="76" t="s">
        <v>1004</v>
      </c>
      <c r="E1463" s="76" t="s">
        <v>96</v>
      </c>
      <c r="F1463" s="76" t="s">
        <v>1561</v>
      </c>
      <c r="G1463" s="76" t="s">
        <v>32</v>
      </c>
      <c r="H1463" s="74" t="s">
        <v>1728</v>
      </c>
      <c r="I1463" s="76">
        <v>6.5</v>
      </c>
      <c r="J1463" s="76">
        <v>0</v>
      </c>
      <c r="K1463" s="76"/>
    </row>
    <row r="1464" s="1" customFormat="1" spans="1:11">
      <c r="A1464" s="66">
        <v>10</v>
      </c>
      <c r="B1464" s="66">
        <v>31</v>
      </c>
      <c r="C1464" s="66">
        <v>17</v>
      </c>
      <c r="D1464" s="76" t="s">
        <v>1731</v>
      </c>
      <c r="E1464" s="76" t="s">
        <v>48</v>
      </c>
      <c r="F1464" s="76" t="s">
        <v>209</v>
      </c>
      <c r="G1464" s="76" t="s">
        <v>32</v>
      </c>
      <c r="H1464" s="74" t="s">
        <v>1728</v>
      </c>
      <c r="I1464" s="76">
        <v>39</v>
      </c>
      <c r="J1464" s="76">
        <v>0</v>
      </c>
      <c r="K1464" s="76"/>
    </row>
    <row r="1465" s="1" customFormat="1" spans="1:11">
      <c r="A1465" s="66">
        <v>10</v>
      </c>
      <c r="B1465" s="66">
        <v>31</v>
      </c>
      <c r="C1465" s="66">
        <v>18</v>
      </c>
      <c r="D1465" s="76" t="s">
        <v>1732</v>
      </c>
      <c r="E1465" s="76" t="s">
        <v>48</v>
      </c>
      <c r="F1465" s="76" t="s">
        <v>55</v>
      </c>
      <c r="G1465" s="76" t="s">
        <v>32</v>
      </c>
      <c r="H1465" s="74" t="s">
        <v>1733</v>
      </c>
      <c r="I1465" s="76">
        <v>48</v>
      </c>
      <c r="J1465" s="76">
        <v>0</v>
      </c>
      <c r="K1465" s="76"/>
    </row>
    <row r="1466" s="1" customFormat="1" spans="1:11">
      <c r="A1466" s="66">
        <v>10</v>
      </c>
      <c r="B1466" s="66">
        <v>31</v>
      </c>
      <c r="C1466" s="66">
        <v>18</v>
      </c>
      <c r="D1466" s="76" t="s">
        <v>1734</v>
      </c>
      <c r="E1466" s="76" t="s">
        <v>96</v>
      </c>
      <c r="F1466" s="76" t="s">
        <v>97</v>
      </c>
      <c r="G1466" s="76" t="s">
        <v>32</v>
      </c>
      <c r="H1466" s="74" t="s">
        <v>1733</v>
      </c>
      <c r="I1466" s="76">
        <v>55</v>
      </c>
      <c r="J1466" s="76">
        <v>0</v>
      </c>
      <c r="K1466" s="76"/>
    </row>
    <row r="1467" s="1" customFormat="1" spans="1:11">
      <c r="A1467" s="66">
        <v>10</v>
      </c>
      <c r="B1467" s="66">
        <v>31</v>
      </c>
      <c r="C1467" s="66">
        <v>18</v>
      </c>
      <c r="D1467" s="76" t="s">
        <v>509</v>
      </c>
      <c r="E1467" s="76" t="s">
        <v>96</v>
      </c>
      <c r="F1467" s="76" t="s">
        <v>1561</v>
      </c>
      <c r="G1467" s="76" t="s">
        <v>32</v>
      </c>
      <c r="H1467" s="74" t="s">
        <v>1733</v>
      </c>
      <c r="I1467" s="76">
        <v>4</v>
      </c>
      <c r="J1467" s="76">
        <v>0</v>
      </c>
      <c r="K1467" s="76"/>
    </row>
    <row r="1468" s="1" customFormat="1" ht="14.25" spans="1:11">
      <c r="A1468" s="77">
        <v>10</v>
      </c>
      <c r="B1468" s="78">
        <v>31</v>
      </c>
      <c r="C1468" s="78">
        <v>18</v>
      </c>
      <c r="D1468" s="79" t="s">
        <v>1735</v>
      </c>
      <c r="E1468" s="79" t="s">
        <v>48</v>
      </c>
      <c r="F1468" s="79" t="s">
        <v>1565</v>
      </c>
      <c r="G1468" s="79" t="s">
        <v>32</v>
      </c>
      <c r="H1468" s="74" t="s">
        <v>1733</v>
      </c>
      <c r="I1468" s="80">
        <v>32</v>
      </c>
      <c r="J1468" s="25">
        <v>0</v>
      </c>
      <c r="K1468" s="76"/>
    </row>
    <row r="1469" s="1" customFormat="1" ht="14.25" spans="1:11">
      <c r="A1469" s="77">
        <v>10</v>
      </c>
      <c r="B1469" s="78">
        <v>31</v>
      </c>
      <c r="C1469" s="78">
        <v>18</v>
      </c>
      <c r="D1469" s="79" t="s">
        <v>1736</v>
      </c>
      <c r="E1469" s="79" t="s">
        <v>48</v>
      </c>
      <c r="F1469" s="79" t="s">
        <v>1565</v>
      </c>
      <c r="G1469" s="79" t="s">
        <v>32</v>
      </c>
      <c r="H1469" s="74" t="s">
        <v>1733</v>
      </c>
      <c r="I1469" s="80">
        <v>10</v>
      </c>
      <c r="J1469" s="25">
        <v>0</v>
      </c>
      <c r="K1469" s="76"/>
    </row>
    <row r="1470" s="1" customFormat="1" ht="14.25" spans="1:11">
      <c r="A1470" s="77">
        <v>10</v>
      </c>
      <c r="B1470" s="78">
        <v>31</v>
      </c>
      <c r="C1470" s="78">
        <v>18</v>
      </c>
      <c r="D1470" s="79" t="s">
        <v>1737</v>
      </c>
      <c r="E1470" s="79" t="s">
        <v>118</v>
      </c>
      <c r="F1470" s="80" t="s">
        <v>55</v>
      </c>
      <c r="G1470" s="79" t="s">
        <v>32</v>
      </c>
      <c r="H1470" s="74" t="s">
        <v>1738</v>
      </c>
      <c r="I1470" s="80">
        <v>5.5</v>
      </c>
      <c r="J1470" s="25">
        <v>0</v>
      </c>
      <c r="K1470" s="76"/>
    </row>
    <row r="1471" s="1" customFormat="1" ht="14.25" spans="1:11">
      <c r="A1471" s="77">
        <v>10</v>
      </c>
      <c r="B1471" s="78">
        <v>31</v>
      </c>
      <c r="C1471" s="78">
        <v>18</v>
      </c>
      <c r="D1471" s="79" t="s">
        <v>1739</v>
      </c>
      <c r="E1471" s="79" t="s">
        <v>118</v>
      </c>
      <c r="F1471" s="80" t="s">
        <v>55</v>
      </c>
      <c r="G1471" s="79" t="s">
        <v>32</v>
      </c>
      <c r="H1471" s="74" t="s">
        <v>1738</v>
      </c>
      <c r="I1471" s="80">
        <v>1300</v>
      </c>
      <c r="J1471" s="25">
        <v>0</v>
      </c>
      <c r="K1471" s="76"/>
    </row>
    <row r="1472" s="1" customFormat="1" spans="1:11">
      <c r="A1472" s="21">
        <v>10</v>
      </c>
      <c r="B1472" s="78">
        <v>31</v>
      </c>
      <c r="C1472" s="21">
        <v>18</v>
      </c>
      <c r="D1472" s="25" t="s">
        <v>1740</v>
      </c>
      <c r="E1472" s="25" t="s">
        <v>48</v>
      </c>
      <c r="F1472" s="25" t="s">
        <v>1565</v>
      </c>
      <c r="G1472" s="25" t="s">
        <v>32</v>
      </c>
      <c r="H1472" s="74" t="s">
        <v>1738</v>
      </c>
      <c r="I1472" s="25">
        <v>262</v>
      </c>
      <c r="J1472" s="25">
        <v>0</v>
      </c>
      <c r="K1472" s="76"/>
    </row>
    <row r="1473" s="1" customFormat="1" ht="14.25" spans="1:11">
      <c r="A1473" s="77">
        <v>10</v>
      </c>
      <c r="B1473" s="78">
        <v>31</v>
      </c>
      <c r="C1473" s="78">
        <v>18</v>
      </c>
      <c r="D1473" s="79" t="s">
        <v>1741</v>
      </c>
      <c r="E1473" s="79" t="s">
        <v>96</v>
      </c>
      <c r="F1473" s="79" t="s">
        <v>97</v>
      </c>
      <c r="G1473" s="79" t="s">
        <v>32</v>
      </c>
      <c r="H1473" s="74" t="s">
        <v>1738</v>
      </c>
      <c r="I1473" s="80">
        <v>232.5</v>
      </c>
      <c r="J1473" s="25">
        <v>0</v>
      </c>
      <c r="K1473" s="76"/>
    </row>
    <row r="1474" s="1" customFormat="1" ht="14.25" spans="1:11">
      <c r="A1474" s="77">
        <v>10</v>
      </c>
      <c r="B1474" s="78">
        <v>31</v>
      </c>
      <c r="C1474" s="78">
        <v>18</v>
      </c>
      <c r="D1474" s="79" t="s">
        <v>1742</v>
      </c>
      <c r="E1474" s="79" t="s">
        <v>118</v>
      </c>
      <c r="F1474" s="79" t="s">
        <v>55</v>
      </c>
      <c r="G1474" s="79" t="s">
        <v>32</v>
      </c>
      <c r="H1474" s="74" t="s">
        <v>1738</v>
      </c>
      <c r="I1474" s="80">
        <v>12</v>
      </c>
      <c r="J1474" s="25">
        <v>0</v>
      </c>
      <c r="K1474" s="76"/>
    </row>
    <row r="1475" s="1" customFormat="1" ht="14.25" spans="1:11">
      <c r="A1475" s="77">
        <v>10</v>
      </c>
      <c r="B1475" s="78">
        <v>31</v>
      </c>
      <c r="C1475" s="78">
        <v>19</v>
      </c>
      <c r="D1475" s="79" t="s">
        <v>1743</v>
      </c>
      <c r="E1475" s="79" t="s">
        <v>96</v>
      </c>
      <c r="F1475" s="79" t="s">
        <v>97</v>
      </c>
      <c r="G1475" s="79" t="s">
        <v>32</v>
      </c>
      <c r="H1475" s="74" t="s">
        <v>1744</v>
      </c>
      <c r="I1475" s="80">
        <v>97</v>
      </c>
      <c r="J1475" s="25">
        <v>0</v>
      </c>
      <c r="K1475" s="76"/>
    </row>
    <row r="1476" s="1" customFormat="1" ht="14.25" spans="1:11">
      <c r="A1476" s="77">
        <v>10</v>
      </c>
      <c r="B1476" s="78">
        <v>31</v>
      </c>
      <c r="C1476" s="78">
        <v>19</v>
      </c>
      <c r="D1476" s="79" t="s">
        <v>1745</v>
      </c>
      <c r="E1476" s="79" t="s">
        <v>118</v>
      </c>
      <c r="F1476" s="79" t="s">
        <v>55</v>
      </c>
      <c r="G1476" s="79" t="s">
        <v>32</v>
      </c>
      <c r="H1476" s="74" t="s">
        <v>1744</v>
      </c>
      <c r="I1476" s="80">
        <v>60</v>
      </c>
      <c r="J1476" s="25">
        <v>0</v>
      </c>
      <c r="K1476" s="76"/>
    </row>
    <row r="1477" s="1" customFormat="1" spans="1:11">
      <c r="A1477" s="21">
        <v>10</v>
      </c>
      <c r="B1477" s="78">
        <v>31</v>
      </c>
      <c r="C1477" s="21">
        <v>19</v>
      </c>
      <c r="D1477" s="25" t="s">
        <v>1746</v>
      </c>
      <c r="E1477" s="25" t="s">
        <v>118</v>
      </c>
      <c r="F1477" s="25" t="s">
        <v>55</v>
      </c>
      <c r="G1477" s="25" t="s">
        <v>32</v>
      </c>
      <c r="H1477" s="74" t="s">
        <v>1744</v>
      </c>
      <c r="I1477" s="25">
        <v>320</v>
      </c>
      <c r="J1477" s="25">
        <v>0</v>
      </c>
      <c r="K1477" s="76"/>
    </row>
    <row r="1478" s="1" customFormat="1" ht="14.25" spans="1:11">
      <c r="A1478" s="77">
        <v>10</v>
      </c>
      <c r="B1478" s="78">
        <v>31</v>
      </c>
      <c r="C1478" s="78">
        <v>19</v>
      </c>
      <c r="D1478" s="79" t="s">
        <v>1705</v>
      </c>
      <c r="E1478" s="79" t="s">
        <v>118</v>
      </c>
      <c r="F1478" s="79" t="s">
        <v>55</v>
      </c>
      <c r="G1478" s="79" t="s">
        <v>32</v>
      </c>
      <c r="H1478" s="74" t="s">
        <v>1744</v>
      </c>
      <c r="I1478" s="80">
        <v>10320</v>
      </c>
      <c r="J1478" s="25">
        <v>0</v>
      </c>
      <c r="K1478" s="76"/>
    </row>
    <row r="1479" s="1" customFormat="1" ht="14.25" spans="1:11">
      <c r="A1479" s="77">
        <v>10</v>
      </c>
      <c r="B1479" s="78">
        <v>31</v>
      </c>
      <c r="C1479" s="78">
        <v>19</v>
      </c>
      <c r="D1479" s="79" t="s">
        <v>1747</v>
      </c>
      <c r="E1479" s="79" t="s">
        <v>48</v>
      </c>
      <c r="F1479" s="79" t="s">
        <v>233</v>
      </c>
      <c r="G1479" s="79" t="s">
        <v>32</v>
      </c>
      <c r="H1479" s="74" t="s">
        <v>1744</v>
      </c>
      <c r="I1479" s="80">
        <v>40</v>
      </c>
      <c r="J1479" s="25">
        <v>0</v>
      </c>
      <c r="K1479" s="76"/>
    </row>
    <row r="1480" s="1" customFormat="1" ht="14.25" spans="1:11">
      <c r="A1480" s="77">
        <v>10</v>
      </c>
      <c r="B1480" s="78">
        <v>31</v>
      </c>
      <c r="C1480" s="78">
        <v>19</v>
      </c>
      <c r="D1480" s="79" t="s">
        <v>1395</v>
      </c>
      <c r="E1480" s="79" t="s">
        <v>96</v>
      </c>
      <c r="F1480" s="79" t="s">
        <v>97</v>
      </c>
      <c r="G1480" s="79" t="s">
        <v>32</v>
      </c>
      <c r="H1480" s="74" t="s">
        <v>1748</v>
      </c>
      <c r="I1480" s="80">
        <v>90</v>
      </c>
      <c r="J1480" s="25">
        <v>0</v>
      </c>
      <c r="K1480" s="76"/>
    </row>
    <row r="1481" s="1" customFormat="1" ht="14.25" spans="1:11">
      <c r="A1481" s="77">
        <v>10</v>
      </c>
      <c r="B1481" s="78">
        <v>31</v>
      </c>
      <c r="C1481" s="78">
        <v>19</v>
      </c>
      <c r="D1481" s="79" t="s">
        <v>1749</v>
      </c>
      <c r="E1481" s="79" t="s">
        <v>48</v>
      </c>
      <c r="F1481" s="79" t="s">
        <v>1565</v>
      </c>
      <c r="G1481" s="79" t="s">
        <v>32</v>
      </c>
      <c r="H1481" s="74" t="s">
        <v>1748</v>
      </c>
      <c r="I1481" s="80">
        <v>110</v>
      </c>
      <c r="J1481" s="25">
        <v>0</v>
      </c>
      <c r="K1481" s="76"/>
    </row>
    <row r="1482" s="1" customFormat="1" ht="14.25" spans="1:11">
      <c r="A1482" s="77">
        <v>10</v>
      </c>
      <c r="B1482" s="78">
        <v>31</v>
      </c>
      <c r="C1482" s="78">
        <v>19</v>
      </c>
      <c r="D1482" s="79" t="s">
        <v>1750</v>
      </c>
      <c r="E1482" s="79" t="s">
        <v>48</v>
      </c>
      <c r="F1482" s="79" t="s">
        <v>55</v>
      </c>
      <c r="G1482" s="79" t="s">
        <v>32</v>
      </c>
      <c r="H1482" s="74" t="s">
        <v>1748</v>
      </c>
      <c r="I1482" s="80">
        <v>100</v>
      </c>
      <c r="J1482" s="25">
        <v>0</v>
      </c>
      <c r="K1482" s="76"/>
    </row>
    <row r="1483" s="1" customFormat="1" ht="14.25" spans="1:11">
      <c r="A1483" s="77">
        <v>10</v>
      </c>
      <c r="B1483" s="78">
        <v>31</v>
      </c>
      <c r="C1483" s="78">
        <v>19</v>
      </c>
      <c r="D1483" s="79" t="s">
        <v>600</v>
      </c>
      <c r="E1483" s="79" t="s">
        <v>85</v>
      </c>
      <c r="F1483" s="79" t="s">
        <v>1364</v>
      </c>
      <c r="G1483" s="79" t="s">
        <v>32</v>
      </c>
      <c r="H1483" s="74" t="s">
        <v>1748</v>
      </c>
      <c r="I1483" s="80">
        <v>1660</v>
      </c>
      <c r="J1483" s="25">
        <v>0</v>
      </c>
      <c r="K1483" s="76"/>
    </row>
    <row r="1484" s="1" customFormat="1" ht="14.25" spans="1:11">
      <c r="A1484" s="77">
        <v>10</v>
      </c>
      <c r="B1484" s="78">
        <v>31</v>
      </c>
      <c r="C1484" s="78">
        <v>19</v>
      </c>
      <c r="D1484" s="79" t="s">
        <v>1751</v>
      </c>
      <c r="E1484" s="79" t="s">
        <v>85</v>
      </c>
      <c r="F1484" s="79" t="s">
        <v>1752</v>
      </c>
      <c r="G1484" s="79" t="s">
        <v>32</v>
      </c>
      <c r="H1484" s="74" t="s">
        <v>1748</v>
      </c>
      <c r="I1484" s="80">
        <v>5425</v>
      </c>
      <c r="J1484" s="25">
        <v>0</v>
      </c>
      <c r="K1484" s="76"/>
    </row>
    <row r="1485" s="1" customFormat="1" ht="14.25" spans="1:11">
      <c r="A1485" s="77">
        <v>10</v>
      </c>
      <c r="B1485" s="78">
        <v>31</v>
      </c>
      <c r="C1485" s="78">
        <v>20</v>
      </c>
      <c r="D1485" s="79" t="s">
        <v>1395</v>
      </c>
      <c r="E1485" s="79" t="s">
        <v>96</v>
      </c>
      <c r="F1485" s="79" t="s">
        <v>97</v>
      </c>
      <c r="G1485" s="79" t="s">
        <v>32</v>
      </c>
      <c r="H1485" s="74" t="s">
        <v>1753</v>
      </c>
      <c r="I1485" s="80">
        <v>242</v>
      </c>
      <c r="J1485" s="25">
        <v>0</v>
      </c>
      <c r="K1485" s="76"/>
    </row>
    <row r="1486" s="1" customFormat="1" ht="14.25" spans="1:11">
      <c r="A1486" s="77">
        <v>10</v>
      </c>
      <c r="B1486" s="78">
        <v>31</v>
      </c>
      <c r="C1486" s="78">
        <v>20</v>
      </c>
      <c r="D1486" s="79" t="s">
        <v>1754</v>
      </c>
      <c r="E1486" s="79" t="s">
        <v>118</v>
      </c>
      <c r="F1486" s="79" t="s">
        <v>119</v>
      </c>
      <c r="G1486" s="79" t="s">
        <v>32</v>
      </c>
      <c r="H1486" s="74" t="s">
        <v>1753</v>
      </c>
      <c r="I1486" s="80">
        <v>29743</v>
      </c>
      <c r="J1486" s="25">
        <v>0</v>
      </c>
      <c r="K1486" s="76"/>
    </row>
    <row r="1487" s="1" customFormat="1" ht="14.25" spans="1:11">
      <c r="A1487" s="77">
        <v>10</v>
      </c>
      <c r="B1487" s="78">
        <v>31</v>
      </c>
      <c r="C1487" s="78">
        <v>20</v>
      </c>
      <c r="D1487" s="79" t="s">
        <v>1755</v>
      </c>
      <c r="E1487" s="79" t="s">
        <v>118</v>
      </c>
      <c r="F1487" s="79" t="s">
        <v>55</v>
      </c>
      <c r="G1487" s="79" t="s">
        <v>32</v>
      </c>
      <c r="H1487" s="74" t="s">
        <v>1753</v>
      </c>
      <c r="I1487" s="80">
        <v>185</v>
      </c>
      <c r="J1487" s="25">
        <v>0</v>
      </c>
      <c r="K1487" s="76"/>
    </row>
    <row r="1488" s="1" customFormat="1" spans="1:11">
      <c r="A1488" s="21">
        <v>10</v>
      </c>
      <c r="B1488" s="78">
        <v>31</v>
      </c>
      <c r="C1488" s="21">
        <v>20</v>
      </c>
      <c r="D1488" s="25" t="s">
        <v>1756</v>
      </c>
      <c r="E1488" s="25" t="s">
        <v>211</v>
      </c>
      <c r="F1488" s="25" t="s">
        <v>1146</v>
      </c>
      <c r="G1488" s="25" t="s">
        <v>32</v>
      </c>
      <c r="H1488" s="74" t="s">
        <v>1753</v>
      </c>
      <c r="I1488" s="25">
        <v>445</v>
      </c>
      <c r="J1488" s="25">
        <v>0</v>
      </c>
      <c r="K1488" s="76"/>
    </row>
    <row r="1489" s="1" customFormat="1" ht="14.25" spans="1:11">
      <c r="A1489" s="77">
        <v>10</v>
      </c>
      <c r="B1489" s="78">
        <v>31</v>
      </c>
      <c r="C1489" s="78">
        <v>20</v>
      </c>
      <c r="D1489" s="79" t="s">
        <v>1757</v>
      </c>
      <c r="E1489" s="79" t="s">
        <v>85</v>
      </c>
      <c r="F1489" s="79" t="s">
        <v>1752</v>
      </c>
      <c r="G1489" s="79" t="s">
        <v>32</v>
      </c>
      <c r="H1489" s="74" t="s">
        <v>1753</v>
      </c>
      <c r="I1489" s="80">
        <v>6910</v>
      </c>
      <c r="J1489" s="25">
        <v>0</v>
      </c>
      <c r="K1489" s="76"/>
    </row>
    <row r="1490" s="1" customFormat="1" ht="14.25" spans="1:11">
      <c r="A1490" s="77">
        <v>10</v>
      </c>
      <c r="B1490" s="78">
        <v>31</v>
      </c>
      <c r="C1490" s="78">
        <v>20</v>
      </c>
      <c r="D1490" s="79" t="s">
        <v>1758</v>
      </c>
      <c r="E1490" s="79" t="s">
        <v>118</v>
      </c>
      <c r="F1490" s="79" t="s">
        <v>55</v>
      </c>
      <c r="G1490" s="79" t="s">
        <v>32</v>
      </c>
      <c r="H1490" s="74" t="s">
        <v>1759</v>
      </c>
      <c r="I1490" s="80">
        <v>2950</v>
      </c>
      <c r="J1490" s="25">
        <v>0</v>
      </c>
      <c r="K1490" s="76"/>
    </row>
    <row r="1491" s="1" customFormat="1" ht="14.25" spans="1:11">
      <c r="A1491" s="77">
        <v>10</v>
      </c>
      <c r="B1491" s="78">
        <v>31</v>
      </c>
      <c r="C1491" s="78">
        <v>20</v>
      </c>
      <c r="D1491" s="79" t="s">
        <v>1760</v>
      </c>
      <c r="E1491" s="79" t="s">
        <v>118</v>
      </c>
      <c r="F1491" s="79" t="s">
        <v>55</v>
      </c>
      <c r="G1491" s="79" t="s">
        <v>32</v>
      </c>
      <c r="H1491" s="74" t="s">
        <v>1759</v>
      </c>
      <c r="I1491" s="80">
        <v>220</v>
      </c>
      <c r="J1491" s="25">
        <v>0</v>
      </c>
      <c r="K1491" s="76"/>
    </row>
    <row r="1492" s="1" customFormat="1" ht="14.25" spans="1:11">
      <c r="A1492" s="77">
        <v>10</v>
      </c>
      <c r="B1492" s="78">
        <v>31</v>
      </c>
      <c r="C1492" s="78">
        <v>20</v>
      </c>
      <c r="D1492" s="79" t="s">
        <v>1761</v>
      </c>
      <c r="E1492" s="79" t="s">
        <v>96</v>
      </c>
      <c r="F1492" s="79" t="s">
        <v>345</v>
      </c>
      <c r="G1492" s="79" t="s">
        <v>32</v>
      </c>
      <c r="H1492" s="74" t="s">
        <v>1759</v>
      </c>
      <c r="I1492" s="80">
        <v>168</v>
      </c>
      <c r="J1492" s="25">
        <v>0</v>
      </c>
      <c r="K1492" s="76"/>
    </row>
    <row r="1493" s="1" customFormat="1" ht="14.25" spans="1:11">
      <c r="A1493" s="77">
        <v>10</v>
      </c>
      <c r="B1493" s="78">
        <v>31</v>
      </c>
      <c r="C1493" s="78">
        <v>20</v>
      </c>
      <c r="D1493" s="79" t="s">
        <v>1762</v>
      </c>
      <c r="E1493" s="79" t="s">
        <v>85</v>
      </c>
      <c r="F1493" s="79" t="s">
        <v>989</v>
      </c>
      <c r="G1493" s="79" t="s">
        <v>32</v>
      </c>
      <c r="H1493" s="74" t="s">
        <v>1759</v>
      </c>
      <c r="I1493" s="80">
        <v>380</v>
      </c>
      <c r="J1493" s="25">
        <v>0</v>
      </c>
      <c r="K1493" s="76"/>
    </row>
    <row r="1494" s="1" customFormat="1" ht="14.25" spans="1:11">
      <c r="A1494" s="77">
        <v>10</v>
      </c>
      <c r="B1494" s="78">
        <v>31</v>
      </c>
      <c r="C1494" s="78">
        <v>20</v>
      </c>
      <c r="D1494" s="79" t="s">
        <v>1763</v>
      </c>
      <c r="E1494" s="79" t="s">
        <v>118</v>
      </c>
      <c r="F1494" s="79" t="s">
        <v>55</v>
      </c>
      <c r="G1494" s="79" t="s">
        <v>32</v>
      </c>
      <c r="H1494" s="74" t="s">
        <v>1759</v>
      </c>
      <c r="I1494" s="80">
        <v>602</v>
      </c>
      <c r="J1494" s="25">
        <v>0</v>
      </c>
      <c r="K1494" s="76"/>
    </row>
    <row r="1495" s="1" customFormat="1" ht="14.25" spans="1:11">
      <c r="A1495" s="77">
        <v>10</v>
      </c>
      <c r="B1495" s="78">
        <v>31</v>
      </c>
      <c r="C1495" s="78">
        <v>21</v>
      </c>
      <c r="D1495" s="79" t="s">
        <v>1764</v>
      </c>
      <c r="E1495" s="79" t="s">
        <v>48</v>
      </c>
      <c r="F1495" s="79" t="s">
        <v>207</v>
      </c>
      <c r="G1495" s="79" t="s">
        <v>32</v>
      </c>
      <c r="H1495" s="74" t="s">
        <v>1765</v>
      </c>
      <c r="I1495" s="80">
        <v>48</v>
      </c>
      <c r="J1495" s="25">
        <v>0</v>
      </c>
      <c r="K1495" s="76"/>
    </row>
    <row r="1496" s="1" customFormat="1" ht="14.25" spans="1:11">
      <c r="A1496" s="77">
        <v>10</v>
      </c>
      <c r="B1496" s="78">
        <v>31</v>
      </c>
      <c r="C1496" s="78">
        <v>21</v>
      </c>
      <c r="D1496" s="79" t="s">
        <v>1766</v>
      </c>
      <c r="E1496" s="79" t="s">
        <v>48</v>
      </c>
      <c r="F1496" s="79" t="s">
        <v>207</v>
      </c>
      <c r="G1496" s="79" t="s">
        <v>32</v>
      </c>
      <c r="H1496" s="74" t="s">
        <v>1765</v>
      </c>
      <c r="I1496" s="80">
        <v>48</v>
      </c>
      <c r="J1496" s="25">
        <v>0</v>
      </c>
      <c r="K1496" s="76"/>
    </row>
    <row r="1497" s="1" customFormat="1" ht="14.25" spans="1:11">
      <c r="A1497" s="77">
        <v>10</v>
      </c>
      <c r="B1497" s="78">
        <v>31</v>
      </c>
      <c r="C1497" s="78">
        <v>21</v>
      </c>
      <c r="D1497" s="79" t="s">
        <v>1767</v>
      </c>
      <c r="E1497" s="79" t="s">
        <v>85</v>
      </c>
      <c r="F1497" s="79" t="s">
        <v>1752</v>
      </c>
      <c r="G1497" s="79" t="s">
        <v>32</v>
      </c>
      <c r="H1497" s="74" t="s">
        <v>1765</v>
      </c>
      <c r="I1497" s="80">
        <v>2000</v>
      </c>
      <c r="J1497" s="25">
        <v>0</v>
      </c>
      <c r="K1497" s="76"/>
    </row>
    <row r="1498" s="1" customFormat="1" ht="14.25" spans="1:11">
      <c r="A1498" s="77">
        <v>10</v>
      </c>
      <c r="B1498" s="78">
        <v>31</v>
      </c>
      <c r="C1498" s="78">
        <v>21</v>
      </c>
      <c r="D1498" s="79" t="s">
        <v>1768</v>
      </c>
      <c r="E1498" s="79" t="s">
        <v>85</v>
      </c>
      <c r="F1498" s="79" t="s">
        <v>1752</v>
      </c>
      <c r="G1498" s="79" t="s">
        <v>32</v>
      </c>
      <c r="H1498" s="74" t="s">
        <v>1765</v>
      </c>
      <c r="I1498" s="80">
        <v>5624</v>
      </c>
      <c r="J1498" s="25">
        <v>0</v>
      </c>
      <c r="K1498" s="76"/>
    </row>
    <row r="1499" s="1" customFormat="1" ht="14.25" spans="1:11">
      <c r="A1499" s="77">
        <v>10</v>
      </c>
      <c r="B1499" s="78">
        <v>31</v>
      </c>
      <c r="C1499" s="78">
        <v>21</v>
      </c>
      <c r="D1499" s="79" t="s">
        <v>1769</v>
      </c>
      <c r="E1499" s="79" t="s">
        <v>85</v>
      </c>
      <c r="F1499" s="79" t="s">
        <v>1752</v>
      </c>
      <c r="G1499" s="79" t="s">
        <v>32</v>
      </c>
      <c r="H1499" s="74" t="s">
        <v>1765</v>
      </c>
      <c r="I1499" s="80">
        <v>2000</v>
      </c>
      <c r="J1499" s="25">
        <v>0</v>
      </c>
      <c r="K1499" s="76"/>
    </row>
    <row r="1500" s="1" customFormat="1" ht="14.25" spans="1:11">
      <c r="A1500" s="77">
        <v>10</v>
      </c>
      <c r="B1500" s="78">
        <v>31</v>
      </c>
      <c r="C1500" s="78">
        <v>21</v>
      </c>
      <c r="D1500" s="79" t="s">
        <v>1770</v>
      </c>
      <c r="E1500" s="79" t="s">
        <v>48</v>
      </c>
      <c r="F1500" s="79" t="s">
        <v>207</v>
      </c>
      <c r="G1500" s="79" t="s">
        <v>32</v>
      </c>
      <c r="H1500" s="74" t="s">
        <v>1771</v>
      </c>
      <c r="I1500" s="80">
        <v>1800</v>
      </c>
      <c r="J1500" s="25">
        <v>0</v>
      </c>
      <c r="K1500" s="76"/>
    </row>
    <row r="1501" s="1" customFormat="1" ht="14.25" spans="1:11">
      <c r="A1501" s="77">
        <v>10</v>
      </c>
      <c r="B1501" s="78">
        <v>31</v>
      </c>
      <c r="C1501" s="78">
        <v>21</v>
      </c>
      <c r="D1501" s="79" t="s">
        <v>1772</v>
      </c>
      <c r="E1501" s="79" t="s">
        <v>48</v>
      </c>
      <c r="F1501" s="79" t="s">
        <v>207</v>
      </c>
      <c r="G1501" s="79" t="s">
        <v>32</v>
      </c>
      <c r="H1501" s="74" t="s">
        <v>1771</v>
      </c>
      <c r="I1501" s="80">
        <v>2000</v>
      </c>
      <c r="J1501" s="25">
        <v>0</v>
      </c>
      <c r="K1501" s="76"/>
    </row>
    <row r="1502" s="1" customFormat="1" ht="14.25" spans="1:11">
      <c r="A1502" s="77">
        <v>10</v>
      </c>
      <c r="B1502" s="78">
        <v>31</v>
      </c>
      <c r="C1502" s="78">
        <v>22</v>
      </c>
      <c r="D1502" s="79" t="s">
        <v>1773</v>
      </c>
      <c r="E1502" s="79" t="s">
        <v>48</v>
      </c>
      <c r="F1502" s="79" t="s">
        <v>207</v>
      </c>
      <c r="G1502" s="79" t="s">
        <v>32</v>
      </c>
      <c r="H1502" s="74" t="s">
        <v>1774</v>
      </c>
      <c r="I1502" s="80">
        <v>100</v>
      </c>
      <c r="J1502" s="25">
        <v>0</v>
      </c>
      <c r="K1502" s="76"/>
    </row>
    <row r="1503" s="1" customFormat="1" ht="14.25" spans="1:11">
      <c r="A1503" s="77">
        <v>10</v>
      </c>
      <c r="B1503" s="78">
        <v>31</v>
      </c>
      <c r="C1503" s="78">
        <v>22</v>
      </c>
      <c r="D1503" s="79" t="s">
        <v>1775</v>
      </c>
      <c r="E1503" s="79" t="s">
        <v>48</v>
      </c>
      <c r="F1503" s="79" t="s">
        <v>207</v>
      </c>
      <c r="G1503" s="79" t="s">
        <v>32</v>
      </c>
      <c r="H1503" s="74" t="s">
        <v>1774</v>
      </c>
      <c r="I1503" s="80">
        <v>100</v>
      </c>
      <c r="J1503" s="25">
        <v>0</v>
      </c>
      <c r="K1503" s="76"/>
    </row>
    <row r="1504" s="1" customFormat="1" ht="14.25" spans="1:11">
      <c r="A1504" s="77">
        <v>10</v>
      </c>
      <c r="B1504" s="78">
        <v>31</v>
      </c>
      <c r="C1504" s="78">
        <v>22</v>
      </c>
      <c r="D1504" s="79" t="s">
        <v>1776</v>
      </c>
      <c r="E1504" s="79" t="s">
        <v>48</v>
      </c>
      <c r="F1504" s="79" t="s">
        <v>207</v>
      </c>
      <c r="G1504" s="79" t="s">
        <v>32</v>
      </c>
      <c r="H1504" s="74" t="s">
        <v>1774</v>
      </c>
      <c r="I1504" s="80">
        <v>2900</v>
      </c>
      <c r="J1504" s="25">
        <v>0</v>
      </c>
      <c r="K1504" s="76"/>
    </row>
    <row r="1505" s="1" customFormat="1" ht="14.25" spans="1:11">
      <c r="A1505" s="77">
        <v>10</v>
      </c>
      <c r="B1505" s="78">
        <v>31</v>
      </c>
      <c r="C1505" s="78">
        <v>22</v>
      </c>
      <c r="D1505" s="79" t="s">
        <v>1777</v>
      </c>
      <c r="E1505" s="79" t="s">
        <v>118</v>
      </c>
      <c r="F1505" s="79" t="s">
        <v>55</v>
      </c>
      <c r="G1505" s="79" t="s">
        <v>32</v>
      </c>
      <c r="H1505" s="74" t="s">
        <v>1774</v>
      </c>
      <c r="I1505" s="80">
        <v>33</v>
      </c>
      <c r="J1505" s="25">
        <v>0</v>
      </c>
      <c r="K1505" s="76"/>
    </row>
    <row r="1506" s="1" customFormat="1" ht="14.25" spans="1:11">
      <c r="A1506" s="77">
        <v>10</v>
      </c>
      <c r="B1506" s="78">
        <v>31</v>
      </c>
      <c r="C1506" s="78">
        <v>22</v>
      </c>
      <c r="D1506" s="79" t="s">
        <v>1778</v>
      </c>
      <c r="E1506" s="79" t="s">
        <v>85</v>
      </c>
      <c r="F1506" s="79" t="s">
        <v>1752</v>
      </c>
      <c r="G1506" s="79" t="s">
        <v>32</v>
      </c>
      <c r="H1506" s="74" t="s">
        <v>1774</v>
      </c>
      <c r="I1506" s="80">
        <v>1800</v>
      </c>
      <c r="J1506" s="25">
        <v>0</v>
      </c>
      <c r="K1506" s="76"/>
    </row>
    <row r="1507" s="1" customFormat="1" ht="14.25" spans="1:11">
      <c r="A1507" s="77">
        <v>10</v>
      </c>
      <c r="B1507" s="78">
        <v>31</v>
      </c>
      <c r="C1507" s="78">
        <v>22</v>
      </c>
      <c r="D1507" s="79" t="s">
        <v>1779</v>
      </c>
      <c r="E1507" s="79" t="s">
        <v>85</v>
      </c>
      <c r="F1507" s="79" t="s">
        <v>1752</v>
      </c>
      <c r="G1507" s="79" t="s">
        <v>32</v>
      </c>
      <c r="H1507" s="74" t="s">
        <v>1780</v>
      </c>
      <c r="I1507" s="80">
        <v>5425</v>
      </c>
      <c r="J1507" s="25">
        <v>0</v>
      </c>
      <c r="K1507" s="76"/>
    </row>
    <row r="1508" s="1" customFormat="1" ht="14.25" spans="1:11">
      <c r="A1508" s="77">
        <v>10</v>
      </c>
      <c r="B1508" s="78">
        <v>31</v>
      </c>
      <c r="C1508" s="78">
        <v>22</v>
      </c>
      <c r="D1508" s="79" t="s">
        <v>1781</v>
      </c>
      <c r="E1508" s="79" t="s">
        <v>85</v>
      </c>
      <c r="F1508" s="79" t="s">
        <v>1752</v>
      </c>
      <c r="G1508" s="79" t="s">
        <v>32</v>
      </c>
      <c r="H1508" s="74" t="s">
        <v>1780</v>
      </c>
      <c r="I1508" s="80">
        <v>5425</v>
      </c>
      <c r="J1508" s="25">
        <v>0</v>
      </c>
      <c r="K1508" s="76"/>
    </row>
    <row r="1509" s="1" customFormat="1" spans="1:11">
      <c r="A1509" s="66">
        <v>10</v>
      </c>
      <c r="B1509" s="66">
        <v>31</v>
      </c>
      <c r="C1509" s="66">
        <v>22</v>
      </c>
      <c r="D1509" s="76" t="s">
        <v>1782</v>
      </c>
      <c r="E1509" s="76" t="s">
        <v>85</v>
      </c>
      <c r="F1509" s="76" t="s">
        <v>1752</v>
      </c>
      <c r="G1509" s="76" t="s">
        <v>32</v>
      </c>
      <c r="H1509" s="74" t="s">
        <v>1780</v>
      </c>
      <c r="I1509" s="76">
        <v>4000</v>
      </c>
      <c r="J1509" s="76">
        <v>0</v>
      </c>
      <c r="K1509" s="76"/>
    </row>
    <row r="1510" s="1" customFormat="1" ht="14.25" spans="1:11">
      <c r="A1510" s="77">
        <v>10</v>
      </c>
      <c r="B1510" s="78">
        <v>31</v>
      </c>
      <c r="C1510" s="78">
        <v>22</v>
      </c>
      <c r="D1510" s="79" t="s">
        <v>1783</v>
      </c>
      <c r="E1510" s="79" t="s">
        <v>85</v>
      </c>
      <c r="F1510" s="79" t="s">
        <v>1752</v>
      </c>
      <c r="G1510" s="79" t="s">
        <v>32</v>
      </c>
      <c r="H1510" s="74" t="s">
        <v>1780</v>
      </c>
      <c r="I1510" s="80">
        <v>5480</v>
      </c>
      <c r="J1510" s="25">
        <v>0</v>
      </c>
      <c r="K1510" s="76"/>
    </row>
    <row r="1511" s="1" customFormat="1" ht="14.25" spans="1:11">
      <c r="A1511" s="77">
        <v>10</v>
      </c>
      <c r="B1511" s="78">
        <v>31</v>
      </c>
      <c r="C1511" s="78">
        <v>22</v>
      </c>
      <c r="D1511" s="79" t="s">
        <v>1784</v>
      </c>
      <c r="E1511" s="79" t="s">
        <v>85</v>
      </c>
      <c r="F1511" s="79" t="s">
        <v>1752</v>
      </c>
      <c r="G1511" s="79" t="s">
        <v>32</v>
      </c>
      <c r="H1511" s="74" t="s">
        <v>1780</v>
      </c>
      <c r="I1511" s="80">
        <v>4620</v>
      </c>
      <c r="J1511" s="25">
        <v>0</v>
      </c>
      <c r="K1511" s="76"/>
    </row>
    <row r="1512" s="1" customFormat="1" ht="14.25" spans="1:11">
      <c r="A1512" s="77">
        <v>10</v>
      </c>
      <c r="B1512" s="78">
        <v>31</v>
      </c>
      <c r="C1512" s="78">
        <v>23</v>
      </c>
      <c r="D1512" s="79" t="s">
        <v>1785</v>
      </c>
      <c r="E1512" s="79" t="s">
        <v>96</v>
      </c>
      <c r="F1512" s="79" t="s">
        <v>97</v>
      </c>
      <c r="G1512" s="79" t="s">
        <v>32</v>
      </c>
      <c r="H1512" s="74" t="s">
        <v>1786</v>
      </c>
      <c r="I1512" s="80">
        <v>360</v>
      </c>
      <c r="J1512" s="25">
        <v>0</v>
      </c>
      <c r="K1512" s="76"/>
    </row>
    <row r="1513" s="1" customFormat="1" ht="14.25" spans="1:11">
      <c r="A1513" s="77">
        <v>10</v>
      </c>
      <c r="B1513" s="78">
        <v>31</v>
      </c>
      <c r="C1513" s="78">
        <v>23</v>
      </c>
      <c r="D1513" s="79" t="s">
        <v>1787</v>
      </c>
      <c r="E1513" s="79" t="s">
        <v>48</v>
      </c>
      <c r="F1513" s="79" t="s">
        <v>207</v>
      </c>
      <c r="G1513" s="79" t="s">
        <v>32</v>
      </c>
      <c r="H1513" s="74" t="s">
        <v>1786</v>
      </c>
      <c r="I1513" s="80">
        <v>127</v>
      </c>
      <c r="J1513" s="25">
        <v>0</v>
      </c>
      <c r="K1513" s="76"/>
    </row>
    <row r="1514" s="1" customFormat="1" ht="14.25" spans="1:11">
      <c r="A1514" s="77">
        <v>10</v>
      </c>
      <c r="B1514" s="78">
        <v>31</v>
      </c>
      <c r="C1514" s="78">
        <v>23</v>
      </c>
      <c r="D1514" s="79" t="s">
        <v>1788</v>
      </c>
      <c r="E1514" s="79" t="s">
        <v>48</v>
      </c>
      <c r="F1514" s="79" t="s">
        <v>1565</v>
      </c>
      <c r="G1514" s="79" t="s">
        <v>32</v>
      </c>
      <c r="H1514" s="74" t="s">
        <v>1786</v>
      </c>
      <c r="I1514" s="80">
        <v>125</v>
      </c>
      <c r="J1514" s="25">
        <v>0</v>
      </c>
      <c r="K1514" s="76"/>
    </row>
    <row r="1515" s="1" customFormat="1" spans="1:11">
      <c r="A1515" s="66">
        <v>10</v>
      </c>
      <c r="B1515" s="66">
        <v>31</v>
      </c>
      <c r="C1515" s="66">
        <v>23</v>
      </c>
      <c r="D1515" s="76" t="s">
        <v>1789</v>
      </c>
      <c r="E1515" s="76" t="s">
        <v>118</v>
      </c>
      <c r="F1515" s="76" t="s">
        <v>55</v>
      </c>
      <c r="G1515" s="76" t="s">
        <v>32</v>
      </c>
      <c r="H1515" s="74" t="s">
        <v>1786</v>
      </c>
      <c r="I1515" s="76">
        <v>420</v>
      </c>
      <c r="J1515" s="76">
        <v>0</v>
      </c>
      <c r="K1515" s="76"/>
    </row>
    <row r="1516" s="1" customFormat="1" ht="14.25" spans="1:11">
      <c r="A1516" s="77">
        <v>10</v>
      </c>
      <c r="B1516" s="78">
        <v>31</v>
      </c>
      <c r="C1516" s="78">
        <v>23</v>
      </c>
      <c r="D1516" s="79" t="s">
        <v>1790</v>
      </c>
      <c r="E1516" s="79" t="s">
        <v>118</v>
      </c>
      <c r="F1516" s="80" t="s">
        <v>55</v>
      </c>
      <c r="G1516" s="79" t="s">
        <v>32</v>
      </c>
      <c r="H1516" s="74" t="s">
        <v>1786</v>
      </c>
      <c r="I1516" s="80">
        <v>2330</v>
      </c>
      <c r="J1516" s="25">
        <v>0</v>
      </c>
      <c r="K1516" s="76"/>
    </row>
    <row r="1517" s="1" customFormat="1" ht="14.25" spans="1:11">
      <c r="A1517" s="77">
        <v>10</v>
      </c>
      <c r="B1517" s="78">
        <v>31</v>
      </c>
      <c r="C1517" s="78">
        <v>23</v>
      </c>
      <c r="D1517" s="79" t="s">
        <v>1791</v>
      </c>
      <c r="E1517" s="79" t="s">
        <v>118</v>
      </c>
      <c r="F1517" s="79" t="s">
        <v>119</v>
      </c>
      <c r="G1517" s="79" t="s">
        <v>32</v>
      </c>
      <c r="H1517" s="74" t="s">
        <v>1792</v>
      </c>
      <c r="I1517" s="80">
        <v>164000</v>
      </c>
      <c r="J1517" s="25">
        <v>0</v>
      </c>
      <c r="K1517" s="76"/>
    </row>
    <row r="1518" s="1" customFormat="1" ht="14.25" spans="1:11">
      <c r="A1518" s="77">
        <v>10</v>
      </c>
      <c r="B1518" s="78">
        <v>31</v>
      </c>
      <c r="C1518" s="78">
        <v>23</v>
      </c>
      <c r="D1518" s="79" t="s">
        <v>1791</v>
      </c>
      <c r="E1518" s="79" t="s">
        <v>118</v>
      </c>
      <c r="F1518" s="79" t="s">
        <v>119</v>
      </c>
      <c r="G1518" s="79" t="s">
        <v>32</v>
      </c>
      <c r="H1518" s="74" t="s">
        <v>1792</v>
      </c>
      <c r="I1518" s="80">
        <v>160000</v>
      </c>
      <c r="J1518" s="25">
        <v>0</v>
      </c>
      <c r="K1518" s="76"/>
    </row>
    <row r="1519" s="1" customFormat="1" ht="14.25" spans="1:11">
      <c r="A1519" s="77">
        <v>10</v>
      </c>
      <c r="B1519" s="78">
        <v>31</v>
      </c>
      <c r="C1519" s="78">
        <v>23</v>
      </c>
      <c r="D1519" s="79" t="s">
        <v>1791</v>
      </c>
      <c r="E1519" s="79" t="s">
        <v>118</v>
      </c>
      <c r="F1519" s="79" t="s">
        <v>119</v>
      </c>
      <c r="G1519" s="79" t="s">
        <v>32</v>
      </c>
      <c r="H1519" s="74" t="s">
        <v>1792</v>
      </c>
      <c r="I1519" s="80">
        <v>25721</v>
      </c>
      <c r="J1519" s="25">
        <v>0</v>
      </c>
      <c r="K1519" s="76"/>
    </row>
    <row r="1520" s="1" customFormat="1" ht="14.25" spans="1:11">
      <c r="A1520" s="77">
        <v>10</v>
      </c>
      <c r="B1520" s="78">
        <v>31</v>
      </c>
      <c r="C1520" s="78">
        <v>23</v>
      </c>
      <c r="D1520" s="79" t="s">
        <v>1791</v>
      </c>
      <c r="E1520" s="79" t="s">
        <v>118</v>
      </c>
      <c r="F1520" s="79" t="s">
        <v>119</v>
      </c>
      <c r="G1520" s="79" t="s">
        <v>32</v>
      </c>
      <c r="H1520" s="74" t="s">
        <v>1792</v>
      </c>
      <c r="I1520" s="80">
        <v>120138</v>
      </c>
      <c r="J1520" s="25">
        <v>0</v>
      </c>
      <c r="K1520" s="76"/>
    </row>
    <row r="1521" s="1" customFormat="1" ht="14.25" spans="1:11">
      <c r="A1521" s="77">
        <v>10</v>
      </c>
      <c r="B1521" s="78">
        <v>31</v>
      </c>
      <c r="C1521" s="78">
        <v>23</v>
      </c>
      <c r="D1521" s="79" t="s">
        <v>1793</v>
      </c>
      <c r="E1521" s="79" t="s">
        <v>118</v>
      </c>
      <c r="F1521" s="79" t="s">
        <v>119</v>
      </c>
      <c r="G1521" s="79" t="s">
        <v>32</v>
      </c>
      <c r="H1521" s="74" t="s">
        <v>1792</v>
      </c>
      <c r="I1521" s="80">
        <v>126800</v>
      </c>
      <c r="J1521" s="25">
        <v>0</v>
      </c>
      <c r="K1521" s="76"/>
    </row>
    <row r="1522" s="1" customFormat="1" ht="14.25" spans="1:11">
      <c r="A1522" s="77">
        <v>10</v>
      </c>
      <c r="B1522" s="78">
        <v>31</v>
      </c>
      <c r="C1522" s="78">
        <v>24</v>
      </c>
      <c r="D1522" s="79" t="s">
        <v>1794</v>
      </c>
      <c r="E1522" s="79" t="s">
        <v>48</v>
      </c>
      <c r="F1522" s="80" t="s">
        <v>1565</v>
      </c>
      <c r="G1522" s="79" t="s">
        <v>32</v>
      </c>
      <c r="H1522" s="74" t="s">
        <v>1795</v>
      </c>
      <c r="I1522" s="80">
        <v>165</v>
      </c>
      <c r="J1522" s="25">
        <v>0</v>
      </c>
      <c r="K1522" s="76"/>
    </row>
    <row r="1523" s="1" customFormat="1" ht="14.25" spans="1:11">
      <c r="A1523" s="77">
        <v>10</v>
      </c>
      <c r="B1523" s="78">
        <v>31</v>
      </c>
      <c r="C1523" s="78">
        <v>24</v>
      </c>
      <c r="D1523" s="79" t="s">
        <v>1796</v>
      </c>
      <c r="E1523" s="79" t="s">
        <v>96</v>
      </c>
      <c r="F1523" s="79" t="s">
        <v>97</v>
      </c>
      <c r="G1523" s="79" t="s">
        <v>32</v>
      </c>
      <c r="H1523" s="74" t="s">
        <v>1795</v>
      </c>
      <c r="I1523" s="80">
        <v>268</v>
      </c>
      <c r="J1523" s="25">
        <v>0</v>
      </c>
      <c r="K1523" s="76"/>
    </row>
    <row r="1524" s="1" customFormat="1" ht="14.25" spans="1:11">
      <c r="A1524" s="77">
        <v>10</v>
      </c>
      <c r="B1524" s="78">
        <v>31</v>
      </c>
      <c r="C1524" s="78">
        <v>24</v>
      </c>
      <c r="D1524" s="79" t="s">
        <v>1797</v>
      </c>
      <c r="E1524" s="79" t="s">
        <v>118</v>
      </c>
      <c r="F1524" s="79" t="s">
        <v>119</v>
      </c>
      <c r="G1524" s="79" t="s">
        <v>32</v>
      </c>
      <c r="H1524" s="74" t="s">
        <v>1795</v>
      </c>
      <c r="I1524" s="80">
        <v>59400</v>
      </c>
      <c r="J1524" s="25">
        <v>0</v>
      </c>
      <c r="K1524" s="76"/>
    </row>
    <row r="1525" s="1" customFormat="1" ht="14.25" spans="1:11">
      <c r="A1525" s="77">
        <v>10</v>
      </c>
      <c r="B1525" s="78">
        <v>31</v>
      </c>
      <c r="C1525" s="78">
        <v>24</v>
      </c>
      <c r="D1525" s="79" t="s">
        <v>1798</v>
      </c>
      <c r="E1525" s="79" t="s">
        <v>118</v>
      </c>
      <c r="F1525" s="79" t="s">
        <v>119</v>
      </c>
      <c r="G1525" s="79" t="s">
        <v>32</v>
      </c>
      <c r="H1525" s="74" t="s">
        <v>1795</v>
      </c>
      <c r="I1525" s="80">
        <v>61600</v>
      </c>
      <c r="J1525" s="25">
        <v>0</v>
      </c>
      <c r="K1525" s="76"/>
    </row>
    <row r="1526" s="1" customFormat="1" ht="14.25" spans="1:11">
      <c r="A1526" s="77">
        <v>10</v>
      </c>
      <c r="B1526" s="78">
        <v>31</v>
      </c>
      <c r="C1526" s="78">
        <v>24</v>
      </c>
      <c r="D1526" s="79" t="s">
        <v>1799</v>
      </c>
      <c r="E1526" s="79" t="s">
        <v>48</v>
      </c>
      <c r="F1526" s="79" t="s">
        <v>207</v>
      </c>
      <c r="G1526" s="79" t="s">
        <v>32</v>
      </c>
      <c r="H1526" s="74" t="s">
        <v>1800</v>
      </c>
      <c r="I1526" s="80">
        <v>160</v>
      </c>
      <c r="J1526" s="25">
        <v>0</v>
      </c>
      <c r="K1526" s="76"/>
    </row>
    <row r="1527" s="1" customFormat="1" ht="14.25" spans="1:11">
      <c r="A1527" s="77">
        <v>10</v>
      </c>
      <c r="B1527" s="78">
        <v>31</v>
      </c>
      <c r="C1527" s="78">
        <v>24</v>
      </c>
      <c r="D1527" s="79" t="s">
        <v>1801</v>
      </c>
      <c r="E1527" s="79" t="s">
        <v>85</v>
      </c>
      <c r="F1527" s="79" t="s">
        <v>1752</v>
      </c>
      <c r="G1527" s="79" t="s">
        <v>32</v>
      </c>
      <c r="H1527" s="74" t="s">
        <v>1800</v>
      </c>
      <c r="I1527" s="80">
        <v>5000</v>
      </c>
      <c r="J1527" s="25">
        <v>0</v>
      </c>
      <c r="K1527" s="76"/>
    </row>
    <row r="1528" s="1" customFormat="1" ht="14.25" spans="1:11">
      <c r="A1528" s="77">
        <v>10</v>
      </c>
      <c r="B1528" s="78">
        <v>31</v>
      </c>
      <c r="C1528" s="78">
        <v>24</v>
      </c>
      <c r="D1528" s="79" t="s">
        <v>1802</v>
      </c>
      <c r="E1528" s="79" t="s">
        <v>48</v>
      </c>
      <c r="F1528" s="79" t="s">
        <v>207</v>
      </c>
      <c r="G1528" s="79" t="s">
        <v>32</v>
      </c>
      <c r="H1528" s="74" t="s">
        <v>1800</v>
      </c>
      <c r="I1528" s="80">
        <v>600</v>
      </c>
      <c r="J1528" s="25">
        <v>0</v>
      </c>
      <c r="K1528" s="76"/>
    </row>
    <row r="1529" s="1" customFormat="1" ht="14.25" spans="1:11">
      <c r="A1529" s="77">
        <v>10</v>
      </c>
      <c r="B1529" s="78">
        <v>31</v>
      </c>
      <c r="C1529" s="78">
        <v>24</v>
      </c>
      <c r="D1529" s="79" t="s">
        <v>1803</v>
      </c>
      <c r="E1529" s="79" t="s">
        <v>48</v>
      </c>
      <c r="F1529" s="79" t="s">
        <v>207</v>
      </c>
      <c r="G1529" s="79" t="s">
        <v>32</v>
      </c>
      <c r="H1529" s="74" t="s">
        <v>1800</v>
      </c>
      <c r="I1529" s="80">
        <v>1200</v>
      </c>
      <c r="J1529" s="25">
        <v>0</v>
      </c>
      <c r="K1529" s="76"/>
    </row>
    <row r="1530" s="1" customFormat="1" ht="14.25" spans="1:11">
      <c r="A1530" s="77">
        <v>10</v>
      </c>
      <c r="B1530" s="78">
        <v>31</v>
      </c>
      <c r="C1530" s="78">
        <v>25</v>
      </c>
      <c r="D1530" s="79" t="s">
        <v>1804</v>
      </c>
      <c r="E1530" s="79" t="s">
        <v>48</v>
      </c>
      <c r="F1530" s="79" t="s">
        <v>55</v>
      </c>
      <c r="G1530" s="79" t="s">
        <v>32</v>
      </c>
      <c r="H1530" s="74" t="s">
        <v>1805</v>
      </c>
      <c r="I1530" s="80">
        <v>3000</v>
      </c>
      <c r="J1530" s="25">
        <v>0</v>
      </c>
      <c r="K1530" s="76"/>
    </row>
    <row r="1531" s="1" customFormat="1" ht="14.25" spans="1:11">
      <c r="A1531" s="77">
        <v>10</v>
      </c>
      <c r="B1531" s="78">
        <v>31</v>
      </c>
      <c r="C1531" s="78">
        <v>25</v>
      </c>
      <c r="D1531" s="79" t="s">
        <v>1806</v>
      </c>
      <c r="E1531" s="79" t="s">
        <v>48</v>
      </c>
      <c r="F1531" s="79" t="s">
        <v>55</v>
      </c>
      <c r="G1531" s="79" t="s">
        <v>32</v>
      </c>
      <c r="H1531" s="74" t="s">
        <v>1805</v>
      </c>
      <c r="I1531" s="80">
        <v>30</v>
      </c>
      <c r="J1531" s="25">
        <v>0</v>
      </c>
      <c r="K1531" s="76"/>
    </row>
    <row r="1532" s="1" customFormat="1" spans="1:11">
      <c r="A1532" s="21">
        <v>10</v>
      </c>
      <c r="B1532" s="78">
        <v>31</v>
      </c>
      <c r="C1532" s="21">
        <v>25</v>
      </c>
      <c r="D1532" s="25" t="s">
        <v>1807</v>
      </c>
      <c r="E1532" s="25" t="s">
        <v>48</v>
      </c>
      <c r="F1532" s="25" t="s">
        <v>209</v>
      </c>
      <c r="G1532" s="25" t="s">
        <v>32</v>
      </c>
      <c r="H1532" s="74" t="s">
        <v>1805</v>
      </c>
      <c r="I1532" s="25">
        <v>50</v>
      </c>
      <c r="J1532" s="25">
        <v>0</v>
      </c>
      <c r="K1532" s="76"/>
    </row>
    <row r="1533" s="1" customFormat="1" spans="1:11">
      <c r="A1533" s="21">
        <v>10</v>
      </c>
      <c r="B1533" s="78">
        <v>31</v>
      </c>
      <c r="C1533" s="21">
        <v>25</v>
      </c>
      <c r="D1533" s="25" t="s">
        <v>1808</v>
      </c>
      <c r="E1533" s="25" t="s">
        <v>48</v>
      </c>
      <c r="F1533" s="25" t="s">
        <v>55</v>
      </c>
      <c r="G1533" s="25" t="s">
        <v>32</v>
      </c>
      <c r="H1533" s="74" t="s">
        <v>1805</v>
      </c>
      <c r="I1533" s="25">
        <v>800</v>
      </c>
      <c r="J1533" s="25">
        <v>0</v>
      </c>
      <c r="K1533" s="76"/>
    </row>
    <row r="1534" s="1" customFormat="1" ht="14.25" spans="1:11">
      <c r="A1534" s="77">
        <v>10</v>
      </c>
      <c r="B1534" s="78">
        <v>31</v>
      </c>
      <c r="C1534" s="78">
        <v>25</v>
      </c>
      <c r="D1534" s="79" t="s">
        <v>1809</v>
      </c>
      <c r="E1534" s="79" t="s">
        <v>48</v>
      </c>
      <c r="F1534" s="79" t="s">
        <v>1565</v>
      </c>
      <c r="G1534" s="79" t="s">
        <v>32</v>
      </c>
      <c r="H1534" s="74" t="s">
        <v>1805</v>
      </c>
      <c r="I1534" s="80">
        <v>100</v>
      </c>
      <c r="J1534" s="25">
        <v>0</v>
      </c>
      <c r="K1534" s="76"/>
    </row>
    <row r="1535" s="1" customFormat="1" ht="14.25" spans="1:11">
      <c r="A1535" s="77">
        <v>10</v>
      </c>
      <c r="B1535" s="78">
        <v>31</v>
      </c>
      <c r="C1535" s="78">
        <v>25</v>
      </c>
      <c r="D1535" s="79" t="s">
        <v>562</v>
      </c>
      <c r="E1535" s="79" t="s">
        <v>96</v>
      </c>
      <c r="F1535" s="79" t="s">
        <v>97</v>
      </c>
      <c r="G1535" s="79" t="s">
        <v>32</v>
      </c>
      <c r="H1535" s="74" t="s">
        <v>1810</v>
      </c>
      <c r="I1535" s="80">
        <v>264</v>
      </c>
      <c r="J1535" s="25">
        <v>0</v>
      </c>
      <c r="K1535" s="76"/>
    </row>
    <row r="1536" s="1" customFormat="1" ht="14.25" spans="1:11">
      <c r="A1536" s="77">
        <v>10</v>
      </c>
      <c r="B1536" s="78">
        <v>31</v>
      </c>
      <c r="C1536" s="78">
        <v>25</v>
      </c>
      <c r="D1536" s="79" t="s">
        <v>1811</v>
      </c>
      <c r="E1536" s="79" t="s">
        <v>96</v>
      </c>
      <c r="F1536" s="79" t="s">
        <v>97</v>
      </c>
      <c r="G1536" s="79" t="s">
        <v>32</v>
      </c>
      <c r="H1536" s="74" t="s">
        <v>1810</v>
      </c>
      <c r="I1536" s="80">
        <v>60</v>
      </c>
      <c r="J1536" s="25">
        <v>0</v>
      </c>
      <c r="K1536" s="76"/>
    </row>
    <row r="1537" s="1" customFormat="1" ht="14.25" spans="1:11">
      <c r="A1537" s="77">
        <v>10</v>
      </c>
      <c r="B1537" s="78">
        <v>31</v>
      </c>
      <c r="C1537" s="78">
        <v>25</v>
      </c>
      <c r="D1537" s="79" t="s">
        <v>1812</v>
      </c>
      <c r="E1537" s="79" t="s">
        <v>48</v>
      </c>
      <c r="F1537" s="79" t="s">
        <v>1565</v>
      </c>
      <c r="G1537" s="79" t="s">
        <v>32</v>
      </c>
      <c r="H1537" s="74" t="s">
        <v>1810</v>
      </c>
      <c r="I1537" s="80">
        <v>110</v>
      </c>
      <c r="J1537" s="25">
        <v>0</v>
      </c>
      <c r="K1537" s="76"/>
    </row>
    <row r="1538" s="1" customFormat="1" ht="14.25" spans="1:11">
      <c r="A1538" s="77">
        <v>10</v>
      </c>
      <c r="B1538" s="78">
        <v>31</v>
      </c>
      <c r="C1538" s="78">
        <v>25</v>
      </c>
      <c r="D1538" s="79" t="s">
        <v>1813</v>
      </c>
      <c r="E1538" s="79" t="s">
        <v>48</v>
      </c>
      <c r="F1538" s="79" t="s">
        <v>207</v>
      </c>
      <c r="G1538" s="79" t="s">
        <v>32</v>
      </c>
      <c r="H1538" s="74" t="s">
        <v>1810</v>
      </c>
      <c r="I1538" s="80">
        <v>1000</v>
      </c>
      <c r="J1538" s="25">
        <v>0</v>
      </c>
      <c r="K1538" s="76"/>
    </row>
    <row r="1539" s="1" customFormat="1" ht="14.25" spans="1:11">
      <c r="A1539" s="77">
        <v>10</v>
      </c>
      <c r="B1539" s="78">
        <v>31</v>
      </c>
      <c r="C1539" s="78">
        <v>25</v>
      </c>
      <c r="D1539" s="79" t="s">
        <v>1814</v>
      </c>
      <c r="E1539" s="79" t="s">
        <v>118</v>
      </c>
      <c r="F1539" s="79" t="s">
        <v>122</v>
      </c>
      <c r="G1539" s="79" t="s">
        <v>32</v>
      </c>
      <c r="H1539" s="74" t="s">
        <v>1810</v>
      </c>
      <c r="I1539" s="80">
        <v>5630</v>
      </c>
      <c r="J1539" s="25">
        <v>0</v>
      </c>
      <c r="K1539" s="76"/>
    </row>
    <row r="1540" s="1" customFormat="1" ht="14.25" spans="1:11">
      <c r="A1540" s="77">
        <v>10</v>
      </c>
      <c r="B1540" s="78">
        <v>31</v>
      </c>
      <c r="C1540" s="78">
        <v>26</v>
      </c>
      <c r="D1540" s="79" t="s">
        <v>1815</v>
      </c>
      <c r="E1540" s="79" t="s">
        <v>85</v>
      </c>
      <c r="F1540" s="79" t="s">
        <v>1752</v>
      </c>
      <c r="G1540" s="79" t="s">
        <v>32</v>
      </c>
      <c r="H1540" s="74" t="s">
        <v>1816</v>
      </c>
      <c r="I1540" s="80">
        <v>5225</v>
      </c>
      <c r="J1540" s="25">
        <v>0</v>
      </c>
      <c r="K1540" s="76"/>
    </row>
    <row r="1541" s="1" customFormat="1" ht="14.25" spans="1:11">
      <c r="A1541" s="77">
        <v>10</v>
      </c>
      <c r="B1541" s="78">
        <v>31</v>
      </c>
      <c r="C1541" s="78">
        <v>26</v>
      </c>
      <c r="D1541" s="79" t="s">
        <v>1817</v>
      </c>
      <c r="E1541" s="79" t="s">
        <v>85</v>
      </c>
      <c r="F1541" s="79" t="s">
        <v>1752</v>
      </c>
      <c r="G1541" s="79" t="s">
        <v>32</v>
      </c>
      <c r="H1541" s="74" t="s">
        <v>1816</v>
      </c>
      <c r="I1541" s="80">
        <v>10440</v>
      </c>
      <c r="J1541" s="25">
        <v>0</v>
      </c>
      <c r="K1541" s="76"/>
    </row>
    <row r="1542" s="1" customFormat="1" spans="1:11">
      <c r="A1542" s="21">
        <v>10</v>
      </c>
      <c r="B1542" s="78">
        <v>31</v>
      </c>
      <c r="C1542" s="21">
        <v>26</v>
      </c>
      <c r="D1542" s="25" t="s">
        <v>1818</v>
      </c>
      <c r="E1542" s="25" t="s">
        <v>85</v>
      </c>
      <c r="F1542" s="25" t="s">
        <v>1752</v>
      </c>
      <c r="G1542" s="25" t="s">
        <v>32</v>
      </c>
      <c r="H1542" s="74" t="s">
        <v>1816</v>
      </c>
      <c r="I1542" s="25">
        <v>10850</v>
      </c>
      <c r="J1542" s="25">
        <v>0</v>
      </c>
      <c r="K1542" s="76"/>
    </row>
    <row r="1543" s="1" customFormat="1" spans="1:11">
      <c r="A1543" s="21">
        <v>10</v>
      </c>
      <c r="B1543" s="78">
        <v>31</v>
      </c>
      <c r="C1543" s="21">
        <v>26</v>
      </c>
      <c r="D1543" s="25" t="s">
        <v>1819</v>
      </c>
      <c r="E1543" s="25" t="s">
        <v>85</v>
      </c>
      <c r="F1543" s="25" t="s">
        <v>1752</v>
      </c>
      <c r="G1543" s="25" t="s">
        <v>32</v>
      </c>
      <c r="H1543" s="74" t="s">
        <v>1816</v>
      </c>
      <c r="I1543" s="25">
        <v>12340</v>
      </c>
      <c r="J1543" s="25">
        <v>0</v>
      </c>
      <c r="K1543" s="76"/>
    </row>
    <row r="1544" s="1" customFormat="1" spans="1:11">
      <c r="A1544" s="21">
        <v>10</v>
      </c>
      <c r="B1544" s="78">
        <v>31</v>
      </c>
      <c r="C1544" s="21">
        <v>26</v>
      </c>
      <c r="D1544" s="25" t="s">
        <v>1820</v>
      </c>
      <c r="E1544" s="25" t="s">
        <v>85</v>
      </c>
      <c r="F1544" s="25" t="s">
        <v>1752</v>
      </c>
      <c r="G1544" s="25" t="s">
        <v>32</v>
      </c>
      <c r="H1544" s="74" t="s">
        <v>1816</v>
      </c>
      <c r="I1544" s="25">
        <v>6000</v>
      </c>
      <c r="J1544" s="25">
        <v>0</v>
      </c>
      <c r="K1544" s="76"/>
    </row>
    <row r="1545" s="1" customFormat="1" ht="14.25" spans="1:11">
      <c r="A1545" s="77">
        <v>10</v>
      </c>
      <c r="B1545" s="78">
        <v>31</v>
      </c>
      <c r="C1545" s="78">
        <v>26</v>
      </c>
      <c r="D1545" s="79" t="s">
        <v>1283</v>
      </c>
      <c r="E1545" s="79" t="s">
        <v>48</v>
      </c>
      <c r="F1545" s="79" t="s">
        <v>1565</v>
      </c>
      <c r="G1545" s="79" t="s">
        <v>32</v>
      </c>
      <c r="H1545" s="74" t="s">
        <v>1821</v>
      </c>
      <c r="I1545" s="80">
        <v>410</v>
      </c>
      <c r="J1545" s="25">
        <v>0</v>
      </c>
      <c r="K1545" s="76"/>
    </row>
    <row r="1546" s="1" customFormat="1" ht="14.25" spans="1:11">
      <c r="A1546" s="77">
        <v>10</v>
      </c>
      <c r="B1546" s="78">
        <v>31</v>
      </c>
      <c r="C1546" s="78">
        <v>26</v>
      </c>
      <c r="D1546" s="79" t="s">
        <v>119</v>
      </c>
      <c r="E1546" s="79" t="s">
        <v>118</v>
      </c>
      <c r="F1546" s="79" t="s">
        <v>119</v>
      </c>
      <c r="G1546" s="79" t="s">
        <v>32</v>
      </c>
      <c r="H1546" s="74" t="s">
        <v>1821</v>
      </c>
      <c r="I1546" s="80">
        <v>100</v>
      </c>
      <c r="J1546" s="25">
        <v>0</v>
      </c>
      <c r="K1546" s="76"/>
    </row>
    <row r="1547" s="1" customFormat="1" ht="14.25" spans="1:11">
      <c r="A1547" s="77">
        <v>10</v>
      </c>
      <c r="B1547" s="78">
        <v>31</v>
      </c>
      <c r="C1547" s="78">
        <v>26</v>
      </c>
      <c r="D1547" s="79" t="s">
        <v>124</v>
      </c>
      <c r="E1547" s="79" t="s">
        <v>48</v>
      </c>
      <c r="F1547" s="79" t="s">
        <v>1565</v>
      </c>
      <c r="G1547" s="79" t="s">
        <v>32</v>
      </c>
      <c r="H1547" s="74" t="s">
        <v>1821</v>
      </c>
      <c r="I1547" s="80">
        <v>4</v>
      </c>
      <c r="J1547" s="25">
        <v>0</v>
      </c>
      <c r="K1547" s="76"/>
    </row>
    <row r="1548" s="1" customFormat="1" ht="14.25" spans="1:11">
      <c r="A1548" s="77">
        <v>10</v>
      </c>
      <c r="B1548" s="78">
        <v>31</v>
      </c>
      <c r="C1548" s="78">
        <v>26</v>
      </c>
      <c r="D1548" s="79" t="s">
        <v>119</v>
      </c>
      <c r="E1548" s="79" t="s">
        <v>118</v>
      </c>
      <c r="F1548" s="79" t="s">
        <v>119</v>
      </c>
      <c r="G1548" s="79" t="s">
        <v>32</v>
      </c>
      <c r="H1548" s="74" t="s">
        <v>1821</v>
      </c>
      <c r="I1548" s="80">
        <v>67600</v>
      </c>
      <c r="J1548" s="25">
        <v>0</v>
      </c>
      <c r="K1548" s="76"/>
    </row>
    <row r="1549" s="1" customFormat="1" ht="14.25" spans="1:11">
      <c r="A1549" s="77">
        <v>10</v>
      </c>
      <c r="B1549" s="78">
        <v>31</v>
      </c>
      <c r="C1549" s="78">
        <v>26</v>
      </c>
      <c r="D1549" s="79" t="s">
        <v>1822</v>
      </c>
      <c r="E1549" s="79" t="s">
        <v>118</v>
      </c>
      <c r="F1549" s="79" t="s">
        <v>55</v>
      </c>
      <c r="G1549" s="79" t="s">
        <v>32</v>
      </c>
      <c r="H1549" s="74" t="s">
        <v>1821</v>
      </c>
      <c r="I1549" s="80">
        <v>540</v>
      </c>
      <c r="J1549" s="25">
        <v>0</v>
      </c>
      <c r="K1549" s="76"/>
    </row>
    <row r="1550" s="1" customFormat="1" ht="14.25" spans="1:11">
      <c r="A1550" s="77">
        <v>10</v>
      </c>
      <c r="B1550" s="78">
        <v>31</v>
      </c>
      <c r="C1550" s="78">
        <v>27</v>
      </c>
      <c r="D1550" s="79" t="s">
        <v>1823</v>
      </c>
      <c r="E1550" s="79" t="s">
        <v>118</v>
      </c>
      <c r="F1550" s="79" t="s">
        <v>55</v>
      </c>
      <c r="G1550" s="79" t="s">
        <v>32</v>
      </c>
      <c r="H1550" s="74" t="s">
        <v>1824</v>
      </c>
      <c r="I1550" s="80">
        <v>27</v>
      </c>
      <c r="J1550" s="25">
        <v>0</v>
      </c>
      <c r="K1550" s="76"/>
    </row>
    <row r="1551" s="1" customFormat="1" ht="14.25" spans="1:11">
      <c r="A1551" s="77">
        <v>10</v>
      </c>
      <c r="B1551" s="78">
        <v>31</v>
      </c>
      <c r="C1551" s="78">
        <v>27</v>
      </c>
      <c r="D1551" s="79" t="s">
        <v>1296</v>
      </c>
      <c r="E1551" s="79" t="s">
        <v>118</v>
      </c>
      <c r="F1551" s="79" t="s">
        <v>55</v>
      </c>
      <c r="G1551" s="79" t="s">
        <v>32</v>
      </c>
      <c r="H1551" s="74" t="s">
        <v>1824</v>
      </c>
      <c r="I1551" s="80">
        <v>8</v>
      </c>
      <c r="J1551" s="25">
        <v>0</v>
      </c>
      <c r="K1551" s="76"/>
    </row>
    <row r="1552" s="1" customFormat="1" spans="1:11">
      <c r="A1552" s="21">
        <v>10</v>
      </c>
      <c r="B1552" s="78">
        <v>31</v>
      </c>
      <c r="C1552" s="21">
        <v>27</v>
      </c>
      <c r="D1552" s="25" t="s">
        <v>255</v>
      </c>
      <c r="E1552" s="25" t="s">
        <v>96</v>
      </c>
      <c r="F1552" s="25" t="s">
        <v>97</v>
      </c>
      <c r="G1552" s="25" t="s">
        <v>32</v>
      </c>
      <c r="H1552" s="74" t="s">
        <v>1824</v>
      </c>
      <c r="I1552" s="25">
        <v>24</v>
      </c>
      <c r="J1552" s="25">
        <v>0</v>
      </c>
      <c r="K1552" s="76"/>
    </row>
    <row r="1553" s="1" customFormat="1" spans="1:11">
      <c r="A1553" s="21">
        <v>10</v>
      </c>
      <c r="B1553" s="78">
        <v>31</v>
      </c>
      <c r="C1553" s="21">
        <v>27</v>
      </c>
      <c r="D1553" s="25" t="s">
        <v>1825</v>
      </c>
      <c r="E1553" s="25" t="s">
        <v>118</v>
      </c>
      <c r="F1553" s="25" t="s">
        <v>55</v>
      </c>
      <c r="G1553" s="25" t="s">
        <v>32</v>
      </c>
      <c r="H1553" s="74" t="s">
        <v>1824</v>
      </c>
      <c r="I1553" s="25">
        <v>40</v>
      </c>
      <c r="J1553" s="25">
        <v>0</v>
      </c>
      <c r="K1553" s="76"/>
    </row>
    <row r="1554" s="1" customFormat="1" spans="1:11">
      <c r="A1554" s="21">
        <v>10</v>
      </c>
      <c r="B1554" s="78">
        <v>31</v>
      </c>
      <c r="C1554" s="21">
        <v>27</v>
      </c>
      <c r="D1554" s="25" t="s">
        <v>1826</v>
      </c>
      <c r="E1554" s="25" t="s">
        <v>96</v>
      </c>
      <c r="F1554" s="25" t="s">
        <v>97</v>
      </c>
      <c r="G1554" s="25" t="s">
        <v>32</v>
      </c>
      <c r="H1554" s="74" t="s">
        <v>1824</v>
      </c>
      <c r="I1554" s="25">
        <v>64</v>
      </c>
      <c r="J1554" s="25">
        <v>0</v>
      </c>
      <c r="K1554" s="76"/>
    </row>
    <row r="1555" s="1" customFormat="1" spans="1:11">
      <c r="A1555" s="21">
        <v>10</v>
      </c>
      <c r="B1555" s="78">
        <v>31</v>
      </c>
      <c r="C1555" s="21">
        <v>27</v>
      </c>
      <c r="D1555" s="25" t="s">
        <v>124</v>
      </c>
      <c r="E1555" s="25" t="s">
        <v>48</v>
      </c>
      <c r="F1555" s="25" t="s">
        <v>1565</v>
      </c>
      <c r="G1555" s="25" t="s">
        <v>32</v>
      </c>
      <c r="H1555" s="74" t="s">
        <v>1827</v>
      </c>
      <c r="I1555" s="25">
        <v>2</v>
      </c>
      <c r="J1555" s="25">
        <v>0</v>
      </c>
      <c r="K1555" s="76"/>
    </row>
    <row r="1556" s="1" customFormat="1" spans="1:11">
      <c r="A1556" s="21">
        <v>10</v>
      </c>
      <c r="B1556" s="78">
        <v>31</v>
      </c>
      <c r="C1556" s="21">
        <v>27</v>
      </c>
      <c r="D1556" s="25" t="s">
        <v>275</v>
      </c>
      <c r="E1556" s="25" t="s">
        <v>48</v>
      </c>
      <c r="F1556" s="25" t="s">
        <v>1565</v>
      </c>
      <c r="G1556" s="25" t="s">
        <v>32</v>
      </c>
      <c r="H1556" s="74" t="s">
        <v>1827</v>
      </c>
      <c r="I1556" s="25">
        <v>120</v>
      </c>
      <c r="J1556" s="25">
        <v>0</v>
      </c>
      <c r="K1556" s="76"/>
    </row>
    <row r="1557" s="1" customFormat="1" ht="14.25" spans="1:11">
      <c r="A1557" s="77">
        <v>10</v>
      </c>
      <c r="B1557" s="78">
        <v>31</v>
      </c>
      <c r="C1557" s="78">
        <v>27</v>
      </c>
      <c r="D1557" s="79" t="s">
        <v>1828</v>
      </c>
      <c r="E1557" s="25" t="s">
        <v>118</v>
      </c>
      <c r="F1557" s="79" t="s">
        <v>55</v>
      </c>
      <c r="G1557" s="79" t="s">
        <v>32</v>
      </c>
      <c r="H1557" s="74" t="s">
        <v>1827</v>
      </c>
      <c r="I1557" s="80">
        <v>2250</v>
      </c>
      <c r="J1557" s="25">
        <v>0</v>
      </c>
      <c r="K1557" s="76"/>
    </row>
    <row r="1558" s="1" customFormat="1" ht="14.25" spans="1:11">
      <c r="A1558" s="77">
        <v>10</v>
      </c>
      <c r="B1558" s="78">
        <v>31</v>
      </c>
      <c r="C1558" s="78">
        <v>27</v>
      </c>
      <c r="D1558" s="79" t="s">
        <v>1829</v>
      </c>
      <c r="E1558" s="79" t="s">
        <v>118</v>
      </c>
      <c r="F1558" s="79" t="s">
        <v>55</v>
      </c>
      <c r="G1558" s="79" t="s">
        <v>32</v>
      </c>
      <c r="H1558" s="74" t="s">
        <v>1827</v>
      </c>
      <c r="I1558" s="80">
        <v>736</v>
      </c>
      <c r="J1558" s="25">
        <v>0</v>
      </c>
      <c r="K1558" s="76"/>
    </row>
    <row r="1559" s="1" customFormat="1" ht="14.25" spans="1:11">
      <c r="A1559" s="77">
        <v>10</v>
      </c>
      <c r="B1559" s="78">
        <v>31</v>
      </c>
      <c r="C1559" s="78">
        <v>27</v>
      </c>
      <c r="D1559" s="79" t="s">
        <v>239</v>
      </c>
      <c r="E1559" s="79" t="s">
        <v>96</v>
      </c>
      <c r="F1559" s="79" t="s">
        <v>1561</v>
      </c>
      <c r="G1559" s="79" t="s">
        <v>32</v>
      </c>
      <c r="H1559" s="74" t="s">
        <v>1827</v>
      </c>
      <c r="I1559" s="80">
        <v>56</v>
      </c>
      <c r="J1559" s="25">
        <v>0</v>
      </c>
      <c r="K1559" s="76"/>
    </row>
    <row r="1560" s="1" customFormat="1" ht="14.25" spans="1:11">
      <c r="A1560" s="77">
        <v>10</v>
      </c>
      <c r="B1560" s="78">
        <v>31</v>
      </c>
      <c r="C1560" s="78">
        <v>28</v>
      </c>
      <c r="D1560" s="79" t="s">
        <v>1830</v>
      </c>
      <c r="E1560" s="79" t="s">
        <v>48</v>
      </c>
      <c r="F1560" s="79" t="s">
        <v>55</v>
      </c>
      <c r="G1560" s="79" t="s">
        <v>32</v>
      </c>
      <c r="H1560" s="74" t="s">
        <v>1831</v>
      </c>
      <c r="I1560" s="80">
        <v>60</v>
      </c>
      <c r="J1560" s="25">
        <v>0</v>
      </c>
      <c r="K1560" s="76"/>
    </row>
    <row r="1561" s="1" customFormat="1" ht="14.25" spans="1:11">
      <c r="A1561" s="77">
        <v>10</v>
      </c>
      <c r="B1561" s="78">
        <v>31</v>
      </c>
      <c r="C1561" s="78">
        <v>28</v>
      </c>
      <c r="D1561" s="79" t="s">
        <v>124</v>
      </c>
      <c r="E1561" s="79" t="s">
        <v>48</v>
      </c>
      <c r="F1561" s="79" t="s">
        <v>1565</v>
      </c>
      <c r="G1561" s="79" t="s">
        <v>32</v>
      </c>
      <c r="H1561" s="74" t="s">
        <v>1831</v>
      </c>
      <c r="I1561" s="80">
        <v>4</v>
      </c>
      <c r="J1561" s="25">
        <v>0</v>
      </c>
      <c r="K1561" s="76"/>
    </row>
    <row r="1562" s="1" customFormat="1" ht="14.25" spans="1:11">
      <c r="A1562" s="77">
        <v>10</v>
      </c>
      <c r="B1562" s="78">
        <v>31</v>
      </c>
      <c r="C1562" s="78">
        <v>28</v>
      </c>
      <c r="D1562" s="79" t="s">
        <v>1832</v>
      </c>
      <c r="E1562" s="79" t="s">
        <v>48</v>
      </c>
      <c r="F1562" s="79" t="s">
        <v>1008</v>
      </c>
      <c r="G1562" s="79" t="s">
        <v>32</v>
      </c>
      <c r="H1562" s="74" t="s">
        <v>1831</v>
      </c>
      <c r="I1562" s="80">
        <v>10</v>
      </c>
      <c r="J1562" s="25">
        <v>0</v>
      </c>
      <c r="K1562" s="76"/>
    </row>
    <row r="1563" s="1" customFormat="1" ht="14.25" spans="1:11">
      <c r="A1563" s="77">
        <v>10</v>
      </c>
      <c r="B1563" s="78">
        <v>31</v>
      </c>
      <c r="C1563" s="78">
        <v>28</v>
      </c>
      <c r="D1563" s="79" t="s">
        <v>1833</v>
      </c>
      <c r="E1563" s="79" t="s">
        <v>48</v>
      </c>
      <c r="F1563" s="79" t="s">
        <v>233</v>
      </c>
      <c r="G1563" s="79" t="s">
        <v>32</v>
      </c>
      <c r="H1563" s="74" t="s">
        <v>1831</v>
      </c>
      <c r="I1563" s="80">
        <v>150</v>
      </c>
      <c r="J1563" s="25">
        <v>0</v>
      </c>
      <c r="K1563" s="76"/>
    </row>
    <row r="1564" s="1" customFormat="1" ht="14.25" spans="1:11">
      <c r="A1564" s="77">
        <v>10</v>
      </c>
      <c r="B1564" s="78">
        <v>31</v>
      </c>
      <c r="C1564" s="78">
        <v>28</v>
      </c>
      <c r="D1564" s="79" t="s">
        <v>1834</v>
      </c>
      <c r="E1564" s="79" t="s">
        <v>118</v>
      </c>
      <c r="F1564" s="79" t="s">
        <v>55</v>
      </c>
      <c r="G1564" s="79" t="s">
        <v>32</v>
      </c>
      <c r="H1564" s="74" t="s">
        <v>1831</v>
      </c>
      <c r="I1564" s="80">
        <v>7</v>
      </c>
      <c r="J1564" s="25">
        <v>0</v>
      </c>
      <c r="K1564" s="76"/>
    </row>
    <row r="1565" s="1" customFormat="1" ht="14.25" spans="1:11">
      <c r="A1565" s="77">
        <v>10</v>
      </c>
      <c r="B1565" s="78">
        <v>31</v>
      </c>
      <c r="C1565" s="78">
        <v>28</v>
      </c>
      <c r="D1565" s="79" t="s">
        <v>1835</v>
      </c>
      <c r="E1565" s="79" t="s">
        <v>118</v>
      </c>
      <c r="F1565" s="79" t="s">
        <v>55</v>
      </c>
      <c r="G1565" s="79" t="s">
        <v>32</v>
      </c>
      <c r="H1565" s="74" t="s">
        <v>1836</v>
      </c>
      <c r="I1565" s="80">
        <v>40</v>
      </c>
      <c r="J1565" s="25">
        <v>0</v>
      </c>
      <c r="K1565" s="76"/>
    </row>
    <row r="1566" s="1" customFormat="1" ht="14.25" spans="1:11">
      <c r="A1566" s="77">
        <v>10</v>
      </c>
      <c r="B1566" s="78">
        <v>31</v>
      </c>
      <c r="C1566" s="78">
        <v>28</v>
      </c>
      <c r="D1566" s="79" t="s">
        <v>1837</v>
      </c>
      <c r="E1566" s="79" t="s">
        <v>118</v>
      </c>
      <c r="F1566" s="79" t="s">
        <v>55</v>
      </c>
      <c r="G1566" s="79" t="s">
        <v>32</v>
      </c>
      <c r="H1566" s="74" t="s">
        <v>1836</v>
      </c>
      <c r="I1566" s="80">
        <v>4</v>
      </c>
      <c r="J1566" s="25">
        <v>0</v>
      </c>
      <c r="K1566" s="76"/>
    </row>
    <row r="1567" s="1" customFormat="1" spans="1:11">
      <c r="A1567" s="21">
        <v>10</v>
      </c>
      <c r="B1567" s="78">
        <v>31</v>
      </c>
      <c r="C1567" s="21">
        <v>28</v>
      </c>
      <c r="D1567" s="25" t="s">
        <v>156</v>
      </c>
      <c r="E1567" s="25" t="s">
        <v>48</v>
      </c>
      <c r="F1567" s="25" t="s">
        <v>55</v>
      </c>
      <c r="G1567" s="25" t="s">
        <v>32</v>
      </c>
      <c r="H1567" s="74" t="s">
        <v>1836</v>
      </c>
      <c r="I1567" s="25">
        <v>100</v>
      </c>
      <c r="J1567" s="25">
        <v>0</v>
      </c>
      <c r="K1567" s="76"/>
    </row>
    <row r="1568" s="1" customFormat="1" spans="1:11">
      <c r="A1568" s="21">
        <v>10</v>
      </c>
      <c r="B1568" s="78">
        <v>31</v>
      </c>
      <c r="C1568" s="21">
        <v>28</v>
      </c>
      <c r="D1568" s="25" t="s">
        <v>1837</v>
      </c>
      <c r="E1568" s="25" t="s">
        <v>118</v>
      </c>
      <c r="F1568" s="25" t="s">
        <v>55</v>
      </c>
      <c r="G1568" s="25" t="s">
        <v>32</v>
      </c>
      <c r="H1568" s="74" t="s">
        <v>1836</v>
      </c>
      <c r="I1568" s="25">
        <v>15</v>
      </c>
      <c r="J1568" s="25">
        <v>0</v>
      </c>
      <c r="K1568" s="76"/>
    </row>
    <row r="1569" s="1" customFormat="1" ht="14.25" spans="1:11">
      <c r="A1569" s="77">
        <v>10</v>
      </c>
      <c r="B1569" s="78">
        <v>31</v>
      </c>
      <c r="C1569" s="78">
        <v>28</v>
      </c>
      <c r="D1569" s="79" t="s">
        <v>275</v>
      </c>
      <c r="E1569" s="79" t="s">
        <v>118</v>
      </c>
      <c r="F1569" s="79" t="s">
        <v>55</v>
      </c>
      <c r="G1569" s="79" t="s">
        <v>32</v>
      </c>
      <c r="H1569" s="74" t="s">
        <v>1836</v>
      </c>
      <c r="I1569" s="80">
        <v>110</v>
      </c>
      <c r="J1569" s="25">
        <v>0</v>
      </c>
      <c r="K1569" s="76"/>
    </row>
    <row r="1570" s="1" customFormat="1" ht="14.25" spans="1:11">
      <c r="A1570" s="77">
        <v>10</v>
      </c>
      <c r="B1570" s="78">
        <v>31</v>
      </c>
      <c r="C1570" s="78">
        <v>29</v>
      </c>
      <c r="D1570" s="79" t="s">
        <v>124</v>
      </c>
      <c r="E1570" s="79" t="s">
        <v>48</v>
      </c>
      <c r="F1570" s="80" t="s">
        <v>1565</v>
      </c>
      <c r="G1570" s="79" t="s">
        <v>32</v>
      </c>
      <c r="H1570" s="74" t="s">
        <v>1838</v>
      </c>
      <c r="I1570" s="80">
        <v>4</v>
      </c>
      <c r="J1570" s="25">
        <v>0</v>
      </c>
      <c r="K1570" s="76"/>
    </row>
    <row r="1571" s="1" customFormat="1" ht="14.25" spans="1:11">
      <c r="A1571" s="77">
        <v>10</v>
      </c>
      <c r="B1571" s="78">
        <v>31</v>
      </c>
      <c r="C1571" s="78">
        <v>29</v>
      </c>
      <c r="D1571" s="79" t="s">
        <v>1839</v>
      </c>
      <c r="E1571" s="79" t="s">
        <v>211</v>
      </c>
      <c r="F1571" s="79" t="s">
        <v>1146</v>
      </c>
      <c r="G1571" s="79" t="s">
        <v>32</v>
      </c>
      <c r="H1571" s="74" t="s">
        <v>1838</v>
      </c>
      <c r="I1571" s="80">
        <v>53</v>
      </c>
      <c r="J1571" s="25">
        <v>0</v>
      </c>
      <c r="K1571" s="76"/>
    </row>
    <row r="1572" s="1" customFormat="1" ht="14.25" spans="1:11">
      <c r="A1572" s="77">
        <v>10</v>
      </c>
      <c r="B1572" s="78">
        <v>31</v>
      </c>
      <c r="C1572" s="78">
        <v>29</v>
      </c>
      <c r="D1572" s="79" t="s">
        <v>255</v>
      </c>
      <c r="E1572" s="79" t="s">
        <v>96</v>
      </c>
      <c r="F1572" s="79" t="s">
        <v>97</v>
      </c>
      <c r="G1572" s="79" t="s">
        <v>32</v>
      </c>
      <c r="H1572" s="74" t="s">
        <v>1838</v>
      </c>
      <c r="I1572" s="80">
        <v>50</v>
      </c>
      <c r="J1572" s="25">
        <v>0</v>
      </c>
      <c r="K1572" s="76"/>
    </row>
    <row r="1573" s="1" customFormat="1" ht="14.25" spans="1:11">
      <c r="A1573" s="77">
        <v>10</v>
      </c>
      <c r="B1573" s="78">
        <v>31</v>
      </c>
      <c r="C1573" s="78">
        <v>29</v>
      </c>
      <c r="D1573" s="79" t="s">
        <v>124</v>
      </c>
      <c r="E1573" s="79" t="s">
        <v>48</v>
      </c>
      <c r="F1573" s="79" t="s">
        <v>1565</v>
      </c>
      <c r="G1573" s="79" t="s">
        <v>32</v>
      </c>
      <c r="H1573" s="74" t="s">
        <v>1838</v>
      </c>
      <c r="I1573" s="80">
        <v>4</v>
      </c>
      <c r="J1573" s="25">
        <v>0</v>
      </c>
      <c r="K1573" s="76"/>
    </row>
    <row r="1574" s="1" customFormat="1" ht="14.25" spans="1:11">
      <c r="A1574" s="77">
        <v>10</v>
      </c>
      <c r="B1574" s="78">
        <v>31</v>
      </c>
      <c r="C1574" s="78">
        <v>29</v>
      </c>
      <c r="D1574" s="79" t="s">
        <v>275</v>
      </c>
      <c r="E1574" s="79" t="s">
        <v>48</v>
      </c>
      <c r="F1574" s="79" t="s">
        <v>1565</v>
      </c>
      <c r="G1574" s="79" t="s">
        <v>32</v>
      </c>
      <c r="H1574" s="74" t="s">
        <v>1838</v>
      </c>
      <c r="I1574" s="80">
        <v>105</v>
      </c>
      <c r="J1574" s="25">
        <v>0</v>
      </c>
      <c r="K1574" s="76"/>
    </row>
    <row r="1575" s="1" customFormat="1" ht="14.25" spans="1:11">
      <c r="A1575" s="77">
        <v>10</v>
      </c>
      <c r="B1575" s="78">
        <v>31</v>
      </c>
      <c r="C1575" s="78">
        <v>29</v>
      </c>
      <c r="D1575" s="79" t="s">
        <v>1840</v>
      </c>
      <c r="E1575" s="79" t="s">
        <v>96</v>
      </c>
      <c r="F1575" s="79" t="s">
        <v>97</v>
      </c>
      <c r="G1575" s="79" t="s">
        <v>32</v>
      </c>
      <c r="H1575" s="74" t="s">
        <v>1841</v>
      </c>
      <c r="I1575" s="80">
        <v>50</v>
      </c>
      <c r="J1575" s="25">
        <v>0</v>
      </c>
      <c r="K1575" s="76"/>
    </row>
    <row r="1576" s="1" customFormat="1" ht="14.25" spans="1:11">
      <c r="A1576" s="77">
        <v>10</v>
      </c>
      <c r="B1576" s="78">
        <v>31</v>
      </c>
      <c r="C1576" s="78">
        <v>29</v>
      </c>
      <c r="D1576" s="79" t="s">
        <v>1019</v>
      </c>
      <c r="E1576" s="79" t="s">
        <v>96</v>
      </c>
      <c r="F1576" s="79" t="s">
        <v>97</v>
      </c>
      <c r="G1576" s="79" t="s">
        <v>32</v>
      </c>
      <c r="H1576" s="74" t="s">
        <v>1841</v>
      </c>
      <c r="I1576" s="80">
        <v>743.2</v>
      </c>
      <c r="J1576" s="25">
        <v>0</v>
      </c>
      <c r="K1576" s="76"/>
    </row>
    <row r="1577" s="1" customFormat="1" ht="14.25" spans="1:11">
      <c r="A1577" s="77">
        <v>10</v>
      </c>
      <c r="B1577" s="78">
        <v>31</v>
      </c>
      <c r="C1577" s="78">
        <v>29</v>
      </c>
      <c r="D1577" s="79" t="s">
        <v>818</v>
      </c>
      <c r="E1577" s="79" t="s">
        <v>118</v>
      </c>
      <c r="F1577" s="79" t="s">
        <v>55</v>
      </c>
      <c r="G1577" s="79" t="s">
        <v>32</v>
      </c>
      <c r="H1577" s="74" t="s">
        <v>1841</v>
      </c>
      <c r="I1577" s="80">
        <v>280</v>
      </c>
      <c r="J1577" s="25">
        <v>0</v>
      </c>
      <c r="K1577" s="76"/>
    </row>
    <row r="1578" s="1" customFormat="1" ht="14.25" spans="1:11">
      <c r="A1578" s="77">
        <v>10</v>
      </c>
      <c r="B1578" s="78">
        <v>31</v>
      </c>
      <c r="C1578" s="78">
        <v>29</v>
      </c>
      <c r="D1578" s="79" t="s">
        <v>878</v>
      </c>
      <c r="E1578" s="79" t="s">
        <v>118</v>
      </c>
      <c r="F1578" s="79" t="s">
        <v>55</v>
      </c>
      <c r="G1578" s="79" t="s">
        <v>32</v>
      </c>
      <c r="H1578" s="74" t="s">
        <v>1841</v>
      </c>
      <c r="I1578" s="80">
        <v>24750</v>
      </c>
      <c r="J1578" s="25">
        <v>0</v>
      </c>
      <c r="K1578" s="76"/>
    </row>
    <row r="1579" s="1" customFormat="1" ht="14.25" spans="1:11">
      <c r="A1579" s="77">
        <v>10</v>
      </c>
      <c r="B1579" s="78">
        <v>31</v>
      </c>
      <c r="C1579" s="78">
        <v>29</v>
      </c>
      <c r="D1579" s="79" t="s">
        <v>783</v>
      </c>
      <c r="E1579" s="79" t="s">
        <v>118</v>
      </c>
      <c r="F1579" s="79" t="s">
        <v>55</v>
      </c>
      <c r="G1579" s="79" t="s">
        <v>32</v>
      </c>
      <c r="H1579" s="74" t="s">
        <v>1841</v>
      </c>
      <c r="I1579" s="80">
        <v>42</v>
      </c>
      <c r="J1579" s="25">
        <v>0</v>
      </c>
      <c r="K1579" s="76"/>
    </row>
    <row r="1580" s="1" customFormat="1" ht="14.25" spans="1:11">
      <c r="A1580" s="77">
        <v>10</v>
      </c>
      <c r="B1580" s="78">
        <v>31</v>
      </c>
      <c r="C1580" s="78">
        <v>30</v>
      </c>
      <c r="D1580" s="79" t="s">
        <v>783</v>
      </c>
      <c r="E1580" s="79" t="s">
        <v>118</v>
      </c>
      <c r="F1580" s="79" t="s">
        <v>55</v>
      </c>
      <c r="G1580" s="79" t="s">
        <v>32</v>
      </c>
      <c r="H1580" s="74" t="s">
        <v>1842</v>
      </c>
      <c r="I1580" s="80">
        <v>60</v>
      </c>
      <c r="J1580" s="25">
        <v>0</v>
      </c>
      <c r="K1580" s="76"/>
    </row>
    <row r="1581" s="1" customFormat="1" ht="14.25" spans="1:11">
      <c r="A1581" s="77">
        <v>10</v>
      </c>
      <c r="B1581" s="78">
        <v>31</v>
      </c>
      <c r="C1581" s="78">
        <v>30</v>
      </c>
      <c r="D1581" s="79" t="s">
        <v>226</v>
      </c>
      <c r="E1581" s="79" t="s">
        <v>96</v>
      </c>
      <c r="F1581" s="79" t="s">
        <v>97</v>
      </c>
      <c r="G1581" s="79" t="s">
        <v>32</v>
      </c>
      <c r="H1581" s="74" t="s">
        <v>1842</v>
      </c>
      <c r="I1581" s="80">
        <v>168</v>
      </c>
      <c r="J1581" s="25">
        <v>0</v>
      </c>
      <c r="K1581" s="76"/>
    </row>
    <row r="1582" s="1" customFormat="1" ht="14.25" spans="1:11">
      <c r="A1582" s="77">
        <v>10</v>
      </c>
      <c r="B1582" s="78">
        <v>31</v>
      </c>
      <c r="C1582" s="78">
        <v>30</v>
      </c>
      <c r="D1582" s="79" t="s">
        <v>1843</v>
      </c>
      <c r="E1582" s="79" t="s">
        <v>118</v>
      </c>
      <c r="F1582" s="79" t="s">
        <v>119</v>
      </c>
      <c r="G1582" s="79" t="s">
        <v>32</v>
      </c>
      <c r="H1582" s="74" t="s">
        <v>1842</v>
      </c>
      <c r="I1582" s="80">
        <v>101400</v>
      </c>
      <c r="J1582" s="25">
        <v>0</v>
      </c>
      <c r="K1582" s="76"/>
    </row>
    <row r="1583" s="1" customFormat="1" ht="14.25" spans="1:11">
      <c r="A1583" s="77">
        <v>10</v>
      </c>
      <c r="B1583" s="78">
        <v>31</v>
      </c>
      <c r="C1583" s="78">
        <v>30</v>
      </c>
      <c r="D1583" s="79" t="s">
        <v>1197</v>
      </c>
      <c r="E1583" s="79" t="s">
        <v>118</v>
      </c>
      <c r="F1583" s="80" t="s">
        <v>119</v>
      </c>
      <c r="G1583" s="79" t="s">
        <v>32</v>
      </c>
      <c r="H1583" s="74" t="s">
        <v>1842</v>
      </c>
      <c r="I1583" s="80">
        <v>67600</v>
      </c>
      <c r="J1583" s="25">
        <v>0</v>
      </c>
      <c r="K1583" s="76"/>
    </row>
    <row r="1584" s="1" customFormat="1" ht="14.25" spans="1:11">
      <c r="A1584" s="77">
        <v>10</v>
      </c>
      <c r="B1584" s="78">
        <v>31</v>
      </c>
      <c r="C1584" s="78">
        <v>30</v>
      </c>
      <c r="D1584" s="79" t="s">
        <v>1844</v>
      </c>
      <c r="E1584" s="79" t="s">
        <v>118</v>
      </c>
      <c r="F1584" s="79" t="s">
        <v>55</v>
      </c>
      <c r="G1584" s="79" t="s">
        <v>32</v>
      </c>
      <c r="H1584" s="74" t="s">
        <v>1842</v>
      </c>
      <c r="I1584" s="80">
        <v>282</v>
      </c>
      <c r="J1584" s="25">
        <v>0</v>
      </c>
      <c r="K1584" s="76"/>
    </row>
    <row r="1585" s="1" customFormat="1" ht="14.25" spans="1:11">
      <c r="A1585" s="77">
        <v>10</v>
      </c>
      <c r="B1585" s="78">
        <v>31</v>
      </c>
      <c r="C1585" s="78">
        <v>30</v>
      </c>
      <c r="D1585" s="79" t="s">
        <v>124</v>
      </c>
      <c r="E1585" s="79" t="s">
        <v>48</v>
      </c>
      <c r="F1585" s="79" t="s">
        <v>1565</v>
      </c>
      <c r="G1585" s="79" t="s">
        <v>32</v>
      </c>
      <c r="H1585" s="74" t="s">
        <v>1845</v>
      </c>
      <c r="I1585" s="80">
        <v>4</v>
      </c>
      <c r="J1585" s="25">
        <v>0</v>
      </c>
      <c r="K1585" s="76"/>
    </row>
    <row r="1586" s="1" customFormat="1" ht="14.25" spans="1:11">
      <c r="A1586" s="77">
        <v>10</v>
      </c>
      <c r="B1586" s="78">
        <v>31</v>
      </c>
      <c r="C1586" s="78">
        <v>30</v>
      </c>
      <c r="D1586" s="79" t="s">
        <v>255</v>
      </c>
      <c r="E1586" s="79" t="s">
        <v>96</v>
      </c>
      <c r="F1586" s="79" t="s">
        <v>97</v>
      </c>
      <c r="G1586" s="79" t="s">
        <v>32</v>
      </c>
      <c r="H1586" s="74" t="s">
        <v>1845</v>
      </c>
      <c r="I1586" s="80">
        <v>78</v>
      </c>
      <c r="J1586" s="25">
        <v>0</v>
      </c>
      <c r="K1586" s="76"/>
    </row>
    <row r="1587" s="1" customFormat="1" ht="14.25" spans="1:11">
      <c r="A1587" s="77">
        <v>10</v>
      </c>
      <c r="B1587" s="78">
        <v>31</v>
      </c>
      <c r="C1587" s="78">
        <v>30</v>
      </c>
      <c r="D1587" s="79" t="s">
        <v>275</v>
      </c>
      <c r="E1587" s="79" t="s">
        <v>48</v>
      </c>
      <c r="F1587" s="79" t="s">
        <v>1565</v>
      </c>
      <c r="G1587" s="79" t="s">
        <v>32</v>
      </c>
      <c r="H1587" s="74" t="s">
        <v>1845</v>
      </c>
      <c r="I1587" s="80">
        <v>110</v>
      </c>
      <c r="J1587" s="25">
        <v>0</v>
      </c>
      <c r="K1587" s="76"/>
    </row>
    <row r="1588" s="1" customFormat="1" ht="14.25" spans="1:11">
      <c r="A1588" s="77">
        <v>10</v>
      </c>
      <c r="B1588" s="78">
        <v>31</v>
      </c>
      <c r="C1588" s="78">
        <v>30</v>
      </c>
      <c r="D1588" s="79" t="s">
        <v>275</v>
      </c>
      <c r="E1588" s="79" t="s">
        <v>48</v>
      </c>
      <c r="F1588" s="79" t="s">
        <v>1565</v>
      </c>
      <c r="G1588" s="79" t="s">
        <v>32</v>
      </c>
      <c r="H1588" s="74" t="s">
        <v>1845</v>
      </c>
      <c r="I1588" s="80">
        <v>140</v>
      </c>
      <c r="J1588" s="25">
        <v>0</v>
      </c>
      <c r="K1588" s="76"/>
    </row>
    <row r="1589" s="1" customFormat="1" ht="14.25" spans="1:11">
      <c r="A1589" s="77">
        <v>10</v>
      </c>
      <c r="B1589" s="78">
        <v>31</v>
      </c>
      <c r="C1589" s="78">
        <v>30</v>
      </c>
      <c r="D1589" s="79" t="s">
        <v>156</v>
      </c>
      <c r="E1589" s="79" t="s">
        <v>48</v>
      </c>
      <c r="F1589" s="79" t="s">
        <v>55</v>
      </c>
      <c r="G1589" s="79" t="s">
        <v>32</v>
      </c>
      <c r="H1589" s="74" t="s">
        <v>1845</v>
      </c>
      <c r="I1589" s="80">
        <v>80</v>
      </c>
      <c r="J1589" s="25">
        <v>0</v>
      </c>
      <c r="K1589" s="76"/>
    </row>
    <row r="1590" s="1" customFormat="1" ht="14.25" spans="1:11">
      <c r="A1590" s="77">
        <v>10</v>
      </c>
      <c r="B1590" s="78">
        <v>31</v>
      </c>
      <c r="C1590" s="78">
        <v>31</v>
      </c>
      <c r="D1590" s="79" t="s">
        <v>1846</v>
      </c>
      <c r="E1590" s="79" t="s">
        <v>118</v>
      </c>
      <c r="F1590" s="79" t="s">
        <v>55</v>
      </c>
      <c r="G1590" s="79" t="s">
        <v>32</v>
      </c>
      <c r="H1590" s="74" t="s">
        <v>1847</v>
      </c>
      <c r="I1590" s="80">
        <v>100</v>
      </c>
      <c r="J1590" s="25">
        <v>0</v>
      </c>
      <c r="K1590" s="76"/>
    </row>
    <row r="1591" s="1" customFormat="1" ht="14.25" spans="1:11">
      <c r="A1591" s="77">
        <v>10</v>
      </c>
      <c r="B1591" s="78">
        <v>31</v>
      </c>
      <c r="C1591" s="78">
        <v>31</v>
      </c>
      <c r="D1591" s="79" t="s">
        <v>1848</v>
      </c>
      <c r="E1591" s="79" t="s">
        <v>118</v>
      </c>
      <c r="F1591" s="79" t="s">
        <v>55</v>
      </c>
      <c r="G1591" s="79" t="s">
        <v>32</v>
      </c>
      <c r="H1591" s="74" t="s">
        <v>1847</v>
      </c>
      <c r="I1591" s="80">
        <v>20</v>
      </c>
      <c r="J1591" s="25">
        <v>0</v>
      </c>
      <c r="K1591" s="76"/>
    </row>
    <row r="1592" s="1" customFormat="1" ht="14.25" spans="1:11">
      <c r="A1592" s="77">
        <v>10</v>
      </c>
      <c r="B1592" s="78">
        <v>31</v>
      </c>
      <c r="C1592" s="78">
        <v>31</v>
      </c>
      <c r="D1592" s="79" t="s">
        <v>1849</v>
      </c>
      <c r="E1592" s="79" t="s">
        <v>96</v>
      </c>
      <c r="F1592" s="79" t="s">
        <v>97</v>
      </c>
      <c r="G1592" s="79" t="s">
        <v>32</v>
      </c>
      <c r="H1592" s="74" t="s">
        <v>1847</v>
      </c>
      <c r="I1592" s="80">
        <v>225</v>
      </c>
      <c r="J1592" s="25">
        <v>0</v>
      </c>
      <c r="K1592" s="76"/>
    </row>
    <row r="1593" s="1" customFormat="1" ht="14.25" spans="1:11">
      <c r="A1593" s="77">
        <v>10</v>
      </c>
      <c r="B1593" s="78">
        <v>31</v>
      </c>
      <c r="C1593" s="78">
        <v>31</v>
      </c>
      <c r="D1593" s="79" t="s">
        <v>1850</v>
      </c>
      <c r="E1593" s="79" t="s">
        <v>48</v>
      </c>
      <c r="F1593" s="80" t="s">
        <v>331</v>
      </c>
      <c r="G1593" s="79" t="s">
        <v>32</v>
      </c>
      <c r="H1593" s="74" t="s">
        <v>1847</v>
      </c>
      <c r="I1593" s="80">
        <v>9660</v>
      </c>
      <c r="J1593" s="25">
        <v>0</v>
      </c>
      <c r="K1593" s="76"/>
    </row>
    <row r="1594" s="1" customFormat="1" ht="14.25" spans="1:11">
      <c r="A1594" s="77">
        <v>10</v>
      </c>
      <c r="B1594" s="78">
        <v>31</v>
      </c>
      <c r="C1594" s="78">
        <v>31</v>
      </c>
      <c r="D1594" s="79" t="s">
        <v>124</v>
      </c>
      <c r="E1594" s="79" t="s">
        <v>48</v>
      </c>
      <c r="F1594" s="79" t="s">
        <v>1565</v>
      </c>
      <c r="G1594" s="79" t="s">
        <v>32</v>
      </c>
      <c r="H1594" s="74" t="s">
        <v>1847</v>
      </c>
      <c r="I1594" s="80">
        <v>4</v>
      </c>
      <c r="J1594" s="25">
        <v>0</v>
      </c>
      <c r="K1594" s="76"/>
    </row>
    <row r="1595" s="1" customFormat="1" ht="14.25" spans="1:11">
      <c r="A1595" s="77">
        <v>10</v>
      </c>
      <c r="B1595" s="78">
        <v>31</v>
      </c>
      <c r="C1595" s="78">
        <v>31</v>
      </c>
      <c r="D1595" s="79" t="s">
        <v>255</v>
      </c>
      <c r="E1595" s="79" t="s">
        <v>96</v>
      </c>
      <c r="F1595" s="79" t="s">
        <v>97</v>
      </c>
      <c r="G1595" s="79" t="s">
        <v>32</v>
      </c>
      <c r="H1595" s="74" t="s">
        <v>1851</v>
      </c>
      <c r="I1595" s="80">
        <v>201.2</v>
      </c>
      <c r="J1595" s="25">
        <v>0</v>
      </c>
      <c r="K1595" s="76"/>
    </row>
    <row r="1596" s="1" customFormat="1" ht="14.25" spans="1:11">
      <c r="A1596" s="77">
        <v>10</v>
      </c>
      <c r="B1596" s="78">
        <v>31</v>
      </c>
      <c r="C1596" s="78">
        <v>31</v>
      </c>
      <c r="D1596" s="79" t="s">
        <v>255</v>
      </c>
      <c r="E1596" s="79" t="s">
        <v>96</v>
      </c>
      <c r="F1596" s="80" t="s">
        <v>97</v>
      </c>
      <c r="G1596" s="79" t="s">
        <v>32</v>
      </c>
      <c r="H1596" s="74" t="s">
        <v>1851</v>
      </c>
      <c r="I1596" s="80">
        <v>306.4</v>
      </c>
      <c r="J1596" s="25">
        <v>0</v>
      </c>
      <c r="K1596" s="76"/>
    </row>
    <row r="1597" s="1" customFormat="1" ht="14.25" spans="1:11">
      <c r="A1597" s="77">
        <v>10</v>
      </c>
      <c r="B1597" s="78">
        <v>31</v>
      </c>
      <c r="C1597" s="78">
        <v>31</v>
      </c>
      <c r="D1597" s="79" t="s">
        <v>1852</v>
      </c>
      <c r="E1597" s="79" t="s">
        <v>118</v>
      </c>
      <c r="F1597" s="79" t="s">
        <v>55</v>
      </c>
      <c r="G1597" s="79" t="s">
        <v>32</v>
      </c>
      <c r="H1597" s="74" t="s">
        <v>1851</v>
      </c>
      <c r="I1597" s="80">
        <v>57</v>
      </c>
      <c r="J1597" s="25">
        <v>0</v>
      </c>
      <c r="K1597" s="76"/>
    </row>
    <row r="1598" s="1" customFormat="1" ht="14.25" spans="1:11">
      <c r="A1598" s="77">
        <v>10</v>
      </c>
      <c r="B1598" s="78">
        <v>31</v>
      </c>
      <c r="C1598" s="78">
        <v>31</v>
      </c>
      <c r="D1598" s="79" t="s">
        <v>275</v>
      </c>
      <c r="E1598" s="79" t="s">
        <v>48</v>
      </c>
      <c r="F1598" s="79" t="s">
        <v>1565</v>
      </c>
      <c r="G1598" s="79" t="s">
        <v>32</v>
      </c>
      <c r="H1598" s="74" t="s">
        <v>1851</v>
      </c>
      <c r="I1598" s="80">
        <v>160</v>
      </c>
      <c r="J1598" s="25">
        <v>0</v>
      </c>
      <c r="K1598" s="76"/>
    </row>
    <row r="1599" s="1" customFormat="1" ht="14.25" spans="1:11">
      <c r="A1599" s="77">
        <v>10</v>
      </c>
      <c r="B1599" s="78">
        <v>31</v>
      </c>
      <c r="C1599" s="78">
        <v>31</v>
      </c>
      <c r="D1599" s="79" t="s">
        <v>1853</v>
      </c>
      <c r="E1599" s="79" t="s">
        <v>48</v>
      </c>
      <c r="F1599" s="79" t="s">
        <v>331</v>
      </c>
      <c r="G1599" s="79" t="s">
        <v>32</v>
      </c>
      <c r="H1599" s="74" t="s">
        <v>1851</v>
      </c>
      <c r="I1599" s="80">
        <v>8920</v>
      </c>
      <c r="J1599" s="25">
        <v>0</v>
      </c>
      <c r="K1599" s="76"/>
    </row>
    <row r="1600" s="1" customFormat="1" ht="14.25" spans="1:11">
      <c r="A1600" s="77">
        <v>10</v>
      </c>
      <c r="B1600" s="78">
        <v>31</v>
      </c>
      <c r="C1600" s="78">
        <v>32</v>
      </c>
      <c r="D1600" s="79" t="s">
        <v>1854</v>
      </c>
      <c r="E1600" s="79" t="s">
        <v>172</v>
      </c>
      <c r="F1600" s="79" t="s">
        <v>1855</v>
      </c>
      <c r="G1600" s="79" t="s">
        <v>32</v>
      </c>
      <c r="H1600" s="74" t="s">
        <v>1856</v>
      </c>
      <c r="I1600" s="80">
        <v>700</v>
      </c>
      <c r="J1600" s="25">
        <v>0</v>
      </c>
      <c r="K1600" s="76"/>
    </row>
    <row r="1601" s="1" customFormat="1" ht="14.25" spans="1:11">
      <c r="A1601" s="77">
        <v>10</v>
      </c>
      <c r="B1601" s="78">
        <v>31</v>
      </c>
      <c r="C1601" s="78">
        <v>32</v>
      </c>
      <c r="D1601" s="79" t="s">
        <v>124</v>
      </c>
      <c r="E1601" s="79" t="s">
        <v>48</v>
      </c>
      <c r="F1601" s="79" t="s">
        <v>1565</v>
      </c>
      <c r="G1601" s="79" t="s">
        <v>32</v>
      </c>
      <c r="H1601" s="74" t="s">
        <v>1856</v>
      </c>
      <c r="I1601" s="80">
        <v>2</v>
      </c>
      <c r="J1601" s="25">
        <v>0</v>
      </c>
      <c r="K1601" s="76"/>
    </row>
    <row r="1602" s="1" customFormat="1" ht="14.25" spans="1:11">
      <c r="A1602" s="77">
        <v>10</v>
      </c>
      <c r="B1602" s="78">
        <v>31</v>
      </c>
      <c r="C1602" s="78">
        <v>32</v>
      </c>
      <c r="D1602" s="79" t="s">
        <v>1857</v>
      </c>
      <c r="E1602" s="79" t="s">
        <v>48</v>
      </c>
      <c r="F1602" s="79" t="s">
        <v>55</v>
      </c>
      <c r="G1602" s="79" t="s">
        <v>32</v>
      </c>
      <c r="H1602" s="74" t="s">
        <v>1856</v>
      </c>
      <c r="I1602" s="80">
        <v>25</v>
      </c>
      <c r="J1602" s="25">
        <v>0</v>
      </c>
      <c r="K1602" s="76"/>
    </row>
    <row r="1603" s="1" customFormat="1" ht="14.25" spans="1:11">
      <c r="A1603" s="77">
        <v>10</v>
      </c>
      <c r="B1603" s="78">
        <v>31</v>
      </c>
      <c r="C1603" s="78">
        <v>32</v>
      </c>
      <c r="D1603" s="79" t="s">
        <v>1858</v>
      </c>
      <c r="E1603" s="79" t="s">
        <v>96</v>
      </c>
      <c r="F1603" s="79" t="s">
        <v>97</v>
      </c>
      <c r="G1603" s="79" t="s">
        <v>32</v>
      </c>
      <c r="H1603" s="74" t="s">
        <v>1856</v>
      </c>
      <c r="I1603" s="80">
        <v>122</v>
      </c>
      <c r="J1603" s="25">
        <v>0</v>
      </c>
      <c r="K1603" s="76"/>
    </row>
    <row r="1604" s="1" customFormat="1" ht="14.25" spans="1:11">
      <c r="A1604" s="77">
        <v>10</v>
      </c>
      <c r="B1604" s="78">
        <v>31</v>
      </c>
      <c r="C1604" s="78">
        <v>32</v>
      </c>
      <c r="D1604" s="79" t="s">
        <v>1859</v>
      </c>
      <c r="E1604" s="79" t="s">
        <v>96</v>
      </c>
      <c r="F1604" s="79" t="s">
        <v>97</v>
      </c>
      <c r="G1604" s="79" t="s">
        <v>32</v>
      </c>
      <c r="H1604" s="74" t="s">
        <v>1856</v>
      </c>
      <c r="I1604" s="80">
        <v>14</v>
      </c>
      <c r="J1604" s="25">
        <v>0</v>
      </c>
      <c r="K1604" s="76"/>
    </row>
    <row r="1605" s="1" customFormat="1" ht="14.25" spans="1:11">
      <c r="A1605" s="77">
        <v>10</v>
      </c>
      <c r="B1605" s="78">
        <v>31</v>
      </c>
      <c r="C1605" s="78">
        <v>32</v>
      </c>
      <c r="D1605" s="79" t="s">
        <v>1860</v>
      </c>
      <c r="E1605" s="79" t="s">
        <v>100</v>
      </c>
      <c r="F1605" s="79" t="s">
        <v>101</v>
      </c>
      <c r="G1605" s="79" t="s">
        <v>32</v>
      </c>
      <c r="H1605" s="74" t="s">
        <v>1861</v>
      </c>
      <c r="I1605" s="80">
        <v>70</v>
      </c>
      <c r="J1605" s="25">
        <v>0</v>
      </c>
      <c r="K1605" s="76"/>
    </row>
    <row r="1606" s="1" customFormat="1" ht="14.25" spans="1:11">
      <c r="A1606" s="77">
        <v>10</v>
      </c>
      <c r="B1606" s="78">
        <v>31</v>
      </c>
      <c r="C1606" s="78">
        <v>32</v>
      </c>
      <c r="D1606" s="79" t="s">
        <v>1862</v>
      </c>
      <c r="E1606" s="79" t="s">
        <v>96</v>
      </c>
      <c r="F1606" s="79" t="s">
        <v>97</v>
      </c>
      <c r="G1606" s="79" t="s">
        <v>32</v>
      </c>
      <c r="H1606" s="74" t="s">
        <v>1861</v>
      </c>
      <c r="I1606" s="80">
        <v>45</v>
      </c>
      <c r="J1606" s="25">
        <v>0</v>
      </c>
      <c r="K1606" s="76"/>
    </row>
    <row r="1607" s="1" customFormat="1" ht="14.25" spans="1:11">
      <c r="A1607" s="77">
        <v>10</v>
      </c>
      <c r="B1607" s="78">
        <v>31</v>
      </c>
      <c r="C1607" s="78">
        <v>32</v>
      </c>
      <c r="D1607" s="79" t="s">
        <v>1863</v>
      </c>
      <c r="E1607" s="79" t="s">
        <v>48</v>
      </c>
      <c r="F1607" s="79" t="s">
        <v>49</v>
      </c>
      <c r="G1607" s="79" t="s">
        <v>32</v>
      </c>
      <c r="H1607" s="74" t="s">
        <v>1861</v>
      </c>
      <c r="I1607" s="80">
        <v>40</v>
      </c>
      <c r="J1607" s="25">
        <v>0</v>
      </c>
      <c r="K1607" s="76"/>
    </row>
    <row r="1608" s="1" customFormat="1" ht="14.25" spans="1:11">
      <c r="A1608" s="77">
        <v>10</v>
      </c>
      <c r="B1608" s="78">
        <v>31</v>
      </c>
      <c r="C1608" s="78">
        <v>32</v>
      </c>
      <c r="D1608" s="79" t="s">
        <v>1864</v>
      </c>
      <c r="E1608" s="79" t="s">
        <v>100</v>
      </c>
      <c r="F1608" s="79" t="s">
        <v>101</v>
      </c>
      <c r="G1608" s="79" t="s">
        <v>32</v>
      </c>
      <c r="H1608" s="74" t="s">
        <v>1861</v>
      </c>
      <c r="I1608" s="80">
        <v>1963</v>
      </c>
      <c r="J1608" s="25">
        <v>0</v>
      </c>
      <c r="K1608" s="76"/>
    </row>
    <row r="1609" s="1" customFormat="1" ht="14.25" spans="1:11">
      <c r="A1609" s="77">
        <v>10</v>
      </c>
      <c r="B1609" s="78">
        <v>31</v>
      </c>
      <c r="C1609" s="78">
        <v>32</v>
      </c>
      <c r="D1609" s="79" t="s">
        <v>1865</v>
      </c>
      <c r="E1609" s="79" t="s">
        <v>100</v>
      </c>
      <c r="F1609" s="80" t="s">
        <v>101</v>
      </c>
      <c r="G1609" s="79" t="s">
        <v>32</v>
      </c>
      <c r="H1609" s="74" t="s">
        <v>1861</v>
      </c>
      <c r="I1609" s="80">
        <v>45678</v>
      </c>
      <c r="J1609" s="25">
        <v>0</v>
      </c>
      <c r="K1609" s="76"/>
    </row>
    <row r="1610" s="1" customFormat="1" ht="14.25" spans="1:11">
      <c r="A1610" s="77">
        <v>10</v>
      </c>
      <c r="B1610" s="78">
        <v>31</v>
      </c>
      <c r="C1610" s="78">
        <v>33</v>
      </c>
      <c r="D1610" s="79" t="s">
        <v>1866</v>
      </c>
      <c r="E1610" s="79" t="s">
        <v>172</v>
      </c>
      <c r="F1610" s="80" t="s">
        <v>1855</v>
      </c>
      <c r="G1610" s="79" t="s">
        <v>32</v>
      </c>
      <c r="H1610" s="74" t="s">
        <v>1867</v>
      </c>
      <c r="I1610" s="80">
        <v>800</v>
      </c>
      <c r="J1610" s="25">
        <v>0</v>
      </c>
      <c r="K1610" s="76"/>
    </row>
    <row r="1611" s="1" customFormat="1" ht="14.25" spans="1:11">
      <c r="A1611" s="77">
        <v>10</v>
      </c>
      <c r="B1611" s="78">
        <v>31</v>
      </c>
      <c r="C1611" s="78">
        <v>33</v>
      </c>
      <c r="D1611" s="79" t="s">
        <v>1868</v>
      </c>
      <c r="E1611" s="79" t="s">
        <v>48</v>
      </c>
      <c r="F1611" s="79" t="s">
        <v>233</v>
      </c>
      <c r="G1611" s="79" t="s">
        <v>32</v>
      </c>
      <c r="H1611" s="74" t="s">
        <v>1867</v>
      </c>
      <c r="I1611" s="80">
        <v>50</v>
      </c>
      <c r="J1611" s="25">
        <v>0</v>
      </c>
      <c r="K1611" s="76"/>
    </row>
    <row r="1612" s="1" customFormat="1" ht="14.25" spans="1:11">
      <c r="A1612" s="77">
        <v>10</v>
      </c>
      <c r="B1612" s="78">
        <v>31</v>
      </c>
      <c r="C1612" s="78">
        <v>33</v>
      </c>
      <c r="D1612" s="79" t="s">
        <v>1869</v>
      </c>
      <c r="E1612" s="79" t="s">
        <v>100</v>
      </c>
      <c r="F1612" s="79" t="s">
        <v>101</v>
      </c>
      <c r="G1612" s="79" t="s">
        <v>32</v>
      </c>
      <c r="H1612" s="74" t="s">
        <v>1867</v>
      </c>
      <c r="I1612" s="80">
        <v>115</v>
      </c>
      <c r="J1612" s="25">
        <v>0</v>
      </c>
      <c r="K1612" s="76"/>
    </row>
    <row r="1613" s="1" customFormat="1" ht="14.25" spans="1:11">
      <c r="A1613" s="77">
        <v>10</v>
      </c>
      <c r="B1613" s="78">
        <v>31</v>
      </c>
      <c r="C1613" s="78">
        <v>33</v>
      </c>
      <c r="D1613" s="79" t="s">
        <v>1870</v>
      </c>
      <c r="E1613" s="79" t="s">
        <v>100</v>
      </c>
      <c r="F1613" s="79" t="s">
        <v>101</v>
      </c>
      <c r="G1613" s="79" t="s">
        <v>32</v>
      </c>
      <c r="H1613" s="74" t="s">
        <v>1867</v>
      </c>
      <c r="I1613" s="80">
        <v>115</v>
      </c>
      <c r="J1613" s="25">
        <v>0</v>
      </c>
      <c r="K1613" s="76"/>
    </row>
    <row r="1614" s="1" customFormat="1" ht="14.25" spans="1:11">
      <c r="A1614" s="77">
        <v>10</v>
      </c>
      <c r="B1614" s="78">
        <v>31</v>
      </c>
      <c r="C1614" s="78">
        <v>33</v>
      </c>
      <c r="D1614" s="79" t="s">
        <v>1871</v>
      </c>
      <c r="E1614" s="79" t="s">
        <v>172</v>
      </c>
      <c r="F1614" s="79" t="s">
        <v>396</v>
      </c>
      <c r="G1614" s="79" t="s">
        <v>32</v>
      </c>
      <c r="H1614" s="74" t="s">
        <v>1872</v>
      </c>
      <c r="I1614" s="80">
        <v>20</v>
      </c>
      <c r="J1614" s="25">
        <v>0</v>
      </c>
      <c r="K1614" s="76"/>
    </row>
    <row r="1615" s="1" customFormat="1" ht="14.25" spans="1:11">
      <c r="A1615" s="77">
        <v>10</v>
      </c>
      <c r="B1615" s="78">
        <v>31</v>
      </c>
      <c r="C1615" s="78">
        <v>33</v>
      </c>
      <c r="D1615" s="79" t="s">
        <v>1873</v>
      </c>
      <c r="E1615" s="79" t="s">
        <v>48</v>
      </c>
      <c r="F1615" s="79" t="s">
        <v>233</v>
      </c>
      <c r="G1615" s="79" t="s">
        <v>32</v>
      </c>
      <c r="H1615" s="74" t="s">
        <v>1872</v>
      </c>
      <c r="I1615" s="80">
        <v>60</v>
      </c>
      <c r="J1615" s="25">
        <v>0</v>
      </c>
      <c r="K1615" s="76"/>
    </row>
    <row r="1616" s="1" customFormat="1" ht="14.25" spans="1:11">
      <c r="A1616" s="77">
        <v>10</v>
      </c>
      <c r="B1616" s="78">
        <v>31</v>
      </c>
      <c r="C1616" s="78">
        <v>33</v>
      </c>
      <c r="D1616" s="79" t="s">
        <v>1874</v>
      </c>
      <c r="E1616" s="79" t="s">
        <v>172</v>
      </c>
      <c r="F1616" s="79" t="s">
        <v>396</v>
      </c>
      <c r="G1616" s="79" t="s">
        <v>32</v>
      </c>
      <c r="H1616" s="74" t="s">
        <v>1872</v>
      </c>
      <c r="I1616" s="80">
        <v>272</v>
      </c>
      <c r="J1616" s="25">
        <v>0</v>
      </c>
      <c r="K1616" s="76"/>
    </row>
    <row r="1617" s="1" customFormat="1" ht="14.25" spans="1:11">
      <c r="A1617" s="77">
        <v>10</v>
      </c>
      <c r="B1617" s="78">
        <v>31</v>
      </c>
      <c r="C1617" s="78">
        <v>33</v>
      </c>
      <c r="D1617" s="79" t="s">
        <v>1875</v>
      </c>
      <c r="E1617" s="79" t="s">
        <v>172</v>
      </c>
      <c r="F1617" s="79" t="s">
        <v>1855</v>
      </c>
      <c r="G1617" s="79" t="s">
        <v>32</v>
      </c>
      <c r="H1617" s="74" t="s">
        <v>1872</v>
      </c>
      <c r="I1617" s="80">
        <v>600</v>
      </c>
      <c r="J1617" s="25">
        <v>0</v>
      </c>
      <c r="K1617" s="76"/>
    </row>
    <row r="1618" s="1" customFormat="1" ht="14.25" spans="1:11">
      <c r="A1618" s="77">
        <v>10</v>
      </c>
      <c r="B1618" s="78">
        <v>31</v>
      </c>
      <c r="C1618" s="78">
        <v>34</v>
      </c>
      <c r="D1618" s="79" t="s">
        <v>1876</v>
      </c>
      <c r="E1618" s="79" t="s">
        <v>291</v>
      </c>
      <c r="F1618" s="79" t="s">
        <v>292</v>
      </c>
      <c r="G1618" s="79" t="s">
        <v>32</v>
      </c>
      <c r="H1618" s="74" t="s">
        <v>1877</v>
      </c>
      <c r="I1618" s="80">
        <v>2520</v>
      </c>
      <c r="J1618" s="25">
        <v>0</v>
      </c>
      <c r="K1618" s="76"/>
    </row>
    <row r="1619" s="1" customFormat="1" ht="14.25" spans="1:11">
      <c r="A1619" s="77">
        <v>10</v>
      </c>
      <c r="B1619" s="78">
        <v>31</v>
      </c>
      <c r="C1619" s="78">
        <v>34</v>
      </c>
      <c r="D1619" s="79" t="s">
        <v>1878</v>
      </c>
      <c r="E1619" s="79" t="s">
        <v>291</v>
      </c>
      <c r="F1619" s="79" t="s">
        <v>292</v>
      </c>
      <c r="G1619" s="79" t="s">
        <v>32</v>
      </c>
      <c r="H1619" s="74" t="s">
        <v>1877</v>
      </c>
      <c r="I1619" s="80">
        <v>350</v>
      </c>
      <c r="J1619" s="25">
        <v>0</v>
      </c>
      <c r="K1619" s="76"/>
    </row>
    <row r="1620" s="1" customFormat="1" ht="14.25" spans="1:11">
      <c r="A1620" s="77">
        <v>10</v>
      </c>
      <c r="B1620" s="78">
        <v>31</v>
      </c>
      <c r="C1620" s="78">
        <v>34</v>
      </c>
      <c r="D1620" s="79" t="s">
        <v>1879</v>
      </c>
      <c r="E1620" s="79" t="s">
        <v>291</v>
      </c>
      <c r="F1620" s="79" t="s">
        <v>292</v>
      </c>
      <c r="G1620" s="79" t="s">
        <v>32</v>
      </c>
      <c r="H1620" s="74" t="s">
        <v>1877</v>
      </c>
      <c r="I1620" s="80">
        <v>3400</v>
      </c>
      <c r="J1620" s="25">
        <v>0</v>
      </c>
      <c r="K1620" s="76"/>
    </row>
    <row r="1621" s="1" customFormat="1" ht="14.25" spans="1:11">
      <c r="A1621" s="77">
        <v>10</v>
      </c>
      <c r="B1621" s="78">
        <v>31</v>
      </c>
      <c r="C1621" s="78">
        <v>34</v>
      </c>
      <c r="D1621" s="79" t="s">
        <v>1880</v>
      </c>
      <c r="E1621" s="79" t="s">
        <v>291</v>
      </c>
      <c r="F1621" s="79" t="s">
        <v>292</v>
      </c>
      <c r="G1621" s="79" t="s">
        <v>32</v>
      </c>
      <c r="H1621" s="74" t="s">
        <v>1877</v>
      </c>
      <c r="I1621" s="80">
        <v>250</v>
      </c>
      <c r="J1621" s="25">
        <v>0</v>
      </c>
      <c r="K1621" s="76"/>
    </row>
    <row r="1622" s="1" customFormat="1" ht="14.25" spans="1:11">
      <c r="A1622" s="77">
        <v>10</v>
      </c>
      <c r="B1622" s="78">
        <v>31</v>
      </c>
      <c r="C1622" s="78">
        <v>34</v>
      </c>
      <c r="D1622" s="79" t="s">
        <v>1881</v>
      </c>
      <c r="E1622" s="79" t="s">
        <v>172</v>
      </c>
      <c r="F1622" s="79" t="s">
        <v>396</v>
      </c>
      <c r="G1622" s="79" t="s">
        <v>32</v>
      </c>
      <c r="H1622" s="74" t="s">
        <v>1877</v>
      </c>
      <c r="I1622" s="80">
        <v>80</v>
      </c>
      <c r="J1622" s="25">
        <v>0</v>
      </c>
      <c r="K1622" s="76"/>
    </row>
    <row r="1623" s="1" customFormat="1" ht="14.25" spans="1:11">
      <c r="A1623" s="77">
        <v>10</v>
      </c>
      <c r="B1623" s="78">
        <v>31</v>
      </c>
      <c r="C1623" s="78">
        <v>34</v>
      </c>
      <c r="D1623" s="79" t="s">
        <v>1882</v>
      </c>
      <c r="E1623" s="79" t="s">
        <v>96</v>
      </c>
      <c r="F1623" s="79" t="s">
        <v>97</v>
      </c>
      <c r="G1623" s="79" t="s">
        <v>32</v>
      </c>
      <c r="H1623" s="74" t="s">
        <v>1883</v>
      </c>
      <c r="I1623" s="80">
        <v>303</v>
      </c>
      <c r="J1623" s="25">
        <v>0</v>
      </c>
      <c r="K1623" s="76"/>
    </row>
    <row r="1624" s="1" customFormat="1" ht="14.25" spans="1:11">
      <c r="A1624" s="77">
        <v>10</v>
      </c>
      <c r="B1624" s="78">
        <v>31</v>
      </c>
      <c r="C1624" s="78">
        <v>34</v>
      </c>
      <c r="D1624" s="79" t="s">
        <v>1884</v>
      </c>
      <c r="E1624" s="79" t="s">
        <v>48</v>
      </c>
      <c r="F1624" s="79" t="s">
        <v>49</v>
      </c>
      <c r="G1624" s="79" t="s">
        <v>32</v>
      </c>
      <c r="H1624" s="74" t="s">
        <v>1883</v>
      </c>
      <c r="I1624" s="80">
        <v>40</v>
      </c>
      <c r="J1624" s="25">
        <v>0</v>
      </c>
      <c r="K1624" s="76"/>
    </row>
    <row r="1625" s="1" customFormat="1" ht="14.25" spans="1:11">
      <c r="A1625" s="77">
        <v>10</v>
      </c>
      <c r="B1625" s="78">
        <v>31</v>
      </c>
      <c r="C1625" s="78">
        <v>34</v>
      </c>
      <c r="D1625" s="79" t="s">
        <v>1885</v>
      </c>
      <c r="E1625" s="79" t="s">
        <v>48</v>
      </c>
      <c r="F1625" s="79" t="s">
        <v>49</v>
      </c>
      <c r="G1625" s="79" t="s">
        <v>32</v>
      </c>
      <c r="H1625" s="74" t="s">
        <v>1883</v>
      </c>
      <c r="I1625" s="80">
        <v>60</v>
      </c>
      <c r="J1625" s="25">
        <v>0</v>
      </c>
      <c r="K1625" s="76"/>
    </row>
    <row r="1626" s="1" customFormat="1" ht="14.25" spans="1:11">
      <c r="A1626" s="77">
        <v>10</v>
      </c>
      <c r="B1626" s="78">
        <v>31</v>
      </c>
      <c r="C1626" s="78">
        <v>34</v>
      </c>
      <c r="D1626" s="79" t="s">
        <v>1458</v>
      </c>
      <c r="E1626" s="79" t="s">
        <v>48</v>
      </c>
      <c r="F1626" s="79" t="s">
        <v>49</v>
      </c>
      <c r="G1626" s="79" t="s">
        <v>32</v>
      </c>
      <c r="H1626" s="74" t="s">
        <v>1883</v>
      </c>
      <c r="I1626" s="80">
        <v>40</v>
      </c>
      <c r="J1626" s="25">
        <v>0</v>
      </c>
      <c r="K1626" s="76"/>
    </row>
    <row r="1627" s="1" customFormat="1" ht="14.25" spans="1:11">
      <c r="A1627" s="77">
        <v>10</v>
      </c>
      <c r="B1627" s="78">
        <v>31</v>
      </c>
      <c r="C1627" s="78">
        <v>34</v>
      </c>
      <c r="D1627" s="79" t="s">
        <v>1886</v>
      </c>
      <c r="E1627" s="79" t="s">
        <v>48</v>
      </c>
      <c r="F1627" s="79" t="s">
        <v>55</v>
      </c>
      <c r="G1627" s="79" t="s">
        <v>32</v>
      </c>
      <c r="H1627" s="74" t="s">
        <v>1883</v>
      </c>
      <c r="I1627" s="80">
        <v>20</v>
      </c>
      <c r="J1627" s="25">
        <v>0</v>
      </c>
      <c r="K1627" s="76"/>
    </row>
    <row r="1628" s="1" customFormat="1" ht="14.25" spans="1:11">
      <c r="A1628" s="77">
        <v>10</v>
      </c>
      <c r="B1628" s="78">
        <v>31</v>
      </c>
      <c r="C1628" s="78">
        <v>35</v>
      </c>
      <c r="D1628" s="79" t="s">
        <v>1887</v>
      </c>
      <c r="E1628" s="79" t="s">
        <v>48</v>
      </c>
      <c r="F1628" s="79" t="s">
        <v>55</v>
      </c>
      <c r="G1628" s="79" t="s">
        <v>32</v>
      </c>
      <c r="H1628" s="74" t="s">
        <v>1888</v>
      </c>
      <c r="I1628" s="80">
        <v>30</v>
      </c>
      <c r="J1628" s="25">
        <v>0</v>
      </c>
      <c r="K1628" s="76"/>
    </row>
    <row r="1629" s="1" customFormat="1" ht="14.25" spans="1:11">
      <c r="A1629" s="77">
        <v>10</v>
      </c>
      <c r="B1629" s="78">
        <v>31</v>
      </c>
      <c r="C1629" s="78">
        <v>35</v>
      </c>
      <c r="D1629" s="79" t="s">
        <v>1889</v>
      </c>
      <c r="E1629" s="79" t="s">
        <v>48</v>
      </c>
      <c r="F1629" s="79" t="s">
        <v>55</v>
      </c>
      <c r="G1629" s="79" t="s">
        <v>32</v>
      </c>
      <c r="H1629" s="74" t="s">
        <v>1888</v>
      </c>
      <c r="I1629" s="80">
        <v>600</v>
      </c>
      <c r="J1629" s="25">
        <v>0</v>
      </c>
      <c r="K1629" s="76"/>
    </row>
    <row r="1630" s="1" customFormat="1" ht="14.25" spans="1:11">
      <c r="A1630" s="77">
        <v>10</v>
      </c>
      <c r="B1630" s="78">
        <v>31</v>
      </c>
      <c r="C1630" s="78">
        <v>35</v>
      </c>
      <c r="D1630" s="79" t="s">
        <v>1890</v>
      </c>
      <c r="E1630" s="79" t="s">
        <v>48</v>
      </c>
      <c r="F1630" s="79" t="s">
        <v>55</v>
      </c>
      <c r="G1630" s="79" t="s">
        <v>32</v>
      </c>
      <c r="H1630" s="74" t="s">
        <v>1888</v>
      </c>
      <c r="I1630" s="80">
        <v>218</v>
      </c>
      <c r="J1630" s="25">
        <v>0</v>
      </c>
      <c r="K1630" s="76"/>
    </row>
    <row r="1631" s="1" customFormat="1" ht="14.25" spans="1:11">
      <c r="A1631" s="77">
        <v>10</v>
      </c>
      <c r="B1631" s="78">
        <v>31</v>
      </c>
      <c r="C1631" s="78">
        <v>35</v>
      </c>
      <c r="D1631" s="79" t="s">
        <v>1891</v>
      </c>
      <c r="E1631" s="79" t="s">
        <v>48</v>
      </c>
      <c r="F1631" s="79" t="s">
        <v>55</v>
      </c>
      <c r="G1631" s="79" t="s">
        <v>32</v>
      </c>
      <c r="H1631" s="74" t="s">
        <v>1888</v>
      </c>
      <c r="I1631" s="80">
        <v>380</v>
      </c>
      <c r="J1631" s="25">
        <v>0</v>
      </c>
      <c r="K1631" s="76"/>
    </row>
    <row r="1632" s="1" customFormat="1" ht="14.25" spans="1:11">
      <c r="A1632" s="77">
        <v>10</v>
      </c>
      <c r="B1632" s="78">
        <v>31</v>
      </c>
      <c r="C1632" s="78">
        <v>35</v>
      </c>
      <c r="D1632" s="79" t="s">
        <v>1892</v>
      </c>
      <c r="E1632" s="79" t="s">
        <v>48</v>
      </c>
      <c r="F1632" s="79" t="s">
        <v>55</v>
      </c>
      <c r="G1632" s="79" t="s">
        <v>32</v>
      </c>
      <c r="H1632" s="74" t="s">
        <v>1888</v>
      </c>
      <c r="I1632" s="80">
        <v>100</v>
      </c>
      <c r="J1632" s="25">
        <v>0</v>
      </c>
      <c r="K1632" s="76"/>
    </row>
    <row r="1633" s="1" customFormat="1" ht="14.25" spans="1:11">
      <c r="A1633" s="77">
        <v>10</v>
      </c>
      <c r="B1633" s="78">
        <v>31</v>
      </c>
      <c r="C1633" s="78">
        <v>35</v>
      </c>
      <c r="D1633" s="79" t="s">
        <v>714</v>
      </c>
      <c r="E1633" s="79" t="s">
        <v>118</v>
      </c>
      <c r="F1633" s="79" t="s">
        <v>192</v>
      </c>
      <c r="G1633" s="79" t="s">
        <v>32</v>
      </c>
      <c r="H1633" s="74" t="s">
        <v>1893</v>
      </c>
      <c r="I1633" s="80">
        <v>939800</v>
      </c>
      <c r="J1633" s="25">
        <v>0</v>
      </c>
      <c r="K1633" s="76"/>
    </row>
    <row r="1634" s="1" customFormat="1" ht="14.25" spans="1:11">
      <c r="A1634" s="77">
        <v>10</v>
      </c>
      <c r="B1634" s="78">
        <v>31</v>
      </c>
      <c r="C1634" s="78">
        <v>35</v>
      </c>
      <c r="D1634" s="79" t="s">
        <v>1894</v>
      </c>
      <c r="E1634" s="79" t="s">
        <v>100</v>
      </c>
      <c r="F1634" s="79" t="s">
        <v>101</v>
      </c>
      <c r="G1634" s="79" t="s">
        <v>32</v>
      </c>
      <c r="H1634" s="74" t="s">
        <v>1893</v>
      </c>
      <c r="I1634" s="80">
        <v>953</v>
      </c>
      <c r="J1634" s="25">
        <v>0</v>
      </c>
      <c r="K1634" s="76"/>
    </row>
    <row r="1635" s="1" customFormat="1" ht="14.25" spans="1:11">
      <c r="A1635" s="77">
        <v>10</v>
      </c>
      <c r="B1635" s="78">
        <v>31</v>
      </c>
      <c r="C1635" s="78">
        <v>35</v>
      </c>
      <c r="D1635" s="79" t="s">
        <v>1895</v>
      </c>
      <c r="E1635" s="79" t="s">
        <v>48</v>
      </c>
      <c r="F1635" s="79" t="s">
        <v>207</v>
      </c>
      <c r="G1635" s="79" t="s">
        <v>32</v>
      </c>
      <c r="H1635" s="74" t="s">
        <v>1893</v>
      </c>
      <c r="I1635" s="80">
        <v>175</v>
      </c>
      <c r="J1635" s="25">
        <v>0</v>
      </c>
      <c r="K1635" s="76"/>
    </row>
    <row r="1636" s="1" customFormat="1" ht="14.25" spans="1:11">
      <c r="A1636" s="77">
        <v>10</v>
      </c>
      <c r="B1636" s="78">
        <v>31</v>
      </c>
      <c r="C1636" s="78">
        <v>35</v>
      </c>
      <c r="D1636" s="79" t="s">
        <v>1896</v>
      </c>
      <c r="E1636" s="79" t="s">
        <v>48</v>
      </c>
      <c r="F1636" s="79" t="s">
        <v>207</v>
      </c>
      <c r="G1636" s="79" t="s">
        <v>32</v>
      </c>
      <c r="H1636" s="74" t="s">
        <v>1893</v>
      </c>
      <c r="I1636" s="80">
        <v>223</v>
      </c>
      <c r="J1636" s="25">
        <v>0</v>
      </c>
      <c r="K1636" s="76"/>
    </row>
    <row r="1637" s="1" customFormat="1" ht="14.25" spans="1:11">
      <c r="A1637" s="77">
        <v>10</v>
      </c>
      <c r="B1637" s="78">
        <v>31</v>
      </c>
      <c r="C1637" s="78">
        <v>35</v>
      </c>
      <c r="D1637" s="79" t="s">
        <v>1897</v>
      </c>
      <c r="E1637" s="79" t="s">
        <v>48</v>
      </c>
      <c r="F1637" s="79" t="s">
        <v>207</v>
      </c>
      <c r="G1637" s="79" t="s">
        <v>32</v>
      </c>
      <c r="H1637" s="74" t="s">
        <v>1893</v>
      </c>
      <c r="I1637" s="80">
        <v>443</v>
      </c>
      <c r="J1637" s="25">
        <v>0</v>
      </c>
      <c r="K1637" s="76"/>
    </row>
    <row r="1638" s="1" customFormat="1" ht="14.25" spans="1:11">
      <c r="A1638" s="71">
        <v>11</v>
      </c>
      <c r="B1638" s="72">
        <v>30</v>
      </c>
      <c r="C1638" s="72">
        <v>1</v>
      </c>
      <c r="D1638" s="73" t="s">
        <v>1898</v>
      </c>
      <c r="E1638" s="73" t="s">
        <v>179</v>
      </c>
      <c r="F1638" s="73" t="s">
        <v>1899</v>
      </c>
      <c r="G1638" s="73" t="s">
        <v>32</v>
      </c>
      <c r="H1638" s="74" t="s">
        <v>1900</v>
      </c>
      <c r="I1638" s="74">
        <v>43200</v>
      </c>
      <c r="J1638" s="75">
        <v>0</v>
      </c>
      <c r="K1638" s="75"/>
    </row>
    <row r="1639" s="1" customFormat="1" ht="14.25" spans="1:11">
      <c r="A1639" s="71">
        <v>11</v>
      </c>
      <c r="B1639" s="72">
        <v>30</v>
      </c>
      <c r="C1639" s="72">
        <v>1</v>
      </c>
      <c r="D1639" s="73" t="s">
        <v>1901</v>
      </c>
      <c r="E1639" s="73" t="s">
        <v>179</v>
      </c>
      <c r="F1639" s="73" t="s">
        <v>1899</v>
      </c>
      <c r="G1639" s="73" t="s">
        <v>32</v>
      </c>
      <c r="H1639" s="74" t="s">
        <v>1900</v>
      </c>
      <c r="I1639" s="74">
        <v>4650</v>
      </c>
      <c r="J1639" s="75">
        <v>0</v>
      </c>
      <c r="K1639" s="75"/>
    </row>
    <row r="1640" s="1" customFormat="1" ht="14.25" spans="1:11">
      <c r="A1640" s="71">
        <v>11</v>
      </c>
      <c r="B1640" s="72">
        <v>30</v>
      </c>
      <c r="C1640" s="72">
        <v>1</v>
      </c>
      <c r="D1640" s="73" t="s">
        <v>1902</v>
      </c>
      <c r="E1640" s="73" t="s">
        <v>179</v>
      </c>
      <c r="F1640" s="73" t="s">
        <v>1903</v>
      </c>
      <c r="G1640" s="73" t="s">
        <v>32</v>
      </c>
      <c r="H1640" s="74" t="s">
        <v>1900</v>
      </c>
      <c r="I1640" s="74">
        <v>40000</v>
      </c>
      <c r="J1640" s="75">
        <v>0</v>
      </c>
      <c r="K1640" s="75"/>
    </row>
    <row r="1641" s="1" customFormat="1" ht="14.25" spans="1:11">
      <c r="A1641" s="71">
        <v>11</v>
      </c>
      <c r="B1641" s="72">
        <v>30</v>
      </c>
      <c r="C1641" s="72">
        <v>1</v>
      </c>
      <c r="D1641" s="73" t="s">
        <v>1904</v>
      </c>
      <c r="E1641" s="73" t="s">
        <v>179</v>
      </c>
      <c r="F1641" s="73" t="s">
        <v>1903</v>
      </c>
      <c r="G1641" s="73" t="s">
        <v>32</v>
      </c>
      <c r="H1641" s="74" t="s">
        <v>1900</v>
      </c>
      <c r="I1641" s="74">
        <v>4050</v>
      </c>
      <c r="J1641" s="75">
        <v>0</v>
      </c>
      <c r="K1641" s="75"/>
    </row>
    <row r="1642" s="1" customFormat="1" ht="14.25" spans="1:11">
      <c r="A1642" s="71">
        <v>11</v>
      </c>
      <c r="B1642" s="72">
        <v>30</v>
      </c>
      <c r="C1642" s="72">
        <v>1</v>
      </c>
      <c r="D1642" s="73" t="s">
        <v>1905</v>
      </c>
      <c r="E1642" s="73" t="s">
        <v>179</v>
      </c>
      <c r="F1642" s="73" t="s">
        <v>1903</v>
      </c>
      <c r="G1642" s="73" t="s">
        <v>32</v>
      </c>
      <c r="H1642" s="74" t="s">
        <v>1900</v>
      </c>
      <c r="I1642" s="74">
        <v>1200</v>
      </c>
      <c r="J1642" s="75">
        <v>0</v>
      </c>
      <c r="K1642" s="75"/>
    </row>
    <row r="1643" s="1" customFormat="1" ht="14.25" spans="1:11">
      <c r="A1643" s="71">
        <v>11</v>
      </c>
      <c r="B1643" s="72">
        <v>30</v>
      </c>
      <c r="C1643" s="72">
        <v>1</v>
      </c>
      <c r="D1643" s="73" t="s">
        <v>1906</v>
      </c>
      <c r="E1643" s="73" t="s">
        <v>48</v>
      </c>
      <c r="F1643" s="73" t="s">
        <v>125</v>
      </c>
      <c r="G1643" s="73" t="s">
        <v>32</v>
      </c>
      <c r="H1643" s="74" t="s">
        <v>1907</v>
      </c>
      <c r="I1643" s="74">
        <v>450</v>
      </c>
      <c r="J1643" s="75">
        <v>0</v>
      </c>
      <c r="K1643" s="75"/>
    </row>
    <row r="1644" s="1" customFormat="1" ht="14.25" spans="1:11">
      <c r="A1644" s="71">
        <v>11</v>
      </c>
      <c r="B1644" s="72">
        <v>30</v>
      </c>
      <c r="C1644" s="72">
        <v>1</v>
      </c>
      <c r="D1644" s="73" t="s">
        <v>1908</v>
      </c>
      <c r="E1644" s="73" t="s">
        <v>48</v>
      </c>
      <c r="F1644" s="73" t="s">
        <v>55</v>
      </c>
      <c r="G1644" s="73" t="s">
        <v>32</v>
      </c>
      <c r="H1644" s="74" t="s">
        <v>1907</v>
      </c>
      <c r="I1644" s="74">
        <v>400</v>
      </c>
      <c r="J1644" s="75">
        <v>0</v>
      </c>
      <c r="K1644" s="75"/>
    </row>
    <row r="1645" s="1" customFormat="1" ht="14.25" spans="1:11">
      <c r="A1645" s="71">
        <v>11</v>
      </c>
      <c r="B1645" s="72">
        <v>30</v>
      </c>
      <c r="C1645" s="72">
        <v>1</v>
      </c>
      <c r="D1645" s="73" t="s">
        <v>1909</v>
      </c>
      <c r="E1645" s="73" t="s">
        <v>48</v>
      </c>
      <c r="F1645" s="73" t="s">
        <v>207</v>
      </c>
      <c r="G1645" s="73" t="s">
        <v>32</v>
      </c>
      <c r="H1645" s="74" t="s">
        <v>1907</v>
      </c>
      <c r="I1645" s="74">
        <v>1800</v>
      </c>
      <c r="J1645" s="75">
        <v>0</v>
      </c>
      <c r="K1645" s="75"/>
    </row>
    <row r="1646" s="1" customFormat="1" ht="14.25" spans="1:11">
      <c r="A1646" s="71">
        <v>11</v>
      </c>
      <c r="B1646" s="72">
        <v>30</v>
      </c>
      <c r="C1646" s="72">
        <v>1</v>
      </c>
      <c r="D1646" s="73" t="s">
        <v>1910</v>
      </c>
      <c r="E1646" s="73" t="s">
        <v>48</v>
      </c>
      <c r="F1646" s="73" t="s">
        <v>207</v>
      </c>
      <c r="G1646" s="73" t="s">
        <v>32</v>
      </c>
      <c r="H1646" s="74" t="s">
        <v>1907</v>
      </c>
      <c r="I1646" s="74">
        <v>300</v>
      </c>
      <c r="J1646" s="75">
        <v>0</v>
      </c>
      <c r="K1646" s="75"/>
    </row>
    <row r="1647" s="1" customFormat="1" ht="14.25" spans="1:11">
      <c r="A1647" s="71">
        <v>11</v>
      </c>
      <c r="B1647" s="72">
        <v>30</v>
      </c>
      <c r="C1647" s="72">
        <v>1</v>
      </c>
      <c r="D1647" s="73" t="s">
        <v>1911</v>
      </c>
      <c r="E1647" s="73" t="s">
        <v>179</v>
      </c>
      <c r="F1647" s="73" t="s">
        <v>323</v>
      </c>
      <c r="G1647" s="73" t="s">
        <v>32</v>
      </c>
      <c r="H1647" s="74" t="s">
        <v>1907</v>
      </c>
      <c r="I1647" s="74">
        <v>20000</v>
      </c>
      <c r="J1647" s="75">
        <v>0</v>
      </c>
      <c r="K1647" s="75"/>
    </row>
    <row r="1648" s="1" customFormat="1" ht="14.25" spans="1:11">
      <c r="A1648" s="71">
        <v>11</v>
      </c>
      <c r="B1648" s="72">
        <v>30</v>
      </c>
      <c r="C1648" s="72">
        <v>2</v>
      </c>
      <c r="D1648" s="73" t="s">
        <v>1912</v>
      </c>
      <c r="E1648" s="73" t="s">
        <v>48</v>
      </c>
      <c r="F1648" s="73" t="s">
        <v>1913</v>
      </c>
      <c r="G1648" s="73" t="s">
        <v>32</v>
      </c>
      <c r="H1648" s="74" t="s">
        <v>1914</v>
      </c>
      <c r="I1648" s="74">
        <v>1000</v>
      </c>
      <c r="J1648" s="75">
        <v>0</v>
      </c>
      <c r="K1648" s="75"/>
    </row>
    <row r="1649" s="1" customFormat="1" ht="14.25" spans="1:11">
      <c r="A1649" s="71">
        <v>11</v>
      </c>
      <c r="B1649" s="72">
        <v>30</v>
      </c>
      <c r="C1649" s="72">
        <v>2</v>
      </c>
      <c r="D1649" s="73" t="s">
        <v>1915</v>
      </c>
      <c r="E1649" s="73" t="s">
        <v>118</v>
      </c>
      <c r="F1649" s="73" t="s">
        <v>156</v>
      </c>
      <c r="G1649" s="73" t="s">
        <v>32</v>
      </c>
      <c r="H1649" s="74" t="s">
        <v>1914</v>
      </c>
      <c r="I1649" s="74">
        <v>2630</v>
      </c>
      <c r="J1649" s="75">
        <v>0</v>
      </c>
      <c r="K1649" s="75"/>
    </row>
    <row r="1650" s="1" customFormat="1" ht="14.25" spans="1:11">
      <c r="A1650" s="71">
        <v>11</v>
      </c>
      <c r="B1650" s="72">
        <v>30</v>
      </c>
      <c r="C1650" s="72">
        <v>2</v>
      </c>
      <c r="D1650" s="73" t="s">
        <v>1916</v>
      </c>
      <c r="E1650" s="73" t="s">
        <v>118</v>
      </c>
      <c r="F1650" s="73" t="s">
        <v>154</v>
      </c>
      <c r="G1650" s="73" t="s">
        <v>32</v>
      </c>
      <c r="H1650" s="74" t="s">
        <v>1914</v>
      </c>
      <c r="I1650" s="74">
        <v>1760</v>
      </c>
      <c r="J1650" s="75">
        <v>0</v>
      </c>
      <c r="K1650" s="75"/>
    </row>
    <row r="1651" s="1" customFormat="1" ht="14.25" spans="1:11">
      <c r="A1651" s="71">
        <v>11</v>
      </c>
      <c r="B1651" s="72">
        <v>30</v>
      </c>
      <c r="C1651" s="72">
        <v>2</v>
      </c>
      <c r="D1651" s="73" t="s">
        <v>1917</v>
      </c>
      <c r="E1651" s="73" t="s">
        <v>118</v>
      </c>
      <c r="F1651" s="73" t="s">
        <v>154</v>
      </c>
      <c r="G1651" s="73" t="s">
        <v>32</v>
      </c>
      <c r="H1651" s="74" t="s">
        <v>1914</v>
      </c>
      <c r="I1651" s="74">
        <v>438</v>
      </c>
      <c r="J1651" s="75">
        <v>0</v>
      </c>
      <c r="K1651" s="75"/>
    </row>
    <row r="1652" s="1" customFormat="1" ht="14.25" spans="1:11">
      <c r="A1652" s="71">
        <v>11</v>
      </c>
      <c r="B1652" s="72">
        <v>30</v>
      </c>
      <c r="C1652" s="72">
        <v>2</v>
      </c>
      <c r="D1652" s="73" t="s">
        <v>1918</v>
      </c>
      <c r="E1652" s="73" t="s">
        <v>118</v>
      </c>
      <c r="F1652" s="73" t="s">
        <v>119</v>
      </c>
      <c r="G1652" s="73" t="s">
        <v>32</v>
      </c>
      <c r="H1652" s="74" t="s">
        <v>1914</v>
      </c>
      <c r="I1652" s="74">
        <v>35000</v>
      </c>
      <c r="J1652" s="75">
        <v>0</v>
      </c>
      <c r="K1652" s="75"/>
    </row>
    <row r="1653" s="1" customFormat="1" ht="14.25" spans="1:11">
      <c r="A1653" s="71">
        <v>11</v>
      </c>
      <c r="B1653" s="72">
        <v>30</v>
      </c>
      <c r="C1653" s="72">
        <v>2</v>
      </c>
      <c r="D1653" s="73" t="s">
        <v>1919</v>
      </c>
      <c r="E1653" s="73" t="s">
        <v>291</v>
      </c>
      <c r="F1653" s="73" t="s">
        <v>292</v>
      </c>
      <c r="G1653" s="73" t="s">
        <v>32</v>
      </c>
      <c r="H1653" s="74" t="s">
        <v>1920</v>
      </c>
      <c r="I1653" s="74">
        <v>4797.8</v>
      </c>
      <c r="J1653" s="75">
        <v>0</v>
      </c>
      <c r="K1653" s="75"/>
    </row>
    <row r="1654" s="1" customFormat="1" ht="14.25" spans="1:11">
      <c r="A1654" s="71">
        <v>11</v>
      </c>
      <c r="B1654" s="72">
        <v>30</v>
      </c>
      <c r="C1654" s="72">
        <v>2</v>
      </c>
      <c r="D1654" s="73" t="s">
        <v>1921</v>
      </c>
      <c r="E1654" s="73" t="s">
        <v>96</v>
      </c>
      <c r="F1654" s="73" t="s">
        <v>345</v>
      </c>
      <c r="G1654" s="73" t="s">
        <v>32</v>
      </c>
      <c r="H1654" s="74" t="s">
        <v>1920</v>
      </c>
      <c r="I1654" s="74">
        <v>140</v>
      </c>
      <c r="J1654" s="75">
        <v>0</v>
      </c>
      <c r="K1654" s="75"/>
    </row>
    <row r="1655" s="1" customFormat="1" ht="14.25" spans="1:11">
      <c r="A1655" s="71">
        <v>11</v>
      </c>
      <c r="B1655" s="72">
        <v>30</v>
      </c>
      <c r="C1655" s="72">
        <v>2</v>
      </c>
      <c r="D1655" s="73" t="s">
        <v>1922</v>
      </c>
      <c r="E1655" s="73" t="s">
        <v>48</v>
      </c>
      <c r="F1655" s="73" t="s">
        <v>207</v>
      </c>
      <c r="G1655" s="73" t="s">
        <v>32</v>
      </c>
      <c r="H1655" s="74" t="s">
        <v>1920</v>
      </c>
      <c r="I1655" s="74">
        <v>600</v>
      </c>
      <c r="J1655" s="75">
        <v>0</v>
      </c>
      <c r="K1655" s="75"/>
    </row>
    <row r="1656" s="1" customFormat="1" ht="14.25" spans="1:11">
      <c r="A1656" s="71">
        <v>11</v>
      </c>
      <c r="B1656" s="72">
        <v>30</v>
      </c>
      <c r="C1656" s="72">
        <v>2</v>
      </c>
      <c r="D1656" s="73" t="s">
        <v>1923</v>
      </c>
      <c r="E1656" s="73" t="s">
        <v>48</v>
      </c>
      <c r="F1656" s="73" t="s">
        <v>207</v>
      </c>
      <c r="G1656" s="73" t="s">
        <v>32</v>
      </c>
      <c r="H1656" s="74" t="s">
        <v>1920</v>
      </c>
      <c r="I1656" s="74">
        <v>4800</v>
      </c>
      <c r="J1656" s="75">
        <v>0</v>
      </c>
      <c r="K1656" s="75"/>
    </row>
    <row r="1657" s="1" customFormat="1" ht="14.25" spans="1:11">
      <c r="A1657" s="71">
        <v>11</v>
      </c>
      <c r="B1657" s="72">
        <v>30</v>
      </c>
      <c r="C1657" s="72">
        <v>2</v>
      </c>
      <c r="D1657" s="73" t="s">
        <v>1924</v>
      </c>
      <c r="E1657" s="73" t="s">
        <v>291</v>
      </c>
      <c r="F1657" s="73" t="s">
        <v>292</v>
      </c>
      <c r="G1657" s="73" t="s">
        <v>32</v>
      </c>
      <c r="H1657" s="74" t="s">
        <v>1920</v>
      </c>
      <c r="I1657" s="74">
        <v>300</v>
      </c>
      <c r="J1657" s="75">
        <v>0</v>
      </c>
      <c r="K1657" s="75"/>
    </row>
    <row r="1658" s="1" customFormat="1" ht="14.25" spans="1:11">
      <c r="A1658" s="71">
        <v>11</v>
      </c>
      <c r="B1658" s="72">
        <v>30</v>
      </c>
      <c r="C1658" s="72">
        <v>3</v>
      </c>
      <c r="D1658" s="73" t="s">
        <v>1925</v>
      </c>
      <c r="E1658" s="73" t="s">
        <v>179</v>
      </c>
      <c r="F1658" s="73" t="s">
        <v>323</v>
      </c>
      <c r="G1658" s="73" t="s">
        <v>32</v>
      </c>
      <c r="H1658" s="74" t="s">
        <v>1926</v>
      </c>
      <c r="I1658" s="74">
        <v>14500</v>
      </c>
      <c r="J1658" s="75">
        <v>0</v>
      </c>
      <c r="K1658" s="75"/>
    </row>
    <row r="1659" s="1" customFormat="1" ht="14.25" spans="1:11">
      <c r="A1659" s="71">
        <v>11</v>
      </c>
      <c r="B1659" s="72">
        <v>30</v>
      </c>
      <c r="C1659" s="72">
        <v>3</v>
      </c>
      <c r="D1659" s="73" t="s">
        <v>1927</v>
      </c>
      <c r="E1659" s="73" t="s">
        <v>118</v>
      </c>
      <c r="F1659" s="73" t="s">
        <v>156</v>
      </c>
      <c r="G1659" s="73" t="s">
        <v>32</v>
      </c>
      <c r="H1659" s="74" t="s">
        <v>1926</v>
      </c>
      <c r="I1659" s="74">
        <v>5166.67</v>
      </c>
      <c r="J1659" s="75">
        <v>0</v>
      </c>
      <c r="K1659" s="75"/>
    </row>
    <row r="1660" s="1" customFormat="1" ht="14.25" spans="1:11">
      <c r="A1660" s="71">
        <v>11</v>
      </c>
      <c r="B1660" s="72">
        <v>30</v>
      </c>
      <c r="C1660" s="72">
        <v>3</v>
      </c>
      <c r="D1660" s="73" t="s">
        <v>1928</v>
      </c>
      <c r="E1660" s="73" t="s">
        <v>172</v>
      </c>
      <c r="F1660" s="73" t="s">
        <v>1929</v>
      </c>
      <c r="G1660" s="73" t="s">
        <v>32</v>
      </c>
      <c r="H1660" s="74" t="s">
        <v>1926</v>
      </c>
      <c r="I1660" s="74">
        <v>30988</v>
      </c>
      <c r="J1660" s="75">
        <v>0</v>
      </c>
      <c r="K1660" s="75"/>
    </row>
    <row r="1661" s="1" customFormat="1" ht="14.25" spans="1:11">
      <c r="A1661" s="71">
        <v>11</v>
      </c>
      <c r="B1661" s="72">
        <v>30</v>
      </c>
      <c r="C1661" s="72">
        <v>3</v>
      </c>
      <c r="D1661" s="73" t="s">
        <v>1930</v>
      </c>
      <c r="E1661" s="73" t="s">
        <v>48</v>
      </c>
      <c r="F1661" s="73" t="s">
        <v>207</v>
      </c>
      <c r="G1661" s="73" t="s">
        <v>32</v>
      </c>
      <c r="H1661" s="74" t="s">
        <v>1926</v>
      </c>
      <c r="I1661" s="74">
        <v>1800</v>
      </c>
      <c r="J1661" s="75">
        <v>0</v>
      </c>
      <c r="K1661" s="75"/>
    </row>
    <row r="1662" s="1" customFormat="1" ht="14.25" spans="1:11">
      <c r="A1662" s="71">
        <v>11</v>
      </c>
      <c r="B1662" s="72">
        <v>30</v>
      </c>
      <c r="C1662" s="72">
        <v>3</v>
      </c>
      <c r="D1662" s="73" t="s">
        <v>1931</v>
      </c>
      <c r="E1662" s="73" t="s">
        <v>48</v>
      </c>
      <c r="F1662" s="73" t="s">
        <v>207</v>
      </c>
      <c r="G1662" s="73" t="s">
        <v>32</v>
      </c>
      <c r="H1662" s="74" t="s">
        <v>1926</v>
      </c>
      <c r="I1662" s="74">
        <v>5000</v>
      </c>
      <c r="J1662" s="75">
        <v>0</v>
      </c>
      <c r="K1662" s="75"/>
    </row>
    <row r="1663" s="1" customFormat="1" ht="14.25" spans="1:11">
      <c r="A1663" s="71">
        <v>11</v>
      </c>
      <c r="B1663" s="72">
        <v>30</v>
      </c>
      <c r="C1663" s="72">
        <v>3</v>
      </c>
      <c r="D1663" s="73" t="s">
        <v>1932</v>
      </c>
      <c r="E1663" s="73" t="s">
        <v>48</v>
      </c>
      <c r="F1663" s="73" t="s">
        <v>207</v>
      </c>
      <c r="G1663" s="73" t="s">
        <v>32</v>
      </c>
      <c r="H1663" s="74" t="s">
        <v>1933</v>
      </c>
      <c r="I1663" s="74">
        <v>4800</v>
      </c>
      <c r="J1663" s="75">
        <v>0</v>
      </c>
      <c r="K1663" s="75"/>
    </row>
    <row r="1664" s="1" customFormat="1" ht="14.25" spans="1:11">
      <c r="A1664" s="71">
        <v>11</v>
      </c>
      <c r="B1664" s="72">
        <v>30</v>
      </c>
      <c r="C1664" s="72">
        <v>3</v>
      </c>
      <c r="D1664" s="73" t="s">
        <v>1934</v>
      </c>
      <c r="E1664" s="73" t="s">
        <v>118</v>
      </c>
      <c r="F1664" s="73" t="s">
        <v>1935</v>
      </c>
      <c r="G1664" s="73" t="s">
        <v>32</v>
      </c>
      <c r="H1664" s="74" t="s">
        <v>1933</v>
      </c>
      <c r="I1664" s="74">
        <v>495.75</v>
      </c>
      <c r="J1664" s="75">
        <v>0</v>
      </c>
      <c r="K1664" s="75"/>
    </row>
    <row r="1665" s="1" customFormat="1" ht="14.25" spans="1:11">
      <c r="A1665" s="71">
        <v>11</v>
      </c>
      <c r="B1665" s="72">
        <v>30</v>
      </c>
      <c r="C1665" s="72">
        <v>3</v>
      </c>
      <c r="D1665" s="73" t="s">
        <v>1936</v>
      </c>
      <c r="E1665" s="73" t="s">
        <v>118</v>
      </c>
      <c r="F1665" s="73" t="s">
        <v>146</v>
      </c>
      <c r="G1665" s="73" t="s">
        <v>32</v>
      </c>
      <c r="H1665" s="74" t="s">
        <v>1933</v>
      </c>
      <c r="I1665" s="74">
        <v>292</v>
      </c>
      <c r="J1665" s="75">
        <v>0</v>
      </c>
      <c r="K1665" s="75"/>
    </row>
    <row r="1666" s="1" customFormat="1" ht="14.25" spans="1:11">
      <c r="A1666" s="71">
        <v>11</v>
      </c>
      <c r="B1666" s="72">
        <v>30</v>
      </c>
      <c r="C1666" s="72">
        <v>3</v>
      </c>
      <c r="D1666" s="73" t="s">
        <v>1937</v>
      </c>
      <c r="E1666" s="73" t="s">
        <v>48</v>
      </c>
      <c r="F1666" s="73" t="s">
        <v>233</v>
      </c>
      <c r="G1666" s="73" t="s">
        <v>32</v>
      </c>
      <c r="H1666" s="74" t="s">
        <v>1933</v>
      </c>
      <c r="I1666" s="74">
        <v>88</v>
      </c>
      <c r="J1666" s="75">
        <v>0</v>
      </c>
      <c r="K1666" s="75"/>
    </row>
    <row r="1667" s="1" customFormat="1" ht="14.25" spans="1:11">
      <c r="A1667" s="71">
        <v>11</v>
      </c>
      <c r="B1667" s="72">
        <v>30</v>
      </c>
      <c r="C1667" s="72">
        <v>3</v>
      </c>
      <c r="D1667" s="73" t="s">
        <v>1938</v>
      </c>
      <c r="E1667" s="73" t="s">
        <v>48</v>
      </c>
      <c r="F1667" s="73" t="s">
        <v>383</v>
      </c>
      <c r="G1667" s="73" t="s">
        <v>32</v>
      </c>
      <c r="H1667" s="74" t="s">
        <v>1933</v>
      </c>
      <c r="I1667" s="74">
        <v>1215.38</v>
      </c>
      <c r="J1667" s="75">
        <v>0</v>
      </c>
      <c r="K1667" s="75"/>
    </row>
    <row r="1668" s="1" customFormat="1" ht="14.25" spans="1:11">
      <c r="A1668" s="71">
        <v>11</v>
      </c>
      <c r="B1668" s="72">
        <v>30</v>
      </c>
      <c r="C1668" s="72">
        <v>4</v>
      </c>
      <c r="D1668" s="73" t="s">
        <v>1939</v>
      </c>
      <c r="E1668" s="73" t="s">
        <v>37</v>
      </c>
      <c r="F1668" s="73">
        <v>0</v>
      </c>
      <c r="G1668" s="73" t="s">
        <v>32</v>
      </c>
      <c r="H1668" s="74" t="s">
        <v>1940</v>
      </c>
      <c r="I1668" s="74">
        <v>320</v>
      </c>
      <c r="J1668" s="75">
        <v>0</v>
      </c>
      <c r="K1668" s="75"/>
    </row>
    <row r="1669" s="1" customFormat="1" ht="14.25" spans="1:11">
      <c r="A1669" s="71">
        <v>11</v>
      </c>
      <c r="B1669" s="72">
        <v>30</v>
      </c>
      <c r="C1669" s="72">
        <v>4</v>
      </c>
      <c r="D1669" s="73" t="s">
        <v>1941</v>
      </c>
      <c r="E1669" s="73" t="s">
        <v>118</v>
      </c>
      <c r="F1669" s="73" t="s">
        <v>122</v>
      </c>
      <c r="G1669" s="73" t="s">
        <v>32</v>
      </c>
      <c r="H1669" s="74" t="s">
        <v>1940</v>
      </c>
      <c r="I1669" s="74">
        <v>6750</v>
      </c>
      <c r="J1669" s="75">
        <v>0</v>
      </c>
      <c r="K1669" s="75"/>
    </row>
    <row r="1670" s="1" customFormat="1" ht="14.25" spans="1:11">
      <c r="A1670" s="71">
        <v>11</v>
      </c>
      <c r="B1670" s="72">
        <v>30</v>
      </c>
      <c r="C1670" s="72">
        <v>4</v>
      </c>
      <c r="D1670" s="73" t="s">
        <v>1942</v>
      </c>
      <c r="E1670" s="73" t="s">
        <v>118</v>
      </c>
      <c r="F1670" s="73" t="s">
        <v>122</v>
      </c>
      <c r="G1670" s="73" t="s">
        <v>32</v>
      </c>
      <c r="H1670" s="74" t="s">
        <v>1940</v>
      </c>
      <c r="I1670" s="74">
        <v>6785</v>
      </c>
      <c r="J1670" s="75">
        <v>0</v>
      </c>
      <c r="K1670" s="75"/>
    </row>
    <row r="1671" s="1" customFormat="1" ht="14.25" spans="1:11">
      <c r="A1671" s="71">
        <v>11</v>
      </c>
      <c r="B1671" s="72">
        <v>30</v>
      </c>
      <c r="C1671" s="72">
        <v>4</v>
      </c>
      <c r="D1671" s="73" t="s">
        <v>1943</v>
      </c>
      <c r="E1671" s="73" t="s">
        <v>118</v>
      </c>
      <c r="F1671" s="73" t="s">
        <v>122</v>
      </c>
      <c r="G1671" s="73" t="s">
        <v>32</v>
      </c>
      <c r="H1671" s="74" t="s">
        <v>1940</v>
      </c>
      <c r="I1671" s="74">
        <v>6750</v>
      </c>
      <c r="J1671" s="75">
        <v>0</v>
      </c>
      <c r="K1671" s="75"/>
    </row>
    <row r="1672" s="1" customFormat="1" ht="14.25" spans="1:11">
      <c r="A1672" s="71">
        <v>11</v>
      </c>
      <c r="B1672" s="72">
        <v>30</v>
      </c>
      <c r="C1672" s="72">
        <v>4</v>
      </c>
      <c r="D1672" s="73" t="s">
        <v>1942</v>
      </c>
      <c r="E1672" s="73" t="s">
        <v>118</v>
      </c>
      <c r="F1672" s="73" t="s">
        <v>122</v>
      </c>
      <c r="G1672" s="73" t="s">
        <v>32</v>
      </c>
      <c r="H1672" s="74" t="s">
        <v>1940</v>
      </c>
      <c r="I1672" s="74">
        <v>6785</v>
      </c>
      <c r="J1672" s="75">
        <v>0</v>
      </c>
      <c r="K1672" s="75"/>
    </row>
    <row r="1673" s="1" customFormat="1" ht="14.25" spans="1:11">
      <c r="A1673" s="71">
        <v>11</v>
      </c>
      <c r="B1673" s="72">
        <v>30</v>
      </c>
      <c r="C1673" s="72">
        <v>4</v>
      </c>
      <c r="D1673" s="73" t="s">
        <v>1944</v>
      </c>
      <c r="E1673" s="73" t="s">
        <v>48</v>
      </c>
      <c r="F1673" s="73" t="s">
        <v>55</v>
      </c>
      <c r="G1673" s="73" t="s">
        <v>32</v>
      </c>
      <c r="H1673" s="74" t="s">
        <v>1945</v>
      </c>
      <c r="I1673" s="74">
        <v>40</v>
      </c>
      <c r="J1673" s="75">
        <v>0</v>
      </c>
      <c r="K1673" s="75"/>
    </row>
    <row r="1674" s="1" customFormat="1" ht="14.25" spans="1:11">
      <c r="A1674" s="71">
        <v>11</v>
      </c>
      <c r="B1674" s="72">
        <v>30</v>
      </c>
      <c r="C1674" s="72">
        <v>4</v>
      </c>
      <c r="D1674" s="73" t="s">
        <v>1946</v>
      </c>
      <c r="E1674" s="73" t="s">
        <v>96</v>
      </c>
      <c r="F1674" s="73" t="s">
        <v>345</v>
      </c>
      <c r="G1674" s="73" t="s">
        <v>32</v>
      </c>
      <c r="H1674" s="74" t="s">
        <v>1945</v>
      </c>
      <c r="I1674" s="74">
        <v>260</v>
      </c>
      <c r="J1674" s="75">
        <v>0</v>
      </c>
      <c r="K1674" s="75"/>
    </row>
    <row r="1675" s="1" customFormat="1" ht="14.25" spans="1:11">
      <c r="A1675" s="71">
        <v>11</v>
      </c>
      <c r="B1675" s="72">
        <v>30</v>
      </c>
      <c r="C1675" s="72">
        <v>4</v>
      </c>
      <c r="D1675" s="73" t="s">
        <v>1947</v>
      </c>
      <c r="E1675" s="73" t="s">
        <v>48</v>
      </c>
      <c r="F1675" s="73" t="s">
        <v>207</v>
      </c>
      <c r="G1675" s="73" t="s">
        <v>32</v>
      </c>
      <c r="H1675" s="74" t="s">
        <v>1945</v>
      </c>
      <c r="I1675" s="74">
        <v>125</v>
      </c>
      <c r="J1675" s="75">
        <v>0</v>
      </c>
      <c r="K1675" s="75"/>
    </row>
    <row r="1676" s="1" customFormat="1" ht="14.25" spans="1:11">
      <c r="A1676" s="71">
        <v>11</v>
      </c>
      <c r="B1676" s="72">
        <v>30</v>
      </c>
      <c r="C1676" s="72">
        <v>4</v>
      </c>
      <c r="D1676" s="73" t="s">
        <v>1948</v>
      </c>
      <c r="E1676" s="73" t="s">
        <v>118</v>
      </c>
      <c r="F1676" s="73" t="s">
        <v>122</v>
      </c>
      <c r="G1676" s="73" t="s">
        <v>32</v>
      </c>
      <c r="H1676" s="74" t="s">
        <v>1945</v>
      </c>
      <c r="I1676" s="74">
        <v>17760</v>
      </c>
      <c r="J1676" s="75">
        <v>0</v>
      </c>
      <c r="K1676" s="75"/>
    </row>
    <row r="1677" s="1" customFormat="1" ht="14.25" spans="1:11">
      <c r="A1677" s="71">
        <v>11</v>
      </c>
      <c r="B1677" s="72">
        <v>30</v>
      </c>
      <c r="C1677" s="72">
        <v>4</v>
      </c>
      <c r="D1677" s="73" t="s">
        <v>1949</v>
      </c>
      <c r="E1677" s="73" t="s">
        <v>85</v>
      </c>
      <c r="F1677" s="73" t="s">
        <v>1950</v>
      </c>
      <c r="G1677" s="73" t="s">
        <v>32</v>
      </c>
      <c r="H1677" s="74" t="s">
        <v>1945</v>
      </c>
      <c r="I1677" s="74">
        <v>1291.32</v>
      </c>
      <c r="J1677" s="75">
        <v>0</v>
      </c>
      <c r="K1677" s="75"/>
    </row>
    <row r="1678" s="1" customFormat="1" ht="14.25" spans="1:11">
      <c r="A1678" s="71">
        <v>11</v>
      </c>
      <c r="B1678" s="72">
        <v>30</v>
      </c>
      <c r="C1678" s="72">
        <v>5</v>
      </c>
      <c r="D1678" s="73" t="s">
        <v>1951</v>
      </c>
      <c r="E1678" s="73" t="s">
        <v>118</v>
      </c>
      <c r="F1678" s="73" t="s">
        <v>151</v>
      </c>
      <c r="G1678" s="73" t="s">
        <v>32</v>
      </c>
      <c r="H1678" s="74" t="s">
        <v>1952</v>
      </c>
      <c r="I1678" s="74">
        <v>3100</v>
      </c>
      <c r="J1678" s="75">
        <v>0</v>
      </c>
      <c r="K1678" s="75"/>
    </row>
    <row r="1679" s="1" customFormat="1" ht="14.25" spans="1:11">
      <c r="A1679" s="71">
        <v>11</v>
      </c>
      <c r="B1679" s="72">
        <v>30</v>
      </c>
      <c r="C1679" s="72">
        <v>5</v>
      </c>
      <c r="D1679" s="73" t="s">
        <v>1953</v>
      </c>
      <c r="E1679" s="73" t="s">
        <v>48</v>
      </c>
      <c r="F1679" s="73" t="s">
        <v>55</v>
      </c>
      <c r="G1679" s="73" t="s">
        <v>32</v>
      </c>
      <c r="H1679" s="74" t="s">
        <v>1952</v>
      </c>
      <c r="I1679" s="74">
        <v>15440</v>
      </c>
      <c r="J1679" s="75">
        <v>0</v>
      </c>
      <c r="K1679" s="75"/>
    </row>
    <row r="1680" s="1" customFormat="1" ht="14.25" spans="1:11">
      <c r="A1680" s="71">
        <v>11</v>
      </c>
      <c r="B1680" s="72">
        <v>30</v>
      </c>
      <c r="C1680" s="72">
        <v>5</v>
      </c>
      <c r="D1680" s="73" t="s">
        <v>1954</v>
      </c>
      <c r="E1680" s="73" t="s">
        <v>179</v>
      </c>
      <c r="F1680" s="73" t="s">
        <v>1955</v>
      </c>
      <c r="G1680" s="73" t="s">
        <v>32</v>
      </c>
      <c r="H1680" s="74" t="s">
        <v>1956</v>
      </c>
      <c r="I1680" s="74">
        <v>887600</v>
      </c>
      <c r="J1680" s="75">
        <v>0</v>
      </c>
      <c r="K1680" s="75"/>
    </row>
    <row r="1681" s="1" customFormat="1" ht="14.25" spans="1:11">
      <c r="A1681" s="71">
        <v>11</v>
      </c>
      <c r="B1681" s="72">
        <v>30</v>
      </c>
      <c r="C1681" s="72">
        <v>5</v>
      </c>
      <c r="D1681" s="73" t="s">
        <v>1957</v>
      </c>
      <c r="E1681" s="73" t="s">
        <v>179</v>
      </c>
      <c r="F1681" s="73" t="s">
        <v>1955</v>
      </c>
      <c r="G1681" s="73" t="s">
        <v>32</v>
      </c>
      <c r="H1681" s="74" t="s">
        <v>1956</v>
      </c>
      <c r="I1681" s="74">
        <v>25917.3</v>
      </c>
      <c r="J1681" s="75">
        <v>0</v>
      </c>
      <c r="K1681" s="75"/>
    </row>
    <row r="1682" s="1" customFormat="1" ht="14.25" spans="1:11">
      <c r="A1682" s="71">
        <v>11</v>
      </c>
      <c r="B1682" s="72">
        <v>30</v>
      </c>
      <c r="C1682" s="72">
        <v>5</v>
      </c>
      <c r="D1682" s="73" t="s">
        <v>1958</v>
      </c>
      <c r="E1682" s="73" t="s">
        <v>179</v>
      </c>
      <c r="F1682" s="73" t="s">
        <v>1959</v>
      </c>
      <c r="G1682" s="73" t="s">
        <v>32</v>
      </c>
      <c r="H1682" s="74" t="s">
        <v>1960</v>
      </c>
      <c r="I1682" s="74">
        <v>666000</v>
      </c>
      <c r="J1682" s="75">
        <v>0</v>
      </c>
      <c r="K1682" s="75"/>
    </row>
    <row r="1683" s="1" customFormat="1" ht="14.25" spans="1:11">
      <c r="A1683" s="71">
        <v>11</v>
      </c>
      <c r="B1683" s="72">
        <v>30</v>
      </c>
      <c r="C1683" s="72">
        <v>5</v>
      </c>
      <c r="D1683" s="73" t="s">
        <v>1961</v>
      </c>
      <c r="E1683" s="73" t="s">
        <v>179</v>
      </c>
      <c r="F1683" s="73" t="s">
        <v>1959</v>
      </c>
      <c r="G1683" s="73" t="s">
        <v>32</v>
      </c>
      <c r="H1683" s="74" t="s">
        <v>1960</v>
      </c>
      <c r="I1683" s="74">
        <v>20573.22</v>
      </c>
      <c r="J1683" s="75">
        <v>0</v>
      </c>
      <c r="K1683" s="75"/>
    </row>
    <row r="1684" s="1" customFormat="1" ht="14.25" spans="1:11">
      <c r="A1684" s="71">
        <v>11</v>
      </c>
      <c r="B1684" s="72">
        <v>30</v>
      </c>
      <c r="C1684" s="72">
        <v>5</v>
      </c>
      <c r="D1684" s="73" t="s">
        <v>1962</v>
      </c>
      <c r="E1684" s="73" t="s">
        <v>179</v>
      </c>
      <c r="F1684" s="73" t="s">
        <v>1959</v>
      </c>
      <c r="G1684" s="73" t="s">
        <v>32</v>
      </c>
      <c r="H1684" s="74" t="s">
        <v>1960</v>
      </c>
      <c r="I1684" s="74">
        <v>555</v>
      </c>
      <c r="J1684" s="75">
        <v>0</v>
      </c>
      <c r="K1684" s="75"/>
    </row>
    <row r="1685" s="1" customFormat="1" ht="14.25" spans="1:11">
      <c r="A1685" s="71">
        <v>11</v>
      </c>
      <c r="B1685" s="72">
        <v>30</v>
      </c>
      <c r="C1685" s="72">
        <v>5</v>
      </c>
      <c r="D1685" s="73" t="s">
        <v>1963</v>
      </c>
      <c r="E1685" s="73" t="s">
        <v>118</v>
      </c>
      <c r="F1685" s="73" t="s">
        <v>489</v>
      </c>
      <c r="G1685" s="73" t="s">
        <v>32</v>
      </c>
      <c r="H1685" s="74" t="s">
        <v>1960</v>
      </c>
      <c r="I1685" s="74">
        <v>19774</v>
      </c>
      <c r="J1685" s="75">
        <v>0</v>
      </c>
      <c r="K1685" s="75"/>
    </row>
    <row r="1686" s="1" customFormat="1" ht="14.25" spans="1:11">
      <c r="A1686" s="71">
        <v>11</v>
      </c>
      <c r="B1686" s="72">
        <v>30</v>
      </c>
      <c r="C1686" s="72">
        <v>6</v>
      </c>
      <c r="D1686" s="73" t="s">
        <v>1964</v>
      </c>
      <c r="E1686" s="73" t="s">
        <v>179</v>
      </c>
      <c r="F1686" s="73" t="s">
        <v>1965</v>
      </c>
      <c r="G1686" s="73" t="s">
        <v>32</v>
      </c>
      <c r="H1686" s="74" t="s">
        <v>1960</v>
      </c>
      <c r="I1686" s="74">
        <v>444000</v>
      </c>
      <c r="J1686" s="75">
        <v>0</v>
      </c>
      <c r="K1686" s="75"/>
    </row>
    <row r="1687" s="1" customFormat="1" ht="14.25" spans="1:11">
      <c r="A1687" s="71">
        <v>11</v>
      </c>
      <c r="B1687" s="72">
        <v>30</v>
      </c>
      <c r="C1687" s="72">
        <v>6</v>
      </c>
      <c r="D1687" s="73" t="s">
        <v>1966</v>
      </c>
      <c r="E1687" s="73" t="s">
        <v>179</v>
      </c>
      <c r="F1687" s="73" t="s">
        <v>1965</v>
      </c>
      <c r="G1687" s="73" t="s">
        <v>32</v>
      </c>
      <c r="H1687" s="74" t="s">
        <v>1960</v>
      </c>
      <c r="I1687" s="74">
        <v>13320</v>
      </c>
      <c r="J1687" s="75">
        <v>0</v>
      </c>
      <c r="K1687" s="75"/>
    </row>
    <row r="1688" s="1" customFormat="1" ht="14.25" spans="1:11">
      <c r="A1688" s="71">
        <v>11</v>
      </c>
      <c r="B1688" s="72">
        <v>30</v>
      </c>
      <c r="C1688" s="72">
        <v>6</v>
      </c>
      <c r="D1688" s="73" t="s">
        <v>1967</v>
      </c>
      <c r="E1688" s="73" t="s">
        <v>179</v>
      </c>
      <c r="F1688" s="73" t="s">
        <v>1965</v>
      </c>
      <c r="G1688" s="73" t="s">
        <v>32</v>
      </c>
      <c r="H1688" s="74" t="s">
        <v>1960</v>
      </c>
      <c r="I1688" s="74">
        <v>710</v>
      </c>
      <c r="J1688" s="75">
        <v>0</v>
      </c>
      <c r="K1688" s="75"/>
    </row>
    <row r="1689" s="1" customFormat="1" ht="14.25" spans="1:11">
      <c r="A1689" s="71">
        <v>11</v>
      </c>
      <c r="B1689" s="72">
        <v>30</v>
      </c>
      <c r="C1689" s="72">
        <v>6</v>
      </c>
      <c r="D1689" s="73" t="s">
        <v>1968</v>
      </c>
      <c r="E1689" s="73" t="s">
        <v>179</v>
      </c>
      <c r="F1689" s="73" t="s">
        <v>1965</v>
      </c>
      <c r="G1689" s="73" t="s">
        <v>32</v>
      </c>
      <c r="H1689" s="74" t="s">
        <v>1960</v>
      </c>
      <c r="I1689" s="74">
        <v>1070</v>
      </c>
      <c r="J1689" s="75">
        <v>0</v>
      </c>
      <c r="K1689" s="75"/>
    </row>
    <row r="1690" s="1" customFormat="1" ht="14.25" spans="1:11">
      <c r="A1690" s="71">
        <v>11</v>
      </c>
      <c r="B1690" s="72">
        <v>30</v>
      </c>
      <c r="C1690" s="72">
        <v>6</v>
      </c>
      <c r="D1690" s="73" t="s">
        <v>1969</v>
      </c>
      <c r="E1690" s="73" t="s">
        <v>179</v>
      </c>
      <c r="F1690" s="73" t="s">
        <v>1970</v>
      </c>
      <c r="G1690" s="73" t="s">
        <v>32</v>
      </c>
      <c r="H1690" s="74" t="s">
        <v>1960</v>
      </c>
      <c r="I1690" s="74">
        <v>180000</v>
      </c>
      <c r="J1690" s="75">
        <v>0</v>
      </c>
      <c r="K1690" s="75"/>
    </row>
    <row r="1691" s="1" customFormat="1" ht="14.25" spans="1:11">
      <c r="A1691" s="71">
        <v>11</v>
      </c>
      <c r="B1691" s="72">
        <v>30</v>
      </c>
      <c r="C1691" s="72">
        <v>6</v>
      </c>
      <c r="D1691" s="73" t="s">
        <v>1966</v>
      </c>
      <c r="E1691" s="73" t="s">
        <v>179</v>
      </c>
      <c r="F1691" s="73" t="s">
        <v>1970</v>
      </c>
      <c r="G1691" s="73" t="s">
        <v>32</v>
      </c>
      <c r="H1691" s="74" t="s">
        <v>1960</v>
      </c>
      <c r="I1691" s="74">
        <v>5400</v>
      </c>
      <c r="J1691" s="75">
        <v>0</v>
      </c>
      <c r="K1691" s="75"/>
    </row>
    <row r="1692" s="1" customFormat="1" ht="14.25" spans="1:11">
      <c r="A1692" s="71">
        <v>11</v>
      </c>
      <c r="B1692" s="72">
        <v>30</v>
      </c>
      <c r="C1692" s="72">
        <v>6</v>
      </c>
      <c r="D1692" s="73" t="s">
        <v>1967</v>
      </c>
      <c r="E1692" s="73" t="s">
        <v>179</v>
      </c>
      <c r="F1692" s="73" t="s">
        <v>1970</v>
      </c>
      <c r="G1692" s="73" t="s">
        <v>32</v>
      </c>
      <c r="H1692" s="74" t="s">
        <v>1960</v>
      </c>
      <c r="I1692" s="74">
        <v>290</v>
      </c>
      <c r="J1692" s="75">
        <v>0</v>
      </c>
      <c r="K1692" s="75"/>
    </row>
    <row r="1693" s="1" customFormat="1" ht="14.25" spans="1:11">
      <c r="A1693" s="71">
        <v>11</v>
      </c>
      <c r="B1693" s="72">
        <v>30</v>
      </c>
      <c r="C1693" s="72">
        <v>6</v>
      </c>
      <c r="D1693" s="73" t="s">
        <v>1968</v>
      </c>
      <c r="E1693" s="73" t="s">
        <v>179</v>
      </c>
      <c r="F1693" s="73" t="s">
        <v>1970</v>
      </c>
      <c r="G1693" s="73" t="s">
        <v>32</v>
      </c>
      <c r="H1693" s="74" t="s">
        <v>1960</v>
      </c>
      <c r="I1693" s="74">
        <v>430</v>
      </c>
      <c r="J1693" s="75">
        <v>0</v>
      </c>
      <c r="K1693" s="75"/>
    </row>
    <row r="1694" s="1" customFormat="1" ht="14.25" spans="1:11">
      <c r="A1694" s="71">
        <v>11</v>
      </c>
      <c r="B1694" s="72">
        <v>30</v>
      </c>
      <c r="C1694" s="72">
        <v>7</v>
      </c>
      <c r="D1694" s="73" t="s">
        <v>1971</v>
      </c>
      <c r="E1694" s="73" t="s">
        <v>118</v>
      </c>
      <c r="F1694" s="73" t="s">
        <v>489</v>
      </c>
      <c r="G1694" s="73" t="s">
        <v>32</v>
      </c>
      <c r="H1694" s="74" t="s">
        <v>1960</v>
      </c>
      <c r="I1694" s="74">
        <v>9293</v>
      </c>
      <c r="J1694" s="75">
        <v>0</v>
      </c>
      <c r="K1694" s="75"/>
    </row>
    <row r="1695" s="1" customFormat="1" ht="14.25" spans="1:11">
      <c r="A1695" s="71">
        <v>11</v>
      </c>
      <c r="B1695" s="72">
        <v>30</v>
      </c>
      <c r="C1695" s="72">
        <v>7</v>
      </c>
      <c r="D1695" s="73" t="s">
        <v>1972</v>
      </c>
      <c r="E1695" s="73" t="s">
        <v>118</v>
      </c>
      <c r="F1695" s="73" t="s">
        <v>489</v>
      </c>
      <c r="G1695" s="73" t="s">
        <v>32</v>
      </c>
      <c r="H1695" s="74" t="s">
        <v>1960</v>
      </c>
      <c r="I1695" s="74">
        <v>250.91</v>
      </c>
      <c r="J1695" s="75">
        <v>0</v>
      </c>
      <c r="K1695" s="75"/>
    </row>
    <row r="1696" s="1" customFormat="1" ht="14.25" spans="1:11">
      <c r="A1696" s="71">
        <v>11</v>
      </c>
      <c r="B1696" s="72">
        <v>30</v>
      </c>
      <c r="C1696" s="72">
        <v>7</v>
      </c>
      <c r="D1696" s="73" t="s">
        <v>1973</v>
      </c>
      <c r="E1696" s="73" t="s">
        <v>179</v>
      </c>
      <c r="F1696" s="73" t="s">
        <v>1965</v>
      </c>
      <c r="G1696" s="73" t="s">
        <v>32</v>
      </c>
      <c r="H1696" s="74" t="s">
        <v>1960</v>
      </c>
      <c r="I1696" s="74">
        <v>555</v>
      </c>
      <c r="J1696" s="75">
        <v>0</v>
      </c>
      <c r="K1696" s="75"/>
    </row>
    <row r="1697" s="1" customFormat="1" ht="14.25" spans="1:11">
      <c r="A1697" s="71">
        <v>11</v>
      </c>
      <c r="B1697" s="72">
        <v>30</v>
      </c>
      <c r="C1697" s="72">
        <v>7</v>
      </c>
      <c r="D1697" s="73" t="s">
        <v>1974</v>
      </c>
      <c r="E1697" s="73" t="s">
        <v>179</v>
      </c>
      <c r="F1697" s="73" t="s">
        <v>1965</v>
      </c>
      <c r="G1697" s="73" t="s">
        <v>32</v>
      </c>
      <c r="H1697" s="74" t="s">
        <v>1960</v>
      </c>
      <c r="I1697" s="74">
        <v>222000</v>
      </c>
      <c r="J1697" s="75">
        <v>0</v>
      </c>
      <c r="K1697" s="75"/>
    </row>
    <row r="1698" s="1" customFormat="1" ht="14.25" spans="1:11">
      <c r="A1698" s="71">
        <v>11</v>
      </c>
      <c r="B1698" s="72">
        <v>30</v>
      </c>
      <c r="C1698" s="72">
        <v>7</v>
      </c>
      <c r="D1698" s="73" t="s">
        <v>1975</v>
      </c>
      <c r="E1698" s="73" t="s">
        <v>179</v>
      </c>
      <c r="F1698" s="73" t="s">
        <v>1970</v>
      </c>
      <c r="G1698" s="73" t="s">
        <v>32</v>
      </c>
      <c r="H1698" s="74" t="s">
        <v>1960</v>
      </c>
      <c r="I1698" s="74">
        <v>180000</v>
      </c>
      <c r="J1698" s="75">
        <v>0</v>
      </c>
      <c r="K1698" s="75"/>
    </row>
    <row r="1699" s="1" customFormat="1" ht="14.25" spans="1:11">
      <c r="A1699" s="71">
        <v>11</v>
      </c>
      <c r="B1699" s="72">
        <v>30</v>
      </c>
      <c r="C1699" s="72">
        <v>7</v>
      </c>
      <c r="D1699" s="73" t="s">
        <v>1976</v>
      </c>
      <c r="E1699" s="73" t="s">
        <v>179</v>
      </c>
      <c r="F1699" s="73" t="s">
        <v>1965</v>
      </c>
      <c r="G1699" s="73" t="s">
        <v>32</v>
      </c>
      <c r="H1699" s="74" t="s">
        <v>1960</v>
      </c>
      <c r="I1699" s="74">
        <v>8424</v>
      </c>
      <c r="J1699" s="75">
        <v>0</v>
      </c>
      <c r="K1699" s="75"/>
    </row>
    <row r="1700" s="1" customFormat="1" ht="14.25" spans="1:11">
      <c r="A1700" s="71">
        <v>11</v>
      </c>
      <c r="B1700" s="72">
        <v>30</v>
      </c>
      <c r="C1700" s="72">
        <v>7</v>
      </c>
      <c r="D1700" s="73" t="s">
        <v>1977</v>
      </c>
      <c r="E1700" s="73" t="s">
        <v>179</v>
      </c>
      <c r="F1700" s="73" t="s">
        <v>1970</v>
      </c>
      <c r="G1700" s="73" t="s">
        <v>32</v>
      </c>
      <c r="H1700" s="74" t="s">
        <v>1978</v>
      </c>
      <c r="I1700" s="74">
        <v>1000</v>
      </c>
      <c r="J1700" s="75">
        <v>0</v>
      </c>
      <c r="K1700" s="75"/>
    </row>
    <row r="1701" s="1" customFormat="1" ht="14.25" spans="1:11">
      <c r="A1701" s="71">
        <v>11</v>
      </c>
      <c r="B1701" s="72">
        <v>30</v>
      </c>
      <c r="C1701" s="72">
        <v>7</v>
      </c>
      <c r="D1701" s="73" t="s">
        <v>1979</v>
      </c>
      <c r="E1701" s="73" t="s">
        <v>179</v>
      </c>
      <c r="F1701" s="73" t="s">
        <v>1970</v>
      </c>
      <c r="G1701" s="73" t="s">
        <v>32</v>
      </c>
      <c r="H1701" s="74" t="s">
        <v>1978</v>
      </c>
      <c r="I1701" s="74">
        <v>440</v>
      </c>
      <c r="J1701" s="75">
        <v>0</v>
      </c>
      <c r="K1701" s="75"/>
    </row>
    <row r="1702" s="1" customFormat="1" ht="14.25" spans="1:11">
      <c r="A1702" s="71">
        <v>11</v>
      </c>
      <c r="B1702" s="72">
        <v>30</v>
      </c>
      <c r="C1702" s="72">
        <v>7</v>
      </c>
      <c r="D1702" s="73" t="s">
        <v>1980</v>
      </c>
      <c r="E1702" s="73" t="s">
        <v>179</v>
      </c>
      <c r="F1702" s="73" t="s">
        <v>1970</v>
      </c>
      <c r="G1702" s="73" t="s">
        <v>32</v>
      </c>
      <c r="H1702" s="74" t="s">
        <v>1978</v>
      </c>
      <c r="I1702" s="74">
        <v>800</v>
      </c>
      <c r="J1702" s="75">
        <v>0</v>
      </c>
      <c r="K1702" s="75"/>
    </row>
    <row r="1703" s="1" customFormat="1" ht="14.25" spans="1:11">
      <c r="A1703" s="71">
        <v>11</v>
      </c>
      <c r="B1703" s="72">
        <v>30</v>
      </c>
      <c r="C1703" s="72">
        <v>7</v>
      </c>
      <c r="D1703" s="73" t="s">
        <v>1981</v>
      </c>
      <c r="E1703" s="73" t="s">
        <v>179</v>
      </c>
      <c r="F1703" s="73" t="s">
        <v>1965</v>
      </c>
      <c r="G1703" s="73" t="s">
        <v>32</v>
      </c>
      <c r="H1703" s="74" t="s">
        <v>1978</v>
      </c>
      <c r="I1703" s="74">
        <v>370</v>
      </c>
      <c r="J1703" s="75">
        <v>0</v>
      </c>
      <c r="K1703" s="75"/>
    </row>
    <row r="1704" s="1" customFormat="1" ht="14.25" spans="1:11">
      <c r="A1704" s="71">
        <v>11</v>
      </c>
      <c r="B1704" s="72">
        <v>30</v>
      </c>
      <c r="C1704" s="72">
        <v>8</v>
      </c>
      <c r="D1704" s="73" t="s">
        <v>1982</v>
      </c>
      <c r="E1704" s="73" t="s">
        <v>179</v>
      </c>
      <c r="F1704" s="73" t="s">
        <v>1983</v>
      </c>
      <c r="G1704" s="73" t="s">
        <v>32</v>
      </c>
      <c r="H1704" s="74" t="s">
        <v>1978</v>
      </c>
      <c r="I1704" s="74">
        <v>13780.46</v>
      </c>
      <c r="J1704" s="75">
        <v>0</v>
      </c>
      <c r="K1704" s="75"/>
    </row>
    <row r="1705" s="1" customFormat="1" ht="14.25" spans="1:11">
      <c r="A1705" s="71">
        <v>11</v>
      </c>
      <c r="B1705" s="72">
        <v>30</v>
      </c>
      <c r="C1705" s="72">
        <v>8</v>
      </c>
      <c r="D1705" s="73" t="s">
        <v>1984</v>
      </c>
      <c r="E1705" s="73" t="s">
        <v>179</v>
      </c>
      <c r="F1705" s="73" t="s">
        <v>1983</v>
      </c>
      <c r="G1705" s="73" t="s">
        <v>32</v>
      </c>
      <c r="H1705" s="74" t="s">
        <v>1978</v>
      </c>
      <c r="I1705" s="74">
        <v>24614.66</v>
      </c>
      <c r="J1705" s="75">
        <v>0</v>
      </c>
      <c r="K1705" s="75"/>
    </row>
    <row r="1706" s="1" customFormat="1" ht="14.25" spans="1:11">
      <c r="A1706" s="71">
        <v>11</v>
      </c>
      <c r="B1706" s="72">
        <v>30</v>
      </c>
      <c r="C1706" s="72">
        <v>8</v>
      </c>
      <c r="D1706" s="73" t="s">
        <v>1985</v>
      </c>
      <c r="E1706" s="73" t="s">
        <v>179</v>
      </c>
      <c r="F1706" s="73" t="s">
        <v>1986</v>
      </c>
      <c r="G1706" s="73" t="s">
        <v>32</v>
      </c>
      <c r="H1706" s="74" t="s">
        <v>1978</v>
      </c>
      <c r="I1706" s="74">
        <v>8205</v>
      </c>
      <c r="J1706" s="75">
        <v>0</v>
      </c>
      <c r="K1706" s="75"/>
    </row>
    <row r="1707" s="1" customFormat="1" ht="14.25" spans="1:11">
      <c r="A1707" s="71">
        <v>11</v>
      </c>
      <c r="B1707" s="72">
        <v>30</v>
      </c>
      <c r="C1707" s="72">
        <v>8</v>
      </c>
      <c r="D1707" s="73" t="s">
        <v>1987</v>
      </c>
      <c r="E1707" s="73" t="s">
        <v>85</v>
      </c>
      <c r="F1707" s="73" t="s">
        <v>1950</v>
      </c>
      <c r="G1707" s="73" t="s">
        <v>32</v>
      </c>
      <c r="H1707" s="74" t="s">
        <v>1978</v>
      </c>
      <c r="I1707" s="74">
        <v>8205</v>
      </c>
      <c r="J1707" s="75">
        <v>0</v>
      </c>
      <c r="K1707" s="75"/>
    </row>
    <row r="1708" s="1" customFormat="1" ht="14.25" spans="1:11">
      <c r="A1708" s="71">
        <v>11</v>
      </c>
      <c r="B1708" s="72">
        <v>30</v>
      </c>
      <c r="C1708" s="72">
        <v>8</v>
      </c>
      <c r="D1708" s="73" t="s">
        <v>1988</v>
      </c>
      <c r="E1708" s="73" t="s">
        <v>179</v>
      </c>
      <c r="F1708" s="73" t="s">
        <v>1989</v>
      </c>
      <c r="G1708" s="73" t="s">
        <v>32</v>
      </c>
      <c r="H1708" s="74" t="s">
        <v>1978</v>
      </c>
      <c r="I1708" s="74">
        <v>35272.85</v>
      </c>
      <c r="J1708" s="75">
        <v>0</v>
      </c>
      <c r="K1708" s="75"/>
    </row>
    <row r="1709" s="1" customFormat="1" ht="14.25" spans="1:11">
      <c r="A1709" s="71">
        <v>11</v>
      </c>
      <c r="B1709" s="72">
        <v>30</v>
      </c>
      <c r="C1709" s="72">
        <v>8</v>
      </c>
      <c r="D1709" s="73" t="s">
        <v>1988</v>
      </c>
      <c r="E1709" s="73" t="s">
        <v>179</v>
      </c>
      <c r="F1709" s="73" t="s">
        <v>1990</v>
      </c>
      <c r="G1709" s="73" t="s">
        <v>32</v>
      </c>
      <c r="H1709" s="74" t="s">
        <v>1978</v>
      </c>
      <c r="I1709" s="74">
        <v>0</v>
      </c>
      <c r="J1709" s="75">
        <v>0</v>
      </c>
      <c r="K1709" s="75"/>
    </row>
    <row r="1710" s="1" customFormat="1" ht="14.25" spans="1:11">
      <c r="A1710" s="71">
        <v>11</v>
      </c>
      <c r="B1710" s="72">
        <v>30</v>
      </c>
      <c r="C1710" s="72">
        <v>8</v>
      </c>
      <c r="D1710" s="73" t="s">
        <v>1991</v>
      </c>
      <c r="E1710" s="73" t="s">
        <v>85</v>
      </c>
      <c r="F1710" s="73" t="s">
        <v>1950</v>
      </c>
      <c r="G1710" s="73" t="s">
        <v>32</v>
      </c>
      <c r="H1710" s="74" t="s">
        <v>1978</v>
      </c>
      <c r="I1710" s="74">
        <v>21163</v>
      </c>
      <c r="J1710" s="75">
        <v>0</v>
      </c>
      <c r="K1710" s="75"/>
    </row>
    <row r="1711" s="1" customFormat="1" ht="14.25" spans="1:11">
      <c r="A1711" s="71">
        <v>11</v>
      </c>
      <c r="B1711" s="72">
        <v>30</v>
      </c>
      <c r="C1711" s="72">
        <v>8</v>
      </c>
      <c r="D1711" s="73" t="s">
        <v>1992</v>
      </c>
      <c r="E1711" s="73" t="s">
        <v>179</v>
      </c>
      <c r="F1711" s="73" t="s">
        <v>1955</v>
      </c>
      <c r="G1711" s="73" t="s">
        <v>32</v>
      </c>
      <c r="H1711" s="74" t="s">
        <v>1978</v>
      </c>
      <c r="I1711" s="74">
        <v>23332.3</v>
      </c>
      <c r="J1711" s="75">
        <v>0</v>
      </c>
      <c r="K1711" s="75"/>
    </row>
    <row r="1712" s="1" customFormat="1" ht="14.25" spans="1:11">
      <c r="A1712" s="71">
        <v>11</v>
      </c>
      <c r="B1712" s="72">
        <v>30</v>
      </c>
      <c r="C1712" s="72">
        <v>8</v>
      </c>
      <c r="D1712" s="73" t="s">
        <v>1993</v>
      </c>
      <c r="E1712" s="73" t="s">
        <v>85</v>
      </c>
      <c r="F1712" s="73" t="s">
        <v>1950</v>
      </c>
      <c r="G1712" s="73" t="s">
        <v>32</v>
      </c>
      <c r="H1712" s="74" t="s">
        <v>1978</v>
      </c>
      <c r="I1712" s="74">
        <v>46664.6</v>
      </c>
      <c r="J1712" s="75">
        <v>0</v>
      </c>
      <c r="K1712" s="75"/>
    </row>
    <row r="1713" s="1" customFormat="1" ht="14.25" spans="1:11">
      <c r="A1713" s="71">
        <v>11</v>
      </c>
      <c r="B1713" s="72">
        <v>30</v>
      </c>
      <c r="C1713" s="72">
        <v>9</v>
      </c>
      <c r="D1713" s="73" t="s">
        <v>1994</v>
      </c>
      <c r="E1713" s="73" t="s">
        <v>179</v>
      </c>
      <c r="F1713" s="73" t="s">
        <v>1995</v>
      </c>
      <c r="G1713" s="73" t="s">
        <v>32</v>
      </c>
      <c r="H1713" s="74" t="s">
        <v>1978</v>
      </c>
      <c r="I1713" s="74">
        <v>24800</v>
      </c>
      <c r="J1713" s="75">
        <v>0</v>
      </c>
      <c r="K1713" s="75"/>
    </row>
    <row r="1714" s="1" customFormat="1" ht="14.25" spans="1:11">
      <c r="A1714" s="71">
        <v>11</v>
      </c>
      <c r="B1714" s="72">
        <v>30</v>
      </c>
      <c r="C1714" s="72">
        <v>9</v>
      </c>
      <c r="D1714" s="73" t="s">
        <v>1996</v>
      </c>
      <c r="E1714" s="73" t="s">
        <v>179</v>
      </c>
      <c r="F1714" s="73" t="s">
        <v>1997</v>
      </c>
      <c r="G1714" s="73" t="s">
        <v>32</v>
      </c>
      <c r="H1714" s="74" t="s">
        <v>1978</v>
      </c>
      <c r="I1714" s="74">
        <v>12400</v>
      </c>
      <c r="J1714" s="75">
        <v>0</v>
      </c>
      <c r="K1714" s="75"/>
    </row>
    <row r="1715" s="1" customFormat="1" ht="14.25" spans="1:11">
      <c r="A1715" s="71">
        <v>11</v>
      </c>
      <c r="B1715" s="72">
        <v>30</v>
      </c>
      <c r="C1715" s="72">
        <v>9</v>
      </c>
      <c r="D1715" s="73" t="s">
        <v>1998</v>
      </c>
      <c r="E1715" s="73" t="s">
        <v>85</v>
      </c>
      <c r="F1715" s="73" t="s">
        <v>1950</v>
      </c>
      <c r="G1715" s="73" t="s">
        <v>32</v>
      </c>
      <c r="H1715" s="74" t="s">
        <v>1978</v>
      </c>
      <c r="I1715" s="74">
        <v>37201.21</v>
      </c>
      <c r="J1715" s="75">
        <v>0</v>
      </c>
      <c r="K1715" s="75"/>
    </row>
    <row r="1716" s="1" customFormat="1" ht="14.25" spans="1:11">
      <c r="A1716" s="71">
        <v>11</v>
      </c>
      <c r="B1716" s="72">
        <v>30</v>
      </c>
      <c r="C1716" s="72">
        <v>9</v>
      </c>
      <c r="D1716" s="73" t="s">
        <v>1999</v>
      </c>
      <c r="E1716" s="73" t="s">
        <v>179</v>
      </c>
      <c r="F1716" s="73" t="s">
        <v>1989</v>
      </c>
      <c r="G1716" s="73" t="s">
        <v>32</v>
      </c>
      <c r="H1716" s="74" t="s">
        <v>1978</v>
      </c>
      <c r="I1716" s="74">
        <v>3527</v>
      </c>
      <c r="J1716" s="75">
        <v>0</v>
      </c>
      <c r="K1716" s="75"/>
    </row>
    <row r="1717" s="1" customFormat="1" ht="14.25" spans="1:11">
      <c r="A1717" s="71">
        <v>11</v>
      </c>
      <c r="B1717" s="72">
        <v>30</v>
      </c>
      <c r="C1717" s="72">
        <v>9</v>
      </c>
      <c r="D1717" s="73" t="s">
        <v>2000</v>
      </c>
      <c r="E1717" s="73" t="s">
        <v>85</v>
      </c>
      <c r="F1717" s="73" t="s">
        <v>1950</v>
      </c>
      <c r="G1717" s="73" t="s">
        <v>32</v>
      </c>
      <c r="H1717" s="74" t="s">
        <v>1978</v>
      </c>
      <c r="I1717" s="74">
        <v>6150.9</v>
      </c>
      <c r="J1717" s="75">
        <v>0</v>
      </c>
      <c r="K1717" s="75"/>
    </row>
    <row r="1718" s="1" customFormat="1" ht="14.25" spans="1:11">
      <c r="A1718" s="71">
        <v>11</v>
      </c>
      <c r="B1718" s="72">
        <v>30</v>
      </c>
      <c r="C1718" s="72">
        <v>9</v>
      </c>
      <c r="D1718" s="73" t="s">
        <v>2001</v>
      </c>
      <c r="E1718" s="73" t="s">
        <v>291</v>
      </c>
      <c r="F1718" s="73" t="s">
        <v>379</v>
      </c>
      <c r="G1718" s="73" t="s">
        <v>32</v>
      </c>
      <c r="H1718" s="74" t="s">
        <v>1978</v>
      </c>
      <c r="I1718" s="74">
        <v>3003</v>
      </c>
      <c r="J1718" s="75">
        <v>0</v>
      </c>
      <c r="K1718" s="75"/>
    </row>
    <row r="1719" s="1" customFormat="1" ht="14.25" spans="1:11">
      <c r="A1719" s="71">
        <v>11</v>
      </c>
      <c r="B1719" s="72">
        <v>30</v>
      </c>
      <c r="C1719" s="72">
        <v>9</v>
      </c>
      <c r="D1719" s="73" t="s">
        <v>2000</v>
      </c>
      <c r="E1719" s="73" t="s">
        <v>85</v>
      </c>
      <c r="F1719" s="73" t="s">
        <v>1950</v>
      </c>
      <c r="G1719" s="73" t="s">
        <v>32</v>
      </c>
      <c r="H1719" s="74" t="s">
        <v>1978</v>
      </c>
      <c r="I1719" s="74">
        <v>6006.44</v>
      </c>
      <c r="J1719" s="75">
        <v>0</v>
      </c>
      <c r="K1719" s="75"/>
    </row>
    <row r="1720" s="1" customFormat="1" ht="14.25" spans="1:11">
      <c r="A1720" s="71">
        <v>11</v>
      </c>
      <c r="B1720" s="72">
        <v>30</v>
      </c>
      <c r="C1720" s="72">
        <v>9</v>
      </c>
      <c r="D1720" s="73" t="s">
        <v>2002</v>
      </c>
      <c r="E1720" s="73" t="s">
        <v>291</v>
      </c>
      <c r="F1720" s="73" t="s">
        <v>379</v>
      </c>
      <c r="G1720" s="73" t="s">
        <v>32</v>
      </c>
      <c r="H1720" s="74" t="s">
        <v>1978</v>
      </c>
      <c r="I1720" s="74">
        <v>27934.16</v>
      </c>
      <c r="J1720" s="75">
        <v>0</v>
      </c>
      <c r="K1720" s="75"/>
    </row>
    <row r="1721" s="1" customFormat="1" ht="14.25" spans="1:11">
      <c r="A1721" s="71">
        <v>11</v>
      </c>
      <c r="B1721" s="72">
        <v>30</v>
      </c>
      <c r="C1721" s="72">
        <v>9</v>
      </c>
      <c r="D1721" s="73" t="s">
        <v>2003</v>
      </c>
      <c r="E1721" s="73" t="s">
        <v>85</v>
      </c>
      <c r="F1721" s="73" t="s">
        <v>1950</v>
      </c>
      <c r="G1721" s="73" t="s">
        <v>32</v>
      </c>
      <c r="H1721" s="74" t="s">
        <v>1978</v>
      </c>
      <c r="I1721" s="74">
        <v>4975.26</v>
      </c>
      <c r="J1721" s="75">
        <v>0</v>
      </c>
      <c r="K1721" s="75"/>
    </row>
    <row r="1722" s="1" customFormat="1" ht="14.25" spans="1:11">
      <c r="A1722" s="71">
        <v>11</v>
      </c>
      <c r="B1722" s="72">
        <v>30</v>
      </c>
      <c r="C1722" s="72">
        <v>10</v>
      </c>
      <c r="D1722" s="73" t="s">
        <v>2004</v>
      </c>
      <c r="E1722" s="73" t="s">
        <v>179</v>
      </c>
      <c r="F1722" s="73" t="s">
        <v>2005</v>
      </c>
      <c r="G1722" s="73" t="s">
        <v>32</v>
      </c>
      <c r="H1722" s="74" t="s">
        <v>1978</v>
      </c>
      <c r="I1722" s="74">
        <v>39800</v>
      </c>
      <c r="J1722" s="75">
        <v>0</v>
      </c>
      <c r="K1722" s="75"/>
    </row>
    <row r="1723" s="1" customFormat="1" ht="14.25" spans="1:11">
      <c r="A1723" s="71">
        <v>11</v>
      </c>
      <c r="B1723" s="72">
        <v>30</v>
      </c>
      <c r="C1723" s="72">
        <v>10</v>
      </c>
      <c r="D1723" s="73" t="s">
        <v>2006</v>
      </c>
      <c r="E1723" s="73" t="s">
        <v>291</v>
      </c>
      <c r="F1723" s="73" t="s">
        <v>379</v>
      </c>
      <c r="G1723" s="73" t="s">
        <v>32</v>
      </c>
      <c r="H1723" s="74" t="s">
        <v>1978</v>
      </c>
      <c r="I1723" s="74">
        <v>19910.72</v>
      </c>
      <c r="J1723" s="75">
        <v>0</v>
      </c>
      <c r="K1723" s="75"/>
    </row>
    <row r="1724" s="1" customFormat="1" ht="14.25" spans="1:11">
      <c r="A1724" s="71">
        <v>11</v>
      </c>
      <c r="B1724" s="72">
        <v>30</v>
      </c>
      <c r="C1724" s="72">
        <v>10</v>
      </c>
      <c r="D1724" s="73" t="s">
        <v>2007</v>
      </c>
      <c r="E1724" s="73" t="s">
        <v>179</v>
      </c>
      <c r="F1724" s="73" t="s">
        <v>1955</v>
      </c>
      <c r="G1724" s="73" t="s">
        <v>32</v>
      </c>
      <c r="H1724" s="74" t="s">
        <v>1978</v>
      </c>
      <c r="I1724" s="74">
        <v>24546</v>
      </c>
      <c r="J1724" s="75">
        <v>0</v>
      </c>
      <c r="K1724" s="75"/>
    </row>
    <row r="1725" s="1" customFormat="1" ht="14.25" spans="1:11">
      <c r="A1725" s="71">
        <v>11</v>
      </c>
      <c r="B1725" s="72">
        <v>30</v>
      </c>
      <c r="C1725" s="72">
        <v>10</v>
      </c>
      <c r="D1725" s="73" t="s">
        <v>2008</v>
      </c>
      <c r="E1725" s="73" t="s">
        <v>291</v>
      </c>
      <c r="F1725" s="73" t="s">
        <v>379</v>
      </c>
      <c r="G1725" s="73" t="s">
        <v>32</v>
      </c>
      <c r="H1725" s="74" t="s">
        <v>1978</v>
      </c>
      <c r="I1725" s="74">
        <v>139093.78</v>
      </c>
      <c r="J1725" s="75">
        <v>0</v>
      </c>
      <c r="K1725" s="75"/>
    </row>
    <row r="1726" s="1" customFormat="1" ht="14.25" spans="1:11">
      <c r="A1726" s="71">
        <v>11</v>
      </c>
      <c r="B1726" s="72">
        <v>30</v>
      </c>
      <c r="C1726" s="72">
        <v>10</v>
      </c>
      <c r="D1726" s="73" t="s">
        <v>2009</v>
      </c>
      <c r="E1726" s="73" t="s">
        <v>179</v>
      </c>
      <c r="F1726" s="73" t="s">
        <v>2010</v>
      </c>
      <c r="G1726" s="73" t="s">
        <v>32</v>
      </c>
      <c r="H1726" s="74" t="s">
        <v>1978</v>
      </c>
      <c r="I1726" s="74">
        <v>7476</v>
      </c>
      <c r="J1726" s="75">
        <v>0</v>
      </c>
      <c r="K1726" s="75"/>
    </row>
    <row r="1727" s="1" customFormat="1" ht="14.25" spans="1:11">
      <c r="A1727" s="71">
        <v>11</v>
      </c>
      <c r="B1727" s="72">
        <v>30</v>
      </c>
      <c r="C1727" s="72">
        <v>10</v>
      </c>
      <c r="D1727" s="73" t="s">
        <v>2011</v>
      </c>
      <c r="E1727" s="73" t="s">
        <v>85</v>
      </c>
      <c r="F1727" s="73" t="s">
        <v>1950</v>
      </c>
      <c r="G1727" s="73" t="s">
        <v>32</v>
      </c>
      <c r="H1727" s="74" t="s">
        <v>1978</v>
      </c>
      <c r="I1727" s="74">
        <v>22430.44</v>
      </c>
      <c r="J1727" s="75">
        <v>0</v>
      </c>
      <c r="K1727" s="75"/>
    </row>
    <row r="1728" s="1" customFormat="1" ht="14.25" spans="1:11">
      <c r="A1728" s="71">
        <v>11</v>
      </c>
      <c r="B1728" s="72">
        <v>30</v>
      </c>
      <c r="C1728" s="72">
        <v>10</v>
      </c>
      <c r="D1728" s="73" t="s">
        <v>2012</v>
      </c>
      <c r="E1728" s="73" t="s">
        <v>291</v>
      </c>
      <c r="F1728" s="73" t="s">
        <v>379</v>
      </c>
      <c r="G1728" s="73" t="s">
        <v>32</v>
      </c>
      <c r="H1728" s="74" t="s">
        <v>1978</v>
      </c>
      <c r="I1728" s="74">
        <v>52975</v>
      </c>
      <c r="J1728" s="75">
        <v>0</v>
      </c>
      <c r="K1728" s="75"/>
    </row>
    <row r="1729" s="1" customFormat="1" ht="14.25" spans="1:11">
      <c r="A1729" s="71">
        <v>11</v>
      </c>
      <c r="B1729" s="72">
        <v>30</v>
      </c>
      <c r="C1729" s="72">
        <v>10</v>
      </c>
      <c r="D1729" s="73" t="s">
        <v>2013</v>
      </c>
      <c r="E1729" s="73" t="s">
        <v>291</v>
      </c>
      <c r="F1729" s="73" t="s">
        <v>379</v>
      </c>
      <c r="G1729" s="73" t="s">
        <v>32</v>
      </c>
      <c r="H1729" s="74" t="s">
        <v>1978</v>
      </c>
      <c r="I1729" s="74">
        <v>32612.53</v>
      </c>
      <c r="J1729" s="75">
        <v>0</v>
      </c>
      <c r="K1729" s="75"/>
    </row>
    <row r="1730" s="1" customFormat="1" ht="14.25" spans="1:11">
      <c r="A1730" s="71">
        <v>11</v>
      </c>
      <c r="B1730" s="72">
        <v>30</v>
      </c>
      <c r="C1730" s="72">
        <v>10</v>
      </c>
      <c r="D1730" s="73" t="s">
        <v>2014</v>
      </c>
      <c r="E1730" s="73" t="s">
        <v>85</v>
      </c>
      <c r="F1730" s="73" t="s">
        <v>1950</v>
      </c>
      <c r="G1730" s="73" t="s">
        <v>32</v>
      </c>
      <c r="H1730" s="74" t="s">
        <v>1978</v>
      </c>
      <c r="I1730" s="74">
        <v>12744</v>
      </c>
      <c r="J1730" s="75">
        <v>0</v>
      </c>
      <c r="K1730" s="75"/>
    </row>
    <row r="1731" s="1" customFormat="1" ht="14.25" spans="1:11">
      <c r="A1731" s="71">
        <v>11</v>
      </c>
      <c r="B1731" s="72">
        <v>30</v>
      </c>
      <c r="C1731" s="72">
        <v>10</v>
      </c>
      <c r="D1731" s="73" t="s">
        <v>2015</v>
      </c>
      <c r="E1731" s="73" t="s">
        <v>85</v>
      </c>
      <c r="F1731" s="73" t="s">
        <v>1950</v>
      </c>
      <c r="G1731" s="73" t="s">
        <v>32</v>
      </c>
      <c r="H1731" s="74" t="s">
        <v>1978</v>
      </c>
      <c r="I1731" s="74">
        <v>15454.91</v>
      </c>
      <c r="J1731" s="75">
        <v>0</v>
      </c>
      <c r="K1731" s="75"/>
    </row>
    <row r="1732" s="1" customFormat="1" ht="14.25" spans="1:11">
      <c r="A1732" s="71">
        <v>11</v>
      </c>
      <c r="B1732" s="72">
        <v>30</v>
      </c>
      <c r="C1732" s="72">
        <v>11</v>
      </c>
      <c r="D1732" s="73" t="s">
        <v>2016</v>
      </c>
      <c r="E1732" s="73" t="s">
        <v>118</v>
      </c>
      <c r="F1732" s="73" t="s">
        <v>55</v>
      </c>
      <c r="G1732" s="73" t="s">
        <v>32</v>
      </c>
      <c r="H1732" s="74" t="s">
        <v>2017</v>
      </c>
      <c r="I1732" s="74">
        <v>250</v>
      </c>
      <c r="J1732" s="75">
        <v>0</v>
      </c>
      <c r="K1732" s="75"/>
    </row>
    <row r="1733" s="1" customFormat="1" ht="14.25" spans="1:11">
      <c r="A1733" s="71">
        <v>11</v>
      </c>
      <c r="B1733" s="72">
        <v>30</v>
      </c>
      <c r="C1733" s="72">
        <v>11</v>
      </c>
      <c r="D1733" s="73" t="s">
        <v>275</v>
      </c>
      <c r="E1733" s="73" t="s">
        <v>48</v>
      </c>
      <c r="F1733" s="73" t="s">
        <v>1565</v>
      </c>
      <c r="G1733" s="73" t="s">
        <v>32</v>
      </c>
      <c r="H1733" s="74" t="s">
        <v>2017</v>
      </c>
      <c r="I1733" s="74">
        <v>132</v>
      </c>
      <c r="J1733" s="75">
        <v>0</v>
      </c>
      <c r="K1733" s="75"/>
    </row>
    <row r="1734" s="1" customFormat="1" ht="14.25" spans="1:11">
      <c r="A1734" s="71">
        <v>11</v>
      </c>
      <c r="B1734" s="72">
        <v>30</v>
      </c>
      <c r="C1734" s="72">
        <v>11</v>
      </c>
      <c r="D1734" s="73" t="s">
        <v>297</v>
      </c>
      <c r="E1734" s="73" t="s">
        <v>118</v>
      </c>
      <c r="F1734" s="73" t="s">
        <v>55</v>
      </c>
      <c r="G1734" s="73" t="s">
        <v>32</v>
      </c>
      <c r="H1734" s="74" t="s">
        <v>2017</v>
      </c>
      <c r="I1734" s="74">
        <v>200</v>
      </c>
      <c r="J1734" s="75">
        <v>0</v>
      </c>
      <c r="K1734" s="75"/>
    </row>
    <row r="1735" s="1" customFormat="1" ht="14.25" spans="1:11">
      <c r="A1735" s="71">
        <v>11</v>
      </c>
      <c r="B1735" s="72">
        <v>30</v>
      </c>
      <c r="C1735" s="72">
        <v>11</v>
      </c>
      <c r="D1735" s="73" t="s">
        <v>2018</v>
      </c>
      <c r="E1735" s="73" t="s">
        <v>118</v>
      </c>
      <c r="F1735" s="73" t="s">
        <v>151</v>
      </c>
      <c r="G1735" s="73" t="s">
        <v>32</v>
      </c>
      <c r="H1735" s="74" t="s">
        <v>2017</v>
      </c>
      <c r="I1735" s="74">
        <v>400</v>
      </c>
      <c r="J1735" s="75">
        <v>0</v>
      </c>
      <c r="K1735" s="75"/>
    </row>
    <row r="1736" s="1" customFormat="1" ht="14.25" spans="1:11">
      <c r="A1736" s="71">
        <v>11</v>
      </c>
      <c r="B1736" s="72">
        <v>30</v>
      </c>
      <c r="C1736" s="72">
        <v>11</v>
      </c>
      <c r="D1736" s="73" t="s">
        <v>2019</v>
      </c>
      <c r="E1736" s="73" t="s">
        <v>48</v>
      </c>
      <c r="F1736" s="73" t="s">
        <v>1565</v>
      </c>
      <c r="G1736" s="73" t="s">
        <v>32</v>
      </c>
      <c r="H1736" s="74" t="s">
        <v>2017</v>
      </c>
      <c r="I1736" s="74">
        <v>370</v>
      </c>
      <c r="J1736" s="75">
        <v>0</v>
      </c>
      <c r="K1736" s="75"/>
    </row>
    <row r="1737" s="1" customFormat="1" ht="14.25" spans="1:11">
      <c r="A1737" s="71">
        <v>11</v>
      </c>
      <c r="B1737" s="72">
        <v>30</v>
      </c>
      <c r="C1737" s="72">
        <v>11</v>
      </c>
      <c r="D1737" s="73" t="s">
        <v>2020</v>
      </c>
      <c r="E1737" s="73" t="s">
        <v>85</v>
      </c>
      <c r="F1737" s="73" t="s">
        <v>989</v>
      </c>
      <c r="G1737" s="73" t="s">
        <v>32</v>
      </c>
      <c r="H1737" s="74" t="s">
        <v>2021</v>
      </c>
      <c r="I1737" s="74">
        <v>550</v>
      </c>
      <c r="J1737" s="75">
        <v>0</v>
      </c>
      <c r="K1737" s="75"/>
    </row>
    <row r="1738" s="1" customFormat="1" ht="14.25" spans="1:11">
      <c r="A1738" s="71">
        <v>11</v>
      </c>
      <c r="B1738" s="72">
        <v>30</v>
      </c>
      <c r="C1738" s="72">
        <v>11</v>
      </c>
      <c r="D1738" s="73" t="s">
        <v>2022</v>
      </c>
      <c r="E1738" s="73" t="s">
        <v>118</v>
      </c>
      <c r="F1738" s="73" t="s">
        <v>55</v>
      </c>
      <c r="G1738" s="73" t="s">
        <v>32</v>
      </c>
      <c r="H1738" s="74" t="s">
        <v>2021</v>
      </c>
      <c r="I1738" s="74">
        <v>134</v>
      </c>
      <c r="J1738" s="75">
        <v>0</v>
      </c>
      <c r="K1738" s="75"/>
    </row>
    <row r="1739" s="1" customFormat="1" ht="14.25" spans="1:11">
      <c r="A1739" s="71">
        <v>11</v>
      </c>
      <c r="B1739" s="72">
        <v>30</v>
      </c>
      <c r="C1739" s="72">
        <v>11</v>
      </c>
      <c r="D1739" s="73" t="s">
        <v>2023</v>
      </c>
      <c r="E1739" s="73" t="s">
        <v>118</v>
      </c>
      <c r="F1739" s="73" t="s">
        <v>55</v>
      </c>
      <c r="G1739" s="73" t="s">
        <v>32</v>
      </c>
      <c r="H1739" s="74" t="s">
        <v>2021</v>
      </c>
      <c r="I1739" s="74">
        <v>80</v>
      </c>
      <c r="J1739" s="75">
        <v>0</v>
      </c>
      <c r="K1739" s="75"/>
    </row>
    <row r="1740" s="1" customFormat="1" ht="14.25" spans="1:11">
      <c r="A1740" s="71">
        <v>11</v>
      </c>
      <c r="B1740" s="72">
        <v>30</v>
      </c>
      <c r="C1740" s="72">
        <v>11</v>
      </c>
      <c r="D1740" s="73" t="s">
        <v>2024</v>
      </c>
      <c r="E1740" s="73" t="s">
        <v>118</v>
      </c>
      <c r="F1740" s="73" t="s">
        <v>55</v>
      </c>
      <c r="G1740" s="73" t="s">
        <v>32</v>
      </c>
      <c r="H1740" s="74" t="s">
        <v>2021</v>
      </c>
      <c r="I1740" s="74">
        <v>560</v>
      </c>
      <c r="J1740" s="75">
        <v>0</v>
      </c>
      <c r="K1740" s="75"/>
    </row>
    <row r="1741" s="1" customFormat="1" ht="14.25" spans="1:11">
      <c r="A1741" s="71">
        <v>11</v>
      </c>
      <c r="B1741" s="72">
        <v>30</v>
      </c>
      <c r="C1741" s="72">
        <v>11</v>
      </c>
      <c r="D1741" s="73" t="s">
        <v>2025</v>
      </c>
      <c r="E1741" s="73" t="s">
        <v>118</v>
      </c>
      <c r="F1741" s="73" t="s">
        <v>55</v>
      </c>
      <c r="G1741" s="73" t="s">
        <v>32</v>
      </c>
      <c r="H1741" s="74" t="s">
        <v>2021</v>
      </c>
      <c r="I1741" s="74">
        <v>1066</v>
      </c>
      <c r="J1741" s="75">
        <v>0</v>
      </c>
      <c r="K1741" s="75"/>
    </row>
    <row r="1742" s="1" customFormat="1" ht="14.25" spans="1:11">
      <c r="A1742" s="71">
        <v>11</v>
      </c>
      <c r="B1742" s="72">
        <v>30</v>
      </c>
      <c r="C1742" s="72">
        <v>12</v>
      </c>
      <c r="D1742" s="73" t="s">
        <v>2026</v>
      </c>
      <c r="E1742" s="73" t="s">
        <v>48</v>
      </c>
      <c r="F1742" s="73" t="s">
        <v>55</v>
      </c>
      <c r="G1742" s="73" t="s">
        <v>32</v>
      </c>
      <c r="H1742" s="74" t="s">
        <v>2027</v>
      </c>
      <c r="I1742" s="74">
        <v>64</v>
      </c>
      <c r="J1742" s="75">
        <v>0</v>
      </c>
      <c r="K1742" s="75"/>
    </row>
    <row r="1743" s="1" customFormat="1" ht="14.25" spans="1:11">
      <c r="A1743" s="71">
        <v>11</v>
      </c>
      <c r="B1743" s="72">
        <v>30</v>
      </c>
      <c r="C1743" s="72">
        <v>12</v>
      </c>
      <c r="D1743" s="73" t="s">
        <v>2028</v>
      </c>
      <c r="E1743" s="73" t="s">
        <v>118</v>
      </c>
      <c r="F1743" s="73" t="s">
        <v>55</v>
      </c>
      <c r="G1743" s="73" t="s">
        <v>32</v>
      </c>
      <c r="H1743" s="74" t="s">
        <v>2027</v>
      </c>
      <c r="I1743" s="74">
        <v>1009.48</v>
      </c>
      <c r="J1743" s="75">
        <v>0</v>
      </c>
      <c r="K1743" s="75"/>
    </row>
    <row r="1744" s="1" customFormat="1" ht="14.25" spans="1:11">
      <c r="A1744" s="71">
        <v>11</v>
      </c>
      <c r="B1744" s="72">
        <v>30</v>
      </c>
      <c r="C1744" s="72">
        <v>12</v>
      </c>
      <c r="D1744" s="73" t="s">
        <v>2029</v>
      </c>
      <c r="E1744" s="73" t="s">
        <v>118</v>
      </c>
      <c r="F1744" s="73" t="s">
        <v>55</v>
      </c>
      <c r="G1744" s="73" t="s">
        <v>32</v>
      </c>
      <c r="H1744" s="74" t="s">
        <v>2027</v>
      </c>
      <c r="I1744" s="74">
        <v>100</v>
      </c>
      <c r="J1744" s="75">
        <v>0</v>
      </c>
      <c r="K1744" s="75"/>
    </row>
    <row r="1745" s="1" customFormat="1" ht="14.25" spans="1:11">
      <c r="A1745" s="71">
        <v>11</v>
      </c>
      <c r="B1745" s="72">
        <v>30</v>
      </c>
      <c r="C1745" s="72">
        <v>12</v>
      </c>
      <c r="D1745" s="73" t="s">
        <v>2030</v>
      </c>
      <c r="E1745" s="73" t="s">
        <v>118</v>
      </c>
      <c r="F1745" s="73" t="s">
        <v>55</v>
      </c>
      <c r="G1745" s="73" t="s">
        <v>32</v>
      </c>
      <c r="H1745" s="74" t="s">
        <v>2027</v>
      </c>
      <c r="I1745" s="74">
        <v>27</v>
      </c>
      <c r="J1745" s="75">
        <v>0</v>
      </c>
      <c r="K1745" s="75"/>
    </row>
    <row r="1746" s="1" customFormat="1" ht="14.25" spans="1:11">
      <c r="A1746" s="71">
        <v>11</v>
      </c>
      <c r="B1746" s="72">
        <v>30</v>
      </c>
      <c r="C1746" s="72">
        <v>12</v>
      </c>
      <c r="D1746" s="73" t="s">
        <v>2031</v>
      </c>
      <c r="E1746" s="73" t="s">
        <v>118</v>
      </c>
      <c r="F1746" s="73" t="s">
        <v>55</v>
      </c>
      <c r="G1746" s="73" t="s">
        <v>32</v>
      </c>
      <c r="H1746" s="74" t="s">
        <v>2027</v>
      </c>
      <c r="I1746" s="74">
        <v>7420</v>
      </c>
      <c r="J1746" s="75">
        <v>0</v>
      </c>
      <c r="K1746" s="75"/>
    </row>
    <row r="1747" s="1" customFormat="1" ht="14.25" spans="1:11">
      <c r="A1747" s="71">
        <v>11</v>
      </c>
      <c r="B1747" s="72">
        <v>30</v>
      </c>
      <c r="C1747" s="72">
        <v>12</v>
      </c>
      <c r="D1747" s="73" t="s">
        <v>2032</v>
      </c>
      <c r="E1747" s="73" t="s">
        <v>118</v>
      </c>
      <c r="F1747" s="73" t="s">
        <v>55</v>
      </c>
      <c r="G1747" s="73" t="s">
        <v>32</v>
      </c>
      <c r="H1747" s="74" t="s">
        <v>2033</v>
      </c>
      <c r="I1747" s="74">
        <v>480</v>
      </c>
      <c r="J1747" s="75">
        <v>0</v>
      </c>
      <c r="K1747" s="75"/>
    </row>
    <row r="1748" s="1" customFormat="1" ht="14.25" spans="1:11">
      <c r="A1748" s="71">
        <v>11</v>
      </c>
      <c r="B1748" s="72">
        <v>30</v>
      </c>
      <c r="C1748" s="72">
        <v>12</v>
      </c>
      <c r="D1748" s="73" t="s">
        <v>275</v>
      </c>
      <c r="E1748" s="73" t="s">
        <v>48</v>
      </c>
      <c r="F1748" s="73" t="s">
        <v>1565</v>
      </c>
      <c r="G1748" s="73" t="s">
        <v>32</v>
      </c>
      <c r="H1748" s="74" t="s">
        <v>2033</v>
      </c>
      <c r="I1748" s="74">
        <v>125</v>
      </c>
      <c r="J1748" s="75">
        <v>0</v>
      </c>
      <c r="K1748" s="75"/>
    </row>
    <row r="1749" s="1" customFormat="1" ht="14.25" spans="1:11">
      <c r="A1749" s="71">
        <v>11</v>
      </c>
      <c r="B1749" s="72">
        <v>30</v>
      </c>
      <c r="C1749" s="72">
        <v>12</v>
      </c>
      <c r="D1749" s="73" t="s">
        <v>551</v>
      </c>
      <c r="E1749" s="73" t="s">
        <v>118</v>
      </c>
      <c r="F1749" s="73" t="s">
        <v>55</v>
      </c>
      <c r="G1749" s="73" t="s">
        <v>32</v>
      </c>
      <c r="H1749" s="74" t="s">
        <v>2033</v>
      </c>
      <c r="I1749" s="74">
        <v>80</v>
      </c>
      <c r="J1749" s="75">
        <v>0</v>
      </c>
      <c r="K1749" s="75"/>
    </row>
    <row r="1750" s="1" customFormat="1" ht="14.25" spans="1:11">
      <c r="A1750" s="71">
        <v>11</v>
      </c>
      <c r="B1750" s="72">
        <v>30</v>
      </c>
      <c r="C1750" s="72">
        <v>12</v>
      </c>
      <c r="D1750" s="73" t="s">
        <v>2034</v>
      </c>
      <c r="E1750" s="73" t="s">
        <v>172</v>
      </c>
      <c r="F1750" s="73" t="s">
        <v>681</v>
      </c>
      <c r="G1750" s="73" t="s">
        <v>32</v>
      </c>
      <c r="H1750" s="74" t="s">
        <v>2033</v>
      </c>
      <c r="I1750" s="74">
        <v>480</v>
      </c>
      <c r="J1750" s="75">
        <v>0</v>
      </c>
      <c r="K1750" s="75"/>
    </row>
    <row r="1751" s="1" customFormat="1" ht="14.25" spans="1:11">
      <c r="A1751" s="71">
        <v>11</v>
      </c>
      <c r="B1751" s="72">
        <v>30</v>
      </c>
      <c r="C1751" s="72">
        <v>12</v>
      </c>
      <c r="D1751" s="73" t="s">
        <v>2035</v>
      </c>
      <c r="E1751" s="73" t="s">
        <v>48</v>
      </c>
      <c r="F1751" s="73" t="s">
        <v>55</v>
      </c>
      <c r="G1751" s="73" t="s">
        <v>32</v>
      </c>
      <c r="H1751" s="74" t="s">
        <v>2033</v>
      </c>
      <c r="I1751" s="74">
        <v>1600</v>
      </c>
      <c r="J1751" s="75">
        <v>0</v>
      </c>
      <c r="K1751" s="75"/>
    </row>
    <row r="1752" s="1" customFormat="1" ht="14.25" spans="1:11">
      <c r="A1752" s="71">
        <v>11</v>
      </c>
      <c r="B1752" s="72">
        <v>30</v>
      </c>
      <c r="C1752" s="72">
        <v>13</v>
      </c>
      <c r="D1752" s="73" t="s">
        <v>2036</v>
      </c>
      <c r="E1752" s="73" t="s">
        <v>118</v>
      </c>
      <c r="F1752" s="73" t="s">
        <v>55</v>
      </c>
      <c r="G1752" s="73" t="s">
        <v>32</v>
      </c>
      <c r="H1752" s="74" t="s">
        <v>2037</v>
      </c>
      <c r="I1752" s="74">
        <v>680</v>
      </c>
      <c r="J1752" s="75">
        <v>0</v>
      </c>
      <c r="K1752" s="75"/>
    </row>
    <row r="1753" s="1" customFormat="1" ht="14.25" spans="1:11">
      <c r="A1753" s="71">
        <v>11</v>
      </c>
      <c r="B1753" s="72">
        <v>30</v>
      </c>
      <c r="C1753" s="72">
        <v>13</v>
      </c>
      <c r="D1753" s="73" t="s">
        <v>275</v>
      </c>
      <c r="E1753" s="73" t="s">
        <v>48</v>
      </c>
      <c r="F1753" s="73" t="s">
        <v>1565</v>
      </c>
      <c r="G1753" s="73" t="s">
        <v>32</v>
      </c>
      <c r="H1753" s="74" t="s">
        <v>2037</v>
      </c>
      <c r="I1753" s="74">
        <v>263.25</v>
      </c>
      <c r="J1753" s="75">
        <v>0</v>
      </c>
      <c r="K1753" s="75"/>
    </row>
    <row r="1754" s="1" customFormat="1" ht="14.25" spans="1:11">
      <c r="A1754" s="71">
        <v>11</v>
      </c>
      <c r="B1754" s="72">
        <v>30</v>
      </c>
      <c r="C1754" s="72">
        <v>13</v>
      </c>
      <c r="D1754" s="73" t="s">
        <v>1706</v>
      </c>
      <c r="E1754" s="73" t="s">
        <v>172</v>
      </c>
      <c r="F1754" s="74" t="s">
        <v>681</v>
      </c>
      <c r="G1754" s="73" t="s">
        <v>32</v>
      </c>
      <c r="H1754" s="74" t="s">
        <v>2037</v>
      </c>
      <c r="I1754" s="74">
        <v>760</v>
      </c>
      <c r="J1754" s="75">
        <v>0</v>
      </c>
      <c r="K1754" s="75"/>
    </row>
    <row r="1755" s="1" customFormat="1" ht="14.25" spans="1:11">
      <c r="A1755" s="71">
        <v>11</v>
      </c>
      <c r="B1755" s="72">
        <v>30</v>
      </c>
      <c r="C1755" s="72">
        <v>13</v>
      </c>
      <c r="D1755" s="73" t="s">
        <v>2038</v>
      </c>
      <c r="E1755" s="73" t="s">
        <v>48</v>
      </c>
      <c r="F1755" s="73" t="s">
        <v>1565</v>
      </c>
      <c r="G1755" s="73" t="s">
        <v>32</v>
      </c>
      <c r="H1755" s="74" t="s">
        <v>2037</v>
      </c>
      <c r="I1755" s="74">
        <v>10</v>
      </c>
      <c r="J1755" s="75">
        <v>0</v>
      </c>
      <c r="K1755" s="75"/>
    </row>
    <row r="1756" s="1" customFormat="1" ht="14.25" spans="1:11">
      <c r="A1756" s="71">
        <v>11</v>
      </c>
      <c r="B1756" s="72">
        <v>30</v>
      </c>
      <c r="C1756" s="72">
        <v>13</v>
      </c>
      <c r="D1756" s="73" t="s">
        <v>2039</v>
      </c>
      <c r="E1756" s="73" t="s">
        <v>118</v>
      </c>
      <c r="F1756" s="73" t="s">
        <v>55</v>
      </c>
      <c r="G1756" s="73" t="s">
        <v>32</v>
      </c>
      <c r="H1756" s="74" t="s">
        <v>2037</v>
      </c>
      <c r="I1756" s="74">
        <v>396.37</v>
      </c>
      <c r="J1756" s="75">
        <v>0</v>
      </c>
      <c r="K1756" s="75"/>
    </row>
    <row r="1757" s="1" customFormat="1" ht="14.25" spans="1:11">
      <c r="A1757" s="71">
        <v>11</v>
      </c>
      <c r="B1757" s="72">
        <v>30</v>
      </c>
      <c r="C1757" s="72">
        <v>13</v>
      </c>
      <c r="D1757" s="73" t="s">
        <v>275</v>
      </c>
      <c r="E1757" s="73" t="s">
        <v>48</v>
      </c>
      <c r="F1757" s="73" t="s">
        <v>1565</v>
      </c>
      <c r="G1757" s="73" t="s">
        <v>32</v>
      </c>
      <c r="H1757" s="74" t="s">
        <v>2040</v>
      </c>
      <c r="I1757" s="74">
        <v>80</v>
      </c>
      <c r="J1757" s="75">
        <v>0</v>
      </c>
      <c r="K1757" s="75"/>
    </row>
    <row r="1758" s="1" customFormat="1" ht="14.25" spans="1:11">
      <c r="A1758" s="71">
        <v>11</v>
      </c>
      <c r="B1758" s="72">
        <v>30</v>
      </c>
      <c r="C1758" s="72">
        <v>13</v>
      </c>
      <c r="D1758" s="73" t="s">
        <v>2041</v>
      </c>
      <c r="E1758" s="73" t="s">
        <v>118</v>
      </c>
      <c r="F1758" s="73" t="s">
        <v>55</v>
      </c>
      <c r="G1758" s="73" t="s">
        <v>32</v>
      </c>
      <c r="H1758" s="74" t="s">
        <v>2040</v>
      </c>
      <c r="I1758" s="74">
        <v>45</v>
      </c>
      <c r="J1758" s="75">
        <v>0</v>
      </c>
      <c r="K1758" s="75"/>
    </row>
    <row r="1759" s="1" customFormat="1" ht="14.25" spans="1:11">
      <c r="A1759" s="71">
        <v>11</v>
      </c>
      <c r="B1759" s="72">
        <v>30</v>
      </c>
      <c r="C1759" s="72">
        <v>13</v>
      </c>
      <c r="D1759" s="73" t="s">
        <v>2042</v>
      </c>
      <c r="E1759" s="73" t="s">
        <v>172</v>
      </c>
      <c r="F1759" s="73" t="s">
        <v>681</v>
      </c>
      <c r="G1759" s="73" t="s">
        <v>32</v>
      </c>
      <c r="H1759" s="74" t="s">
        <v>2040</v>
      </c>
      <c r="I1759" s="74">
        <v>110.48</v>
      </c>
      <c r="J1759" s="75">
        <v>0</v>
      </c>
      <c r="K1759" s="75"/>
    </row>
    <row r="1760" s="1" customFormat="1" ht="14.25" spans="1:11">
      <c r="A1760" s="71">
        <v>11</v>
      </c>
      <c r="B1760" s="72">
        <v>30</v>
      </c>
      <c r="C1760" s="72">
        <v>13</v>
      </c>
      <c r="D1760" s="73" t="s">
        <v>1705</v>
      </c>
      <c r="E1760" s="73" t="s">
        <v>118</v>
      </c>
      <c r="F1760" s="73" t="s">
        <v>55</v>
      </c>
      <c r="G1760" s="73" t="s">
        <v>32</v>
      </c>
      <c r="H1760" s="74" t="s">
        <v>2040</v>
      </c>
      <c r="I1760" s="74">
        <v>10320</v>
      </c>
      <c r="J1760" s="75">
        <v>0</v>
      </c>
      <c r="K1760" s="75"/>
    </row>
    <row r="1761" s="1" customFormat="1" ht="14.25" spans="1:11">
      <c r="A1761" s="71">
        <v>11</v>
      </c>
      <c r="B1761" s="72">
        <v>30</v>
      </c>
      <c r="C1761" s="72">
        <v>13</v>
      </c>
      <c r="D1761" s="73" t="s">
        <v>2043</v>
      </c>
      <c r="E1761" s="73" t="s">
        <v>48</v>
      </c>
      <c r="F1761" s="73" t="s">
        <v>55</v>
      </c>
      <c r="G1761" s="73" t="s">
        <v>32</v>
      </c>
      <c r="H1761" s="74" t="s">
        <v>2040</v>
      </c>
      <c r="I1761" s="74">
        <v>60</v>
      </c>
      <c r="J1761" s="75">
        <v>0</v>
      </c>
      <c r="K1761" s="75"/>
    </row>
    <row r="1762" s="1" customFormat="1" ht="14.25" spans="1:11">
      <c r="A1762" s="71">
        <v>11</v>
      </c>
      <c r="B1762" s="72">
        <v>30</v>
      </c>
      <c r="C1762" s="72">
        <v>14</v>
      </c>
      <c r="D1762" s="73" t="s">
        <v>2044</v>
      </c>
      <c r="E1762" s="73" t="s">
        <v>48</v>
      </c>
      <c r="F1762" s="73" t="s">
        <v>55</v>
      </c>
      <c r="G1762" s="73" t="s">
        <v>32</v>
      </c>
      <c r="H1762" s="74" t="s">
        <v>2045</v>
      </c>
      <c r="I1762" s="74">
        <v>1071</v>
      </c>
      <c r="J1762" s="75">
        <v>0</v>
      </c>
      <c r="K1762" s="75"/>
    </row>
    <row r="1763" s="1" customFormat="1" ht="14.25" spans="1:11">
      <c r="A1763" s="71">
        <v>11</v>
      </c>
      <c r="B1763" s="72">
        <v>30</v>
      </c>
      <c r="C1763" s="72">
        <v>14</v>
      </c>
      <c r="D1763" s="73" t="s">
        <v>2046</v>
      </c>
      <c r="E1763" s="73" t="s">
        <v>118</v>
      </c>
      <c r="F1763" s="74" t="s">
        <v>55</v>
      </c>
      <c r="G1763" s="73" t="s">
        <v>32</v>
      </c>
      <c r="H1763" s="74" t="s">
        <v>2045</v>
      </c>
      <c r="I1763" s="74">
        <v>4930</v>
      </c>
      <c r="J1763" s="75">
        <v>0</v>
      </c>
      <c r="K1763" s="75"/>
    </row>
    <row r="1764" s="1" customFormat="1" ht="14.25" spans="1:11">
      <c r="A1764" s="71">
        <v>11</v>
      </c>
      <c r="B1764" s="72">
        <v>30</v>
      </c>
      <c r="C1764" s="72">
        <v>14</v>
      </c>
      <c r="D1764" s="73" t="s">
        <v>2047</v>
      </c>
      <c r="E1764" s="73" t="s">
        <v>118</v>
      </c>
      <c r="F1764" s="73" t="s">
        <v>55</v>
      </c>
      <c r="G1764" s="73" t="s">
        <v>32</v>
      </c>
      <c r="H1764" s="74" t="s">
        <v>2045</v>
      </c>
      <c r="I1764" s="74">
        <v>165</v>
      </c>
      <c r="J1764" s="75">
        <v>0</v>
      </c>
      <c r="K1764" s="75"/>
    </row>
    <row r="1765" s="1" customFormat="1" ht="14.25" spans="1:11">
      <c r="A1765" s="71">
        <v>11</v>
      </c>
      <c r="B1765" s="72">
        <v>30</v>
      </c>
      <c r="C1765" s="72">
        <v>14</v>
      </c>
      <c r="D1765" s="73" t="s">
        <v>2048</v>
      </c>
      <c r="E1765" s="73" t="s">
        <v>48</v>
      </c>
      <c r="F1765" s="73" t="s">
        <v>55</v>
      </c>
      <c r="G1765" s="73" t="s">
        <v>32</v>
      </c>
      <c r="H1765" s="74" t="s">
        <v>2045</v>
      </c>
      <c r="I1765" s="74">
        <v>100</v>
      </c>
      <c r="J1765" s="75">
        <v>0</v>
      </c>
      <c r="K1765" s="75"/>
    </row>
    <row r="1766" s="1" customFormat="1" ht="14.25" spans="1:11">
      <c r="A1766" s="71">
        <v>11</v>
      </c>
      <c r="B1766" s="72">
        <v>30</v>
      </c>
      <c r="C1766" s="72">
        <v>14</v>
      </c>
      <c r="D1766" s="73" t="s">
        <v>2049</v>
      </c>
      <c r="E1766" s="73" t="s">
        <v>118</v>
      </c>
      <c r="F1766" s="73" t="s">
        <v>55</v>
      </c>
      <c r="G1766" s="73" t="s">
        <v>32</v>
      </c>
      <c r="H1766" s="74" t="s">
        <v>2045</v>
      </c>
      <c r="I1766" s="74">
        <v>473</v>
      </c>
      <c r="J1766" s="75">
        <v>0</v>
      </c>
      <c r="K1766" s="75"/>
    </row>
    <row r="1767" s="1" customFormat="1" ht="14.25" spans="1:11">
      <c r="A1767" s="71">
        <v>11</v>
      </c>
      <c r="B1767" s="72">
        <v>30</v>
      </c>
      <c r="C1767" s="72">
        <v>14</v>
      </c>
      <c r="D1767" s="73" t="s">
        <v>2050</v>
      </c>
      <c r="E1767" s="73" t="s">
        <v>48</v>
      </c>
      <c r="F1767" s="73" t="s">
        <v>1565</v>
      </c>
      <c r="G1767" s="73" t="s">
        <v>32</v>
      </c>
      <c r="H1767" s="74" t="s">
        <v>2051</v>
      </c>
      <c r="I1767" s="74">
        <v>49.71</v>
      </c>
      <c r="J1767" s="75">
        <v>0</v>
      </c>
      <c r="K1767" s="75"/>
    </row>
    <row r="1768" s="1" customFormat="1" ht="14.25" spans="1:11">
      <c r="A1768" s="71">
        <v>11</v>
      </c>
      <c r="B1768" s="72">
        <v>30</v>
      </c>
      <c r="C1768" s="72">
        <v>14</v>
      </c>
      <c r="D1768" s="73" t="s">
        <v>2052</v>
      </c>
      <c r="E1768" s="73" t="s">
        <v>85</v>
      </c>
      <c r="F1768" s="73" t="s">
        <v>989</v>
      </c>
      <c r="G1768" s="73" t="s">
        <v>32</v>
      </c>
      <c r="H1768" s="74" t="s">
        <v>2051</v>
      </c>
      <c r="I1768" s="74">
        <v>380</v>
      </c>
      <c r="J1768" s="75">
        <v>0</v>
      </c>
      <c r="K1768" s="75"/>
    </row>
    <row r="1769" s="1" customFormat="1" ht="14.25" spans="1:11">
      <c r="A1769" s="71">
        <v>11</v>
      </c>
      <c r="B1769" s="72">
        <v>30</v>
      </c>
      <c r="C1769" s="72">
        <v>14</v>
      </c>
      <c r="D1769" s="73" t="s">
        <v>2053</v>
      </c>
      <c r="E1769" s="73" t="s">
        <v>2054</v>
      </c>
      <c r="F1769" s="73" t="s">
        <v>97</v>
      </c>
      <c r="G1769" s="73" t="s">
        <v>32</v>
      </c>
      <c r="H1769" s="74" t="s">
        <v>2051</v>
      </c>
      <c r="I1769" s="74">
        <v>49</v>
      </c>
      <c r="J1769" s="75">
        <v>0</v>
      </c>
      <c r="K1769" s="75"/>
    </row>
    <row r="1770" s="1" customFormat="1" ht="14.25" spans="1:11">
      <c r="A1770" s="71">
        <v>11</v>
      </c>
      <c r="B1770" s="72">
        <v>30</v>
      </c>
      <c r="C1770" s="72">
        <v>14</v>
      </c>
      <c r="D1770" s="73" t="s">
        <v>2055</v>
      </c>
      <c r="E1770" s="73" t="s">
        <v>118</v>
      </c>
      <c r="F1770" s="73" t="s">
        <v>55</v>
      </c>
      <c r="G1770" s="73" t="s">
        <v>32</v>
      </c>
      <c r="H1770" s="74" t="s">
        <v>2051</v>
      </c>
      <c r="I1770" s="74">
        <v>588</v>
      </c>
      <c r="J1770" s="75">
        <v>0</v>
      </c>
      <c r="K1770" s="75"/>
    </row>
    <row r="1771" s="1" customFormat="1" ht="14.25" spans="1:11">
      <c r="A1771" s="71">
        <v>11</v>
      </c>
      <c r="B1771" s="72">
        <v>30</v>
      </c>
      <c r="C1771" s="72">
        <v>14</v>
      </c>
      <c r="D1771" s="73" t="s">
        <v>2056</v>
      </c>
      <c r="E1771" s="73" t="s">
        <v>118</v>
      </c>
      <c r="F1771" s="74" t="s">
        <v>55</v>
      </c>
      <c r="G1771" s="73" t="s">
        <v>32</v>
      </c>
      <c r="H1771" s="74" t="s">
        <v>2051</v>
      </c>
      <c r="I1771" s="74">
        <v>91</v>
      </c>
      <c r="J1771" s="75">
        <v>0</v>
      </c>
      <c r="K1771" s="75"/>
    </row>
    <row r="1772" s="1" customFormat="1" ht="14.25" spans="1:11">
      <c r="A1772" s="71">
        <v>11</v>
      </c>
      <c r="B1772" s="72">
        <v>30</v>
      </c>
      <c r="C1772" s="72">
        <v>15</v>
      </c>
      <c r="D1772" s="73" t="s">
        <v>2057</v>
      </c>
      <c r="E1772" s="73" t="s">
        <v>48</v>
      </c>
      <c r="F1772" s="73" t="s">
        <v>55</v>
      </c>
      <c r="G1772" s="73" t="s">
        <v>32</v>
      </c>
      <c r="H1772" s="74" t="s">
        <v>2058</v>
      </c>
      <c r="I1772" s="74">
        <v>25</v>
      </c>
      <c r="J1772" s="75">
        <v>0</v>
      </c>
      <c r="K1772" s="75"/>
    </row>
    <row r="1773" s="1" customFormat="1" ht="14.25" spans="1:11">
      <c r="A1773" s="71">
        <v>11</v>
      </c>
      <c r="B1773" s="72">
        <v>30</v>
      </c>
      <c r="C1773" s="72">
        <v>15</v>
      </c>
      <c r="D1773" s="73" t="s">
        <v>275</v>
      </c>
      <c r="E1773" s="73" t="s">
        <v>48</v>
      </c>
      <c r="F1773" s="73" t="s">
        <v>1565</v>
      </c>
      <c r="G1773" s="73" t="s">
        <v>32</v>
      </c>
      <c r="H1773" s="74" t="s">
        <v>2058</v>
      </c>
      <c r="I1773" s="74">
        <v>177.64</v>
      </c>
      <c r="J1773" s="75">
        <v>0</v>
      </c>
      <c r="K1773" s="75"/>
    </row>
    <row r="1774" s="1" customFormat="1" ht="14.25" spans="1:11">
      <c r="A1774" s="71">
        <v>11</v>
      </c>
      <c r="B1774" s="72">
        <v>30</v>
      </c>
      <c r="C1774" s="72">
        <v>15</v>
      </c>
      <c r="D1774" s="73" t="s">
        <v>2059</v>
      </c>
      <c r="E1774" s="73" t="s">
        <v>48</v>
      </c>
      <c r="F1774" s="73" t="s">
        <v>55</v>
      </c>
      <c r="G1774" s="73" t="s">
        <v>32</v>
      </c>
      <c r="H1774" s="74" t="s">
        <v>2058</v>
      </c>
      <c r="I1774" s="74">
        <v>200</v>
      </c>
      <c r="J1774" s="75">
        <v>0</v>
      </c>
      <c r="K1774" s="75"/>
    </row>
    <row r="1775" s="1" customFormat="1" ht="14.25" spans="1:11">
      <c r="A1775" s="71">
        <v>11</v>
      </c>
      <c r="B1775" s="72">
        <v>30</v>
      </c>
      <c r="C1775" s="72">
        <v>15</v>
      </c>
      <c r="D1775" s="73" t="s">
        <v>2060</v>
      </c>
      <c r="E1775" s="73" t="s">
        <v>118</v>
      </c>
      <c r="F1775" s="73" t="s">
        <v>55</v>
      </c>
      <c r="G1775" s="73" t="s">
        <v>32</v>
      </c>
      <c r="H1775" s="74" t="s">
        <v>2058</v>
      </c>
      <c r="I1775" s="74">
        <v>12.5</v>
      </c>
      <c r="J1775" s="75">
        <v>0</v>
      </c>
      <c r="K1775" s="75"/>
    </row>
    <row r="1776" s="1" customFormat="1" ht="14.25" spans="1:11">
      <c r="A1776" s="71">
        <v>11</v>
      </c>
      <c r="B1776" s="72">
        <v>30</v>
      </c>
      <c r="C1776" s="72">
        <v>15</v>
      </c>
      <c r="D1776" s="73" t="s">
        <v>2061</v>
      </c>
      <c r="E1776" s="73" t="s">
        <v>48</v>
      </c>
      <c r="F1776" s="73" t="s">
        <v>1565</v>
      </c>
      <c r="G1776" s="73" t="s">
        <v>32</v>
      </c>
      <c r="H1776" s="74" t="s">
        <v>2058</v>
      </c>
      <c r="I1776" s="74">
        <v>110</v>
      </c>
      <c r="J1776" s="75">
        <v>0</v>
      </c>
      <c r="K1776" s="75"/>
    </row>
    <row r="1777" s="1" customFormat="1" ht="14.25" spans="1:11">
      <c r="A1777" s="71">
        <v>11</v>
      </c>
      <c r="B1777" s="72">
        <v>30</v>
      </c>
      <c r="C1777" s="72">
        <v>15</v>
      </c>
      <c r="D1777" s="73" t="s">
        <v>275</v>
      </c>
      <c r="E1777" s="73" t="s">
        <v>48</v>
      </c>
      <c r="F1777" s="73" t="s">
        <v>1565</v>
      </c>
      <c r="G1777" s="73" t="s">
        <v>32</v>
      </c>
      <c r="H1777" s="74" t="s">
        <v>2062</v>
      </c>
      <c r="I1777" s="74">
        <v>180</v>
      </c>
      <c r="J1777" s="75">
        <v>0</v>
      </c>
      <c r="K1777" s="75"/>
    </row>
    <row r="1778" s="1" customFormat="1" ht="14.25" spans="1:11">
      <c r="A1778" s="71">
        <v>11</v>
      </c>
      <c r="B1778" s="72">
        <v>30</v>
      </c>
      <c r="C1778" s="72">
        <v>15</v>
      </c>
      <c r="D1778" s="73" t="s">
        <v>2063</v>
      </c>
      <c r="E1778" s="73" t="s">
        <v>118</v>
      </c>
      <c r="F1778" s="73" t="s">
        <v>55</v>
      </c>
      <c r="G1778" s="73" t="s">
        <v>32</v>
      </c>
      <c r="H1778" s="74" t="s">
        <v>2062</v>
      </c>
      <c r="I1778" s="74">
        <v>220</v>
      </c>
      <c r="J1778" s="75">
        <v>0</v>
      </c>
      <c r="K1778" s="75"/>
    </row>
    <row r="1779" s="1" customFormat="1" ht="14.25" spans="1:11">
      <c r="A1779" s="71">
        <v>11</v>
      </c>
      <c r="B1779" s="72">
        <v>30</v>
      </c>
      <c r="C1779" s="72">
        <v>15</v>
      </c>
      <c r="D1779" s="73" t="s">
        <v>2064</v>
      </c>
      <c r="E1779" s="73" t="s">
        <v>48</v>
      </c>
      <c r="F1779" s="73" t="s">
        <v>55</v>
      </c>
      <c r="G1779" s="73" t="s">
        <v>32</v>
      </c>
      <c r="H1779" s="74" t="s">
        <v>2062</v>
      </c>
      <c r="I1779" s="74">
        <v>50</v>
      </c>
      <c r="J1779" s="75">
        <v>0</v>
      </c>
      <c r="K1779" s="75"/>
    </row>
    <row r="1780" s="1" customFormat="1" ht="14.25" spans="1:11">
      <c r="A1780" s="71">
        <v>11</v>
      </c>
      <c r="B1780" s="72">
        <v>30</v>
      </c>
      <c r="C1780" s="72">
        <v>15</v>
      </c>
      <c r="D1780" s="73" t="s">
        <v>2065</v>
      </c>
      <c r="E1780" s="73" t="s">
        <v>96</v>
      </c>
      <c r="F1780" s="74" t="s">
        <v>345</v>
      </c>
      <c r="G1780" s="73" t="s">
        <v>32</v>
      </c>
      <c r="H1780" s="74" t="s">
        <v>2062</v>
      </c>
      <c r="I1780" s="74">
        <v>105</v>
      </c>
      <c r="J1780" s="75">
        <v>0</v>
      </c>
      <c r="K1780" s="75"/>
    </row>
    <row r="1781" s="1" customFormat="1" ht="14.25" spans="1:11">
      <c r="A1781" s="71">
        <v>11</v>
      </c>
      <c r="B1781" s="72">
        <v>30</v>
      </c>
      <c r="C1781" s="72">
        <v>15</v>
      </c>
      <c r="D1781" s="73" t="s">
        <v>2066</v>
      </c>
      <c r="E1781" s="73" t="s">
        <v>118</v>
      </c>
      <c r="F1781" s="73" t="s">
        <v>55</v>
      </c>
      <c r="G1781" s="73" t="s">
        <v>32</v>
      </c>
      <c r="H1781" s="74" t="s">
        <v>2062</v>
      </c>
      <c r="I1781" s="74">
        <v>295</v>
      </c>
      <c r="J1781" s="75">
        <v>0</v>
      </c>
      <c r="K1781" s="75"/>
    </row>
    <row r="1782" s="1" customFormat="1" ht="14.25" spans="1:11">
      <c r="A1782" s="71">
        <v>11</v>
      </c>
      <c r="B1782" s="72">
        <v>30</v>
      </c>
      <c r="C1782" s="72">
        <v>16</v>
      </c>
      <c r="D1782" s="73" t="s">
        <v>2067</v>
      </c>
      <c r="E1782" s="73" t="s">
        <v>48</v>
      </c>
      <c r="F1782" s="74" t="s">
        <v>55</v>
      </c>
      <c r="G1782" s="73" t="s">
        <v>32</v>
      </c>
      <c r="H1782" s="74" t="s">
        <v>2068</v>
      </c>
      <c r="I1782" s="74">
        <v>70</v>
      </c>
      <c r="J1782" s="75">
        <v>0</v>
      </c>
      <c r="K1782" s="75"/>
    </row>
    <row r="1783" s="1" customFormat="1" ht="14.25" spans="1:11">
      <c r="A1783" s="71">
        <v>11</v>
      </c>
      <c r="B1783" s="72">
        <v>30</v>
      </c>
      <c r="C1783" s="72">
        <v>16</v>
      </c>
      <c r="D1783" s="73" t="s">
        <v>2069</v>
      </c>
      <c r="E1783" s="73" t="s">
        <v>118</v>
      </c>
      <c r="F1783" s="73" t="s">
        <v>55</v>
      </c>
      <c r="G1783" s="73" t="s">
        <v>32</v>
      </c>
      <c r="H1783" s="74" t="s">
        <v>2068</v>
      </c>
      <c r="I1783" s="74">
        <v>1650</v>
      </c>
      <c r="J1783" s="75">
        <v>0</v>
      </c>
      <c r="K1783" s="75"/>
    </row>
    <row r="1784" s="1" customFormat="1" ht="14.25" spans="1:11">
      <c r="A1784" s="71">
        <v>11</v>
      </c>
      <c r="B1784" s="72">
        <v>30</v>
      </c>
      <c r="C1784" s="72">
        <v>16</v>
      </c>
      <c r="D1784" s="73" t="s">
        <v>2070</v>
      </c>
      <c r="E1784" s="73" t="s">
        <v>48</v>
      </c>
      <c r="F1784" s="73" t="s">
        <v>55</v>
      </c>
      <c r="G1784" s="73" t="s">
        <v>32</v>
      </c>
      <c r="H1784" s="74" t="s">
        <v>2068</v>
      </c>
      <c r="I1784" s="74">
        <v>20</v>
      </c>
      <c r="J1784" s="75">
        <v>0</v>
      </c>
      <c r="K1784" s="75"/>
    </row>
    <row r="1785" s="1" customFormat="1" ht="14.25" spans="1:11">
      <c r="A1785" s="71">
        <v>11</v>
      </c>
      <c r="B1785" s="72">
        <v>30</v>
      </c>
      <c r="C1785" s="72">
        <v>16</v>
      </c>
      <c r="D1785" s="73" t="s">
        <v>2071</v>
      </c>
      <c r="E1785" s="73" t="s">
        <v>48</v>
      </c>
      <c r="F1785" s="73" t="s">
        <v>55</v>
      </c>
      <c r="G1785" s="73" t="s">
        <v>32</v>
      </c>
      <c r="H1785" s="74" t="s">
        <v>2068</v>
      </c>
      <c r="I1785" s="74">
        <v>14.65</v>
      </c>
      <c r="J1785" s="75">
        <v>0</v>
      </c>
      <c r="K1785" s="75"/>
    </row>
    <row r="1786" s="1" customFormat="1" ht="14.25" spans="1:11">
      <c r="A1786" s="71">
        <v>11</v>
      </c>
      <c r="B1786" s="72">
        <v>30</v>
      </c>
      <c r="C1786" s="72">
        <v>16</v>
      </c>
      <c r="D1786" s="73" t="s">
        <v>2072</v>
      </c>
      <c r="E1786" s="73" t="s">
        <v>172</v>
      </c>
      <c r="F1786" s="74" t="s">
        <v>681</v>
      </c>
      <c r="G1786" s="73" t="s">
        <v>32</v>
      </c>
      <c r="H1786" s="74" t="s">
        <v>2068</v>
      </c>
      <c r="I1786" s="74">
        <v>470.32</v>
      </c>
      <c r="J1786" s="75">
        <v>0</v>
      </c>
      <c r="K1786" s="75"/>
    </row>
    <row r="1787" s="1" customFormat="1" ht="14.25" spans="1:11">
      <c r="A1787" s="71">
        <v>11</v>
      </c>
      <c r="B1787" s="72">
        <v>30</v>
      </c>
      <c r="C1787" s="72">
        <v>16</v>
      </c>
      <c r="D1787" s="73" t="s">
        <v>2073</v>
      </c>
      <c r="E1787" s="73" t="s">
        <v>172</v>
      </c>
      <c r="F1787" s="74" t="s">
        <v>2074</v>
      </c>
      <c r="G1787" s="73" t="s">
        <v>32</v>
      </c>
      <c r="H1787" s="74" t="s">
        <v>2075</v>
      </c>
      <c r="I1787" s="74">
        <v>120</v>
      </c>
      <c r="J1787" s="75">
        <v>0</v>
      </c>
      <c r="K1787" s="75"/>
    </row>
    <row r="1788" s="1" customFormat="1" ht="14.25" spans="1:11">
      <c r="A1788" s="71">
        <v>11</v>
      </c>
      <c r="B1788" s="72">
        <v>30</v>
      </c>
      <c r="C1788" s="72">
        <v>16</v>
      </c>
      <c r="D1788" s="73" t="s">
        <v>2076</v>
      </c>
      <c r="E1788" s="73" t="s">
        <v>118</v>
      </c>
      <c r="F1788" s="73" t="s">
        <v>55</v>
      </c>
      <c r="G1788" s="73" t="s">
        <v>32</v>
      </c>
      <c r="H1788" s="74" t="s">
        <v>2075</v>
      </c>
      <c r="I1788" s="74">
        <v>67</v>
      </c>
      <c r="J1788" s="75">
        <v>0</v>
      </c>
      <c r="K1788" s="75"/>
    </row>
    <row r="1789" s="1" customFormat="1" ht="14.25" spans="1:11">
      <c r="A1789" s="71">
        <v>11</v>
      </c>
      <c r="B1789" s="72">
        <v>30</v>
      </c>
      <c r="C1789" s="72">
        <v>16</v>
      </c>
      <c r="D1789" s="73" t="s">
        <v>1608</v>
      </c>
      <c r="E1789" s="73" t="s">
        <v>118</v>
      </c>
      <c r="F1789" s="73" t="s">
        <v>55</v>
      </c>
      <c r="G1789" s="73" t="s">
        <v>32</v>
      </c>
      <c r="H1789" s="74" t="s">
        <v>2075</v>
      </c>
      <c r="I1789" s="74">
        <v>326</v>
      </c>
      <c r="J1789" s="75">
        <v>0</v>
      </c>
      <c r="K1789" s="75"/>
    </row>
    <row r="1790" s="1" customFormat="1" ht="14.25" spans="1:11">
      <c r="A1790" s="71">
        <v>11</v>
      </c>
      <c r="B1790" s="72">
        <v>30</v>
      </c>
      <c r="C1790" s="72">
        <v>16</v>
      </c>
      <c r="D1790" s="73" t="s">
        <v>1004</v>
      </c>
      <c r="E1790" s="73" t="s">
        <v>96</v>
      </c>
      <c r="F1790" s="73" t="s">
        <v>1561</v>
      </c>
      <c r="G1790" s="73" t="s">
        <v>32</v>
      </c>
      <c r="H1790" s="74" t="s">
        <v>2075</v>
      </c>
      <c r="I1790" s="74">
        <v>4</v>
      </c>
      <c r="J1790" s="75">
        <v>0</v>
      </c>
      <c r="K1790" s="75"/>
    </row>
    <row r="1791" s="1" customFormat="1" ht="14.25" spans="1:11">
      <c r="A1791" s="71">
        <v>11</v>
      </c>
      <c r="B1791" s="72">
        <v>30</v>
      </c>
      <c r="C1791" s="72">
        <v>16</v>
      </c>
      <c r="D1791" s="73" t="s">
        <v>2077</v>
      </c>
      <c r="E1791" s="73" t="s">
        <v>172</v>
      </c>
      <c r="F1791" s="73" t="s">
        <v>2078</v>
      </c>
      <c r="G1791" s="73" t="s">
        <v>32</v>
      </c>
      <c r="H1791" s="74" t="s">
        <v>2075</v>
      </c>
      <c r="I1791" s="74">
        <v>200</v>
      </c>
      <c r="J1791" s="75">
        <v>0</v>
      </c>
      <c r="K1791" s="75"/>
    </row>
    <row r="1792" s="1" customFormat="1" ht="14.25" spans="1:11">
      <c r="A1792" s="71">
        <v>11</v>
      </c>
      <c r="B1792" s="72">
        <v>30</v>
      </c>
      <c r="C1792" s="72">
        <v>17</v>
      </c>
      <c r="D1792" s="73" t="s">
        <v>2079</v>
      </c>
      <c r="E1792" s="73" t="s">
        <v>85</v>
      </c>
      <c r="F1792" s="74" t="s">
        <v>989</v>
      </c>
      <c r="G1792" s="73" t="s">
        <v>32</v>
      </c>
      <c r="H1792" s="74" t="s">
        <v>2080</v>
      </c>
      <c r="I1792" s="74">
        <v>380</v>
      </c>
      <c r="J1792" s="75">
        <v>0</v>
      </c>
      <c r="K1792" s="75"/>
    </row>
    <row r="1793" s="1" customFormat="1" ht="14.25" spans="1:11">
      <c r="A1793" s="71">
        <v>11</v>
      </c>
      <c r="B1793" s="72">
        <v>30</v>
      </c>
      <c r="C1793" s="72">
        <v>17</v>
      </c>
      <c r="D1793" s="73" t="s">
        <v>2081</v>
      </c>
      <c r="E1793" s="73" t="s">
        <v>118</v>
      </c>
      <c r="F1793" s="73" t="s">
        <v>55</v>
      </c>
      <c r="G1793" s="73" t="s">
        <v>32</v>
      </c>
      <c r="H1793" s="74" t="s">
        <v>2080</v>
      </c>
      <c r="I1793" s="74">
        <v>312</v>
      </c>
      <c r="J1793" s="75">
        <v>0</v>
      </c>
      <c r="K1793" s="75"/>
    </row>
    <row r="1794" s="1" customFormat="1" ht="14.25" spans="1:11">
      <c r="A1794" s="71">
        <v>11</v>
      </c>
      <c r="B1794" s="72">
        <v>30</v>
      </c>
      <c r="C1794" s="72">
        <v>17</v>
      </c>
      <c r="D1794" s="73" t="s">
        <v>2082</v>
      </c>
      <c r="E1794" s="73" t="s">
        <v>118</v>
      </c>
      <c r="F1794" s="73" t="s">
        <v>55</v>
      </c>
      <c r="G1794" s="73" t="s">
        <v>32</v>
      </c>
      <c r="H1794" s="74" t="s">
        <v>2080</v>
      </c>
      <c r="I1794" s="74">
        <v>750</v>
      </c>
      <c r="J1794" s="75">
        <v>0</v>
      </c>
      <c r="K1794" s="75"/>
    </row>
    <row r="1795" s="1" customFormat="1" ht="14.25" spans="1:11">
      <c r="A1795" s="71">
        <v>11</v>
      </c>
      <c r="B1795" s="72">
        <v>30</v>
      </c>
      <c r="C1795" s="72">
        <v>17</v>
      </c>
      <c r="D1795" s="73" t="s">
        <v>2083</v>
      </c>
      <c r="E1795" s="73" t="s">
        <v>85</v>
      </c>
      <c r="F1795" s="73" t="s">
        <v>1364</v>
      </c>
      <c r="G1795" s="73" t="s">
        <v>32</v>
      </c>
      <c r="H1795" s="74" t="s">
        <v>2080</v>
      </c>
      <c r="I1795" s="74">
        <v>1085</v>
      </c>
      <c r="J1795" s="75">
        <v>0</v>
      </c>
      <c r="K1795" s="75"/>
    </row>
    <row r="1796" s="1" customFormat="1" ht="14.25" spans="1:11">
      <c r="A1796" s="71">
        <v>11</v>
      </c>
      <c r="B1796" s="72">
        <v>30</v>
      </c>
      <c r="C1796" s="72">
        <v>17</v>
      </c>
      <c r="D1796" s="73" t="s">
        <v>2084</v>
      </c>
      <c r="E1796" s="73" t="s">
        <v>96</v>
      </c>
      <c r="F1796" s="74" t="s">
        <v>97</v>
      </c>
      <c r="G1796" s="73" t="s">
        <v>32</v>
      </c>
      <c r="H1796" s="74" t="s">
        <v>2080</v>
      </c>
      <c r="I1796" s="74">
        <v>191</v>
      </c>
      <c r="J1796" s="75">
        <v>0</v>
      </c>
      <c r="K1796" s="75"/>
    </row>
    <row r="1797" s="1" customFormat="1" ht="14.25" spans="1:11">
      <c r="A1797" s="71">
        <v>11</v>
      </c>
      <c r="B1797" s="72">
        <v>30</v>
      </c>
      <c r="C1797" s="72">
        <v>17</v>
      </c>
      <c r="D1797" s="73" t="s">
        <v>2085</v>
      </c>
      <c r="E1797" s="73" t="s">
        <v>48</v>
      </c>
      <c r="F1797" s="73" t="s">
        <v>1565</v>
      </c>
      <c r="G1797" s="73" t="s">
        <v>32</v>
      </c>
      <c r="H1797" s="74" t="s">
        <v>2086</v>
      </c>
      <c r="I1797" s="74">
        <v>144</v>
      </c>
      <c r="J1797" s="75">
        <v>0</v>
      </c>
      <c r="K1797" s="75"/>
    </row>
    <row r="1798" s="1" customFormat="1" ht="14.25" spans="1:11">
      <c r="A1798" s="71">
        <v>11</v>
      </c>
      <c r="B1798" s="72">
        <v>30</v>
      </c>
      <c r="C1798" s="72">
        <v>17</v>
      </c>
      <c r="D1798" s="73" t="s">
        <v>294</v>
      </c>
      <c r="E1798" s="73" t="s">
        <v>48</v>
      </c>
      <c r="F1798" s="73" t="s">
        <v>1557</v>
      </c>
      <c r="G1798" s="73" t="s">
        <v>32</v>
      </c>
      <c r="H1798" s="74" t="s">
        <v>2086</v>
      </c>
      <c r="I1798" s="74">
        <v>324</v>
      </c>
      <c r="J1798" s="75">
        <v>0</v>
      </c>
      <c r="K1798" s="75"/>
    </row>
    <row r="1799" s="1" customFormat="1" ht="14.25" spans="1:11">
      <c r="A1799" s="71">
        <v>11</v>
      </c>
      <c r="B1799" s="72">
        <v>30</v>
      </c>
      <c r="C1799" s="72">
        <v>17</v>
      </c>
      <c r="D1799" s="73" t="s">
        <v>2087</v>
      </c>
      <c r="E1799" s="73" t="s">
        <v>48</v>
      </c>
      <c r="F1799" s="73" t="s">
        <v>1557</v>
      </c>
      <c r="G1799" s="73" t="s">
        <v>32</v>
      </c>
      <c r="H1799" s="74" t="s">
        <v>2086</v>
      </c>
      <c r="I1799" s="74">
        <v>145</v>
      </c>
      <c r="J1799" s="75">
        <v>0</v>
      </c>
      <c r="K1799" s="75"/>
    </row>
    <row r="1800" s="1" customFormat="1" ht="14.25" spans="1:11">
      <c r="A1800" s="71">
        <v>11</v>
      </c>
      <c r="B1800" s="72">
        <v>30</v>
      </c>
      <c r="C1800" s="72">
        <v>17</v>
      </c>
      <c r="D1800" s="73" t="s">
        <v>2088</v>
      </c>
      <c r="E1800" s="73" t="s">
        <v>48</v>
      </c>
      <c r="F1800" s="74" t="s">
        <v>209</v>
      </c>
      <c r="G1800" s="73" t="s">
        <v>32</v>
      </c>
      <c r="H1800" s="74" t="s">
        <v>2086</v>
      </c>
      <c r="I1800" s="74">
        <v>634</v>
      </c>
      <c r="J1800" s="75">
        <v>0</v>
      </c>
      <c r="K1800" s="75"/>
    </row>
    <row r="1801" s="1" customFormat="1" ht="14.25" spans="1:11">
      <c r="A1801" s="71">
        <v>11</v>
      </c>
      <c r="B1801" s="72">
        <v>30</v>
      </c>
      <c r="C1801" s="72">
        <v>17</v>
      </c>
      <c r="D1801" s="73" t="s">
        <v>2089</v>
      </c>
      <c r="E1801" s="73" t="s">
        <v>48</v>
      </c>
      <c r="F1801" s="73" t="s">
        <v>209</v>
      </c>
      <c r="G1801" s="73" t="s">
        <v>32</v>
      </c>
      <c r="H1801" s="74" t="s">
        <v>2086</v>
      </c>
      <c r="I1801" s="74">
        <v>21</v>
      </c>
      <c r="J1801" s="75">
        <v>0</v>
      </c>
      <c r="K1801" s="75"/>
    </row>
    <row r="1802" s="1" customFormat="1" ht="14.25" spans="1:11">
      <c r="A1802" s="71">
        <v>11</v>
      </c>
      <c r="B1802" s="72">
        <v>30</v>
      </c>
      <c r="C1802" s="72">
        <v>18</v>
      </c>
      <c r="D1802" s="73" t="s">
        <v>275</v>
      </c>
      <c r="E1802" s="73" t="s">
        <v>48</v>
      </c>
      <c r="F1802" s="73" t="s">
        <v>1565</v>
      </c>
      <c r="G1802" s="73" t="s">
        <v>32</v>
      </c>
      <c r="H1802" s="74" t="s">
        <v>2090</v>
      </c>
      <c r="I1802" s="74">
        <v>275</v>
      </c>
      <c r="J1802" s="75">
        <v>0</v>
      </c>
      <c r="K1802" s="75"/>
    </row>
    <row r="1803" s="1" customFormat="1" ht="14.25" spans="1:11">
      <c r="A1803" s="71">
        <v>11</v>
      </c>
      <c r="B1803" s="72">
        <v>30</v>
      </c>
      <c r="C1803" s="72">
        <v>18</v>
      </c>
      <c r="D1803" s="73" t="s">
        <v>308</v>
      </c>
      <c r="E1803" s="73" t="s">
        <v>118</v>
      </c>
      <c r="F1803" s="74" t="s">
        <v>55</v>
      </c>
      <c r="G1803" s="73" t="s">
        <v>32</v>
      </c>
      <c r="H1803" s="74" t="s">
        <v>2090</v>
      </c>
      <c r="I1803" s="74">
        <v>113</v>
      </c>
      <c r="J1803" s="75">
        <v>0</v>
      </c>
      <c r="K1803" s="75"/>
    </row>
    <row r="1804" s="1" customFormat="1" ht="14.25" spans="1:11">
      <c r="A1804" s="71">
        <v>11</v>
      </c>
      <c r="B1804" s="72">
        <v>30</v>
      </c>
      <c r="C1804" s="72">
        <v>18</v>
      </c>
      <c r="D1804" s="73" t="s">
        <v>2091</v>
      </c>
      <c r="E1804" s="73" t="s">
        <v>118</v>
      </c>
      <c r="F1804" s="73" t="s">
        <v>55</v>
      </c>
      <c r="G1804" s="73" t="s">
        <v>32</v>
      </c>
      <c r="H1804" s="74" t="s">
        <v>2090</v>
      </c>
      <c r="I1804" s="74">
        <v>34</v>
      </c>
      <c r="J1804" s="75">
        <v>0</v>
      </c>
      <c r="K1804" s="75"/>
    </row>
    <row r="1805" s="1" customFormat="1" ht="14.25" spans="1:11">
      <c r="A1805" s="71">
        <v>11</v>
      </c>
      <c r="B1805" s="72">
        <v>30</v>
      </c>
      <c r="C1805" s="72">
        <v>18</v>
      </c>
      <c r="D1805" s="73" t="s">
        <v>2092</v>
      </c>
      <c r="E1805" s="73" t="s">
        <v>48</v>
      </c>
      <c r="F1805" s="73" t="s">
        <v>55</v>
      </c>
      <c r="G1805" s="73" t="s">
        <v>32</v>
      </c>
      <c r="H1805" s="74" t="s">
        <v>2090</v>
      </c>
      <c r="I1805" s="74">
        <v>70</v>
      </c>
      <c r="J1805" s="75">
        <v>0</v>
      </c>
      <c r="K1805" s="75"/>
    </row>
    <row r="1806" s="1" customFormat="1" ht="14.25" spans="1:11">
      <c r="A1806" s="71">
        <v>11</v>
      </c>
      <c r="B1806" s="72">
        <v>30</v>
      </c>
      <c r="C1806" s="72">
        <v>18</v>
      </c>
      <c r="D1806" s="73" t="s">
        <v>2093</v>
      </c>
      <c r="E1806" s="73" t="s">
        <v>118</v>
      </c>
      <c r="F1806" s="74" t="s">
        <v>55</v>
      </c>
      <c r="G1806" s="73" t="s">
        <v>32</v>
      </c>
      <c r="H1806" s="74" t="s">
        <v>2090</v>
      </c>
      <c r="I1806" s="74">
        <v>366</v>
      </c>
      <c r="J1806" s="75">
        <v>0</v>
      </c>
      <c r="K1806" s="75"/>
    </row>
    <row r="1807" s="1" customFormat="1" ht="14.25" spans="1:11">
      <c r="A1807" s="71">
        <v>11</v>
      </c>
      <c r="B1807" s="72">
        <v>30</v>
      </c>
      <c r="C1807" s="72">
        <v>18</v>
      </c>
      <c r="D1807" s="73" t="s">
        <v>2094</v>
      </c>
      <c r="E1807" s="73" t="s">
        <v>48</v>
      </c>
      <c r="F1807" s="73" t="s">
        <v>1565</v>
      </c>
      <c r="G1807" s="73" t="s">
        <v>32</v>
      </c>
      <c r="H1807" s="74" t="s">
        <v>2095</v>
      </c>
      <c r="I1807" s="74">
        <v>127</v>
      </c>
      <c r="J1807" s="75">
        <v>0</v>
      </c>
      <c r="K1807" s="75"/>
    </row>
    <row r="1808" s="1" customFormat="1" ht="14.25" spans="1:11">
      <c r="A1808" s="71">
        <v>11</v>
      </c>
      <c r="B1808" s="72">
        <v>30</v>
      </c>
      <c r="C1808" s="72">
        <v>18</v>
      </c>
      <c r="D1808" s="73" t="s">
        <v>2096</v>
      </c>
      <c r="E1808" s="73" t="s">
        <v>96</v>
      </c>
      <c r="F1808" s="73" t="s">
        <v>97</v>
      </c>
      <c r="G1808" s="73" t="s">
        <v>32</v>
      </c>
      <c r="H1808" s="74" t="s">
        <v>2095</v>
      </c>
      <c r="I1808" s="74">
        <v>50</v>
      </c>
      <c r="J1808" s="75">
        <v>0</v>
      </c>
      <c r="K1808" s="75"/>
    </row>
    <row r="1809" s="1" customFormat="1" ht="14.25" spans="1:11">
      <c r="A1809" s="71">
        <v>11</v>
      </c>
      <c r="B1809" s="72">
        <v>30</v>
      </c>
      <c r="C1809" s="72">
        <v>18</v>
      </c>
      <c r="D1809" s="73" t="s">
        <v>1003</v>
      </c>
      <c r="E1809" s="73" t="s">
        <v>172</v>
      </c>
      <c r="F1809" s="73" t="s">
        <v>681</v>
      </c>
      <c r="G1809" s="73" t="s">
        <v>32</v>
      </c>
      <c r="H1809" s="74" t="s">
        <v>2095</v>
      </c>
      <c r="I1809" s="74">
        <v>560</v>
      </c>
      <c r="J1809" s="75">
        <v>0</v>
      </c>
      <c r="K1809" s="75"/>
    </row>
    <row r="1810" s="1" customFormat="1" ht="14.25" spans="1:11">
      <c r="A1810" s="71">
        <v>11</v>
      </c>
      <c r="B1810" s="72">
        <v>30</v>
      </c>
      <c r="C1810" s="72">
        <v>18</v>
      </c>
      <c r="D1810" s="73" t="s">
        <v>2097</v>
      </c>
      <c r="E1810" s="73" t="s">
        <v>118</v>
      </c>
      <c r="F1810" s="74" t="s">
        <v>55</v>
      </c>
      <c r="G1810" s="73" t="s">
        <v>32</v>
      </c>
      <c r="H1810" s="74" t="s">
        <v>2095</v>
      </c>
      <c r="I1810" s="74">
        <v>1675</v>
      </c>
      <c r="J1810" s="75">
        <v>0</v>
      </c>
      <c r="K1810" s="75"/>
    </row>
    <row r="1811" s="1" customFormat="1" ht="14.25" spans="1:11">
      <c r="A1811" s="71">
        <v>11</v>
      </c>
      <c r="B1811" s="72">
        <v>30</v>
      </c>
      <c r="C1811" s="72">
        <v>18</v>
      </c>
      <c r="D1811" s="73" t="s">
        <v>2098</v>
      </c>
      <c r="E1811" s="73" t="s">
        <v>85</v>
      </c>
      <c r="F1811" s="73" t="s">
        <v>989</v>
      </c>
      <c r="G1811" s="73" t="s">
        <v>32</v>
      </c>
      <c r="H1811" s="74" t="s">
        <v>2095</v>
      </c>
      <c r="I1811" s="74">
        <v>600</v>
      </c>
      <c r="J1811" s="75">
        <v>0</v>
      </c>
      <c r="K1811" s="75"/>
    </row>
    <row r="1812" s="1" customFormat="1" ht="14.25" spans="1:11">
      <c r="A1812" s="71">
        <v>11</v>
      </c>
      <c r="B1812" s="72">
        <v>30</v>
      </c>
      <c r="C1812" s="72">
        <v>19</v>
      </c>
      <c r="D1812" s="73" t="s">
        <v>2099</v>
      </c>
      <c r="E1812" s="73" t="s">
        <v>118</v>
      </c>
      <c r="F1812" s="73" t="s">
        <v>55</v>
      </c>
      <c r="G1812" s="73" t="s">
        <v>32</v>
      </c>
      <c r="H1812" s="74" t="s">
        <v>2100</v>
      </c>
      <c r="I1812" s="74">
        <v>30</v>
      </c>
      <c r="J1812" s="75">
        <v>0</v>
      </c>
      <c r="K1812" s="75"/>
    </row>
    <row r="1813" s="1" customFormat="1" ht="14.25" spans="1:11">
      <c r="A1813" s="71">
        <v>11</v>
      </c>
      <c r="B1813" s="72">
        <v>30</v>
      </c>
      <c r="C1813" s="72">
        <v>19</v>
      </c>
      <c r="D1813" s="73" t="s">
        <v>2101</v>
      </c>
      <c r="E1813" s="73" t="s">
        <v>48</v>
      </c>
      <c r="F1813" s="73" t="s">
        <v>1565</v>
      </c>
      <c r="G1813" s="73" t="s">
        <v>32</v>
      </c>
      <c r="H1813" s="74" t="s">
        <v>2100</v>
      </c>
      <c r="I1813" s="74">
        <v>388</v>
      </c>
      <c r="J1813" s="75">
        <v>0</v>
      </c>
      <c r="K1813" s="75"/>
    </row>
    <row r="1814" s="1" customFormat="1" ht="14.25" spans="1:11">
      <c r="A1814" s="71">
        <v>11</v>
      </c>
      <c r="B1814" s="72">
        <v>30</v>
      </c>
      <c r="C1814" s="72">
        <v>19</v>
      </c>
      <c r="D1814" s="73" t="s">
        <v>2102</v>
      </c>
      <c r="E1814" s="73" t="s">
        <v>48</v>
      </c>
      <c r="F1814" s="73" t="s">
        <v>55</v>
      </c>
      <c r="G1814" s="73" t="s">
        <v>32</v>
      </c>
      <c r="H1814" s="74" t="s">
        <v>2100</v>
      </c>
      <c r="I1814" s="74">
        <v>40</v>
      </c>
      <c r="J1814" s="75">
        <v>0</v>
      </c>
      <c r="K1814" s="75"/>
    </row>
    <row r="1815" s="1" customFormat="1" ht="14.25" spans="1:11">
      <c r="A1815" s="71">
        <v>11</v>
      </c>
      <c r="B1815" s="72">
        <v>30</v>
      </c>
      <c r="C1815" s="72">
        <v>19</v>
      </c>
      <c r="D1815" s="73" t="s">
        <v>2103</v>
      </c>
      <c r="E1815" s="73" t="s">
        <v>118</v>
      </c>
      <c r="F1815" s="73" t="s">
        <v>55</v>
      </c>
      <c r="G1815" s="73" t="s">
        <v>32</v>
      </c>
      <c r="H1815" s="74" t="s">
        <v>2100</v>
      </c>
      <c r="I1815" s="74">
        <v>300</v>
      </c>
      <c r="J1815" s="75">
        <v>0</v>
      </c>
      <c r="K1815" s="75"/>
    </row>
    <row r="1816" s="1" customFormat="1" ht="14.25" spans="1:11">
      <c r="A1816" s="71">
        <v>11</v>
      </c>
      <c r="B1816" s="72">
        <v>30</v>
      </c>
      <c r="C1816" s="72">
        <v>19</v>
      </c>
      <c r="D1816" s="73" t="s">
        <v>2104</v>
      </c>
      <c r="E1816" s="73" t="s">
        <v>118</v>
      </c>
      <c r="F1816" s="73" t="s">
        <v>55</v>
      </c>
      <c r="G1816" s="73" t="s">
        <v>32</v>
      </c>
      <c r="H1816" s="74" t="s">
        <v>2100</v>
      </c>
      <c r="I1816" s="74">
        <v>50</v>
      </c>
      <c r="J1816" s="75">
        <v>0</v>
      </c>
      <c r="K1816" s="75"/>
    </row>
    <row r="1817" s="1" customFormat="1" ht="14.25" spans="1:11">
      <c r="A1817" s="71">
        <v>11</v>
      </c>
      <c r="B1817" s="72">
        <v>30</v>
      </c>
      <c r="C1817" s="72">
        <v>19</v>
      </c>
      <c r="D1817" s="73" t="s">
        <v>2105</v>
      </c>
      <c r="E1817" s="73" t="s">
        <v>118</v>
      </c>
      <c r="F1817" s="73" t="s">
        <v>55</v>
      </c>
      <c r="G1817" s="73" t="s">
        <v>32</v>
      </c>
      <c r="H1817" s="74" t="s">
        <v>2106</v>
      </c>
      <c r="I1817" s="74">
        <v>296</v>
      </c>
      <c r="J1817" s="75">
        <v>0</v>
      </c>
      <c r="K1817" s="75"/>
    </row>
    <row r="1818" s="1" customFormat="1" ht="14.25" spans="1:11">
      <c r="A1818" s="71">
        <v>11</v>
      </c>
      <c r="B1818" s="72">
        <v>30</v>
      </c>
      <c r="C1818" s="72">
        <v>19</v>
      </c>
      <c r="D1818" s="73" t="s">
        <v>2107</v>
      </c>
      <c r="E1818" s="73" t="s">
        <v>172</v>
      </c>
      <c r="F1818" s="74" t="s">
        <v>681</v>
      </c>
      <c r="G1818" s="73" t="s">
        <v>32</v>
      </c>
      <c r="H1818" s="74" t="s">
        <v>2106</v>
      </c>
      <c r="I1818" s="74">
        <v>369</v>
      </c>
      <c r="J1818" s="75">
        <v>0</v>
      </c>
      <c r="K1818" s="75"/>
    </row>
    <row r="1819" s="1" customFormat="1" ht="14.25" spans="1:11">
      <c r="A1819" s="71">
        <v>11</v>
      </c>
      <c r="B1819" s="72">
        <v>30</v>
      </c>
      <c r="C1819" s="72">
        <v>19</v>
      </c>
      <c r="D1819" s="73" t="s">
        <v>1706</v>
      </c>
      <c r="E1819" s="73" t="s">
        <v>172</v>
      </c>
      <c r="F1819" s="73" t="s">
        <v>681</v>
      </c>
      <c r="G1819" s="73" t="s">
        <v>32</v>
      </c>
      <c r="H1819" s="74" t="s">
        <v>2106</v>
      </c>
      <c r="I1819" s="74">
        <v>250</v>
      </c>
      <c r="J1819" s="75">
        <v>0</v>
      </c>
      <c r="K1819" s="75"/>
    </row>
    <row r="1820" s="1" customFormat="1" ht="14.25" spans="1:11">
      <c r="A1820" s="71">
        <v>11</v>
      </c>
      <c r="B1820" s="72">
        <v>30</v>
      </c>
      <c r="C1820" s="72">
        <v>19</v>
      </c>
      <c r="D1820" s="73" t="s">
        <v>2108</v>
      </c>
      <c r="E1820" s="73" t="s">
        <v>118</v>
      </c>
      <c r="F1820" s="73" t="s">
        <v>55</v>
      </c>
      <c r="G1820" s="73" t="s">
        <v>32</v>
      </c>
      <c r="H1820" s="74" t="s">
        <v>2106</v>
      </c>
      <c r="I1820" s="74">
        <v>200</v>
      </c>
      <c r="J1820" s="75">
        <v>0</v>
      </c>
      <c r="K1820" s="75"/>
    </row>
    <row r="1821" s="1" customFormat="1" ht="14.25" spans="1:11">
      <c r="A1821" s="71">
        <v>11</v>
      </c>
      <c r="B1821" s="72">
        <v>30</v>
      </c>
      <c r="C1821" s="72">
        <v>19</v>
      </c>
      <c r="D1821" s="73" t="s">
        <v>2109</v>
      </c>
      <c r="E1821" s="73" t="s">
        <v>118</v>
      </c>
      <c r="F1821" s="73" t="s">
        <v>55</v>
      </c>
      <c r="G1821" s="73" t="s">
        <v>32</v>
      </c>
      <c r="H1821" s="74" t="s">
        <v>2106</v>
      </c>
      <c r="I1821" s="74">
        <v>56</v>
      </c>
      <c r="J1821" s="75">
        <v>0</v>
      </c>
      <c r="K1821" s="75"/>
    </row>
    <row r="1822" s="1" customFormat="1" ht="14.25" spans="1:11">
      <c r="A1822" s="71">
        <v>11</v>
      </c>
      <c r="B1822" s="72">
        <v>30</v>
      </c>
      <c r="C1822" s="72">
        <v>20</v>
      </c>
      <c r="D1822" s="73" t="s">
        <v>1364</v>
      </c>
      <c r="E1822" s="73" t="s">
        <v>85</v>
      </c>
      <c r="F1822" s="73" t="s">
        <v>1364</v>
      </c>
      <c r="G1822" s="73" t="s">
        <v>32</v>
      </c>
      <c r="H1822" s="74" t="s">
        <v>2110</v>
      </c>
      <c r="I1822" s="74">
        <v>760</v>
      </c>
      <c r="J1822" s="75">
        <v>0</v>
      </c>
      <c r="K1822" s="75"/>
    </row>
    <row r="1823" s="1" customFormat="1" ht="14.25" spans="1:11">
      <c r="A1823" s="71">
        <v>11</v>
      </c>
      <c r="B1823" s="72">
        <v>30</v>
      </c>
      <c r="C1823" s="72">
        <v>20</v>
      </c>
      <c r="D1823" s="73" t="s">
        <v>2111</v>
      </c>
      <c r="E1823" s="73" t="s">
        <v>96</v>
      </c>
      <c r="F1823" s="74" t="s">
        <v>97</v>
      </c>
      <c r="G1823" s="73" t="s">
        <v>32</v>
      </c>
      <c r="H1823" s="74" t="s">
        <v>2110</v>
      </c>
      <c r="I1823" s="74">
        <v>149</v>
      </c>
      <c r="J1823" s="75">
        <v>0</v>
      </c>
      <c r="K1823" s="75"/>
    </row>
    <row r="1824" s="1" customFormat="1" ht="14.25" spans="1:11">
      <c r="A1824" s="71">
        <v>11</v>
      </c>
      <c r="B1824" s="72">
        <v>30</v>
      </c>
      <c r="C1824" s="72">
        <v>20</v>
      </c>
      <c r="D1824" s="73" t="s">
        <v>2112</v>
      </c>
      <c r="E1824" s="73" t="s">
        <v>118</v>
      </c>
      <c r="F1824" s="73" t="s">
        <v>55</v>
      </c>
      <c r="G1824" s="73" t="s">
        <v>32</v>
      </c>
      <c r="H1824" s="74" t="s">
        <v>2110</v>
      </c>
      <c r="I1824" s="74">
        <v>10</v>
      </c>
      <c r="J1824" s="75">
        <v>0</v>
      </c>
      <c r="K1824" s="75"/>
    </row>
    <row r="1825" s="1" customFormat="1" ht="14.25" spans="1:11">
      <c r="A1825" s="71">
        <v>11</v>
      </c>
      <c r="B1825" s="72">
        <v>30</v>
      </c>
      <c r="C1825" s="72">
        <v>20</v>
      </c>
      <c r="D1825" s="73" t="s">
        <v>2113</v>
      </c>
      <c r="E1825" s="73" t="s">
        <v>172</v>
      </c>
      <c r="F1825" s="73" t="s">
        <v>681</v>
      </c>
      <c r="G1825" s="73" t="s">
        <v>32</v>
      </c>
      <c r="H1825" s="74" t="s">
        <v>2110</v>
      </c>
      <c r="I1825" s="74">
        <v>2540</v>
      </c>
      <c r="J1825" s="75">
        <v>0</v>
      </c>
      <c r="K1825" s="75"/>
    </row>
    <row r="1826" s="1" customFormat="1" ht="14.25" spans="1:11">
      <c r="A1826" s="71">
        <v>11</v>
      </c>
      <c r="B1826" s="72">
        <v>30</v>
      </c>
      <c r="C1826" s="72">
        <v>20</v>
      </c>
      <c r="D1826" s="73" t="s">
        <v>2114</v>
      </c>
      <c r="E1826" s="73" t="s">
        <v>96</v>
      </c>
      <c r="F1826" s="73" t="s">
        <v>97</v>
      </c>
      <c r="G1826" s="73" t="s">
        <v>32</v>
      </c>
      <c r="H1826" s="74" t="s">
        <v>2110</v>
      </c>
      <c r="I1826" s="74">
        <v>1080</v>
      </c>
      <c r="J1826" s="75">
        <v>0</v>
      </c>
      <c r="K1826" s="75"/>
    </row>
    <row r="1827" s="1" customFormat="1" ht="14.25" spans="1:11">
      <c r="A1827" s="71">
        <v>11</v>
      </c>
      <c r="B1827" s="72">
        <v>30</v>
      </c>
      <c r="C1827" s="72">
        <v>20</v>
      </c>
      <c r="D1827" s="73" t="s">
        <v>2115</v>
      </c>
      <c r="E1827" s="73" t="s">
        <v>48</v>
      </c>
      <c r="F1827" s="73" t="s">
        <v>1565</v>
      </c>
      <c r="G1827" s="73" t="s">
        <v>32</v>
      </c>
      <c r="H1827" s="74" t="s">
        <v>2116</v>
      </c>
      <c r="I1827" s="74">
        <v>148</v>
      </c>
      <c r="J1827" s="75">
        <v>0</v>
      </c>
      <c r="K1827" s="75"/>
    </row>
    <row r="1828" s="1" customFormat="1" ht="14.25" spans="1:11">
      <c r="A1828" s="71">
        <v>11</v>
      </c>
      <c r="B1828" s="72">
        <v>30</v>
      </c>
      <c r="C1828" s="72">
        <v>20</v>
      </c>
      <c r="D1828" s="73" t="s">
        <v>2117</v>
      </c>
      <c r="E1828" s="73" t="s">
        <v>118</v>
      </c>
      <c r="F1828" s="73" t="s">
        <v>55</v>
      </c>
      <c r="G1828" s="73" t="s">
        <v>32</v>
      </c>
      <c r="H1828" s="74" t="s">
        <v>2116</v>
      </c>
      <c r="I1828" s="74">
        <v>736</v>
      </c>
      <c r="J1828" s="75">
        <v>0</v>
      </c>
      <c r="K1828" s="75"/>
    </row>
    <row r="1829" s="1" customFormat="1" ht="14.25" spans="1:11">
      <c r="A1829" s="71">
        <v>11</v>
      </c>
      <c r="B1829" s="72">
        <v>30</v>
      </c>
      <c r="C1829" s="72">
        <v>20</v>
      </c>
      <c r="D1829" s="73" t="s">
        <v>2118</v>
      </c>
      <c r="E1829" s="73" t="s">
        <v>172</v>
      </c>
      <c r="F1829" s="73" t="s">
        <v>681</v>
      </c>
      <c r="G1829" s="73" t="s">
        <v>32</v>
      </c>
      <c r="H1829" s="74" t="s">
        <v>2116</v>
      </c>
      <c r="I1829" s="74">
        <v>174</v>
      </c>
      <c r="J1829" s="75">
        <v>0</v>
      </c>
      <c r="K1829" s="75"/>
    </row>
    <row r="1830" s="1" customFormat="1" ht="14.25" spans="1:11">
      <c r="A1830" s="71">
        <v>11</v>
      </c>
      <c r="B1830" s="72">
        <v>30</v>
      </c>
      <c r="C1830" s="72">
        <v>20</v>
      </c>
      <c r="D1830" s="73" t="s">
        <v>2119</v>
      </c>
      <c r="E1830" s="73" t="s">
        <v>118</v>
      </c>
      <c r="F1830" s="73" t="s">
        <v>146</v>
      </c>
      <c r="G1830" s="73" t="s">
        <v>32</v>
      </c>
      <c r="H1830" s="74" t="s">
        <v>2116</v>
      </c>
      <c r="I1830" s="74">
        <v>1304</v>
      </c>
      <c r="J1830" s="75">
        <v>0</v>
      </c>
      <c r="K1830" s="75"/>
    </row>
    <row r="1831" s="1" customFormat="1" ht="14.25" spans="1:11">
      <c r="A1831" s="71">
        <v>11</v>
      </c>
      <c r="B1831" s="72">
        <v>30</v>
      </c>
      <c r="C1831" s="72">
        <v>20</v>
      </c>
      <c r="D1831" s="73" t="s">
        <v>2120</v>
      </c>
      <c r="E1831" s="73" t="s">
        <v>172</v>
      </c>
      <c r="F1831" s="73" t="s">
        <v>681</v>
      </c>
      <c r="G1831" s="73" t="s">
        <v>32</v>
      </c>
      <c r="H1831" s="74" t="s">
        <v>2116</v>
      </c>
      <c r="I1831" s="74">
        <v>930</v>
      </c>
      <c r="J1831" s="75">
        <v>0</v>
      </c>
      <c r="K1831" s="75"/>
    </row>
    <row r="1832" s="1" customFormat="1" ht="14.25" spans="1:11">
      <c r="A1832" s="71">
        <v>11</v>
      </c>
      <c r="B1832" s="72">
        <v>30</v>
      </c>
      <c r="C1832" s="72">
        <v>21</v>
      </c>
      <c r="D1832" s="73" t="s">
        <v>275</v>
      </c>
      <c r="E1832" s="73" t="s">
        <v>48</v>
      </c>
      <c r="F1832" s="73" t="s">
        <v>1565</v>
      </c>
      <c r="G1832" s="73" t="s">
        <v>32</v>
      </c>
      <c r="H1832" s="74" t="s">
        <v>2121</v>
      </c>
      <c r="I1832" s="74">
        <v>132</v>
      </c>
      <c r="J1832" s="75">
        <v>0</v>
      </c>
      <c r="K1832" s="75"/>
    </row>
    <row r="1833" s="1" customFormat="1" ht="14.25" spans="1:11">
      <c r="A1833" s="71">
        <v>11</v>
      </c>
      <c r="B1833" s="72">
        <v>30</v>
      </c>
      <c r="C1833" s="72">
        <v>21</v>
      </c>
      <c r="D1833" s="73" t="s">
        <v>2122</v>
      </c>
      <c r="E1833" s="73" t="s">
        <v>118</v>
      </c>
      <c r="F1833" s="73" t="s">
        <v>55</v>
      </c>
      <c r="G1833" s="73" t="s">
        <v>32</v>
      </c>
      <c r="H1833" s="74" t="s">
        <v>2121</v>
      </c>
      <c r="I1833" s="74">
        <v>260</v>
      </c>
      <c r="J1833" s="75">
        <v>0</v>
      </c>
      <c r="K1833" s="75"/>
    </row>
    <row r="1834" s="1" customFormat="1" ht="14.25" spans="1:11">
      <c r="A1834" s="71">
        <v>11</v>
      </c>
      <c r="B1834" s="72">
        <v>30</v>
      </c>
      <c r="C1834" s="72">
        <v>21</v>
      </c>
      <c r="D1834" s="73" t="s">
        <v>2123</v>
      </c>
      <c r="E1834" s="73" t="s">
        <v>118</v>
      </c>
      <c r="F1834" s="73" t="s">
        <v>55</v>
      </c>
      <c r="G1834" s="73" t="s">
        <v>32</v>
      </c>
      <c r="H1834" s="74" t="s">
        <v>2121</v>
      </c>
      <c r="I1834" s="74">
        <v>48</v>
      </c>
      <c r="J1834" s="75">
        <v>0</v>
      </c>
      <c r="K1834" s="75"/>
    </row>
    <row r="1835" s="1" customFormat="1" ht="14.25" spans="1:11">
      <c r="A1835" s="71">
        <v>11</v>
      </c>
      <c r="B1835" s="72">
        <v>30</v>
      </c>
      <c r="C1835" s="72">
        <v>21</v>
      </c>
      <c r="D1835" s="73" t="s">
        <v>2124</v>
      </c>
      <c r="E1835" s="73" t="s">
        <v>48</v>
      </c>
      <c r="F1835" s="73" t="s">
        <v>1565</v>
      </c>
      <c r="G1835" s="73" t="s">
        <v>32</v>
      </c>
      <c r="H1835" s="74" t="s">
        <v>2125</v>
      </c>
      <c r="I1835" s="74">
        <v>60</v>
      </c>
      <c r="J1835" s="75">
        <v>0</v>
      </c>
      <c r="K1835" s="75"/>
    </row>
    <row r="1836" s="1" customFormat="1" ht="14.25" spans="1:11">
      <c r="A1836" s="71">
        <v>11</v>
      </c>
      <c r="B1836" s="72">
        <v>30</v>
      </c>
      <c r="C1836" s="72">
        <v>21</v>
      </c>
      <c r="D1836" s="73" t="s">
        <v>2126</v>
      </c>
      <c r="E1836" s="73" t="s">
        <v>48</v>
      </c>
      <c r="F1836" s="73" t="s">
        <v>1565</v>
      </c>
      <c r="G1836" s="73" t="s">
        <v>32</v>
      </c>
      <c r="H1836" s="74" t="s">
        <v>2125</v>
      </c>
      <c r="I1836" s="74">
        <v>350</v>
      </c>
      <c r="J1836" s="75">
        <v>0</v>
      </c>
      <c r="K1836" s="75"/>
    </row>
    <row r="1837" s="1" customFormat="1" ht="14.25" spans="1:11">
      <c r="A1837" s="71">
        <v>11</v>
      </c>
      <c r="B1837" s="72">
        <v>30</v>
      </c>
      <c r="C1837" s="72">
        <v>21</v>
      </c>
      <c r="D1837" s="73" t="s">
        <v>2127</v>
      </c>
      <c r="E1837" s="73" t="s">
        <v>118</v>
      </c>
      <c r="F1837" s="73" t="s">
        <v>55</v>
      </c>
      <c r="G1837" s="73" t="s">
        <v>32</v>
      </c>
      <c r="H1837" s="74" t="s">
        <v>2125</v>
      </c>
      <c r="I1837" s="74">
        <v>3.57</v>
      </c>
      <c r="J1837" s="75">
        <v>0</v>
      </c>
      <c r="K1837" s="75"/>
    </row>
    <row r="1838" s="1" customFormat="1" ht="14.25" spans="1:11">
      <c r="A1838" s="71">
        <v>11</v>
      </c>
      <c r="B1838" s="72">
        <v>30</v>
      </c>
      <c r="C1838" s="72">
        <v>21</v>
      </c>
      <c r="D1838" s="73" t="s">
        <v>2128</v>
      </c>
      <c r="E1838" s="73" t="s">
        <v>118</v>
      </c>
      <c r="F1838" s="73" t="s">
        <v>55</v>
      </c>
      <c r="G1838" s="73" t="s">
        <v>32</v>
      </c>
      <c r="H1838" s="74" t="s">
        <v>2125</v>
      </c>
      <c r="I1838" s="74">
        <v>5.71</v>
      </c>
      <c r="J1838" s="75">
        <v>0</v>
      </c>
      <c r="K1838" s="75"/>
    </row>
    <row r="1839" s="1" customFormat="1" ht="14.25" spans="1:11">
      <c r="A1839" s="71">
        <v>11</v>
      </c>
      <c r="B1839" s="72">
        <v>30</v>
      </c>
      <c r="C1839" s="72">
        <v>21</v>
      </c>
      <c r="D1839" s="73" t="s">
        <v>2129</v>
      </c>
      <c r="E1839" s="73" t="s">
        <v>118</v>
      </c>
      <c r="F1839" s="73" t="s">
        <v>55</v>
      </c>
      <c r="G1839" s="73" t="s">
        <v>32</v>
      </c>
      <c r="H1839" s="74" t="s">
        <v>2125</v>
      </c>
      <c r="I1839" s="74">
        <v>210</v>
      </c>
      <c r="J1839" s="75">
        <v>0</v>
      </c>
      <c r="K1839" s="75"/>
    </row>
    <row r="1840" s="1" customFormat="1" ht="14.25" spans="1:11">
      <c r="A1840" s="71">
        <v>11</v>
      </c>
      <c r="B1840" s="72">
        <v>30</v>
      </c>
      <c r="C1840" s="72">
        <v>22</v>
      </c>
      <c r="D1840" s="73" t="s">
        <v>2130</v>
      </c>
      <c r="E1840" s="73" t="s">
        <v>48</v>
      </c>
      <c r="F1840" s="73" t="s">
        <v>1565</v>
      </c>
      <c r="G1840" s="73" t="s">
        <v>32</v>
      </c>
      <c r="H1840" s="74" t="s">
        <v>2131</v>
      </c>
      <c r="I1840" s="74">
        <v>60</v>
      </c>
      <c r="J1840" s="75">
        <v>0</v>
      </c>
      <c r="K1840" s="75"/>
    </row>
    <row r="1841" s="1" customFormat="1" ht="14.25" spans="1:11">
      <c r="A1841" s="71">
        <v>11</v>
      </c>
      <c r="B1841" s="72">
        <v>30</v>
      </c>
      <c r="C1841" s="72">
        <v>22</v>
      </c>
      <c r="D1841" s="73" t="s">
        <v>308</v>
      </c>
      <c r="E1841" s="73" t="s">
        <v>118</v>
      </c>
      <c r="F1841" s="73" t="s">
        <v>55</v>
      </c>
      <c r="G1841" s="73" t="s">
        <v>32</v>
      </c>
      <c r="H1841" s="74" t="s">
        <v>2131</v>
      </c>
      <c r="I1841" s="74">
        <v>17</v>
      </c>
      <c r="J1841" s="75">
        <v>0</v>
      </c>
      <c r="K1841" s="75"/>
    </row>
    <row r="1842" s="1" customFormat="1" ht="14.25" spans="1:11">
      <c r="A1842" s="71">
        <v>11</v>
      </c>
      <c r="B1842" s="72">
        <v>30</v>
      </c>
      <c r="C1842" s="72">
        <v>22</v>
      </c>
      <c r="D1842" s="73" t="s">
        <v>2132</v>
      </c>
      <c r="E1842" s="73" t="s">
        <v>118</v>
      </c>
      <c r="F1842" s="73" t="s">
        <v>55</v>
      </c>
      <c r="G1842" s="73" t="s">
        <v>32</v>
      </c>
      <c r="H1842" s="74" t="s">
        <v>2131</v>
      </c>
      <c r="I1842" s="74">
        <v>60</v>
      </c>
      <c r="J1842" s="75">
        <v>0</v>
      </c>
      <c r="K1842" s="75"/>
    </row>
    <row r="1843" s="1" customFormat="1" ht="14.25" spans="1:11">
      <c r="A1843" s="71">
        <v>11</v>
      </c>
      <c r="B1843" s="72">
        <v>30</v>
      </c>
      <c r="C1843" s="72">
        <v>22</v>
      </c>
      <c r="D1843" s="73" t="s">
        <v>2133</v>
      </c>
      <c r="E1843" s="73" t="s">
        <v>118</v>
      </c>
      <c r="F1843" s="73" t="s">
        <v>55</v>
      </c>
      <c r="G1843" s="73" t="s">
        <v>32</v>
      </c>
      <c r="H1843" s="74" t="s">
        <v>2134</v>
      </c>
      <c r="I1843" s="74">
        <v>20</v>
      </c>
      <c r="J1843" s="75">
        <v>0</v>
      </c>
      <c r="K1843" s="75"/>
    </row>
    <row r="1844" s="1" customFormat="1" ht="14.25" spans="1:11">
      <c r="A1844" s="71">
        <v>11</v>
      </c>
      <c r="B1844" s="72">
        <v>30</v>
      </c>
      <c r="C1844" s="72">
        <v>22</v>
      </c>
      <c r="D1844" s="73" t="s">
        <v>275</v>
      </c>
      <c r="E1844" s="73" t="s">
        <v>48</v>
      </c>
      <c r="F1844" s="74" t="s">
        <v>1565</v>
      </c>
      <c r="G1844" s="73" t="s">
        <v>32</v>
      </c>
      <c r="H1844" s="74" t="s">
        <v>2134</v>
      </c>
      <c r="I1844" s="74">
        <v>127</v>
      </c>
      <c r="J1844" s="75">
        <v>0</v>
      </c>
      <c r="K1844" s="75"/>
    </row>
    <row r="1845" s="1" customFormat="1" ht="14.25" spans="1:11">
      <c r="A1845" s="71">
        <v>11</v>
      </c>
      <c r="B1845" s="72">
        <v>30</v>
      </c>
      <c r="C1845" s="72">
        <v>22</v>
      </c>
      <c r="D1845" s="73" t="s">
        <v>2135</v>
      </c>
      <c r="E1845" s="73" t="s">
        <v>172</v>
      </c>
      <c r="F1845" s="73" t="s">
        <v>1412</v>
      </c>
      <c r="G1845" s="73" t="s">
        <v>32</v>
      </c>
      <c r="H1845" s="74" t="s">
        <v>2134</v>
      </c>
      <c r="I1845" s="74">
        <v>70</v>
      </c>
      <c r="J1845" s="75">
        <v>0</v>
      </c>
      <c r="K1845" s="75"/>
    </row>
    <row r="1846" s="1" customFormat="1" ht="14.25" spans="1:11">
      <c r="A1846" s="71">
        <v>11</v>
      </c>
      <c r="B1846" s="72">
        <v>30</v>
      </c>
      <c r="C1846" s="72">
        <v>22</v>
      </c>
      <c r="D1846" s="73" t="s">
        <v>2136</v>
      </c>
      <c r="E1846" s="73" t="s">
        <v>118</v>
      </c>
      <c r="F1846" s="73" t="s">
        <v>55</v>
      </c>
      <c r="G1846" s="73" t="s">
        <v>32</v>
      </c>
      <c r="H1846" s="74" t="s">
        <v>2134</v>
      </c>
      <c r="I1846" s="74">
        <v>275</v>
      </c>
      <c r="J1846" s="75">
        <v>0</v>
      </c>
      <c r="K1846" s="75"/>
    </row>
    <row r="1847" s="1" customFormat="1" ht="14.25" spans="1:11">
      <c r="A1847" s="71">
        <v>11</v>
      </c>
      <c r="B1847" s="72">
        <v>30</v>
      </c>
      <c r="C1847" s="72">
        <v>22</v>
      </c>
      <c r="D1847" s="73" t="s">
        <v>2137</v>
      </c>
      <c r="E1847" s="73" t="s">
        <v>96</v>
      </c>
      <c r="F1847" s="73" t="s">
        <v>97</v>
      </c>
      <c r="G1847" s="73" t="s">
        <v>32</v>
      </c>
      <c r="H1847" s="74" t="s">
        <v>2134</v>
      </c>
      <c r="I1847" s="74">
        <v>252</v>
      </c>
      <c r="J1847" s="75">
        <v>0</v>
      </c>
      <c r="K1847" s="75"/>
    </row>
    <row r="1848" s="1" customFormat="1" ht="14.25" spans="1:11">
      <c r="A1848" s="71">
        <v>11</v>
      </c>
      <c r="B1848" s="72">
        <v>30</v>
      </c>
      <c r="C1848" s="72">
        <v>23</v>
      </c>
      <c r="D1848" s="73" t="s">
        <v>2138</v>
      </c>
      <c r="E1848" s="73" t="s">
        <v>118</v>
      </c>
      <c r="F1848" s="73" t="s">
        <v>55</v>
      </c>
      <c r="G1848" s="73" t="s">
        <v>32</v>
      </c>
      <c r="H1848" s="74" t="s">
        <v>2139</v>
      </c>
      <c r="I1848" s="74">
        <v>255</v>
      </c>
      <c r="J1848" s="75">
        <v>0</v>
      </c>
      <c r="K1848" s="75"/>
    </row>
    <row r="1849" s="1" customFormat="1" ht="14.25" spans="1:11">
      <c r="A1849" s="71">
        <v>11</v>
      </c>
      <c r="B1849" s="72">
        <v>30</v>
      </c>
      <c r="C1849" s="72">
        <v>23</v>
      </c>
      <c r="D1849" s="73" t="s">
        <v>2140</v>
      </c>
      <c r="E1849" s="73" t="s">
        <v>118</v>
      </c>
      <c r="F1849" s="73" t="s">
        <v>55</v>
      </c>
      <c r="G1849" s="73" t="s">
        <v>32</v>
      </c>
      <c r="H1849" s="74" t="s">
        <v>2139</v>
      </c>
      <c r="I1849" s="74">
        <v>189</v>
      </c>
      <c r="J1849" s="75">
        <v>0</v>
      </c>
      <c r="K1849" s="75"/>
    </row>
    <row r="1850" s="1" customFormat="1" ht="14.25" spans="1:11">
      <c r="A1850" s="71">
        <v>11</v>
      </c>
      <c r="B1850" s="72">
        <v>30</v>
      </c>
      <c r="C1850" s="72">
        <v>23</v>
      </c>
      <c r="D1850" s="73" t="s">
        <v>2141</v>
      </c>
      <c r="E1850" s="73" t="s">
        <v>172</v>
      </c>
      <c r="F1850" s="73" t="s">
        <v>681</v>
      </c>
      <c r="G1850" s="73" t="s">
        <v>32</v>
      </c>
      <c r="H1850" s="74" t="s">
        <v>2139</v>
      </c>
      <c r="I1850" s="74">
        <v>850</v>
      </c>
      <c r="J1850" s="75">
        <v>0</v>
      </c>
      <c r="K1850" s="75"/>
    </row>
    <row r="1851" s="1" customFormat="1" ht="14.25" spans="1:11">
      <c r="A1851" s="71">
        <v>11</v>
      </c>
      <c r="B1851" s="72">
        <v>30</v>
      </c>
      <c r="C1851" s="72">
        <v>23</v>
      </c>
      <c r="D1851" s="73" t="s">
        <v>2142</v>
      </c>
      <c r="E1851" s="73" t="s">
        <v>172</v>
      </c>
      <c r="F1851" s="73" t="s">
        <v>681</v>
      </c>
      <c r="G1851" s="73" t="s">
        <v>32</v>
      </c>
      <c r="H1851" s="74" t="s">
        <v>2139</v>
      </c>
      <c r="I1851" s="74">
        <v>3300</v>
      </c>
      <c r="J1851" s="75">
        <v>0</v>
      </c>
      <c r="K1851" s="75"/>
    </row>
    <row r="1852" s="1" customFormat="1" ht="14.25" spans="1:11">
      <c r="A1852" s="71">
        <v>11</v>
      </c>
      <c r="B1852" s="72">
        <v>30</v>
      </c>
      <c r="C1852" s="72">
        <v>23</v>
      </c>
      <c r="D1852" s="73" t="s">
        <v>2143</v>
      </c>
      <c r="E1852" s="73" t="s">
        <v>48</v>
      </c>
      <c r="F1852" s="73" t="s">
        <v>55</v>
      </c>
      <c r="G1852" s="73" t="s">
        <v>32</v>
      </c>
      <c r="H1852" s="74" t="s">
        <v>2144</v>
      </c>
      <c r="I1852" s="74">
        <v>1.6</v>
      </c>
      <c r="J1852" s="75">
        <v>0</v>
      </c>
      <c r="K1852" s="75"/>
    </row>
    <row r="1853" s="1" customFormat="1" ht="14.25" spans="1:11">
      <c r="A1853" s="71">
        <v>11</v>
      </c>
      <c r="B1853" s="72">
        <v>30</v>
      </c>
      <c r="C1853" s="72">
        <v>23</v>
      </c>
      <c r="D1853" s="73" t="s">
        <v>2145</v>
      </c>
      <c r="E1853" s="73" t="s">
        <v>85</v>
      </c>
      <c r="F1853" s="73" t="s">
        <v>1364</v>
      </c>
      <c r="G1853" s="73" t="s">
        <v>32</v>
      </c>
      <c r="H1853" s="74" t="s">
        <v>2144</v>
      </c>
      <c r="I1853" s="74">
        <v>2300</v>
      </c>
      <c r="J1853" s="75">
        <v>0</v>
      </c>
      <c r="K1853" s="75"/>
    </row>
    <row r="1854" s="1" customFormat="1" ht="14.25" spans="1:11">
      <c r="A1854" s="71">
        <v>11</v>
      </c>
      <c r="B1854" s="72">
        <v>30</v>
      </c>
      <c r="C1854" s="72">
        <v>23</v>
      </c>
      <c r="D1854" s="73" t="s">
        <v>2146</v>
      </c>
      <c r="E1854" s="73" t="s">
        <v>172</v>
      </c>
      <c r="F1854" s="73" t="s">
        <v>681</v>
      </c>
      <c r="G1854" s="73" t="s">
        <v>32</v>
      </c>
      <c r="H1854" s="74" t="s">
        <v>2144</v>
      </c>
      <c r="I1854" s="74">
        <v>565</v>
      </c>
      <c r="J1854" s="75">
        <v>0</v>
      </c>
      <c r="K1854" s="75"/>
    </row>
    <row r="1855" s="1" customFormat="1" ht="14.25" spans="1:11">
      <c r="A1855" s="71">
        <v>11</v>
      </c>
      <c r="B1855" s="72">
        <v>30</v>
      </c>
      <c r="C1855" s="72">
        <v>23</v>
      </c>
      <c r="D1855" s="73" t="s">
        <v>2147</v>
      </c>
      <c r="E1855" s="73" t="s">
        <v>118</v>
      </c>
      <c r="F1855" s="73" t="s">
        <v>55</v>
      </c>
      <c r="G1855" s="73" t="s">
        <v>32</v>
      </c>
      <c r="H1855" s="74" t="s">
        <v>2144</v>
      </c>
      <c r="I1855" s="74">
        <v>36</v>
      </c>
      <c r="J1855" s="75">
        <v>0</v>
      </c>
      <c r="K1855" s="75"/>
    </row>
    <row r="1856" s="1" customFormat="1" ht="14.25" spans="1:11">
      <c r="A1856" s="71">
        <v>11</v>
      </c>
      <c r="B1856" s="72">
        <v>30</v>
      </c>
      <c r="C1856" s="72">
        <v>24</v>
      </c>
      <c r="D1856" s="73" t="s">
        <v>2148</v>
      </c>
      <c r="E1856" s="73" t="s">
        <v>118</v>
      </c>
      <c r="F1856" s="73" t="s">
        <v>55</v>
      </c>
      <c r="G1856" s="73" t="s">
        <v>32</v>
      </c>
      <c r="H1856" s="74" t="s">
        <v>2149</v>
      </c>
      <c r="I1856" s="74">
        <v>40</v>
      </c>
      <c r="J1856" s="75">
        <v>0</v>
      </c>
      <c r="K1856" s="75"/>
    </row>
    <row r="1857" s="1" customFormat="1" ht="14.25" spans="1:11">
      <c r="A1857" s="71">
        <v>11</v>
      </c>
      <c r="B1857" s="72">
        <v>30</v>
      </c>
      <c r="C1857" s="72">
        <v>24</v>
      </c>
      <c r="D1857" s="73" t="s">
        <v>2150</v>
      </c>
      <c r="E1857" s="73" t="s">
        <v>118</v>
      </c>
      <c r="F1857" s="73" t="s">
        <v>55</v>
      </c>
      <c r="G1857" s="73" t="s">
        <v>32</v>
      </c>
      <c r="H1857" s="74" t="s">
        <v>2149</v>
      </c>
      <c r="I1857" s="74">
        <v>30</v>
      </c>
      <c r="J1857" s="75">
        <v>0</v>
      </c>
      <c r="K1857" s="75"/>
    </row>
    <row r="1858" s="1" customFormat="1" ht="14.25" spans="1:11">
      <c r="A1858" s="71">
        <v>11</v>
      </c>
      <c r="B1858" s="72">
        <v>30</v>
      </c>
      <c r="C1858" s="72">
        <v>24</v>
      </c>
      <c r="D1858" s="73" t="s">
        <v>2151</v>
      </c>
      <c r="E1858" s="73" t="s">
        <v>118</v>
      </c>
      <c r="F1858" s="73" t="s">
        <v>55</v>
      </c>
      <c r="G1858" s="73" t="s">
        <v>32</v>
      </c>
      <c r="H1858" s="74" t="s">
        <v>2149</v>
      </c>
      <c r="I1858" s="74">
        <v>1530</v>
      </c>
      <c r="J1858" s="75">
        <v>0</v>
      </c>
      <c r="K1858" s="75"/>
    </row>
    <row r="1859" s="1" customFormat="1" ht="14.25" spans="1:11">
      <c r="A1859" s="71">
        <v>11</v>
      </c>
      <c r="B1859" s="72">
        <v>30</v>
      </c>
      <c r="C1859" s="72">
        <v>24</v>
      </c>
      <c r="D1859" s="73" t="s">
        <v>2152</v>
      </c>
      <c r="E1859" s="73" t="s">
        <v>118</v>
      </c>
      <c r="F1859" s="73" t="s">
        <v>55</v>
      </c>
      <c r="G1859" s="73" t="s">
        <v>32</v>
      </c>
      <c r="H1859" s="74" t="s">
        <v>2149</v>
      </c>
      <c r="I1859" s="74">
        <v>160</v>
      </c>
      <c r="J1859" s="75">
        <v>0</v>
      </c>
      <c r="K1859" s="75"/>
    </row>
    <row r="1860" s="1" customFormat="1" ht="14.25" spans="1:11">
      <c r="A1860" s="71">
        <v>11</v>
      </c>
      <c r="B1860" s="72">
        <v>30</v>
      </c>
      <c r="C1860" s="72">
        <v>24</v>
      </c>
      <c r="D1860" s="73" t="s">
        <v>2153</v>
      </c>
      <c r="E1860" s="73" t="s">
        <v>48</v>
      </c>
      <c r="F1860" s="73" t="s">
        <v>55</v>
      </c>
      <c r="G1860" s="73" t="s">
        <v>32</v>
      </c>
      <c r="H1860" s="74" t="s">
        <v>2149</v>
      </c>
      <c r="I1860" s="74">
        <v>180</v>
      </c>
      <c r="J1860" s="75">
        <v>0</v>
      </c>
      <c r="K1860" s="75"/>
    </row>
    <row r="1861" s="1" customFormat="1" ht="14.25" spans="1:11">
      <c r="A1861" s="71">
        <v>11</v>
      </c>
      <c r="B1861" s="72">
        <v>30</v>
      </c>
      <c r="C1861" s="72">
        <v>24</v>
      </c>
      <c r="D1861" s="73" t="s">
        <v>2154</v>
      </c>
      <c r="E1861" s="73" t="s">
        <v>118</v>
      </c>
      <c r="F1861" s="73" t="s">
        <v>55</v>
      </c>
      <c r="G1861" s="73" t="s">
        <v>32</v>
      </c>
      <c r="H1861" s="74" t="s">
        <v>2155</v>
      </c>
      <c r="I1861" s="74">
        <v>30</v>
      </c>
      <c r="J1861" s="75">
        <v>0</v>
      </c>
      <c r="K1861" s="75"/>
    </row>
    <row r="1862" s="1" customFormat="1" ht="14.25" spans="1:11">
      <c r="A1862" s="71">
        <v>11</v>
      </c>
      <c r="B1862" s="72">
        <v>30</v>
      </c>
      <c r="C1862" s="72">
        <v>24</v>
      </c>
      <c r="D1862" s="73" t="s">
        <v>611</v>
      </c>
      <c r="E1862" s="73" t="s">
        <v>96</v>
      </c>
      <c r="F1862" s="74" t="s">
        <v>97</v>
      </c>
      <c r="G1862" s="73" t="s">
        <v>32</v>
      </c>
      <c r="H1862" s="74" t="s">
        <v>2155</v>
      </c>
      <c r="I1862" s="74">
        <v>261</v>
      </c>
      <c r="J1862" s="75">
        <v>0</v>
      </c>
      <c r="K1862" s="75"/>
    </row>
    <row r="1863" s="1" customFormat="1" ht="14.25" spans="1:11">
      <c r="A1863" s="71">
        <v>11</v>
      </c>
      <c r="B1863" s="72">
        <v>30</v>
      </c>
      <c r="C1863" s="72">
        <v>24</v>
      </c>
      <c r="D1863" s="73" t="s">
        <v>2156</v>
      </c>
      <c r="E1863" s="73" t="s">
        <v>96</v>
      </c>
      <c r="F1863" s="73" t="s">
        <v>97</v>
      </c>
      <c r="G1863" s="73" t="s">
        <v>32</v>
      </c>
      <c r="H1863" s="74" t="s">
        <v>2155</v>
      </c>
      <c r="I1863" s="74">
        <v>61</v>
      </c>
      <c r="J1863" s="75">
        <v>0</v>
      </c>
      <c r="K1863" s="75"/>
    </row>
    <row r="1864" s="1" customFormat="1" ht="14.25" spans="1:11">
      <c r="A1864" s="71">
        <v>11</v>
      </c>
      <c r="B1864" s="72">
        <v>30</v>
      </c>
      <c r="C1864" s="72">
        <v>24</v>
      </c>
      <c r="D1864" s="73" t="s">
        <v>2157</v>
      </c>
      <c r="E1864" s="73" t="s">
        <v>118</v>
      </c>
      <c r="F1864" s="73" t="s">
        <v>55</v>
      </c>
      <c r="G1864" s="73" t="s">
        <v>32</v>
      </c>
      <c r="H1864" s="74" t="s">
        <v>2155</v>
      </c>
      <c r="I1864" s="74">
        <v>80</v>
      </c>
      <c r="J1864" s="75">
        <v>0</v>
      </c>
      <c r="K1864" s="75"/>
    </row>
    <row r="1865" s="1" customFormat="1" ht="14.25" spans="1:11">
      <c r="A1865" s="71">
        <v>11</v>
      </c>
      <c r="B1865" s="72">
        <v>30</v>
      </c>
      <c r="C1865" s="72">
        <v>24</v>
      </c>
      <c r="D1865" s="73" t="s">
        <v>2158</v>
      </c>
      <c r="E1865" s="73" t="s">
        <v>118</v>
      </c>
      <c r="F1865" s="73" t="s">
        <v>55</v>
      </c>
      <c r="G1865" s="73" t="s">
        <v>32</v>
      </c>
      <c r="H1865" s="74" t="s">
        <v>2155</v>
      </c>
      <c r="I1865" s="74">
        <v>175</v>
      </c>
      <c r="J1865" s="75">
        <v>0</v>
      </c>
      <c r="K1865" s="75"/>
    </row>
    <row r="1866" s="1" customFormat="1" ht="14.25" spans="1:11">
      <c r="A1866" s="71">
        <v>11</v>
      </c>
      <c r="B1866" s="72">
        <v>30</v>
      </c>
      <c r="C1866" s="72">
        <v>25</v>
      </c>
      <c r="D1866" s="73" t="s">
        <v>275</v>
      </c>
      <c r="E1866" s="73" t="s">
        <v>48</v>
      </c>
      <c r="F1866" s="73" t="s">
        <v>1565</v>
      </c>
      <c r="G1866" s="73" t="s">
        <v>32</v>
      </c>
      <c r="H1866" s="74" t="s">
        <v>2159</v>
      </c>
      <c r="I1866" s="74">
        <v>137</v>
      </c>
      <c r="J1866" s="75">
        <v>0</v>
      </c>
      <c r="K1866" s="75"/>
    </row>
    <row r="1867" s="1" customFormat="1" ht="14.25" spans="1:11">
      <c r="A1867" s="71">
        <v>11</v>
      </c>
      <c r="B1867" s="72">
        <v>30</v>
      </c>
      <c r="C1867" s="72">
        <v>25</v>
      </c>
      <c r="D1867" s="73" t="s">
        <v>2160</v>
      </c>
      <c r="E1867" s="73" t="s">
        <v>118</v>
      </c>
      <c r="F1867" s="73" t="s">
        <v>55</v>
      </c>
      <c r="G1867" s="73" t="s">
        <v>32</v>
      </c>
      <c r="H1867" s="74" t="s">
        <v>2159</v>
      </c>
      <c r="I1867" s="74">
        <v>108</v>
      </c>
      <c r="J1867" s="75">
        <v>0</v>
      </c>
      <c r="K1867" s="75"/>
    </row>
    <row r="1868" s="1" customFormat="1" ht="14.25" spans="1:11">
      <c r="A1868" s="71">
        <v>11</v>
      </c>
      <c r="B1868" s="72">
        <v>30</v>
      </c>
      <c r="C1868" s="72">
        <v>25</v>
      </c>
      <c r="D1868" s="73" t="s">
        <v>2161</v>
      </c>
      <c r="E1868" s="73" t="s">
        <v>48</v>
      </c>
      <c r="F1868" s="73" t="s">
        <v>55</v>
      </c>
      <c r="G1868" s="73" t="s">
        <v>32</v>
      </c>
      <c r="H1868" s="74" t="s">
        <v>2159</v>
      </c>
      <c r="I1868" s="74">
        <v>68</v>
      </c>
      <c r="J1868" s="75">
        <v>0</v>
      </c>
      <c r="K1868" s="75"/>
    </row>
    <row r="1869" s="1" customFormat="1" ht="14.25" spans="1:11">
      <c r="A1869" s="71">
        <v>11</v>
      </c>
      <c r="B1869" s="72">
        <v>30</v>
      </c>
      <c r="C1869" s="72">
        <v>25</v>
      </c>
      <c r="D1869" s="73" t="s">
        <v>2162</v>
      </c>
      <c r="E1869" s="73" t="s">
        <v>118</v>
      </c>
      <c r="F1869" s="73" t="s">
        <v>55</v>
      </c>
      <c r="G1869" s="73" t="s">
        <v>32</v>
      </c>
      <c r="H1869" s="74" t="s">
        <v>2159</v>
      </c>
      <c r="I1869" s="74">
        <v>301</v>
      </c>
      <c r="J1869" s="75">
        <v>0</v>
      </c>
      <c r="K1869" s="75"/>
    </row>
    <row r="1870" s="1" customFormat="1" ht="14.25" spans="1:11">
      <c r="A1870" s="71">
        <v>11</v>
      </c>
      <c r="B1870" s="72">
        <v>30</v>
      </c>
      <c r="C1870" s="72">
        <v>25</v>
      </c>
      <c r="D1870" s="73" t="s">
        <v>2163</v>
      </c>
      <c r="E1870" s="73" t="s">
        <v>48</v>
      </c>
      <c r="F1870" s="73" t="s">
        <v>55</v>
      </c>
      <c r="G1870" s="73" t="s">
        <v>32</v>
      </c>
      <c r="H1870" s="74" t="s">
        <v>2159</v>
      </c>
      <c r="I1870" s="74">
        <v>13</v>
      </c>
      <c r="J1870" s="75">
        <v>0</v>
      </c>
      <c r="K1870" s="75"/>
    </row>
    <row r="1871" s="1" customFormat="1" ht="14.25" spans="1:11">
      <c r="A1871" s="71">
        <v>11</v>
      </c>
      <c r="B1871" s="72">
        <v>30</v>
      </c>
      <c r="C1871" s="72">
        <v>25</v>
      </c>
      <c r="D1871" s="73" t="s">
        <v>2164</v>
      </c>
      <c r="E1871" s="73" t="s">
        <v>48</v>
      </c>
      <c r="F1871" s="73" t="s">
        <v>1565</v>
      </c>
      <c r="G1871" s="73" t="s">
        <v>32</v>
      </c>
      <c r="H1871" s="74" t="s">
        <v>2165</v>
      </c>
      <c r="I1871" s="74">
        <v>5</v>
      </c>
      <c r="J1871" s="75">
        <v>0</v>
      </c>
      <c r="K1871" s="75"/>
    </row>
    <row r="1872" s="1" customFormat="1" ht="14.25" spans="1:11">
      <c r="A1872" s="71">
        <v>11</v>
      </c>
      <c r="B1872" s="72">
        <v>30</v>
      </c>
      <c r="C1872" s="72">
        <v>25</v>
      </c>
      <c r="D1872" s="73" t="s">
        <v>2166</v>
      </c>
      <c r="E1872" s="73" t="s">
        <v>48</v>
      </c>
      <c r="F1872" s="73" t="s">
        <v>1565</v>
      </c>
      <c r="G1872" s="73" t="s">
        <v>32</v>
      </c>
      <c r="H1872" s="74" t="s">
        <v>2165</v>
      </c>
      <c r="I1872" s="74">
        <v>190</v>
      </c>
      <c r="J1872" s="75">
        <v>0</v>
      </c>
      <c r="K1872" s="75"/>
    </row>
    <row r="1873" s="1" customFormat="1" ht="14.25" spans="1:11">
      <c r="A1873" s="71">
        <v>11</v>
      </c>
      <c r="B1873" s="72">
        <v>30</v>
      </c>
      <c r="C1873" s="72">
        <v>25</v>
      </c>
      <c r="D1873" s="73" t="s">
        <v>2167</v>
      </c>
      <c r="E1873" s="73" t="s">
        <v>48</v>
      </c>
      <c r="F1873" s="73" t="s">
        <v>1565</v>
      </c>
      <c r="G1873" s="73" t="s">
        <v>32</v>
      </c>
      <c r="H1873" s="74" t="s">
        <v>2165</v>
      </c>
      <c r="I1873" s="74">
        <v>90</v>
      </c>
      <c r="J1873" s="75">
        <v>0</v>
      </c>
      <c r="K1873" s="75"/>
    </row>
    <row r="1874" s="1" customFormat="1" ht="14.25" spans="1:11">
      <c r="A1874" s="71">
        <v>11</v>
      </c>
      <c r="B1874" s="72">
        <v>30</v>
      </c>
      <c r="C1874" s="72">
        <v>25</v>
      </c>
      <c r="D1874" s="73" t="s">
        <v>2168</v>
      </c>
      <c r="E1874" s="73" t="s">
        <v>118</v>
      </c>
      <c r="F1874" s="73" t="s">
        <v>55</v>
      </c>
      <c r="G1874" s="73" t="s">
        <v>32</v>
      </c>
      <c r="H1874" s="74" t="s">
        <v>2165</v>
      </c>
      <c r="I1874" s="74">
        <v>6</v>
      </c>
      <c r="J1874" s="75">
        <v>0</v>
      </c>
      <c r="K1874" s="75"/>
    </row>
    <row r="1875" s="1" customFormat="1" ht="14.25" spans="1:11">
      <c r="A1875" s="71">
        <v>11</v>
      </c>
      <c r="B1875" s="72">
        <v>30</v>
      </c>
      <c r="C1875" s="72">
        <v>25</v>
      </c>
      <c r="D1875" s="73" t="s">
        <v>2169</v>
      </c>
      <c r="E1875" s="73" t="s">
        <v>118</v>
      </c>
      <c r="F1875" s="73" t="s">
        <v>55</v>
      </c>
      <c r="G1875" s="73" t="s">
        <v>32</v>
      </c>
      <c r="H1875" s="74" t="s">
        <v>2165</v>
      </c>
      <c r="I1875" s="74">
        <v>190</v>
      </c>
      <c r="J1875" s="75">
        <v>0</v>
      </c>
      <c r="K1875" s="75"/>
    </row>
    <row r="1876" s="1" customFormat="1" ht="14.25" spans="1:11">
      <c r="A1876" s="71">
        <v>11</v>
      </c>
      <c r="B1876" s="72">
        <v>30</v>
      </c>
      <c r="C1876" s="72">
        <v>26</v>
      </c>
      <c r="D1876" s="73" t="s">
        <v>2170</v>
      </c>
      <c r="E1876" s="73" t="s">
        <v>48</v>
      </c>
      <c r="F1876" s="73" t="s">
        <v>207</v>
      </c>
      <c r="G1876" s="73" t="s">
        <v>32</v>
      </c>
      <c r="H1876" s="74" t="s">
        <v>2171</v>
      </c>
      <c r="I1876" s="74">
        <v>15</v>
      </c>
      <c r="J1876" s="75">
        <v>0</v>
      </c>
      <c r="K1876" s="75"/>
    </row>
    <row r="1877" s="1" customFormat="1" ht="14.25" spans="1:11">
      <c r="A1877" s="71">
        <v>11</v>
      </c>
      <c r="B1877" s="72">
        <v>30</v>
      </c>
      <c r="C1877" s="72">
        <v>26</v>
      </c>
      <c r="D1877" s="73" t="s">
        <v>2172</v>
      </c>
      <c r="E1877" s="73" t="s">
        <v>118</v>
      </c>
      <c r="F1877" s="73" t="s">
        <v>55</v>
      </c>
      <c r="G1877" s="73" t="s">
        <v>32</v>
      </c>
      <c r="H1877" s="74" t="s">
        <v>2171</v>
      </c>
      <c r="I1877" s="74">
        <v>6</v>
      </c>
      <c r="J1877" s="75">
        <v>0</v>
      </c>
      <c r="K1877" s="75"/>
    </row>
    <row r="1878" s="1" customFormat="1" ht="14.25" spans="1:11">
      <c r="A1878" s="71">
        <v>11</v>
      </c>
      <c r="B1878" s="72">
        <v>30</v>
      </c>
      <c r="C1878" s="72">
        <v>26</v>
      </c>
      <c r="D1878" s="73" t="s">
        <v>551</v>
      </c>
      <c r="E1878" s="73" t="s">
        <v>118</v>
      </c>
      <c r="F1878" s="73" t="s">
        <v>55</v>
      </c>
      <c r="G1878" s="73" t="s">
        <v>32</v>
      </c>
      <c r="H1878" s="74" t="s">
        <v>2171</v>
      </c>
      <c r="I1878" s="74">
        <v>80</v>
      </c>
      <c r="J1878" s="75">
        <v>0</v>
      </c>
      <c r="K1878" s="75"/>
    </row>
    <row r="1879" s="1" customFormat="1" ht="14.25" spans="1:11">
      <c r="A1879" s="71">
        <v>11</v>
      </c>
      <c r="B1879" s="72">
        <v>30</v>
      </c>
      <c r="C1879" s="72">
        <v>26</v>
      </c>
      <c r="D1879" s="73" t="s">
        <v>275</v>
      </c>
      <c r="E1879" s="73" t="s">
        <v>48</v>
      </c>
      <c r="F1879" s="73" t="s">
        <v>1565</v>
      </c>
      <c r="G1879" s="73" t="s">
        <v>32</v>
      </c>
      <c r="H1879" s="74" t="s">
        <v>2171</v>
      </c>
      <c r="I1879" s="74">
        <v>117</v>
      </c>
      <c r="J1879" s="75">
        <v>0</v>
      </c>
      <c r="K1879" s="75"/>
    </row>
    <row r="1880" s="1" customFormat="1" ht="14.25" spans="1:11">
      <c r="A1880" s="71">
        <v>11</v>
      </c>
      <c r="B1880" s="72">
        <v>30</v>
      </c>
      <c r="C1880" s="72">
        <v>26</v>
      </c>
      <c r="D1880" s="73" t="s">
        <v>2173</v>
      </c>
      <c r="E1880" s="73" t="s">
        <v>48</v>
      </c>
      <c r="F1880" s="73" t="s">
        <v>1565</v>
      </c>
      <c r="G1880" s="73" t="s">
        <v>32</v>
      </c>
      <c r="H1880" s="74" t="s">
        <v>2171</v>
      </c>
      <c r="I1880" s="74">
        <v>9</v>
      </c>
      <c r="J1880" s="75">
        <v>0</v>
      </c>
      <c r="K1880" s="75"/>
    </row>
    <row r="1881" s="1" customFormat="1" ht="14.25" spans="1:11">
      <c r="A1881" s="71">
        <v>11</v>
      </c>
      <c r="B1881" s="72">
        <v>30</v>
      </c>
      <c r="C1881" s="72">
        <v>26</v>
      </c>
      <c r="D1881" s="73" t="s">
        <v>275</v>
      </c>
      <c r="E1881" s="73" t="s">
        <v>48</v>
      </c>
      <c r="F1881" s="73" t="s">
        <v>1565</v>
      </c>
      <c r="G1881" s="73" t="s">
        <v>32</v>
      </c>
      <c r="H1881" s="74" t="s">
        <v>2174</v>
      </c>
      <c r="I1881" s="74">
        <v>139</v>
      </c>
      <c r="J1881" s="75">
        <v>0</v>
      </c>
      <c r="K1881" s="75"/>
    </row>
    <row r="1882" s="1" customFormat="1" ht="14.25" spans="1:11">
      <c r="A1882" s="71">
        <v>11</v>
      </c>
      <c r="B1882" s="72">
        <v>30</v>
      </c>
      <c r="C1882" s="72">
        <v>26</v>
      </c>
      <c r="D1882" s="73" t="s">
        <v>2175</v>
      </c>
      <c r="E1882" s="73" t="s">
        <v>48</v>
      </c>
      <c r="F1882" s="73" t="s">
        <v>55</v>
      </c>
      <c r="G1882" s="73" t="s">
        <v>32</v>
      </c>
      <c r="H1882" s="74" t="s">
        <v>2174</v>
      </c>
      <c r="I1882" s="74">
        <v>160</v>
      </c>
      <c r="J1882" s="75">
        <v>0</v>
      </c>
      <c r="K1882" s="75"/>
    </row>
    <row r="1883" s="1" customFormat="1" ht="14.25" spans="1:11">
      <c r="A1883" s="71">
        <v>11</v>
      </c>
      <c r="B1883" s="72">
        <v>30</v>
      </c>
      <c r="C1883" s="72">
        <v>26</v>
      </c>
      <c r="D1883" s="73" t="s">
        <v>2176</v>
      </c>
      <c r="E1883" s="73" t="s">
        <v>118</v>
      </c>
      <c r="F1883" s="73" t="s">
        <v>55</v>
      </c>
      <c r="G1883" s="73" t="s">
        <v>32</v>
      </c>
      <c r="H1883" s="74" t="s">
        <v>2174</v>
      </c>
      <c r="I1883" s="74">
        <v>930</v>
      </c>
      <c r="J1883" s="75">
        <v>0</v>
      </c>
      <c r="K1883" s="75"/>
    </row>
    <row r="1884" s="1" customFormat="1" ht="14.25" spans="1:11">
      <c r="A1884" s="71">
        <v>11</v>
      </c>
      <c r="B1884" s="72">
        <v>30</v>
      </c>
      <c r="C1884" s="72">
        <v>27</v>
      </c>
      <c r="D1884" s="73" t="s">
        <v>2177</v>
      </c>
      <c r="E1884" s="73" t="s">
        <v>118</v>
      </c>
      <c r="F1884" s="73" t="s">
        <v>55</v>
      </c>
      <c r="G1884" s="73" t="s">
        <v>32</v>
      </c>
      <c r="H1884" s="74" t="s">
        <v>2178</v>
      </c>
      <c r="I1884" s="74">
        <v>12000</v>
      </c>
      <c r="J1884" s="75">
        <v>0</v>
      </c>
      <c r="K1884" s="75"/>
    </row>
    <row r="1885" s="1" customFormat="1" ht="14.25" spans="1:11">
      <c r="A1885" s="71">
        <v>11</v>
      </c>
      <c r="B1885" s="72">
        <v>30</v>
      </c>
      <c r="C1885" s="72">
        <v>27</v>
      </c>
      <c r="D1885" s="73" t="s">
        <v>2179</v>
      </c>
      <c r="E1885" s="73" t="s">
        <v>96</v>
      </c>
      <c r="F1885" s="73" t="s">
        <v>345</v>
      </c>
      <c r="G1885" s="73" t="s">
        <v>32</v>
      </c>
      <c r="H1885" s="74" t="s">
        <v>2178</v>
      </c>
      <c r="I1885" s="74">
        <v>140</v>
      </c>
      <c r="J1885" s="75">
        <v>0</v>
      </c>
      <c r="K1885" s="75"/>
    </row>
    <row r="1886" s="1" customFormat="1" ht="14.25" spans="1:11">
      <c r="A1886" s="71">
        <v>11</v>
      </c>
      <c r="B1886" s="72">
        <v>30</v>
      </c>
      <c r="C1886" s="72">
        <v>27</v>
      </c>
      <c r="D1886" s="73" t="s">
        <v>2180</v>
      </c>
      <c r="E1886" s="73" t="s">
        <v>118</v>
      </c>
      <c r="F1886" s="73" t="s">
        <v>55</v>
      </c>
      <c r="G1886" s="73" t="s">
        <v>32</v>
      </c>
      <c r="H1886" s="74" t="s">
        <v>2178</v>
      </c>
      <c r="I1886" s="74">
        <v>1920</v>
      </c>
      <c r="J1886" s="75">
        <v>0</v>
      </c>
      <c r="K1886" s="75"/>
    </row>
    <row r="1887" s="1" customFormat="1" ht="14.25" spans="1:11">
      <c r="A1887" s="71">
        <v>11</v>
      </c>
      <c r="B1887" s="72">
        <v>30</v>
      </c>
      <c r="C1887" s="72">
        <v>27</v>
      </c>
      <c r="D1887" s="73" t="s">
        <v>2181</v>
      </c>
      <c r="E1887" s="73" t="s">
        <v>118</v>
      </c>
      <c r="F1887" s="73" t="s">
        <v>55</v>
      </c>
      <c r="G1887" s="73" t="s">
        <v>32</v>
      </c>
      <c r="H1887" s="74" t="s">
        <v>2178</v>
      </c>
      <c r="I1887" s="74">
        <v>322</v>
      </c>
      <c r="J1887" s="75">
        <v>0</v>
      </c>
      <c r="K1887" s="75"/>
    </row>
    <row r="1888" s="1" customFormat="1" ht="14.25" spans="1:11">
      <c r="A1888" s="71">
        <v>11</v>
      </c>
      <c r="B1888" s="72">
        <v>30</v>
      </c>
      <c r="C1888" s="72">
        <v>27</v>
      </c>
      <c r="D1888" s="73" t="s">
        <v>2182</v>
      </c>
      <c r="E1888" s="73" t="s">
        <v>118</v>
      </c>
      <c r="F1888" s="73" t="s">
        <v>55</v>
      </c>
      <c r="G1888" s="73" t="s">
        <v>32</v>
      </c>
      <c r="H1888" s="74" t="s">
        <v>2178</v>
      </c>
      <c r="I1888" s="74">
        <v>7800</v>
      </c>
      <c r="J1888" s="75">
        <v>0</v>
      </c>
      <c r="K1888" s="75"/>
    </row>
    <row r="1889" s="1" customFormat="1" ht="14.25" spans="1:11">
      <c r="A1889" s="71">
        <v>11</v>
      </c>
      <c r="B1889" s="72">
        <v>30</v>
      </c>
      <c r="C1889" s="72">
        <v>27</v>
      </c>
      <c r="D1889" s="73" t="s">
        <v>2183</v>
      </c>
      <c r="E1889" s="73" t="s">
        <v>96</v>
      </c>
      <c r="F1889" s="73" t="s">
        <v>55</v>
      </c>
      <c r="G1889" s="73" t="s">
        <v>32</v>
      </c>
      <c r="H1889" s="74" t="s">
        <v>2184</v>
      </c>
      <c r="I1889" s="74">
        <v>480</v>
      </c>
      <c r="J1889" s="75">
        <v>0</v>
      </c>
      <c r="K1889" s="75"/>
    </row>
    <row r="1890" s="1" customFormat="1" ht="14.25" spans="1:11">
      <c r="A1890" s="71">
        <v>11</v>
      </c>
      <c r="B1890" s="72">
        <v>30</v>
      </c>
      <c r="C1890" s="72">
        <v>27</v>
      </c>
      <c r="D1890" s="73" t="s">
        <v>2185</v>
      </c>
      <c r="E1890" s="73" t="s">
        <v>118</v>
      </c>
      <c r="F1890" s="73" t="s">
        <v>55</v>
      </c>
      <c r="G1890" s="73" t="s">
        <v>32</v>
      </c>
      <c r="H1890" s="74" t="s">
        <v>2184</v>
      </c>
      <c r="I1890" s="74">
        <v>370</v>
      </c>
      <c r="J1890" s="75">
        <v>0</v>
      </c>
      <c r="K1890" s="75"/>
    </row>
    <row r="1891" s="1" customFormat="1" ht="14.25" spans="1:11">
      <c r="A1891" s="71">
        <v>11</v>
      </c>
      <c r="B1891" s="72">
        <v>30</v>
      </c>
      <c r="C1891" s="72">
        <v>27</v>
      </c>
      <c r="D1891" s="73" t="s">
        <v>275</v>
      </c>
      <c r="E1891" s="73" t="s">
        <v>48</v>
      </c>
      <c r="F1891" s="73" t="s">
        <v>1565</v>
      </c>
      <c r="G1891" s="73" t="s">
        <v>32</v>
      </c>
      <c r="H1891" s="74" t="s">
        <v>2184</v>
      </c>
      <c r="I1891" s="74">
        <v>356</v>
      </c>
      <c r="J1891" s="75">
        <v>0</v>
      </c>
      <c r="K1891" s="75"/>
    </row>
    <row r="1892" s="1" customFormat="1" ht="14.25" spans="1:11">
      <c r="A1892" s="71">
        <v>11</v>
      </c>
      <c r="B1892" s="72">
        <v>30</v>
      </c>
      <c r="C1892" s="72">
        <v>27</v>
      </c>
      <c r="D1892" s="73" t="s">
        <v>2186</v>
      </c>
      <c r="E1892" s="73" t="s">
        <v>118</v>
      </c>
      <c r="F1892" s="73" t="s">
        <v>55</v>
      </c>
      <c r="G1892" s="73" t="s">
        <v>32</v>
      </c>
      <c r="H1892" s="74" t="s">
        <v>2184</v>
      </c>
      <c r="I1892" s="74">
        <v>716</v>
      </c>
      <c r="J1892" s="75">
        <v>0</v>
      </c>
      <c r="K1892" s="75"/>
    </row>
    <row r="1893" s="1" customFormat="1" ht="14.25" spans="1:11">
      <c r="A1893" s="71">
        <v>11</v>
      </c>
      <c r="B1893" s="72">
        <v>30</v>
      </c>
      <c r="C1893" s="72">
        <v>27</v>
      </c>
      <c r="D1893" s="73" t="s">
        <v>2187</v>
      </c>
      <c r="E1893" s="73" t="s">
        <v>118</v>
      </c>
      <c r="F1893" s="74" t="s">
        <v>55</v>
      </c>
      <c r="G1893" s="73" t="s">
        <v>32</v>
      </c>
      <c r="H1893" s="74" t="s">
        <v>2184</v>
      </c>
      <c r="I1893" s="74">
        <v>825</v>
      </c>
      <c r="J1893" s="75">
        <v>0</v>
      </c>
      <c r="K1893" s="75"/>
    </row>
    <row r="1894" s="1" customFormat="1" ht="14.25" spans="1:11">
      <c r="A1894" s="71">
        <v>11</v>
      </c>
      <c r="B1894" s="72">
        <v>30</v>
      </c>
      <c r="C1894" s="72">
        <v>28</v>
      </c>
      <c r="D1894" s="73" t="s">
        <v>2188</v>
      </c>
      <c r="E1894" s="73" t="s">
        <v>48</v>
      </c>
      <c r="F1894" s="73" t="s">
        <v>1565</v>
      </c>
      <c r="G1894" s="73" t="s">
        <v>32</v>
      </c>
      <c r="H1894" s="74" t="s">
        <v>2189</v>
      </c>
      <c r="I1894" s="74">
        <v>1021</v>
      </c>
      <c r="J1894" s="75">
        <v>0</v>
      </c>
      <c r="K1894" s="75"/>
    </row>
    <row r="1895" s="1" customFormat="1" ht="14.25" spans="1:11">
      <c r="A1895" s="71">
        <v>11</v>
      </c>
      <c r="B1895" s="72">
        <v>30</v>
      </c>
      <c r="C1895" s="72">
        <v>28</v>
      </c>
      <c r="D1895" s="73" t="s">
        <v>275</v>
      </c>
      <c r="E1895" s="73" t="s">
        <v>48</v>
      </c>
      <c r="F1895" s="73" t="s">
        <v>1565</v>
      </c>
      <c r="G1895" s="73" t="s">
        <v>32</v>
      </c>
      <c r="H1895" s="74" t="s">
        <v>2189</v>
      </c>
      <c r="I1895" s="74">
        <v>206</v>
      </c>
      <c r="J1895" s="75">
        <v>0</v>
      </c>
      <c r="K1895" s="75"/>
    </row>
    <row r="1896" s="1" customFormat="1" ht="14.25" spans="1:11">
      <c r="A1896" s="71">
        <v>11</v>
      </c>
      <c r="B1896" s="72">
        <v>30</v>
      </c>
      <c r="C1896" s="72">
        <v>28</v>
      </c>
      <c r="D1896" s="73" t="s">
        <v>2190</v>
      </c>
      <c r="E1896" s="73" t="s">
        <v>118</v>
      </c>
      <c r="F1896" s="73" t="s">
        <v>2191</v>
      </c>
      <c r="G1896" s="73" t="s">
        <v>32</v>
      </c>
      <c r="H1896" s="74" t="s">
        <v>2189</v>
      </c>
      <c r="I1896" s="74">
        <v>3881</v>
      </c>
      <c r="J1896" s="75">
        <v>0</v>
      </c>
      <c r="K1896" s="75"/>
    </row>
    <row r="1897" s="1" customFormat="1" ht="14.25" spans="1:11">
      <c r="A1897" s="71">
        <v>11</v>
      </c>
      <c r="B1897" s="72">
        <v>30</v>
      </c>
      <c r="C1897" s="72">
        <v>28</v>
      </c>
      <c r="D1897" s="73" t="s">
        <v>2192</v>
      </c>
      <c r="E1897" s="73" t="s">
        <v>118</v>
      </c>
      <c r="F1897" s="73" t="s">
        <v>2191</v>
      </c>
      <c r="G1897" s="73" t="s">
        <v>32</v>
      </c>
      <c r="H1897" s="74" t="s">
        <v>2189</v>
      </c>
      <c r="I1897" s="74">
        <v>1720</v>
      </c>
      <c r="J1897" s="75">
        <v>0</v>
      </c>
      <c r="K1897" s="75"/>
    </row>
    <row r="1898" s="1" customFormat="1" ht="14.25" spans="1:11">
      <c r="A1898" s="71">
        <v>11</v>
      </c>
      <c r="B1898" s="72">
        <v>30</v>
      </c>
      <c r="C1898" s="72">
        <v>28</v>
      </c>
      <c r="D1898" s="73" t="s">
        <v>2193</v>
      </c>
      <c r="E1898" s="73" t="s">
        <v>118</v>
      </c>
      <c r="F1898" s="73" t="s">
        <v>55</v>
      </c>
      <c r="G1898" s="73" t="s">
        <v>32</v>
      </c>
      <c r="H1898" s="74" t="s">
        <v>2189</v>
      </c>
      <c r="I1898" s="74">
        <v>55</v>
      </c>
      <c r="J1898" s="75">
        <v>0</v>
      </c>
      <c r="K1898" s="75"/>
    </row>
    <row r="1899" s="1" customFormat="1" ht="14.25" spans="1:11">
      <c r="A1899" s="71">
        <v>11</v>
      </c>
      <c r="B1899" s="72">
        <v>30</v>
      </c>
      <c r="C1899" s="72">
        <v>28</v>
      </c>
      <c r="D1899" s="73" t="s">
        <v>2194</v>
      </c>
      <c r="E1899" s="73" t="s">
        <v>96</v>
      </c>
      <c r="F1899" s="73" t="s">
        <v>97</v>
      </c>
      <c r="G1899" s="73" t="s">
        <v>32</v>
      </c>
      <c r="H1899" s="74" t="s">
        <v>2195</v>
      </c>
      <c r="I1899" s="74">
        <v>84</v>
      </c>
      <c r="J1899" s="75">
        <v>0</v>
      </c>
      <c r="K1899" s="75"/>
    </row>
    <row r="1900" s="1" customFormat="1" ht="14.25" spans="1:11">
      <c r="A1900" s="71">
        <v>11</v>
      </c>
      <c r="B1900" s="72">
        <v>30</v>
      </c>
      <c r="C1900" s="72">
        <v>28</v>
      </c>
      <c r="D1900" s="73" t="s">
        <v>2196</v>
      </c>
      <c r="E1900" s="73" t="s">
        <v>118</v>
      </c>
      <c r="F1900" s="73" t="s">
        <v>55</v>
      </c>
      <c r="G1900" s="73" t="s">
        <v>32</v>
      </c>
      <c r="H1900" s="74" t="s">
        <v>2195</v>
      </c>
      <c r="I1900" s="74">
        <v>113</v>
      </c>
      <c r="J1900" s="75">
        <v>0</v>
      </c>
      <c r="K1900" s="75"/>
    </row>
    <row r="1901" s="1" customFormat="1" ht="14.25" spans="1:11">
      <c r="A1901" s="71">
        <v>11</v>
      </c>
      <c r="B1901" s="72">
        <v>30</v>
      </c>
      <c r="C1901" s="72">
        <v>28</v>
      </c>
      <c r="D1901" s="73" t="s">
        <v>2197</v>
      </c>
      <c r="E1901" s="73" t="s">
        <v>118</v>
      </c>
      <c r="F1901" s="73" t="s">
        <v>55</v>
      </c>
      <c r="G1901" s="73" t="s">
        <v>32</v>
      </c>
      <c r="H1901" s="74" t="s">
        <v>2195</v>
      </c>
      <c r="I1901" s="74">
        <v>5040</v>
      </c>
      <c r="J1901" s="75">
        <v>0</v>
      </c>
      <c r="K1901" s="75"/>
    </row>
    <row r="1902" s="1" customFormat="1" ht="14.25" spans="1:11">
      <c r="A1902" s="71">
        <v>11</v>
      </c>
      <c r="B1902" s="72">
        <v>30</v>
      </c>
      <c r="C1902" s="72">
        <v>28</v>
      </c>
      <c r="D1902" s="73" t="s">
        <v>1229</v>
      </c>
      <c r="E1902" s="73" t="s">
        <v>118</v>
      </c>
      <c r="F1902" s="73" t="s">
        <v>55</v>
      </c>
      <c r="G1902" s="73" t="s">
        <v>32</v>
      </c>
      <c r="H1902" s="74" t="s">
        <v>2195</v>
      </c>
      <c r="I1902" s="74">
        <v>2880</v>
      </c>
      <c r="J1902" s="75">
        <v>0</v>
      </c>
      <c r="K1902" s="75"/>
    </row>
    <row r="1903" s="1" customFormat="1" ht="14.25" spans="1:11">
      <c r="A1903" s="71">
        <v>11</v>
      </c>
      <c r="B1903" s="72">
        <v>30</v>
      </c>
      <c r="C1903" s="72">
        <v>28</v>
      </c>
      <c r="D1903" s="73" t="s">
        <v>504</v>
      </c>
      <c r="E1903" s="73" t="s">
        <v>118</v>
      </c>
      <c r="F1903" s="73" t="s">
        <v>55</v>
      </c>
      <c r="G1903" s="73" t="s">
        <v>32</v>
      </c>
      <c r="H1903" s="74" t="s">
        <v>2195</v>
      </c>
      <c r="I1903" s="74">
        <v>12599</v>
      </c>
      <c r="J1903" s="75">
        <v>0</v>
      </c>
      <c r="K1903" s="75"/>
    </row>
    <row r="1904" s="1" customFormat="1" ht="14.25" spans="1:11">
      <c r="A1904" s="71">
        <v>11</v>
      </c>
      <c r="B1904" s="72">
        <v>30</v>
      </c>
      <c r="C1904" s="72">
        <v>29</v>
      </c>
      <c r="D1904" s="73" t="s">
        <v>2198</v>
      </c>
      <c r="E1904" s="73" t="s">
        <v>48</v>
      </c>
      <c r="F1904" s="73" t="s">
        <v>1565</v>
      </c>
      <c r="G1904" s="73" t="s">
        <v>32</v>
      </c>
      <c r="H1904" s="74" t="s">
        <v>2199</v>
      </c>
      <c r="I1904" s="74">
        <v>193</v>
      </c>
      <c r="J1904" s="75">
        <v>0</v>
      </c>
      <c r="K1904" s="75"/>
    </row>
    <row r="1905" s="1" customFormat="1" ht="14.25" spans="1:11">
      <c r="A1905" s="71">
        <v>11</v>
      </c>
      <c r="B1905" s="72">
        <v>30</v>
      </c>
      <c r="C1905" s="72">
        <v>29</v>
      </c>
      <c r="D1905" s="73" t="s">
        <v>2200</v>
      </c>
      <c r="E1905" s="73" t="s">
        <v>118</v>
      </c>
      <c r="F1905" s="73" t="s">
        <v>55</v>
      </c>
      <c r="G1905" s="73" t="s">
        <v>32</v>
      </c>
      <c r="H1905" s="74" t="s">
        <v>2199</v>
      </c>
      <c r="I1905" s="74">
        <v>288</v>
      </c>
      <c r="J1905" s="75">
        <v>0</v>
      </c>
      <c r="K1905" s="75"/>
    </row>
    <row r="1906" s="1" customFormat="1" ht="14.25" spans="1:11">
      <c r="A1906" s="71">
        <v>11</v>
      </c>
      <c r="B1906" s="72">
        <v>30</v>
      </c>
      <c r="C1906" s="72">
        <v>29</v>
      </c>
      <c r="D1906" s="73" t="s">
        <v>2201</v>
      </c>
      <c r="E1906" s="73" t="s">
        <v>118</v>
      </c>
      <c r="F1906" s="73" t="s">
        <v>55</v>
      </c>
      <c r="G1906" s="73" t="s">
        <v>32</v>
      </c>
      <c r="H1906" s="74" t="s">
        <v>2199</v>
      </c>
      <c r="I1906" s="74">
        <v>237</v>
      </c>
      <c r="J1906" s="75">
        <v>0</v>
      </c>
      <c r="K1906" s="75"/>
    </row>
    <row r="1907" s="1" customFormat="1" ht="14.25" spans="1:11">
      <c r="A1907" s="71">
        <v>11</v>
      </c>
      <c r="B1907" s="72">
        <v>30</v>
      </c>
      <c r="C1907" s="72">
        <v>29</v>
      </c>
      <c r="D1907" s="73" t="s">
        <v>1004</v>
      </c>
      <c r="E1907" s="73" t="s">
        <v>96</v>
      </c>
      <c r="F1907" s="73" t="s">
        <v>1561</v>
      </c>
      <c r="G1907" s="73" t="s">
        <v>32</v>
      </c>
      <c r="H1907" s="74" t="s">
        <v>2199</v>
      </c>
      <c r="I1907" s="74">
        <v>4</v>
      </c>
      <c r="J1907" s="75">
        <v>0</v>
      </c>
      <c r="K1907" s="75"/>
    </row>
    <row r="1908" s="1" customFormat="1" ht="14.25" spans="1:11">
      <c r="A1908" s="71">
        <v>11</v>
      </c>
      <c r="B1908" s="72">
        <v>30</v>
      </c>
      <c r="C1908" s="72">
        <v>29</v>
      </c>
      <c r="D1908" s="73" t="s">
        <v>275</v>
      </c>
      <c r="E1908" s="73" t="s">
        <v>48</v>
      </c>
      <c r="F1908" s="73" t="s">
        <v>1565</v>
      </c>
      <c r="G1908" s="73" t="s">
        <v>32</v>
      </c>
      <c r="H1908" s="74" t="s">
        <v>2202</v>
      </c>
      <c r="I1908" s="74">
        <v>116</v>
      </c>
      <c r="J1908" s="75">
        <v>0</v>
      </c>
      <c r="K1908" s="75"/>
    </row>
    <row r="1909" s="1" customFormat="1" ht="14.25" spans="1:11">
      <c r="A1909" s="71">
        <v>11</v>
      </c>
      <c r="B1909" s="72">
        <v>30</v>
      </c>
      <c r="C1909" s="72">
        <v>29</v>
      </c>
      <c r="D1909" s="73" t="s">
        <v>2203</v>
      </c>
      <c r="E1909" s="73" t="s">
        <v>118</v>
      </c>
      <c r="F1909" s="73" t="s">
        <v>55</v>
      </c>
      <c r="G1909" s="73" t="s">
        <v>32</v>
      </c>
      <c r="H1909" s="74" t="s">
        <v>2202</v>
      </c>
      <c r="I1909" s="74">
        <v>190</v>
      </c>
      <c r="J1909" s="75">
        <v>0</v>
      </c>
      <c r="K1909" s="75"/>
    </row>
    <row r="1910" s="1" customFormat="1" ht="14.25" spans="1:11">
      <c r="A1910" s="71">
        <v>11</v>
      </c>
      <c r="B1910" s="72">
        <v>30</v>
      </c>
      <c r="C1910" s="72">
        <v>29</v>
      </c>
      <c r="D1910" s="73" t="s">
        <v>2204</v>
      </c>
      <c r="E1910" s="73" t="s">
        <v>48</v>
      </c>
      <c r="F1910" s="73" t="s">
        <v>55</v>
      </c>
      <c r="G1910" s="73" t="s">
        <v>32</v>
      </c>
      <c r="H1910" s="74" t="s">
        <v>2202</v>
      </c>
      <c r="I1910" s="74">
        <v>180</v>
      </c>
      <c r="J1910" s="75">
        <v>0</v>
      </c>
      <c r="K1910" s="75"/>
    </row>
    <row r="1911" s="1" customFormat="1" ht="14.25" spans="1:11">
      <c r="A1911" s="71">
        <v>11</v>
      </c>
      <c r="B1911" s="72">
        <v>30</v>
      </c>
      <c r="C1911" s="72">
        <v>29</v>
      </c>
      <c r="D1911" s="73" t="s">
        <v>2205</v>
      </c>
      <c r="E1911" s="73" t="s">
        <v>172</v>
      </c>
      <c r="F1911" s="73" t="s">
        <v>681</v>
      </c>
      <c r="G1911" s="73" t="s">
        <v>32</v>
      </c>
      <c r="H1911" s="74" t="s">
        <v>2202</v>
      </c>
      <c r="I1911" s="74">
        <v>130</v>
      </c>
      <c r="J1911" s="75">
        <v>0</v>
      </c>
      <c r="K1911" s="75"/>
    </row>
    <row r="1912" s="1" customFormat="1" ht="14.25" spans="1:11">
      <c r="A1912" s="71">
        <v>11</v>
      </c>
      <c r="B1912" s="72">
        <v>30</v>
      </c>
      <c r="C1912" s="72">
        <v>29</v>
      </c>
      <c r="D1912" s="73" t="s">
        <v>2206</v>
      </c>
      <c r="E1912" s="73" t="s">
        <v>48</v>
      </c>
      <c r="F1912" s="73" t="s">
        <v>207</v>
      </c>
      <c r="G1912" s="73" t="s">
        <v>32</v>
      </c>
      <c r="H1912" s="74" t="s">
        <v>2202</v>
      </c>
      <c r="I1912" s="74">
        <v>82</v>
      </c>
      <c r="J1912" s="75">
        <v>0</v>
      </c>
      <c r="K1912" s="75"/>
    </row>
    <row r="1913" s="1" customFormat="1" ht="14.25" spans="1:11">
      <c r="A1913" s="71">
        <v>11</v>
      </c>
      <c r="B1913" s="72">
        <v>30</v>
      </c>
      <c r="C1913" s="72">
        <v>30</v>
      </c>
      <c r="D1913" s="73" t="s">
        <v>2207</v>
      </c>
      <c r="E1913" s="73" t="s">
        <v>48</v>
      </c>
      <c r="F1913" s="73" t="s">
        <v>1565</v>
      </c>
      <c r="G1913" s="73" t="s">
        <v>32</v>
      </c>
      <c r="H1913" s="74" t="s">
        <v>2208</v>
      </c>
      <c r="I1913" s="74">
        <v>125</v>
      </c>
      <c r="J1913" s="75">
        <v>0</v>
      </c>
      <c r="K1913" s="75"/>
    </row>
    <row r="1914" s="1" customFormat="1" ht="14.25" spans="1:11">
      <c r="A1914" s="71">
        <v>11</v>
      </c>
      <c r="B1914" s="72">
        <v>30</v>
      </c>
      <c r="C1914" s="72">
        <v>30</v>
      </c>
      <c r="D1914" s="73" t="s">
        <v>2209</v>
      </c>
      <c r="E1914" s="73" t="s">
        <v>85</v>
      </c>
      <c r="F1914" s="73" t="s">
        <v>1364</v>
      </c>
      <c r="G1914" s="73" t="s">
        <v>32</v>
      </c>
      <c r="H1914" s="74" t="s">
        <v>2208</v>
      </c>
      <c r="I1914" s="74">
        <v>840</v>
      </c>
      <c r="J1914" s="75">
        <v>0</v>
      </c>
      <c r="K1914" s="75"/>
    </row>
    <row r="1915" s="1" customFormat="1" ht="14.25" spans="1:11">
      <c r="A1915" s="71">
        <v>11</v>
      </c>
      <c r="B1915" s="72">
        <v>30</v>
      </c>
      <c r="C1915" s="72">
        <v>30</v>
      </c>
      <c r="D1915" s="73" t="s">
        <v>2210</v>
      </c>
      <c r="E1915" s="73" t="s">
        <v>172</v>
      </c>
      <c r="F1915" s="73" t="s">
        <v>216</v>
      </c>
      <c r="G1915" s="73" t="s">
        <v>32</v>
      </c>
      <c r="H1915" s="74" t="s">
        <v>2208</v>
      </c>
      <c r="I1915" s="74">
        <v>46041</v>
      </c>
      <c r="J1915" s="75">
        <v>0</v>
      </c>
      <c r="K1915" s="75"/>
    </row>
    <row r="1916" s="1" customFormat="1" ht="14.25" spans="1:11">
      <c r="A1916" s="71">
        <v>11</v>
      </c>
      <c r="B1916" s="72">
        <v>30</v>
      </c>
      <c r="C1916" s="72">
        <v>30</v>
      </c>
      <c r="D1916" s="73" t="s">
        <v>2211</v>
      </c>
      <c r="E1916" s="73" t="s">
        <v>37</v>
      </c>
      <c r="F1916" s="73">
        <v>0</v>
      </c>
      <c r="G1916" s="73" t="s">
        <v>32</v>
      </c>
      <c r="H1916" s="74" t="s">
        <v>2208</v>
      </c>
      <c r="I1916" s="74">
        <v>6606</v>
      </c>
      <c r="J1916" s="75">
        <v>0</v>
      </c>
      <c r="K1916" s="75"/>
    </row>
    <row r="1917" s="1" customFormat="1" ht="14.25" spans="1:11">
      <c r="A1917" s="71">
        <v>11</v>
      </c>
      <c r="B1917" s="72">
        <v>30</v>
      </c>
      <c r="C1917" s="72">
        <v>30</v>
      </c>
      <c r="D1917" s="73" t="s">
        <v>2212</v>
      </c>
      <c r="E1917" s="73" t="s">
        <v>37</v>
      </c>
      <c r="F1917" s="73">
        <v>0</v>
      </c>
      <c r="G1917" s="73" t="s">
        <v>32</v>
      </c>
      <c r="H1917" s="74" t="s">
        <v>2208</v>
      </c>
      <c r="I1917" s="74">
        <v>7652</v>
      </c>
      <c r="J1917" s="75">
        <v>0</v>
      </c>
      <c r="K1917" s="75"/>
    </row>
    <row r="1918" s="1" customFormat="1" ht="14.25" spans="1:11">
      <c r="A1918" s="71">
        <v>11</v>
      </c>
      <c r="B1918" s="72">
        <v>30</v>
      </c>
      <c r="C1918" s="72">
        <v>30</v>
      </c>
      <c r="D1918" s="73" t="s">
        <v>1745</v>
      </c>
      <c r="E1918" s="73" t="s">
        <v>118</v>
      </c>
      <c r="F1918" s="73" t="s">
        <v>55</v>
      </c>
      <c r="G1918" s="73" t="s">
        <v>32</v>
      </c>
      <c r="H1918" s="74" t="s">
        <v>2213</v>
      </c>
      <c r="I1918" s="74">
        <v>60</v>
      </c>
      <c r="J1918" s="75">
        <v>0</v>
      </c>
      <c r="K1918" s="75"/>
    </row>
    <row r="1919" s="1" customFormat="1" ht="14.25" spans="1:11">
      <c r="A1919" s="71">
        <v>11</v>
      </c>
      <c r="B1919" s="72">
        <v>30</v>
      </c>
      <c r="C1919" s="72">
        <v>30</v>
      </c>
      <c r="D1919" s="73" t="s">
        <v>2214</v>
      </c>
      <c r="E1919" s="73" t="s">
        <v>48</v>
      </c>
      <c r="F1919" s="73" t="s">
        <v>55</v>
      </c>
      <c r="G1919" s="73" t="s">
        <v>32</v>
      </c>
      <c r="H1919" s="74" t="s">
        <v>2213</v>
      </c>
      <c r="I1919" s="74">
        <v>240</v>
      </c>
      <c r="J1919" s="75">
        <v>0</v>
      </c>
      <c r="K1919" s="75"/>
    </row>
    <row r="1920" s="1" customFormat="1" ht="14.25" spans="1:11">
      <c r="A1920" s="71">
        <v>11</v>
      </c>
      <c r="B1920" s="72">
        <v>30</v>
      </c>
      <c r="C1920" s="72">
        <v>30</v>
      </c>
      <c r="D1920" s="73" t="s">
        <v>2073</v>
      </c>
      <c r="E1920" s="73" t="s">
        <v>172</v>
      </c>
      <c r="F1920" s="73" t="s">
        <v>2074</v>
      </c>
      <c r="G1920" s="73" t="s">
        <v>32</v>
      </c>
      <c r="H1920" s="74" t="s">
        <v>2213</v>
      </c>
      <c r="I1920" s="74">
        <v>340</v>
      </c>
      <c r="J1920" s="75">
        <v>0</v>
      </c>
      <c r="K1920" s="75"/>
    </row>
    <row r="1921" s="1" customFormat="1" ht="14.25" spans="1:11">
      <c r="A1921" s="71">
        <v>11</v>
      </c>
      <c r="B1921" s="72">
        <v>30</v>
      </c>
      <c r="C1921" s="72">
        <v>30</v>
      </c>
      <c r="D1921" s="73" t="s">
        <v>2215</v>
      </c>
      <c r="E1921" s="73" t="s">
        <v>118</v>
      </c>
      <c r="F1921" s="73" t="s">
        <v>55</v>
      </c>
      <c r="G1921" s="73" t="s">
        <v>32</v>
      </c>
      <c r="H1921" s="74" t="s">
        <v>2213</v>
      </c>
      <c r="I1921" s="74">
        <v>1262</v>
      </c>
      <c r="J1921" s="75">
        <v>0</v>
      </c>
      <c r="K1921" s="75"/>
    </row>
    <row r="1922" s="1" customFormat="1" ht="14.25" spans="1:11">
      <c r="A1922" s="71">
        <v>11</v>
      </c>
      <c r="B1922" s="72">
        <v>30</v>
      </c>
      <c r="C1922" s="72">
        <v>31</v>
      </c>
      <c r="D1922" s="73" t="s">
        <v>275</v>
      </c>
      <c r="E1922" s="73" t="s">
        <v>48</v>
      </c>
      <c r="F1922" s="73" t="s">
        <v>1565</v>
      </c>
      <c r="G1922" s="73" t="s">
        <v>32</v>
      </c>
      <c r="H1922" s="74" t="s">
        <v>2216</v>
      </c>
      <c r="I1922" s="74">
        <v>190</v>
      </c>
      <c r="J1922" s="75">
        <v>0</v>
      </c>
      <c r="K1922" s="75"/>
    </row>
    <row r="1923" s="1" customFormat="1" ht="14.25" spans="1:11">
      <c r="A1923" s="71">
        <v>11</v>
      </c>
      <c r="B1923" s="72">
        <v>30</v>
      </c>
      <c r="C1923" s="72">
        <v>31</v>
      </c>
      <c r="D1923" s="73" t="s">
        <v>1735</v>
      </c>
      <c r="E1923" s="73" t="s">
        <v>48</v>
      </c>
      <c r="F1923" s="73" t="s">
        <v>1565</v>
      </c>
      <c r="G1923" s="73" t="s">
        <v>32</v>
      </c>
      <c r="H1923" s="74" t="s">
        <v>2216</v>
      </c>
      <c r="I1923" s="74">
        <v>2</v>
      </c>
      <c r="J1923" s="75">
        <v>0</v>
      </c>
      <c r="K1923" s="75"/>
    </row>
    <row r="1924" s="1" customFormat="1" ht="14.25" spans="1:11">
      <c r="A1924" s="71">
        <v>11</v>
      </c>
      <c r="B1924" s="72">
        <v>30</v>
      </c>
      <c r="C1924" s="72">
        <v>31</v>
      </c>
      <c r="D1924" s="73" t="s">
        <v>2217</v>
      </c>
      <c r="E1924" s="73" t="s">
        <v>96</v>
      </c>
      <c r="F1924" s="73" t="s">
        <v>1561</v>
      </c>
      <c r="G1924" s="73" t="s">
        <v>32</v>
      </c>
      <c r="H1924" s="74" t="s">
        <v>2216</v>
      </c>
      <c r="I1924" s="74">
        <v>110</v>
      </c>
      <c r="J1924" s="75">
        <v>0</v>
      </c>
      <c r="K1924" s="75"/>
    </row>
    <row r="1925" s="1" customFormat="1" ht="14.25" spans="1:11">
      <c r="A1925" s="71">
        <v>11</v>
      </c>
      <c r="B1925" s="72">
        <v>30</v>
      </c>
      <c r="C1925" s="72">
        <v>31</v>
      </c>
      <c r="D1925" s="73" t="s">
        <v>2218</v>
      </c>
      <c r="E1925" s="73" t="s">
        <v>96</v>
      </c>
      <c r="F1925" s="73" t="s">
        <v>97</v>
      </c>
      <c r="G1925" s="73" t="s">
        <v>32</v>
      </c>
      <c r="H1925" s="74" t="s">
        <v>2216</v>
      </c>
      <c r="I1925" s="74">
        <v>196</v>
      </c>
      <c r="J1925" s="75">
        <v>0</v>
      </c>
      <c r="K1925" s="75"/>
    </row>
    <row r="1926" s="1" customFormat="1" ht="14.25" spans="1:11">
      <c r="A1926" s="71">
        <v>11</v>
      </c>
      <c r="B1926" s="72">
        <v>30</v>
      </c>
      <c r="C1926" s="72">
        <v>31</v>
      </c>
      <c r="D1926" s="73" t="s">
        <v>2219</v>
      </c>
      <c r="E1926" s="73" t="s">
        <v>118</v>
      </c>
      <c r="F1926" s="73" t="s">
        <v>55</v>
      </c>
      <c r="G1926" s="73" t="s">
        <v>32</v>
      </c>
      <c r="H1926" s="74" t="s">
        <v>2216</v>
      </c>
      <c r="I1926" s="74">
        <v>1650</v>
      </c>
      <c r="J1926" s="75">
        <v>0</v>
      </c>
      <c r="K1926" s="75"/>
    </row>
    <row r="1927" s="1" customFormat="1" ht="14.25" spans="1:11">
      <c r="A1927" s="71">
        <v>11</v>
      </c>
      <c r="B1927" s="72">
        <v>30</v>
      </c>
      <c r="C1927" s="72">
        <v>31</v>
      </c>
      <c r="D1927" s="73" t="s">
        <v>2220</v>
      </c>
      <c r="E1927" s="73" t="s">
        <v>118</v>
      </c>
      <c r="F1927" s="73" t="s">
        <v>55</v>
      </c>
      <c r="G1927" s="73" t="s">
        <v>32</v>
      </c>
      <c r="H1927" s="74" t="s">
        <v>2221</v>
      </c>
      <c r="I1927" s="74">
        <v>900</v>
      </c>
      <c r="J1927" s="75">
        <v>0</v>
      </c>
      <c r="K1927" s="75"/>
    </row>
    <row r="1928" s="1" customFormat="1" ht="14.25" spans="1:11">
      <c r="A1928" s="71">
        <v>11</v>
      </c>
      <c r="B1928" s="72">
        <v>30</v>
      </c>
      <c r="C1928" s="72">
        <v>31</v>
      </c>
      <c r="D1928" s="73" t="s">
        <v>2222</v>
      </c>
      <c r="E1928" s="73" t="s">
        <v>48</v>
      </c>
      <c r="F1928" s="73" t="s">
        <v>55</v>
      </c>
      <c r="G1928" s="73" t="s">
        <v>32</v>
      </c>
      <c r="H1928" s="74" t="s">
        <v>2221</v>
      </c>
      <c r="I1928" s="74">
        <v>55</v>
      </c>
      <c r="J1928" s="75">
        <v>0</v>
      </c>
      <c r="K1928" s="75"/>
    </row>
    <row r="1929" s="1" customFormat="1" ht="14.25" spans="1:11">
      <c r="A1929" s="71">
        <v>11</v>
      </c>
      <c r="B1929" s="72">
        <v>30</v>
      </c>
      <c r="C1929" s="72">
        <v>31</v>
      </c>
      <c r="D1929" s="73" t="s">
        <v>2223</v>
      </c>
      <c r="E1929" s="73" t="s">
        <v>118</v>
      </c>
      <c r="F1929" s="73" t="s">
        <v>55</v>
      </c>
      <c r="G1929" s="73" t="s">
        <v>32</v>
      </c>
      <c r="H1929" s="74" t="s">
        <v>2221</v>
      </c>
      <c r="I1929" s="74">
        <v>3340</v>
      </c>
      <c r="J1929" s="75">
        <v>0</v>
      </c>
      <c r="K1929" s="75"/>
    </row>
    <row r="1930" s="1" customFormat="1" ht="14.25" spans="1:11">
      <c r="A1930" s="71">
        <v>11</v>
      </c>
      <c r="B1930" s="72">
        <v>30</v>
      </c>
      <c r="C1930" s="72">
        <v>31</v>
      </c>
      <c r="D1930" s="73" t="s">
        <v>2224</v>
      </c>
      <c r="E1930" s="73" t="s">
        <v>118</v>
      </c>
      <c r="F1930" s="73" t="s">
        <v>55</v>
      </c>
      <c r="G1930" s="73" t="s">
        <v>32</v>
      </c>
      <c r="H1930" s="74" t="s">
        <v>2221</v>
      </c>
      <c r="I1930" s="74">
        <v>660</v>
      </c>
      <c r="J1930" s="75">
        <v>0</v>
      </c>
      <c r="K1930" s="75"/>
    </row>
    <row r="1931" s="1" customFormat="1" ht="14.25" spans="1:11">
      <c r="A1931" s="71">
        <v>11</v>
      </c>
      <c r="B1931" s="72">
        <v>30</v>
      </c>
      <c r="C1931" s="72">
        <v>31</v>
      </c>
      <c r="D1931" s="73" t="s">
        <v>2225</v>
      </c>
      <c r="E1931" s="73" t="s">
        <v>48</v>
      </c>
      <c r="F1931" s="73" t="s">
        <v>55</v>
      </c>
      <c r="G1931" s="73" t="s">
        <v>32</v>
      </c>
      <c r="H1931" s="74" t="s">
        <v>2221</v>
      </c>
      <c r="I1931" s="74">
        <v>20</v>
      </c>
      <c r="J1931" s="75">
        <v>0</v>
      </c>
      <c r="K1931" s="75"/>
    </row>
    <row r="1932" s="1" customFormat="1" ht="14.25" spans="1:11">
      <c r="A1932" s="71">
        <v>11</v>
      </c>
      <c r="B1932" s="72">
        <v>30</v>
      </c>
      <c r="C1932" s="72">
        <v>32</v>
      </c>
      <c r="D1932" s="73" t="s">
        <v>2226</v>
      </c>
      <c r="E1932" s="73" t="s">
        <v>48</v>
      </c>
      <c r="F1932" s="73" t="s">
        <v>1565</v>
      </c>
      <c r="G1932" s="73" t="s">
        <v>32</v>
      </c>
      <c r="H1932" s="74" t="s">
        <v>2227</v>
      </c>
      <c r="I1932" s="74">
        <v>80</v>
      </c>
      <c r="J1932" s="75">
        <v>0</v>
      </c>
      <c r="K1932" s="75"/>
    </row>
    <row r="1933" s="1" customFormat="1" ht="14.25" spans="1:11">
      <c r="A1933" s="71">
        <v>11</v>
      </c>
      <c r="B1933" s="72">
        <v>30</v>
      </c>
      <c r="C1933" s="72">
        <v>32</v>
      </c>
      <c r="D1933" s="73" t="s">
        <v>2022</v>
      </c>
      <c r="E1933" s="73" t="s">
        <v>118</v>
      </c>
      <c r="F1933" s="73" t="s">
        <v>55</v>
      </c>
      <c r="G1933" s="73" t="s">
        <v>32</v>
      </c>
      <c r="H1933" s="74" t="s">
        <v>2228</v>
      </c>
      <c r="I1933" s="74">
        <v>192</v>
      </c>
      <c r="J1933" s="75">
        <v>0</v>
      </c>
      <c r="K1933" s="75"/>
    </row>
    <row r="1934" s="1" customFormat="1" ht="14.25" spans="1:11">
      <c r="A1934" s="71">
        <v>11</v>
      </c>
      <c r="B1934" s="72">
        <v>30</v>
      </c>
      <c r="C1934" s="72">
        <v>32</v>
      </c>
      <c r="D1934" s="73" t="s">
        <v>2229</v>
      </c>
      <c r="E1934" s="73" t="s">
        <v>48</v>
      </c>
      <c r="F1934" s="73" t="s">
        <v>55</v>
      </c>
      <c r="G1934" s="73" t="s">
        <v>32</v>
      </c>
      <c r="H1934" s="74" t="s">
        <v>2228</v>
      </c>
      <c r="I1934" s="74">
        <v>480</v>
      </c>
      <c r="J1934" s="75">
        <v>0</v>
      </c>
      <c r="K1934" s="75"/>
    </row>
    <row r="1935" s="1" customFormat="1" ht="14.25" spans="1:11">
      <c r="A1935" s="71">
        <v>11</v>
      </c>
      <c r="B1935" s="72">
        <v>30</v>
      </c>
      <c r="C1935" s="72">
        <v>32</v>
      </c>
      <c r="D1935" s="73" t="s">
        <v>2230</v>
      </c>
      <c r="E1935" s="73" t="s">
        <v>96</v>
      </c>
      <c r="F1935" s="73" t="s">
        <v>97</v>
      </c>
      <c r="G1935" s="73" t="s">
        <v>32</v>
      </c>
      <c r="H1935" s="74" t="s">
        <v>2228</v>
      </c>
      <c r="I1935" s="74">
        <v>1400</v>
      </c>
      <c r="J1935" s="75">
        <v>0</v>
      </c>
      <c r="K1935" s="75"/>
    </row>
    <row r="1936" s="1" customFormat="1" ht="14.25" spans="1:11">
      <c r="A1936" s="71">
        <v>11</v>
      </c>
      <c r="B1936" s="72">
        <v>30</v>
      </c>
      <c r="C1936" s="72">
        <v>32</v>
      </c>
      <c r="D1936" s="73" t="s">
        <v>2231</v>
      </c>
      <c r="E1936" s="73" t="s">
        <v>48</v>
      </c>
      <c r="F1936" s="73" t="s">
        <v>55</v>
      </c>
      <c r="G1936" s="73" t="s">
        <v>32</v>
      </c>
      <c r="H1936" s="74" t="s">
        <v>2228</v>
      </c>
      <c r="I1936" s="74">
        <v>1120</v>
      </c>
      <c r="J1936" s="75">
        <v>0</v>
      </c>
      <c r="K1936" s="75"/>
    </row>
    <row r="1937" s="1" customFormat="1" ht="14.25" spans="1:11">
      <c r="A1937" s="71">
        <v>11</v>
      </c>
      <c r="B1937" s="72">
        <v>30</v>
      </c>
      <c r="C1937" s="72">
        <v>32</v>
      </c>
      <c r="D1937" s="73" t="s">
        <v>2232</v>
      </c>
      <c r="E1937" s="73" t="s">
        <v>118</v>
      </c>
      <c r="F1937" s="73" t="s">
        <v>55</v>
      </c>
      <c r="G1937" s="73" t="s">
        <v>32</v>
      </c>
      <c r="H1937" s="74" t="s">
        <v>2228</v>
      </c>
      <c r="I1937" s="74">
        <v>3183</v>
      </c>
      <c r="J1937" s="75">
        <v>0</v>
      </c>
      <c r="K1937" s="75"/>
    </row>
    <row r="1938" s="1" customFormat="1" ht="14.25" spans="1:11">
      <c r="A1938" s="71">
        <v>11</v>
      </c>
      <c r="B1938" s="72">
        <v>30</v>
      </c>
      <c r="C1938" s="72">
        <v>33</v>
      </c>
      <c r="D1938" s="73" t="s">
        <v>275</v>
      </c>
      <c r="E1938" s="73" t="s">
        <v>48</v>
      </c>
      <c r="F1938" s="73" t="s">
        <v>1565</v>
      </c>
      <c r="G1938" s="73" t="s">
        <v>32</v>
      </c>
      <c r="H1938" s="74" t="s">
        <v>2233</v>
      </c>
      <c r="I1938" s="74">
        <v>110</v>
      </c>
      <c r="J1938" s="75">
        <v>0</v>
      </c>
      <c r="K1938" s="75"/>
    </row>
    <row r="1939" s="1" customFormat="1" ht="14.25" spans="1:11">
      <c r="A1939" s="71">
        <v>11</v>
      </c>
      <c r="B1939" s="72">
        <v>30</v>
      </c>
      <c r="C1939" s="72">
        <v>33</v>
      </c>
      <c r="D1939" s="73" t="s">
        <v>2234</v>
      </c>
      <c r="E1939" s="73" t="s">
        <v>172</v>
      </c>
      <c r="F1939" s="73" t="s">
        <v>452</v>
      </c>
      <c r="G1939" s="73" t="s">
        <v>32</v>
      </c>
      <c r="H1939" s="74" t="s">
        <v>2233</v>
      </c>
      <c r="I1939" s="74">
        <v>345</v>
      </c>
      <c r="J1939" s="75">
        <v>0</v>
      </c>
      <c r="K1939" s="75"/>
    </row>
    <row r="1940" s="1" customFormat="1" ht="14.25" spans="1:11">
      <c r="A1940" s="71">
        <v>11</v>
      </c>
      <c r="B1940" s="72">
        <v>30</v>
      </c>
      <c r="C1940" s="72">
        <v>33</v>
      </c>
      <c r="D1940" s="73" t="s">
        <v>2235</v>
      </c>
      <c r="E1940" s="73" t="s">
        <v>85</v>
      </c>
      <c r="F1940" s="73" t="s">
        <v>989</v>
      </c>
      <c r="G1940" s="73" t="s">
        <v>32</v>
      </c>
      <c r="H1940" s="74" t="s">
        <v>2233</v>
      </c>
      <c r="I1940" s="74">
        <v>650</v>
      </c>
      <c r="J1940" s="75">
        <v>0</v>
      </c>
      <c r="K1940" s="75"/>
    </row>
    <row r="1941" s="1" customFormat="1" ht="14.25" spans="1:11">
      <c r="A1941" s="71">
        <v>11</v>
      </c>
      <c r="B1941" s="72">
        <v>30</v>
      </c>
      <c r="C1941" s="72">
        <v>33</v>
      </c>
      <c r="D1941" s="73" t="s">
        <v>2236</v>
      </c>
      <c r="E1941" s="73" t="s">
        <v>118</v>
      </c>
      <c r="F1941" s="73" t="s">
        <v>55</v>
      </c>
      <c r="G1941" s="73" t="s">
        <v>32</v>
      </c>
      <c r="H1941" s="74" t="s">
        <v>2233</v>
      </c>
      <c r="I1941" s="74">
        <v>7900</v>
      </c>
      <c r="J1941" s="75">
        <v>0</v>
      </c>
      <c r="K1941" s="75"/>
    </row>
    <row r="1942" s="1" customFormat="1" ht="14.25" spans="1:11">
      <c r="A1942" s="71">
        <v>11</v>
      </c>
      <c r="B1942" s="72">
        <v>30</v>
      </c>
      <c r="C1942" s="72">
        <v>33</v>
      </c>
      <c r="D1942" s="73" t="s">
        <v>504</v>
      </c>
      <c r="E1942" s="73" t="s">
        <v>118</v>
      </c>
      <c r="F1942" s="73" t="s">
        <v>55</v>
      </c>
      <c r="G1942" s="73" t="s">
        <v>32</v>
      </c>
      <c r="H1942" s="74" t="s">
        <v>2233</v>
      </c>
      <c r="I1942" s="74">
        <v>1679</v>
      </c>
      <c r="J1942" s="75">
        <v>0</v>
      </c>
      <c r="K1942" s="75"/>
    </row>
    <row r="1943" s="1" customFormat="1" ht="14.25" spans="1:11">
      <c r="A1943" s="71">
        <v>11</v>
      </c>
      <c r="B1943" s="72">
        <v>30</v>
      </c>
      <c r="C1943" s="72">
        <v>33</v>
      </c>
      <c r="D1943" s="73" t="s">
        <v>275</v>
      </c>
      <c r="E1943" s="73" t="s">
        <v>48</v>
      </c>
      <c r="F1943" s="73" t="s">
        <v>1565</v>
      </c>
      <c r="G1943" s="73" t="s">
        <v>32</v>
      </c>
      <c r="H1943" s="74" t="s">
        <v>2237</v>
      </c>
      <c r="I1943" s="74">
        <v>116</v>
      </c>
      <c r="J1943" s="75">
        <v>0</v>
      </c>
      <c r="K1943" s="75"/>
    </row>
    <row r="1944" s="1" customFormat="1" ht="14.25" spans="1:11">
      <c r="A1944" s="71">
        <v>11</v>
      </c>
      <c r="B1944" s="72">
        <v>30</v>
      </c>
      <c r="C1944" s="72">
        <v>33</v>
      </c>
      <c r="D1944" s="73" t="s">
        <v>600</v>
      </c>
      <c r="E1944" s="73" t="s">
        <v>85</v>
      </c>
      <c r="F1944" s="73" t="s">
        <v>1364</v>
      </c>
      <c r="G1944" s="73" t="s">
        <v>32</v>
      </c>
      <c r="H1944" s="74" t="s">
        <v>2237</v>
      </c>
      <c r="I1944" s="74">
        <v>1900</v>
      </c>
      <c r="J1944" s="75">
        <v>0</v>
      </c>
      <c r="K1944" s="75"/>
    </row>
    <row r="1945" s="1" customFormat="1" ht="14.25" spans="1:11">
      <c r="A1945" s="71">
        <v>11</v>
      </c>
      <c r="B1945" s="72">
        <v>30</v>
      </c>
      <c r="C1945" s="72">
        <v>33</v>
      </c>
      <c r="D1945" s="73" t="s">
        <v>2238</v>
      </c>
      <c r="E1945" s="73" t="s">
        <v>48</v>
      </c>
      <c r="F1945" s="73" t="s">
        <v>1565</v>
      </c>
      <c r="G1945" s="73" t="s">
        <v>32</v>
      </c>
      <c r="H1945" s="74" t="s">
        <v>2237</v>
      </c>
      <c r="I1945" s="74">
        <v>10</v>
      </c>
      <c r="J1945" s="75">
        <v>0</v>
      </c>
      <c r="K1945" s="75"/>
    </row>
    <row r="1946" s="1" customFormat="1" ht="14.25" spans="1:11">
      <c r="A1946" s="71">
        <v>11</v>
      </c>
      <c r="B1946" s="72">
        <v>30</v>
      </c>
      <c r="C1946" s="72">
        <v>33</v>
      </c>
      <c r="D1946" s="73" t="s">
        <v>2239</v>
      </c>
      <c r="E1946" s="73" t="s">
        <v>85</v>
      </c>
      <c r="F1946" s="73" t="s">
        <v>989</v>
      </c>
      <c r="G1946" s="73" t="s">
        <v>32</v>
      </c>
      <c r="H1946" s="74" t="s">
        <v>2237</v>
      </c>
      <c r="I1946" s="74">
        <v>250</v>
      </c>
      <c r="J1946" s="75">
        <v>0</v>
      </c>
      <c r="K1946" s="75"/>
    </row>
    <row r="1947" s="1" customFormat="1" ht="14.25" spans="1:11">
      <c r="A1947" s="71">
        <v>11</v>
      </c>
      <c r="B1947" s="72">
        <v>30</v>
      </c>
      <c r="C1947" s="72">
        <v>33</v>
      </c>
      <c r="D1947" s="73" t="s">
        <v>2240</v>
      </c>
      <c r="E1947" s="73" t="s">
        <v>85</v>
      </c>
      <c r="F1947" s="73" t="s">
        <v>989</v>
      </c>
      <c r="G1947" s="73" t="s">
        <v>32</v>
      </c>
      <c r="H1947" s="74" t="s">
        <v>2237</v>
      </c>
      <c r="I1947" s="74">
        <v>650</v>
      </c>
      <c r="J1947" s="75">
        <v>0</v>
      </c>
      <c r="K1947" s="75"/>
    </row>
    <row r="1948" s="1" customFormat="1" ht="14.25" spans="1:11">
      <c r="A1948" s="71">
        <v>11</v>
      </c>
      <c r="B1948" s="72">
        <v>30</v>
      </c>
      <c r="C1948" s="72">
        <v>34</v>
      </c>
      <c r="D1948" s="73" t="s">
        <v>2241</v>
      </c>
      <c r="E1948" s="73" t="s">
        <v>118</v>
      </c>
      <c r="F1948" s="73" t="s">
        <v>55</v>
      </c>
      <c r="G1948" s="73" t="s">
        <v>32</v>
      </c>
      <c r="H1948" s="74" t="s">
        <v>2242</v>
      </c>
      <c r="I1948" s="74">
        <v>80</v>
      </c>
      <c r="J1948" s="75">
        <v>0</v>
      </c>
      <c r="K1948" s="75"/>
    </row>
    <row r="1949" s="1" customFormat="1" ht="14.25" spans="1:11">
      <c r="A1949" s="71">
        <v>11</v>
      </c>
      <c r="B1949" s="72">
        <v>30</v>
      </c>
      <c r="C1949" s="72">
        <v>34</v>
      </c>
      <c r="D1949" s="73" t="s">
        <v>2243</v>
      </c>
      <c r="E1949" s="73" t="s">
        <v>48</v>
      </c>
      <c r="F1949" s="73" t="s">
        <v>55</v>
      </c>
      <c r="G1949" s="73" t="s">
        <v>32</v>
      </c>
      <c r="H1949" s="74" t="s">
        <v>2242</v>
      </c>
      <c r="I1949" s="74">
        <v>160</v>
      </c>
      <c r="J1949" s="75">
        <v>0</v>
      </c>
      <c r="K1949" s="75"/>
    </row>
    <row r="1950" s="1" customFormat="1" ht="14.25" spans="1:11">
      <c r="A1950" s="71">
        <v>11</v>
      </c>
      <c r="B1950" s="72">
        <v>30</v>
      </c>
      <c r="C1950" s="72">
        <v>34</v>
      </c>
      <c r="D1950" s="73" t="s">
        <v>2244</v>
      </c>
      <c r="E1950" s="73" t="s">
        <v>85</v>
      </c>
      <c r="F1950" s="73" t="s">
        <v>989</v>
      </c>
      <c r="G1950" s="73" t="s">
        <v>32</v>
      </c>
      <c r="H1950" s="74" t="s">
        <v>2242</v>
      </c>
      <c r="I1950" s="74">
        <v>650</v>
      </c>
      <c r="J1950" s="75">
        <v>0</v>
      </c>
      <c r="K1950" s="75"/>
    </row>
    <row r="1951" s="1" customFormat="1" ht="14.25" spans="1:11">
      <c r="A1951" s="71">
        <v>11</v>
      </c>
      <c r="B1951" s="72">
        <v>30</v>
      </c>
      <c r="C1951" s="72">
        <v>34</v>
      </c>
      <c r="D1951" s="73" t="s">
        <v>2245</v>
      </c>
      <c r="E1951" s="73" t="s">
        <v>118</v>
      </c>
      <c r="F1951" s="73" t="s">
        <v>55</v>
      </c>
      <c r="G1951" s="73" t="s">
        <v>32</v>
      </c>
      <c r="H1951" s="74" t="s">
        <v>2242</v>
      </c>
      <c r="I1951" s="74">
        <v>1290</v>
      </c>
      <c r="J1951" s="75">
        <v>0</v>
      </c>
      <c r="K1951" s="75"/>
    </row>
    <row r="1952" s="1" customFormat="1" ht="14.25" spans="1:11">
      <c r="A1952" s="71">
        <v>11</v>
      </c>
      <c r="B1952" s="72">
        <v>30</v>
      </c>
      <c r="C1952" s="72">
        <v>34</v>
      </c>
      <c r="D1952" s="73" t="s">
        <v>2246</v>
      </c>
      <c r="E1952" s="73" t="s">
        <v>118</v>
      </c>
      <c r="F1952" s="73" t="s">
        <v>55</v>
      </c>
      <c r="G1952" s="73" t="s">
        <v>32</v>
      </c>
      <c r="H1952" s="74" t="s">
        <v>2242</v>
      </c>
      <c r="I1952" s="74">
        <v>770</v>
      </c>
      <c r="J1952" s="75">
        <v>0</v>
      </c>
      <c r="K1952" s="75"/>
    </row>
    <row r="1953" s="1" customFormat="1" ht="14.25" spans="1:11">
      <c r="A1953" s="71">
        <v>11</v>
      </c>
      <c r="B1953" s="72">
        <v>30</v>
      </c>
      <c r="C1953" s="72">
        <v>34</v>
      </c>
      <c r="D1953" s="73" t="s">
        <v>2247</v>
      </c>
      <c r="E1953" s="73" t="s">
        <v>48</v>
      </c>
      <c r="F1953" s="73" t="s">
        <v>55</v>
      </c>
      <c r="G1953" s="73" t="s">
        <v>32</v>
      </c>
      <c r="H1953" s="74" t="s">
        <v>2248</v>
      </c>
      <c r="I1953" s="74">
        <v>112</v>
      </c>
      <c r="J1953" s="75">
        <v>0</v>
      </c>
      <c r="K1953" s="75"/>
    </row>
    <row r="1954" s="1" customFormat="1" ht="14.25" spans="1:11">
      <c r="A1954" s="71">
        <v>11</v>
      </c>
      <c r="B1954" s="72">
        <v>30</v>
      </c>
      <c r="C1954" s="72">
        <v>34</v>
      </c>
      <c r="D1954" s="73" t="s">
        <v>275</v>
      </c>
      <c r="E1954" s="73" t="s">
        <v>48</v>
      </c>
      <c r="F1954" s="73" t="s">
        <v>1565</v>
      </c>
      <c r="G1954" s="73" t="s">
        <v>32</v>
      </c>
      <c r="H1954" s="74" t="s">
        <v>2248</v>
      </c>
      <c r="I1954" s="74">
        <v>107</v>
      </c>
      <c r="J1954" s="75">
        <v>0</v>
      </c>
      <c r="K1954" s="75"/>
    </row>
    <row r="1955" s="1" customFormat="1" ht="14.25" spans="1:11">
      <c r="A1955" s="71">
        <v>11</v>
      </c>
      <c r="B1955" s="72">
        <v>30</v>
      </c>
      <c r="C1955" s="72">
        <v>34</v>
      </c>
      <c r="D1955" s="73" t="s">
        <v>2196</v>
      </c>
      <c r="E1955" s="73" t="s">
        <v>118</v>
      </c>
      <c r="F1955" s="73" t="s">
        <v>55</v>
      </c>
      <c r="G1955" s="73" t="s">
        <v>32</v>
      </c>
      <c r="H1955" s="74" t="s">
        <v>2248</v>
      </c>
      <c r="I1955" s="74">
        <v>166</v>
      </c>
      <c r="J1955" s="75">
        <v>0</v>
      </c>
      <c r="K1955" s="75"/>
    </row>
    <row r="1956" s="1" customFormat="1" ht="14.25" spans="1:11">
      <c r="A1956" s="71">
        <v>11</v>
      </c>
      <c r="B1956" s="72">
        <v>30</v>
      </c>
      <c r="C1956" s="72">
        <v>34</v>
      </c>
      <c r="D1956" s="73" t="s">
        <v>2249</v>
      </c>
      <c r="E1956" s="73" t="s">
        <v>118</v>
      </c>
      <c r="F1956" s="73" t="s">
        <v>55</v>
      </c>
      <c r="G1956" s="73" t="s">
        <v>32</v>
      </c>
      <c r="H1956" s="74" t="s">
        <v>2248</v>
      </c>
      <c r="I1956" s="74">
        <v>1300</v>
      </c>
      <c r="J1956" s="75">
        <v>0</v>
      </c>
      <c r="K1956" s="75"/>
    </row>
    <row r="1957" s="1" customFormat="1" ht="14.25" spans="1:11">
      <c r="A1957" s="71">
        <v>11</v>
      </c>
      <c r="B1957" s="72">
        <v>30</v>
      </c>
      <c r="C1957" s="72">
        <v>34</v>
      </c>
      <c r="D1957" s="73" t="s">
        <v>2250</v>
      </c>
      <c r="E1957" s="73" t="s">
        <v>172</v>
      </c>
      <c r="F1957" s="73" t="s">
        <v>452</v>
      </c>
      <c r="G1957" s="73" t="s">
        <v>32</v>
      </c>
      <c r="H1957" s="74" t="s">
        <v>2248</v>
      </c>
      <c r="I1957" s="74">
        <v>780</v>
      </c>
      <c r="J1957" s="75">
        <v>0</v>
      </c>
      <c r="K1957" s="75"/>
    </row>
    <row r="1958" s="1" customFormat="1" ht="14.25" spans="1:11">
      <c r="A1958" s="71">
        <v>11</v>
      </c>
      <c r="B1958" s="72">
        <v>30</v>
      </c>
      <c r="C1958" s="72">
        <v>35</v>
      </c>
      <c r="D1958" s="73" t="s">
        <v>1704</v>
      </c>
      <c r="E1958" s="73" t="s">
        <v>118</v>
      </c>
      <c r="F1958" s="73" t="s">
        <v>55</v>
      </c>
      <c r="G1958" s="73" t="s">
        <v>32</v>
      </c>
      <c r="H1958" s="74" t="s">
        <v>2251</v>
      </c>
      <c r="I1958" s="74">
        <v>40</v>
      </c>
      <c r="J1958" s="75">
        <v>0</v>
      </c>
      <c r="K1958" s="75"/>
    </row>
    <row r="1959" s="1" customFormat="1" ht="14.25" spans="1:11">
      <c r="A1959" s="71">
        <v>11</v>
      </c>
      <c r="B1959" s="72">
        <v>30</v>
      </c>
      <c r="C1959" s="72">
        <v>35</v>
      </c>
      <c r="D1959" s="73" t="s">
        <v>275</v>
      </c>
      <c r="E1959" s="73" t="s">
        <v>48</v>
      </c>
      <c r="F1959" s="73" t="s">
        <v>1565</v>
      </c>
      <c r="G1959" s="73" t="s">
        <v>32</v>
      </c>
      <c r="H1959" s="74" t="s">
        <v>2251</v>
      </c>
      <c r="I1959" s="74">
        <v>285</v>
      </c>
      <c r="J1959" s="75">
        <v>0</v>
      </c>
      <c r="K1959" s="75"/>
    </row>
    <row r="1960" s="1" customFormat="1" ht="14.25" spans="1:11">
      <c r="A1960" s="71">
        <v>11</v>
      </c>
      <c r="B1960" s="72">
        <v>30</v>
      </c>
      <c r="C1960" s="72">
        <v>35</v>
      </c>
      <c r="D1960" s="73" t="s">
        <v>2252</v>
      </c>
      <c r="E1960" s="73" t="s">
        <v>118</v>
      </c>
      <c r="F1960" s="73" t="s">
        <v>55</v>
      </c>
      <c r="G1960" s="73" t="s">
        <v>32</v>
      </c>
      <c r="H1960" s="74" t="s">
        <v>2251</v>
      </c>
      <c r="I1960" s="74">
        <v>814</v>
      </c>
      <c r="J1960" s="75">
        <v>0</v>
      </c>
      <c r="K1960" s="75"/>
    </row>
    <row r="1961" s="1" customFormat="1" ht="14.25" spans="1:11">
      <c r="A1961" s="71">
        <v>11</v>
      </c>
      <c r="B1961" s="72">
        <v>30</v>
      </c>
      <c r="C1961" s="72">
        <v>35</v>
      </c>
      <c r="D1961" s="73" t="s">
        <v>2253</v>
      </c>
      <c r="E1961" s="73" t="s">
        <v>118</v>
      </c>
      <c r="F1961" s="73" t="s">
        <v>55</v>
      </c>
      <c r="G1961" s="73" t="s">
        <v>32</v>
      </c>
      <c r="H1961" s="74" t="s">
        <v>2251</v>
      </c>
      <c r="I1961" s="74">
        <v>154</v>
      </c>
      <c r="J1961" s="75">
        <v>0</v>
      </c>
      <c r="K1961" s="75"/>
    </row>
    <row r="1962" s="1" customFormat="1" ht="14.25" spans="1:11">
      <c r="A1962" s="71">
        <v>11</v>
      </c>
      <c r="B1962" s="72">
        <v>30</v>
      </c>
      <c r="C1962" s="72">
        <v>35</v>
      </c>
      <c r="D1962" s="73" t="s">
        <v>2254</v>
      </c>
      <c r="E1962" s="73" t="s">
        <v>48</v>
      </c>
      <c r="F1962" s="73" t="s">
        <v>1565</v>
      </c>
      <c r="G1962" s="73" t="s">
        <v>32</v>
      </c>
      <c r="H1962" s="74" t="s">
        <v>2251</v>
      </c>
      <c r="I1962" s="74">
        <v>440</v>
      </c>
      <c r="J1962" s="75">
        <v>0</v>
      </c>
      <c r="K1962" s="75"/>
    </row>
    <row r="1963" s="1" customFormat="1" ht="14.25" spans="1:11">
      <c r="A1963" s="71">
        <v>11</v>
      </c>
      <c r="B1963" s="72">
        <v>30</v>
      </c>
      <c r="C1963" s="72">
        <v>35</v>
      </c>
      <c r="D1963" s="73" t="s">
        <v>275</v>
      </c>
      <c r="E1963" s="73" t="s">
        <v>48</v>
      </c>
      <c r="F1963" s="73" t="s">
        <v>1565</v>
      </c>
      <c r="G1963" s="73" t="s">
        <v>32</v>
      </c>
      <c r="H1963" s="74" t="s">
        <v>2255</v>
      </c>
      <c r="I1963" s="74">
        <v>112</v>
      </c>
      <c r="J1963" s="75">
        <v>0</v>
      </c>
      <c r="K1963" s="75"/>
    </row>
    <row r="1964" s="1" customFormat="1" ht="14.25" spans="1:11">
      <c r="A1964" s="71">
        <v>11</v>
      </c>
      <c r="B1964" s="72">
        <v>30</v>
      </c>
      <c r="C1964" s="72">
        <v>35</v>
      </c>
      <c r="D1964" s="73" t="s">
        <v>2256</v>
      </c>
      <c r="E1964" s="73" t="s">
        <v>48</v>
      </c>
      <c r="F1964" s="73" t="s">
        <v>1565</v>
      </c>
      <c r="G1964" s="73" t="s">
        <v>32</v>
      </c>
      <c r="H1964" s="74" t="s">
        <v>2255</v>
      </c>
      <c r="I1964" s="74">
        <v>45</v>
      </c>
      <c r="J1964" s="75">
        <v>0</v>
      </c>
      <c r="K1964" s="75"/>
    </row>
    <row r="1965" s="1" customFormat="1" ht="14.25" spans="1:11">
      <c r="A1965" s="71">
        <v>11</v>
      </c>
      <c r="B1965" s="72">
        <v>30</v>
      </c>
      <c r="C1965" s="72">
        <v>35</v>
      </c>
      <c r="D1965" s="73" t="s">
        <v>2257</v>
      </c>
      <c r="E1965" s="73" t="s">
        <v>118</v>
      </c>
      <c r="F1965" s="73" t="s">
        <v>55</v>
      </c>
      <c r="G1965" s="73" t="s">
        <v>32</v>
      </c>
      <c r="H1965" s="74" t="s">
        <v>2255</v>
      </c>
      <c r="I1965" s="74">
        <v>140</v>
      </c>
      <c r="J1965" s="75">
        <v>0</v>
      </c>
      <c r="K1965" s="75"/>
    </row>
    <row r="1966" s="1" customFormat="1" ht="14.25" spans="1:11">
      <c r="A1966" s="71">
        <v>11</v>
      </c>
      <c r="B1966" s="72">
        <v>30</v>
      </c>
      <c r="C1966" s="72">
        <v>35</v>
      </c>
      <c r="D1966" s="73" t="s">
        <v>2258</v>
      </c>
      <c r="E1966" s="73" t="s">
        <v>118</v>
      </c>
      <c r="F1966" s="73" t="s">
        <v>55</v>
      </c>
      <c r="G1966" s="73" t="s">
        <v>32</v>
      </c>
      <c r="H1966" s="74" t="s">
        <v>2255</v>
      </c>
      <c r="I1966" s="74">
        <v>150</v>
      </c>
      <c r="J1966" s="75">
        <v>0</v>
      </c>
      <c r="K1966" s="75"/>
    </row>
    <row r="1967" s="1" customFormat="1" ht="14.25" spans="1:11">
      <c r="A1967" s="71">
        <v>11</v>
      </c>
      <c r="B1967" s="72">
        <v>30</v>
      </c>
      <c r="C1967" s="72">
        <v>35</v>
      </c>
      <c r="D1967" s="73" t="s">
        <v>2259</v>
      </c>
      <c r="E1967" s="73" t="s">
        <v>118</v>
      </c>
      <c r="F1967" s="73" t="s">
        <v>55</v>
      </c>
      <c r="G1967" s="73" t="s">
        <v>32</v>
      </c>
      <c r="H1967" s="74" t="s">
        <v>2255</v>
      </c>
      <c r="I1967" s="74">
        <v>50</v>
      </c>
      <c r="J1967" s="75">
        <v>0</v>
      </c>
      <c r="K1967" s="75"/>
    </row>
    <row r="1968" s="1" customFormat="1" ht="14.25" spans="1:11">
      <c r="A1968" s="71">
        <v>11</v>
      </c>
      <c r="B1968" s="72">
        <v>30</v>
      </c>
      <c r="C1968" s="72">
        <v>36</v>
      </c>
      <c r="D1968" s="73" t="s">
        <v>2260</v>
      </c>
      <c r="E1968" s="73" t="s">
        <v>96</v>
      </c>
      <c r="F1968" s="73" t="s">
        <v>97</v>
      </c>
      <c r="G1968" s="73" t="s">
        <v>32</v>
      </c>
      <c r="H1968" s="74" t="s">
        <v>2261</v>
      </c>
      <c r="I1968" s="74">
        <v>161</v>
      </c>
      <c r="J1968" s="75">
        <v>0</v>
      </c>
      <c r="K1968" s="75"/>
    </row>
    <row r="1969" s="1" customFormat="1" ht="14.25" spans="1:11">
      <c r="A1969" s="71">
        <v>11</v>
      </c>
      <c r="B1969" s="72">
        <v>30</v>
      </c>
      <c r="C1969" s="72">
        <v>36</v>
      </c>
      <c r="D1969" s="73" t="s">
        <v>2262</v>
      </c>
      <c r="E1969" s="73" t="s">
        <v>118</v>
      </c>
      <c r="F1969" s="73" t="s">
        <v>55</v>
      </c>
      <c r="G1969" s="73" t="s">
        <v>32</v>
      </c>
      <c r="H1969" s="74" t="s">
        <v>2261</v>
      </c>
      <c r="I1969" s="74">
        <v>56</v>
      </c>
      <c r="J1969" s="75">
        <v>0</v>
      </c>
      <c r="K1969" s="75"/>
    </row>
    <row r="1970" s="1" customFormat="1" ht="14.25" spans="1:11">
      <c r="A1970" s="71">
        <v>11</v>
      </c>
      <c r="B1970" s="72">
        <v>30</v>
      </c>
      <c r="C1970" s="72">
        <v>36</v>
      </c>
      <c r="D1970" s="73" t="s">
        <v>2263</v>
      </c>
      <c r="E1970" s="73" t="s">
        <v>118</v>
      </c>
      <c r="F1970" s="73" t="s">
        <v>55</v>
      </c>
      <c r="G1970" s="73" t="s">
        <v>32</v>
      </c>
      <c r="H1970" s="74" t="s">
        <v>2261</v>
      </c>
      <c r="I1970" s="74">
        <v>6</v>
      </c>
      <c r="J1970" s="75">
        <v>0</v>
      </c>
      <c r="K1970" s="75"/>
    </row>
    <row r="1971" s="1" customFormat="1" ht="14.25" spans="1:11">
      <c r="A1971" s="71">
        <v>11</v>
      </c>
      <c r="B1971" s="72">
        <v>30</v>
      </c>
      <c r="C1971" s="72">
        <v>36</v>
      </c>
      <c r="D1971" s="73" t="s">
        <v>2264</v>
      </c>
      <c r="E1971" s="73" t="s">
        <v>85</v>
      </c>
      <c r="F1971" s="73" t="s">
        <v>989</v>
      </c>
      <c r="G1971" s="73" t="s">
        <v>32</v>
      </c>
      <c r="H1971" s="74" t="s">
        <v>2261</v>
      </c>
      <c r="I1971" s="74">
        <v>380</v>
      </c>
      <c r="J1971" s="75">
        <v>0</v>
      </c>
      <c r="K1971" s="75"/>
    </row>
    <row r="1972" s="1" customFormat="1" ht="14.25" spans="1:11">
      <c r="A1972" s="71">
        <v>11</v>
      </c>
      <c r="B1972" s="72">
        <v>30</v>
      </c>
      <c r="C1972" s="72">
        <v>36</v>
      </c>
      <c r="D1972" s="73" t="s">
        <v>2265</v>
      </c>
      <c r="E1972" s="73" t="s">
        <v>118</v>
      </c>
      <c r="F1972" s="73" t="s">
        <v>55</v>
      </c>
      <c r="G1972" s="73" t="s">
        <v>32</v>
      </c>
      <c r="H1972" s="74" t="s">
        <v>2261</v>
      </c>
      <c r="I1972" s="74">
        <v>470</v>
      </c>
      <c r="J1972" s="75">
        <v>0</v>
      </c>
      <c r="K1972" s="75"/>
    </row>
    <row r="1973" s="1" customFormat="1" ht="14.25" spans="1:11">
      <c r="A1973" s="71">
        <v>11</v>
      </c>
      <c r="B1973" s="72">
        <v>30</v>
      </c>
      <c r="C1973" s="72">
        <v>36</v>
      </c>
      <c r="D1973" s="73" t="s">
        <v>1017</v>
      </c>
      <c r="E1973" s="73" t="s">
        <v>118</v>
      </c>
      <c r="F1973" s="73" t="s">
        <v>55</v>
      </c>
      <c r="G1973" s="73" t="s">
        <v>32</v>
      </c>
      <c r="H1973" s="74" t="s">
        <v>2266</v>
      </c>
      <c r="I1973" s="74">
        <v>2145</v>
      </c>
      <c r="J1973" s="75">
        <v>0</v>
      </c>
      <c r="K1973" s="75"/>
    </row>
    <row r="1974" s="1" customFormat="1" ht="14.25" spans="1:11">
      <c r="A1974" s="71">
        <v>11</v>
      </c>
      <c r="B1974" s="72">
        <v>30</v>
      </c>
      <c r="C1974" s="72">
        <v>36</v>
      </c>
      <c r="D1974" s="73" t="s">
        <v>275</v>
      </c>
      <c r="E1974" s="73" t="s">
        <v>48</v>
      </c>
      <c r="F1974" s="73" t="s">
        <v>1565</v>
      </c>
      <c r="G1974" s="73" t="s">
        <v>32</v>
      </c>
      <c r="H1974" s="74" t="s">
        <v>2266</v>
      </c>
      <c r="I1974" s="74">
        <v>212</v>
      </c>
      <c r="J1974" s="75">
        <v>0</v>
      </c>
      <c r="K1974" s="75"/>
    </row>
    <row r="1975" s="1" customFormat="1" ht="14.25" spans="1:11">
      <c r="A1975" s="71">
        <v>11</v>
      </c>
      <c r="B1975" s="72">
        <v>30</v>
      </c>
      <c r="C1975" s="72">
        <v>36</v>
      </c>
      <c r="D1975" s="73" t="s">
        <v>2267</v>
      </c>
      <c r="E1975" s="73" t="s">
        <v>118</v>
      </c>
      <c r="F1975" s="73" t="s">
        <v>55</v>
      </c>
      <c r="G1975" s="73" t="s">
        <v>32</v>
      </c>
      <c r="H1975" s="74" t="s">
        <v>2266</v>
      </c>
      <c r="I1975" s="74">
        <v>207</v>
      </c>
      <c r="J1975" s="75">
        <v>0</v>
      </c>
      <c r="K1975" s="75"/>
    </row>
    <row r="1976" s="1" customFormat="1" ht="14.25" spans="1:11">
      <c r="A1976" s="71">
        <v>11</v>
      </c>
      <c r="B1976" s="72">
        <v>30</v>
      </c>
      <c r="C1976" s="72">
        <v>36</v>
      </c>
      <c r="D1976" s="73" t="s">
        <v>2268</v>
      </c>
      <c r="E1976" s="73" t="s">
        <v>48</v>
      </c>
      <c r="F1976" s="73" t="s">
        <v>233</v>
      </c>
      <c r="G1976" s="73" t="s">
        <v>32</v>
      </c>
      <c r="H1976" s="74" t="s">
        <v>2266</v>
      </c>
      <c r="I1976" s="74">
        <v>90</v>
      </c>
      <c r="J1976" s="75">
        <v>0</v>
      </c>
      <c r="K1976" s="75"/>
    </row>
    <row r="1977" s="1" customFormat="1" ht="14.25" spans="1:11">
      <c r="A1977" s="71">
        <v>11</v>
      </c>
      <c r="B1977" s="72">
        <v>30</v>
      </c>
      <c r="C1977" s="72">
        <v>36</v>
      </c>
      <c r="D1977" s="73" t="s">
        <v>2269</v>
      </c>
      <c r="E1977" s="73" t="s">
        <v>118</v>
      </c>
      <c r="F1977" s="73" t="s">
        <v>55</v>
      </c>
      <c r="G1977" s="73" t="s">
        <v>32</v>
      </c>
      <c r="H1977" s="74" t="s">
        <v>2266</v>
      </c>
      <c r="I1977" s="74">
        <v>229</v>
      </c>
      <c r="J1977" s="75">
        <v>0</v>
      </c>
      <c r="K1977" s="75"/>
    </row>
    <row r="1978" s="1" customFormat="1" ht="14.25" spans="1:11">
      <c r="A1978" s="71">
        <v>11</v>
      </c>
      <c r="B1978" s="72">
        <v>30</v>
      </c>
      <c r="C1978" s="72">
        <v>37</v>
      </c>
      <c r="D1978" s="73" t="s">
        <v>275</v>
      </c>
      <c r="E1978" s="73" t="s">
        <v>48</v>
      </c>
      <c r="F1978" s="73" t="s">
        <v>1565</v>
      </c>
      <c r="G1978" s="73" t="s">
        <v>32</v>
      </c>
      <c r="H1978" s="74" t="s">
        <v>2270</v>
      </c>
      <c r="I1978" s="74">
        <v>185</v>
      </c>
      <c r="J1978" s="75">
        <v>0</v>
      </c>
      <c r="K1978" s="75"/>
    </row>
    <row r="1979" s="1" customFormat="1" ht="14.25" spans="1:11">
      <c r="A1979" s="71">
        <v>11</v>
      </c>
      <c r="B1979" s="72">
        <v>30</v>
      </c>
      <c r="C1979" s="72">
        <v>37</v>
      </c>
      <c r="D1979" s="73" t="s">
        <v>2271</v>
      </c>
      <c r="E1979" s="73" t="s">
        <v>118</v>
      </c>
      <c r="F1979" s="73" t="s">
        <v>55</v>
      </c>
      <c r="G1979" s="73" t="s">
        <v>32</v>
      </c>
      <c r="H1979" s="74" t="s">
        <v>2270</v>
      </c>
      <c r="I1979" s="74">
        <v>40</v>
      </c>
      <c r="J1979" s="75">
        <v>0</v>
      </c>
      <c r="K1979" s="75"/>
    </row>
    <row r="1980" s="1" customFormat="1" ht="14.25" spans="1:11">
      <c r="A1980" s="71">
        <v>11</v>
      </c>
      <c r="B1980" s="72">
        <v>30</v>
      </c>
      <c r="C1980" s="72">
        <v>37</v>
      </c>
      <c r="D1980" s="73" t="s">
        <v>2272</v>
      </c>
      <c r="E1980" s="73" t="s">
        <v>118</v>
      </c>
      <c r="F1980" s="73" t="s">
        <v>55</v>
      </c>
      <c r="G1980" s="73" t="s">
        <v>32</v>
      </c>
      <c r="H1980" s="74" t="s">
        <v>2270</v>
      </c>
      <c r="I1980" s="74">
        <v>651</v>
      </c>
      <c r="J1980" s="75">
        <v>0</v>
      </c>
      <c r="K1980" s="75"/>
    </row>
    <row r="1981" s="1" customFormat="1" ht="14.25" spans="1:11">
      <c r="A1981" s="71">
        <v>11</v>
      </c>
      <c r="B1981" s="72">
        <v>30</v>
      </c>
      <c r="C1981" s="72">
        <v>37</v>
      </c>
      <c r="D1981" s="73" t="s">
        <v>2273</v>
      </c>
      <c r="E1981" s="73" t="s">
        <v>118</v>
      </c>
      <c r="F1981" s="73" t="s">
        <v>55</v>
      </c>
      <c r="G1981" s="73" t="s">
        <v>32</v>
      </c>
      <c r="H1981" s="74" t="s">
        <v>2270</v>
      </c>
      <c r="I1981" s="74">
        <v>135</v>
      </c>
      <c r="J1981" s="75">
        <v>0</v>
      </c>
      <c r="K1981" s="75"/>
    </row>
    <row r="1982" s="1" customFormat="1" ht="14.25" spans="1:11">
      <c r="A1982" s="71">
        <v>11</v>
      </c>
      <c r="B1982" s="72">
        <v>30</v>
      </c>
      <c r="C1982" s="72">
        <v>37</v>
      </c>
      <c r="D1982" s="73" t="s">
        <v>2274</v>
      </c>
      <c r="E1982" s="73" t="s">
        <v>118</v>
      </c>
      <c r="F1982" s="73" t="s">
        <v>55</v>
      </c>
      <c r="G1982" s="73" t="s">
        <v>32</v>
      </c>
      <c r="H1982" s="74" t="s">
        <v>2270</v>
      </c>
      <c r="I1982" s="74">
        <v>150</v>
      </c>
      <c r="J1982" s="75">
        <v>0</v>
      </c>
      <c r="K1982" s="75"/>
    </row>
    <row r="1983" s="1" customFormat="1" ht="14.25" spans="1:11">
      <c r="A1983" s="71">
        <v>11</v>
      </c>
      <c r="B1983" s="72">
        <v>30</v>
      </c>
      <c r="C1983" s="72">
        <v>37</v>
      </c>
      <c r="D1983" s="73" t="s">
        <v>2275</v>
      </c>
      <c r="E1983" s="73" t="s">
        <v>118</v>
      </c>
      <c r="F1983" s="73" t="s">
        <v>119</v>
      </c>
      <c r="G1983" s="73" t="s">
        <v>32</v>
      </c>
      <c r="H1983" s="74" t="s">
        <v>2276</v>
      </c>
      <c r="I1983" s="74">
        <v>167000</v>
      </c>
      <c r="J1983" s="75">
        <v>0</v>
      </c>
      <c r="K1983" s="75"/>
    </row>
    <row r="1984" s="1" customFormat="1" ht="14.25" spans="1:11">
      <c r="A1984" s="71">
        <v>11</v>
      </c>
      <c r="B1984" s="72">
        <v>30</v>
      </c>
      <c r="C1984" s="72">
        <v>38</v>
      </c>
      <c r="D1984" s="73" t="s">
        <v>2277</v>
      </c>
      <c r="E1984" s="73" t="s">
        <v>85</v>
      </c>
      <c r="F1984" s="73" t="s">
        <v>1364</v>
      </c>
      <c r="G1984" s="73" t="s">
        <v>32</v>
      </c>
      <c r="H1984" s="74" t="s">
        <v>2278</v>
      </c>
      <c r="I1984" s="74">
        <v>438</v>
      </c>
      <c r="J1984" s="75">
        <v>0</v>
      </c>
      <c r="K1984" s="75"/>
    </row>
    <row r="1985" s="1" customFormat="1" ht="14.25" spans="1:11">
      <c r="A1985" s="71">
        <v>11</v>
      </c>
      <c r="B1985" s="72">
        <v>30</v>
      </c>
      <c r="C1985" s="72">
        <v>38</v>
      </c>
      <c r="D1985" s="73" t="s">
        <v>2279</v>
      </c>
      <c r="E1985" s="73" t="s">
        <v>96</v>
      </c>
      <c r="F1985" s="73" t="s">
        <v>97</v>
      </c>
      <c r="G1985" s="73" t="s">
        <v>32</v>
      </c>
      <c r="H1985" s="74" t="s">
        <v>2278</v>
      </c>
      <c r="I1985" s="74">
        <v>1161</v>
      </c>
      <c r="J1985" s="75">
        <v>0</v>
      </c>
      <c r="K1985" s="75"/>
    </row>
    <row r="1986" s="1" customFormat="1" ht="14.25" spans="1:11">
      <c r="A1986" s="71">
        <v>11</v>
      </c>
      <c r="B1986" s="72">
        <v>30</v>
      </c>
      <c r="C1986" s="72">
        <v>38</v>
      </c>
      <c r="D1986" s="73" t="s">
        <v>2280</v>
      </c>
      <c r="E1986" s="73" t="s">
        <v>48</v>
      </c>
      <c r="F1986" s="73" t="s">
        <v>383</v>
      </c>
      <c r="G1986" s="73" t="s">
        <v>32</v>
      </c>
      <c r="H1986" s="74" t="s">
        <v>2278</v>
      </c>
      <c r="I1986" s="74">
        <v>550</v>
      </c>
      <c r="J1986" s="75">
        <v>0</v>
      </c>
      <c r="K1986" s="75"/>
    </row>
    <row r="1987" s="1" customFormat="1" ht="14.25" spans="1:11">
      <c r="A1987" s="71">
        <v>11</v>
      </c>
      <c r="B1987" s="72">
        <v>30</v>
      </c>
      <c r="C1987" s="72">
        <v>38</v>
      </c>
      <c r="D1987" s="73" t="s">
        <v>2281</v>
      </c>
      <c r="E1987" s="73" t="s">
        <v>2282</v>
      </c>
      <c r="F1987" s="73" t="s">
        <v>2283</v>
      </c>
      <c r="G1987" s="73" t="s">
        <v>32</v>
      </c>
      <c r="H1987" s="74" t="s">
        <v>2284</v>
      </c>
      <c r="I1987" s="74">
        <v>13513</v>
      </c>
      <c r="J1987" s="75">
        <v>0</v>
      </c>
      <c r="K1987" s="75"/>
    </row>
    <row r="1988" s="1" customFormat="1" ht="14.25" spans="1:11">
      <c r="A1988" s="71">
        <v>11</v>
      </c>
      <c r="B1988" s="72">
        <v>30</v>
      </c>
      <c r="C1988" s="72">
        <v>38</v>
      </c>
      <c r="D1988" s="73" t="s">
        <v>2285</v>
      </c>
      <c r="E1988" s="73" t="s">
        <v>2282</v>
      </c>
      <c r="F1988" s="73" t="s">
        <v>2283</v>
      </c>
      <c r="G1988" s="73" t="s">
        <v>32</v>
      </c>
      <c r="H1988" s="74" t="s">
        <v>2284</v>
      </c>
      <c r="I1988" s="74">
        <v>2700</v>
      </c>
      <c r="J1988" s="75">
        <v>0</v>
      </c>
      <c r="K1988" s="75"/>
    </row>
    <row r="1989" s="1" customFormat="1" ht="14.25" spans="1:11">
      <c r="A1989" s="71">
        <v>11</v>
      </c>
      <c r="B1989" s="72">
        <v>30</v>
      </c>
      <c r="C1989" s="72">
        <v>39</v>
      </c>
      <c r="D1989" s="73" t="s">
        <v>2286</v>
      </c>
      <c r="E1989" s="73" t="s">
        <v>118</v>
      </c>
      <c r="F1989" s="73" t="s">
        <v>55</v>
      </c>
      <c r="G1989" s="73" t="s">
        <v>32</v>
      </c>
      <c r="H1989" s="74" t="s">
        <v>2287</v>
      </c>
      <c r="I1989" s="74">
        <v>191</v>
      </c>
      <c r="J1989" s="75">
        <v>0</v>
      </c>
      <c r="K1989" s="75"/>
    </row>
    <row r="1990" s="1" customFormat="1" ht="14.25" spans="1:11">
      <c r="A1990" s="71">
        <v>11</v>
      </c>
      <c r="B1990" s="72">
        <v>30</v>
      </c>
      <c r="C1990" s="72">
        <v>39</v>
      </c>
      <c r="D1990" s="73" t="s">
        <v>2288</v>
      </c>
      <c r="E1990" s="73" t="s">
        <v>96</v>
      </c>
      <c r="F1990" s="73" t="s">
        <v>97</v>
      </c>
      <c r="G1990" s="73" t="s">
        <v>32</v>
      </c>
      <c r="H1990" s="74" t="s">
        <v>2287</v>
      </c>
      <c r="I1990" s="74">
        <v>147</v>
      </c>
      <c r="J1990" s="75">
        <v>0</v>
      </c>
      <c r="K1990" s="75"/>
    </row>
    <row r="1991" s="1" customFormat="1" ht="14.25" spans="1:11">
      <c r="A1991" s="71">
        <v>11</v>
      </c>
      <c r="B1991" s="72">
        <v>30</v>
      </c>
      <c r="C1991" s="72">
        <v>39</v>
      </c>
      <c r="D1991" s="73" t="s">
        <v>315</v>
      </c>
      <c r="E1991" s="73" t="s">
        <v>85</v>
      </c>
      <c r="F1991" s="73" t="s">
        <v>989</v>
      </c>
      <c r="G1991" s="73" t="s">
        <v>32</v>
      </c>
      <c r="H1991" s="74" t="s">
        <v>2287</v>
      </c>
      <c r="I1991" s="74">
        <v>600</v>
      </c>
      <c r="J1991" s="75">
        <v>0</v>
      </c>
      <c r="K1991" s="75"/>
    </row>
    <row r="1992" s="1" customFormat="1" ht="14.25" spans="1:11">
      <c r="A1992" s="71">
        <v>11</v>
      </c>
      <c r="B1992" s="72">
        <v>30</v>
      </c>
      <c r="C1992" s="72">
        <v>39</v>
      </c>
      <c r="D1992" s="73" t="s">
        <v>2289</v>
      </c>
      <c r="E1992" s="73" t="s">
        <v>96</v>
      </c>
      <c r="F1992" s="73" t="s">
        <v>345</v>
      </c>
      <c r="G1992" s="73" t="s">
        <v>32</v>
      </c>
      <c r="H1992" s="74" t="s">
        <v>2287</v>
      </c>
      <c r="I1992" s="74">
        <v>1400</v>
      </c>
      <c r="J1992" s="75">
        <v>0</v>
      </c>
      <c r="K1992" s="75"/>
    </row>
    <row r="1993" s="1" customFormat="1" ht="14.25" spans="1:11">
      <c r="A1993" s="71">
        <v>11</v>
      </c>
      <c r="B1993" s="72">
        <v>30</v>
      </c>
      <c r="C1993" s="72">
        <v>39</v>
      </c>
      <c r="D1993" s="73" t="s">
        <v>2091</v>
      </c>
      <c r="E1993" s="73" t="s">
        <v>118</v>
      </c>
      <c r="F1993" s="73" t="s">
        <v>55</v>
      </c>
      <c r="G1993" s="73" t="s">
        <v>32</v>
      </c>
      <c r="H1993" s="74" t="s">
        <v>2287</v>
      </c>
      <c r="I1993" s="74">
        <v>40</v>
      </c>
      <c r="J1993" s="75">
        <v>0</v>
      </c>
      <c r="K1993" s="75"/>
    </row>
    <row r="1994" s="1" customFormat="1" ht="14.25" spans="1:11">
      <c r="A1994" s="71">
        <v>11</v>
      </c>
      <c r="B1994" s="72">
        <v>30</v>
      </c>
      <c r="C1994" s="72">
        <v>39</v>
      </c>
      <c r="D1994" s="73" t="s">
        <v>2290</v>
      </c>
      <c r="E1994" s="73" t="s">
        <v>118</v>
      </c>
      <c r="F1994" s="73" t="s">
        <v>55</v>
      </c>
      <c r="G1994" s="73" t="s">
        <v>32</v>
      </c>
      <c r="H1994" s="74" t="s">
        <v>2291</v>
      </c>
      <c r="I1994" s="74">
        <v>100</v>
      </c>
      <c r="J1994" s="75">
        <v>0</v>
      </c>
      <c r="K1994" s="75"/>
    </row>
    <row r="1995" s="1" customFormat="1" ht="14.25" spans="1:11">
      <c r="A1995" s="71">
        <v>11</v>
      </c>
      <c r="B1995" s="72">
        <v>30</v>
      </c>
      <c r="C1995" s="72">
        <v>39</v>
      </c>
      <c r="D1995" s="73" t="s">
        <v>2292</v>
      </c>
      <c r="E1995" s="73" t="s">
        <v>48</v>
      </c>
      <c r="F1995" s="73" t="s">
        <v>1565</v>
      </c>
      <c r="G1995" s="73" t="s">
        <v>32</v>
      </c>
      <c r="H1995" s="74" t="s">
        <v>2291</v>
      </c>
      <c r="I1995" s="74">
        <v>3238</v>
      </c>
      <c r="J1995" s="75">
        <v>0</v>
      </c>
      <c r="K1995" s="75"/>
    </row>
    <row r="1996" s="1" customFormat="1" ht="14.25" spans="1:11">
      <c r="A1996" s="71">
        <v>11</v>
      </c>
      <c r="B1996" s="72">
        <v>30</v>
      </c>
      <c r="C1996" s="72">
        <v>39</v>
      </c>
      <c r="D1996" s="73" t="s">
        <v>2293</v>
      </c>
      <c r="E1996" s="73" t="s">
        <v>118</v>
      </c>
      <c r="F1996" s="73" t="s">
        <v>55</v>
      </c>
      <c r="G1996" s="73" t="s">
        <v>32</v>
      </c>
      <c r="H1996" s="74" t="s">
        <v>2291</v>
      </c>
      <c r="I1996" s="74">
        <v>95</v>
      </c>
      <c r="J1996" s="75">
        <v>0</v>
      </c>
      <c r="K1996" s="75"/>
    </row>
    <row r="1997" s="1" customFormat="1" ht="14.25" spans="1:11">
      <c r="A1997" s="71">
        <v>11</v>
      </c>
      <c r="B1997" s="72">
        <v>30</v>
      </c>
      <c r="C1997" s="72">
        <v>39</v>
      </c>
      <c r="D1997" s="73" t="s">
        <v>2294</v>
      </c>
      <c r="E1997" s="73" t="s">
        <v>37</v>
      </c>
      <c r="F1997" s="73">
        <v>0</v>
      </c>
      <c r="G1997" s="73" t="s">
        <v>32</v>
      </c>
      <c r="H1997" s="74" t="s">
        <v>2291</v>
      </c>
      <c r="I1997" s="74">
        <v>3120</v>
      </c>
      <c r="J1997" s="75">
        <v>0</v>
      </c>
      <c r="K1997" s="75"/>
    </row>
    <row r="1998" s="1" customFormat="1" ht="14.25" spans="1:11">
      <c r="A1998" s="71">
        <v>11</v>
      </c>
      <c r="B1998" s="72">
        <v>30</v>
      </c>
      <c r="C1998" s="72">
        <v>39</v>
      </c>
      <c r="D1998" s="73" t="s">
        <v>2295</v>
      </c>
      <c r="E1998" s="73" t="s">
        <v>37</v>
      </c>
      <c r="F1998" s="73">
        <v>0</v>
      </c>
      <c r="G1998" s="73" t="s">
        <v>32</v>
      </c>
      <c r="H1998" s="74" t="s">
        <v>2291</v>
      </c>
      <c r="I1998" s="74">
        <v>3181</v>
      </c>
      <c r="J1998" s="75">
        <v>0</v>
      </c>
      <c r="K1998" s="75"/>
    </row>
    <row r="1999" s="1" customFormat="1" ht="14.25" spans="1:11">
      <c r="A1999" s="71">
        <v>11</v>
      </c>
      <c r="B1999" s="72">
        <v>30</v>
      </c>
      <c r="C1999" s="72">
        <v>40</v>
      </c>
      <c r="D1999" s="73" t="s">
        <v>2296</v>
      </c>
      <c r="E1999" s="73" t="s">
        <v>48</v>
      </c>
      <c r="F1999" s="73" t="s">
        <v>207</v>
      </c>
      <c r="G1999" s="73" t="s">
        <v>32</v>
      </c>
      <c r="H1999" s="74" t="s">
        <v>2297</v>
      </c>
      <c r="I1999" s="74">
        <v>918</v>
      </c>
      <c r="J1999" s="75">
        <v>0</v>
      </c>
      <c r="K1999" s="75"/>
    </row>
    <row r="2000" s="1" customFormat="1" ht="14.25" spans="1:11">
      <c r="A2000" s="71">
        <v>11</v>
      </c>
      <c r="B2000" s="72">
        <v>30</v>
      </c>
      <c r="C2000" s="72">
        <v>40</v>
      </c>
      <c r="D2000" s="73" t="s">
        <v>2298</v>
      </c>
      <c r="E2000" s="73" t="s">
        <v>48</v>
      </c>
      <c r="F2000" s="73" t="s">
        <v>207</v>
      </c>
      <c r="G2000" s="73" t="s">
        <v>32</v>
      </c>
      <c r="H2000" s="74" t="s">
        <v>2297</v>
      </c>
      <c r="I2000" s="74">
        <v>2090</v>
      </c>
      <c r="J2000" s="75">
        <v>0</v>
      </c>
      <c r="K2000" s="75"/>
    </row>
    <row r="2001" s="1" customFormat="1" ht="14.25" spans="1:11">
      <c r="A2001" s="71">
        <v>11</v>
      </c>
      <c r="B2001" s="72">
        <v>30</v>
      </c>
      <c r="C2001" s="72">
        <v>40</v>
      </c>
      <c r="D2001" s="73" t="s">
        <v>2299</v>
      </c>
      <c r="E2001" s="73" t="s">
        <v>48</v>
      </c>
      <c r="F2001" s="73" t="s">
        <v>207</v>
      </c>
      <c r="G2001" s="73" t="s">
        <v>32</v>
      </c>
      <c r="H2001" s="74" t="s">
        <v>2297</v>
      </c>
      <c r="I2001" s="74">
        <v>266</v>
      </c>
      <c r="J2001" s="75">
        <v>0</v>
      </c>
      <c r="K2001" s="75"/>
    </row>
    <row r="2002" s="1" customFormat="1" ht="14.25" spans="1:11">
      <c r="A2002" s="71">
        <v>11</v>
      </c>
      <c r="B2002" s="72">
        <v>30</v>
      </c>
      <c r="C2002" s="72">
        <v>40</v>
      </c>
      <c r="D2002" s="73" t="s">
        <v>2300</v>
      </c>
      <c r="E2002" s="73" t="s">
        <v>118</v>
      </c>
      <c r="F2002" s="73" t="s">
        <v>55</v>
      </c>
      <c r="G2002" s="73" t="s">
        <v>32</v>
      </c>
      <c r="H2002" s="74" t="s">
        <v>2301</v>
      </c>
      <c r="I2002" s="74">
        <v>342</v>
      </c>
      <c r="J2002" s="75">
        <v>0</v>
      </c>
      <c r="K2002" s="75"/>
    </row>
    <row r="2003" s="1" customFormat="1" ht="14.25" spans="1:11">
      <c r="A2003" s="71">
        <v>11</v>
      </c>
      <c r="B2003" s="72">
        <v>30</v>
      </c>
      <c r="C2003" s="72">
        <v>40</v>
      </c>
      <c r="D2003" s="73" t="s">
        <v>2302</v>
      </c>
      <c r="E2003" s="73" t="s">
        <v>118</v>
      </c>
      <c r="F2003" s="73" t="s">
        <v>55</v>
      </c>
      <c r="G2003" s="73" t="s">
        <v>32</v>
      </c>
      <c r="H2003" s="74" t="s">
        <v>2301</v>
      </c>
      <c r="I2003" s="74">
        <v>300</v>
      </c>
      <c r="J2003" s="75">
        <v>0</v>
      </c>
      <c r="K2003" s="75"/>
    </row>
    <row r="2004" s="1" customFormat="1" ht="14.25" spans="1:11">
      <c r="A2004" s="71">
        <v>11</v>
      </c>
      <c r="B2004" s="72">
        <v>30</v>
      </c>
      <c r="C2004" s="72">
        <v>40</v>
      </c>
      <c r="D2004" s="73" t="s">
        <v>2303</v>
      </c>
      <c r="E2004" s="73" t="s">
        <v>118</v>
      </c>
      <c r="F2004" s="73" t="s">
        <v>55</v>
      </c>
      <c r="G2004" s="73" t="s">
        <v>32</v>
      </c>
      <c r="H2004" s="74" t="s">
        <v>2301</v>
      </c>
      <c r="I2004" s="74">
        <v>150</v>
      </c>
      <c r="J2004" s="75">
        <v>0</v>
      </c>
      <c r="K2004" s="75"/>
    </row>
    <row r="2005" s="1" customFormat="1" ht="14.25" spans="1:11">
      <c r="A2005" s="71">
        <v>11</v>
      </c>
      <c r="B2005" s="72">
        <v>30</v>
      </c>
      <c r="C2005" s="72">
        <v>40</v>
      </c>
      <c r="D2005" s="73" t="s">
        <v>2304</v>
      </c>
      <c r="E2005" s="73" t="s">
        <v>96</v>
      </c>
      <c r="F2005" s="73" t="s">
        <v>97</v>
      </c>
      <c r="G2005" s="73" t="s">
        <v>32</v>
      </c>
      <c r="H2005" s="74" t="s">
        <v>2301</v>
      </c>
      <c r="I2005" s="74">
        <v>240</v>
      </c>
      <c r="J2005" s="75">
        <v>0</v>
      </c>
      <c r="K2005" s="75"/>
    </row>
    <row r="2006" s="1" customFormat="1" ht="14.25" spans="1:11">
      <c r="A2006" s="71">
        <v>11</v>
      </c>
      <c r="B2006" s="72">
        <v>30</v>
      </c>
      <c r="C2006" s="72">
        <v>40</v>
      </c>
      <c r="D2006" s="73" t="s">
        <v>2305</v>
      </c>
      <c r="E2006" s="73" t="s">
        <v>172</v>
      </c>
      <c r="F2006" s="73" t="s">
        <v>216</v>
      </c>
      <c r="G2006" s="73" t="s">
        <v>32</v>
      </c>
      <c r="H2006" s="74" t="s">
        <v>2301</v>
      </c>
      <c r="I2006" s="74">
        <v>70360</v>
      </c>
      <c r="J2006" s="75">
        <v>0</v>
      </c>
      <c r="K2006" s="75"/>
    </row>
    <row r="2007" s="1" customFormat="1" ht="14.25" spans="1:11">
      <c r="A2007" s="71">
        <v>11</v>
      </c>
      <c r="B2007" s="72">
        <v>30</v>
      </c>
      <c r="C2007" s="72">
        <v>41</v>
      </c>
      <c r="D2007" s="73" t="s">
        <v>2306</v>
      </c>
      <c r="E2007" s="73" t="s">
        <v>48</v>
      </c>
      <c r="F2007" s="73" t="s">
        <v>1565</v>
      </c>
      <c r="G2007" s="73" t="s">
        <v>32</v>
      </c>
      <c r="H2007" s="74" t="s">
        <v>2307</v>
      </c>
      <c r="I2007" s="74">
        <v>6850</v>
      </c>
      <c r="J2007" s="75">
        <v>0</v>
      </c>
      <c r="K2007" s="75"/>
    </row>
    <row r="2008" s="1" customFormat="1" ht="14.25" spans="1:11">
      <c r="A2008" s="71">
        <v>11</v>
      </c>
      <c r="B2008" s="72">
        <v>30</v>
      </c>
      <c r="C2008" s="72">
        <v>41</v>
      </c>
      <c r="D2008" s="73" t="s">
        <v>2308</v>
      </c>
      <c r="E2008" s="73" t="s">
        <v>48</v>
      </c>
      <c r="F2008" s="73" t="s">
        <v>207</v>
      </c>
      <c r="G2008" s="73" t="s">
        <v>32</v>
      </c>
      <c r="H2008" s="74" t="s">
        <v>2307</v>
      </c>
      <c r="I2008" s="74">
        <v>100</v>
      </c>
      <c r="J2008" s="75">
        <v>0</v>
      </c>
      <c r="K2008" s="75"/>
    </row>
    <row r="2009" s="1" customFormat="1" ht="14.25" spans="1:11">
      <c r="A2009" s="71">
        <v>11</v>
      </c>
      <c r="B2009" s="72">
        <v>30</v>
      </c>
      <c r="C2009" s="72">
        <v>41</v>
      </c>
      <c r="D2009" s="73" t="s">
        <v>2309</v>
      </c>
      <c r="E2009" s="73" t="s">
        <v>37</v>
      </c>
      <c r="F2009" s="73">
        <v>0</v>
      </c>
      <c r="G2009" s="73" t="s">
        <v>32</v>
      </c>
      <c r="H2009" s="74" t="s">
        <v>2307</v>
      </c>
      <c r="I2009" s="74">
        <v>1923</v>
      </c>
      <c r="J2009" s="75">
        <v>0</v>
      </c>
      <c r="K2009" s="75"/>
    </row>
    <row r="2010" s="1" customFormat="1" ht="14.25" spans="1:11">
      <c r="A2010" s="71">
        <v>11</v>
      </c>
      <c r="B2010" s="72">
        <v>30</v>
      </c>
      <c r="C2010" s="72">
        <v>41</v>
      </c>
      <c r="D2010" s="73" t="s">
        <v>2310</v>
      </c>
      <c r="E2010" s="73" t="s">
        <v>48</v>
      </c>
      <c r="F2010" s="73" t="s">
        <v>55</v>
      </c>
      <c r="G2010" s="73" t="s">
        <v>32</v>
      </c>
      <c r="H2010" s="74" t="s">
        <v>2307</v>
      </c>
      <c r="I2010" s="74">
        <v>1900</v>
      </c>
      <c r="J2010" s="75">
        <v>0</v>
      </c>
      <c r="K2010" s="75"/>
    </row>
    <row r="2011" s="1" customFormat="1" ht="14.25" spans="1:11">
      <c r="A2011" s="71">
        <v>11</v>
      </c>
      <c r="B2011" s="72">
        <v>30</v>
      </c>
      <c r="C2011" s="72">
        <v>41</v>
      </c>
      <c r="D2011" s="73" t="s">
        <v>2311</v>
      </c>
      <c r="E2011" s="73" t="s">
        <v>48</v>
      </c>
      <c r="F2011" s="73" t="s">
        <v>207</v>
      </c>
      <c r="G2011" s="73" t="s">
        <v>32</v>
      </c>
      <c r="H2011" s="74" t="s">
        <v>2307</v>
      </c>
      <c r="I2011" s="74">
        <v>2040</v>
      </c>
      <c r="J2011" s="75">
        <v>0</v>
      </c>
      <c r="K2011" s="75"/>
    </row>
    <row r="2012" s="1" customFormat="1" ht="14.25" spans="1:11">
      <c r="A2012" s="71">
        <v>11</v>
      </c>
      <c r="B2012" s="72">
        <v>30</v>
      </c>
      <c r="C2012" s="72">
        <v>41</v>
      </c>
      <c r="D2012" s="73" t="s">
        <v>2312</v>
      </c>
      <c r="E2012" s="73" t="s">
        <v>2282</v>
      </c>
      <c r="F2012" s="73" t="s">
        <v>2283</v>
      </c>
      <c r="G2012" s="73" t="s">
        <v>32</v>
      </c>
      <c r="H2012" s="74" t="s">
        <v>2313</v>
      </c>
      <c r="I2012" s="74">
        <v>173</v>
      </c>
      <c r="J2012" s="75">
        <v>0</v>
      </c>
      <c r="K2012" s="75"/>
    </row>
    <row r="2013" s="1" customFormat="1" ht="14.25" spans="1:11">
      <c r="A2013" s="71">
        <v>11</v>
      </c>
      <c r="B2013" s="72">
        <v>30</v>
      </c>
      <c r="C2013" s="72">
        <v>41</v>
      </c>
      <c r="D2013" s="73" t="s">
        <v>2314</v>
      </c>
      <c r="E2013" s="73" t="s">
        <v>2282</v>
      </c>
      <c r="F2013" s="73" t="s">
        <v>2283</v>
      </c>
      <c r="G2013" s="73" t="s">
        <v>32</v>
      </c>
      <c r="H2013" s="74" t="s">
        <v>2313</v>
      </c>
      <c r="I2013" s="74">
        <v>4000</v>
      </c>
      <c r="J2013" s="75">
        <v>0</v>
      </c>
      <c r="K2013" s="75"/>
    </row>
    <row r="2014" s="1" customFormat="1" ht="14.25" spans="1:11">
      <c r="A2014" s="71">
        <v>11</v>
      </c>
      <c r="B2014" s="72">
        <v>30</v>
      </c>
      <c r="C2014" s="72">
        <v>42</v>
      </c>
      <c r="D2014" s="73" t="s">
        <v>2315</v>
      </c>
      <c r="E2014" s="73" t="s">
        <v>96</v>
      </c>
      <c r="F2014" s="73" t="s">
        <v>97</v>
      </c>
      <c r="G2014" s="73" t="s">
        <v>32</v>
      </c>
      <c r="H2014" s="74" t="s">
        <v>2316</v>
      </c>
      <c r="I2014" s="74">
        <v>120</v>
      </c>
      <c r="J2014" s="75">
        <v>0</v>
      </c>
      <c r="K2014" s="75"/>
    </row>
    <row r="2015" s="1" customFormat="1" ht="14.25" spans="1:11">
      <c r="A2015" s="71">
        <v>11</v>
      </c>
      <c r="B2015" s="72">
        <v>30</v>
      </c>
      <c r="C2015" s="72">
        <v>42</v>
      </c>
      <c r="D2015" s="73" t="s">
        <v>2317</v>
      </c>
      <c r="E2015" s="73" t="s">
        <v>48</v>
      </c>
      <c r="F2015" s="73" t="s">
        <v>1565</v>
      </c>
      <c r="G2015" s="73" t="s">
        <v>32</v>
      </c>
      <c r="H2015" s="74" t="s">
        <v>2316</v>
      </c>
      <c r="I2015" s="74">
        <v>1007</v>
      </c>
      <c r="J2015" s="75">
        <v>0</v>
      </c>
      <c r="K2015" s="75"/>
    </row>
    <row r="2016" s="1" customFormat="1" ht="14.25" spans="1:11">
      <c r="A2016" s="71">
        <v>11</v>
      </c>
      <c r="B2016" s="72">
        <v>30</v>
      </c>
      <c r="C2016" s="72">
        <v>42</v>
      </c>
      <c r="D2016" s="73" t="s">
        <v>2318</v>
      </c>
      <c r="E2016" s="73" t="s">
        <v>48</v>
      </c>
      <c r="F2016" s="73" t="s">
        <v>207</v>
      </c>
      <c r="G2016" s="73" t="s">
        <v>32</v>
      </c>
      <c r="H2016" s="74" t="s">
        <v>2316</v>
      </c>
      <c r="I2016" s="74">
        <v>80</v>
      </c>
      <c r="J2016" s="75">
        <v>0</v>
      </c>
      <c r="K2016" s="75"/>
    </row>
    <row r="2017" s="1" customFormat="1" ht="14.25" spans="1:11">
      <c r="A2017" s="71">
        <v>11</v>
      </c>
      <c r="B2017" s="72">
        <v>30</v>
      </c>
      <c r="C2017" s="72">
        <v>42</v>
      </c>
      <c r="D2017" s="73" t="s">
        <v>2319</v>
      </c>
      <c r="E2017" s="73" t="s">
        <v>118</v>
      </c>
      <c r="F2017" s="73" t="s">
        <v>55</v>
      </c>
      <c r="G2017" s="73" t="s">
        <v>32</v>
      </c>
      <c r="H2017" s="74" t="s">
        <v>2316</v>
      </c>
      <c r="I2017" s="74">
        <v>1100</v>
      </c>
      <c r="J2017" s="75">
        <v>0</v>
      </c>
      <c r="K2017" s="75"/>
    </row>
    <row r="2018" s="1" customFormat="1" ht="14.25" spans="1:11">
      <c r="A2018" s="71">
        <v>11</v>
      </c>
      <c r="B2018" s="72">
        <v>30</v>
      </c>
      <c r="C2018" s="72">
        <v>42</v>
      </c>
      <c r="D2018" s="73" t="s">
        <v>2320</v>
      </c>
      <c r="E2018" s="73" t="s">
        <v>118</v>
      </c>
      <c r="F2018" s="73" t="s">
        <v>55</v>
      </c>
      <c r="G2018" s="73" t="s">
        <v>32</v>
      </c>
      <c r="H2018" s="74" t="s">
        <v>2316</v>
      </c>
      <c r="I2018" s="74">
        <v>95</v>
      </c>
      <c r="J2018" s="75">
        <v>0</v>
      </c>
      <c r="K2018" s="75"/>
    </row>
    <row r="2019" s="1" customFormat="1" ht="14.25" spans="1:11">
      <c r="A2019" s="71">
        <v>11</v>
      </c>
      <c r="B2019" s="72">
        <v>30</v>
      </c>
      <c r="C2019" s="72">
        <v>42</v>
      </c>
      <c r="D2019" s="73" t="s">
        <v>226</v>
      </c>
      <c r="E2019" s="73" t="s">
        <v>96</v>
      </c>
      <c r="F2019" s="73" t="s">
        <v>97</v>
      </c>
      <c r="G2019" s="73" t="s">
        <v>32</v>
      </c>
      <c r="H2019" s="74" t="s">
        <v>2321</v>
      </c>
      <c r="I2019" s="74">
        <v>196</v>
      </c>
      <c r="J2019" s="75">
        <v>0</v>
      </c>
      <c r="K2019" s="75"/>
    </row>
    <row r="2020" s="1" customFormat="1" ht="14.25" spans="1:11">
      <c r="A2020" s="71">
        <v>11</v>
      </c>
      <c r="B2020" s="72">
        <v>30</v>
      </c>
      <c r="C2020" s="72">
        <v>42</v>
      </c>
      <c r="D2020" s="73" t="s">
        <v>275</v>
      </c>
      <c r="E2020" s="73" t="s">
        <v>48</v>
      </c>
      <c r="F2020" s="73" t="s">
        <v>1565</v>
      </c>
      <c r="G2020" s="73" t="s">
        <v>32</v>
      </c>
      <c r="H2020" s="74" t="s">
        <v>2321</v>
      </c>
      <c r="I2020" s="74">
        <v>121</v>
      </c>
      <c r="J2020" s="75">
        <v>0</v>
      </c>
      <c r="K2020" s="75"/>
    </row>
    <row r="2021" s="1" customFormat="1" ht="14.25" spans="1:11">
      <c r="A2021" s="71">
        <v>11</v>
      </c>
      <c r="B2021" s="72">
        <v>30</v>
      </c>
      <c r="C2021" s="72">
        <v>42</v>
      </c>
      <c r="D2021" s="73" t="s">
        <v>2322</v>
      </c>
      <c r="E2021" s="73" t="s">
        <v>48</v>
      </c>
      <c r="F2021" s="73" t="s">
        <v>1565</v>
      </c>
      <c r="G2021" s="73" t="s">
        <v>32</v>
      </c>
      <c r="H2021" s="74" t="s">
        <v>2321</v>
      </c>
      <c r="I2021" s="74">
        <v>290</v>
      </c>
      <c r="J2021" s="75">
        <v>0</v>
      </c>
      <c r="K2021" s="75"/>
    </row>
    <row r="2022" s="1" customFormat="1" ht="14.25" spans="1:11">
      <c r="A2022" s="71">
        <v>11</v>
      </c>
      <c r="B2022" s="72">
        <v>30</v>
      </c>
      <c r="C2022" s="72">
        <v>42</v>
      </c>
      <c r="D2022" s="73" t="s">
        <v>2323</v>
      </c>
      <c r="E2022" s="73" t="s">
        <v>48</v>
      </c>
      <c r="F2022" s="73" t="s">
        <v>1565</v>
      </c>
      <c r="G2022" s="73" t="s">
        <v>32</v>
      </c>
      <c r="H2022" s="74" t="s">
        <v>2321</v>
      </c>
      <c r="I2022" s="74">
        <v>190</v>
      </c>
      <c r="J2022" s="75">
        <v>0</v>
      </c>
      <c r="K2022" s="75"/>
    </row>
    <row r="2023" s="1" customFormat="1" ht="14.25" spans="1:11">
      <c r="A2023" s="71">
        <v>11</v>
      </c>
      <c r="B2023" s="72">
        <v>30</v>
      </c>
      <c r="C2023" s="72">
        <v>42</v>
      </c>
      <c r="D2023" s="73" t="s">
        <v>2324</v>
      </c>
      <c r="E2023" s="73" t="s">
        <v>48</v>
      </c>
      <c r="F2023" s="73" t="s">
        <v>1565</v>
      </c>
      <c r="G2023" s="73" t="s">
        <v>32</v>
      </c>
      <c r="H2023" s="74" t="s">
        <v>2321</v>
      </c>
      <c r="I2023" s="74">
        <v>170</v>
      </c>
      <c r="J2023" s="75">
        <v>0</v>
      </c>
      <c r="K2023" s="75"/>
    </row>
    <row r="2024" s="1" customFormat="1" ht="14.25" spans="1:11">
      <c r="A2024" s="71">
        <v>11</v>
      </c>
      <c r="B2024" s="72">
        <v>30</v>
      </c>
      <c r="C2024" s="72">
        <v>43</v>
      </c>
      <c r="D2024" s="73" t="s">
        <v>1004</v>
      </c>
      <c r="E2024" s="73" t="s">
        <v>96</v>
      </c>
      <c r="F2024" s="73" t="s">
        <v>1561</v>
      </c>
      <c r="G2024" s="73" t="s">
        <v>32</v>
      </c>
      <c r="H2024" s="74" t="s">
        <v>2325</v>
      </c>
      <c r="I2024" s="74">
        <v>6</v>
      </c>
      <c r="J2024" s="75">
        <v>0</v>
      </c>
      <c r="K2024" s="75"/>
    </row>
    <row r="2025" s="1" customFormat="1" ht="14.25" spans="1:11">
      <c r="A2025" s="71">
        <v>11</v>
      </c>
      <c r="B2025" s="72">
        <v>30</v>
      </c>
      <c r="C2025" s="72">
        <v>43</v>
      </c>
      <c r="D2025" s="73" t="s">
        <v>2326</v>
      </c>
      <c r="E2025" s="73" t="s">
        <v>118</v>
      </c>
      <c r="F2025" s="73" t="s">
        <v>55</v>
      </c>
      <c r="G2025" s="73" t="s">
        <v>32</v>
      </c>
      <c r="H2025" s="74" t="s">
        <v>2325</v>
      </c>
      <c r="I2025" s="74">
        <v>120</v>
      </c>
      <c r="J2025" s="75">
        <v>0</v>
      </c>
      <c r="K2025" s="75"/>
    </row>
    <row r="2026" s="1" customFormat="1" ht="14.25" spans="1:11">
      <c r="A2026" s="71">
        <v>11</v>
      </c>
      <c r="B2026" s="72">
        <v>30</v>
      </c>
      <c r="C2026" s="72">
        <v>43</v>
      </c>
      <c r="D2026" s="73" t="s">
        <v>2327</v>
      </c>
      <c r="E2026" s="73" t="s">
        <v>118</v>
      </c>
      <c r="F2026" s="73" t="s">
        <v>55</v>
      </c>
      <c r="G2026" s="73" t="s">
        <v>32</v>
      </c>
      <c r="H2026" s="74" t="s">
        <v>2325</v>
      </c>
      <c r="I2026" s="74">
        <v>54</v>
      </c>
      <c r="J2026" s="75">
        <v>0</v>
      </c>
      <c r="K2026" s="75"/>
    </row>
    <row r="2027" s="1" customFormat="1" ht="14.25" spans="1:11">
      <c r="A2027" s="71">
        <v>11</v>
      </c>
      <c r="B2027" s="72">
        <v>30</v>
      </c>
      <c r="C2027" s="72">
        <v>43</v>
      </c>
      <c r="D2027" s="73" t="s">
        <v>551</v>
      </c>
      <c r="E2027" s="73" t="s">
        <v>118</v>
      </c>
      <c r="F2027" s="73" t="s">
        <v>55</v>
      </c>
      <c r="G2027" s="73" t="s">
        <v>32</v>
      </c>
      <c r="H2027" s="74" t="s">
        <v>2325</v>
      </c>
      <c r="I2027" s="74">
        <v>80</v>
      </c>
      <c r="J2027" s="75">
        <v>0</v>
      </c>
      <c r="K2027" s="75"/>
    </row>
    <row r="2028" s="1" customFormat="1" ht="14.25" spans="1:11">
      <c r="A2028" s="71">
        <v>11</v>
      </c>
      <c r="B2028" s="72">
        <v>30</v>
      </c>
      <c r="C2028" s="72">
        <v>43</v>
      </c>
      <c r="D2028" s="73" t="s">
        <v>2328</v>
      </c>
      <c r="E2028" s="73" t="s">
        <v>48</v>
      </c>
      <c r="F2028" s="73" t="s">
        <v>1565</v>
      </c>
      <c r="G2028" s="73" t="s">
        <v>32</v>
      </c>
      <c r="H2028" s="74" t="s">
        <v>2325</v>
      </c>
      <c r="I2028" s="74">
        <v>635</v>
      </c>
      <c r="J2028" s="75">
        <v>0</v>
      </c>
      <c r="K2028" s="75"/>
    </row>
    <row r="2029" s="1" customFormat="1" ht="14.25" spans="1:11">
      <c r="A2029" s="71">
        <v>11</v>
      </c>
      <c r="B2029" s="72">
        <v>30</v>
      </c>
      <c r="C2029" s="72">
        <v>43</v>
      </c>
      <c r="D2029" s="73" t="s">
        <v>2329</v>
      </c>
      <c r="E2029" s="73" t="s">
        <v>85</v>
      </c>
      <c r="F2029" s="73" t="s">
        <v>1752</v>
      </c>
      <c r="G2029" s="73" t="s">
        <v>32</v>
      </c>
      <c r="H2029" s="74" t="s">
        <v>2330</v>
      </c>
      <c r="I2029" s="74">
        <v>675</v>
      </c>
      <c r="J2029" s="75">
        <v>0</v>
      </c>
      <c r="K2029" s="75"/>
    </row>
    <row r="2030" s="1" customFormat="1" ht="14.25" spans="1:11">
      <c r="A2030" s="71">
        <v>11</v>
      </c>
      <c r="B2030" s="72">
        <v>30</v>
      </c>
      <c r="C2030" s="72">
        <v>43</v>
      </c>
      <c r="D2030" s="73" t="s">
        <v>2331</v>
      </c>
      <c r="E2030" s="73" t="s">
        <v>85</v>
      </c>
      <c r="F2030" s="73" t="s">
        <v>1752</v>
      </c>
      <c r="G2030" s="73" t="s">
        <v>32</v>
      </c>
      <c r="H2030" s="74" t="s">
        <v>2330</v>
      </c>
      <c r="I2030" s="74">
        <v>2550</v>
      </c>
      <c r="J2030" s="75">
        <v>0</v>
      </c>
      <c r="K2030" s="75"/>
    </row>
    <row r="2031" s="1" customFormat="1" ht="14.25" spans="1:11">
      <c r="A2031" s="71">
        <v>11</v>
      </c>
      <c r="B2031" s="72">
        <v>30</v>
      </c>
      <c r="C2031" s="72">
        <v>43</v>
      </c>
      <c r="D2031" s="73" t="s">
        <v>2332</v>
      </c>
      <c r="E2031" s="73" t="s">
        <v>85</v>
      </c>
      <c r="F2031" s="73" t="s">
        <v>1752</v>
      </c>
      <c r="G2031" s="73" t="s">
        <v>32</v>
      </c>
      <c r="H2031" s="74" t="s">
        <v>2330</v>
      </c>
      <c r="I2031" s="74">
        <v>1200</v>
      </c>
      <c r="J2031" s="75">
        <v>0</v>
      </c>
      <c r="K2031" s="75"/>
    </row>
    <row r="2032" s="1" customFormat="1" ht="14.25" spans="1:11">
      <c r="A2032" s="71">
        <v>11</v>
      </c>
      <c r="B2032" s="72">
        <v>30</v>
      </c>
      <c r="C2032" s="72">
        <v>43</v>
      </c>
      <c r="D2032" s="73" t="s">
        <v>2333</v>
      </c>
      <c r="E2032" s="73" t="s">
        <v>85</v>
      </c>
      <c r="F2032" s="73" t="s">
        <v>1752</v>
      </c>
      <c r="G2032" s="73" t="s">
        <v>32</v>
      </c>
      <c r="H2032" s="74" t="s">
        <v>2330</v>
      </c>
      <c r="I2032" s="74">
        <v>1111</v>
      </c>
      <c r="J2032" s="75">
        <v>0</v>
      </c>
      <c r="K2032" s="75"/>
    </row>
    <row r="2033" s="1" customFormat="1" ht="14.25" spans="1:11">
      <c r="A2033" s="71">
        <v>11</v>
      </c>
      <c r="B2033" s="72">
        <v>30</v>
      </c>
      <c r="C2033" s="72">
        <v>43</v>
      </c>
      <c r="D2033" s="73" t="s">
        <v>2334</v>
      </c>
      <c r="E2033" s="73" t="s">
        <v>85</v>
      </c>
      <c r="F2033" s="73" t="s">
        <v>1752</v>
      </c>
      <c r="G2033" s="73" t="s">
        <v>32</v>
      </c>
      <c r="H2033" s="74" t="s">
        <v>2330</v>
      </c>
      <c r="I2033" s="74">
        <v>580</v>
      </c>
      <c r="J2033" s="75">
        <v>0</v>
      </c>
      <c r="K2033" s="75"/>
    </row>
    <row r="2034" s="1" customFormat="1" ht="14.25" spans="1:11">
      <c r="A2034" s="71">
        <v>11</v>
      </c>
      <c r="B2034" s="72">
        <v>30</v>
      </c>
      <c r="C2034" s="72">
        <v>44</v>
      </c>
      <c r="D2034" s="73" t="s">
        <v>2335</v>
      </c>
      <c r="E2034" s="73" t="s">
        <v>85</v>
      </c>
      <c r="F2034" s="73" t="s">
        <v>1752</v>
      </c>
      <c r="G2034" s="73" t="s">
        <v>32</v>
      </c>
      <c r="H2034" s="74" t="s">
        <v>2336</v>
      </c>
      <c r="I2034" s="74">
        <v>5425</v>
      </c>
      <c r="J2034" s="75">
        <v>0</v>
      </c>
      <c r="K2034" s="75"/>
    </row>
    <row r="2035" s="1" customFormat="1" ht="14.25" spans="1:11">
      <c r="A2035" s="71">
        <v>11</v>
      </c>
      <c r="B2035" s="72">
        <v>30</v>
      </c>
      <c r="C2035" s="72">
        <v>44</v>
      </c>
      <c r="D2035" s="73" t="s">
        <v>2337</v>
      </c>
      <c r="E2035" s="73" t="s">
        <v>85</v>
      </c>
      <c r="F2035" s="73" t="s">
        <v>1752</v>
      </c>
      <c r="G2035" s="73" t="s">
        <v>32</v>
      </c>
      <c r="H2035" s="74" t="s">
        <v>2336</v>
      </c>
      <c r="I2035" s="74">
        <v>5425</v>
      </c>
      <c r="J2035" s="75">
        <v>0</v>
      </c>
      <c r="K2035" s="75"/>
    </row>
    <row r="2036" s="1" customFormat="1" ht="14.25" spans="1:11">
      <c r="A2036" s="71">
        <v>11</v>
      </c>
      <c r="B2036" s="72">
        <v>30</v>
      </c>
      <c r="C2036" s="72">
        <v>44</v>
      </c>
      <c r="D2036" s="73" t="s">
        <v>2338</v>
      </c>
      <c r="E2036" s="73" t="s">
        <v>118</v>
      </c>
      <c r="F2036" s="73" t="s">
        <v>119</v>
      </c>
      <c r="G2036" s="73" t="s">
        <v>32</v>
      </c>
      <c r="H2036" s="74" t="s">
        <v>2339</v>
      </c>
      <c r="I2036" s="74">
        <v>32000</v>
      </c>
      <c r="J2036" s="75">
        <v>0</v>
      </c>
      <c r="K2036" s="75"/>
    </row>
    <row r="2037" s="1" customFormat="1" ht="14.25" spans="1:11">
      <c r="A2037" s="71">
        <v>11</v>
      </c>
      <c r="B2037" s="72">
        <v>30</v>
      </c>
      <c r="C2037" s="72">
        <v>44</v>
      </c>
      <c r="D2037" s="73" t="s">
        <v>2340</v>
      </c>
      <c r="E2037" s="73" t="s">
        <v>96</v>
      </c>
      <c r="F2037" s="73" t="s">
        <v>97</v>
      </c>
      <c r="G2037" s="73" t="s">
        <v>32</v>
      </c>
      <c r="H2037" s="74" t="s">
        <v>2339</v>
      </c>
      <c r="I2037" s="74">
        <v>75</v>
      </c>
      <c r="J2037" s="75">
        <v>0</v>
      </c>
      <c r="K2037" s="75"/>
    </row>
    <row r="2038" s="1" customFormat="1" ht="14.25" spans="1:11">
      <c r="A2038" s="71">
        <v>11</v>
      </c>
      <c r="B2038" s="72">
        <v>30</v>
      </c>
      <c r="C2038" s="72">
        <v>44</v>
      </c>
      <c r="D2038" s="73" t="s">
        <v>275</v>
      </c>
      <c r="E2038" s="73" t="s">
        <v>48</v>
      </c>
      <c r="F2038" s="73" t="s">
        <v>1565</v>
      </c>
      <c r="G2038" s="73" t="s">
        <v>32</v>
      </c>
      <c r="H2038" s="74" t="s">
        <v>2339</v>
      </c>
      <c r="I2038" s="74">
        <v>126</v>
      </c>
      <c r="J2038" s="75">
        <v>0</v>
      </c>
      <c r="K2038" s="75"/>
    </row>
    <row r="2039" s="1" customFormat="1" ht="14.25" spans="1:11">
      <c r="A2039" s="71">
        <v>11</v>
      </c>
      <c r="B2039" s="72">
        <v>30</v>
      </c>
      <c r="C2039" s="72">
        <v>44</v>
      </c>
      <c r="D2039" s="73" t="s">
        <v>2341</v>
      </c>
      <c r="E2039" s="73" t="s">
        <v>96</v>
      </c>
      <c r="F2039" s="73" t="s">
        <v>97</v>
      </c>
      <c r="G2039" s="73" t="s">
        <v>32</v>
      </c>
      <c r="H2039" s="74" t="s">
        <v>2339</v>
      </c>
      <c r="I2039" s="74">
        <v>4560</v>
      </c>
      <c r="J2039" s="75">
        <v>0</v>
      </c>
      <c r="K2039" s="75"/>
    </row>
    <row r="2040" s="1" customFormat="1" ht="14.25" spans="1:11">
      <c r="A2040" s="71">
        <v>11</v>
      </c>
      <c r="B2040" s="72">
        <v>30</v>
      </c>
      <c r="C2040" s="72">
        <v>44</v>
      </c>
      <c r="D2040" s="73" t="s">
        <v>2342</v>
      </c>
      <c r="E2040" s="73" t="s">
        <v>118</v>
      </c>
      <c r="F2040" s="73" t="s">
        <v>55</v>
      </c>
      <c r="G2040" s="73" t="s">
        <v>32</v>
      </c>
      <c r="H2040" s="74" t="s">
        <v>2339</v>
      </c>
      <c r="I2040" s="74">
        <v>81</v>
      </c>
      <c r="J2040" s="75">
        <v>0</v>
      </c>
      <c r="K2040" s="75"/>
    </row>
    <row r="2041" s="1" customFormat="1" ht="14.25" spans="1:11">
      <c r="A2041" s="71">
        <v>11</v>
      </c>
      <c r="B2041" s="72">
        <v>30</v>
      </c>
      <c r="C2041" s="72">
        <v>44</v>
      </c>
      <c r="D2041" s="73" t="s">
        <v>2343</v>
      </c>
      <c r="E2041" s="73" t="s">
        <v>211</v>
      </c>
      <c r="F2041" s="73" t="s">
        <v>448</v>
      </c>
      <c r="G2041" s="73" t="s">
        <v>32</v>
      </c>
      <c r="H2041" s="74" t="s">
        <v>2339</v>
      </c>
      <c r="I2041" s="74">
        <v>115</v>
      </c>
      <c r="J2041" s="75">
        <v>0</v>
      </c>
      <c r="K2041" s="75"/>
    </row>
    <row r="2042" s="1" customFormat="1" ht="14.25" spans="1:11">
      <c r="A2042" s="71">
        <v>11</v>
      </c>
      <c r="B2042" s="72">
        <v>30</v>
      </c>
      <c r="C2042" s="72">
        <v>45</v>
      </c>
      <c r="D2042" s="73" t="s">
        <v>2344</v>
      </c>
      <c r="E2042" s="73" t="s">
        <v>118</v>
      </c>
      <c r="F2042" s="73" t="s">
        <v>55</v>
      </c>
      <c r="G2042" s="73" t="s">
        <v>32</v>
      </c>
      <c r="H2042" s="74" t="s">
        <v>2345</v>
      </c>
      <c r="I2042" s="74">
        <v>295</v>
      </c>
      <c r="J2042" s="75">
        <v>0</v>
      </c>
      <c r="K2042" s="75"/>
    </row>
    <row r="2043" s="1" customFormat="1" ht="14.25" spans="1:11">
      <c r="A2043" s="71">
        <v>11</v>
      </c>
      <c r="B2043" s="72">
        <v>30</v>
      </c>
      <c r="C2043" s="72">
        <v>45</v>
      </c>
      <c r="D2043" s="73" t="s">
        <v>308</v>
      </c>
      <c r="E2043" s="73" t="s">
        <v>118</v>
      </c>
      <c r="F2043" s="73" t="s">
        <v>55</v>
      </c>
      <c r="G2043" s="73" t="s">
        <v>32</v>
      </c>
      <c r="H2043" s="74" t="s">
        <v>2345</v>
      </c>
      <c r="I2043" s="74">
        <v>88</v>
      </c>
      <c r="J2043" s="75">
        <v>0</v>
      </c>
      <c r="K2043" s="75"/>
    </row>
    <row r="2044" s="1" customFormat="1" ht="14.25" spans="1:11">
      <c r="A2044" s="71">
        <v>11</v>
      </c>
      <c r="B2044" s="72">
        <v>30</v>
      </c>
      <c r="C2044" s="72">
        <v>45</v>
      </c>
      <c r="D2044" s="73" t="s">
        <v>600</v>
      </c>
      <c r="E2044" s="73" t="s">
        <v>85</v>
      </c>
      <c r="F2044" s="73" t="s">
        <v>1364</v>
      </c>
      <c r="G2044" s="73" t="s">
        <v>32</v>
      </c>
      <c r="H2044" s="74" t="s">
        <v>2345</v>
      </c>
      <c r="I2044" s="74">
        <v>800</v>
      </c>
      <c r="J2044" s="75">
        <v>0</v>
      </c>
      <c r="K2044" s="75"/>
    </row>
    <row r="2045" s="1" customFormat="1" ht="14.25" spans="1:11">
      <c r="A2045" s="71">
        <v>11</v>
      </c>
      <c r="B2045" s="72">
        <v>30</v>
      </c>
      <c r="C2045" s="72">
        <v>45</v>
      </c>
      <c r="D2045" s="73" t="s">
        <v>2346</v>
      </c>
      <c r="E2045" s="73" t="s">
        <v>118</v>
      </c>
      <c r="F2045" s="73" t="s">
        <v>55</v>
      </c>
      <c r="G2045" s="73" t="s">
        <v>32</v>
      </c>
      <c r="H2045" s="74" t="s">
        <v>2345</v>
      </c>
      <c r="I2045" s="74">
        <v>48</v>
      </c>
      <c r="J2045" s="75">
        <v>0</v>
      </c>
      <c r="K2045" s="75"/>
    </row>
    <row r="2046" s="1" customFormat="1" ht="14.25" spans="1:11">
      <c r="A2046" s="71">
        <v>11</v>
      </c>
      <c r="B2046" s="72">
        <v>30</v>
      </c>
      <c r="C2046" s="72">
        <v>45</v>
      </c>
      <c r="D2046" s="73" t="s">
        <v>2347</v>
      </c>
      <c r="E2046" s="73" t="s">
        <v>172</v>
      </c>
      <c r="F2046" s="73" t="s">
        <v>216</v>
      </c>
      <c r="G2046" s="73" t="s">
        <v>32</v>
      </c>
      <c r="H2046" s="74" t="s">
        <v>2345</v>
      </c>
      <c r="I2046" s="74">
        <v>24200</v>
      </c>
      <c r="J2046" s="75">
        <v>0</v>
      </c>
      <c r="K2046" s="75"/>
    </row>
    <row r="2047" s="1" customFormat="1" ht="14.25" spans="1:11">
      <c r="A2047" s="71">
        <v>11</v>
      </c>
      <c r="B2047" s="72">
        <v>30</v>
      </c>
      <c r="C2047" s="72">
        <v>45</v>
      </c>
      <c r="D2047" s="73" t="s">
        <v>2348</v>
      </c>
      <c r="E2047" s="73" t="s">
        <v>48</v>
      </c>
      <c r="F2047" s="73" t="s">
        <v>55</v>
      </c>
      <c r="G2047" s="73" t="s">
        <v>32</v>
      </c>
      <c r="H2047" s="74" t="s">
        <v>2349</v>
      </c>
      <c r="I2047" s="74">
        <v>650</v>
      </c>
      <c r="J2047" s="75">
        <v>0</v>
      </c>
      <c r="K2047" s="75"/>
    </row>
    <row r="2048" s="1" customFormat="1" ht="14.25" spans="1:11">
      <c r="A2048" s="71">
        <v>11</v>
      </c>
      <c r="B2048" s="72">
        <v>30</v>
      </c>
      <c r="C2048" s="72">
        <v>45</v>
      </c>
      <c r="D2048" s="73" t="s">
        <v>2350</v>
      </c>
      <c r="E2048" s="73" t="s">
        <v>100</v>
      </c>
      <c r="F2048" s="73" t="s">
        <v>101</v>
      </c>
      <c r="G2048" s="73" t="s">
        <v>32</v>
      </c>
      <c r="H2048" s="74" t="s">
        <v>2349</v>
      </c>
      <c r="I2048" s="74">
        <v>45556</v>
      </c>
      <c r="J2048" s="75">
        <v>0</v>
      </c>
      <c r="K2048" s="75"/>
    </row>
    <row r="2049" s="1" customFormat="1" ht="14.25" spans="1:11">
      <c r="A2049" s="71">
        <v>11</v>
      </c>
      <c r="B2049" s="72">
        <v>30</v>
      </c>
      <c r="C2049" s="72">
        <v>45</v>
      </c>
      <c r="D2049" s="73" t="s">
        <v>2351</v>
      </c>
      <c r="E2049" s="73" t="s">
        <v>100</v>
      </c>
      <c r="F2049" s="73" t="s">
        <v>101</v>
      </c>
      <c r="G2049" s="73" t="s">
        <v>32</v>
      </c>
      <c r="H2049" s="74" t="s">
        <v>2349</v>
      </c>
      <c r="I2049" s="74">
        <v>5410</v>
      </c>
      <c r="J2049" s="75">
        <v>0</v>
      </c>
      <c r="K2049" s="75"/>
    </row>
    <row r="2050" s="1" customFormat="1" ht="14.25" spans="1:11">
      <c r="A2050" s="71">
        <v>11</v>
      </c>
      <c r="B2050" s="72">
        <v>30</v>
      </c>
      <c r="C2050" s="72">
        <v>45</v>
      </c>
      <c r="D2050" s="73" t="s">
        <v>1169</v>
      </c>
      <c r="E2050" s="73" t="s">
        <v>100</v>
      </c>
      <c r="F2050" s="73" t="s">
        <v>101</v>
      </c>
      <c r="G2050" s="73" t="s">
        <v>32</v>
      </c>
      <c r="H2050" s="74" t="s">
        <v>2349</v>
      </c>
      <c r="I2050" s="74">
        <v>20</v>
      </c>
      <c r="J2050" s="75">
        <v>0</v>
      </c>
      <c r="K2050" s="75"/>
    </row>
    <row r="2051" s="1" customFormat="1" ht="14.25" spans="1:11">
      <c r="A2051" s="71">
        <v>11</v>
      </c>
      <c r="B2051" s="72">
        <v>30</v>
      </c>
      <c r="C2051" s="72">
        <v>45</v>
      </c>
      <c r="D2051" s="73" t="s">
        <v>2352</v>
      </c>
      <c r="E2051" s="73" t="s">
        <v>48</v>
      </c>
      <c r="F2051" s="73" t="s">
        <v>55</v>
      </c>
      <c r="G2051" s="73" t="s">
        <v>32</v>
      </c>
      <c r="H2051" s="74" t="s">
        <v>2349</v>
      </c>
      <c r="I2051" s="74">
        <v>20</v>
      </c>
      <c r="J2051" s="75">
        <v>0</v>
      </c>
      <c r="K2051" s="75"/>
    </row>
    <row r="2052" s="1" customFormat="1" ht="14.25" spans="1:11">
      <c r="A2052" s="71">
        <v>11</v>
      </c>
      <c r="B2052" s="72">
        <v>30</v>
      </c>
      <c r="C2052" s="72">
        <v>46</v>
      </c>
      <c r="D2052" s="73" t="s">
        <v>2353</v>
      </c>
      <c r="E2052" s="73" t="s">
        <v>118</v>
      </c>
      <c r="F2052" s="73" t="s">
        <v>55</v>
      </c>
      <c r="G2052" s="73" t="s">
        <v>32</v>
      </c>
      <c r="H2052" s="74" t="s">
        <v>2354</v>
      </c>
      <c r="I2052" s="74">
        <v>10</v>
      </c>
      <c r="J2052" s="75">
        <v>0</v>
      </c>
      <c r="K2052" s="75"/>
    </row>
    <row r="2053" s="1" customFormat="1" ht="14.25" spans="1:11">
      <c r="A2053" s="71">
        <v>11</v>
      </c>
      <c r="B2053" s="72">
        <v>30</v>
      </c>
      <c r="C2053" s="72">
        <v>46</v>
      </c>
      <c r="D2053" s="73" t="s">
        <v>2355</v>
      </c>
      <c r="E2053" s="73" t="s">
        <v>118</v>
      </c>
      <c r="F2053" s="73" t="s">
        <v>192</v>
      </c>
      <c r="G2053" s="73" t="s">
        <v>32</v>
      </c>
      <c r="H2053" s="74" t="s">
        <v>2354</v>
      </c>
      <c r="I2053" s="74">
        <v>8250</v>
      </c>
      <c r="J2053" s="75">
        <v>0</v>
      </c>
      <c r="K2053" s="75"/>
    </row>
    <row r="2054" s="1" customFormat="1" ht="14.25" spans="1:11">
      <c r="A2054" s="71">
        <v>11</v>
      </c>
      <c r="B2054" s="72">
        <v>30</v>
      </c>
      <c r="C2054" s="72">
        <v>46</v>
      </c>
      <c r="D2054" s="73" t="s">
        <v>2356</v>
      </c>
      <c r="E2054" s="73" t="s">
        <v>172</v>
      </c>
      <c r="F2054" s="73" t="s">
        <v>396</v>
      </c>
      <c r="G2054" s="73" t="s">
        <v>32</v>
      </c>
      <c r="H2054" s="74" t="s">
        <v>2354</v>
      </c>
      <c r="I2054" s="74">
        <v>40</v>
      </c>
      <c r="J2054" s="75">
        <v>0</v>
      </c>
      <c r="K2054" s="75"/>
    </row>
    <row r="2055" s="1" customFormat="1" ht="14.25" spans="1:11">
      <c r="A2055" s="71">
        <v>11</v>
      </c>
      <c r="B2055" s="72">
        <v>30</v>
      </c>
      <c r="C2055" s="72">
        <v>46</v>
      </c>
      <c r="D2055" s="73" t="s">
        <v>2357</v>
      </c>
      <c r="E2055" s="73" t="s">
        <v>291</v>
      </c>
      <c r="F2055" s="73" t="s">
        <v>292</v>
      </c>
      <c r="G2055" s="73" t="s">
        <v>32</v>
      </c>
      <c r="H2055" s="74" t="s">
        <v>2354</v>
      </c>
      <c r="I2055" s="74">
        <v>4200</v>
      </c>
      <c r="J2055" s="75">
        <v>0</v>
      </c>
      <c r="K2055" s="75"/>
    </row>
    <row r="2056" s="1" customFormat="1" ht="14.25" spans="1:11">
      <c r="A2056" s="71">
        <v>11</v>
      </c>
      <c r="B2056" s="72">
        <v>30</v>
      </c>
      <c r="C2056" s="72">
        <v>46</v>
      </c>
      <c r="D2056" s="73" t="s">
        <v>2358</v>
      </c>
      <c r="E2056" s="73" t="s">
        <v>85</v>
      </c>
      <c r="F2056" s="73" t="s">
        <v>989</v>
      </c>
      <c r="G2056" s="73" t="s">
        <v>32</v>
      </c>
      <c r="H2056" s="74" t="s">
        <v>2359</v>
      </c>
      <c r="I2056" s="74">
        <v>1700</v>
      </c>
      <c r="J2056" s="75">
        <v>0</v>
      </c>
      <c r="K2056" s="75"/>
    </row>
    <row r="2057" s="1" customFormat="1" ht="14.25" spans="1:11">
      <c r="A2057" s="71">
        <v>11</v>
      </c>
      <c r="B2057" s="72">
        <v>30</v>
      </c>
      <c r="C2057" s="72">
        <v>46</v>
      </c>
      <c r="D2057" s="73" t="s">
        <v>2360</v>
      </c>
      <c r="E2057" s="73" t="s">
        <v>48</v>
      </c>
      <c r="F2057" s="73" t="s">
        <v>55</v>
      </c>
      <c r="G2057" s="73" t="s">
        <v>32</v>
      </c>
      <c r="H2057" s="74" t="s">
        <v>2359</v>
      </c>
      <c r="I2057" s="74">
        <v>300</v>
      </c>
      <c r="J2057" s="75">
        <v>0</v>
      </c>
      <c r="K2057" s="75"/>
    </row>
    <row r="2058" s="1" customFormat="1" ht="14.25" spans="1:11">
      <c r="A2058" s="71">
        <v>11</v>
      </c>
      <c r="B2058" s="72">
        <v>30</v>
      </c>
      <c r="C2058" s="72">
        <v>46</v>
      </c>
      <c r="D2058" s="73" t="s">
        <v>255</v>
      </c>
      <c r="E2058" s="73" t="s">
        <v>96</v>
      </c>
      <c r="F2058" s="73" t="s">
        <v>97</v>
      </c>
      <c r="G2058" s="73" t="s">
        <v>32</v>
      </c>
      <c r="H2058" s="74" t="s">
        <v>2359</v>
      </c>
      <c r="I2058" s="74">
        <v>60</v>
      </c>
      <c r="J2058" s="75">
        <v>0</v>
      </c>
      <c r="K2058" s="75"/>
    </row>
    <row r="2059" s="1" customFormat="1" ht="14.25" spans="1:11">
      <c r="A2059" s="71">
        <v>11</v>
      </c>
      <c r="B2059" s="72">
        <v>30</v>
      </c>
      <c r="C2059" s="72">
        <v>46</v>
      </c>
      <c r="D2059" s="73" t="s">
        <v>2361</v>
      </c>
      <c r="E2059" s="73" t="s">
        <v>118</v>
      </c>
      <c r="F2059" s="73" t="s">
        <v>154</v>
      </c>
      <c r="G2059" s="73" t="s">
        <v>32</v>
      </c>
      <c r="H2059" s="74" t="s">
        <v>2359</v>
      </c>
      <c r="I2059" s="74">
        <v>404</v>
      </c>
      <c r="J2059" s="75">
        <v>0</v>
      </c>
      <c r="K2059" s="75"/>
    </row>
    <row r="2060" s="1" customFormat="1" ht="14.25" spans="1:11">
      <c r="A2060" s="71">
        <v>11</v>
      </c>
      <c r="B2060" s="72">
        <v>30</v>
      </c>
      <c r="C2060" s="72">
        <v>46</v>
      </c>
      <c r="D2060" s="73" t="s">
        <v>2362</v>
      </c>
      <c r="E2060" s="73" t="s">
        <v>48</v>
      </c>
      <c r="F2060" s="73" t="s">
        <v>49</v>
      </c>
      <c r="G2060" s="73" t="s">
        <v>32</v>
      </c>
      <c r="H2060" s="74" t="s">
        <v>2359</v>
      </c>
      <c r="I2060" s="74">
        <v>100</v>
      </c>
      <c r="J2060" s="75">
        <v>0</v>
      </c>
      <c r="K2060" s="75"/>
    </row>
    <row r="2061" s="1" customFormat="1" ht="14.25" spans="1:11">
      <c r="A2061" s="71">
        <v>11</v>
      </c>
      <c r="B2061" s="72">
        <v>30</v>
      </c>
      <c r="C2061" s="72">
        <v>47</v>
      </c>
      <c r="D2061" s="73" t="s">
        <v>255</v>
      </c>
      <c r="E2061" s="73" t="s">
        <v>96</v>
      </c>
      <c r="F2061" s="73" t="s">
        <v>97</v>
      </c>
      <c r="G2061" s="73" t="s">
        <v>32</v>
      </c>
      <c r="H2061" s="74" t="s">
        <v>2363</v>
      </c>
      <c r="I2061" s="74">
        <v>147</v>
      </c>
      <c r="J2061" s="75">
        <v>0</v>
      </c>
      <c r="K2061" s="75"/>
    </row>
    <row r="2062" s="1" customFormat="1" ht="14.25" spans="1:11">
      <c r="A2062" s="71">
        <v>11</v>
      </c>
      <c r="B2062" s="72">
        <v>30</v>
      </c>
      <c r="C2062" s="72">
        <v>47</v>
      </c>
      <c r="D2062" s="73" t="s">
        <v>124</v>
      </c>
      <c r="E2062" s="73" t="s">
        <v>48</v>
      </c>
      <c r="F2062" s="73" t="s">
        <v>1565</v>
      </c>
      <c r="G2062" s="73" t="s">
        <v>32</v>
      </c>
      <c r="H2062" s="74" t="s">
        <v>2363</v>
      </c>
      <c r="I2062" s="74">
        <v>4</v>
      </c>
      <c r="J2062" s="75">
        <v>0</v>
      </c>
      <c r="K2062" s="75"/>
    </row>
    <row r="2063" s="1" customFormat="1" ht="14.25" spans="1:11">
      <c r="A2063" s="71">
        <v>11</v>
      </c>
      <c r="B2063" s="72">
        <v>30</v>
      </c>
      <c r="C2063" s="72">
        <v>47</v>
      </c>
      <c r="D2063" s="73" t="s">
        <v>437</v>
      </c>
      <c r="E2063" s="73" t="s">
        <v>48</v>
      </c>
      <c r="F2063" s="73" t="s">
        <v>1565</v>
      </c>
      <c r="G2063" s="73" t="s">
        <v>32</v>
      </c>
      <c r="H2063" s="74" t="s">
        <v>2363</v>
      </c>
      <c r="I2063" s="74">
        <v>160</v>
      </c>
      <c r="J2063" s="75">
        <v>0</v>
      </c>
      <c r="K2063" s="75"/>
    </row>
    <row r="2064" s="1" customFormat="1" ht="14.25" spans="1:11">
      <c r="A2064" s="71">
        <v>11</v>
      </c>
      <c r="B2064" s="72">
        <v>30</v>
      </c>
      <c r="C2064" s="72">
        <v>47</v>
      </c>
      <c r="D2064" s="73" t="s">
        <v>2364</v>
      </c>
      <c r="E2064" s="73" t="s">
        <v>179</v>
      </c>
      <c r="F2064" s="73" t="s">
        <v>180</v>
      </c>
      <c r="G2064" s="73" t="s">
        <v>32</v>
      </c>
      <c r="H2064" s="74" t="s">
        <v>2363</v>
      </c>
      <c r="I2064" s="74">
        <v>18000</v>
      </c>
      <c r="J2064" s="75">
        <v>0</v>
      </c>
      <c r="K2064" s="75"/>
    </row>
    <row r="2065" s="1" customFormat="1" ht="14.25" spans="1:11">
      <c r="A2065" s="71">
        <v>11</v>
      </c>
      <c r="B2065" s="72">
        <v>30</v>
      </c>
      <c r="C2065" s="72">
        <v>47</v>
      </c>
      <c r="D2065" s="73" t="s">
        <v>2365</v>
      </c>
      <c r="E2065" s="73" t="s">
        <v>172</v>
      </c>
      <c r="F2065" s="73" t="s">
        <v>396</v>
      </c>
      <c r="G2065" s="73" t="s">
        <v>32</v>
      </c>
      <c r="H2065" s="74" t="s">
        <v>2363</v>
      </c>
      <c r="I2065" s="74">
        <v>400</v>
      </c>
      <c r="J2065" s="75">
        <v>0</v>
      </c>
      <c r="K2065" s="75"/>
    </row>
    <row r="2066" s="1" customFormat="1" ht="14.25" spans="1:11">
      <c r="A2066" s="71">
        <v>11</v>
      </c>
      <c r="B2066" s="72">
        <v>30</v>
      </c>
      <c r="C2066" s="72">
        <v>47</v>
      </c>
      <c r="D2066" s="73" t="s">
        <v>2366</v>
      </c>
      <c r="E2066" s="73" t="s">
        <v>48</v>
      </c>
      <c r="F2066" s="73" t="s">
        <v>55</v>
      </c>
      <c r="G2066" s="73" t="s">
        <v>32</v>
      </c>
      <c r="H2066" s="74" t="s">
        <v>2367</v>
      </c>
      <c r="I2066" s="74">
        <v>25</v>
      </c>
      <c r="J2066" s="75">
        <v>0</v>
      </c>
      <c r="K2066" s="75"/>
    </row>
    <row r="2067" s="1" customFormat="1" ht="14.25" spans="1:11">
      <c r="A2067" s="71">
        <v>11</v>
      </c>
      <c r="B2067" s="72">
        <v>30</v>
      </c>
      <c r="C2067" s="72">
        <v>47</v>
      </c>
      <c r="D2067" s="73" t="s">
        <v>2368</v>
      </c>
      <c r="E2067" s="73" t="s">
        <v>48</v>
      </c>
      <c r="F2067" s="73" t="s">
        <v>1565</v>
      </c>
      <c r="G2067" s="73" t="s">
        <v>32</v>
      </c>
      <c r="H2067" s="74" t="s">
        <v>2367</v>
      </c>
      <c r="I2067" s="74">
        <v>120</v>
      </c>
      <c r="J2067" s="75">
        <v>0</v>
      </c>
      <c r="K2067" s="75"/>
    </row>
    <row r="2068" s="1" customFormat="1" ht="14.25" spans="1:11">
      <c r="A2068" s="71">
        <v>11</v>
      </c>
      <c r="B2068" s="72">
        <v>30</v>
      </c>
      <c r="C2068" s="72">
        <v>47</v>
      </c>
      <c r="D2068" s="73" t="s">
        <v>2369</v>
      </c>
      <c r="E2068" s="73" t="s">
        <v>48</v>
      </c>
      <c r="F2068" s="73" t="s">
        <v>1565</v>
      </c>
      <c r="G2068" s="73" t="s">
        <v>32</v>
      </c>
      <c r="H2068" s="74" t="s">
        <v>2367</v>
      </c>
      <c r="I2068" s="74">
        <v>25.17</v>
      </c>
      <c r="J2068" s="75">
        <v>0</v>
      </c>
      <c r="K2068" s="75"/>
    </row>
    <row r="2069" s="1" customFormat="1" ht="14.25" spans="1:11">
      <c r="A2069" s="71">
        <v>11</v>
      </c>
      <c r="B2069" s="72">
        <v>30</v>
      </c>
      <c r="C2069" s="72">
        <v>47</v>
      </c>
      <c r="D2069" s="73" t="s">
        <v>1469</v>
      </c>
      <c r="E2069" s="73" t="s">
        <v>118</v>
      </c>
      <c r="F2069" s="73" t="s">
        <v>192</v>
      </c>
      <c r="G2069" s="73" t="s">
        <v>32</v>
      </c>
      <c r="H2069" s="74" t="s">
        <v>2367</v>
      </c>
      <c r="I2069" s="74">
        <v>214500</v>
      </c>
      <c r="J2069" s="75">
        <v>0</v>
      </c>
      <c r="K2069" s="75"/>
    </row>
    <row r="2070" s="1" customFormat="1" ht="14.25" spans="1:11">
      <c r="A2070" s="71">
        <v>11</v>
      </c>
      <c r="B2070" s="72">
        <v>30</v>
      </c>
      <c r="C2070" s="72">
        <v>47</v>
      </c>
      <c r="D2070" s="73" t="s">
        <v>2370</v>
      </c>
      <c r="E2070" s="73" t="s">
        <v>172</v>
      </c>
      <c r="F2070" s="73" t="s">
        <v>396</v>
      </c>
      <c r="G2070" s="73" t="s">
        <v>32</v>
      </c>
      <c r="H2070" s="74" t="s">
        <v>2367</v>
      </c>
      <c r="I2070" s="74">
        <v>50</v>
      </c>
      <c r="J2070" s="75">
        <v>0</v>
      </c>
      <c r="K2070" s="75"/>
    </row>
    <row r="2071" s="1" customFormat="1" ht="14.25" spans="1:11">
      <c r="A2071" s="71">
        <v>11</v>
      </c>
      <c r="B2071" s="72">
        <v>30</v>
      </c>
      <c r="C2071" s="72">
        <v>48</v>
      </c>
      <c r="D2071" s="73" t="s">
        <v>124</v>
      </c>
      <c r="E2071" s="73" t="s">
        <v>48</v>
      </c>
      <c r="F2071" s="73" t="s">
        <v>1565</v>
      </c>
      <c r="G2071" s="73" t="s">
        <v>32</v>
      </c>
      <c r="H2071" s="74" t="s">
        <v>2371</v>
      </c>
      <c r="I2071" s="74">
        <v>4</v>
      </c>
      <c r="J2071" s="75">
        <v>0</v>
      </c>
      <c r="K2071" s="75"/>
    </row>
    <row r="2072" s="1" customFormat="1" ht="14.25" spans="1:11">
      <c r="A2072" s="71">
        <v>11</v>
      </c>
      <c r="B2072" s="72">
        <v>30</v>
      </c>
      <c r="C2072" s="72">
        <v>48</v>
      </c>
      <c r="D2072" s="73" t="s">
        <v>255</v>
      </c>
      <c r="E2072" s="73" t="s">
        <v>96</v>
      </c>
      <c r="F2072" s="73" t="s">
        <v>97</v>
      </c>
      <c r="G2072" s="73" t="s">
        <v>32</v>
      </c>
      <c r="H2072" s="74" t="s">
        <v>2371</v>
      </c>
      <c r="I2072" s="74">
        <v>245</v>
      </c>
      <c r="J2072" s="75">
        <v>0</v>
      </c>
      <c r="K2072" s="75"/>
    </row>
    <row r="2073" s="1" customFormat="1" ht="14.25" spans="1:11">
      <c r="A2073" s="71">
        <v>11</v>
      </c>
      <c r="B2073" s="72">
        <v>30</v>
      </c>
      <c r="C2073" s="72">
        <v>48</v>
      </c>
      <c r="D2073" s="73" t="s">
        <v>255</v>
      </c>
      <c r="E2073" s="73" t="s">
        <v>96</v>
      </c>
      <c r="F2073" s="73" t="s">
        <v>97</v>
      </c>
      <c r="G2073" s="73" t="s">
        <v>32</v>
      </c>
      <c r="H2073" s="74" t="s">
        <v>2371</v>
      </c>
      <c r="I2073" s="74">
        <v>243</v>
      </c>
      <c r="J2073" s="75">
        <v>0</v>
      </c>
      <c r="K2073" s="75"/>
    </row>
    <row r="2074" s="1" customFormat="1" ht="14.25" spans="1:11">
      <c r="A2074" s="71">
        <v>11</v>
      </c>
      <c r="B2074" s="72">
        <v>30</v>
      </c>
      <c r="C2074" s="72">
        <v>48</v>
      </c>
      <c r="D2074" s="73" t="s">
        <v>2372</v>
      </c>
      <c r="E2074" s="73" t="s">
        <v>96</v>
      </c>
      <c r="F2074" s="73" t="s">
        <v>97</v>
      </c>
      <c r="G2074" s="73" t="s">
        <v>32</v>
      </c>
      <c r="H2074" s="74" t="s">
        <v>2371</v>
      </c>
      <c r="I2074" s="74">
        <v>4</v>
      </c>
      <c r="J2074" s="75">
        <v>0</v>
      </c>
      <c r="K2074" s="75"/>
    </row>
    <row r="2075" s="1" customFormat="1" ht="14.25" spans="1:11">
      <c r="A2075" s="71">
        <v>11</v>
      </c>
      <c r="B2075" s="72">
        <v>30</v>
      </c>
      <c r="C2075" s="72">
        <v>48</v>
      </c>
      <c r="D2075" s="73" t="s">
        <v>255</v>
      </c>
      <c r="E2075" s="73" t="s">
        <v>96</v>
      </c>
      <c r="F2075" s="73" t="s">
        <v>97</v>
      </c>
      <c r="G2075" s="73" t="s">
        <v>32</v>
      </c>
      <c r="H2075" s="74" t="s">
        <v>2371</v>
      </c>
      <c r="I2075" s="74">
        <v>553</v>
      </c>
      <c r="J2075" s="75">
        <v>0</v>
      </c>
      <c r="K2075" s="75"/>
    </row>
    <row r="2076" s="1" customFormat="1" ht="14.25" spans="1:11">
      <c r="A2076" s="71">
        <v>11</v>
      </c>
      <c r="B2076" s="72">
        <v>30</v>
      </c>
      <c r="C2076" s="72">
        <v>48</v>
      </c>
      <c r="D2076" s="73" t="s">
        <v>2373</v>
      </c>
      <c r="E2076" s="73" t="s">
        <v>118</v>
      </c>
      <c r="F2076" s="73" t="s">
        <v>184</v>
      </c>
      <c r="G2076" s="73" t="s">
        <v>32</v>
      </c>
      <c r="H2076" s="74" t="s">
        <v>2374</v>
      </c>
      <c r="I2076" s="74">
        <v>32000</v>
      </c>
      <c r="J2076" s="75">
        <v>0</v>
      </c>
      <c r="K2076" s="75"/>
    </row>
    <row r="2077" s="1" customFormat="1" ht="14.25" spans="1:11">
      <c r="A2077" s="71">
        <v>11</v>
      </c>
      <c r="B2077" s="72">
        <v>30</v>
      </c>
      <c r="C2077" s="72">
        <v>48</v>
      </c>
      <c r="D2077" s="73" t="s">
        <v>2375</v>
      </c>
      <c r="E2077" s="73" t="s">
        <v>118</v>
      </c>
      <c r="F2077" s="73" t="s">
        <v>187</v>
      </c>
      <c r="G2077" s="73" t="s">
        <v>32</v>
      </c>
      <c r="H2077" s="74" t="s">
        <v>2374</v>
      </c>
      <c r="I2077" s="74">
        <v>54560</v>
      </c>
      <c r="J2077" s="75">
        <v>0</v>
      </c>
      <c r="K2077" s="75"/>
    </row>
    <row r="2078" s="1" customFormat="1" ht="14.25" spans="1:11">
      <c r="A2078" s="71">
        <v>11</v>
      </c>
      <c r="B2078" s="72">
        <v>30</v>
      </c>
      <c r="C2078" s="72">
        <v>48</v>
      </c>
      <c r="D2078" s="73" t="s">
        <v>2376</v>
      </c>
      <c r="E2078" s="73" t="s">
        <v>118</v>
      </c>
      <c r="F2078" s="73" t="s">
        <v>184</v>
      </c>
      <c r="G2078" s="73" t="s">
        <v>32</v>
      </c>
      <c r="H2078" s="74" t="s">
        <v>2374</v>
      </c>
      <c r="I2078" s="74">
        <v>16000</v>
      </c>
      <c r="J2078" s="75">
        <v>0</v>
      </c>
      <c r="K2078" s="75"/>
    </row>
    <row r="2079" s="1" customFormat="1" ht="14.25" spans="1:11">
      <c r="A2079" s="71">
        <v>11</v>
      </c>
      <c r="B2079" s="72">
        <v>30</v>
      </c>
      <c r="C2079" s="72">
        <v>48</v>
      </c>
      <c r="D2079" s="73" t="s">
        <v>818</v>
      </c>
      <c r="E2079" s="73" t="s">
        <v>118</v>
      </c>
      <c r="F2079" s="73" t="s">
        <v>818</v>
      </c>
      <c r="G2079" s="73" t="s">
        <v>32</v>
      </c>
      <c r="H2079" s="74" t="s">
        <v>2374</v>
      </c>
      <c r="I2079" s="74">
        <v>3360</v>
      </c>
      <c r="J2079" s="75">
        <v>0</v>
      </c>
      <c r="K2079" s="75"/>
    </row>
    <row r="2080" s="1" customFormat="1" ht="14.25" spans="1:11">
      <c r="A2080" s="71">
        <v>11</v>
      </c>
      <c r="B2080" s="72">
        <v>30</v>
      </c>
      <c r="C2080" s="72">
        <v>48</v>
      </c>
      <c r="D2080" s="73" t="s">
        <v>2377</v>
      </c>
      <c r="E2080" s="73" t="s">
        <v>85</v>
      </c>
      <c r="F2080" s="73" t="s">
        <v>989</v>
      </c>
      <c r="G2080" s="73" t="s">
        <v>32</v>
      </c>
      <c r="H2080" s="74" t="s">
        <v>2374</v>
      </c>
      <c r="I2080" s="74">
        <v>700</v>
      </c>
      <c r="J2080" s="75">
        <v>0</v>
      </c>
      <c r="K2080" s="75"/>
    </row>
    <row r="2081" s="1" customFormat="1" ht="14.25" spans="1:11">
      <c r="A2081" s="71">
        <v>11</v>
      </c>
      <c r="B2081" s="72">
        <v>30</v>
      </c>
      <c r="C2081" s="72">
        <v>49</v>
      </c>
      <c r="D2081" s="73" t="s">
        <v>2375</v>
      </c>
      <c r="E2081" s="73" t="s">
        <v>118</v>
      </c>
      <c r="F2081" s="73" t="s">
        <v>187</v>
      </c>
      <c r="G2081" s="73" t="s">
        <v>32</v>
      </c>
      <c r="H2081" s="74" t="s">
        <v>2378</v>
      </c>
      <c r="I2081" s="74">
        <v>51040</v>
      </c>
      <c r="J2081" s="75">
        <v>0</v>
      </c>
      <c r="K2081" s="75"/>
    </row>
    <row r="2082" s="1" customFormat="1" ht="14.25" spans="1:11">
      <c r="A2082" s="71">
        <v>11</v>
      </c>
      <c r="B2082" s="72">
        <v>30</v>
      </c>
      <c r="C2082" s="72">
        <v>49</v>
      </c>
      <c r="D2082" s="73" t="s">
        <v>2379</v>
      </c>
      <c r="E2082" s="73" t="s">
        <v>118</v>
      </c>
      <c r="F2082" s="73" t="s">
        <v>187</v>
      </c>
      <c r="G2082" s="73" t="s">
        <v>32</v>
      </c>
      <c r="H2082" s="74" t="s">
        <v>2378</v>
      </c>
      <c r="I2082" s="74">
        <v>700</v>
      </c>
      <c r="J2082" s="75">
        <v>0</v>
      </c>
      <c r="K2082" s="75"/>
    </row>
    <row r="2083" s="1" customFormat="1" ht="14.25" spans="1:11">
      <c r="A2083" s="71">
        <v>11</v>
      </c>
      <c r="B2083" s="72">
        <v>30</v>
      </c>
      <c r="C2083" s="72">
        <v>49</v>
      </c>
      <c r="D2083" s="73" t="s">
        <v>2380</v>
      </c>
      <c r="E2083" s="73" t="s">
        <v>118</v>
      </c>
      <c r="F2083" s="73" t="s">
        <v>187</v>
      </c>
      <c r="G2083" s="73" t="s">
        <v>32</v>
      </c>
      <c r="H2083" s="74" t="s">
        <v>2378</v>
      </c>
      <c r="I2083" s="74">
        <v>63800</v>
      </c>
      <c r="J2083" s="75">
        <v>0</v>
      </c>
      <c r="K2083" s="75"/>
    </row>
    <row r="2084" s="1" customFormat="1" ht="14.25" spans="1:11">
      <c r="A2084" s="71">
        <v>11</v>
      </c>
      <c r="B2084" s="72">
        <v>30</v>
      </c>
      <c r="C2084" s="72">
        <v>49</v>
      </c>
      <c r="D2084" s="73" t="s">
        <v>2376</v>
      </c>
      <c r="E2084" s="73" t="s">
        <v>118</v>
      </c>
      <c r="F2084" s="73" t="s">
        <v>184</v>
      </c>
      <c r="G2084" s="73" t="s">
        <v>32</v>
      </c>
      <c r="H2084" s="74" t="s">
        <v>2378</v>
      </c>
      <c r="I2084" s="74">
        <v>16000</v>
      </c>
      <c r="J2084" s="75">
        <v>0</v>
      </c>
      <c r="K2084" s="75"/>
    </row>
    <row r="2085" s="1" customFormat="1" ht="14.25" spans="1:11">
      <c r="A2085" s="71">
        <v>11</v>
      </c>
      <c r="B2085" s="72">
        <v>30</v>
      </c>
      <c r="C2085" s="72">
        <v>49</v>
      </c>
      <c r="D2085" s="73" t="s">
        <v>2381</v>
      </c>
      <c r="E2085" s="73" t="s">
        <v>85</v>
      </c>
      <c r="F2085" s="73" t="s">
        <v>989</v>
      </c>
      <c r="G2085" s="73" t="s">
        <v>32</v>
      </c>
      <c r="H2085" s="74" t="s">
        <v>2378</v>
      </c>
      <c r="I2085" s="74">
        <v>700</v>
      </c>
      <c r="J2085" s="75">
        <v>0</v>
      </c>
      <c r="K2085" s="75"/>
    </row>
    <row r="2086" s="1" customFormat="1" ht="14.25" spans="1:11">
      <c r="A2086" s="71">
        <v>11</v>
      </c>
      <c r="B2086" s="72">
        <v>30</v>
      </c>
      <c r="C2086" s="72">
        <v>49</v>
      </c>
      <c r="D2086" s="73" t="s">
        <v>2382</v>
      </c>
      <c r="E2086" s="73" t="s">
        <v>118</v>
      </c>
      <c r="F2086" s="73" t="s">
        <v>187</v>
      </c>
      <c r="G2086" s="73" t="s">
        <v>32</v>
      </c>
      <c r="H2086" s="74" t="s">
        <v>2383</v>
      </c>
      <c r="I2086" s="74">
        <v>51040</v>
      </c>
      <c r="J2086" s="75">
        <v>0</v>
      </c>
      <c r="K2086" s="75"/>
    </row>
    <row r="2087" s="1" customFormat="1" ht="14.25" spans="1:11">
      <c r="A2087" s="71">
        <v>11</v>
      </c>
      <c r="B2087" s="72">
        <v>30</v>
      </c>
      <c r="C2087" s="72">
        <v>49</v>
      </c>
      <c r="D2087" s="73" t="s">
        <v>2379</v>
      </c>
      <c r="E2087" s="73" t="s">
        <v>118</v>
      </c>
      <c r="F2087" s="73" t="s">
        <v>187</v>
      </c>
      <c r="G2087" s="73" t="s">
        <v>32</v>
      </c>
      <c r="H2087" s="74" t="s">
        <v>2383</v>
      </c>
      <c r="I2087" s="74">
        <v>700</v>
      </c>
      <c r="J2087" s="75">
        <v>0</v>
      </c>
      <c r="K2087" s="75"/>
    </row>
    <row r="2088" s="1" customFormat="1" ht="14.25" spans="1:11">
      <c r="A2088" s="71">
        <v>11</v>
      </c>
      <c r="B2088" s="72">
        <v>30</v>
      </c>
      <c r="C2088" s="72">
        <v>49</v>
      </c>
      <c r="D2088" s="73" t="s">
        <v>186</v>
      </c>
      <c r="E2088" s="73" t="s">
        <v>118</v>
      </c>
      <c r="F2088" s="73" t="s">
        <v>187</v>
      </c>
      <c r="G2088" s="73" t="s">
        <v>32</v>
      </c>
      <c r="H2088" s="74" t="s">
        <v>2383</v>
      </c>
      <c r="I2088" s="74">
        <v>31900</v>
      </c>
      <c r="J2088" s="75">
        <v>0</v>
      </c>
      <c r="K2088" s="75"/>
    </row>
    <row r="2089" s="1" customFormat="1" ht="14.25" spans="1:11">
      <c r="A2089" s="71">
        <v>11</v>
      </c>
      <c r="B2089" s="72">
        <v>30</v>
      </c>
      <c r="C2089" s="72">
        <v>49</v>
      </c>
      <c r="D2089" s="73" t="s">
        <v>2384</v>
      </c>
      <c r="E2089" s="73" t="s">
        <v>118</v>
      </c>
      <c r="F2089" s="73" t="s">
        <v>184</v>
      </c>
      <c r="G2089" s="73" t="s">
        <v>32</v>
      </c>
      <c r="H2089" s="74" t="s">
        <v>2383</v>
      </c>
      <c r="I2089" s="74">
        <v>8000</v>
      </c>
      <c r="J2089" s="75">
        <v>0</v>
      </c>
      <c r="K2089" s="75"/>
    </row>
    <row r="2090" s="1" customFormat="1" ht="14.25" spans="1:11">
      <c r="A2090" s="71">
        <v>11</v>
      </c>
      <c r="B2090" s="72">
        <v>30</v>
      </c>
      <c r="C2090" s="72">
        <v>49</v>
      </c>
      <c r="D2090" s="73" t="s">
        <v>2381</v>
      </c>
      <c r="E2090" s="73" t="s">
        <v>85</v>
      </c>
      <c r="F2090" s="73" t="s">
        <v>989</v>
      </c>
      <c r="G2090" s="73" t="s">
        <v>32</v>
      </c>
      <c r="H2090" s="74" t="s">
        <v>2383</v>
      </c>
      <c r="I2090" s="74">
        <v>700</v>
      </c>
      <c r="J2090" s="75">
        <v>0</v>
      </c>
      <c r="K2090" s="75"/>
    </row>
    <row r="2091" s="1" customFormat="1" ht="14.25" spans="1:11">
      <c r="A2091" s="71">
        <v>11</v>
      </c>
      <c r="B2091" s="72">
        <v>30</v>
      </c>
      <c r="C2091" s="72">
        <v>50</v>
      </c>
      <c r="D2091" s="73" t="s">
        <v>2385</v>
      </c>
      <c r="E2091" s="73" t="s">
        <v>48</v>
      </c>
      <c r="F2091" s="73" t="s">
        <v>207</v>
      </c>
      <c r="G2091" s="73" t="s">
        <v>32</v>
      </c>
      <c r="H2091" s="74" t="s">
        <v>2386</v>
      </c>
      <c r="I2091" s="74">
        <v>801</v>
      </c>
      <c r="J2091" s="75">
        <v>0</v>
      </c>
      <c r="K2091" s="75"/>
    </row>
    <row r="2092" s="1" customFormat="1" ht="14.25" spans="1:11">
      <c r="A2092" s="71">
        <v>11</v>
      </c>
      <c r="B2092" s="72">
        <v>30</v>
      </c>
      <c r="C2092" s="72">
        <v>50</v>
      </c>
      <c r="D2092" s="73" t="s">
        <v>2387</v>
      </c>
      <c r="E2092" s="73" t="s">
        <v>48</v>
      </c>
      <c r="F2092" s="73" t="s">
        <v>55</v>
      </c>
      <c r="G2092" s="73" t="s">
        <v>32</v>
      </c>
      <c r="H2092" s="74" t="s">
        <v>2386</v>
      </c>
      <c r="I2092" s="74">
        <v>20</v>
      </c>
      <c r="J2092" s="75">
        <v>0</v>
      </c>
      <c r="K2092" s="75"/>
    </row>
    <row r="2093" s="1" customFormat="1" ht="14.25" spans="1:11">
      <c r="A2093" s="71">
        <v>11</v>
      </c>
      <c r="B2093" s="72">
        <v>30</v>
      </c>
      <c r="C2093" s="72">
        <v>50</v>
      </c>
      <c r="D2093" s="73" t="s">
        <v>2388</v>
      </c>
      <c r="E2093" s="73" t="s">
        <v>48</v>
      </c>
      <c r="F2093" s="73" t="s">
        <v>55</v>
      </c>
      <c r="G2093" s="73" t="s">
        <v>32</v>
      </c>
      <c r="H2093" s="74" t="s">
        <v>2386</v>
      </c>
      <c r="I2093" s="74">
        <v>5</v>
      </c>
      <c r="J2093" s="75">
        <v>0</v>
      </c>
      <c r="K2093" s="75"/>
    </row>
    <row r="2094" s="1" customFormat="1" ht="14.25" spans="1:11">
      <c r="A2094" s="71">
        <v>11</v>
      </c>
      <c r="B2094" s="72">
        <v>30</v>
      </c>
      <c r="C2094" s="72">
        <v>50</v>
      </c>
      <c r="D2094" s="73" t="s">
        <v>2389</v>
      </c>
      <c r="E2094" s="73" t="s">
        <v>118</v>
      </c>
      <c r="F2094" s="73" t="s">
        <v>55</v>
      </c>
      <c r="G2094" s="73" t="s">
        <v>32</v>
      </c>
      <c r="H2094" s="74" t="s">
        <v>2386</v>
      </c>
      <c r="I2094" s="74">
        <v>160</v>
      </c>
      <c r="J2094" s="75">
        <v>0</v>
      </c>
      <c r="K2094" s="75"/>
    </row>
    <row r="2095" s="1" customFormat="1" ht="14.25" spans="1:11">
      <c r="A2095" s="71">
        <v>11</v>
      </c>
      <c r="B2095" s="72">
        <v>30</v>
      </c>
      <c r="C2095" s="72">
        <v>50</v>
      </c>
      <c r="D2095" s="73" t="s">
        <v>2390</v>
      </c>
      <c r="E2095" s="73" t="s">
        <v>100</v>
      </c>
      <c r="F2095" s="73" t="s">
        <v>101</v>
      </c>
      <c r="G2095" s="73" t="s">
        <v>32</v>
      </c>
      <c r="H2095" s="74" t="s">
        <v>2391</v>
      </c>
      <c r="I2095" s="74">
        <v>2075</v>
      </c>
      <c r="J2095" s="75">
        <v>0</v>
      </c>
      <c r="K2095" s="75"/>
    </row>
    <row r="2096" s="1" customFormat="1" ht="14.25" spans="1:11">
      <c r="A2096" s="71">
        <v>11</v>
      </c>
      <c r="B2096" s="72">
        <v>30</v>
      </c>
      <c r="C2096" s="72">
        <v>50</v>
      </c>
      <c r="D2096" s="73" t="s">
        <v>2392</v>
      </c>
      <c r="E2096" s="73" t="s">
        <v>100</v>
      </c>
      <c r="F2096" s="73" t="s">
        <v>101</v>
      </c>
      <c r="G2096" s="73" t="s">
        <v>32</v>
      </c>
      <c r="H2096" s="74" t="s">
        <v>2391</v>
      </c>
      <c r="I2096" s="74">
        <v>565</v>
      </c>
      <c r="J2096" s="75">
        <v>0</v>
      </c>
      <c r="K2096" s="75"/>
    </row>
    <row r="2097" s="1" customFormat="1" ht="14.25" spans="1:11">
      <c r="A2097" s="71">
        <v>11</v>
      </c>
      <c r="B2097" s="72">
        <v>30</v>
      </c>
      <c r="C2097" s="72">
        <v>50</v>
      </c>
      <c r="D2097" s="73" t="s">
        <v>1187</v>
      </c>
      <c r="E2097" s="73" t="s">
        <v>85</v>
      </c>
      <c r="F2097" s="73" t="s">
        <v>989</v>
      </c>
      <c r="G2097" s="73" t="s">
        <v>32</v>
      </c>
      <c r="H2097" s="74" t="s">
        <v>2391</v>
      </c>
      <c r="I2097" s="74">
        <v>850</v>
      </c>
      <c r="J2097" s="75">
        <v>0</v>
      </c>
      <c r="K2097" s="75"/>
    </row>
    <row r="2098" s="1" customFormat="1" ht="14.25" spans="1:11">
      <c r="A2098" s="71">
        <v>11</v>
      </c>
      <c r="B2098" s="72">
        <v>30</v>
      </c>
      <c r="C2098" s="72">
        <v>50</v>
      </c>
      <c r="D2098" s="73" t="s">
        <v>1443</v>
      </c>
      <c r="E2098" s="73" t="s">
        <v>48</v>
      </c>
      <c r="F2098" s="73" t="s">
        <v>55</v>
      </c>
      <c r="G2098" s="73" t="s">
        <v>32</v>
      </c>
      <c r="H2098" s="74" t="s">
        <v>2391</v>
      </c>
      <c r="I2098" s="74">
        <v>425</v>
      </c>
      <c r="J2098" s="75">
        <v>0</v>
      </c>
      <c r="K2098" s="75"/>
    </row>
    <row r="2099" s="1" customFormat="1" ht="14.25" spans="1:11">
      <c r="A2099" s="71">
        <v>11</v>
      </c>
      <c r="B2099" s="72">
        <v>30</v>
      </c>
      <c r="C2099" s="72">
        <v>50</v>
      </c>
      <c r="D2099" s="73" t="s">
        <v>2393</v>
      </c>
      <c r="E2099" s="73" t="s">
        <v>48</v>
      </c>
      <c r="F2099" s="73" t="s">
        <v>55</v>
      </c>
      <c r="G2099" s="73" t="s">
        <v>32</v>
      </c>
      <c r="H2099" s="74" t="s">
        <v>2391</v>
      </c>
      <c r="I2099" s="74">
        <v>20</v>
      </c>
      <c r="J2099" s="75">
        <v>0</v>
      </c>
      <c r="K2099" s="75"/>
    </row>
    <row r="2100" s="1" customFormat="1" ht="14.25" spans="1:11">
      <c r="A2100" s="71">
        <v>11</v>
      </c>
      <c r="B2100" s="72">
        <v>30</v>
      </c>
      <c r="C2100" s="72">
        <v>51</v>
      </c>
      <c r="D2100" s="73" t="s">
        <v>2394</v>
      </c>
      <c r="E2100" s="73" t="s">
        <v>118</v>
      </c>
      <c r="F2100" s="73" t="s">
        <v>151</v>
      </c>
      <c r="G2100" s="73" t="s">
        <v>32</v>
      </c>
      <c r="H2100" s="74" t="s">
        <v>2395</v>
      </c>
      <c r="I2100" s="74">
        <v>180000</v>
      </c>
      <c r="J2100" s="75">
        <v>0</v>
      </c>
      <c r="K2100" s="75"/>
    </row>
    <row r="2101" s="1" customFormat="1" ht="14.25" spans="1:11">
      <c r="A2101" s="71">
        <v>11</v>
      </c>
      <c r="B2101" s="72">
        <v>30</v>
      </c>
      <c r="C2101" s="72">
        <v>51</v>
      </c>
      <c r="D2101" s="73" t="s">
        <v>2396</v>
      </c>
      <c r="E2101" s="73" t="s">
        <v>118</v>
      </c>
      <c r="F2101" s="73" t="s">
        <v>151</v>
      </c>
      <c r="G2101" s="73" t="s">
        <v>32</v>
      </c>
      <c r="H2101" s="74" t="s">
        <v>2395</v>
      </c>
      <c r="I2101" s="74">
        <v>25000</v>
      </c>
      <c r="J2101" s="75">
        <v>0</v>
      </c>
      <c r="K2101" s="75"/>
    </row>
    <row r="2102" s="1" customFormat="1" ht="14.25" spans="1:11">
      <c r="A2102" s="71">
        <v>11</v>
      </c>
      <c r="B2102" s="72">
        <v>30</v>
      </c>
      <c r="C2102" s="72">
        <v>51</v>
      </c>
      <c r="D2102" s="73" t="s">
        <v>239</v>
      </c>
      <c r="E2102" s="73" t="s">
        <v>96</v>
      </c>
      <c r="F2102" s="73" t="s">
        <v>1561</v>
      </c>
      <c r="G2102" s="73" t="s">
        <v>32</v>
      </c>
      <c r="H2102" s="74" t="s">
        <v>2395</v>
      </c>
      <c r="I2102" s="74">
        <v>18</v>
      </c>
      <c r="J2102" s="75">
        <v>0</v>
      </c>
      <c r="K2102" s="75"/>
    </row>
    <row r="2103" s="1" customFormat="1" ht="14.25" spans="1:11">
      <c r="A2103" s="71">
        <v>11</v>
      </c>
      <c r="B2103" s="72">
        <v>30</v>
      </c>
      <c r="C2103" s="72">
        <v>51</v>
      </c>
      <c r="D2103" s="73" t="s">
        <v>124</v>
      </c>
      <c r="E2103" s="73" t="s">
        <v>48</v>
      </c>
      <c r="F2103" s="73" t="s">
        <v>1565</v>
      </c>
      <c r="G2103" s="73" t="s">
        <v>32</v>
      </c>
      <c r="H2103" s="74" t="s">
        <v>2395</v>
      </c>
      <c r="I2103" s="74">
        <v>4</v>
      </c>
      <c r="J2103" s="75">
        <v>0</v>
      </c>
      <c r="K2103" s="75"/>
    </row>
    <row r="2104" s="1" customFormat="1" ht="14.25" spans="1:11">
      <c r="A2104" s="71">
        <v>11</v>
      </c>
      <c r="B2104" s="72">
        <v>30</v>
      </c>
      <c r="C2104" s="72">
        <v>51</v>
      </c>
      <c r="D2104" s="73" t="s">
        <v>2397</v>
      </c>
      <c r="E2104" s="73" t="s">
        <v>48</v>
      </c>
      <c r="F2104" s="73" t="s">
        <v>55</v>
      </c>
      <c r="G2104" s="73" t="s">
        <v>32</v>
      </c>
      <c r="H2104" s="74" t="s">
        <v>2395</v>
      </c>
      <c r="I2104" s="74">
        <v>7.5</v>
      </c>
      <c r="J2104" s="75">
        <v>0</v>
      </c>
      <c r="K2104" s="75"/>
    </row>
    <row r="2105" s="1" customFormat="1" ht="14.25" spans="1:11">
      <c r="A2105" s="71">
        <v>11</v>
      </c>
      <c r="B2105" s="72">
        <v>30</v>
      </c>
      <c r="C2105" s="72">
        <v>51</v>
      </c>
      <c r="D2105" s="73" t="s">
        <v>2398</v>
      </c>
      <c r="E2105" s="73" t="s">
        <v>96</v>
      </c>
      <c r="F2105" s="73" t="s">
        <v>97</v>
      </c>
      <c r="G2105" s="73" t="s">
        <v>32</v>
      </c>
      <c r="H2105" s="74" t="s">
        <v>2399</v>
      </c>
      <c r="I2105" s="74">
        <v>296.42</v>
      </c>
      <c r="J2105" s="75">
        <v>0</v>
      </c>
      <c r="K2105" s="75"/>
    </row>
    <row r="2106" s="1" customFormat="1" ht="14.25" spans="1:11">
      <c r="A2106" s="71">
        <v>11</v>
      </c>
      <c r="B2106" s="72">
        <v>30</v>
      </c>
      <c r="C2106" s="72">
        <v>51</v>
      </c>
      <c r="D2106" s="73" t="s">
        <v>2400</v>
      </c>
      <c r="E2106" s="73" t="s">
        <v>118</v>
      </c>
      <c r="F2106" s="73" t="s">
        <v>55</v>
      </c>
      <c r="G2106" s="73" t="s">
        <v>32</v>
      </c>
      <c r="H2106" s="74" t="s">
        <v>2399</v>
      </c>
      <c r="I2106" s="74">
        <v>74</v>
      </c>
      <c r="J2106" s="75">
        <v>0</v>
      </c>
      <c r="K2106" s="75"/>
    </row>
    <row r="2107" s="1" customFormat="1" ht="14.25" spans="1:11">
      <c r="A2107" s="71">
        <v>11</v>
      </c>
      <c r="B2107" s="72">
        <v>30</v>
      </c>
      <c r="C2107" s="72">
        <v>51</v>
      </c>
      <c r="D2107" s="73" t="s">
        <v>2401</v>
      </c>
      <c r="E2107" s="73" t="s">
        <v>48</v>
      </c>
      <c r="F2107" s="73" t="s">
        <v>1565</v>
      </c>
      <c r="G2107" s="73" t="s">
        <v>32</v>
      </c>
      <c r="H2107" s="74" t="s">
        <v>2399</v>
      </c>
      <c r="I2107" s="74">
        <v>220</v>
      </c>
      <c r="J2107" s="75">
        <v>0</v>
      </c>
      <c r="K2107" s="75"/>
    </row>
    <row r="2108" s="1" customFormat="1" ht="14.25" spans="1:11">
      <c r="A2108" s="71">
        <v>11</v>
      </c>
      <c r="B2108" s="72">
        <v>30</v>
      </c>
      <c r="C2108" s="72">
        <v>52</v>
      </c>
      <c r="D2108" s="73" t="s">
        <v>2402</v>
      </c>
      <c r="E2108" s="73" t="s">
        <v>2282</v>
      </c>
      <c r="F2108" s="73" t="s">
        <v>2283</v>
      </c>
      <c r="G2108" s="73" t="s">
        <v>32</v>
      </c>
      <c r="H2108" s="74" t="s">
        <v>2403</v>
      </c>
      <c r="I2108" s="74">
        <v>118</v>
      </c>
      <c r="J2108" s="75">
        <v>0</v>
      </c>
      <c r="K2108" s="75"/>
    </row>
    <row r="2109" s="1" customFormat="1" ht="14.25" spans="1:11">
      <c r="A2109" s="71">
        <v>11</v>
      </c>
      <c r="B2109" s="72">
        <v>30</v>
      </c>
      <c r="C2109" s="72">
        <v>52</v>
      </c>
      <c r="D2109" s="73" t="s">
        <v>2404</v>
      </c>
      <c r="E2109" s="73" t="s">
        <v>2282</v>
      </c>
      <c r="F2109" s="73" t="s">
        <v>2283</v>
      </c>
      <c r="G2109" s="73" t="s">
        <v>32</v>
      </c>
      <c r="H2109" s="74" t="s">
        <v>2403</v>
      </c>
      <c r="I2109" s="74">
        <v>5205</v>
      </c>
      <c r="J2109" s="75">
        <v>0</v>
      </c>
      <c r="K2109" s="75"/>
    </row>
    <row r="2110" s="1" customFormat="1" ht="14.25" spans="1:11">
      <c r="A2110" s="71">
        <v>11</v>
      </c>
      <c r="B2110" s="72">
        <v>30</v>
      </c>
      <c r="C2110" s="72">
        <v>52</v>
      </c>
      <c r="D2110" s="73" t="s">
        <v>2405</v>
      </c>
      <c r="E2110" s="73" t="s">
        <v>2282</v>
      </c>
      <c r="F2110" s="73" t="s">
        <v>2283</v>
      </c>
      <c r="G2110" s="73" t="s">
        <v>32</v>
      </c>
      <c r="H2110" s="74" t="s">
        <v>2403</v>
      </c>
      <c r="I2110" s="74">
        <v>156</v>
      </c>
      <c r="J2110" s="75">
        <v>0</v>
      </c>
      <c r="K2110" s="75"/>
    </row>
    <row r="2111" s="1" customFormat="1" ht="14.25" spans="1:11">
      <c r="A2111" s="71">
        <v>11</v>
      </c>
      <c r="B2111" s="72">
        <v>30</v>
      </c>
      <c r="C2111" s="72">
        <v>52</v>
      </c>
      <c r="D2111" s="73" t="s">
        <v>2406</v>
      </c>
      <c r="E2111" s="73" t="s">
        <v>2282</v>
      </c>
      <c r="F2111" s="73" t="s">
        <v>2283</v>
      </c>
      <c r="G2111" s="73" t="s">
        <v>32</v>
      </c>
      <c r="H2111" s="74" t="s">
        <v>2407</v>
      </c>
      <c r="I2111" s="74">
        <v>400</v>
      </c>
      <c r="J2111" s="75">
        <v>0</v>
      </c>
      <c r="K2111" s="75"/>
    </row>
    <row r="2112" s="1" customFormat="1" ht="14.25" spans="1:11">
      <c r="A2112" s="71">
        <v>11</v>
      </c>
      <c r="B2112" s="72">
        <v>30</v>
      </c>
      <c r="C2112" s="72">
        <v>52</v>
      </c>
      <c r="D2112" s="73" t="s">
        <v>2408</v>
      </c>
      <c r="E2112" s="73" t="s">
        <v>2282</v>
      </c>
      <c r="F2112" s="73" t="s">
        <v>2283</v>
      </c>
      <c r="G2112" s="73" t="s">
        <v>32</v>
      </c>
      <c r="H2112" s="74" t="s">
        <v>2407</v>
      </c>
      <c r="I2112" s="74">
        <v>1333</v>
      </c>
      <c r="J2112" s="75">
        <v>0</v>
      </c>
      <c r="K2112" s="75"/>
    </row>
    <row r="2113" s="1" customFormat="1" ht="14.25" spans="1:11">
      <c r="A2113" s="71">
        <v>11</v>
      </c>
      <c r="B2113" s="72">
        <v>30</v>
      </c>
      <c r="C2113" s="72">
        <v>52</v>
      </c>
      <c r="D2113" s="73" t="s">
        <v>2409</v>
      </c>
      <c r="E2113" s="73" t="s">
        <v>2282</v>
      </c>
      <c r="F2113" s="73" t="s">
        <v>2283</v>
      </c>
      <c r="G2113" s="73" t="s">
        <v>32</v>
      </c>
      <c r="H2113" s="74" t="s">
        <v>2407</v>
      </c>
      <c r="I2113" s="74">
        <v>1867</v>
      </c>
      <c r="J2113" s="75">
        <v>0</v>
      </c>
      <c r="K2113" s="75"/>
    </row>
    <row r="2114" s="1" customFormat="1" ht="14.25" spans="1:11">
      <c r="A2114" s="71">
        <v>11</v>
      </c>
      <c r="B2114" s="72">
        <v>30</v>
      </c>
      <c r="C2114" s="72">
        <v>53</v>
      </c>
      <c r="D2114" s="73" t="s">
        <v>2410</v>
      </c>
      <c r="E2114" s="73" t="s">
        <v>172</v>
      </c>
      <c r="F2114" s="73" t="s">
        <v>231</v>
      </c>
      <c r="G2114" s="73" t="s">
        <v>32</v>
      </c>
      <c r="H2114" s="74" t="s">
        <v>2407</v>
      </c>
      <c r="I2114" s="74">
        <v>150</v>
      </c>
      <c r="J2114" s="75">
        <v>0</v>
      </c>
      <c r="K2114" s="75"/>
    </row>
    <row r="2115" s="1" customFormat="1" ht="14.25" spans="1:11">
      <c r="A2115" s="71">
        <v>11</v>
      </c>
      <c r="B2115" s="72">
        <v>30</v>
      </c>
      <c r="C2115" s="72">
        <v>53</v>
      </c>
      <c r="D2115" s="73" t="s">
        <v>2411</v>
      </c>
      <c r="E2115" s="73" t="s">
        <v>96</v>
      </c>
      <c r="F2115" s="73" t="s">
        <v>97</v>
      </c>
      <c r="G2115" s="73" t="s">
        <v>32</v>
      </c>
      <c r="H2115" s="74" t="s">
        <v>2407</v>
      </c>
      <c r="I2115" s="74">
        <v>310</v>
      </c>
      <c r="J2115" s="75">
        <v>0</v>
      </c>
      <c r="K2115" s="75"/>
    </row>
    <row r="2116" s="1" customFormat="1" ht="14.25" spans="1:11">
      <c r="A2116" s="71">
        <v>11</v>
      </c>
      <c r="B2116" s="72">
        <v>30</v>
      </c>
      <c r="C2116" s="72">
        <v>53</v>
      </c>
      <c r="D2116" s="73" t="s">
        <v>2412</v>
      </c>
      <c r="E2116" s="73" t="s">
        <v>48</v>
      </c>
      <c r="F2116" s="73" t="s">
        <v>1565</v>
      </c>
      <c r="G2116" s="73" t="s">
        <v>32</v>
      </c>
      <c r="H2116" s="74" t="s">
        <v>2407</v>
      </c>
      <c r="I2116" s="74">
        <v>90</v>
      </c>
      <c r="J2116" s="75">
        <v>0</v>
      </c>
      <c r="K2116" s="75"/>
    </row>
    <row r="2117" s="1" customFormat="1" ht="14.25" spans="1:11">
      <c r="A2117" s="71">
        <v>11</v>
      </c>
      <c r="B2117" s="72">
        <v>30</v>
      </c>
      <c r="C2117" s="72">
        <v>53</v>
      </c>
      <c r="D2117" s="73" t="s">
        <v>2413</v>
      </c>
      <c r="E2117" s="73" t="s">
        <v>96</v>
      </c>
      <c r="F2117" s="73" t="s">
        <v>97</v>
      </c>
      <c r="G2117" s="73" t="s">
        <v>32</v>
      </c>
      <c r="H2117" s="74" t="s">
        <v>2407</v>
      </c>
      <c r="I2117" s="74">
        <v>210</v>
      </c>
      <c r="J2117" s="75">
        <v>0</v>
      </c>
      <c r="K2117" s="75"/>
    </row>
    <row r="2118" s="1" customFormat="1" ht="14.25" spans="1:11">
      <c r="A2118" s="71">
        <v>11</v>
      </c>
      <c r="B2118" s="72">
        <v>30</v>
      </c>
      <c r="C2118" s="72">
        <v>53</v>
      </c>
      <c r="D2118" s="73" t="s">
        <v>2414</v>
      </c>
      <c r="E2118" s="73" t="s">
        <v>118</v>
      </c>
      <c r="F2118" s="73" t="s">
        <v>55</v>
      </c>
      <c r="G2118" s="73" t="s">
        <v>32</v>
      </c>
      <c r="H2118" s="74" t="s">
        <v>2407</v>
      </c>
      <c r="I2118" s="74">
        <v>40</v>
      </c>
      <c r="J2118" s="75">
        <v>0</v>
      </c>
      <c r="K2118" s="75"/>
    </row>
    <row r="2119" s="1" customFormat="1" ht="14.25" spans="1:11">
      <c r="A2119" s="71">
        <v>11</v>
      </c>
      <c r="B2119" s="72">
        <v>30</v>
      </c>
      <c r="C2119" s="72">
        <v>53</v>
      </c>
      <c r="D2119" s="73" t="s">
        <v>2415</v>
      </c>
      <c r="E2119" s="73" t="s">
        <v>48</v>
      </c>
      <c r="F2119" s="73" t="s">
        <v>1565</v>
      </c>
      <c r="G2119" s="73" t="s">
        <v>32</v>
      </c>
      <c r="H2119" s="74" t="s">
        <v>2416</v>
      </c>
      <c r="I2119" s="74">
        <v>291</v>
      </c>
      <c r="J2119" s="75">
        <v>0</v>
      </c>
      <c r="K2119" s="75"/>
    </row>
    <row r="2120" s="1" customFormat="1" ht="14.25" spans="1:11">
      <c r="A2120" s="71">
        <v>11</v>
      </c>
      <c r="B2120" s="72">
        <v>30</v>
      </c>
      <c r="C2120" s="72">
        <v>53</v>
      </c>
      <c r="D2120" s="73" t="s">
        <v>2417</v>
      </c>
      <c r="E2120" s="73" t="s">
        <v>118</v>
      </c>
      <c r="F2120" s="73" t="s">
        <v>2418</v>
      </c>
      <c r="G2120" s="73" t="s">
        <v>32</v>
      </c>
      <c r="H2120" s="74" t="s">
        <v>2416</v>
      </c>
      <c r="I2120" s="74">
        <v>600</v>
      </c>
      <c r="J2120" s="75">
        <v>0</v>
      </c>
      <c r="K2120" s="75"/>
    </row>
    <row r="2121" s="1" customFormat="1" ht="14.25" spans="1:11">
      <c r="A2121" s="71">
        <v>11</v>
      </c>
      <c r="B2121" s="72">
        <v>30</v>
      </c>
      <c r="C2121" s="72">
        <v>53</v>
      </c>
      <c r="D2121" s="73" t="s">
        <v>2419</v>
      </c>
      <c r="E2121" s="73" t="s">
        <v>118</v>
      </c>
      <c r="F2121" s="73" t="s">
        <v>55</v>
      </c>
      <c r="G2121" s="73" t="s">
        <v>32</v>
      </c>
      <c r="H2121" s="74" t="s">
        <v>2416</v>
      </c>
      <c r="I2121" s="74">
        <v>295</v>
      </c>
      <c r="J2121" s="75">
        <v>0</v>
      </c>
      <c r="K2121" s="75"/>
    </row>
    <row r="2122" s="1" customFormat="1" ht="14.25" spans="1:11">
      <c r="A2122" s="71">
        <v>11</v>
      </c>
      <c r="B2122" s="72">
        <v>30</v>
      </c>
      <c r="C2122" s="72">
        <v>53</v>
      </c>
      <c r="D2122" s="73" t="s">
        <v>2420</v>
      </c>
      <c r="E2122" s="73" t="s">
        <v>118</v>
      </c>
      <c r="F2122" s="73" t="s">
        <v>55</v>
      </c>
      <c r="G2122" s="73" t="s">
        <v>32</v>
      </c>
      <c r="H2122" s="74" t="s">
        <v>2416</v>
      </c>
      <c r="I2122" s="74">
        <v>250</v>
      </c>
      <c r="J2122" s="75">
        <v>0</v>
      </c>
      <c r="K2122" s="75"/>
    </row>
    <row r="2123" s="1" customFormat="1" ht="14.25" spans="1:11">
      <c r="A2123" s="71">
        <v>11</v>
      </c>
      <c r="B2123" s="72">
        <v>30</v>
      </c>
      <c r="C2123" s="72">
        <v>53</v>
      </c>
      <c r="D2123" s="73" t="s">
        <v>2421</v>
      </c>
      <c r="E2123" s="73" t="s">
        <v>172</v>
      </c>
      <c r="F2123" s="73" t="s">
        <v>231</v>
      </c>
      <c r="G2123" s="73" t="s">
        <v>32</v>
      </c>
      <c r="H2123" s="74" t="s">
        <v>2416</v>
      </c>
      <c r="I2123" s="74">
        <v>1260</v>
      </c>
      <c r="J2123" s="75">
        <v>0</v>
      </c>
      <c r="K2123" s="75"/>
    </row>
    <row r="2124" s="1" customFormat="1" ht="14.25" spans="1:11">
      <c r="A2124" s="71">
        <v>11</v>
      </c>
      <c r="B2124" s="72">
        <v>30</v>
      </c>
      <c r="C2124" s="72">
        <v>54</v>
      </c>
      <c r="D2124" s="73" t="s">
        <v>308</v>
      </c>
      <c r="E2124" s="73" t="s">
        <v>48</v>
      </c>
      <c r="F2124" s="73" t="s">
        <v>55</v>
      </c>
      <c r="G2124" s="73" t="s">
        <v>32</v>
      </c>
      <c r="H2124" s="74" t="s">
        <v>2422</v>
      </c>
      <c r="I2124" s="74">
        <v>95</v>
      </c>
      <c r="J2124" s="75">
        <v>0</v>
      </c>
      <c r="K2124" s="75"/>
    </row>
    <row r="2125" s="1" customFormat="1" ht="14.25" spans="1:11">
      <c r="A2125" s="71">
        <v>11</v>
      </c>
      <c r="B2125" s="72">
        <v>30</v>
      </c>
      <c r="C2125" s="72">
        <v>54</v>
      </c>
      <c r="D2125" s="73" t="s">
        <v>2423</v>
      </c>
      <c r="E2125" s="73" t="s">
        <v>48</v>
      </c>
      <c r="F2125" s="73" t="s">
        <v>164</v>
      </c>
      <c r="G2125" s="73" t="s">
        <v>32</v>
      </c>
      <c r="H2125" s="74" t="s">
        <v>2422</v>
      </c>
      <c r="I2125" s="74">
        <v>100</v>
      </c>
      <c r="J2125" s="75">
        <v>0</v>
      </c>
      <c r="K2125" s="75"/>
    </row>
    <row r="2126" s="1" customFormat="1" ht="14.25" spans="1:11">
      <c r="A2126" s="71">
        <v>11</v>
      </c>
      <c r="B2126" s="72">
        <v>30</v>
      </c>
      <c r="C2126" s="72">
        <v>54</v>
      </c>
      <c r="D2126" s="73" t="s">
        <v>2424</v>
      </c>
      <c r="E2126" s="73" t="s">
        <v>118</v>
      </c>
      <c r="F2126" s="73" t="s">
        <v>55</v>
      </c>
      <c r="G2126" s="73" t="s">
        <v>32</v>
      </c>
      <c r="H2126" s="74" t="s">
        <v>2422</v>
      </c>
      <c r="I2126" s="74">
        <v>36</v>
      </c>
      <c r="J2126" s="75">
        <v>0</v>
      </c>
      <c r="K2126" s="75"/>
    </row>
    <row r="2127" s="1" customFormat="1" ht="14.25" spans="1:11">
      <c r="A2127" s="71">
        <v>11</v>
      </c>
      <c r="B2127" s="72">
        <v>30</v>
      </c>
      <c r="C2127" s="72">
        <v>54</v>
      </c>
      <c r="D2127" s="73" t="s">
        <v>2425</v>
      </c>
      <c r="E2127" s="73" t="s">
        <v>96</v>
      </c>
      <c r="F2127" s="73" t="s">
        <v>97</v>
      </c>
      <c r="G2127" s="73" t="s">
        <v>32</v>
      </c>
      <c r="H2127" s="74" t="s">
        <v>2422</v>
      </c>
      <c r="I2127" s="74">
        <v>395</v>
      </c>
      <c r="J2127" s="75">
        <v>0</v>
      </c>
      <c r="K2127" s="75"/>
    </row>
    <row r="2128" s="1" customFormat="1" ht="14.25" spans="1:11">
      <c r="A2128" s="71">
        <v>11</v>
      </c>
      <c r="B2128" s="72">
        <v>30</v>
      </c>
      <c r="C2128" s="72">
        <v>54</v>
      </c>
      <c r="D2128" s="73" t="s">
        <v>2426</v>
      </c>
      <c r="E2128" s="73" t="s">
        <v>118</v>
      </c>
      <c r="F2128" s="73" t="s">
        <v>55</v>
      </c>
      <c r="G2128" s="73" t="s">
        <v>32</v>
      </c>
      <c r="H2128" s="74" t="s">
        <v>2422</v>
      </c>
      <c r="I2128" s="74">
        <v>21.5</v>
      </c>
      <c r="J2128" s="75">
        <v>0</v>
      </c>
      <c r="K2128" s="75"/>
    </row>
    <row r="2129" s="1" customFormat="1" ht="14.25" spans="1:11">
      <c r="A2129" s="71">
        <v>11</v>
      </c>
      <c r="B2129" s="72">
        <v>30</v>
      </c>
      <c r="C2129" s="72">
        <v>54</v>
      </c>
      <c r="D2129" s="73" t="s">
        <v>2427</v>
      </c>
      <c r="E2129" s="73" t="s">
        <v>172</v>
      </c>
      <c r="F2129" s="73" t="s">
        <v>216</v>
      </c>
      <c r="G2129" s="73" t="s">
        <v>32</v>
      </c>
      <c r="H2129" s="74" t="s">
        <v>2428</v>
      </c>
      <c r="I2129" s="74">
        <v>29700</v>
      </c>
      <c r="J2129" s="75">
        <v>0</v>
      </c>
      <c r="K2129" s="75"/>
    </row>
    <row r="2130" s="1" customFormat="1" ht="14.25" spans="1:11">
      <c r="A2130" s="71">
        <v>11</v>
      </c>
      <c r="B2130" s="72">
        <v>30</v>
      </c>
      <c r="C2130" s="72">
        <v>54</v>
      </c>
      <c r="D2130" s="73" t="s">
        <v>2429</v>
      </c>
      <c r="E2130" s="73" t="s">
        <v>172</v>
      </c>
      <c r="F2130" s="73" t="s">
        <v>216</v>
      </c>
      <c r="G2130" s="73" t="s">
        <v>32</v>
      </c>
      <c r="H2130" s="74" t="s">
        <v>2428</v>
      </c>
      <c r="I2130" s="74">
        <v>380</v>
      </c>
      <c r="J2130" s="75">
        <v>0</v>
      </c>
      <c r="K2130" s="75"/>
    </row>
    <row r="2131" s="1" customFormat="1" ht="14.25" spans="1:11">
      <c r="A2131" s="71">
        <v>11</v>
      </c>
      <c r="B2131" s="72">
        <v>30</v>
      </c>
      <c r="C2131" s="72">
        <v>54</v>
      </c>
      <c r="D2131" s="73" t="s">
        <v>2430</v>
      </c>
      <c r="E2131" s="73" t="s">
        <v>118</v>
      </c>
      <c r="F2131" s="73" t="s">
        <v>119</v>
      </c>
      <c r="G2131" s="73" t="s">
        <v>32</v>
      </c>
      <c r="H2131" s="74" t="s">
        <v>2428</v>
      </c>
      <c r="I2131" s="74">
        <v>165000</v>
      </c>
      <c r="J2131" s="75">
        <v>0</v>
      </c>
      <c r="K2131" s="75"/>
    </row>
    <row r="2132" s="1" customFormat="1" ht="14.25" spans="1:11">
      <c r="A2132" s="71">
        <v>11</v>
      </c>
      <c r="B2132" s="72">
        <v>30</v>
      </c>
      <c r="C2132" s="72">
        <v>54</v>
      </c>
      <c r="D2132" s="73" t="s">
        <v>2431</v>
      </c>
      <c r="E2132" s="73" t="s">
        <v>118</v>
      </c>
      <c r="F2132" s="73" t="s">
        <v>119</v>
      </c>
      <c r="G2132" s="73" t="s">
        <v>32</v>
      </c>
      <c r="H2132" s="74" t="s">
        <v>2428</v>
      </c>
      <c r="I2132" s="74">
        <v>64800</v>
      </c>
      <c r="J2132" s="75">
        <v>0</v>
      </c>
      <c r="K2132" s="75"/>
    </row>
    <row r="2133" s="1" customFormat="1" ht="14.25" spans="1:11">
      <c r="A2133" s="71">
        <v>11</v>
      </c>
      <c r="B2133" s="72">
        <v>30</v>
      </c>
      <c r="C2133" s="72">
        <v>54</v>
      </c>
      <c r="D2133" s="73" t="s">
        <v>2432</v>
      </c>
      <c r="E2133" s="73" t="s">
        <v>85</v>
      </c>
      <c r="F2133" s="73" t="s">
        <v>1950</v>
      </c>
      <c r="G2133" s="73" t="s">
        <v>32</v>
      </c>
      <c r="H2133" s="74" t="s">
        <v>2428</v>
      </c>
      <c r="I2133" s="74">
        <v>4000</v>
      </c>
      <c r="J2133" s="75">
        <v>0</v>
      </c>
      <c r="K2133" s="75"/>
    </row>
    <row r="2134" s="1" customFormat="1" ht="14.25" spans="1:11">
      <c r="A2134" s="71">
        <v>11</v>
      </c>
      <c r="B2134" s="72">
        <v>30</v>
      </c>
      <c r="C2134" s="72">
        <v>55</v>
      </c>
      <c r="D2134" s="73" t="s">
        <v>294</v>
      </c>
      <c r="E2134" s="73" t="s">
        <v>48</v>
      </c>
      <c r="F2134" s="73" t="s">
        <v>138</v>
      </c>
      <c r="G2134" s="73" t="s">
        <v>32</v>
      </c>
      <c r="H2134" s="74" t="s">
        <v>2433</v>
      </c>
      <c r="I2134" s="74">
        <v>247</v>
      </c>
      <c r="J2134" s="75">
        <v>0</v>
      </c>
      <c r="K2134" s="75"/>
    </row>
    <row r="2135" s="1" customFormat="1" ht="14.25" spans="1:11">
      <c r="A2135" s="71">
        <v>11</v>
      </c>
      <c r="B2135" s="72">
        <v>30</v>
      </c>
      <c r="C2135" s="72">
        <v>55</v>
      </c>
      <c r="D2135" s="73" t="s">
        <v>2434</v>
      </c>
      <c r="E2135" s="73" t="s">
        <v>48</v>
      </c>
      <c r="F2135" s="73" t="s">
        <v>138</v>
      </c>
      <c r="G2135" s="73" t="s">
        <v>32</v>
      </c>
      <c r="H2135" s="74" t="s">
        <v>2433</v>
      </c>
      <c r="I2135" s="74">
        <v>40</v>
      </c>
      <c r="J2135" s="75">
        <v>0</v>
      </c>
      <c r="K2135" s="75"/>
    </row>
    <row r="2136" s="1" customFormat="1" ht="14.25" spans="1:11">
      <c r="A2136" s="71">
        <v>11</v>
      </c>
      <c r="B2136" s="72">
        <v>30</v>
      </c>
      <c r="C2136" s="72">
        <v>55</v>
      </c>
      <c r="D2136" s="73" t="s">
        <v>2435</v>
      </c>
      <c r="E2136" s="73" t="s">
        <v>118</v>
      </c>
      <c r="F2136" s="73" t="s">
        <v>55</v>
      </c>
      <c r="G2136" s="73" t="s">
        <v>32</v>
      </c>
      <c r="H2136" s="74" t="s">
        <v>2433</v>
      </c>
      <c r="I2136" s="74">
        <v>69</v>
      </c>
      <c r="J2136" s="75">
        <v>0</v>
      </c>
      <c r="K2136" s="75"/>
    </row>
    <row r="2137" s="1" customFormat="1" ht="14.25" spans="1:11">
      <c r="A2137" s="71">
        <v>11</v>
      </c>
      <c r="B2137" s="72">
        <v>30</v>
      </c>
      <c r="C2137" s="72">
        <v>55</v>
      </c>
      <c r="D2137" s="73" t="s">
        <v>1019</v>
      </c>
      <c r="E2137" s="73" t="s">
        <v>96</v>
      </c>
      <c r="F2137" s="73" t="s">
        <v>97</v>
      </c>
      <c r="G2137" s="73" t="s">
        <v>32</v>
      </c>
      <c r="H2137" s="74" t="s">
        <v>2436</v>
      </c>
      <c r="I2137" s="74">
        <v>208</v>
      </c>
      <c r="J2137" s="75">
        <v>0</v>
      </c>
      <c r="K2137" s="75"/>
    </row>
    <row r="2138" s="1" customFormat="1" ht="14.25" spans="1:11">
      <c r="A2138" s="71">
        <v>11</v>
      </c>
      <c r="B2138" s="72">
        <v>30</v>
      </c>
      <c r="C2138" s="72">
        <v>55</v>
      </c>
      <c r="D2138" s="73" t="s">
        <v>275</v>
      </c>
      <c r="E2138" s="73" t="s">
        <v>48</v>
      </c>
      <c r="F2138" s="73" t="s">
        <v>1565</v>
      </c>
      <c r="G2138" s="73" t="s">
        <v>32</v>
      </c>
      <c r="H2138" s="74" t="s">
        <v>2436</v>
      </c>
      <c r="I2138" s="74">
        <v>137</v>
      </c>
      <c r="J2138" s="75">
        <v>0</v>
      </c>
      <c r="K2138" s="75"/>
    </row>
    <row r="2139" s="1" customFormat="1" ht="14.25" spans="1:11">
      <c r="A2139" s="71">
        <v>11</v>
      </c>
      <c r="B2139" s="72">
        <v>30</v>
      </c>
      <c r="C2139" s="72">
        <v>55</v>
      </c>
      <c r="D2139" s="73" t="s">
        <v>2437</v>
      </c>
      <c r="E2139" s="73" t="s">
        <v>96</v>
      </c>
      <c r="F2139" s="73" t="s">
        <v>1561</v>
      </c>
      <c r="G2139" s="73" t="s">
        <v>32</v>
      </c>
      <c r="H2139" s="74" t="s">
        <v>2436</v>
      </c>
      <c r="I2139" s="74">
        <v>9</v>
      </c>
      <c r="J2139" s="75">
        <v>0</v>
      </c>
      <c r="K2139" s="75"/>
    </row>
    <row r="2140" s="1" customFormat="1" ht="14.25" spans="1:11">
      <c r="A2140" s="71">
        <v>11</v>
      </c>
      <c r="B2140" s="72">
        <v>30</v>
      </c>
      <c r="C2140" s="72">
        <v>55</v>
      </c>
      <c r="D2140" s="73" t="s">
        <v>2438</v>
      </c>
      <c r="E2140" s="73" t="s">
        <v>96</v>
      </c>
      <c r="F2140" s="73" t="s">
        <v>97</v>
      </c>
      <c r="G2140" s="73" t="s">
        <v>32</v>
      </c>
      <c r="H2140" s="74" t="s">
        <v>2436</v>
      </c>
      <c r="I2140" s="74">
        <v>1520</v>
      </c>
      <c r="J2140" s="75">
        <v>0</v>
      </c>
      <c r="K2140" s="75"/>
    </row>
    <row r="2141" s="1" customFormat="1" ht="14.25" spans="1:11">
      <c r="A2141" s="71">
        <v>11</v>
      </c>
      <c r="B2141" s="72">
        <v>30</v>
      </c>
      <c r="C2141" s="72">
        <v>56</v>
      </c>
      <c r="D2141" s="73" t="s">
        <v>2439</v>
      </c>
      <c r="E2141" s="73" t="s">
        <v>85</v>
      </c>
      <c r="F2141" s="73" t="s">
        <v>1364</v>
      </c>
      <c r="G2141" s="73" t="s">
        <v>32</v>
      </c>
      <c r="H2141" s="74" t="s">
        <v>2440</v>
      </c>
      <c r="I2141" s="74">
        <v>2285</v>
      </c>
      <c r="J2141" s="75">
        <v>0</v>
      </c>
      <c r="K2141" s="75"/>
    </row>
    <row r="2142" s="1" customFormat="1" ht="14.25" spans="1:11">
      <c r="A2142" s="71">
        <v>11</v>
      </c>
      <c r="B2142" s="72">
        <v>30</v>
      </c>
      <c r="C2142" s="72">
        <v>56</v>
      </c>
      <c r="D2142" s="73" t="s">
        <v>2441</v>
      </c>
      <c r="E2142" s="73" t="s">
        <v>118</v>
      </c>
      <c r="F2142" s="73" t="s">
        <v>119</v>
      </c>
      <c r="G2142" s="73" t="s">
        <v>32</v>
      </c>
      <c r="H2142" s="74" t="s">
        <v>2440</v>
      </c>
      <c r="I2142" s="74">
        <v>97200</v>
      </c>
      <c r="J2142" s="75">
        <v>0</v>
      </c>
      <c r="K2142" s="75"/>
    </row>
    <row r="2143" s="1" customFormat="1" ht="14.25" spans="1:11">
      <c r="A2143" s="71">
        <v>11</v>
      </c>
      <c r="B2143" s="72">
        <v>30</v>
      </c>
      <c r="C2143" s="72">
        <v>56</v>
      </c>
      <c r="D2143" s="73" t="s">
        <v>2442</v>
      </c>
      <c r="E2143" s="73" t="s">
        <v>118</v>
      </c>
      <c r="F2143" s="73" t="s">
        <v>55</v>
      </c>
      <c r="G2143" s="73" t="s">
        <v>32</v>
      </c>
      <c r="H2143" s="74" t="s">
        <v>2443</v>
      </c>
      <c r="I2143" s="74">
        <v>1078</v>
      </c>
      <c r="J2143" s="75">
        <v>0</v>
      </c>
      <c r="K2143" s="75"/>
    </row>
    <row r="2144" s="1" customFormat="1" ht="14.25" spans="1:11">
      <c r="A2144" s="71">
        <v>11</v>
      </c>
      <c r="B2144" s="72">
        <v>30</v>
      </c>
      <c r="C2144" s="72">
        <v>56</v>
      </c>
      <c r="D2144" s="73" t="s">
        <v>2444</v>
      </c>
      <c r="E2144" s="73" t="s">
        <v>118</v>
      </c>
      <c r="F2144" s="73" t="s">
        <v>55</v>
      </c>
      <c r="G2144" s="73" t="s">
        <v>32</v>
      </c>
      <c r="H2144" s="74" t="s">
        <v>2443</v>
      </c>
      <c r="I2144" s="74">
        <v>16000</v>
      </c>
      <c r="J2144" s="75">
        <v>0</v>
      </c>
      <c r="K2144" s="75"/>
    </row>
    <row r="2145" s="1" customFormat="1" ht="14.25" spans="1:11">
      <c r="A2145" s="71">
        <v>11</v>
      </c>
      <c r="B2145" s="72">
        <v>30</v>
      </c>
      <c r="C2145" s="72">
        <v>57</v>
      </c>
      <c r="D2145" s="73" t="s">
        <v>2445</v>
      </c>
      <c r="E2145" s="73" t="s">
        <v>96</v>
      </c>
      <c r="F2145" s="73" t="s">
        <v>97</v>
      </c>
      <c r="G2145" s="73" t="s">
        <v>32</v>
      </c>
      <c r="H2145" s="74" t="s">
        <v>2446</v>
      </c>
      <c r="I2145" s="74">
        <v>20</v>
      </c>
      <c r="J2145" s="75">
        <v>0</v>
      </c>
      <c r="K2145" s="75"/>
    </row>
    <row r="2146" s="1" customFormat="1" ht="14.25" spans="1:11">
      <c r="A2146" s="71">
        <v>11</v>
      </c>
      <c r="B2146" s="72">
        <v>30</v>
      </c>
      <c r="C2146" s="72">
        <v>57</v>
      </c>
      <c r="D2146" s="73" t="s">
        <v>124</v>
      </c>
      <c r="E2146" s="73" t="s">
        <v>48</v>
      </c>
      <c r="F2146" s="73" t="s">
        <v>1565</v>
      </c>
      <c r="G2146" s="73" t="s">
        <v>32</v>
      </c>
      <c r="H2146" s="74" t="s">
        <v>2446</v>
      </c>
      <c r="I2146" s="74">
        <v>4</v>
      </c>
      <c r="J2146" s="75">
        <v>0</v>
      </c>
      <c r="K2146" s="75"/>
    </row>
    <row r="2147" s="1" customFormat="1" ht="14.25" spans="1:11">
      <c r="A2147" s="71">
        <v>11</v>
      </c>
      <c r="B2147" s="72">
        <v>30</v>
      </c>
      <c r="C2147" s="72">
        <v>57</v>
      </c>
      <c r="D2147" s="73" t="s">
        <v>275</v>
      </c>
      <c r="E2147" s="73" t="s">
        <v>48</v>
      </c>
      <c r="F2147" s="73" t="s">
        <v>1565</v>
      </c>
      <c r="G2147" s="73" t="s">
        <v>32</v>
      </c>
      <c r="H2147" s="74" t="s">
        <v>2446</v>
      </c>
      <c r="I2147" s="74">
        <v>305</v>
      </c>
      <c r="J2147" s="75">
        <v>0</v>
      </c>
      <c r="K2147" s="75"/>
    </row>
    <row r="2148" s="1" customFormat="1" ht="14.25" spans="1:11">
      <c r="A2148" s="71">
        <v>11</v>
      </c>
      <c r="B2148" s="72">
        <v>30</v>
      </c>
      <c r="C2148" s="72">
        <v>57</v>
      </c>
      <c r="D2148" s="73" t="s">
        <v>2447</v>
      </c>
      <c r="E2148" s="73" t="s">
        <v>118</v>
      </c>
      <c r="F2148" s="73" t="s">
        <v>55</v>
      </c>
      <c r="G2148" s="73" t="s">
        <v>32</v>
      </c>
      <c r="H2148" s="74" t="s">
        <v>2446</v>
      </c>
      <c r="I2148" s="74">
        <v>1800</v>
      </c>
      <c r="J2148" s="75">
        <v>0</v>
      </c>
      <c r="K2148" s="75"/>
    </row>
    <row r="2149" s="1" customFormat="1" ht="14.25" spans="1:11">
      <c r="A2149" s="71">
        <v>11</v>
      </c>
      <c r="B2149" s="72">
        <v>30</v>
      </c>
      <c r="C2149" s="72">
        <v>57</v>
      </c>
      <c r="D2149" s="73" t="s">
        <v>2448</v>
      </c>
      <c r="E2149" s="73" t="s">
        <v>118</v>
      </c>
      <c r="F2149" s="73" t="s">
        <v>55</v>
      </c>
      <c r="G2149" s="73" t="s">
        <v>32</v>
      </c>
      <c r="H2149" s="74" t="s">
        <v>2446</v>
      </c>
      <c r="I2149" s="74">
        <v>1500</v>
      </c>
      <c r="J2149" s="75">
        <v>0</v>
      </c>
      <c r="K2149" s="75"/>
    </row>
    <row r="2150" s="1" customFormat="1" ht="14.25" spans="1:11">
      <c r="A2150" s="71">
        <v>11</v>
      </c>
      <c r="B2150" s="72">
        <v>30</v>
      </c>
      <c r="C2150" s="72">
        <v>57</v>
      </c>
      <c r="D2150" s="73" t="s">
        <v>2449</v>
      </c>
      <c r="E2150" s="73" t="s">
        <v>96</v>
      </c>
      <c r="F2150" s="73" t="s">
        <v>97</v>
      </c>
      <c r="G2150" s="73" t="s">
        <v>32</v>
      </c>
      <c r="H2150" s="74" t="s">
        <v>2450</v>
      </c>
      <c r="I2150" s="74">
        <v>15</v>
      </c>
      <c r="J2150" s="75">
        <v>0</v>
      </c>
      <c r="K2150" s="75"/>
    </row>
    <row r="2151" s="1" customFormat="1" ht="14.25" spans="1:11">
      <c r="A2151" s="71">
        <v>11</v>
      </c>
      <c r="B2151" s="72">
        <v>30</v>
      </c>
      <c r="C2151" s="72">
        <v>57</v>
      </c>
      <c r="D2151" s="73" t="s">
        <v>2451</v>
      </c>
      <c r="E2151" s="73" t="s">
        <v>96</v>
      </c>
      <c r="F2151" s="73" t="s">
        <v>97</v>
      </c>
      <c r="G2151" s="73" t="s">
        <v>32</v>
      </c>
      <c r="H2151" s="74" t="s">
        <v>2450</v>
      </c>
      <c r="I2151" s="74">
        <v>300</v>
      </c>
      <c r="J2151" s="75">
        <v>0</v>
      </c>
      <c r="K2151" s="75"/>
    </row>
    <row r="2152" s="1" customFormat="1" ht="14.25" spans="1:11">
      <c r="A2152" s="71">
        <v>11</v>
      </c>
      <c r="B2152" s="72">
        <v>30</v>
      </c>
      <c r="C2152" s="72">
        <v>57</v>
      </c>
      <c r="D2152" s="73" t="s">
        <v>2452</v>
      </c>
      <c r="E2152" s="73" t="s">
        <v>96</v>
      </c>
      <c r="F2152" s="73" t="s">
        <v>97</v>
      </c>
      <c r="G2152" s="73" t="s">
        <v>32</v>
      </c>
      <c r="H2152" s="74" t="s">
        <v>2450</v>
      </c>
      <c r="I2152" s="74">
        <v>65</v>
      </c>
      <c r="J2152" s="75">
        <v>0</v>
      </c>
      <c r="K2152" s="75"/>
    </row>
    <row r="2153" s="1" customFormat="1" ht="14.25" spans="1:11">
      <c r="A2153" s="71">
        <v>11</v>
      </c>
      <c r="B2153" s="72">
        <v>30</v>
      </c>
      <c r="C2153" s="72">
        <v>57</v>
      </c>
      <c r="D2153" s="73" t="s">
        <v>2453</v>
      </c>
      <c r="E2153" s="73" t="s">
        <v>48</v>
      </c>
      <c r="F2153" s="73" t="s">
        <v>2454</v>
      </c>
      <c r="G2153" s="73" t="s">
        <v>32</v>
      </c>
      <c r="H2153" s="74" t="s">
        <v>2450</v>
      </c>
      <c r="I2153" s="74">
        <v>65</v>
      </c>
      <c r="J2153" s="75">
        <v>0</v>
      </c>
      <c r="K2153" s="75"/>
    </row>
    <row r="2154" s="1" customFormat="1" ht="14.25" spans="1:11">
      <c r="A2154" s="71">
        <v>11</v>
      </c>
      <c r="B2154" s="72">
        <v>30</v>
      </c>
      <c r="C2154" s="72">
        <v>58</v>
      </c>
      <c r="D2154" s="73" t="s">
        <v>2455</v>
      </c>
      <c r="E2154" s="73" t="s">
        <v>118</v>
      </c>
      <c r="F2154" s="73" t="s">
        <v>55</v>
      </c>
      <c r="G2154" s="73" t="s">
        <v>32</v>
      </c>
      <c r="H2154" s="74" t="s">
        <v>2456</v>
      </c>
      <c r="I2154" s="74">
        <v>39</v>
      </c>
      <c r="J2154" s="75">
        <v>0</v>
      </c>
      <c r="K2154" s="75"/>
    </row>
    <row r="2155" s="1" customFormat="1" ht="14.25" spans="1:11">
      <c r="A2155" s="71">
        <v>11</v>
      </c>
      <c r="B2155" s="72">
        <v>30</v>
      </c>
      <c r="C2155" s="72">
        <v>58</v>
      </c>
      <c r="D2155" s="73" t="s">
        <v>915</v>
      </c>
      <c r="E2155" s="73" t="s">
        <v>118</v>
      </c>
      <c r="F2155" s="73" t="s">
        <v>55</v>
      </c>
      <c r="G2155" s="73" t="s">
        <v>32</v>
      </c>
      <c r="H2155" s="74" t="s">
        <v>2456</v>
      </c>
      <c r="I2155" s="74">
        <v>135</v>
      </c>
      <c r="J2155" s="75">
        <v>0</v>
      </c>
      <c r="K2155" s="75"/>
    </row>
    <row r="2156" s="1" customFormat="1" ht="14.25" spans="1:11">
      <c r="A2156" s="71">
        <v>11</v>
      </c>
      <c r="B2156" s="72">
        <v>30</v>
      </c>
      <c r="C2156" s="72">
        <v>58</v>
      </c>
      <c r="D2156" s="73" t="s">
        <v>2457</v>
      </c>
      <c r="E2156" s="73" t="s">
        <v>118</v>
      </c>
      <c r="F2156" s="73" t="s">
        <v>55</v>
      </c>
      <c r="G2156" s="73" t="s">
        <v>32</v>
      </c>
      <c r="H2156" s="74" t="s">
        <v>2456</v>
      </c>
      <c r="I2156" s="74">
        <v>28</v>
      </c>
      <c r="J2156" s="75">
        <v>0</v>
      </c>
      <c r="K2156" s="75"/>
    </row>
    <row r="2157" s="1" customFormat="1" ht="14.25" spans="1:11">
      <c r="A2157" s="71">
        <v>11</v>
      </c>
      <c r="B2157" s="72">
        <v>30</v>
      </c>
      <c r="C2157" s="72">
        <v>58</v>
      </c>
      <c r="D2157" s="73" t="s">
        <v>1458</v>
      </c>
      <c r="E2157" s="73" t="s">
        <v>48</v>
      </c>
      <c r="F2157" s="73" t="s">
        <v>55</v>
      </c>
      <c r="G2157" s="73" t="s">
        <v>32</v>
      </c>
      <c r="H2157" s="74" t="s">
        <v>2456</v>
      </c>
      <c r="I2157" s="74">
        <v>10</v>
      </c>
      <c r="J2157" s="75">
        <v>0</v>
      </c>
      <c r="K2157" s="75"/>
    </row>
    <row r="2158" s="1" customFormat="1" ht="14.25" spans="1:11">
      <c r="A2158" s="71">
        <v>11</v>
      </c>
      <c r="B2158" s="72">
        <v>30</v>
      </c>
      <c r="C2158" s="72">
        <v>58</v>
      </c>
      <c r="D2158" s="73" t="s">
        <v>2458</v>
      </c>
      <c r="E2158" s="73" t="s">
        <v>291</v>
      </c>
      <c r="F2158" s="73" t="s">
        <v>323</v>
      </c>
      <c r="G2158" s="73" t="s">
        <v>32</v>
      </c>
      <c r="H2158" s="74" t="s">
        <v>2456</v>
      </c>
      <c r="I2158" s="74">
        <v>1708</v>
      </c>
      <c r="J2158" s="75">
        <v>0</v>
      </c>
      <c r="K2158" s="75"/>
    </row>
    <row r="2159" s="1" customFormat="1" ht="14.25" spans="1:11">
      <c r="A2159" s="71">
        <v>11</v>
      </c>
      <c r="B2159" s="72">
        <v>30</v>
      </c>
      <c r="C2159" s="72">
        <v>58</v>
      </c>
      <c r="D2159" s="73" t="s">
        <v>124</v>
      </c>
      <c r="E2159" s="73" t="s">
        <v>48</v>
      </c>
      <c r="F2159" s="73" t="s">
        <v>1565</v>
      </c>
      <c r="G2159" s="73" t="s">
        <v>32</v>
      </c>
      <c r="H2159" s="74" t="s">
        <v>2459</v>
      </c>
      <c r="I2159" s="74">
        <v>4</v>
      </c>
      <c r="J2159" s="75">
        <v>0</v>
      </c>
      <c r="K2159" s="75"/>
    </row>
    <row r="2160" s="1" customFormat="1" ht="14.25" spans="1:11">
      <c r="A2160" s="71">
        <v>11</v>
      </c>
      <c r="B2160" s="72">
        <v>30</v>
      </c>
      <c r="C2160" s="72">
        <v>58</v>
      </c>
      <c r="D2160" s="73" t="s">
        <v>2460</v>
      </c>
      <c r="E2160" s="73" t="s">
        <v>118</v>
      </c>
      <c r="F2160" s="73" t="s">
        <v>55</v>
      </c>
      <c r="G2160" s="73" t="s">
        <v>32</v>
      </c>
      <c r="H2160" s="74" t="s">
        <v>2459</v>
      </c>
      <c r="I2160" s="74">
        <v>9</v>
      </c>
      <c r="J2160" s="75">
        <v>0</v>
      </c>
      <c r="K2160" s="75"/>
    </row>
    <row r="2161" s="1" customFormat="1" ht="14.25" spans="1:11">
      <c r="A2161" s="71">
        <v>11</v>
      </c>
      <c r="B2161" s="72">
        <v>30</v>
      </c>
      <c r="C2161" s="72">
        <v>58</v>
      </c>
      <c r="D2161" s="73" t="s">
        <v>2461</v>
      </c>
      <c r="E2161" s="73" t="s">
        <v>96</v>
      </c>
      <c r="F2161" s="73" t="s">
        <v>97</v>
      </c>
      <c r="G2161" s="73" t="s">
        <v>32</v>
      </c>
      <c r="H2161" s="74" t="s">
        <v>2459</v>
      </c>
      <c r="I2161" s="74">
        <v>75</v>
      </c>
      <c r="J2161" s="75">
        <v>0</v>
      </c>
      <c r="K2161" s="75"/>
    </row>
    <row r="2162" s="1" customFormat="1" ht="14.25" spans="1:11">
      <c r="A2162" s="71">
        <v>11</v>
      </c>
      <c r="B2162" s="72">
        <v>30</v>
      </c>
      <c r="C2162" s="72">
        <v>58</v>
      </c>
      <c r="D2162" s="73" t="s">
        <v>2462</v>
      </c>
      <c r="E2162" s="73" t="s">
        <v>48</v>
      </c>
      <c r="F2162" s="73" t="s">
        <v>55</v>
      </c>
      <c r="G2162" s="73" t="s">
        <v>32</v>
      </c>
      <c r="H2162" s="74" t="s">
        <v>2459</v>
      </c>
      <c r="I2162" s="74">
        <v>12</v>
      </c>
      <c r="J2162" s="75">
        <v>0</v>
      </c>
      <c r="K2162" s="75"/>
    </row>
    <row r="2163" s="1" customFormat="1" ht="14.25" spans="1:11">
      <c r="A2163" s="71">
        <v>11</v>
      </c>
      <c r="B2163" s="72">
        <v>30</v>
      </c>
      <c r="C2163" s="72">
        <v>59</v>
      </c>
      <c r="D2163" s="73" t="s">
        <v>124</v>
      </c>
      <c r="E2163" s="73" t="s">
        <v>48</v>
      </c>
      <c r="F2163" s="73" t="s">
        <v>1565</v>
      </c>
      <c r="G2163" s="73" t="s">
        <v>32</v>
      </c>
      <c r="H2163" s="74" t="s">
        <v>2463</v>
      </c>
      <c r="I2163" s="74">
        <v>4</v>
      </c>
      <c r="J2163" s="75">
        <v>0</v>
      </c>
      <c r="K2163" s="75"/>
    </row>
    <row r="2164" s="1" customFormat="1" ht="14.25" spans="1:11">
      <c r="A2164" s="71">
        <v>11</v>
      </c>
      <c r="B2164" s="72">
        <v>30</v>
      </c>
      <c r="C2164" s="72">
        <v>59</v>
      </c>
      <c r="D2164" s="73" t="s">
        <v>2464</v>
      </c>
      <c r="E2164" s="73" t="s">
        <v>96</v>
      </c>
      <c r="F2164" s="73" t="s">
        <v>97</v>
      </c>
      <c r="G2164" s="73" t="s">
        <v>32</v>
      </c>
      <c r="H2164" s="74" t="s">
        <v>2463</v>
      </c>
      <c r="I2164" s="74">
        <v>375.8</v>
      </c>
      <c r="J2164" s="75">
        <v>0</v>
      </c>
      <c r="K2164" s="75"/>
    </row>
    <row r="2165" s="1" customFormat="1" ht="14.25" spans="1:11">
      <c r="A2165" s="71">
        <v>11</v>
      </c>
      <c r="B2165" s="72">
        <v>30</v>
      </c>
      <c r="C2165" s="72">
        <v>59</v>
      </c>
      <c r="D2165" s="73" t="s">
        <v>2465</v>
      </c>
      <c r="E2165" s="73" t="s">
        <v>118</v>
      </c>
      <c r="F2165" s="73" t="s">
        <v>55</v>
      </c>
      <c r="G2165" s="73" t="s">
        <v>32</v>
      </c>
      <c r="H2165" s="74" t="s">
        <v>2463</v>
      </c>
      <c r="I2165" s="74">
        <v>17.72</v>
      </c>
      <c r="J2165" s="75">
        <v>0</v>
      </c>
      <c r="K2165" s="75"/>
    </row>
    <row r="2166" s="1" customFormat="1" ht="14.25" spans="1:11">
      <c r="A2166" s="71">
        <v>11</v>
      </c>
      <c r="B2166" s="72">
        <v>30</v>
      </c>
      <c r="C2166" s="72">
        <v>59</v>
      </c>
      <c r="D2166" s="73" t="s">
        <v>2466</v>
      </c>
      <c r="E2166" s="73" t="s">
        <v>118</v>
      </c>
      <c r="F2166" s="73" t="s">
        <v>55</v>
      </c>
      <c r="G2166" s="73" t="s">
        <v>32</v>
      </c>
      <c r="H2166" s="74" t="s">
        <v>2463</v>
      </c>
      <c r="I2166" s="74">
        <v>40.28</v>
      </c>
      <c r="J2166" s="75">
        <v>0</v>
      </c>
      <c r="K2166" s="75"/>
    </row>
    <row r="2167" s="1" customFormat="1" ht="14.25" spans="1:11">
      <c r="A2167" s="71">
        <v>11</v>
      </c>
      <c r="B2167" s="72">
        <v>30</v>
      </c>
      <c r="C2167" s="72">
        <v>59</v>
      </c>
      <c r="D2167" s="73" t="s">
        <v>2467</v>
      </c>
      <c r="E2167" s="73" t="s">
        <v>118</v>
      </c>
      <c r="F2167" s="73" t="s">
        <v>55</v>
      </c>
      <c r="G2167" s="73" t="s">
        <v>32</v>
      </c>
      <c r="H2167" s="74" t="s">
        <v>2463</v>
      </c>
      <c r="I2167" s="74">
        <v>495.75</v>
      </c>
      <c r="J2167" s="75">
        <v>0</v>
      </c>
      <c r="K2167" s="75"/>
    </row>
    <row r="2168" s="1" customFormat="1" ht="14.25" spans="1:11">
      <c r="A2168" s="71">
        <v>11</v>
      </c>
      <c r="B2168" s="72">
        <v>30</v>
      </c>
      <c r="C2168" s="72">
        <v>59</v>
      </c>
      <c r="D2168" s="73" t="s">
        <v>2468</v>
      </c>
      <c r="E2168" s="73" t="s">
        <v>48</v>
      </c>
      <c r="F2168" s="73" t="s">
        <v>233</v>
      </c>
      <c r="G2168" s="73" t="s">
        <v>32</v>
      </c>
      <c r="H2168" s="74" t="s">
        <v>2469</v>
      </c>
      <c r="I2168" s="74">
        <v>56</v>
      </c>
      <c r="J2168" s="75">
        <v>0</v>
      </c>
      <c r="K2168" s="75"/>
    </row>
    <row r="2169" s="1" customFormat="1" ht="14.25" spans="1:11">
      <c r="A2169" s="71">
        <v>11</v>
      </c>
      <c r="B2169" s="72">
        <v>30</v>
      </c>
      <c r="C2169" s="72">
        <v>59</v>
      </c>
      <c r="D2169" s="73" t="s">
        <v>2470</v>
      </c>
      <c r="E2169" s="73" t="s">
        <v>179</v>
      </c>
      <c r="F2169" s="73" t="s">
        <v>180</v>
      </c>
      <c r="G2169" s="73" t="s">
        <v>32</v>
      </c>
      <c r="H2169" s="74" t="s">
        <v>2469</v>
      </c>
      <c r="I2169" s="74">
        <v>6000</v>
      </c>
      <c r="J2169" s="75">
        <v>0</v>
      </c>
      <c r="K2169" s="75"/>
    </row>
    <row r="2170" s="1" customFormat="1" ht="14.25" spans="1:11">
      <c r="A2170" s="71">
        <v>11</v>
      </c>
      <c r="B2170" s="72">
        <v>30</v>
      </c>
      <c r="C2170" s="72">
        <v>60</v>
      </c>
      <c r="D2170" s="73" t="s">
        <v>124</v>
      </c>
      <c r="E2170" s="73" t="s">
        <v>48</v>
      </c>
      <c r="F2170" s="73" t="s">
        <v>1565</v>
      </c>
      <c r="G2170" s="73" t="s">
        <v>32</v>
      </c>
      <c r="H2170" s="74" t="s">
        <v>2471</v>
      </c>
      <c r="I2170" s="74">
        <v>4</v>
      </c>
      <c r="J2170" s="75">
        <v>0</v>
      </c>
      <c r="K2170" s="75"/>
    </row>
    <row r="2171" s="1" customFormat="1" ht="14.25" spans="1:11">
      <c r="A2171" s="71">
        <v>11</v>
      </c>
      <c r="B2171" s="72">
        <v>30</v>
      </c>
      <c r="C2171" s="72">
        <v>60</v>
      </c>
      <c r="D2171" s="73" t="s">
        <v>255</v>
      </c>
      <c r="E2171" s="73" t="s">
        <v>96</v>
      </c>
      <c r="F2171" s="73" t="s">
        <v>97</v>
      </c>
      <c r="G2171" s="73" t="s">
        <v>32</v>
      </c>
      <c r="H2171" s="74" t="s">
        <v>2471</v>
      </c>
      <c r="I2171" s="74">
        <v>28.34</v>
      </c>
      <c r="J2171" s="75">
        <v>0</v>
      </c>
      <c r="K2171" s="75"/>
    </row>
    <row r="2172" s="1" customFormat="1" ht="14.25" spans="1:11">
      <c r="A2172" s="71">
        <v>11</v>
      </c>
      <c r="B2172" s="72">
        <v>30</v>
      </c>
      <c r="C2172" s="72">
        <v>60</v>
      </c>
      <c r="D2172" s="73" t="s">
        <v>2472</v>
      </c>
      <c r="E2172" s="73" t="s">
        <v>118</v>
      </c>
      <c r="F2172" s="73" t="s">
        <v>2473</v>
      </c>
      <c r="G2172" s="73" t="s">
        <v>32</v>
      </c>
      <c r="H2172" s="74" t="s">
        <v>2471</v>
      </c>
      <c r="I2172" s="74">
        <v>77980</v>
      </c>
      <c r="J2172" s="75">
        <v>0</v>
      </c>
      <c r="K2172" s="75"/>
    </row>
    <row r="2173" s="1" customFormat="1" ht="14.25" spans="1:11">
      <c r="A2173" s="71">
        <v>11</v>
      </c>
      <c r="B2173" s="72">
        <v>30</v>
      </c>
      <c r="C2173" s="72">
        <v>60</v>
      </c>
      <c r="D2173" s="73" t="s">
        <v>2474</v>
      </c>
      <c r="E2173" s="73" t="s">
        <v>118</v>
      </c>
      <c r="F2173" s="73" t="s">
        <v>187</v>
      </c>
      <c r="G2173" s="73" t="s">
        <v>32</v>
      </c>
      <c r="H2173" s="74" t="s">
        <v>2471</v>
      </c>
      <c r="I2173" s="74">
        <v>84800</v>
      </c>
      <c r="J2173" s="75">
        <v>0</v>
      </c>
      <c r="K2173" s="75"/>
    </row>
    <row r="2174" s="1" customFormat="1" ht="14.25" spans="1:11">
      <c r="A2174" s="71">
        <v>11</v>
      </c>
      <c r="B2174" s="72">
        <v>30</v>
      </c>
      <c r="C2174" s="72">
        <v>60</v>
      </c>
      <c r="D2174" s="73" t="s">
        <v>2475</v>
      </c>
      <c r="E2174" s="73" t="s">
        <v>118</v>
      </c>
      <c r="F2174" s="73" t="s">
        <v>119</v>
      </c>
      <c r="G2174" s="73" t="s">
        <v>32</v>
      </c>
      <c r="H2174" s="74" t="s">
        <v>2471</v>
      </c>
      <c r="I2174" s="74">
        <v>148800</v>
      </c>
      <c r="J2174" s="75">
        <v>0</v>
      </c>
      <c r="K2174" s="75"/>
    </row>
    <row r="2175" s="1" customFormat="1" ht="14.25" spans="1:11">
      <c r="A2175" s="71">
        <v>12</v>
      </c>
      <c r="B2175" s="72">
        <v>31</v>
      </c>
      <c r="C2175" s="72">
        <v>1</v>
      </c>
      <c r="D2175" s="73" t="s">
        <v>2476</v>
      </c>
      <c r="E2175" s="73" t="s">
        <v>2282</v>
      </c>
      <c r="F2175" s="73" t="s">
        <v>2283</v>
      </c>
      <c r="G2175" s="73" t="s">
        <v>32</v>
      </c>
      <c r="H2175" s="74" t="s">
        <v>2477</v>
      </c>
      <c r="I2175" s="74">
        <v>400</v>
      </c>
      <c r="J2175" s="75">
        <v>0</v>
      </c>
      <c r="K2175" s="75"/>
    </row>
    <row r="2176" s="1" customFormat="1" ht="14.25" spans="1:11">
      <c r="A2176" s="71">
        <v>12</v>
      </c>
      <c r="B2176" s="72">
        <v>31</v>
      </c>
      <c r="C2176" s="72">
        <v>1</v>
      </c>
      <c r="D2176" s="73" t="s">
        <v>2478</v>
      </c>
      <c r="E2176" s="73" t="s">
        <v>85</v>
      </c>
      <c r="F2176" s="73" t="s">
        <v>1752</v>
      </c>
      <c r="G2176" s="73" t="s">
        <v>32</v>
      </c>
      <c r="H2176" s="74" t="s">
        <v>2479</v>
      </c>
      <c r="I2176" s="74">
        <v>5225</v>
      </c>
      <c r="J2176" s="75">
        <v>0</v>
      </c>
      <c r="K2176" s="75"/>
    </row>
    <row r="2177" s="1" customFormat="1" ht="14.25" spans="1:11">
      <c r="A2177" s="71">
        <v>12</v>
      </c>
      <c r="B2177" s="72">
        <v>31</v>
      </c>
      <c r="C2177" s="72">
        <v>1</v>
      </c>
      <c r="D2177" s="73" t="s">
        <v>2480</v>
      </c>
      <c r="E2177" s="73" t="s">
        <v>85</v>
      </c>
      <c r="F2177" s="73" t="s">
        <v>1752</v>
      </c>
      <c r="G2177" s="73" t="s">
        <v>32</v>
      </c>
      <c r="H2177" s="74" t="s">
        <v>2479</v>
      </c>
      <c r="I2177" s="74">
        <v>5225</v>
      </c>
      <c r="J2177" s="75">
        <v>0</v>
      </c>
      <c r="K2177" s="75"/>
    </row>
    <row r="2178" s="1" customFormat="1" ht="14.25" spans="1:11">
      <c r="A2178" s="71">
        <v>12</v>
      </c>
      <c r="B2178" s="72">
        <v>31</v>
      </c>
      <c r="C2178" s="72">
        <v>1</v>
      </c>
      <c r="D2178" s="73" t="s">
        <v>2481</v>
      </c>
      <c r="E2178" s="73" t="s">
        <v>85</v>
      </c>
      <c r="F2178" s="73" t="s">
        <v>1752</v>
      </c>
      <c r="G2178" s="73" t="s">
        <v>32</v>
      </c>
      <c r="H2178" s="74" t="s">
        <v>2479</v>
      </c>
      <c r="I2178" s="74">
        <v>86</v>
      </c>
      <c r="J2178" s="75">
        <v>0</v>
      </c>
      <c r="K2178" s="75"/>
    </row>
    <row r="2179" s="1" customFormat="1" ht="14.25" spans="1:11">
      <c r="A2179" s="71">
        <v>12</v>
      </c>
      <c r="B2179" s="72">
        <v>31</v>
      </c>
      <c r="C2179" s="72">
        <v>1</v>
      </c>
      <c r="D2179" s="73" t="s">
        <v>2482</v>
      </c>
      <c r="E2179" s="73" t="s">
        <v>85</v>
      </c>
      <c r="F2179" s="73" t="s">
        <v>1752</v>
      </c>
      <c r="G2179" s="73" t="s">
        <v>32</v>
      </c>
      <c r="H2179" s="74" t="s">
        <v>2483</v>
      </c>
      <c r="I2179" s="74">
        <v>4000</v>
      </c>
      <c r="J2179" s="75">
        <v>0</v>
      </c>
      <c r="K2179" s="75"/>
    </row>
    <row r="2180" s="1" customFormat="1" ht="14.25" spans="1:11">
      <c r="A2180" s="71">
        <v>12</v>
      </c>
      <c r="B2180" s="72">
        <v>31</v>
      </c>
      <c r="C2180" s="72">
        <v>1</v>
      </c>
      <c r="D2180" s="73" t="s">
        <v>2484</v>
      </c>
      <c r="E2180" s="73" t="s">
        <v>48</v>
      </c>
      <c r="F2180" s="73" t="s">
        <v>207</v>
      </c>
      <c r="G2180" s="73" t="s">
        <v>32</v>
      </c>
      <c r="H2180" s="74" t="s">
        <v>2483</v>
      </c>
      <c r="I2180" s="74">
        <v>3100</v>
      </c>
      <c r="J2180" s="75">
        <v>0</v>
      </c>
      <c r="K2180" s="75"/>
    </row>
    <row r="2181" s="1" customFormat="1" ht="14.25" spans="1:11">
      <c r="A2181" s="71">
        <v>12</v>
      </c>
      <c r="B2181" s="72">
        <v>31</v>
      </c>
      <c r="C2181" s="72">
        <v>1</v>
      </c>
      <c r="D2181" s="73" t="s">
        <v>2485</v>
      </c>
      <c r="E2181" s="73" t="s">
        <v>85</v>
      </c>
      <c r="F2181" s="73" t="s">
        <v>1752</v>
      </c>
      <c r="G2181" s="73" t="s">
        <v>32</v>
      </c>
      <c r="H2181" s="74" t="s">
        <v>2483</v>
      </c>
      <c r="I2181" s="74">
        <v>2395</v>
      </c>
      <c r="J2181" s="75">
        <v>0</v>
      </c>
      <c r="K2181" s="75"/>
    </row>
    <row r="2182" s="1" customFormat="1" ht="14.25" spans="1:11">
      <c r="A2182" s="71">
        <v>12</v>
      </c>
      <c r="B2182" s="72">
        <v>31</v>
      </c>
      <c r="C2182" s="72">
        <v>2</v>
      </c>
      <c r="D2182" s="73" t="s">
        <v>2486</v>
      </c>
      <c r="E2182" s="73" t="s">
        <v>118</v>
      </c>
      <c r="F2182" s="73" t="s">
        <v>119</v>
      </c>
      <c r="G2182" s="73" t="s">
        <v>32</v>
      </c>
      <c r="H2182" s="74" t="s">
        <v>2487</v>
      </c>
      <c r="I2182" s="74">
        <v>159000</v>
      </c>
      <c r="J2182" s="75">
        <v>0</v>
      </c>
      <c r="K2182" s="75"/>
    </row>
    <row r="2183" s="1" customFormat="1" ht="14.25" spans="1:11">
      <c r="A2183" s="71">
        <v>12</v>
      </c>
      <c r="B2183" s="72">
        <v>31</v>
      </c>
      <c r="C2183" s="72">
        <v>2</v>
      </c>
      <c r="D2183" s="73" t="s">
        <v>2488</v>
      </c>
      <c r="E2183" s="73" t="s">
        <v>118</v>
      </c>
      <c r="F2183" s="73" t="s">
        <v>119</v>
      </c>
      <c r="G2183" s="73" t="s">
        <v>32</v>
      </c>
      <c r="H2183" s="74" t="s">
        <v>2487</v>
      </c>
      <c r="I2183" s="74">
        <v>1800</v>
      </c>
      <c r="J2183" s="75">
        <v>0</v>
      </c>
      <c r="K2183" s="75"/>
    </row>
    <row r="2184" s="1" customFormat="1" ht="14.25" spans="1:11">
      <c r="A2184" s="71">
        <v>12</v>
      </c>
      <c r="B2184" s="72">
        <v>31</v>
      </c>
      <c r="C2184" s="72">
        <v>2</v>
      </c>
      <c r="D2184" s="73" t="s">
        <v>2489</v>
      </c>
      <c r="E2184" s="73" t="s">
        <v>118</v>
      </c>
      <c r="F2184" s="73" t="s">
        <v>119</v>
      </c>
      <c r="G2184" s="73" t="s">
        <v>32</v>
      </c>
      <c r="H2184" s="74" t="s">
        <v>2490</v>
      </c>
      <c r="I2184" s="74">
        <v>1200</v>
      </c>
      <c r="J2184" s="75">
        <v>0</v>
      </c>
      <c r="K2184" s="75"/>
    </row>
    <row r="2185" s="1" customFormat="1" ht="14.25" spans="1:11">
      <c r="A2185" s="71">
        <v>12</v>
      </c>
      <c r="B2185" s="72">
        <v>31</v>
      </c>
      <c r="C2185" s="72">
        <v>2</v>
      </c>
      <c r="D2185" s="73" t="s">
        <v>2491</v>
      </c>
      <c r="E2185" s="73" t="s">
        <v>118</v>
      </c>
      <c r="F2185" s="73" t="s">
        <v>119</v>
      </c>
      <c r="G2185" s="73" t="s">
        <v>32</v>
      </c>
      <c r="H2185" s="74" t="s">
        <v>2490</v>
      </c>
      <c r="I2185" s="74">
        <v>63200</v>
      </c>
      <c r="J2185" s="75">
        <v>0</v>
      </c>
      <c r="K2185" s="75"/>
    </row>
    <row r="2186" s="1" customFormat="1" ht="14.25" spans="1:11">
      <c r="A2186" s="71">
        <v>12</v>
      </c>
      <c r="B2186" s="72">
        <v>31</v>
      </c>
      <c r="C2186" s="72">
        <v>2</v>
      </c>
      <c r="D2186" s="73" t="s">
        <v>2492</v>
      </c>
      <c r="E2186" s="73" t="s">
        <v>48</v>
      </c>
      <c r="F2186" s="73" t="s">
        <v>207</v>
      </c>
      <c r="G2186" s="73" t="s">
        <v>32</v>
      </c>
      <c r="H2186" s="74" t="s">
        <v>2490</v>
      </c>
      <c r="I2186" s="74">
        <v>2000</v>
      </c>
      <c r="J2186" s="75">
        <v>0</v>
      </c>
      <c r="K2186" s="75"/>
    </row>
    <row r="2187" s="1" customFormat="1" ht="14.25" spans="1:11">
      <c r="A2187" s="71">
        <v>12</v>
      </c>
      <c r="B2187" s="72">
        <v>31</v>
      </c>
      <c r="C2187" s="72">
        <v>2</v>
      </c>
      <c r="D2187" s="73" t="s">
        <v>2493</v>
      </c>
      <c r="E2187" s="73" t="s">
        <v>48</v>
      </c>
      <c r="F2187" s="73" t="s">
        <v>207</v>
      </c>
      <c r="G2187" s="73" t="s">
        <v>32</v>
      </c>
      <c r="H2187" s="74" t="s">
        <v>2490</v>
      </c>
      <c r="I2187" s="74">
        <v>6406</v>
      </c>
      <c r="J2187" s="75">
        <v>0</v>
      </c>
      <c r="K2187" s="75"/>
    </row>
    <row r="2188" s="1" customFormat="1" ht="14.25" spans="1:11">
      <c r="A2188" s="71">
        <v>12</v>
      </c>
      <c r="B2188" s="72">
        <v>31</v>
      </c>
      <c r="C2188" s="72">
        <v>2</v>
      </c>
      <c r="D2188" s="73" t="s">
        <v>2494</v>
      </c>
      <c r="E2188" s="73" t="s">
        <v>118</v>
      </c>
      <c r="F2188" s="73" t="s">
        <v>119</v>
      </c>
      <c r="G2188" s="73" t="s">
        <v>32</v>
      </c>
      <c r="H2188" s="74" t="s">
        <v>2495</v>
      </c>
      <c r="I2188" s="74">
        <v>63600</v>
      </c>
      <c r="J2188" s="75">
        <v>0</v>
      </c>
      <c r="K2188" s="75"/>
    </row>
    <row r="2189" s="1" customFormat="1" ht="14.25" spans="1:11">
      <c r="A2189" s="71">
        <v>12</v>
      </c>
      <c r="B2189" s="72">
        <v>31</v>
      </c>
      <c r="C2189" s="72">
        <v>3</v>
      </c>
      <c r="D2189" s="73" t="s">
        <v>2496</v>
      </c>
      <c r="E2189" s="73" t="s">
        <v>118</v>
      </c>
      <c r="F2189" s="73" t="s">
        <v>55</v>
      </c>
      <c r="G2189" s="73" t="s">
        <v>32</v>
      </c>
      <c r="H2189" s="74" t="s">
        <v>2497</v>
      </c>
      <c r="I2189" s="74">
        <v>1500</v>
      </c>
      <c r="J2189" s="75">
        <v>0</v>
      </c>
      <c r="K2189" s="75"/>
    </row>
    <row r="2190" s="1" customFormat="1" ht="14.25" spans="1:11">
      <c r="A2190" s="71">
        <v>12</v>
      </c>
      <c r="B2190" s="72">
        <v>31</v>
      </c>
      <c r="C2190" s="72">
        <v>3</v>
      </c>
      <c r="D2190" s="73" t="s">
        <v>2498</v>
      </c>
      <c r="E2190" s="73" t="s">
        <v>118</v>
      </c>
      <c r="F2190" s="73" t="s">
        <v>55</v>
      </c>
      <c r="G2190" s="73" t="s">
        <v>32</v>
      </c>
      <c r="H2190" s="74" t="s">
        <v>2497</v>
      </c>
      <c r="I2190" s="74">
        <v>1600</v>
      </c>
      <c r="J2190" s="75">
        <v>0</v>
      </c>
      <c r="K2190" s="75"/>
    </row>
    <row r="2191" s="1" customFormat="1" ht="14.25" spans="1:11">
      <c r="A2191" s="71">
        <v>12</v>
      </c>
      <c r="B2191" s="72">
        <v>31</v>
      </c>
      <c r="C2191" s="72">
        <v>3</v>
      </c>
      <c r="D2191" s="73" t="s">
        <v>2499</v>
      </c>
      <c r="E2191" s="73" t="s">
        <v>118</v>
      </c>
      <c r="F2191" s="73" t="s">
        <v>55</v>
      </c>
      <c r="G2191" s="73" t="s">
        <v>32</v>
      </c>
      <c r="H2191" s="74" t="s">
        <v>2497</v>
      </c>
      <c r="I2191" s="74">
        <v>3450</v>
      </c>
      <c r="J2191" s="75">
        <v>0</v>
      </c>
      <c r="K2191" s="75"/>
    </row>
    <row r="2192" s="1" customFormat="1" ht="14.25" spans="1:11">
      <c r="A2192" s="71">
        <v>12</v>
      </c>
      <c r="B2192" s="72">
        <v>31</v>
      </c>
      <c r="C2192" s="72">
        <v>3</v>
      </c>
      <c r="D2192" s="73" t="s">
        <v>2500</v>
      </c>
      <c r="E2192" s="73" t="s">
        <v>48</v>
      </c>
      <c r="F2192" s="73" t="s">
        <v>55</v>
      </c>
      <c r="G2192" s="73" t="s">
        <v>32</v>
      </c>
      <c r="H2192" s="74" t="s">
        <v>2497</v>
      </c>
      <c r="I2192" s="74">
        <v>60</v>
      </c>
      <c r="J2192" s="75">
        <v>0</v>
      </c>
      <c r="K2192" s="75"/>
    </row>
    <row r="2193" s="1" customFormat="1" ht="14.25" spans="1:11">
      <c r="A2193" s="71">
        <v>12</v>
      </c>
      <c r="B2193" s="72">
        <v>31</v>
      </c>
      <c r="C2193" s="72">
        <v>3</v>
      </c>
      <c r="D2193" s="73" t="s">
        <v>2501</v>
      </c>
      <c r="E2193" s="73" t="s">
        <v>48</v>
      </c>
      <c r="F2193" s="73" t="s">
        <v>55</v>
      </c>
      <c r="G2193" s="73" t="s">
        <v>32</v>
      </c>
      <c r="H2193" s="74" t="s">
        <v>2497</v>
      </c>
      <c r="I2193" s="74">
        <v>50</v>
      </c>
      <c r="J2193" s="75">
        <v>0</v>
      </c>
      <c r="K2193" s="75"/>
    </row>
    <row r="2194" s="1" customFormat="1" ht="14.25" spans="1:11">
      <c r="A2194" s="71">
        <v>12</v>
      </c>
      <c r="B2194" s="72">
        <v>31</v>
      </c>
      <c r="C2194" s="72">
        <v>3</v>
      </c>
      <c r="D2194" s="73" t="s">
        <v>2502</v>
      </c>
      <c r="E2194" s="73" t="s">
        <v>48</v>
      </c>
      <c r="F2194" s="73" t="s">
        <v>55</v>
      </c>
      <c r="G2194" s="73" t="s">
        <v>32</v>
      </c>
      <c r="H2194" s="74" t="s">
        <v>2503</v>
      </c>
      <c r="I2194" s="74">
        <v>3</v>
      </c>
      <c r="J2194" s="75">
        <v>0</v>
      </c>
      <c r="K2194" s="75"/>
    </row>
    <row r="2195" s="1" customFormat="1" ht="14.25" spans="1:11">
      <c r="A2195" s="71">
        <v>12</v>
      </c>
      <c r="B2195" s="72">
        <v>31</v>
      </c>
      <c r="C2195" s="72">
        <v>3</v>
      </c>
      <c r="D2195" s="73" t="s">
        <v>2504</v>
      </c>
      <c r="E2195" s="73" t="s">
        <v>172</v>
      </c>
      <c r="F2195" s="73" t="s">
        <v>396</v>
      </c>
      <c r="G2195" s="73" t="s">
        <v>32</v>
      </c>
      <c r="H2195" s="74" t="s">
        <v>2503</v>
      </c>
      <c r="I2195" s="74">
        <v>260</v>
      </c>
      <c r="J2195" s="75">
        <v>0</v>
      </c>
      <c r="K2195" s="75"/>
    </row>
    <row r="2196" s="1" customFormat="1" ht="14.25" spans="1:11">
      <c r="A2196" s="71">
        <v>12</v>
      </c>
      <c r="B2196" s="72">
        <v>31</v>
      </c>
      <c r="C2196" s="72">
        <v>3</v>
      </c>
      <c r="D2196" s="73" t="s">
        <v>2505</v>
      </c>
      <c r="E2196" s="73" t="s">
        <v>48</v>
      </c>
      <c r="F2196" s="73" t="s">
        <v>55</v>
      </c>
      <c r="G2196" s="73" t="s">
        <v>32</v>
      </c>
      <c r="H2196" s="74" t="s">
        <v>2503</v>
      </c>
      <c r="I2196" s="74">
        <v>5</v>
      </c>
      <c r="J2196" s="75">
        <v>0</v>
      </c>
      <c r="K2196" s="75"/>
    </row>
    <row r="2197" s="1" customFormat="1" ht="14.25" spans="1:11">
      <c r="A2197" s="71">
        <v>12</v>
      </c>
      <c r="B2197" s="72">
        <v>31</v>
      </c>
      <c r="C2197" s="72">
        <v>4</v>
      </c>
      <c r="D2197" s="73" t="s">
        <v>124</v>
      </c>
      <c r="E2197" s="73" t="s">
        <v>48</v>
      </c>
      <c r="F2197" s="73" t="s">
        <v>1565</v>
      </c>
      <c r="G2197" s="73" t="s">
        <v>32</v>
      </c>
      <c r="H2197" s="74" t="s">
        <v>2506</v>
      </c>
      <c r="I2197" s="74">
        <v>4</v>
      </c>
      <c r="J2197" s="75">
        <v>0</v>
      </c>
      <c r="K2197" s="75"/>
    </row>
    <row r="2198" s="1" customFormat="1" ht="14.25" spans="1:11">
      <c r="A2198" s="71">
        <v>12</v>
      </c>
      <c r="B2198" s="72">
        <v>31</v>
      </c>
      <c r="C2198" s="72">
        <v>4</v>
      </c>
      <c r="D2198" s="73" t="s">
        <v>275</v>
      </c>
      <c r="E2198" s="73" t="s">
        <v>48</v>
      </c>
      <c r="F2198" s="73" t="s">
        <v>1565</v>
      </c>
      <c r="G2198" s="73" t="s">
        <v>32</v>
      </c>
      <c r="H2198" s="74" t="s">
        <v>2506</v>
      </c>
      <c r="I2198" s="74">
        <v>170</v>
      </c>
      <c r="J2198" s="75">
        <v>0</v>
      </c>
      <c r="K2198" s="75"/>
    </row>
    <row r="2199" s="1" customFormat="1" ht="14.25" spans="1:11">
      <c r="A2199" s="71">
        <v>12</v>
      </c>
      <c r="B2199" s="72">
        <v>31</v>
      </c>
      <c r="C2199" s="72">
        <v>4</v>
      </c>
      <c r="D2199" s="73" t="s">
        <v>2507</v>
      </c>
      <c r="E2199" s="73" t="s">
        <v>48</v>
      </c>
      <c r="F2199" s="73" t="s">
        <v>331</v>
      </c>
      <c r="G2199" s="73" t="s">
        <v>32</v>
      </c>
      <c r="H2199" s="74" t="s">
        <v>2506</v>
      </c>
      <c r="I2199" s="74">
        <v>9890</v>
      </c>
      <c r="J2199" s="75">
        <v>0</v>
      </c>
      <c r="K2199" s="75"/>
    </row>
    <row r="2200" s="1" customFormat="1" ht="14.25" spans="1:11">
      <c r="A2200" s="71">
        <v>12</v>
      </c>
      <c r="B2200" s="72">
        <v>31</v>
      </c>
      <c r="C2200" s="72">
        <v>4</v>
      </c>
      <c r="D2200" s="73" t="s">
        <v>2508</v>
      </c>
      <c r="E2200" s="73" t="s">
        <v>48</v>
      </c>
      <c r="F2200" s="73" t="s">
        <v>55</v>
      </c>
      <c r="G2200" s="73" t="s">
        <v>32</v>
      </c>
      <c r="H2200" s="74" t="s">
        <v>2506</v>
      </c>
      <c r="I2200" s="74">
        <v>90</v>
      </c>
      <c r="J2200" s="75">
        <v>0</v>
      </c>
      <c r="K2200" s="75"/>
    </row>
    <row r="2201" s="1" customFormat="1" ht="14.25" spans="1:11">
      <c r="A2201" s="71">
        <v>12</v>
      </c>
      <c r="B2201" s="72">
        <v>31</v>
      </c>
      <c r="C2201" s="72">
        <v>4</v>
      </c>
      <c r="D2201" s="73" t="s">
        <v>1283</v>
      </c>
      <c r="E2201" s="73" t="s">
        <v>48</v>
      </c>
      <c r="F2201" s="73" t="s">
        <v>1565</v>
      </c>
      <c r="G2201" s="73" t="s">
        <v>32</v>
      </c>
      <c r="H2201" s="74" t="s">
        <v>2506</v>
      </c>
      <c r="I2201" s="74">
        <v>470</v>
      </c>
      <c r="J2201" s="75">
        <v>0</v>
      </c>
      <c r="K2201" s="75"/>
    </row>
    <row r="2202" s="1" customFormat="1" ht="14.25" spans="1:11">
      <c r="A2202" s="71">
        <v>12</v>
      </c>
      <c r="B2202" s="72">
        <v>31</v>
      </c>
      <c r="C2202" s="72">
        <v>4</v>
      </c>
      <c r="D2202" s="73" t="s">
        <v>124</v>
      </c>
      <c r="E2202" s="73" t="s">
        <v>48</v>
      </c>
      <c r="F2202" s="73" t="s">
        <v>1565</v>
      </c>
      <c r="G2202" s="73" t="s">
        <v>32</v>
      </c>
      <c r="H2202" s="74" t="s">
        <v>2509</v>
      </c>
      <c r="I2202" s="74">
        <v>6</v>
      </c>
      <c r="J2202" s="75">
        <v>0</v>
      </c>
      <c r="K2202" s="75"/>
    </row>
    <row r="2203" s="1" customFormat="1" ht="14.25" spans="1:11">
      <c r="A2203" s="71">
        <v>12</v>
      </c>
      <c r="B2203" s="72">
        <v>31</v>
      </c>
      <c r="C2203" s="72">
        <v>4</v>
      </c>
      <c r="D2203" s="73" t="s">
        <v>255</v>
      </c>
      <c r="E2203" s="73" t="s">
        <v>96</v>
      </c>
      <c r="F2203" s="73" t="s">
        <v>97</v>
      </c>
      <c r="G2203" s="73" t="s">
        <v>32</v>
      </c>
      <c r="H2203" s="74" t="s">
        <v>2509</v>
      </c>
      <c r="I2203" s="74">
        <v>249</v>
      </c>
      <c r="J2203" s="75">
        <v>0</v>
      </c>
      <c r="K2203" s="75"/>
    </row>
    <row r="2204" s="1" customFormat="1" ht="14.25" spans="1:11">
      <c r="A2204" s="71">
        <v>12</v>
      </c>
      <c r="B2204" s="72">
        <v>31</v>
      </c>
      <c r="C2204" s="72">
        <v>4</v>
      </c>
      <c r="D2204" s="73" t="s">
        <v>1458</v>
      </c>
      <c r="E2204" s="73" t="s">
        <v>48</v>
      </c>
      <c r="F2204" s="73" t="s">
        <v>55</v>
      </c>
      <c r="G2204" s="73" t="s">
        <v>32</v>
      </c>
      <c r="H2204" s="74" t="s">
        <v>2509</v>
      </c>
      <c r="I2204" s="74">
        <v>25</v>
      </c>
      <c r="J2204" s="75">
        <v>0</v>
      </c>
      <c r="K2204" s="75"/>
    </row>
    <row r="2205" s="1" customFormat="1" ht="14.25" spans="1:11">
      <c r="A2205" s="71">
        <v>12</v>
      </c>
      <c r="B2205" s="72">
        <v>31</v>
      </c>
      <c r="C2205" s="72">
        <v>4</v>
      </c>
      <c r="D2205" s="73" t="s">
        <v>255</v>
      </c>
      <c r="E2205" s="73" t="s">
        <v>96</v>
      </c>
      <c r="F2205" s="73" t="s">
        <v>97</v>
      </c>
      <c r="G2205" s="73" t="s">
        <v>32</v>
      </c>
      <c r="H2205" s="74" t="s">
        <v>2509</v>
      </c>
      <c r="I2205" s="74">
        <v>224.7</v>
      </c>
      <c r="J2205" s="75">
        <v>0</v>
      </c>
      <c r="K2205" s="75"/>
    </row>
    <row r="2206" s="1" customFormat="1" ht="14.25" spans="1:11">
      <c r="A2206" s="71">
        <v>12</v>
      </c>
      <c r="B2206" s="72">
        <v>31</v>
      </c>
      <c r="C2206" s="72">
        <v>4</v>
      </c>
      <c r="D2206" s="73" t="s">
        <v>275</v>
      </c>
      <c r="E2206" s="73" t="s">
        <v>48</v>
      </c>
      <c r="F2206" s="73" t="s">
        <v>1565</v>
      </c>
      <c r="G2206" s="73" t="s">
        <v>32</v>
      </c>
      <c r="H2206" s="74" t="s">
        <v>2509</v>
      </c>
      <c r="I2206" s="74">
        <v>110</v>
      </c>
      <c r="J2206" s="75">
        <v>0</v>
      </c>
      <c r="K2206" s="75"/>
    </row>
    <row r="2207" s="1" customFormat="1" ht="14.25" spans="1:11">
      <c r="A2207" s="71">
        <v>12</v>
      </c>
      <c r="B2207" s="72">
        <v>31</v>
      </c>
      <c r="C2207" s="72">
        <v>5</v>
      </c>
      <c r="D2207" s="73" t="s">
        <v>239</v>
      </c>
      <c r="E2207" s="73" t="s">
        <v>96</v>
      </c>
      <c r="F2207" s="73" t="s">
        <v>1561</v>
      </c>
      <c r="G2207" s="73" t="s">
        <v>32</v>
      </c>
      <c r="H2207" s="74" t="s">
        <v>2510</v>
      </c>
      <c r="I2207" s="74">
        <v>129.99</v>
      </c>
      <c r="J2207" s="75">
        <v>0</v>
      </c>
      <c r="K2207" s="75"/>
    </row>
    <row r="2208" s="1" customFormat="1" ht="14.25" spans="1:11">
      <c r="A2208" s="71">
        <v>12</v>
      </c>
      <c r="B2208" s="72">
        <v>31</v>
      </c>
      <c r="C2208" s="72">
        <v>5</v>
      </c>
      <c r="D2208" s="73" t="s">
        <v>2511</v>
      </c>
      <c r="E2208" s="73" t="s">
        <v>96</v>
      </c>
      <c r="F2208" s="73" t="s">
        <v>1561</v>
      </c>
      <c r="G2208" s="73" t="s">
        <v>32</v>
      </c>
      <c r="H2208" s="74" t="s">
        <v>2510</v>
      </c>
      <c r="I2208" s="74">
        <v>2</v>
      </c>
      <c r="J2208" s="75">
        <v>0</v>
      </c>
      <c r="K2208" s="75"/>
    </row>
    <row r="2209" s="1" customFormat="1" ht="14.25" spans="1:11">
      <c r="A2209" s="71">
        <v>12</v>
      </c>
      <c r="B2209" s="72">
        <v>31</v>
      </c>
      <c r="C2209" s="72">
        <v>5</v>
      </c>
      <c r="D2209" s="73" t="s">
        <v>2512</v>
      </c>
      <c r="E2209" s="73" t="s">
        <v>96</v>
      </c>
      <c r="F2209" s="73" t="s">
        <v>1561</v>
      </c>
      <c r="G2209" s="73" t="s">
        <v>32</v>
      </c>
      <c r="H2209" s="74" t="s">
        <v>2510</v>
      </c>
      <c r="I2209" s="74">
        <v>16</v>
      </c>
      <c r="J2209" s="75">
        <v>0</v>
      </c>
      <c r="K2209" s="75"/>
    </row>
    <row r="2210" s="1" customFormat="1" ht="14.25" spans="1:11">
      <c r="A2210" s="71">
        <v>12</v>
      </c>
      <c r="B2210" s="72">
        <v>31</v>
      </c>
      <c r="C2210" s="72">
        <v>5</v>
      </c>
      <c r="D2210" s="73" t="s">
        <v>2513</v>
      </c>
      <c r="E2210" s="73" t="s">
        <v>48</v>
      </c>
      <c r="F2210" s="73" t="s">
        <v>207</v>
      </c>
      <c r="G2210" s="73" t="s">
        <v>32</v>
      </c>
      <c r="H2210" s="74" t="s">
        <v>2510</v>
      </c>
      <c r="I2210" s="74">
        <v>180</v>
      </c>
      <c r="J2210" s="75">
        <v>0</v>
      </c>
      <c r="K2210" s="75"/>
    </row>
    <row r="2211" s="1" customFormat="1" ht="14.25" spans="1:11">
      <c r="A2211" s="71">
        <v>12</v>
      </c>
      <c r="B2211" s="72">
        <v>31</v>
      </c>
      <c r="C2211" s="72">
        <v>5</v>
      </c>
      <c r="D2211" s="73" t="s">
        <v>2514</v>
      </c>
      <c r="E2211" s="73" t="s">
        <v>48</v>
      </c>
      <c r="F2211" s="73" t="s">
        <v>207</v>
      </c>
      <c r="G2211" s="73" t="s">
        <v>32</v>
      </c>
      <c r="H2211" s="74" t="s">
        <v>2510</v>
      </c>
      <c r="I2211" s="74">
        <v>1815</v>
      </c>
      <c r="J2211" s="75">
        <v>0</v>
      </c>
      <c r="K2211" s="75"/>
    </row>
    <row r="2212" s="1" customFormat="1" ht="14.25" spans="1:11">
      <c r="A2212" s="71">
        <v>12</v>
      </c>
      <c r="B2212" s="72">
        <v>31</v>
      </c>
      <c r="C2212" s="72">
        <v>5</v>
      </c>
      <c r="D2212" s="73" t="s">
        <v>124</v>
      </c>
      <c r="E2212" s="73" t="s">
        <v>48</v>
      </c>
      <c r="F2212" s="73" t="s">
        <v>1565</v>
      </c>
      <c r="G2212" s="73" t="s">
        <v>32</v>
      </c>
      <c r="H2212" s="74" t="s">
        <v>2515</v>
      </c>
      <c r="I2212" s="74">
        <v>4</v>
      </c>
      <c r="J2212" s="75">
        <v>0</v>
      </c>
      <c r="K2212" s="75"/>
    </row>
    <row r="2213" s="1" customFormat="1" ht="14.25" spans="1:11">
      <c r="A2213" s="71">
        <v>12</v>
      </c>
      <c r="B2213" s="72">
        <v>31</v>
      </c>
      <c r="C2213" s="72">
        <v>5</v>
      </c>
      <c r="D2213" s="73" t="s">
        <v>2516</v>
      </c>
      <c r="E2213" s="73" t="s">
        <v>96</v>
      </c>
      <c r="F2213" s="73" t="s">
        <v>97</v>
      </c>
      <c r="G2213" s="73" t="s">
        <v>32</v>
      </c>
      <c r="H2213" s="74" t="s">
        <v>2515</v>
      </c>
      <c r="I2213" s="74">
        <v>6.8</v>
      </c>
      <c r="J2213" s="75">
        <v>0</v>
      </c>
      <c r="K2213" s="75"/>
    </row>
    <row r="2214" s="1" customFormat="1" ht="14.25" spans="1:11">
      <c r="A2214" s="71">
        <v>12</v>
      </c>
      <c r="B2214" s="72">
        <v>31</v>
      </c>
      <c r="C2214" s="72">
        <v>5</v>
      </c>
      <c r="D2214" s="73" t="s">
        <v>275</v>
      </c>
      <c r="E2214" s="73" t="s">
        <v>48</v>
      </c>
      <c r="F2214" s="73" t="s">
        <v>1565</v>
      </c>
      <c r="G2214" s="73" t="s">
        <v>32</v>
      </c>
      <c r="H2214" s="74" t="s">
        <v>2515</v>
      </c>
      <c r="I2214" s="74">
        <v>154</v>
      </c>
      <c r="J2214" s="75">
        <v>0</v>
      </c>
      <c r="K2214" s="75"/>
    </row>
    <row r="2215" s="1" customFormat="1" ht="14.25" spans="1:11">
      <c r="A2215" s="71">
        <v>12</v>
      </c>
      <c r="B2215" s="72">
        <v>31</v>
      </c>
      <c r="C2215" s="72">
        <v>5</v>
      </c>
      <c r="D2215" s="73" t="s">
        <v>2517</v>
      </c>
      <c r="E2215" s="73" t="s">
        <v>96</v>
      </c>
      <c r="F2215" s="73" t="s">
        <v>97</v>
      </c>
      <c r="G2215" s="73" t="s">
        <v>32</v>
      </c>
      <c r="H2215" s="74" t="s">
        <v>2515</v>
      </c>
      <c r="I2215" s="74">
        <v>9</v>
      </c>
      <c r="J2215" s="75">
        <v>0</v>
      </c>
      <c r="K2215" s="75"/>
    </row>
    <row r="2216" s="1" customFormat="1" ht="14.25" spans="1:11">
      <c r="A2216" s="71">
        <v>12</v>
      </c>
      <c r="B2216" s="72">
        <v>31</v>
      </c>
      <c r="C2216" s="72">
        <v>5</v>
      </c>
      <c r="D2216" s="73" t="s">
        <v>2518</v>
      </c>
      <c r="E2216" s="73" t="s">
        <v>118</v>
      </c>
      <c r="F2216" s="73" t="s">
        <v>55</v>
      </c>
      <c r="G2216" s="73" t="s">
        <v>32</v>
      </c>
      <c r="H2216" s="74" t="s">
        <v>2515</v>
      </c>
      <c r="I2216" s="74">
        <v>3450</v>
      </c>
      <c r="J2216" s="75">
        <v>0</v>
      </c>
      <c r="K2216" s="75"/>
    </row>
    <row r="2217" s="1" customFormat="1" ht="14.25" spans="1:11">
      <c r="A2217" s="71">
        <v>12</v>
      </c>
      <c r="B2217" s="72">
        <v>31</v>
      </c>
      <c r="C2217" s="72">
        <v>6</v>
      </c>
      <c r="D2217" s="73" t="s">
        <v>2519</v>
      </c>
      <c r="E2217" s="73" t="s">
        <v>118</v>
      </c>
      <c r="F2217" s="73" t="s">
        <v>55</v>
      </c>
      <c r="G2217" s="73" t="s">
        <v>32</v>
      </c>
      <c r="H2217" s="74" t="s">
        <v>2520</v>
      </c>
      <c r="I2217" s="74">
        <v>30</v>
      </c>
      <c r="J2217" s="75">
        <v>0</v>
      </c>
      <c r="K2217" s="75"/>
    </row>
    <row r="2218" s="1" customFormat="1" ht="14.25" spans="1:11">
      <c r="A2218" s="71">
        <v>12</v>
      </c>
      <c r="B2218" s="72">
        <v>31</v>
      </c>
      <c r="C2218" s="72">
        <v>6</v>
      </c>
      <c r="D2218" s="73" t="s">
        <v>2521</v>
      </c>
      <c r="E2218" s="73" t="s">
        <v>118</v>
      </c>
      <c r="F2218" s="73" t="s">
        <v>1170</v>
      </c>
      <c r="G2218" s="73" t="s">
        <v>32</v>
      </c>
      <c r="H2218" s="74" t="s">
        <v>2520</v>
      </c>
      <c r="I2218" s="74">
        <v>800</v>
      </c>
      <c r="J2218" s="75">
        <v>0</v>
      </c>
      <c r="K2218" s="75"/>
    </row>
    <row r="2219" s="1" customFormat="1" ht="14.25" spans="1:11">
      <c r="A2219" s="71">
        <v>12</v>
      </c>
      <c r="B2219" s="72">
        <v>31</v>
      </c>
      <c r="C2219" s="72">
        <v>6</v>
      </c>
      <c r="D2219" s="73" t="s">
        <v>2522</v>
      </c>
      <c r="E2219" s="73" t="s">
        <v>118</v>
      </c>
      <c r="F2219" s="73" t="s">
        <v>55</v>
      </c>
      <c r="G2219" s="73" t="s">
        <v>32</v>
      </c>
      <c r="H2219" s="74" t="s">
        <v>2520</v>
      </c>
      <c r="I2219" s="74">
        <v>6</v>
      </c>
      <c r="J2219" s="75">
        <v>0</v>
      </c>
      <c r="K2219" s="75"/>
    </row>
    <row r="2220" s="1" customFormat="1" ht="14.25" spans="1:11">
      <c r="A2220" s="71">
        <v>12</v>
      </c>
      <c r="B2220" s="72">
        <v>31</v>
      </c>
      <c r="C2220" s="72">
        <v>6</v>
      </c>
      <c r="D2220" s="73" t="s">
        <v>2523</v>
      </c>
      <c r="E2220" s="73" t="s">
        <v>118</v>
      </c>
      <c r="F2220" s="73" t="s">
        <v>55</v>
      </c>
      <c r="G2220" s="73" t="s">
        <v>32</v>
      </c>
      <c r="H2220" s="74" t="s">
        <v>2520</v>
      </c>
      <c r="I2220" s="74">
        <v>10</v>
      </c>
      <c r="J2220" s="75">
        <v>0</v>
      </c>
      <c r="K2220" s="75"/>
    </row>
    <row r="2221" s="1" customFormat="1" ht="14.25" spans="1:11">
      <c r="A2221" s="71">
        <v>12</v>
      </c>
      <c r="B2221" s="72">
        <v>31</v>
      </c>
      <c r="C2221" s="72">
        <v>6</v>
      </c>
      <c r="D2221" s="73" t="s">
        <v>2524</v>
      </c>
      <c r="E2221" s="73" t="s">
        <v>48</v>
      </c>
      <c r="F2221" s="73" t="s">
        <v>55</v>
      </c>
      <c r="G2221" s="73" t="s">
        <v>32</v>
      </c>
      <c r="H2221" s="74" t="s">
        <v>2520</v>
      </c>
      <c r="I2221" s="74">
        <v>80</v>
      </c>
      <c r="J2221" s="75">
        <v>0</v>
      </c>
      <c r="K2221" s="75"/>
    </row>
    <row r="2222" s="1" customFormat="1" ht="14.25" spans="1:11">
      <c r="A2222" s="71">
        <v>12</v>
      </c>
      <c r="B2222" s="72">
        <v>31</v>
      </c>
      <c r="C2222" s="72">
        <v>6</v>
      </c>
      <c r="D2222" s="73" t="s">
        <v>124</v>
      </c>
      <c r="E2222" s="73" t="s">
        <v>48</v>
      </c>
      <c r="F2222" s="73" t="s">
        <v>1565</v>
      </c>
      <c r="G2222" s="73" t="s">
        <v>32</v>
      </c>
      <c r="H2222" s="74" t="s">
        <v>2525</v>
      </c>
      <c r="I2222" s="74">
        <v>8</v>
      </c>
      <c r="J2222" s="75">
        <v>0</v>
      </c>
      <c r="K2222" s="75"/>
    </row>
    <row r="2223" s="1" customFormat="1" ht="14.25" spans="1:11">
      <c r="A2223" s="71">
        <v>12</v>
      </c>
      <c r="B2223" s="72">
        <v>31</v>
      </c>
      <c r="C2223" s="72">
        <v>6</v>
      </c>
      <c r="D2223" s="73" t="s">
        <v>2526</v>
      </c>
      <c r="E2223" s="73" t="s">
        <v>118</v>
      </c>
      <c r="F2223" s="73" t="s">
        <v>55</v>
      </c>
      <c r="G2223" s="73" t="s">
        <v>32</v>
      </c>
      <c r="H2223" s="74" t="s">
        <v>2525</v>
      </c>
      <c r="I2223" s="74">
        <v>900</v>
      </c>
      <c r="J2223" s="75">
        <v>0</v>
      </c>
      <c r="K2223" s="75"/>
    </row>
    <row r="2224" s="1" customFormat="1" ht="14.25" spans="1:11">
      <c r="A2224" s="71">
        <v>12</v>
      </c>
      <c r="B2224" s="72">
        <v>31</v>
      </c>
      <c r="C2224" s="72">
        <v>6</v>
      </c>
      <c r="D2224" s="73" t="s">
        <v>275</v>
      </c>
      <c r="E2224" s="73" t="s">
        <v>48</v>
      </c>
      <c r="F2224" s="73" t="s">
        <v>1565</v>
      </c>
      <c r="G2224" s="73" t="s">
        <v>32</v>
      </c>
      <c r="H2224" s="74" t="s">
        <v>2525</v>
      </c>
      <c r="I2224" s="74">
        <v>170</v>
      </c>
      <c r="J2224" s="75">
        <v>0</v>
      </c>
      <c r="K2224" s="75"/>
    </row>
    <row r="2225" s="1" customFormat="1" ht="14.25" spans="1:11">
      <c r="A2225" s="71">
        <v>12</v>
      </c>
      <c r="B2225" s="72">
        <v>31</v>
      </c>
      <c r="C2225" s="72">
        <v>6</v>
      </c>
      <c r="D2225" s="73" t="s">
        <v>2527</v>
      </c>
      <c r="E2225" s="73" t="s">
        <v>96</v>
      </c>
      <c r="F2225" s="73" t="s">
        <v>1561</v>
      </c>
      <c r="G2225" s="73" t="s">
        <v>32</v>
      </c>
      <c r="H2225" s="74" t="s">
        <v>2525</v>
      </c>
      <c r="I2225" s="74">
        <v>50</v>
      </c>
      <c r="J2225" s="75">
        <v>0</v>
      </c>
      <c r="K2225" s="75"/>
    </row>
    <row r="2226" s="1" customFormat="1" ht="14.25" spans="1:11">
      <c r="A2226" s="71">
        <v>12</v>
      </c>
      <c r="B2226" s="72">
        <v>31</v>
      </c>
      <c r="C2226" s="72">
        <v>6</v>
      </c>
      <c r="D2226" s="73" t="s">
        <v>2528</v>
      </c>
      <c r="E2226" s="73" t="s">
        <v>48</v>
      </c>
      <c r="F2226" s="73" t="s">
        <v>55</v>
      </c>
      <c r="G2226" s="73" t="s">
        <v>32</v>
      </c>
      <c r="H2226" s="74" t="s">
        <v>2525</v>
      </c>
      <c r="I2226" s="74">
        <v>760</v>
      </c>
      <c r="J2226" s="75">
        <v>0</v>
      </c>
      <c r="K2226" s="75"/>
    </row>
    <row r="2227" s="1" customFormat="1" ht="14.25" spans="1:11">
      <c r="A2227" s="71">
        <v>12</v>
      </c>
      <c r="B2227" s="72">
        <v>31</v>
      </c>
      <c r="C2227" s="72">
        <v>7</v>
      </c>
      <c r="D2227" s="73" t="s">
        <v>2529</v>
      </c>
      <c r="E2227" s="73" t="s">
        <v>48</v>
      </c>
      <c r="F2227" s="73" t="s">
        <v>55</v>
      </c>
      <c r="G2227" s="73" t="s">
        <v>32</v>
      </c>
      <c r="H2227" s="74" t="s">
        <v>2530</v>
      </c>
      <c r="I2227" s="74">
        <v>150</v>
      </c>
      <c r="J2227" s="75">
        <v>0</v>
      </c>
      <c r="K2227" s="75"/>
    </row>
    <row r="2228" s="1" customFormat="1" ht="14.25" spans="1:11">
      <c r="A2228" s="71">
        <v>12</v>
      </c>
      <c r="B2228" s="72">
        <v>31</v>
      </c>
      <c r="C2228" s="72">
        <v>7</v>
      </c>
      <c r="D2228" s="73" t="s">
        <v>2531</v>
      </c>
      <c r="E2228" s="73" t="s">
        <v>48</v>
      </c>
      <c r="F2228" s="73" t="s">
        <v>55</v>
      </c>
      <c r="G2228" s="73" t="s">
        <v>32</v>
      </c>
      <c r="H2228" s="74" t="s">
        <v>2530</v>
      </c>
      <c r="I2228" s="74">
        <v>200</v>
      </c>
      <c r="J2228" s="75">
        <v>0</v>
      </c>
      <c r="K2228" s="75"/>
    </row>
    <row r="2229" s="1" customFormat="1" ht="14.25" spans="1:11">
      <c r="A2229" s="71">
        <v>12</v>
      </c>
      <c r="B2229" s="72">
        <v>31</v>
      </c>
      <c r="C2229" s="72">
        <v>7</v>
      </c>
      <c r="D2229" s="73" t="s">
        <v>2532</v>
      </c>
      <c r="E2229" s="73" t="s">
        <v>96</v>
      </c>
      <c r="F2229" s="73" t="s">
        <v>97</v>
      </c>
      <c r="G2229" s="73" t="s">
        <v>32</v>
      </c>
      <c r="H2229" s="74" t="s">
        <v>2530</v>
      </c>
      <c r="I2229" s="74">
        <v>72</v>
      </c>
      <c r="J2229" s="75">
        <v>0</v>
      </c>
      <c r="K2229" s="75"/>
    </row>
    <row r="2230" s="1" customFormat="1" ht="14.25" spans="1:11">
      <c r="A2230" s="71">
        <v>12</v>
      </c>
      <c r="B2230" s="72">
        <v>31</v>
      </c>
      <c r="C2230" s="72">
        <v>7</v>
      </c>
      <c r="D2230" s="73" t="s">
        <v>2533</v>
      </c>
      <c r="E2230" s="73" t="s">
        <v>118</v>
      </c>
      <c r="F2230" s="73" t="s">
        <v>55</v>
      </c>
      <c r="G2230" s="73" t="s">
        <v>32</v>
      </c>
      <c r="H2230" s="74" t="s">
        <v>2530</v>
      </c>
      <c r="I2230" s="74">
        <v>52</v>
      </c>
      <c r="J2230" s="75">
        <v>0</v>
      </c>
      <c r="K2230" s="75"/>
    </row>
    <row r="2231" s="1" customFormat="1" ht="14.25" spans="1:11">
      <c r="A2231" s="71">
        <v>12</v>
      </c>
      <c r="B2231" s="72">
        <v>31</v>
      </c>
      <c r="C2231" s="72">
        <v>7</v>
      </c>
      <c r="D2231" s="73" t="s">
        <v>2534</v>
      </c>
      <c r="E2231" s="73" t="s">
        <v>96</v>
      </c>
      <c r="F2231" s="73" t="s">
        <v>97</v>
      </c>
      <c r="G2231" s="73" t="s">
        <v>32</v>
      </c>
      <c r="H2231" s="74" t="s">
        <v>2530</v>
      </c>
      <c r="I2231" s="74">
        <v>110</v>
      </c>
      <c r="J2231" s="75">
        <v>0</v>
      </c>
      <c r="K2231" s="75"/>
    </row>
    <row r="2232" s="1" customFormat="1" ht="14.25" spans="1:11">
      <c r="A2232" s="71">
        <v>12</v>
      </c>
      <c r="B2232" s="72">
        <v>31</v>
      </c>
      <c r="C2232" s="72">
        <v>7</v>
      </c>
      <c r="D2232" s="73" t="s">
        <v>124</v>
      </c>
      <c r="E2232" s="73" t="s">
        <v>48</v>
      </c>
      <c r="F2232" s="73" t="s">
        <v>1565</v>
      </c>
      <c r="G2232" s="73" t="s">
        <v>32</v>
      </c>
      <c r="H2232" s="74" t="s">
        <v>2535</v>
      </c>
      <c r="I2232" s="74">
        <v>4</v>
      </c>
      <c r="J2232" s="75">
        <v>0</v>
      </c>
      <c r="K2232" s="75"/>
    </row>
    <row r="2233" s="1" customFormat="1" ht="14.25" spans="1:11">
      <c r="A2233" s="71">
        <v>12</v>
      </c>
      <c r="B2233" s="72">
        <v>31</v>
      </c>
      <c r="C2233" s="72">
        <v>7</v>
      </c>
      <c r="D2233" s="73" t="s">
        <v>2536</v>
      </c>
      <c r="E2233" s="73" t="s">
        <v>96</v>
      </c>
      <c r="F2233" s="73" t="s">
        <v>97</v>
      </c>
      <c r="G2233" s="73" t="s">
        <v>32</v>
      </c>
      <c r="H2233" s="74" t="s">
        <v>2535</v>
      </c>
      <c r="I2233" s="74">
        <v>40</v>
      </c>
      <c r="J2233" s="75">
        <v>0</v>
      </c>
      <c r="K2233" s="75"/>
    </row>
    <row r="2234" s="1" customFormat="1" ht="14.25" spans="1:11">
      <c r="A2234" s="71">
        <v>12</v>
      </c>
      <c r="B2234" s="72">
        <v>31</v>
      </c>
      <c r="C2234" s="72">
        <v>7</v>
      </c>
      <c r="D2234" s="73" t="s">
        <v>2537</v>
      </c>
      <c r="E2234" s="73" t="s">
        <v>118</v>
      </c>
      <c r="F2234" s="73" t="s">
        <v>55</v>
      </c>
      <c r="G2234" s="73" t="s">
        <v>32</v>
      </c>
      <c r="H2234" s="74" t="s">
        <v>2535</v>
      </c>
      <c r="I2234" s="74">
        <v>145</v>
      </c>
      <c r="J2234" s="75">
        <v>0</v>
      </c>
      <c r="K2234" s="75"/>
    </row>
    <row r="2235" s="1" customFormat="1" ht="14.25" spans="1:11">
      <c r="A2235" s="71">
        <v>12</v>
      </c>
      <c r="B2235" s="72">
        <v>31</v>
      </c>
      <c r="C2235" s="72">
        <v>7</v>
      </c>
      <c r="D2235" s="73" t="s">
        <v>1364</v>
      </c>
      <c r="E2235" s="73" t="s">
        <v>85</v>
      </c>
      <c r="F2235" s="73" t="s">
        <v>1364</v>
      </c>
      <c r="G2235" s="73" t="s">
        <v>32</v>
      </c>
      <c r="H2235" s="74" t="s">
        <v>2535</v>
      </c>
      <c r="I2235" s="74">
        <v>155</v>
      </c>
      <c r="J2235" s="75">
        <v>0</v>
      </c>
      <c r="K2235" s="75"/>
    </row>
    <row r="2236" s="1" customFormat="1" ht="14.25" spans="1:11">
      <c r="A2236" s="71">
        <v>12</v>
      </c>
      <c r="B2236" s="72">
        <v>31</v>
      </c>
      <c r="C2236" s="72">
        <v>7</v>
      </c>
      <c r="D2236" s="73" t="s">
        <v>2538</v>
      </c>
      <c r="E2236" s="73" t="s">
        <v>100</v>
      </c>
      <c r="F2236" s="73" t="s">
        <v>101</v>
      </c>
      <c r="G2236" s="73" t="s">
        <v>32</v>
      </c>
      <c r="H2236" s="74" t="s">
        <v>2535</v>
      </c>
      <c r="I2236" s="74">
        <v>42930</v>
      </c>
      <c r="J2236" s="75">
        <v>0</v>
      </c>
      <c r="K2236" s="75"/>
    </row>
  </sheetData>
  <mergeCells count="7">
    <mergeCell ref="A1:I1"/>
    <mergeCell ref="A2:B2"/>
    <mergeCell ref="E2:F2"/>
    <mergeCell ref="G2:H2"/>
    <mergeCell ref="C2:C3"/>
    <mergeCell ref="D2:D3"/>
    <mergeCell ref="J2:J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7"/>
  <sheetViews>
    <sheetView workbookViewId="0">
      <selection activeCell="D33" sqref="D33"/>
    </sheetView>
  </sheetViews>
  <sheetFormatPr defaultColWidth="9" defaultRowHeight="13.5"/>
  <cols>
    <col min="1" max="2" width="3.5" style="1" customWidth="1"/>
    <col min="3" max="3" width="6.375" style="1" customWidth="1"/>
    <col min="4" max="4" width="41.375" style="1" customWidth="1"/>
    <col min="5" max="5" width="11" style="1" customWidth="1"/>
    <col min="6" max="6" width="18.375" style="1" customWidth="1"/>
    <col min="7" max="7" width="13" style="1" customWidth="1"/>
    <col min="8" max="8" width="9.5" style="1" customWidth="1"/>
    <col min="9" max="9" width="12.75" style="1" customWidth="1"/>
    <col min="10" max="10" width="11" style="1" customWidth="1"/>
    <col min="11" max="11" width="11.875" style="1" customWidth="1"/>
    <col min="12" max="16384" width="9" style="1"/>
  </cols>
  <sheetData>
    <row r="1" s="1" customFormat="1" ht="22.5" spans="1:12">
      <c r="A1" s="59" t="s">
        <v>17</v>
      </c>
      <c r="B1" s="59"/>
      <c r="C1" s="59"/>
      <c r="D1" s="59"/>
      <c r="E1" s="59"/>
      <c r="F1" s="59"/>
      <c r="G1" s="59"/>
      <c r="H1" s="59"/>
      <c r="I1" s="59"/>
    </row>
    <row r="2" s="1" customFormat="1" ht="14.25" spans="1:12">
      <c r="A2" s="60" t="str">
        <f>'[4]1月'!A2</f>
        <v>2022年</v>
      </c>
      <c r="B2" s="60"/>
      <c r="C2" s="61" t="s">
        <v>18</v>
      </c>
      <c r="D2" s="62" t="s">
        <v>19</v>
      </c>
      <c r="E2" s="63" t="s">
        <v>20</v>
      </c>
      <c r="F2" s="64"/>
      <c r="G2" s="63" t="s">
        <v>21</v>
      </c>
      <c r="H2" s="64"/>
      <c r="I2" s="65" t="s">
        <v>94</v>
      </c>
      <c r="J2" s="66" t="s">
        <v>23</v>
      </c>
      <c r="K2" s="65" t="s">
        <v>94</v>
      </c>
    </row>
    <row r="3" s="1" customFormat="1" ht="14.25" spans="1:12">
      <c r="A3" s="67" t="s">
        <v>24</v>
      </c>
      <c r="B3" s="67" t="s">
        <v>25</v>
      </c>
      <c r="C3" s="61"/>
      <c r="D3" s="68"/>
      <c r="E3" s="69" t="s">
        <v>26</v>
      </c>
      <c r="F3" s="69" t="s">
        <v>27</v>
      </c>
      <c r="G3" s="69" t="s">
        <v>26</v>
      </c>
      <c r="H3" s="63" t="s">
        <v>27</v>
      </c>
      <c r="I3" s="70" t="s">
        <v>28</v>
      </c>
      <c r="J3" s="66"/>
      <c r="K3" s="70" t="s">
        <v>29</v>
      </c>
    </row>
    <row r="4" s="1" customFormat="1" ht="14.25" spans="1:12">
      <c r="A4" s="71">
        <v>1</v>
      </c>
      <c r="B4" s="72">
        <v>31</v>
      </c>
      <c r="C4" s="72">
        <v>1</v>
      </c>
      <c r="D4" s="73" t="s">
        <v>2539</v>
      </c>
      <c r="E4" s="73" t="s">
        <v>100</v>
      </c>
      <c r="F4" s="73" t="s">
        <v>101</v>
      </c>
      <c r="G4" s="73" t="s">
        <v>2282</v>
      </c>
      <c r="H4" s="74" t="s">
        <v>2540</v>
      </c>
      <c r="I4" s="74">
        <v>108226.77</v>
      </c>
      <c r="J4" s="75">
        <v>692651.3</v>
      </c>
      <c r="K4" s="76"/>
    </row>
    <row r="5" s="1" customFormat="1" ht="14.25" spans="1:12">
      <c r="A5" s="71">
        <v>2</v>
      </c>
      <c r="B5" s="72">
        <v>28</v>
      </c>
      <c r="C5" s="72">
        <v>1</v>
      </c>
      <c r="D5" s="73" t="s">
        <v>2541</v>
      </c>
      <c r="E5" s="73" t="s">
        <v>100</v>
      </c>
      <c r="F5" s="73" t="s">
        <v>101</v>
      </c>
      <c r="G5" s="73" t="s">
        <v>2282</v>
      </c>
      <c r="H5" s="74" t="s">
        <v>2542</v>
      </c>
      <c r="I5" s="74">
        <v>113451.92</v>
      </c>
      <c r="J5" s="75">
        <v>726092.26</v>
      </c>
      <c r="K5" s="76"/>
    </row>
    <row r="6" s="1" customFormat="1" ht="14.25" spans="1:12">
      <c r="A6" s="71">
        <v>3</v>
      </c>
      <c r="B6" s="72">
        <v>31</v>
      </c>
      <c r="C6" s="72">
        <v>1</v>
      </c>
      <c r="D6" s="73" t="s">
        <v>2543</v>
      </c>
      <c r="E6" s="73" t="s">
        <v>100</v>
      </c>
      <c r="F6" s="73" t="s">
        <v>101</v>
      </c>
      <c r="G6" s="73" t="s">
        <v>2282</v>
      </c>
      <c r="H6" s="74" t="s">
        <v>2544</v>
      </c>
      <c r="I6" s="74">
        <v>115325</v>
      </c>
      <c r="J6" s="75">
        <v>738080</v>
      </c>
      <c r="K6" s="76"/>
    </row>
    <row r="7" s="1" customFormat="1" ht="14.25" spans="1:12">
      <c r="A7" s="71">
        <v>4</v>
      </c>
      <c r="B7" s="72">
        <v>30</v>
      </c>
      <c r="C7" s="72">
        <v>1</v>
      </c>
      <c r="D7" s="73" t="s">
        <v>2545</v>
      </c>
      <c r="E7" s="73" t="s">
        <v>100</v>
      </c>
      <c r="F7" s="73" t="s">
        <v>101</v>
      </c>
      <c r="G7" s="73" t="s">
        <v>2282</v>
      </c>
      <c r="H7" s="74" t="s">
        <v>2546</v>
      </c>
      <c r="I7" s="74">
        <v>116467.05</v>
      </c>
      <c r="J7" s="75">
        <v>745389.13</v>
      </c>
      <c r="K7" s="76"/>
    </row>
    <row r="8" s="1" customFormat="1" ht="14.25" spans="1:12">
      <c r="A8" s="71">
        <v>4</v>
      </c>
      <c r="B8" s="72">
        <v>30</v>
      </c>
      <c r="C8" s="72">
        <v>1</v>
      </c>
      <c r="D8" s="73" t="s">
        <v>2547</v>
      </c>
      <c r="E8" s="73" t="s">
        <v>2282</v>
      </c>
      <c r="F8" s="73" t="s">
        <v>2548</v>
      </c>
      <c r="G8" s="73" t="s">
        <v>100</v>
      </c>
      <c r="H8" s="74" t="s">
        <v>101</v>
      </c>
      <c r="I8" s="74">
        <v>6260.08</v>
      </c>
      <c r="J8" s="75">
        <v>40064.52</v>
      </c>
      <c r="K8" s="76"/>
    </row>
    <row r="9" s="1" customFormat="1" ht="14.25" spans="1:12">
      <c r="A9" s="71">
        <v>5</v>
      </c>
      <c r="B9" s="72">
        <v>31</v>
      </c>
      <c r="C9" s="72">
        <v>1</v>
      </c>
      <c r="D9" s="73" t="s">
        <v>2549</v>
      </c>
      <c r="E9" s="73" t="s">
        <v>100</v>
      </c>
      <c r="F9" s="73" t="s">
        <v>101</v>
      </c>
      <c r="G9" s="73" t="s">
        <v>2282</v>
      </c>
      <c r="H9" s="74" t="s">
        <v>2550</v>
      </c>
      <c r="I9" s="74">
        <v>119645.78</v>
      </c>
      <c r="J9" s="75">
        <v>765733</v>
      </c>
      <c r="K9" s="76"/>
    </row>
    <row r="10" s="1" customFormat="1" ht="14.25" spans="1:12">
      <c r="A10" s="71">
        <v>6</v>
      </c>
      <c r="B10" s="72">
        <v>30</v>
      </c>
      <c r="C10" s="72">
        <v>1</v>
      </c>
      <c r="D10" s="73" t="s">
        <v>2551</v>
      </c>
      <c r="E10" s="73" t="s">
        <v>100</v>
      </c>
      <c r="F10" s="73" t="s">
        <v>101</v>
      </c>
      <c r="G10" s="73" t="s">
        <v>2282</v>
      </c>
      <c r="H10" s="74" t="s">
        <v>2552</v>
      </c>
      <c r="I10" s="74">
        <v>119647.34</v>
      </c>
      <c r="J10" s="75">
        <v>765743</v>
      </c>
      <c r="K10" s="76"/>
    </row>
    <row r="11" s="1" customFormat="1" ht="14.25" spans="1:12">
      <c r="A11" s="71">
        <v>7</v>
      </c>
      <c r="B11" s="72">
        <v>31</v>
      </c>
      <c r="C11" s="72">
        <v>1</v>
      </c>
      <c r="D11" s="73" t="s">
        <v>2553</v>
      </c>
      <c r="E11" s="73" t="s">
        <v>100</v>
      </c>
      <c r="F11" s="73" t="s">
        <v>101</v>
      </c>
      <c r="G11" s="73" t="s">
        <v>2282</v>
      </c>
      <c r="H11" s="74" t="s">
        <v>2554</v>
      </c>
      <c r="I11" s="74">
        <v>123159.38</v>
      </c>
      <c r="J11" s="75">
        <v>788220</v>
      </c>
      <c r="K11" s="76"/>
    </row>
    <row r="12" s="1" customFormat="1" ht="14.25" spans="1:12">
      <c r="A12" s="71">
        <v>8</v>
      </c>
      <c r="B12" s="72">
        <v>31</v>
      </c>
      <c r="C12" s="72">
        <v>1</v>
      </c>
      <c r="D12" s="73" t="s">
        <v>2555</v>
      </c>
      <c r="E12" s="73" t="s">
        <v>100</v>
      </c>
      <c r="F12" s="73" t="s">
        <v>101</v>
      </c>
      <c r="G12" s="73" t="s">
        <v>2282</v>
      </c>
      <c r="H12" s="74" t="s">
        <v>2556</v>
      </c>
      <c r="I12" s="74">
        <v>120736.41</v>
      </c>
      <c r="J12" s="75">
        <v>772713</v>
      </c>
      <c r="K12" s="76"/>
    </row>
    <row r="13" s="1" customFormat="1" ht="14.25" spans="1:12">
      <c r="A13" s="71">
        <v>9</v>
      </c>
      <c r="B13" s="72">
        <v>30</v>
      </c>
      <c r="C13" s="72">
        <v>1</v>
      </c>
      <c r="D13" s="73" t="s">
        <v>2557</v>
      </c>
      <c r="E13" s="73" t="s">
        <v>100</v>
      </c>
      <c r="F13" s="73" t="s">
        <v>101</v>
      </c>
      <c r="G13" s="73" t="s">
        <v>2282</v>
      </c>
      <c r="H13" s="74" t="s">
        <v>2558</v>
      </c>
      <c r="I13" s="74">
        <v>119040.75</v>
      </c>
      <c r="J13" s="75">
        <v>761860.82</v>
      </c>
      <c r="K13" s="76"/>
    </row>
    <row r="14" s="1" customFormat="1" ht="14.25" spans="1:12">
      <c r="A14" s="71">
        <v>10</v>
      </c>
      <c r="B14" s="72">
        <v>31</v>
      </c>
      <c r="C14" s="72">
        <v>1</v>
      </c>
      <c r="D14" s="73" t="s">
        <v>2559</v>
      </c>
      <c r="E14" s="73" t="s">
        <v>100</v>
      </c>
      <c r="F14" s="73" t="s">
        <v>101</v>
      </c>
      <c r="G14" s="73" t="s">
        <v>2282</v>
      </c>
      <c r="H14" s="74" t="s">
        <v>2560</v>
      </c>
      <c r="I14" s="74">
        <v>125451.72</v>
      </c>
      <c r="J14" s="75">
        <v>802891</v>
      </c>
      <c r="K14" s="76"/>
    </row>
    <row r="15" s="1" customFormat="1" ht="14.25" spans="1:12">
      <c r="A15" s="77">
        <v>11</v>
      </c>
      <c r="B15" s="78">
        <v>30</v>
      </c>
      <c r="C15" s="78">
        <v>1</v>
      </c>
      <c r="D15" s="79" t="s">
        <v>2561</v>
      </c>
      <c r="E15" s="79" t="s">
        <v>118</v>
      </c>
      <c r="F15" s="79" t="s">
        <v>2562</v>
      </c>
      <c r="G15" s="79" t="s">
        <v>2282</v>
      </c>
      <c r="H15" s="80" t="s">
        <v>2563</v>
      </c>
      <c r="I15" s="80">
        <v>84375</v>
      </c>
      <c r="J15" s="25">
        <v>540000</v>
      </c>
      <c r="K15" s="25"/>
      <c r="L15" s="81"/>
    </row>
    <row r="16" s="1" customFormat="1" ht="14.25" spans="1:12">
      <c r="A16" s="77">
        <v>11</v>
      </c>
      <c r="B16" s="78">
        <v>30</v>
      </c>
      <c r="C16" s="78">
        <v>1</v>
      </c>
      <c r="D16" s="79" t="s">
        <v>2564</v>
      </c>
      <c r="E16" s="79" t="s">
        <v>179</v>
      </c>
      <c r="F16" s="80" t="s">
        <v>2565</v>
      </c>
      <c r="G16" s="79" t="s">
        <v>2282</v>
      </c>
      <c r="H16" s="80" t="s">
        <v>2566</v>
      </c>
      <c r="I16" s="80">
        <v>14062.5</v>
      </c>
      <c r="J16" s="25">
        <v>90000</v>
      </c>
      <c r="K16" s="25"/>
      <c r="L16" s="81"/>
    </row>
    <row r="17" s="1" customFormat="1" ht="14.25" spans="1:12">
      <c r="A17" s="77">
        <v>11</v>
      </c>
      <c r="B17" s="78">
        <v>30</v>
      </c>
      <c r="C17" s="78">
        <v>1</v>
      </c>
      <c r="D17" s="79" t="s">
        <v>2567</v>
      </c>
      <c r="E17" s="79" t="s">
        <v>179</v>
      </c>
      <c r="F17" s="79" t="s">
        <v>2568</v>
      </c>
      <c r="G17" s="79" t="s">
        <v>2282</v>
      </c>
      <c r="H17" s="80" t="s">
        <v>2566</v>
      </c>
      <c r="I17" s="80">
        <v>11093.75</v>
      </c>
      <c r="J17" s="25">
        <v>71000</v>
      </c>
      <c r="K17" s="25"/>
      <c r="L17" s="81"/>
    </row>
    <row r="18" s="1" customFormat="1" ht="14.25" spans="1:12">
      <c r="A18" s="77">
        <v>11</v>
      </c>
      <c r="B18" s="78">
        <v>30</v>
      </c>
      <c r="C18" s="78">
        <v>1</v>
      </c>
      <c r="D18" s="79" t="s">
        <v>2569</v>
      </c>
      <c r="E18" s="79" t="s">
        <v>179</v>
      </c>
      <c r="F18" s="79" t="s">
        <v>1986</v>
      </c>
      <c r="G18" s="79" t="s">
        <v>2282</v>
      </c>
      <c r="H18" s="80" t="s">
        <v>2570</v>
      </c>
      <c r="I18" s="80">
        <v>35281.25</v>
      </c>
      <c r="J18" s="25">
        <v>225800</v>
      </c>
      <c r="K18" s="25"/>
      <c r="L18" s="81"/>
    </row>
    <row r="19" s="1" customFormat="1" ht="14.25" spans="1:12">
      <c r="A19" s="77">
        <v>11</v>
      </c>
      <c r="B19" s="78">
        <v>30</v>
      </c>
      <c r="C19" s="78">
        <v>1</v>
      </c>
      <c r="D19" s="79" t="s">
        <v>2571</v>
      </c>
      <c r="E19" s="79" t="s">
        <v>179</v>
      </c>
      <c r="F19" s="79" t="s">
        <v>1983</v>
      </c>
      <c r="G19" s="79" t="s">
        <v>2282</v>
      </c>
      <c r="H19" s="80" t="s">
        <v>2570</v>
      </c>
      <c r="I19" s="80">
        <v>242656.25</v>
      </c>
      <c r="J19" s="25">
        <v>1553000</v>
      </c>
      <c r="K19" s="25"/>
      <c r="L19" s="81"/>
    </row>
    <row r="20" s="1" customFormat="1" ht="14.25" spans="1:12">
      <c r="A20" s="77">
        <v>11</v>
      </c>
      <c r="B20" s="78">
        <v>30</v>
      </c>
      <c r="C20" s="78">
        <v>1</v>
      </c>
      <c r="D20" s="79" t="s">
        <v>2572</v>
      </c>
      <c r="E20" s="79" t="s">
        <v>118</v>
      </c>
      <c r="F20" s="79" t="s">
        <v>371</v>
      </c>
      <c r="G20" s="79" t="s">
        <v>2282</v>
      </c>
      <c r="H20" s="80" t="s">
        <v>2573</v>
      </c>
      <c r="I20" s="80">
        <v>215.63</v>
      </c>
      <c r="J20" s="25">
        <v>1380</v>
      </c>
      <c r="K20" s="25"/>
      <c r="L20" s="81"/>
    </row>
    <row r="21" s="1" customFormat="1" ht="14.25" spans="1:12">
      <c r="A21" s="77">
        <v>11</v>
      </c>
      <c r="B21" s="78">
        <v>30</v>
      </c>
      <c r="C21" s="78">
        <v>1</v>
      </c>
      <c r="D21" s="79" t="s">
        <v>2574</v>
      </c>
      <c r="E21" s="79" t="s">
        <v>118</v>
      </c>
      <c r="F21" s="79" t="s">
        <v>371</v>
      </c>
      <c r="G21" s="79" t="s">
        <v>2282</v>
      </c>
      <c r="H21" s="80" t="s">
        <v>2573</v>
      </c>
      <c r="I21" s="80">
        <v>1050</v>
      </c>
      <c r="J21" s="25">
        <v>6720</v>
      </c>
      <c r="K21" s="25"/>
      <c r="L21" s="81"/>
    </row>
    <row r="22" s="1" customFormat="1" ht="14.25" spans="1:12">
      <c r="A22" s="77">
        <v>11</v>
      </c>
      <c r="B22" s="78">
        <v>30</v>
      </c>
      <c r="C22" s="78">
        <v>1</v>
      </c>
      <c r="D22" s="79" t="s">
        <v>2575</v>
      </c>
      <c r="E22" s="79" t="s">
        <v>118</v>
      </c>
      <c r="F22" s="79" t="s">
        <v>371</v>
      </c>
      <c r="G22" s="79" t="s">
        <v>2282</v>
      </c>
      <c r="H22" s="80" t="s">
        <v>2573</v>
      </c>
      <c r="I22" s="80">
        <v>9187.5</v>
      </c>
      <c r="J22" s="25">
        <v>58800</v>
      </c>
      <c r="K22" s="25"/>
      <c r="L22" s="81"/>
    </row>
    <row r="23" s="1" customFormat="1" ht="14.25" spans="1:12">
      <c r="A23" s="77">
        <v>11</v>
      </c>
      <c r="B23" s="78">
        <v>30</v>
      </c>
      <c r="C23" s="78">
        <v>1</v>
      </c>
      <c r="D23" s="79" t="s">
        <v>2576</v>
      </c>
      <c r="E23" s="79" t="s">
        <v>118</v>
      </c>
      <c r="F23" s="79" t="s">
        <v>371</v>
      </c>
      <c r="G23" s="79" t="s">
        <v>2282</v>
      </c>
      <c r="H23" s="80" t="s">
        <v>2573</v>
      </c>
      <c r="I23" s="80">
        <v>29375</v>
      </c>
      <c r="J23" s="25">
        <v>188000</v>
      </c>
      <c r="K23" s="25"/>
      <c r="L23" s="81"/>
    </row>
    <row r="24" s="1" customFormat="1" ht="14.25" spans="1:12">
      <c r="A24" s="77">
        <v>11</v>
      </c>
      <c r="B24" s="78">
        <v>30</v>
      </c>
      <c r="C24" s="78">
        <v>1</v>
      </c>
      <c r="D24" s="79" t="s">
        <v>2577</v>
      </c>
      <c r="E24" s="79" t="s">
        <v>118</v>
      </c>
      <c r="F24" s="79" t="s">
        <v>371</v>
      </c>
      <c r="G24" s="79" t="s">
        <v>2282</v>
      </c>
      <c r="H24" s="80" t="s">
        <v>2573</v>
      </c>
      <c r="I24" s="80">
        <v>2100</v>
      </c>
      <c r="J24" s="25">
        <v>13440</v>
      </c>
      <c r="K24" s="25"/>
      <c r="L24" s="81"/>
    </row>
    <row r="25" s="1" customFormat="1" ht="14.25" spans="1:12">
      <c r="A25" s="77">
        <v>11</v>
      </c>
      <c r="B25" s="78">
        <v>30</v>
      </c>
      <c r="C25" s="78">
        <v>2</v>
      </c>
      <c r="D25" s="79" t="s">
        <v>2578</v>
      </c>
      <c r="E25" s="79" t="s">
        <v>291</v>
      </c>
      <c r="F25" s="79" t="s">
        <v>379</v>
      </c>
      <c r="G25" s="79" t="s">
        <v>2282</v>
      </c>
      <c r="H25" s="80" t="s">
        <v>2579</v>
      </c>
      <c r="I25" s="80">
        <v>300000</v>
      </c>
      <c r="J25" s="25">
        <v>1920000</v>
      </c>
      <c r="K25" s="25"/>
      <c r="L25" s="81"/>
    </row>
    <row r="26" s="1" customFormat="1" ht="14.25" spans="1:12">
      <c r="A26" s="77">
        <v>11</v>
      </c>
      <c r="B26" s="78">
        <v>30</v>
      </c>
      <c r="C26" s="78">
        <v>2</v>
      </c>
      <c r="D26" s="79" t="s">
        <v>2580</v>
      </c>
      <c r="E26" s="79" t="s">
        <v>291</v>
      </c>
      <c r="F26" s="79" t="s">
        <v>379</v>
      </c>
      <c r="G26" s="79" t="s">
        <v>2282</v>
      </c>
      <c r="H26" s="80" t="s">
        <v>2579</v>
      </c>
      <c r="I26" s="80">
        <v>55171.88</v>
      </c>
      <c r="J26" s="25">
        <v>353100</v>
      </c>
      <c r="K26" s="25"/>
      <c r="L26" s="81"/>
    </row>
    <row r="27" s="1" customFormat="1" ht="14.25" spans="1:12">
      <c r="A27" s="77">
        <v>11</v>
      </c>
      <c r="B27" s="78">
        <v>30</v>
      </c>
      <c r="C27" s="78">
        <v>2</v>
      </c>
      <c r="D27" s="79" t="s">
        <v>2581</v>
      </c>
      <c r="E27" s="79" t="s">
        <v>291</v>
      </c>
      <c r="F27" s="79" t="s">
        <v>379</v>
      </c>
      <c r="G27" s="79" t="s">
        <v>2282</v>
      </c>
      <c r="H27" s="80" t="s">
        <v>2579</v>
      </c>
      <c r="I27" s="80">
        <v>58263.59</v>
      </c>
      <c r="J27" s="25">
        <v>372887</v>
      </c>
      <c r="K27" s="25"/>
      <c r="L27" s="81"/>
    </row>
    <row r="28" s="1" customFormat="1" ht="14.25" spans="1:12">
      <c r="A28" s="77">
        <v>11</v>
      </c>
      <c r="B28" s="78">
        <v>30</v>
      </c>
      <c r="C28" s="78">
        <v>2</v>
      </c>
      <c r="D28" s="79" t="s">
        <v>2582</v>
      </c>
      <c r="E28" s="79" t="s">
        <v>291</v>
      </c>
      <c r="F28" s="79" t="s">
        <v>379</v>
      </c>
      <c r="G28" s="79" t="s">
        <v>2282</v>
      </c>
      <c r="H28" s="80" t="s">
        <v>2583</v>
      </c>
      <c r="I28" s="80">
        <v>748535.47</v>
      </c>
      <c r="J28" s="25">
        <v>4790627</v>
      </c>
      <c r="K28" s="25"/>
      <c r="L28" s="81"/>
    </row>
    <row r="29" s="1" customFormat="1" ht="14.25" spans="1:12">
      <c r="A29" s="77">
        <v>11</v>
      </c>
      <c r="B29" s="78">
        <v>30</v>
      </c>
      <c r="C29" s="78">
        <v>2</v>
      </c>
      <c r="D29" s="79" t="s">
        <v>2584</v>
      </c>
      <c r="E29" s="79" t="s">
        <v>291</v>
      </c>
      <c r="F29" s="79" t="s">
        <v>379</v>
      </c>
      <c r="G29" s="79" t="s">
        <v>2282</v>
      </c>
      <c r="H29" s="80" t="s">
        <v>2585</v>
      </c>
      <c r="I29" s="80">
        <v>76562.5</v>
      </c>
      <c r="J29" s="25">
        <v>490000</v>
      </c>
      <c r="K29" s="25"/>
      <c r="L29" s="81"/>
    </row>
    <row r="30" s="1" customFormat="1" ht="14.25" spans="1:12">
      <c r="A30" s="77">
        <v>11</v>
      </c>
      <c r="B30" s="78">
        <v>30</v>
      </c>
      <c r="C30" s="78">
        <v>2</v>
      </c>
      <c r="D30" s="79" t="s">
        <v>2586</v>
      </c>
      <c r="E30" s="79" t="s">
        <v>291</v>
      </c>
      <c r="F30" s="79" t="s">
        <v>379</v>
      </c>
      <c r="G30" s="79" t="s">
        <v>2282</v>
      </c>
      <c r="H30" s="80" t="s">
        <v>2585</v>
      </c>
      <c r="I30" s="80">
        <v>20156.25</v>
      </c>
      <c r="J30" s="25">
        <v>129000</v>
      </c>
      <c r="K30" s="25"/>
      <c r="L30" s="81"/>
    </row>
    <row r="31" s="1" customFormat="1" ht="14.25" spans="1:12">
      <c r="A31" s="77">
        <v>11</v>
      </c>
      <c r="B31" s="78">
        <v>30</v>
      </c>
      <c r="C31" s="78">
        <v>2</v>
      </c>
      <c r="D31" s="79" t="s">
        <v>2587</v>
      </c>
      <c r="E31" s="79" t="s">
        <v>291</v>
      </c>
      <c r="F31" s="80" t="s">
        <v>379</v>
      </c>
      <c r="G31" s="79" t="s">
        <v>2282</v>
      </c>
      <c r="H31" s="80" t="s">
        <v>2585</v>
      </c>
      <c r="I31" s="80">
        <v>195625</v>
      </c>
      <c r="J31" s="25">
        <v>1252000</v>
      </c>
      <c r="K31" s="25"/>
      <c r="L31" s="81"/>
    </row>
    <row r="32" s="1" customFormat="1" ht="14.25" spans="1:12">
      <c r="A32" s="77">
        <v>11</v>
      </c>
      <c r="B32" s="78">
        <v>30</v>
      </c>
      <c r="C32" s="78">
        <v>2</v>
      </c>
      <c r="D32" s="79" t="s">
        <v>2588</v>
      </c>
      <c r="E32" s="79" t="s">
        <v>291</v>
      </c>
      <c r="F32" s="79" t="s">
        <v>379</v>
      </c>
      <c r="G32" s="79" t="s">
        <v>2282</v>
      </c>
      <c r="H32" s="80" t="s">
        <v>2585</v>
      </c>
      <c r="I32" s="80">
        <v>205000</v>
      </c>
      <c r="J32" s="25">
        <v>1312000</v>
      </c>
      <c r="K32" s="25"/>
      <c r="L32" s="81"/>
    </row>
    <row r="33" s="1" customFormat="1" ht="14.25" spans="1:12">
      <c r="A33" s="77">
        <v>11</v>
      </c>
      <c r="B33" s="78">
        <v>30</v>
      </c>
      <c r="C33" s="78">
        <v>2</v>
      </c>
      <c r="D33" s="79" t="s">
        <v>2589</v>
      </c>
      <c r="E33" s="79" t="s">
        <v>291</v>
      </c>
      <c r="F33" s="79" t="s">
        <v>379</v>
      </c>
      <c r="G33" s="79" t="s">
        <v>2282</v>
      </c>
      <c r="H33" s="80" t="s">
        <v>2585</v>
      </c>
      <c r="I33" s="80">
        <v>230937.5</v>
      </c>
      <c r="J33" s="25">
        <v>1478000</v>
      </c>
      <c r="K33" s="25"/>
      <c r="L33" s="81"/>
    </row>
    <row r="34" s="1" customFormat="1" ht="14.25" spans="1:12">
      <c r="A34" s="77">
        <v>11</v>
      </c>
      <c r="B34" s="78">
        <v>30</v>
      </c>
      <c r="C34" s="78">
        <v>2</v>
      </c>
      <c r="D34" s="79" t="s">
        <v>2590</v>
      </c>
      <c r="E34" s="79" t="s">
        <v>291</v>
      </c>
      <c r="F34" s="79" t="s">
        <v>379</v>
      </c>
      <c r="G34" s="79" t="s">
        <v>2282</v>
      </c>
      <c r="H34" s="80" t="s">
        <v>2585</v>
      </c>
      <c r="I34" s="80">
        <v>49843.75</v>
      </c>
      <c r="J34" s="25">
        <v>319000</v>
      </c>
      <c r="K34" s="25"/>
      <c r="L34" s="81"/>
    </row>
    <row r="35" s="1" customFormat="1" ht="14.25" spans="1:12">
      <c r="A35" s="77">
        <v>11</v>
      </c>
      <c r="B35" s="78">
        <v>30</v>
      </c>
      <c r="C35" s="78">
        <v>3</v>
      </c>
      <c r="D35" s="79" t="s">
        <v>2591</v>
      </c>
      <c r="E35" s="79" t="s">
        <v>291</v>
      </c>
      <c r="F35" s="79" t="s">
        <v>379</v>
      </c>
      <c r="G35" s="79" t="s">
        <v>2282</v>
      </c>
      <c r="H35" s="80" t="s">
        <v>2592</v>
      </c>
      <c r="I35" s="80">
        <v>52576.41</v>
      </c>
      <c r="J35" s="25">
        <v>336489</v>
      </c>
      <c r="K35" s="25"/>
      <c r="L35" s="81"/>
    </row>
    <row r="36" s="1" customFormat="1" ht="14.25" spans="1:12">
      <c r="A36" s="77">
        <v>11</v>
      </c>
      <c r="B36" s="78">
        <v>30</v>
      </c>
      <c r="C36" s="78">
        <v>3</v>
      </c>
      <c r="D36" s="79" t="s">
        <v>2593</v>
      </c>
      <c r="E36" s="79" t="s">
        <v>291</v>
      </c>
      <c r="F36" s="79" t="s">
        <v>379</v>
      </c>
      <c r="G36" s="79" t="s">
        <v>2282</v>
      </c>
      <c r="H36" s="80" t="s">
        <v>2592</v>
      </c>
      <c r="I36" s="80">
        <v>208409.69</v>
      </c>
      <c r="J36" s="25">
        <v>1333822</v>
      </c>
      <c r="K36" s="25"/>
      <c r="L36" s="81"/>
    </row>
    <row r="37" s="1" customFormat="1" ht="14.25" spans="1:12">
      <c r="A37" s="77">
        <v>11</v>
      </c>
      <c r="B37" s="78">
        <v>30</v>
      </c>
      <c r="C37" s="78">
        <v>3</v>
      </c>
      <c r="D37" s="79" t="s">
        <v>2594</v>
      </c>
      <c r="E37" s="79" t="s">
        <v>291</v>
      </c>
      <c r="F37" s="80" t="s">
        <v>379</v>
      </c>
      <c r="G37" s="79" t="s">
        <v>2282</v>
      </c>
      <c r="H37" s="80" t="s">
        <v>2592</v>
      </c>
      <c r="I37" s="80">
        <v>137679.69</v>
      </c>
      <c r="J37" s="25">
        <v>881150</v>
      </c>
      <c r="K37" s="25"/>
      <c r="L37" s="81"/>
    </row>
    <row r="38" s="1" customFormat="1" ht="14.25" spans="1:12">
      <c r="A38" s="77">
        <v>11</v>
      </c>
      <c r="B38" s="78">
        <v>30</v>
      </c>
      <c r="C38" s="78">
        <v>3</v>
      </c>
      <c r="D38" s="79" t="s">
        <v>2595</v>
      </c>
      <c r="E38" s="79" t="s">
        <v>291</v>
      </c>
      <c r="F38" s="79" t="s">
        <v>379</v>
      </c>
      <c r="G38" s="79" t="s">
        <v>2282</v>
      </c>
      <c r="H38" s="80" t="s">
        <v>2592</v>
      </c>
      <c r="I38" s="80">
        <v>12271.72</v>
      </c>
      <c r="J38" s="25">
        <v>78539</v>
      </c>
      <c r="K38" s="25"/>
      <c r="L38" s="81"/>
    </row>
    <row r="39" s="1" customFormat="1" ht="14.25" spans="1:12">
      <c r="A39" s="77">
        <v>11</v>
      </c>
      <c r="B39" s="78">
        <v>30</v>
      </c>
      <c r="C39" s="78">
        <v>3</v>
      </c>
      <c r="D39" s="79" t="s">
        <v>2596</v>
      </c>
      <c r="E39" s="79" t="s">
        <v>179</v>
      </c>
      <c r="F39" s="79" t="s">
        <v>2005</v>
      </c>
      <c r="G39" s="79" t="s">
        <v>2282</v>
      </c>
      <c r="H39" s="80" t="s">
        <v>2597</v>
      </c>
      <c r="I39" s="80">
        <v>1570312.5</v>
      </c>
      <c r="J39" s="25">
        <v>10050000</v>
      </c>
      <c r="K39" s="25"/>
      <c r="L39" s="81"/>
    </row>
    <row r="40" s="1" customFormat="1" ht="14.25" spans="1:12">
      <c r="A40" s="77">
        <v>11</v>
      </c>
      <c r="B40" s="78">
        <v>30</v>
      </c>
      <c r="C40" s="78">
        <v>3</v>
      </c>
      <c r="D40" s="79" t="s">
        <v>2598</v>
      </c>
      <c r="E40" s="79" t="s">
        <v>118</v>
      </c>
      <c r="F40" s="79" t="s">
        <v>154</v>
      </c>
      <c r="G40" s="79" t="s">
        <v>2282</v>
      </c>
      <c r="H40" s="80" t="s">
        <v>2599</v>
      </c>
      <c r="I40" s="80">
        <v>54967.34</v>
      </c>
      <c r="J40" s="25">
        <v>351791</v>
      </c>
      <c r="K40" s="25"/>
      <c r="L40" s="81"/>
    </row>
    <row r="41" s="1" customFormat="1" ht="14.25" spans="1:12">
      <c r="A41" s="77">
        <v>11</v>
      </c>
      <c r="B41" s="78">
        <v>30</v>
      </c>
      <c r="C41" s="78">
        <v>3</v>
      </c>
      <c r="D41" s="79" t="s">
        <v>2600</v>
      </c>
      <c r="E41" s="79" t="s">
        <v>179</v>
      </c>
      <c r="F41" s="79" t="s">
        <v>1995</v>
      </c>
      <c r="G41" s="79" t="s">
        <v>2282</v>
      </c>
      <c r="H41" s="80" t="s">
        <v>2601</v>
      </c>
      <c r="I41" s="80">
        <v>33968.75</v>
      </c>
      <c r="J41" s="25">
        <v>217400</v>
      </c>
      <c r="K41" s="25"/>
      <c r="L41" s="81"/>
    </row>
    <row r="42" s="1" customFormat="1" ht="14.25" spans="1:12">
      <c r="A42" s="77">
        <v>11</v>
      </c>
      <c r="B42" s="78">
        <v>30</v>
      </c>
      <c r="C42" s="78">
        <v>3</v>
      </c>
      <c r="D42" s="79" t="s">
        <v>2602</v>
      </c>
      <c r="E42" s="79" t="s">
        <v>179</v>
      </c>
      <c r="F42" s="79" t="s">
        <v>1997</v>
      </c>
      <c r="G42" s="79" t="s">
        <v>2282</v>
      </c>
      <c r="H42" s="80" t="s">
        <v>2601</v>
      </c>
      <c r="I42" s="80">
        <v>16218.75</v>
      </c>
      <c r="J42" s="25">
        <v>103800</v>
      </c>
      <c r="K42" s="25"/>
      <c r="L42" s="81"/>
    </row>
    <row r="43" s="1" customFormat="1" ht="14.25" spans="1:12">
      <c r="A43" s="77">
        <v>11</v>
      </c>
      <c r="B43" s="78">
        <v>30</v>
      </c>
      <c r="C43" s="78">
        <v>3</v>
      </c>
      <c r="D43" s="79" t="s">
        <v>2603</v>
      </c>
      <c r="E43" s="79" t="s">
        <v>118</v>
      </c>
      <c r="F43" s="79" t="s">
        <v>2562</v>
      </c>
      <c r="G43" s="79" t="s">
        <v>2282</v>
      </c>
      <c r="H43" s="80" t="s">
        <v>2604</v>
      </c>
      <c r="I43" s="80">
        <v>28125</v>
      </c>
      <c r="J43" s="25">
        <v>180000</v>
      </c>
      <c r="K43" s="25"/>
      <c r="L43" s="81"/>
    </row>
    <row r="44" s="1" customFormat="1" ht="14.25" spans="1:12">
      <c r="A44" s="77">
        <v>11</v>
      </c>
      <c r="B44" s="78">
        <v>30</v>
      </c>
      <c r="C44" s="78">
        <v>3</v>
      </c>
      <c r="D44" s="79" t="s">
        <v>2605</v>
      </c>
      <c r="E44" s="79" t="s">
        <v>179</v>
      </c>
      <c r="F44" s="79" t="s">
        <v>2010</v>
      </c>
      <c r="G44" s="79" t="s">
        <v>2282</v>
      </c>
      <c r="H44" s="80" t="s">
        <v>2606</v>
      </c>
      <c r="I44" s="80">
        <v>65156.25</v>
      </c>
      <c r="J44" s="25">
        <v>417000</v>
      </c>
      <c r="K44" s="25"/>
      <c r="L44" s="81"/>
    </row>
    <row r="45" s="1" customFormat="1" ht="14.25" spans="1:12">
      <c r="A45" s="77">
        <v>11</v>
      </c>
      <c r="B45" s="78">
        <v>30</v>
      </c>
      <c r="C45" s="78">
        <v>4</v>
      </c>
      <c r="D45" s="79" t="s">
        <v>2607</v>
      </c>
      <c r="E45" s="79" t="s">
        <v>118</v>
      </c>
      <c r="F45" s="79" t="s">
        <v>154</v>
      </c>
      <c r="G45" s="79" t="s">
        <v>2282</v>
      </c>
      <c r="H45" s="80" t="s">
        <v>2608</v>
      </c>
      <c r="I45" s="80">
        <v>1562.5</v>
      </c>
      <c r="J45" s="25">
        <v>10000</v>
      </c>
      <c r="K45" s="25"/>
      <c r="L45" s="81"/>
    </row>
    <row r="46" s="1" customFormat="1" ht="14.25" spans="1:12">
      <c r="A46" s="77">
        <v>11</v>
      </c>
      <c r="B46" s="78">
        <v>30</v>
      </c>
      <c r="C46" s="78">
        <v>4</v>
      </c>
      <c r="D46" s="79" t="s">
        <v>2609</v>
      </c>
      <c r="E46" s="79" t="s">
        <v>118</v>
      </c>
      <c r="F46" s="79" t="s">
        <v>154</v>
      </c>
      <c r="G46" s="79" t="s">
        <v>2282</v>
      </c>
      <c r="H46" s="80" t="s">
        <v>2608</v>
      </c>
      <c r="I46" s="80">
        <v>117.19</v>
      </c>
      <c r="J46" s="25">
        <v>750</v>
      </c>
      <c r="K46" s="25"/>
      <c r="L46" s="81"/>
    </row>
    <row r="47" s="1" customFormat="1" ht="14.25" spans="1:12">
      <c r="A47" s="77">
        <v>11</v>
      </c>
      <c r="B47" s="78">
        <v>30</v>
      </c>
      <c r="C47" s="78">
        <v>4</v>
      </c>
      <c r="D47" s="79" t="s">
        <v>2610</v>
      </c>
      <c r="E47" s="79" t="s">
        <v>118</v>
      </c>
      <c r="F47" s="79" t="s">
        <v>371</v>
      </c>
      <c r="G47" s="79" t="s">
        <v>2282</v>
      </c>
      <c r="H47" s="80" t="s">
        <v>2611</v>
      </c>
      <c r="I47" s="80">
        <v>53906.25</v>
      </c>
      <c r="J47" s="25">
        <v>345000</v>
      </c>
      <c r="K47" s="25"/>
      <c r="L47" s="81"/>
    </row>
    <row r="48" s="1" customFormat="1" ht="14.25" spans="1:12">
      <c r="A48" s="77">
        <v>11</v>
      </c>
      <c r="B48" s="78">
        <v>30</v>
      </c>
      <c r="C48" s="78">
        <v>4</v>
      </c>
      <c r="D48" s="79" t="s">
        <v>2612</v>
      </c>
      <c r="E48" s="79" t="s">
        <v>179</v>
      </c>
      <c r="F48" s="79" t="s">
        <v>1983</v>
      </c>
      <c r="G48" s="79" t="s">
        <v>2282</v>
      </c>
      <c r="H48" s="80" t="s">
        <v>2613</v>
      </c>
      <c r="I48" s="80">
        <f>43132.81+0.02</f>
        <v>43132.83</v>
      </c>
      <c r="J48" s="25">
        <v>276050</v>
      </c>
      <c r="K48" s="25"/>
      <c r="L48" s="81"/>
    </row>
    <row r="49" s="1" customFormat="1" ht="14.25" spans="1:12">
      <c r="A49" s="77">
        <v>11</v>
      </c>
      <c r="B49" s="78">
        <v>30</v>
      </c>
      <c r="C49" s="78">
        <v>4</v>
      </c>
      <c r="D49" s="79" t="s">
        <v>2614</v>
      </c>
      <c r="E49" s="79" t="s">
        <v>179</v>
      </c>
      <c r="F49" s="79" t="s">
        <v>1986</v>
      </c>
      <c r="G49" s="79" t="s">
        <v>2282</v>
      </c>
      <c r="H49" s="80" t="s">
        <v>2613</v>
      </c>
      <c r="I49" s="80">
        <v>8626.56</v>
      </c>
      <c r="J49" s="25">
        <v>55210</v>
      </c>
      <c r="K49" s="25"/>
      <c r="L49" s="81"/>
    </row>
    <row r="50" s="1" customFormat="1" ht="14.25" spans="1:12">
      <c r="A50" s="77">
        <v>11</v>
      </c>
      <c r="B50" s="78">
        <v>30</v>
      </c>
      <c r="C50" s="78">
        <v>4</v>
      </c>
      <c r="D50" s="79" t="s">
        <v>2615</v>
      </c>
      <c r="E50" s="79" t="s">
        <v>179</v>
      </c>
      <c r="F50" s="79" t="s">
        <v>1989</v>
      </c>
      <c r="G50" s="79" t="s">
        <v>2282</v>
      </c>
      <c r="H50" s="80" t="s">
        <v>2613</v>
      </c>
      <c r="I50" s="80">
        <v>29953.13</v>
      </c>
      <c r="J50" s="25">
        <v>191700</v>
      </c>
      <c r="K50" s="25"/>
      <c r="L50" s="81"/>
    </row>
    <row r="51" s="1" customFormat="1" ht="14.25" spans="1:12">
      <c r="A51" s="77">
        <v>11</v>
      </c>
      <c r="B51" s="78">
        <v>30</v>
      </c>
      <c r="C51" s="78">
        <v>4</v>
      </c>
      <c r="D51" s="79" t="s">
        <v>2615</v>
      </c>
      <c r="E51" s="79" t="s">
        <v>85</v>
      </c>
      <c r="F51" s="79" t="s">
        <v>2616</v>
      </c>
      <c r="G51" s="79" t="s">
        <v>2282</v>
      </c>
      <c r="H51" s="80" t="s">
        <v>2613</v>
      </c>
      <c r="I51" s="80">
        <v>14976.56</v>
      </c>
      <c r="J51" s="25">
        <v>95850</v>
      </c>
      <c r="K51" s="25"/>
      <c r="L51" s="81"/>
    </row>
    <row r="52" s="1" customFormat="1" ht="14.25" spans="1:12">
      <c r="A52" s="77">
        <v>11</v>
      </c>
      <c r="B52" s="78">
        <v>30</v>
      </c>
      <c r="C52" s="78">
        <v>4</v>
      </c>
      <c r="D52" s="79" t="s">
        <v>2617</v>
      </c>
      <c r="E52" s="79" t="s">
        <v>179</v>
      </c>
      <c r="F52" s="79" t="s">
        <v>1995</v>
      </c>
      <c r="G52" s="79" t="s">
        <v>2282</v>
      </c>
      <c r="H52" s="80" t="s">
        <v>2613</v>
      </c>
      <c r="I52" s="80">
        <v>18590.63</v>
      </c>
      <c r="J52" s="25">
        <v>118980</v>
      </c>
      <c r="K52" s="25"/>
      <c r="L52" s="81"/>
    </row>
    <row r="53" s="1" customFormat="1" ht="14.25" spans="1:12">
      <c r="A53" s="77">
        <v>11</v>
      </c>
      <c r="B53" s="78">
        <v>30</v>
      </c>
      <c r="C53" s="78">
        <v>4</v>
      </c>
      <c r="D53" s="79" t="s">
        <v>2618</v>
      </c>
      <c r="E53" s="79" t="s">
        <v>179</v>
      </c>
      <c r="F53" s="79" t="s">
        <v>1997</v>
      </c>
      <c r="G53" s="79" t="s">
        <v>2282</v>
      </c>
      <c r="H53" s="80" t="s">
        <v>2613</v>
      </c>
      <c r="I53" s="80">
        <v>9295.31</v>
      </c>
      <c r="J53" s="25">
        <v>59490</v>
      </c>
      <c r="K53" s="25"/>
      <c r="L53" s="81"/>
    </row>
    <row r="54" s="1" customFormat="1" ht="14.25" spans="1:12">
      <c r="A54" s="77">
        <v>11</v>
      </c>
      <c r="B54" s="78">
        <v>30</v>
      </c>
      <c r="C54" s="78">
        <v>4</v>
      </c>
      <c r="D54" s="79" t="s">
        <v>2619</v>
      </c>
      <c r="E54" s="79" t="s">
        <v>179</v>
      </c>
      <c r="F54" s="79" t="s">
        <v>1955</v>
      </c>
      <c r="G54" s="79" t="s">
        <v>2282</v>
      </c>
      <c r="H54" s="80" t="s">
        <v>2613</v>
      </c>
      <c r="I54" s="80">
        <v>137696.88</v>
      </c>
      <c r="J54" s="25">
        <v>881260</v>
      </c>
      <c r="K54" s="25"/>
      <c r="L54" s="81"/>
    </row>
    <row r="55" s="1" customFormat="1" ht="14.25" spans="1:12">
      <c r="A55" s="77">
        <v>11</v>
      </c>
      <c r="B55" s="78">
        <v>30</v>
      </c>
      <c r="C55" s="78">
        <v>5</v>
      </c>
      <c r="D55" s="79" t="s">
        <v>2620</v>
      </c>
      <c r="E55" s="79" t="s">
        <v>85</v>
      </c>
      <c r="F55" s="79" t="s">
        <v>2616</v>
      </c>
      <c r="G55" s="79" t="s">
        <v>2282</v>
      </c>
      <c r="H55" s="80" t="s">
        <v>2613</v>
      </c>
      <c r="I55" s="80">
        <v>281.25</v>
      </c>
      <c r="J55" s="25">
        <v>1800</v>
      </c>
      <c r="K55" s="25"/>
      <c r="L55" s="81"/>
    </row>
    <row r="56" s="1" customFormat="1" ht="14.25" spans="1:12">
      <c r="A56" s="77">
        <v>11</v>
      </c>
      <c r="B56" s="78">
        <v>30</v>
      </c>
      <c r="C56" s="78">
        <v>5</v>
      </c>
      <c r="D56" s="79" t="s">
        <v>2621</v>
      </c>
      <c r="E56" s="79" t="s">
        <v>179</v>
      </c>
      <c r="F56" s="79" t="s">
        <v>1955</v>
      </c>
      <c r="G56" s="79" t="s">
        <v>2282</v>
      </c>
      <c r="H56" s="80" t="s">
        <v>2622</v>
      </c>
      <c r="I56" s="80">
        <v>137696.88</v>
      </c>
      <c r="J56" s="25">
        <v>881260</v>
      </c>
      <c r="K56" s="25"/>
      <c r="L56" s="81"/>
    </row>
    <row r="57" s="1" customFormat="1" ht="14.25" spans="1:12">
      <c r="A57" s="77">
        <v>11</v>
      </c>
      <c r="B57" s="78">
        <v>30</v>
      </c>
      <c r="C57" s="78">
        <v>5</v>
      </c>
      <c r="D57" s="79" t="s">
        <v>2621</v>
      </c>
      <c r="E57" s="79" t="s">
        <v>291</v>
      </c>
      <c r="F57" s="79" t="s">
        <v>379</v>
      </c>
      <c r="G57" s="79" t="s">
        <v>2282</v>
      </c>
      <c r="H57" s="80" t="s">
        <v>2622</v>
      </c>
      <c r="I57" s="80">
        <v>38053.13</v>
      </c>
      <c r="J57" s="25">
        <v>243540</v>
      </c>
      <c r="K57" s="25"/>
      <c r="L57" s="81"/>
    </row>
    <row r="58" s="1" customFormat="1" ht="14.25" spans="1:12">
      <c r="A58" s="77">
        <v>11</v>
      </c>
      <c r="B58" s="78">
        <v>30</v>
      </c>
      <c r="C58" s="78">
        <v>5</v>
      </c>
      <c r="D58" s="79" t="s">
        <v>2623</v>
      </c>
      <c r="E58" s="79" t="s">
        <v>291</v>
      </c>
      <c r="F58" s="79" t="s">
        <v>379</v>
      </c>
      <c r="G58" s="79" t="s">
        <v>2282</v>
      </c>
      <c r="H58" s="80" t="s">
        <v>2622</v>
      </c>
      <c r="I58" s="80">
        <v>88210.94</v>
      </c>
      <c r="J58" s="25">
        <v>564550</v>
      </c>
      <c r="K58" s="25"/>
      <c r="L58" s="81"/>
    </row>
    <row r="59" s="1" customFormat="1" ht="14.25" spans="1:12">
      <c r="A59" s="77">
        <v>11</v>
      </c>
      <c r="B59" s="78">
        <v>30</v>
      </c>
      <c r="C59" s="78">
        <v>5</v>
      </c>
      <c r="D59" s="79" t="s">
        <v>2624</v>
      </c>
      <c r="E59" s="79" t="s">
        <v>291</v>
      </c>
      <c r="F59" s="79" t="s">
        <v>379</v>
      </c>
      <c r="G59" s="79" t="s">
        <v>2282</v>
      </c>
      <c r="H59" s="80" t="s">
        <v>2622</v>
      </c>
      <c r="I59" s="80">
        <v>51656.25</v>
      </c>
      <c r="J59" s="25">
        <v>330600</v>
      </c>
      <c r="K59" s="25"/>
      <c r="L59" s="81"/>
    </row>
    <row r="60" s="1" customFormat="1" ht="14.25" spans="1:12">
      <c r="A60" s="77">
        <v>11</v>
      </c>
      <c r="B60" s="78">
        <v>30</v>
      </c>
      <c r="C60" s="78">
        <v>5</v>
      </c>
      <c r="D60" s="79" t="s">
        <v>2625</v>
      </c>
      <c r="E60" s="79" t="s">
        <v>291</v>
      </c>
      <c r="F60" s="79" t="s">
        <v>379</v>
      </c>
      <c r="G60" s="79" t="s">
        <v>2282</v>
      </c>
      <c r="H60" s="80" t="s">
        <v>2626</v>
      </c>
      <c r="I60" s="80">
        <v>14828.13</v>
      </c>
      <c r="J60" s="25">
        <v>94900</v>
      </c>
      <c r="K60" s="25"/>
      <c r="L60" s="81"/>
    </row>
    <row r="61" s="1" customFormat="1" ht="14.25" spans="1:12">
      <c r="A61" s="77">
        <v>11</v>
      </c>
      <c r="B61" s="78">
        <v>30</v>
      </c>
      <c r="C61" s="78">
        <v>5</v>
      </c>
      <c r="D61" s="79" t="s">
        <v>2625</v>
      </c>
      <c r="E61" s="79" t="s">
        <v>291</v>
      </c>
      <c r="F61" s="79" t="s">
        <v>379</v>
      </c>
      <c r="G61" s="79" t="s">
        <v>2282</v>
      </c>
      <c r="H61" s="80" t="s">
        <v>2626</v>
      </c>
      <c r="I61" s="80">
        <v>73734.38</v>
      </c>
      <c r="J61" s="25">
        <v>471900</v>
      </c>
      <c r="K61" s="25"/>
      <c r="L61" s="81"/>
    </row>
    <row r="62" s="1" customFormat="1" ht="14.25" spans="1:12">
      <c r="A62" s="77">
        <v>11</v>
      </c>
      <c r="B62" s="78">
        <v>30</v>
      </c>
      <c r="C62" s="78">
        <v>5</v>
      </c>
      <c r="D62" s="79" t="s">
        <v>2627</v>
      </c>
      <c r="E62" s="79" t="s">
        <v>179</v>
      </c>
      <c r="F62" s="79" t="s">
        <v>2010</v>
      </c>
      <c r="G62" s="79" t="s">
        <v>2282</v>
      </c>
      <c r="H62" s="80" t="s">
        <v>2626</v>
      </c>
      <c r="I62" s="80">
        <v>6311.72</v>
      </c>
      <c r="J62" s="25">
        <v>40395</v>
      </c>
      <c r="K62" s="25"/>
      <c r="L62" s="81"/>
    </row>
    <row r="63" s="1" customFormat="1" ht="14.25" spans="1:12">
      <c r="A63" s="77">
        <v>11</v>
      </c>
      <c r="B63" s="78">
        <v>30</v>
      </c>
      <c r="C63" s="78">
        <v>5</v>
      </c>
      <c r="D63" s="79" t="s">
        <v>2627</v>
      </c>
      <c r="E63" s="79" t="s">
        <v>85</v>
      </c>
      <c r="F63" s="79" t="s">
        <v>2616</v>
      </c>
      <c r="G63" s="79" t="s">
        <v>2282</v>
      </c>
      <c r="H63" s="80" t="s">
        <v>2626</v>
      </c>
      <c r="I63" s="80">
        <v>6311.72</v>
      </c>
      <c r="J63" s="25">
        <v>40395</v>
      </c>
      <c r="K63" s="25"/>
      <c r="L63" s="81"/>
    </row>
    <row r="64" s="1" customFormat="1" ht="14.25" spans="1:12">
      <c r="A64" s="77">
        <v>11</v>
      </c>
      <c r="B64" s="78">
        <v>30</v>
      </c>
      <c r="C64" s="78">
        <v>5</v>
      </c>
      <c r="D64" s="79" t="s">
        <v>2628</v>
      </c>
      <c r="E64" s="79" t="s">
        <v>85</v>
      </c>
      <c r="F64" s="79" t="s">
        <v>2616</v>
      </c>
      <c r="G64" s="79" t="s">
        <v>2282</v>
      </c>
      <c r="H64" s="80" t="s">
        <v>2629</v>
      </c>
      <c r="I64" s="80">
        <v>12978.44</v>
      </c>
      <c r="J64" s="25">
        <v>83062</v>
      </c>
      <c r="K64" s="25"/>
      <c r="L64" s="81"/>
    </row>
    <row r="65" s="1" customFormat="1" ht="14.25" spans="1:12">
      <c r="A65" s="77">
        <v>11</v>
      </c>
      <c r="B65" s="78">
        <v>30</v>
      </c>
      <c r="C65" s="78">
        <v>6</v>
      </c>
      <c r="D65" s="79" t="s">
        <v>2630</v>
      </c>
      <c r="E65" s="79" t="s">
        <v>85</v>
      </c>
      <c r="F65" s="79" t="s">
        <v>2616</v>
      </c>
      <c r="G65" s="79" t="s">
        <v>2282</v>
      </c>
      <c r="H65" s="80" t="s">
        <v>2629</v>
      </c>
      <c r="I65" s="80">
        <v>2329.69</v>
      </c>
      <c r="J65" s="25">
        <v>14910</v>
      </c>
      <c r="K65" s="25"/>
      <c r="L65" s="81"/>
    </row>
    <row r="66" s="1" customFormat="1" ht="14.25" spans="1:12">
      <c r="A66" s="77">
        <v>11</v>
      </c>
      <c r="B66" s="78">
        <v>30</v>
      </c>
      <c r="C66" s="78">
        <v>6</v>
      </c>
      <c r="D66" s="79" t="s">
        <v>2631</v>
      </c>
      <c r="E66" s="79" t="s">
        <v>85</v>
      </c>
      <c r="F66" s="79" t="s">
        <v>2616</v>
      </c>
      <c r="G66" s="79" t="s">
        <v>2282</v>
      </c>
      <c r="H66" s="80" t="s">
        <v>2629</v>
      </c>
      <c r="I66" s="80">
        <v>14960.94</v>
      </c>
      <c r="J66" s="25">
        <v>95750</v>
      </c>
      <c r="K66" s="25"/>
      <c r="L66" s="81"/>
    </row>
    <row r="67" s="1" customFormat="1" ht="14.25" spans="1:12">
      <c r="A67" s="77">
        <v>11</v>
      </c>
      <c r="B67" s="78">
        <v>30</v>
      </c>
      <c r="C67" s="78">
        <v>6</v>
      </c>
      <c r="D67" s="79" t="s">
        <v>2632</v>
      </c>
      <c r="E67" s="79" t="s">
        <v>85</v>
      </c>
      <c r="F67" s="79" t="s">
        <v>2616</v>
      </c>
      <c r="G67" s="79" t="s">
        <v>2282</v>
      </c>
      <c r="H67" s="80" t="s">
        <v>2629</v>
      </c>
      <c r="I67" s="80">
        <v>14560.94</v>
      </c>
      <c r="J67" s="25">
        <v>93190</v>
      </c>
      <c r="K67" s="25"/>
      <c r="L67" s="81"/>
    </row>
    <row r="68" s="1" customFormat="1" ht="14.25" spans="1:12">
      <c r="A68" s="77">
        <v>11</v>
      </c>
      <c r="B68" s="78">
        <v>30</v>
      </c>
      <c r="C68" s="78">
        <v>6</v>
      </c>
      <c r="D68" s="79" t="s">
        <v>2633</v>
      </c>
      <c r="E68" s="79" t="s">
        <v>179</v>
      </c>
      <c r="F68" s="79" t="s">
        <v>1989</v>
      </c>
      <c r="G68" s="79" t="s">
        <v>2282</v>
      </c>
      <c r="H68" s="80" t="s">
        <v>2629</v>
      </c>
      <c r="I68" s="80">
        <v>14607.19</v>
      </c>
      <c r="J68" s="25">
        <v>93486</v>
      </c>
      <c r="K68" s="25"/>
      <c r="L68" s="81"/>
    </row>
    <row r="69" s="1" customFormat="1" ht="14.25" spans="1:12">
      <c r="A69" s="77">
        <v>11</v>
      </c>
      <c r="B69" s="78">
        <v>30</v>
      </c>
      <c r="C69" s="78">
        <v>6</v>
      </c>
      <c r="D69" s="79" t="s">
        <v>2633</v>
      </c>
      <c r="E69" s="79" t="s">
        <v>85</v>
      </c>
      <c r="F69" s="79" t="s">
        <v>2616</v>
      </c>
      <c r="G69" s="79" t="s">
        <v>2282</v>
      </c>
      <c r="H69" s="80" t="s">
        <v>2629</v>
      </c>
      <c r="I69" s="80">
        <v>14649.38</v>
      </c>
      <c r="J69" s="25">
        <v>93756</v>
      </c>
      <c r="K69" s="25"/>
      <c r="L69" s="81"/>
    </row>
    <row r="70" s="1" customFormat="1" ht="14.25" spans="1:12">
      <c r="A70" s="77">
        <v>11</v>
      </c>
      <c r="B70" s="78">
        <v>30</v>
      </c>
      <c r="C70" s="78">
        <v>6</v>
      </c>
      <c r="D70" s="79" t="s">
        <v>2634</v>
      </c>
      <c r="E70" s="79" t="s">
        <v>291</v>
      </c>
      <c r="F70" s="79" t="s">
        <v>379</v>
      </c>
      <c r="G70" s="79" t="s">
        <v>2282</v>
      </c>
      <c r="H70" s="80" t="s">
        <v>2629</v>
      </c>
      <c r="I70" s="80">
        <v>19450.63</v>
      </c>
      <c r="J70" s="25">
        <v>124484</v>
      </c>
      <c r="K70" s="25"/>
      <c r="L70" s="81"/>
    </row>
    <row r="71" s="1" customFormat="1" ht="14.25" spans="1:12">
      <c r="A71" s="77">
        <v>11</v>
      </c>
      <c r="B71" s="78">
        <v>30</v>
      </c>
      <c r="C71" s="78">
        <v>6</v>
      </c>
      <c r="D71" s="79" t="s">
        <v>2634</v>
      </c>
      <c r="E71" s="79" t="s">
        <v>85</v>
      </c>
      <c r="F71" s="79" t="s">
        <v>2616</v>
      </c>
      <c r="G71" s="79" t="s">
        <v>2282</v>
      </c>
      <c r="H71" s="80" t="s">
        <v>2629</v>
      </c>
      <c r="I71" s="80">
        <v>9725.31</v>
      </c>
      <c r="J71" s="25">
        <v>62242</v>
      </c>
      <c r="K71" s="25"/>
      <c r="L71" s="81"/>
    </row>
    <row r="72" s="1" customFormat="1" ht="14.25" spans="1:12">
      <c r="A72" s="77">
        <v>11</v>
      </c>
      <c r="B72" s="78">
        <v>30</v>
      </c>
      <c r="C72" s="78">
        <v>6</v>
      </c>
      <c r="D72" s="79" t="s">
        <v>2635</v>
      </c>
      <c r="E72" s="79" t="s">
        <v>291</v>
      </c>
      <c r="F72" s="80" t="s">
        <v>379</v>
      </c>
      <c r="G72" s="79" t="s">
        <v>2282</v>
      </c>
      <c r="H72" s="80" t="s">
        <v>2629</v>
      </c>
      <c r="I72" s="80">
        <v>93665.63</v>
      </c>
      <c r="J72" s="25">
        <v>599460</v>
      </c>
      <c r="K72" s="25"/>
      <c r="L72" s="81"/>
    </row>
    <row r="73" s="1" customFormat="1" ht="14.25" spans="1:12">
      <c r="A73" s="77">
        <v>11</v>
      </c>
      <c r="B73" s="78">
        <v>30</v>
      </c>
      <c r="C73" s="78">
        <v>6</v>
      </c>
      <c r="D73" s="79" t="s">
        <v>2636</v>
      </c>
      <c r="E73" s="79" t="s">
        <v>179</v>
      </c>
      <c r="F73" s="79" t="s">
        <v>2005</v>
      </c>
      <c r="G73" s="79" t="s">
        <v>2282</v>
      </c>
      <c r="H73" s="80" t="s">
        <v>2629</v>
      </c>
      <c r="I73" s="80">
        <v>291968.75</v>
      </c>
      <c r="J73" s="25">
        <v>1868600</v>
      </c>
      <c r="K73" s="25"/>
      <c r="L73" s="81"/>
    </row>
    <row r="74" s="1" customFormat="1" ht="14.25" spans="1:12">
      <c r="A74" s="77">
        <v>11</v>
      </c>
      <c r="B74" s="78">
        <v>30</v>
      </c>
      <c r="C74" s="78">
        <v>7</v>
      </c>
      <c r="D74" s="79" t="s">
        <v>2637</v>
      </c>
      <c r="E74" s="79" t="s">
        <v>291</v>
      </c>
      <c r="F74" s="79" t="s">
        <v>379</v>
      </c>
      <c r="G74" s="79" t="s">
        <v>2282</v>
      </c>
      <c r="H74" s="80" t="s">
        <v>2638</v>
      </c>
      <c r="I74" s="80">
        <v>6763.1</v>
      </c>
      <c r="J74" s="25">
        <v>43283.81</v>
      </c>
      <c r="K74" s="25"/>
      <c r="L74" s="81"/>
    </row>
    <row r="75" s="1" customFormat="1" ht="14.25" spans="1:12">
      <c r="A75" s="77">
        <v>11</v>
      </c>
      <c r="B75" s="78">
        <v>30</v>
      </c>
      <c r="C75" s="78">
        <v>7</v>
      </c>
      <c r="D75" s="79" t="s">
        <v>2639</v>
      </c>
      <c r="E75" s="79" t="s">
        <v>118</v>
      </c>
      <c r="F75" s="79" t="s">
        <v>2640</v>
      </c>
      <c r="G75" s="79" t="s">
        <v>2282</v>
      </c>
      <c r="H75" s="80" t="s">
        <v>2641</v>
      </c>
      <c r="I75" s="80">
        <v>3703.13</v>
      </c>
      <c r="J75" s="25">
        <v>23700</v>
      </c>
      <c r="K75" s="25"/>
      <c r="L75" s="81"/>
    </row>
    <row r="76" s="1" customFormat="1" ht="14.25" spans="1:12">
      <c r="A76" s="77">
        <v>11</v>
      </c>
      <c r="B76" s="78">
        <v>30</v>
      </c>
      <c r="C76" s="78">
        <v>7</v>
      </c>
      <c r="D76" s="79" t="s">
        <v>2642</v>
      </c>
      <c r="E76" s="79" t="s">
        <v>118</v>
      </c>
      <c r="F76" s="80" t="s">
        <v>2640</v>
      </c>
      <c r="G76" s="79" t="s">
        <v>2282</v>
      </c>
      <c r="H76" s="80" t="s">
        <v>2641</v>
      </c>
      <c r="I76" s="80">
        <v>25156.25</v>
      </c>
      <c r="J76" s="25">
        <v>161000</v>
      </c>
      <c r="K76" s="25"/>
      <c r="L76" s="81"/>
    </row>
    <row r="77" s="1" customFormat="1" ht="14.25" spans="1:12">
      <c r="A77" s="77">
        <v>11</v>
      </c>
      <c r="B77" s="78">
        <v>30</v>
      </c>
      <c r="C77" s="78">
        <v>7</v>
      </c>
      <c r="D77" s="79" t="s">
        <v>154</v>
      </c>
      <c r="E77" s="79" t="s">
        <v>118</v>
      </c>
      <c r="F77" s="79" t="s">
        <v>154</v>
      </c>
      <c r="G77" s="79" t="s">
        <v>2282</v>
      </c>
      <c r="H77" s="80" t="s">
        <v>2641</v>
      </c>
      <c r="I77" s="80">
        <v>1921.09</v>
      </c>
      <c r="J77" s="25">
        <v>12295</v>
      </c>
      <c r="K77" s="25"/>
      <c r="L77" s="81"/>
    </row>
    <row r="78" s="1" customFormat="1" ht="14.25" spans="1:12">
      <c r="A78" s="77">
        <v>11</v>
      </c>
      <c r="B78" s="78">
        <v>30</v>
      </c>
      <c r="C78" s="78">
        <v>7</v>
      </c>
      <c r="D78" s="79" t="s">
        <v>2643</v>
      </c>
      <c r="E78" s="79" t="s">
        <v>118</v>
      </c>
      <c r="F78" s="80" t="s">
        <v>55</v>
      </c>
      <c r="G78" s="79" t="s">
        <v>2282</v>
      </c>
      <c r="H78" s="80" t="s">
        <v>2641</v>
      </c>
      <c r="I78" s="80">
        <v>1251.56</v>
      </c>
      <c r="J78" s="25">
        <v>8010</v>
      </c>
      <c r="K78" s="25"/>
      <c r="L78" s="81"/>
    </row>
    <row r="79" s="1" customFormat="1" ht="14.25" spans="1:12">
      <c r="A79" s="77">
        <v>11</v>
      </c>
      <c r="B79" s="78">
        <v>30</v>
      </c>
      <c r="C79" s="78">
        <v>7</v>
      </c>
      <c r="D79" s="79" t="s">
        <v>2644</v>
      </c>
      <c r="E79" s="79" t="s">
        <v>118</v>
      </c>
      <c r="F79" s="79" t="s">
        <v>55</v>
      </c>
      <c r="G79" s="79" t="s">
        <v>2282</v>
      </c>
      <c r="H79" s="80" t="s">
        <v>2645</v>
      </c>
      <c r="I79" s="80">
        <v>1767.97</v>
      </c>
      <c r="J79" s="25">
        <v>11315</v>
      </c>
      <c r="K79" s="25"/>
      <c r="L79" s="81"/>
    </row>
    <row r="80" s="1" customFormat="1" ht="14.25" spans="1:12">
      <c r="A80" s="77">
        <v>11</v>
      </c>
      <c r="B80" s="78">
        <v>30</v>
      </c>
      <c r="C80" s="78">
        <v>7</v>
      </c>
      <c r="D80" s="79" t="s">
        <v>2646</v>
      </c>
      <c r="E80" s="79" t="s">
        <v>118</v>
      </c>
      <c r="F80" s="79" t="s">
        <v>55</v>
      </c>
      <c r="G80" s="79" t="s">
        <v>2282</v>
      </c>
      <c r="H80" s="80" t="s">
        <v>2645</v>
      </c>
      <c r="I80" s="80">
        <v>1131.25</v>
      </c>
      <c r="J80" s="25">
        <v>7240</v>
      </c>
      <c r="K80" s="25"/>
      <c r="L80" s="81"/>
    </row>
    <row r="81" s="1" customFormat="1" ht="14.25" spans="1:12">
      <c r="A81" s="77">
        <v>11</v>
      </c>
      <c r="B81" s="78">
        <v>30</v>
      </c>
      <c r="C81" s="78">
        <v>7</v>
      </c>
      <c r="D81" s="79" t="s">
        <v>2647</v>
      </c>
      <c r="E81" s="79" t="s">
        <v>118</v>
      </c>
      <c r="F81" s="80" t="s">
        <v>55</v>
      </c>
      <c r="G81" s="79" t="s">
        <v>2282</v>
      </c>
      <c r="H81" s="80" t="s">
        <v>2645</v>
      </c>
      <c r="I81" s="80">
        <v>123.44</v>
      </c>
      <c r="J81" s="25">
        <v>790</v>
      </c>
      <c r="K81" s="25"/>
      <c r="L81" s="81"/>
    </row>
    <row r="82" s="1" customFormat="1" ht="14.25" spans="1:12">
      <c r="A82" s="77">
        <v>11</v>
      </c>
      <c r="B82" s="78">
        <v>30</v>
      </c>
      <c r="C82" s="78">
        <v>7</v>
      </c>
      <c r="D82" s="79" t="s">
        <v>2648</v>
      </c>
      <c r="E82" s="79" t="s">
        <v>118</v>
      </c>
      <c r="F82" s="79" t="s">
        <v>55</v>
      </c>
      <c r="G82" s="79" t="s">
        <v>2282</v>
      </c>
      <c r="H82" s="80" t="s">
        <v>2645</v>
      </c>
      <c r="I82" s="80">
        <v>115.63</v>
      </c>
      <c r="J82" s="25">
        <v>740</v>
      </c>
      <c r="K82" s="25"/>
      <c r="L82" s="81"/>
    </row>
    <row r="83" s="1" customFormat="1" ht="14.25" spans="1:12">
      <c r="A83" s="77">
        <v>11</v>
      </c>
      <c r="B83" s="78">
        <v>30</v>
      </c>
      <c r="C83" s="78">
        <v>7</v>
      </c>
      <c r="D83" s="79" t="s">
        <v>2649</v>
      </c>
      <c r="E83" s="79" t="s">
        <v>118</v>
      </c>
      <c r="F83" s="79" t="s">
        <v>55</v>
      </c>
      <c r="G83" s="79" t="s">
        <v>2282</v>
      </c>
      <c r="H83" s="80" t="s">
        <v>2645</v>
      </c>
      <c r="I83" s="80">
        <v>703.13</v>
      </c>
      <c r="J83" s="25">
        <v>4500</v>
      </c>
      <c r="K83" s="25"/>
      <c r="L83" s="81"/>
    </row>
    <row r="84" s="1" customFormat="1" ht="14.25" spans="1:12">
      <c r="A84" s="77">
        <v>11</v>
      </c>
      <c r="B84" s="78">
        <v>30</v>
      </c>
      <c r="C84" s="78">
        <v>8</v>
      </c>
      <c r="D84" s="79" t="s">
        <v>2650</v>
      </c>
      <c r="E84" s="79" t="s">
        <v>211</v>
      </c>
      <c r="F84" s="79" t="s">
        <v>2651</v>
      </c>
      <c r="G84" s="79" t="s">
        <v>2282</v>
      </c>
      <c r="H84" s="80" t="s">
        <v>2652</v>
      </c>
      <c r="I84" s="80">
        <v>403.13</v>
      </c>
      <c r="J84" s="25">
        <v>2580</v>
      </c>
      <c r="K84" s="25"/>
      <c r="L84" s="81"/>
    </row>
    <row r="85" s="1" customFormat="1" ht="14.25" spans="1:12">
      <c r="A85" s="77">
        <v>11</v>
      </c>
      <c r="B85" s="78">
        <v>30</v>
      </c>
      <c r="C85" s="78">
        <v>8</v>
      </c>
      <c r="D85" s="79" t="s">
        <v>2653</v>
      </c>
      <c r="E85" s="79" t="s">
        <v>211</v>
      </c>
      <c r="F85" s="79" t="s">
        <v>2654</v>
      </c>
      <c r="G85" s="79" t="s">
        <v>2282</v>
      </c>
      <c r="H85" s="80" t="s">
        <v>2652</v>
      </c>
      <c r="I85" s="80">
        <v>468.59</v>
      </c>
      <c r="J85" s="25">
        <v>2999</v>
      </c>
      <c r="K85" s="25"/>
      <c r="L85" s="81"/>
    </row>
    <row r="86" s="1" customFormat="1" ht="14.25" spans="1:12">
      <c r="A86" s="77">
        <v>11</v>
      </c>
      <c r="B86" s="78">
        <v>30</v>
      </c>
      <c r="C86" s="78">
        <v>8</v>
      </c>
      <c r="D86" s="79" t="s">
        <v>2655</v>
      </c>
      <c r="E86" s="79" t="s">
        <v>118</v>
      </c>
      <c r="F86" s="79" t="s">
        <v>55</v>
      </c>
      <c r="G86" s="79" t="s">
        <v>2282</v>
      </c>
      <c r="H86" s="80" t="s">
        <v>2652</v>
      </c>
      <c r="I86" s="80">
        <v>1906.25</v>
      </c>
      <c r="J86" s="25">
        <v>12200</v>
      </c>
      <c r="K86" s="25"/>
      <c r="L86" s="81"/>
    </row>
    <row r="87" s="1" customFormat="1" ht="14.25" spans="1:12">
      <c r="A87" s="77">
        <v>11</v>
      </c>
      <c r="B87" s="78">
        <v>30</v>
      </c>
      <c r="C87" s="78">
        <v>8</v>
      </c>
      <c r="D87" s="79" t="s">
        <v>2656</v>
      </c>
      <c r="E87" s="79" t="s">
        <v>179</v>
      </c>
      <c r="F87" s="79" t="s">
        <v>1995</v>
      </c>
      <c r="G87" s="79" t="s">
        <v>2282</v>
      </c>
      <c r="H87" s="80" t="s">
        <v>2652</v>
      </c>
      <c r="I87" s="80">
        <v>1687.5</v>
      </c>
      <c r="J87" s="25">
        <v>10800</v>
      </c>
      <c r="K87" s="25"/>
      <c r="L87" s="81"/>
    </row>
    <row r="88" s="1" customFormat="1" ht="14.25" spans="1:12">
      <c r="A88" s="77">
        <v>11</v>
      </c>
      <c r="B88" s="78">
        <v>30</v>
      </c>
      <c r="C88" s="78">
        <v>8</v>
      </c>
      <c r="D88" s="79" t="s">
        <v>2656</v>
      </c>
      <c r="E88" s="79" t="s">
        <v>179</v>
      </c>
      <c r="F88" s="79" t="s">
        <v>1997</v>
      </c>
      <c r="G88" s="79" t="s">
        <v>2282</v>
      </c>
      <c r="H88" s="80" t="s">
        <v>2652</v>
      </c>
      <c r="I88" s="80">
        <v>828.13</v>
      </c>
      <c r="J88" s="25">
        <v>5300</v>
      </c>
      <c r="K88" s="25"/>
      <c r="L88" s="81"/>
    </row>
    <row r="89" s="1" customFormat="1" ht="14.25" spans="1:12">
      <c r="A89" s="77">
        <v>11</v>
      </c>
      <c r="B89" s="78">
        <v>30</v>
      </c>
      <c r="C89" s="78">
        <v>8</v>
      </c>
      <c r="D89" s="79" t="s">
        <v>2657</v>
      </c>
      <c r="E89" s="79" t="s">
        <v>85</v>
      </c>
      <c r="F89" s="79" t="s">
        <v>989</v>
      </c>
      <c r="G89" s="79" t="s">
        <v>2282</v>
      </c>
      <c r="H89" s="80" t="s">
        <v>2652</v>
      </c>
      <c r="I89" s="80">
        <v>2625</v>
      </c>
      <c r="J89" s="25">
        <v>16800</v>
      </c>
      <c r="K89" s="25"/>
      <c r="L89" s="81"/>
    </row>
    <row r="90" s="1" customFormat="1" ht="14.25" spans="1:12">
      <c r="A90" s="77">
        <v>11</v>
      </c>
      <c r="B90" s="78">
        <v>30</v>
      </c>
      <c r="C90" s="78">
        <v>8</v>
      </c>
      <c r="D90" s="79" t="s">
        <v>2658</v>
      </c>
      <c r="E90" s="79" t="s">
        <v>85</v>
      </c>
      <c r="F90" s="79" t="s">
        <v>989</v>
      </c>
      <c r="G90" s="79" t="s">
        <v>2282</v>
      </c>
      <c r="H90" s="80" t="s">
        <v>2659</v>
      </c>
      <c r="I90" s="80">
        <v>359.38</v>
      </c>
      <c r="J90" s="25">
        <v>2300</v>
      </c>
      <c r="K90" s="25"/>
      <c r="L90" s="81"/>
    </row>
    <row r="91" s="1" customFormat="1" ht="14.25" spans="1:12">
      <c r="A91" s="77">
        <v>11</v>
      </c>
      <c r="B91" s="78">
        <v>30</v>
      </c>
      <c r="C91" s="78">
        <v>8</v>
      </c>
      <c r="D91" s="79" t="s">
        <v>2660</v>
      </c>
      <c r="E91" s="79" t="s">
        <v>85</v>
      </c>
      <c r="F91" s="79" t="s">
        <v>989</v>
      </c>
      <c r="G91" s="79" t="s">
        <v>2282</v>
      </c>
      <c r="H91" s="80" t="s">
        <v>2659</v>
      </c>
      <c r="I91" s="80">
        <v>137.5</v>
      </c>
      <c r="J91" s="25">
        <v>880</v>
      </c>
      <c r="K91" s="25"/>
      <c r="L91" s="81"/>
    </row>
    <row r="92" s="1" customFormat="1" ht="14.25" spans="1:12">
      <c r="A92" s="77">
        <v>11</v>
      </c>
      <c r="B92" s="78">
        <v>30</v>
      </c>
      <c r="C92" s="78">
        <v>8</v>
      </c>
      <c r="D92" s="79" t="s">
        <v>2661</v>
      </c>
      <c r="E92" s="79" t="s">
        <v>85</v>
      </c>
      <c r="F92" s="79" t="s">
        <v>989</v>
      </c>
      <c r="G92" s="79" t="s">
        <v>2282</v>
      </c>
      <c r="H92" s="80" t="s">
        <v>2659</v>
      </c>
      <c r="I92" s="80">
        <v>78.13</v>
      </c>
      <c r="J92" s="25">
        <v>500</v>
      </c>
      <c r="K92" s="25"/>
      <c r="L92" s="81"/>
    </row>
    <row r="93" s="1" customFormat="1" ht="14.25" spans="1:12">
      <c r="A93" s="77">
        <v>11</v>
      </c>
      <c r="B93" s="78">
        <v>30</v>
      </c>
      <c r="C93" s="78">
        <v>8</v>
      </c>
      <c r="D93" s="79" t="s">
        <v>2662</v>
      </c>
      <c r="E93" s="79" t="s">
        <v>85</v>
      </c>
      <c r="F93" s="79" t="s">
        <v>989</v>
      </c>
      <c r="G93" s="79" t="s">
        <v>2282</v>
      </c>
      <c r="H93" s="80" t="s">
        <v>2659</v>
      </c>
      <c r="I93" s="80">
        <v>434.22</v>
      </c>
      <c r="J93" s="25">
        <v>2779</v>
      </c>
      <c r="K93" s="25"/>
      <c r="L93" s="81"/>
    </row>
    <row r="94" s="1" customFormat="1" ht="14.25" spans="1:12">
      <c r="A94" s="77">
        <v>11</v>
      </c>
      <c r="B94" s="78">
        <v>30</v>
      </c>
      <c r="C94" s="78">
        <v>9</v>
      </c>
      <c r="D94" s="79" t="s">
        <v>2663</v>
      </c>
      <c r="E94" s="79" t="s">
        <v>85</v>
      </c>
      <c r="F94" s="79" t="s">
        <v>989</v>
      </c>
      <c r="G94" s="79" t="s">
        <v>2282</v>
      </c>
      <c r="H94" s="80" t="s">
        <v>2664</v>
      </c>
      <c r="I94" s="80">
        <v>250</v>
      </c>
      <c r="J94" s="25">
        <v>1600</v>
      </c>
      <c r="K94" s="25"/>
      <c r="L94" s="81"/>
    </row>
    <row r="95" s="1" customFormat="1" ht="14.25" spans="1:12">
      <c r="A95" s="77">
        <v>11</v>
      </c>
      <c r="B95" s="78">
        <v>30</v>
      </c>
      <c r="C95" s="78">
        <v>9</v>
      </c>
      <c r="D95" s="79" t="s">
        <v>2665</v>
      </c>
      <c r="E95" s="79" t="s">
        <v>85</v>
      </c>
      <c r="F95" s="79" t="s">
        <v>989</v>
      </c>
      <c r="G95" s="79" t="s">
        <v>2282</v>
      </c>
      <c r="H95" s="80" t="s">
        <v>2664</v>
      </c>
      <c r="I95" s="80">
        <v>281.25</v>
      </c>
      <c r="J95" s="25">
        <v>1800</v>
      </c>
      <c r="K95" s="25"/>
      <c r="L95" s="81"/>
    </row>
    <row r="96" s="1" customFormat="1" ht="14.25" spans="1:12">
      <c r="A96" s="77">
        <v>11</v>
      </c>
      <c r="B96" s="78">
        <v>30</v>
      </c>
      <c r="C96" s="78">
        <v>9</v>
      </c>
      <c r="D96" s="79" t="s">
        <v>2666</v>
      </c>
      <c r="E96" s="79" t="s">
        <v>118</v>
      </c>
      <c r="F96" s="79" t="s">
        <v>55</v>
      </c>
      <c r="G96" s="79" t="s">
        <v>2282</v>
      </c>
      <c r="H96" s="80" t="s">
        <v>2667</v>
      </c>
      <c r="I96" s="80">
        <v>195.31</v>
      </c>
      <c r="J96" s="25">
        <v>1250</v>
      </c>
      <c r="K96" s="25"/>
      <c r="L96" s="81"/>
    </row>
    <row r="97" s="1" customFormat="1" ht="14.25" spans="1:12">
      <c r="A97" s="77">
        <v>11</v>
      </c>
      <c r="B97" s="78">
        <v>30</v>
      </c>
      <c r="C97" s="78">
        <v>9</v>
      </c>
      <c r="D97" s="79" t="s">
        <v>2668</v>
      </c>
      <c r="E97" s="79" t="s">
        <v>118</v>
      </c>
      <c r="F97" s="79" t="s">
        <v>55</v>
      </c>
      <c r="G97" s="79" t="s">
        <v>2282</v>
      </c>
      <c r="H97" s="80" t="s">
        <v>2667</v>
      </c>
      <c r="I97" s="80">
        <v>948.44</v>
      </c>
      <c r="J97" s="25">
        <v>6070</v>
      </c>
      <c r="K97" s="25"/>
      <c r="L97" s="81"/>
    </row>
    <row r="98" s="1" customFormat="1" ht="14.25" spans="1:12">
      <c r="A98" s="77">
        <v>11</v>
      </c>
      <c r="B98" s="78">
        <v>30</v>
      </c>
      <c r="C98" s="78">
        <v>9</v>
      </c>
      <c r="D98" s="79" t="s">
        <v>2669</v>
      </c>
      <c r="E98" s="79" t="s">
        <v>118</v>
      </c>
      <c r="F98" s="79" t="s">
        <v>55</v>
      </c>
      <c r="G98" s="79" t="s">
        <v>2282</v>
      </c>
      <c r="H98" s="80" t="s">
        <v>2667</v>
      </c>
      <c r="I98" s="80">
        <v>2209.53</v>
      </c>
      <c r="J98" s="25">
        <v>14141</v>
      </c>
      <c r="K98" s="25"/>
      <c r="L98" s="81"/>
    </row>
    <row r="99" s="1" customFormat="1" ht="14.25" spans="1:12">
      <c r="A99" s="77">
        <v>11</v>
      </c>
      <c r="B99" s="78">
        <v>30</v>
      </c>
      <c r="C99" s="78">
        <v>9</v>
      </c>
      <c r="D99" s="79" t="s">
        <v>2670</v>
      </c>
      <c r="E99" s="79" t="s">
        <v>118</v>
      </c>
      <c r="F99" s="79" t="s">
        <v>55</v>
      </c>
      <c r="G99" s="79" t="s">
        <v>2282</v>
      </c>
      <c r="H99" s="80" t="s">
        <v>2667</v>
      </c>
      <c r="I99" s="80">
        <v>12726.25</v>
      </c>
      <c r="J99" s="25">
        <v>81448</v>
      </c>
      <c r="K99" s="25"/>
      <c r="L99" s="81"/>
    </row>
    <row r="100" s="1" customFormat="1" ht="14.25" spans="1:12">
      <c r="A100" s="77">
        <v>11</v>
      </c>
      <c r="B100" s="78">
        <v>30</v>
      </c>
      <c r="C100" s="78">
        <v>9</v>
      </c>
      <c r="D100" s="79" t="s">
        <v>2671</v>
      </c>
      <c r="E100" s="79" t="s">
        <v>118</v>
      </c>
      <c r="F100" s="79" t="s">
        <v>2672</v>
      </c>
      <c r="G100" s="79" t="s">
        <v>2282</v>
      </c>
      <c r="H100" s="80" t="s">
        <v>2667</v>
      </c>
      <c r="I100" s="80">
        <v>7762.5</v>
      </c>
      <c r="J100" s="25">
        <v>49680</v>
      </c>
      <c r="K100" s="25"/>
      <c r="L100" s="81"/>
    </row>
    <row r="101" s="1" customFormat="1" ht="14.25" spans="1:12">
      <c r="A101" s="77">
        <v>11</v>
      </c>
      <c r="B101" s="78">
        <v>30</v>
      </c>
      <c r="C101" s="78">
        <v>10</v>
      </c>
      <c r="D101" s="79" t="s">
        <v>2673</v>
      </c>
      <c r="E101" s="79" t="s">
        <v>118</v>
      </c>
      <c r="F101" s="79" t="s">
        <v>55</v>
      </c>
      <c r="G101" s="79" t="s">
        <v>2282</v>
      </c>
      <c r="H101" s="80" t="s">
        <v>2674</v>
      </c>
      <c r="I101" s="80">
        <v>4635.47</v>
      </c>
      <c r="J101" s="25">
        <v>29667</v>
      </c>
      <c r="K101" s="25"/>
      <c r="L101" s="81"/>
    </row>
    <row r="102" s="1" customFormat="1" ht="14.25" spans="1:12">
      <c r="A102" s="77">
        <v>11</v>
      </c>
      <c r="B102" s="78">
        <v>30</v>
      </c>
      <c r="C102" s="78">
        <v>10</v>
      </c>
      <c r="D102" s="79" t="s">
        <v>2675</v>
      </c>
      <c r="E102" s="79" t="s">
        <v>118</v>
      </c>
      <c r="F102" s="79" t="s">
        <v>146</v>
      </c>
      <c r="G102" s="79" t="s">
        <v>2282</v>
      </c>
      <c r="H102" s="80" t="s">
        <v>2674</v>
      </c>
      <c r="I102" s="80">
        <v>565.63</v>
      </c>
      <c r="J102" s="25">
        <v>3620</v>
      </c>
      <c r="K102" s="25"/>
      <c r="L102" s="81"/>
    </row>
    <row r="103" s="1" customFormat="1" ht="14.25" spans="1:12">
      <c r="A103" s="77">
        <v>11</v>
      </c>
      <c r="B103" s="78">
        <v>30</v>
      </c>
      <c r="C103" s="78">
        <v>10</v>
      </c>
      <c r="D103" s="79" t="s">
        <v>2676</v>
      </c>
      <c r="E103" s="79" t="s">
        <v>179</v>
      </c>
      <c r="F103" s="79" t="s">
        <v>2677</v>
      </c>
      <c r="G103" s="79" t="s">
        <v>2282</v>
      </c>
      <c r="H103" s="80" t="s">
        <v>2674</v>
      </c>
      <c r="I103" s="80">
        <v>21093.75</v>
      </c>
      <c r="J103" s="25">
        <v>135000</v>
      </c>
      <c r="K103" s="25"/>
      <c r="L103" s="81"/>
    </row>
    <row r="104" s="1" customFormat="1" ht="14.25" spans="1:12">
      <c r="A104" s="77">
        <v>11</v>
      </c>
      <c r="B104" s="78">
        <v>30</v>
      </c>
      <c r="C104" s="78">
        <v>10</v>
      </c>
      <c r="D104" s="79" t="s">
        <v>2678</v>
      </c>
      <c r="E104" s="79" t="s">
        <v>118</v>
      </c>
      <c r="F104" s="79" t="s">
        <v>55</v>
      </c>
      <c r="G104" s="79" t="s">
        <v>2282</v>
      </c>
      <c r="H104" s="80" t="s">
        <v>2674</v>
      </c>
      <c r="I104" s="80">
        <v>96.88</v>
      </c>
      <c r="J104" s="25">
        <v>620</v>
      </c>
      <c r="K104" s="25"/>
      <c r="L104" s="81"/>
    </row>
    <row r="105" s="1" customFormat="1" ht="14.25" spans="1:12">
      <c r="A105" s="77">
        <v>11</v>
      </c>
      <c r="B105" s="78">
        <v>30</v>
      </c>
      <c r="C105" s="78">
        <v>10</v>
      </c>
      <c r="D105" s="79" t="s">
        <v>2679</v>
      </c>
      <c r="E105" s="79" t="s">
        <v>118</v>
      </c>
      <c r="F105" s="79" t="s">
        <v>55</v>
      </c>
      <c r="G105" s="79" t="s">
        <v>2282</v>
      </c>
      <c r="H105" s="80" t="s">
        <v>2674</v>
      </c>
      <c r="I105" s="80">
        <v>684.38</v>
      </c>
      <c r="J105" s="25">
        <v>4380</v>
      </c>
      <c r="K105" s="25"/>
      <c r="L105" s="81"/>
    </row>
    <row r="106" s="1" customFormat="1" ht="14.25" spans="1:12">
      <c r="A106" s="77">
        <v>11</v>
      </c>
      <c r="B106" s="78">
        <v>30</v>
      </c>
      <c r="C106" s="78">
        <v>10</v>
      </c>
      <c r="D106" s="79" t="s">
        <v>2680</v>
      </c>
      <c r="E106" s="79" t="s">
        <v>211</v>
      </c>
      <c r="F106" s="79" t="s">
        <v>2681</v>
      </c>
      <c r="G106" s="79" t="s">
        <v>2282</v>
      </c>
      <c r="H106" s="80" t="s">
        <v>2682</v>
      </c>
      <c r="I106" s="80">
        <v>1940.16</v>
      </c>
      <c r="J106" s="25">
        <v>12417</v>
      </c>
      <c r="K106" s="25"/>
      <c r="L106" s="81"/>
    </row>
    <row r="107" s="1" customFormat="1" ht="14.25" spans="1:12">
      <c r="A107" s="77">
        <v>11</v>
      </c>
      <c r="B107" s="78">
        <v>30</v>
      </c>
      <c r="C107" s="78">
        <v>10</v>
      </c>
      <c r="D107" s="79" t="s">
        <v>2683</v>
      </c>
      <c r="E107" s="79" t="s">
        <v>118</v>
      </c>
      <c r="F107" s="79" t="s">
        <v>146</v>
      </c>
      <c r="G107" s="79" t="s">
        <v>2282</v>
      </c>
      <c r="H107" s="80" t="s">
        <v>2682</v>
      </c>
      <c r="I107" s="80">
        <v>2738.28</v>
      </c>
      <c r="J107" s="25">
        <v>17525</v>
      </c>
      <c r="K107" s="25"/>
      <c r="L107" s="81"/>
    </row>
    <row r="108" s="1" customFormat="1" ht="14.25" spans="1:12">
      <c r="A108" s="77">
        <v>11</v>
      </c>
      <c r="B108" s="78">
        <v>30</v>
      </c>
      <c r="C108" s="78">
        <v>10</v>
      </c>
      <c r="D108" s="79" t="s">
        <v>2684</v>
      </c>
      <c r="E108" s="79" t="s">
        <v>179</v>
      </c>
      <c r="F108" s="79" t="s">
        <v>2684</v>
      </c>
      <c r="G108" s="79" t="s">
        <v>2282</v>
      </c>
      <c r="H108" s="80" t="s">
        <v>2682</v>
      </c>
      <c r="I108" s="80">
        <v>3593.75</v>
      </c>
      <c r="J108" s="25">
        <v>23000</v>
      </c>
      <c r="K108" s="25"/>
      <c r="L108" s="81"/>
    </row>
    <row r="109" s="1" customFormat="1" ht="14.25" spans="1:12">
      <c r="A109" s="77">
        <v>11</v>
      </c>
      <c r="B109" s="78">
        <v>30</v>
      </c>
      <c r="C109" s="78">
        <v>10</v>
      </c>
      <c r="D109" s="79" t="s">
        <v>2685</v>
      </c>
      <c r="E109" s="79" t="s">
        <v>118</v>
      </c>
      <c r="F109" s="79" t="s">
        <v>146</v>
      </c>
      <c r="G109" s="79" t="s">
        <v>2282</v>
      </c>
      <c r="H109" s="80" t="s">
        <v>2682</v>
      </c>
      <c r="I109" s="80">
        <v>7812.5</v>
      </c>
      <c r="J109" s="25">
        <v>50000</v>
      </c>
      <c r="K109" s="25"/>
      <c r="L109" s="81"/>
    </row>
    <row r="110" s="1" customFormat="1" ht="14.25" spans="1:12">
      <c r="A110" s="77">
        <v>11</v>
      </c>
      <c r="B110" s="78">
        <v>30</v>
      </c>
      <c r="C110" s="78">
        <v>10</v>
      </c>
      <c r="D110" s="79" t="s">
        <v>2686</v>
      </c>
      <c r="E110" s="79" t="s">
        <v>118</v>
      </c>
      <c r="F110" s="79" t="s">
        <v>146</v>
      </c>
      <c r="G110" s="79" t="s">
        <v>2282</v>
      </c>
      <c r="H110" s="80" t="s">
        <v>2682</v>
      </c>
      <c r="I110" s="80">
        <v>13.08</v>
      </c>
      <c r="J110" s="25">
        <v>83.7</v>
      </c>
      <c r="K110" s="25"/>
      <c r="L110" s="81"/>
    </row>
    <row r="111" s="1" customFormat="1" ht="14.25" spans="1:12">
      <c r="A111" s="77">
        <v>11</v>
      </c>
      <c r="B111" s="78">
        <v>30</v>
      </c>
      <c r="C111" s="78">
        <v>11</v>
      </c>
      <c r="D111" s="79" t="s">
        <v>2687</v>
      </c>
      <c r="E111" s="79" t="s">
        <v>118</v>
      </c>
      <c r="F111" s="79" t="s">
        <v>146</v>
      </c>
      <c r="G111" s="79" t="s">
        <v>2282</v>
      </c>
      <c r="H111" s="80" t="s">
        <v>2688</v>
      </c>
      <c r="I111" s="80">
        <v>366.41</v>
      </c>
      <c r="J111" s="25">
        <v>2345</v>
      </c>
      <c r="K111" s="25"/>
      <c r="L111" s="81"/>
    </row>
    <row r="112" s="1" customFormat="1" ht="14.25" spans="1:12">
      <c r="A112" s="77">
        <v>11</v>
      </c>
      <c r="B112" s="78">
        <v>30</v>
      </c>
      <c r="C112" s="78">
        <v>11</v>
      </c>
      <c r="D112" s="79" t="s">
        <v>2689</v>
      </c>
      <c r="E112" s="79" t="s">
        <v>211</v>
      </c>
      <c r="F112" s="79" t="s">
        <v>2690</v>
      </c>
      <c r="G112" s="79" t="s">
        <v>2282</v>
      </c>
      <c r="H112" s="80" t="s">
        <v>2688</v>
      </c>
      <c r="I112" s="80">
        <v>465.16</v>
      </c>
      <c r="J112" s="25">
        <v>2977</v>
      </c>
      <c r="K112" s="25"/>
      <c r="L112" s="81"/>
    </row>
    <row r="113" s="1" customFormat="1" ht="14.25" spans="1:12">
      <c r="A113" s="77">
        <v>11</v>
      </c>
      <c r="B113" s="78">
        <v>30</v>
      </c>
      <c r="C113" s="78">
        <v>11</v>
      </c>
      <c r="D113" s="79" t="s">
        <v>967</v>
      </c>
      <c r="E113" s="79" t="s">
        <v>85</v>
      </c>
      <c r="F113" s="79" t="s">
        <v>989</v>
      </c>
      <c r="G113" s="79" t="s">
        <v>2282</v>
      </c>
      <c r="H113" s="80" t="s">
        <v>2688</v>
      </c>
      <c r="I113" s="80">
        <v>179.69</v>
      </c>
      <c r="J113" s="25">
        <v>1150</v>
      </c>
      <c r="K113" s="25"/>
      <c r="L113" s="81"/>
    </row>
    <row r="114" s="1" customFormat="1" ht="14.25" spans="1:12">
      <c r="A114" s="77">
        <v>11</v>
      </c>
      <c r="B114" s="78">
        <v>30</v>
      </c>
      <c r="C114" s="78">
        <v>11</v>
      </c>
      <c r="D114" s="79" t="s">
        <v>2691</v>
      </c>
      <c r="E114" s="79" t="s">
        <v>85</v>
      </c>
      <c r="F114" s="79" t="s">
        <v>989</v>
      </c>
      <c r="G114" s="79" t="s">
        <v>2282</v>
      </c>
      <c r="H114" s="80" t="s">
        <v>2688</v>
      </c>
      <c r="I114" s="80">
        <v>46.88</v>
      </c>
      <c r="J114" s="25">
        <v>300</v>
      </c>
      <c r="K114" s="25"/>
      <c r="L114" s="81"/>
    </row>
    <row r="115" s="1" customFormat="1" ht="14.25" spans="1:12">
      <c r="A115" s="77">
        <v>11</v>
      </c>
      <c r="B115" s="78">
        <v>30</v>
      </c>
      <c r="C115" s="78">
        <v>11</v>
      </c>
      <c r="D115" s="79" t="s">
        <v>2692</v>
      </c>
      <c r="E115" s="79" t="s">
        <v>85</v>
      </c>
      <c r="F115" s="79" t="s">
        <v>989</v>
      </c>
      <c r="G115" s="79" t="s">
        <v>2282</v>
      </c>
      <c r="H115" s="80" t="s">
        <v>2688</v>
      </c>
      <c r="I115" s="80">
        <v>414.06</v>
      </c>
      <c r="J115" s="25">
        <v>2650</v>
      </c>
      <c r="K115" s="25"/>
      <c r="L115" s="81"/>
    </row>
    <row r="116" s="1" customFormat="1" ht="14.25" spans="1:12">
      <c r="A116" s="77">
        <v>11</v>
      </c>
      <c r="B116" s="78">
        <v>30</v>
      </c>
      <c r="C116" s="78">
        <v>11</v>
      </c>
      <c r="D116" s="79" t="s">
        <v>2693</v>
      </c>
      <c r="E116" s="79" t="s">
        <v>118</v>
      </c>
      <c r="F116" s="79" t="s">
        <v>55</v>
      </c>
      <c r="G116" s="79" t="s">
        <v>2282</v>
      </c>
      <c r="H116" s="80" t="s">
        <v>2694</v>
      </c>
      <c r="I116" s="80">
        <v>234.38</v>
      </c>
      <c r="J116" s="25">
        <v>1500</v>
      </c>
      <c r="K116" s="25"/>
      <c r="L116" s="81"/>
    </row>
    <row r="117" s="1" customFormat="1" ht="14.25" spans="1:12">
      <c r="A117" s="77">
        <v>11</v>
      </c>
      <c r="B117" s="78">
        <v>30</v>
      </c>
      <c r="C117" s="78">
        <v>11</v>
      </c>
      <c r="D117" s="79" t="s">
        <v>2695</v>
      </c>
      <c r="E117" s="79" t="s">
        <v>118</v>
      </c>
      <c r="F117" s="79" t="s">
        <v>2640</v>
      </c>
      <c r="G117" s="79" t="s">
        <v>2282</v>
      </c>
      <c r="H117" s="80" t="s">
        <v>2694</v>
      </c>
      <c r="I117" s="80">
        <v>18215.63</v>
      </c>
      <c r="J117" s="25">
        <v>116580</v>
      </c>
      <c r="K117" s="25"/>
      <c r="L117" s="81"/>
    </row>
    <row r="118" s="1" customFormat="1" ht="14.25" spans="1:12">
      <c r="A118" s="77">
        <v>11</v>
      </c>
      <c r="B118" s="78">
        <v>30</v>
      </c>
      <c r="C118" s="78">
        <v>11</v>
      </c>
      <c r="D118" s="79" t="s">
        <v>2696</v>
      </c>
      <c r="E118" s="79" t="s">
        <v>118</v>
      </c>
      <c r="F118" s="79" t="s">
        <v>55</v>
      </c>
      <c r="G118" s="79" t="s">
        <v>2282</v>
      </c>
      <c r="H118" s="80" t="s">
        <v>2694</v>
      </c>
      <c r="I118" s="80">
        <v>10434.38</v>
      </c>
      <c r="J118" s="25">
        <v>66780</v>
      </c>
      <c r="K118" s="25"/>
      <c r="L118" s="81"/>
    </row>
    <row r="119" s="1" customFormat="1" ht="14.25" spans="1:12">
      <c r="A119" s="77">
        <v>11</v>
      </c>
      <c r="B119" s="78">
        <v>30</v>
      </c>
      <c r="C119" s="78">
        <v>11</v>
      </c>
      <c r="D119" s="79" t="s">
        <v>2697</v>
      </c>
      <c r="E119" s="79" t="s">
        <v>118</v>
      </c>
      <c r="F119" s="79" t="s">
        <v>55</v>
      </c>
      <c r="G119" s="79" t="s">
        <v>2282</v>
      </c>
      <c r="H119" s="80" t="s">
        <v>2694</v>
      </c>
      <c r="I119" s="80">
        <v>8729.69</v>
      </c>
      <c r="J119" s="25">
        <v>55870</v>
      </c>
      <c r="K119" s="25"/>
      <c r="L119" s="81"/>
    </row>
    <row r="120" s="1" customFormat="1" ht="14.25" spans="1:12">
      <c r="A120" s="77">
        <v>11</v>
      </c>
      <c r="B120" s="78">
        <v>30</v>
      </c>
      <c r="C120" s="78">
        <v>11</v>
      </c>
      <c r="D120" s="79" t="s">
        <v>2698</v>
      </c>
      <c r="E120" s="79" t="s">
        <v>118</v>
      </c>
      <c r="F120" s="79" t="s">
        <v>1935</v>
      </c>
      <c r="G120" s="79" t="s">
        <v>2282</v>
      </c>
      <c r="H120" s="80" t="s">
        <v>2694</v>
      </c>
      <c r="I120" s="80">
        <v>64750</v>
      </c>
      <c r="J120" s="25">
        <v>414400</v>
      </c>
      <c r="K120" s="25"/>
      <c r="L120" s="81"/>
    </row>
    <row r="121" s="1" customFormat="1" ht="14.25" spans="1:12">
      <c r="A121" s="77">
        <v>11</v>
      </c>
      <c r="B121" s="78">
        <v>30</v>
      </c>
      <c r="C121" s="78">
        <v>12</v>
      </c>
      <c r="D121" s="79" t="s">
        <v>2699</v>
      </c>
      <c r="E121" s="79" t="s">
        <v>118</v>
      </c>
      <c r="F121" s="79" t="s">
        <v>55</v>
      </c>
      <c r="G121" s="79" t="s">
        <v>2282</v>
      </c>
      <c r="H121" s="80" t="s">
        <v>2700</v>
      </c>
      <c r="I121" s="80">
        <v>2303.13</v>
      </c>
      <c r="J121" s="25">
        <v>14740</v>
      </c>
      <c r="K121" s="25"/>
      <c r="L121" s="81"/>
    </row>
    <row r="122" s="1" customFormat="1" ht="14.25" spans="1:12">
      <c r="A122" s="77">
        <v>11</v>
      </c>
      <c r="B122" s="78">
        <v>30</v>
      </c>
      <c r="C122" s="78">
        <v>12</v>
      </c>
      <c r="D122" s="79" t="s">
        <v>2701</v>
      </c>
      <c r="E122" s="79" t="s">
        <v>118</v>
      </c>
      <c r="F122" s="79" t="s">
        <v>55</v>
      </c>
      <c r="G122" s="79" t="s">
        <v>2282</v>
      </c>
      <c r="H122" s="80" t="s">
        <v>2700</v>
      </c>
      <c r="I122" s="80">
        <v>184.38</v>
      </c>
      <c r="J122" s="25">
        <v>1180</v>
      </c>
      <c r="K122" s="25"/>
      <c r="L122" s="81"/>
    </row>
    <row r="123" s="1" customFormat="1" ht="14.25" spans="1:12">
      <c r="A123" s="77">
        <v>11</v>
      </c>
      <c r="B123" s="78">
        <v>30</v>
      </c>
      <c r="C123" s="78">
        <v>12</v>
      </c>
      <c r="D123" s="79" t="s">
        <v>2702</v>
      </c>
      <c r="E123" s="79" t="s">
        <v>118</v>
      </c>
      <c r="F123" s="79" t="s">
        <v>2702</v>
      </c>
      <c r="G123" s="79" t="s">
        <v>2282</v>
      </c>
      <c r="H123" s="80" t="s">
        <v>2700</v>
      </c>
      <c r="I123" s="80">
        <v>10937.5</v>
      </c>
      <c r="J123" s="25">
        <v>70000</v>
      </c>
      <c r="K123" s="25"/>
      <c r="L123" s="81"/>
    </row>
    <row r="124" s="1" customFormat="1" ht="14.25" spans="1:12">
      <c r="A124" s="77">
        <v>11</v>
      </c>
      <c r="B124" s="78">
        <v>30</v>
      </c>
      <c r="C124" s="78">
        <v>12</v>
      </c>
      <c r="D124" s="79" t="s">
        <v>2703</v>
      </c>
      <c r="E124" s="79" t="s">
        <v>118</v>
      </c>
      <c r="F124" s="80" t="s">
        <v>55</v>
      </c>
      <c r="G124" s="79" t="s">
        <v>2282</v>
      </c>
      <c r="H124" s="80" t="s">
        <v>2700</v>
      </c>
      <c r="I124" s="80">
        <v>359.69</v>
      </c>
      <c r="J124" s="25">
        <v>2302</v>
      </c>
      <c r="K124" s="25"/>
      <c r="L124" s="81"/>
    </row>
    <row r="125" s="1" customFormat="1" ht="14.25" spans="1:12">
      <c r="A125" s="77">
        <v>11</v>
      </c>
      <c r="B125" s="78">
        <v>30</v>
      </c>
      <c r="C125" s="78">
        <v>12</v>
      </c>
      <c r="D125" s="79" t="s">
        <v>2704</v>
      </c>
      <c r="E125" s="79" t="s">
        <v>118</v>
      </c>
      <c r="F125" s="79" t="s">
        <v>55</v>
      </c>
      <c r="G125" s="79" t="s">
        <v>2282</v>
      </c>
      <c r="H125" s="80" t="s">
        <v>2700</v>
      </c>
      <c r="I125" s="80">
        <v>44.28</v>
      </c>
      <c r="J125" s="25">
        <v>283.4</v>
      </c>
      <c r="K125" s="25"/>
      <c r="L125" s="81"/>
    </row>
    <row r="126" s="1" customFormat="1" ht="14.25" spans="1:12">
      <c r="A126" s="77">
        <v>11</v>
      </c>
      <c r="B126" s="78">
        <v>30</v>
      </c>
      <c r="C126" s="78">
        <v>12</v>
      </c>
      <c r="D126" s="79" t="s">
        <v>2705</v>
      </c>
      <c r="E126" s="79" t="s">
        <v>118</v>
      </c>
      <c r="F126" s="79" t="s">
        <v>55</v>
      </c>
      <c r="G126" s="79" t="s">
        <v>2282</v>
      </c>
      <c r="H126" s="80" t="s">
        <v>2706</v>
      </c>
      <c r="I126" s="80">
        <v>257.03</v>
      </c>
      <c r="J126" s="25">
        <v>1645</v>
      </c>
      <c r="K126" s="25"/>
      <c r="L126" s="81"/>
    </row>
    <row r="127" s="1" customFormat="1" ht="14.25" spans="1:12">
      <c r="A127" s="77">
        <v>11</v>
      </c>
      <c r="B127" s="78">
        <v>30</v>
      </c>
      <c r="C127" s="78">
        <v>12</v>
      </c>
      <c r="D127" s="79" t="s">
        <v>2707</v>
      </c>
      <c r="E127" s="79" t="s">
        <v>211</v>
      </c>
      <c r="F127" s="79" t="s">
        <v>2707</v>
      </c>
      <c r="G127" s="79" t="s">
        <v>2282</v>
      </c>
      <c r="H127" s="80" t="s">
        <v>2706</v>
      </c>
      <c r="I127" s="80">
        <v>460.78</v>
      </c>
      <c r="J127" s="25">
        <v>2949</v>
      </c>
      <c r="K127" s="25"/>
      <c r="L127" s="81"/>
    </row>
    <row r="128" s="1" customFormat="1" ht="14.25" spans="1:12">
      <c r="A128" s="77">
        <v>11</v>
      </c>
      <c r="B128" s="78">
        <v>30</v>
      </c>
      <c r="C128" s="78">
        <v>12</v>
      </c>
      <c r="D128" s="79" t="s">
        <v>2708</v>
      </c>
      <c r="E128" s="79" t="s">
        <v>211</v>
      </c>
      <c r="F128" s="79" t="s">
        <v>2708</v>
      </c>
      <c r="G128" s="79" t="s">
        <v>2282</v>
      </c>
      <c r="H128" s="80" t="s">
        <v>2706</v>
      </c>
      <c r="I128" s="80">
        <v>187.5</v>
      </c>
      <c r="J128" s="25">
        <v>1200</v>
      </c>
      <c r="K128" s="25"/>
      <c r="L128" s="81"/>
    </row>
    <row r="129" s="1" customFormat="1" ht="14.25" spans="1:12">
      <c r="A129" s="77">
        <v>11</v>
      </c>
      <c r="B129" s="78">
        <v>30</v>
      </c>
      <c r="C129" s="78">
        <v>12</v>
      </c>
      <c r="D129" s="79" t="s">
        <v>2709</v>
      </c>
      <c r="E129" s="79" t="s">
        <v>211</v>
      </c>
      <c r="F129" s="79" t="s">
        <v>2710</v>
      </c>
      <c r="G129" s="79" t="s">
        <v>2282</v>
      </c>
      <c r="H129" s="80" t="s">
        <v>2706</v>
      </c>
      <c r="I129" s="80">
        <v>806.25</v>
      </c>
      <c r="J129" s="25">
        <v>5160</v>
      </c>
      <c r="K129" s="25"/>
      <c r="L129" s="81"/>
    </row>
    <row r="130" s="1" customFormat="1" ht="14.25" spans="1:12">
      <c r="A130" s="77">
        <v>11</v>
      </c>
      <c r="B130" s="78">
        <v>30</v>
      </c>
      <c r="C130" s="78">
        <v>12</v>
      </c>
      <c r="D130" s="79" t="s">
        <v>2711</v>
      </c>
      <c r="E130" s="79" t="s">
        <v>211</v>
      </c>
      <c r="F130" s="79" t="s">
        <v>2712</v>
      </c>
      <c r="G130" s="79" t="s">
        <v>2282</v>
      </c>
      <c r="H130" s="80" t="s">
        <v>2706</v>
      </c>
      <c r="I130" s="80">
        <v>359.22</v>
      </c>
      <c r="J130" s="25">
        <v>2299</v>
      </c>
      <c r="K130" s="25"/>
      <c r="L130" s="81"/>
    </row>
    <row r="131" s="1" customFormat="1" ht="14.25" spans="1:12">
      <c r="A131" s="77">
        <v>11</v>
      </c>
      <c r="B131" s="78">
        <v>30</v>
      </c>
      <c r="C131" s="78">
        <v>13</v>
      </c>
      <c r="D131" s="79" t="s">
        <v>2713</v>
      </c>
      <c r="E131" s="79" t="s">
        <v>118</v>
      </c>
      <c r="F131" s="79" t="s">
        <v>2713</v>
      </c>
      <c r="G131" s="79" t="s">
        <v>2282</v>
      </c>
      <c r="H131" s="80" t="s">
        <v>2706</v>
      </c>
      <c r="I131" s="80">
        <v>7890.63</v>
      </c>
      <c r="J131" s="25">
        <v>50500</v>
      </c>
      <c r="K131" s="25"/>
      <c r="L131" s="81"/>
    </row>
    <row r="132" s="1" customFormat="1" ht="14.25" spans="1:12">
      <c r="A132" s="77">
        <v>11</v>
      </c>
      <c r="B132" s="78">
        <v>30</v>
      </c>
      <c r="C132" s="78">
        <v>13</v>
      </c>
      <c r="D132" s="79" t="s">
        <v>2714</v>
      </c>
      <c r="E132" s="79" t="s">
        <v>48</v>
      </c>
      <c r="F132" s="79" t="s">
        <v>55</v>
      </c>
      <c r="G132" s="79" t="s">
        <v>2282</v>
      </c>
      <c r="H132" s="80" t="s">
        <v>2715</v>
      </c>
      <c r="I132" s="80">
        <v>139.06</v>
      </c>
      <c r="J132" s="25">
        <v>890</v>
      </c>
      <c r="K132" s="25"/>
      <c r="L132" s="81"/>
    </row>
    <row r="133" s="1" customFormat="1" ht="14.25" spans="1:12">
      <c r="A133" s="77">
        <v>11</v>
      </c>
      <c r="B133" s="78">
        <v>30</v>
      </c>
      <c r="C133" s="78">
        <v>13</v>
      </c>
      <c r="D133" s="79" t="s">
        <v>2716</v>
      </c>
      <c r="E133" s="79" t="s">
        <v>118</v>
      </c>
      <c r="F133" s="79" t="s">
        <v>55</v>
      </c>
      <c r="G133" s="79" t="s">
        <v>2282</v>
      </c>
      <c r="H133" s="80" t="s">
        <v>2715</v>
      </c>
      <c r="I133" s="80">
        <v>6942.19</v>
      </c>
      <c r="J133" s="25">
        <v>44430</v>
      </c>
      <c r="K133" s="25"/>
      <c r="L133" s="81"/>
    </row>
    <row r="134" s="1" customFormat="1" ht="14.25" spans="1:12">
      <c r="A134" s="77">
        <v>11</v>
      </c>
      <c r="B134" s="78">
        <v>30</v>
      </c>
      <c r="C134" s="78">
        <v>13</v>
      </c>
      <c r="D134" s="79" t="s">
        <v>2717</v>
      </c>
      <c r="E134" s="79" t="s">
        <v>118</v>
      </c>
      <c r="F134" s="80" t="s">
        <v>489</v>
      </c>
      <c r="G134" s="79" t="s">
        <v>2282</v>
      </c>
      <c r="H134" s="80" t="s">
        <v>2715</v>
      </c>
      <c r="I134" s="80">
        <v>40187.5</v>
      </c>
      <c r="J134" s="25">
        <v>257200</v>
      </c>
      <c r="K134" s="25"/>
      <c r="L134" s="81"/>
    </row>
    <row r="135" s="1" customFormat="1" ht="14.25" spans="1:12">
      <c r="A135" s="77">
        <v>11</v>
      </c>
      <c r="B135" s="78">
        <v>30</v>
      </c>
      <c r="C135" s="78">
        <v>13</v>
      </c>
      <c r="D135" s="79" t="s">
        <v>2718</v>
      </c>
      <c r="E135" s="79" t="s">
        <v>211</v>
      </c>
      <c r="F135" s="79" t="s">
        <v>2718</v>
      </c>
      <c r="G135" s="79" t="s">
        <v>2282</v>
      </c>
      <c r="H135" s="80" t="s">
        <v>2715</v>
      </c>
      <c r="I135" s="80">
        <v>98.28</v>
      </c>
      <c r="J135" s="25">
        <v>629</v>
      </c>
      <c r="K135" s="25"/>
      <c r="L135" s="81"/>
    </row>
    <row r="136" s="1" customFormat="1" ht="14.25" spans="1:12">
      <c r="A136" s="77">
        <v>11</v>
      </c>
      <c r="B136" s="78">
        <v>30</v>
      </c>
      <c r="C136" s="78">
        <v>13</v>
      </c>
      <c r="D136" s="79" t="s">
        <v>2719</v>
      </c>
      <c r="E136" s="79" t="s">
        <v>118</v>
      </c>
      <c r="F136" s="79" t="s">
        <v>154</v>
      </c>
      <c r="G136" s="79" t="s">
        <v>2282</v>
      </c>
      <c r="H136" s="80" t="s">
        <v>2720</v>
      </c>
      <c r="I136" s="80">
        <v>2226.56</v>
      </c>
      <c r="J136" s="25">
        <v>14250</v>
      </c>
      <c r="K136" s="25"/>
      <c r="L136" s="81"/>
    </row>
    <row r="137" s="1" customFormat="1" ht="14.25" spans="1:12">
      <c r="A137" s="77">
        <v>11</v>
      </c>
      <c r="B137" s="78">
        <v>30</v>
      </c>
      <c r="C137" s="78">
        <v>13</v>
      </c>
      <c r="D137" s="79" t="s">
        <v>504</v>
      </c>
      <c r="E137" s="79" t="s">
        <v>118</v>
      </c>
      <c r="F137" s="79" t="s">
        <v>55</v>
      </c>
      <c r="G137" s="79" t="s">
        <v>2282</v>
      </c>
      <c r="H137" s="80" t="s">
        <v>2720</v>
      </c>
      <c r="I137" s="80">
        <v>3020.31</v>
      </c>
      <c r="J137" s="25">
        <v>19330</v>
      </c>
      <c r="K137" s="25"/>
      <c r="L137" s="81"/>
    </row>
    <row r="138" s="1" customFormat="1" ht="14.25" spans="1:12">
      <c r="A138" s="77">
        <v>11</v>
      </c>
      <c r="B138" s="78">
        <v>30</v>
      </c>
      <c r="C138" s="78">
        <v>13</v>
      </c>
      <c r="D138" s="79" t="s">
        <v>2721</v>
      </c>
      <c r="E138" s="79" t="s">
        <v>96</v>
      </c>
      <c r="F138" s="79" t="s">
        <v>97</v>
      </c>
      <c r="G138" s="79" t="s">
        <v>2282</v>
      </c>
      <c r="H138" s="80" t="s">
        <v>2720</v>
      </c>
      <c r="I138" s="80">
        <v>145.31</v>
      </c>
      <c r="J138" s="25">
        <v>930</v>
      </c>
      <c r="K138" s="25"/>
      <c r="L138" s="81"/>
    </row>
    <row r="139" s="1" customFormat="1" ht="14.25" spans="1:12">
      <c r="A139" s="77">
        <v>11</v>
      </c>
      <c r="B139" s="78">
        <v>30</v>
      </c>
      <c r="C139" s="78">
        <v>13</v>
      </c>
      <c r="D139" s="79" t="s">
        <v>2722</v>
      </c>
      <c r="E139" s="79" t="s">
        <v>96</v>
      </c>
      <c r="F139" s="79" t="s">
        <v>97</v>
      </c>
      <c r="G139" s="79" t="s">
        <v>2282</v>
      </c>
      <c r="H139" s="80" t="s">
        <v>2720</v>
      </c>
      <c r="I139" s="80">
        <v>968.13</v>
      </c>
      <c r="J139" s="25">
        <v>6196</v>
      </c>
      <c r="K139" s="25"/>
      <c r="L139" s="81"/>
    </row>
    <row r="140" s="1" customFormat="1" ht="14.25" spans="1:12">
      <c r="A140" s="77">
        <v>11</v>
      </c>
      <c r="B140" s="78">
        <v>30</v>
      </c>
      <c r="C140" s="78">
        <v>13</v>
      </c>
      <c r="D140" s="79" t="s">
        <v>2723</v>
      </c>
      <c r="E140" s="79" t="s">
        <v>118</v>
      </c>
      <c r="F140" s="79" t="s">
        <v>446</v>
      </c>
      <c r="G140" s="79" t="s">
        <v>2282</v>
      </c>
      <c r="H140" s="80" t="s">
        <v>2720</v>
      </c>
      <c r="I140" s="80">
        <v>15698.44</v>
      </c>
      <c r="J140" s="25">
        <v>100470</v>
      </c>
      <c r="K140" s="25"/>
      <c r="L140" s="81"/>
    </row>
    <row r="141" s="1" customFormat="1" ht="14.25" spans="1:12">
      <c r="A141" s="77">
        <v>11</v>
      </c>
      <c r="B141" s="78">
        <v>30</v>
      </c>
      <c r="C141" s="78">
        <v>14</v>
      </c>
      <c r="D141" s="79" t="s">
        <v>2724</v>
      </c>
      <c r="E141" s="79" t="s">
        <v>118</v>
      </c>
      <c r="F141" s="79" t="s">
        <v>446</v>
      </c>
      <c r="G141" s="79" t="s">
        <v>2282</v>
      </c>
      <c r="H141" s="80" t="s">
        <v>2725</v>
      </c>
      <c r="I141" s="80">
        <v>4062.5</v>
      </c>
      <c r="J141" s="25">
        <v>26000</v>
      </c>
      <c r="K141" s="25"/>
      <c r="L141" s="81"/>
    </row>
    <row r="142" s="1" customFormat="1" ht="14.25" spans="1:12">
      <c r="A142" s="77">
        <v>11</v>
      </c>
      <c r="B142" s="78">
        <v>30</v>
      </c>
      <c r="C142" s="78">
        <v>14</v>
      </c>
      <c r="D142" s="79" t="s">
        <v>2726</v>
      </c>
      <c r="E142" s="79" t="s">
        <v>291</v>
      </c>
      <c r="F142" s="79" t="s">
        <v>379</v>
      </c>
      <c r="G142" s="79" t="s">
        <v>2282</v>
      </c>
      <c r="H142" s="80" t="s">
        <v>2725</v>
      </c>
      <c r="I142" s="80">
        <v>187.5</v>
      </c>
      <c r="J142" s="25">
        <v>1200</v>
      </c>
      <c r="K142" s="25"/>
      <c r="L142" s="81"/>
    </row>
    <row r="143" s="1" customFormat="1" ht="14.25" spans="1:12">
      <c r="A143" s="77">
        <v>11</v>
      </c>
      <c r="B143" s="78">
        <v>30</v>
      </c>
      <c r="C143" s="78">
        <v>14</v>
      </c>
      <c r="D143" s="79" t="s">
        <v>2727</v>
      </c>
      <c r="E143" s="79" t="s">
        <v>118</v>
      </c>
      <c r="F143" s="79" t="s">
        <v>55</v>
      </c>
      <c r="G143" s="79" t="s">
        <v>2282</v>
      </c>
      <c r="H143" s="80" t="s">
        <v>2725</v>
      </c>
      <c r="I143" s="80">
        <v>294.38</v>
      </c>
      <c r="J143" s="25">
        <v>1884</v>
      </c>
      <c r="K143" s="25"/>
      <c r="L143" s="81"/>
    </row>
    <row r="144" s="1" customFormat="1" ht="14.25" spans="1:12">
      <c r="A144" s="77">
        <v>11</v>
      </c>
      <c r="B144" s="78">
        <v>30</v>
      </c>
      <c r="C144" s="78">
        <v>14</v>
      </c>
      <c r="D144" s="79" t="s">
        <v>2728</v>
      </c>
      <c r="E144" s="79" t="s">
        <v>48</v>
      </c>
      <c r="F144" s="79" t="s">
        <v>209</v>
      </c>
      <c r="G144" s="79" t="s">
        <v>2282</v>
      </c>
      <c r="H144" s="80" t="s">
        <v>2725</v>
      </c>
      <c r="I144" s="80">
        <v>121.88</v>
      </c>
      <c r="J144" s="25">
        <v>780</v>
      </c>
      <c r="K144" s="25"/>
      <c r="L144" s="81"/>
    </row>
    <row r="145" s="1" customFormat="1" ht="14.25" spans="1:12">
      <c r="A145" s="77">
        <v>11</v>
      </c>
      <c r="B145" s="78">
        <v>30</v>
      </c>
      <c r="C145" s="78">
        <v>14</v>
      </c>
      <c r="D145" s="79" t="s">
        <v>2729</v>
      </c>
      <c r="E145" s="79" t="s">
        <v>118</v>
      </c>
      <c r="F145" s="79" t="s">
        <v>489</v>
      </c>
      <c r="G145" s="79" t="s">
        <v>2282</v>
      </c>
      <c r="H145" s="80" t="s">
        <v>2725</v>
      </c>
      <c r="I145" s="80">
        <v>4906.25</v>
      </c>
      <c r="J145" s="25">
        <v>31400</v>
      </c>
      <c r="K145" s="25"/>
      <c r="L145" s="81"/>
    </row>
    <row r="146" s="1" customFormat="1" ht="14.25" spans="1:12">
      <c r="A146" s="77">
        <v>11</v>
      </c>
      <c r="B146" s="78">
        <v>30</v>
      </c>
      <c r="C146" s="78">
        <v>14</v>
      </c>
      <c r="D146" s="79" t="s">
        <v>2730</v>
      </c>
      <c r="E146" s="79" t="s">
        <v>118</v>
      </c>
      <c r="F146" s="79" t="s">
        <v>154</v>
      </c>
      <c r="G146" s="79" t="s">
        <v>2282</v>
      </c>
      <c r="H146" s="80" t="s">
        <v>2731</v>
      </c>
      <c r="I146" s="80">
        <v>3000</v>
      </c>
      <c r="J146" s="25">
        <v>19200</v>
      </c>
      <c r="K146" s="25"/>
      <c r="L146" s="81"/>
    </row>
    <row r="147" s="1" customFormat="1" ht="14.25" spans="1:12">
      <c r="A147" s="77">
        <v>11</v>
      </c>
      <c r="B147" s="78">
        <v>30</v>
      </c>
      <c r="C147" s="78">
        <v>14</v>
      </c>
      <c r="D147" s="79" t="s">
        <v>2732</v>
      </c>
      <c r="E147" s="79" t="s">
        <v>118</v>
      </c>
      <c r="F147" s="79" t="s">
        <v>55</v>
      </c>
      <c r="G147" s="79" t="s">
        <v>2282</v>
      </c>
      <c r="H147" s="80" t="s">
        <v>2731</v>
      </c>
      <c r="I147" s="80">
        <v>1609.38</v>
      </c>
      <c r="J147" s="25">
        <v>10300</v>
      </c>
      <c r="K147" s="25"/>
      <c r="L147" s="81"/>
    </row>
    <row r="148" s="1" customFormat="1" ht="14.25" spans="1:12">
      <c r="A148" s="77">
        <v>11</v>
      </c>
      <c r="B148" s="78">
        <v>30</v>
      </c>
      <c r="C148" s="78">
        <v>14</v>
      </c>
      <c r="D148" s="79" t="s">
        <v>2733</v>
      </c>
      <c r="E148" s="79" t="s">
        <v>118</v>
      </c>
      <c r="F148" s="79" t="s">
        <v>286</v>
      </c>
      <c r="G148" s="79" t="s">
        <v>2282</v>
      </c>
      <c r="H148" s="80" t="s">
        <v>2731</v>
      </c>
      <c r="I148" s="80">
        <v>1579.69</v>
      </c>
      <c r="J148" s="25">
        <v>10110</v>
      </c>
      <c r="K148" s="25"/>
      <c r="L148" s="81"/>
    </row>
    <row r="149" s="1" customFormat="1" ht="14.25" spans="1:12">
      <c r="A149" s="77">
        <v>11</v>
      </c>
      <c r="B149" s="78">
        <v>30</v>
      </c>
      <c r="C149" s="78">
        <v>14</v>
      </c>
      <c r="D149" s="79" t="s">
        <v>2734</v>
      </c>
      <c r="E149" s="79" t="s">
        <v>118</v>
      </c>
      <c r="F149" s="79" t="s">
        <v>446</v>
      </c>
      <c r="G149" s="79" t="s">
        <v>2282</v>
      </c>
      <c r="H149" s="80" t="s">
        <v>2731</v>
      </c>
      <c r="I149" s="80">
        <v>3568.75</v>
      </c>
      <c r="J149" s="25">
        <v>22840</v>
      </c>
      <c r="K149" s="25"/>
      <c r="L149" s="81"/>
    </row>
    <row r="150" s="1" customFormat="1" ht="14.25" spans="1:12">
      <c r="A150" s="77">
        <v>11</v>
      </c>
      <c r="B150" s="78">
        <v>30</v>
      </c>
      <c r="C150" s="78">
        <v>14</v>
      </c>
      <c r="D150" s="79" t="s">
        <v>2735</v>
      </c>
      <c r="E150" s="79" t="s">
        <v>211</v>
      </c>
      <c r="F150" s="79" t="s">
        <v>2736</v>
      </c>
      <c r="G150" s="79" t="s">
        <v>2282</v>
      </c>
      <c r="H150" s="80" t="s">
        <v>2731</v>
      </c>
      <c r="I150" s="80">
        <v>2418.75</v>
      </c>
      <c r="J150" s="25">
        <v>15480</v>
      </c>
      <c r="K150" s="25"/>
      <c r="L150" s="81"/>
    </row>
    <row r="151" s="1" customFormat="1" ht="14.25" spans="1:12">
      <c r="A151" s="77">
        <v>11</v>
      </c>
      <c r="B151" s="78">
        <v>30</v>
      </c>
      <c r="C151" s="78">
        <v>15</v>
      </c>
      <c r="D151" s="79" t="s">
        <v>970</v>
      </c>
      <c r="E151" s="79" t="s">
        <v>118</v>
      </c>
      <c r="F151" s="79" t="s">
        <v>970</v>
      </c>
      <c r="G151" s="79" t="s">
        <v>2282</v>
      </c>
      <c r="H151" s="80" t="s">
        <v>2731</v>
      </c>
      <c r="I151" s="80">
        <v>1787.03</v>
      </c>
      <c r="J151" s="25">
        <v>11437</v>
      </c>
      <c r="K151" s="25"/>
      <c r="L151" s="81"/>
    </row>
    <row r="152" s="1" customFormat="1" ht="14.25" spans="1:12">
      <c r="A152" s="77">
        <v>11</v>
      </c>
      <c r="B152" s="78">
        <v>30</v>
      </c>
      <c r="C152" s="78">
        <v>15</v>
      </c>
      <c r="D152" s="79" t="s">
        <v>2737</v>
      </c>
      <c r="E152" s="79" t="s">
        <v>96</v>
      </c>
      <c r="F152" s="79" t="s">
        <v>97</v>
      </c>
      <c r="G152" s="79" t="s">
        <v>2282</v>
      </c>
      <c r="H152" s="80" t="s">
        <v>2738</v>
      </c>
      <c r="I152" s="80">
        <v>1393.75</v>
      </c>
      <c r="J152" s="25">
        <v>8920</v>
      </c>
      <c r="K152" s="25"/>
      <c r="L152" s="81"/>
    </row>
    <row r="153" s="1" customFormat="1" ht="14.25" spans="1:12">
      <c r="A153" s="77">
        <v>11</v>
      </c>
      <c r="B153" s="78">
        <v>30</v>
      </c>
      <c r="C153" s="78">
        <v>15</v>
      </c>
      <c r="D153" s="79" t="s">
        <v>2739</v>
      </c>
      <c r="E153" s="79" t="s">
        <v>85</v>
      </c>
      <c r="F153" s="79" t="s">
        <v>989</v>
      </c>
      <c r="G153" s="79" t="s">
        <v>2282</v>
      </c>
      <c r="H153" s="80" t="s">
        <v>2738</v>
      </c>
      <c r="I153" s="80">
        <v>562.5</v>
      </c>
      <c r="J153" s="25">
        <v>3600</v>
      </c>
      <c r="K153" s="25"/>
      <c r="L153" s="81"/>
    </row>
    <row r="154" s="1" customFormat="1" ht="14.25" spans="1:12">
      <c r="A154" s="77">
        <v>11</v>
      </c>
      <c r="B154" s="78">
        <v>30</v>
      </c>
      <c r="C154" s="78">
        <v>15</v>
      </c>
      <c r="D154" s="79" t="s">
        <v>2740</v>
      </c>
      <c r="E154" s="79" t="s">
        <v>118</v>
      </c>
      <c r="F154" s="79" t="s">
        <v>146</v>
      </c>
      <c r="G154" s="79" t="s">
        <v>2282</v>
      </c>
      <c r="H154" s="80" t="s">
        <v>2741</v>
      </c>
      <c r="I154" s="80">
        <v>222.97</v>
      </c>
      <c r="J154" s="25">
        <v>1427</v>
      </c>
      <c r="K154" s="25"/>
      <c r="L154" s="81"/>
    </row>
    <row r="155" s="1" customFormat="1" ht="14.25" spans="1:12">
      <c r="A155" s="77">
        <v>11</v>
      </c>
      <c r="B155" s="78">
        <v>30</v>
      </c>
      <c r="C155" s="78">
        <v>15</v>
      </c>
      <c r="D155" s="79" t="s">
        <v>2742</v>
      </c>
      <c r="E155" s="79" t="s">
        <v>118</v>
      </c>
      <c r="F155" s="79" t="s">
        <v>146</v>
      </c>
      <c r="G155" s="79" t="s">
        <v>2282</v>
      </c>
      <c r="H155" s="80" t="s">
        <v>2741</v>
      </c>
      <c r="I155" s="80">
        <v>80</v>
      </c>
      <c r="J155" s="25">
        <v>512</v>
      </c>
      <c r="K155" s="25"/>
      <c r="L155" s="81"/>
    </row>
    <row r="156" s="1" customFormat="1" ht="14.25" spans="1:12">
      <c r="A156" s="77">
        <v>11</v>
      </c>
      <c r="B156" s="78">
        <v>30</v>
      </c>
      <c r="C156" s="78">
        <v>15</v>
      </c>
      <c r="D156" s="79" t="s">
        <v>2743</v>
      </c>
      <c r="E156" s="79" t="s">
        <v>118</v>
      </c>
      <c r="F156" s="79" t="s">
        <v>146</v>
      </c>
      <c r="G156" s="79" t="s">
        <v>2282</v>
      </c>
      <c r="H156" s="80" t="s">
        <v>2741</v>
      </c>
      <c r="I156" s="80">
        <v>46.96</v>
      </c>
      <c r="J156" s="25">
        <v>300.56</v>
      </c>
      <c r="K156" s="25"/>
      <c r="L156" s="81"/>
    </row>
    <row r="157" s="1" customFormat="1" ht="14.25" spans="1:12">
      <c r="A157" s="77">
        <v>11</v>
      </c>
      <c r="B157" s="78">
        <v>30</v>
      </c>
      <c r="C157" s="78">
        <v>15</v>
      </c>
      <c r="D157" s="79" t="s">
        <v>2744</v>
      </c>
      <c r="E157" s="79" t="s">
        <v>118</v>
      </c>
      <c r="F157" s="79" t="s">
        <v>146</v>
      </c>
      <c r="G157" s="79" t="s">
        <v>2282</v>
      </c>
      <c r="H157" s="80" t="s">
        <v>2741</v>
      </c>
      <c r="I157" s="80">
        <v>8.59</v>
      </c>
      <c r="J157" s="25">
        <v>55</v>
      </c>
      <c r="K157" s="25"/>
      <c r="L157" s="81"/>
    </row>
    <row r="158" s="1" customFormat="1" ht="14.25" spans="1:12">
      <c r="A158" s="77">
        <v>11</v>
      </c>
      <c r="B158" s="78">
        <v>30</v>
      </c>
      <c r="C158" s="78">
        <v>15</v>
      </c>
      <c r="D158" s="79" t="s">
        <v>2745</v>
      </c>
      <c r="E158" s="79" t="s">
        <v>118</v>
      </c>
      <c r="F158" s="79" t="s">
        <v>146</v>
      </c>
      <c r="G158" s="79" t="s">
        <v>2282</v>
      </c>
      <c r="H158" s="80" t="s">
        <v>2741</v>
      </c>
      <c r="I158" s="80">
        <v>56.25</v>
      </c>
      <c r="J158" s="25">
        <v>360</v>
      </c>
      <c r="K158" s="25"/>
      <c r="L158" s="81"/>
    </row>
    <row r="159" s="1" customFormat="1" ht="14.25" spans="1:12">
      <c r="A159" s="77">
        <v>11</v>
      </c>
      <c r="B159" s="78">
        <v>30</v>
      </c>
      <c r="C159" s="78">
        <v>16</v>
      </c>
      <c r="D159" s="79" t="s">
        <v>2746</v>
      </c>
      <c r="E159" s="79" t="s">
        <v>48</v>
      </c>
      <c r="F159" s="79" t="s">
        <v>49</v>
      </c>
      <c r="G159" s="79" t="s">
        <v>2282</v>
      </c>
      <c r="H159" s="80" t="s">
        <v>2747</v>
      </c>
      <c r="I159" s="80">
        <v>6562.5</v>
      </c>
      <c r="J159" s="25">
        <v>42000</v>
      </c>
      <c r="K159" s="25"/>
      <c r="L159" s="81"/>
    </row>
    <row r="160" s="1" customFormat="1" ht="14.25" spans="1:12">
      <c r="A160" s="77">
        <v>11</v>
      </c>
      <c r="B160" s="78">
        <v>30</v>
      </c>
      <c r="C160" s="78">
        <v>16</v>
      </c>
      <c r="D160" s="79" t="s">
        <v>2748</v>
      </c>
      <c r="E160" s="79" t="s">
        <v>118</v>
      </c>
      <c r="F160" s="79" t="s">
        <v>136</v>
      </c>
      <c r="G160" s="79" t="s">
        <v>2282</v>
      </c>
      <c r="H160" s="80" t="s">
        <v>2747</v>
      </c>
      <c r="I160" s="80">
        <v>29390.63</v>
      </c>
      <c r="J160" s="25">
        <v>188100</v>
      </c>
      <c r="K160" s="25"/>
      <c r="L160" s="81"/>
    </row>
    <row r="161" s="1" customFormat="1" ht="14.25" spans="1:12">
      <c r="A161" s="77">
        <v>11</v>
      </c>
      <c r="B161" s="78">
        <v>30</v>
      </c>
      <c r="C161" s="78">
        <v>16</v>
      </c>
      <c r="D161" s="79" t="s">
        <v>2749</v>
      </c>
      <c r="E161" s="79" t="s">
        <v>211</v>
      </c>
      <c r="F161" s="79" t="s">
        <v>2750</v>
      </c>
      <c r="G161" s="79" t="s">
        <v>2282</v>
      </c>
      <c r="H161" s="80" t="s">
        <v>2747</v>
      </c>
      <c r="I161" s="80">
        <v>3015.63</v>
      </c>
      <c r="J161" s="25">
        <v>19300</v>
      </c>
      <c r="K161" s="25"/>
      <c r="L161" s="81"/>
    </row>
    <row r="162" s="1" customFormat="1" ht="14.25" spans="1:12">
      <c r="A162" s="77">
        <v>11</v>
      </c>
      <c r="B162" s="78">
        <v>30</v>
      </c>
      <c r="C162" s="78">
        <v>16</v>
      </c>
      <c r="D162" s="79" t="s">
        <v>2751</v>
      </c>
      <c r="E162" s="79" t="s">
        <v>172</v>
      </c>
      <c r="F162" s="79" t="s">
        <v>396</v>
      </c>
      <c r="G162" s="79" t="s">
        <v>2282</v>
      </c>
      <c r="H162" s="80" t="s">
        <v>2747</v>
      </c>
      <c r="I162" s="80">
        <v>35658.75</v>
      </c>
      <c r="J162" s="25">
        <v>228216</v>
      </c>
      <c r="K162" s="25"/>
      <c r="L162" s="81"/>
    </row>
    <row r="163" s="1" customFormat="1" ht="14.25" spans="1:12">
      <c r="A163" s="77">
        <v>11</v>
      </c>
      <c r="B163" s="78">
        <v>30</v>
      </c>
      <c r="C163" s="78">
        <v>16</v>
      </c>
      <c r="D163" s="79" t="s">
        <v>2752</v>
      </c>
      <c r="E163" s="79" t="s">
        <v>118</v>
      </c>
      <c r="F163" s="79" t="s">
        <v>446</v>
      </c>
      <c r="G163" s="79" t="s">
        <v>2282</v>
      </c>
      <c r="H163" s="80" t="s">
        <v>2753</v>
      </c>
      <c r="I163" s="80">
        <v>23196.88</v>
      </c>
      <c r="J163" s="25">
        <v>148460</v>
      </c>
      <c r="K163" s="25"/>
      <c r="L163" s="81"/>
    </row>
    <row r="164" s="1" customFormat="1" ht="14.25" spans="1:12">
      <c r="A164" s="77">
        <v>11</v>
      </c>
      <c r="B164" s="78">
        <v>30</v>
      </c>
      <c r="C164" s="78">
        <v>16</v>
      </c>
      <c r="D164" s="79" t="s">
        <v>2754</v>
      </c>
      <c r="E164" s="79" t="s">
        <v>118</v>
      </c>
      <c r="F164" s="79" t="s">
        <v>136</v>
      </c>
      <c r="G164" s="79" t="s">
        <v>2282</v>
      </c>
      <c r="H164" s="80" t="s">
        <v>2753</v>
      </c>
      <c r="I164" s="80">
        <v>2718.59</v>
      </c>
      <c r="J164" s="25">
        <v>17399</v>
      </c>
      <c r="K164" s="25"/>
      <c r="L164" s="81"/>
    </row>
    <row r="165" s="1" customFormat="1" ht="14.25" spans="1:12">
      <c r="A165" s="77">
        <v>11</v>
      </c>
      <c r="B165" s="78">
        <v>30</v>
      </c>
      <c r="C165" s="78">
        <v>16</v>
      </c>
      <c r="D165" s="79" t="s">
        <v>2755</v>
      </c>
      <c r="E165" s="79" t="s">
        <v>172</v>
      </c>
      <c r="F165" s="79" t="s">
        <v>396</v>
      </c>
      <c r="G165" s="79" t="s">
        <v>2282</v>
      </c>
      <c r="H165" s="80" t="s">
        <v>2753</v>
      </c>
      <c r="I165" s="80">
        <v>61023.75</v>
      </c>
      <c r="J165" s="25">
        <v>390552</v>
      </c>
      <c r="K165" s="25"/>
      <c r="L165" s="81"/>
    </row>
    <row r="166" s="1" customFormat="1" ht="14.25" spans="1:12">
      <c r="A166" s="77">
        <v>11</v>
      </c>
      <c r="B166" s="78">
        <v>30</v>
      </c>
      <c r="C166" s="78">
        <v>16</v>
      </c>
      <c r="D166" s="79" t="s">
        <v>2756</v>
      </c>
      <c r="E166" s="79" t="s">
        <v>172</v>
      </c>
      <c r="F166" s="79" t="s">
        <v>396</v>
      </c>
      <c r="G166" s="79" t="s">
        <v>2282</v>
      </c>
      <c r="H166" s="80" t="s">
        <v>2753</v>
      </c>
      <c r="I166" s="80">
        <v>8635.31</v>
      </c>
      <c r="J166" s="25">
        <v>55266</v>
      </c>
      <c r="K166" s="25"/>
      <c r="L166" s="81"/>
    </row>
    <row r="167" s="1" customFormat="1" ht="14.25" spans="1:12">
      <c r="A167" s="77">
        <v>11</v>
      </c>
      <c r="B167" s="78">
        <v>30</v>
      </c>
      <c r="C167" s="78">
        <v>16</v>
      </c>
      <c r="D167" s="79" t="s">
        <v>2757</v>
      </c>
      <c r="E167" s="79" t="s">
        <v>118</v>
      </c>
      <c r="F167" s="79" t="s">
        <v>286</v>
      </c>
      <c r="G167" s="79" t="s">
        <v>2282</v>
      </c>
      <c r="H167" s="80" t="s">
        <v>2753</v>
      </c>
      <c r="I167" s="80">
        <v>9109.38</v>
      </c>
      <c r="J167" s="25">
        <v>58300</v>
      </c>
      <c r="K167" s="25"/>
      <c r="L167" s="81"/>
    </row>
    <row r="168" s="1" customFormat="1" ht="14.25" spans="1:12">
      <c r="A168" s="77">
        <v>11</v>
      </c>
      <c r="B168" s="78">
        <v>30</v>
      </c>
      <c r="C168" s="78">
        <v>18</v>
      </c>
      <c r="D168" s="79" t="s">
        <v>2758</v>
      </c>
      <c r="E168" s="79" t="s">
        <v>118</v>
      </c>
      <c r="F168" s="79" t="s">
        <v>741</v>
      </c>
      <c r="G168" s="79" t="s">
        <v>2282</v>
      </c>
      <c r="H168" s="80" t="s">
        <v>2759</v>
      </c>
      <c r="I168" s="80">
        <v>4312.5</v>
      </c>
      <c r="J168" s="25">
        <v>27600</v>
      </c>
      <c r="K168" s="25"/>
      <c r="L168" s="81"/>
    </row>
    <row r="169" s="1" customFormat="1" ht="14.25" spans="1:12">
      <c r="A169" s="77">
        <v>11</v>
      </c>
      <c r="B169" s="78">
        <v>30</v>
      </c>
      <c r="C169" s="78">
        <v>18</v>
      </c>
      <c r="D169" s="79" t="s">
        <v>2760</v>
      </c>
      <c r="E169" s="79" t="s">
        <v>118</v>
      </c>
      <c r="F169" s="79" t="s">
        <v>154</v>
      </c>
      <c r="G169" s="79" t="s">
        <v>2282</v>
      </c>
      <c r="H169" s="80" t="s">
        <v>2759</v>
      </c>
      <c r="I169" s="80">
        <v>50375</v>
      </c>
      <c r="J169" s="25">
        <v>322400</v>
      </c>
      <c r="K169" s="25"/>
      <c r="L169" s="81"/>
    </row>
    <row r="170" s="1" customFormat="1" ht="14.25" spans="1:12">
      <c r="A170" s="77">
        <v>11</v>
      </c>
      <c r="B170" s="78">
        <v>30</v>
      </c>
      <c r="C170" s="78">
        <v>18</v>
      </c>
      <c r="D170" s="79" t="s">
        <v>2761</v>
      </c>
      <c r="E170" s="79" t="s">
        <v>118</v>
      </c>
      <c r="F170" s="79" t="s">
        <v>154</v>
      </c>
      <c r="G170" s="79" t="s">
        <v>2282</v>
      </c>
      <c r="H170" s="80" t="s">
        <v>2759</v>
      </c>
      <c r="I170" s="80">
        <v>2167.19</v>
      </c>
      <c r="J170" s="25">
        <v>13870</v>
      </c>
      <c r="K170" s="25"/>
      <c r="L170" s="81"/>
    </row>
    <row r="171" s="1" customFormat="1" ht="14.25" spans="1:12">
      <c r="A171" s="77">
        <v>11</v>
      </c>
      <c r="B171" s="78">
        <v>30</v>
      </c>
      <c r="C171" s="78">
        <v>18</v>
      </c>
      <c r="D171" s="79" t="s">
        <v>2762</v>
      </c>
      <c r="E171" s="79" t="s">
        <v>118</v>
      </c>
      <c r="F171" s="79" t="s">
        <v>154</v>
      </c>
      <c r="G171" s="79" t="s">
        <v>2282</v>
      </c>
      <c r="H171" s="80" t="s">
        <v>2759</v>
      </c>
      <c r="I171" s="80">
        <v>2812.5</v>
      </c>
      <c r="J171" s="25">
        <v>18000</v>
      </c>
      <c r="K171" s="25"/>
      <c r="L171" s="81"/>
    </row>
    <row r="172" s="1" customFormat="1" ht="14.25" spans="1:12">
      <c r="A172" s="77">
        <v>11</v>
      </c>
      <c r="B172" s="78">
        <v>30</v>
      </c>
      <c r="C172" s="78">
        <v>18</v>
      </c>
      <c r="D172" s="79" t="s">
        <v>2763</v>
      </c>
      <c r="E172" s="79" t="s">
        <v>118</v>
      </c>
      <c r="F172" s="79" t="s">
        <v>2562</v>
      </c>
      <c r="G172" s="79" t="s">
        <v>2282</v>
      </c>
      <c r="H172" s="80" t="s">
        <v>2759</v>
      </c>
      <c r="I172" s="80">
        <v>45000</v>
      </c>
      <c r="J172" s="25">
        <v>288000</v>
      </c>
      <c r="K172" s="25"/>
      <c r="L172" s="81"/>
    </row>
    <row r="173" s="1" customFormat="1" ht="14.25" spans="1:12">
      <c r="A173" s="77">
        <v>11</v>
      </c>
      <c r="B173" s="78">
        <v>30</v>
      </c>
      <c r="C173" s="78">
        <v>18</v>
      </c>
      <c r="D173" s="79" t="s">
        <v>2764</v>
      </c>
      <c r="E173" s="79" t="s">
        <v>118</v>
      </c>
      <c r="F173" s="79" t="s">
        <v>2562</v>
      </c>
      <c r="G173" s="79" t="s">
        <v>2282</v>
      </c>
      <c r="H173" s="80" t="s">
        <v>2759</v>
      </c>
      <c r="I173" s="80">
        <v>49218.75</v>
      </c>
      <c r="J173" s="25">
        <v>315000</v>
      </c>
      <c r="K173" s="25"/>
      <c r="L173" s="81"/>
    </row>
    <row r="174" s="1" customFormat="1" ht="14.25" spans="1:12">
      <c r="A174" s="77">
        <v>11</v>
      </c>
      <c r="B174" s="78">
        <v>30</v>
      </c>
      <c r="C174" s="78">
        <v>18</v>
      </c>
      <c r="D174" s="79" t="s">
        <v>2765</v>
      </c>
      <c r="E174" s="79" t="s">
        <v>118</v>
      </c>
      <c r="F174" s="79" t="s">
        <v>136</v>
      </c>
      <c r="G174" s="79" t="s">
        <v>2282</v>
      </c>
      <c r="H174" s="80" t="s">
        <v>2766</v>
      </c>
      <c r="I174" s="80">
        <v>9839.38</v>
      </c>
      <c r="J174" s="25">
        <v>62972</v>
      </c>
      <c r="K174" s="25"/>
      <c r="L174" s="81"/>
    </row>
    <row r="175" s="1" customFormat="1" ht="14.25" spans="1:12">
      <c r="A175" s="77">
        <v>11</v>
      </c>
      <c r="B175" s="78">
        <v>30</v>
      </c>
      <c r="C175" s="78">
        <v>18</v>
      </c>
      <c r="D175" s="79" t="s">
        <v>2767</v>
      </c>
      <c r="E175" s="79" t="s">
        <v>118</v>
      </c>
      <c r="F175" s="79" t="s">
        <v>136</v>
      </c>
      <c r="G175" s="79" t="s">
        <v>2282</v>
      </c>
      <c r="H175" s="80" t="s">
        <v>2766</v>
      </c>
      <c r="I175" s="80">
        <v>14562.5</v>
      </c>
      <c r="J175" s="25">
        <v>93200</v>
      </c>
      <c r="K175" s="25"/>
      <c r="L175" s="81"/>
    </row>
    <row r="176" s="1" customFormat="1" ht="14.25" spans="1:12">
      <c r="A176" s="77">
        <v>11</v>
      </c>
      <c r="B176" s="78">
        <v>30</v>
      </c>
      <c r="C176" s="78">
        <v>18</v>
      </c>
      <c r="D176" s="79" t="s">
        <v>2768</v>
      </c>
      <c r="E176" s="79" t="s">
        <v>118</v>
      </c>
      <c r="F176" s="79" t="s">
        <v>136</v>
      </c>
      <c r="G176" s="79" t="s">
        <v>2282</v>
      </c>
      <c r="H176" s="80" t="s">
        <v>2766</v>
      </c>
      <c r="I176" s="80">
        <v>13137.5</v>
      </c>
      <c r="J176" s="25">
        <v>84080</v>
      </c>
      <c r="K176" s="25"/>
      <c r="L176" s="81"/>
    </row>
    <row r="177" s="1" customFormat="1" ht="14.25" spans="1:12">
      <c r="A177" s="77">
        <v>11</v>
      </c>
      <c r="B177" s="78">
        <v>30</v>
      </c>
      <c r="C177" s="78">
        <v>18</v>
      </c>
      <c r="D177" s="79" t="s">
        <v>2769</v>
      </c>
      <c r="E177" s="79" t="s">
        <v>118</v>
      </c>
      <c r="F177" s="79" t="s">
        <v>136</v>
      </c>
      <c r="G177" s="79" t="s">
        <v>2282</v>
      </c>
      <c r="H177" s="80" t="s">
        <v>2766</v>
      </c>
      <c r="I177" s="80">
        <v>35625</v>
      </c>
      <c r="J177" s="25">
        <v>228000</v>
      </c>
      <c r="K177" s="25"/>
      <c r="L177" s="81"/>
    </row>
    <row r="178" s="1" customFormat="1" ht="14.25" spans="1:12">
      <c r="A178" s="77">
        <v>11</v>
      </c>
      <c r="B178" s="78">
        <v>30</v>
      </c>
      <c r="C178" s="78">
        <v>19</v>
      </c>
      <c r="D178" s="79" t="s">
        <v>2770</v>
      </c>
      <c r="E178" s="79" t="s">
        <v>118</v>
      </c>
      <c r="F178" s="79" t="s">
        <v>154</v>
      </c>
      <c r="G178" s="79" t="s">
        <v>2282</v>
      </c>
      <c r="H178" s="80" t="s">
        <v>2771</v>
      </c>
      <c r="I178" s="80">
        <v>51.56</v>
      </c>
      <c r="J178" s="25">
        <v>330</v>
      </c>
      <c r="K178" s="25"/>
      <c r="L178" s="81"/>
    </row>
    <row r="179" s="1" customFormat="1" ht="14.25" spans="1:12">
      <c r="A179" s="77">
        <v>11</v>
      </c>
      <c r="B179" s="78">
        <v>30</v>
      </c>
      <c r="C179" s="78">
        <v>19</v>
      </c>
      <c r="D179" s="79" t="s">
        <v>2772</v>
      </c>
      <c r="E179" s="79" t="s">
        <v>118</v>
      </c>
      <c r="F179" s="79" t="s">
        <v>136</v>
      </c>
      <c r="G179" s="79" t="s">
        <v>2282</v>
      </c>
      <c r="H179" s="80" t="s">
        <v>2771</v>
      </c>
      <c r="I179" s="80">
        <v>72.66</v>
      </c>
      <c r="J179" s="25">
        <v>465</v>
      </c>
      <c r="K179" s="25"/>
      <c r="L179" s="81"/>
    </row>
    <row r="180" s="1" customFormat="1" ht="14.25" spans="1:12">
      <c r="A180" s="77">
        <v>11</v>
      </c>
      <c r="B180" s="78">
        <v>30</v>
      </c>
      <c r="C180" s="78">
        <v>19</v>
      </c>
      <c r="D180" s="79" t="s">
        <v>2773</v>
      </c>
      <c r="E180" s="79" t="s">
        <v>118</v>
      </c>
      <c r="F180" s="79" t="s">
        <v>136</v>
      </c>
      <c r="G180" s="79" t="s">
        <v>2282</v>
      </c>
      <c r="H180" s="80" t="s">
        <v>2771</v>
      </c>
      <c r="I180" s="80">
        <v>19.06</v>
      </c>
      <c r="J180" s="25">
        <v>122</v>
      </c>
      <c r="K180" s="25"/>
      <c r="L180" s="81"/>
    </row>
    <row r="181" s="1" customFormat="1" ht="14.25" spans="1:12">
      <c r="A181" s="77">
        <v>11</v>
      </c>
      <c r="B181" s="78">
        <v>30</v>
      </c>
      <c r="C181" s="78">
        <v>19</v>
      </c>
      <c r="D181" s="79" t="s">
        <v>2774</v>
      </c>
      <c r="E181" s="79" t="s">
        <v>118</v>
      </c>
      <c r="F181" s="79" t="s">
        <v>136</v>
      </c>
      <c r="G181" s="79" t="s">
        <v>2282</v>
      </c>
      <c r="H181" s="80" t="s">
        <v>2771</v>
      </c>
      <c r="I181" s="80">
        <v>2998.28</v>
      </c>
      <c r="J181" s="25">
        <v>19189</v>
      </c>
      <c r="K181" s="25"/>
      <c r="L181" s="81"/>
    </row>
    <row r="182" s="1" customFormat="1" ht="14.25" spans="1:12">
      <c r="A182" s="77">
        <v>11</v>
      </c>
      <c r="B182" s="78">
        <v>30</v>
      </c>
      <c r="C182" s="78">
        <v>19</v>
      </c>
      <c r="D182" s="79" t="s">
        <v>2775</v>
      </c>
      <c r="E182" s="79" t="s">
        <v>85</v>
      </c>
      <c r="F182" s="79" t="s">
        <v>989</v>
      </c>
      <c r="G182" s="79" t="s">
        <v>2282</v>
      </c>
      <c r="H182" s="80" t="s">
        <v>2771</v>
      </c>
      <c r="I182" s="80">
        <v>1656.25</v>
      </c>
      <c r="J182" s="25">
        <v>10600</v>
      </c>
      <c r="K182" s="25"/>
      <c r="L182" s="81"/>
    </row>
    <row r="183" s="1" customFormat="1" ht="14.25" spans="1:12">
      <c r="A183" s="77">
        <v>11</v>
      </c>
      <c r="B183" s="78">
        <v>30</v>
      </c>
      <c r="C183" s="78">
        <v>19</v>
      </c>
      <c r="D183" s="79" t="s">
        <v>2776</v>
      </c>
      <c r="E183" s="79" t="s">
        <v>85</v>
      </c>
      <c r="F183" s="79" t="s">
        <v>989</v>
      </c>
      <c r="G183" s="79" t="s">
        <v>2282</v>
      </c>
      <c r="H183" s="80" t="s">
        <v>2777</v>
      </c>
      <c r="I183" s="80">
        <v>7837.66</v>
      </c>
      <c r="J183" s="25">
        <v>50161</v>
      </c>
      <c r="K183" s="25"/>
      <c r="L183" s="81"/>
    </row>
    <row r="184" s="1" customFormat="1" ht="14.25" spans="1:12">
      <c r="A184" s="77">
        <v>11</v>
      </c>
      <c r="B184" s="78">
        <v>30</v>
      </c>
      <c r="C184" s="78">
        <v>19</v>
      </c>
      <c r="D184" s="79" t="s">
        <v>2778</v>
      </c>
      <c r="E184" s="79" t="s">
        <v>118</v>
      </c>
      <c r="F184" s="79" t="s">
        <v>136</v>
      </c>
      <c r="G184" s="79" t="s">
        <v>2282</v>
      </c>
      <c r="H184" s="80" t="s">
        <v>2777</v>
      </c>
      <c r="I184" s="80">
        <v>8399.22</v>
      </c>
      <c r="J184" s="25">
        <v>53755</v>
      </c>
      <c r="K184" s="25"/>
      <c r="L184" s="81"/>
    </row>
    <row r="185" s="1" customFormat="1" ht="14.25" spans="1:12">
      <c r="A185" s="77">
        <v>11</v>
      </c>
      <c r="B185" s="78">
        <v>30</v>
      </c>
      <c r="C185" s="78">
        <v>19</v>
      </c>
      <c r="D185" s="79" t="s">
        <v>2779</v>
      </c>
      <c r="E185" s="79" t="s">
        <v>118</v>
      </c>
      <c r="F185" s="79" t="s">
        <v>489</v>
      </c>
      <c r="G185" s="79" t="s">
        <v>2282</v>
      </c>
      <c r="H185" s="80" t="s">
        <v>2777</v>
      </c>
      <c r="I185" s="80">
        <v>6171.88</v>
      </c>
      <c r="J185" s="25">
        <v>39500</v>
      </c>
      <c r="K185" s="25"/>
      <c r="L185" s="81"/>
    </row>
    <row r="186" s="1" customFormat="1" ht="14.25" spans="1:12">
      <c r="A186" s="77">
        <v>11</v>
      </c>
      <c r="B186" s="78">
        <v>30</v>
      </c>
      <c r="C186" s="78">
        <v>19</v>
      </c>
      <c r="D186" s="79" t="s">
        <v>2780</v>
      </c>
      <c r="E186" s="79" t="s">
        <v>118</v>
      </c>
      <c r="F186" s="79" t="s">
        <v>154</v>
      </c>
      <c r="G186" s="79" t="s">
        <v>2282</v>
      </c>
      <c r="H186" s="80" t="s">
        <v>2781</v>
      </c>
      <c r="I186" s="80">
        <v>23007.03</v>
      </c>
      <c r="J186" s="25">
        <v>147245</v>
      </c>
      <c r="K186" s="25"/>
      <c r="L186" s="81"/>
    </row>
    <row r="187" s="1" customFormat="1" ht="14.25" spans="1:12">
      <c r="A187" s="77">
        <v>11</v>
      </c>
      <c r="B187" s="78">
        <v>30</v>
      </c>
      <c r="C187" s="78">
        <v>19</v>
      </c>
      <c r="D187" s="79" t="s">
        <v>2782</v>
      </c>
      <c r="E187" s="79" t="s">
        <v>118</v>
      </c>
      <c r="F187" s="79" t="s">
        <v>154</v>
      </c>
      <c r="G187" s="79" t="s">
        <v>2282</v>
      </c>
      <c r="H187" s="80" t="s">
        <v>2781</v>
      </c>
      <c r="I187" s="80">
        <v>6256.41</v>
      </c>
      <c r="J187" s="25">
        <v>40041</v>
      </c>
      <c r="K187" s="25"/>
      <c r="L187" s="81"/>
    </row>
    <row r="188" s="1" customFormat="1" ht="14.25" spans="1:12">
      <c r="A188" s="77">
        <v>11</v>
      </c>
      <c r="B188" s="78">
        <v>30</v>
      </c>
      <c r="C188" s="78">
        <v>20</v>
      </c>
      <c r="D188" s="79" t="s">
        <v>2783</v>
      </c>
      <c r="E188" s="79" t="s">
        <v>118</v>
      </c>
      <c r="F188" s="79" t="s">
        <v>136</v>
      </c>
      <c r="G188" s="79" t="s">
        <v>2282</v>
      </c>
      <c r="H188" s="80" t="s">
        <v>2784</v>
      </c>
      <c r="I188" s="80">
        <v>7229.69</v>
      </c>
      <c r="J188" s="25">
        <v>46270</v>
      </c>
      <c r="K188" s="25"/>
      <c r="L188" s="81"/>
    </row>
    <row r="189" s="1" customFormat="1" ht="14.25" spans="1:12">
      <c r="A189" s="77">
        <v>11</v>
      </c>
      <c r="B189" s="78">
        <v>30</v>
      </c>
      <c r="C189" s="78">
        <v>20</v>
      </c>
      <c r="D189" s="79" t="s">
        <v>2785</v>
      </c>
      <c r="E189" s="79" t="s">
        <v>118</v>
      </c>
      <c r="F189" s="79" t="s">
        <v>146</v>
      </c>
      <c r="G189" s="79" t="s">
        <v>2282</v>
      </c>
      <c r="H189" s="80" t="s">
        <v>2784</v>
      </c>
      <c r="I189" s="80">
        <v>7250</v>
      </c>
      <c r="J189" s="25">
        <v>46400</v>
      </c>
      <c r="K189" s="25"/>
      <c r="L189" s="81"/>
    </row>
    <row r="190" s="1" customFormat="1" ht="14.25" spans="1:12">
      <c r="A190" s="77">
        <v>11</v>
      </c>
      <c r="B190" s="78">
        <v>30</v>
      </c>
      <c r="C190" s="78">
        <v>20</v>
      </c>
      <c r="D190" s="79" t="s">
        <v>2786</v>
      </c>
      <c r="E190" s="79" t="s">
        <v>211</v>
      </c>
      <c r="F190" s="79" t="s">
        <v>2742</v>
      </c>
      <c r="G190" s="79" t="s">
        <v>2282</v>
      </c>
      <c r="H190" s="80" t="s">
        <v>2784</v>
      </c>
      <c r="I190" s="80">
        <v>1595</v>
      </c>
      <c r="J190" s="25">
        <v>10208</v>
      </c>
      <c r="K190" s="25"/>
      <c r="L190" s="81"/>
    </row>
    <row r="191" s="1" customFormat="1" ht="14.25" spans="1:12">
      <c r="A191" s="77">
        <v>11</v>
      </c>
      <c r="B191" s="78">
        <v>30</v>
      </c>
      <c r="C191" s="78">
        <v>20</v>
      </c>
      <c r="D191" s="79" t="s">
        <v>2787</v>
      </c>
      <c r="E191" s="79" t="s">
        <v>118</v>
      </c>
      <c r="F191" s="79" t="s">
        <v>136</v>
      </c>
      <c r="G191" s="79" t="s">
        <v>2282</v>
      </c>
      <c r="H191" s="80" t="s">
        <v>2784</v>
      </c>
      <c r="I191" s="80">
        <v>1434.38</v>
      </c>
      <c r="J191" s="25">
        <v>9180</v>
      </c>
      <c r="K191" s="25"/>
      <c r="L191" s="81"/>
    </row>
    <row r="192" s="1" customFormat="1" ht="14.25" spans="1:12">
      <c r="A192" s="77">
        <v>11</v>
      </c>
      <c r="B192" s="78">
        <v>30</v>
      </c>
      <c r="C192" s="78">
        <v>20</v>
      </c>
      <c r="D192" s="79" t="s">
        <v>2788</v>
      </c>
      <c r="E192" s="79" t="s">
        <v>118</v>
      </c>
      <c r="F192" s="79" t="s">
        <v>136</v>
      </c>
      <c r="G192" s="79" t="s">
        <v>2282</v>
      </c>
      <c r="H192" s="80" t="s">
        <v>2784</v>
      </c>
      <c r="I192" s="80">
        <v>3512.97</v>
      </c>
      <c r="J192" s="25">
        <v>22483</v>
      </c>
      <c r="K192" s="25"/>
      <c r="L192" s="81"/>
    </row>
    <row r="193" s="1" customFormat="1" ht="14.25" spans="1:12">
      <c r="A193" s="77">
        <v>11</v>
      </c>
      <c r="B193" s="78">
        <v>30</v>
      </c>
      <c r="C193" s="78">
        <v>20</v>
      </c>
      <c r="D193" s="79" t="s">
        <v>2789</v>
      </c>
      <c r="E193" s="79" t="s">
        <v>118</v>
      </c>
      <c r="F193" s="79" t="s">
        <v>136</v>
      </c>
      <c r="G193" s="79" t="s">
        <v>2282</v>
      </c>
      <c r="H193" s="80" t="s">
        <v>2790</v>
      </c>
      <c r="I193" s="80">
        <v>3281.25</v>
      </c>
      <c r="J193" s="25">
        <v>21000</v>
      </c>
      <c r="K193" s="25"/>
      <c r="L193" s="81"/>
    </row>
    <row r="194" s="1" customFormat="1" ht="14.25" spans="1:12">
      <c r="A194" s="77">
        <v>11</v>
      </c>
      <c r="B194" s="78">
        <v>30</v>
      </c>
      <c r="C194" s="78">
        <v>20</v>
      </c>
      <c r="D194" s="79" t="s">
        <v>2791</v>
      </c>
      <c r="E194" s="79" t="s">
        <v>118</v>
      </c>
      <c r="F194" s="79" t="s">
        <v>136</v>
      </c>
      <c r="G194" s="79" t="s">
        <v>2282</v>
      </c>
      <c r="H194" s="80" t="s">
        <v>2790</v>
      </c>
      <c r="I194" s="80">
        <v>781.25</v>
      </c>
      <c r="J194" s="25">
        <v>5000</v>
      </c>
      <c r="K194" s="25"/>
      <c r="L194" s="81"/>
    </row>
    <row r="195" s="1" customFormat="1" ht="14.25" spans="1:12">
      <c r="A195" s="77">
        <v>11</v>
      </c>
      <c r="B195" s="78">
        <v>30</v>
      </c>
      <c r="C195" s="78">
        <v>20</v>
      </c>
      <c r="D195" s="79" t="s">
        <v>2792</v>
      </c>
      <c r="E195" s="79" t="s">
        <v>179</v>
      </c>
      <c r="F195" s="79" t="s">
        <v>2684</v>
      </c>
      <c r="G195" s="79" t="s">
        <v>2282</v>
      </c>
      <c r="H195" s="80" t="s">
        <v>2790</v>
      </c>
      <c r="I195" s="80">
        <v>4062.5</v>
      </c>
      <c r="J195" s="25">
        <v>26000</v>
      </c>
      <c r="K195" s="25"/>
      <c r="L195" s="81"/>
    </row>
    <row r="196" s="1" customFormat="1" ht="14.25" spans="1:12">
      <c r="A196" s="77">
        <v>11</v>
      </c>
      <c r="B196" s="78">
        <v>30</v>
      </c>
      <c r="C196" s="78">
        <v>20</v>
      </c>
      <c r="D196" s="79" t="s">
        <v>2793</v>
      </c>
      <c r="E196" s="79" t="s">
        <v>118</v>
      </c>
      <c r="F196" s="79" t="s">
        <v>136</v>
      </c>
      <c r="G196" s="79" t="s">
        <v>2282</v>
      </c>
      <c r="H196" s="80" t="s">
        <v>2790</v>
      </c>
      <c r="I196" s="80">
        <v>875</v>
      </c>
      <c r="J196" s="25">
        <v>5600</v>
      </c>
      <c r="K196" s="25"/>
      <c r="L196" s="81"/>
    </row>
    <row r="197" s="1" customFormat="1" ht="14.25" spans="1:12">
      <c r="A197" s="77">
        <v>11</v>
      </c>
      <c r="B197" s="78">
        <v>30</v>
      </c>
      <c r="C197" s="78">
        <v>20</v>
      </c>
      <c r="D197" s="79" t="s">
        <v>2794</v>
      </c>
      <c r="E197" s="79" t="s">
        <v>118</v>
      </c>
      <c r="F197" s="80" t="s">
        <v>136</v>
      </c>
      <c r="G197" s="79" t="s">
        <v>2282</v>
      </c>
      <c r="H197" s="80" t="s">
        <v>2790</v>
      </c>
      <c r="I197" s="80">
        <v>2484.38</v>
      </c>
      <c r="J197" s="25">
        <v>15900</v>
      </c>
      <c r="K197" s="25"/>
      <c r="L197" s="81"/>
    </row>
    <row r="198" s="1" customFormat="1" ht="14.25" spans="1:12">
      <c r="A198" s="77">
        <v>11</v>
      </c>
      <c r="B198" s="78">
        <v>30</v>
      </c>
      <c r="C198" s="78">
        <v>21</v>
      </c>
      <c r="D198" s="79" t="s">
        <v>2795</v>
      </c>
      <c r="E198" s="79" t="s">
        <v>118</v>
      </c>
      <c r="F198" s="79" t="s">
        <v>136</v>
      </c>
      <c r="G198" s="79" t="s">
        <v>2282</v>
      </c>
      <c r="H198" s="80" t="s">
        <v>2796</v>
      </c>
      <c r="I198" s="80">
        <v>2640.63</v>
      </c>
      <c r="J198" s="25">
        <v>16900</v>
      </c>
      <c r="K198" s="25"/>
      <c r="L198" s="81"/>
    </row>
    <row r="199" s="1" customFormat="1" ht="14.25" spans="1:12">
      <c r="A199" s="77">
        <v>11</v>
      </c>
      <c r="B199" s="78">
        <v>30</v>
      </c>
      <c r="C199" s="78">
        <v>21</v>
      </c>
      <c r="D199" s="79" t="s">
        <v>2797</v>
      </c>
      <c r="E199" s="79" t="s">
        <v>118</v>
      </c>
      <c r="F199" s="79" t="s">
        <v>136</v>
      </c>
      <c r="G199" s="79" t="s">
        <v>2282</v>
      </c>
      <c r="H199" s="80" t="s">
        <v>2796</v>
      </c>
      <c r="I199" s="80">
        <v>3703.13</v>
      </c>
      <c r="J199" s="25">
        <v>23700</v>
      </c>
      <c r="K199" s="25"/>
      <c r="L199" s="81"/>
    </row>
    <row r="200" s="1" customFormat="1" ht="14.25" spans="1:12">
      <c r="A200" s="77">
        <v>11</v>
      </c>
      <c r="B200" s="78">
        <v>30</v>
      </c>
      <c r="C200" s="78">
        <v>21</v>
      </c>
      <c r="D200" s="79" t="s">
        <v>2798</v>
      </c>
      <c r="E200" s="79" t="s">
        <v>118</v>
      </c>
      <c r="F200" s="79" t="s">
        <v>489</v>
      </c>
      <c r="G200" s="79" t="s">
        <v>2282</v>
      </c>
      <c r="H200" s="80" t="s">
        <v>2796</v>
      </c>
      <c r="I200" s="80">
        <v>2546.88</v>
      </c>
      <c r="J200" s="25">
        <v>16300</v>
      </c>
      <c r="K200" s="25"/>
      <c r="L200" s="81"/>
    </row>
    <row r="201" s="1" customFormat="1" ht="14.25" spans="1:12">
      <c r="A201" s="77">
        <v>11</v>
      </c>
      <c r="B201" s="78">
        <v>30</v>
      </c>
      <c r="C201" s="78">
        <v>21</v>
      </c>
      <c r="D201" s="79" t="s">
        <v>2799</v>
      </c>
      <c r="E201" s="79" t="s">
        <v>118</v>
      </c>
      <c r="F201" s="79" t="s">
        <v>136</v>
      </c>
      <c r="G201" s="79" t="s">
        <v>2282</v>
      </c>
      <c r="H201" s="80" t="s">
        <v>2796</v>
      </c>
      <c r="I201" s="80">
        <v>8656.25</v>
      </c>
      <c r="J201" s="25">
        <v>55400</v>
      </c>
      <c r="K201" s="25"/>
      <c r="L201" s="81"/>
    </row>
    <row r="202" s="1" customFormat="1" ht="14.25" spans="1:12">
      <c r="A202" s="77">
        <v>11</v>
      </c>
      <c r="B202" s="78">
        <v>30</v>
      </c>
      <c r="C202" s="78">
        <v>21</v>
      </c>
      <c r="D202" s="79" t="s">
        <v>2800</v>
      </c>
      <c r="E202" s="79" t="s">
        <v>118</v>
      </c>
      <c r="F202" s="79" t="s">
        <v>136</v>
      </c>
      <c r="G202" s="79" t="s">
        <v>2282</v>
      </c>
      <c r="H202" s="80" t="s">
        <v>2796</v>
      </c>
      <c r="I202" s="80">
        <v>2962.5</v>
      </c>
      <c r="J202" s="25">
        <v>18960</v>
      </c>
      <c r="K202" s="25"/>
      <c r="L202" s="81"/>
    </row>
    <row r="203" s="1" customFormat="1" ht="14.25" spans="1:12">
      <c r="A203" s="77">
        <v>11</v>
      </c>
      <c r="B203" s="78">
        <v>30</v>
      </c>
      <c r="C203" s="78">
        <v>21</v>
      </c>
      <c r="D203" s="79" t="s">
        <v>2801</v>
      </c>
      <c r="E203" s="79" t="s">
        <v>118</v>
      </c>
      <c r="F203" s="79" t="s">
        <v>136</v>
      </c>
      <c r="G203" s="79" t="s">
        <v>2282</v>
      </c>
      <c r="H203" s="80" t="s">
        <v>2802</v>
      </c>
      <c r="I203" s="80">
        <v>7326.25</v>
      </c>
      <c r="J203" s="25">
        <v>46888</v>
      </c>
      <c r="K203" s="25"/>
      <c r="L203" s="81"/>
    </row>
    <row r="204" s="1" customFormat="1" ht="14.25" spans="1:12">
      <c r="A204" s="77">
        <v>11</v>
      </c>
      <c r="B204" s="78">
        <v>30</v>
      </c>
      <c r="C204" s="78">
        <v>21</v>
      </c>
      <c r="D204" s="79" t="s">
        <v>2803</v>
      </c>
      <c r="E204" s="79" t="s">
        <v>211</v>
      </c>
      <c r="F204" s="79" t="s">
        <v>2804</v>
      </c>
      <c r="G204" s="79" t="s">
        <v>2282</v>
      </c>
      <c r="H204" s="80" t="s">
        <v>2802</v>
      </c>
      <c r="I204" s="80">
        <v>1218.44</v>
      </c>
      <c r="J204" s="25">
        <v>7798</v>
      </c>
      <c r="K204" s="25"/>
      <c r="L204" s="81"/>
    </row>
    <row r="205" s="1" customFormat="1" ht="14.25" spans="1:12">
      <c r="A205" s="77">
        <v>11</v>
      </c>
      <c r="B205" s="78">
        <v>30</v>
      </c>
      <c r="C205" s="78">
        <v>21</v>
      </c>
      <c r="D205" s="79" t="s">
        <v>2805</v>
      </c>
      <c r="E205" s="79" t="s">
        <v>211</v>
      </c>
      <c r="F205" s="79" t="s">
        <v>2806</v>
      </c>
      <c r="G205" s="79" t="s">
        <v>2282</v>
      </c>
      <c r="H205" s="80" t="s">
        <v>2802</v>
      </c>
      <c r="I205" s="80">
        <v>6319.53</v>
      </c>
      <c r="J205" s="25">
        <v>40445</v>
      </c>
      <c r="K205" s="25"/>
      <c r="L205" s="81"/>
    </row>
    <row r="206" s="1" customFormat="1" ht="14.25" spans="1:12">
      <c r="A206" s="77">
        <v>11</v>
      </c>
      <c r="B206" s="78">
        <v>30</v>
      </c>
      <c r="C206" s="78">
        <v>21</v>
      </c>
      <c r="D206" s="79" t="s">
        <v>2807</v>
      </c>
      <c r="E206" s="79" t="s">
        <v>211</v>
      </c>
      <c r="F206" s="80" t="s">
        <v>2808</v>
      </c>
      <c r="G206" s="79" t="s">
        <v>2282</v>
      </c>
      <c r="H206" s="80" t="s">
        <v>2802</v>
      </c>
      <c r="I206" s="80">
        <v>1890.63</v>
      </c>
      <c r="J206" s="25">
        <v>12100</v>
      </c>
      <c r="K206" s="25"/>
      <c r="L206" s="81"/>
    </row>
    <row r="207" s="1" customFormat="1" ht="14.25" spans="1:12">
      <c r="A207" s="77">
        <v>11</v>
      </c>
      <c r="B207" s="78">
        <v>30</v>
      </c>
      <c r="C207" s="78">
        <v>21</v>
      </c>
      <c r="D207" s="79" t="s">
        <v>2809</v>
      </c>
      <c r="E207" s="79" t="s">
        <v>211</v>
      </c>
      <c r="F207" s="80" t="s">
        <v>2806</v>
      </c>
      <c r="G207" s="79" t="s">
        <v>2282</v>
      </c>
      <c r="H207" s="80" t="s">
        <v>2802</v>
      </c>
      <c r="I207" s="80">
        <v>1155.31</v>
      </c>
      <c r="J207" s="25">
        <v>7394</v>
      </c>
      <c r="K207" s="25"/>
      <c r="L207" s="81"/>
    </row>
    <row r="208" s="1" customFormat="1" ht="14.25" spans="1:12">
      <c r="A208" s="77">
        <v>11</v>
      </c>
      <c r="B208" s="78">
        <v>30</v>
      </c>
      <c r="C208" s="78">
        <v>22</v>
      </c>
      <c r="D208" s="79" t="s">
        <v>2810</v>
      </c>
      <c r="E208" s="79" t="s">
        <v>118</v>
      </c>
      <c r="F208" s="80" t="s">
        <v>136</v>
      </c>
      <c r="G208" s="79" t="s">
        <v>2282</v>
      </c>
      <c r="H208" s="80" t="s">
        <v>2811</v>
      </c>
      <c r="I208" s="80">
        <v>946.88</v>
      </c>
      <c r="J208" s="25">
        <v>6060</v>
      </c>
      <c r="K208" s="25"/>
      <c r="L208" s="81"/>
    </row>
    <row r="209" s="1" customFormat="1" ht="14.25" spans="1:12">
      <c r="A209" s="77">
        <v>11</v>
      </c>
      <c r="B209" s="78">
        <v>30</v>
      </c>
      <c r="C209" s="78">
        <v>22</v>
      </c>
      <c r="D209" s="79" t="s">
        <v>2812</v>
      </c>
      <c r="E209" s="79" t="s">
        <v>118</v>
      </c>
      <c r="F209" s="79" t="s">
        <v>136</v>
      </c>
      <c r="G209" s="79" t="s">
        <v>2282</v>
      </c>
      <c r="H209" s="80" t="s">
        <v>2811</v>
      </c>
      <c r="I209" s="80">
        <v>603.13</v>
      </c>
      <c r="J209" s="25">
        <v>3860</v>
      </c>
      <c r="K209" s="25"/>
      <c r="L209" s="81"/>
    </row>
    <row r="210" s="1" customFormat="1" ht="14.25" spans="1:12">
      <c r="A210" s="77">
        <v>11</v>
      </c>
      <c r="B210" s="78">
        <v>30</v>
      </c>
      <c r="C210" s="78">
        <v>22</v>
      </c>
      <c r="D210" s="79" t="s">
        <v>2813</v>
      </c>
      <c r="E210" s="79" t="s">
        <v>118</v>
      </c>
      <c r="F210" s="79" t="s">
        <v>136</v>
      </c>
      <c r="G210" s="79" t="s">
        <v>2282</v>
      </c>
      <c r="H210" s="80" t="s">
        <v>2811</v>
      </c>
      <c r="I210" s="80">
        <v>4390.63</v>
      </c>
      <c r="J210" s="25">
        <v>28100</v>
      </c>
      <c r="K210" s="25"/>
      <c r="L210" s="81"/>
    </row>
    <row r="211" s="1" customFormat="1" ht="14.25" spans="1:12">
      <c r="A211" s="77">
        <v>11</v>
      </c>
      <c r="B211" s="78">
        <v>30</v>
      </c>
      <c r="C211" s="78">
        <v>22</v>
      </c>
      <c r="D211" s="79" t="s">
        <v>2814</v>
      </c>
      <c r="E211" s="79" t="s">
        <v>211</v>
      </c>
      <c r="F211" s="79" t="s">
        <v>2815</v>
      </c>
      <c r="G211" s="79" t="s">
        <v>2282</v>
      </c>
      <c r="H211" s="80" t="s">
        <v>2811</v>
      </c>
      <c r="I211" s="80">
        <v>362.5</v>
      </c>
      <c r="J211" s="25">
        <v>2320</v>
      </c>
      <c r="K211" s="25"/>
      <c r="L211" s="81"/>
    </row>
    <row r="212" s="1" customFormat="1" ht="14.25" spans="1:12">
      <c r="A212" s="77">
        <v>11</v>
      </c>
      <c r="B212" s="78">
        <v>30</v>
      </c>
      <c r="C212" s="78">
        <v>22</v>
      </c>
      <c r="D212" s="79" t="s">
        <v>2816</v>
      </c>
      <c r="E212" s="79" t="s">
        <v>118</v>
      </c>
      <c r="F212" s="79" t="s">
        <v>136</v>
      </c>
      <c r="G212" s="79" t="s">
        <v>2282</v>
      </c>
      <c r="H212" s="80" t="s">
        <v>2811</v>
      </c>
      <c r="I212" s="80">
        <v>460.94</v>
      </c>
      <c r="J212" s="25">
        <v>2950</v>
      </c>
      <c r="K212" s="25"/>
      <c r="L212" s="81"/>
    </row>
    <row r="213" s="1" customFormat="1" ht="14.25" spans="1:12">
      <c r="A213" s="77">
        <v>11</v>
      </c>
      <c r="B213" s="78">
        <v>30</v>
      </c>
      <c r="C213" s="78">
        <v>22</v>
      </c>
      <c r="D213" s="79" t="s">
        <v>2817</v>
      </c>
      <c r="E213" s="79" t="s">
        <v>118</v>
      </c>
      <c r="F213" s="79" t="s">
        <v>136</v>
      </c>
      <c r="G213" s="79" t="s">
        <v>2282</v>
      </c>
      <c r="H213" s="80" t="s">
        <v>2818</v>
      </c>
      <c r="I213" s="80">
        <v>1750</v>
      </c>
      <c r="J213" s="25">
        <v>11200</v>
      </c>
      <c r="K213" s="25"/>
      <c r="L213" s="81"/>
    </row>
    <row r="214" s="1" customFormat="1" ht="14.25" spans="1:12">
      <c r="A214" s="77">
        <v>11</v>
      </c>
      <c r="B214" s="78">
        <v>30</v>
      </c>
      <c r="C214" s="78">
        <v>22</v>
      </c>
      <c r="D214" s="79" t="s">
        <v>2819</v>
      </c>
      <c r="E214" s="79" t="s">
        <v>118</v>
      </c>
      <c r="F214" s="79" t="s">
        <v>136</v>
      </c>
      <c r="G214" s="79" t="s">
        <v>2282</v>
      </c>
      <c r="H214" s="80" t="s">
        <v>2818</v>
      </c>
      <c r="I214" s="80">
        <v>61.88</v>
      </c>
      <c r="J214" s="25">
        <v>396</v>
      </c>
      <c r="K214" s="25"/>
      <c r="L214" s="81"/>
    </row>
    <row r="215" s="1" customFormat="1" ht="14.25" spans="1:12">
      <c r="A215" s="77">
        <v>11</v>
      </c>
      <c r="B215" s="78">
        <v>30</v>
      </c>
      <c r="C215" s="78">
        <v>22</v>
      </c>
      <c r="D215" s="79" t="s">
        <v>2820</v>
      </c>
      <c r="E215" s="79" t="s">
        <v>118</v>
      </c>
      <c r="F215" s="79" t="s">
        <v>136</v>
      </c>
      <c r="G215" s="79" t="s">
        <v>2282</v>
      </c>
      <c r="H215" s="80" t="s">
        <v>2818</v>
      </c>
      <c r="I215" s="80">
        <v>73.91</v>
      </c>
      <c r="J215" s="25">
        <v>473</v>
      </c>
      <c r="K215" s="25"/>
      <c r="L215" s="81"/>
    </row>
    <row r="216" s="1" customFormat="1" ht="14.25" spans="1:12">
      <c r="A216" s="77">
        <v>11</v>
      </c>
      <c r="B216" s="78">
        <v>30</v>
      </c>
      <c r="C216" s="78">
        <v>22</v>
      </c>
      <c r="D216" s="79" t="s">
        <v>2821</v>
      </c>
      <c r="E216" s="79" t="s">
        <v>118</v>
      </c>
      <c r="F216" s="79" t="s">
        <v>136</v>
      </c>
      <c r="G216" s="79" t="s">
        <v>2282</v>
      </c>
      <c r="H216" s="80" t="s">
        <v>2818</v>
      </c>
      <c r="I216" s="80">
        <v>48.44</v>
      </c>
      <c r="J216" s="25">
        <v>310</v>
      </c>
      <c r="K216" s="25"/>
      <c r="L216" s="81"/>
    </row>
    <row r="217" s="1" customFormat="1" ht="14.25" spans="1:12">
      <c r="A217" s="77">
        <v>11</v>
      </c>
      <c r="B217" s="78">
        <v>30</v>
      </c>
      <c r="C217" s="78">
        <v>22</v>
      </c>
      <c r="D217" s="79" t="s">
        <v>2822</v>
      </c>
      <c r="E217" s="79" t="s">
        <v>118</v>
      </c>
      <c r="F217" s="79" t="s">
        <v>136</v>
      </c>
      <c r="G217" s="79" t="s">
        <v>2282</v>
      </c>
      <c r="H217" s="80" t="s">
        <v>2818</v>
      </c>
      <c r="I217" s="80">
        <v>166.41</v>
      </c>
      <c r="J217" s="25">
        <v>1065</v>
      </c>
      <c r="K217" s="25"/>
      <c r="L217" s="81"/>
    </row>
    <row r="218" s="1" customFormat="1" ht="14.25" spans="1:12">
      <c r="A218" s="77">
        <v>11</v>
      </c>
      <c r="B218" s="78">
        <v>30</v>
      </c>
      <c r="C218" s="78">
        <v>23</v>
      </c>
      <c r="D218" s="79" t="s">
        <v>2823</v>
      </c>
      <c r="E218" s="79" t="s">
        <v>118</v>
      </c>
      <c r="F218" s="79" t="s">
        <v>154</v>
      </c>
      <c r="G218" s="79" t="s">
        <v>2282</v>
      </c>
      <c r="H218" s="80" t="s">
        <v>2824</v>
      </c>
      <c r="I218" s="80">
        <v>62.5</v>
      </c>
      <c r="J218" s="25">
        <v>400</v>
      </c>
      <c r="K218" s="25"/>
      <c r="L218" s="81"/>
    </row>
    <row r="219" s="1" customFormat="1" ht="14.25" spans="1:12">
      <c r="A219" s="77">
        <v>11</v>
      </c>
      <c r="B219" s="78">
        <v>30</v>
      </c>
      <c r="C219" s="78">
        <v>23</v>
      </c>
      <c r="D219" s="79" t="s">
        <v>2825</v>
      </c>
      <c r="E219" s="79" t="s">
        <v>118</v>
      </c>
      <c r="F219" s="79" t="s">
        <v>154</v>
      </c>
      <c r="G219" s="79" t="s">
        <v>2282</v>
      </c>
      <c r="H219" s="80" t="s">
        <v>2824</v>
      </c>
      <c r="I219" s="80">
        <v>68.75</v>
      </c>
      <c r="J219" s="25">
        <v>440</v>
      </c>
      <c r="K219" s="25"/>
      <c r="L219" s="81"/>
    </row>
    <row r="220" s="1" customFormat="1" ht="14.25" spans="1:12">
      <c r="A220" s="77">
        <v>11</v>
      </c>
      <c r="B220" s="78">
        <v>30</v>
      </c>
      <c r="C220" s="78">
        <v>23</v>
      </c>
      <c r="D220" s="79" t="s">
        <v>2826</v>
      </c>
      <c r="E220" s="79" t="s">
        <v>118</v>
      </c>
      <c r="F220" s="79" t="s">
        <v>136</v>
      </c>
      <c r="G220" s="79" t="s">
        <v>2282</v>
      </c>
      <c r="H220" s="80" t="s">
        <v>2824</v>
      </c>
      <c r="I220" s="80">
        <v>2578.13</v>
      </c>
      <c r="J220" s="25">
        <v>16500</v>
      </c>
      <c r="K220" s="25"/>
      <c r="L220" s="81"/>
    </row>
    <row r="221" s="1" customFormat="1" ht="14.25" spans="1:12">
      <c r="A221" s="77">
        <v>11</v>
      </c>
      <c r="B221" s="78">
        <v>30</v>
      </c>
      <c r="C221" s="78">
        <v>23</v>
      </c>
      <c r="D221" s="79" t="s">
        <v>2827</v>
      </c>
      <c r="E221" s="79" t="s">
        <v>118</v>
      </c>
      <c r="F221" s="79" t="s">
        <v>136</v>
      </c>
      <c r="G221" s="79" t="s">
        <v>2282</v>
      </c>
      <c r="H221" s="80" t="s">
        <v>2824</v>
      </c>
      <c r="I221" s="80">
        <v>3101.56</v>
      </c>
      <c r="J221" s="25">
        <v>19850</v>
      </c>
      <c r="K221" s="25"/>
      <c r="L221" s="81"/>
    </row>
    <row r="222" s="1" customFormat="1" ht="14.25" spans="1:12">
      <c r="A222" s="77">
        <v>11</v>
      </c>
      <c r="B222" s="78">
        <v>30</v>
      </c>
      <c r="C222" s="78">
        <v>23</v>
      </c>
      <c r="D222" s="79" t="s">
        <v>2828</v>
      </c>
      <c r="E222" s="79" t="s">
        <v>118</v>
      </c>
      <c r="F222" s="79" t="s">
        <v>136</v>
      </c>
      <c r="G222" s="79" t="s">
        <v>2282</v>
      </c>
      <c r="H222" s="80" t="s">
        <v>2824</v>
      </c>
      <c r="I222" s="80">
        <v>1618.75</v>
      </c>
      <c r="J222" s="25">
        <v>10360</v>
      </c>
      <c r="K222" s="25"/>
      <c r="L222" s="81"/>
    </row>
    <row r="223" s="1" customFormat="1" ht="14.25" spans="1:12">
      <c r="A223" s="77">
        <v>11</v>
      </c>
      <c r="B223" s="78">
        <v>30</v>
      </c>
      <c r="C223" s="78">
        <v>23</v>
      </c>
      <c r="D223" s="79" t="s">
        <v>2829</v>
      </c>
      <c r="E223" s="79" t="s">
        <v>118</v>
      </c>
      <c r="F223" s="80" t="s">
        <v>136</v>
      </c>
      <c r="G223" s="79" t="s">
        <v>2282</v>
      </c>
      <c r="H223" s="80" t="s">
        <v>2830</v>
      </c>
      <c r="I223" s="80">
        <v>1000</v>
      </c>
      <c r="J223" s="25">
        <v>6400</v>
      </c>
      <c r="K223" s="25"/>
      <c r="L223" s="81"/>
    </row>
    <row r="224" s="1" customFormat="1" ht="14.25" spans="1:12">
      <c r="A224" s="77">
        <v>11</v>
      </c>
      <c r="B224" s="78">
        <v>30</v>
      </c>
      <c r="C224" s="78">
        <v>23</v>
      </c>
      <c r="D224" s="79" t="s">
        <v>2831</v>
      </c>
      <c r="E224" s="79" t="s">
        <v>48</v>
      </c>
      <c r="F224" s="79" t="s">
        <v>209</v>
      </c>
      <c r="G224" s="79" t="s">
        <v>2282</v>
      </c>
      <c r="H224" s="80" t="s">
        <v>2830</v>
      </c>
      <c r="I224" s="80">
        <v>628.91</v>
      </c>
      <c r="J224" s="25">
        <v>4025</v>
      </c>
      <c r="K224" s="25"/>
      <c r="L224" s="81"/>
    </row>
    <row r="225" s="1" customFormat="1" ht="14.25" spans="1:12">
      <c r="A225" s="77">
        <v>11</v>
      </c>
      <c r="B225" s="78">
        <v>30</v>
      </c>
      <c r="C225" s="78">
        <v>23</v>
      </c>
      <c r="D225" s="79" t="s">
        <v>2832</v>
      </c>
      <c r="E225" s="79" t="s">
        <v>118</v>
      </c>
      <c r="F225" s="80" t="s">
        <v>741</v>
      </c>
      <c r="G225" s="79" t="s">
        <v>2282</v>
      </c>
      <c r="H225" s="80" t="s">
        <v>2830</v>
      </c>
      <c r="I225" s="80">
        <v>148.44</v>
      </c>
      <c r="J225" s="25">
        <v>950</v>
      </c>
      <c r="K225" s="25"/>
      <c r="L225" s="81"/>
    </row>
    <row r="226" s="1" customFormat="1" ht="14.25" spans="1:12">
      <c r="A226" s="77">
        <v>11</v>
      </c>
      <c r="B226" s="78">
        <v>30</v>
      </c>
      <c r="C226" s="78">
        <v>24</v>
      </c>
      <c r="D226" s="79" t="s">
        <v>2833</v>
      </c>
      <c r="E226" s="79" t="s">
        <v>85</v>
      </c>
      <c r="F226" s="79" t="s">
        <v>2616</v>
      </c>
      <c r="G226" s="79" t="s">
        <v>2282</v>
      </c>
      <c r="H226" s="80" t="s">
        <v>2834</v>
      </c>
      <c r="I226" s="80">
        <v>12496.03</v>
      </c>
      <c r="J226" s="25">
        <v>79974.6</v>
      </c>
      <c r="K226" s="25"/>
      <c r="L226" s="81"/>
    </row>
    <row r="227" s="1" customFormat="1" ht="14.25" spans="1:12">
      <c r="A227" s="77">
        <v>11</v>
      </c>
      <c r="B227" s="78">
        <v>30</v>
      </c>
      <c r="C227" s="78">
        <v>24</v>
      </c>
      <c r="D227" s="79" t="s">
        <v>2835</v>
      </c>
      <c r="E227" s="79" t="s">
        <v>85</v>
      </c>
      <c r="F227" s="79" t="s">
        <v>2616</v>
      </c>
      <c r="G227" s="79" t="s">
        <v>2282</v>
      </c>
      <c r="H227" s="80" t="s">
        <v>2834</v>
      </c>
      <c r="I227" s="80">
        <v>2882.66</v>
      </c>
      <c r="J227" s="25">
        <v>18449</v>
      </c>
      <c r="K227" s="25"/>
      <c r="L227" s="81"/>
    </row>
    <row r="228" s="1" customFormat="1" ht="14.25" spans="1:12">
      <c r="A228" s="77">
        <v>11</v>
      </c>
      <c r="B228" s="78">
        <v>30</v>
      </c>
      <c r="C228" s="78">
        <v>24</v>
      </c>
      <c r="D228" s="79" t="s">
        <v>2836</v>
      </c>
      <c r="E228" s="79" t="s">
        <v>85</v>
      </c>
      <c r="F228" s="79" t="s">
        <v>2616</v>
      </c>
      <c r="G228" s="79" t="s">
        <v>2282</v>
      </c>
      <c r="H228" s="80" t="s">
        <v>2834</v>
      </c>
      <c r="I228" s="80">
        <v>14203.59</v>
      </c>
      <c r="J228" s="25">
        <v>90903</v>
      </c>
      <c r="K228" s="25"/>
      <c r="L228" s="81"/>
    </row>
    <row r="229" s="1" customFormat="1" ht="14.25" spans="1:12">
      <c r="A229" s="77">
        <v>11</v>
      </c>
      <c r="B229" s="78">
        <v>30</v>
      </c>
      <c r="C229" s="78">
        <v>24</v>
      </c>
      <c r="D229" s="79" t="s">
        <v>2837</v>
      </c>
      <c r="E229" s="79" t="s">
        <v>85</v>
      </c>
      <c r="F229" s="79" t="s">
        <v>2616</v>
      </c>
      <c r="G229" s="79" t="s">
        <v>2282</v>
      </c>
      <c r="H229" s="80" t="s">
        <v>2834</v>
      </c>
      <c r="I229" s="80">
        <v>13975</v>
      </c>
      <c r="J229" s="25">
        <v>89440</v>
      </c>
      <c r="K229" s="25"/>
      <c r="L229" s="81"/>
    </row>
    <row r="230" s="1" customFormat="1" ht="14.25" spans="1:12">
      <c r="A230" s="77">
        <v>11</v>
      </c>
      <c r="B230" s="78">
        <v>30</v>
      </c>
      <c r="C230" s="78">
        <v>24</v>
      </c>
      <c r="D230" s="79" t="s">
        <v>2838</v>
      </c>
      <c r="E230" s="79" t="s">
        <v>85</v>
      </c>
      <c r="F230" s="79" t="s">
        <v>2616</v>
      </c>
      <c r="G230" s="79" t="s">
        <v>2282</v>
      </c>
      <c r="H230" s="80" t="s">
        <v>2834</v>
      </c>
      <c r="I230" s="80">
        <v>14042.34</v>
      </c>
      <c r="J230" s="25">
        <v>89871</v>
      </c>
      <c r="K230" s="25"/>
      <c r="L230" s="81"/>
    </row>
    <row r="231" s="1" customFormat="1" ht="14.25" spans="1:12">
      <c r="A231" s="77">
        <v>11</v>
      </c>
      <c r="B231" s="78">
        <v>30</v>
      </c>
      <c r="C231" s="78">
        <v>24</v>
      </c>
      <c r="D231" s="79" t="s">
        <v>2839</v>
      </c>
      <c r="E231" s="79" t="s">
        <v>85</v>
      </c>
      <c r="F231" s="79" t="s">
        <v>2616</v>
      </c>
      <c r="G231" s="79" t="s">
        <v>2282</v>
      </c>
      <c r="H231" s="80" t="s">
        <v>2834</v>
      </c>
      <c r="I231" s="80">
        <v>14042.34</v>
      </c>
      <c r="J231" s="25">
        <v>89871</v>
      </c>
      <c r="K231" s="25"/>
      <c r="L231" s="81"/>
    </row>
    <row r="232" s="1" customFormat="1" ht="14.25" spans="1:12">
      <c r="A232" s="77">
        <v>11</v>
      </c>
      <c r="B232" s="78">
        <v>30</v>
      </c>
      <c r="C232" s="78">
        <v>24</v>
      </c>
      <c r="D232" s="79" t="s">
        <v>2840</v>
      </c>
      <c r="E232" s="79" t="s">
        <v>85</v>
      </c>
      <c r="F232" s="79" t="s">
        <v>2616</v>
      </c>
      <c r="G232" s="79" t="s">
        <v>2282</v>
      </c>
      <c r="H232" s="80" t="s">
        <v>2834</v>
      </c>
      <c r="I232" s="80">
        <v>2578.13</v>
      </c>
      <c r="J232" s="25">
        <v>16500</v>
      </c>
      <c r="K232" s="25"/>
      <c r="L232" s="81"/>
    </row>
    <row r="233" s="1" customFormat="1" ht="14.25" spans="1:12">
      <c r="A233" s="77">
        <v>11</v>
      </c>
      <c r="B233" s="78">
        <v>30</v>
      </c>
      <c r="C233" s="78">
        <v>24</v>
      </c>
      <c r="D233" s="79" t="s">
        <v>2841</v>
      </c>
      <c r="E233" s="79" t="s">
        <v>85</v>
      </c>
      <c r="F233" s="79" t="s">
        <v>2616</v>
      </c>
      <c r="G233" s="79" t="s">
        <v>2282</v>
      </c>
      <c r="H233" s="80" t="s">
        <v>2834</v>
      </c>
      <c r="I233" s="80">
        <v>2578.13</v>
      </c>
      <c r="J233" s="25">
        <v>16500</v>
      </c>
      <c r="K233" s="25"/>
      <c r="L233" s="81"/>
    </row>
    <row r="234" s="1" customFormat="1" ht="14.25" spans="1:12">
      <c r="A234" s="77">
        <v>11</v>
      </c>
      <c r="B234" s="78">
        <v>30</v>
      </c>
      <c r="C234" s="78">
        <v>24</v>
      </c>
      <c r="D234" s="79" t="s">
        <v>2842</v>
      </c>
      <c r="E234" s="79" t="s">
        <v>85</v>
      </c>
      <c r="F234" s="79" t="s">
        <v>2616</v>
      </c>
      <c r="G234" s="79" t="s">
        <v>2282</v>
      </c>
      <c r="H234" s="80" t="s">
        <v>2834</v>
      </c>
      <c r="I234" s="80">
        <v>2578.13</v>
      </c>
      <c r="J234" s="25">
        <v>16500</v>
      </c>
      <c r="K234" s="25"/>
      <c r="L234" s="81"/>
    </row>
    <row r="235" s="1" customFormat="1" ht="14.25" spans="1:12">
      <c r="A235" s="77">
        <v>11</v>
      </c>
      <c r="B235" s="78">
        <v>30</v>
      </c>
      <c r="C235" s="78">
        <v>17</v>
      </c>
      <c r="D235" s="79" t="s">
        <v>2843</v>
      </c>
      <c r="E235" s="79" t="s">
        <v>291</v>
      </c>
      <c r="F235" s="79" t="s">
        <v>379</v>
      </c>
      <c r="G235" s="79" t="s">
        <v>2282</v>
      </c>
      <c r="H235" s="80" t="s">
        <v>2844</v>
      </c>
      <c r="I235" s="80">
        <v>37812.5</v>
      </c>
      <c r="J235" s="25">
        <v>242000</v>
      </c>
      <c r="K235" s="25"/>
      <c r="L235" s="81"/>
    </row>
    <row r="236" s="1" customFormat="1" ht="14.25" spans="1:12">
      <c r="A236" s="77">
        <v>11</v>
      </c>
      <c r="B236" s="78">
        <v>30</v>
      </c>
      <c r="C236" s="78">
        <v>17</v>
      </c>
      <c r="D236" s="79" t="s">
        <v>2845</v>
      </c>
      <c r="E236" s="79" t="s">
        <v>291</v>
      </c>
      <c r="F236" s="79" t="s">
        <v>379</v>
      </c>
      <c r="G236" s="79" t="s">
        <v>2282</v>
      </c>
      <c r="H236" s="80" t="s">
        <v>2844</v>
      </c>
      <c r="I236" s="80">
        <v>110000</v>
      </c>
      <c r="J236" s="25">
        <v>704000</v>
      </c>
      <c r="K236" s="25"/>
      <c r="L236" s="81"/>
    </row>
    <row r="237" s="1" customFormat="1" ht="14.25" spans="1:12">
      <c r="A237" s="77">
        <v>11</v>
      </c>
      <c r="B237" s="78">
        <v>30</v>
      </c>
      <c r="C237" s="78">
        <v>17</v>
      </c>
      <c r="D237" s="79" t="s">
        <v>2846</v>
      </c>
      <c r="E237" s="79" t="s">
        <v>291</v>
      </c>
      <c r="F237" s="79" t="s">
        <v>379</v>
      </c>
      <c r="G237" s="79" t="s">
        <v>2282</v>
      </c>
      <c r="H237" s="80" t="s">
        <v>2844</v>
      </c>
      <c r="I237" s="80">
        <v>50300.31</v>
      </c>
      <c r="J237" s="25">
        <v>321922</v>
      </c>
      <c r="K237" s="25"/>
      <c r="L237" s="81"/>
    </row>
    <row r="238" s="1" customFormat="1" ht="14.25" spans="1:12">
      <c r="A238" s="77">
        <v>11</v>
      </c>
      <c r="B238" s="78">
        <v>30</v>
      </c>
      <c r="C238" s="78">
        <v>17</v>
      </c>
      <c r="D238" s="79" t="s">
        <v>2847</v>
      </c>
      <c r="E238" s="79" t="s">
        <v>291</v>
      </c>
      <c r="F238" s="79" t="s">
        <v>379</v>
      </c>
      <c r="G238" s="79" t="s">
        <v>2282</v>
      </c>
      <c r="H238" s="80" t="s">
        <v>2844</v>
      </c>
      <c r="I238" s="80">
        <v>30687.5</v>
      </c>
      <c r="J238" s="25">
        <v>196400</v>
      </c>
      <c r="K238" s="25"/>
      <c r="L238" s="81"/>
    </row>
    <row r="239" s="1" customFormat="1" ht="14.25" spans="1:12">
      <c r="A239" s="77">
        <v>11</v>
      </c>
      <c r="B239" s="78">
        <v>30</v>
      </c>
      <c r="C239" s="78">
        <v>17</v>
      </c>
      <c r="D239" s="79" t="s">
        <v>2848</v>
      </c>
      <c r="E239" s="79" t="s">
        <v>291</v>
      </c>
      <c r="F239" s="79" t="s">
        <v>379</v>
      </c>
      <c r="G239" s="79" t="s">
        <v>2282</v>
      </c>
      <c r="H239" s="80" t="s">
        <v>2844</v>
      </c>
      <c r="I239" s="80">
        <v>875</v>
      </c>
      <c r="J239" s="25">
        <v>5600</v>
      </c>
      <c r="K239" s="25"/>
      <c r="L239" s="81"/>
    </row>
    <row r="240" s="1" customFormat="1" ht="14.25" spans="1:12">
      <c r="A240" s="77">
        <v>11</v>
      </c>
      <c r="B240" s="78">
        <v>30</v>
      </c>
      <c r="C240" s="78">
        <v>17</v>
      </c>
      <c r="D240" s="79" t="s">
        <v>2849</v>
      </c>
      <c r="E240" s="79" t="s">
        <v>291</v>
      </c>
      <c r="F240" s="79" t="s">
        <v>379</v>
      </c>
      <c r="G240" s="79" t="s">
        <v>2282</v>
      </c>
      <c r="H240" s="80" t="s">
        <v>2844</v>
      </c>
      <c r="I240" s="80">
        <v>7318.75</v>
      </c>
      <c r="J240" s="25">
        <v>46840</v>
      </c>
      <c r="K240" s="25"/>
      <c r="L240" s="81"/>
    </row>
    <row r="241" s="1" customFormat="1" ht="14.25" spans="1:12">
      <c r="A241" s="77">
        <v>11</v>
      </c>
      <c r="B241" s="78">
        <v>30</v>
      </c>
      <c r="C241" s="78">
        <v>17</v>
      </c>
      <c r="D241" s="79" t="s">
        <v>2850</v>
      </c>
      <c r="E241" s="79" t="s">
        <v>291</v>
      </c>
      <c r="F241" s="79" t="s">
        <v>379</v>
      </c>
      <c r="G241" s="79" t="s">
        <v>2282</v>
      </c>
      <c r="H241" s="80" t="s">
        <v>2844</v>
      </c>
      <c r="I241" s="80">
        <v>5196.06</v>
      </c>
      <c r="J241" s="25">
        <v>33254.76</v>
      </c>
      <c r="K241" s="25"/>
      <c r="L241" s="81"/>
    </row>
    <row r="242" s="1" customFormat="1" ht="14.25" spans="1:12">
      <c r="A242" s="77">
        <v>11</v>
      </c>
      <c r="B242" s="78">
        <v>30</v>
      </c>
      <c r="C242" s="78">
        <v>17</v>
      </c>
      <c r="D242" s="79" t="s">
        <v>2851</v>
      </c>
      <c r="E242" s="79" t="s">
        <v>291</v>
      </c>
      <c r="F242" s="79" t="s">
        <v>379</v>
      </c>
      <c r="G242" s="79" t="s">
        <v>2282</v>
      </c>
      <c r="H242" s="80" t="s">
        <v>2844</v>
      </c>
      <c r="I242" s="80">
        <v>65607.81</v>
      </c>
      <c r="J242" s="25">
        <v>419890</v>
      </c>
      <c r="K242" s="25"/>
      <c r="L242" s="81"/>
    </row>
    <row r="243" s="1" customFormat="1" ht="14.25" spans="1:12">
      <c r="A243" s="77">
        <v>11</v>
      </c>
      <c r="B243" s="78">
        <v>30</v>
      </c>
      <c r="C243" s="78">
        <v>25</v>
      </c>
      <c r="D243" s="79" t="s">
        <v>2852</v>
      </c>
      <c r="E243" s="79" t="s">
        <v>100</v>
      </c>
      <c r="F243" s="79" t="s">
        <v>101</v>
      </c>
      <c r="G243" s="79" t="s">
        <v>2282</v>
      </c>
      <c r="H243" s="80" t="s">
        <v>2853</v>
      </c>
      <c r="I243" s="80">
        <v>120971.96</v>
      </c>
      <c r="J243" s="25">
        <v>774220.53</v>
      </c>
      <c r="K243" s="25"/>
      <c r="L243" s="81"/>
    </row>
    <row r="244" s="1" customFormat="1" ht="14.25" spans="1:12">
      <c r="A244" s="77">
        <v>11</v>
      </c>
      <c r="B244" s="78">
        <v>30</v>
      </c>
      <c r="C244" s="78">
        <v>25</v>
      </c>
      <c r="D244" s="79" t="s">
        <v>2854</v>
      </c>
      <c r="E244" s="79" t="s">
        <v>118</v>
      </c>
      <c r="F244" s="79" t="s">
        <v>55</v>
      </c>
      <c r="G244" s="79" t="s">
        <v>2282</v>
      </c>
      <c r="H244" s="80" t="s">
        <v>2855</v>
      </c>
      <c r="I244" s="80">
        <v>64312.5</v>
      </c>
      <c r="J244" s="25">
        <v>411600</v>
      </c>
      <c r="K244" s="25"/>
      <c r="L244" s="81"/>
    </row>
    <row r="245" s="1" customFormat="1" ht="14.25" spans="1:12">
      <c r="A245" s="77">
        <v>11</v>
      </c>
      <c r="B245" s="78">
        <v>30</v>
      </c>
      <c r="C245" s="78">
        <v>25</v>
      </c>
      <c r="D245" s="79" t="s">
        <v>2856</v>
      </c>
      <c r="E245" s="79" t="s">
        <v>118</v>
      </c>
      <c r="F245" s="79" t="s">
        <v>154</v>
      </c>
      <c r="G245" s="79" t="s">
        <v>2282</v>
      </c>
      <c r="H245" s="80" t="s">
        <v>2855</v>
      </c>
      <c r="I245" s="80">
        <v>79875</v>
      </c>
      <c r="J245" s="25">
        <v>511200</v>
      </c>
      <c r="K245" s="25"/>
      <c r="L245" s="81"/>
    </row>
    <row r="246" s="1" customFormat="1" ht="14.25" spans="1:12">
      <c r="A246" s="77">
        <v>11</v>
      </c>
      <c r="B246" s="78">
        <v>30</v>
      </c>
      <c r="C246" s="78">
        <v>25</v>
      </c>
      <c r="D246" s="79" t="s">
        <v>2857</v>
      </c>
      <c r="E246" s="79" t="s">
        <v>118</v>
      </c>
      <c r="F246" s="79" t="s">
        <v>55</v>
      </c>
      <c r="G246" s="79" t="s">
        <v>2282</v>
      </c>
      <c r="H246" s="80" t="s">
        <v>2855</v>
      </c>
      <c r="I246" s="80">
        <v>195733.28</v>
      </c>
      <c r="J246" s="25">
        <v>1252693</v>
      </c>
      <c r="K246" s="25"/>
      <c r="L246" s="81"/>
    </row>
    <row r="247" s="1" customFormat="1" ht="14.25" spans="1:12">
      <c r="A247" s="77">
        <v>11</v>
      </c>
      <c r="B247" s="78">
        <v>30</v>
      </c>
      <c r="C247" s="78">
        <v>25</v>
      </c>
      <c r="D247" s="79" t="s">
        <v>2858</v>
      </c>
      <c r="E247" s="79" t="s">
        <v>118</v>
      </c>
      <c r="F247" s="79" t="s">
        <v>741</v>
      </c>
      <c r="G247" s="79" t="s">
        <v>2282</v>
      </c>
      <c r="H247" s="80" t="s">
        <v>2855</v>
      </c>
      <c r="I247" s="80">
        <v>10250</v>
      </c>
      <c r="J247" s="25">
        <v>65600</v>
      </c>
      <c r="K247" s="25"/>
      <c r="L247" s="81"/>
    </row>
    <row r="248" s="1" customFormat="1" ht="14.25" spans="1:12">
      <c r="A248" s="77">
        <v>11</v>
      </c>
      <c r="B248" s="78">
        <v>30</v>
      </c>
      <c r="C248" s="78">
        <v>25</v>
      </c>
      <c r="D248" s="79" t="s">
        <v>1266</v>
      </c>
      <c r="E248" s="79" t="s">
        <v>179</v>
      </c>
      <c r="F248" s="79" t="s">
        <v>516</v>
      </c>
      <c r="G248" s="79" t="s">
        <v>2282</v>
      </c>
      <c r="H248" s="80" t="s">
        <v>2855</v>
      </c>
      <c r="I248" s="80">
        <v>232812.5</v>
      </c>
      <c r="J248" s="25">
        <v>1490000</v>
      </c>
      <c r="K248" s="25"/>
      <c r="L248" s="81"/>
    </row>
    <row r="249" s="1" customFormat="1" ht="14.25" spans="1:12">
      <c r="A249" s="77">
        <v>11</v>
      </c>
      <c r="B249" s="78">
        <v>30</v>
      </c>
      <c r="C249" s="78">
        <v>25</v>
      </c>
      <c r="D249" s="79" t="s">
        <v>2859</v>
      </c>
      <c r="E249" s="79" t="s">
        <v>179</v>
      </c>
      <c r="F249" s="79" t="s">
        <v>516</v>
      </c>
      <c r="G249" s="79" t="s">
        <v>2282</v>
      </c>
      <c r="H249" s="80" t="s">
        <v>2860</v>
      </c>
      <c r="I249" s="80">
        <v>14062.5</v>
      </c>
      <c r="J249" s="25">
        <v>90000</v>
      </c>
      <c r="K249" s="25"/>
      <c r="L249" s="81"/>
    </row>
    <row r="250" s="1" customFormat="1" ht="14.25" spans="1:12">
      <c r="A250" s="77">
        <v>11</v>
      </c>
      <c r="B250" s="78">
        <v>30</v>
      </c>
      <c r="C250" s="78">
        <v>25</v>
      </c>
      <c r="D250" s="79" t="s">
        <v>2861</v>
      </c>
      <c r="E250" s="79" t="s">
        <v>118</v>
      </c>
      <c r="F250" s="79" t="s">
        <v>741</v>
      </c>
      <c r="G250" s="79" t="s">
        <v>2282</v>
      </c>
      <c r="H250" s="80" t="s">
        <v>2860</v>
      </c>
      <c r="I250" s="80">
        <v>15156.25</v>
      </c>
      <c r="J250" s="25">
        <v>97000</v>
      </c>
      <c r="K250" s="25"/>
      <c r="L250" s="81"/>
    </row>
    <row r="251" s="1" customFormat="1" ht="14.25" spans="1:12">
      <c r="A251" s="77">
        <v>11</v>
      </c>
      <c r="B251" s="78">
        <v>30</v>
      </c>
      <c r="C251" s="78">
        <v>26</v>
      </c>
      <c r="D251" s="79" t="s">
        <v>2862</v>
      </c>
      <c r="E251" s="79" t="s">
        <v>118</v>
      </c>
      <c r="F251" s="79" t="s">
        <v>55</v>
      </c>
      <c r="G251" s="79" t="s">
        <v>2282</v>
      </c>
      <c r="H251" s="80" t="s">
        <v>2863</v>
      </c>
      <c r="I251" s="80">
        <v>2917.19</v>
      </c>
      <c r="J251" s="25">
        <v>18670</v>
      </c>
      <c r="K251" s="25"/>
      <c r="L251" s="81"/>
    </row>
    <row r="252" s="1" customFormat="1" ht="14.25" spans="1:12">
      <c r="A252" s="77">
        <v>11</v>
      </c>
      <c r="B252" s="78">
        <v>30</v>
      </c>
      <c r="C252" s="78">
        <v>26</v>
      </c>
      <c r="D252" s="79" t="s">
        <v>2864</v>
      </c>
      <c r="E252" s="79" t="s">
        <v>118</v>
      </c>
      <c r="F252" s="79" t="s">
        <v>55</v>
      </c>
      <c r="G252" s="79" t="s">
        <v>2282</v>
      </c>
      <c r="H252" s="80" t="s">
        <v>2863</v>
      </c>
      <c r="I252" s="80">
        <v>500</v>
      </c>
      <c r="J252" s="25">
        <v>3200</v>
      </c>
      <c r="K252" s="25"/>
      <c r="L252" s="81"/>
    </row>
    <row r="253" s="1" customFormat="1" ht="14.25" spans="1:12">
      <c r="A253" s="77">
        <v>11</v>
      </c>
      <c r="B253" s="78">
        <v>30</v>
      </c>
      <c r="C253" s="78">
        <v>26</v>
      </c>
      <c r="D253" s="79" t="s">
        <v>2865</v>
      </c>
      <c r="E253" s="79" t="s">
        <v>118</v>
      </c>
      <c r="F253" s="79" t="s">
        <v>55</v>
      </c>
      <c r="G253" s="79" t="s">
        <v>2282</v>
      </c>
      <c r="H253" s="80" t="s">
        <v>2863</v>
      </c>
      <c r="I253" s="80">
        <v>2578.13</v>
      </c>
      <c r="J253" s="25">
        <v>16500</v>
      </c>
      <c r="K253" s="25"/>
      <c r="L253" s="81"/>
    </row>
    <row r="254" s="1" customFormat="1" ht="14.25" spans="1:12">
      <c r="A254" s="77">
        <v>11</v>
      </c>
      <c r="B254" s="78">
        <v>30</v>
      </c>
      <c r="C254" s="78">
        <v>26</v>
      </c>
      <c r="D254" s="79" t="s">
        <v>2866</v>
      </c>
      <c r="E254" s="79" t="s">
        <v>118</v>
      </c>
      <c r="F254" s="79" t="s">
        <v>154</v>
      </c>
      <c r="G254" s="79" t="s">
        <v>2282</v>
      </c>
      <c r="H254" s="80" t="s">
        <v>2863</v>
      </c>
      <c r="I254" s="80">
        <v>24302.34</v>
      </c>
      <c r="J254" s="25">
        <v>155535</v>
      </c>
      <c r="K254" s="25"/>
      <c r="L254" s="81"/>
    </row>
    <row r="255" s="1" customFormat="1" ht="14.25" spans="1:12">
      <c r="A255" s="77">
        <v>11</v>
      </c>
      <c r="B255" s="78">
        <v>30</v>
      </c>
      <c r="C255" s="78">
        <v>26</v>
      </c>
      <c r="D255" s="79" t="s">
        <v>2867</v>
      </c>
      <c r="E255" s="79" t="s">
        <v>118</v>
      </c>
      <c r="F255" s="79" t="s">
        <v>55</v>
      </c>
      <c r="G255" s="79" t="s">
        <v>2282</v>
      </c>
      <c r="H255" s="80" t="s">
        <v>2863</v>
      </c>
      <c r="I255" s="80">
        <v>1699.22</v>
      </c>
      <c r="J255" s="25">
        <v>10875</v>
      </c>
      <c r="K255" s="25"/>
      <c r="L255" s="81"/>
    </row>
    <row r="256" s="1" customFormat="1" ht="14.25" spans="1:12">
      <c r="A256" s="77">
        <v>11</v>
      </c>
      <c r="B256" s="78">
        <v>30</v>
      </c>
      <c r="C256" s="78">
        <v>26</v>
      </c>
      <c r="D256" s="79" t="s">
        <v>2868</v>
      </c>
      <c r="E256" s="79" t="s">
        <v>118</v>
      </c>
      <c r="F256" s="79" t="s">
        <v>741</v>
      </c>
      <c r="G256" s="79" t="s">
        <v>2282</v>
      </c>
      <c r="H256" s="80" t="s">
        <v>2869</v>
      </c>
      <c r="I256" s="80">
        <v>29125</v>
      </c>
      <c r="J256" s="25">
        <v>186400</v>
      </c>
      <c r="K256" s="25"/>
      <c r="L256" s="81"/>
    </row>
    <row r="257" s="1" customFormat="1" ht="14.25" spans="1:12">
      <c r="A257" s="77">
        <v>11</v>
      </c>
      <c r="B257" s="78">
        <v>30</v>
      </c>
      <c r="C257" s="78">
        <v>26</v>
      </c>
      <c r="D257" s="79" t="s">
        <v>2870</v>
      </c>
      <c r="E257" s="79" t="s">
        <v>118</v>
      </c>
      <c r="F257" s="79" t="s">
        <v>154</v>
      </c>
      <c r="G257" s="79" t="s">
        <v>2282</v>
      </c>
      <c r="H257" s="80" t="s">
        <v>2869</v>
      </c>
      <c r="I257" s="80">
        <v>11406.25</v>
      </c>
      <c r="J257" s="25">
        <v>73000</v>
      </c>
      <c r="K257" s="25"/>
      <c r="L257" s="81"/>
    </row>
    <row r="258" s="1" customFormat="1" ht="14.25" spans="1:12">
      <c r="A258" s="77">
        <v>11</v>
      </c>
      <c r="B258" s="78">
        <v>30</v>
      </c>
      <c r="C258" s="78">
        <v>26</v>
      </c>
      <c r="D258" s="79" t="s">
        <v>2871</v>
      </c>
      <c r="E258" s="79" t="s">
        <v>118</v>
      </c>
      <c r="F258" s="79" t="s">
        <v>2872</v>
      </c>
      <c r="G258" s="79" t="s">
        <v>2282</v>
      </c>
      <c r="H258" s="80" t="s">
        <v>2869</v>
      </c>
      <c r="I258" s="80">
        <v>15732.81</v>
      </c>
      <c r="J258" s="25">
        <v>100690</v>
      </c>
      <c r="K258" s="25"/>
      <c r="L258" s="81"/>
    </row>
    <row r="259" s="1" customFormat="1" ht="14.25" spans="1:12">
      <c r="A259" s="77">
        <v>11</v>
      </c>
      <c r="B259" s="78">
        <v>30</v>
      </c>
      <c r="C259" s="78">
        <v>26</v>
      </c>
      <c r="D259" s="79" t="s">
        <v>2873</v>
      </c>
      <c r="E259" s="79" t="s">
        <v>118</v>
      </c>
      <c r="F259" s="79" t="s">
        <v>55</v>
      </c>
      <c r="G259" s="79" t="s">
        <v>2282</v>
      </c>
      <c r="H259" s="80" t="s">
        <v>2869</v>
      </c>
      <c r="I259" s="80">
        <v>69359.38</v>
      </c>
      <c r="J259" s="25">
        <v>443900</v>
      </c>
      <c r="K259" s="25"/>
      <c r="L259" s="81"/>
    </row>
    <row r="260" s="1" customFormat="1" ht="14.25" spans="1:12">
      <c r="A260" s="77">
        <v>11</v>
      </c>
      <c r="B260" s="78">
        <v>30</v>
      </c>
      <c r="C260" s="78">
        <v>26</v>
      </c>
      <c r="D260" s="79" t="s">
        <v>2874</v>
      </c>
      <c r="E260" s="79" t="s">
        <v>118</v>
      </c>
      <c r="F260" s="79" t="s">
        <v>55</v>
      </c>
      <c r="G260" s="79" t="s">
        <v>2282</v>
      </c>
      <c r="H260" s="80" t="s">
        <v>2869</v>
      </c>
      <c r="I260" s="80">
        <v>28854.69</v>
      </c>
      <c r="J260" s="25">
        <v>184670</v>
      </c>
      <c r="K260" s="25"/>
      <c r="L260" s="81"/>
    </row>
    <row r="261" s="1" customFormat="1" ht="14.25" spans="1:12">
      <c r="A261" s="77">
        <v>11</v>
      </c>
      <c r="B261" s="78">
        <v>30</v>
      </c>
      <c r="C261" s="78">
        <v>27</v>
      </c>
      <c r="D261" s="79" t="s">
        <v>2875</v>
      </c>
      <c r="E261" s="79" t="s">
        <v>118</v>
      </c>
      <c r="F261" s="79" t="s">
        <v>55</v>
      </c>
      <c r="G261" s="79" t="s">
        <v>2282</v>
      </c>
      <c r="H261" s="80" t="s">
        <v>2876</v>
      </c>
      <c r="I261" s="80">
        <v>15537.5</v>
      </c>
      <c r="J261" s="25">
        <v>99440</v>
      </c>
      <c r="K261" s="25"/>
      <c r="L261" s="81"/>
    </row>
    <row r="262" s="1" customFormat="1" ht="14.25" spans="1:12">
      <c r="A262" s="77">
        <v>11</v>
      </c>
      <c r="B262" s="78">
        <v>30</v>
      </c>
      <c r="C262" s="78">
        <v>27</v>
      </c>
      <c r="D262" s="79" t="s">
        <v>2877</v>
      </c>
      <c r="E262" s="79" t="s">
        <v>118</v>
      </c>
      <c r="F262" s="79" t="s">
        <v>154</v>
      </c>
      <c r="G262" s="79" t="s">
        <v>2282</v>
      </c>
      <c r="H262" s="80" t="s">
        <v>2876</v>
      </c>
      <c r="I262" s="80">
        <v>7187.5</v>
      </c>
      <c r="J262" s="25">
        <v>46000</v>
      </c>
      <c r="K262" s="25"/>
      <c r="L262" s="81"/>
    </row>
    <row r="263" s="1" customFormat="1" ht="14.25" spans="1:12">
      <c r="A263" s="77">
        <v>11</v>
      </c>
      <c r="B263" s="78">
        <v>30</v>
      </c>
      <c r="C263" s="78">
        <v>27</v>
      </c>
      <c r="D263" s="79" t="s">
        <v>2878</v>
      </c>
      <c r="E263" s="79" t="s">
        <v>118</v>
      </c>
      <c r="F263" s="79" t="s">
        <v>154</v>
      </c>
      <c r="G263" s="79" t="s">
        <v>2282</v>
      </c>
      <c r="H263" s="80" t="s">
        <v>2876</v>
      </c>
      <c r="I263" s="80">
        <v>3281.25</v>
      </c>
      <c r="J263" s="25">
        <v>21000</v>
      </c>
      <c r="K263" s="25"/>
      <c r="L263" s="81"/>
    </row>
    <row r="264" s="1" customFormat="1" ht="14.25" spans="1:12">
      <c r="A264" s="77">
        <v>11</v>
      </c>
      <c r="B264" s="78">
        <v>30</v>
      </c>
      <c r="C264" s="78">
        <v>27</v>
      </c>
      <c r="D264" s="79" t="s">
        <v>2879</v>
      </c>
      <c r="E264" s="79" t="s">
        <v>118</v>
      </c>
      <c r="F264" s="79" t="s">
        <v>55</v>
      </c>
      <c r="G264" s="79" t="s">
        <v>2282</v>
      </c>
      <c r="H264" s="80" t="s">
        <v>2876</v>
      </c>
      <c r="I264" s="80">
        <v>7437.5</v>
      </c>
      <c r="J264" s="25">
        <v>47600</v>
      </c>
      <c r="K264" s="25"/>
      <c r="L264" s="81"/>
    </row>
    <row r="265" s="1" customFormat="1" ht="14.25" spans="1:12">
      <c r="A265" s="77">
        <v>11</v>
      </c>
      <c r="B265" s="78">
        <v>30</v>
      </c>
      <c r="C265" s="78">
        <v>27</v>
      </c>
      <c r="D265" s="79" t="s">
        <v>2880</v>
      </c>
      <c r="E265" s="79" t="s">
        <v>118</v>
      </c>
      <c r="F265" s="79" t="s">
        <v>55</v>
      </c>
      <c r="G265" s="79" t="s">
        <v>2282</v>
      </c>
      <c r="H265" s="80" t="s">
        <v>2876</v>
      </c>
      <c r="I265" s="80">
        <v>1575</v>
      </c>
      <c r="J265" s="25">
        <v>10080</v>
      </c>
      <c r="K265" s="25"/>
      <c r="L265" s="81"/>
    </row>
    <row r="266" s="1" customFormat="1" ht="14.25" spans="1:12">
      <c r="A266" s="77">
        <v>11</v>
      </c>
      <c r="B266" s="78">
        <v>30</v>
      </c>
      <c r="C266" s="78">
        <v>27</v>
      </c>
      <c r="D266" s="79" t="s">
        <v>2881</v>
      </c>
      <c r="E266" s="79" t="s">
        <v>118</v>
      </c>
      <c r="F266" s="79" t="s">
        <v>55</v>
      </c>
      <c r="G266" s="79" t="s">
        <v>2282</v>
      </c>
      <c r="H266" s="80" t="s">
        <v>2882</v>
      </c>
      <c r="I266" s="80">
        <v>507.03</v>
      </c>
      <c r="J266" s="25">
        <v>3245</v>
      </c>
      <c r="K266" s="25"/>
      <c r="L266" s="81"/>
    </row>
    <row r="267" s="1" customFormat="1" ht="14.25" spans="1:12">
      <c r="A267" s="77">
        <v>11</v>
      </c>
      <c r="B267" s="78">
        <v>30</v>
      </c>
      <c r="C267" s="78">
        <v>27</v>
      </c>
      <c r="D267" s="79" t="s">
        <v>2883</v>
      </c>
      <c r="E267" s="79" t="s">
        <v>118</v>
      </c>
      <c r="F267" s="79" t="s">
        <v>55</v>
      </c>
      <c r="G267" s="79" t="s">
        <v>2282</v>
      </c>
      <c r="H267" s="80" t="s">
        <v>2882</v>
      </c>
      <c r="I267" s="80">
        <v>687.5</v>
      </c>
      <c r="J267" s="25">
        <v>4400</v>
      </c>
      <c r="K267" s="25"/>
      <c r="L267" s="81"/>
    </row>
    <row r="268" s="1" customFormat="1" ht="14.25" spans="1:12">
      <c r="A268" s="77">
        <v>11</v>
      </c>
      <c r="B268" s="78">
        <v>30</v>
      </c>
      <c r="C268" s="78">
        <v>27</v>
      </c>
      <c r="D268" s="79" t="s">
        <v>2884</v>
      </c>
      <c r="E268" s="79" t="s">
        <v>118</v>
      </c>
      <c r="F268" s="79" t="s">
        <v>55</v>
      </c>
      <c r="G268" s="79" t="s">
        <v>2282</v>
      </c>
      <c r="H268" s="80" t="s">
        <v>2882</v>
      </c>
      <c r="I268" s="80">
        <v>93.75</v>
      </c>
      <c r="J268" s="25">
        <v>600</v>
      </c>
      <c r="K268" s="25"/>
      <c r="L268" s="81"/>
    </row>
    <row r="269" s="1" customFormat="1" ht="14.25" spans="1:12">
      <c r="A269" s="77">
        <v>11</v>
      </c>
      <c r="B269" s="78">
        <v>30</v>
      </c>
      <c r="C269" s="78">
        <v>27</v>
      </c>
      <c r="D269" s="79" t="s">
        <v>1684</v>
      </c>
      <c r="E269" s="79" t="s">
        <v>118</v>
      </c>
      <c r="F269" s="79" t="s">
        <v>55</v>
      </c>
      <c r="G269" s="79" t="s">
        <v>2282</v>
      </c>
      <c r="H269" s="80" t="s">
        <v>2882</v>
      </c>
      <c r="I269" s="80">
        <v>1125</v>
      </c>
      <c r="J269" s="25">
        <v>7200</v>
      </c>
      <c r="K269" s="25"/>
      <c r="L269" s="81"/>
    </row>
    <row r="270" s="1" customFormat="1" ht="14.25" spans="1:12">
      <c r="A270" s="77">
        <v>11</v>
      </c>
      <c r="B270" s="78">
        <v>30</v>
      </c>
      <c r="C270" s="78">
        <v>27</v>
      </c>
      <c r="D270" s="79" t="s">
        <v>2885</v>
      </c>
      <c r="E270" s="79" t="s">
        <v>118</v>
      </c>
      <c r="F270" s="80" t="s">
        <v>55</v>
      </c>
      <c r="G270" s="79" t="s">
        <v>2282</v>
      </c>
      <c r="H270" s="80" t="s">
        <v>2882</v>
      </c>
      <c r="I270" s="80">
        <v>2017.19</v>
      </c>
      <c r="J270" s="25">
        <v>12910</v>
      </c>
      <c r="K270" s="25"/>
      <c r="L270" s="81"/>
    </row>
    <row r="271" s="1" customFormat="1" ht="14.25" spans="1:12">
      <c r="A271" s="77">
        <v>11</v>
      </c>
      <c r="B271" s="78">
        <v>30</v>
      </c>
      <c r="C271" s="78">
        <v>28</v>
      </c>
      <c r="D271" s="79" t="s">
        <v>2886</v>
      </c>
      <c r="E271" s="79" t="s">
        <v>118</v>
      </c>
      <c r="F271" s="79" t="s">
        <v>55</v>
      </c>
      <c r="G271" s="79" t="s">
        <v>2282</v>
      </c>
      <c r="H271" s="80" t="s">
        <v>2887</v>
      </c>
      <c r="I271" s="80">
        <v>1507.81</v>
      </c>
      <c r="J271" s="25">
        <v>9650</v>
      </c>
      <c r="K271" s="25"/>
      <c r="L271" s="81"/>
    </row>
    <row r="272" s="1" customFormat="1" ht="14.25" spans="1:12">
      <c r="A272" s="77">
        <v>11</v>
      </c>
      <c r="B272" s="78">
        <v>30</v>
      </c>
      <c r="C272" s="78">
        <v>28</v>
      </c>
      <c r="D272" s="79" t="s">
        <v>2888</v>
      </c>
      <c r="E272" s="79" t="s">
        <v>118</v>
      </c>
      <c r="F272" s="79" t="s">
        <v>55</v>
      </c>
      <c r="G272" s="79" t="s">
        <v>2282</v>
      </c>
      <c r="H272" s="80" t="s">
        <v>2887</v>
      </c>
      <c r="I272" s="80">
        <v>8069.53</v>
      </c>
      <c r="J272" s="25">
        <v>51645</v>
      </c>
      <c r="K272" s="25"/>
      <c r="L272" s="81"/>
    </row>
    <row r="273" s="1" customFormat="1" ht="14.25" spans="1:12">
      <c r="A273" s="77">
        <v>11</v>
      </c>
      <c r="B273" s="78">
        <v>30</v>
      </c>
      <c r="C273" s="78">
        <v>28</v>
      </c>
      <c r="D273" s="79" t="s">
        <v>2889</v>
      </c>
      <c r="E273" s="79" t="s">
        <v>118</v>
      </c>
      <c r="F273" s="79" t="s">
        <v>55</v>
      </c>
      <c r="G273" s="79" t="s">
        <v>2282</v>
      </c>
      <c r="H273" s="80" t="s">
        <v>2887</v>
      </c>
      <c r="I273" s="80">
        <v>506.25</v>
      </c>
      <c r="J273" s="25">
        <v>3240</v>
      </c>
      <c r="K273" s="25"/>
      <c r="L273" s="81"/>
    </row>
    <row r="274" s="1" customFormat="1" ht="14.25" spans="1:12">
      <c r="A274" s="77">
        <v>11</v>
      </c>
      <c r="B274" s="78">
        <v>30</v>
      </c>
      <c r="C274" s="78">
        <v>28</v>
      </c>
      <c r="D274" s="79" t="s">
        <v>2890</v>
      </c>
      <c r="E274" s="79" t="s">
        <v>118</v>
      </c>
      <c r="F274" s="79" t="s">
        <v>55</v>
      </c>
      <c r="G274" s="79" t="s">
        <v>2282</v>
      </c>
      <c r="H274" s="80" t="s">
        <v>2887</v>
      </c>
      <c r="I274" s="80">
        <v>259.38</v>
      </c>
      <c r="J274" s="25">
        <v>1660</v>
      </c>
      <c r="K274" s="25"/>
      <c r="L274" s="81"/>
    </row>
    <row r="275" s="1" customFormat="1" ht="14.25" spans="1:12">
      <c r="A275" s="77">
        <v>11</v>
      </c>
      <c r="B275" s="78">
        <v>30</v>
      </c>
      <c r="C275" s="78">
        <v>28</v>
      </c>
      <c r="D275" s="79" t="s">
        <v>2891</v>
      </c>
      <c r="E275" s="79" t="s">
        <v>118</v>
      </c>
      <c r="F275" s="79" t="s">
        <v>55</v>
      </c>
      <c r="G275" s="79" t="s">
        <v>2282</v>
      </c>
      <c r="H275" s="80" t="s">
        <v>2887</v>
      </c>
      <c r="I275" s="80">
        <v>189.06</v>
      </c>
      <c r="J275" s="25">
        <v>1210</v>
      </c>
      <c r="K275" s="25"/>
      <c r="L275" s="81"/>
    </row>
    <row r="276" s="1" customFormat="1" ht="14.25" spans="1:12">
      <c r="A276" s="77">
        <v>11</v>
      </c>
      <c r="B276" s="78">
        <v>30</v>
      </c>
      <c r="C276" s="78">
        <v>28</v>
      </c>
      <c r="D276" s="79" t="s">
        <v>2892</v>
      </c>
      <c r="E276" s="79" t="s">
        <v>118</v>
      </c>
      <c r="F276" s="79" t="s">
        <v>55</v>
      </c>
      <c r="G276" s="79" t="s">
        <v>2282</v>
      </c>
      <c r="H276" s="80" t="s">
        <v>2893</v>
      </c>
      <c r="I276" s="80">
        <v>55</v>
      </c>
      <c r="J276" s="25">
        <v>352</v>
      </c>
      <c r="K276" s="25"/>
      <c r="L276" s="81"/>
    </row>
    <row r="277" s="1" customFormat="1" ht="14.25" spans="1:12">
      <c r="A277" s="77">
        <v>11</v>
      </c>
      <c r="B277" s="78">
        <v>30</v>
      </c>
      <c r="C277" s="78">
        <v>28</v>
      </c>
      <c r="D277" s="79" t="s">
        <v>2894</v>
      </c>
      <c r="E277" s="79" t="s">
        <v>118</v>
      </c>
      <c r="F277" s="79" t="s">
        <v>55</v>
      </c>
      <c r="G277" s="79" t="s">
        <v>2282</v>
      </c>
      <c r="H277" s="80" t="s">
        <v>2893</v>
      </c>
      <c r="I277" s="80">
        <v>591.72</v>
      </c>
      <c r="J277" s="25">
        <v>3787</v>
      </c>
      <c r="K277" s="25"/>
      <c r="L277" s="81"/>
    </row>
    <row r="278" s="1" customFormat="1" ht="14.25" spans="1:12">
      <c r="A278" s="77">
        <v>11</v>
      </c>
      <c r="B278" s="78">
        <v>30</v>
      </c>
      <c r="C278" s="78">
        <v>28</v>
      </c>
      <c r="D278" s="79" t="s">
        <v>2895</v>
      </c>
      <c r="E278" s="79" t="s">
        <v>118</v>
      </c>
      <c r="F278" s="79" t="s">
        <v>55</v>
      </c>
      <c r="G278" s="79" t="s">
        <v>2282</v>
      </c>
      <c r="H278" s="80" t="s">
        <v>2893</v>
      </c>
      <c r="I278" s="80">
        <v>145</v>
      </c>
      <c r="J278" s="25">
        <v>928</v>
      </c>
      <c r="K278" s="25"/>
      <c r="L278" s="81"/>
    </row>
    <row r="279" s="1" customFormat="1" ht="14.25" spans="1:12">
      <c r="A279" s="77">
        <v>11</v>
      </c>
      <c r="B279" s="78">
        <v>30</v>
      </c>
      <c r="C279" s="78">
        <v>28</v>
      </c>
      <c r="D279" s="79" t="s">
        <v>2896</v>
      </c>
      <c r="E279" s="79" t="s">
        <v>118</v>
      </c>
      <c r="F279" s="79" t="s">
        <v>55</v>
      </c>
      <c r="G279" s="79" t="s">
        <v>2282</v>
      </c>
      <c r="H279" s="80" t="s">
        <v>2893</v>
      </c>
      <c r="I279" s="80">
        <v>1093.75</v>
      </c>
      <c r="J279" s="25">
        <v>7000</v>
      </c>
      <c r="K279" s="25"/>
      <c r="L279" s="81"/>
    </row>
    <row r="280" s="1" customFormat="1" ht="14.25" spans="1:12">
      <c r="A280" s="77">
        <v>11</v>
      </c>
      <c r="B280" s="78">
        <v>30</v>
      </c>
      <c r="C280" s="78">
        <v>28</v>
      </c>
      <c r="D280" s="79" t="s">
        <v>2897</v>
      </c>
      <c r="E280" s="79" t="s">
        <v>118</v>
      </c>
      <c r="F280" s="79" t="s">
        <v>55</v>
      </c>
      <c r="G280" s="79" t="s">
        <v>2282</v>
      </c>
      <c r="H280" s="80" t="s">
        <v>2893</v>
      </c>
      <c r="I280" s="80">
        <v>1032.81</v>
      </c>
      <c r="J280" s="25">
        <v>6610</v>
      </c>
      <c r="K280" s="25"/>
      <c r="L280" s="81"/>
    </row>
    <row r="281" s="1" customFormat="1" ht="14.25" spans="1:12">
      <c r="A281" s="77">
        <v>11</v>
      </c>
      <c r="B281" s="78">
        <v>30</v>
      </c>
      <c r="C281" s="78">
        <v>29</v>
      </c>
      <c r="D281" s="79" t="s">
        <v>2898</v>
      </c>
      <c r="E281" s="79" t="s">
        <v>118</v>
      </c>
      <c r="F281" s="79" t="s">
        <v>55</v>
      </c>
      <c r="G281" s="79" t="s">
        <v>2282</v>
      </c>
      <c r="H281" s="80" t="s">
        <v>2899</v>
      </c>
      <c r="I281" s="80">
        <v>572.66</v>
      </c>
      <c r="J281" s="25">
        <v>3665</v>
      </c>
      <c r="K281" s="25"/>
      <c r="L281" s="81"/>
    </row>
    <row r="282" s="1" customFormat="1" ht="14.25" spans="1:12">
      <c r="A282" s="77">
        <v>11</v>
      </c>
      <c r="B282" s="78">
        <v>30</v>
      </c>
      <c r="C282" s="78">
        <v>29</v>
      </c>
      <c r="D282" s="79" t="s">
        <v>2900</v>
      </c>
      <c r="E282" s="79" t="s">
        <v>118</v>
      </c>
      <c r="F282" s="79" t="s">
        <v>55</v>
      </c>
      <c r="G282" s="79" t="s">
        <v>2282</v>
      </c>
      <c r="H282" s="80" t="s">
        <v>2899</v>
      </c>
      <c r="I282" s="80">
        <v>102.5</v>
      </c>
      <c r="J282" s="25">
        <v>656</v>
      </c>
      <c r="K282" s="25"/>
      <c r="L282" s="81"/>
    </row>
    <row r="283" s="1" customFormat="1" ht="14.25" spans="1:12">
      <c r="A283" s="77">
        <v>11</v>
      </c>
      <c r="B283" s="78">
        <v>30</v>
      </c>
      <c r="C283" s="78">
        <v>29</v>
      </c>
      <c r="D283" s="79" t="s">
        <v>2901</v>
      </c>
      <c r="E283" s="79" t="s">
        <v>118</v>
      </c>
      <c r="F283" s="79" t="s">
        <v>55</v>
      </c>
      <c r="G283" s="79" t="s">
        <v>2282</v>
      </c>
      <c r="H283" s="80" t="s">
        <v>2899</v>
      </c>
      <c r="I283" s="80">
        <v>157.81</v>
      </c>
      <c r="J283" s="25">
        <v>1010</v>
      </c>
      <c r="K283" s="25"/>
      <c r="L283" s="81"/>
    </row>
    <row r="284" s="1" customFormat="1" ht="14.25" spans="1:12">
      <c r="A284" s="77">
        <v>11</v>
      </c>
      <c r="B284" s="78">
        <v>30</v>
      </c>
      <c r="C284" s="78">
        <v>29</v>
      </c>
      <c r="D284" s="79" t="s">
        <v>2902</v>
      </c>
      <c r="E284" s="79" t="s">
        <v>118</v>
      </c>
      <c r="F284" s="79" t="s">
        <v>55</v>
      </c>
      <c r="G284" s="79" t="s">
        <v>2282</v>
      </c>
      <c r="H284" s="80" t="s">
        <v>2899</v>
      </c>
      <c r="I284" s="80">
        <v>231.25</v>
      </c>
      <c r="J284" s="25">
        <v>1480</v>
      </c>
      <c r="K284" s="25"/>
      <c r="L284" s="81"/>
    </row>
    <row r="285" s="1" customFormat="1" ht="14.25" spans="1:12">
      <c r="A285" s="77">
        <v>11</v>
      </c>
      <c r="B285" s="78">
        <v>30</v>
      </c>
      <c r="C285" s="78">
        <v>29</v>
      </c>
      <c r="D285" s="79" t="s">
        <v>2903</v>
      </c>
      <c r="E285" s="79" t="s">
        <v>118</v>
      </c>
      <c r="F285" s="79" t="s">
        <v>55</v>
      </c>
      <c r="G285" s="79" t="s">
        <v>2282</v>
      </c>
      <c r="H285" s="80" t="s">
        <v>2899</v>
      </c>
      <c r="I285" s="80">
        <v>11236.25</v>
      </c>
      <c r="J285" s="25">
        <v>71912</v>
      </c>
      <c r="K285" s="25"/>
      <c r="L285" s="81"/>
    </row>
    <row r="286" s="1" customFormat="1" ht="14.25" spans="1:12">
      <c r="A286" s="77">
        <v>11</v>
      </c>
      <c r="B286" s="78">
        <v>30</v>
      </c>
      <c r="C286" s="78">
        <v>29</v>
      </c>
      <c r="D286" s="79" t="s">
        <v>2904</v>
      </c>
      <c r="E286" s="79" t="s">
        <v>118</v>
      </c>
      <c r="F286" s="79" t="s">
        <v>154</v>
      </c>
      <c r="G286" s="79" t="s">
        <v>2282</v>
      </c>
      <c r="H286" s="80" t="s">
        <v>2905</v>
      </c>
      <c r="I286" s="80">
        <v>531.25</v>
      </c>
      <c r="J286" s="25">
        <v>3400</v>
      </c>
      <c r="K286" s="25"/>
      <c r="L286" s="81"/>
    </row>
    <row r="287" s="1" customFormat="1" ht="14.25" spans="1:12">
      <c r="A287" s="77">
        <v>11</v>
      </c>
      <c r="B287" s="78">
        <v>30</v>
      </c>
      <c r="C287" s="78">
        <v>29</v>
      </c>
      <c r="D287" s="79" t="s">
        <v>2906</v>
      </c>
      <c r="E287" s="79" t="s">
        <v>118</v>
      </c>
      <c r="F287" s="79" t="s">
        <v>55</v>
      </c>
      <c r="G287" s="79" t="s">
        <v>2282</v>
      </c>
      <c r="H287" s="80" t="s">
        <v>2905</v>
      </c>
      <c r="I287" s="80">
        <v>222.03</v>
      </c>
      <c r="J287" s="25">
        <v>1421</v>
      </c>
      <c r="K287" s="25"/>
      <c r="L287" s="81"/>
    </row>
    <row r="288" s="1" customFormat="1" ht="14.25" spans="1:12">
      <c r="A288" s="77">
        <v>11</v>
      </c>
      <c r="B288" s="78">
        <v>30</v>
      </c>
      <c r="C288" s="78">
        <v>29</v>
      </c>
      <c r="D288" s="79" t="s">
        <v>2907</v>
      </c>
      <c r="E288" s="79" t="s">
        <v>118</v>
      </c>
      <c r="F288" s="79" t="s">
        <v>55</v>
      </c>
      <c r="G288" s="79" t="s">
        <v>2282</v>
      </c>
      <c r="H288" s="80" t="s">
        <v>2905</v>
      </c>
      <c r="I288" s="80">
        <v>1406.25</v>
      </c>
      <c r="J288" s="25">
        <v>9000</v>
      </c>
      <c r="K288" s="25"/>
      <c r="L288" s="81"/>
    </row>
    <row r="289" s="1" customFormat="1" ht="14.25" spans="1:12">
      <c r="A289" s="77">
        <v>11</v>
      </c>
      <c r="B289" s="78">
        <v>30</v>
      </c>
      <c r="C289" s="78">
        <v>29</v>
      </c>
      <c r="D289" s="79" t="s">
        <v>2908</v>
      </c>
      <c r="E289" s="79" t="s">
        <v>118</v>
      </c>
      <c r="F289" s="79" t="s">
        <v>55</v>
      </c>
      <c r="G289" s="79" t="s">
        <v>2282</v>
      </c>
      <c r="H289" s="80" t="s">
        <v>2905</v>
      </c>
      <c r="I289" s="80">
        <v>222.66</v>
      </c>
      <c r="J289" s="25">
        <v>1425</v>
      </c>
      <c r="K289" s="25"/>
      <c r="L289" s="81"/>
    </row>
    <row r="290" s="1" customFormat="1" ht="14.25" spans="1:12">
      <c r="A290" s="77">
        <v>11</v>
      </c>
      <c r="B290" s="78">
        <v>30</v>
      </c>
      <c r="C290" s="78">
        <v>29</v>
      </c>
      <c r="D290" s="79" t="s">
        <v>2909</v>
      </c>
      <c r="E290" s="79" t="s">
        <v>118</v>
      </c>
      <c r="F290" s="79" t="s">
        <v>55</v>
      </c>
      <c r="G290" s="79" t="s">
        <v>2282</v>
      </c>
      <c r="H290" s="80" t="s">
        <v>2905</v>
      </c>
      <c r="I290" s="80">
        <v>1340.63</v>
      </c>
      <c r="J290" s="25">
        <v>8580</v>
      </c>
      <c r="K290" s="25"/>
      <c r="L290" s="81"/>
    </row>
    <row r="291" s="1" customFormat="1" ht="14.25" spans="1:12">
      <c r="A291" s="77">
        <v>11</v>
      </c>
      <c r="B291" s="78">
        <v>30</v>
      </c>
      <c r="C291" s="78">
        <v>30</v>
      </c>
      <c r="D291" s="79" t="s">
        <v>2910</v>
      </c>
      <c r="E291" s="79" t="s">
        <v>118</v>
      </c>
      <c r="F291" s="79" t="s">
        <v>55</v>
      </c>
      <c r="G291" s="79" t="s">
        <v>2282</v>
      </c>
      <c r="H291" s="80" t="s">
        <v>2911</v>
      </c>
      <c r="I291" s="80">
        <v>4857.81</v>
      </c>
      <c r="J291" s="25">
        <v>31090</v>
      </c>
      <c r="K291" s="25"/>
      <c r="L291" s="81"/>
    </row>
    <row r="292" s="1" customFormat="1" ht="14.25" spans="1:12">
      <c r="A292" s="77">
        <v>11</v>
      </c>
      <c r="B292" s="78">
        <v>30</v>
      </c>
      <c r="C292" s="78">
        <v>30</v>
      </c>
      <c r="D292" s="79" t="s">
        <v>2912</v>
      </c>
      <c r="E292" s="79" t="s">
        <v>48</v>
      </c>
      <c r="F292" s="79" t="s">
        <v>55</v>
      </c>
      <c r="G292" s="79" t="s">
        <v>2282</v>
      </c>
      <c r="H292" s="80" t="s">
        <v>2911</v>
      </c>
      <c r="I292" s="80">
        <v>583.44</v>
      </c>
      <c r="J292" s="25">
        <v>3734</v>
      </c>
      <c r="K292" s="25"/>
      <c r="L292" s="81"/>
    </row>
    <row r="293" s="1" customFormat="1" ht="14.25" spans="1:12">
      <c r="A293" s="77">
        <v>11</v>
      </c>
      <c r="B293" s="78">
        <v>30</v>
      </c>
      <c r="C293" s="78">
        <v>30</v>
      </c>
      <c r="D293" s="79" t="s">
        <v>2913</v>
      </c>
      <c r="E293" s="79" t="s">
        <v>118</v>
      </c>
      <c r="F293" s="79" t="s">
        <v>55</v>
      </c>
      <c r="G293" s="79" t="s">
        <v>2282</v>
      </c>
      <c r="H293" s="80" t="s">
        <v>2911</v>
      </c>
      <c r="I293" s="80">
        <v>2451.56</v>
      </c>
      <c r="J293" s="25">
        <v>15690</v>
      </c>
      <c r="K293" s="25"/>
      <c r="L293" s="81"/>
    </row>
    <row r="294" s="1" customFormat="1" ht="14.25" spans="1:12">
      <c r="A294" s="77">
        <v>11</v>
      </c>
      <c r="B294" s="78">
        <v>30</v>
      </c>
      <c r="C294" s="78">
        <v>30</v>
      </c>
      <c r="D294" s="79" t="s">
        <v>2914</v>
      </c>
      <c r="E294" s="79" t="s">
        <v>118</v>
      </c>
      <c r="F294" s="79" t="s">
        <v>55</v>
      </c>
      <c r="G294" s="79" t="s">
        <v>2282</v>
      </c>
      <c r="H294" s="80" t="s">
        <v>2911</v>
      </c>
      <c r="I294" s="80">
        <v>39.06</v>
      </c>
      <c r="J294" s="25">
        <v>250</v>
      </c>
      <c r="K294" s="25"/>
      <c r="L294" s="81"/>
    </row>
    <row r="295" s="1" customFormat="1" ht="14.25" spans="1:12">
      <c r="A295" s="77">
        <v>11</v>
      </c>
      <c r="B295" s="78">
        <v>30</v>
      </c>
      <c r="C295" s="78">
        <v>30</v>
      </c>
      <c r="D295" s="79" t="s">
        <v>2915</v>
      </c>
      <c r="E295" s="79" t="s">
        <v>118</v>
      </c>
      <c r="F295" s="79" t="s">
        <v>55</v>
      </c>
      <c r="G295" s="79" t="s">
        <v>2282</v>
      </c>
      <c r="H295" s="80" t="s">
        <v>2911</v>
      </c>
      <c r="I295" s="80">
        <v>25310.94</v>
      </c>
      <c r="J295" s="25">
        <v>161990</v>
      </c>
      <c r="K295" s="25"/>
      <c r="L295" s="81"/>
    </row>
    <row r="296" s="1" customFormat="1" ht="14.25" spans="1:12">
      <c r="A296" s="77">
        <v>11</v>
      </c>
      <c r="B296" s="78">
        <v>30</v>
      </c>
      <c r="C296" s="78">
        <v>30</v>
      </c>
      <c r="D296" s="79" t="s">
        <v>2916</v>
      </c>
      <c r="E296" s="79" t="s">
        <v>118</v>
      </c>
      <c r="F296" s="79" t="s">
        <v>55</v>
      </c>
      <c r="G296" s="79" t="s">
        <v>2282</v>
      </c>
      <c r="H296" s="80" t="s">
        <v>2917</v>
      </c>
      <c r="I296" s="80">
        <v>3140.63</v>
      </c>
      <c r="J296" s="25">
        <v>20100</v>
      </c>
      <c r="K296" s="25"/>
      <c r="L296" s="81"/>
    </row>
    <row r="297" s="1" customFormat="1" ht="14.25" spans="1:12">
      <c r="A297" s="77">
        <v>11</v>
      </c>
      <c r="B297" s="78">
        <v>30</v>
      </c>
      <c r="C297" s="78">
        <v>30</v>
      </c>
      <c r="D297" s="79" t="s">
        <v>2918</v>
      </c>
      <c r="E297" s="79" t="s">
        <v>48</v>
      </c>
      <c r="F297" s="79" t="s">
        <v>55</v>
      </c>
      <c r="G297" s="79" t="s">
        <v>2282</v>
      </c>
      <c r="H297" s="80" t="s">
        <v>2917</v>
      </c>
      <c r="I297" s="80">
        <v>100.78</v>
      </c>
      <c r="J297" s="25">
        <v>645</v>
      </c>
      <c r="K297" s="25"/>
      <c r="L297" s="81"/>
    </row>
    <row r="298" s="1" customFormat="1" ht="14.25" spans="1:12">
      <c r="A298" s="77">
        <v>11</v>
      </c>
      <c r="B298" s="78">
        <v>30</v>
      </c>
      <c r="C298" s="78">
        <v>30</v>
      </c>
      <c r="D298" s="79" t="s">
        <v>2919</v>
      </c>
      <c r="E298" s="79" t="s">
        <v>118</v>
      </c>
      <c r="F298" s="79" t="s">
        <v>55</v>
      </c>
      <c r="G298" s="79" t="s">
        <v>2282</v>
      </c>
      <c r="H298" s="80" t="s">
        <v>2917</v>
      </c>
      <c r="I298" s="80">
        <v>60587.5</v>
      </c>
      <c r="J298" s="25">
        <v>387760</v>
      </c>
      <c r="K298" s="25"/>
      <c r="L298" s="81"/>
    </row>
    <row r="299" s="1" customFormat="1" ht="14.25" spans="1:12">
      <c r="A299" s="77">
        <v>11</v>
      </c>
      <c r="B299" s="78">
        <v>30</v>
      </c>
      <c r="C299" s="78">
        <v>30</v>
      </c>
      <c r="D299" s="79" t="s">
        <v>2920</v>
      </c>
      <c r="E299" s="79" t="s">
        <v>118</v>
      </c>
      <c r="F299" s="79" t="s">
        <v>55</v>
      </c>
      <c r="G299" s="79" t="s">
        <v>2282</v>
      </c>
      <c r="H299" s="80" t="s">
        <v>2917</v>
      </c>
      <c r="I299" s="80">
        <v>1093.75</v>
      </c>
      <c r="J299" s="25">
        <v>7000</v>
      </c>
      <c r="K299" s="25"/>
      <c r="L299" s="81"/>
    </row>
    <row r="300" s="1" customFormat="1" ht="14.25" spans="1:12">
      <c r="A300" s="77">
        <v>11</v>
      </c>
      <c r="B300" s="78">
        <v>30</v>
      </c>
      <c r="C300" s="78">
        <v>30</v>
      </c>
      <c r="D300" s="79" t="s">
        <v>2921</v>
      </c>
      <c r="E300" s="79" t="s">
        <v>118</v>
      </c>
      <c r="F300" s="79" t="s">
        <v>55</v>
      </c>
      <c r="G300" s="79" t="s">
        <v>2282</v>
      </c>
      <c r="H300" s="80" t="s">
        <v>2917</v>
      </c>
      <c r="I300" s="80">
        <v>75531.25</v>
      </c>
      <c r="J300" s="25">
        <v>483400</v>
      </c>
      <c r="K300" s="25"/>
      <c r="L300" s="81"/>
    </row>
    <row r="301" s="1" customFormat="1" ht="14.25" spans="1:12">
      <c r="A301" s="77">
        <v>11</v>
      </c>
      <c r="B301" s="78">
        <v>30</v>
      </c>
      <c r="C301" s="78">
        <v>31</v>
      </c>
      <c r="D301" s="79" t="s">
        <v>2922</v>
      </c>
      <c r="E301" s="79" t="s">
        <v>118</v>
      </c>
      <c r="F301" s="79" t="s">
        <v>55</v>
      </c>
      <c r="G301" s="79" t="s">
        <v>2282</v>
      </c>
      <c r="H301" s="80" t="s">
        <v>2923</v>
      </c>
      <c r="I301" s="80">
        <v>6577.34</v>
      </c>
      <c r="J301" s="25">
        <v>42095</v>
      </c>
      <c r="K301" s="25"/>
      <c r="L301" s="81"/>
    </row>
    <row r="302" s="1" customFormat="1" ht="14.25" spans="1:12">
      <c r="A302" s="77">
        <v>11</v>
      </c>
      <c r="B302" s="78">
        <v>30</v>
      </c>
      <c r="C302" s="78">
        <v>31</v>
      </c>
      <c r="D302" s="79" t="s">
        <v>2924</v>
      </c>
      <c r="E302" s="79" t="s">
        <v>118</v>
      </c>
      <c r="F302" s="79" t="s">
        <v>55</v>
      </c>
      <c r="G302" s="79" t="s">
        <v>2282</v>
      </c>
      <c r="H302" s="80" t="s">
        <v>2923</v>
      </c>
      <c r="I302" s="80">
        <v>738.75</v>
      </c>
      <c r="J302" s="25">
        <v>4728</v>
      </c>
      <c r="K302" s="25"/>
      <c r="L302" s="81"/>
    </row>
    <row r="303" s="1" customFormat="1" ht="14.25" spans="1:12">
      <c r="A303" s="77">
        <v>11</v>
      </c>
      <c r="B303" s="78">
        <v>30</v>
      </c>
      <c r="C303" s="78">
        <v>31</v>
      </c>
      <c r="D303" s="79" t="s">
        <v>1118</v>
      </c>
      <c r="E303" s="79" t="s">
        <v>118</v>
      </c>
      <c r="F303" s="79" t="s">
        <v>55</v>
      </c>
      <c r="G303" s="79" t="s">
        <v>2282</v>
      </c>
      <c r="H303" s="80" t="s">
        <v>2923</v>
      </c>
      <c r="I303" s="80">
        <v>434.38</v>
      </c>
      <c r="J303" s="25">
        <v>2780</v>
      </c>
      <c r="K303" s="25"/>
      <c r="L303" s="81"/>
    </row>
    <row r="304" s="1" customFormat="1" ht="14.25" spans="1:12">
      <c r="A304" s="77">
        <v>11</v>
      </c>
      <c r="B304" s="78">
        <v>30</v>
      </c>
      <c r="C304" s="78">
        <v>31</v>
      </c>
      <c r="D304" s="79" t="s">
        <v>2925</v>
      </c>
      <c r="E304" s="79" t="s">
        <v>118</v>
      </c>
      <c r="F304" s="79" t="s">
        <v>55</v>
      </c>
      <c r="G304" s="79" t="s">
        <v>2282</v>
      </c>
      <c r="H304" s="80" t="s">
        <v>2923</v>
      </c>
      <c r="I304" s="80">
        <v>750</v>
      </c>
      <c r="J304" s="25">
        <v>4800</v>
      </c>
      <c r="K304" s="25"/>
      <c r="L304" s="81"/>
    </row>
    <row r="305" s="1" customFormat="1" ht="14.25" spans="1:12">
      <c r="A305" s="77">
        <v>11</v>
      </c>
      <c r="B305" s="78">
        <v>30</v>
      </c>
      <c r="C305" s="78">
        <v>31</v>
      </c>
      <c r="D305" s="79" t="s">
        <v>2926</v>
      </c>
      <c r="E305" s="79" t="s">
        <v>118</v>
      </c>
      <c r="F305" s="79" t="s">
        <v>55</v>
      </c>
      <c r="G305" s="79" t="s">
        <v>2282</v>
      </c>
      <c r="H305" s="80" t="s">
        <v>2923</v>
      </c>
      <c r="I305" s="80">
        <v>6136.88</v>
      </c>
      <c r="J305" s="25">
        <v>39276</v>
      </c>
      <c r="K305" s="25"/>
      <c r="L305" s="81"/>
    </row>
    <row r="306" s="1" customFormat="1" ht="14.25" spans="1:12">
      <c r="A306" s="77">
        <v>11</v>
      </c>
      <c r="B306" s="78">
        <v>30</v>
      </c>
      <c r="C306" s="78">
        <v>31</v>
      </c>
      <c r="D306" s="79" t="s">
        <v>2927</v>
      </c>
      <c r="E306" s="79" t="s">
        <v>118</v>
      </c>
      <c r="F306" s="79" t="s">
        <v>55</v>
      </c>
      <c r="G306" s="79" t="s">
        <v>2282</v>
      </c>
      <c r="H306" s="80" t="s">
        <v>2928</v>
      </c>
      <c r="I306" s="80">
        <v>773.44</v>
      </c>
      <c r="J306" s="25">
        <v>4950</v>
      </c>
      <c r="K306" s="25"/>
      <c r="L306" s="81"/>
    </row>
    <row r="307" s="1" customFormat="1" ht="14.25" spans="1:12">
      <c r="A307" s="77">
        <v>11</v>
      </c>
      <c r="B307" s="78">
        <v>30</v>
      </c>
      <c r="C307" s="78">
        <v>31</v>
      </c>
      <c r="D307" s="79" t="s">
        <v>2929</v>
      </c>
      <c r="E307" s="79" t="s">
        <v>118</v>
      </c>
      <c r="F307" s="79" t="s">
        <v>55</v>
      </c>
      <c r="G307" s="79" t="s">
        <v>2282</v>
      </c>
      <c r="H307" s="80" t="s">
        <v>2928</v>
      </c>
      <c r="I307" s="80">
        <v>1703.13</v>
      </c>
      <c r="J307" s="25">
        <v>10900</v>
      </c>
      <c r="K307" s="25"/>
      <c r="L307" s="81"/>
    </row>
    <row r="308" s="1" customFormat="1" ht="14.25" spans="1:12">
      <c r="A308" s="77">
        <v>11</v>
      </c>
      <c r="B308" s="78">
        <v>30</v>
      </c>
      <c r="C308" s="78">
        <v>31</v>
      </c>
      <c r="D308" s="79" t="s">
        <v>2930</v>
      </c>
      <c r="E308" s="79" t="s">
        <v>118</v>
      </c>
      <c r="F308" s="79" t="s">
        <v>55</v>
      </c>
      <c r="G308" s="79" t="s">
        <v>2282</v>
      </c>
      <c r="H308" s="80" t="s">
        <v>2928</v>
      </c>
      <c r="I308" s="80">
        <v>7500</v>
      </c>
      <c r="J308" s="25">
        <v>48000</v>
      </c>
      <c r="K308" s="25"/>
      <c r="L308" s="81"/>
    </row>
    <row r="309" s="1" customFormat="1" ht="14.25" spans="1:12">
      <c r="A309" s="77">
        <v>11</v>
      </c>
      <c r="B309" s="78">
        <v>30</v>
      </c>
      <c r="C309" s="78">
        <v>31</v>
      </c>
      <c r="D309" s="79" t="s">
        <v>2931</v>
      </c>
      <c r="E309" s="79" t="s">
        <v>118</v>
      </c>
      <c r="F309" s="79" t="s">
        <v>55</v>
      </c>
      <c r="G309" s="79" t="s">
        <v>2282</v>
      </c>
      <c r="H309" s="80" t="s">
        <v>2928</v>
      </c>
      <c r="I309" s="80">
        <v>5062.5</v>
      </c>
      <c r="J309" s="25">
        <v>32400</v>
      </c>
      <c r="K309" s="25"/>
      <c r="L309" s="81"/>
    </row>
    <row r="310" s="1" customFormat="1" ht="14.25" spans="1:12">
      <c r="A310" s="77">
        <v>11</v>
      </c>
      <c r="B310" s="78">
        <v>30</v>
      </c>
      <c r="C310" s="78">
        <v>31</v>
      </c>
      <c r="D310" s="79" t="s">
        <v>2932</v>
      </c>
      <c r="E310" s="79" t="s">
        <v>118</v>
      </c>
      <c r="F310" s="79" t="s">
        <v>55</v>
      </c>
      <c r="G310" s="79" t="s">
        <v>2282</v>
      </c>
      <c r="H310" s="80" t="s">
        <v>2928</v>
      </c>
      <c r="I310" s="80">
        <v>75312.5</v>
      </c>
      <c r="J310" s="25">
        <v>482000</v>
      </c>
      <c r="K310" s="25"/>
      <c r="L310" s="81"/>
    </row>
    <row r="311" s="1" customFormat="1" ht="14.25" spans="1:12">
      <c r="A311" s="77">
        <v>11</v>
      </c>
      <c r="B311" s="78">
        <v>30</v>
      </c>
      <c r="C311" s="78">
        <v>32</v>
      </c>
      <c r="D311" s="79" t="s">
        <v>2933</v>
      </c>
      <c r="E311" s="79" t="s">
        <v>118</v>
      </c>
      <c r="F311" s="79" t="s">
        <v>55</v>
      </c>
      <c r="G311" s="79" t="s">
        <v>2282</v>
      </c>
      <c r="H311" s="80" t="s">
        <v>2934</v>
      </c>
      <c r="I311" s="80">
        <v>40000</v>
      </c>
      <c r="J311" s="25">
        <v>256000</v>
      </c>
      <c r="K311" s="25"/>
      <c r="L311" s="81"/>
    </row>
    <row r="312" s="1" customFormat="1" ht="14.25" spans="1:12">
      <c r="A312" s="77">
        <v>11</v>
      </c>
      <c r="B312" s="78">
        <v>30</v>
      </c>
      <c r="C312" s="78">
        <v>32</v>
      </c>
      <c r="D312" s="79" t="s">
        <v>2935</v>
      </c>
      <c r="E312" s="79" t="s">
        <v>118</v>
      </c>
      <c r="F312" s="79" t="s">
        <v>2872</v>
      </c>
      <c r="G312" s="79" t="s">
        <v>2282</v>
      </c>
      <c r="H312" s="80" t="s">
        <v>2934</v>
      </c>
      <c r="I312" s="80">
        <v>6781.25</v>
      </c>
      <c r="J312" s="25">
        <v>43400</v>
      </c>
      <c r="K312" s="25"/>
      <c r="L312" s="81"/>
    </row>
    <row r="313" s="1" customFormat="1" ht="14.25" spans="1:12">
      <c r="A313" s="77">
        <v>11</v>
      </c>
      <c r="B313" s="78">
        <v>30</v>
      </c>
      <c r="C313" s="78">
        <v>32</v>
      </c>
      <c r="D313" s="79" t="s">
        <v>2936</v>
      </c>
      <c r="E313" s="79" t="s">
        <v>118</v>
      </c>
      <c r="F313" s="79" t="s">
        <v>55</v>
      </c>
      <c r="G313" s="79" t="s">
        <v>2282</v>
      </c>
      <c r="H313" s="80" t="s">
        <v>2934</v>
      </c>
      <c r="I313" s="80">
        <v>121.88</v>
      </c>
      <c r="J313" s="25">
        <v>780</v>
      </c>
      <c r="K313" s="25"/>
      <c r="L313" s="81"/>
    </row>
    <row r="314" s="1" customFormat="1" ht="14.25" spans="1:12">
      <c r="A314" s="77">
        <v>11</v>
      </c>
      <c r="B314" s="78">
        <v>30</v>
      </c>
      <c r="C314" s="78">
        <v>32</v>
      </c>
      <c r="D314" s="79" t="s">
        <v>2937</v>
      </c>
      <c r="E314" s="79" t="s">
        <v>118</v>
      </c>
      <c r="F314" s="79" t="s">
        <v>741</v>
      </c>
      <c r="G314" s="79" t="s">
        <v>2282</v>
      </c>
      <c r="H314" s="80" t="s">
        <v>2934</v>
      </c>
      <c r="I314" s="80">
        <v>1853.59</v>
      </c>
      <c r="J314" s="25">
        <v>11863</v>
      </c>
      <c r="K314" s="25"/>
      <c r="L314" s="81"/>
    </row>
    <row r="315" s="1" customFormat="1" ht="14.25" spans="1:12">
      <c r="A315" s="77">
        <v>11</v>
      </c>
      <c r="B315" s="78">
        <v>30</v>
      </c>
      <c r="C315" s="78">
        <v>32</v>
      </c>
      <c r="D315" s="79" t="s">
        <v>2938</v>
      </c>
      <c r="E315" s="79" t="s">
        <v>118</v>
      </c>
      <c r="F315" s="79" t="s">
        <v>55</v>
      </c>
      <c r="G315" s="79" t="s">
        <v>2282</v>
      </c>
      <c r="H315" s="80" t="s">
        <v>2934</v>
      </c>
      <c r="I315" s="80">
        <v>1829.69</v>
      </c>
      <c r="J315" s="25">
        <v>11710</v>
      </c>
      <c r="K315" s="25"/>
      <c r="L315" s="81"/>
    </row>
    <row r="316" s="1" customFormat="1" ht="14.25" spans="1:12">
      <c r="A316" s="77">
        <v>11</v>
      </c>
      <c r="B316" s="78">
        <v>30</v>
      </c>
      <c r="C316" s="78">
        <v>32</v>
      </c>
      <c r="D316" s="79" t="s">
        <v>2939</v>
      </c>
      <c r="E316" s="79" t="s">
        <v>118</v>
      </c>
      <c r="F316" s="79" t="s">
        <v>154</v>
      </c>
      <c r="G316" s="79" t="s">
        <v>2282</v>
      </c>
      <c r="H316" s="80" t="s">
        <v>2940</v>
      </c>
      <c r="I316" s="80">
        <v>1346.88</v>
      </c>
      <c r="J316" s="25">
        <v>8620</v>
      </c>
      <c r="K316" s="25"/>
      <c r="L316" s="81"/>
    </row>
    <row r="317" s="1" customFormat="1" ht="14.25" spans="1:12">
      <c r="A317" s="77">
        <v>11</v>
      </c>
      <c r="B317" s="78">
        <v>30</v>
      </c>
      <c r="C317" s="78">
        <v>32</v>
      </c>
      <c r="D317" s="79" t="s">
        <v>2941</v>
      </c>
      <c r="E317" s="79" t="s">
        <v>118</v>
      </c>
      <c r="F317" s="79" t="s">
        <v>154</v>
      </c>
      <c r="G317" s="79" t="s">
        <v>2282</v>
      </c>
      <c r="H317" s="80" t="s">
        <v>2940</v>
      </c>
      <c r="I317" s="80">
        <v>1915.63</v>
      </c>
      <c r="J317" s="25">
        <v>12260</v>
      </c>
      <c r="K317" s="25"/>
      <c r="L317" s="81"/>
    </row>
    <row r="318" s="1" customFormat="1" ht="14.25" spans="1:12">
      <c r="A318" s="77">
        <v>11</v>
      </c>
      <c r="B318" s="78">
        <v>30</v>
      </c>
      <c r="C318" s="78">
        <v>32</v>
      </c>
      <c r="D318" s="79" t="s">
        <v>2942</v>
      </c>
      <c r="E318" s="79" t="s">
        <v>118</v>
      </c>
      <c r="F318" s="79" t="s">
        <v>154</v>
      </c>
      <c r="G318" s="79" t="s">
        <v>2282</v>
      </c>
      <c r="H318" s="80" t="s">
        <v>2940</v>
      </c>
      <c r="I318" s="80">
        <v>16119.06</v>
      </c>
      <c r="J318" s="25">
        <v>103162</v>
      </c>
      <c r="K318" s="25"/>
      <c r="L318" s="81"/>
    </row>
    <row r="319" s="1" customFormat="1" ht="14.25" spans="1:12">
      <c r="A319" s="77">
        <v>11</v>
      </c>
      <c r="B319" s="78">
        <v>30</v>
      </c>
      <c r="C319" s="78">
        <v>32</v>
      </c>
      <c r="D319" s="79" t="s">
        <v>2943</v>
      </c>
      <c r="E319" s="79" t="s">
        <v>118</v>
      </c>
      <c r="F319" s="79" t="s">
        <v>154</v>
      </c>
      <c r="G319" s="79" t="s">
        <v>2282</v>
      </c>
      <c r="H319" s="80" t="s">
        <v>2940</v>
      </c>
      <c r="I319" s="80">
        <v>16120.31</v>
      </c>
      <c r="J319" s="25">
        <v>103170</v>
      </c>
      <c r="K319" s="25"/>
      <c r="L319" s="81"/>
    </row>
    <row r="320" s="1" customFormat="1" ht="14.25" spans="1:12">
      <c r="A320" s="77">
        <v>11</v>
      </c>
      <c r="B320" s="78">
        <v>30</v>
      </c>
      <c r="C320" s="78">
        <v>32</v>
      </c>
      <c r="D320" s="79" t="s">
        <v>2944</v>
      </c>
      <c r="E320" s="79" t="s">
        <v>118</v>
      </c>
      <c r="F320" s="79" t="s">
        <v>2872</v>
      </c>
      <c r="G320" s="79" t="s">
        <v>2282</v>
      </c>
      <c r="H320" s="80" t="s">
        <v>2940</v>
      </c>
      <c r="I320" s="80">
        <v>4921.88</v>
      </c>
      <c r="J320" s="25">
        <v>31500</v>
      </c>
      <c r="K320" s="25"/>
      <c r="L320" s="81"/>
    </row>
    <row r="321" s="1" customFormat="1" ht="14.25" spans="1:12">
      <c r="A321" s="77">
        <v>11</v>
      </c>
      <c r="B321" s="78">
        <v>30</v>
      </c>
      <c r="C321" s="78">
        <v>33</v>
      </c>
      <c r="D321" s="79" t="s">
        <v>2945</v>
      </c>
      <c r="E321" s="79" t="s">
        <v>118</v>
      </c>
      <c r="F321" s="79" t="s">
        <v>55</v>
      </c>
      <c r="G321" s="79" t="s">
        <v>2282</v>
      </c>
      <c r="H321" s="80" t="s">
        <v>2946</v>
      </c>
      <c r="I321" s="80">
        <v>3014.06</v>
      </c>
      <c r="J321" s="25">
        <v>19290</v>
      </c>
      <c r="K321" s="25"/>
      <c r="L321" s="81"/>
    </row>
    <row r="322" s="1" customFormat="1" ht="14.25" spans="1:12">
      <c r="A322" s="77">
        <v>11</v>
      </c>
      <c r="B322" s="78">
        <v>30</v>
      </c>
      <c r="C322" s="78">
        <v>33</v>
      </c>
      <c r="D322" s="79" t="s">
        <v>2947</v>
      </c>
      <c r="E322" s="79" t="s">
        <v>118</v>
      </c>
      <c r="F322" s="79" t="s">
        <v>55</v>
      </c>
      <c r="G322" s="79" t="s">
        <v>2282</v>
      </c>
      <c r="H322" s="80" t="s">
        <v>2946</v>
      </c>
      <c r="I322" s="80">
        <v>1937.5</v>
      </c>
      <c r="J322" s="25">
        <v>12400</v>
      </c>
      <c r="K322" s="25"/>
      <c r="L322" s="81"/>
    </row>
    <row r="323" s="1" customFormat="1" ht="14.25" spans="1:12">
      <c r="A323" s="77">
        <v>11</v>
      </c>
      <c r="B323" s="78">
        <v>30</v>
      </c>
      <c r="C323" s="78">
        <v>33</v>
      </c>
      <c r="D323" s="79" t="s">
        <v>2948</v>
      </c>
      <c r="E323" s="79" t="s">
        <v>118</v>
      </c>
      <c r="F323" s="79" t="s">
        <v>55</v>
      </c>
      <c r="G323" s="79" t="s">
        <v>2282</v>
      </c>
      <c r="H323" s="80" t="s">
        <v>2946</v>
      </c>
      <c r="I323" s="80">
        <v>187.5</v>
      </c>
      <c r="J323" s="25">
        <v>1200</v>
      </c>
      <c r="K323" s="25"/>
      <c r="L323" s="81"/>
    </row>
    <row r="324" s="1" customFormat="1" ht="14.25" spans="1:12">
      <c r="A324" s="77">
        <v>11</v>
      </c>
      <c r="B324" s="78">
        <v>30</v>
      </c>
      <c r="C324" s="78">
        <v>33</v>
      </c>
      <c r="D324" s="79" t="s">
        <v>2949</v>
      </c>
      <c r="E324" s="79" t="s">
        <v>118</v>
      </c>
      <c r="F324" s="79" t="s">
        <v>55</v>
      </c>
      <c r="G324" s="79" t="s">
        <v>2282</v>
      </c>
      <c r="H324" s="80" t="s">
        <v>2946</v>
      </c>
      <c r="I324" s="80">
        <v>296.88</v>
      </c>
      <c r="J324" s="25">
        <v>1900</v>
      </c>
      <c r="K324" s="25"/>
      <c r="L324" s="81"/>
    </row>
    <row r="325" s="1" customFormat="1" ht="14.25" spans="1:12">
      <c r="A325" s="77">
        <v>11</v>
      </c>
      <c r="B325" s="78">
        <v>30</v>
      </c>
      <c r="C325" s="78">
        <v>33</v>
      </c>
      <c r="D325" s="79" t="s">
        <v>2792</v>
      </c>
      <c r="E325" s="79" t="s">
        <v>179</v>
      </c>
      <c r="F325" s="79" t="s">
        <v>2684</v>
      </c>
      <c r="G325" s="79" t="s">
        <v>2282</v>
      </c>
      <c r="H325" s="80" t="s">
        <v>2946</v>
      </c>
      <c r="I325" s="80">
        <v>4459.38</v>
      </c>
      <c r="J325" s="25">
        <v>28540</v>
      </c>
      <c r="K325" s="25"/>
      <c r="L325" s="81"/>
    </row>
    <row r="326" s="1" customFormat="1" ht="14.25" spans="1:12">
      <c r="A326" s="77">
        <v>11</v>
      </c>
      <c r="B326" s="78">
        <v>30</v>
      </c>
      <c r="C326" s="78">
        <v>33</v>
      </c>
      <c r="D326" s="79" t="s">
        <v>2950</v>
      </c>
      <c r="E326" s="79" t="s">
        <v>172</v>
      </c>
      <c r="F326" s="79" t="s">
        <v>2951</v>
      </c>
      <c r="G326" s="79" t="s">
        <v>2282</v>
      </c>
      <c r="H326" s="80" t="s">
        <v>2952</v>
      </c>
      <c r="I326" s="80">
        <v>2351.02</v>
      </c>
      <c r="J326" s="25">
        <v>15046.5</v>
      </c>
      <c r="K326" s="25"/>
      <c r="L326" s="81"/>
    </row>
    <row r="327" s="1" customFormat="1" ht="14.25" spans="1:12">
      <c r="A327" s="77">
        <v>11</v>
      </c>
      <c r="B327" s="78">
        <v>30</v>
      </c>
      <c r="C327" s="78">
        <v>33</v>
      </c>
      <c r="D327" s="79" t="s">
        <v>2953</v>
      </c>
      <c r="E327" s="79" t="s">
        <v>118</v>
      </c>
      <c r="F327" s="79" t="s">
        <v>55</v>
      </c>
      <c r="G327" s="79" t="s">
        <v>2282</v>
      </c>
      <c r="H327" s="80" t="s">
        <v>2952</v>
      </c>
      <c r="I327" s="80">
        <v>12187.5</v>
      </c>
      <c r="J327" s="25">
        <v>78000</v>
      </c>
      <c r="K327" s="25"/>
      <c r="L327" s="81"/>
    </row>
    <row r="328" s="1" customFormat="1" ht="14.25" spans="1:12">
      <c r="A328" s="77">
        <v>11</v>
      </c>
      <c r="B328" s="78">
        <v>30</v>
      </c>
      <c r="C328" s="78">
        <v>33</v>
      </c>
      <c r="D328" s="79" t="s">
        <v>2954</v>
      </c>
      <c r="E328" s="79" t="s">
        <v>118</v>
      </c>
      <c r="F328" s="79" t="s">
        <v>55</v>
      </c>
      <c r="G328" s="79" t="s">
        <v>2282</v>
      </c>
      <c r="H328" s="80" t="s">
        <v>2952</v>
      </c>
      <c r="I328" s="80">
        <v>19137.5</v>
      </c>
      <c r="J328" s="25">
        <v>122480</v>
      </c>
      <c r="K328" s="25"/>
      <c r="L328" s="81"/>
    </row>
    <row r="329" s="1" customFormat="1" ht="14.25" spans="1:12">
      <c r="A329" s="77">
        <v>11</v>
      </c>
      <c r="B329" s="78">
        <v>30</v>
      </c>
      <c r="C329" s="78">
        <v>33</v>
      </c>
      <c r="D329" s="79" t="s">
        <v>2955</v>
      </c>
      <c r="E329" s="79" t="s">
        <v>179</v>
      </c>
      <c r="F329" s="79" t="s">
        <v>2955</v>
      </c>
      <c r="G329" s="79" t="s">
        <v>2282</v>
      </c>
      <c r="H329" s="80" t="s">
        <v>2952</v>
      </c>
      <c r="I329" s="80">
        <v>2781.25</v>
      </c>
      <c r="J329" s="25">
        <v>17800</v>
      </c>
      <c r="K329" s="25"/>
      <c r="L329" s="81"/>
    </row>
    <row r="330" s="1" customFormat="1" ht="14.25" spans="1:12">
      <c r="A330" s="77">
        <v>11</v>
      </c>
      <c r="B330" s="78">
        <v>30</v>
      </c>
      <c r="C330" s="78">
        <v>33</v>
      </c>
      <c r="D330" s="79" t="s">
        <v>2956</v>
      </c>
      <c r="E330" s="79" t="s">
        <v>211</v>
      </c>
      <c r="F330" s="79" t="s">
        <v>2957</v>
      </c>
      <c r="G330" s="79" t="s">
        <v>2282</v>
      </c>
      <c r="H330" s="80" t="s">
        <v>2952</v>
      </c>
      <c r="I330" s="80">
        <v>10937.5</v>
      </c>
      <c r="J330" s="25">
        <v>70000</v>
      </c>
      <c r="K330" s="25"/>
      <c r="L330" s="81"/>
    </row>
    <row r="331" s="1" customFormat="1" ht="14.25" spans="1:12">
      <c r="A331" s="77">
        <v>11</v>
      </c>
      <c r="B331" s="78">
        <v>30</v>
      </c>
      <c r="C331" s="78">
        <v>34</v>
      </c>
      <c r="D331" s="79" t="s">
        <v>2958</v>
      </c>
      <c r="E331" s="79" t="s">
        <v>118</v>
      </c>
      <c r="F331" s="79" t="s">
        <v>741</v>
      </c>
      <c r="G331" s="79" t="s">
        <v>2282</v>
      </c>
      <c r="H331" s="80" t="s">
        <v>2959</v>
      </c>
      <c r="I331" s="80">
        <v>178.13</v>
      </c>
      <c r="J331" s="25">
        <v>1140</v>
      </c>
      <c r="K331" s="25"/>
      <c r="L331" s="81"/>
    </row>
    <row r="332" s="1" customFormat="1" ht="14.25" spans="1:12">
      <c r="A332" s="77">
        <v>11</v>
      </c>
      <c r="B332" s="78">
        <v>30</v>
      </c>
      <c r="C332" s="78">
        <v>34</v>
      </c>
      <c r="D332" s="79" t="s">
        <v>2960</v>
      </c>
      <c r="E332" s="79" t="s">
        <v>118</v>
      </c>
      <c r="F332" s="79" t="s">
        <v>154</v>
      </c>
      <c r="G332" s="79" t="s">
        <v>2282</v>
      </c>
      <c r="H332" s="80" t="s">
        <v>2959</v>
      </c>
      <c r="I332" s="80">
        <v>1811.72</v>
      </c>
      <c r="J332" s="25">
        <v>11595</v>
      </c>
      <c r="K332" s="25"/>
      <c r="L332" s="81"/>
    </row>
    <row r="333" s="1" customFormat="1" ht="14.25" spans="1:12">
      <c r="A333" s="77">
        <v>11</v>
      </c>
      <c r="B333" s="78">
        <v>30</v>
      </c>
      <c r="C333" s="78">
        <v>34</v>
      </c>
      <c r="D333" s="79" t="s">
        <v>2961</v>
      </c>
      <c r="E333" s="79" t="s">
        <v>118</v>
      </c>
      <c r="F333" s="79" t="s">
        <v>55</v>
      </c>
      <c r="G333" s="79" t="s">
        <v>2282</v>
      </c>
      <c r="H333" s="80" t="s">
        <v>2959</v>
      </c>
      <c r="I333" s="80">
        <v>488.28</v>
      </c>
      <c r="J333" s="25">
        <v>3125</v>
      </c>
      <c r="K333" s="25"/>
      <c r="L333" s="81"/>
    </row>
    <row r="334" s="1" customFormat="1" ht="14.25" spans="1:12">
      <c r="A334" s="77">
        <v>11</v>
      </c>
      <c r="B334" s="78">
        <v>30</v>
      </c>
      <c r="C334" s="78">
        <v>34</v>
      </c>
      <c r="D334" s="79" t="s">
        <v>2962</v>
      </c>
      <c r="E334" s="79" t="s">
        <v>179</v>
      </c>
      <c r="F334" s="79" t="s">
        <v>1129</v>
      </c>
      <c r="G334" s="79" t="s">
        <v>2282</v>
      </c>
      <c r="H334" s="80" t="s">
        <v>2959</v>
      </c>
      <c r="I334" s="80">
        <v>7812.5</v>
      </c>
      <c r="J334" s="25">
        <v>50000</v>
      </c>
      <c r="K334" s="25"/>
      <c r="L334" s="81"/>
    </row>
    <row r="335" s="1" customFormat="1" ht="14.25" spans="1:12">
      <c r="A335" s="77">
        <v>11</v>
      </c>
      <c r="B335" s="78">
        <v>30</v>
      </c>
      <c r="C335" s="78">
        <v>34</v>
      </c>
      <c r="D335" s="79" t="s">
        <v>2963</v>
      </c>
      <c r="E335" s="79" t="s">
        <v>118</v>
      </c>
      <c r="F335" s="79" t="s">
        <v>55</v>
      </c>
      <c r="G335" s="79" t="s">
        <v>2282</v>
      </c>
      <c r="H335" s="80" t="s">
        <v>2964</v>
      </c>
      <c r="I335" s="80">
        <v>7574.22</v>
      </c>
      <c r="J335" s="25">
        <v>48475</v>
      </c>
      <c r="K335" s="25"/>
      <c r="L335" s="81"/>
    </row>
    <row r="336" s="1" customFormat="1" ht="14.25" spans="1:12">
      <c r="A336" s="77">
        <v>11</v>
      </c>
      <c r="B336" s="78">
        <v>30</v>
      </c>
      <c r="C336" s="78">
        <v>34</v>
      </c>
      <c r="D336" s="79" t="s">
        <v>2965</v>
      </c>
      <c r="E336" s="79" t="s">
        <v>118</v>
      </c>
      <c r="F336" s="79" t="s">
        <v>154</v>
      </c>
      <c r="G336" s="79" t="s">
        <v>2282</v>
      </c>
      <c r="H336" s="80" t="s">
        <v>2964</v>
      </c>
      <c r="I336" s="80">
        <v>12496.88</v>
      </c>
      <c r="J336" s="25">
        <v>79980</v>
      </c>
      <c r="K336" s="25"/>
      <c r="L336" s="81"/>
    </row>
    <row r="337" s="1" customFormat="1" ht="14.25" spans="1:12">
      <c r="A337" s="77">
        <v>11</v>
      </c>
      <c r="B337" s="78">
        <v>30</v>
      </c>
      <c r="C337" s="78">
        <v>34</v>
      </c>
      <c r="D337" s="79" t="s">
        <v>2966</v>
      </c>
      <c r="E337" s="79" t="s">
        <v>85</v>
      </c>
      <c r="F337" s="79" t="s">
        <v>2616</v>
      </c>
      <c r="G337" s="79" t="s">
        <v>2282</v>
      </c>
      <c r="H337" s="80" t="s">
        <v>2964</v>
      </c>
      <c r="I337" s="80">
        <v>7215.63</v>
      </c>
      <c r="J337" s="25">
        <v>46180</v>
      </c>
      <c r="K337" s="25"/>
      <c r="L337" s="81"/>
    </row>
    <row r="338" s="1" customFormat="1" ht="14.25" spans="1:12">
      <c r="A338" s="77">
        <v>11</v>
      </c>
      <c r="B338" s="78">
        <v>30</v>
      </c>
      <c r="C338" s="78">
        <v>34</v>
      </c>
      <c r="D338" s="79" t="s">
        <v>2967</v>
      </c>
      <c r="E338" s="79" t="s">
        <v>85</v>
      </c>
      <c r="F338" s="79" t="s">
        <v>2616</v>
      </c>
      <c r="G338" s="79" t="s">
        <v>2282</v>
      </c>
      <c r="H338" s="80" t="s">
        <v>2964</v>
      </c>
      <c r="I338" s="80">
        <v>7101.56</v>
      </c>
      <c r="J338" s="25">
        <v>45450</v>
      </c>
      <c r="K338" s="25"/>
      <c r="L338" s="81"/>
    </row>
    <row r="339" s="1" customFormat="1" ht="14.25" spans="1:12">
      <c r="A339" s="77">
        <v>11</v>
      </c>
      <c r="B339" s="78">
        <v>30</v>
      </c>
      <c r="C339" s="78">
        <v>34</v>
      </c>
      <c r="D339" s="79" t="s">
        <v>2968</v>
      </c>
      <c r="E339" s="79" t="s">
        <v>85</v>
      </c>
      <c r="F339" s="79" t="s">
        <v>2616</v>
      </c>
      <c r="G339" s="79" t="s">
        <v>2282</v>
      </c>
      <c r="H339" s="80" t="s">
        <v>2964</v>
      </c>
      <c r="I339" s="80">
        <v>12783.28</v>
      </c>
      <c r="J339" s="25">
        <v>81813</v>
      </c>
      <c r="K339" s="25"/>
      <c r="L339" s="81"/>
    </row>
    <row r="340" s="1" customFormat="1" ht="14.25" spans="1:12">
      <c r="A340" s="77">
        <v>11</v>
      </c>
      <c r="B340" s="78">
        <v>30</v>
      </c>
      <c r="C340" s="78">
        <v>35</v>
      </c>
      <c r="D340" s="79" t="s">
        <v>2969</v>
      </c>
      <c r="E340" s="79" t="s">
        <v>85</v>
      </c>
      <c r="F340" s="79" t="s">
        <v>2616</v>
      </c>
      <c r="G340" s="79" t="s">
        <v>2282</v>
      </c>
      <c r="H340" s="80" t="s">
        <v>2970</v>
      </c>
      <c r="I340" s="80">
        <v>7236.72</v>
      </c>
      <c r="J340" s="25">
        <v>46315</v>
      </c>
      <c r="K340" s="25"/>
      <c r="L340" s="81"/>
    </row>
    <row r="341" s="1" customFormat="1" ht="14.25" spans="1:12">
      <c r="A341" s="77">
        <v>11</v>
      </c>
      <c r="B341" s="78">
        <v>30</v>
      </c>
      <c r="C341" s="78">
        <v>35</v>
      </c>
      <c r="D341" s="79" t="s">
        <v>2971</v>
      </c>
      <c r="E341" s="79" t="s">
        <v>85</v>
      </c>
      <c r="F341" s="79" t="s">
        <v>2616</v>
      </c>
      <c r="G341" s="79" t="s">
        <v>2282</v>
      </c>
      <c r="H341" s="80" t="s">
        <v>2970</v>
      </c>
      <c r="I341" s="80">
        <v>38479.69</v>
      </c>
      <c r="J341" s="25">
        <v>246270</v>
      </c>
      <c r="K341" s="25"/>
      <c r="L341" s="81"/>
    </row>
    <row r="342" s="1" customFormat="1" ht="14.25" spans="1:12">
      <c r="A342" s="77">
        <v>11</v>
      </c>
      <c r="B342" s="78">
        <v>30</v>
      </c>
      <c r="C342" s="78">
        <v>35</v>
      </c>
      <c r="D342" s="79" t="s">
        <v>2972</v>
      </c>
      <c r="E342" s="79" t="s">
        <v>85</v>
      </c>
      <c r="F342" s="79" t="s">
        <v>2616</v>
      </c>
      <c r="G342" s="79" t="s">
        <v>2282</v>
      </c>
      <c r="H342" s="80" t="s">
        <v>2970</v>
      </c>
      <c r="I342" s="80">
        <v>7563.28</v>
      </c>
      <c r="J342" s="25">
        <v>48405</v>
      </c>
      <c r="K342" s="25"/>
      <c r="L342" s="81"/>
    </row>
    <row r="343" s="1" customFormat="1" ht="14.25" spans="1:12">
      <c r="A343" s="77">
        <v>11</v>
      </c>
      <c r="B343" s="78">
        <v>30</v>
      </c>
      <c r="C343" s="78">
        <v>35</v>
      </c>
      <c r="D343" s="79" t="s">
        <v>2973</v>
      </c>
      <c r="E343" s="79" t="s">
        <v>85</v>
      </c>
      <c r="F343" s="79" t="s">
        <v>2616</v>
      </c>
      <c r="G343" s="79" t="s">
        <v>2282</v>
      </c>
      <c r="H343" s="80" t="s">
        <v>2970</v>
      </c>
      <c r="I343" s="80">
        <v>25250</v>
      </c>
      <c r="J343" s="25">
        <v>161600</v>
      </c>
      <c r="K343" s="25"/>
      <c r="L343" s="81"/>
    </row>
    <row r="344" s="1" customFormat="1" ht="14.25" spans="1:12">
      <c r="A344" s="77">
        <v>11</v>
      </c>
      <c r="B344" s="78">
        <v>30</v>
      </c>
      <c r="C344" s="78">
        <v>35</v>
      </c>
      <c r="D344" s="79" t="s">
        <v>2974</v>
      </c>
      <c r="E344" s="79" t="s">
        <v>85</v>
      </c>
      <c r="F344" s="79" t="s">
        <v>2616</v>
      </c>
      <c r="G344" s="79" t="s">
        <v>2282</v>
      </c>
      <c r="H344" s="80" t="s">
        <v>2970</v>
      </c>
      <c r="I344" s="80">
        <v>12398.44</v>
      </c>
      <c r="J344" s="25">
        <v>79350</v>
      </c>
      <c r="K344" s="25"/>
      <c r="L344" s="81"/>
    </row>
    <row r="345" s="1" customFormat="1" ht="14.25" spans="1:12">
      <c r="A345" s="77">
        <v>11</v>
      </c>
      <c r="B345" s="78">
        <v>30</v>
      </c>
      <c r="C345" s="78">
        <v>35</v>
      </c>
      <c r="D345" s="79" t="s">
        <v>2975</v>
      </c>
      <c r="E345" s="79" t="s">
        <v>118</v>
      </c>
      <c r="F345" s="79" t="s">
        <v>55</v>
      </c>
      <c r="G345" s="79" t="s">
        <v>2282</v>
      </c>
      <c r="H345" s="80" t="s">
        <v>2976</v>
      </c>
      <c r="I345" s="80">
        <v>25875</v>
      </c>
      <c r="J345" s="25">
        <v>165600</v>
      </c>
      <c r="K345" s="25"/>
      <c r="L345" s="81"/>
    </row>
    <row r="346" s="1" customFormat="1" ht="14.25" spans="1:12">
      <c r="A346" s="77">
        <v>11</v>
      </c>
      <c r="B346" s="78">
        <v>30</v>
      </c>
      <c r="C346" s="78">
        <v>35</v>
      </c>
      <c r="D346" s="79" t="s">
        <v>2977</v>
      </c>
      <c r="E346" s="79" t="s">
        <v>118</v>
      </c>
      <c r="F346" s="79" t="s">
        <v>55</v>
      </c>
      <c r="G346" s="79" t="s">
        <v>2282</v>
      </c>
      <c r="H346" s="80" t="s">
        <v>2976</v>
      </c>
      <c r="I346" s="80">
        <v>207190.47</v>
      </c>
      <c r="J346" s="25">
        <v>1326019</v>
      </c>
      <c r="K346" s="25"/>
      <c r="L346" s="81"/>
    </row>
    <row r="347" s="1" customFormat="1" ht="14.25" spans="1:12">
      <c r="A347" s="77">
        <v>11</v>
      </c>
      <c r="B347" s="78">
        <v>30</v>
      </c>
      <c r="C347" s="78">
        <v>35</v>
      </c>
      <c r="D347" s="79" t="s">
        <v>2978</v>
      </c>
      <c r="E347" s="79" t="s">
        <v>118</v>
      </c>
      <c r="F347" s="79" t="s">
        <v>55</v>
      </c>
      <c r="G347" s="79" t="s">
        <v>2282</v>
      </c>
      <c r="H347" s="80" t="s">
        <v>2976</v>
      </c>
      <c r="I347" s="80">
        <v>38589.06</v>
      </c>
      <c r="J347" s="25">
        <v>246970</v>
      </c>
      <c r="K347" s="25"/>
      <c r="L347" s="81"/>
    </row>
    <row r="348" s="1" customFormat="1" ht="14.25" spans="1:12">
      <c r="A348" s="77">
        <v>11</v>
      </c>
      <c r="B348" s="78">
        <v>30</v>
      </c>
      <c r="C348" s="78">
        <v>36</v>
      </c>
      <c r="D348" s="79" t="s">
        <v>2979</v>
      </c>
      <c r="E348" s="79" t="s">
        <v>118</v>
      </c>
      <c r="F348" s="79" t="s">
        <v>741</v>
      </c>
      <c r="G348" s="79" t="s">
        <v>2282</v>
      </c>
      <c r="H348" s="80" t="s">
        <v>2980</v>
      </c>
      <c r="I348" s="80">
        <v>10096.09</v>
      </c>
      <c r="J348" s="25">
        <v>64615</v>
      </c>
      <c r="K348" s="25"/>
      <c r="L348" s="81"/>
    </row>
    <row r="349" s="1" customFormat="1" ht="14.25" spans="1:12">
      <c r="A349" s="77">
        <v>11</v>
      </c>
      <c r="B349" s="78">
        <v>30</v>
      </c>
      <c r="C349" s="78">
        <v>36</v>
      </c>
      <c r="D349" s="79" t="s">
        <v>2981</v>
      </c>
      <c r="E349" s="79" t="s">
        <v>118</v>
      </c>
      <c r="F349" s="79" t="s">
        <v>55</v>
      </c>
      <c r="G349" s="79" t="s">
        <v>2282</v>
      </c>
      <c r="H349" s="80" t="s">
        <v>2980</v>
      </c>
      <c r="I349" s="80">
        <v>51.56</v>
      </c>
      <c r="J349" s="25">
        <v>330</v>
      </c>
      <c r="K349" s="25"/>
      <c r="L349" s="81"/>
    </row>
    <row r="350" s="1" customFormat="1" ht="14.25" spans="1:12">
      <c r="A350" s="77">
        <v>11</v>
      </c>
      <c r="B350" s="78">
        <v>30</v>
      </c>
      <c r="C350" s="78">
        <v>36</v>
      </c>
      <c r="D350" s="79" t="s">
        <v>2982</v>
      </c>
      <c r="E350" s="79" t="s">
        <v>118</v>
      </c>
      <c r="F350" s="79" t="s">
        <v>741</v>
      </c>
      <c r="G350" s="79" t="s">
        <v>2282</v>
      </c>
      <c r="H350" s="80" t="s">
        <v>2980</v>
      </c>
      <c r="I350" s="80">
        <v>27.5</v>
      </c>
      <c r="J350" s="25">
        <v>176</v>
      </c>
      <c r="K350" s="25"/>
      <c r="L350" s="81"/>
    </row>
    <row r="351" s="1" customFormat="1" ht="14.25" spans="1:12">
      <c r="A351" s="77">
        <v>11</v>
      </c>
      <c r="B351" s="78">
        <v>30</v>
      </c>
      <c r="C351" s="78">
        <v>36</v>
      </c>
      <c r="D351" s="79" t="s">
        <v>2983</v>
      </c>
      <c r="E351" s="79" t="s">
        <v>118</v>
      </c>
      <c r="F351" s="79" t="s">
        <v>55</v>
      </c>
      <c r="G351" s="79" t="s">
        <v>2282</v>
      </c>
      <c r="H351" s="80" t="s">
        <v>2980</v>
      </c>
      <c r="I351" s="80">
        <v>409.38</v>
      </c>
      <c r="J351" s="25">
        <v>2620</v>
      </c>
      <c r="K351" s="25"/>
      <c r="L351" s="81"/>
    </row>
    <row r="352" s="1" customFormat="1" ht="14.25" spans="1:12">
      <c r="A352" s="77">
        <v>11</v>
      </c>
      <c r="B352" s="78">
        <v>30</v>
      </c>
      <c r="C352" s="78">
        <v>36</v>
      </c>
      <c r="D352" s="79" t="s">
        <v>2984</v>
      </c>
      <c r="E352" s="79" t="s">
        <v>211</v>
      </c>
      <c r="F352" s="79" t="s">
        <v>2804</v>
      </c>
      <c r="G352" s="79" t="s">
        <v>2282</v>
      </c>
      <c r="H352" s="80" t="s">
        <v>2985</v>
      </c>
      <c r="I352" s="80">
        <v>1199.53</v>
      </c>
      <c r="J352" s="25">
        <v>7677</v>
      </c>
      <c r="K352" s="25"/>
      <c r="L352" s="81"/>
    </row>
    <row r="353" s="1" customFormat="1" ht="14.25" spans="1:12">
      <c r="A353" s="77">
        <v>11</v>
      </c>
      <c r="B353" s="78">
        <v>30</v>
      </c>
      <c r="C353" s="78">
        <v>36</v>
      </c>
      <c r="D353" s="79" t="s">
        <v>2986</v>
      </c>
      <c r="E353" s="79" t="s">
        <v>211</v>
      </c>
      <c r="F353" s="79" t="s">
        <v>2987</v>
      </c>
      <c r="G353" s="79" t="s">
        <v>2282</v>
      </c>
      <c r="H353" s="80" t="s">
        <v>2985</v>
      </c>
      <c r="I353" s="80">
        <v>655.16</v>
      </c>
      <c r="J353" s="25">
        <v>4193</v>
      </c>
      <c r="K353" s="25"/>
      <c r="L353" s="81"/>
    </row>
    <row r="354" s="1" customFormat="1" ht="14.25" spans="1:12">
      <c r="A354" s="77">
        <v>11</v>
      </c>
      <c r="B354" s="78">
        <v>30</v>
      </c>
      <c r="C354" s="78">
        <v>37</v>
      </c>
      <c r="D354" s="79" t="s">
        <v>2988</v>
      </c>
      <c r="E354" s="79" t="s">
        <v>118</v>
      </c>
      <c r="F354" s="79" t="s">
        <v>489</v>
      </c>
      <c r="G354" s="79" t="s">
        <v>2282</v>
      </c>
      <c r="H354" s="80" t="s">
        <v>2989</v>
      </c>
      <c r="I354" s="80">
        <v>19185</v>
      </c>
      <c r="J354" s="25">
        <v>122784</v>
      </c>
      <c r="K354" s="25"/>
      <c r="L354" s="81"/>
    </row>
    <row r="355" s="1" customFormat="1" ht="14.25" spans="1:12">
      <c r="A355" s="77">
        <v>11</v>
      </c>
      <c r="B355" s="78">
        <v>30</v>
      </c>
      <c r="C355" s="78">
        <v>37</v>
      </c>
      <c r="D355" s="79" t="s">
        <v>2990</v>
      </c>
      <c r="E355" s="79" t="s">
        <v>118</v>
      </c>
      <c r="F355" s="79" t="s">
        <v>55</v>
      </c>
      <c r="G355" s="79" t="s">
        <v>2282</v>
      </c>
      <c r="H355" s="80" t="s">
        <v>2989</v>
      </c>
      <c r="I355" s="80">
        <v>4843.75</v>
      </c>
      <c r="J355" s="25">
        <v>31000</v>
      </c>
      <c r="K355" s="25"/>
      <c r="L355" s="81"/>
    </row>
    <row r="356" s="1" customFormat="1" ht="14.25" spans="1:12">
      <c r="A356" s="77">
        <v>11</v>
      </c>
      <c r="B356" s="78">
        <v>30</v>
      </c>
      <c r="C356" s="78">
        <v>37</v>
      </c>
      <c r="D356" s="79" t="s">
        <v>2991</v>
      </c>
      <c r="E356" s="79" t="s">
        <v>118</v>
      </c>
      <c r="F356" s="79" t="s">
        <v>55</v>
      </c>
      <c r="G356" s="79" t="s">
        <v>2282</v>
      </c>
      <c r="H356" s="80" t="s">
        <v>2989</v>
      </c>
      <c r="I356" s="80">
        <v>17333.44</v>
      </c>
      <c r="J356" s="25">
        <v>110934</v>
      </c>
      <c r="K356" s="25"/>
      <c r="L356" s="81"/>
    </row>
    <row r="357" s="1" customFormat="1" ht="14.25" spans="1:12">
      <c r="A357" s="77">
        <v>11</v>
      </c>
      <c r="B357" s="78">
        <v>30</v>
      </c>
      <c r="C357" s="78">
        <v>37</v>
      </c>
      <c r="D357" s="79" t="s">
        <v>2992</v>
      </c>
      <c r="E357" s="79" t="s">
        <v>118</v>
      </c>
      <c r="F357" s="79" t="s">
        <v>2872</v>
      </c>
      <c r="G357" s="79" t="s">
        <v>2282</v>
      </c>
      <c r="H357" s="80" t="s">
        <v>2989</v>
      </c>
      <c r="I357" s="80">
        <v>257.81</v>
      </c>
      <c r="J357" s="25">
        <v>1650</v>
      </c>
      <c r="K357" s="25"/>
      <c r="L357" s="81"/>
    </row>
    <row r="358" s="1" customFormat="1" ht="14.25" spans="1:12">
      <c r="A358" s="77">
        <v>11</v>
      </c>
      <c r="B358" s="78">
        <v>30</v>
      </c>
      <c r="C358" s="78">
        <v>37</v>
      </c>
      <c r="D358" s="79" t="s">
        <v>2993</v>
      </c>
      <c r="E358" s="79" t="s">
        <v>118</v>
      </c>
      <c r="F358" s="79" t="s">
        <v>55</v>
      </c>
      <c r="G358" s="79" t="s">
        <v>2282</v>
      </c>
      <c r="H358" s="80" t="s">
        <v>2989</v>
      </c>
      <c r="I358" s="80">
        <v>171.88</v>
      </c>
      <c r="J358" s="25">
        <v>1100</v>
      </c>
      <c r="K358" s="25"/>
      <c r="L358" s="81"/>
    </row>
    <row r="359" s="1" customFormat="1" ht="14.25" spans="1:12">
      <c r="A359" s="77">
        <v>11</v>
      </c>
      <c r="B359" s="78">
        <v>30</v>
      </c>
      <c r="C359" s="78">
        <v>37</v>
      </c>
      <c r="D359" s="79" t="s">
        <v>2994</v>
      </c>
      <c r="E359" s="79" t="s">
        <v>211</v>
      </c>
      <c r="F359" s="79" t="s">
        <v>2995</v>
      </c>
      <c r="G359" s="79" t="s">
        <v>2282</v>
      </c>
      <c r="H359" s="80" t="s">
        <v>2996</v>
      </c>
      <c r="I359" s="80">
        <v>6573.75</v>
      </c>
      <c r="J359" s="25">
        <v>42072</v>
      </c>
      <c r="K359" s="25"/>
      <c r="L359" s="81"/>
    </row>
    <row r="360" s="1" customFormat="1" ht="14.25" spans="1:12">
      <c r="A360" s="77">
        <v>11</v>
      </c>
      <c r="B360" s="78">
        <v>30</v>
      </c>
      <c r="C360" s="78">
        <v>37</v>
      </c>
      <c r="D360" s="79" t="s">
        <v>2943</v>
      </c>
      <c r="E360" s="79" t="s">
        <v>118</v>
      </c>
      <c r="F360" s="79" t="s">
        <v>154</v>
      </c>
      <c r="G360" s="79" t="s">
        <v>2282</v>
      </c>
      <c r="H360" s="80" t="s">
        <v>2996</v>
      </c>
      <c r="I360" s="80">
        <v>910.94</v>
      </c>
      <c r="J360" s="25">
        <v>5830</v>
      </c>
      <c r="K360" s="25"/>
      <c r="L360" s="81"/>
    </row>
    <row r="361" s="1" customFormat="1" ht="14.25" spans="1:12">
      <c r="A361" s="77">
        <v>11</v>
      </c>
      <c r="B361" s="78">
        <v>30</v>
      </c>
      <c r="C361" s="78">
        <v>37</v>
      </c>
      <c r="D361" s="79" t="s">
        <v>2762</v>
      </c>
      <c r="E361" s="79" t="s">
        <v>118</v>
      </c>
      <c r="F361" s="79" t="s">
        <v>154</v>
      </c>
      <c r="G361" s="79" t="s">
        <v>2282</v>
      </c>
      <c r="H361" s="80" t="s">
        <v>2996</v>
      </c>
      <c r="I361" s="80">
        <v>1346.09</v>
      </c>
      <c r="J361" s="25">
        <v>8615</v>
      </c>
      <c r="K361" s="25"/>
      <c r="L361" s="81"/>
    </row>
    <row r="362" s="1" customFormat="1" ht="14.25" spans="1:12">
      <c r="A362" s="77">
        <v>11</v>
      </c>
      <c r="B362" s="78">
        <v>30</v>
      </c>
      <c r="C362" s="78">
        <v>37</v>
      </c>
      <c r="D362" s="79" t="s">
        <v>2997</v>
      </c>
      <c r="E362" s="79" t="s">
        <v>118</v>
      </c>
      <c r="F362" s="79" t="s">
        <v>489</v>
      </c>
      <c r="G362" s="79" t="s">
        <v>2282</v>
      </c>
      <c r="H362" s="80" t="s">
        <v>2996</v>
      </c>
      <c r="I362" s="80">
        <v>10221.88</v>
      </c>
      <c r="J362" s="25">
        <v>65420</v>
      </c>
      <c r="K362" s="25"/>
      <c r="L362" s="81"/>
    </row>
    <row r="363" s="1" customFormat="1" ht="14.25" spans="1:12">
      <c r="A363" s="77">
        <v>11</v>
      </c>
      <c r="B363" s="78">
        <v>30</v>
      </c>
      <c r="C363" s="78">
        <v>37</v>
      </c>
      <c r="D363" s="79" t="s">
        <v>2998</v>
      </c>
      <c r="E363" s="79" t="s">
        <v>118</v>
      </c>
      <c r="F363" s="79" t="s">
        <v>55</v>
      </c>
      <c r="G363" s="79" t="s">
        <v>2282</v>
      </c>
      <c r="H363" s="80" t="s">
        <v>2996</v>
      </c>
      <c r="I363" s="80">
        <v>875</v>
      </c>
      <c r="J363" s="25">
        <v>5600</v>
      </c>
      <c r="K363" s="25"/>
      <c r="L363" s="81"/>
    </row>
    <row r="364" s="1" customFormat="1" ht="14.25" spans="1:12">
      <c r="A364" s="77">
        <v>11</v>
      </c>
      <c r="B364" s="78">
        <v>30</v>
      </c>
      <c r="C364" s="78">
        <v>38</v>
      </c>
      <c r="D364" s="79" t="s">
        <v>2942</v>
      </c>
      <c r="E364" s="79" t="s">
        <v>118</v>
      </c>
      <c r="F364" s="79" t="s">
        <v>154</v>
      </c>
      <c r="G364" s="79" t="s">
        <v>2282</v>
      </c>
      <c r="H364" s="80" t="s">
        <v>2999</v>
      </c>
      <c r="I364" s="80">
        <v>3062.5</v>
      </c>
      <c r="J364" s="25">
        <v>19600</v>
      </c>
      <c r="K364" s="25"/>
      <c r="L364" s="81"/>
    </row>
    <row r="365" s="1" customFormat="1" ht="14.25" spans="1:12">
      <c r="A365" s="77">
        <v>11</v>
      </c>
      <c r="B365" s="78">
        <v>30</v>
      </c>
      <c r="C365" s="78">
        <v>38</v>
      </c>
      <c r="D365" s="79" t="s">
        <v>3000</v>
      </c>
      <c r="E365" s="79" t="s">
        <v>2054</v>
      </c>
      <c r="F365" s="79" t="s">
        <v>97</v>
      </c>
      <c r="G365" s="79" t="s">
        <v>2282</v>
      </c>
      <c r="H365" s="80" t="s">
        <v>2999</v>
      </c>
      <c r="I365" s="80">
        <v>2485.16</v>
      </c>
      <c r="J365" s="25">
        <v>15905</v>
      </c>
      <c r="K365" s="25"/>
      <c r="L365" s="81"/>
    </row>
    <row r="366" s="1" customFormat="1" ht="14.25" spans="1:12">
      <c r="A366" s="77">
        <v>11</v>
      </c>
      <c r="B366" s="78">
        <v>30</v>
      </c>
      <c r="C366" s="78">
        <v>38</v>
      </c>
      <c r="D366" s="79" t="s">
        <v>3001</v>
      </c>
      <c r="E366" s="79" t="s">
        <v>48</v>
      </c>
      <c r="F366" s="79" t="s">
        <v>55</v>
      </c>
      <c r="G366" s="79" t="s">
        <v>2282</v>
      </c>
      <c r="H366" s="80" t="s">
        <v>2999</v>
      </c>
      <c r="I366" s="80">
        <v>1093.75</v>
      </c>
      <c r="J366" s="25">
        <v>7000</v>
      </c>
      <c r="K366" s="25"/>
      <c r="L366" s="81"/>
    </row>
    <row r="367" s="1" customFormat="1" ht="14.25" spans="1:12">
      <c r="A367" s="77">
        <v>11</v>
      </c>
      <c r="B367" s="78">
        <v>30</v>
      </c>
      <c r="C367" s="78">
        <v>38</v>
      </c>
      <c r="D367" s="79" t="s">
        <v>3002</v>
      </c>
      <c r="E367" s="79" t="s">
        <v>2054</v>
      </c>
      <c r="F367" s="79" t="s">
        <v>97</v>
      </c>
      <c r="G367" s="79" t="s">
        <v>2282</v>
      </c>
      <c r="H367" s="80" t="s">
        <v>2999</v>
      </c>
      <c r="I367" s="80">
        <v>282.81</v>
      </c>
      <c r="J367" s="25">
        <v>1810</v>
      </c>
      <c r="K367" s="25"/>
      <c r="L367" s="81"/>
    </row>
    <row r="368" s="1" customFormat="1" ht="14.25" spans="1:12">
      <c r="A368" s="77">
        <v>11</v>
      </c>
      <c r="B368" s="78">
        <v>30</v>
      </c>
      <c r="C368" s="78">
        <v>38</v>
      </c>
      <c r="D368" s="79" t="s">
        <v>3003</v>
      </c>
      <c r="E368" s="79" t="s">
        <v>179</v>
      </c>
      <c r="F368" s="79" t="s">
        <v>1488</v>
      </c>
      <c r="G368" s="79" t="s">
        <v>2282</v>
      </c>
      <c r="H368" s="80" t="s">
        <v>3004</v>
      </c>
      <c r="I368" s="80">
        <v>88406.25</v>
      </c>
      <c r="J368" s="25">
        <v>565800</v>
      </c>
      <c r="K368" s="25"/>
      <c r="L368" s="81"/>
    </row>
    <row r="369" s="1" customFormat="1" ht="14.25" spans="1:12">
      <c r="A369" s="77">
        <v>11</v>
      </c>
      <c r="B369" s="78">
        <v>30</v>
      </c>
      <c r="C369" s="78">
        <v>38</v>
      </c>
      <c r="D369" s="79" t="s">
        <v>3005</v>
      </c>
      <c r="E369" s="79" t="s">
        <v>179</v>
      </c>
      <c r="F369" s="79" t="s">
        <v>1989</v>
      </c>
      <c r="G369" s="79" t="s">
        <v>2282</v>
      </c>
      <c r="H369" s="80" t="s">
        <v>3004</v>
      </c>
      <c r="I369" s="80">
        <v>46124.69</v>
      </c>
      <c r="J369" s="25">
        <v>295198</v>
      </c>
      <c r="K369" s="25"/>
      <c r="L369" s="81"/>
    </row>
    <row r="370" s="1" customFormat="1" ht="14.25" spans="1:12">
      <c r="A370" s="77">
        <v>11</v>
      </c>
      <c r="B370" s="78">
        <v>30</v>
      </c>
      <c r="C370" s="78">
        <v>38</v>
      </c>
      <c r="D370" s="79" t="s">
        <v>3006</v>
      </c>
      <c r="E370" s="79" t="s">
        <v>179</v>
      </c>
      <c r="F370" s="79" t="s">
        <v>3007</v>
      </c>
      <c r="G370" s="79" t="s">
        <v>2282</v>
      </c>
      <c r="H370" s="80" t="s">
        <v>3004</v>
      </c>
      <c r="I370" s="80">
        <v>5781.25</v>
      </c>
      <c r="J370" s="25">
        <v>37000</v>
      </c>
      <c r="K370" s="25"/>
      <c r="L370" s="81"/>
    </row>
    <row r="371" s="1" customFormat="1" ht="14.25" spans="1:12">
      <c r="A371" s="77">
        <v>11</v>
      </c>
      <c r="B371" s="78">
        <v>30</v>
      </c>
      <c r="C371" s="78">
        <v>38</v>
      </c>
      <c r="D371" s="79" t="s">
        <v>3008</v>
      </c>
      <c r="E371" s="79" t="s">
        <v>179</v>
      </c>
      <c r="F371" s="79" t="s">
        <v>1989</v>
      </c>
      <c r="G371" s="79" t="s">
        <v>2282</v>
      </c>
      <c r="H371" s="80" t="s">
        <v>3004</v>
      </c>
      <c r="I371" s="80">
        <v>43468.75</v>
      </c>
      <c r="J371" s="25">
        <v>278200</v>
      </c>
      <c r="K371" s="25"/>
      <c r="L371" s="81"/>
    </row>
    <row r="372" s="1" customFormat="1" ht="14.25" spans="1:12">
      <c r="A372" s="77">
        <v>11</v>
      </c>
      <c r="B372" s="78">
        <v>30</v>
      </c>
      <c r="C372" s="78">
        <v>38</v>
      </c>
      <c r="D372" s="79" t="s">
        <v>3009</v>
      </c>
      <c r="E372" s="79" t="s">
        <v>211</v>
      </c>
      <c r="F372" s="79" t="s">
        <v>1129</v>
      </c>
      <c r="G372" s="79" t="s">
        <v>2282</v>
      </c>
      <c r="H372" s="80" t="s">
        <v>3004</v>
      </c>
      <c r="I372" s="80">
        <v>1137.5</v>
      </c>
      <c r="J372" s="25">
        <v>7280</v>
      </c>
      <c r="K372" s="25"/>
      <c r="L372" s="81"/>
    </row>
    <row r="373" s="1" customFormat="1" ht="14.25" spans="1:12">
      <c r="A373" s="77">
        <v>11</v>
      </c>
      <c r="B373" s="78">
        <v>30</v>
      </c>
      <c r="C373" s="78">
        <v>39</v>
      </c>
      <c r="D373" s="79" t="s">
        <v>3010</v>
      </c>
      <c r="E373" s="79" t="s">
        <v>118</v>
      </c>
      <c r="F373" s="79" t="s">
        <v>55</v>
      </c>
      <c r="G373" s="79" t="s">
        <v>2282</v>
      </c>
      <c r="H373" s="80" t="s">
        <v>3011</v>
      </c>
      <c r="I373" s="80">
        <v>7162.03</v>
      </c>
      <c r="J373" s="25">
        <v>45837</v>
      </c>
      <c r="K373" s="25"/>
      <c r="L373" s="81"/>
    </row>
    <row r="374" s="1" customFormat="1" ht="14.25" spans="1:12">
      <c r="A374" s="77">
        <v>11</v>
      </c>
      <c r="B374" s="78">
        <v>30</v>
      </c>
      <c r="C374" s="78">
        <v>39</v>
      </c>
      <c r="D374" s="79" t="s">
        <v>3012</v>
      </c>
      <c r="E374" s="79" t="s">
        <v>118</v>
      </c>
      <c r="F374" s="79" t="s">
        <v>55</v>
      </c>
      <c r="G374" s="79" t="s">
        <v>2282</v>
      </c>
      <c r="H374" s="80" t="s">
        <v>3011</v>
      </c>
      <c r="I374" s="80">
        <v>15492.19</v>
      </c>
      <c r="J374" s="25">
        <v>99150</v>
      </c>
      <c r="K374" s="25"/>
      <c r="L374" s="81"/>
    </row>
    <row r="375" s="1" customFormat="1" ht="14.25" spans="1:12">
      <c r="A375" s="77">
        <v>11</v>
      </c>
      <c r="B375" s="78">
        <v>30</v>
      </c>
      <c r="C375" s="78">
        <v>39</v>
      </c>
      <c r="D375" s="79" t="s">
        <v>3013</v>
      </c>
      <c r="E375" s="79" t="s">
        <v>118</v>
      </c>
      <c r="F375" s="79" t="s">
        <v>489</v>
      </c>
      <c r="G375" s="79" t="s">
        <v>2282</v>
      </c>
      <c r="H375" s="80" t="s">
        <v>3011</v>
      </c>
      <c r="I375" s="80">
        <v>4498.44</v>
      </c>
      <c r="J375" s="25">
        <v>28790</v>
      </c>
      <c r="K375" s="25"/>
      <c r="L375" s="81"/>
    </row>
    <row r="376" s="1" customFormat="1" ht="14.25" spans="1:12">
      <c r="A376" s="77">
        <v>11</v>
      </c>
      <c r="B376" s="78">
        <v>30</v>
      </c>
      <c r="C376" s="78">
        <v>39</v>
      </c>
      <c r="D376" s="79" t="s">
        <v>3014</v>
      </c>
      <c r="E376" s="79" t="s">
        <v>118</v>
      </c>
      <c r="F376" s="79" t="s">
        <v>55</v>
      </c>
      <c r="G376" s="79" t="s">
        <v>2282</v>
      </c>
      <c r="H376" s="80" t="s">
        <v>3011</v>
      </c>
      <c r="I376" s="80">
        <v>1546.88</v>
      </c>
      <c r="J376" s="25">
        <v>9900</v>
      </c>
      <c r="K376" s="25"/>
      <c r="L376" s="81"/>
    </row>
    <row r="377" s="1" customFormat="1" ht="14.25" spans="1:12">
      <c r="A377" s="77">
        <v>11</v>
      </c>
      <c r="B377" s="78">
        <v>30</v>
      </c>
      <c r="C377" s="78">
        <v>39</v>
      </c>
      <c r="D377" s="79" t="s">
        <v>3015</v>
      </c>
      <c r="E377" s="79" t="s">
        <v>118</v>
      </c>
      <c r="F377" s="79" t="s">
        <v>154</v>
      </c>
      <c r="G377" s="79" t="s">
        <v>2282</v>
      </c>
      <c r="H377" s="80" t="s">
        <v>3011</v>
      </c>
      <c r="I377" s="80">
        <v>2035.94</v>
      </c>
      <c r="J377" s="25">
        <v>13030</v>
      </c>
      <c r="K377" s="25"/>
      <c r="L377" s="81"/>
    </row>
    <row r="378" s="1" customFormat="1" ht="14.25" spans="1:12">
      <c r="A378" s="77">
        <v>11</v>
      </c>
      <c r="B378" s="78">
        <v>30</v>
      </c>
      <c r="C378" s="78">
        <v>39</v>
      </c>
      <c r="D378" s="79" t="s">
        <v>3016</v>
      </c>
      <c r="E378" s="79" t="s">
        <v>118</v>
      </c>
      <c r="F378" s="79" t="s">
        <v>55</v>
      </c>
      <c r="G378" s="79" t="s">
        <v>2282</v>
      </c>
      <c r="H378" s="80" t="s">
        <v>3017</v>
      </c>
      <c r="I378" s="80">
        <v>518.75</v>
      </c>
      <c r="J378" s="25">
        <v>3320</v>
      </c>
      <c r="K378" s="25"/>
      <c r="L378" s="81"/>
    </row>
    <row r="379" s="1" customFormat="1" ht="14.25" spans="1:12">
      <c r="A379" s="77">
        <v>11</v>
      </c>
      <c r="B379" s="78">
        <v>30</v>
      </c>
      <c r="C379" s="78">
        <v>39</v>
      </c>
      <c r="D379" s="79" t="s">
        <v>3018</v>
      </c>
      <c r="E379" s="79" t="s">
        <v>179</v>
      </c>
      <c r="F379" s="79" t="s">
        <v>1989</v>
      </c>
      <c r="G379" s="79" t="s">
        <v>2282</v>
      </c>
      <c r="H379" s="80" t="s">
        <v>3017</v>
      </c>
      <c r="I379" s="80">
        <v>1781.25</v>
      </c>
      <c r="J379" s="25">
        <v>11400</v>
      </c>
      <c r="K379" s="25"/>
      <c r="L379" s="81"/>
    </row>
    <row r="380" s="1" customFormat="1" ht="14.25" spans="1:12">
      <c r="A380" s="77">
        <v>11</v>
      </c>
      <c r="B380" s="78">
        <v>30</v>
      </c>
      <c r="C380" s="78">
        <v>39</v>
      </c>
      <c r="D380" s="79" t="s">
        <v>3019</v>
      </c>
      <c r="E380" s="79" t="s">
        <v>118</v>
      </c>
      <c r="F380" s="79" t="s">
        <v>55</v>
      </c>
      <c r="G380" s="79" t="s">
        <v>2282</v>
      </c>
      <c r="H380" s="80" t="s">
        <v>3017</v>
      </c>
      <c r="I380" s="80">
        <v>15726.56</v>
      </c>
      <c r="J380" s="25">
        <v>100650</v>
      </c>
      <c r="K380" s="25"/>
      <c r="L380" s="81"/>
    </row>
    <row r="381" s="1" customFormat="1" ht="14.25" spans="1:12">
      <c r="A381" s="77">
        <v>11</v>
      </c>
      <c r="B381" s="78">
        <v>30</v>
      </c>
      <c r="C381" s="78">
        <v>39</v>
      </c>
      <c r="D381" s="79" t="s">
        <v>3020</v>
      </c>
      <c r="E381" s="79" t="s">
        <v>118</v>
      </c>
      <c r="F381" s="79" t="s">
        <v>55</v>
      </c>
      <c r="G381" s="79" t="s">
        <v>2282</v>
      </c>
      <c r="H381" s="80" t="s">
        <v>3017</v>
      </c>
      <c r="I381" s="80">
        <v>2076.41</v>
      </c>
      <c r="J381" s="25">
        <v>13289</v>
      </c>
      <c r="K381" s="25"/>
      <c r="L381" s="81"/>
    </row>
    <row r="382" s="1" customFormat="1" ht="14.25" spans="1:12">
      <c r="A382" s="77">
        <v>11</v>
      </c>
      <c r="B382" s="78">
        <v>30</v>
      </c>
      <c r="C382" s="78">
        <v>39</v>
      </c>
      <c r="D382" s="79" t="s">
        <v>2942</v>
      </c>
      <c r="E382" s="79" t="s">
        <v>118</v>
      </c>
      <c r="F382" s="79" t="s">
        <v>154</v>
      </c>
      <c r="G382" s="79" t="s">
        <v>2282</v>
      </c>
      <c r="H382" s="80" t="s">
        <v>3017</v>
      </c>
      <c r="I382" s="80">
        <v>1296.88</v>
      </c>
      <c r="J382" s="25">
        <v>8300</v>
      </c>
      <c r="K382" s="25"/>
      <c r="L382" s="81"/>
    </row>
    <row r="383" s="1" customFormat="1" ht="14.25" spans="1:12">
      <c r="A383" s="77">
        <v>11</v>
      </c>
      <c r="B383" s="78">
        <v>30</v>
      </c>
      <c r="C383" s="78">
        <v>40</v>
      </c>
      <c r="D383" s="79" t="s">
        <v>2997</v>
      </c>
      <c r="E383" s="79" t="s">
        <v>118</v>
      </c>
      <c r="F383" s="79" t="s">
        <v>55</v>
      </c>
      <c r="G383" s="79" t="s">
        <v>2282</v>
      </c>
      <c r="H383" s="80" t="s">
        <v>3021</v>
      </c>
      <c r="I383" s="80">
        <v>375</v>
      </c>
      <c r="J383" s="25">
        <v>2400</v>
      </c>
      <c r="K383" s="25"/>
      <c r="L383" s="81"/>
    </row>
    <row r="384" s="1" customFormat="1" ht="14.25" spans="1:12">
      <c r="A384" s="77">
        <v>11</v>
      </c>
      <c r="B384" s="78">
        <v>30</v>
      </c>
      <c r="C384" s="78">
        <v>40</v>
      </c>
      <c r="D384" s="79" t="s">
        <v>3022</v>
      </c>
      <c r="E384" s="79" t="s">
        <v>118</v>
      </c>
      <c r="F384" s="79" t="s">
        <v>55</v>
      </c>
      <c r="G384" s="79" t="s">
        <v>2282</v>
      </c>
      <c r="H384" s="80" t="s">
        <v>3021</v>
      </c>
      <c r="I384" s="80">
        <v>47500</v>
      </c>
      <c r="J384" s="25">
        <v>304000</v>
      </c>
      <c r="K384" s="25"/>
      <c r="L384" s="81"/>
    </row>
    <row r="385" s="1" customFormat="1" ht="14.25" spans="1:12">
      <c r="A385" s="77">
        <v>11</v>
      </c>
      <c r="B385" s="78">
        <v>30</v>
      </c>
      <c r="C385" s="78">
        <v>40</v>
      </c>
      <c r="D385" s="79" t="s">
        <v>3023</v>
      </c>
      <c r="E385" s="79" t="s">
        <v>118</v>
      </c>
      <c r="F385" s="79" t="s">
        <v>489</v>
      </c>
      <c r="G385" s="79" t="s">
        <v>2282</v>
      </c>
      <c r="H385" s="80" t="s">
        <v>3021</v>
      </c>
      <c r="I385" s="80">
        <v>2499.38</v>
      </c>
      <c r="J385" s="25">
        <v>15996</v>
      </c>
      <c r="K385" s="25"/>
      <c r="L385" s="81"/>
    </row>
    <row r="386" s="1" customFormat="1" ht="14.25" spans="1:12">
      <c r="A386" s="77">
        <v>11</v>
      </c>
      <c r="B386" s="78">
        <v>30</v>
      </c>
      <c r="C386" s="78">
        <v>40</v>
      </c>
      <c r="D386" s="79" t="s">
        <v>3024</v>
      </c>
      <c r="E386" s="79" t="s">
        <v>179</v>
      </c>
      <c r="F386" s="79" t="s">
        <v>3007</v>
      </c>
      <c r="G386" s="79" t="s">
        <v>2282</v>
      </c>
      <c r="H386" s="80" t="s">
        <v>3021</v>
      </c>
      <c r="I386" s="80">
        <v>3759.38</v>
      </c>
      <c r="J386" s="25">
        <v>24060</v>
      </c>
      <c r="K386" s="25"/>
      <c r="L386" s="81"/>
    </row>
    <row r="387" s="1" customFormat="1" ht="14.25" spans="1:12">
      <c r="A387" s="77">
        <v>11</v>
      </c>
      <c r="B387" s="78">
        <v>30</v>
      </c>
      <c r="C387" s="78">
        <v>40</v>
      </c>
      <c r="D387" s="79" t="s">
        <v>3025</v>
      </c>
      <c r="E387" s="79" t="s">
        <v>179</v>
      </c>
      <c r="F387" s="79" t="s">
        <v>1989</v>
      </c>
      <c r="G387" s="79" t="s">
        <v>2282</v>
      </c>
      <c r="H387" s="80" t="s">
        <v>3021</v>
      </c>
      <c r="I387" s="80">
        <v>117.19</v>
      </c>
      <c r="J387" s="25">
        <v>750</v>
      </c>
      <c r="K387" s="25"/>
      <c r="L387" s="81"/>
    </row>
    <row r="388" s="1" customFormat="1" ht="14.25" spans="1:12">
      <c r="A388" s="77">
        <v>11</v>
      </c>
      <c r="B388" s="78">
        <v>30</v>
      </c>
      <c r="C388" s="78">
        <v>40</v>
      </c>
      <c r="D388" s="79" t="s">
        <v>3026</v>
      </c>
      <c r="E388" s="79" t="s">
        <v>118</v>
      </c>
      <c r="F388" s="79" t="s">
        <v>55</v>
      </c>
      <c r="G388" s="79" t="s">
        <v>2282</v>
      </c>
      <c r="H388" s="80" t="s">
        <v>3027</v>
      </c>
      <c r="I388" s="80">
        <v>312.5</v>
      </c>
      <c r="J388" s="25">
        <v>2000</v>
      </c>
      <c r="K388" s="25"/>
      <c r="L388" s="81"/>
    </row>
    <row r="389" s="1" customFormat="1" ht="14.25" spans="1:12">
      <c r="A389" s="77">
        <v>11</v>
      </c>
      <c r="B389" s="78">
        <v>30</v>
      </c>
      <c r="C389" s="78">
        <v>40</v>
      </c>
      <c r="D389" s="79" t="s">
        <v>3028</v>
      </c>
      <c r="E389" s="79" t="s">
        <v>118</v>
      </c>
      <c r="F389" s="79" t="s">
        <v>154</v>
      </c>
      <c r="G389" s="79" t="s">
        <v>2282</v>
      </c>
      <c r="H389" s="80" t="s">
        <v>3027</v>
      </c>
      <c r="I389" s="80">
        <v>2740.63</v>
      </c>
      <c r="J389" s="25">
        <v>17540</v>
      </c>
      <c r="K389" s="25"/>
      <c r="L389" s="81"/>
    </row>
    <row r="390" s="1" customFormat="1" ht="14.25" spans="1:12">
      <c r="A390" s="77">
        <v>11</v>
      </c>
      <c r="B390" s="78">
        <v>30</v>
      </c>
      <c r="C390" s="78">
        <v>40</v>
      </c>
      <c r="D390" s="79" t="s">
        <v>3029</v>
      </c>
      <c r="E390" s="79" t="s">
        <v>118</v>
      </c>
      <c r="F390" s="79" t="s">
        <v>489</v>
      </c>
      <c r="G390" s="79" t="s">
        <v>2282</v>
      </c>
      <c r="H390" s="80" t="s">
        <v>3027</v>
      </c>
      <c r="I390" s="80">
        <v>81.25</v>
      </c>
      <c r="J390" s="25">
        <v>520</v>
      </c>
      <c r="K390" s="25"/>
      <c r="L390" s="81"/>
    </row>
    <row r="391" s="1" customFormat="1" ht="14.25" spans="1:12">
      <c r="A391" s="77">
        <v>11</v>
      </c>
      <c r="B391" s="78">
        <v>30</v>
      </c>
      <c r="C391" s="78">
        <v>40</v>
      </c>
      <c r="D391" s="79" t="s">
        <v>3030</v>
      </c>
      <c r="E391" s="79" t="s">
        <v>118</v>
      </c>
      <c r="F391" s="79" t="s">
        <v>154</v>
      </c>
      <c r="G391" s="79" t="s">
        <v>2282</v>
      </c>
      <c r="H391" s="80" t="s">
        <v>3027</v>
      </c>
      <c r="I391" s="80">
        <v>421.88</v>
      </c>
      <c r="J391" s="25">
        <v>2700</v>
      </c>
      <c r="K391" s="25"/>
      <c r="L391" s="81"/>
    </row>
    <row r="392" s="1" customFormat="1" ht="14.25" spans="1:12">
      <c r="A392" s="77">
        <v>11</v>
      </c>
      <c r="B392" s="78">
        <v>30</v>
      </c>
      <c r="C392" s="78">
        <v>40</v>
      </c>
      <c r="D392" s="79" t="s">
        <v>3031</v>
      </c>
      <c r="E392" s="79" t="s">
        <v>118</v>
      </c>
      <c r="F392" s="79" t="s">
        <v>489</v>
      </c>
      <c r="G392" s="79" t="s">
        <v>2282</v>
      </c>
      <c r="H392" s="80" t="s">
        <v>3027</v>
      </c>
      <c r="I392" s="80">
        <v>282.81</v>
      </c>
      <c r="J392" s="25">
        <v>1810</v>
      </c>
      <c r="K392" s="25"/>
      <c r="L392" s="81"/>
    </row>
    <row r="393" s="1" customFormat="1" ht="14.25" spans="1:12">
      <c r="A393" s="77">
        <v>11</v>
      </c>
      <c r="B393" s="78">
        <v>30</v>
      </c>
      <c r="C393" s="78">
        <v>41</v>
      </c>
      <c r="D393" s="79" t="s">
        <v>3032</v>
      </c>
      <c r="E393" s="79" t="s">
        <v>118</v>
      </c>
      <c r="F393" s="79" t="s">
        <v>55</v>
      </c>
      <c r="G393" s="79" t="s">
        <v>2282</v>
      </c>
      <c r="H393" s="80" t="s">
        <v>3033</v>
      </c>
      <c r="I393" s="80">
        <v>135.94</v>
      </c>
      <c r="J393" s="25">
        <v>870</v>
      </c>
      <c r="K393" s="25"/>
      <c r="L393" s="81"/>
    </row>
    <row r="394" s="1" customFormat="1" ht="14.25" spans="1:12">
      <c r="A394" s="77">
        <v>11</v>
      </c>
      <c r="B394" s="78">
        <v>30</v>
      </c>
      <c r="C394" s="78">
        <v>41</v>
      </c>
      <c r="D394" s="79" t="s">
        <v>3034</v>
      </c>
      <c r="E394" s="79" t="s">
        <v>118</v>
      </c>
      <c r="F394" s="79" t="s">
        <v>55</v>
      </c>
      <c r="G394" s="79" t="s">
        <v>2282</v>
      </c>
      <c r="H394" s="80" t="s">
        <v>3033</v>
      </c>
      <c r="I394" s="80">
        <v>11309.38</v>
      </c>
      <c r="J394" s="25">
        <v>72380</v>
      </c>
      <c r="K394" s="25"/>
      <c r="L394" s="81"/>
    </row>
    <row r="395" s="1" customFormat="1" ht="14.25" spans="1:12">
      <c r="A395" s="77">
        <v>11</v>
      </c>
      <c r="B395" s="78">
        <v>30</v>
      </c>
      <c r="C395" s="78">
        <v>41</v>
      </c>
      <c r="D395" s="79" t="s">
        <v>2921</v>
      </c>
      <c r="E395" s="79" t="s">
        <v>118</v>
      </c>
      <c r="F395" s="79" t="s">
        <v>55</v>
      </c>
      <c r="G395" s="79" t="s">
        <v>2282</v>
      </c>
      <c r="H395" s="80" t="s">
        <v>3033</v>
      </c>
      <c r="I395" s="80">
        <v>24305.47</v>
      </c>
      <c r="J395" s="25">
        <v>155555</v>
      </c>
      <c r="K395" s="25"/>
      <c r="L395" s="81"/>
    </row>
    <row r="396" s="1" customFormat="1" ht="14.25" spans="1:12">
      <c r="A396" s="77">
        <v>11</v>
      </c>
      <c r="B396" s="78">
        <v>30</v>
      </c>
      <c r="C396" s="78">
        <v>41</v>
      </c>
      <c r="D396" s="79" t="s">
        <v>3035</v>
      </c>
      <c r="E396" s="79" t="s">
        <v>211</v>
      </c>
      <c r="F396" s="79" t="s">
        <v>1129</v>
      </c>
      <c r="G396" s="79" t="s">
        <v>2282</v>
      </c>
      <c r="H396" s="80" t="s">
        <v>3033</v>
      </c>
      <c r="I396" s="80">
        <v>2580.47</v>
      </c>
      <c r="J396" s="25">
        <v>16515</v>
      </c>
      <c r="K396" s="25"/>
      <c r="L396" s="81"/>
    </row>
    <row r="397" s="1" customFormat="1" ht="14.25" spans="1:12">
      <c r="A397" s="77">
        <v>11</v>
      </c>
      <c r="B397" s="78">
        <v>30</v>
      </c>
      <c r="C397" s="78">
        <v>41</v>
      </c>
      <c r="D397" s="79" t="s">
        <v>3036</v>
      </c>
      <c r="E397" s="79" t="s">
        <v>118</v>
      </c>
      <c r="F397" s="79" t="s">
        <v>55</v>
      </c>
      <c r="G397" s="79" t="s">
        <v>2282</v>
      </c>
      <c r="H397" s="80" t="s">
        <v>3033</v>
      </c>
      <c r="I397" s="80">
        <v>7068.75</v>
      </c>
      <c r="J397" s="25">
        <v>45240</v>
      </c>
      <c r="K397" s="25"/>
      <c r="L397" s="81"/>
    </row>
    <row r="398" s="1" customFormat="1" ht="14.25" spans="1:12">
      <c r="A398" s="77">
        <v>11</v>
      </c>
      <c r="B398" s="78">
        <v>30</v>
      </c>
      <c r="C398" s="78">
        <v>41</v>
      </c>
      <c r="D398" s="79" t="s">
        <v>3037</v>
      </c>
      <c r="E398" s="79" t="s">
        <v>118</v>
      </c>
      <c r="F398" s="79" t="s">
        <v>55</v>
      </c>
      <c r="G398" s="79" t="s">
        <v>2282</v>
      </c>
      <c r="H398" s="80" t="s">
        <v>3038</v>
      </c>
      <c r="I398" s="80">
        <v>867.19</v>
      </c>
      <c r="J398" s="25">
        <v>5550</v>
      </c>
      <c r="K398" s="25"/>
      <c r="L398" s="81"/>
    </row>
    <row r="399" s="1" customFormat="1" ht="14.25" spans="1:12">
      <c r="A399" s="77">
        <v>11</v>
      </c>
      <c r="B399" s="78">
        <v>30</v>
      </c>
      <c r="C399" s="78">
        <v>41</v>
      </c>
      <c r="D399" s="79" t="s">
        <v>3039</v>
      </c>
      <c r="E399" s="79" t="s">
        <v>118</v>
      </c>
      <c r="F399" s="79" t="s">
        <v>154</v>
      </c>
      <c r="G399" s="79" t="s">
        <v>2282</v>
      </c>
      <c r="H399" s="80" t="s">
        <v>3038</v>
      </c>
      <c r="I399" s="80">
        <v>215.63</v>
      </c>
      <c r="J399" s="25">
        <v>1380</v>
      </c>
      <c r="K399" s="25"/>
      <c r="L399" s="81"/>
    </row>
    <row r="400" s="1" customFormat="1" ht="14.25" spans="1:12">
      <c r="A400" s="77">
        <v>11</v>
      </c>
      <c r="B400" s="78">
        <v>30</v>
      </c>
      <c r="C400" s="78">
        <v>41</v>
      </c>
      <c r="D400" s="79" t="s">
        <v>3040</v>
      </c>
      <c r="E400" s="79" t="s">
        <v>118</v>
      </c>
      <c r="F400" s="79" t="s">
        <v>55</v>
      </c>
      <c r="G400" s="79" t="s">
        <v>2282</v>
      </c>
      <c r="H400" s="80" t="s">
        <v>3038</v>
      </c>
      <c r="I400" s="80">
        <v>4798.13</v>
      </c>
      <c r="J400" s="25">
        <v>30708</v>
      </c>
      <c r="K400" s="25"/>
      <c r="L400" s="81"/>
    </row>
    <row r="401" s="1" customFormat="1" ht="14.25" spans="1:12">
      <c r="A401" s="77">
        <v>11</v>
      </c>
      <c r="B401" s="78">
        <v>30</v>
      </c>
      <c r="C401" s="78">
        <v>41</v>
      </c>
      <c r="D401" s="79" t="s">
        <v>3041</v>
      </c>
      <c r="E401" s="79" t="s">
        <v>118</v>
      </c>
      <c r="F401" s="79" t="s">
        <v>55</v>
      </c>
      <c r="G401" s="79" t="s">
        <v>2282</v>
      </c>
      <c r="H401" s="80" t="s">
        <v>3038</v>
      </c>
      <c r="I401" s="80">
        <v>130.94</v>
      </c>
      <c r="J401" s="25">
        <v>838</v>
      </c>
      <c r="K401" s="25"/>
      <c r="L401" s="81"/>
    </row>
    <row r="402" s="1" customFormat="1" ht="14.25" spans="1:12">
      <c r="A402" s="77">
        <v>11</v>
      </c>
      <c r="B402" s="78">
        <v>30</v>
      </c>
      <c r="C402" s="78">
        <v>41</v>
      </c>
      <c r="D402" s="79" t="s">
        <v>3042</v>
      </c>
      <c r="E402" s="79" t="s">
        <v>211</v>
      </c>
      <c r="F402" s="79" t="s">
        <v>3043</v>
      </c>
      <c r="G402" s="79" t="s">
        <v>2282</v>
      </c>
      <c r="H402" s="80" t="s">
        <v>3038</v>
      </c>
      <c r="I402" s="80">
        <v>867.19</v>
      </c>
      <c r="J402" s="25">
        <v>5550</v>
      </c>
      <c r="K402" s="25"/>
      <c r="L402" s="81"/>
    </row>
    <row r="403" s="1" customFormat="1" ht="14.25" spans="1:12">
      <c r="A403" s="77">
        <v>11</v>
      </c>
      <c r="B403" s="78">
        <v>30</v>
      </c>
      <c r="C403" s="78">
        <v>42</v>
      </c>
      <c r="D403" s="79" t="s">
        <v>3044</v>
      </c>
      <c r="E403" s="79" t="s">
        <v>118</v>
      </c>
      <c r="F403" s="79" t="s">
        <v>154</v>
      </c>
      <c r="G403" s="79" t="s">
        <v>2282</v>
      </c>
      <c r="H403" s="80" t="s">
        <v>3045</v>
      </c>
      <c r="I403" s="80">
        <v>542.19</v>
      </c>
      <c r="J403" s="25">
        <v>3470</v>
      </c>
      <c r="K403" s="25"/>
      <c r="L403" s="81"/>
    </row>
    <row r="404" s="1" customFormat="1" ht="14.25" spans="1:12">
      <c r="A404" s="77">
        <v>11</v>
      </c>
      <c r="B404" s="78">
        <v>30</v>
      </c>
      <c r="C404" s="78">
        <v>42</v>
      </c>
      <c r="D404" s="79" t="s">
        <v>3046</v>
      </c>
      <c r="E404" s="79" t="s">
        <v>118</v>
      </c>
      <c r="F404" s="79" t="s">
        <v>489</v>
      </c>
      <c r="G404" s="79" t="s">
        <v>2282</v>
      </c>
      <c r="H404" s="80" t="s">
        <v>3045</v>
      </c>
      <c r="I404" s="80">
        <v>200</v>
      </c>
      <c r="J404" s="25">
        <v>1280</v>
      </c>
      <c r="K404" s="25"/>
      <c r="L404" s="81"/>
    </row>
    <row r="405" s="1" customFormat="1" ht="14.25" spans="1:12">
      <c r="A405" s="77">
        <v>11</v>
      </c>
      <c r="B405" s="78">
        <v>30</v>
      </c>
      <c r="C405" s="78">
        <v>42</v>
      </c>
      <c r="D405" s="79" t="s">
        <v>3047</v>
      </c>
      <c r="E405" s="79" t="s">
        <v>118</v>
      </c>
      <c r="F405" s="79" t="s">
        <v>489</v>
      </c>
      <c r="G405" s="79" t="s">
        <v>2282</v>
      </c>
      <c r="H405" s="80" t="s">
        <v>3045</v>
      </c>
      <c r="I405" s="80">
        <v>46.88</v>
      </c>
      <c r="J405" s="25">
        <v>300</v>
      </c>
      <c r="K405" s="25"/>
      <c r="L405" s="81"/>
    </row>
    <row r="406" s="1" customFormat="1" ht="14.25" spans="1:12">
      <c r="A406" s="77">
        <v>11</v>
      </c>
      <c r="B406" s="78">
        <v>30</v>
      </c>
      <c r="C406" s="78">
        <v>42</v>
      </c>
      <c r="D406" s="79" t="s">
        <v>3048</v>
      </c>
      <c r="E406" s="79" t="s">
        <v>118</v>
      </c>
      <c r="F406" s="79" t="s">
        <v>55</v>
      </c>
      <c r="G406" s="79" t="s">
        <v>2282</v>
      </c>
      <c r="H406" s="80" t="s">
        <v>3045</v>
      </c>
      <c r="I406" s="80">
        <v>468.75</v>
      </c>
      <c r="J406" s="25">
        <v>3000</v>
      </c>
      <c r="K406" s="25"/>
      <c r="L406" s="81"/>
    </row>
    <row r="407" s="1" customFormat="1" ht="14.25" spans="1:12">
      <c r="A407" s="77">
        <v>11</v>
      </c>
      <c r="B407" s="78">
        <v>30</v>
      </c>
      <c r="C407" s="78">
        <v>42</v>
      </c>
      <c r="D407" s="79" t="s">
        <v>3049</v>
      </c>
      <c r="E407" s="79" t="s">
        <v>118</v>
      </c>
      <c r="F407" s="79" t="s">
        <v>55</v>
      </c>
      <c r="G407" s="79" t="s">
        <v>2282</v>
      </c>
      <c r="H407" s="80" t="s">
        <v>3045</v>
      </c>
      <c r="I407" s="80">
        <v>2404.69</v>
      </c>
      <c r="J407" s="25">
        <v>15390</v>
      </c>
      <c r="K407" s="25"/>
      <c r="L407" s="81"/>
    </row>
    <row r="408" s="1" customFormat="1" ht="14.25" spans="1:12">
      <c r="A408" s="77">
        <v>11</v>
      </c>
      <c r="B408" s="78">
        <v>30</v>
      </c>
      <c r="C408" s="78">
        <v>42</v>
      </c>
      <c r="D408" s="79" t="s">
        <v>3050</v>
      </c>
      <c r="E408" s="79" t="s">
        <v>118</v>
      </c>
      <c r="F408" s="79" t="s">
        <v>55</v>
      </c>
      <c r="G408" s="79" t="s">
        <v>2282</v>
      </c>
      <c r="H408" s="80" t="s">
        <v>3051</v>
      </c>
      <c r="I408" s="80">
        <v>5867.03</v>
      </c>
      <c r="J408" s="25">
        <v>37549</v>
      </c>
      <c r="K408" s="25"/>
      <c r="L408" s="81"/>
    </row>
    <row r="409" s="1" customFormat="1" ht="14.25" spans="1:12">
      <c r="A409" s="77">
        <v>11</v>
      </c>
      <c r="B409" s="78">
        <v>30</v>
      </c>
      <c r="C409" s="78">
        <v>42</v>
      </c>
      <c r="D409" s="79" t="s">
        <v>3052</v>
      </c>
      <c r="E409" s="79" t="s">
        <v>85</v>
      </c>
      <c r="F409" s="79" t="s">
        <v>2616</v>
      </c>
      <c r="G409" s="79" t="s">
        <v>2282</v>
      </c>
      <c r="H409" s="80" t="s">
        <v>3051</v>
      </c>
      <c r="I409" s="80">
        <v>12126.56</v>
      </c>
      <c r="J409" s="25">
        <v>77610</v>
      </c>
      <c r="K409" s="25"/>
      <c r="L409" s="81"/>
    </row>
    <row r="410" s="1" customFormat="1" ht="14.25" spans="1:12">
      <c r="A410" s="77">
        <v>11</v>
      </c>
      <c r="B410" s="78">
        <v>30</v>
      </c>
      <c r="C410" s="78">
        <v>42</v>
      </c>
      <c r="D410" s="79" t="s">
        <v>3053</v>
      </c>
      <c r="E410" s="79" t="s">
        <v>85</v>
      </c>
      <c r="F410" s="79" t="s">
        <v>2616</v>
      </c>
      <c r="G410" s="79" t="s">
        <v>2282</v>
      </c>
      <c r="H410" s="80" t="s">
        <v>3051</v>
      </c>
      <c r="I410" s="80">
        <v>6371.09</v>
      </c>
      <c r="J410" s="25">
        <v>40775</v>
      </c>
      <c r="K410" s="25"/>
      <c r="L410" s="81"/>
    </row>
    <row r="411" s="1" customFormat="1" ht="14.25" spans="1:12">
      <c r="A411" s="77">
        <v>11</v>
      </c>
      <c r="B411" s="78">
        <v>30</v>
      </c>
      <c r="C411" s="78">
        <v>42</v>
      </c>
      <c r="D411" s="79" t="s">
        <v>3054</v>
      </c>
      <c r="E411" s="79" t="s">
        <v>85</v>
      </c>
      <c r="F411" s="79" t="s">
        <v>2616</v>
      </c>
      <c r="G411" s="79" t="s">
        <v>2282</v>
      </c>
      <c r="H411" s="80" t="s">
        <v>3051</v>
      </c>
      <c r="I411" s="80">
        <v>24141.56</v>
      </c>
      <c r="J411" s="25">
        <v>154506</v>
      </c>
      <c r="K411" s="25"/>
      <c r="L411" s="81"/>
    </row>
    <row r="412" s="1" customFormat="1" ht="14.25" spans="1:12">
      <c r="A412" s="77">
        <v>11</v>
      </c>
      <c r="B412" s="78">
        <v>30</v>
      </c>
      <c r="C412" s="78">
        <v>42</v>
      </c>
      <c r="D412" s="79" t="s">
        <v>3055</v>
      </c>
      <c r="E412" s="79" t="s">
        <v>85</v>
      </c>
      <c r="F412" s="79" t="s">
        <v>2616</v>
      </c>
      <c r="G412" s="79" t="s">
        <v>2282</v>
      </c>
      <c r="H412" s="80" t="s">
        <v>3051</v>
      </c>
      <c r="I412" s="80">
        <v>23414.06</v>
      </c>
      <c r="J412" s="25">
        <v>149850</v>
      </c>
      <c r="K412" s="25"/>
      <c r="L412" s="81"/>
    </row>
    <row r="413" s="1" customFormat="1" ht="14.25" spans="1:12">
      <c r="A413" s="77">
        <v>11</v>
      </c>
      <c r="B413" s="78">
        <v>30</v>
      </c>
      <c r="C413" s="78">
        <v>43</v>
      </c>
      <c r="D413" s="79" t="s">
        <v>3056</v>
      </c>
      <c r="E413" s="79" t="s">
        <v>118</v>
      </c>
      <c r="F413" s="79" t="s">
        <v>2872</v>
      </c>
      <c r="G413" s="79" t="s">
        <v>2282</v>
      </c>
      <c r="H413" s="80" t="s">
        <v>3057</v>
      </c>
      <c r="I413" s="80">
        <v>20625</v>
      </c>
      <c r="J413" s="25">
        <v>132000</v>
      </c>
      <c r="K413" s="25"/>
      <c r="L413" s="81"/>
    </row>
    <row r="414" s="1" customFormat="1" ht="14.25" spans="1:12">
      <c r="A414" s="77">
        <v>11</v>
      </c>
      <c r="B414" s="78">
        <v>30</v>
      </c>
      <c r="C414" s="78">
        <v>43</v>
      </c>
      <c r="D414" s="79" t="s">
        <v>3058</v>
      </c>
      <c r="E414" s="79" t="s">
        <v>118</v>
      </c>
      <c r="F414" s="79" t="s">
        <v>55</v>
      </c>
      <c r="G414" s="79" t="s">
        <v>2282</v>
      </c>
      <c r="H414" s="80" t="s">
        <v>3057</v>
      </c>
      <c r="I414" s="80">
        <v>20625</v>
      </c>
      <c r="J414" s="25">
        <v>132000</v>
      </c>
      <c r="K414" s="25"/>
      <c r="L414" s="81"/>
    </row>
    <row r="415" s="1" customFormat="1" ht="14.25" spans="1:12">
      <c r="A415" s="77">
        <v>11</v>
      </c>
      <c r="B415" s="78">
        <v>30</v>
      </c>
      <c r="C415" s="78">
        <v>43</v>
      </c>
      <c r="D415" s="79" t="s">
        <v>3059</v>
      </c>
      <c r="E415" s="79" t="s">
        <v>118</v>
      </c>
      <c r="F415" s="79" t="s">
        <v>2872</v>
      </c>
      <c r="G415" s="79" t="s">
        <v>2282</v>
      </c>
      <c r="H415" s="80" t="s">
        <v>3057</v>
      </c>
      <c r="I415" s="80">
        <v>27656.25</v>
      </c>
      <c r="J415" s="25">
        <v>177000</v>
      </c>
      <c r="K415" s="25"/>
      <c r="L415" s="81"/>
    </row>
    <row r="416" s="1" customFormat="1" ht="14.25" spans="1:12">
      <c r="A416" s="77">
        <v>11</v>
      </c>
      <c r="B416" s="78">
        <v>30</v>
      </c>
      <c r="C416" s="78">
        <v>43</v>
      </c>
      <c r="D416" s="79" t="s">
        <v>3060</v>
      </c>
      <c r="E416" s="79" t="s">
        <v>118</v>
      </c>
      <c r="F416" s="79" t="s">
        <v>489</v>
      </c>
      <c r="G416" s="79" t="s">
        <v>2282</v>
      </c>
      <c r="H416" s="80" t="s">
        <v>3057</v>
      </c>
      <c r="I416" s="80">
        <v>2343.75</v>
      </c>
      <c r="J416" s="25">
        <v>15000</v>
      </c>
      <c r="K416" s="25"/>
      <c r="L416" s="81"/>
    </row>
    <row r="417" s="1" customFormat="1" ht="14.25" spans="1:12">
      <c r="A417" s="77">
        <v>11</v>
      </c>
      <c r="B417" s="78">
        <v>30</v>
      </c>
      <c r="C417" s="78">
        <v>43</v>
      </c>
      <c r="D417" s="79" t="s">
        <v>3061</v>
      </c>
      <c r="E417" s="79" t="s">
        <v>118</v>
      </c>
      <c r="F417" s="79" t="s">
        <v>489</v>
      </c>
      <c r="G417" s="79" t="s">
        <v>2282</v>
      </c>
      <c r="H417" s="80" t="s">
        <v>3057</v>
      </c>
      <c r="I417" s="80">
        <v>6000</v>
      </c>
      <c r="J417" s="25">
        <v>38400</v>
      </c>
      <c r="K417" s="25"/>
      <c r="L417" s="81"/>
    </row>
    <row r="418" s="1" customFormat="1" ht="14.25" spans="1:12">
      <c r="A418" s="77">
        <v>11</v>
      </c>
      <c r="B418" s="78">
        <v>30</v>
      </c>
      <c r="C418" s="78">
        <v>43</v>
      </c>
      <c r="D418" s="79" t="s">
        <v>3062</v>
      </c>
      <c r="E418" s="79" t="s">
        <v>118</v>
      </c>
      <c r="F418" s="79" t="s">
        <v>2872</v>
      </c>
      <c r="G418" s="79" t="s">
        <v>2282</v>
      </c>
      <c r="H418" s="80" t="s">
        <v>3057</v>
      </c>
      <c r="I418" s="80">
        <v>343.75</v>
      </c>
      <c r="J418" s="25">
        <v>2200</v>
      </c>
      <c r="K418" s="25"/>
      <c r="L418" s="81"/>
    </row>
    <row r="419" s="1" customFormat="1" ht="14.25" spans="1:12">
      <c r="A419" s="77">
        <v>11</v>
      </c>
      <c r="B419" s="78">
        <v>30</v>
      </c>
      <c r="C419" s="78">
        <v>43</v>
      </c>
      <c r="D419" s="79" t="s">
        <v>3063</v>
      </c>
      <c r="E419" s="79" t="s">
        <v>118</v>
      </c>
      <c r="F419" s="79" t="s">
        <v>489</v>
      </c>
      <c r="G419" s="79" t="s">
        <v>2282</v>
      </c>
      <c r="H419" s="80" t="s">
        <v>3057</v>
      </c>
      <c r="I419" s="80">
        <v>648.44</v>
      </c>
      <c r="J419" s="25">
        <v>4150</v>
      </c>
      <c r="K419" s="25"/>
      <c r="L419" s="81"/>
    </row>
    <row r="420" s="1" customFormat="1" ht="14.25" spans="1:12">
      <c r="A420" s="77">
        <v>11</v>
      </c>
      <c r="B420" s="78">
        <v>30</v>
      </c>
      <c r="C420" s="78">
        <v>43</v>
      </c>
      <c r="D420" s="79" t="s">
        <v>3064</v>
      </c>
      <c r="E420" s="79" t="s">
        <v>118</v>
      </c>
      <c r="F420" s="79" t="s">
        <v>489</v>
      </c>
      <c r="G420" s="79" t="s">
        <v>2282</v>
      </c>
      <c r="H420" s="80" t="s">
        <v>3057</v>
      </c>
      <c r="I420" s="80">
        <v>859.38</v>
      </c>
      <c r="J420" s="25">
        <v>5500</v>
      </c>
      <c r="K420" s="25"/>
      <c r="L420" s="81"/>
    </row>
    <row r="421" s="1" customFormat="1" ht="14.25" spans="1:12">
      <c r="A421" s="77">
        <v>11</v>
      </c>
      <c r="B421" s="78">
        <v>30</v>
      </c>
      <c r="C421" s="78">
        <v>44</v>
      </c>
      <c r="D421" s="79" t="s">
        <v>3065</v>
      </c>
      <c r="E421" s="79" t="s">
        <v>118</v>
      </c>
      <c r="F421" s="79" t="s">
        <v>489</v>
      </c>
      <c r="G421" s="79" t="s">
        <v>2282</v>
      </c>
      <c r="H421" s="80" t="s">
        <v>3066</v>
      </c>
      <c r="I421" s="80">
        <v>5914.06</v>
      </c>
      <c r="J421" s="25">
        <v>37850</v>
      </c>
      <c r="K421" s="25"/>
      <c r="L421" s="81"/>
    </row>
    <row r="422" s="1" customFormat="1" ht="14.25" spans="1:12">
      <c r="A422" s="77">
        <v>11</v>
      </c>
      <c r="B422" s="78">
        <v>30</v>
      </c>
      <c r="C422" s="78">
        <v>44</v>
      </c>
      <c r="D422" s="79" t="s">
        <v>1285</v>
      </c>
      <c r="E422" s="79" t="s">
        <v>118</v>
      </c>
      <c r="F422" s="79" t="s">
        <v>55</v>
      </c>
      <c r="G422" s="79" t="s">
        <v>2282</v>
      </c>
      <c r="H422" s="80" t="s">
        <v>3066</v>
      </c>
      <c r="I422" s="80">
        <v>5239.06</v>
      </c>
      <c r="J422" s="25">
        <v>33530</v>
      </c>
      <c r="K422" s="25"/>
      <c r="L422" s="81"/>
    </row>
    <row r="423" s="1" customFormat="1" ht="14.25" spans="1:12">
      <c r="A423" s="77">
        <v>11</v>
      </c>
      <c r="B423" s="78">
        <v>30</v>
      </c>
      <c r="C423" s="78">
        <v>44</v>
      </c>
      <c r="D423" s="79" t="s">
        <v>3067</v>
      </c>
      <c r="E423" s="79" t="s">
        <v>118</v>
      </c>
      <c r="F423" s="79" t="s">
        <v>55</v>
      </c>
      <c r="G423" s="79" t="s">
        <v>2282</v>
      </c>
      <c r="H423" s="80" t="s">
        <v>3066</v>
      </c>
      <c r="I423" s="80">
        <v>103.59</v>
      </c>
      <c r="J423" s="25">
        <v>663</v>
      </c>
      <c r="K423" s="25"/>
      <c r="L423" s="81"/>
    </row>
    <row r="424" s="1" customFormat="1" ht="14.25" spans="1:12">
      <c r="A424" s="77">
        <v>11</v>
      </c>
      <c r="B424" s="78">
        <v>30</v>
      </c>
      <c r="C424" s="78">
        <v>44</v>
      </c>
      <c r="D424" s="79" t="s">
        <v>2943</v>
      </c>
      <c r="E424" s="79" t="s">
        <v>118</v>
      </c>
      <c r="F424" s="79" t="s">
        <v>154</v>
      </c>
      <c r="G424" s="79" t="s">
        <v>2282</v>
      </c>
      <c r="H424" s="80" t="s">
        <v>3066</v>
      </c>
      <c r="I424" s="80">
        <v>18906.25</v>
      </c>
      <c r="J424" s="25">
        <v>121000</v>
      </c>
      <c r="K424" s="25"/>
      <c r="L424" s="81"/>
    </row>
    <row r="425" s="1" customFormat="1" ht="14.25" spans="1:12">
      <c r="A425" s="77">
        <v>11</v>
      </c>
      <c r="B425" s="78">
        <v>30</v>
      </c>
      <c r="C425" s="78">
        <v>44</v>
      </c>
      <c r="D425" s="79" t="s">
        <v>3068</v>
      </c>
      <c r="E425" s="79" t="s">
        <v>118</v>
      </c>
      <c r="F425" s="79" t="s">
        <v>489</v>
      </c>
      <c r="G425" s="79" t="s">
        <v>2282</v>
      </c>
      <c r="H425" s="80" t="s">
        <v>3066</v>
      </c>
      <c r="I425" s="80">
        <v>766.09</v>
      </c>
      <c r="J425" s="25">
        <v>4903</v>
      </c>
      <c r="K425" s="25"/>
      <c r="L425" s="81"/>
    </row>
    <row r="426" s="1" customFormat="1" ht="14.25" spans="1:12">
      <c r="A426" s="77">
        <v>11</v>
      </c>
      <c r="B426" s="78">
        <v>30</v>
      </c>
      <c r="C426" s="78">
        <v>44</v>
      </c>
      <c r="D426" s="79" t="s">
        <v>2880</v>
      </c>
      <c r="E426" s="79" t="s">
        <v>118</v>
      </c>
      <c r="F426" s="79" t="s">
        <v>55</v>
      </c>
      <c r="G426" s="79" t="s">
        <v>2282</v>
      </c>
      <c r="H426" s="80" t="s">
        <v>3069</v>
      </c>
      <c r="I426" s="80">
        <v>3924.22</v>
      </c>
      <c r="J426" s="25">
        <v>25115</v>
      </c>
      <c r="K426" s="25"/>
      <c r="L426" s="81"/>
    </row>
    <row r="427" s="1" customFormat="1" ht="14.25" spans="1:12">
      <c r="A427" s="77">
        <v>11</v>
      </c>
      <c r="B427" s="78">
        <v>30</v>
      </c>
      <c r="C427" s="78">
        <v>44</v>
      </c>
      <c r="D427" s="79" t="s">
        <v>3070</v>
      </c>
      <c r="E427" s="79" t="s">
        <v>118</v>
      </c>
      <c r="F427" s="79" t="s">
        <v>55</v>
      </c>
      <c r="G427" s="79" t="s">
        <v>2282</v>
      </c>
      <c r="H427" s="80" t="s">
        <v>3069</v>
      </c>
      <c r="I427" s="80">
        <v>9656.25</v>
      </c>
      <c r="J427" s="25">
        <v>61800</v>
      </c>
      <c r="K427" s="25"/>
      <c r="L427" s="81"/>
    </row>
    <row r="428" s="1" customFormat="1" ht="14.25" spans="1:12">
      <c r="A428" s="77">
        <v>11</v>
      </c>
      <c r="B428" s="78">
        <v>30</v>
      </c>
      <c r="C428" s="78">
        <v>44</v>
      </c>
      <c r="D428" s="79" t="s">
        <v>3071</v>
      </c>
      <c r="E428" s="79" t="s">
        <v>118</v>
      </c>
      <c r="F428" s="79" t="s">
        <v>154</v>
      </c>
      <c r="G428" s="79" t="s">
        <v>2282</v>
      </c>
      <c r="H428" s="80" t="s">
        <v>3069</v>
      </c>
      <c r="I428" s="80">
        <v>1026.88</v>
      </c>
      <c r="J428" s="25">
        <v>6572</v>
      </c>
      <c r="K428" s="25"/>
      <c r="L428" s="81"/>
    </row>
    <row r="429" s="1" customFormat="1" ht="14.25" spans="1:12">
      <c r="A429" s="77">
        <v>11</v>
      </c>
      <c r="B429" s="78">
        <v>30</v>
      </c>
      <c r="C429" s="78">
        <v>44</v>
      </c>
      <c r="D429" s="79" t="s">
        <v>3072</v>
      </c>
      <c r="E429" s="79" t="s">
        <v>118</v>
      </c>
      <c r="F429" s="79" t="s">
        <v>55</v>
      </c>
      <c r="G429" s="79" t="s">
        <v>2282</v>
      </c>
      <c r="H429" s="80" t="s">
        <v>3069</v>
      </c>
      <c r="I429" s="80">
        <v>176.56</v>
      </c>
      <c r="J429" s="25">
        <v>1130</v>
      </c>
      <c r="K429" s="25"/>
      <c r="L429" s="81"/>
    </row>
    <row r="430" s="1" customFormat="1" ht="14.25" spans="1:12">
      <c r="A430" s="77">
        <v>11</v>
      </c>
      <c r="B430" s="78">
        <v>30</v>
      </c>
      <c r="C430" s="78">
        <v>44</v>
      </c>
      <c r="D430" s="79" t="s">
        <v>3073</v>
      </c>
      <c r="E430" s="79" t="s">
        <v>118</v>
      </c>
      <c r="F430" s="79" t="s">
        <v>55</v>
      </c>
      <c r="G430" s="79" t="s">
        <v>2282</v>
      </c>
      <c r="H430" s="80" t="s">
        <v>3069</v>
      </c>
      <c r="I430" s="80">
        <v>239.84</v>
      </c>
      <c r="J430" s="25">
        <v>1535</v>
      </c>
      <c r="K430" s="25"/>
      <c r="L430" s="81"/>
    </row>
    <row r="431" s="1" customFormat="1" ht="14.25" spans="1:12">
      <c r="A431" s="77">
        <v>11</v>
      </c>
      <c r="B431" s="78">
        <v>30</v>
      </c>
      <c r="C431" s="78">
        <v>45</v>
      </c>
      <c r="D431" s="79" t="s">
        <v>3074</v>
      </c>
      <c r="E431" s="79" t="s">
        <v>118</v>
      </c>
      <c r="F431" s="79" t="s">
        <v>55</v>
      </c>
      <c r="G431" s="79" t="s">
        <v>2282</v>
      </c>
      <c r="H431" s="80" t="s">
        <v>3075</v>
      </c>
      <c r="I431" s="80">
        <v>312.5</v>
      </c>
      <c r="J431" s="25">
        <v>2000</v>
      </c>
      <c r="K431" s="25"/>
      <c r="L431" s="81"/>
    </row>
    <row r="432" s="1" customFormat="1" ht="14.25" spans="1:12">
      <c r="A432" s="77">
        <v>11</v>
      </c>
      <c r="B432" s="78">
        <v>30</v>
      </c>
      <c r="C432" s="78">
        <v>45</v>
      </c>
      <c r="D432" s="79" t="s">
        <v>3076</v>
      </c>
      <c r="E432" s="79" t="s">
        <v>118</v>
      </c>
      <c r="F432" s="79" t="s">
        <v>55</v>
      </c>
      <c r="G432" s="79" t="s">
        <v>2282</v>
      </c>
      <c r="H432" s="80" t="s">
        <v>3075</v>
      </c>
      <c r="I432" s="80">
        <v>6484.38</v>
      </c>
      <c r="J432" s="25">
        <v>41500</v>
      </c>
      <c r="K432" s="25"/>
      <c r="L432" s="81"/>
    </row>
    <row r="433" s="1" customFormat="1" ht="14.25" spans="1:12">
      <c r="A433" s="77">
        <v>11</v>
      </c>
      <c r="B433" s="78">
        <v>30</v>
      </c>
      <c r="C433" s="78">
        <v>45</v>
      </c>
      <c r="D433" s="79" t="s">
        <v>3077</v>
      </c>
      <c r="E433" s="79" t="s">
        <v>118</v>
      </c>
      <c r="F433" s="79" t="s">
        <v>55</v>
      </c>
      <c r="G433" s="79" t="s">
        <v>2282</v>
      </c>
      <c r="H433" s="80" t="s">
        <v>3075</v>
      </c>
      <c r="I433" s="80">
        <v>7343.75</v>
      </c>
      <c r="J433" s="25">
        <v>47000</v>
      </c>
      <c r="K433" s="25"/>
      <c r="L433" s="81"/>
    </row>
    <row r="434" s="1" customFormat="1" ht="14.25" spans="1:12">
      <c r="A434" s="77">
        <v>11</v>
      </c>
      <c r="B434" s="78">
        <v>30</v>
      </c>
      <c r="C434" s="78">
        <v>45</v>
      </c>
      <c r="D434" s="79" t="s">
        <v>3078</v>
      </c>
      <c r="E434" s="79" t="s">
        <v>211</v>
      </c>
      <c r="F434" s="79" t="s">
        <v>1129</v>
      </c>
      <c r="G434" s="79" t="s">
        <v>2282</v>
      </c>
      <c r="H434" s="80" t="s">
        <v>3075</v>
      </c>
      <c r="I434" s="80">
        <v>18125</v>
      </c>
      <c r="J434" s="25">
        <v>116000</v>
      </c>
      <c r="K434" s="25"/>
      <c r="L434" s="81"/>
    </row>
    <row r="435" s="1" customFormat="1" ht="14.25" spans="1:12">
      <c r="A435" s="77">
        <v>11</v>
      </c>
      <c r="B435" s="78">
        <v>30</v>
      </c>
      <c r="C435" s="78">
        <v>45</v>
      </c>
      <c r="D435" s="79" t="s">
        <v>3079</v>
      </c>
      <c r="E435" s="79" t="s">
        <v>118</v>
      </c>
      <c r="F435" s="79" t="s">
        <v>55</v>
      </c>
      <c r="G435" s="79" t="s">
        <v>2282</v>
      </c>
      <c r="H435" s="80" t="s">
        <v>3075</v>
      </c>
      <c r="I435" s="80">
        <v>15684.38</v>
      </c>
      <c r="J435" s="25">
        <v>100380</v>
      </c>
      <c r="K435" s="25"/>
      <c r="L435" s="81"/>
    </row>
    <row r="436" s="1" customFormat="1" ht="14.25" spans="1:12">
      <c r="A436" s="77">
        <v>11</v>
      </c>
      <c r="B436" s="78">
        <v>30</v>
      </c>
      <c r="C436" s="78">
        <v>45</v>
      </c>
      <c r="D436" s="79" t="s">
        <v>2997</v>
      </c>
      <c r="E436" s="79" t="s">
        <v>118</v>
      </c>
      <c r="F436" s="79" t="s">
        <v>489</v>
      </c>
      <c r="G436" s="79" t="s">
        <v>2282</v>
      </c>
      <c r="H436" s="80" t="s">
        <v>3080</v>
      </c>
      <c r="I436" s="80">
        <v>18888.28</v>
      </c>
      <c r="J436" s="25">
        <v>120885</v>
      </c>
      <c r="K436" s="25"/>
      <c r="L436" s="81"/>
    </row>
    <row r="437" s="1" customFormat="1" ht="14.25" spans="1:12">
      <c r="A437" s="77">
        <v>11</v>
      </c>
      <c r="B437" s="78">
        <v>30</v>
      </c>
      <c r="C437" s="78">
        <v>45</v>
      </c>
      <c r="D437" s="79" t="s">
        <v>3081</v>
      </c>
      <c r="E437" s="79" t="s">
        <v>118</v>
      </c>
      <c r="F437" s="79" t="s">
        <v>2872</v>
      </c>
      <c r="G437" s="79" t="s">
        <v>2282</v>
      </c>
      <c r="H437" s="80" t="s">
        <v>3080</v>
      </c>
      <c r="I437" s="80">
        <v>4531.25</v>
      </c>
      <c r="J437" s="25">
        <v>29000</v>
      </c>
      <c r="K437" s="25"/>
      <c r="L437" s="81"/>
    </row>
    <row r="438" s="1" customFormat="1" ht="14.25" spans="1:12">
      <c r="A438" s="77">
        <v>11</v>
      </c>
      <c r="B438" s="78">
        <v>30</v>
      </c>
      <c r="C438" s="78">
        <v>45</v>
      </c>
      <c r="D438" s="79" t="s">
        <v>3082</v>
      </c>
      <c r="E438" s="79" t="s">
        <v>118</v>
      </c>
      <c r="F438" s="79" t="s">
        <v>154</v>
      </c>
      <c r="G438" s="79" t="s">
        <v>2282</v>
      </c>
      <c r="H438" s="80" t="s">
        <v>3080</v>
      </c>
      <c r="I438" s="80">
        <v>8082.81</v>
      </c>
      <c r="J438" s="25">
        <v>51730</v>
      </c>
      <c r="K438" s="25"/>
      <c r="L438" s="81"/>
    </row>
    <row r="439" s="1" customFormat="1" ht="14.25" spans="1:12">
      <c r="A439" s="77">
        <v>11</v>
      </c>
      <c r="B439" s="78">
        <v>30</v>
      </c>
      <c r="C439" s="78">
        <v>45</v>
      </c>
      <c r="D439" s="79" t="s">
        <v>3083</v>
      </c>
      <c r="E439" s="79" t="s">
        <v>118</v>
      </c>
      <c r="F439" s="79" t="s">
        <v>154</v>
      </c>
      <c r="G439" s="79" t="s">
        <v>2282</v>
      </c>
      <c r="H439" s="80" t="s">
        <v>3080</v>
      </c>
      <c r="I439" s="80">
        <v>2503.28</v>
      </c>
      <c r="J439" s="25">
        <v>16020.98</v>
      </c>
      <c r="K439" s="25"/>
      <c r="L439" s="81"/>
    </row>
    <row r="440" s="1" customFormat="1" ht="14.25" spans="1:12">
      <c r="A440" s="77">
        <v>11</v>
      </c>
      <c r="B440" s="78">
        <v>30</v>
      </c>
      <c r="C440" s="78">
        <v>45</v>
      </c>
      <c r="D440" s="79" t="s">
        <v>3084</v>
      </c>
      <c r="E440" s="79" t="s">
        <v>118</v>
      </c>
      <c r="F440" s="79" t="s">
        <v>154</v>
      </c>
      <c r="G440" s="79" t="s">
        <v>2282</v>
      </c>
      <c r="H440" s="80" t="s">
        <v>3080</v>
      </c>
      <c r="I440" s="80">
        <v>93.75</v>
      </c>
      <c r="J440" s="25">
        <v>600</v>
      </c>
      <c r="K440" s="25"/>
      <c r="L440" s="81"/>
    </row>
    <row r="441" s="1" customFormat="1" ht="14.25" spans="1:12">
      <c r="A441" s="77">
        <v>11</v>
      </c>
      <c r="B441" s="78">
        <v>30</v>
      </c>
      <c r="C441" s="78">
        <v>46</v>
      </c>
      <c r="D441" s="79" t="s">
        <v>3085</v>
      </c>
      <c r="E441" s="79" t="s">
        <v>118</v>
      </c>
      <c r="F441" s="79" t="s">
        <v>55</v>
      </c>
      <c r="G441" s="79" t="s">
        <v>2282</v>
      </c>
      <c r="H441" s="80" t="s">
        <v>3086</v>
      </c>
      <c r="I441" s="80">
        <v>82.81</v>
      </c>
      <c r="J441" s="25">
        <v>530</v>
      </c>
      <c r="K441" s="25"/>
      <c r="L441" s="81"/>
    </row>
    <row r="442" s="1" customFormat="1" ht="14.25" spans="1:12">
      <c r="A442" s="77">
        <v>11</v>
      </c>
      <c r="B442" s="78">
        <v>30</v>
      </c>
      <c r="C442" s="78">
        <v>46</v>
      </c>
      <c r="D442" s="79" t="s">
        <v>3087</v>
      </c>
      <c r="E442" s="79" t="s">
        <v>118</v>
      </c>
      <c r="F442" s="79" t="s">
        <v>55</v>
      </c>
      <c r="G442" s="79" t="s">
        <v>2282</v>
      </c>
      <c r="H442" s="80" t="s">
        <v>3086</v>
      </c>
      <c r="I442" s="80">
        <v>445.31</v>
      </c>
      <c r="J442" s="25">
        <v>2850</v>
      </c>
      <c r="K442" s="25"/>
      <c r="L442" s="81"/>
    </row>
    <row r="443" s="1" customFormat="1" ht="14.25" spans="1:12">
      <c r="A443" s="77">
        <v>11</v>
      </c>
      <c r="B443" s="78">
        <v>30</v>
      </c>
      <c r="C443" s="78">
        <v>46</v>
      </c>
      <c r="D443" s="79" t="s">
        <v>3088</v>
      </c>
      <c r="E443" s="79" t="s">
        <v>118</v>
      </c>
      <c r="F443" s="79" t="s">
        <v>55</v>
      </c>
      <c r="G443" s="79" t="s">
        <v>2282</v>
      </c>
      <c r="H443" s="80" t="s">
        <v>3086</v>
      </c>
      <c r="I443" s="80">
        <v>2118.75</v>
      </c>
      <c r="J443" s="25">
        <v>13560</v>
      </c>
      <c r="K443" s="25"/>
      <c r="L443" s="81"/>
    </row>
    <row r="444" s="1" customFormat="1" ht="14.25" spans="1:12">
      <c r="A444" s="77">
        <v>11</v>
      </c>
      <c r="B444" s="78">
        <v>30</v>
      </c>
      <c r="C444" s="78">
        <v>46</v>
      </c>
      <c r="D444" s="79" t="s">
        <v>3089</v>
      </c>
      <c r="E444" s="79" t="s">
        <v>118</v>
      </c>
      <c r="F444" s="79" t="s">
        <v>55</v>
      </c>
      <c r="G444" s="79" t="s">
        <v>2282</v>
      </c>
      <c r="H444" s="80" t="s">
        <v>3086</v>
      </c>
      <c r="I444" s="80">
        <v>343.75</v>
      </c>
      <c r="J444" s="25">
        <v>2200</v>
      </c>
      <c r="K444" s="25"/>
      <c r="L444" s="81"/>
    </row>
    <row r="445" s="1" customFormat="1" ht="14.25" spans="1:12">
      <c r="A445" s="77">
        <v>11</v>
      </c>
      <c r="B445" s="78">
        <v>30</v>
      </c>
      <c r="C445" s="78">
        <v>46</v>
      </c>
      <c r="D445" s="79" t="s">
        <v>3090</v>
      </c>
      <c r="E445" s="79" t="s">
        <v>48</v>
      </c>
      <c r="F445" s="79" t="s">
        <v>55</v>
      </c>
      <c r="G445" s="79" t="s">
        <v>2282</v>
      </c>
      <c r="H445" s="80" t="s">
        <v>3086</v>
      </c>
      <c r="I445" s="80">
        <v>68.59</v>
      </c>
      <c r="J445" s="25">
        <v>439</v>
      </c>
      <c r="K445" s="25"/>
      <c r="L445" s="81"/>
    </row>
    <row r="446" s="1" customFormat="1" ht="14.25" spans="1:12">
      <c r="A446" s="77">
        <v>11</v>
      </c>
      <c r="B446" s="78">
        <v>30</v>
      </c>
      <c r="C446" s="78">
        <v>46</v>
      </c>
      <c r="D446" s="79" t="s">
        <v>3091</v>
      </c>
      <c r="E446" s="79" t="s">
        <v>118</v>
      </c>
      <c r="F446" s="79" t="s">
        <v>55</v>
      </c>
      <c r="G446" s="79" t="s">
        <v>2282</v>
      </c>
      <c r="H446" s="80" t="s">
        <v>3092</v>
      </c>
      <c r="I446" s="80">
        <v>6093.75</v>
      </c>
      <c r="J446" s="25">
        <v>39000</v>
      </c>
      <c r="K446" s="25"/>
      <c r="L446" s="81"/>
    </row>
    <row r="447" s="1" customFormat="1" ht="14.25" spans="1:12">
      <c r="A447" s="77">
        <v>11</v>
      </c>
      <c r="B447" s="78">
        <v>30</v>
      </c>
      <c r="C447" s="78">
        <v>46</v>
      </c>
      <c r="D447" s="79" t="s">
        <v>3093</v>
      </c>
      <c r="E447" s="79" t="s">
        <v>118</v>
      </c>
      <c r="F447" s="79" t="s">
        <v>55</v>
      </c>
      <c r="G447" s="79" t="s">
        <v>2282</v>
      </c>
      <c r="H447" s="80" t="s">
        <v>3092</v>
      </c>
      <c r="I447" s="80">
        <v>2118.75</v>
      </c>
      <c r="J447" s="25">
        <v>13560</v>
      </c>
      <c r="K447" s="25"/>
      <c r="L447" s="81"/>
    </row>
    <row r="448" s="1" customFormat="1" ht="14.25" spans="1:12">
      <c r="A448" s="77">
        <v>11</v>
      </c>
      <c r="B448" s="78">
        <v>30</v>
      </c>
      <c r="C448" s="78">
        <v>46</v>
      </c>
      <c r="D448" s="79" t="s">
        <v>3094</v>
      </c>
      <c r="E448" s="79" t="s">
        <v>118</v>
      </c>
      <c r="F448" s="79" t="s">
        <v>55</v>
      </c>
      <c r="G448" s="79" t="s">
        <v>2282</v>
      </c>
      <c r="H448" s="80" t="s">
        <v>3092</v>
      </c>
      <c r="I448" s="80">
        <v>22.03</v>
      </c>
      <c r="J448" s="25">
        <v>141</v>
      </c>
      <c r="K448" s="25"/>
      <c r="L448" s="81"/>
    </row>
    <row r="449" s="1" customFormat="1" ht="14.25" spans="1:12">
      <c r="A449" s="77">
        <v>11</v>
      </c>
      <c r="B449" s="78">
        <v>30</v>
      </c>
      <c r="C449" s="78">
        <v>46</v>
      </c>
      <c r="D449" s="79" t="s">
        <v>3095</v>
      </c>
      <c r="E449" s="79" t="s">
        <v>118</v>
      </c>
      <c r="F449" s="79" t="s">
        <v>55</v>
      </c>
      <c r="G449" s="79" t="s">
        <v>2282</v>
      </c>
      <c r="H449" s="80" t="s">
        <v>3092</v>
      </c>
      <c r="I449" s="80">
        <v>235.47</v>
      </c>
      <c r="J449" s="25">
        <v>1507</v>
      </c>
      <c r="K449" s="25"/>
      <c r="L449" s="81"/>
    </row>
    <row r="450" s="1" customFormat="1" ht="14.25" spans="1:12">
      <c r="A450" s="77">
        <v>11</v>
      </c>
      <c r="B450" s="78">
        <v>30</v>
      </c>
      <c r="C450" s="78">
        <v>46</v>
      </c>
      <c r="D450" s="79" t="s">
        <v>970</v>
      </c>
      <c r="E450" s="79" t="s">
        <v>118</v>
      </c>
      <c r="F450" s="79" t="s">
        <v>154</v>
      </c>
      <c r="G450" s="79" t="s">
        <v>2282</v>
      </c>
      <c r="H450" s="80" t="s">
        <v>3092</v>
      </c>
      <c r="I450" s="80">
        <v>902.34</v>
      </c>
      <c r="J450" s="25">
        <v>5775</v>
      </c>
      <c r="K450" s="25"/>
      <c r="L450" s="81"/>
    </row>
    <row r="451" s="1" customFormat="1" ht="14.25" spans="1:12">
      <c r="A451" s="77">
        <v>11</v>
      </c>
      <c r="B451" s="78">
        <v>30</v>
      </c>
      <c r="C451" s="78">
        <v>47</v>
      </c>
      <c r="D451" s="79" t="s">
        <v>3096</v>
      </c>
      <c r="E451" s="79" t="s">
        <v>118</v>
      </c>
      <c r="F451" s="79" t="s">
        <v>154</v>
      </c>
      <c r="G451" s="79" t="s">
        <v>2282</v>
      </c>
      <c r="H451" s="80" t="s">
        <v>3097</v>
      </c>
      <c r="I451" s="80">
        <v>50</v>
      </c>
      <c r="J451" s="25">
        <v>320</v>
      </c>
      <c r="K451" s="25"/>
      <c r="L451" s="81"/>
    </row>
    <row r="452" s="1" customFormat="1" ht="14.25" spans="1:12">
      <c r="A452" s="77">
        <v>11</v>
      </c>
      <c r="B452" s="78">
        <v>30</v>
      </c>
      <c r="C452" s="78">
        <v>47</v>
      </c>
      <c r="D452" s="79" t="s">
        <v>3098</v>
      </c>
      <c r="E452" s="79" t="s">
        <v>118</v>
      </c>
      <c r="F452" s="79" t="s">
        <v>55</v>
      </c>
      <c r="G452" s="79" t="s">
        <v>2282</v>
      </c>
      <c r="H452" s="80" t="s">
        <v>3097</v>
      </c>
      <c r="I452" s="80">
        <v>11718.75</v>
      </c>
      <c r="J452" s="25">
        <v>75000</v>
      </c>
      <c r="K452" s="25"/>
      <c r="L452" s="81"/>
    </row>
    <row r="453" s="1" customFormat="1" ht="14.25" spans="1:12">
      <c r="A453" s="77">
        <v>11</v>
      </c>
      <c r="B453" s="78">
        <v>30</v>
      </c>
      <c r="C453" s="78">
        <v>47</v>
      </c>
      <c r="D453" s="79" t="s">
        <v>2943</v>
      </c>
      <c r="E453" s="79" t="s">
        <v>118</v>
      </c>
      <c r="F453" s="79" t="s">
        <v>154</v>
      </c>
      <c r="G453" s="79" t="s">
        <v>2282</v>
      </c>
      <c r="H453" s="80" t="s">
        <v>3097</v>
      </c>
      <c r="I453" s="80">
        <v>1190.63</v>
      </c>
      <c r="J453" s="25">
        <v>7620</v>
      </c>
      <c r="K453" s="25"/>
      <c r="L453" s="81"/>
    </row>
    <row r="454" s="1" customFormat="1" ht="14.25" spans="1:12">
      <c r="A454" s="77">
        <v>11</v>
      </c>
      <c r="B454" s="78">
        <v>30</v>
      </c>
      <c r="C454" s="78">
        <v>47</v>
      </c>
      <c r="D454" s="79" t="s">
        <v>3099</v>
      </c>
      <c r="E454" s="79" t="s">
        <v>118</v>
      </c>
      <c r="F454" s="79" t="s">
        <v>55</v>
      </c>
      <c r="G454" s="79" t="s">
        <v>2282</v>
      </c>
      <c r="H454" s="80" t="s">
        <v>3097</v>
      </c>
      <c r="I454" s="80">
        <v>28.13</v>
      </c>
      <c r="J454" s="25">
        <v>180</v>
      </c>
      <c r="K454" s="25"/>
      <c r="L454" s="81"/>
    </row>
    <row r="455" s="1" customFormat="1" ht="14.25" spans="1:12">
      <c r="A455" s="77">
        <v>11</v>
      </c>
      <c r="B455" s="78">
        <v>30</v>
      </c>
      <c r="C455" s="78">
        <v>47</v>
      </c>
      <c r="D455" s="79" t="s">
        <v>3100</v>
      </c>
      <c r="E455" s="79" t="s">
        <v>118</v>
      </c>
      <c r="F455" s="79" t="s">
        <v>55</v>
      </c>
      <c r="G455" s="79" t="s">
        <v>2282</v>
      </c>
      <c r="H455" s="80" t="s">
        <v>3097</v>
      </c>
      <c r="I455" s="80">
        <v>947.81</v>
      </c>
      <c r="J455" s="25">
        <v>6066</v>
      </c>
      <c r="K455" s="25"/>
      <c r="L455" s="81"/>
    </row>
    <row r="456" s="1" customFormat="1" ht="14.25" spans="1:12">
      <c r="A456" s="77">
        <v>11</v>
      </c>
      <c r="B456" s="78">
        <v>30</v>
      </c>
      <c r="C456" s="78">
        <v>47</v>
      </c>
      <c r="D456" s="79" t="s">
        <v>3101</v>
      </c>
      <c r="E456" s="79" t="s">
        <v>118</v>
      </c>
      <c r="F456" s="79" t="s">
        <v>489</v>
      </c>
      <c r="G456" s="79" t="s">
        <v>2282</v>
      </c>
      <c r="H456" s="80" t="s">
        <v>3102</v>
      </c>
      <c r="I456" s="80">
        <v>1953.13</v>
      </c>
      <c r="J456" s="25">
        <v>12500</v>
      </c>
      <c r="K456" s="25"/>
      <c r="L456" s="81"/>
    </row>
    <row r="457" s="1" customFormat="1" ht="14.25" spans="1:12">
      <c r="A457" s="77">
        <v>11</v>
      </c>
      <c r="B457" s="78">
        <v>30</v>
      </c>
      <c r="C457" s="78">
        <v>47</v>
      </c>
      <c r="D457" s="79" t="s">
        <v>3103</v>
      </c>
      <c r="E457" s="79" t="s">
        <v>118</v>
      </c>
      <c r="F457" s="79" t="s">
        <v>55</v>
      </c>
      <c r="G457" s="79" t="s">
        <v>2282</v>
      </c>
      <c r="H457" s="80" t="s">
        <v>3102</v>
      </c>
      <c r="I457" s="80">
        <v>2871.09</v>
      </c>
      <c r="J457" s="25">
        <v>18375</v>
      </c>
      <c r="K457" s="25"/>
      <c r="L457" s="81"/>
    </row>
    <row r="458" s="1" customFormat="1" ht="14.25" spans="1:12">
      <c r="A458" s="77">
        <v>11</v>
      </c>
      <c r="B458" s="78">
        <v>30</v>
      </c>
      <c r="C458" s="78">
        <v>47</v>
      </c>
      <c r="D458" s="79" t="s">
        <v>3104</v>
      </c>
      <c r="E458" s="79" t="s">
        <v>118</v>
      </c>
      <c r="F458" s="79" t="s">
        <v>55</v>
      </c>
      <c r="G458" s="79" t="s">
        <v>2282</v>
      </c>
      <c r="H458" s="80" t="s">
        <v>3102</v>
      </c>
      <c r="I458" s="80">
        <v>281.25</v>
      </c>
      <c r="J458" s="25">
        <v>1800</v>
      </c>
      <c r="K458" s="25"/>
      <c r="L458" s="81"/>
    </row>
    <row r="459" s="1" customFormat="1" ht="14.25" spans="1:12">
      <c r="A459" s="77">
        <v>11</v>
      </c>
      <c r="B459" s="78">
        <v>30</v>
      </c>
      <c r="C459" s="78">
        <v>47</v>
      </c>
      <c r="D459" s="79" t="s">
        <v>3105</v>
      </c>
      <c r="E459" s="79" t="s">
        <v>118</v>
      </c>
      <c r="F459" s="79" t="s">
        <v>154</v>
      </c>
      <c r="G459" s="79" t="s">
        <v>2282</v>
      </c>
      <c r="H459" s="80" t="s">
        <v>3102</v>
      </c>
      <c r="I459" s="80">
        <v>124.22</v>
      </c>
      <c r="J459" s="25">
        <v>795</v>
      </c>
      <c r="K459" s="25"/>
      <c r="L459" s="81"/>
    </row>
    <row r="460" s="1" customFormat="1" ht="14.25" spans="1:12">
      <c r="A460" s="77">
        <v>11</v>
      </c>
      <c r="B460" s="78">
        <v>30</v>
      </c>
      <c r="C460" s="78">
        <v>47</v>
      </c>
      <c r="D460" s="79" t="s">
        <v>2598</v>
      </c>
      <c r="E460" s="79" t="s">
        <v>118</v>
      </c>
      <c r="F460" s="79" t="s">
        <v>154</v>
      </c>
      <c r="G460" s="79" t="s">
        <v>2282</v>
      </c>
      <c r="H460" s="80" t="s">
        <v>3102</v>
      </c>
      <c r="I460" s="80">
        <v>439.4</v>
      </c>
      <c r="J460" s="25">
        <v>2812.18</v>
      </c>
      <c r="K460" s="25"/>
      <c r="L460" s="81"/>
    </row>
    <row r="461" s="1" customFormat="1" ht="14.25" spans="1:12">
      <c r="A461" s="77">
        <v>11</v>
      </c>
      <c r="B461" s="78">
        <v>30</v>
      </c>
      <c r="C461" s="78">
        <v>48</v>
      </c>
      <c r="D461" s="79" t="s">
        <v>3106</v>
      </c>
      <c r="E461" s="79" t="s">
        <v>118</v>
      </c>
      <c r="F461" s="79" t="s">
        <v>55</v>
      </c>
      <c r="G461" s="79" t="s">
        <v>2282</v>
      </c>
      <c r="H461" s="80" t="s">
        <v>3107</v>
      </c>
      <c r="I461" s="80">
        <v>103.91</v>
      </c>
      <c r="J461" s="25">
        <v>665</v>
      </c>
      <c r="K461" s="25"/>
      <c r="L461" s="81"/>
    </row>
    <row r="462" s="1" customFormat="1" ht="14.25" spans="1:12">
      <c r="A462" s="77">
        <v>11</v>
      </c>
      <c r="B462" s="78">
        <v>30</v>
      </c>
      <c r="C462" s="78">
        <v>48</v>
      </c>
      <c r="D462" s="79" t="s">
        <v>3108</v>
      </c>
      <c r="E462" s="79" t="s">
        <v>118</v>
      </c>
      <c r="F462" s="79" t="s">
        <v>55</v>
      </c>
      <c r="G462" s="79" t="s">
        <v>2282</v>
      </c>
      <c r="H462" s="80" t="s">
        <v>3107</v>
      </c>
      <c r="I462" s="80">
        <v>1342.5</v>
      </c>
      <c r="J462" s="25">
        <v>8592</v>
      </c>
      <c r="K462" s="25"/>
      <c r="L462" s="81"/>
    </row>
    <row r="463" s="1" customFormat="1" ht="14.25" spans="1:12">
      <c r="A463" s="77">
        <v>11</v>
      </c>
      <c r="B463" s="78">
        <v>30</v>
      </c>
      <c r="C463" s="78">
        <v>48</v>
      </c>
      <c r="D463" s="79" t="s">
        <v>3109</v>
      </c>
      <c r="E463" s="79" t="s">
        <v>118</v>
      </c>
      <c r="F463" s="79" t="s">
        <v>55</v>
      </c>
      <c r="G463" s="79" t="s">
        <v>2282</v>
      </c>
      <c r="H463" s="80" t="s">
        <v>3107</v>
      </c>
      <c r="I463" s="80">
        <v>14.06</v>
      </c>
      <c r="J463" s="25">
        <v>90</v>
      </c>
      <c r="K463" s="25"/>
      <c r="L463" s="81"/>
    </row>
    <row r="464" s="1" customFormat="1" ht="14.25" spans="1:12">
      <c r="A464" s="77">
        <v>11</v>
      </c>
      <c r="B464" s="78">
        <v>30</v>
      </c>
      <c r="C464" s="78">
        <v>48</v>
      </c>
      <c r="D464" s="79" t="s">
        <v>3110</v>
      </c>
      <c r="E464" s="79" t="s">
        <v>211</v>
      </c>
      <c r="F464" s="79" t="s">
        <v>3111</v>
      </c>
      <c r="G464" s="79" t="s">
        <v>2282</v>
      </c>
      <c r="H464" s="80" t="s">
        <v>3107</v>
      </c>
      <c r="I464" s="80">
        <v>559.38</v>
      </c>
      <c r="J464" s="25">
        <v>3580</v>
      </c>
      <c r="K464" s="25"/>
      <c r="L464" s="81"/>
    </row>
    <row r="465" s="1" customFormat="1" ht="14.25" spans="1:12">
      <c r="A465" s="77">
        <v>11</v>
      </c>
      <c r="B465" s="78">
        <v>30</v>
      </c>
      <c r="C465" s="78">
        <v>48</v>
      </c>
      <c r="D465" s="79" t="s">
        <v>2943</v>
      </c>
      <c r="E465" s="79" t="s">
        <v>118</v>
      </c>
      <c r="F465" s="79" t="s">
        <v>154</v>
      </c>
      <c r="G465" s="79" t="s">
        <v>2282</v>
      </c>
      <c r="H465" s="80" t="s">
        <v>3107</v>
      </c>
      <c r="I465" s="80">
        <v>11859.38</v>
      </c>
      <c r="J465" s="25">
        <v>75900</v>
      </c>
      <c r="K465" s="25"/>
      <c r="L465" s="81"/>
    </row>
    <row r="466" s="1" customFormat="1" ht="14.25" spans="1:12">
      <c r="A466" s="77">
        <v>11</v>
      </c>
      <c r="B466" s="78">
        <v>30</v>
      </c>
      <c r="C466" s="78">
        <v>48</v>
      </c>
      <c r="D466" s="79" t="s">
        <v>3112</v>
      </c>
      <c r="E466" s="79" t="s">
        <v>118</v>
      </c>
      <c r="F466" s="79" t="s">
        <v>741</v>
      </c>
      <c r="G466" s="79" t="s">
        <v>2282</v>
      </c>
      <c r="H466" s="80" t="s">
        <v>3113</v>
      </c>
      <c r="I466" s="80">
        <v>595.31</v>
      </c>
      <c r="J466" s="25">
        <v>3810</v>
      </c>
      <c r="K466" s="25"/>
      <c r="L466" s="81"/>
    </row>
    <row r="467" s="1" customFormat="1" ht="14.25" spans="1:12">
      <c r="A467" s="77">
        <v>11</v>
      </c>
      <c r="B467" s="78">
        <v>30</v>
      </c>
      <c r="C467" s="78">
        <v>49</v>
      </c>
      <c r="D467" s="79" t="s">
        <v>3114</v>
      </c>
      <c r="E467" s="79" t="s">
        <v>85</v>
      </c>
      <c r="F467" s="79" t="s">
        <v>2616</v>
      </c>
      <c r="G467" s="79" t="s">
        <v>2282</v>
      </c>
      <c r="H467" s="80" t="s">
        <v>3115</v>
      </c>
      <c r="I467" s="80">
        <v>6574.38</v>
      </c>
      <c r="J467" s="25">
        <v>42076</v>
      </c>
      <c r="K467" s="25"/>
      <c r="L467" s="81"/>
    </row>
    <row r="468" s="1" customFormat="1" ht="14.25" spans="1:12">
      <c r="A468" s="77">
        <v>11</v>
      </c>
      <c r="B468" s="78">
        <v>30</v>
      </c>
      <c r="C468" s="78">
        <v>49</v>
      </c>
      <c r="D468" s="79" t="s">
        <v>3116</v>
      </c>
      <c r="E468" s="79" t="s">
        <v>85</v>
      </c>
      <c r="F468" s="79" t="s">
        <v>2616</v>
      </c>
      <c r="G468" s="79" t="s">
        <v>2282</v>
      </c>
      <c r="H468" s="80" t="s">
        <v>3115</v>
      </c>
      <c r="I468" s="80">
        <v>6457.97</v>
      </c>
      <c r="J468" s="25">
        <v>41331</v>
      </c>
      <c r="K468" s="25"/>
      <c r="L468" s="81"/>
    </row>
    <row r="469" s="1" customFormat="1" ht="14.25" spans="1:12">
      <c r="A469" s="77">
        <v>11</v>
      </c>
      <c r="B469" s="78">
        <v>30</v>
      </c>
      <c r="C469" s="78">
        <v>49</v>
      </c>
      <c r="D469" s="79" t="s">
        <v>3117</v>
      </c>
      <c r="E469" s="79" t="s">
        <v>85</v>
      </c>
      <c r="F469" s="79" t="s">
        <v>2616</v>
      </c>
      <c r="G469" s="79" t="s">
        <v>2282</v>
      </c>
      <c r="H469" s="80" t="s">
        <v>3115</v>
      </c>
      <c r="I469" s="80">
        <v>10980.47</v>
      </c>
      <c r="J469" s="25">
        <v>70275</v>
      </c>
      <c r="K469" s="25"/>
      <c r="L469" s="81"/>
    </row>
    <row r="470" s="1" customFormat="1" ht="14.25" spans="1:12">
      <c r="A470" s="77">
        <v>11</v>
      </c>
      <c r="B470" s="78">
        <v>30</v>
      </c>
      <c r="C470" s="78">
        <v>49</v>
      </c>
      <c r="D470" s="79" t="s">
        <v>3118</v>
      </c>
      <c r="E470" s="79" t="s">
        <v>85</v>
      </c>
      <c r="F470" s="79" t="s">
        <v>2616</v>
      </c>
      <c r="G470" s="79" t="s">
        <v>2282</v>
      </c>
      <c r="H470" s="80" t="s">
        <v>3115</v>
      </c>
      <c r="I470" s="80">
        <v>6658.75</v>
      </c>
      <c r="J470" s="25">
        <v>42616</v>
      </c>
      <c r="K470" s="25"/>
      <c r="L470" s="81"/>
    </row>
    <row r="471" s="1" customFormat="1" ht="14.25" spans="1:12">
      <c r="A471" s="77">
        <v>11</v>
      </c>
      <c r="B471" s="78">
        <v>30</v>
      </c>
      <c r="C471" s="78">
        <v>49</v>
      </c>
      <c r="D471" s="79" t="s">
        <v>3119</v>
      </c>
      <c r="E471" s="79" t="s">
        <v>85</v>
      </c>
      <c r="F471" s="79" t="s">
        <v>2616</v>
      </c>
      <c r="G471" s="79" t="s">
        <v>2282</v>
      </c>
      <c r="H471" s="80" t="s">
        <v>3115</v>
      </c>
      <c r="I471" s="80">
        <v>6289.84</v>
      </c>
      <c r="J471" s="25">
        <v>40255</v>
      </c>
      <c r="K471" s="25"/>
      <c r="L471" s="81"/>
    </row>
    <row r="472" s="1" customFormat="1" ht="14.25" spans="1:12">
      <c r="A472" s="77">
        <v>11</v>
      </c>
      <c r="B472" s="78">
        <v>30</v>
      </c>
      <c r="C472" s="78">
        <v>49</v>
      </c>
      <c r="D472" s="79" t="s">
        <v>3120</v>
      </c>
      <c r="E472" s="79" t="s">
        <v>48</v>
      </c>
      <c r="F472" s="79" t="s">
        <v>1188</v>
      </c>
      <c r="G472" s="79" t="s">
        <v>2282</v>
      </c>
      <c r="H472" s="80" t="s">
        <v>3121</v>
      </c>
      <c r="I472" s="80">
        <v>78392.97</v>
      </c>
      <c r="J472" s="25">
        <v>501715</v>
      </c>
      <c r="K472" s="25"/>
      <c r="L472" s="81"/>
    </row>
    <row r="473" s="1" customFormat="1" spans="1:12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</row>
    <row r="474" s="1" customFormat="1" spans="1:12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</row>
    <row r="475" s="1" customFormat="1" spans="1:12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</row>
    <row r="476" s="1" customFormat="1" spans="1:12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</row>
    <row r="477" s="1" customFormat="1" spans="1:12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</row>
    <row r="478" s="1" customFormat="1" spans="1:12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</row>
    <row r="479" s="1" customFormat="1" spans="1:12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</row>
    <row r="480" s="1" customFormat="1" spans="1:12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</row>
    <row r="481" s="1" customFormat="1" spans="1:12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</row>
    <row r="482" s="1" customFormat="1" spans="1:12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</row>
    <row r="483" s="1" customFormat="1" spans="1:12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</row>
    <row r="484" s="1" customFormat="1" spans="1:12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</row>
    <row r="485" s="1" customFormat="1" spans="1:12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</row>
    <row r="486" s="1" customFormat="1" spans="1:12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</row>
    <row r="487" s="1" customFormat="1" spans="1:12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</row>
    <row r="488" s="1" customFormat="1" spans="1:12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</row>
    <row r="489" s="1" customFormat="1" spans="1:12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</row>
    <row r="490" s="1" customFormat="1" spans="1:12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</row>
    <row r="491" s="1" customFormat="1" spans="1:12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</row>
    <row r="492" s="1" customFormat="1" spans="1:12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</row>
    <row r="493" s="1" customFormat="1" spans="1:12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</row>
    <row r="494" s="1" customFormat="1" spans="1:12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</row>
    <row r="495" s="1" customFormat="1" spans="1:12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</row>
    <row r="496" s="1" customFormat="1" spans="1:12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</row>
    <row r="497" s="1" customFormat="1" spans="1:12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</row>
  </sheetData>
  <mergeCells count="7">
    <mergeCell ref="A1:I1"/>
    <mergeCell ref="A2:B2"/>
    <mergeCell ref="E2:F2"/>
    <mergeCell ref="G2:H2"/>
    <mergeCell ref="C2:C3"/>
    <mergeCell ref="D2:D3"/>
    <mergeCell ref="J2:J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workbookViewId="0">
      <selection activeCell="G17" sqref="G17"/>
    </sheetView>
  </sheetViews>
  <sheetFormatPr defaultColWidth="9" defaultRowHeight="13.5"/>
  <cols>
    <col min="1" max="1" width="3.125" style="1" customWidth="1"/>
    <col min="2" max="2" width="3.5" style="1" customWidth="1"/>
    <col min="3" max="3" width="17" style="1" customWidth="1"/>
    <col min="4" max="8" width="10.625" style="1" customWidth="1"/>
    <col min="9" max="9" width="11.625" style="1" customWidth="1"/>
    <col min="10" max="16384" width="9" style="1"/>
  </cols>
  <sheetData>
    <row r="1" s="1" customFormat="1" ht="30.75" customHeight="1" spans="1:9">
      <c r="A1" s="2" t="s">
        <v>3122</v>
      </c>
      <c r="B1" s="2"/>
      <c r="C1" s="2"/>
      <c r="D1" s="2"/>
      <c r="E1" s="2"/>
      <c r="F1" s="2"/>
      <c r="G1" s="2"/>
      <c r="H1" s="2"/>
      <c r="I1" s="2"/>
    </row>
    <row r="2" s="1" customFormat="1" ht="20.1" customHeight="1" spans="1:9">
      <c r="A2" s="3" t="s">
        <v>3123</v>
      </c>
      <c r="B2" s="4" t="s">
        <v>1</v>
      </c>
      <c r="C2" s="5" t="s">
        <v>3124</v>
      </c>
      <c r="D2" s="6" t="s">
        <v>3125</v>
      </c>
      <c r="E2" s="7" t="s">
        <v>3126</v>
      </c>
      <c r="F2" s="8"/>
      <c r="G2" s="7" t="s">
        <v>3127</v>
      </c>
      <c r="H2" s="8"/>
      <c r="I2" s="9" t="s">
        <v>3128</v>
      </c>
    </row>
    <row r="3" s="1" customFormat="1" ht="20.1" customHeight="1" spans="1:9">
      <c r="A3" s="10"/>
      <c r="B3" s="11"/>
      <c r="C3" s="12"/>
      <c r="D3" s="13"/>
      <c r="E3" s="12" t="s">
        <v>3129</v>
      </c>
      <c r="F3" s="12" t="s">
        <v>3125</v>
      </c>
      <c r="G3" s="12" t="s">
        <v>3129</v>
      </c>
      <c r="H3" s="12" t="s">
        <v>3125</v>
      </c>
      <c r="I3" s="14"/>
    </row>
    <row r="4" s="1" customFormat="1" ht="20.1" customHeight="1" spans="1:9">
      <c r="A4" s="15" t="s">
        <v>3130</v>
      </c>
      <c r="B4" s="16">
        <v>1</v>
      </c>
      <c r="C4" s="17" t="s">
        <v>3131</v>
      </c>
      <c r="D4" s="18">
        <v>0</v>
      </c>
      <c r="E4" s="19"/>
      <c r="F4" s="19"/>
      <c r="G4" s="19">
        <v>0</v>
      </c>
      <c r="H4" s="19">
        <v>0</v>
      </c>
      <c r="I4" s="20">
        <v>0</v>
      </c>
    </row>
    <row r="5" s="1" customFormat="1" ht="20.1" customHeight="1" spans="1:9">
      <c r="A5" s="15"/>
      <c r="B5" s="21">
        <v>2</v>
      </c>
      <c r="C5" s="22" t="s">
        <v>3132</v>
      </c>
      <c r="D5" s="17">
        <v>0</v>
      </c>
      <c r="E5" s="23"/>
      <c r="F5" s="23"/>
      <c r="G5" s="23">
        <v>0</v>
      </c>
      <c r="H5" s="23">
        <v>0</v>
      </c>
      <c r="I5" s="24">
        <v>0</v>
      </c>
    </row>
    <row r="6" s="1" customFormat="1" ht="20.1" customHeight="1" spans="1:9">
      <c r="A6" s="15"/>
      <c r="B6" s="21">
        <v>3</v>
      </c>
      <c r="C6" s="22" t="s">
        <v>3133</v>
      </c>
      <c r="D6" s="17">
        <v>0</v>
      </c>
      <c r="E6" s="23"/>
      <c r="F6" s="23"/>
      <c r="G6" s="23">
        <v>0</v>
      </c>
      <c r="H6" s="23">
        <v>0</v>
      </c>
      <c r="I6" s="24">
        <v>0</v>
      </c>
    </row>
    <row r="7" s="1" customFormat="1" ht="20.1" customHeight="1" spans="1:9">
      <c r="A7" s="15"/>
      <c r="B7" s="21">
        <v>4</v>
      </c>
      <c r="C7" s="22" t="s">
        <v>61</v>
      </c>
      <c r="D7" s="17">
        <v>0</v>
      </c>
      <c r="E7" s="23"/>
      <c r="F7" s="23"/>
      <c r="G7" s="23">
        <v>0</v>
      </c>
      <c r="H7" s="23">
        <v>0</v>
      </c>
      <c r="I7" s="24">
        <v>0</v>
      </c>
    </row>
    <row r="8" s="1" customFormat="1" ht="20.1" customHeight="1" spans="1:9">
      <c r="A8" s="15"/>
      <c r="B8" s="21">
        <v>5</v>
      </c>
      <c r="C8" s="22" t="s">
        <v>3134</v>
      </c>
      <c r="D8" s="17">
        <v>0</v>
      </c>
      <c r="E8" s="23"/>
      <c r="F8" s="23"/>
      <c r="G8" s="23">
        <v>0</v>
      </c>
      <c r="H8" s="23">
        <v>0</v>
      </c>
      <c r="I8" s="24">
        <v>0</v>
      </c>
    </row>
    <row r="9" s="1" customFormat="1" ht="20.1" customHeight="1" spans="1:9">
      <c r="A9" s="15"/>
      <c r="B9" s="25"/>
      <c r="C9" s="22">
        <v>0</v>
      </c>
      <c r="D9" s="17">
        <v>0</v>
      </c>
      <c r="E9" s="23"/>
      <c r="F9" s="23"/>
      <c r="G9" s="23">
        <v>0</v>
      </c>
      <c r="H9" s="23">
        <v>0</v>
      </c>
      <c r="I9" s="24">
        <v>0</v>
      </c>
    </row>
    <row r="10" s="1" customFormat="1" ht="20.1" customHeight="1" spans="1:9">
      <c r="A10" s="26"/>
      <c r="B10" s="27" t="s">
        <v>3135</v>
      </c>
      <c r="C10" s="28"/>
      <c r="D10" s="17">
        <v>0</v>
      </c>
      <c r="E10" s="23"/>
      <c r="F10" s="23"/>
      <c r="G10" s="23">
        <v>0</v>
      </c>
      <c r="H10" s="23">
        <v>0</v>
      </c>
      <c r="I10" s="29">
        <v>0</v>
      </c>
    </row>
    <row r="11" s="1" customFormat="1" ht="20.1" customHeight="1" spans="1:9">
      <c r="A11" s="30" t="s">
        <v>3136</v>
      </c>
      <c r="B11" s="21">
        <v>1</v>
      </c>
      <c r="C11" s="22" t="s">
        <v>3137</v>
      </c>
      <c r="D11" s="17">
        <v>0</v>
      </c>
      <c r="E11" s="23"/>
      <c r="F11" s="23"/>
      <c r="G11" s="23">
        <v>0</v>
      </c>
      <c r="H11" s="23">
        <v>0</v>
      </c>
      <c r="I11" s="24">
        <v>0</v>
      </c>
    </row>
    <row r="12" s="1" customFormat="1" ht="20.1" customHeight="1" spans="1:9">
      <c r="A12" s="15"/>
      <c r="B12" s="21">
        <v>2</v>
      </c>
      <c r="C12" s="22" t="s">
        <v>118</v>
      </c>
      <c r="D12" s="17">
        <v>692157</v>
      </c>
      <c r="E12" s="23"/>
      <c r="F12" s="23"/>
      <c r="G12" s="23">
        <v>0</v>
      </c>
      <c r="H12" s="23">
        <v>0</v>
      </c>
      <c r="I12" s="24">
        <v>692157</v>
      </c>
    </row>
    <row r="13" s="1" customFormat="1" ht="20.1" customHeight="1" spans="1:9">
      <c r="A13" s="15"/>
      <c r="B13" s="21">
        <v>3</v>
      </c>
      <c r="C13" s="22" t="s">
        <v>211</v>
      </c>
      <c r="D13" s="17">
        <v>0</v>
      </c>
      <c r="E13" s="23"/>
      <c r="F13" s="23"/>
      <c r="G13" s="23">
        <v>0</v>
      </c>
      <c r="H13" s="23">
        <v>0</v>
      </c>
      <c r="I13" s="24">
        <v>0</v>
      </c>
    </row>
    <row r="14" s="1" customFormat="1" ht="20.1" customHeight="1" spans="1:9">
      <c r="A14" s="15"/>
      <c r="B14" s="21">
        <v>4</v>
      </c>
      <c r="C14" s="22" t="s">
        <v>179</v>
      </c>
      <c r="D14" s="17">
        <v>0</v>
      </c>
      <c r="E14" s="23"/>
      <c r="F14" s="23"/>
      <c r="G14" s="23">
        <v>0</v>
      </c>
      <c r="H14" s="23">
        <v>0</v>
      </c>
      <c r="I14" s="24">
        <v>0</v>
      </c>
    </row>
    <row r="15" s="1" customFormat="1" ht="20.1" customHeight="1" spans="1:9">
      <c r="A15" s="15"/>
      <c r="B15" s="21">
        <v>5</v>
      </c>
      <c r="C15" s="22" t="s">
        <v>291</v>
      </c>
      <c r="D15" s="17">
        <v>34725</v>
      </c>
      <c r="E15" s="23"/>
      <c r="F15" s="23"/>
      <c r="G15" s="23">
        <v>0</v>
      </c>
      <c r="H15" s="23">
        <v>0</v>
      </c>
      <c r="I15" s="24">
        <v>34725</v>
      </c>
    </row>
    <row r="16" s="1" customFormat="1" ht="20.1" customHeight="1" spans="1:9">
      <c r="A16" s="15"/>
      <c r="B16" s="21">
        <v>6</v>
      </c>
      <c r="C16" s="22" t="s">
        <v>3138</v>
      </c>
      <c r="D16" s="17">
        <v>0</v>
      </c>
      <c r="E16" s="23"/>
      <c r="F16" s="23"/>
      <c r="G16" s="23">
        <v>0</v>
      </c>
      <c r="H16" s="23">
        <v>0</v>
      </c>
      <c r="I16" s="24">
        <v>0</v>
      </c>
    </row>
    <row r="17" s="1" customFormat="1" ht="20.1" customHeight="1" spans="1:9">
      <c r="A17" s="15"/>
      <c r="B17" s="21">
        <v>7</v>
      </c>
      <c r="C17" s="22" t="s">
        <v>3139</v>
      </c>
      <c r="D17" s="17">
        <v>20914</v>
      </c>
      <c r="E17" s="23"/>
      <c r="F17" s="23"/>
      <c r="G17" s="23">
        <v>0</v>
      </c>
      <c r="H17" s="23">
        <v>0</v>
      </c>
      <c r="I17" s="24">
        <v>20914</v>
      </c>
    </row>
    <row r="18" s="1" customFormat="1" ht="20.1" customHeight="1" spans="1:9">
      <c r="A18" s="15"/>
      <c r="B18" s="21">
        <v>8</v>
      </c>
      <c r="C18" s="22" t="s">
        <v>3140</v>
      </c>
      <c r="D18" s="17">
        <v>0</v>
      </c>
      <c r="E18" s="23"/>
      <c r="F18" s="23"/>
      <c r="G18" s="23">
        <v>0</v>
      </c>
      <c r="H18" s="23">
        <v>0</v>
      </c>
      <c r="I18" s="24">
        <v>0</v>
      </c>
    </row>
    <row r="19" s="1" customFormat="1" ht="20.1" customHeight="1" spans="1:9">
      <c r="A19" s="15"/>
      <c r="B19" s="21">
        <v>9</v>
      </c>
      <c r="C19" s="22" t="s">
        <v>37</v>
      </c>
      <c r="D19" s="17">
        <v>5367</v>
      </c>
      <c r="E19" s="23"/>
      <c r="F19" s="23"/>
      <c r="G19" s="23">
        <v>0</v>
      </c>
      <c r="H19" s="23">
        <v>0</v>
      </c>
      <c r="I19" s="24">
        <v>5367</v>
      </c>
    </row>
    <row r="20" s="1" customFormat="1" ht="20.1" customHeight="1" spans="1:9">
      <c r="A20" s="15"/>
      <c r="B20" s="21">
        <v>10</v>
      </c>
      <c r="C20" s="22" t="s">
        <v>100</v>
      </c>
      <c r="D20" s="17">
        <v>56545</v>
      </c>
      <c r="E20" s="23"/>
      <c r="F20" s="23"/>
      <c r="G20" s="23">
        <v>0</v>
      </c>
      <c r="H20" s="23">
        <v>0</v>
      </c>
      <c r="I20" s="24">
        <v>56545</v>
      </c>
    </row>
    <row r="21" s="1" customFormat="1" ht="20.1" customHeight="1" spans="1:9">
      <c r="A21" s="15"/>
      <c r="B21" s="21">
        <v>11</v>
      </c>
      <c r="C21" s="22" t="s">
        <v>48</v>
      </c>
      <c r="D21" s="17">
        <v>29775</v>
      </c>
      <c r="E21" s="23"/>
      <c r="F21" s="23"/>
      <c r="G21" s="23">
        <v>0</v>
      </c>
      <c r="H21" s="23">
        <v>0</v>
      </c>
      <c r="I21" s="24">
        <v>29775</v>
      </c>
    </row>
    <row r="22" s="1" customFormat="1" ht="20.1" customHeight="1" spans="1:9">
      <c r="A22" s="15"/>
      <c r="B22" s="21">
        <v>12</v>
      </c>
      <c r="C22" s="22" t="s">
        <v>54</v>
      </c>
      <c r="D22" s="17">
        <v>0</v>
      </c>
      <c r="E22" s="23"/>
      <c r="F22" s="23"/>
      <c r="G22" s="23">
        <v>0</v>
      </c>
      <c r="H22" s="23">
        <v>0</v>
      </c>
      <c r="I22" s="24">
        <v>0</v>
      </c>
    </row>
    <row r="23" s="1" customFormat="1" ht="20.1" customHeight="1" spans="1:9">
      <c r="A23" s="15"/>
      <c r="B23" s="21">
        <v>13</v>
      </c>
      <c r="C23" s="22" t="s">
        <v>96</v>
      </c>
      <c r="D23" s="17">
        <v>7790</v>
      </c>
      <c r="E23" s="23"/>
      <c r="F23" s="23"/>
      <c r="G23" s="23">
        <v>0</v>
      </c>
      <c r="H23" s="23">
        <v>0</v>
      </c>
      <c r="I23" s="24">
        <v>7790</v>
      </c>
    </row>
    <row r="24" s="1" customFormat="1" ht="20.1" customHeight="1" spans="1:9">
      <c r="A24" s="15"/>
      <c r="B24" s="25"/>
      <c r="C24" s="22">
        <v>0</v>
      </c>
      <c r="D24" s="17">
        <v>0</v>
      </c>
      <c r="E24" s="23"/>
      <c r="F24" s="23"/>
      <c r="G24" s="23">
        <v>0</v>
      </c>
      <c r="H24" s="23">
        <v>0</v>
      </c>
      <c r="I24" s="24">
        <v>0</v>
      </c>
    </row>
    <row r="25" s="1" customFormat="1" ht="20.1" customHeight="1" spans="1:9">
      <c r="A25" s="26"/>
      <c r="B25" s="27" t="s">
        <v>3135</v>
      </c>
      <c r="C25" s="28"/>
      <c r="D25" s="17">
        <v>847273</v>
      </c>
      <c r="E25" s="23"/>
      <c r="F25" s="23"/>
      <c r="G25" s="23">
        <v>0</v>
      </c>
      <c r="H25" s="23">
        <v>0</v>
      </c>
      <c r="I25" s="29">
        <v>847273</v>
      </c>
    </row>
    <row r="26" s="1" customFormat="1" ht="20.1" customHeight="1" spans="1:9">
      <c r="A26" s="30" t="s">
        <v>3141</v>
      </c>
      <c r="B26" s="21">
        <v>1</v>
      </c>
      <c r="C26" s="22" t="s">
        <v>3142</v>
      </c>
      <c r="D26" s="17">
        <v>-847273</v>
      </c>
      <c r="E26" s="23"/>
      <c r="F26" s="23"/>
      <c r="G26" s="23">
        <v>0</v>
      </c>
      <c r="H26" s="23">
        <v>-11538</v>
      </c>
      <c r="I26" s="24">
        <v>-858811</v>
      </c>
    </row>
    <row r="27" s="1" customFormat="1" ht="20.1" customHeight="1" spans="1:9">
      <c r="A27" s="15"/>
      <c r="B27" s="21">
        <v>2</v>
      </c>
      <c r="C27" s="22" t="s">
        <v>3143</v>
      </c>
      <c r="D27" s="17"/>
      <c r="E27" s="23"/>
      <c r="F27" s="23"/>
      <c r="G27" s="23">
        <v>30000000</v>
      </c>
      <c r="H27" s="23">
        <v>11538</v>
      </c>
      <c r="I27" s="24">
        <v>11538</v>
      </c>
    </row>
    <row r="28" s="1" customFormat="1" ht="20.1" customHeight="1" spans="1:9">
      <c r="A28" s="15"/>
      <c r="B28" s="21">
        <v>3</v>
      </c>
      <c r="C28" s="22" t="s">
        <v>3144</v>
      </c>
      <c r="D28" s="17">
        <v>0</v>
      </c>
      <c r="E28" s="23"/>
      <c r="F28" s="23"/>
      <c r="G28" s="23">
        <v>0</v>
      </c>
      <c r="H28" s="23">
        <v>0</v>
      </c>
      <c r="I28" s="24">
        <v>0</v>
      </c>
    </row>
    <row r="29" s="1" customFormat="1" ht="20.1" customHeight="1" spans="1:9">
      <c r="A29" s="15"/>
      <c r="B29" s="21"/>
      <c r="C29" s="22">
        <v>0</v>
      </c>
      <c r="D29" s="17">
        <v>-200</v>
      </c>
      <c r="E29" s="23"/>
      <c r="F29" s="23"/>
      <c r="G29" s="23">
        <v>0</v>
      </c>
      <c r="H29" s="23">
        <v>0</v>
      </c>
      <c r="I29" s="24">
        <v>-200</v>
      </c>
    </row>
    <row r="30" s="1" customFormat="1" ht="20.1" customHeight="1" spans="1:9">
      <c r="A30" s="31"/>
      <c r="B30" s="32" t="s">
        <v>3135</v>
      </c>
      <c r="C30" s="33"/>
      <c r="D30" s="34">
        <v>-847473</v>
      </c>
      <c r="E30" s="35"/>
      <c r="F30" s="35"/>
      <c r="G30" s="35">
        <v>30000000</v>
      </c>
      <c r="H30" s="35">
        <v>11538</v>
      </c>
      <c r="I30" s="36">
        <v>-847473</v>
      </c>
    </row>
    <row r="31" ht="14.25"/>
    <row r="32" s="1" customFormat="1" ht="20.1" customHeight="1" spans="1:9">
      <c r="A32" s="37" t="s">
        <v>3145</v>
      </c>
      <c r="B32" s="38"/>
      <c r="C32" s="39" t="s">
        <v>3124</v>
      </c>
      <c r="D32" s="5" t="s">
        <v>3125</v>
      </c>
      <c r="E32" s="40" t="s">
        <v>3126</v>
      </c>
      <c r="F32" s="40"/>
      <c r="G32" s="40" t="s">
        <v>3127</v>
      </c>
      <c r="H32" s="40"/>
      <c r="I32" s="41" t="s">
        <v>3146</v>
      </c>
    </row>
    <row r="33" s="1" customFormat="1" ht="20.1" customHeight="1" spans="1:9">
      <c r="A33" s="42"/>
      <c r="B33" s="43"/>
      <c r="C33" s="44"/>
      <c r="D33" s="45"/>
      <c r="E33" s="45" t="s">
        <v>3129</v>
      </c>
      <c r="F33" s="45" t="s">
        <v>3125</v>
      </c>
      <c r="G33" s="46" t="s">
        <v>3129</v>
      </c>
      <c r="H33" s="46" t="s">
        <v>3125</v>
      </c>
      <c r="I33" s="47"/>
    </row>
    <row r="34" s="1" customFormat="1" ht="20.1" customHeight="1" spans="1:9">
      <c r="A34" s="48" t="s">
        <v>3147</v>
      </c>
      <c r="B34" s="49"/>
      <c r="C34" s="50" t="s">
        <v>3148</v>
      </c>
      <c r="D34" s="18">
        <v>-26203705.09</v>
      </c>
      <c r="E34" s="18">
        <v>-77400118.75</v>
      </c>
      <c r="F34" s="18">
        <v>-12093769.11</v>
      </c>
      <c r="G34" s="18">
        <v>-102967750.17</v>
      </c>
      <c r="H34" s="18">
        <v>-13716</v>
      </c>
      <c r="I34" s="51">
        <v>-38311190.2</v>
      </c>
    </row>
    <row r="35" s="1" customFormat="1" ht="20.1" customHeight="1" spans="1:9">
      <c r="A35" s="48"/>
      <c r="B35" s="49"/>
      <c r="C35" s="52" t="s">
        <v>3149</v>
      </c>
      <c r="D35" s="22">
        <v>-847473</v>
      </c>
      <c r="E35" s="22">
        <v>0</v>
      </c>
      <c r="F35" s="22">
        <v>0</v>
      </c>
      <c r="G35" s="22">
        <v>30000000</v>
      </c>
      <c r="H35" s="22">
        <v>-11538</v>
      </c>
      <c r="I35" s="53">
        <v>-859011</v>
      </c>
    </row>
    <row r="36" s="1" customFormat="1" ht="20.1" customHeight="1" spans="1:9">
      <c r="A36" s="54"/>
      <c r="B36" s="55"/>
      <c r="C36" s="56" t="s">
        <v>3150</v>
      </c>
      <c r="D36" s="57">
        <v>-27051178.09</v>
      </c>
      <c r="E36" s="57">
        <v>-77400118.75</v>
      </c>
      <c r="F36" s="57">
        <v>-12093769.11</v>
      </c>
      <c r="G36" s="57">
        <v>-72967750.17</v>
      </c>
      <c r="H36" s="57">
        <v>-25254</v>
      </c>
      <c r="I36" s="58">
        <v>-39170201.2</v>
      </c>
    </row>
  </sheetData>
  <mergeCells count="19">
    <mergeCell ref="A1:I1"/>
    <mergeCell ref="B10:C10"/>
    <mergeCell ref="B25:C25"/>
    <mergeCell ref="B30:C30"/>
    <mergeCell ref="E32:F32"/>
    <mergeCell ref="G32:H32"/>
    <mergeCell ref="A2:A3"/>
    <mergeCell ref="A4:A10"/>
    <mergeCell ref="A11:A25"/>
    <mergeCell ref="A26:A30"/>
    <mergeCell ref="B2:B3"/>
    <mergeCell ref="C2:C3"/>
    <mergeCell ref="C32:C33"/>
    <mergeCell ref="D2:D3"/>
    <mergeCell ref="D32:D33"/>
    <mergeCell ref="I2:I3"/>
    <mergeCell ref="I32:I33"/>
    <mergeCell ref="A32:B33"/>
    <mergeCell ref="A34:B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部分收入</vt:lpstr>
      <vt:lpstr>FBC记帐底稿帐（ZiG)</vt:lpstr>
      <vt:lpstr>美元记帐底稿帐(USD)</vt:lpstr>
      <vt:lpstr>人民币记帐底稿帐(CNY)</vt:lpstr>
      <vt:lpstr>发生情况报表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X</cp:lastModifiedBy>
  <dcterms:created xsi:type="dcterms:W3CDTF">2026-10-13T11:08:37Z</dcterms:created>
  <dcterms:modified xsi:type="dcterms:W3CDTF">2026-10-13T11:19:19Z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9978B4CDA5A143F38DA0CFE3FDC469B4_11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