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2026年润源机械\2笨鸟邦\"/>
    </mc:Choice>
  </mc:AlternateContent>
  <bookViews>
    <workbookView windowWidth="27945" windowHeight="12375" activeTab="9"/>
  </bookViews>
  <sheets>
    <sheet name="河北钢磊" sheetId="1" r:id="rId1"/>
    <sheet name="刘军亮" sheetId="4" r:id="rId2"/>
    <sheet name="王江停" sheetId="5" r:id="rId3"/>
    <sheet name="张继贤" sheetId="6" r:id="rId4"/>
    <sheet name="安朋林" sheetId="7" r:id="rId5"/>
    <sheet name="王乾召" sheetId="8" r:id="rId6"/>
    <sheet name="翟兆远" sheetId="9" r:id="rId7"/>
    <sheet name="张荣志" sheetId="10" r:id="rId8"/>
    <sheet name="诚信纸箱厂" sheetId="11" r:id="rId9"/>
    <sheet name="聊城森奥" sheetId="12" r:id="rId10"/>
    <sheet name="Sheet3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<sst xmlns="http://schemas.openxmlformats.org/spreadsheetml/2006/main" count="431" uniqueCount="52">
  <si>
    <t>2026年钢磊日记账</t>
  </si>
  <si>
    <t>日期</t>
  </si>
  <si>
    <t>摘要</t>
  </si>
  <si>
    <t>借方</t>
  </si>
  <si>
    <t>贷方</t>
  </si>
  <si>
    <t>借或贷</t>
  </si>
  <si>
    <t>余额</t>
  </si>
  <si>
    <t>结转上月</t>
  </si>
  <si>
    <t>贷</t>
  </si>
  <si>
    <t>9.4</t>
  </si>
  <si>
    <t>还款</t>
  </si>
  <si>
    <t>采购</t>
  </si>
  <si>
    <t>9.7</t>
  </si>
  <si>
    <t>9.9</t>
  </si>
  <si>
    <t>9.14</t>
  </si>
  <si>
    <t>9.27</t>
  </si>
  <si>
    <t>9.29</t>
  </si>
  <si>
    <t>9.24</t>
  </si>
  <si>
    <t>7.31</t>
  </si>
  <si>
    <t>本月合计</t>
  </si>
  <si>
    <t>本年合计</t>
  </si>
  <si>
    <t>结转下月</t>
  </si>
  <si>
    <t>2026年刘军亮注塑日记账</t>
  </si>
  <si>
    <t>8.3</t>
  </si>
  <si>
    <t>工行卡还款</t>
  </si>
  <si>
    <t>8.8</t>
  </si>
  <si>
    <t>8.11</t>
  </si>
  <si>
    <t>8.13</t>
  </si>
  <si>
    <t>8.31</t>
  </si>
  <si>
    <t>9.1</t>
  </si>
  <si>
    <t>9.10</t>
  </si>
  <si>
    <t>9.12</t>
  </si>
  <si>
    <t>9.19</t>
  </si>
  <si>
    <t>2026年王江停油日记账</t>
  </si>
  <si>
    <t>8.1</t>
  </si>
  <si>
    <t>采购油</t>
  </si>
  <si>
    <t>9.30</t>
  </si>
  <si>
    <t>2026年张继贤木箱日记账</t>
  </si>
  <si>
    <t>8.9</t>
  </si>
  <si>
    <t>采购木箱</t>
  </si>
  <si>
    <t>9.25</t>
  </si>
  <si>
    <t>9.26</t>
  </si>
  <si>
    <t>2026年安朋林加工日记账</t>
  </si>
  <si>
    <t>2026年王乾召量具日记账</t>
  </si>
  <si>
    <t>8.10</t>
  </si>
  <si>
    <t>工行卡999</t>
  </si>
  <si>
    <t>2026年翟兆远丝锥日记账</t>
  </si>
  <si>
    <t>8.2</t>
  </si>
  <si>
    <t>10.1</t>
  </si>
  <si>
    <t>2026年张荣志手套日记账</t>
  </si>
  <si>
    <t>2026年诚信纸箱厂日记账</t>
  </si>
  <si>
    <t>2026年纸箱日记账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</si>
</sst>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6"/>
      <color rgb="FFFF0000"/>
      <name val="宋体"/>
      <charset val="134"/>
    </font>
    <font>
      <b/>
      <sz val="11"/>
      <color rgb="FFFF0000"/>
      <name val="宋体"/>
      <charset val="134"/>
    </font>
    <font>
      <sz val="11"/>
      <color rgb="FFFF0000"/>
      <name val="宋体"/>
      <charset val="134"/>
    </font>
    <font>
      <b/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15" fillId="0" borderId="5">
      <alignment vertical="center"/>
    </xf>
    <xf numFmtId="0" fontId="15" fillId="0" borderId="0">
      <alignment vertical="center"/>
    </xf>
    <xf numFmtId="0" fontId="16" fillId="3" borderId="6">
      <alignment vertical="center"/>
    </xf>
    <xf numFmtId="0" fontId="17" fillId="4" borderId="7">
      <alignment vertical="center"/>
    </xf>
    <xf numFmtId="0" fontId="18" fillId="4" borderId="6">
      <alignment vertical="center"/>
    </xf>
    <xf numFmtId="0" fontId="19" fillId="5" borderId="8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3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>
      <alignment vertical="center"/>
    </xf>
    <xf numFmtId="49" fontId="2" fillId="0" borderId="0" xfId="0" applyNumberFormat="1" applyFont="1">
      <alignment vertical="center"/>
    </xf>
    <xf numFmtId="0" fontId="7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12"/>
  <sheetViews>
    <sheetView topLeftCell="A11" workbookViewId="0">
      <selection activeCell="K15" sqref="K15"/>
    </sheetView>
  </sheetViews>
  <sheetFormatPr defaultColWidth="9" defaultRowHeight="25" customHeight="1"/>
  <cols>
    <col min="2" max="2" width="13.625" customWidth="1"/>
    <col min="3" max="3" width="19.375" customWidth="1"/>
    <col min="4" max="4" width="13.5" customWidth="1"/>
    <col min="6" max="6" width="12.875"/>
  </cols>
  <sheetData>
    <row r="1" customHeight="1" spans="1:52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customHeight="1" spans="1:52">
      <c r="A2" s="3"/>
      <c r="B2" s="4"/>
      <c r="C2" s="4"/>
      <c r="D2" s="5">
        <v>2026.9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customHeight="1" spans="1:52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customHeight="1" spans="1:52">
      <c r="A4" s="6"/>
      <c r="B4" s="7"/>
      <c r="C4" s="7"/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customHeight="1" spans="1:52">
      <c r="A5" s="6"/>
      <c r="B5" s="7" t="s">
        <v>7</v>
      </c>
      <c r="C5" s="7"/>
      <c r="D5" s="7"/>
      <c r="E5" s="7" t="s">
        <v>8</v>
      </c>
      <c r="F5" s="7">
        <v>1216675.06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customHeight="1" spans="1:52">
      <c r="A6" s="6" t="s">
        <v>9</v>
      </c>
      <c r="B6" s="7" t="s">
        <v>10</v>
      </c>
      <c r="C6" s="7">
        <v>200000</v>
      </c>
      <c r="D6" s="7"/>
      <c r="E6" s="7" t="s">
        <v>8</v>
      </c>
      <c r="F6" s="7">
        <f t="shared" ref="F6:F28" si="0">F5+D6-C6</f>
        <v>1016675.06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customHeight="1" spans="1:52">
      <c r="A7" s="6"/>
      <c r="B7" s="7" t="s">
        <v>11</v>
      </c>
      <c r="C7" s="7"/>
      <c r="D7" s="7">
        <v>70270.6</v>
      </c>
      <c r="E7" s="7" t="s">
        <v>8</v>
      </c>
      <c r="F7" s="7">
        <f t="shared" si="0"/>
        <v>1086945.66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Height="1" spans="1:52">
      <c r="A8" s="6" t="s">
        <v>12</v>
      </c>
      <c r="B8" s="7" t="s">
        <v>10</v>
      </c>
      <c r="C8" s="7">
        <v>100029.29</v>
      </c>
      <c r="D8" s="7"/>
      <c r="E8" s="7" t="s">
        <v>8</v>
      </c>
      <c r="F8" s="7">
        <f t="shared" si="0"/>
        <v>986916.37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Height="1" spans="1:52">
      <c r="A9" s="6" t="s">
        <v>13</v>
      </c>
      <c r="B9" s="7" t="s">
        <v>11</v>
      </c>
      <c r="C9" s="7"/>
      <c r="D9" s="7">
        <v>111843</v>
      </c>
      <c r="E9" s="7" t="s">
        <v>8</v>
      </c>
      <c r="F9" s="7">
        <f t="shared" si="0"/>
        <v>1098759.37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customHeight="1" spans="1:52">
      <c r="A10" s="6" t="s">
        <v>14</v>
      </c>
      <c r="B10" s="7" t="s">
        <v>11</v>
      </c>
      <c r="C10" s="7"/>
      <c r="D10" s="7">
        <v>106726</v>
      </c>
      <c r="E10" s="7" t="s">
        <v>8</v>
      </c>
      <c r="F10" s="7">
        <f t="shared" si="0"/>
        <v>1205485.37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customHeight="1" spans="1:52">
      <c r="A11" s="6" t="s">
        <v>15</v>
      </c>
      <c r="B11" s="7" t="s">
        <v>11</v>
      </c>
      <c r="C11" s="7"/>
      <c r="D11" s="7">
        <v>22839.64</v>
      </c>
      <c r="E11" s="7" t="s">
        <v>8</v>
      </c>
      <c r="F11" s="7">
        <f t="shared" si="0"/>
        <v>1228325.01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customHeight="1" spans="1:52">
      <c r="A12" s="6" t="s">
        <v>15</v>
      </c>
      <c r="B12" s="7" t="s">
        <v>11</v>
      </c>
      <c r="C12" s="7"/>
      <c r="D12" s="7">
        <v>51109.8</v>
      </c>
      <c r="E12" s="7" t="s">
        <v>8</v>
      </c>
      <c r="F12" s="7">
        <f t="shared" si="0"/>
        <v>1279434.81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customHeight="1" spans="1:52">
      <c r="A13" s="6" t="s">
        <v>16</v>
      </c>
      <c r="B13" s="7" t="s">
        <v>11</v>
      </c>
      <c r="C13" s="7"/>
      <c r="D13" s="7">
        <v>132522.07</v>
      </c>
      <c r="E13" s="7" t="s">
        <v>8</v>
      </c>
      <c r="F13" s="7">
        <f t="shared" si="0"/>
        <v>1411956.88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customHeight="1" spans="1:52">
      <c r="A14" s="6" t="s">
        <v>17</v>
      </c>
      <c r="B14" s="7" t="s">
        <v>10</v>
      </c>
      <c r="C14" s="7">
        <v>260000</v>
      </c>
      <c r="D14" s="7"/>
      <c r="E14" s="7" t="s">
        <v>8</v>
      </c>
      <c r="F14" s="7">
        <f t="shared" si="0"/>
        <v>1151956.88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customHeight="1" spans="1:52">
      <c r="A15" s="6" t="s">
        <v>16</v>
      </c>
      <c r="B15" s="7" t="s">
        <v>10</v>
      </c>
      <c r="C15" s="7">
        <v>334484</v>
      </c>
      <c r="D15" s="7"/>
      <c r="E15" s="7" t="s">
        <v>8</v>
      </c>
      <c r="F15" s="7">
        <f t="shared" si="0"/>
        <v>817472.88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customHeight="1" spans="1:52">
      <c r="A16" s="6"/>
      <c r="B16" s="7"/>
      <c r="C16" s="7"/>
      <c r="D16" s="7"/>
      <c r="E16" s="7" t="s">
        <v>8</v>
      </c>
      <c r="F16" s="7">
        <f t="shared" si="0"/>
        <v>817472.88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customHeight="1" spans="1:52">
      <c r="A17" s="6"/>
      <c r="B17" s="7"/>
      <c r="C17" s="7"/>
      <c r="D17" s="7"/>
      <c r="E17" s="7" t="s">
        <v>8</v>
      </c>
      <c r="F17" s="7">
        <f t="shared" si="0"/>
        <v>817472.88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customHeight="1" spans="1:52">
      <c r="A18" s="6"/>
      <c r="B18" s="7"/>
      <c r="C18" s="7"/>
      <c r="D18" s="7"/>
      <c r="E18" s="7" t="s">
        <v>8</v>
      </c>
      <c r="F18" s="7">
        <f t="shared" si="0"/>
        <v>817472.88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customHeight="1" spans="1:52">
      <c r="A19" s="6"/>
      <c r="B19" s="7"/>
      <c r="C19" s="7"/>
      <c r="D19" s="7"/>
      <c r="E19" s="7" t="s">
        <v>8</v>
      </c>
      <c r="F19" s="7">
        <f t="shared" si="0"/>
        <v>817472.88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customHeight="1" spans="1:52">
      <c r="A20" s="6"/>
      <c r="B20" s="7"/>
      <c r="C20" s="7"/>
      <c r="D20" s="7"/>
      <c r="E20" s="7" t="s">
        <v>8</v>
      </c>
      <c r="F20" s="7">
        <f t="shared" si="0"/>
        <v>817472.88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customHeight="1" spans="1:52">
      <c r="A21" s="6"/>
      <c r="B21" s="7"/>
      <c r="C21" s="7"/>
      <c r="D21" s="7"/>
      <c r="E21" s="7" t="s">
        <v>8</v>
      </c>
      <c r="F21" s="7">
        <f t="shared" si="0"/>
        <v>817472.88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customHeight="1" spans="1:52">
      <c r="A22" s="6"/>
      <c r="B22" s="7"/>
      <c r="C22" s="7"/>
      <c r="D22" s="7"/>
      <c r="E22" s="7" t="s">
        <v>8</v>
      </c>
      <c r="F22" s="7">
        <f t="shared" si="0"/>
        <v>817472.88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customHeight="1" spans="1:52">
      <c r="A23" s="6"/>
      <c r="B23" s="7"/>
      <c r="C23" s="7"/>
      <c r="D23" s="7"/>
      <c r="E23" s="7" t="s">
        <v>8</v>
      </c>
      <c r="F23" s="7">
        <f t="shared" si="0"/>
        <v>817472.88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customHeight="1" spans="1:52">
      <c r="A24" s="6"/>
      <c r="B24" s="7"/>
      <c r="C24" s="7"/>
      <c r="D24" s="7"/>
      <c r="E24" s="7" t="s">
        <v>8</v>
      </c>
      <c r="F24" s="7">
        <f t="shared" si="0"/>
        <v>817472.88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customHeight="1" spans="1:52">
      <c r="A25" s="6"/>
      <c r="B25" s="7"/>
      <c r="C25" s="7"/>
      <c r="D25" s="7"/>
      <c r="E25" s="7" t="s">
        <v>8</v>
      </c>
      <c r="F25" s="7">
        <f t="shared" si="0"/>
        <v>817472.88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customHeight="1" spans="1:52">
      <c r="A26" s="6"/>
      <c r="B26" s="7"/>
      <c r="C26" s="7"/>
      <c r="D26" s="7"/>
      <c r="E26" s="7" t="s">
        <v>8</v>
      </c>
      <c r="F26" s="7">
        <f t="shared" si="0"/>
        <v>817472.88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customHeight="1" spans="1:52">
      <c r="A27" s="8" t="s">
        <v>18</v>
      </c>
      <c r="B27" s="9" t="s">
        <v>19</v>
      </c>
      <c r="C27" s="9">
        <f>SUM(C6:C26)</f>
        <v>894513.29</v>
      </c>
      <c r="D27" s="9">
        <f>SUM(D6:D26)</f>
        <v>495311.11</v>
      </c>
      <c r="E27" s="7" t="s">
        <v>8</v>
      </c>
      <c r="F27" s="7">
        <f>F5-C27+D27</f>
        <v>817472.88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customHeight="1" spans="1:52">
      <c r="A28" s="8"/>
      <c r="B28" s="9" t="s">
        <v>20</v>
      </c>
      <c r="C28" s="9"/>
      <c r="D28" s="9"/>
      <c r="E28" s="7" t="s">
        <v>8</v>
      </c>
      <c r="F28" s="7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customHeight="1" spans="1:52">
      <c r="A29" s="6"/>
      <c r="B29" s="7" t="s">
        <v>21</v>
      </c>
      <c r="C29" s="7"/>
      <c r="D29" s="7"/>
      <c r="E29" s="7" t="s">
        <v>8</v>
      </c>
      <c r="F29" s="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customHeight="1" spans="1:52">
      <c r="A30" s="6"/>
      <c r="B30" s="7"/>
      <c r="C30" s="7"/>
      <c r="D30" s="7"/>
      <c r="E30" s="7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customHeight="1" spans="1:52">
      <c r="A31" s="6"/>
      <c r="B31" s="7"/>
      <c r="C31" s="7"/>
      <c r="D31" s="7"/>
      <c r="E31" s="7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Height="1" spans="1:52">
      <c r="A32" s="6"/>
      <c r="B32" s="7"/>
      <c r="C32" s="7"/>
      <c r="D32" s="7"/>
      <c r="E32" s="7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Height="1" spans="1:52">
      <c r="A33" s="6"/>
      <c r="B33" s="7"/>
      <c r="C33" s="7"/>
      <c r="D33" s="7"/>
      <c r="E33" s="7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Height="1" spans="1:52">
      <c r="A34" s="6"/>
      <c r="B34" s="7"/>
      <c r="C34" s="7"/>
      <c r="D34" s="7"/>
      <c r="E34" s="7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Height="1" spans="1:52">
      <c r="A35" s="6"/>
      <c r="B35" s="7"/>
      <c r="C35" s="7"/>
      <c r="D35" s="7"/>
      <c r="E35" s="7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Height="1" spans="1:52">
      <c r="A36" s="6"/>
      <c r="B36" s="7"/>
      <c r="C36" s="7"/>
      <c r="D36" s="7"/>
      <c r="E36" s="7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Height="1" spans="1:52">
      <c r="A37" s="6"/>
      <c r="B37" s="7"/>
      <c r="C37" s="7"/>
      <c r="D37" s="7"/>
      <c r="E37" s="7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Height="1" spans="1:52">
      <c r="A38" s="6"/>
      <c r="B38" s="7"/>
      <c r="C38" s="7"/>
      <c r="D38" s="7"/>
      <c r="E38" s="7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Height="1" spans="1:52">
      <c r="A39" s="6"/>
      <c r="B39" s="7"/>
      <c r="C39" s="7"/>
      <c r="D39" s="7"/>
      <c r="E39" s="7"/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Height="1" spans="1:52">
      <c r="A40" s="8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customHeight="1" spans="1:52">
      <c r="A41" s="6"/>
      <c r="B41" s="7"/>
      <c r="C41" s="7"/>
      <c r="D41" s="7"/>
      <c r="E41" s="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Height="1" spans="1:52">
      <c r="A42" s="6"/>
      <c r="B42" s="7"/>
      <c r="C42" s="7"/>
      <c r="D42" s="7"/>
      <c r="E42" s="7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Height="1" spans="1:52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Height="1" spans="1:52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Height="1" spans="1:52">
      <c r="A45" s="11"/>
      <c r="B45" s="2"/>
      <c r="C45" s="2"/>
      <c r="D45" s="2"/>
      <c r="E45" s="2"/>
      <c r="F45" s="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customHeight="1" spans="1:52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Height="1" spans="1:52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Height="1" spans="1:52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Height="1" spans="1:52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Height="1" spans="1:52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Height="1" spans="1:52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Height="1" spans="1:52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Height="1" spans="1:52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Height="1" spans="1:52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Height="1" spans="1:52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Height="1" spans="1:52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Height="1" spans="1:52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Height="1" spans="1:52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Height="1" spans="1:52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Height="1" spans="1:52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Height="1" spans="1:52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Height="1" spans="1:52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Height="1" spans="1:52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Height="1" spans="1:52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Height="1" spans="1:52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Height="1" spans="1:52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Height="1" spans="1:52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Height="1" spans="1:52">
      <c r="A68" s="1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Height="1" spans="1:52">
      <c r="A69" s="1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Height="1" spans="1:52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Height="1" spans="1:52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Height="1" spans="1:52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Height="1" spans="1:52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Height="1" spans="1:52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Height="1" spans="1:52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Height="1" spans="1:52">
      <c r="A76" s="1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Height="1" spans="1:52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Height="1" spans="1:52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Height="1" spans="1:52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Height="1" spans="1:52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Height="1" spans="1:52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Height="1" spans="1:52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Height="1" spans="1:52">
      <c r="A83" s="1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Height="1" spans="1:52">
      <c r="A84" s="1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Height="1" spans="1:52">
      <c r="A85" s="1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Height="1" spans="1:52">
      <c r="A86" s="1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Height="1" spans="1:52">
      <c r="A87" s="1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Height="1" spans="1:52">
      <c r="A88" s="1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Height="1" spans="1:52">
      <c r="A89" s="1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Height="1" spans="1:52">
      <c r="A90" s="1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Height="1" spans="1:52">
      <c r="A91" s="1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Height="1" spans="1:52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Height="1" spans="1:52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Height="1" spans="1:52">
      <c r="A94" s="1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Height="1" spans="1:52">
      <c r="A95" s="1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Height="1" spans="1:52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Height="1" spans="1:52">
      <c r="A97" s="1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Height="1" spans="1:52">
      <c r="A98" s="1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Height="1" spans="1:52">
      <c r="A99" s="1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Height="1" spans="1:52">
      <c r="A100" s="1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Height="1" spans="1:52">
      <c r="A101" s="1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Height="1" spans="1:52">
      <c r="A102" s="1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Height="1" spans="1:52">
      <c r="A103" s="1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Height="1" spans="1:52">
      <c r="A104" s="1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Height="1" spans="1:52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Height="1" spans="1:52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Height="1" spans="1:52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Height="1" spans="1:52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Height="1" spans="1:52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Height="1" spans="1:52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Height="1" spans="1:52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Height="1" spans="1:52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Height="1" spans="1:52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Height="1" spans="1:52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Height="1" spans="1:52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Height="1" spans="1:52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Height="1" spans="1:52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Height="1" spans="1:52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Height="1" spans="1:52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Height="1" spans="1:52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Height="1" spans="1:52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Height="1" spans="1:52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Height="1" spans="1:52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Height="1" spans="1:52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Height="1" spans="1:52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Height="1" spans="1:52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Height="1" spans="1:52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Height="1" spans="1:52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Height="1" spans="1:52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Height="1" spans="1:52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Height="1" spans="1:52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Height="1" spans="1:52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Height="1" spans="1:52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Height="1" spans="1:52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Height="1" spans="1:52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Height="1" spans="1:52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Height="1" spans="1:52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Height="1" spans="1:52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Height="1" spans="1:52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Height="1" spans="1:52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Height="1" spans="1:52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Height="1" spans="1:52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Height="1" spans="1:52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Height="1" spans="1:52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Height="1" spans="1:52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Height="1" spans="1:52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Height="1" spans="1:52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Height="1" spans="1:52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Height="1" spans="1:52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Height="1" spans="1:52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Height="1" spans="1:52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Height="1" spans="1:52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Height="1" spans="1:52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Height="1" spans="1:52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Height="1" spans="1:52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Height="1" spans="1:52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Height="1" spans="1:52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Height="1" spans="1:52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Height="1" spans="1:52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Height="1" spans="1:52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Height="1" spans="1:52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Height="1" spans="1:52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Height="1" spans="1:52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Height="1" spans="1:52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Height="1" spans="1:52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Height="1" spans="1:52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Height="1" spans="1:52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Height="1" spans="1:52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Height="1" spans="1:52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Height="1" spans="1:52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Height="1" spans="1:52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Height="1" spans="1:52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Height="1" spans="1:52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Height="1" spans="1:52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Height="1" spans="1:52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Height="1" spans="1:52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Height="1" spans="1:52">
      <c r="A177" s="1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Height="1" spans="1:52">
      <c r="A178" s="1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Height="1" spans="1:52">
      <c r="A179" s="1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Height="1" spans="1:52">
      <c r="A180" s="1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Height="1" spans="1:52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Height="1" spans="1:52">
      <c r="A182" s="1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Height="1" spans="1:52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Height="1" spans="1:52">
      <c r="A184" s="1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Height="1" spans="1:52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Height="1" spans="1:52">
      <c r="A186" s="1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Height="1" spans="1:52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Height="1" spans="1:52">
      <c r="A188" s="1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Height="1" spans="1:52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Height="1" spans="1:52">
      <c r="A190" s="1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Height="1" spans="1:52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Height="1" spans="1:52">
      <c r="A192" s="1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Height="1" spans="1:52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Height="1" spans="1:52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Height="1" spans="1:52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Height="1" spans="1:52">
      <c r="A196" s="1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Height="1" spans="1:52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Height="1" spans="1:52">
      <c r="A198" s="1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Height="1" spans="1:52">
      <c r="A199" s="1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Height="1" spans="1:52">
      <c r="A200" s="1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Height="1" spans="1:52">
      <c r="A201" s="1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Height="1" spans="1:52">
      <c r="A202" s="1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Height="1" spans="1:52">
      <c r="A203" s="1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Height="1" spans="1:52">
      <c r="A204" s="1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Height="1" spans="1:52">
      <c r="A205" s="1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Height="1" spans="1:52">
      <c r="A206" s="1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Height="1" spans="1:52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Height="1" spans="1:52">
      <c r="A208" s="1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Height="1" spans="1:52">
      <c r="A209" s="1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Height="1" spans="1:52">
      <c r="A210" s="1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Height="1" spans="1:52">
      <c r="A211" s="6"/>
      <c r="B211" s="1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2"/>
      <c r="V211" s="2"/>
      <c r="W211" s="2"/>
      <c r="X211" s="2"/>
      <c r="Y211" s="2"/>
      <c r="Z211" s="2"/>
      <c r="AA211" s="2"/>
      <c r="AB211" s="2"/>
      <c r="AC211" s="2"/>
    </row>
    <row r="212" customHeight="1" spans="1:52">
      <c r="A212" s="6"/>
      <c r="B212" s="1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2"/>
      <c r="V212" s="2"/>
      <c r="W212" s="2"/>
      <c r="X212" s="2"/>
      <c r="Y212" s="2"/>
      <c r="Z212" s="2"/>
      <c r="AA212" s="2"/>
      <c r="AB212" s="2"/>
      <c r="AC212" s="2"/>
    </row>
  </sheetData>
  <mergeCells count="7"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99"/>
  <sheetViews>
    <sheetView topLeftCell="A4" workbookViewId="0">
      <selection activeCell="C25" sqref="C25"/>
    </sheetView>
  </sheetViews>
  <sheetFormatPr defaultColWidth="9" defaultRowHeight="25" customHeight="1"/>
  <cols>
    <col min="2" max="2" width="13.625" customWidth="1"/>
    <col min="3" max="3" width="19.375" customWidth="1"/>
    <col min="4" max="4" width="10.375" customWidth="1"/>
    <col min="6" max="6" width="12.5" customWidth="1"/>
  </cols>
  <sheetData>
    <row r="1" customHeight="1" spans="1:52">
      <c r="A1" s="1" t="s">
        <v>22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customHeight="1" spans="1:52">
      <c r="A2" s="3"/>
      <c r="B2" s="4"/>
      <c r="C2" s="4"/>
      <c r="D2" s="5">
        <v>2026.8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customHeight="1" spans="1:52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customHeight="1" spans="1:52">
      <c r="A4" s="6"/>
      <c r="B4" s="7"/>
      <c r="C4" s="7"/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customHeight="1" spans="1:52">
      <c r="A5" s="6"/>
      <c r="B5" s="7" t="s">
        <v>7</v>
      </c>
      <c r="C5" s="7"/>
      <c r="D5" s="7"/>
      <c r="E5" s="7" t="s">
        <v>8</v>
      </c>
      <c r="F5" s="7">
        <v>354670.5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customHeight="1" spans="1:52">
      <c r="A6" s="6" t="s">
        <v>23</v>
      </c>
      <c r="B6" s="7" t="s">
        <v>24</v>
      </c>
      <c r="C6" s="7">
        <v>20000</v>
      </c>
      <c r="D6" s="7"/>
      <c r="E6" s="7" t="s">
        <v>8</v>
      </c>
      <c r="F6" s="7">
        <f t="shared" ref="F6:F13" si="0">F5+D6-C6</f>
        <v>334670.5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customHeight="1" spans="1:52">
      <c r="A7" s="6" t="s">
        <v>25</v>
      </c>
      <c r="B7" s="7" t="s">
        <v>24</v>
      </c>
      <c r="C7" s="7">
        <v>20000</v>
      </c>
      <c r="D7" s="7"/>
      <c r="E7" s="7" t="s">
        <v>8</v>
      </c>
      <c r="F7" s="7">
        <f t="shared" si="0"/>
        <v>314670.5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Height="1" spans="1:52">
      <c r="A8" s="6" t="s">
        <v>26</v>
      </c>
      <c r="B8" s="7" t="s">
        <v>11</v>
      </c>
      <c r="C8" s="7"/>
      <c r="D8" s="7">
        <v>18400</v>
      </c>
      <c r="E8" s="7" t="s">
        <v>8</v>
      </c>
      <c r="F8" s="7">
        <f t="shared" si="0"/>
        <v>333070.5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Height="1" spans="1:52">
      <c r="A9" s="6" t="s">
        <v>27</v>
      </c>
      <c r="B9" s="7" t="s">
        <v>11</v>
      </c>
      <c r="C9" s="7"/>
      <c r="D9" s="7">
        <v>11940</v>
      </c>
      <c r="E9" s="7" t="s">
        <v>8</v>
      </c>
      <c r="F9" s="7">
        <f t="shared" si="0"/>
        <v>345010.5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customHeight="1" spans="1:52">
      <c r="A10" s="6"/>
      <c r="B10" s="7"/>
      <c r="C10" s="7"/>
      <c r="D10" s="7"/>
      <c r="E10" s="7" t="s">
        <v>8</v>
      </c>
      <c r="F10" s="7">
        <f t="shared" si="0"/>
        <v>345010.5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customHeight="1" spans="1:52">
      <c r="A11" s="6"/>
      <c r="B11" s="7"/>
      <c r="C11" s="7"/>
      <c r="D11" s="7"/>
      <c r="E11" s="7" t="s">
        <v>8</v>
      </c>
      <c r="F11" s="7">
        <f t="shared" si="0"/>
        <v>345010.5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customHeight="1" spans="1:52">
      <c r="A12" s="6"/>
      <c r="B12" s="7"/>
      <c r="C12" s="7"/>
      <c r="D12" s="7"/>
      <c r="E12" s="7" t="s">
        <v>8</v>
      </c>
      <c r="F12" s="7">
        <f t="shared" si="0"/>
        <v>345010.5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customHeight="1" spans="1:52">
      <c r="A13" s="6"/>
      <c r="B13" s="7"/>
      <c r="C13" s="7"/>
      <c r="D13" s="7"/>
      <c r="E13" s="7" t="s">
        <v>8</v>
      </c>
      <c r="F13" s="7">
        <f t="shared" si="0"/>
        <v>345010.5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customHeight="1" spans="1:52">
      <c r="A14" s="8" t="s">
        <v>28</v>
      </c>
      <c r="B14" s="9" t="s">
        <v>19</v>
      </c>
      <c r="C14" s="9">
        <f>SUM(C6:C13)</f>
        <v>40000</v>
      </c>
      <c r="D14" s="9">
        <f>SUM(D6:D13)</f>
        <v>30340</v>
      </c>
      <c r="E14" s="7" t="s">
        <v>8</v>
      </c>
      <c r="F14" s="7">
        <f>F5+D14-C14</f>
        <v>345010.5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customHeight="1" spans="1:52">
      <c r="A15" s="8"/>
      <c r="B15" s="9" t="s">
        <v>20</v>
      </c>
      <c r="C15" s="9"/>
      <c r="D15" s="9"/>
      <c r="E15" s="7" t="s">
        <v>8</v>
      </c>
      <c r="F15" s="7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</row>
    <row r="16" customHeight="1" spans="1:52">
      <c r="A16" s="6"/>
      <c r="B16" s="7" t="s">
        <v>21</v>
      </c>
      <c r="C16" s="7"/>
      <c r="D16" s="7"/>
      <c r="E16" s="7" t="s">
        <v>8</v>
      </c>
      <c r="F16" s="7">
        <v>345010.5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customHeight="1" spans="1:52">
      <c r="A17" s="6" t="s">
        <v>29</v>
      </c>
      <c r="B17" s="7" t="s">
        <v>11</v>
      </c>
      <c r="C17" s="7"/>
      <c r="D17" s="7">
        <v>1200</v>
      </c>
      <c r="E17" s="7"/>
      <c r="F17" s="7">
        <f>F16-C17+D17</f>
        <v>346210.5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customHeight="1" spans="1:52">
      <c r="A18" s="6" t="s">
        <v>9</v>
      </c>
      <c r="B18" s="7" t="s">
        <v>10</v>
      </c>
      <c r="C18" s="7">
        <v>30000</v>
      </c>
      <c r="D18" s="7"/>
      <c r="E18" s="7"/>
      <c r="F18" s="7">
        <f t="shared" ref="F18:F25" si="1">F17-C18+D18</f>
        <v>316210.5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customHeight="1" spans="1:52">
      <c r="A19" s="6" t="s">
        <v>30</v>
      </c>
      <c r="B19" s="7" t="s">
        <v>11</v>
      </c>
      <c r="C19" s="7"/>
      <c r="D19" s="7">
        <v>12624</v>
      </c>
      <c r="E19" s="7"/>
      <c r="F19" s="7">
        <f t="shared" si="1"/>
        <v>328834.5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customHeight="1" spans="1:52">
      <c r="A20" s="6" t="s">
        <v>31</v>
      </c>
      <c r="B20" s="7" t="s">
        <v>11</v>
      </c>
      <c r="C20" s="7"/>
      <c r="D20" s="7">
        <v>5184</v>
      </c>
      <c r="E20" s="7"/>
      <c r="F20" s="7">
        <f t="shared" si="1"/>
        <v>334018.5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customHeight="1" spans="1:52">
      <c r="A21" s="6" t="s">
        <v>32</v>
      </c>
      <c r="B21" s="7" t="s">
        <v>11</v>
      </c>
      <c r="C21" s="7"/>
      <c r="D21" s="7">
        <v>16000</v>
      </c>
      <c r="E21" s="7"/>
      <c r="F21" s="7">
        <f t="shared" si="1"/>
        <v>350018.5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customHeight="1" spans="1:52">
      <c r="A22" s="6" t="s">
        <v>17</v>
      </c>
      <c r="B22" s="7" t="s">
        <v>10</v>
      </c>
      <c r="C22" s="7">
        <v>20000</v>
      </c>
      <c r="D22" s="7"/>
      <c r="E22" s="7"/>
      <c r="F22" s="7">
        <f t="shared" si="1"/>
        <v>330018.5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customHeight="1" spans="1:52">
      <c r="A23" s="6"/>
      <c r="B23" s="7"/>
      <c r="C23" s="7"/>
      <c r="D23" s="7"/>
      <c r="E23" s="7"/>
      <c r="F23" s="7">
        <f t="shared" si="1"/>
        <v>330018.5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customHeight="1" spans="1:52">
      <c r="A24" s="6"/>
      <c r="B24" s="7"/>
      <c r="C24" s="7"/>
      <c r="D24" s="7"/>
      <c r="E24" s="7"/>
      <c r="F24" s="7">
        <f t="shared" si="1"/>
        <v>330018.5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customHeight="1" spans="1:52">
      <c r="A25" s="6"/>
      <c r="B25" s="7"/>
      <c r="C25" s="7"/>
      <c r="D25" s="7"/>
      <c r="E25" s="7"/>
      <c r="F25" s="7">
        <f t="shared" si="1"/>
        <v>330018.5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customHeight="1" spans="1:52">
      <c r="A26" s="6"/>
      <c r="B26" s="7"/>
      <c r="C26" s="7"/>
      <c r="D26" s="7"/>
      <c r="E26" s="7"/>
      <c r="F26" s="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customHeight="1" spans="1:52">
      <c r="A27" s="8"/>
      <c r="B27" s="9"/>
      <c r="C27" s="9"/>
      <c r="D27" s="9"/>
      <c r="E27" s="9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customHeight="1" spans="1:52">
      <c r="A28" s="6"/>
      <c r="B28" s="7"/>
      <c r="C28" s="7"/>
      <c r="D28" s="7"/>
      <c r="E28" s="7"/>
      <c r="F28" s="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customHeight="1" spans="1:52">
      <c r="A29" s="6"/>
      <c r="B29" s="7"/>
      <c r="C29" s="7"/>
      <c r="D29" s="7"/>
      <c r="E29" s="7"/>
      <c r="F29" s="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customHeight="1" spans="1:52">
      <c r="A30" s="1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customHeight="1" spans="1:52">
      <c r="A31" s="1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Height="1" spans="1:52">
      <c r="A32" s="11"/>
      <c r="B32" s="2"/>
      <c r="C32" s="2"/>
      <c r="D32" s="2"/>
      <c r="E32" s="2"/>
      <c r="F32" s="2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</row>
    <row r="33" customHeight="1" spans="1:52">
      <c r="A33" s="1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Height="1" spans="1:52">
      <c r="A34" s="1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Height="1" spans="1:52">
      <c r="A35" s="1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Height="1" spans="1:52">
      <c r="A36" s="1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Height="1" spans="1:52">
      <c r="A37" s="1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Height="1" spans="1:52">
      <c r="A38" s="1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Height="1" spans="1:52">
      <c r="A39" s="1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Height="1" spans="1:52">
      <c r="A40" s="1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customHeight="1" spans="1:52">
      <c r="A41" s="1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Height="1" spans="1:52">
      <c r="A42" s="1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Height="1" spans="1:52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Height="1" spans="1:52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Height="1" spans="1:52">
      <c r="A45" s="1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customHeight="1" spans="1:52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Height="1" spans="1:52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Height="1" spans="1:52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Height="1" spans="1:52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Height="1" spans="1:52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Height="1" spans="1:52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Height="1" spans="1:52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Height="1" spans="1:52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Height="1" spans="1:52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Height="1" spans="1:52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Height="1" spans="1:52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Height="1" spans="1:52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Height="1" spans="1:52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Height="1" spans="1:52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Height="1" spans="1:52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Height="1" spans="1:52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Height="1" spans="1:52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Height="1" spans="1:52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Height="1" spans="1:52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Height="1" spans="1:52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Height="1" spans="1:52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Height="1" spans="1:52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Height="1" spans="1:52">
      <c r="A68" s="1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Height="1" spans="1:52">
      <c r="A69" s="1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Height="1" spans="1:52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Height="1" spans="1:52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Height="1" spans="1:52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Height="1" spans="1:52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Height="1" spans="1:52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Height="1" spans="1:52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Height="1" spans="1:52">
      <c r="A76" s="1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Height="1" spans="1:52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Height="1" spans="1:52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Height="1" spans="1:52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Height="1" spans="1:52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Height="1" spans="1:52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Height="1" spans="1:52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Height="1" spans="1:52">
      <c r="A83" s="1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Height="1" spans="1:52">
      <c r="A84" s="1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Height="1" spans="1:52">
      <c r="A85" s="1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Height="1" spans="1:52">
      <c r="A86" s="1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Height="1" spans="1:52">
      <c r="A87" s="1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Height="1" spans="1:52">
      <c r="A88" s="1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Height="1" spans="1:52">
      <c r="A89" s="1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Height="1" spans="1:52">
      <c r="A90" s="1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Height="1" spans="1:52">
      <c r="A91" s="1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Height="1" spans="1:52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Height="1" spans="1:52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Height="1" spans="1:52">
      <c r="A94" s="1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Height="1" spans="1:52">
      <c r="A95" s="1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Height="1" spans="1:52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Height="1" spans="1:52">
      <c r="A97" s="1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Height="1" spans="1:52">
      <c r="A98" s="1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Height="1" spans="1:52">
      <c r="A99" s="1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Height="1" spans="1:52">
      <c r="A100" s="1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Height="1" spans="1:52">
      <c r="A101" s="1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Height="1" spans="1:52">
      <c r="A102" s="1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Height="1" spans="1:52">
      <c r="A103" s="1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Height="1" spans="1:52">
      <c r="A104" s="1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Height="1" spans="1:52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Height="1" spans="1:52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Height="1" spans="1:52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Height="1" spans="1:52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Height="1" spans="1:52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Height="1" spans="1:52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Height="1" spans="1:52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Height="1" spans="1:52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Height="1" spans="1:52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Height="1" spans="1:52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Height="1" spans="1:52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Height="1" spans="1:52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Height="1" spans="1:52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Height="1" spans="1:52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Height="1" spans="1:52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Height="1" spans="1:52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Height="1" spans="1:52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Height="1" spans="1:52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Height="1" spans="1:52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Height="1" spans="1:52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Height="1" spans="1:52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Height="1" spans="1:52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Height="1" spans="1:52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Height="1" spans="1:52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Height="1" spans="1:52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Height="1" spans="1:52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Height="1" spans="1:52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Height="1" spans="1:52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Height="1" spans="1:52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Height="1" spans="1:52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Height="1" spans="1:52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Height="1" spans="1:52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Height="1" spans="1:52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Height="1" spans="1:52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Height="1" spans="1:52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Height="1" spans="1:52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Height="1" spans="1:52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Height="1" spans="1:52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Height="1" spans="1:52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Height="1" spans="1:52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Height="1" spans="1:52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Height="1" spans="1:52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Height="1" spans="1:52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Height="1" spans="1:52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Height="1" spans="1:52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Height="1" spans="1:52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Height="1" spans="1:52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Height="1" spans="1:52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Height="1" spans="1:52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Height="1" spans="1:52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Height="1" spans="1:52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Height="1" spans="1:52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Height="1" spans="1:52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Height="1" spans="1:52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Height="1" spans="1:52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Height="1" spans="1:52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Height="1" spans="1:52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Height="1" spans="1:52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Height="1" spans="1:52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Height="1" spans="1:52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Height="1" spans="1:52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Height="1" spans="1:52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Height="1" spans="1:52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Height="1" spans="1:52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Height="1" spans="1:52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Height="1" spans="1:52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Height="1" spans="1:52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Height="1" spans="1:52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Height="1" spans="1:52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Height="1" spans="1:52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Height="1" spans="1:52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Height="1" spans="1:52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Height="1" spans="1:52">
      <c r="A177" s="1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Height="1" spans="1:52">
      <c r="A178" s="1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Height="1" spans="1:52">
      <c r="A179" s="1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Height="1" spans="1:52">
      <c r="A180" s="1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Height="1" spans="1:52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Height="1" spans="1:52">
      <c r="A182" s="1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Height="1" spans="1:52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Height="1" spans="1:52">
      <c r="A184" s="1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Height="1" spans="1:52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Height="1" spans="1:52">
      <c r="A186" s="1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Height="1" spans="1:52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Height="1" spans="1:52">
      <c r="A188" s="1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Height="1" spans="1:52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Height="1" spans="1:52">
      <c r="A190" s="1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Height="1" spans="1:52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Height="1" spans="1:52">
      <c r="A192" s="1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Height="1" spans="1:52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Height="1" spans="1:52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Height="1" spans="1:52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Height="1" spans="1:52">
      <c r="A196" s="1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Height="1" spans="1:52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Height="1" spans="1:52">
      <c r="A198" s="6"/>
      <c r="B198" s="12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2"/>
      <c r="V198" s="2"/>
      <c r="W198" s="2"/>
      <c r="X198" s="2"/>
      <c r="Y198" s="2"/>
      <c r="Z198" s="2"/>
      <c r="AA198" s="2"/>
      <c r="AB198" s="2"/>
      <c r="AC198" s="2"/>
    </row>
    <row r="199" customHeight="1" spans="1:52">
      <c r="A199" s="6"/>
      <c r="B199" s="12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2"/>
      <c r="V199" s="2"/>
      <c r="W199" s="2"/>
      <c r="X199" s="2"/>
      <c r="Y199" s="2"/>
      <c r="Z199" s="2"/>
      <c r="AA199" s="2"/>
      <c r="AB199" s="2"/>
      <c r="AC199" s="2"/>
    </row>
  </sheetData>
  <mergeCells count="7"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12"/>
  <sheetViews>
    <sheetView workbookViewId="0">
      <selection activeCell="A8" sqref="A8"/>
    </sheetView>
  </sheetViews>
  <sheetFormatPr defaultColWidth="9" defaultRowHeight="25" customHeight="1"/>
  <cols>
    <col min="2" max="2" width="13.625" customWidth="1"/>
    <col min="3" max="3" width="19.375" customWidth="1"/>
    <col min="4" max="4" width="10.375" customWidth="1"/>
  </cols>
  <sheetData>
    <row r="1" customHeight="1" spans="1:52">
      <c r="A1" s="1" t="s">
        <v>33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customHeight="1" spans="1:52">
      <c r="A2" s="3"/>
      <c r="B2" s="4"/>
      <c r="C2" s="4"/>
      <c r="D2" s="5">
        <v>2026.8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customHeight="1" spans="1:52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customHeight="1" spans="1:52">
      <c r="A4" s="6"/>
      <c r="B4" s="7"/>
      <c r="C4" s="7"/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customHeight="1" spans="1:52">
      <c r="A5" s="6"/>
      <c r="B5" s="7" t="s">
        <v>7</v>
      </c>
      <c r="C5" s="7"/>
      <c r="D5" s="7"/>
      <c r="E5" s="7" t="s">
        <v>8</v>
      </c>
      <c r="F5" s="7">
        <v>27795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customHeight="1" spans="1:52">
      <c r="A6" s="6" t="s">
        <v>34</v>
      </c>
      <c r="B6" s="7" t="s">
        <v>35</v>
      </c>
      <c r="C6" s="7"/>
      <c r="D6" s="7">
        <v>3145</v>
      </c>
      <c r="E6" s="7" t="s">
        <v>8</v>
      </c>
      <c r="F6" s="7">
        <f>F5+D6-C6</f>
        <v>30940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customHeight="1" spans="1:52">
      <c r="A7" s="6" t="s">
        <v>36</v>
      </c>
      <c r="B7" s="7" t="s">
        <v>35</v>
      </c>
      <c r="C7" s="7"/>
      <c r="D7" s="7">
        <v>3145</v>
      </c>
      <c r="E7" s="7" t="s">
        <v>8</v>
      </c>
      <c r="F7" s="7">
        <f t="shared" ref="F7:F29" si="0">F6+D7-C7</f>
        <v>34085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Height="1" spans="1:52">
      <c r="A8" s="6"/>
      <c r="B8" s="7"/>
      <c r="C8" s="7"/>
      <c r="D8" s="7"/>
      <c r="E8" s="7" t="s">
        <v>8</v>
      </c>
      <c r="F8" s="7">
        <f t="shared" si="0"/>
        <v>34085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Height="1" spans="1:52">
      <c r="A9" s="6"/>
      <c r="B9" s="7"/>
      <c r="C9" s="7"/>
      <c r="D9" s="7"/>
      <c r="E9" s="7" t="s">
        <v>8</v>
      </c>
      <c r="F9" s="7">
        <f t="shared" si="0"/>
        <v>34085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customHeight="1" spans="1:52">
      <c r="A10" s="6"/>
      <c r="B10" s="7"/>
      <c r="C10" s="7"/>
      <c r="D10" s="7"/>
      <c r="E10" s="7" t="s">
        <v>8</v>
      </c>
      <c r="F10" s="7">
        <f t="shared" si="0"/>
        <v>34085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customHeight="1" spans="1:52">
      <c r="A11" s="6"/>
      <c r="B11" s="7"/>
      <c r="C11" s="7"/>
      <c r="D11" s="7"/>
      <c r="E11" s="7" t="s">
        <v>8</v>
      </c>
      <c r="F11" s="7">
        <f t="shared" si="0"/>
        <v>34085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customHeight="1" spans="1:52">
      <c r="A12" s="6"/>
      <c r="B12" s="7"/>
      <c r="C12" s="7"/>
      <c r="D12" s="7"/>
      <c r="E12" s="7" t="s">
        <v>8</v>
      </c>
      <c r="F12" s="7">
        <f t="shared" si="0"/>
        <v>34085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customHeight="1" spans="1:52">
      <c r="A13" s="6"/>
      <c r="B13" s="7"/>
      <c r="C13" s="7"/>
      <c r="D13" s="7"/>
      <c r="E13" s="7" t="s">
        <v>8</v>
      </c>
      <c r="F13" s="7">
        <f t="shared" si="0"/>
        <v>34085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customHeight="1" spans="1:52">
      <c r="A14" s="6"/>
      <c r="B14" s="7"/>
      <c r="C14" s="7"/>
      <c r="D14" s="7"/>
      <c r="E14" s="7" t="s">
        <v>8</v>
      </c>
      <c r="F14" s="7">
        <f t="shared" si="0"/>
        <v>34085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customHeight="1" spans="1:52">
      <c r="A15" s="6"/>
      <c r="B15" s="7"/>
      <c r="C15" s="7"/>
      <c r="D15" s="7"/>
      <c r="E15" s="7" t="s">
        <v>8</v>
      </c>
      <c r="F15" s="7">
        <f t="shared" si="0"/>
        <v>34085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customHeight="1" spans="1:52">
      <c r="A16" s="6"/>
      <c r="B16" s="7"/>
      <c r="C16" s="7"/>
      <c r="D16" s="7"/>
      <c r="E16" s="7" t="s">
        <v>8</v>
      </c>
      <c r="F16" s="7">
        <f t="shared" si="0"/>
        <v>34085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customHeight="1" spans="1:52">
      <c r="A17" s="6"/>
      <c r="B17" s="7"/>
      <c r="C17" s="7"/>
      <c r="D17" s="7"/>
      <c r="E17" s="7" t="s">
        <v>8</v>
      </c>
      <c r="F17" s="7">
        <f t="shared" si="0"/>
        <v>34085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customHeight="1" spans="1:52">
      <c r="A18" s="6"/>
      <c r="B18" s="7"/>
      <c r="C18" s="7"/>
      <c r="D18" s="7"/>
      <c r="E18" s="7" t="s">
        <v>8</v>
      </c>
      <c r="F18" s="7">
        <f t="shared" si="0"/>
        <v>34085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customHeight="1" spans="1:52">
      <c r="A19" s="6"/>
      <c r="B19" s="7"/>
      <c r="C19" s="7"/>
      <c r="D19" s="7"/>
      <c r="E19" s="7" t="s">
        <v>8</v>
      </c>
      <c r="F19" s="7">
        <f t="shared" si="0"/>
        <v>34085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customHeight="1" spans="1:52">
      <c r="A20" s="6"/>
      <c r="B20" s="7"/>
      <c r="C20" s="7"/>
      <c r="D20" s="7"/>
      <c r="E20" s="7" t="s">
        <v>8</v>
      </c>
      <c r="F20" s="7">
        <f t="shared" si="0"/>
        <v>34085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customHeight="1" spans="1:52">
      <c r="A21" s="6"/>
      <c r="B21" s="7"/>
      <c r="C21" s="7"/>
      <c r="D21" s="7"/>
      <c r="E21" s="7" t="s">
        <v>8</v>
      </c>
      <c r="F21" s="7">
        <f t="shared" si="0"/>
        <v>34085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customHeight="1" spans="1:52">
      <c r="A22" s="6"/>
      <c r="B22" s="7"/>
      <c r="C22" s="7"/>
      <c r="D22" s="7"/>
      <c r="E22" s="7" t="s">
        <v>8</v>
      </c>
      <c r="F22" s="7">
        <f t="shared" si="0"/>
        <v>34085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customHeight="1" spans="1:52">
      <c r="A23" s="6"/>
      <c r="B23" s="7"/>
      <c r="C23" s="7"/>
      <c r="D23" s="7"/>
      <c r="E23" s="7" t="s">
        <v>8</v>
      </c>
      <c r="F23" s="7">
        <f t="shared" si="0"/>
        <v>34085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customHeight="1" spans="1:52">
      <c r="A24" s="6"/>
      <c r="B24" s="7"/>
      <c r="C24" s="7"/>
      <c r="D24" s="7"/>
      <c r="E24" s="7" t="s">
        <v>8</v>
      </c>
      <c r="F24" s="7">
        <f t="shared" si="0"/>
        <v>34085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customHeight="1" spans="1:52">
      <c r="A25" s="6"/>
      <c r="B25" s="7"/>
      <c r="C25" s="7"/>
      <c r="D25" s="7"/>
      <c r="E25" s="7" t="s">
        <v>8</v>
      </c>
      <c r="F25" s="7">
        <f t="shared" si="0"/>
        <v>34085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customHeight="1" spans="1:52">
      <c r="A26" s="6"/>
      <c r="B26" s="7"/>
      <c r="C26" s="7"/>
      <c r="D26" s="7"/>
      <c r="E26" s="7" t="s">
        <v>8</v>
      </c>
      <c r="F26" s="7">
        <f t="shared" si="0"/>
        <v>34085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customHeight="1" spans="1:52">
      <c r="A27" s="8"/>
      <c r="B27" s="9" t="s">
        <v>19</v>
      </c>
      <c r="C27" s="9">
        <f>SUM(C6:C26)</f>
        <v>0</v>
      </c>
      <c r="D27" s="9">
        <f>SUM(D6:D26)</f>
        <v>6290</v>
      </c>
      <c r="E27" s="7" t="s">
        <v>8</v>
      </c>
      <c r="F27" s="7">
        <f>F5+D27-C27</f>
        <v>34085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customHeight="1" spans="1:52">
      <c r="A28" s="8"/>
      <c r="B28" s="9" t="s">
        <v>20</v>
      </c>
      <c r="C28" s="9"/>
      <c r="D28" s="9"/>
      <c r="E28" s="7" t="s">
        <v>8</v>
      </c>
      <c r="F28" s="7">
        <f t="shared" si="0"/>
        <v>34085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customHeight="1" spans="1:52">
      <c r="A29" s="6"/>
      <c r="B29" s="7" t="s">
        <v>21</v>
      </c>
      <c r="C29" s="7"/>
      <c r="D29" s="7"/>
      <c r="E29" s="7" t="s">
        <v>8</v>
      </c>
      <c r="F29" s="7">
        <f t="shared" si="0"/>
        <v>34085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customHeight="1" spans="1:52">
      <c r="A30" s="6"/>
      <c r="B30" s="7"/>
      <c r="C30" s="7"/>
      <c r="D30" s="7"/>
      <c r="E30" s="7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customHeight="1" spans="1:52">
      <c r="A31" s="6"/>
      <c r="B31" s="7"/>
      <c r="C31" s="7"/>
      <c r="D31" s="7"/>
      <c r="E31" s="7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Height="1" spans="1:52">
      <c r="A32" s="6"/>
      <c r="B32" s="7"/>
      <c r="C32" s="7"/>
      <c r="D32" s="7"/>
      <c r="E32" s="7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Height="1" spans="1:52">
      <c r="A33" s="6"/>
      <c r="B33" s="7"/>
      <c r="C33" s="7"/>
      <c r="D33" s="7"/>
      <c r="E33" s="7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Height="1" spans="1:52">
      <c r="A34" s="6"/>
      <c r="B34" s="7"/>
      <c r="C34" s="7"/>
      <c r="D34" s="7"/>
      <c r="E34" s="7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Height="1" spans="1:52">
      <c r="A35" s="6"/>
      <c r="B35" s="7"/>
      <c r="C35" s="7"/>
      <c r="D35" s="7"/>
      <c r="E35" s="7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Height="1" spans="1:52">
      <c r="A36" s="6"/>
      <c r="B36" s="7"/>
      <c r="C36" s="7"/>
      <c r="D36" s="7"/>
      <c r="E36" s="7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Height="1" spans="1:52">
      <c r="A37" s="6"/>
      <c r="B37" s="7"/>
      <c r="C37" s="7"/>
      <c r="D37" s="7"/>
      <c r="E37" s="7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Height="1" spans="1:52">
      <c r="A38" s="6"/>
      <c r="B38" s="7"/>
      <c r="C38" s="7"/>
      <c r="D38" s="7"/>
      <c r="E38" s="7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Height="1" spans="1:52">
      <c r="A39" s="6"/>
      <c r="B39" s="7"/>
      <c r="C39" s="7"/>
      <c r="D39" s="7"/>
      <c r="E39" s="7"/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Height="1" spans="1:52">
      <c r="A40" s="8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customHeight="1" spans="1:52">
      <c r="A41" s="6"/>
      <c r="B41" s="7"/>
      <c r="C41" s="7"/>
      <c r="D41" s="7"/>
      <c r="E41" s="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Height="1" spans="1:52">
      <c r="A42" s="6"/>
      <c r="B42" s="7"/>
      <c r="C42" s="7"/>
      <c r="D42" s="7"/>
      <c r="E42" s="7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Height="1" spans="1:52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Height="1" spans="1:52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Height="1" spans="1:52">
      <c r="A45" s="11"/>
      <c r="B45" s="2"/>
      <c r="C45" s="2"/>
      <c r="D45" s="2"/>
      <c r="E45" s="2"/>
      <c r="F45" s="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customHeight="1" spans="1:52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Height="1" spans="1:52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Height="1" spans="1:52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Height="1" spans="1:52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Height="1" spans="1:52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Height="1" spans="1:52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Height="1" spans="1:52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Height="1" spans="1:52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Height="1" spans="1:52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Height="1" spans="1:52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Height="1" spans="1:52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Height="1" spans="1:52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Height="1" spans="1:52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Height="1" spans="1:52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Height="1" spans="1:52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Height="1" spans="1:52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Height="1" spans="1:52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Height="1" spans="1:52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Height="1" spans="1:52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Height="1" spans="1:52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Height="1" spans="1:52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Height="1" spans="1:52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Height="1" spans="1:52">
      <c r="A68" s="1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Height="1" spans="1:52">
      <c r="A69" s="1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Height="1" spans="1:52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Height="1" spans="1:52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Height="1" spans="1:52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Height="1" spans="1:52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Height="1" spans="1:52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Height="1" spans="1:52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Height="1" spans="1:52">
      <c r="A76" s="1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Height="1" spans="1:52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Height="1" spans="1:52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Height="1" spans="1:52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Height="1" spans="1:52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Height="1" spans="1:52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Height="1" spans="1:52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Height="1" spans="1:52">
      <c r="A83" s="1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Height="1" spans="1:52">
      <c r="A84" s="1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Height="1" spans="1:52">
      <c r="A85" s="1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Height="1" spans="1:52">
      <c r="A86" s="1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Height="1" spans="1:52">
      <c r="A87" s="1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Height="1" spans="1:52">
      <c r="A88" s="1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Height="1" spans="1:52">
      <c r="A89" s="1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Height="1" spans="1:52">
      <c r="A90" s="1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Height="1" spans="1:52">
      <c r="A91" s="1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Height="1" spans="1:52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Height="1" spans="1:52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Height="1" spans="1:52">
      <c r="A94" s="1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Height="1" spans="1:52">
      <c r="A95" s="1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Height="1" spans="1:52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Height="1" spans="1:52">
      <c r="A97" s="1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Height="1" spans="1:52">
      <c r="A98" s="1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Height="1" spans="1:52">
      <c r="A99" s="1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Height="1" spans="1:52">
      <c r="A100" s="1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Height="1" spans="1:52">
      <c r="A101" s="1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Height="1" spans="1:52">
      <c r="A102" s="1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Height="1" spans="1:52">
      <c r="A103" s="1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Height="1" spans="1:52">
      <c r="A104" s="1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Height="1" spans="1:52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Height="1" spans="1:52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Height="1" spans="1:52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Height="1" spans="1:52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Height="1" spans="1:52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Height="1" spans="1:52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Height="1" spans="1:52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Height="1" spans="1:52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Height="1" spans="1:52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Height="1" spans="1:52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Height="1" spans="1:52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Height="1" spans="1:52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Height="1" spans="1:52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Height="1" spans="1:52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Height="1" spans="1:52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Height="1" spans="1:52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Height="1" spans="1:52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Height="1" spans="1:52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Height="1" spans="1:52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Height="1" spans="1:52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Height="1" spans="1:52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Height="1" spans="1:52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Height="1" spans="1:52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Height="1" spans="1:52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Height="1" spans="1:52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Height="1" spans="1:52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Height="1" spans="1:52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Height="1" spans="1:52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Height="1" spans="1:52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Height="1" spans="1:52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Height="1" spans="1:52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Height="1" spans="1:52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Height="1" spans="1:52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Height="1" spans="1:52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Height="1" spans="1:52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Height="1" spans="1:52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Height="1" spans="1:52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Height="1" spans="1:52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Height="1" spans="1:52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Height="1" spans="1:52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Height="1" spans="1:52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Height="1" spans="1:52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Height="1" spans="1:52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Height="1" spans="1:52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Height="1" spans="1:52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Height="1" spans="1:52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Height="1" spans="1:52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Height="1" spans="1:52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Height="1" spans="1:52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Height="1" spans="1:52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Height="1" spans="1:52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Height="1" spans="1:52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Height="1" spans="1:52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Height="1" spans="1:52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Height="1" spans="1:52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Height="1" spans="1:52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Height="1" spans="1:52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Height="1" spans="1:52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Height="1" spans="1:52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Height="1" spans="1:52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Height="1" spans="1:52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Height="1" spans="1:52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Height="1" spans="1:52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Height="1" spans="1:52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Height="1" spans="1:52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Height="1" spans="1:52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Height="1" spans="1:52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Height="1" spans="1:52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Height="1" spans="1:52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Height="1" spans="1:52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Height="1" spans="1:52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Height="1" spans="1:52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Height="1" spans="1:52">
      <c r="A177" s="1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Height="1" spans="1:52">
      <c r="A178" s="1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Height="1" spans="1:52">
      <c r="A179" s="1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Height="1" spans="1:52">
      <c r="A180" s="1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Height="1" spans="1:52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Height="1" spans="1:52">
      <c r="A182" s="1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Height="1" spans="1:52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Height="1" spans="1:52">
      <c r="A184" s="1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Height="1" spans="1:52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Height="1" spans="1:52">
      <c r="A186" s="1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Height="1" spans="1:52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Height="1" spans="1:52">
      <c r="A188" s="1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Height="1" spans="1:52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Height="1" spans="1:52">
      <c r="A190" s="1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Height="1" spans="1:52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Height="1" spans="1:52">
      <c r="A192" s="1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Height="1" spans="1:52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Height="1" spans="1:52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Height="1" spans="1:52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Height="1" spans="1:52">
      <c r="A196" s="1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Height="1" spans="1:52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Height="1" spans="1:52">
      <c r="A198" s="1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Height="1" spans="1:52">
      <c r="A199" s="1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Height="1" spans="1:52">
      <c r="A200" s="1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Height="1" spans="1:52">
      <c r="A201" s="1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Height="1" spans="1:52">
      <c r="A202" s="1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Height="1" spans="1:52">
      <c r="A203" s="1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Height="1" spans="1:52">
      <c r="A204" s="1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Height="1" spans="1:52">
      <c r="A205" s="1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Height="1" spans="1:52">
      <c r="A206" s="1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Height="1" spans="1:52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Height="1" spans="1:52">
      <c r="A208" s="1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Height="1" spans="1:52">
      <c r="A209" s="1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Height="1" spans="1:52">
      <c r="A210" s="1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Height="1" spans="1:52">
      <c r="A211" s="6"/>
      <c r="B211" s="1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2"/>
      <c r="V211" s="2"/>
      <c r="W211" s="2"/>
      <c r="X211" s="2"/>
      <c r="Y211" s="2"/>
      <c r="Z211" s="2"/>
      <c r="AA211" s="2"/>
      <c r="AB211" s="2"/>
      <c r="AC211" s="2"/>
    </row>
    <row r="212" customHeight="1" spans="1:52">
      <c r="A212" s="6"/>
      <c r="B212" s="1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2"/>
      <c r="V212" s="2"/>
      <c r="W212" s="2"/>
      <c r="X212" s="2"/>
      <c r="Y212" s="2"/>
      <c r="Z212" s="2"/>
      <c r="AA212" s="2"/>
      <c r="AB212" s="2"/>
      <c r="AC212" s="2"/>
    </row>
  </sheetData>
  <mergeCells count="7"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12"/>
  <sheetViews>
    <sheetView workbookViewId="0">
      <selection activeCell="L18" sqref="L18"/>
    </sheetView>
  </sheetViews>
  <sheetFormatPr defaultColWidth="9" defaultRowHeight="25" customHeight="1"/>
  <cols>
    <col min="2" max="2" width="13.625" customWidth="1"/>
    <col min="3" max="3" width="19.375" customWidth="1"/>
    <col min="4" max="4" width="10.375" customWidth="1"/>
  </cols>
  <sheetData>
    <row r="1" customHeight="1" spans="1:52">
      <c r="A1" s="1" t="s">
        <v>37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customHeight="1" spans="1:52">
      <c r="A2" s="3"/>
      <c r="B2" s="4"/>
      <c r="C2" s="4"/>
      <c r="D2" s="5">
        <v>2026.8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customHeight="1" spans="1:52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customHeight="1" spans="1:52">
      <c r="A4" s="6"/>
      <c r="B4" s="7"/>
      <c r="C4" s="7"/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customHeight="1" spans="1:52">
      <c r="A5" s="6"/>
      <c r="B5" s="7" t="s">
        <v>7</v>
      </c>
      <c r="C5" s="7"/>
      <c r="D5" s="7"/>
      <c r="E5" s="7" t="s">
        <v>8</v>
      </c>
      <c r="F5" s="7">
        <v>12049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customHeight="1" spans="1:52">
      <c r="A6" s="6" t="s">
        <v>38</v>
      </c>
      <c r="B6" s="7" t="s">
        <v>39</v>
      </c>
      <c r="C6" s="7"/>
      <c r="D6" s="7">
        <v>350</v>
      </c>
      <c r="E6" s="7" t="s">
        <v>8</v>
      </c>
      <c r="F6" s="7">
        <f t="shared" ref="F6:F26" si="0">F5+D6-C6</f>
        <v>12399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customHeight="1" spans="1:52">
      <c r="A7" s="6" t="s">
        <v>29</v>
      </c>
      <c r="B7" s="7" t="s">
        <v>39</v>
      </c>
      <c r="C7" s="7"/>
      <c r="D7" s="7">
        <v>675</v>
      </c>
      <c r="E7" s="7" t="s">
        <v>8</v>
      </c>
      <c r="F7" s="7">
        <f t="shared" si="0"/>
        <v>13074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Height="1" spans="1:52">
      <c r="A8" s="6" t="s">
        <v>32</v>
      </c>
      <c r="B8" s="7" t="s">
        <v>39</v>
      </c>
      <c r="C8" s="7"/>
      <c r="D8" s="7">
        <v>120</v>
      </c>
      <c r="E8" s="7" t="s">
        <v>8</v>
      </c>
      <c r="F8" s="7">
        <f t="shared" si="0"/>
        <v>13194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Height="1" spans="1:52">
      <c r="A9" s="6" t="s">
        <v>40</v>
      </c>
      <c r="B9" s="7" t="s">
        <v>10</v>
      </c>
      <c r="C9" s="7">
        <v>13194</v>
      </c>
      <c r="D9" s="7"/>
      <c r="E9" s="7" t="s">
        <v>8</v>
      </c>
      <c r="F9" s="7">
        <f t="shared" si="0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customHeight="1" spans="1:52">
      <c r="A10" s="6" t="s">
        <v>40</v>
      </c>
      <c r="B10" s="7" t="s">
        <v>39</v>
      </c>
      <c r="C10" s="7"/>
      <c r="D10" s="7">
        <v>772</v>
      </c>
      <c r="E10" s="7" t="s">
        <v>8</v>
      </c>
      <c r="F10" s="7">
        <f t="shared" si="0"/>
        <v>772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customHeight="1" spans="1:52">
      <c r="A11" s="6" t="s">
        <v>41</v>
      </c>
      <c r="B11" s="7" t="s">
        <v>39</v>
      </c>
      <c r="C11" s="7"/>
      <c r="D11" s="7">
        <v>6</v>
      </c>
      <c r="E11" s="7" t="s">
        <v>8</v>
      </c>
      <c r="F11" s="7">
        <f t="shared" si="0"/>
        <v>778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customHeight="1" spans="1:52">
      <c r="A12" s="6" t="s">
        <v>16</v>
      </c>
      <c r="B12" s="7" t="s">
        <v>39</v>
      </c>
      <c r="C12" s="7"/>
      <c r="D12" s="7">
        <v>460</v>
      </c>
      <c r="E12" s="7" t="s">
        <v>8</v>
      </c>
      <c r="F12" s="7">
        <f t="shared" si="0"/>
        <v>1238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customHeight="1" spans="1:52">
      <c r="A13" s="6"/>
      <c r="B13" s="7"/>
      <c r="C13" s="7"/>
      <c r="D13" s="7"/>
      <c r="E13" s="7" t="s">
        <v>8</v>
      </c>
      <c r="F13" s="7">
        <f t="shared" si="0"/>
        <v>1238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customHeight="1" spans="1:52">
      <c r="A14" s="6"/>
      <c r="B14" s="7"/>
      <c r="C14" s="7"/>
      <c r="D14" s="7"/>
      <c r="E14" s="7" t="s">
        <v>8</v>
      </c>
      <c r="F14" s="7">
        <f t="shared" si="0"/>
        <v>1238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customHeight="1" spans="1:52">
      <c r="A15" s="6"/>
      <c r="B15" s="7"/>
      <c r="C15" s="7"/>
      <c r="D15" s="7"/>
      <c r="E15" s="7" t="s">
        <v>8</v>
      </c>
      <c r="F15" s="7">
        <f t="shared" si="0"/>
        <v>1238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customHeight="1" spans="1:52">
      <c r="A16" s="6"/>
      <c r="B16" s="7"/>
      <c r="C16" s="7"/>
      <c r="D16" s="7"/>
      <c r="E16" s="7" t="s">
        <v>8</v>
      </c>
      <c r="F16" s="7">
        <f t="shared" si="0"/>
        <v>1238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customHeight="1" spans="1:52">
      <c r="A17" s="6"/>
      <c r="B17" s="7"/>
      <c r="C17" s="7"/>
      <c r="D17" s="7"/>
      <c r="E17" s="7" t="s">
        <v>8</v>
      </c>
      <c r="F17" s="7">
        <f t="shared" si="0"/>
        <v>1238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customHeight="1" spans="1:52">
      <c r="A18" s="6"/>
      <c r="B18" s="7"/>
      <c r="C18" s="7"/>
      <c r="D18" s="7"/>
      <c r="E18" s="7" t="s">
        <v>8</v>
      </c>
      <c r="F18" s="7">
        <f t="shared" si="0"/>
        <v>1238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customHeight="1" spans="1:52">
      <c r="A19" s="6"/>
      <c r="B19" s="7"/>
      <c r="C19" s="7"/>
      <c r="D19" s="7"/>
      <c r="E19" s="7" t="s">
        <v>8</v>
      </c>
      <c r="F19" s="7">
        <f t="shared" si="0"/>
        <v>1238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customHeight="1" spans="1:52">
      <c r="A20" s="6"/>
      <c r="B20" s="7"/>
      <c r="C20" s="7"/>
      <c r="D20" s="7"/>
      <c r="E20" s="7" t="s">
        <v>8</v>
      </c>
      <c r="F20" s="7">
        <f t="shared" si="0"/>
        <v>1238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customHeight="1" spans="1:52">
      <c r="A21" s="6"/>
      <c r="B21" s="7"/>
      <c r="C21" s="7"/>
      <c r="D21" s="7"/>
      <c r="E21" s="7" t="s">
        <v>8</v>
      </c>
      <c r="F21" s="7">
        <f t="shared" si="0"/>
        <v>1238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customHeight="1" spans="1:52">
      <c r="A22" s="6"/>
      <c r="B22" s="7"/>
      <c r="C22" s="7"/>
      <c r="D22" s="7"/>
      <c r="E22" s="7" t="s">
        <v>8</v>
      </c>
      <c r="F22" s="7">
        <f t="shared" si="0"/>
        <v>1238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customHeight="1" spans="1:52">
      <c r="A23" s="6"/>
      <c r="B23" s="7"/>
      <c r="C23" s="7"/>
      <c r="D23" s="7"/>
      <c r="E23" s="7" t="s">
        <v>8</v>
      </c>
      <c r="F23" s="7">
        <f t="shared" si="0"/>
        <v>1238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customHeight="1" spans="1:52">
      <c r="A24" s="6"/>
      <c r="B24" s="7"/>
      <c r="C24" s="7"/>
      <c r="D24" s="7"/>
      <c r="E24" s="7" t="s">
        <v>8</v>
      </c>
      <c r="F24" s="7">
        <f t="shared" si="0"/>
        <v>1238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customHeight="1" spans="1:52">
      <c r="A25" s="6"/>
      <c r="B25" s="7"/>
      <c r="C25" s="7"/>
      <c r="D25" s="7"/>
      <c r="E25" s="7" t="s">
        <v>8</v>
      </c>
      <c r="F25" s="7">
        <f t="shared" si="0"/>
        <v>1238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customHeight="1" spans="1:52">
      <c r="A26" s="6"/>
      <c r="B26" s="7"/>
      <c r="C26" s="7"/>
      <c r="D26" s="7"/>
      <c r="E26" s="7" t="s">
        <v>8</v>
      </c>
      <c r="F26" s="7">
        <f t="shared" si="0"/>
        <v>1238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customHeight="1" spans="1:52">
      <c r="A27" s="8" t="s">
        <v>18</v>
      </c>
      <c r="B27" s="9" t="s">
        <v>19</v>
      </c>
      <c r="C27" s="9">
        <f>SUM(C6:C26)</f>
        <v>13194</v>
      </c>
      <c r="D27" s="9">
        <f>SUM(D6:D26)</f>
        <v>2383</v>
      </c>
      <c r="E27" s="7" t="s">
        <v>8</v>
      </c>
      <c r="F27" s="7">
        <f>F5+D27-C27</f>
        <v>1238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customHeight="1" spans="1:52">
      <c r="A28" s="8"/>
      <c r="B28" s="9" t="s">
        <v>20</v>
      </c>
      <c r="C28" s="9"/>
      <c r="D28" s="9"/>
      <c r="E28" s="7" t="s">
        <v>8</v>
      </c>
      <c r="F28" s="7">
        <f>F27</f>
        <v>1238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customHeight="1" spans="1:52">
      <c r="A29" s="6"/>
      <c r="B29" s="7" t="s">
        <v>21</v>
      </c>
      <c r="C29" s="7"/>
      <c r="D29" s="7"/>
      <c r="E29" s="7" t="s">
        <v>8</v>
      </c>
      <c r="F29" s="7">
        <f>F27</f>
        <v>1238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customHeight="1" spans="1:52">
      <c r="A30" s="6"/>
      <c r="B30" s="7"/>
      <c r="C30" s="7"/>
      <c r="D30" s="7"/>
      <c r="E30" s="7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customHeight="1" spans="1:52">
      <c r="A31" s="6"/>
      <c r="B31" s="7"/>
      <c r="C31" s="7"/>
      <c r="D31" s="7"/>
      <c r="E31" s="7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Height="1" spans="1:52">
      <c r="A32" s="6"/>
      <c r="B32" s="7"/>
      <c r="C32" s="7"/>
      <c r="D32" s="7"/>
      <c r="E32" s="7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Height="1" spans="1:52">
      <c r="A33" s="6"/>
      <c r="B33" s="7"/>
      <c r="C33" s="7"/>
      <c r="D33" s="7"/>
      <c r="E33" s="7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Height="1" spans="1:52">
      <c r="A34" s="6"/>
      <c r="B34" s="7"/>
      <c r="C34" s="7"/>
      <c r="D34" s="7"/>
      <c r="E34" s="7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Height="1" spans="1:52">
      <c r="A35" s="6"/>
      <c r="B35" s="7"/>
      <c r="C35" s="7"/>
      <c r="D35" s="7"/>
      <c r="E35" s="7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Height="1" spans="1:52">
      <c r="A36" s="6"/>
      <c r="B36" s="7"/>
      <c r="C36" s="7"/>
      <c r="D36" s="7"/>
      <c r="E36" s="7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Height="1" spans="1:52">
      <c r="A37" s="6"/>
      <c r="B37" s="7"/>
      <c r="C37" s="7"/>
      <c r="D37" s="7"/>
      <c r="E37" s="7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Height="1" spans="1:52">
      <c r="A38" s="6"/>
      <c r="B38" s="7"/>
      <c r="C38" s="7"/>
      <c r="D38" s="7"/>
      <c r="E38" s="7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Height="1" spans="1:52">
      <c r="A39" s="6"/>
      <c r="B39" s="7"/>
      <c r="C39" s="7"/>
      <c r="D39" s="7"/>
      <c r="E39" s="7"/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Height="1" spans="1:52">
      <c r="A40" s="8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customHeight="1" spans="1:52">
      <c r="A41" s="6"/>
      <c r="B41" s="7"/>
      <c r="C41" s="7"/>
      <c r="D41" s="7"/>
      <c r="E41" s="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Height="1" spans="1:52">
      <c r="A42" s="6"/>
      <c r="B42" s="7"/>
      <c r="C42" s="7"/>
      <c r="D42" s="7"/>
      <c r="E42" s="7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Height="1" spans="1:52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Height="1" spans="1:52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Height="1" spans="1:52">
      <c r="A45" s="11"/>
      <c r="B45" s="2"/>
      <c r="C45" s="2"/>
      <c r="D45" s="2"/>
      <c r="E45" s="2"/>
      <c r="F45" s="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customHeight="1" spans="1:52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Height="1" spans="1:52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Height="1" spans="1:52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Height="1" spans="1:52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Height="1" spans="1:52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Height="1" spans="1:52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Height="1" spans="1:52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Height="1" spans="1:52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Height="1" spans="1:52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Height="1" spans="1:52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Height="1" spans="1:52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Height="1" spans="1:52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Height="1" spans="1:52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Height="1" spans="1:52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Height="1" spans="1:52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Height="1" spans="1:52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Height="1" spans="1:52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Height="1" spans="1:52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Height="1" spans="1:52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Height="1" spans="1:52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Height="1" spans="1:52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Height="1" spans="1:52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Height="1" spans="1:52">
      <c r="A68" s="1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Height="1" spans="1:52">
      <c r="A69" s="1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Height="1" spans="1:52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Height="1" spans="1:52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Height="1" spans="1:52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Height="1" spans="1:52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Height="1" spans="1:52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Height="1" spans="1:52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Height="1" spans="1:52">
      <c r="A76" s="1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Height="1" spans="1:52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Height="1" spans="1:52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Height="1" spans="1:52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Height="1" spans="1:52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Height="1" spans="1:52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Height="1" spans="1:52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Height="1" spans="1:52">
      <c r="A83" s="1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Height="1" spans="1:52">
      <c r="A84" s="1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Height="1" spans="1:52">
      <c r="A85" s="1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Height="1" spans="1:52">
      <c r="A86" s="1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Height="1" spans="1:52">
      <c r="A87" s="1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Height="1" spans="1:52">
      <c r="A88" s="1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Height="1" spans="1:52">
      <c r="A89" s="1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Height="1" spans="1:52">
      <c r="A90" s="1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Height="1" spans="1:52">
      <c r="A91" s="1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Height="1" spans="1:52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Height="1" spans="1:52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Height="1" spans="1:52">
      <c r="A94" s="1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Height="1" spans="1:52">
      <c r="A95" s="1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Height="1" spans="1:52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Height="1" spans="1:52">
      <c r="A97" s="1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Height="1" spans="1:52">
      <c r="A98" s="1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Height="1" spans="1:52">
      <c r="A99" s="1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Height="1" spans="1:52">
      <c r="A100" s="1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Height="1" spans="1:52">
      <c r="A101" s="1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Height="1" spans="1:52">
      <c r="A102" s="1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Height="1" spans="1:52">
      <c r="A103" s="1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Height="1" spans="1:52">
      <c r="A104" s="1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Height="1" spans="1:52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Height="1" spans="1:52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Height="1" spans="1:52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Height="1" spans="1:52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Height="1" spans="1:52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Height="1" spans="1:52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Height="1" spans="1:52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Height="1" spans="1:52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Height="1" spans="1:52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Height="1" spans="1:52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Height="1" spans="1:52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Height="1" spans="1:52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Height="1" spans="1:52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Height="1" spans="1:52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Height="1" spans="1:52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Height="1" spans="1:52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Height="1" spans="1:52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Height="1" spans="1:52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Height="1" spans="1:52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Height="1" spans="1:52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Height="1" spans="1:52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Height="1" spans="1:52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Height="1" spans="1:52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Height="1" spans="1:52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Height="1" spans="1:52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Height="1" spans="1:52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Height="1" spans="1:52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Height="1" spans="1:52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Height="1" spans="1:52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Height="1" spans="1:52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Height="1" spans="1:52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Height="1" spans="1:52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Height="1" spans="1:52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Height="1" spans="1:52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Height="1" spans="1:52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Height="1" spans="1:52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Height="1" spans="1:52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Height="1" spans="1:52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Height="1" spans="1:52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Height="1" spans="1:52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Height="1" spans="1:52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Height="1" spans="1:52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Height="1" spans="1:52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Height="1" spans="1:52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Height="1" spans="1:52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Height="1" spans="1:52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Height="1" spans="1:52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Height="1" spans="1:52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Height="1" spans="1:52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Height="1" spans="1:52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Height="1" spans="1:52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Height="1" spans="1:52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Height="1" spans="1:52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Height="1" spans="1:52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Height="1" spans="1:52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Height="1" spans="1:52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Height="1" spans="1:52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Height="1" spans="1:52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Height="1" spans="1:52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Height="1" spans="1:52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Height="1" spans="1:52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Height="1" spans="1:52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Height="1" spans="1:52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Height="1" spans="1:52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Height="1" spans="1:52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Height="1" spans="1:52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Height="1" spans="1:52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Height="1" spans="1:52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Height="1" spans="1:52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Height="1" spans="1:52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Height="1" spans="1:52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Height="1" spans="1:52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Height="1" spans="1:52">
      <c r="A177" s="1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Height="1" spans="1:52">
      <c r="A178" s="1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Height="1" spans="1:52">
      <c r="A179" s="1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Height="1" spans="1:52">
      <c r="A180" s="1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Height="1" spans="1:52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Height="1" spans="1:52">
      <c r="A182" s="1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Height="1" spans="1:52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Height="1" spans="1:52">
      <c r="A184" s="1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Height="1" spans="1:52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Height="1" spans="1:52">
      <c r="A186" s="1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Height="1" spans="1:52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Height="1" spans="1:52">
      <c r="A188" s="1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Height="1" spans="1:52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Height="1" spans="1:52">
      <c r="A190" s="1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Height="1" spans="1:52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Height="1" spans="1:52">
      <c r="A192" s="1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Height="1" spans="1:52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Height="1" spans="1:52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Height="1" spans="1:52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Height="1" spans="1:52">
      <c r="A196" s="1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Height="1" spans="1:52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Height="1" spans="1:52">
      <c r="A198" s="1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Height="1" spans="1:52">
      <c r="A199" s="1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Height="1" spans="1:52">
      <c r="A200" s="1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Height="1" spans="1:52">
      <c r="A201" s="1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Height="1" spans="1:52">
      <c r="A202" s="1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Height="1" spans="1:52">
      <c r="A203" s="1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Height="1" spans="1:52">
      <c r="A204" s="1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Height="1" spans="1:52">
      <c r="A205" s="1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Height="1" spans="1:52">
      <c r="A206" s="1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Height="1" spans="1:52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Height="1" spans="1:52">
      <c r="A208" s="1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Height="1" spans="1:52">
      <c r="A209" s="1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Height="1" spans="1:52">
      <c r="A210" s="1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Height="1" spans="1:52">
      <c r="A211" s="6"/>
      <c r="B211" s="1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2"/>
      <c r="V211" s="2"/>
      <c r="W211" s="2"/>
      <c r="X211" s="2"/>
      <c r="Y211" s="2"/>
      <c r="Z211" s="2"/>
      <c r="AA211" s="2"/>
      <c r="AB211" s="2"/>
      <c r="AC211" s="2"/>
    </row>
    <row r="212" customHeight="1" spans="1:52">
      <c r="A212" s="6"/>
      <c r="B212" s="1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2"/>
      <c r="V212" s="2"/>
      <c r="W212" s="2"/>
      <c r="X212" s="2"/>
      <c r="Y212" s="2"/>
      <c r="Z212" s="2"/>
      <c r="AA212" s="2"/>
      <c r="AB212" s="2"/>
      <c r="AC212" s="2"/>
    </row>
  </sheetData>
  <mergeCells count="7"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12"/>
  <sheetViews>
    <sheetView workbookViewId="0">
      <selection activeCell="I16" sqref="I16"/>
    </sheetView>
  </sheetViews>
  <sheetFormatPr defaultColWidth="9" defaultRowHeight="25" customHeight="1"/>
  <cols>
    <col min="2" max="2" width="13.625" customWidth="1"/>
    <col min="3" max="3" width="19.375" customWidth="1"/>
    <col min="4" max="4" width="10.375" customWidth="1"/>
  </cols>
  <sheetData>
    <row r="1" customHeight="1" spans="1:52">
      <c r="A1" s="1" t="s">
        <v>42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customHeight="1" spans="1:52">
      <c r="A2" s="3"/>
      <c r="B2" s="4"/>
      <c r="C2" s="4"/>
      <c r="D2" s="5">
        <v>2026.8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customHeight="1" spans="1:52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customHeight="1" spans="1:52">
      <c r="A4" s="6"/>
      <c r="B4" s="7"/>
      <c r="C4" s="7"/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customHeight="1" spans="1:52">
      <c r="A5" s="6"/>
      <c r="B5" s="7" t="s">
        <v>7</v>
      </c>
      <c r="C5" s="7"/>
      <c r="D5" s="7"/>
      <c r="E5" s="7" t="s">
        <v>8</v>
      </c>
      <c r="F5" s="7">
        <v>156675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customHeight="1" spans="1:52">
      <c r="A6" s="6" t="s">
        <v>17</v>
      </c>
      <c r="B6" s="7" t="s">
        <v>10</v>
      </c>
      <c r="C6" s="7">
        <v>40000</v>
      </c>
      <c r="D6" s="7"/>
      <c r="E6" s="7" t="s">
        <v>8</v>
      </c>
      <c r="F6" s="7">
        <f t="shared" ref="F6:F29" si="0">F5+D6-C6</f>
        <v>116675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customHeight="1" spans="1:52">
      <c r="A7" s="6"/>
      <c r="B7" s="7"/>
      <c r="C7" s="7"/>
      <c r="D7" s="7"/>
      <c r="E7" s="7" t="s">
        <v>8</v>
      </c>
      <c r="F7" s="7">
        <f t="shared" si="0"/>
        <v>116675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Height="1" spans="1:52">
      <c r="A8" s="6"/>
      <c r="B8" s="7"/>
      <c r="C8" s="7"/>
      <c r="D8" s="7"/>
      <c r="E8" s="7" t="s">
        <v>8</v>
      </c>
      <c r="F8" s="7">
        <f t="shared" si="0"/>
        <v>116675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Height="1" spans="1:52">
      <c r="A9" s="6"/>
      <c r="B9" s="7"/>
      <c r="C9" s="7"/>
      <c r="D9" s="7"/>
      <c r="E9" s="7" t="s">
        <v>8</v>
      </c>
      <c r="F9" s="7">
        <f t="shared" si="0"/>
        <v>116675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customHeight="1" spans="1:52">
      <c r="A10" s="6"/>
      <c r="B10" s="7"/>
      <c r="C10" s="7"/>
      <c r="D10" s="7"/>
      <c r="E10" s="7" t="s">
        <v>8</v>
      </c>
      <c r="F10" s="7">
        <f t="shared" si="0"/>
        <v>116675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customHeight="1" spans="1:52">
      <c r="A11" s="6"/>
      <c r="B11" s="7"/>
      <c r="C11" s="7"/>
      <c r="D11" s="7"/>
      <c r="E11" s="7" t="s">
        <v>8</v>
      </c>
      <c r="F11" s="7">
        <f t="shared" si="0"/>
        <v>116675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customHeight="1" spans="1:52">
      <c r="A12" s="6"/>
      <c r="B12" s="7"/>
      <c r="C12" s="7"/>
      <c r="D12" s="7"/>
      <c r="E12" s="7" t="s">
        <v>8</v>
      </c>
      <c r="F12" s="7">
        <f t="shared" si="0"/>
        <v>116675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customHeight="1" spans="1:52">
      <c r="A13" s="6"/>
      <c r="B13" s="7"/>
      <c r="C13" s="7"/>
      <c r="D13" s="7"/>
      <c r="E13" s="7" t="s">
        <v>8</v>
      </c>
      <c r="F13" s="7">
        <f t="shared" si="0"/>
        <v>116675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customHeight="1" spans="1:52">
      <c r="A14" s="6"/>
      <c r="B14" s="7"/>
      <c r="C14" s="7"/>
      <c r="D14" s="7"/>
      <c r="E14" s="7" t="s">
        <v>8</v>
      </c>
      <c r="F14" s="7">
        <f t="shared" si="0"/>
        <v>116675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customHeight="1" spans="1:52">
      <c r="A15" s="6"/>
      <c r="B15" s="7"/>
      <c r="C15" s="7"/>
      <c r="D15" s="7"/>
      <c r="E15" s="7" t="s">
        <v>8</v>
      </c>
      <c r="F15" s="7">
        <f t="shared" si="0"/>
        <v>116675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customHeight="1" spans="1:52">
      <c r="A16" s="6"/>
      <c r="B16" s="7"/>
      <c r="C16" s="7"/>
      <c r="D16" s="7"/>
      <c r="E16" s="7" t="s">
        <v>8</v>
      </c>
      <c r="F16" s="7">
        <f t="shared" si="0"/>
        <v>116675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customHeight="1" spans="1:52">
      <c r="A17" s="6"/>
      <c r="B17" s="7"/>
      <c r="C17" s="7"/>
      <c r="D17" s="7"/>
      <c r="E17" s="7" t="s">
        <v>8</v>
      </c>
      <c r="F17" s="7">
        <f t="shared" si="0"/>
        <v>116675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customHeight="1" spans="1:52">
      <c r="A18" s="6"/>
      <c r="B18" s="7"/>
      <c r="C18" s="7"/>
      <c r="D18" s="7"/>
      <c r="E18" s="7" t="s">
        <v>8</v>
      </c>
      <c r="F18" s="7">
        <f t="shared" si="0"/>
        <v>116675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customHeight="1" spans="1:52">
      <c r="A19" s="6"/>
      <c r="B19" s="7"/>
      <c r="C19" s="7"/>
      <c r="D19" s="7"/>
      <c r="E19" s="7" t="s">
        <v>8</v>
      </c>
      <c r="F19" s="7">
        <f t="shared" si="0"/>
        <v>116675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customHeight="1" spans="1:52">
      <c r="A20" s="6"/>
      <c r="B20" s="7"/>
      <c r="C20" s="7"/>
      <c r="D20" s="7"/>
      <c r="E20" s="7" t="s">
        <v>8</v>
      </c>
      <c r="F20" s="7">
        <f t="shared" si="0"/>
        <v>116675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customHeight="1" spans="1:52">
      <c r="A21" s="6"/>
      <c r="B21" s="7"/>
      <c r="C21" s="7"/>
      <c r="D21" s="7"/>
      <c r="E21" s="7" t="s">
        <v>8</v>
      </c>
      <c r="F21" s="7">
        <f t="shared" si="0"/>
        <v>116675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customHeight="1" spans="1:52">
      <c r="A22" s="6"/>
      <c r="B22" s="7"/>
      <c r="C22" s="7"/>
      <c r="D22" s="7"/>
      <c r="E22" s="7" t="s">
        <v>8</v>
      </c>
      <c r="F22" s="7">
        <f t="shared" si="0"/>
        <v>116675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customHeight="1" spans="1:52">
      <c r="A23" s="6"/>
      <c r="B23" s="7"/>
      <c r="C23" s="7"/>
      <c r="D23" s="7"/>
      <c r="E23" s="7" t="s">
        <v>8</v>
      </c>
      <c r="F23" s="7">
        <f t="shared" si="0"/>
        <v>116675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customHeight="1" spans="1:52">
      <c r="A24" s="6"/>
      <c r="B24" s="7"/>
      <c r="C24" s="7"/>
      <c r="D24" s="7"/>
      <c r="E24" s="7" t="s">
        <v>8</v>
      </c>
      <c r="F24" s="7">
        <f t="shared" si="0"/>
        <v>116675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customHeight="1" spans="1:52">
      <c r="A25" s="6"/>
      <c r="B25" s="7"/>
      <c r="C25" s="7"/>
      <c r="D25" s="7"/>
      <c r="E25" s="7" t="s">
        <v>8</v>
      </c>
      <c r="F25" s="7">
        <f t="shared" si="0"/>
        <v>116675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customHeight="1" spans="1:52">
      <c r="A26" s="6"/>
      <c r="B26" s="7"/>
      <c r="C26" s="7"/>
      <c r="D26" s="7"/>
      <c r="E26" s="7" t="s">
        <v>8</v>
      </c>
      <c r="F26" s="7">
        <f t="shared" si="0"/>
        <v>116675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customHeight="1" spans="1:52">
      <c r="A27" s="8" t="s">
        <v>18</v>
      </c>
      <c r="B27" s="9" t="s">
        <v>19</v>
      </c>
      <c r="C27" s="9">
        <f>SUM(C6:C26)</f>
        <v>40000</v>
      </c>
      <c r="D27" s="9">
        <f>SUM(D6:D26)</f>
        <v>0</v>
      </c>
      <c r="E27" s="7" t="s">
        <v>8</v>
      </c>
      <c r="F27" s="7">
        <f t="shared" si="0"/>
        <v>76675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customHeight="1" spans="1:52">
      <c r="A28" s="8"/>
      <c r="B28" s="9" t="s">
        <v>20</v>
      </c>
      <c r="C28" s="9"/>
      <c r="D28" s="9"/>
      <c r="E28" s="7" t="s">
        <v>8</v>
      </c>
      <c r="F28" s="7">
        <f t="shared" si="0"/>
        <v>76675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customHeight="1" spans="1:52">
      <c r="A29" s="6"/>
      <c r="B29" s="7" t="s">
        <v>21</v>
      </c>
      <c r="C29" s="7"/>
      <c r="D29" s="7"/>
      <c r="E29" s="7" t="s">
        <v>8</v>
      </c>
      <c r="F29" s="7">
        <f t="shared" si="0"/>
        <v>76675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customHeight="1" spans="1:52">
      <c r="A30" s="6"/>
      <c r="B30" s="7"/>
      <c r="C30" s="7"/>
      <c r="D30" s="7"/>
      <c r="E30" s="7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customHeight="1" spans="1:52">
      <c r="A31" s="6"/>
      <c r="B31" s="7"/>
      <c r="C31" s="7"/>
      <c r="D31" s="7"/>
      <c r="E31" s="7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Height="1" spans="1:52">
      <c r="A32" s="6"/>
      <c r="B32" s="7"/>
      <c r="C32" s="7"/>
      <c r="D32" s="7"/>
      <c r="E32" s="7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Height="1" spans="1:52">
      <c r="A33" s="6"/>
      <c r="B33" s="7"/>
      <c r="C33" s="7"/>
      <c r="D33" s="7"/>
      <c r="E33" s="7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Height="1" spans="1:52">
      <c r="A34" s="6"/>
      <c r="B34" s="7"/>
      <c r="C34" s="7"/>
      <c r="D34" s="7"/>
      <c r="E34" s="7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Height="1" spans="1:52">
      <c r="A35" s="6"/>
      <c r="B35" s="7"/>
      <c r="C35" s="7"/>
      <c r="D35" s="7"/>
      <c r="E35" s="7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Height="1" spans="1:52">
      <c r="A36" s="6"/>
      <c r="B36" s="7"/>
      <c r="C36" s="7"/>
      <c r="D36" s="7"/>
      <c r="E36" s="7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Height="1" spans="1:52">
      <c r="A37" s="6"/>
      <c r="B37" s="7"/>
      <c r="C37" s="7"/>
      <c r="D37" s="7"/>
      <c r="E37" s="7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Height="1" spans="1:52">
      <c r="A38" s="6"/>
      <c r="B38" s="7"/>
      <c r="C38" s="7"/>
      <c r="D38" s="7"/>
      <c r="E38" s="7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Height="1" spans="1:52">
      <c r="A39" s="6"/>
      <c r="B39" s="7"/>
      <c r="C39" s="7"/>
      <c r="D39" s="7"/>
      <c r="E39" s="7"/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Height="1" spans="1:52">
      <c r="A40" s="8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customHeight="1" spans="1:52">
      <c r="A41" s="6"/>
      <c r="B41" s="7"/>
      <c r="C41" s="7"/>
      <c r="D41" s="7"/>
      <c r="E41" s="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Height="1" spans="1:52">
      <c r="A42" s="6"/>
      <c r="B42" s="7"/>
      <c r="C42" s="7"/>
      <c r="D42" s="7"/>
      <c r="E42" s="7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Height="1" spans="1:52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Height="1" spans="1:52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Height="1" spans="1:52">
      <c r="A45" s="11"/>
      <c r="B45" s="2"/>
      <c r="C45" s="2"/>
      <c r="D45" s="2"/>
      <c r="E45" s="2"/>
      <c r="F45" s="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customHeight="1" spans="1:52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Height="1" spans="1:52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Height="1" spans="1:52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Height="1" spans="1:52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Height="1" spans="1:52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Height="1" spans="1:52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Height="1" spans="1:52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Height="1" spans="1:52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Height="1" spans="1:52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Height="1" spans="1:52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Height="1" spans="1:52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Height="1" spans="1:52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Height="1" spans="1:52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Height="1" spans="1:52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Height="1" spans="1:52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Height="1" spans="1:52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Height="1" spans="1:52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Height="1" spans="1:52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Height="1" spans="1:52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Height="1" spans="1:52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Height="1" spans="1:52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Height="1" spans="1:52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Height="1" spans="1:52">
      <c r="A68" s="1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Height="1" spans="1:52">
      <c r="A69" s="1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Height="1" spans="1:52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Height="1" spans="1:52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Height="1" spans="1:52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Height="1" spans="1:52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Height="1" spans="1:52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Height="1" spans="1:52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Height="1" spans="1:52">
      <c r="A76" s="1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Height="1" spans="1:52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Height="1" spans="1:52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Height="1" spans="1:52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Height="1" spans="1:52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Height="1" spans="1:52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Height="1" spans="1:52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Height="1" spans="1:52">
      <c r="A83" s="1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Height="1" spans="1:52">
      <c r="A84" s="1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Height="1" spans="1:52">
      <c r="A85" s="1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Height="1" spans="1:52">
      <c r="A86" s="1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Height="1" spans="1:52">
      <c r="A87" s="1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Height="1" spans="1:52">
      <c r="A88" s="1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Height="1" spans="1:52">
      <c r="A89" s="1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Height="1" spans="1:52">
      <c r="A90" s="1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Height="1" spans="1:52">
      <c r="A91" s="1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Height="1" spans="1:52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Height="1" spans="1:52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Height="1" spans="1:52">
      <c r="A94" s="1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Height="1" spans="1:52">
      <c r="A95" s="1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Height="1" spans="1:52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Height="1" spans="1:52">
      <c r="A97" s="1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Height="1" spans="1:52">
      <c r="A98" s="1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Height="1" spans="1:52">
      <c r="A99" s="1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Height="1" spans="1:52">
      <c r="A100" s="1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Height="1" spans="1:52">
      <c r="A101" s="1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Height="1" spans="1:52">
      <c r="A102" s="1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Height="1" spans="1:52">
      <c r="A103" s="1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Height="1" spans="1:52">
      <c r="A104" s="1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Height="1" spans="1:52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Height="1" spans="1:52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Height="1" spans="1:52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Height="1" spans="1:52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Height="1" spans="1:52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Height="1" spans="1:52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Height="1" spans="1:52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Height="1" spans="1:52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Height="1" spans="1:52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Height="1" spans="1:52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Height="1" spans="1:52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Height="1" spans="1:52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Height="1" spans="1:52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Height="1" spans="1:52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Height="1" spans="1:52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Height="1" spans="1:52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Height="1" spans="1:52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Height="1" spans="1:52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Height="1" spans="1:52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Height="1" spans="1:52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Height="1" spans="1:52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Height="1" spans="1:52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Height="1" spans="1:52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Height="1" spans="1:52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Height="1" spans="1:52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Height="1" spans="1:52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Height="1" spans="1:52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Height="1" spans="1:52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Height="1" spans="1:52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Height="1" spans="1:52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Height="1" spans="1:52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Height="1" spans="1:52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Height="1" spans="1:52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Height="1" spans="1:52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Height="1" spans="1:52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Height="1" spans="1:52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Height="1" spans="1:52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Height="1" spans="1:52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Height="1" spans="1:52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Height="1" spans="1:52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Height="1" spans="1:52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Height="1" spans="1:52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Height="1" spans="1:52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Height="1" spans="1:52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Height="1" spans="1:52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Height="1" spans="1:52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Height="1" spans="1:52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Height="1" spans="1:52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Height="1" spans="1:52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Height="1" spans="1:52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Height="1" spans="1:52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Height="1" spans="1:52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Height="1" spans="1:52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Height="1" spans="1:52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Height="1" spans="1:52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Height="1" spans="1:52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Height="1" spans="1:52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Height="1" spans="1:52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Height="1" spans="1:52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Height="1" spans="1:52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Height="1" spans="1:52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Height="1" spans="1:52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Height="1" spans="1:52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Height="1" spans="1:52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Height="1" spans="1:52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Height="1" spans="1:52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Height="1" spans="1:52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Height="1" spans="1:52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Height="1" spans="1:52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Height="1" spans="1:52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Height="1" spans="1:52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Height="1" spans="1:52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Height="1" spans="1:52">
      <c r="A177" s="1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Height="1" spans="1:52">
      <c r="A178" s="1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Height="1" spans="1:52">
      <c r="A179" s="1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Height="1" spans="1:52">
      <c r="A180" s="1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Height="1" spans="1:52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Height="1" spans="1:52">
      <c r="A182" s="1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Height="1" spans="1:52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Height="1" spans="1:52">
      <c r="A184" s="1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Height="1" spans="1:52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Height="1" spans="1:52">
      <c r="A186" s="1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Height="1" spans="1:52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Height="1" spans="1:52">
      <c r="A188" s="1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Height="1" spans="1:52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Height="1" spans="1:52">
      <c r="A190" s="1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Height="1" spans="1:52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Height="1" spans="1:52">
      <c r="A192" s="1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Height="1" spans="1:52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Height="1" spans="1:52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Height="1" spans="1:52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Height="1" spans="1:52">
      <c r="A196" s="1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Height="1" spans="1:52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Height="1" spans="1:52">
      <c r="A198" s="1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Height="1" spans="1:52">
      <c r="A199" s="1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Height="1" spans="1:52">
      <c r="A200" s="1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Height="1" spans="1:52">
      <c r="A201" s="1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Height="1" spans="1:52">
      <c r="A202" s="1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Height="1" spans="1:52">
      <c r="A203" s="1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Height="1" spans="1:52">
      <c r="A204" s="1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Height="1" spans="1:52">
      <c r="A205" s="1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Height="1" spans="1:52">
      <c r="A206" s="1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Height="1" spans="1:52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Height="1" spans="1:52">
      <c r="A208" s="1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Height="1" spans="1:52">
      <c r="A209" s="1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Height="1" spans="1:52">
      <c r="A210" s="1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Height="1" spans="1:52">
      <c r="A211" s="6"/>
      <c r="B211" s="1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2"/>
      <c r="V211" s="2"/>
      <c r="W211" s="2"/>
      <c r="X211" s="2"/>
      <c r="Y211" s="2"/>
      <c r="Z211" s="2"/>
      <c r="AA211" s="2"/>
      <c r="AB211" s="2"/>
      <c r="AC211" s="2"/>
    </row>
    <row r="212" customHeight="1" spans="1:52">
      <c r="A212" s="6"/>
      <c r="B212" s="1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2"/>
      <c r="V212" s="2"/>
      <c r="W212" s="2"/>
      <c r="X212" s="2"/>
      <c r="Y212" s="2"/>
      <c r="Z212" s="2"/>
      <c r="AA212" s="2"/>
      <c r="AB212" s="2"/>
      <c r="AC212" s="2"/>
    </row>
  </sheetData>
  <mergeCells count="7"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12"/>
  <sheetViews>
    <sheetView workbookViewId="0">
      <selection activeCell="D16" sqref="D16"/>
    </sheetView>
  </sheetViews>
  <sheetFormatPr defaultColWidth="9" defaultRowHeight="25" customHeight="1"/>
  <cols>
    <col min="2" max="2" width="13.625" customWidth="1"/>
    <col min="3" max="3" width="19.375" customWidth="1"/>
    <col min="4" max="4" width="10.375" customWidth="1"/>
  </cols>
  <sheetData>
    <row r="1" customHeight="1" spans="1:52">
      <c r="A1" s="1" t="s">
        <v>43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customHeight="1" spans="1:52">
      <c r="A2" s="3"/>
      <c r="B2" s="4"/>
      <c r="C2" s="4"/>
      <c r="D2" s="5">
        <v>2026.8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customHeight="1" spans="1:52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customHeight="1" spans="1:52">
      <c r="A4" s="6"/>
      <c r="B4" s="7"/>
      <c r="C4" s="7"/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customHeight="1" spans="1:52">
      <c r="A5" s="6"/>
      <c r="B5" s="7" t="s">
        <v>7</v>
      </c>
      <c r="C5" s="7"/>
      <c r="D5" s="7"/>
      <c r="E5" s="7" t="s">
        <v>8</v>
      </c>
      <c r="F5" s="7">
        <v>8292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customHeight="1" spans="1:52">
      <c r="A6" s="6" t="s">
        <v>44</v>
      </c>
      <c r="B6" s="7" t="s">
        <v>11</v>
      </c>
      <c r="C6" s="7"/>
      <c r="D6" s="7">
        <v>3720</v>
      </c>
      <c r="E6" s="7" t="s">
        <v>8</v>
      </c>
      <c r="F6" s="7">
        <f t="shared" ref="F6:F29" si="0">F5+D6-C6</f>
        <v>12012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customHeight="1" spans="1:52">
      <c r="A7" s="6" t="s">
        <v>44</v>
      </c>
      <c r="B7" s="7" t="s">
        <v>45</v>
      </c>
      <c r="C7" s="7">
        <v>3720</v>
      </c>
      <c r="D7" s="7"/>
      <c r="E7" s="7" t="s">
        <v>8</v>
      </c>
      <c r="F7" s="7">
        <f t="shared" si="0"/>
        <v>8292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Height="1" spans="1:52">
      <c r="A8" s="6" t="s">
        <v>40</v>
      </c>
      <c r="B8" s="7" t="s">
        <v>11</v>
      </c>
      <c r="C8" s="7"/>
      <c r="D8" s="7">
        <v>279</v>
      </c>
      <c r="E8" s="7" t="s">
        <v>8</v>
      </c>
      <c r="F8" s="7">
        <f t="shared" si="0"/>
        <v>8571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Height="1" spans="1:52">
      <c r="A9" s="6"/>
      <c r="B9" s="7" t="s">
        <v>10</v>
      </c>
      <c r="C9" s="7">
        <v>279</v>
      </c>
      <c r="D9" s="7"/>
      <c r="E9" s="7" t="s">
        <v>8</v>
      </c>
      <c r="F9" s="7">
        <f t="shared" si="0"/>
        <v>8292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customHeight="1" spans="1:52">
      <c r="A10" s="6" t="s">
        <v>15</v>
      </c>
      <c r="B10" s="7" t="s">
        <v>11</v>
      </c>
      <c r="C10" s="7"/>
      <c r="D10" s="7">
        <v>3755</v>
      </c>
      <c r="E10" s="7" t="s">
        <v>8</v>
      </c>
      <c r="F10" s="7">
        <f t="shared" si="0"/>
        <v>12047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customHeight="1" spans="1:52">
      <c r="A11" s="6" t="s">
        <v>15</v>
      </c>
      <c r="B11" s="7" t="s">
        <v>10</v>
      </c>
      <c r="C11" s="7">
        <v>3755</v>
      </c>
      <c r="D11" s="7"/>
      <c r="E11" s="7" t="s">
        <v>8</v>
      </c>
      <c r="F11" s="7">
        <f t="shared" si="0"/>
        <v>8292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customHeight="1" spans="1:52">
      <c r="A12" s="6"/>
      <c r="B12" s="7"/>
      <c r="C12" s="7"/>
      <c r="D12" s="7"/>
      <c r="E12" s="7" t="s">
        <v>8</v>
      </c>
      <c r="F12" s="7">
        <f t="shared" si="0"/>
        <v>8292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customHeight="1" spans="1:52">
      <c r="A13" s="6"/>
      <c r="B13" s="7"/>
      <c r="C13" s="7"/>
      <c r="D13" s="7"/>
      <c r="E13" s="7" t="s">
        <v>8</v>
      </c>
      <c r="F13" s="7">
        <f t="shared" si="0"/>
        <v>8292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customHeight="1" spans="1:52">
      <c r="A14" s="6"/>
      <c r="B14" s="7"/>
      <c r="C14" s="7"/>
      <c r="D14" s="7"/>
      <c r="E14" s="7" t="s">
        <v>8</v>
      </c>
      <c r="F14" s="7">
        <f t="shared" si="0"/>
        <v>8292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customHeight="1" spans="1:52">
      <c r="A15" s="6"/>
      <c r="B15" s="7"/>
      <c r="C15" s="7"/>
      <c r="D15" s="7"/>
      <c r="E15" s="7" t="s">
        <v>8</v>
      </c>
      <c r="F15" s="7">
        <f t="shared" si="0"/>
        <v>8292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customHeight="1" spans="1:52">
      <c r="A16" s="6"/>
      <c r="B16" s="7"/>
      <c r="C16" s="7"/>
      <c r="D16" s="7"/>
      <c r="E16" s="7" t="s">
        <v>8</v>
      </c>
      <c r="F16" s="7">
        <f t="shared" si="0"/>
        <v>8292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customHeight="1" spans="1:52">
      <c r="A17" s="6"/>
      <c r="B17" s="7"/>
      <c r="C17" s="7"/>
      <c r="D17" s="7"/>
      <c r="E17" s="7" t="s">
        <v>8</v>
      </c>
      <c r="F17" s="7">
        <f t="shared" si="0"/>
        <v>8292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customHeight="1" spans="1:52">
      <c r="A18" s="6"/>
      <c r="B18" s="7"/>
      <c r="C18" s="7"/>
      <c r="D18" s="7"/>
      <c r="E18" s="7" t="s">
        <v>8</v>
      </c>
      <c r="F18" s="7">
        <f t="shared" si="0"/>
        <v>8292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customHeight="1" spans="1:52">
      <c r="A19" s="6"/>
      <c r="B19" s="7"/>
      <c r="C19" s="7"/>
      <c r="D19" s="7"/>
      <c r="E19" s="7" t="s">
        <v>8</v>
      </c>
      <c r="F19" s="7">
        <f t="shared" si="0"/>
        <v>8292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customHeight="1" spans="1:52">
      <c r="A20" s="6"/>
      <c r="B20" s="7"/>
      <c r="C20" s="7"/>
      <c r="D20" s="7"/>
      <c r="E20" s="7" t="s">
        <v>8</v>
      </c>
      <c r="F20" s="7">
        <f t="shared" si="0"/>
        <v>8292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customHeight="1" spans="1:52">
      <c r="A21" s="6"/>
      <c r="B21" s="7"/>
      <c r="C21" s="7"/>
      <c r="D21" s="7"/>
      <c r="E21" s="7" t="s">
        <v>8</v>
      </c>
      <c r="F21" s="7">
        <f t="shared" si="0"/>
        <v>8292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customHeight="1" spans="1:52">
      <c r="A22" s="6"/>
      <c r="B22" s="7"/>
      <c r="C22" s="7"/>
      <c r="D22" s="7"/>
      <c r="E22" s="7" t="s">
        <v>8</v>
      </c>
      <c r="F22" s="7">
        <f t="shared" si="0"/>
        <v>8292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customHeight="1" spans="1:52">
      <c r="A23" s="6"/>
      <c r="B23" s="7"/>
      <c r="C23" s="7"/>
      <c r="D23" s="7"/>
      <c r="E23" s="7" t="s">
        <v>8</v>
      </c>
      <c r="F23" s="7">
        <f t="shared" si="0"/>
        <v>8292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customHeight="1" spans="1:52">
      <c r="A24" s="6"/>
      <c r="B24" s="7"/>
      <c r="C24" s="7"/>
      <c r="D24" s="7"/>
      <c r="E24" s="7" t="s">
        <v>8</v>
      </c>
      <c r="F24" s="7">
        <f t="shared" si="0"/>
        <v>8292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customHeight="1" spans="1:52">
      <c r="A25" s="6"/>
      <c r="B25" s="7"/>
      <c r="C25" s="7"/>
      <c r="D25" s="7"/>
      <c r="E25" s="7" t="s">
        <v>8</v>
      </c>
      <c r="F25" s="7">
        <f t="shared" si="0"/>
        <v>8292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customHeight="1" spans="1:52">
      <c r="A26" s="6"/>
      <c r="B26" s="7"/>
      <c r="C26" s="7"/>
      <c r="D26" s="7"/>
      <c r="E26" s="7" t="s">
        <v>8</v>
      </c>
      <c r="F26" s="7">
        <f t="shared" si="0"/>
        <v>8292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customHeight="1" spans="1:52">
      <c r="A27" s="8" t="s">
        <v>18</v>
      </c>
      <c r="B27" s="9" t="s">
        <v>19</v>
      </c>
      <c r="C27" s="9">
        <f>SUM(C6:C26)</f>
        <v>7754</v>
      </c>
      <c r="D27" s="9">
        <f>SUM(D6:D26)</f>
        <v>7754</v>
      </c>
      <c r="E27" s="7" t="s">
        <v>8</v>
      </c>
      <c r="F27" s="7">
        <f t="shared" si="0"/>
        <v>8292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customHeight="1" spans="1:52">
      <c r="A28" s="8"/>
      <c r="B28" s="9" t="s">
        <v>20</v>
      </c>
      <c r="C28" s="9"/>
      <c r="D28" s="9"/>
      <c r="E28" s="7" t="s">
        <v>8</v>
      </c>
      <c r="F28" s="7">
        <f t="shared" si="0"/>
        <v>8292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customHeight="1" spans="1:52">
      <c r="A29" s="6"/>
      <c r="B29" s="7" t="s">
        <v>21</v>
      </c>
      <c r="C29" s="7"/>
      <c r="D29" s="7"/>
      <c r="E29" s="7" t="s">
        <v>8</v>
      </c>
      <c r="F29" s="7">
        <f t="shared" si="0"/>
        <v>8292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customHeight="1" spans="1:52">
      <c r="A30" s="6"/>
      <c r="B30" s="7"/>
      <c r="C30" s="7"/>
      <c r="D30" s="7"/>
      <c r="E30" s="7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customHeight="1" spans="1:52">
      <c r="A31" s="6"/>
      <c r="B31" s="7"/>
      <c r="C31" s="7"/>
      <c r="D31" s="7"/>
      <c r="E31" s="7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Height="1" spans="1:52">
      <c r="A32" s="6"/>
      <c r="B32" s="7"/>
      <c r="C32" s="7"/>
      <c r="D32" s="7"/>
      <c r="E32" s="7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Height="1" spans="1:52">
      <c r="A33" s="6"/>
      <c r="B33" s="7"/>
      <c r="C33" s="7"/>
      <c r="D33" s="7"/>
      <c r="E33" s="7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Height="1" spans="1:52">
      <c r="A34" s="6"/>
      <c r="B34" s="7"/>
      <c r="C34" s="7"/>
      <c r="D34" s="7"/>
      <c r="E34" s="7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Height="1" spans="1:52">
      <c r="A35" s="6"/>
      <c r="B35" s="7"/>
      <c r="C35" s="7"/>
      <c r="D35" s="7"/>
      <c r="E35" s="7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Height="1" spans="1:52">
      <c r="A36" s="6"/>
      <c r="B36" s="7"/>
      <c r="C36" s="7"/>
      <c r="D36" s="7"/>
      <c r="E36" s="7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Height="1" spans="1:52">
      <c r="A37" s="6"/>
      <c r="B37" s="7"/>
      <c r="C37" s="7"/>
      <c r="D37" s="7"/>
      <c r="E37" s="7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Height="1" spans="1:52">
      <c r="A38" s="6"/>
      <c r="B38" s="7"/>
      <c r="C38" s="7"/>
      <c r="D38" s="7"/>
      <c r="E38" s="7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Height="1" spans="1:52">
      <c r="A39" s="6"/>
      <c r="B39" s="7"/>
      <c r="C39" s="7"/>
      <c r="D39" s="7"/>
      <c r="E39" s="7"/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Height="1" spans="1:52">
      <c r="A40" s="8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customHeight="1" spans="1:52">
      <c r="A41" s="6"/>
      <c r="B41" s="7"/>
      <c r="C41" s="7"/>
      <c r="D41" s="7"/>
      <c r="E41" s="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Height="1" spans="1:52">
      <c r="A42" s="6"/>
      <c r="B42" s="7"/>
      <c r="C42" s="7"/>
      <c r="D42" s="7"/>
      <c r="E42" s="7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Height="1" spans="1:52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Height="1" spans="1:52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Height="1" spans="1:52">
      <c r="A45" s="11"/>
      <c r="B45" s="2"/>
      <c r="C45" s="2"/>
      <c r="D45" s="2"/>
      <c r="E45" s="2"/>
      <c r="F45" s="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customHeight="1" spans="1:52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Height="1" spans="1:52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Height="1" spans="1:52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Height="1" spans="1:52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Height="1" spans="1:52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Height="1" spans="1:52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Height="1" spans="1:52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Height="1" spans="1:52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Height="1" spans="1:52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Height="1" spans="1:52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Height="1" spans="1:52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Height="1" spans="1:52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Height="1" spans="1:52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Height="1" spans="1:52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Height="1" spans="1:52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Height="1" spans="1:52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Height="1" spans="1:52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Height="1" spans="1:52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Height="1" spans="1:52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Height="1" spans="1:52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Height="1" spans="1:52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Height="1" spans="1:52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Height="1" spans="1:52">
      <c r="A68" s="1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Height="1" spans="1:52">
      <c r="A69" s="1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Height="1" spans="1:52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Height="1" spans="1:52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Height="1" spans="1:52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Height="1" spans="1:52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Height="1" spans="1:52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Height="1" spans="1:52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Height="1" spans="1:52">
      <c r="A76" s="1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Height="1" spans="1:52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Height="1" spans="1:52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Height="1" spans="1:52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Height="1" spans="1:52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Height="1" spans="1:52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Height="1" spans="1:52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Height="1" spans="1:52">
      <c r="A83" s="1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Height="1" spans="1:52">
      <c r="A84" s="1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Height="1" spans="1:52">
      <c r="A85" s="1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Height="1" spans="1:52">
      <c r="A86" s="1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Height="1" spans="1:52">
      <c r="A87" s="1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Height="1" spans="1:52">
      <c r="A88" s="1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Height="1" spans="1:52">
      <c r="A89" s="1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Height="1" spans="1:52">
      <c r="A90" s="1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Height="1" spans="1:52">
      <c r="A91" s="1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Height="1" spans="1:52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Height="1" spans="1:52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Height="1" spans="1:52">
      <c r="A94" s="1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Height="1" spans="1:52">
      <c r="A95" s="1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Height="1" spans="1:52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Height="1" spans="1:52">
      <c r="A97" s="1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Height="1" spans="1:52">
      <c r="A98" s="1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Height="1" spans="1:52">
      <c r="A99" s="1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Height="1" spans="1:52">
      <c r="A100" s="1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Height="1" spans="1:52">
      <c r="A101" s="1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Height="1" spans="1:52">
      <c r="A102" s="1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Height="1" spans="1:52">
      <c r="A103" s="1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Height="1" spans="1:52">
      <c r="A104" s="1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Height="1" spans="1:52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Height="1" spans="1:52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Height="1" spans="1:52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Height="1" spans="1:52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Height="1" spans="1:52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Height="1" spans="1:52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Height="1" spans="1:52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Height="1" spans="1:52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Height="1" spans="1:52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Height="1" spans="1:52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Height="1" spans="1:52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Height="1" spans="1:52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Height="1" spans="1:52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Height="1" spans="1:52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Height="1" spans="1:52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Height="1" spans="1:52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Height="1" spans="1:52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Height="1" spans="1:52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Height="1" spans="1:52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Height="1" spans="1:52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Height="1" spans="1:52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Height="1" spans="1:52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Height="1" spans="1:52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Height="1" spans="1:52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Height="1" spans="1:52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Height="1" spans="1:52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Height="1" spans="1:52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Height="1" spans="1:52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Height="1" spans="1:52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Height="1" spans="1:52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Height="1" spans="1:52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Height="1" spans="1:52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Height="1" spans="1:52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Height="1" spans="1:52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Height="1" spans="1:52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Height="1" spans="1:52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Height="1" spans="1:52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Height="1" spans="1:52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Height="1" spans="1:52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Height="1" spans="1:52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Height="1" spans="1:52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Height="1" spans="1:52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Height="1" spans="1:52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Height="1" spans="1:52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Height="1" spans="1:52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Height="1" spans="1:52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Height="1" spans="1:52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Height="1" spans="1:52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Height="1" spans="1:52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Height="1" spans="1:52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Height="1" spans="1:52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Height="1" spans="1:52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Height="1" spans="1:52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Height="1" spans="1:52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Height="1" spans="1:52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Height="1" spans="1:52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Height="1" spans="1:52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Height="1" spans="1:52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Height="1" spans="1:52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Height="1" spans="1:52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Height="1" spans="1:52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Height="1" spans="1:52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Height="1" spans="1:52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Height="1" spans="1:52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Height="1" spans="1:52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Height="1" spans="1:52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Height="1" spans="1:52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Height="1" spans="1:52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Height="1" spans="1:52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Height="1" spans="1:52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Height="1" spans="1:52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Height="1" spans="1:52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Height="1" spans="1:52">
      <c r="A177" s="1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Height="1" spans="1:52">
      <c r="A178" s="1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Height="1" spans="1:52">
      <c r="A179" s="1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Height="1" spans="1:52">
      <c r="A180" s="1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Height="1" spans="1:52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Height="1" spans="1:52">
      <c r="A182" s="1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Height="1" spans="1:52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Height="1" spans="1:52">
      <c r="A184" s="1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Height="1" spans="1:52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Height="1" spans="1:52">
      <c r="A186" s="1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Height="1" spans="1:52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Height="1" spans="1:52">
      <c r="A188" s="1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Height="1" spans="1:52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Height="1" spans="1:52">
      <c r="A190" s="1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Height="1" spans="1:52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Height="1" spans="1:52">
      <c r="A192" s="1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Height="1" spans="1:52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Height="1" spans="1:52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Height="1" spans="1:52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Height="1" spans="1:52">
      <c r="A196" s="1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Height="1" spans="1:52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Height="1" spans="1:52">
      <c r="A198" s="1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Height="1" spans="1:52">
      <c r="A199" s="1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Height="1" spans="1:52">
      <c r="A200" s="1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Height="1" spans="1:52">
      <c r="A201" s="1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Height="1" spans="1:52">
      <c r="A202" s="1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Height="1" spans="1:52">
      <c r="A203" s="1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Height="1" spans="1:52">
      <c r="A204" s="1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Height="1" spans="1:52">
      <c r="A205" s="1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Height="1" spans="1:52">
      <c r="A206" s="1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Height="1" spans="1:52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Height="1" spans="1:52">
      <c r="A208" s="1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Height="1" spans="1:52">
      <c r="A209" s="1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Height="1" spans="1:52">
      <c r="A210" s="1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Height="1" spans="1:52">
      <c r="A211" s="6"/>
      <c r="B211" s="1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2"/>
      <c r="V211" s="2"/>
      <c r="W211" s="2"/>
      <c r="X211" s="2"/>
      <c r="Y211" s="2"/>
      <c r="Z211" s="2"/>
      <c r="AA211" s="2"/>
      <c r="AB211" s="2"/>
      <c r="AC211" s="2"/>
    </row>
    <row r="212" customHeight="1" spans="1:52">
      <c r="A212" s="6"/>
      <c r="B212" s="1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2"/>
      <c r="V212" s="2"/>
      <c r="W212" s="2"/>
      <c r="X212" s="2"/>
      <c r="Y212" s="2"/>
      <c r="Z212" s="2"/>
      <c r="AA212" s="2"/>
      <c r="AB212" s="2"/>
      <c r="AC212" s="2"/>
    </row>
  </sheetData>
  <mergeCells count="7"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12"/>
  <sheetViews>
    <sheetView workbookViewId="0">
      <selection activeCell="C15" sqref="C15"/>
    </sheetView>
  </sheetViews>
  <sheetFormatPr defaultColWidth="9" defaultRowHeight="25" customHeight="1"/>
  <cols>
    <col min="2" max="2" width="13.625" customWidth="1"/>
    <col min="3" max="3" width="19.375" customWidth="1"/>
    <col min="4" max="4" width="10.375" customWidth="1"/>
  </cols>
  <sheetData>
    <row r="1" customHeight="1" spans="1:52">
      <c r="A1" s="1" t="s">
        <v>46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customHeight="1" spans="1:52">
      <c r="A2" s="3"/>
      <c r="B2" s="4"/>
      <c r="C2" s="4"/>
      <c r="D2" s="5">
        <v>2026.8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customHeight="1" spans="1:52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customHeight="1" spans="1:52">
      <c r="A4" s="6"/>
      <c r="B4" s="7"/>
      <c r="C4" s="7"/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customHeight="1" spans="1:52">
      <c r="A5" s="6"/>
      <c r="B5" s="7" t="s">
        <v>7</v>
      </c>
      <c r="C5" s="7"/>
      <c r="D5" s="7"/>
      <c r="E5" s="7" t="s">
        <v>8</v>
      </c>
      <c r="F5" s="7">
        <v>18000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customHeight="1" spans="1:52">
      <c r="A6" s="6" t="s">
        <v>47</v>
      </c>
      <c r="B6" s="7" t="s">
        <v>11</v>
      </c>
      <c r="C6" s="7"/>
      <c r="D6" s="7">
        <v>7862</v>
      </c>
      <c r="E6" s="7" t="s">
        <v>8</v>
      </c>
      <c r="F6" s="7">
        <f t="shared" ref="F6:F29" si="0">F5+D6-C6</f>
        <v>25862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customHeight="1" spans="1:52">
      <c r="A7" s="6"/>
      <c r="B7" s="7" t="s">
        <v>45</v>
      </c>
      <c r="C7" s="7">
        <v>7862</v>
      </c>
      <c r="D7" s="7"/>
      <c r="E7" s="7" t="s">
        <v>8</v>
      </c>
      <c r="F7" s="7">
        <f t="shared" si="0"/>
        <v>18000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Height="1" spans="1:52">
      <c r="A8" s="6" t="s">
        <v>48</v>
      </c>
      <c r="B8" s="7" t="s">
        <v>11</v>
      </c>
      <c r="C8" s="7"/>
      <c r="D8" s="7">
        <v>1360</v>
      </c>
      <c r="E8" s="7" t="s">
        <v>8</v>
      </c>
      <c r="F8" s="7">
        <f t="shared" si="0"/>
        <v>19360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Height="1" spans="1:52">
      <c r="A9" s="6"/>
      <c r="B9" s="7"/>
      <c r="C9" s="7"/>
      <c r="D9" s="7"/>
      <c r="E9" s="7" t="s">
        <v>8</v>
      </c>
      <c r="F9" s="7">
        <f t="shared" si="0"/>
        <v>19360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customHeight="1" spans="1:52">
      <c r="A10" s="6"/>
      <c r="B10" s="7"/>
      <c r="C10" s="7"/>
      <c r="D10" s="7"/>
      <c r="E10" s="7" t="s">
        <v>8</v>
      </c>
      <c r="F10" s="7">
        <f t="shared" si="0"/>
        <v>19360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customHeight="1" spans="1:52">
      <c r="A11" s="6"/>
      <c r="B11" s="7"/>
      <c r="C11" s="7"/>
      <c r="D11" s="7"/>
      <c r="E11" s="7" t="s">
        <v>8</v>
      </c>
      <c r="F11" s="7">
        <f t="shared" si="0"/>
        <v>19360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customHeight="1" spans="1:52">
      <c r="A12" s="6"/>
      <c r="B12" s="7"/>
      <c r="C12" s="7"/>
      <c r="D12" s="7"/>
      <c r="E12" s="7" t="s">
        <v>8</v>
      </c>
      <c r="F12" s="7">
        <f t="shared" si="0"/>
        <v>19360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customHeight="1" spans="1:52">
      <c r="A13" s="6"/>
      <c r="B13" s="7"/>
      <c r="C13" s="7"/>
      <c r="D13" s="7"/>
      <c r="E13" s="7" t="s">
        <v>8</v>
      </c>
      <c r="F13" s="7">
        <f t="shared" si="0"/>
        <v>19360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customHeight="1" spans="1:52">
      <c r="A14" s="6"/>
      <c r="B14" s="7"/>
      <c r="C14" s="7"/>
      <c r="D14" s="7"/>
      <c r="E14" s="7" t="s">
        <v>8</v>
      </c>
      <c r="F14" s="7">
        <f t="shared" si="0"/>
        <v>19360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customHeight="1" spans="1:52">
      <c r="A15" s="6"/>
      <c r="B15" s="7"/>
      <c r="C15" s="7"/>
      <c r="D15" s="7"/>
      <c r="E15" s="7" t="s">
        <v>8</v>
      </c>
      <c r="F15" s="7">
        <f t="shared" si="0"/>
        <v>19360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customHeight="1" spans="1:52">
      <c r="A16" s="6"/>
      <c r="B16" s="7"/>
      <c r="C16" s="7"/>
      <c r="D16" s="7"/>
      <c r="E16" s="7" t="s">
        <v>8</v>
      </c>
      <c r="F16" s="7">
        <f t="shared" si="0"/>
        <v>19360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customHeight="1" spans="1:52">
      <c r="A17" s="6"/>
      <c r="B17" s="7"/>
      <c r="C17" s="7"/>
      <c r="D17" s="7"/>
      <c r="E17" s="7" t="s">
        <v>8</v>
      </c>
      <c r="F17" s="7">
        <f t="shared" si="0"/>
        <v>19360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customHeight="1" spans="1:52">
      <c r="A18" s="6"/>
      <c r="B18" s="7"/>
      <c r="C18" s="7"/>
      <c r="D18" s="7"/>
      <c r="E18" s="7" t="s">
        <v>8</v>
      </c>
      <c r="F18" s="7">
        <f t="shared" si="0"/>
        <v>19360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customHeight="1" spans="1:52">
      <c r="A19" s="6"/>
      <c r="B19" s="7"/>
      <c r="C19" s="7"/>
      <c r="D19" s="7"/>
      <c r="E19" s="7" t="s">
        <v>8</v>
      </c>
      <c r="F19" s="7">
        <f t="shared" si="0"/>
        <v>19360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customHeight="1" spans="1:52">
      <c r="A20" s="6"/>
      <c r="B20" s="7"/>
      <c r="C20" s="7"/>
      <c r="D20" s="7"/>
      <c r="E20" s="7" t="s">
        <v>8</v>
      </c>
      <c r="F20" s="7">
        <f t="shared" si="0"/>
        <v>19360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customHeight="1" spans="1:52">
      <c r="A21" s="6"/>
      <c r="B21" s="7"/>
      <c r="C21" s="7"/>
      <c r="D21" s="7"/>
      <c r="E21" s="7" t="s">
        <v>8</v>
      </c>
      <c r="F21" s="7">
        <f t="shared" si="0"/>
        <v>19360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customHeight="1" spans="1:52">
      <c r="A22" s="6"/>
      <c r="B22" s="7"/>
      <c r="C22" s="7"/>
      <c r="D22" s="7"/>
      <c r="E22" s="7" t="s">
        <v>8</v>
      </c>
      <c r="F22" s="7">
        <f t="shared" si="0"/>
        <v>19360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customHeight="1" spans="1:52">
      <c r="A23" s="6"/>
      <c r="B23" s="7"/>
      <c r="C23" s="7"/>
      <c r="D23" s="7"/>
      <c r="E23" s="7" t="s">
        <v>8</v>
      </c>
      <c r="F23" s="7">
        <f t="shared" si="0"/>
        <v>19360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customHeight="1" spans="1:52">
      <c r="A24" s="6"/>
      <c r="B24" s="7"/>
      <c r="C24" s="7"/>
      <c r="D24" s="7"/>
      <c r="E24" s="7" t="s">
        <v>8</v>
      </c>
      <c r="F24" s="7">
        <f t="shared" si="0"/>
        <v>19360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customHeight="1" spans="1:52">
      <c r="A25" s="6"/>
      <c r="B25" s="7"/>
      <c r="C25" s="7"/>
      <c r="D25" s="7"/>
      <c r="E25" s="7" t="s">
        <v>8</v>
      </c>
      <c r="F25" s="7">
        <f t="shared" si="0"/>
        <v>19360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customHeight="1" spans="1:52">
      <c r="A26" s="6"/>
      <c r="B26" s="7"/>
      <c r="C26" s="7"/>
      <c r="D26" s="7"/>
      <c r="E26" s="7" t="s">
        <v>8</v>
      </c>
      <c r="F26" s="7">
        <f t="shared" si="0"/>
        <v>19360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customHeight="1" spans="1:52">
      <c r="A27" s="8" t="s">
        <v>18</v>
      </c>
      <c r="B27" s="9" t="s">
        <v>19</v>
      </c>
      <c r="C27" s="9">
        <f>SUM(C6:C26)</f>
        <v>7862</v>
      </c>
      <c r="D27" s="9">
        <f>SUM(D6:D26)</f>
        <v>9222</v>
      </c>
      <c r="E27" s="7" t="s">
        <v>8</v>
      </c>
      <c r="F27" s="7">
        <f t="shared" si="0"/>
        <v>20720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customHeight="1" spans="1:52">
      <c r="A28" s="8"/>
      <c r="B28" s="9" t="s">
        <v>20</v>
      </c>
      <c r="C28" s="9"/>
      <c r="D28" s="9"/>
      <c r="E28" s="7" t="s">
        <v>8</v>
      </c>
      <c r="F28" s="7">
        <f t="shared" si="0"/>
        <v>20720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customHeight="1" spans="1:52">
      <c r="A29" s="6"/>
      <c r="B29" s="7" t="s">
        <v>21</v>
      </c>
      <c r="C29" s="7"/>
      <c r="D29" s="7"/>
      <c r="E29" s="7" t="s">
        <v>8</v>
      </c>
      <c r="F29" s="7">
        <f t="shared" si="0"/>
        <v>20720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customHeight="1" spans="1:52">
      <c r="A30" s="6"/>
      <c r="B30" s="7"/>
      <c r="C30" s="7"/>
      <c r="D30" s="7"/>
      <c r="E30" s="7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customHeight="1" spans="1:52">
      <c r="A31" s="6"/>
      <c r="B31" s="7"/>
      <c r="C31" s="7"/>
      <c r="D31" s="7"/>
      <c r="E31" s="7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Height="1" spans="1:52">
      <c r="A32" s="6"/>
      <c r="B32" s="7"/>
      <c r="C32" s="7"/>
      <c r="D32" s="7"/>
      <c r="E32" s="7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Height="1" spans="1:52">
      <c r="A33" s="6"/>
      <c r="B33" s="7"/>
      <c r="C33" s="7"/>
      <c r="D33" s="7"/>
      <c r="E33" s="7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Height="1" spans="1:52">
      <c r="A34" s="6"/>
      <c r="B34" s="7"/>
      <c r="C34" s="7"/>
      <c r="D34" s="7"/>
      <c r="E34" s="7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Height="1" spans="1:52">
      <c r="A35" s="6"/>
      <c r="B35" s="7"/>
      <c r="C35" s="7"/>
      <c r="D35" s="7"/>
      <c r="E35" s="7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Height="1" spans="1:52">
      <c r="A36" s="6"/>
      <c r="B36" s="7"/>
      <c r="C36" s="7"/>
      <c r="D36" s="7"/>
      <c r="E36" s="7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Height="1" spans="1:52">
      <c r="A37" s="6"/>
      <c r="B37" s="7"/>
      <c r="C37" s="7"/>
      <c r="D37" s="7"/>
      <c r="E37" s="7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Height="1" spans="1:52">
      <c r="A38" s="6"/>
      <c r="B38" s="7"/>
      <c r="C38" s="7"/>
      <c r="D38" s="7"/>
      <c r="E38" s="7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Height="1" spans="1:52">
      <c r="A39" s="6"/>
      <c r="B39" s="7"/>
      <c r="C39" s="7"/>
      <c r="D39" s="7"/>
      <c r="E39" s="7"/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Height="1" spans="1:52">
      <c r="A40" s="8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customHeight="1" spans="1:52">
      <c r="A41" s="6"/>
      <c r="B41" s="7"/>
      <c r="C41" s="7"/>
      <c r="D41" s="7"/>
      <c r="E41" s="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Height="1" spans="1:52">
      <c r="A42" s="6"/>
      <c r="B42" s="7"/>
      <c r="C42" s="7"/>
      <c r="D42" s="7"/>
      <c r="E42" s="7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Height="1" spans="1:52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Height="1" spans="1:52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Height="1" spans="1:52">
      <c r="A45" s="11"/>
      <c r="B45" s="2"/>
      <c r="C45" s="2"/>
      <c r="D45" s="2"/>
      <c r="E45" s="2"/>
      <c r="F45" s="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customHeight="1" spans="1:52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Height="1" spans="1:52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Height="1" spans="1:52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Height="1" spans="1:52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Height="1" spans="1:52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Height="1" spans="1:52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Height="1" spans="1:52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Height="1" spans="1:52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Height="1" spans="1:52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Height="1" spans="1:52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Height="1" spans="1:52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Height="1" spans="1:52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Height="1" spans="1:52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Height="1" spans="1:52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Height="1" spans="1:52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Height="1" spans="1:52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Height="1" spans="1:52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Height="1" spans="1:52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Height="1" spans="1:52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Height="1" spans="1:52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Height="1" spans="1:52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Height="1" spans="1:52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Height="1" spans="1:52">
      <c r="A68" s="1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Height="1" spans="1:52">
      <c r="A69" s="1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Height="1" spans="1:52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Height="1" spans="1:52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Height="1" spans="1:52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Height="1" spans="1:52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Height="1" spans="1:52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Height="1" spans="1:52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Height="1" spans="1:52">
      <c r="A76" s="1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Height="1" spans="1:52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Height="1" spans="1:52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Height="1" spans="1:52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Height="1" spans="1:52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Height="1" spans="1:52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Height="1" spans="1:52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Height="1" spans="1:52">
      <c r="A83" s="1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Height="1" spans="1:52">
      <c r="A84" s="1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Height="1" spans="1:52">
      <c r="A85" s="1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Height="1" spans="1:52">
      <c r="A86" s="1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Height="1" spans="1:52">
      <c r="A87" s="1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Height="1" spans="1:52">
      <c r="A88" s="1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Height="1" spans="1:52">
      <c r="A89" s="1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Height="1" spans="1:52">
      <c r="A90" s="1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Height="1" spans="1:52">
      <c r="A91" s="1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Height="1" spans="1:52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Height="1" spans="1:52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Height="1" spans="1:52">
      <c r="A94" s="1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Height="1" spans="1:52">
      <c r="A95" s="1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Height="1" spans="1:52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Height="1" spans="1:52">
      <c r="A97" s="1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Height="1" spans="1:52">
      <c r="A98" s="1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Height="1" spans="1:52">
      <c r="A99" s="1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Height="1" spans="1:52">
      <c r="A100" s="1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Height="1" spans="1:52">
      <c r="A101" s="1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Height="1" spans="1:52">
      <c r="A102" s="1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Height="1" spans="1:52">
      <c r="A103" s="1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Height="1" spans="1:52">
      <c r="A104" s="1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Height="1" spans="1:52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Height="1" spans="1:52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Height="1" spans="1:52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Height="1" spans="1:52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Height="1" spans="1:52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Height="1" spans="1:52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Height="1" spans="1:52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Height="1" spans="1:52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Height="1" spans="1:52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Height="1" spans="1:52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Height="1" spans="1:52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Height="1" spans="1:52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Height="1" spans="1:52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Height="1" spans="1:52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Height="1" spans="1:52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Height="1" spans="1:52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Height="1" spans="1:52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Height="1" spans="1:52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Height="1" spans="1:52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Height="1" spans="1:52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Height="1" spans="1:52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Height="1" spans="1:52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Height="1" spans="1:52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Height="1" spans="1:52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Height="1" spans="1:52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Height="1" spans="1:52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Height="1" spans="1:52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Height="1" spans="1:52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Height="1" spans="1:52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Height="1" spans="1:52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Height="1" spans="1:52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Height="1" spans="1:52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Height="1" spans="1:52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Height="1" spans="1:52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Height="1" spans="1:52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Height="1" spans="1:52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Height="1" spans="1:52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Height="1" spans="1:52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Height="1" spans="1:52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Height="1" spans="1:52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Height="1" spans="1:52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Height="1" spans="1:52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Height="1" spans="1:52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Height="1" spans="1:52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Height="1" spans="1:52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Height="1" spans="1:52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Height="1" spans="1:52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Height="1" spans="1:52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Height="1" spans="1:52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Height="1" spans="1:52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Height="1" spans="1:52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Height="1" spans="1:52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Height="1" spans="1:52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Height="1" spans="1:52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Height="1" spans="1:52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Height="1" spans="1:52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Height="1" spans="1:52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Height="1" spans="1:52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Height="1" spans="1:52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Height="1" spans="1:52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Height="1" spans="1:52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Height="1" spans="1:52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Height="1" spans="1:52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Height="1" spans="1:52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Height="1" spans="1:52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Height="1" spans="1:52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Height="1" spans="1:52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Height="1" spans="1:52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Height="1" spans="1:52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Height="1" spans="1:52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Height="1" spans="1:52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Height="1" spans="1:52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Height="1" spans="1:52">
      <c r="A177" s="1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Height="1" spans="1:52">
      <c r="A178" s="1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Height="1" spans="1:52">
      <c r="A179" s="1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Height="1" spans="1:52">
      <c r="A180" s="1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Height="1" spans="1:52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Height="1" spans="1:52">
      <c r="A182" s="1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Height="1" spans="1:52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Height="1" spans="1:52">
      <c r="A184" s="1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Height="1" spans="1:52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Height="1" spans="1:52">
      <c r="A186" s="1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Height="1" spans="1:52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Height="1" spans="1:52">
      <c r="A188" s="1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Height="1" spans="1:52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Height="1" spans="1:52">
      <c r="A190" s="1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Height="1" spans="1:52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Height="1" spans="1:52">
      <c r="A192" s="1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Height="1" spans="1:52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Height="1" spans="1:52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Height="1" spans="1:52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Height="1" spans="1:52">
      <c r="A196" s="1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Height="1" spans="1:52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Height="1" spans="1:52">
      <c r="A198" s="1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Height="1" spans="1:52">
      <c r="A199" s="1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Height="1" spans="1:52">
      <c r="A200" s="1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Height="1" spans="1:52">
      <c r="A201" s="1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Height="1" spans="1:52">
      <c r="A202" s="1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Height="1" spans="1:52">
      <c r="A203" s="1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Height="1" spans="1:52">
      <c r="A204" s="1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Height="1" spans="1:52">
      <c r="A205" s="1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Height="1" spans="1:52">
      <c r="A206" s="1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Height="1" spans="1:52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Height="1" spans="1:52">
      <c r="A208" s="1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Height="1" spans="1:52">
      <c r="A209" s="1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Height="1" spans="1:52">
      <c r="A210" s="1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Height="1" spans="1:52">
      <c r="A211" s="6"/>
      <c r="B211" s="1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2"/>
      <c r="V211" s="2"/>
      <c r="W211" s="2"/>
      <c r="X211" s="2"/>
      <c r="Y211" s="2"/>
      <c r="Z211" s="2"/>
      <c r="AA211" s="2"/>
      <c r="AB211" s="2"/>
      <c r="AC211" s="2"/>
    </row>
    <row r="212" customHeight="1" spans="1:52">
      <c r="A212" s="6"/>
      <c r="B212" s="1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2"/>
      <c r="V212" s="2"/>
      <c r="W212" s="2"/>
      <c r="X212" s="2"/>
      <c r="Y212" s="2"/>
      <c r="Z212" s="2"/>
      <c r="AA212" s="2"/>
      <c r="AB212" s="2"/>
      <c r="AC212" s="2"/>
    </row>
  </sheetData>
  <mergeCells count="7"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12"/>
  <sheetViews>
    <sheetView workbookViewId="0">
      <selection activeCell="I22" sqref="I22"/>
    </sheetView>
  </sheetViews>
  <sheetFormatPr defaultColWidth="9" defaultRowHeight="25" customHeight="1"/>
  <cols>
    <col min="2" max="2" width="13.625" customWidth="1"/>
    <col min="3" max="3" width="19.375" customWidth="1"/>
    <col min="4" max="4" width="10.375" customWidth="1"/>
  </cols>
  <sheetData>
    <row r="1" customHeight="1" spans="1:52">
      <c r="A1" s="1" t="s">
        <v>49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customHeight="1" spans="1:52">
      <c r="A2" s="3"/>
      <c r="B2" s="4"/>
      <c r="C2" s="4"/>
      <c r="D2" s="5">
        <v>2026.8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customHeight="1" spans="1:52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customHeight="1" spans="1:52">
      <c r="A4" s="6"/>
      <c r="B4" s="7"/>
      <c r="C4" s="7"/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customHeight="1" spans="1:52">
      <c r="A5" s="6"/>
      <c r="B5" s="7" t="s">
        <v>7</v>
      </c>
      <c r="C5" s="7"/>
      <c r="D5" s="7"/>
      <c r="E5" s="7" t="s">
        <v>8</v>
      </c>
      <c r="F5" s="7">
        <v>1698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customHeight="1" spans="1:52">
      <c r="A6" s="6"/>
      <c r="B6" s="7"/>
      <c r="C6" s="7"/>
      <c r="D6" s="7"/>
      <c r="E6" s="7" t="s">
        <v>8</v>
      </c>
      <c r="F6" s="7">
        <f t="shared" ref="F6:F29" si="0">F5+D6-C6</f>
        <v>1698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customHeight="1" spans="1:52">
      <c r="A7" s="6"/>
      <c r="B7" s="7"/>
      <c r="C7" s="7"/>
      <c r="D7" s="7"/>
      <c r="E7" s="7" t="s">
        <v>8</v>
      </c>
      <c r="F7" s="7">
        <f t="shared" si="0"/>
        <v>1698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Height="1" spans="1:52">
      <c r="A8" s="6"/>
      <c r="B8" s="7"/>
      <c r="C8" s="7"/>
      <c r="D8" s="7"/>
      <c r="E8" s="7" t="s">
        <v>8</v>
      </c>
      <c r="F8" s="7">
        <f t="shared" si="0"/>
        <v>1698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Height="1" spans="1:52">
      <c r="A9" s="6"/>
      <c r="B9" s="7"/>
      <c r="C9" s="7"/>
      <c r="D9" s="7"/>
      <c r="E9" s="7" t="s">
        <v>8</v>
      </c>
      <c r="F9" s="7">
        <f t="shared" si="0"/>
        <v>1698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customHeight="1" spans="1:52">
      <c r="A10" s="6"/>
      <c r="B10" s="7"/>
      <c r="C10" s="7"/>
      <c r="D10" s="7"/>
      <c r="E10" s="7" t="s">
        <v>8</v>
      </c>
      <c r="F10" s="7">
        <f t="shared" si="0"/>
        <v>1698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customHeight="1" spans="1:52">
      <c r="A11" s="6"/>
      <c r="B11" s="7"/>
      <c r="C11" s="7"/>
      <c r="D11" s="7"/>
      <c r="E11" s="7" t="s">
        <v>8</v>
      </c>
      <c r="F11" s="7">
        <f t="shared" si="0"/>
        <v>1698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customHeight="1" spans="1:52">
      <c r="A12" s="6"/>
      <c r="B12" s="7"/>
      <c r="C12" s="7"/>
      <c r="D12" s="7"/>
      <c r="E12" s="7" t="s">
        <v>8</v>
      </c>
      <c r="F12" s="7">
        <f t="shared" si="0"/>
        <v>1698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customHeight="1" spans="1:52">
      <c r="A13" s="6"/>
      <c r="B13" s="7"/>
      <c r="C13" s="7"/>
      <c r="D13" s="7"/>
      <c r="E13" s="7" t="s">
        <v>8</v>
      </c>
      <c r="F13" s="7">
        <f t="shared" si="0"/>
        <v>1698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customHeight="1" spans="1:52">
      <c r="A14" s="6"/>
      <c r="B14" s="7"/>
      <c r="C14" s="7"/>
      <c r="D14" s="7"/>
      <c r="E14" s="7" t="s">
        <v>8</v>
      </c>
      <c r="F14" s="7">
        <f t="shared" si="0"/>
        <v>1698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customHeight="1" spans="1:52">
      <c r="A15" s="6"/>
      <c r="B15" s="7"/>
      <c r="C15" s="7"/>
      <c r="D15" s="7"/>
      <c r="E15" s="7" t="s">
        <v>8</v>
      </c>
      <c r="F15" s="7">
        <f t="shared" si="0"/>
        <v>1698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customHeight="1" spans="1:52">
      <c r="A16" s="6"/>
      <c r="B16" s="7"/>
      <c r="C16" s="7"/>
      <c r="D16" s="7"/>
      <c r="E16" s="7" t="s">
        <v>8</v>
      </c>
      <c r="F16" s="7">
        <f t="shared" si="0"/>
        <v>1698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customHeight="1" spans="1:52">
      <c r="A17" s="6"/>
      <c r="B17" s="7"/>
      <c r="C17" s="7"/>
      <c r="D17" s="7"/>
      <c r="E17" s="7" t="s">
        <v>8</v>
      </c>
      <c r="F17" s="7">
        <f t="shared" si="0"/>
        <v>1698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customHeight="1" spans="1:52">
      <c r="A18" s="6"/>
      <c r="B18" s="7"/>
      <c r="C18" s="7"/>
      <c r="D18" s="7"/>
      <c r="E18" s="7" t="s">
        <v>8</v>
      </c>
      <c r="F18" s="7">
        <f t="shared" si="0"/>
        <v>1698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customHeight="1" spans="1:52">
      <c r="A19" s="6"/>
      <c r="B19" s="7"/>
      <c r="C19" s="7"/>
      <c r="D19" s="7"/>
      <c r="E19" s="7" t="s">
        <v>8</v>
      </c>
      <c r="F19" s="7">
        <f t="shared" si="0"/>
        <v>1698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customHeight="1" spans="1:52">
      <c r="A20" s="6"/>
      <c r="B20" s="7"/>
      <c r="C20" s="7"/>
      <c r="D20" s="7"/>
      <c r="E20" s="7" t="s">
        <v>8</v>
      </c>
      <c r="F20" s="7">
        <f t="shared" si="0"/>
        <v>1698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customHeight="1" spans="1:52">
      <c r="A21" s="6"/>
      <c r="B21" s="7"/>
      <c r="C21" s="7"/>
      <c r="D21" s="7"/>
      <c r="E21" s="7" t="s">
        <v>8</v>
      </c>
      <c r="F21" s="7">
        <f t="shared" si="0"/>
        <v>1698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customHeight="1" spans="1:52">
      <c r="A22" s="6"/>
      <c r="B22" s="7"/>
      <c r="C22" s="7"/>
      <c r="D22" s="7"/>
      <c r="E22" s="7" t="s">
        <v>8</v>
      </c>
      <c r="F22" s="7">
        <f t="shared" si="0"/>
        <v>1698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customHeight="1" spans="1:52">
      <c r="A23" s="6"/>
      <c r="B23" s="7"/>
      <c r="C23" s="7"/>
      <c r="D23" s="7"/>
      <c r="E23" s="7" t="s">
        <v>8</v>
      </c>
      <c r="F23" s="7">
        <f t="shared" si="0"/>
        <v>1698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customHeight="1" spans="1:52">
      <c r="A24" s="6"/>
      <c r="B24" s="7"/>
      <c r="C24" s="7"/>
      <c r="D24" s="7"/>
      <c r="E24" s="7" t="s">
        <v>8</v>
      </c>
      <c r="F24" s="7">
        <f t="shared" si="0"/>
        <v>1698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customHeight="1" spans="1:52">
      <c r="A25" s="6"/>
      <c r="B25" s="7"/>
      <c r="C25" s="7"/>
      <c r="D25" s="7"/>
      <c r="E25" s="7" t="s">
        <v>8</v>
      </c>
      <c r="F25" s="7">
        <f t="shared" si="0"/>
        <v>1698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customHeight="1" spans="1:52">
      <c r="A26" s="6"/>
      <c r="B26" s="7"/>
      <c r="C26" s="7"/>
      <c r="D26" s="7"/>
      <c r="E26" s="7" t="s">
        <v>8</v>
      </c>
      <c r="F26" s="7">
        <f t="shared" si="0"/>
        <v>1698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customHeight="1" spans="1:52">
      <c r="A27" s="8" t="s">
        <v>18</v>
      </c>
      <c r="B27" s="9" t="s">
        <v>19</v>
      </c>
      <c r="C27" s="9">
        <f>SUM(C6:C26)</f>
        <v>0</v>
      </c>
      <c r="D27" s="9">
        <f>SUM(D6:D26)</f>
        <v>0</v>
      </c>
      <c r="E27" s="7" t="s">
        <v>8</v>
      </c>
      <c r="F27" s="7">
        <f t="shared" si="0"/>
        <v>1698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customHeight="1" spans="1:52">
      <c r="A28" s="8"/>
      <c r="B28" s="9" t="s">
        <v>20</v>
      </c>
      <c r="C28" s="9"/>
      <c r="D28" s="9"/>
      <c r="E28" s="7" t="s">
        <v>8</v>
      </c>
      <c r="F28" s="7">
        <f t="shared" si="0"/>
        <v>1698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customHeight="1" spans="1:52">
      <c r="A29" s="6"/>
      <c r="B29" s="7" t="s">
        <v>21</v>
      </c>
      <c r="C29" s="7"/>
      <c r="D29" s="7"/>
      <c r="E29" s="7" t="s">
        <v>8</v>
      </c>
      <c r="F29" s="7">
        <f t="shared" si="0"/>
        <v>1698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customHeight="1" spans="1:52">
      <c r="A30" s="6"/>
      <c r="B30" s="7"/>
      <c r="C30" s="7"/>
      <c r="D30" s="7"/>
      <c r="E30" s="7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customHeight="1" spans="1:52">
      <c r="A31" s="6"/>
      <c r="B31" s="7"/>
      <c r="C31" s="7"/>
      <c r="D31" s="7"/>
      <c r="E31" s="7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Height="1" spans="1:52">
      <c r="A32" s="6"/>
      <c r="B32" s="7"/>
      <c r="C32" s="7"/>
      <c r="D32" s="7"/>
      <c r="E32" s="7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Height="1" spans="1:52">
      <c r="A33" s="6"/>
      <c r="B33" s="7"/>
      <c r="C33" s="7"/>
      <c r="D33" s="7"/>
      <c r="E33" s="7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Height="1" spans="1:52">
      <c r="A34" s="6"/>
      <c r="B34" s="7"/>
      <c r="C34" s="7"/>
      <c r="D34" s="7"/>
      <c r="E34" s="7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Height="1" spans="1:52">
      <c r="A35" s="6"/>
      <c r="B35" s="7"/>
      <c r="C35" s="7"/>
      <c r="D35" s="7"/>
      <c r="E35" s="7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Height="1" spans="1:52">
      <c r="A36" s="6"/>
      <c r="B36" s="7"/>
      <c r="C36" s="7"/>
      <c r="D36" s="7"/>
      <c r="E36" s="7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Height="1" spans="1:52">
      <c r="A37" s="6"/>
      <c r="B37" s="7"/>
      <c r="C37" s="7"/>
      <c r="D37" s="7"/>
      <c r="E37" s="7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Height="1" spans="1:52">
      <c r="A38" s="6"/>
      <c r="B38" s="7"/>
      <c r="C38" s="7"/>
      <c r="D38" s="7"/>
      <c r="E38" s="7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Height="1" spans="1:52">
      <c r="A39" s="6"/>
      <c r="B39" s="7"/>
      <c r="C39" s="7"/>
      <c r="D39" s="7"/>
      <c r="E39" s="7"/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Height="1" spans="1:52">
      <c r="A40" s="8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customHeight="1" spans="1:52">
      <c r="A41" s="6"/>
      <c r="B41" s="7"/>
      <c r="C41" s="7"/>
      <c r="D41" s="7"/>
      <c r="E41" s="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Height="1" spans="1:52">
      <c r="A42" s="6"/>
      <c r="B42" s="7"/>
      <c r="C42" s="7"/>
      <c r="D42" s="7"/>
      <c r="E42" s="7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Height="1" spans="1:52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Height="1" spans="1:52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Height="1" spans="1:52">
      <c r="A45" s="11"/>
      <c r="B45" s="2"/>
      <c r="C45" s="2"/>
      <c r="D45" s="2"/>
      <c r="E45" s="2"/>
      <c r="F45" s="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customHeight="1" spans="1:52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Height="1" spans="1:52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Height="1" spans="1:52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Height="1" spans="1:52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Height="1" spans="1:52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Height="1" spans="1:52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Height="1" spans="1:52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Height="1" spans="1:52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Height="1" spans="1:52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Height="1" spans="1:52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Height="1" spans="1:52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Height="1" spans="1:52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Height="1" spans="1:52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Height="1" spans="1:52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Height="1" spans="1:52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Height="1" spans="1:52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Height="1" spans="1:52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Height="1" spans="1:52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Height="1" spans="1:52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Height="1" spans="1:52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Height="1" spans="1:52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Height="1" spans="1:52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Height="1" spans="1:52">
      <c r="A68" s="1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Height="1" spans="1:52">
      <c r="A69" s="1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Height="1" spans="1:52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Height="1" spans="1:52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Height="1" spans="1:52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Height="1" spans="1:52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Height="1" spans="1:52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Height="1" spans="1:52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Height="1" spans="1:52">
      <c r="A76" s="1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Height="1" spans="1:52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Height="1" spans="1:52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Height="1" spans="1:52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Height="1" spans="1:52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Height="1" spans="1:52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Height="1" spans="1:52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Height="1" spans="1:52">
      <c r="A83" s="1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Height="1" spans="1:52">
      <c r="A84" s="1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Height="1" spans="1:52">
      <c r="A85" s="1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Height="1" spans="1:52">
      <c r="A86" s="1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Height="1" spans="1:52">
      <c r="A87" s="1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Height="1" spans="1:52">
      <c r="A88" s="1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Height="1" spans="1:52">
      <c r="A89" s="1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Height="1" spans="1:52">
      <c r="A90" s="1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Height="1" spans="1:52">
      <c r="A91" s="1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Height="1" spans="1:52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Height="1" spans="1:52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Height="1" spans="1:52">
      <c r="A94" s="1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Height="1" spans="1:52">
      <c r="A95" s="1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Height="1" spans="1:52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Height="1" spans="1:52">
      <c r="A97" s="1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Height="1" spans="1:52">
      <c r="A98" s="1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Height="1" spans="1:52">
      <c r="A99" s="1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Height="1" spans="1:52">
      <c r="A100" s="1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Height="1" spans="1:52">
      <c r="A101" s="1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Height="1" spans="1:52">
      <c r="A102" s="1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Height="1" spans="1:52">
      <c r="A103" s="1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Height="1" spans="1:52">
      <c r="A104" s="1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Height="1" spans="1:52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Height="1" spans="1:52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Height="1" spans="1:52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Height="1" spans="1:52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Height="1" spans="1:52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Height="1" spans="1:52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Height="1" spans="1:52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Height="1" spans="1:52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Height="1" spans="1:52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Height="1" spans="1:52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Height="1" spans="1:52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Height="1" spans="1:52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Height="1" spans="1:52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Height="1" spans="1:52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Height="1" spans="1:52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Height="1" spans="1:52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Height="1" spans="1:52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Height="1" spans="1:52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Height="1" spans="1:52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Height="1" spans="1:52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Height="1" spans="1:52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Height="1" spans="1:52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Height="1" spans="1:52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Height="1" spans="1:52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Height="1" spans="1:52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Height="1" spans="1:52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Height="1" spans="1:52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Height="1" spans="1:52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Height="1" spans="1:52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Height="1" spans="1:52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Height="1" spans="1:52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Height="1" spans="1:52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Height="1" spans="1:52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Height="1" spans="1:52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Height="1" spans="1:52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Height="1" spans="1:52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Height="1" spans="1:52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Height="1" spans="1:52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Height="1" spans="1:52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Height="1" spans="1:52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Height="1" spans="1:52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Height="1" spans="1:52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Height="1" spans="1:52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Height="1" spans="1:52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Height="1" spans="1:52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Height="1" spans="1:52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Height="1" spans="1:52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Height="1" spans="1:52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Height="1" spans="1:52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Height="1" spans="1:52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Height="1" spans="1:52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Height="1" spans="1:52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Height="1" spans="1:52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Height="1" spans="1:52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Height="1" spans="1:52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Height="1" spans="1:52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Height="1" spans="1:52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Height="1" spans="1:52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Height="1" spans="1:52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Height="1" spans="1:52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Height="1" spans="1:52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Height="1" spans="1:52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Height="1" spans="1:52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Height="1" spans="1:52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Height="1" spans="1:52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Height="1" spans="1:52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Height="1" spans="1:52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Height="1" spans="1:52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Height="1" spans="1:52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Height="1" spans="1:52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Height="1" spans="1:52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Height="1" spans="1:52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Height="1" spans="1:52">
      <c r="A177" s="1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Height="1" spans="1:52">
      <c r="A178" s="1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Height="1" spans="1:52">
      <c r="A179" s="1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Height="1" spans="1:52">
      <c r="A180" s="1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Height="1" spans="1:52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Height="1" spans="1:52">
      <c r="A182" s="1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Height="1" spans="1:52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Height="1" spans="1:52">
      <c r="A184" s="1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Height="1" spans="1:52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Height="1" spans="1:52">
      <c r="A186" s="1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Height="1" spans="1:52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Height="1" spans="1:52">
      <c r="A188" s="1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Height="1" spans="1:52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Height="1" spans="1:52">
      <c r="A190" s="1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Height="1" spans="1:52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Height="1" spans="1:52">
      <c r="A192" s="1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Height="1" spans="1:52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Height="1" spans="1:52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Height="1" spans="1:52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Height="1" spans="1:52">
      <c r="A196" s="1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Height="1" spans="1:52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Height="1" spans="1:52">
      <c r="A198" s="1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Height="1" spans="1:52">
      <c r="A199" s="1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Height="1" spans="1:52">
      <c r="A200" s="1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Height="1" spans="1:52">
      <c r="A201" s="1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Height="1" spans="1:52">
      <c r="A202" s="1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Height="1" spans="1:52">
      <c r="A203" s="1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Height="1" spans="1:52">
      <c r="A204" s="1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Height="1" spans="1:52">
      <c r="A205" s="1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Height="1" spans="1:52">
      <c r="A206" s="1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Height="1" spans="1:52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Height="1" spans="1:52">
      <c r="A208" s="1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Height="1" spans="1:52">
      <c r="A209" s="1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Height="1" spans="1:52">
      <c r="A210" s="1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Height="1" spans="1:52">
      <c r="A211" s="6"/>
      <c r="B211" s="1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2"/>
      <c r="V211" s="2"/>
      <c r="W211" s="2"/>
      <c r="X211" s="2"/>
      <c r="Y211" s="2"/>
      <c r="Z211" s="2"/>
      <c r="AA211" s="2"/>
      <c r="AB211" s="2"/>
      <c r="AC211" s="2"/>
    </row>
    <row r="212" customHeight="1" spans="1:52">
      <c r="A212" s="6"/>
      <c r="B212" s="1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2"/>
      <c r="V212" s="2"/>
      <c r="W212" s="2"/>
      <c r="X212" s="2"/>
      <c r="Y212" s="2"/>
      <c r="Z212" s="2"/>
      <c r="AA212" s="2"/>
      <c r="AB212" s="2"/>
      <c r="AC212" s="2"/>
    </row>
  </sheetData>
  <mergeCells count="7"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12"/>
  <sheetViews>
    <sheetView workbookViewId="0">
      <selection activeCell="C21" sqref="C21"/>
    </sheetView>
  </sheetViews>
  <sheetFormatPr defaultColWidth="9" defaultRowHeight="25" customHeight="1"/>
  <cols>
    <col min="2" max="2" width="13.625" customWidth="1"/>
    <col min="3" max="3" width="19.375" customWidth="1"/>
    <col min="4" max="4" width="10.375" customWidth="1"/>
  </cols>
  <sheetData>
    <row r="1" customHeight="1" spans="1:52">
      <c r="A1" s="1" t="s">
        <v>50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customHeight="1" spans="1:52">
      <c r="A2" s="3"/>
      <c r="B2" s="4"/>
      <c r="C2" s="4"/>
      <c r="D2" s="5">
        <v>2026.8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customHeight="1" spans="1:52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customHeight="1" spans="1:52">
      <c r="A4" s="6"/>
      <c r="B4" s="7"/>
      <c r="C4" s="7"/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customHeight="1" spans="1:52">
      <c r="A5" s="6"/>
      <c r="B5" s="7" t="s">
        <v>7</v>
      </c>
      <c r="C5" s="7"/>
      <c r="D5" s="7"/>
      <c r="E5" s="7" t="s">
        <v>8</v>
      </c>
      <c r="F5" s="7">
        <v>26776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customHeight="1" spans="1:52">
      <c r="A6" s="6"/>
      <c r="B6" s="7"/>
      <c r="C6" s="7"/>
      <c r="D6" s="7"/>
      <c r="E6" s="7" t="s">
        <v>8</v>
      </c>
      <c r="F6" s="7">
        <f t="shared" ref="F6:F29" si="0">F5+D6-C6</f>
        <v>26776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customHeight="1" spans="1:52">
      <c r="A7" s="6"/>
      <c r="B7" s="7"/>
      <c r="C7" s="7"/>
      <c r="D7" s="7"/>
      <c r="E7" s="7" t="s">
        <v>8</v>
      </c>
      <c r="F7" s="7">
        <f t="shared" si="0"/>
        <v>26776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Height="1" spans="1:52">
      <c r="A8" s="6"/>
      <c r="B8" s="7"/>
      <c r="C8" s="7"/>
      <c r="D8" s="7"/>
      <c r="E8" s="7" t="s">
        <v>8</v>
      </c>
      <c r="F8" s="7">
        <f t="shared" si="0"/>
        <v>26776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Height="1" spans="1:52">
      <c r="A9" s="6"/>
      <c r="B9" s="7"/>
      <c r="C9" s="7"/>
      <c r="D9" s="7"/>
      <c r="E9" s="7" t="s">
        <v>8</v>
      </c>
      <c r="F9" s="7">
        <f t="shared" si="0"/>
        <v>26776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customHeight="1" spans="1:52">
      <c r="A10" s="6"/>
      <c r="B10" s="7"/>
      <c r="C10" s="7"/>
      <c r="D10" s="7"/>
      <c r="E10" s="7" t="s">
        <v>8</v>
      </c>
      <c r="F10" s="7">
        <f t="shared" si="0"/>
        <v>26776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customHeight="1" spans="1:52">
      <c r="A11" s="6"/>
      <c r="B11" s="7"/>
      <c r="C11" s="7"/>
      <c r="D11" s="7"/>
      <c r="E11" s="7" t="s">
        <v>8</v>
      </c>
      <c r="F11" s="7">
        <f t="shared" si="0"/>
        <v>26776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customHeight="1" spans="1:52">
      <c r="A12" s="6"/>
      <c r="B12" s="7"/>
      <c r="C12" s="7"/>
      <c r="D12" s="7"/>
      <c r="E12" s="7" t="s">
        <v>8</v>
      </c>
      <c r="F12" s="7">
        <f t="shared" si="0"/>
        <v>26776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customHeight="1" spans="1:52">
      <c r="A13" s="6"/>
      <c r="B13" s="7"/>
      <c r="C13" s="7"/>
      <c r="D13" s="7"/>
      <c r="E13" s="7" t="s">
        <v>8</v>
      </c>
      <c r="F13" s="7">
        <f t="shared" si="0"/>
        <v>26776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customHeight="1" spans="1:52">
      <c r="A14" s="6"/>
      <c r="B14" s="7"/>
      <c r="C14" s="7"/>
      <c r="D14" s="7"/>
      <c r="E14" s="7" t="s">
        <v>8</v>
      </c>
      <c r="F14" s="7">
        <f t="shared" si="0"/>
        <v>26776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customHeight="1" spans="1:52">
      <c r="A15" s="6"/>
      <c r="B15" s="7"/>
      <c r="C15" s="7"/>
      <c r="D15" s="7"/>
      <c r="E15" s="7" t="s">
        <v>8</v>
      </c>
      <c r="F15" s="7">
        <f t="shared" si="0"/>
        <v>26776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customHeight="1" spans="1:52">
      <c r="A16" s="6"/>
      <c r="B16" s="7"/>
      <c r="C16" s="7"/>
      <c r="D16" s="7"/>
      <c r="E16" s="7" t="s">
        <v>8</v>
      </c>
      <c r="F16" s="7">
        <f t="shared" si="0"/>
        <v>26776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customHeight="1" spans="1:52">
      <c r="A17" s="6"/>
      <c r="B17" s="7"/>
      <c r="C17" s="7"/>
      <c r="D17" s="7"/>
      <c r="E17" s="7" t="s">
        <v>8</v>
      </c>
      <c r="F17" s="7">
        <f t="shared" si="0"/>
        <v>26776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customHeight="1" spans="1:52">
      <c r="A18" s="6"/>
      <c r="B18" s="7"/>
      <c r="C18" s="7"/>
      <c r="D18" s="7"/>
      <c r="E18" s="7" t="s">
        <v>8</v>
      </c>
      <c r="F18" s="7">
        <f t="shared" si="0"/>
        <v>26776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customHeight="1" spans="1:52">
      <c r="A19" s="6"/>
      <c r="B19" s="7"/>
      <c r="C19" s="7"/>
      <c r="D19" s="7"/>
      <c r="E19" s="7" t="s">
        <v>8</v>
      </c>
      <c r="F19" s="7">
        <f t="shared" si="0"/>
        <v>26776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customHeight="1" spans="1:52">
      <c r="A20" s="6"/>
      <c r="B20" s="7"/>
      <c r="C20" s="7"/>
      <c r="D20" s="7"/>
      <c r="E20" s="7" t="s">
        <v>8</v>
      </c>
      <c r="F20" s="7">
        <f t="shared" si="0"/>
        <v>26776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customHeight="1" spans="1:52">
      <c r="A21" s="6"/>
      <c r="B21" s="7"/>
      <c r="C21" s="7"/>
      <c r="D21" s="7"/>
      <c r="E21" s="7" t="s">
        <v>8</v>
      </c>
      <c r="F21" s="7">
        <f t="shared" si="0"/>
        <v>26776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customHeight="1" spans="1:52">
      <c r="A22" s="6"/>
      <c r="B22" s="7"/>
      <c r="C22" s="7"/>
      <c r="D22" s="7"/>
      <c r="E22" s="7" t="s">
        <v>8</v>
      </c>
      <c r="F22" s="7">
        <f t="shared" si="0"/>
        <v>26776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customHeight="1" spans="1:52">
      <c r="A23" s="6"/>
      <c r="B23" s="7"/>
      <c r="C23" s="7"/>
      <c r="D23" s="7"/>
      <c r="E23" s="7" t="s">
        <v>8</v>
      </c>
      <c r="F23" s="7">
        <f t="shared" si="0"/>
        <v>26776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customHeight="1" spans="1:52">
      <c r="A24" s="6"/>
      <c r="B24" s="7"/>
      <c r="C24" s="7"/>
      <c r="D24" s="7"/>
      <c r="E24" s="7" t="s">
        <v>8</v>
      </c>
      <c r="F24" s="7">
        <f t="shared" si="0"/>
        <v>26776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customHeight="1" spans="1:52">
      <c r="A25" s="6"/>
      <c r="B25" s="7"/>
      <c r="C25" s="7"/>
      <c r="D25" s="7"/>
      <c r="E25" s="7" t="s">
        <v>8</v>
      </c>
      <c r="F25" s="7">
        <f t="shared" si="0"/>
        <v>26776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customHeight="1" spans="1:52">
      <c r="A26" s="6"/>
      <c r="B26" s="7"/>
      <c r="C26" s="7"/>
      <c r="D26" s="7"/>
      <c r="E26" s="7" t="s">
        <v>8</v>
      </c>
      <c r="F26" s="7">
        <f t="shared" si="0"/>
        <v>26776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customHeight="1" spans="1:52">
      <c r="A27" s="8" t="s">
        <v>18</v>
      </c>
      <c r="B27" s="9" t="s">
        <v>19</v>
      </c>
      <c r="C27" s="9">
        <f>SUM(C6:C26)</f>
        <v>0</v>
      </c>
      <c r="D27" s="9">
        <f>SUM(D6:D26)</f>
        <v>0</v>
      </c>
      <c r="E27" s="7" t="s">
        <v>8</v>
      </c>
      <c r="F27" s="7">
        <f t="shared" si="0"/>
        <v>26776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customHeight="1" spans="1:52">
      <c r="A28" s="8"/>
      <c r="B28" s="9" t="s">
        <v>20</v>
      </c>
      <c r="C28" s="9"/>
      <c r="D28" s="9"/>
      <c r="E28" s="7" t="s">
        <v>8</v>
      </c>
      <c r="F28" s="7">
        <f t="shared" si="0"/>
        <v>26776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customHeight="1" spans="1:52">
      <c r="A29" s="6"/>
      <c r="B29" s="7" t="s">
        <v>21</v>
      </c>
      <c r="C29" s="7"/>
      <c r="D29" s="7"/>
      <c r="E29" s="7" t="s">
        <v>8</v>
      </c>
      <c r="F29" s="7">
        <f t="shared" si="0"/>
        <v>26776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customHeight="1" spans="1:52">
      <c r="A30" s="6"/>
      <c r="B30" s="7"/>
      <c r="C30" s="7"/>
      <c r="D30" s="7"/>
      <c r="E30" s="7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customHeight="1" spans="1:52">
      <c r="A31" s="6"/>
      <c r="B31" s="7"/>
      <c r="C31" s="7"/>
      <c r="D31" s="7"/>
      <c r="E31" s="7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Height="1" spans="1:52">
      <c r="A32" s="6"/>
      <c r="B32" s="7"/>
      <c r="C32" s="7"/>
      <c r="D32" s="7"/>
      <c r="E32" s="7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Height="1" spans="1:52">
      <c r="A33" s="6"/>
      <c r="B33" s="7"/>
      <c r="C33" s="7"/>
      <c r="D33" s="7"/>
      <c r="E33" s="7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Height="1" spans="1:52">
      <c r="A34" s="6"/>
      <c r="B34" s="7"/>
      <c r="C34" s="7"/>
      <c r="D34" s="7"/>
      <c r="E34" s="7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Height="1" spans="1:52">
      <c r="A35" s="6"/>
      <c r="B35" s="7"/>
      <c r="C35" s="7"/>
      <c r="D35" s="7"/>
      <c r="E35" s="7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Height="1" spans="1:52">
      <c r="A36" s="6"/>
      <c r="B36" s="7"/>
      <c r="C36" s="7"/>
      <c r="D36" s="7"/>
      <c r="E36" s="7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Height="1" spans="1:52">
      <c r="A37" s="6"/>
      <c r="B37" s="7"/>
      <c r="C37" s="7"/>
      <c r="D37" s="7"/>
      <c r="E37" s="7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Height="1" spans="1:52">
      <c r="A38" s="6"/>
      <c r="B38" s="7"/>
      <c r="C38" s="7"/>
      <c r="D38" s="7"/>
      <c r="E38" s="7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Height="1" spans="1:52">
      <c r="A39" s="6"/>
      <c r="B39" s="7"/>
      <c r="C39" s="7"/>
      <c r="D39" s="7"/>
      <c r="E39" s="7"/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Height="1" spans="1:52">
      <c r="A40" s="8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customHeight="1" spans="1:52">
      <c r="A41" s="6"/>
      <c r="B41" s="7"/>
      <c r="C41" s="7"/>
      <c r="D41" s="7"/>
      <c r="E41" s="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Height="1" spans="1:52">
      <c r="A42" s="6"/>
      <c r="B42" s="7"/>
      <c r="C42" s="7"/>
      <c r="D42" s="7"/>
      <c r="E42" s="7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Height="1" spans="1:52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Height="1" spans="1:52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Height="1" spans="1:52">
      <c r="A45" s="11"/>
      <c r="B45" s="2"/>
      <c r="C45" s="2"/>
      <c r="D45" s="2"/>
      <c r="E45" s="2"/>
      <c r="F45" s="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customHeight="1" spans="1:52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Height="1" spans="1:52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Height="1" spans="1:52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Height="1" spans="1:52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Height="1" spans="1:52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Height="1" spans="1:52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Height="1" spans="1:52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Height="1" spans="1:52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Height="1" spans="1:52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Height="1" spans="1:52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Height="1" spans="1:52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Height="1" spans="1:52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Height="1" spans="1:52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Height="1" spans="1:52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Height="1" spans="1:52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Height="1" spans="1:52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Height="1" spans="1:52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Height="1" spans="1:52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Height="1" spans="1:52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Height="1" spans="1:52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Height="1" spans="1:52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Height="1" spans="1:52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Height="1" spans="1:52">
      <c r="A68" s="1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Height="1" spans="1:52">
      <c r="A69" s="1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Height="1" spans="1:52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Height="1" spans="1:52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Height="1" spans="1:52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Height="1" spans="1:52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Height="1" spans="1:52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Height="1" spans="1:52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Height="1" spans="1:52">
      <c r="A76" s="1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Height="1" spans="1:52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Height="1" spans="1:52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Height="1" spans="1:52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Height="1" spans="1:52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Height="1" spans="1:52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Height="1" spans="1:52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Height="1" spans="1:52">
      <c r="A83" s="1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Height="1" spans="1:52">
      <c r="A84" s="1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Height="1" spans="1:52">
      <c r="A85" s="1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Height="1" spans="1:52">
      <c r="A86" s="1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Height="1" spans="1:52">
      <c r="A87" s="1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Height="1" spans="1:52">
      <c r="A88" s="1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Height="1" spans="1:52">
      <c r="A89" s="1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Height="1" spans="1:52">
      <c r="A90" s="1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Height="1" spans="1:52">
      <c r="A91" s="1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Height="1" spans="1:52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Height="1" spans="1:52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Height="1" spans="1:52">
      <c r="A94" s="1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Height="1" spans="1:52">
      <c r="A95" s="1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Height="1" spans="1:52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Height="1" spans="1:52">
      <c r="A97" s="1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Height="1" spans="1:52">
      <c r="A98" s="1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Height="1" spans="1:52">
      <c r="A99" s="1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Height="1" spans="1:52">
      <c r="A100" s="1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Height="1" spans="1:52">
      <c r="A101" s="1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Height="1" spans="1:52">
      <c r="A102" s="1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Height="1" spans="1:52">
      <c r="A103" s="1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Height="1" spans="1:52">
      <c r="A104" s="1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Height="1" spans="1:52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Height="1" spans="1:52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Height="1" spans="1:52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Height="1" spans="1:52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Height="1" spans="1:52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Height="1" spans="1:52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Height="1" spans="1:52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Height="1" spans="1:52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Height="1" spans="1:52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Height="1" spans="1:52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Height="1" spans="1:52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Height="1" spans="1:52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Height="1" spans="1:52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Height="1" spans="1:52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Height="1" spans="1:52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Height="1" spans="1:52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Height="1" spans="1:52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Height="1" spans="1:52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Height="1" spans="1:52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Height="1" spans="1:52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Height="1" spans="1:52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Height="1" spans="1:52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Height="1" spans="1:52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Height="1" spans="1:52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Height="1" spans="1:52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Height="1" spans="1:52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Height="1" spans="1:52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Height="1" spans="1:52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Height="1" spans="1:52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Height="1" spans="1:52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Height="1" spans="1:52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Height="1" spans="1:52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Height="1" spans="1:52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Height="1" spans="1:52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Height="1" spans="1:52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Height="1" spans="1:52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Height="1" spans="1:52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Height="1" spans="1:52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Height="1" spans="1:52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Height="1" spans="1:52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Height="1" spans="1:52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Height="1" spans="1:52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Height="1" spans="1:52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Height="1" spans="1:52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Height="1" spans="1:52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Height="1" spans="1:52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Height="1" spans="1:52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Height="1" spans="1:52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Height="1" spans="1:52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Height="1" spans="1:52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Height="1" spans="1:52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Height="1" spans="1:52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Height="1" spans="1:52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Height="1" spans="1:52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Height="1" spans="1:52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Height="1" spans="1:52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Height="1" spans="1:52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Height="1" spans="1:52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Height="1" spans="1:52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Height="1" spans="1:52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Height="1" spans="1:52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Height="1" spans="1:52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Height="1" spans="1:52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Height="1" spans="1:52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Height="1" spans="1:52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Height="1" spans="1:52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Height="1" spans="1:52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Height="1" spans="1:52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Height="1" spans="1:52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Height="1" spans="1:52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Height="1" spans="1:52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Height="1" spans="1:52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Height="1" spans="1:52">
      <c r="A177" s="1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Height="1" spans="1:52">
      <c r="A178" s="1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Height="1" spans="1:52">
      <c r="A179" s="1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Height="1" spans="1:52">
      <c r="A180" s="1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Height="1" spans="1:52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Height="1" spans="1:52">
      <c r="A182" s="1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Height="1" spans="1:52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Height="1" spans="1:52">
      <c r="A184" s="1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Height="1" spans="1:52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Height="1" spans="1:52">
      <c r="A186" s="1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Height="1" spans="1:52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Height="1" spans="1:52">
      <c r="A188" s="1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Height="1" spans="1:52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Height="1" spans="1:52">
      <c r="A190" s="1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Height="1" spans="1:52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Height="1" spans="1:52">
      <c r="A192" s="1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Height="1" spans="1:52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Height="1" spans="1:52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Height="1" spans="1:52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Height="1" spans="1:52">
      <c r="A196" s="1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Height="1" spans="1:52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Height="1" spans="1:52">
      <c r="A198" s="1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Height="1" spans="1:52">
      <c r="A199" s="1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Height="1" spans="1:52">
      <c r="A200" s="1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Height="1" spans="1:52">
      <c r="A201" s="1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Height="1" spans="1:52">
      <c r="A202" s="1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Height="1" spans="1:52">
      <c r="A203" s="1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Height="1" spans="1:52">
      <c r="A204" s="1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Height="1" spans="1:52">
      <c r="A205" s="1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Height="1" spans="1:52">
      <c r="A206" s="1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Height="1" spans="1:52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Height="1" spans="1:52">
      <c r="A208" s="1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Height="1" spans="1:52">
      <c r="A209" s="1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Height="1" spans="1:52">
      <c r="A210" s="1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Height="1" spans="1:52">
      <c r="A211" s="6"/>
      <c r="B211" s="1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2"/>
      <c r="V211" s="2"/>
      <c r="W211" s="2"/>
      <c r="X211" s="2"/>
      <c r="Y211" s="2"/>
      <c r="Z211" s="2"/>
      <c r="AA211" s="2"/>
      <c r="AB211" s="2"/>
      <c r="AC211" s="2"/>
    </row>
    <row r="212" customHeight="1" spans="1:52">
      <c r="A212" s="6"/>
      <c r="B212" s="1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2"/>
      <c r="V212" s="2"/>
      <c r="W212" s="2"/>
      <c r="X212" s="2"/>
      <c r="Y212" s="2"/>
      <c r="Z212" s="2"/>
      <c r="AA212" s="2"/>
      <c r="AB212" s="2"/>
      <c r="AC212" s="2"/>
    </row>
  </sheetData>
  <mergeCells count="7"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12"/>
  <sheetViews>
    <sheetView tabSelected="1" workbookViewId="0">
      <selection activeCell="D13" sqref="D13"/>
    </sheetView>
  </sheetViews>
  <sheetFormatPr defaultColWidth="9" defaultRowHeight="25" customHeight="1"/>
  <cols>
    <col min="2" max="2" width="13.625" customWidth="1"/>
    <col min="3" max="3" width="19.375" customWidth="1"/>
    <col min="4" max="4" width="10.375" customWidth="1"/>
  </cols>
  <sheetData>
    <row r="1" customHeight="1" spans="1:52">
      <c r="A1" s="1" t="s">
        <v>51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customHeight="1" spans="1:52">
      <c r="A2" s="3"/>
      <c r="B2" s="4"/>
      <c r="C2" s="4"/>
      <c r="D2" s="5">
        <v>2026.8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customHeight="1" spans="1:52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customHeight="1" spans="1:52">
      <c r="A4" s="6"/>
      <c r="B4" s="7"/>
      <c r="C4" s="7"/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customHeight="1" spans="1:52">
      <c r="A5" s="6"/>
      <c r="B5" s="7" t="s">
        <v>7</v>
      </c>
      <c r="C5" s="7"/>
      <c r="D5" s="7"/>
      <c r="E5" s="7" t="s">
        <v>8</v>
      </c>
      <c r="F5" s="7">
        <v>12407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customHeight="1" spans="1:52">
      <c r="A6" s="6"/>
      <c r="B6" s="7"/>
      <c r="C6" s="7"/>
      <c r="D6" s="7"/>
      <c r="E6" s="7" t="s">
        <v>8</v>
      </c>
      <c r="F6" s="7">
        <f t="shared" ref="F6:F26" si="0">F5+D6-C6</f>
        <v>12407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customHeight="1" spans="1:52">
      <c r="A7" s="6"/>
      <c r="B7" s="7"/>
      <c r="C7" s="7"/>
      <c r="D7" s="7"/>
      <c r="E7" s="7" t="s">
        <v>8</v>
      </c>
      <c r="F7" s="7">
        <f t="shared" si="0"/>
        <v>12407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Height="1" spans="1:52">
      <c r="A8" s="6"/>
      <c r="B8" s="7"/>
      <c r="C8" s="7"/>
      <c r="D8" s="7"/>
      <c r="E8" s="7" t="s">
        <v>8</v>
      </c>
      <c r="F8" s="7">
        <f t="shared" si="0"/>
        <v>12407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Height="1" spans="1:52">
      <c r="A9" s="6"/>
      <c r="B9" s="7"/>
      <c r="C9" s="7"/>
      <c r="D9" s="7"/>
      <c r="E9" s="7" t="s">
        <v>8</v>
      </c>
      <c r="F9" s="7">
        <f t="shared" si="0"/>
        <v>12407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customHeight="1" spans="1:52">
      <c r="A10" s="6"/>
      <c r="B10" s="7"/>
      <c r="C10" s="7"/>
      <c r="D10" s="7"/>
      <c r="E10" s="7" t="s">
        <v>8</v>
      </c>
      <c r="F10" s="7">
        <f t="shared" si="0"/>
        <v>12407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customHeight="1" spans="1:52">
      <c r="A11" s="6"/>
      <c r="B11" s="7"/>
      <c r="C11" s="7"/>
      <c r="D11" s="7"/>
      <c r="E11" s="7" t="s">
        <v>8</v>
      </c>
      <c r="F11" s="7">
        <f t="shared" si="0"/>
        <v>12407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customHeight="1" spans="1:52">
      <c r="A12" s="6"/>
      <c r="B12" s="7"/>
      <c r="C12" s="7"/>
      <c r="D12" s="7"/>
      <c r="E12" s="7" t="s">
        <v>8</v>
      </c>
      <c r="F12" s="7">
        <f t="shared" si="0"/>
        <v>12407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customHeight="1" spans="1:52">
      <c r="A13" s="6"/>
      <c r="B13" s="7"/>
      <c r="C13" s="7"/>
      <c r="D13" s="7"/>
      <c r="E13" s="7" t="s">
        <v>8</v>
      </c>
      <c r="F13" s="7">
        <f t="shared" si="0"/>
        <v>12407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customHeight="1" spans="1:52">
      <c r="A14" s="6"/>
      <c r="B14" s="7"/>
      <c r="C14" s="7"/>
      <c r="D14" s="7"/>
      <c r="E14" s="7" t="s">
        <v>8</v>
      </c>
      <c r="F14" s="7">
        <f t="shared" si="0"/>
        <v>12407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customHeight="1" spans="1:52">
      <c r="A15" s="6"/>
      <c r="B15" s="7"/>
      <c r="C15" s="7"/>
      <c r="D15" s="7"/>
      <c r="E15" s="7" t="s">
        <v>8</v>
      </c>
      <c r="F15" s="7">
        <f t="shared" si="0"/>
        <v>12407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customHeight="1" spans="1:52">
      <c r="A16" s="6"/>
      <c r="B16" s="7"/>
      <c r="C16" s="7"/>
      <c r="D16" s="7"/>
      <c r="E16" s="7" t="s">
        <v>8</v>
      </c>
      <c r="F16" s="7">
        <f t="shared" si="0"/>
        <v>12407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customHeight="1" spans="1:52">
      <c r="A17" s="6"/>
      <c r="B17" s="7"/>
      <c r="C17" s="7"/>
      <c r="D17" s="7"/>
      <c r="E17" s="7" t="s">
        <v>8</v>
      </c>
      <c r="F17" s="7">
        <f t="shared" si="0"/>
        <v>12407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customHeight="1" spans="1:52">
      <c r="A18" s="6"/>
      <c r="B18" s="7"/>
      <c r="C18" s="7"/>
      <c r="D18" s="7"/>
      <c r="E18" s="7" t="s">
        <v>8</v>
      </c>
      <c r="F18" s="7">
        <f t="shared" si="0"/>
        <v>12407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customHeight="1" spans="1:52">
      <c r="A19" s="6"/>
      <c r="B19" s="7"/>
      <c r="C19" s="7"/>
      <c r="D19" s="7"/>
      <c r="E19" s="7" t="s">
        <v>8</v>
      </c>
      <c r="F19" s="7">
        <f t="shared" si="0"/>
        <v>12407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customHeight="1" spans="1:52">
      <c r="A20" s="6"/>
      <c r="B20" s="7"/>
      <c r="C20" s="7"/>
      <c r="D20" s="7"/>
      <c r="E20" s="7" t="s">
        <v>8</v>
      </c>
      <c r="F20" s="7">
        <f t="shared" si="0"/>
        <v>12407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customHeight="1" spans="1:52">
      <c r="A21" s="6"/>
      <c r="B21" s="7"/>
      <c r="C21" s="7"/>
      <c r="D21" s="7"/>
      <c r="E21" s="7" t="s">
        <v>8</v>
      </c>
      <c r="F21" s="7">
        <f t="shared" si="0"/>
        <v>12407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customHeight="1" spans="1:52">
      <c r="A22" s="6"/>
      <c r="B22" s="7"/>
      <c r="C22" s="7"/>
      <c r="D22" s="7"/>
      <c r="E22" s="7" t="s">
        <v>8</v>
      </c>
      <c r="F22" s="7">
        <f t="shared" si="0"/>
        <v>12407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customHeight="1" spans="1:52">
      <c r="A23" s="6"/>
      <c r="B23" s="7"/>
      <c r="C23" s="7"/>
      <c r="D23" s="7"/>
      <c r="E23" s="7" t="s">
        <v>8</v>
      </c>
      <c r="F23" s="7">
        <f t="shared" si="0"/>
        <v>12407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customHeight="1" spans="1:52">
      <c r="A24" s="6"/>
      <c r="B24" s="7"/>
      <c r="C24" s="7"/>
      <c r="D24" s="7"/>
      <c r="E24" s="7" t="s">
        <v>8</v>
      </c>
      <c r="F24" s="7">
        <f t="shared" si="0"/>
        <v>12407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customHeight="1" spans="1:52">
      <c r="A25" s="6"/>
      <c r="B25" s="7"/>
      <c r="C25" s="7"/>
      <c r="D25" s="7"/>
      <c r="E25" s="7" t="s">
        <v>8</v>
      </c>
      <c r="F25" s="7">
        <f t="shared" si="0"/>
        <v>12407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customHeight="1" spans="1:52">
      <c r="A26" s="6"/>
      <c r="B26" s="7"/>
      <c r="C26" s="7"/>
      <c r="D26" s="7"/>
      <c r="E26" s="7" t="s">
        <v>8</v>
      </c>
      <c r="F26" s="7">
        <f t="shared" si="0"/>
        <v>12407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customHeight="1" spans="1:52">
      <c r="A27" s="8" t="s">
        <v>18</v>
      </c>
      <c r="B27" s="9" t="s">
        <v>19</v>
      </c>
      <c r="C27" s="9">
        <f>SUM(C6:C26)</f>
        <v>0</v>
      </c>
      <c r="D27" s="9">
        <f>SUM(D6:D26)</f>
        <v>0</v>
      </c>
      <c r="E27" s="7" t="s">
        <v>8</v>
      </c>
      <c r="F27" s="9">
        <v>119000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customHeight="1" spans="1:52">
      <c r="A28" s="8"/>
      <c r="B28" s="9" t="s">
        <v>20</v>
      </c>
      <c r="C28" s="9"/>
      <c r="D28" s="9"/>
      <c r="E28" s="7" t="s">
        <v>8</v>
      </c>
      <c r="F28" s="9">
        <v>119000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customHeight="1" spans="1:52">
      <c r="A29" s="6"/>
      <c r="B29" s="7" t="s">
        <v>21</v>
      </c>
      <c r="C29" s="7"/>
      <c r="D29" s="7"/>
      <c r="E29" s="7" t="s">
        <v>8</v>
      </c>
      <c r="F29" s="9">
        <v>119000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customHeight="1" spans="1:52">
      <c r="A30" s="6"/>
      <c r="B30" s="7"/>
      <c r="C30" s="7"/>
      <c r="D30" s="7"/>
      <c r="E30" s="7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customHeight="1" spans="1:52">
      <c r="A31" s="6"/>
      <c r="B31" s="7"/>
      <c r="C31" s="7"/>
      <c r="D31" s="7"/>
      <c r="E31" s="7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Height="1" spans="1:52">
      <c r="A32" s="6"/>
      <c r="B32" s="7"/>
      <c r="C32" s="7"/>
      <c r="D32" s="7"/>
      <c r="E32" s="7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Height="1" spans="1:52">
      <c r="A33" s="6"/>
      <c r="B33" s="7"/>
      <c r="C33" s="7"/>
      <c r="D33" s="7"/>
      <c r="E33" s="7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Height="1" spans="1:52">
      <c r="A34" s="6"/>
      <c r="B34" s="7"/>
      <c r="C34" s="7"/>
      <c r="D34" s="7"/>
      <c r="E34" s="7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Height="1" spans="1:52">
      <c r="A35" s="6"/>
      <c r="B35" s="7"/>
      <c r="C35" s="7"/>
      <c r="D35" s="7"/>
      <c r="E35" s="7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Height="1" spans="1:52">
      <c r="A36" s="6"/>
      <c r="B36" s="7"/>
      <c r="C36" s="7"/>
      <c r="D36" s="7"/>
      <c r="E36" s="7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Height="1" spans="1:52">
      <c r="A37" s="6"/>
      <c r="B37" s="7"/>
      <c r="C37" s="7"/>
      <c r="D37" s="7"/>
      <c r="E37" s="7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Height="1" spans="1:52">
      <c r="A38" s="6"/>
      <c r="B38" s="7"/>
      <c r="C38" s="7"/>
      <c r="D38" s="7"/>
      <c r="E38" s="7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Height="1" spans="1:52">
      <c r="A39" s="6"/>
      <c r="B39" s="7"/>
      <c r="C39" s="7"/>
      <c r="D39" s="7"/>
      <c r="E39" s="7"/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Height="1" spans="1:52">
      <c r="A40" s="8"/>
      <c r="B40" s="9"/>
      <c r="C40" s="9"/>
      <c r="D40" s="9"/>
      <c r="E40" s="9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customHeight="1" spans="1:52">
      <c r="A41" s="6"/>
      <c r="B41" s="7"/>
      <c r="C41" s="7"/>
      <c r="D41" s="7"/>
      <c r="E41" s="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Height="1" spans="1:52">
      <c r="A42" s="6"/>
      <c r="B42" s="7"/>
      <c r="C42" s="7"/>
      <c r="D42" s="7"/>
      <c r="E42" s="7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Height="1" spans="1:52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Height="1" spans="1:52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Height="1" spans="1:52">
      <c r="A45" s="11"/>
      <c r="B45" s="2"/>
      <c r="C45" s="2"/>
      <c r="D45" s="2"/>
      <c r="E45" s="2"/>
      <c r="F45" s="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customHeight="1" spans="1:52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Height="1" spans="1:52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Height="1" spans="1:52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Height="1" spans="1:52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Height="1" spans="1:52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Height="1" spans="1:52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Height="1" spans="1:52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Height="1" spans="1:52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Height="1" spans="1:52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Height="1" spans="1:52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Height="1" spans="1:52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Height="1" spans="1:52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Height="1" spans="1:52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Height="1" spans="1:52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Height="1" spans="1:52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Height="1" spans="1:52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Height="1" spans="1:52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Height="1" spans="1:52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Height="1" spans="1:52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Height="1" spans="1:52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Height="1" spans="1:52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Height="1" spans="1:52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Height="1" spans="1:52">
      <c r="A68" s="1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Height="1" spans="1:52">
      <c r="A69" s="1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Height="1" spans="1:52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Height="1" spans="1:52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Height="1" spans="1:52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Height="1" spans="1:52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Height="1" spans="1:52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Height="1" spans="1:52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Height="1" spans="1:52">
      <c r="A76" s="1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Height="1" spans="1:52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Height="1" spans="1:52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Height="1" spans="1:52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Height="1" spans="1:52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Height="1" spans="1:52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Height="1" spans="1:52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Height="1" spans="1:52">
      <c r="A83" s="1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Height="1" spans="1:52">
      <c r="A84" s="1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Height="1" spans="1:52">
      <c r="A85" s="1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Height="1" spans="1:52">
      <c r="A86" s="1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Height="1" spans="1:52">
      <c r="A87" s="1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Height="1" spans="1:52">
      <c r="A88" s="1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Height="1" spans="1:52">
      <c r="A89" s="1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Height="1" spans="1:52">
      <c r="A90" s="1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Height="1" spans="1:52">
      <c r="A91" s="1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Height="1" spans="1:52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Height="1" spans="1:52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Height="1" spans="1:52">
      <c r="A94" s="1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Height="1" spans="1:52">
      <c r="A95" s="1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Height="1" spans="1:52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Height="1" spans="1:52">
      <c r="A97" s="1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Height="1" spans="1:52">
      <c r="A98" s="1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Height="1" spans="1:52">
      <c r="A99" s="1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Height="1" spans="1:52">
      <c r="A100" s="1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Height="1" spans="1:52">
      <c r="A101" s="1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Height="1" spans="1:52">
      <c r="A102" s="1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Height="1" spans="1:52">
      <c r="A103" s="1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Height="1" spans="1:52">
      <c r="A104" s="1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Height="1" spans="1:52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Height="1" spans="1:52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Height="1" spans="1:52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Height="1" spans="1:52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Height="1" spans="1:52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Height="1" spans="1:52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Height="1" spans="1:52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Height="1" spans="1:52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Height="1" spans="1:52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Height="1" spans="1:52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Height="1" spans="1:52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Height="1" spans="1:52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Height="1" spans="1:52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Height="1" spans="1:52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Height="1" spans="1:52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Height="1" spans="1:52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Height="1" spans="1:52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Height="1" spans="1:52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Height="1" spans="1:52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Height="1" spans="1:52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Height="1" spans="1:52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Height="1" spans="1:52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Height="1" spans="1:52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Height="1" spans="1:52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Height="1" spans="1:52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Height="1" spans="1:52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Height="1" spans="1:52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Height="1" spans="1:52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Height="1" spans="1:52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Height="1" spans="1:52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Height="1" spans="1:52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Height="1" spans="1:52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Height="1" spans="1:52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Height="1" spans="1:52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Height="1" spans="1:52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Height="1" spans="1:52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Height="1" spans="1:52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Height="1" spans="1:52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Height="1" spans="1:52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Height="1" spans="1:52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Height="1" spans="1:52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Height="1" spans="1:52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Height="1" spans="1:52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Height="1" spans="1:52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Height="1" spans="1:52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Height="1" spans="1:52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Height="1" spans="1:52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Height="1" spans="1:52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Height="1" spans="1:52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Height="1" spans="1:52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Height="1" spans="1:52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Height="1" spans="1:52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Height="1" spans="1:52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Height="1" spans="1:52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Height="1" spans="1:52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Height="1" spans="1:52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Height="1" spans="1:52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Height="1" spans="1:52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Height="1" spans="1:52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Height="1" spans="1:52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Height="1" spans="1:52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Height="1" spans="1:52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Height="1" spans="1:52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Height="1" spans="1:52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Height="1" spans="1:52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Height="1" spans="1:52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Height="1" spans="1:52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Height="1" spans="1:52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Height="1" spans="1:52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Height="1" spans="1:52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Height="1" spans="1:52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Height="1" spans="1:52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Height="1" spans="1:52">
      <c r="A177" s="1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Height="1" spans="1:52">
      <c r="A178" s="1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Height="1" spans="1:52">
      <c r="A179" s="1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Height="1" spans="1:52">
      <c r="A180" s="1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Height="1" spans="1:52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Height="1" spans="1:52">
      <c r="A182" s="1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Height="1" spans="1:52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Height="1" spans="1:52">
      <c r="A184" s="1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Height="1" spans="1:52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Height="1" spans="1:52">
      <c r="A186" s="1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Height="1" spans="1:52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Height="1" spans="1:52">
      <c r="A188" s="1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Height="1" spans="1:52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Height="1" spans="1:52">
      <c r="A190" s="1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Height="1" spans="1:52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Height="1" spans="1:52">
      <c r="A192" s="1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Height="1" spans="1:52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Height="1" spans="1:52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Height="1" spans="1:52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Height="1" spans="1:52">
      <c r="A196" s="1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Height="1" spans="1:52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Height="1" spans="1:52">
      <c r="A198" s="1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Height="1" spans="1:52">
      <c r="A199" s="1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Height="1" spans="1:52">
      <c r="A200" s="1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Height="1" spans="1:52">
      <c r="A201" s="1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Height="1" spans="1:52">
      <c r="A202" s="1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Height="1" spans="1:52">
      <c r="A203" s="1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Height="1" spans="1:52">
      <c r="A204" s="1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Height="1" spans="1:52">
      <c r="A205" s="1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Height="1" spans="1:52">
      <c r="A206" s="1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Height="1" spans="1:52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Height="1" spans="1:52">
      <c r="A208" s="1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Height="1" spans="1:52">
      <c r="A209" s="1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Height="1" spans="1:52">
      <c r="A210" s="1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Height="1" spans="1:52">
      <c r="A211" s="6"/>
      <c r="B211" s="1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2"/>
      <c r="V211" s="2"/>
      <c r="W211" s="2"/>
      <c r="X211" s="2"/>
      <c r="Y211" s="2"/>
      <c r="Z211" s="2"/>
      <c r="AA211" s="2"/>
      <c r="AB211" s="2"/>
      <c r="AC211" s="2"/>
    </row>
    <row r="212" customHeight="1" spans="1:52">
      <c r="A212" s="6"/>
      <c r="B212" s="1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2"/>
      <c r="V212" s="2"/>
      <c r="W212" s="2"/>
      <c r="X212" s="2"/>
      <c r="Y212" s="2"/>
      <c r="Z212" s="2"/>
      <c r="AA212" s="2"/>
      <c r="AB212" s="2"/>
      <c r="AC212" s="2"/>
    </row>
  </sheetData>
  <mergeCells count="7"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河北钢磊</vt:lpstr>
      <vt:lpstr>刘军亮</vt:lpstr>
      <vt:lpstr>王江停</vt:lpstr>
      <vt:lpstr>张继贤</vt:lpstr>
      <vt:lpstr>安朋林</vt:lpstr>
      <vt:lpstr>王乾召</vt:lpstr>
      <vt:lpstr>翟兆远</vt:lpstr>
      <vt:lpstr>张荣志</vt:lpstr>
      <vt:lpstr>诚信纸箱厂</vt:lpstr>
      <vt:lpstr>聊城森奥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王辉</cp:lastModifiedBy>
  <dcterms:created xsi:type="dcterms:W3CDTF">2023-05-12T11:15:00Z</dcterms:created>
  <dcterms:modified xsi:type="dcterms:W3CDTF">2026-10-09T02:08:29Z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DAFE9FAE947E4ED593079DE095940D24_13</vt:lpwstr>
  </property>
  <property fmtid="{D5CDD505-2E9C-101B-9397-08002B2CF9AE}" pid="4" name="CalculationRule">
    <vt:i4>0</vt:i4>
  </property>
</Properties>
</file>