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654" activeTab="3"/>
  </bookViews>
  <sheets>
    <sheet name="目录" sheetId="38" r:id="rId1"/>
    <sheet name="中策管理海峡银行" sheetId="22" state="hidden" r:id="rId2"/>
    <sheet name="四季快安兴业银行" sheetId="21" state="hidden" r:id="rId3"/>
    <sheet name="汇总" sheetId="48" r:id="rId4"/>
    <sheet name="付费项" sheetId="49" r:id="rId5"/>
    <sheet name="力喆实业中国银行" sheetId="12" r:id="rId6"/>
    <sheet name="力喆产业农商银行" sheetId="33" r:id="rId7"/>
    <sheet name="元生万物建设银行" sheetId="36" r:id="rId8"/>
    <sheet name="言吾言中国银行" sheetId="19" r:id="rId9"/>
    <sheet name="力喆传媒海峡银行" sheetId="23" r:id="rId10"/>
    <sheet name="徐洁招商银行" sheetId="35" r:id="rId11"/>
    <sheet name="力喆贸易建设银行" sheetId="18" r:id="rId12"/>
    <sheet name="古玩城农商银行" sheetId="8" r:id="rId13"/>
    <sheet name="古玩城现金" sheetId="51" r:id="rId14"/>
    <sheet name="艾泊烨海峡银行" sheetId="34" r:id="rId15"/>
    <sheet name="艾泊烨招商银行" sheetId="15" r:id="rId16"/>
    <sheet name="艾泊烨农商银行" sheetId="16" r:id="rId17"/>
    <sheet name="艾泊烨私户银行" sheetId="17" r:id="rId18"/>
    <sheet name="博烨体育农商银行" sheetId="24" r:id="rId19"/>
    <sheet name="博烨私户" sheetId="54" r:id="rId20"/>
    <sheet name="博烨篮球馆 " sheetId="57" r:id="rId21"/>
    <sheet name="博烨羽毛球" sheetId="60" r:id="rId22"/>
    <sheet name="博烨健身房" sheetId="63" r:id="rId23"/>
    <sheet name="博烨匹克球" sheetId="64" r:id="rId24"/>
    <sheet name="Sheet1" sheetId="50" r:id="rId25"/>
    <sheet name="易佰兴趋势民生银行" sheetId="20" r:id="rId26"/>
    <sheet name="易佰兴私户" sheetId="41" r:id="rId27"/>
    <sheet name="易佰兴现金" sheetId="53" r:id="rId28"/>
    <sheet name="易佰兴建行" sheetId="46" r:id="rId29"/>
    <sheet name="易佰兴基本户" sheetId="52" r:id="rId30"/>
    <sheet name="易佰兴农商银行外" sheetId="45" r:id="rId31"/>
  </sheets>
  <externalReferences>
    <externalReference r:id="rId32"/>
    <externalReference r:id="rId33"/>
    <externalReference r:id="rId34"/>
  </externalReferences>
  <definedNames>
    <definedName name="_xlnm._FilterDatabase" localSheetId="3" hidden="1">汇总!$A$4:$U$29</definedName>
    <definedName name="_xlnm._FilterDatabase" localSheetId="6" hidden="1">力喆产业农商银行!$A$3:$P$143</definedName>
    <definedName name="_xlnm._FilterDatabase" localSheetId="10" hidden="1">徐洁招商银行!$A$3:$P$274</definedName>
    <definedName name="_xlnm._FilterDatabase" localSheetId="11" hidden="1">力喆贸易建设银行!$A$3:$P$117</definedName>
    <definedName name="_xlnm._FilterDatabase" localSheetId="12" hidden="1">古玩城农商银行!$A$4:$W$1284</definedName>
    <definedName name="_xlnm._FilterDatabase" localSheetId="13" hidden="1">古玩城现金!$A$4:$W$280</definedName>
    <definedName name="_xlnm._FilterDatabase" localSheetId="14" hidden="1">艾泊烨海峡银行!$A$3:$P$329</definedName>
    <definedName name="_xlnm._FilterDatabase" localSheetId="17" hidden="1">艾泊烨私户银行!$A$3:$P$192</definedName>
    <definedName name="_xlnm._FilterDatabase" localSheetId="18" hidden="1">博烨体育农商银行!$A$3:$P$256</definedName>
    <definedName name="_xlnm._FilterDatabase" localSheetId="19" hidden="1">博烨私户!$A$3:$R$65</definedName>
    <definedName name="_xlnm._FilterDatabase" localSheetId="20" hidden="1">'博烨篮球馆 '!$A$3:$P$186</definedName>
    <definedName name="_xlnm._FilterDatabase" localSheetId="21" hidden="1">博烨羽毛球!$A$3:$P$186</definedName>
    <definedName name="_xlnm._FilterDatabase" localSheetId="22" hidden="1">博烨健身房!$A$3:$P$55</definedName>
    <definedName name="_xlnm._FilterDatabase" localSheetId="23" hidden="1">博烨匹克球!$A$3:$N$39</definedName>
    <definedName name="_xlnm._FilterDatabase" localSheetId="26" hidden="1">易佰兴私户!$A$4:$X$827</definedName>
    <definedName name="_xlnm._FilterDatabase" localSheetId="27" hidden="1">易佰兴现金!$A$4:$W$58</definedName>
    <definedName name="_xlnm._FilterDatabase" localSheetId="28" hidden="1">易佰兴建行!$A$4:$Y$353</definedName>
    <definedName name="_xlnm._FilterDatabase" localSheetId="29" hidden="1">易佰兴基本户!$A$4:$Y$108</definedName>
    <definedName name="_xlnm._FilterDatabase" localSheetId="30" hidden="1">易佰兴农商银行外!$A$4:$X$121</definedName>
    <definedName name="_xlnm._FilterDatabase" localSheetId="5" hidden="1">力喆实业中国银行!$A$3:$P$3</definedName>
    <definedName name="差旅费">[1]名称!$B$21</definedName>
    <definedName name="费用类别">#REF!</definedName>
    <definedName name="明细科目编码">[2]会计科目表!$A$3:$A$70</definedName>
    <definedName name="明细科目名称">[2]会计科目表!$B$3:$B$70</definedName>
    <definedName name="日期">#REF!</definedName>
    <definedName name="收费项">[3]名称!$B$2:$B$40</definedName>
    <definedName name="收入现金">#REF!</definedName>
    <definedName name="薪资福利">[3]名称!$B$2:$B$45</definedName>
    <definedName name="月份">#REF!</definedName>
    <definedName name="支出现金">#REF!</definedName>
    <definedName name="总账科目名称">[2]总账科目!$B$3:$B$40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liuzhenying</author>
  </authors>
  <commentList>
    <comment ref="C37" authorId="0">
      <text>
        <r>
          <rPr>
            <b/>
            <sz val="9"/>
            <rFont val="宋体"/>
            <charset val="134"/>
          </rPr>
          <t>liuzhenying:</t>
        </r>
        <r>
          <rPr>
            <sz val="9"/>
            <rFont val="宋体"/>
            <charset val="134"/>
          </rPr>
          <t xml:space="preserve">
请客吃饭</t>
        </r>
      </text>
    </comment>
    <comment ref="C39" authorId="0">
      <text>
        <r>
          <rPr>
            <b/>
            <sz val="9"/>
            <rFont val="宋体"/>
            <charset val="134"/>
          </rPr>
          <t>liuzhenying:</t>
        </r>
        <r>
          <rPr>
            <sz val="9"/>
            <rFont val="宋体"/>
            <charset val="134"/>
          </rPr>
          <t xml:space="preserve">
1、红包
2、送礼
3、领导订房</t>
        </r>
      </text>
    </comment>
    <comment ref="C40" authorId="0">
      <text>
        <r>
          <rPr>
            <b/>
            <sz val="9"/>
            <rFont val="宋体"/>
            <charset val="134"/>
          </rPr>
          <t>liuzhenying:</t>
        </r>
        <r>
          <rPr>
            <sz val="9"/>
            <rFont val="宋体"/>
            <charset val="134"/>
          </rPr>
          <t xml:space="preserve">
拜拜、茶歇、</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<sst xmlns="http://schemas.openxmlformats.org/spreadsheetml/2006/main" count="11018" uniqueCount="3676">
  <si>
    <t>目录</t>
  </si>
  <si>
    <t>跳转链接</t>
  </si>
  <si>
    <t>SHEETSNAME(,1,1)</t>
  </si>
  <si>
    <t>HYPERLINK("#"&amp;B2&amp;"!a1","跳转链接")</t>
  </si>
  <si>
    <t>HYPERLINK("#目录!a1","返回目录")</t>
  </si>
  <si>
    <r>
      <rPr>
        <u val="singleAccounting"/>
        <sz val="16"/>
        <color theme="0"/>
        <rFont val="汉仪粗宋简"/>
        <charset val="134"/>
      </rPr>
      <t>银行日记账--</t>
    </r>
    <r>
      <rPr>
        <sz val="16"/>
        <color theme="0"/>
        <rFont val="汉仪粗宋简"/>
        <charset val="134"/>
      </rPr>
      <t>海峡</t>
    </r>
    <r>
      <rPr>
        <u val="singleAccounting"/>
        <sz val="16"/>
        <color theme="0"/>
        <rFont val="汉仪粗宋简"/>
        <charset val="134"/>
      </rPr>
      <t>银行</t>
    </r>
  </si>
  <si>
    <t>月</t>
  </si>
  <si>
    <t>日</t>
  </si>
  <si>
    <t>收费项</t>
  </si>
  <si>
    <t>收付人</t>
  </si>
  <si>
    <t>摘要</t>
  </si>
  <si>
    <t>收入</t>
  </si>
  <si>
    <t>支出</t>
  </si>
  <si>
    <t>余额</t>
  </si>
  <si>
    <t>备注</t>
  </si>
  <si>
    <t>期初余额</t>
  </si>
  <si>
    <t>银行手续费</t>
  </si>
  <si>
    <t>福建海峡银行股份有限公司福州金城支行</t>
  </si>
  <si>
    <t>支付短信通服务费</t>
  </si>
  <si>
    <t>自助回单打印机服务费</t>
  </si>
  <si>
    <t>徐洁</t>
  </si>
  <si>
    <t>收徐洁服务费</t>
  </si>
  <si>
    <t>本月合计</t>
  </si>
  <si>
    <t>福建悟空游国际旅行社有限公司</t>
  </si>
  <si>
    <t>旅游费用</t>
  </si>
  <si>
    <t>福州晋安中策管理咨询有限公司</t>
  </si>
  <si>
    <t>提取备用金</t>
  </si>
  <si>
    <t>退回旅游费用</t>
  </si>
  <si>
    <t>银行</t>
  </si>
  <si>
    <t>利息收入</t>
  </si>
  <si>
    <r>
      <rPr>
        <u val="singleAccounting"/>
        <sz val="16"/>
        <color theme="0"/>
        <rFont val="汉仪粗宋简"/>
        <charset val="134"/>
      </rPr>
      <t>银行日记账--</t>
    </r>
    <r>
      <rPr>
        <sz val="16"/>
        <color theme="0"/>
        <rFont val="汉仪粗宋简"/>
        <charset val="134"/>
      </rPr>
      <t>兴业</t>
    </r>
    <r>
      <rPr>
        <u val="singleAccounting"/>
        <sz val="16"/>
        <color theme="0"/>
        <rFont val="汉仪粗宋简"/>
        <charset val="134"/>
      </rPr>
      <t>银行</t>
    </r>
  </si>
  <si>
    <t>福建省健坤德行资产管理有限责任公司</t>
  </si>
  <si>
    <t>收到福建省健坤德行资产管理有限责任公司借款</t>
  </si>
  <si>
    <t>福建丰华智能停车场管理有限公司</t>
  </si>
  <si>
    <t>支付福建丰华智能停车场管理有限公司借款</t>
  </si>
  <si>
    <t>支付银行手续费</t>
  </si>
  <si>
    <t>年各公司收支明细表</t>
  </si>
  <si>
    <t>年份</t>
  </si>
  <si>
    <t>月份</t>
  </si>
  <si>
    <t>力喆中国银行</t>
  </si>
  <si>
    <t>力喆农商银行</t>
  </si>
  <si>
    <t>力喆私户</t>
  </si>
  <si>
    <t>力喆贸易建行</t>
  </si>
  <si>
    <t>元生万物建行</t>
  </si>
  <si>
    <t>言吾言中行</t>
  </si>
  <si>
    <t>传媒海峡银行</t>
  </si>
  <si>
    <t>古玩城农商银行</t>
  </si>
  <si>
    <t>古玩城现金</t>
  </si>
  <si>
    <t>艾泊烨海峡银行</t>
  </si>
  <si>
    <t>艾泊烨招商银行</t>
  </si>
  <si>
    <t>艾泊烨农商银行</t>
  </si>
  <si>
    <t>艾泊烨私户</t>
  </si>
  <si>
    <t>易佰兴建行</t>
  </si>
  <si>
    <t>易佰兴私户</t>
  </si>
  <si>
    <t>易佰兴现金</t>
  </si>
  <si>
    <t>易佰兴基本户</t>
  </si>
  <si>
    <t>收入明细表</t>
  </si>
  <si>
    <t>收入明细</t>
  </si>
  <si>
    <t>青翼创</t>
  </si>
  <si>
    <t>力喆实业</t>
  </si>
  <si>
    <t>力喆贸易</t>
  </si>
  <si>
    <t>元生万物</t>
  </si>
  <si>
    <t>言吾言</t>
  </si>
  <si>
    <t>力喆传媒</t>
  </si>
  <si>
    <t>古玩城</t>
  </si>
  <si>
    <t>艾泊烨</t>
  </si>
  <si>
    <t>易佰兴</t>
  </si>
  <si>
    <t>银行期初余额</t>
  </si>
  <si>
    <t>押金</t>
  </si>
  <si>
    <t>往来款</t>
  </si>
  <si>
    <t>场地租金收入</t>
  </si>
  <si>
    <t>月卡收入</t>
  </si>
  <si>
    <t>营业分成收入</t>
  </si>
  <si>
    <t>超出部分80%收入</t>
  </si>
  <si>
    <t>道闸服务费收入</t>
  </si>
  <si>
    <t>充电桩收入</t>
  </si>
  <si>
    <t>利达大厦租金收入</t>
  </si>
  <si>
    <t>房租收入</t>
  </si>
  <si>
    <t>物业收入</t>
  </si>
  <si>
    <t>水电收入</t>
  </si>
  <si>
    <t>摊位收入</t>
  </si>
  <si>
    <t>停车费收入</t>
  </si>
  <si>
    <t>广告费收入</t>
  </si>
  <si>
    <t>股东分红</t>
  </si>
  <si>
    <t>其他收入</t>
  </si>
  <si>
    <t>贷款转入</t>
  </si>
  <si>
    <t>借款转入</t>
  </si>
  <si>
    <t>收回借款</t>
  </si>
  <si>
    <t>薪资、社医保</t>
  </si>
  <si>
    <t>合计</t>
  </si>
  <si>
    <t>支出明细汇总表</t>
  </si>
  <si>
    <t>支出明细</t>
  </si>
  <si>
    <t>薪资</t>
  </si>
  <si>
    <t>五险一金</t>
  </si>
  <si>
    <t>吴华云账户</t>
  </si>
  <si>
    <t>员工保险</t>
  </si>
  <si>
    <t>福利费</t>
  </si>
  <si>
    <t>招待费</t>
  </si>
  <si>
    <t>酒水费</t>
  </si>
  <si>
    <t>公共关系费用</t>
  </si>
  <si>
    <t>办公费</t>
  </si>
  <si>
    <t>低值易耗品</t>
  </si>
  <si>
    <t>快递邮电费</t>
  </si>
  <si>
    <t>通讯、宽带费</t>
  </si>
  <si>
    <t>营销费用</t>
  </si>
  <si>
    <t>差旅费</t>
  </si>
  <si>
    <t>退押金</t>
  </si>
  <si>
    <t>油费</t>
  </si>
  <si>
    <t>油费（闽A013LZ）</t>
  </si>
  <si>
    <t>油费（闽AD10200）</t>
  </si>
  <si>
    <t>车辆保险费</t>
  </si>
  <si>
    <t>车辆维修费</t>
  </si>
  <si>
    <t>车辆保养费</t>
  </si>
  <si>
    <t>ETC（闽A6896D）</t>
  </si>
  <si>
    <t>ETC（闽A013LZ）</t>
  </si>
  <si>
    <t>ETC（闽AD10200）</t>
  </si>
  <si>
    <t>停车费</t>
  </si>
  <si>
    <t>车辆使用费</t>
  </si>
  <si>
    <t>市内交通费</t>
  </si>
  <si>
    <t>税费</t>
  </si>
  <si>
    <t>贷款利息</t>
  </si>
  <si>
    <t>房租</t>
  </si>
  <si>
    <t>衣锦坊52号一进房租</t>
  </si>
  <si>
    <t>物业费</t>
  </si>
  <si>
    <t>水电费</t>
  </si>
  <si>
    <t>光伏电费</t>
  </si>
  <si>
    <t>上下杭房租</t>
  </si>
  <si>
    <t>徐总费用</t>
  </si>
  <si>
    <t>营业外支出-赔偿款</t>
  </si>
  <si>
    <t>物业修缮费</t>
  </si>
  <si>
    <t>利息支出</t>
  </si>
  <si>
    <t>还贷款本金</t>
  </si>
  <si>
    <t>股权投资款</t>
  </si>
  <si>
    <t>借款支出</t>
  </si>
  <si>
    <t>拆除费用</t>
  </si>
  <si>
    <t>丝绸厂遮阳篷安装费</t>
  </si>
  <si>
    <t>丝绸厂土建工程款</t>
  </si>
  <si>
    <t>丝绸厂车库机械设备</t>
  </si>
  <si>
    <t>王庄篮球馆</t>
  </si>
  <si>
    <t>丝绸厂电力工程</t>
  </si>
  <si>
    <t>道闸服务费</t>
  </si>
  <si>
    <t>场地租金</t>
  </si>
  <si>
    <t>垃圾清运费</t>
  </si>
  <si>
    <t>中介介绍费</t>
  </si>
  <si>
    <t>佣金</t>
  </si>
  <si>
    <t>还款</t>
  </si>
  <si>
    <t>校验</t>
  </si>
  <si>
    <t>银行余额</t>
  </si>
  <si>
    <t>收入类型</t>
  </si>
  <si>
    <t>力喆产业银行日记账--中国银行</t>
  </si>
  <si>
    <t>回单箱服务年费</t>
  </si>
  <si>
    <r>
      <rPr>
        <u val="singleAccounting"/>
        <sz val="16"/>
        <color theme="0"/>
        <rFont val="汉仪粗宋简"/>
        <charset val="134"/>
      </rPr>
      <t>力喆产业银行日记账--</t>
    </r>
    <r>
      <rPr>
        <sz val="16"/>
        <color theme="0"/>
        <rFont val="汉仪粗宋简"/>
        <charset val="134"/>
      </rPr>
      <t>农商</t>
    </r>
    <r>
      <rPr>
        <u val="singleAccounting"/>
        <sz val="16"/>
        <color theme="0"/>
        <rFont val="汉仪粗宋简"/>
        <charset val="134"/>
      </rPr>
      <t>银行</t>
    </r>
  </si>
  <si>
    <t>支付短信服务费</t>
  </si>
  <si>
    <t>国家税务总局福州市晋安区税务局</t>
  </si>
  <si>
    <t>工会经费（20251001-20251231）</t>
  </si>
  <si>
    <t>支付印花税（20251001-20251231）</t>
  </si>
  <si>
    <t>收雅道巷63-1租金（2025.12.22-2026.3.21）</t>
  </si>
  <si>
    <t>福州名城保护开发有限公司</t>
  </si>
  <si>
    <t>支付雅道巷63-1租金（2025.12.22-2026.3.21）</t>
  </si>
  <si>
    <t>福建力喆贸易有限公司</t>
  </si>
  <si>
    <t>收回力喆贸易借款</t>
  </si>
  <si>
    <t>农商银行</t>
  </si>
  <si>
    <t>支付900万贷款利息</t>
  </si>
  <si>
    <r>
      <rPr>
        <sz val="10"/>
        <color rgb="FF000000"/>
        <rFont val="宋体"/>
        <charset val="134"/>
      </rPr>
      <t>企业职工基本养老保险费</t>
    </r>
    <r>
      <rPr>
        <sz val="10"/>
        <color rgb="FF000000"/>
        <rFont val="Times New Roman"/>
        <charset val="134"/>
      </rPr>
      <t xml:space="preserve">  20260101-20260131   1940.64                   </t>
    </r>
    <r>
      <rPr>
        <sz val="10"/>
        <color rgb="FF000000"/>
        <rFont val="宋体"/>
        <charset val="134"/>
      </rPr>
      <t>失业保险费</t>
    </r>
    <r>
      <rPr>
        <sz val="10"/>
        <color rgb="FF000000"/>
        <rFont val="Times New Roman"/>
        <charset val="134"/>
      </rPr>
      <t xml:space="preserve">                            20260101-20260131  80.88                                     </t>
    </r>
    <r>
      <rPr>
        <sz val="10"/>
        <color rgb="FF000000"/>
        <rFont val="宋体"/>
        <charset val="134"/>
      </rPr>
      <t>工伤保险费</t>
    </r>
    <r>
      <rPr>
        <sz val="10"/>
        <color rgb="FF000000"/>
        <rFont val="Times New Roman"/>
        <charset val="134"/>
      </rPr>
      <t xml:space="preserve">                           20260101-20260131   35.32                                     </t>
    </r>
    <r>
      <rPr>
        <sz val="10"/>
        <color rgb="FF000000"/>
        <rFont val="宋体"/>
        <charset val="134"/>
      </rPr>
      <t>基本医疗保险费</t>
    </r>
    <r>
      <rPr>
        <sz val="10"/>
        <color rgb="FF000000"/>
        <rFont val="Times New Roman"/>
        <charset val="134"/>
      </rPr>
      <t xml:space="preserve">                  20260101-20260131  886.6                                    </t>
    </r>
    <r>
      <rPr>
        <sz val="10"/>
        <color rgb="FF000000"/>
        <rFont val="宋体"/>
        <charset val="134"/>
      </rPr>
      <t>生育保险</t>
    </r>
    <r>
      <rPr>
        <sz val="10"/>
        <color rgb="FF000000"/>
        <rFont val="Times New Roman"/>
        <charset val="134"/>
      </rPr>
      <t xml:space="preserve">                               20260101-20260131   62.06</t>
    </r>
  </si>
  <si>
    <t>中国电信股份有限公司福州分公司</t>
  </si>
  <si>
    <t>12月电信宽带费</t>
  </si>
  <si>
    <t>福州心上造物网络科技有限公司</t>
  </si>
  <si>
    <t>收汤房巷3号26年1月租金4100元、1月物业及12月水费500元、电费119.91元、税费47.2元</t>
  </si>
  <si>
    <t>收汤房巷1号26年1月租金4663.8元、1月物业886.4元、12月水费200元、电费120.75元、税费58.71元</t>
  </si>
  <si>
    <t>福建省高速公路集团有限公司电子收费管理中心</t>
  </si>
  <si>
    <t>高速ETC记账卡批量扣款</t>
  </si>
  <si>
    <t>一般户转入徐洁招行账户</t>
  </si>
  <si>
    <t>1月电信宽带费</t>
  </si>
  <si>
    <r>
      <rPr>
        <sz val="10"/>
        <color rgb="FF000000"/>
        <rFont val="宋体"/>
        <charset val="134"/>
      </rPr>
      <t>企业职工基本养老保险费</t>
    </r>
    <r>
      <rPr>
        <sz val="10"/>
        <color rgb="FF000000"/>
        <rFont val="Times New Roman"/>
        <charset val="134"/>
      </rPr>
      <t xml:space="preserve">  20260201-20260228   1940.64                   </t>
    </r>
    <r>
      <rPr>
        <sz val="10"/>
        <color rgb="FF000000"/>
        <rFont val="宋体"/>
        <charset val="134"/>
      </rPr>
      <t>失业保险费</t>
    </r>
    <r>
      <rPr>
        <sz val="10"/>
        <color rgb="FF000000"/>
        <rFont val="Times New Roman"/>
        <charset val="134"/>
      </rPr>
      <t xml:space="preserve">                            20260201-20260228  80.88                                     </t>
    </r>
    <r>
      <rPr>
        <sz val="10"/>
        <color rgb="FF000000"/>
        <rFont val="宋体"/>
        <charset val="134"/>
      </rPr>
      <t>工伤保险费</t>
    </r>
    <r>
      <rPr>
        <sz val="10"/>
        <color rgb="FF000000"/>
        <rFont val="Times New Roman"/>
        <charset val="134"/>
      </rPr>
      <t xml:space="preserve">                           20260201-20260228  35.32                                     </t>
    </r>
    <r>
      <rPr>
        <sz val="10"/>
        <color rgb="FF000000"/>
        <rFont val="宋体"/>
        <charset val="134"/>
      </rPr>
      <t>基本医疗保险费</t>
    </r>
    <r>
      <rPr>
        <sz val="10"/>
        <color rgb="FF000000"/>
        <rFont val="Times New Roman"/>
        <charset val="134"/>
      </rPr>
      <t xml:space="preserve">                  20260201-20260228  886.6                                    </t>
    </r>
    <r>
      <rPr>
        <sz val="10"/>
        <color rgb="FF000000"/>
        <rFont val="宋体"/>
        <charset val="134"/>
      </rPr>
      <t>生育保险</t>
    </r>
    <r>
      <rPr>
        <sz val="10"/>
        <color rgb="FF000000"/>
        <rFont val="Times New Roman"/>
        <charset val="134"/>
      </rPr>
      <t xml:space="preserve">                               20260201-20260228   62.06</t>
    </r>
  </si>
  <si>
    <t>2月电信宽带费</t>
  </si>
  <si>
    <r>
      <rPr>
        <sz val="10"/>
        <color rgb="FF000000"/>
        <rFont val="宋体"/>
        <charset val="134"/>
      </rPr>
      <t>企业职工基本养老保险费</t>
    </r>
    <r>
      <rPr>
        <sz val="10"/>
        <color rgb="FF000000"/>
        <rFont val="Times New Roman"/>
        <charset val="134"/>
      </rPr>
      <t xml:space="preserve">   20260301-20260331   1940.64                   </t>
    </r>
    <r>
      <rPr>
        <sz val="10"/>
        <color rgb="FF000000"/>
        <rFont val="宋体"/>
        <charset val="134"/>
      </rPr>
      <t>失业保险费</t>
    </r>
    <r>
      <rPr>
        <sz val="10"/>
        <color rgb="FF000000"/>
        <rFont val="Times New Roman"/>
        <charset val="134"/>
      </rPr>
      <t xml:space="preserve">                          20260301-20260331  80.88                                     </t>
    </r>
    <r>
      <rPr>
        <sz val="10"/>
        <color rgb="FF000000"/>
        <rFont val="宋体"/>
        <charset val="134"/>
      </rPr>
      <t>工伤保险费</t>
    </r>
    <r>
      <rPr>
        <sz val="10"/>
        <color rgb="FF000000"/>
        <rFont val="Times New Roman"/>
        <charset val="134"/>
      </rPr>
      <t xml:space="preserve">                          20260301-20260331  17.66                                    </t>
    </r>
    <r>
      <rPr>
        <sz val="10"/>
        <color rgb="FF000000"/>
        <rFont val="宋体"/>
        <charset val="134"/>
      </rPr>
      <t>基本医疗保险费</t>
    </r>
    <r>
      <rPr>
        <sz val="10"/>
        <color rgb="FF000000"/>
        <rFont val="Times New Roman"/>
        <charset val="134"/>
      </rPr>
      <t xml:space="preserve">                  20260301-20260331  886.6                                    </t>
    </r>
    <r>
      <rPr>
        <sz val="10"/>
        <color rgb="FF000000"/>
        <rFont val="宋体"/>
        <charset val="134"/>
      </rPr>
      <t>生育保险</t>
    </r>
    <r>
      <rPr>
        <sz val="10"/>
        <color rgb="FF000000"/>
        <rFont val="Times New Roman"/>
        <charset val="134"/>
      </rPr>
      <t xml:space="preserve">                              20260301-20260331   62.06</t>
    </r>
  </si>
  <si>
    <t>3月电信宽带费，宽带迁移服务费</t>
  </si>
  <si>
    <t>徐洁转入一般户</t>
  </si>
  <si>
    <t>刘桢颖</t>
  </si>
  <si>
    <t>顺丰快递费</t>
  </si>
  <si>
    <t>支付印花税（20260101-20260331）</t>
  </si>
  <si>
    <t>工会经费（20260101-20260331）</t>
  </si>
  <si>
    <t>顺丰快递费71.64，货拉拉188.84</t>
  </si>
  <si>
    <t>支付900万贷款本金</t>
  </si>
  <si>
    <r>
      <rPr>
        <sz val="10"/>
        <color rgb="FF000000"/>
        <rFont val="宋体"/>
        <charset val="134"/>
      </rPr>
      <t>企业职工基本养老保险费</t>
    </r>
    <r>
      <rPr>
        <sz val="10"/>
        <color rgb="FF000000"/>
        <rFont val="Times New Roman"/>
        <charset val="134"/>
      </rPr>
      <t xml:space="preserve">   20260401-20260430   1940.64                   </t>
    </r>
    <r>
      <rPr>
        <sz val="10"/>
        <color rgb="FF000000"/>
        <rFont val="宋体"/>
        <charset val="134"/>
      </rPr>
      <t>失业保险费</t>
    </r>
    <r>
      <rPr>
        <sz val="10"/>
        <color rgb="FF000000"/>
        <rFont val="Times New Roman"/>
        <charset val="134"/>
      </rPr>
      <t xml:space="preserve">                          20260401-20260430   80.88                                     </t>
    </r>
    <r>
      <rPr>
        <sz val="10"/>
        <color rgb="FF000000"/>
        <rFont val="宋体"/>
        <charset val="134"/>
      </rPr>
      <t>工伤保险费</t>
    </r>
    <r>
      <rPr>
        <sz val="10"/>
        <color rgb="FF000000"/>
        <rFont val="Times New Roman"/>
        <charset val="134"/>
      </rPr>
      <t xml:space="preserve">                          20260401-20260430   17.66                                    </t>
    </r>
    <r>
      <rPr>
        <sz val="10"/>
        <color rgb="FF000000"/>
        <rFont val="宋体"/>
        <charset val="134"/>
      </rPr>
      <t>基本医疗保险费</t>
    </r>
    <r>
      <rPr>
        <sz val="10"/>
        <color rgb="FF000000"/>
        <rFont val="Times New Roman"/>
        <charset val="134"/>
      </rPr>
      <t xml:space="preserve">                  20260401-20260430   886.6                                    </t>
    </r>
    <r>
      <rPr>
        <sz val="10"/>
        <color rgb="FF000000"/>
        <rFont val="宋体"/>
        <charset val="134"/>
      </rPr>
      <t>生育保险</t>
    </r>
    <r>
      <rPr>
        <sz val="10"/>
        <color rgb="FF000000"/>
        <rFont val="Times New Roman"/>
        <charset val="134"/>
      </rPr>
      <t xml:space="preserve">                             20260401-20260430    62.06</t>
    </r>
  </si>
  <si>
    <t>4月电信宽带费</t>
  </si>
  <si>
    <r>
      <rPr>
        <sz val="10"/>
        <color rgb="FF000000"/>
        <rFont val="宋体"/>
        <charset val="134"/>
      </rPr>
      <t>企业职工基本养老保险费</t>
    </r>
    <r>
      <rPr>
        <sz val="10"/>
        <color rgb="FF000000"/>
        <rFont val="Times New Roman"/>
        <charset val="134"/>
      </rPr>
      <t xml:space="preserve">   20260501-20260531  1940.64                   </t>
    </r>
    <r>
      <rPr>
        <sz val="10"/>
        <color rgb="FF000000"/>
        <rFont val="宋体"/>
        <charset val="134"/>
      </rPr>
      <t>失业保险费</t>
    </r>
    <r>
      <rPr>
        <sz val="10"/>
        <color rgb="FF000000"/>
        <rFont val="Times New Roman"/>
        <charset val="134"/>
      </rPr>
      <t xml:space="preserve">                          20260501-20260531   80.88                                     </t>
    </r>
    <r>
      <rPr>
        <sz val="10"/>
        <color rgb="FF000000"/>
        <rFont val="宋体"/>
        <charset val="134"/>
      </rPr>
      <t>工伤保险费</t>
    </r>
    <r>
      <rPr>
        <sz val="10"/>
        <color rgb="FF000000"/>
        <rFont val="Times New Roman"/>
        <charset val="134"/>
      </rPr>
      <t xml:space="preserve">                         20260501-20260531   17.66                                    </t>
    </r>
    <r>
      <rPr>
        <sz val="10"/>
        <color rgb="FF000000"/>
        <rFont val="宋体"/>
        <charset val="134"/>
      </rPr>
      <t>基本医疗保险费</t>
    </r>
    <r>
      <rPr>
        <sz val="10"/>
        <color rgb="FF000000"/>
        <rFont val="Times New Roman"/>
        <charset val="134"/>
      </rPr>
      <t xml:space="preserve">                 20260501-20260531   886.6                                    </t>
    </r>
    <r>
      <rPr>
        <sz val="10"/>
        <color rgb="FF000000"/>
        <rFont val="宋体"/>
        <charset val="134"/>
      </rPr>
      <t>生育保险</t>
    </r>
    <r>
      <rPr>
        <sz val="10"/>
        <color rgb="FF000000"/>
        <rFont val="Times New Roman"/>
        <charset val="134"/>
      </rPr>
      <t xml:space="preserve">                             20260501-20260531    62.06</t>
    </r>
  </si>
  <si>
    <t>收雅道巷63-1租金（2026.3.22-2026.6.21）</t>
  </si>
  <si>
    <t>支付雅道巷63-1租金（2026.3.22-2026.6.21）</t>
  </si>
  <si>
    <t>5月电信宽带费</t>
  </si>
  <si>
    <r>
      <rPr>
        <sz val="10"/>
        <color rgb="FF000000"/>
        <rFont val="宋体"/>
        <charset val="134"/>
      </rPr>
      <t>企业职工基本养老保险费</t>
    </r>
    <r>
      <rPr>
        <sz val="10"/>
        <color rgb="FF000000"/>
        <rFont val="Times New Roman"/>
        <charset val="134"/>
      </rPr>
      <t xml:space="preserve">   20260601-20260630  1940.64                   </t>
    </r>
    <r>
      <rPr>
        <sz val="10"/>
        <color rgb="FF000000"/>
        <rFont val="宋体"/>
        <charset val="134"/>
      </rPr>
      <t>失业保险费</t>
    </r>
    <r>
      <rPr>
        <sz val="10"/>
        <color rgb="FF000000"/>
        <rFont val="Times New Roman"/>
        <charset val="134"/>
      </rPr>
      <t xml:space="preserve">                         20260601-20260630   80.88                                     </t>
    </r>
    <r>
      <rPr>
        <sz val="10"/>
        <color rgb="FF000000"/>
        <rFont val="宋体"/>
        <charset val="134"/>
      </rPr>
      <t>工伤保险费</t>
    </r>
    <r>
      <rPr>
        <sz val="10"/>
        <color rgb="FF000000"/>
        <rFont val="Times New Roman"/>
        <charset val="134"/>
      </rPr>
      <t xml:space="preserve">                          20260601-20260630   17.66                                    </t>
    </r>
    <r>
      <rPr>
        <sz val="10"/>
        <color rgb="FF000000"/>
        <rFont val="宋体"/>
        <charset val="134"/>
      </rPr>
      <t>基本医疗保险费</t>
    </r>
    <r>
      <rPr>
        <sz val="10"/>
        <color rgb="FF000000"/>
        <rFont val="Times New Roman"/>
        <charset val="134"/>
      </rPr>
      <t xml:space="preserve">                 20260601-20260630   886.6                                    </t>
    </r>
    <r>
      <rPr>
        <sz val="10"/>
        <color rgb="FF000000"/>
        <rFont val="宋体"/>
        <charset val="134"/>
      </rPr>
      <t>生育保险</t>
    </r>
    <r>
      <rPr>
        <sz val="10"/>
        <color rgb="FF000000"/>
        <rFont val="Times New Roman"/>
        <charset val="134"/>
      </rPr>
      <t xml:space="preserve">                              20260601-20260630    62.06</t>
    </r>
  </si>
  <si>
    <t>工会经费（20260401-20260630）</t>
  </si>
  <si>
    <t>支付印花税（20260401-20260630）</t>
  </si>
  <si>
    <t>6月电信宽带费</t>
  </si>
  <si>
    <r>
      <rPr>
        <sz val="10"/>
        <color rgb="FF000000"/>
        <rFont val="宋体"/>
        <charset val="134"/>
      </rPr>
      <t>企业职工基本养老保险费</t>
    </r>
    <r>
      <rPr>
        <sz val="10"/>
        <color rgb="FF000000"/>
        <rFont val="Times New Roman"/>
        <charset val="134"/>
      </rPr>
      <t xml:space="preserve">   20260701-20260731  1940.64                   </t>
    </r>
    <r>
      <rPr>
        <sz val="10"/>
        <color rgb="FF000000"/>
        <rFont val="宋体"/>
        <charset val="134"/>
      </rPr>
      <t>失业保险费</t>
    </r>
    <r>
      <rPr>
        <sz val="10"/>
        <color rgb="FF000000"/>
        <rFont val="Times New Roman"/>
        <charset val="134"/>
      </rPr>
      <t xml:space="preserve">                          20260701-20260731   80.88                                     </t>
    </r>
    <r>
      <rPr>
        <sz val="10"/>
        <color rgb="FF000000"/>
        <rFont val="宋体"/>
        <charset val="134"/>
      </rPr>
      <t>工伤保险费</t>
    </r>
    <r>
      <rPr>
        <sz val="10"/>
        <color rgb="FF000000"/>
        <rFont val="Times New Roman"/>
        <charset val="134"/>
      </rPr>
      <t xml:space="preserve">                          20260701-20260731   17.66                                    </t>
    </r>
    <r>
      <rPr>
        <sz val="10"/>
        <color rgb="FF000000"/>
        <rFont val="宋体"/>
        <charset val="134"/>
      </rPr>
      <t>基本医疗保险费</t>
    </r>
    <r>
      <rPr>
        <sz val="10"/>
        <color rgb="FF000000"/>
        <rFont val="Times New Roman"/>
        <charset val="134"/>
      </rPr>
      <t xml:space="preserve">                  20260701-20260731   915.8                                   </t>
    </r>
    <r>
      <rPr>
        <sz val="10"/>
        <color rgb="FF000000"/>
        <rFont val="宋体"/>
        <charset val="134"/>
      </rPr>
      <t>生育保险</t>
    </r>
    <r>
      <rPr>
        <sz val="10"/>
        <color rgb="FF000000"/>
        <rFont val="Times New Roman"/>
        <charset val="134"/>
      </rPr>
      <t xml:space="preserve">                             20260701-20260731    64.1</t>
    </r>
  </si>
  <si>
    <t>收雅道巷63-1租金（2026.6.22-2026.9.21）</t>
  </si>
  <si>
    <t>支付雅道巷63-1租金（2026.6.22-2026.9.21）</t>
  </si>
  <si>
    <t>曾在国</t>
  </si>
  <si>
    <t>乐棋公司代理服务费</t>
  </si>
  <si>
    <t>7月电信宽带费</t>
  </si>
  <si>
    <r>
      <rPr>
        <sz val="10"/>
        <color rgb="FF000000"/>
        <rFont val="宋体"/>
        <charset val="134"/>
      </rPr>
      <t>企业职工基本养老保险费</t>
    </r>
    <r>
      <rPr>
        <sz val="10"/>
        <color rgb="FF000000"/>
        <rFont val="Times New Roman"/>
        <charset val="134"/>
      </rPr>
      <t xml:space="preserve">   20260801-20260831  1940.64                   </t>
    </r>
    <r>
      <rPr>
        <sz val="10"/>
        <color rgb="FF000000"/>
        <rFont val="宋体"/>
        <charset val="134"/>
      </rPr>
      <t>失业保险费</t>
    </r>
    <r>
      <rPr>
        <sz val="10"/>
        <color rgb="FF000000"/>
        <rFont val="Times New Roman"/>
        <charset val="134"/>
      </rPr>
      <t xml:space="preserve">                          20260801-20260831   80.88                                     </t>
    </r>
    <r>
      <rPr>
        <sz val="10"/>
        <color rgb="FF000000"/>
        <rFont val="宋体"/>
        <charset val="134"/>
      </rPr>
      <t>工伤保险费</t>
    </r>
    <r>
      <rPr>
        <sz val="10"/>
        <color rgb="FF000000"/>
        <rFont val="Times New Roman"/>
        <charset val="134"/>
      </rPr>
      <t xml:space="preserve">                          20260801-20260831   18.32                                   </t>
    </r>
    <r>
      <rPr>
        <sz val="10"/>
        <color rgb="FF000000"/>
        <rFont val="宋体"/>
        <charset val="134"/>
      </rPr>
      <t>基本医疗保险费</t>
    </r>
    <r>
      <rPr>
        <sz val="10"/>
        <color rgb="FF000000"/>
        <rFont val="Times New Roman"/>
        <charset val="134"/>
      </rPr>
      <t xml:space="preserve">                  20260801-20260831   915.8                                   </t>
    </r>
    <r>
      <rPr>
        <sz val="10"/>
        <color rgb="FF000000"/>
        <rFont val="宋体"/>
        <charset val="134"/>
      </rPr>
      <t>生育保险</t>
    </r>
    <r>
      <rPr>
        <sz val="10"/>
        <color rgb="FF000000"/>
        <rFont val="Times New Roman"/>
        <charset val="134"/>
      </rPr>
      <t xml:space="preserve">                             20260801-20260831    64.1</t>
    </r>
  </si>
  <si>
    <t>北森云计算有限公司</t>
  </si>
  <si>
    <t>8月电信宽带费</t>
  </si>
  <si>
    <r>
      <rPr>
        <sz val="10"/>
        <color rgb="FF000000"/>
        <rFont val="宋体"/>
        <charset val="134"/>
      </rPr>
      <t>企业职工基本养老保险费</t>
    </r>
    <r>
      <rPr>
        <sz val="10"/>
        <color rgb="FF000000"/>
        <rFont val="Times New Roman"/>
        <charset val="134"/>
      </rPr>
      <t xml:space="preserve">   20260901-20260930  1940.64                   </t>
    </r>
    <r>
      <rPr>
        <sz val="10"/>
        <color rgb="FF000000"/>
        <rFont val="宋体"/>
        <charset val="134"/>
      </rPr>
      <t>失业保险费</t>
    </r>
    <r>
      <rPr>
        <sz val="10"/>
        <color rgb="FF000000"/>
        <rFont val="Times New Roman"/>
        <charset val="134"/>
      </rPr>
      <t xml:space="preserve">                          20260901-20260930   80.88                                     </t>
    </r>
    <r>
      <rPr>
        <sz val="10"/>
        <color rgb="FF000000"/>
        <rFont val="宋体"/>
        <charset val="134"/>
      </rPr>
      <t>工伤保险费</t>
    </r>
    <r>
      <rPr>
        <sz val="10"/>
        <color rgb="FF000000"/>
        <rFont val="Times New Roman"/>
        <charset val="134"/>
      </rPr>
      <t xml:space="preserve">                          20260901-20260930   18.32                                   </t>
    </r>
    <r>
      <rPr>
        <sz val="10"/>
        <color rgb="FF000000"/>
        <rFont val="宋体"/>
        <charset val="134"/>
      </rPr>
      <t>基本医疗保险费</t>
    </r>
    <r>
      <rPr>
        <sz val="10"/>
        <color rgb="FF000000"/>
        <rFont val="Times New Roman"/>
        <charset val="134"/>
      </rPr>
      <t xml:space="preserve">                  20260901-20260930   915.8                                   </t>
    </r>
    <r>
      <rPr>
        <sz val="10"/>
        <color rgb="FF000000"/>
        <rFont val="宋体"/>
        <charset val="134"/>
      </rPr>
      <t>生育保险</t>
    </r>
    <r>
      <rPr>
        <sz val="10"/>
        <color rgb="FF000000"/>
        <rFont val="Times New Roman"/>
        <charset val="134"/>
      </rPr>
      <t xml:space="preserve">                             20260901-20260930    64.1</t>
    </r>
  </si>
  <si>
    <t>林焓欣</t>
  </si>
  <si>
    <t>顺丰2026年1-6月快递费</t>
  </si>
  <si>
    <t>何福顺</t>
  </si>
  <si>
    <t>打车：216.18、住宿：459</t>
  </si>
  <si>
    <t>收雅道巷63-1租金（2026.9.22-2026.11.21）</t>
  </si>
  <si>
    <r>
      <rPr>
        <u val="singleAccounting"/>
        <sz val="16"/>
        <color theme="0"/>
        <rFont val="汉仪粗宋简"/>
        <charset val="134"/>
      </rPr>
      <t>元生万物银行日记账--</t>
    </r>
    <r>
      <rPr>
        <sz val="16"/>
        <color theme="0"/>
        <rFont val="汉仪粗宋简"/>
        <charset val="134"/>
      </rPr>
      <t>建设</t>
    </r>
    <r>
      <rPr>
        <u val="singleAccounting"/>
        <sz val="16"/>
        <color theme="0"/>
        <rFont val="汉仪粗宋简"/>
        <charset val="134"/>
      </rPr>
      <t>银行</t>
    </r>
  </si>
  <si>
    <t>建行广达支行</t>
  </si>
  <si>
    <t>支付手续费</t>
  </si>
  <si>
    <t>自助设备使用费</t>
  </si>
  <si>
    <t>待报解预算收入（财库联网集中户）</t>
  </si>
  <si>
    <t>20251001-20251231印花税</t>
  </si>
  <si>
    <t>收衣锦坊52号及衣锦坊54号一进部分租金2026.2.16-2026.3.15</t>
  </si>
  <si>
    <t>收衣锦坊52号及衣锦坊54号一进部分租金2026.3.16-2026.4.15</t>
  </si>
  <si>
    <r>
      <rPr>
        <sz val="10"/>
        <color rgb="FF000000"/>
        <rFont val="宋体"/>
        <charset val="134"/>
      </rPr>
      <t>衣锦坊</t>
    </r>
    <r>
      <rPr>
        <sz val="10"/>
        <color rgb="FF000000"/>
        <rFont val="Times New Roman"/>
        <charset val="134"/>
      </rPr>
      <t>52</t>
    </r>
    <r>
      <rPr>
        <sz val="10"/>
        <color rgb="FF000000"/>
        <rFont val="宋体"/>
        <charset val="134"/>
      </rPr>
      <t>号一进房租</t>
    </r>
  </si>
  <si>
    <t>衣锦坊52号及衣锦坊54号一进部分租金2026.2.16-2026.5.15</t>
  </si>
  <si>
    <t>收衣锦坊52号及衣锦坊54号一进部分租金2026.4.16-2026.5.15</t>
  </si>
  <si>
    <t>企业网银服务费</t>
  </si>
  <si>
    <t>2025年会费用（餐费）</t>
  </si>
  <si>
    <t>收衣锦坊52号及衣锦坊54号一进部分租金2026.5.16-2026.6.15</t>
  </si>
  <si>
    <t>收衣锦坊52号及衣锦坊54号一进部分租金2026.6.16-2026.7.15</t>
  </si>
  <si>
    <t>周月平</t>
  </si>
  <si>
    <t>吴海萍徐莺股权转让印花税扣款</t>
  </si>
  <si>
    <t>20260401-20260630印花税</t>
  </si>
  <si>
    <t>衣锦坊52号及衣锦坊54号一进部分租金2026.5.16-2026.8.15</t>
  </si>
  <si>
    <t>收衣锦坊52号及衣锦坊54号一进部分租金2026.7.16-2026.8.15</t>
  </si>
  <si>
    <t>2026701-20260930印花税</t>
  </si>
  <si>
    <t>收衣锦坊52号及衣锦坊54号一进部分租金2026.8.16-2026.9.15</t>
  </si>
  <si>
    <t>言吾言银行日记账--中国银行</t>
  </si>
  <si>
    <t>福建省高速公路集团有限公司</t>
  </si>
  <si>
    <t>支付ETC费用</t>
  </si>
  <si>
    <t>中国银行福州中亭街支行</t>
  </si>
  <si>
    <t>中石化森美（福建）石油有限公司</t>
  </si>
  <si>
    <t>充值油卡</t>
  </si>
  <si>
    <t>转账手续费</t>
  </si>
  <si>
    <t>网银服务费</t>
  </si>
  <si>
    <t>吴海萍</t>
  </si>
  <si>
    <t>转入投资款</t>
  </si>
  <si>
    <t>福建言吾言物业管理有限公司</t>
  </si>
  <si>
    <t>回单箱网银服务费</t>
  </si>
  <si>
    <t>福州晋安区隆升汽修厂</t>
  </si>
  <si>
    <t>车辆保养维修费用</t>
  </si>
  <si>
    <t>福州市新东方培训学校有限公司</t>
  </si>
  <si>
    <t>履约保证金</t>
  </si>
  <si>
    <t>收新东方房租（2026.8.10-2026.9.9）</t>
  </si>
  <si>
    <t>更换AGM电瓶，前杠喷漆，全车抛光</t>
  </si>
  <si>
    <t>收新东方房租（2026.9.10-2026.10.9）</t>
  </si>
  <si>
    <t>学费</t>
  </si>
  <si>
    <t>王晓华</t>
  </si>
  <si>
    <t>闽A6896D车辆报险（2026.9.15-2026.9.14）</t>
  </si>
  <si>
    <t>利达大厦（2026.7.10-2026.9.9）</t>
  </si>
  <si>
    <r>
      <rPr>
        <u val="singleAccounting"/>
        <sz val="16"/>
        <color theme="0"/>
        <rFont val="汉仪粗宋简"/>
        <charset val="134"/>
      </rPr>
      <t>力喆传媒银行日记账--</t>
    </r>
    <r>
      <rPr>
        <sz val="16"/>
        <color theme="0"/>
        <rFont val="汉仪粗宋简"/>
        <charset val="134"/>
      </rPr>
      <t>海峡</t>
    </r>
    <r>
      <rPr>
        <u val="singleAccounting"/>
        <sz val="16"/>
        <color theme="0"/>
        <rFont val="汉仪粗宋简"/>
        <charset val="134"/>
      </rPr>
      <t>银行</t>
    </r>
  </si>
  <si>
    <t>回单打印费</t>
  </si>
  <si>
    <t>转入吴海萍</t>
  </si>
  <si>
    <r>
      <rPr>
        <u val="singleAccounting"/>
        <sz val="16"/>
        <color theme="0"/>
        <rFont val="汉仪粗宋简"/>
        <charset val="134"/>
      </rPr>
      <t>力喆产业银行日记账--</t>
    </r>
    <r>
      <rPr>
        <sz val="16"/>
        <color theme="0"/>
        <rFont val="汉仪粗宋简"/>
        <charset val="134"/>
      </rPr>
      <t>徐洁招商银行</t>
    </r>
  </si>
  <si>
    <t>庄巧婷（蔡加强）</t>
  </si>
  <si>
    <t>金豆豆3楼利达大厦房租</t>
  </si>
  <si>
    <t>代付福州院子房贷</t>
  </si>
  <si>
    <t>代付华润万象城房贷</t>
  </si>
  <si>
    <t>代付世茂云顶房贷</t>
  </si>
  <si>
    <t>还海峡银行贷款本金及利息</t>
  </si>
  <si>
    <t>转入徐洁工行2426账户</t>
  </si>
  <si>
    <t>吴华云</t>
  </si>
  <si>
    <t>金豆豆3楼利达大厦房租转给吴华云</t>
  </si>
  <si>
    <t>转入王晓华建行（用于力喆应急使用，艾泊烨贷款）</t>
  </si>
  <si>
    <t>支付招行个贷</t>
  </si>
  <si>
    <t>福州力喆贸易有限公司</t>
  </si>
  <si>
    <t>转入力喆贸易对公账户</t>
  </si>
  <si>
    <t>个人</t>
  </si>
  <si>
    <t>支付力喆实业2025年12月工资</t>
  </si>
  <si>
    <t>汪亮</t>
  </si>
  <si>
    <t>收1：雅道巷63-1租金（2025.12.22-2026.3.21）</t>
  </si>
  <si>
    <t>福建力喆实业发展有限公司</t>
  </si>
  <si>
    <t>雅道巷63-1租金（2025.12.22-2026.3.21）转入力喆实业一般户</t>
  </si>
  <si>
    <t>福州市鼓楼区爱而丽新医疗美容诊所有限公司</t>
  </si>
  <si>
    <t>3 楼利达大厦房租</t>
  </si>
  <si>
    <t>黄玲丹</t>
  </si>
  <si>
    <t>吴海萍转入徐洁账户</t>
  </si>
  <si>
    <t>林婷招</t>
  </si>
  <si>
    <t>支付12月财务顾问费</t>
  </si>
  <si>
    <t>陈正光</t>
  </si>
  <si>
    <t>利达大厦拆除费用、搬家费用</t>
  </si>
  <si>
    <t>林炜、徐莺、吴华云、高海瑜</t>
  </si>
  <si>
    <t>支付力喆贸易202601月分红</t>
  </si>
  <si>
    <t>郭春星</t>
  </si>
  <si>
    <t>上下杭搬家费用</t>
  </si>
  <si>
    <t>别克车辆维修费</t>
  </si>
  <si>
    <t>转入吴海萍招行账户-转入言吾言对公（投资款）</t>
  </si>
  <si>
    <t>林丰</t>
  </si>
  <si>
    <t>转入林丰账户-转林焓欣微信（徐总购买购物卡）</t>
  </si>
  <si>
    <t>福州市青翼创创业投资有限公司</t>
  </si>
  <si>
    <t>青翼创转入徐洁招行账户</t>
  </si>
  <si>
    <t>福建力喆产业投资集团有限公司</t>
  </si>
  <si>
    <t>力喆产业转入徐洁招行账户</t>
  </si>
  <si>
    <t>支付力喆实业2026年1月工资</t>
  </si>
  <si>
    <t>支付力喆实业2025年终奖</t>
  </si>
  <si>
    <t>华润万象物业费556.22元、世欧5202物业费2746.87元</t>
  </si>
  <si>
    <t>餐费</t>
  </si>
  <si>
    <t>购十四代-瓶2600元</t>
  </si>
  <si>
    <t>车牌转移.车辆过户代办费1000元、购十四代-瓶2600元</t>
  </si>
  <si>
    <t>普朗姆租金（2025.12.1-2025.12.31）</t>
  </si>
  <si>
    <t>福州市元生万物投资有限公司</t>
  </si>
  <si>
    <r>
      <rPr>
        <sz val="10"/>
        <color rgb="FF000000"/>
        <rFont val="宋体"/>
        <charset val="134"/>
      </rPr>
      <t>衣锦坊</t>
    </r>
    <r>
      <rPr>
        <sz val="10"/>
        <color rgb="FF000000"/>
        <rFont val="Times New Roman"/>
        <charset val="134"/>
      </rPr>
      <t>52</t>
    </r>
    <r>
      <rPr>
        <sz val="10"/>
        <color rgb="FF000000"/>
        <rFont val="宋体"/>
        <charset val="134"/>
      </rPr>
      <t>号及</t>
    </r>
    <r>
      <rPr>
        <sz val="10"/>
        <color rgb="FF000000"/>
        <rFont val="Times New Roman"/>
        <charset val="134"/>
      </rPr>
      <t>54</t>
    </r>
    <r>
      <rPr>
        <sz val="10"/>
        <color rgb="FF000000"/>
        <rFont val="宋体"/>
        <charset val="134"/>
      </rPr>
      <t>号一进部分租金20</t>
    </r>
    <r>
      <rPr>
        <sz val="10"/>
        <color rgb="FF000000"/>
        <rFont val="Times New Roman"/>
        <charset val="134"/>
      </rPr>
      <t>25.12.16-2026.1.15</t>
    </r>
  </si>
  <si>
    <t>支付1月财务顾问费</t>
  </si>
  <si>
    <t>信用卡扣款</t>
  </si>
  <si>
    <t>庄秀平</t>
  </si>
  <si>
    <t>庄秀平50万借款-利息费用</t>
  </si>
  <si>
    <t>支付力喆贸易202602月分红</t>
  </si>
  <si>
    <t>支付力喆实业2026年2月工资</t>
  </si>
  <si>
    <t>普朗姆租金（2026.1.1-2026.1.31）</t>
  </si>
  <si>
    <t>招商银行</t>
  </si>
  <si>
    <t>衣锦坊52号及54号一进部分租金2026.1.16-2026.2.15</t>
  </si>
  <si>
    <t>徐洁海峡银行1796转入</t>
  </si>
  <si>
    <t>林圳钞</t>
  </si>
  <si>
    <t>上杭路87、89、2号垃圾清理费用</t>
  </si>
  <si>
    <t>支付2月财务顾问费</t>
  </si>
  <si>
    <t xml:space="preserve">银联代付，银联转账（云闪付）-陈正光 </t>
  </si>
  <si>
    <t>普朗姆租金（2026.2.1-2026.2.28）</t>
  </si>
  <si>
    <t>福州市鼓楼区七色光艺术培训有限公司（张丽萍）</t>
  </si>
  <si>
    <t>利达大厦三楼的租金（2026.4.8-2026.5.7）</t>
  </si>
  <si>
    <t>衣锦坊52号及54号一进部分租金2026.2.16-2026.3.15</t>
  </si>
  <si>
    <t>福建利达物业管现有限公司</t>
  </si>
  <si>
    <t>利达大厦4月-12月物业费</t>
  </si>
  <si>
    <t>上下杭第二次搬家费用</t>
  </si>
  <si>
    <t>餐费2131.59元、买烟、，水，纸743.86元</t>
  </si>
  <si>
    <t>加油费1268.4元、高速过路费118元</t>
  </si>
  <si>
    <t>洗车</t>
  </si>
  <si>
    <t>购文具24.9元、香蕉176.11元、住宿费360元</t>
  </si>
  <si>
    <t>市内交通费724.1</t>
  </si>
  <si>
    <t>住宿费</t>
  </si>
  <si>
    <t>信用卡快速还款</t>
  </si>
  <si>
    <t>美团费用</t>
  </si>
  <si>
    <t>谢依俤</t>
  </si>
  <si>
    <t>收回代易佰兴支付11月工资</t>
  </si>
  <si>
    <t>支付力喆实业2026年3月工资</t>
  </si>
  <si>
    <t>徐洁转入力喆对公账户（支付贷款本金）</t>
  </si>
  <si>
    <t>徐洁转入力喆对公账户（支付贷款利息）</t>
  </si>
  <si>
    <t>高海瑜</t>
  </si>
  <si>
    <t>2026年3月力喆贸易分红</t>
  </si>
  <si>
    <t>世欧5202物业费2689.07元、帝国大苑宽带充值798.39元、茶叶240元</t>
  </si>
  <si>
    <t>肖益强</t>
  </si>
  <si>
    <t>货款</t>
  </si>
  <si>
    <t>普朗姆租金（2026.3.1-2026.3.31）</t>
  </si>
  <si>
    <t>衣锦坊52号及54号一进部分租金2026.3.16-2026.4.15</t>
  </si>
  <si>
    <t>利达大厦三楼的租金（2026.5.8-2026.6.7）</t>
  </si>
  <si>
    <t>支付力喆实业2026年4月工资</t>
  </si>
  <si>
    <t>支付4月财务顾问费</t>
  </si>
  <si>
    <t>收1：雅道巷63-1租金（2026.3.22-2026.6.21）</t>
  </si>
  <si>
    <t>雅道巷63-1租金（2026.3.22-2026.6.21）转入力喆实业一般户</t>
  </si>
  <si>
    <t>利达大厦美容院4月房租</t>
  </si>
  <si>
    <t>闽AD10200保险费</t>
  </si>
  <si>
    <t>闽A077ET车辆保险费</t>
  </si>
  <si>
    <t>华润万象城物业费</t>
  </si>
  <si>
    <t>普朗姆租金（2026.4.1-2026.4.30）</t>
  </si>
  <si>
    <t>利达大厦</t>
  </si>
  <si>
    <t>利达大厦七色光艺术租金（2026.6.8-2026.7.7）</t>
  </si>
  <si>
    <t>衣锦坊52号及54号一进部分租金2026.4.16-2026.5.15</t>
  </si>
  <si>
    <t>2026年4月力喆贸易分红</t>
  </si>
  <si>
    <t>2026年5月力喆贸易分红</t>
  </si>
  <si>
    <t>洗车418元、买药63.4于，香蕉198元，纸巾、68.71元，文具.快递费80.5元</t>
  </si>
  <si>
    <t>餐费5054.19元</t>
  </si>
  <si>
    <t>停车748元、加油701.17元、玻璃水35元</t>
  </si>
  <si>
    <t>买水92.5元，烟225元</t>
  </si>
  <si>
    <t>支付力喆实业2026年5月工资</t>
  </si>
  <si>
    <t>购43度茅台6瓶，870*6=5220</t>
  </si>
  <si>
    <t>世欧5202燃气费7500元、贵香苑1-6物业费2034.01元、冠城大通物业费1732.2元</t>
  </si>
  <si>
    <t>2026年6月力喆贸易分红</t>
  </si>
  <si>
    <t>利达大厦七色光艺术租金（2026.7.8-2026.8.7）</t>
  </si>
  <si>
    <t>言吾言转入（借款给艾泊烨）</t>
  </si>
  <si>
    <t>言吾言转徐洁招行转王晓华（支付艾泊烨贷款本金）</t>
  </si>
  <si>
    <t>支付力喆实业2026年6月工资</t>
  </si>
  <si>
    <t>归还青翼创创业投资借款</t>
  </si>
  <si>
    <t>雅道巷63-1租金（2026.6.22-2026.9.21）</t>
  </si>
  <si>
    <t>雅道巷63-1租金（2026.6.22-2026.9.21）转入力喆实业一般户</t>
  </si>
  <si>
    <t>停车290元、香薰151.7元、补胎80元、洗车350元、车钥匙电池20元</t>
  </si>
  <si>
    <t>纸巾112.9元、餐费898.7元、买水168元、湿纸巾119元、高铁87.5元</t>
  </si>
  <si>
    <t>普朗姆租金（2026.5.1-2026.5.31）</t>
  </si>
  <si>
    <t>衣锦坊52号及54号一进部分租金2026.5.16-2026.6.15</t>
  </si>
  <si>
    <t>2026年7月力喆贸易分红</t>
  </si>
  <si>
    <t>普朗姆租金（2026.6.1-2026.6.30）</t>
  </si>
  <si>
    <t>衣锦坊52号及54号一进部分租金2026.6.16-2026.7.15</t>
  </si>
  <si>
    <t>福建省平安建设促进会</t>
  </si>
  <si>
    <t>徐洁入会会</t>
  </si>
  <si>
    <t>利达大厦七色光艺术租金（2026.8.8-2026.9.7）</t>
  </si>
  <si>
    <r>
      <rPr>
        <sz val="10"/>
        <color rgb="FF000000"/>
        <rFont val="宋体"/>
        <charset val="134"/>
      </rPr>
      <t>利达大厦美容院</t>
    </r>
    <r>
      <rPr>
        <sz val="10"/>
        <color rgb="FF000000"/>
        <rFont val="Times New Roman"/>
        <charset val="134"/>
      </rPr>
      <t>5</t>
    </r>
    <r>
      <rPr>
        <sz val="10"/>
        <color rgb="FF000000"/>
        <rFont val="宋体"/>
        <charset val="134"/>
      </rPr>
      <t>月房租</t>
    </r>
  </si>
  <si>
    <t>支付力喆实业2026年7月工资</t>
  </si>
  <si>
    <t>支付力喆贸易202608月分红</t>
  </si>
  <si>
    <t>购买沙发</t>
  </si>
  <si>
    <t>雷克萨斯车保险费（2026.8.9-2027.8.8）</t>
  </si>
  <si>
    <t>福州-宁波高铁票</t>
  </si>
  <si>
    <t>利达大厦律师函</t>
  </si>
  <si>
    <t>华润万象城物业、水电充值1245.9元，王庄停车费 840元</t>
  </si>
  <si>
    <t>言吾言转入（利达大厦租金支付徐沐晨学费）</t>
  </si>
  <si>
    <t>王丽英</t>
  </si>
  <si>
    <t>华伦台江校区四年（4）班徐沐晨</t>
  </si>
  <si>
    <t>利达大厦七色光艺术租金（2026.9.8-2026.10.7）</t>
  </si>
  <si>
    <t>力喆代王晓华开票（北森云计算有限公司面试官劳务费）款已转入力喆农商银行一般户</t>
  </si>
  <si>
    <t>支付力喆实业2026年8月工资</t>
  </si>
  <si>
    <t>篮球场订场</t>
  </si>
  <si>
    <t>停车费601元、洗车300元、加油费344.86元</t>
  </si>
  <si>
    <t>买水135.9元、烟162.5元、餐费942.5元、买文具63.8元、买伞87.8元、香薰86.11元</t>
  </si>
  <si>
    <t>徐秋煊</t>
  </si>
  <si>
    <t>利息费用</t>
  </si>
  <si>
    <t>微信转账支付</t>
  </si>
  <si>
    <t>申请保姆罚款14000元、翻译费用2700元、机票1470元、办证费160元</t>
  </si>
  <si>
    <t>购买白葡萄酒5箱</t>
  </si>
  <si>
    <t>利达大厦七色光艺术租金（2026.10.8-2026.11.7）</t>
  </si>
  <si>
    <t>普朗姆租金（2026.7.1-2026.7.31）</t>
  </si>
  <si>
    <t>雅道巷63-1租金（2026.9.22-2026.11.21）转入力喆实业一般户</t>
  </si>
  <si>
    <t>衣锦坊52号及54号一进部分租金2026.7.16-2026.8.15</t>
  </si>
  <si>
    <r>
      <rPr>
        <u val="singleAccounting"/>
        <sz val="16"/>
        <color theme="0"/>
        <rFont val="汉仪粗宋简"/>
        <charset val="134"/>
      </rPr>
      <t>力喆贸易银行日记账--</t>
    </r>
    <r>
      <rPr>
        <sz val="16"/>
        <color theme="0"/>
        <rFont val="汉仪粗宋简"/>
        <charset val="134"/>
      </rPr>
      <t>建设</t>
    </r>
    <r>
      <rPr>
        <u val="singleAccounting"/>
        <sz val="16"/>
        <color theme="0"/>
        <rFont val="汉仪粗宋简"/>
        <charset val="134"/>
      </rPr>
      <t>银行</t>
    </r>
  </si>
  <si>
    <t>建设银行</t>
  </si>
  <si>
    <t>支付对公自助设备使用费</t>
  </si>
  <si>
    <t>待报解预算收入（财库联网集中户</t>
  </si>
  <si>
    <t>代收代付个人所得税</t>
  </si>
  <si>
    <t>支付20251001-20251231增值税2046.07元、城建税71.61元</t>
  </si>
  <si>
    <t>支付20251001-20251231房产税540元、城镇土地使用税201.42元、印花税4.5元</t>
  </si>
  <si>
    <t>福州住房公积金中心</t>
  </si>
  <si>
    <t>支付26年1月住房公积金</t>
  </si>
  <si>
    <t>徐洁转入往来款</t>
  </si>
  <si>
    <t>支付2025年12月工资</t>
  </si>
  <si>
    <t>福州朴朴电子商务有限公司</t>
  </si>
  <si>
    <t>收朴朴商务公司1月房租</t>
  </si>
  <si>
    <t>还力喆实业暂借款</t>
  </si>
  <si>
    <r>
      <rPr>
        <sz val="10"/>
        <color rgb="FF000000"/>
        <rFont val="宋体"/>
        <charset val="134"/>
      </rPr>
      <t>企业职工基本养老保险费</t>
    </r>
    <r>
      <rPr>
        <sz val="10"/>
        <color rgb="FF000000"/>
        <rFont val="Times New Roman"/>
        <charset val="134"/>
      </rPr>
      <t xml:space="preserve">  20260101-20260131   3020.64                    </t>
    </r>
    <r>
      <rPr>
        <sz val="10"/>
        <color rgb="FF000000"/>
        <rFont val="宋体"/>
        <charset val="134"/>
      </rPr>
      <t>失业保险费</t>
    </r>
    <r>
      <rPr>
        <sz val="10"/>
        <color rgb="FF000000"/>
        <rFont val="Times New Roman"/>
        <charset val="134"/>
      </rPr>
      <t xml:space="preserve">                            20260101-20260131   125.88                                     </t>
    </r>
    <r>
      <rPr>
        <sz val="10"/>
        <color rgb="FF000000"/>
        <rFont val="宋体"/>
        <charset val="134"/>
      </rPr>
      <t>工伤保险费</t>
    </r>
    <r>
      <rPr>
        <sz val="10"/>
        <color rgb="FF000000"/>
        <rFont val="Times New Roman"/>
        <charset val="134"/>
      </rPr>
      <t xml:space="preserve">                            20260101-20260131   93.3                                         </t>
    </r>
    <r>
      <rPr>
        <sz val="10"/>
        <color rgb="FF000000"/>
        <rFont val="宋体"/>
        <charset val="134"/>
      </rPr>
      <t>基本医疗保险费</t>
    </r>
    <r>
      <rPr>
        <sz val="10"/>
        <color rgb="FF000000"/>
        <rFont val="Times New Roman"/>
        <charset val="134"/>
      </rPr>
      <t xml:space="preserve">                   20260101-20260131  1336.6                                  </t>
    </r>
    <r>
      <rPr>
        <sz val="10"/>
        <color rgb="FF000000"/>
        <rFont val="宋体"/>
        <charset val="134"/>
      </rPr>
      <t>生育保险费</t>
    </r>
    <r>
      <rPr>
        <sz val="10"/>
        <color rgb="FF000000"/>
        <rFont val="Times New Roman"/>
        <charset val="134"/>
      </rPr>
      <t xml:space="preserve">                            20260101-20260131  93.56</t>
    </r>
  </si>
  <si>
    <t>支付20260101-20260131增值税</t>
  </si>
  <si>
    <t>支付20260101-20260131城建税</t>
  </si>
  <si>
    <t>收朴朴商务公司2月房租</t>
  </si>
  <si>
    <t>支付2026年1月工资</t>
  </si>
  <si>
    <t>支付2025年年终奖</t>
  </si>
  <si>
    <t>支付26年2月住房公积金</t>
  </si>
  <si>
    <r>
      <rPr>
        <sz val="10"/>
        <color rgb="FF000000"/>
        <rFont val="宋体"/>
        <charset val="134"/>
      </rPr>
      <t>企业职工基本养老保险费</t>
    </r>
    <r>
      <rPr>
        <sz val="10"/>
        <color rgb="FF000000"/>
        <rFont val="Times New Roman"/>
        <charset val="134"/>
      </rPr>
      <t xml:space="preserve">  20260201-20260228   3020.64                    </t>
    </r>
    <r>
      <rPr>
        <sz val="10"/>
        <color rgb="FF000000"/>
        <rFont val="宋体"/>
        <charset val="134"/>
      </rPr>
      <t>失业保险费</t>
    </r>
    <r>
      <rPr>
        <sz val="10"/>
        <color rgb="FF000000"/>
        <rFont val="Times New Roman"/>
        <charset val="134"/>
      </rPr>
      <t xml:space="preserve">                            20260201-20260228   125.88                                     </t>
    </r>
    <r>
      <rPr>
        <sz val="10"/>
        <color rgb="FF000000"/>
        <rFont val="宋体"/>
        <charset val="134"/>
      </rPr>
      <t>工伤保险费</t>
    </r>
    <r>
      <rPr>
        <sz val="10"/>
        <color rgb="FF000000"/>
        <rFont val="Times New Roman"/>
        <charset val="134"/>
      </rPr>
      <t xml:space="preserve">                            20260201-20260228  93.3                                         </t>
    </r>
    <r>
      <rPr>
        <sz val="10"/>
        <color rgb="FF000000"/>
        <rFont val="宋体"/>
        <charset val="134"/>
      </rPr>
      <t>基本医疗保险费</t>
    </r>
    <r>
      <rPr>
        <sz val="10"/>
        <color rgb="FF000000"/>
        <rFont val="Times New Roman"/>
        <charset val="134"/>
      </rPr>
      <t xml:space="preserve">                   20260201-20260228  1336.6                                  </t>
    </r>
    <r>
      <rPr>
        <sz val="10"/>
        <color rgb="FF000000"/>
        <rFont val="宋体"/>
        <charset val="134"/>
      </rPr>
      <t>生育保险费</t>
    </r>
    <r>
      <rPr>
        <sz val="10"/>
        <color rgb="FF000000"/>
        <rFont val="Times New Roman"/>
        <charset val="134"/>
      </rPr>
      <t xml:space="preserve">                            20260201-20260228  93.56</t>
    </r>
  </si>
  <si>
    <t>支付20260201-20260228增值税</t>
  </si>
  <si>
    <t>支付20260201-20260228城建税</t>
  </si>
  <si>
    <t>收朴朴商务公司3月房租</t>
  </si>
  <si>
    <t>支付26年3月住房公积金</t>
  </si>
  <si>
    <t>支付2026年2月工资</t>
  </si>
  <si>
    <r>
      <rPr>
        <sz val="10"/>
        <color rgb="FF000000"/>
        <rFont val="宋体"/>
        <charset val="134"/>
      </rPr>
      <t>企业职工基本养老保险费</t>
    </r>
    <r>
      <rPr>
        <sz val="10"/>
        <color rgb="FF000000"/>
        <rFont val="Times New Roman"/>
        <charset val="134"/>
      </rPr>
      <t xml:space="preserve">  20260301-20260331   3020.64                    </t>
    </r>
    <r>
      <rPr>
        <sz val="10"/>
        <color rgb="FF000000"/>
        <rFont val="宋体"/>
        <charset val="134"/>
      </rPr>
      <t>失业保险费</t>
    </r>
    <r>
      <rPr>
        <sz val="10"/>
        <color rgb="FF000000"/>
        <rFont val="Times New Roman"/>
        <charset val="134"/>
      </rPr>
      <t xml:space="preserve">                            20260301-20260331   125.88                                     </t>
    </r>
    <r>
      <rPr>
        <sz val="10"/>
        <color rgb="FF000000"/>
        <rFont val="宋体"/>
        <charset val="134"/>
      </rPr>
      <t>工伤保险费</t>
    </r>
    <r>
      <rPr>
        <sz val="10"/>
        <color rgb="FF000000"/>
        <rFont val="Times New Roman"/>
        <charset val="134"/>
      </rPr>
      <t xml:space="preserve">                            20260301-20260331  46.65                                        </t>
    </r>
    <r>
      <rPr>
        <sz val="10"/>
        <color rgb="FF000000"/>
        <rFont val="宋体"/>
        <charset val="134"/>
      </rPr>
      <t>基本医疗保险费</t>
    </r>
    <r>
      <rPr>
        <sz val="10"/>
        <color rgb="FF000000"/>
        <rFont val="Times New Roman"/>
        <charset val="134"/>
      </rPr>
      <t xml:space="preserve">                   20260301-20260331 1336.6                                  </t>
    </r>
    <r>
      <rPr>
        <sz val="10"/>
        <color rgb="FF000000"/>
        <rFont val="宋体"/>
        <charset val="134"/>
      </rPr>
      <t>生育保险费</t>
    </r>
    <r>
      <rPr>
        <sz val="10"/>
        <color rgb="FF000000"/>
        <rFont val="Times New Roman"/>
        <charset val="134"/>
      </rPr>
      <t xml:space="preserve">                            20260301-20260331  93.56</t>
    </r>
  </si>
  <si>
    <t>支付20260101-20260331增值税6046.44元、城建税211.62元</t>
  </si>
  <si>
    <t>支付20260101-20260331房产税540元、城镇土地使用税201.42元、印花税4.5元</t>
  </si>
  <si>
    <t>收朴朴商务公司4月房租</t>
  </si>
  <si>
    <t>支付2026年4月住房公积金</t>
  </si>
  <si>
    <t>支付2026年3月工资</t>
  </si>
  <si>
    <r>
      <rPr>
        <sz val="10"/>
        <color rgb="FF000000"/>
        <rFont val="宋体"/>
        <charset val="134"/>
      </rPr>
      <t>企业职工基本养老保险费</t>
    </r>
    <r>
      <rPr>
        <sz val="10"/>
        <color rgb="FF000000"/>
        <rFont val="Times New Roman"/>
        <charset val="134"/>
      </rPr>
      <t xml:space="preserve">  20260401-20260430   3020.64                    </t>
    </r>
    <r>
      <rPr>
        <sz val="10"/>
        <color rgb="FF000000"/>
        <rFont val="宋体"/>
        <charset val="134"/>
      </rPr>
      <t>失业保险费</t>
    </r>
    <r>
      <rPr>
        <sz val="10"/>
        <color rgb="FF000000"/>
        <rFont val="Times New Roman"/>
        <charset val="134"/>
      </rPr>
      <t xml:space="preserve">                            20260401-20260430   125.88                                     </t>
    </r>
    <r>
      <rPr>
        <sz val="10"/>
        <color rgb="FF000000"/>
        <rFont val="宋体"/>
        <charset val="134"/>
      </rPr>
      <t>工伤保险费</t>
    </r>
    <r>
      <rPr>
        <sz val="10"/>
        <color rgb="FF000000"/>
        <rFont val="Times New Roman"/>
        <charset val="134"/>
      </rPr>
      <t xml:space="preserve">                            20260401-20260430  46.65                                        </t>
    </r>
    <r>
      <rPr>
        <sz val="10"/>
        <color rgb="FF000000"/>
        <rFont val="宋体"/>
        <charset val="134"/>
      </rPr>
      <t>基本医疗保险费</t>
    </r>
    <r>
      <rPr>
        <sz val="10"/>
        <color rgb="FF000000"/>
        <rFont val="Times New Roman"/>
        <charset val="134"/>
      </rPr>
      <t xml:space="preserve">                   20260401-20260430 1336.6                                  </t>
    </r>
    <r>
      <rPr>
        <sz val="10"/>
        <color rgb="FF000000"/>
        <rFont val="宋体"/>
        <charset val="134"/>
      </rPr>
      <t>生育保险费</t>
    </r>
    <r>
      <rPr>
        <sz val="10"/>
        <color rgb="FF000000"/>
        <rFont val="Times New Roman"/>
        <charset val="134"/>
      </rPr>
      <t xml:space="preserve">                            20260401-20260430  93.56</t>
    </r>
  </si>
  <si>
    <t>支付20260401-20260430增值税6046.44元、城建税211.62元</t>
  </si>
  <si>
    <t>收朴朴商务公司房租（20260515-20260614）</t>
  </si>
  <si>
    <t>支付2026年5月住房公积金</t>
  </si>
  <si>
    <t>支付2026年4月工资</t>
  </si>
  <si>
    <r>
      <rPr>
        <sz val="10"/>
        <color rgb="FF000000"/>
        <rFont val="宋体"/>
        <charset val="134"/>
      </rPr>
      <t>企业职工基本养老保险费</t>
    </r>
    <r>
      <rPr>
        <sz val="10"/>
        <color rgb="FF000000"/>
        <rFont val="Times New Roman"/>
        <charset val="134"/>
      </rPr>
      <t xml:space="preserve">  20260501-20260531   3020.64                    </t>
    </r>
    <r>
      <rPr>
        <sz val="10"/>
        <color rgb="FF000000"/>
        <rFont val="宋体"/>
        <charset val="134"/>
      </rPr>
      <t>失业保险费</t>
    </r>
    <r>
      <rPr>
        <sz val="10"/>
        <color rgb="FF000000"/>
        <rFont val="Times New Roman"/>
        <charset val="134"/>
      </rPr>
      <t xml:space="preserve">                            20260501-20260531   125.88                                     </t>
    </r>
    <r>
      <rPr>
        <sz val="10"/>
        <color rgb="FF000000"/>
        <rFont val="宋体"/>
        <charset val="134"/>
      </rPr>
      <t>工伤保险费</t>
    </r>
    <r>
      <rPr>
        <sz val="10"/>
        <color rgb="FF000000"/>
        <rFont val="Times New Roman"/>
        <charset val="134"/>
      </rPr>
      <t xml:space="preserve">                            20260501-20260531   46.65                                        </t>
    </r>
    <r>
      <rPr>
        <sz val="10"/>
        <color rgb="FF000000"/>
        <rFont val="宋体"/>
        <charset val="134"/>
      </rPr>
      <t>基本医疗保险费</t>
    </r>
    <r>
      <rPr>
        <sz val="10"/>
        <color rgb="FF000000"/>
        <rFont val="Times New Roman"/>
        <charset val="134"/>
      </rPr>
      <t xml:space="preserve">                   20260501-20260531  1336.6                                  </t>
    </r>
    <r>
      <rPr>
        <sz val="10"/>
        <color rgb="FF000000"/>
        <rFont val="宋体"/>
        <charset val="134"/>
      </rPr>
      <t>生育保险费</t>
    </r>
    <r>
      <rPr>
        <sz val="10"/>
        <color rgb="FF000000"/>
        <rFont val="Times New Roman"/>
        <charset val="134"/>
      </rPr>
      <t xml:space="preserve">                            20260501-20260531   93.56</t>
    </r>
  </si>
  <si>
    <t>支付20260501-20260531增值税6046.44元、城建税211.62元</t>
  </si>
  <si>
    <t>收朴朴商务公司房租（20260615-20260714）</t>
  </si>
  <si>
    <t>支付2026年6月住房公积金</t>
  </si>
  <si>
    <t>支付2026年5月工资</t>
  </si>
  <si>
    <r>
      <rPr>
        <sz val="10"/>
        <color rgb="FF000000"/>
        <rFont val="宋体"/>
        <charset val="134"/>
      </rPr>
      <t>企业职工基本养老保险费</t>
    </r>
    <r>
      <rPr>
        <sz val="10"/>
        <color rgb="FF000000"/>
        <rFont val="Times New Roman"/>
        <charset val="134"/>
      </rPr>
      <t xml:space="preserve">  20260601-20260630   3020.64                    </t>
    </r>
    <r>
      <rPr>
        <sz val="10"/>
        <color rgb="FF000000"/>
        <rFont val="宋体"/>
        <charset val="134"/>
      </rPr>
      <t>失业保险费</t>
    </r>
    <r>
      <rPr>
        <sz val="10"/>
        <color rgb="FF000000"/>
        <rFont val="Times New Roman"/>
        <charset val="134"/>
      </rPr>
      <t xml:space="preserve">                             20260601-20260630   125.88                                     </t>
    </r>
    <r>
      <rPr>
        <sz val="10"/>
        <color rgb="FF000000"/>
        <rFont val="宋体"/>
        <charset val="134"/>
      </rPr>
      <t>工伤保险费</t>
    </r>
    <r>
      <rPr>
        <sz val="10"/>
        <color rgb="FF000000"/>
        <rFont val="Times New Roman"/>
        <charset val="134"/>
      </rPr>
      <t xml:space="preserve">                             20260601-20260630   46.65                                        </t>
    </r>
    <r>
      <rPr>
        <sz val="10"/>
        <color rgb="FF000000"/>
        <rFont val="宋体"/>
        <charset val="134"/>
      </rPr>
      <t>基本医疗保险费</t>
    </r>
    <r>
      <rPr>
        <sz val="10"/>
        <color rgb="FF000000"/>
        <rFont val="Times New Roman"/>
        <charset val="134"/>
      </rPr>
      <t xml:space="preserve">                    20260601-20260630  1336.6                                  </t>
    </r>
    <r>
      <rPr>
        <sz val="10"/>
        <color rgb="FF000000"/>
        <rFont val="宋体"/>
        <charset val="134"/>
      </rPr>
      <t>生育保险费</t>
    </r>
    <r>
      <rPr>
        <sz val="10"/>
        <color rgb="FF000000"/>
        <rFont val="Times New Roman"/>
        <charset val="134"/>
      </rPr>
      <t xml:space="preserve">                             20260601-20260630   93.56</t>
    </r>
  </si>
  <si>
    <t>支付20260601-20260630增值税6046.44元、城建税211.62元</t>
  </si>
  <si>
    <t>支付20260401-20260630房产税540元、城镇土地使用税201.42元、印花税4.5元</t>
  </si>
  <si>
    <t>收朴朴商务公司房租（20260715-20260814）</t>
  </si>
  <si>
    <t>支付2026年7月住房公积金</t>
  </si>
  <si>
    <t>支付2026年6月工资</t>
  </si>
  <si>
    <r>
      <rPr>
        <sz val="10"/>
        <color rgb="FF000000"/>
        <rFont val="宋体"/>
        <charset val="134"/>
      </rPr>
      <t>企业职工基本养老保险费</t>
    </r>
    <r>
      <rPr>
        <sz val="10"/>
        <color rgb="FF000000"/>
        <rFont val="Times New Roman"/>
        <charset val="134"/>
      </rPr>
      <t xml:space="preserve">  20260701-20260731   3020.64                    </t>
    </r>
    <r>
      <rPr>
        <sz val="10"/>
        <color rgb="FF000000"/>
        <rFont val="宋体"/>
        <charset val="134"/>
      </rPr>
      <t>失业保险费</t>
    </r>
    <r>
      <rPr>
        <sz val="10"/>
        <color rgb="FF000000"/>
        <rFont val="Times New Roman"/>
        <charset val="134"/>
      </rPr>
      <t xml:space="preserve">                            20260701-20260731    125.88                                     </t>
    </r>
    <r>
      <rPr>
        <sz val="10"/>
        <color rgb="FF000000"/>
        <rFont val="宋体"/>
        <charset val="134"/>
      </rPr>
      <t>工伤保险费</t>
    </r>
    <r>
      <rPr>
        <sz val="10"/>
        <color rgb="FF000000"/>
        <rFont val="Times New Roman"/>
        <charset val="134"/>
      </rPr>
      <t xml:space="preserve">                            20260701-20260731    46.65                                        </t>
    </r>
    <r>
      <rPr>
        <sz val="10"/>
        <color rgb="FF000000"/>
        <rFont val="宋体"/>
        <charset val="134"/>
      </rPr>
      <t>基本医疗保险费</t>
    </r>
    <r>
      <rPr>
        <sz val="10"/>
        <color rgb="FF000000"/>
        <rFont val="Times New Roman"/>
        <charset val="134"/>
      </rPr>
      <t xml:space="preserve">                    20260701-20260731   1373.7                                 </t>
    </r>
    <r>
      <rPr>
        <sz val="10"/>
        <color rgb="FF000000"/>
        <rFont val="宋体"/>
        <charset val="134"/>
      </rPr>
      <t>生育保险费</t>
    </r>
    <r>
      <rPr>
        <sz val="10"/>
        <color rgb="FF000000"/>
        <rFont val="Times New Roman"/>
        <charset val="134"/>
      </rPr>
      <t xml:space="preserve">                             20260701-20260731    96.15</t>
    </r>
  </si>
  <si>
    <t>支付20260701-20260731增值税6046.44元、城建税211.62元</t>
  </si>
  <si>
    <t>收朴朴商务公司房租（20260815-20260914）</t>
  </si>
  <si>
    <t>支付2026年8月住房公积金</t>
  </si>
  <si>
    <t>支付2026年7月工资</t>
  </si>
  <si>
    <r>
      <rPr>
        <sz val="10"/>
        <color rgb="FF000000"/>
        <rFont val="宋体"/>
        <charset val="134"/>
      </rPr>
      <t>企业职工基本养老保险费</t>
    </r>
    <r>
      <rPr>
        <sz val="10"/>
        <color rgb="FF000000"/>
        <rFont val="Times New Roman"/>
        <charset val="134"/>
      </rPr>
      <t xml:space="preserve">  20260801-20260831   3020.64                    </t>
    </r>
    <r>
      <rPr>
        <sz val="10"/>
        <color rgb="FF000000"/>
        <rFont val="宋体"/>
        <charset val="134"/>
      </rPr>
      <t>失业保险费</t>
    </r>
    <r>
      <rPr>
        <sz val="10"/>
        <color rgb="FF000000"/>
        <rFont val="Times New Roman"/>
        <charset val="134"/>
      </rPr>
      <t xml:space="preserve">                           20260801-20260831    125.88                                     </t>
    </r>
    <r>
      <rPr>
        <sz val="10"/>
        <color rgb="FF000000"/>
        <rFont val="宋体"/>
        <charset val="134"/>
      </rPr>
      <t>工伤保险费</t>
    </r>
    <r>
      <rPr>
        <sz val="10"/>
        <color rgb="FF000000"/>
        <rFont val="Times New Roman"/>
        <charset val="134"/>
      </rPr>
      <t xml:space="preserve">                           20260801-20260831    48.09                                       </t>
    </r>
    <r>
      <rPr>
        <sz val="10"/>
        <color rgb="FF000000"/>
        <rFont val="宋体"/>
        <charset val="134"/>
      </rPr>
      <t>基本医疗保险费</t>
    </r>
    <r>
      <rPr>
        <sz val="10"/>
        <color rgb="FF000000"/>
        <rFont val="Times New Roman"/>
        <charset val="134"/>
      </rPr>
      <t xml:space="preserve">                   20260801-20260831   1373.7                                 </t>
    </r>
    <r>
      <rPr>
        <sz val="10"/>
        <color rgb="FF000000"/>
        <rFont val="宋体"/>
        <charset val="134"/>
      </rPr>
      <t>生育保险费</t>
    </r>
    <r>
      <rPr>
        <sz val="10"/>
        <color rgb="FF000000"/>
        <rFont val="Times New Roman"/>
        <charset val="134"/>
      </rPr>
      <t xml:space="preserve">                            20260801-20260831    96.15</t>
    </r>
  </si>
  <si>
    <t>支付20260801-20260831增值税6046.44元、城建税211.62元</t>
  </si>
  <si>
    <t>收朴朴商务公司房租（20260915-20261014）</t>
  </si>
  <si>
    <t>支付2026年9月住房公积金</t>
  </si>
  <si>
    <t>支付2026年8月工资</t>
  </si>
  <si>
    <r>
      <rPr>
        <sz val="10"/>
        <color rgb="FFFF0000"/>
        <rFont val="宋体"/>
        <charset val="134"/>
      </rPr>
      <t>企业职工基本养老保险费</t>
    </r>
    <r>
      <rPr>
        <sz val="10"/>
        <color rgb="FFFF0000"/>
        <rFont val="Times New Roman"/>
        <charset val="134"/>
      </rPr>
      <t xml:space="preserve">  20260901-20260930  3020.64                    </t>
    </r>
    <r>
      <rPr>
        <sz val="10"/>
        <color rgb="FFFF0000"/>
        <rFont val="宋体"/>
        <charset val="134"/>
      </rPr>
      <t>失业保险费</t>
    </r>
    <r>
      <rPr>
        <sz val="10"/>
        <color rgb="FFFF0000"/>
        <rFont val="Times New Roman"/>
        <charset val="134"/>
      </rPr>
      <t xml:space="preserve">                           20260901-20260930    125.88                                     </t>
    </r>
    <r>
      <rPr>
        <sz val="10"/>
        <color rgb="FFFF0000"/>
        <rFont val="宋体"/>
        <charset val="134"/>
      </rPr>
      <t>工伤保险费</t>
    </r>
    <r>
      <rPr>
        <sz val="10"/>
        <color rgb="FFFF0000"/>
        <rFont val="Times New Roman"/>
        <charset val="134"/>
      </rPr>
      <t xml:space="preserve">                           20260901-20260930   48.09                                       </t>
    </r>
    <r>
      <rPr>
        <sz val="10"/>
        <color rgb="FFFF0000"/>
        <rFont val="宋体"/>
        <charset val="134"/>
      </rPr>
      <t>基本医疗保险费</t>
    </r>
    <r>
      <rPr>
        <sz val="10"/>
        <color rgb="FFFF0000"/>
        <rFont val="Times New Roman"/>
        <charset val="134"/>
      </rPr>
      <t xml:space="preserve">                   20260901-20260930   1373.7                                 </t>
    </r>
    <r>
      <rPr>
        <sz val="10"/>
        <color rgb="FFFF0000"/>
        <rFont val="宋体"/>
        <charset val="134"/>
      </rPr>
      <t>生育保险费</t>
    </r>
    <r>
      <rPr>
        <sz val="10"/>
        <color rgb="FFFF0000"/>
        <rFont val="Times New Roman"/>
        <charset val="134"/>
      </rPr>
      <t xml:space="preserve">                            20260901-20260930    96.15</t>
    </r>
  </si>
  <si>
    <r>
      <rPr>
        <u val="singleAccounting"/>
        <sz val="16"/>
        <color theme="0"/>
        <rFont val="汉仪粗宋简"/>
        <charset val="134"/>
      </rPr>
      <t>银行日记账--</t>
    </r>
    <r>
      <rPr>
        <sz val="16"/>
        <color theme="0"/>
        <rFont val="汉仪粗宋简"/>
        <charset val="134"/>
      </rPr>
      <t>吴海萍农商银行</t>
    </r>
  </si>
  <si>
    <t>租金</t>
  </si>
  <si>
    <t>物业</t>
  </si>
  <si>
    <t>地摊费</t>
  </si>
  <si>
    <t>利息</t>
  </si>
  <si>
    <t>手续费</t>
  </si>
  <si>
    <t>陈文</t>
  </si>
  <si>
    <t>A105 1月租金</t>
  </si>
  <si>
    <t>广场92号 固定摊位费（2026.1.3-2026.4.2）</t>
  </si>
  <si>
    <t>广场86号 固定摊位费（2026.1.5-2026.4.5）</t>
  </si>
  <si>
    <t>1月3-74号临时摊位费</t>
  </si>
  <si>
    <t>黄月红</t>
  </si>
  <si>
    <t>A122 年缴租金（2025.8.1-2026.7.31）</t>
  </si>
  <si>
    <t>林淑琴</t>
  </si>
  <si>
    <t>古玩城电费（2025.12.20-2025.12.31）</t>
  </si>
  <si>
    <t>购买办公室抽纸</t>
  </si>
  <si>
    <t>林威</t>
  </si>
  <si>
    <t>C126 季度租金（2025.11.1-2026.1.31）</t>
  </si>
  <si>
    <t>周廷仕</t>
  </si>
  <si>
    <t>A103 104 12月租金及11月水电费</t>
  </si>
  <si>
    <t>林烈爱</t>
  </si>
  <si>
    <t>A110 1月租金物业及12月水电费</t>
  </si>
  <si>
    <t>詹春其</t>
  </si>
  <si>
    <t>A107 1月租金物业及12月水电费</t>
  </si>
  <si>
    <t>朱耀梨</t>
  </si>
  <si>
    <t>C132 1月租金物业及12月水电费</t>
  </si>
  <si>
    <t>李小林</t>
  </si>
  <si>
    <t>B117 12月水电费</t>
  </si>
  <si>
    <t>陈裕国</t>
  </si>
  <si>
    <t>C121 1月租金物业及12月水电费</t>
  </si>
  <si>
    <t>徐常彪</t>
  </si>
  <si>
    <t>C111 1月租金物业及12月水电费</t>
  </si>
  <si>
    <t>A105 1月物业及12月水电费</t>
  </si>
  <si>
    <t>廖三妹</t>
  </si>
  <si>
    <t>A106 1月租金物业及12月水电费</t>
  </si>
  <si>
    <t>张泳光</t>
  </si>
  <si>
    <t>A108 1月租金物业及12月水电费</t>
  </si>
  <si>
    <t>黄美姜</t>
  </si>
  <si>
    <t>B120-1 1月租金物业及12月水电费</t>
  </si>
  <si>
    <t>郭在炎</t>
  </si>
  <si>
    <t>A121 1月物业及12月水电费</t>
  </si>
  <si>
    <t>潘少榕</t>
  </si>
  <si>
    <t>A114 1月租金物业及12月水电费</t>
  </si>
  <si>
    <t>大厅1号固定摊位费（2026.1.11-2026.4.10）</t>
  </si>
  <si>
    <t>1.10-11号地摊5290</t>
  </si>
  <si>
    <t>江其棉</t>
  </si>
  <si>
    <t>B106 年缴租金（2025.8.6-2026.8.5）</t>
  </si>
  <si>
    <t>周文光</t>
  </si>
  <si>
    <t>C122 11月水电费</t>
  </si>
  <si>
    <t>林木建</t>
  </si>
  <si>
    <t>B108 12月租金物业及11月水电费</t>
  </si>
  <si>
    <t>施传灿</t>
  </si>
  <si>
    <t>A137 12月租金及11月水电费</t>
  </si>
  <si>
    <t>B103 11月水电费</t>
  </si>
  <si>
    <t>郑国朝</t>
  </si>
  <si>
    <t>C128 年缴租金（2025.12.15-2026.12.14）</t>
  </si>
  <si>
    <t>刘瑞琴</t>
  </si>
  <si>
    <t>A120 12月租金物业及11月水电费</t>
  </si>
  <si>
    <t>张依妹</t>
  </si>
  <si>
    <t>B127 1月物业及12月水电费</t>
  </si>
  <si>
    <t>陈昭祥</t>
  </si>
  <si>
    <t>C120 1月物业及12月水电费</t>
  </si>
  <si>
    <t>吴国俤</t>
  </si>
  <si>
    <t>C106 1月租金物业及12月水电费</t>
  </si>
  <si>
    <t>吕小英</t>
  </si>
  <si>
    <t>C110 1月物业及12月水电费</t>
  </si>
  <si>
    <t>刘增东</t>
  </si>
  <si>
    <t>C113 1月物业及12月水电费</t>
  </si>
  <si>
    <t>王志云</t>
  </si>
  <si>
    <t>C114 115 1月物业及12月水电费</t>
  </si>
  <si>
    <t>黄娇芳</t>
  </si>
  <si>
    <t>C105 12月水电费</t>
  </si>
  <si>
    <t>朱清</t>
  </si>
  <si>
    <t>C120 1月租金物业及12月水电费</t>
  </si>
  <si>
    <t>C122 12月水电费</t>
  </si>
  <si>
    <t>徐陈威</t>
  </si>
  <si>
    <t>A138 1月租金物业及12月水电费</t>
  </si>
  <si>
    <t>吴伟绩</t>
  </si>
  <si>
    <t>A130 1月物业及12月水电费</t>
  </si>
  <si>
    <t>李耀明</t>
  </si>
  <si>
    <t>A101-102 1月租金及12月水电费</t>
  </si>
  <si>
    <t>姬志力</t>
  </si>
  <si>
    <t>B114 1月物业及12月水电费</t>
  </si>
  <si>
    <t>郑飞霞</t>
  </si>
  <si>
    <t>B112 1月租金物业及12月水电费</t>
  </si>
  <si>
    <t>赵守辉</t>
  </si>
  <si>
    <t>C101 1月租金物业及12月水电费</t>
  </si>
  <si>
    <t>吴贵舜</t>
  </si>
  <si>
    <t>B111 1月租金物业及12月水电费</t>
  </si>
  <si>
    <t>张玉女</t>
  </si>
  <si>
    <t>B120-2 12月水电费</t>
  </si>
  <si>
    <t>林勇</t>
  </si>
  <si>
    <t>B124 12月水电费</t>
  </si>
  <si>
    <t>刘长福</t>
  </si>
  <si>
    <t>B125 1月物业及12月水电费</t>
  </si>
  <si>
    <t>潘仲才</t>
  </si>
  <si>
    <t>A128 1月租金物业及12月水电费</t>
  </si>
  <si>
    <t>卢允诺</t>
  </si>
  <si>
    <t>C118 1月租金物业及12月水电费</t>
  </si>
  <si>
    <t>郑用辉</t>
  </si>
  <si>
    <t>C134 12月租金物业及11月水电费</t>
  </si>
  <si>
    <t>陈媄媄</t>
  </si>
  <si>
    <t>A112 1月租金物业及12月水电费</t>
  </si>
  <si>
    <t>A122 1月物业及12月水电费</t>
  </si>
  <si>
    <t>古玩城2025.12.10-2026.1.9水费</t>
  </si>
  <si>
    <t>古玩城办公室水票</t>
  </si>
  <si>
    <t>翁启恩</t>
  </si>
  <si>
    <t>A117-1 1月租金物业及12月水电费</t>
  </si>
  <si>
    <t>薛世仁</t>
  </si>
  <si>
    <t>B113 C125 10月租金物业及9月水电费</t>
  </si>
  <si>
    <t>王秀娟</t>
  </si>
  <si>
    <t>A111 12月租金物业及11月水电费</t>
  </si>
  <si>
    <t>林金芳</t>
  </si>
  <si>
    <t>A131 1月租金物业及12月水电费</t>
  </si>
  <si>
    <t>古玩城2025年12月工资</t>
  </si>
  <si>
    <t>古玩城宽带费用</t>
  </si>
  <si>
    <t>吴海萍招行利息收入</t>
  </si>
  <si>
    <t>陈明东</t>
  </si>
  <si>
    <t>A110-2 1月租金物业及12月水电费</t>
  </si>
  <si>
    <t>陈庆存</t>
  </si>
  <si>
    <t>A118 1月租金物业及12月水电费</t>
  </si>
  <si>
    <t>1.17-18号地摊5976</t>
  </si>
  <si>
    <t>郑国潮</t>
  </si>
  <si>
    <t>C128 1月物业及12月水电费</t>
  </si>
  <si>
    <t>李军州</t>
  </si>
  <si>
    <t>C123 12月水电费</t>
  </si>
  <si>
    <t>刘祖锣</t>
  </si>
  <si>
    <t>B129 1月物业及12月水电费</t>
  </si>
  <si>
    <t>B130 1月物业及12月水电费</t>
  </si>
  <si>
    <t>郑元麟</t>
  </si>
  <si>
    <t>C112 12月租金物业及11月水电费</t>
  </si>
  <si>
    <t>吴仕茂</t>
  </si>
  <si>
    <t>A113 1月租金物业及12月水电费</t>
  </si>
  <si>
    <t>陈小龙</t>
  </si>
  <si>
    <t>A12G 12租金</t>
  </si>
  <si>
    <t>张凯</t>
  </si>
  <si>
    <t>C108 1月租金物业及12月水电费</t>
  </si>
  <si>
    <t>C133 12月租金</t>
  </si>
  <si>
    <t>苏清治</t>
  </si>
  <si>
    <t>A136 12月物业及11月水电费</t>
  </si>
  <si>
    <t>苏定福</t>
  </si>
  <si>
    <t>A119 12月物业及11月水电费</t>
  </si>
  <si>
    <t>薛德文</t>
  </si>
  <si>
    <t>C119 年缴租金（2025.8.1-2026.7.31）</t>
  </si>
  <si>
    <t>A110-2 12月物业及11月水电费</t>
  </si>
  <si>
    <t>后英英</t>
  </si>
  <si>
    <t>A109 1月租金物业及12月水电费</t>
  </si>
  <si>
    <t>李忠华</t>
  </si>
  <si>
    <t>古玩城外围花圃拆填费用</t>
  </si>
  <si>
    <t>社区警务室治安费用（2026.1-2月）</t>
  </si>
  <si>
    <t>黄济超</t>
  </si>
  <si>
    <t>A127 1月物业及12月水电费</t>
  </si>
  <si>
    <t>B106 1月物业及12月水电费</t>
  </si>
  <si>
    <t>陈群</t>
  </si>
  <si>
    <t>C107 1月租金物业及12月水电费</t>
  </si>
  <si>
    <t>张文华</t>
  </si>
  <si>
    <t>A116 1月租金物业及12月水电费</t>
  </si>
  <si>
    <t>A103 104 1月租金及12月水电费</t>
  </si>
  <si>
    <t>古玩城电费（2026.1.1-1.20）</t>
  </si>
  <si>
    <t>古玩城外围地摊画线费用</t>
  </si>
  <si>
    <t>詹善长</t>
  </si>
  <si>
    <t>退古玩城B104商户押金</t>
  </si>
  <si>
    <t>赵伟</t>
  </si>
  <si>
    <t>退古玩城B104商户押金7800元-1月物业150、12月水电费204</t>
  </si>
  <si>
    <t>1.24-25号地摊5370</t>
  </si>
  <si>
    <t>C133 12月租金物业及11月水电费</t>
  </si>
  <si>
    <t>C134 1月租金</t>
  </si>
  <si>
    <t>陈学</t>
  </si>
  <si>
    <t>B133 1月物业及12月水电费</t>
  </si>
  <si>
    <t>刘振宇</t>
  </si>
  <si>
    <t>B119 12月租金物业及11月水电费</t>
  </si>
  <si>
    <t>黄忠团</t>
  </si>
  <si>
    <t>C109 12月租金物业及11月水电费</t>
  </si>
  <si>
    <t>徐景超</t>
  </si>
  <si>
    <t>A13G 11月水电费</t>
  </si>
  <si>
    <t>黄宝清</t>
  </si>
  <si>
    <t>C117 12月租金及11月水电费</t>
  </si>
  <si>
    <t>潘少芳</t>
  </si>
  <si>
    <t>A115 1月租金物业及12月水电费</t>
  </si>
  <si>
    <t>B113 C125 11月租金物业及10月水电费</t>
  </si>
  <si>
    <t>陈伙兴</t>
  </si>
  <si>
    <t>A117-2 1月租金物业及12月水电费</t>
  </si>
  <si>
    <t>林如</t>
  </si>
  <si>
    <t>B110-1 1月租金物业及12月水电费</t>
  </si>
  <si>
    <t>赵江涛</t>
  </si>
  <si>
    <t>B128 11月租金物业及10月水电费</t>
  </si>
  <si>
    <t>B128 12月租金物业及11月水电费</t>
  </si>
  <si>
    <t>苏晨</t>
  </si>
  <si>
    <t>A137-1 12月租金物业及11月水电费</t>
  </si>
  <si>
    <t>B131 B132 12月物业及11月水电费</t>
  </si>
  <si>
    <t>B131 B132 1月物业及12月水电费</t>
  </si>
  <si>
    <t>A105 2月租金</t>
  </si>
  <si>
    <t>转入王晓华账户（用于支付归还155万元贷款本金）</t>
  </si>
  <si>
    <t>其他应收款</t>
  </si>
  <si>
    <t>杨家如</t>
  </si>
  <si>
    <t>B109 12月租金物业及11月水电费</t>
  </si>
  <si>
    <t>微信</t>
  </si>
  <si>
    <t>C112 1月租金物业及12月水电费</t>
  </si>
  <si>
    <t>刘义秋</t>
  </si>
  <si>
    <t>C116 年缴租金（2025.8.1-2026.7.31）</t>
  </si>
  <si>
    <t>柯秀强</t>
  </si>
  <si>
    <t>B126 12月租金物业及11月水电费</t>
  </si>
  <si>
    <t>C132 12月租金物业及11月水电费</t>
  </si>
  <si>
    <t>转入王晓华建行账户转入艾泊烨对公账户（借款用于支付博烨体育工程款）</t>
  </si>
  <si>
    <t>古玩城电费（2026.1.20-1.31）</t>
  </si>
  <si>
    <t>电线路84元、马桶维修80元</t>
  </si>
  <si>
    <t>宣传280元</t>
  </si>
  <si>
    <t>抽纸费用105.12元</t>
  </si>
  <si>
    <t>C134 1月租金及12月水电费</t>
  </si>
  <si>
    <t>A127 B135 B134 2月物业及1月水电费</t>
  </si>
  <si>
    <t>A108 2月租金物业及1月水电费</t>
  </si>
  <si>
    <t>B120-2 1月水电费</t>
  </si>
  <si>
    <t>A107 2月租金物业及1月水电费</t>
  </si>
  <si>
    <t>C121 2月租金物业及1月水电费</t>
  </si>
  <si>
    <t>C105 1月水电费</t>
  </si>
  <si>
    <t>B111 2月租金物业及1月水电费</t>
  </si>
  <si>
    <t>B120-1 2月租金物业及1月水电费</t>
  </si>
  <si>
    <t>B130 季度缴租金）2026.2.1-2026.4.30）</t>
  </si>
  <si>
    <t>B130 2月物业及1月水电费</t>
  </si>
  <si>
    <t>C109 1月租金物业及12月水电费</t>
  </si>
  <si>
    <t>A114 2月租金物业及1月水电费</t>
  </si>
  <si>
    <t>A128 2月租金物业及1月水电费</t>
  </si>
  <si>
    <t>B124 1月水电费</t>
  </si>
  <si>
    <t>C111 2月租金物业及1月水电费</t>
  </si>
  <si>
    <t>C128 2月物业及1月水电费</t>
  </si>
  <si>
    <t>A121 2月物业及1月水电费</t>
  </si>
  <si>
    <t>B114 2月物业及1月水电费</t>
  </si>
  <si>
    <t>C114 115 2月物业及1月水电费</t>
  </si>
  <si>
    <t>陈胜</t>
  </si>
  <si>
    <t>C12G 1月水电费</t>
  </si>
  <si>
    <t>C110 2月物业及1月水电费</t>
  </si>
  <si>
    <t>C120 2月租金物业及1月水电费</t>
  </si>
  <si>
    <t>B129 2月物业及1月水电费</t>
  </si>
  <si>
    <t>B127 2月物业及1月水电费</t>
  </si>
  <si>
    <t>A130 2月物业及1月水电费</t>
  </si>
  <si>
    <t>C108 2月租金物业及1月水电费</t>
  </si>
  <si>
    <t>C133 C134 2月租金及1月水电费</t>
  </si>
  <si>
    <t>A101-102 2月租金及1月水电费</t>
  </si>
  <si>
    <t>C118 2月租金物业及1月水电费</t>
  </si>
  <si>
    <t>C112 2月租金及1月水电费</t>
  </si>
  <si>
    <t>C113 2月物业及1月水电费</t>
  </si>
  <si>
    <t>B112 2月租金物业及1月水电费</t>
  </si>
  <si>
    <t>A138 2月租金物业及1月水电费</t>
  </si>
  <si>
    <t>林德民</t>
  </si>
  <si>
    <t>B121 12月水电费</t>
  </si>
  <si>
    <t>B122 1月物业及12月水电费</t>
  </si>
  <si>
    <t>B121 1月水电费</t>
  </si>
  <si>
    <t>B122 2月物业及1月水电费</t>
  </si>
  <si>
    <t>B133 2月物业及1月水电费</t>
  </si>
  <si>
    <t>A106 2月租金物业及1月水电费</t>
  </si>
  <si>
    <t>A105 2月物业费</t>
  </si>
  <si>
    <t>A113 2月租金物业及1月水电费</t>
  </si>
  <si>
    <t>A117-1 2月租金物业及1月水电费</t>
  </si>
  <si>
    <t>转入王晓华建行账户转入艾泊烨对公账户（借款用于支付艾泊烨1月工资及年终奖）</t>
  </si>
  <si>
    <t>C101 2月租金物业及1月水电费</t>
  </si>
  <si>
    <t>刘国启</t>
  </si>
  <si>
    <t>B118 2月租金物业及1月水电费</t>
  </si>
  <si>
    <t>古玩城2026年1月工资</t>
  </si>
  <si>
    <t>古玩城2025年年终奖</t>
  </si>
  <si>
    <t>古玩城年会费用</t>
  </si>
  <si>
    <t>门锁排气扇300元、卫生棉拖37.43元、</t>
  </si>
  <si>
    <t>古玩城1月份水费（2026.11-2026.2.10）</t>
  </si>
  <si>
    <t>A112 2月租金物业及1月水电费</t>
  </si>
  <si>
    <r>
      <rPr>
        <sz val="10"/>
        <color rgb="FFFF0000"/>
        <rFont val="Times New Roman"/>
        <charset val="134"/>
      </rPr>
      <t>A109 2</t>
    </r>
    <r>
      <rPr>
        <sz val="10"/>
        <color rgb="FFFF0000"/>
        <rFont val="宋体"/>
        <charset val="134"/>
      </rPr>
      <t>月租金物业及</t>
    </r>
    <r>
      <rPr>
        <sz val="10"/>
        <color rgb="FFFF0000"/>
        <rFont val="Times New Roman"/>
        <charset val="134"/>
      </rPr>
      <t>1</t>
    </r>
    <r>
      <rPr>
        <sz val="10"/>
        <color rgb="FFFF0000"/>
        <rFont val="宋体"/>
        <charset val="134"/>
      </rPr>
      <t>月水电费</t>
    </r>
  </si>
  <si>
    <t>购LED灯泡及材料314元、迎春彩灯560元、垃圾袋68.02元</t>
  </si>
  <si>
    <t>A120 1月租金物业及12月水电费</t>
  </si>
  <si>
    <t>A111 1月租金物业及12月水电费</t>
  </si>
  <si>
    <t>C107 2月租金物业及1月水电费</t>
  </si>
  <si>
    <t>A116 2月租金物业及1月水电费</t>
  </si>
  <si>
    <t>B113 C125 12月租金</t>
  </si>
  <si>
    <t>A131 2月租金物业及1月水电费</t>
  </si>
  <si>
    <t>C133 C134 2月租金物业及1月水电费</t>
  </si>
  <si>
    <t>B126 1月租金物业及12月水电费</t>
  </si>
  <si>
    <t>薛熙伟</t>
  </si>
  <si>
    <t>A129 2025.7月物业及6月水电费</t>
  </si>
  <si>
    <t>A129 2025.8月物业及7月水电费</t>
  </si>
  <si>
    <t>A129 2025.9月物业及8月水电费</t>
  </si>
  <si>
    <t>A129 2025.10月物业及9月水电费</t>
  </si>
  <si>
    <t>A129 2025.11月物业及10月水电费</t>
  </si>
  <si>
    <t>A129 2025.12月物业及11月水电费</t>
  </si>
  <si>
    <t>A129 租金（2025.9.1-2025.12.31）</t>
  </si>
  <si>
    <t>A103 104 2月租金及1月水电费</t>
  </si>
  <si>
    <t>B110-1 2月租金物业及1月水电费</t>
  </si>
  <si>
    <t>A105 3月租金</t>
  </si>
  <si>
    <t>江碗露</t>
  </si>
  <si>
    <t>C103 1月物业及12月水电费</t>
  </si>
  <si>
    <t>C103 2月物业及1月水电费</t>
  </si>
  <si>
    <t>B113 C125 12月租金物业及11月水电费</t>
  </si>
  <si>
    <t>A118 2月租金物业及1月水电费</t>
  </si>
  <si>
    <t>收到王晓华借款（1分利息）</t>
  </si>
  <si>
    <t>其他应付款</t>
  </si>
  <si>
    <t>杨兰贞</t>
  </si>
  <si>
    <t>古玩城2026年1月份租金</t>
  </si>
  <si>
    <t>C132 2月租金物业及1月水电费</t>
  </si>
  <si>
    <t>A115 2月租金物业及1月水电费</t>
  </si>
  <si>
    <t>A108 3月租金物业及2月水电费</t>
  </si>
  <si>
    <r>
      <rPr>
        <sz val="10"/>
        <color rgb="FFFF0000"/>
        <rFont val="Times New Roman"/>
        <charset val="134"/>
      </rPr>
      <t>A117-2 2</t>
    </r>
    <r>
      <rPr>
        <sz val="10"/>
        <color rgb="FFFF0000"/>
        <rFont val="宋体"/>
        <charset val="134"/>
      </rPr>
      <t>月租金物业及</t>
    </r>
    <r>
      <rPr>
        <sz val="10"/>
        <color rgb="FFFF0000"/>
        <rFont val="Times New Roman"/>
        <charset val="134"/>
      </rPr>
      <t>1</t>
    </r>
    <r>
      <rPr>
        <sz val="10"/>
        <color rgb="FFFF0000"/>
        <rFont val="宋体"/>
        <charset val="134"/>
      </rPr>
      <t>月水电费</t>
    </r>
  </si>
  <si>
    <t>A110 2月租金物业及1月水电费</t>
  </si>
  <si>
    <t>A110 3月租金物业及2月水电费</t>
  </si>
  <si>
    <t>A107 3月租金物业及2月水电费</t>
  </si>
  <si>
    <t>C124 年缴租金（2026.3.1-2027.2.28）</t>
  </si>
  <si>
    <t>A106 3月租金物业及2月水电费</t>
  </si>
  <si>
    <t>A119 2月物业及1月水电费</t>
  </si>
  <si>
    <t>A117-1 3月租金物业及2月水电费</t>
  </si>
  <si>
    <t>B120-2 3月物业及2水电费</t>
  </si>
  <si>
    <t>2026.3.7-8号地摊费</t>
  </si>
  <si>
    <t>B108 1月租金物业及12月水电费</t>
  </si>
  <si>
    <t>B108 2月租金物业及1月水电费</t>
  </si>
  <si>
    <t>C12G 12月水电费</t>
  </si>
  <si>
    <t>A101-102 3月租金及2月水电费</t>
  </si>
  <si>
    <t>A13G 12月水电费</t>
  </si>
  <si>
    <t>A13G 1月水电费</t>
  </si>
  <si>
    <t>蔡发熙</t>
  </si>
  <si>
    <t>A135 1月物业及12月水电费</t>
  </si>
  <si>
    <t>A135 2月物业及1月水电费</t>
  </si>
  <si>
    <t>A130 3月物业及2月水电费</t>
  </si>
  <si>
    <t>C124 2月水电费</t>
  </si>
  <si>
    <t>傅兰立</t>
  </si>
  <si>
    <t>A132 2025.12月物业及11月水电费</t>
  </si>
  <si>
    <t>A132 1月物业及12月水电费</t>
  </si>
  <si>
    <t>A132 2月物业及1月水电费</t>
  </si>
  <si>
    <t>A122 2月物业及1月水电费</t>
  </si>
  <si>
    <t>A122 3月物业及2月水电费</t>
  </si>
  <si>
    <t>王建丰</t>
  </si>
  <si>
    <t>A121王建丰 押金</t>
  </si>
  <si>
    <t>A121 3月租金</t>
  </si>
  <si>
    <t>C119 3月物业及2月水电费</t>
  </si>
  <si>
    <t>C113 3月物业及2月水电费</t>
  </si>
  <si>
    <t>C108 3月租金物业及2月水电费</t>
  </si>
  <si>
    <t>C106 3月租金物业及2月水电费</t>
  </si>
  <si>
    <t>C102 3月物业及2月水电费</t>
  </si>
  <si>
    <t>C102 2月物业及1月水电费</t>
  </si>
  <si>
    <t>B112 3月租金物业及2月水电费</t>
  </si>
  <si>
    <t>冯朱勇</t>
  </si>
  <si>
    <t>B101 押金</t>
  </si>
  <si>
    <t>手机充值-中国移动15005038664</t>
  </si>
  <si>
    <t>A111 2月租金物业及1月水电费</t>
  </si>
  <si>
    <t>短信服务费-中国移动15005038664</t>
  </si>
  <si>
    <t>周顺达</t>
  </si>
  <si>
    <t>B105 1月租金物业及12月水电费</t>
  </si>
  <si>
    <t>B105 2月租金物业及1月水电费</t>
  </si>
  <si>
    <t>B111 3月租金物业及2月水电费</t>
  </si>
  <si>
    <t>A127 B135 B134 3月物业及2月水电费</t>
  </si>
  <si>
    <t>C121 3月租金物业及2月水电费</t>
  </si>
  <si>
    <t>B117 半年缴租金（2026.2.19-2026.8.18）、3月物业及2月水电费</t>
  </si>
  <si>
    <t>A112 3月租金物业及2月水电费</t>
  </si>
  <si>
    <t>A136 半年缴租金（2026.2.1-2026.7.31）、 2月物业及1月水电费</t>
  </si>
  <si>
    <t>A136 3月物业及2月水电费</t>
  </si>
  <si>
    <t>退古玩城A121商户押金</t>
  </si>
  <si>
    <t>古玩城2月水票</t>
  </si>
  <si>
    <t>古玩城电费（2026.2.27-2026.2.26）</t>
  </si>
  <si>
    <t>古玩城新年开业购买鞭炮</t>
  </si>
  <si>
    <t>保安宿舍及仓库租金2026.1.15-2026.4.14</t>
  </si>
  <si>
    <t>B120-1 3月租金物业及2月水电费</t>
  </si>
  <si>
    <t>A114 3月租金物业及2月水电费</t>
  </si>
  <si>
    <t>3.7-8号地摊费680元</t>
  </si>
  <si>
    <t>B106 1月水电费</t>
  </si>
  <si>
    <t>B106 2月水电费</t>
  </si>
  <si>
    <t>B124 1月物业及2水电费</t>
  </si>
  <si>
    <t>周桂财</t>
  </si>
  <si>
    <t>C127 3月物业及2月水电费</t>
  </si>
  <si>
    <t>C110 3月物业及2月水电费</t>
  </si>
  <si>
    <t>C114 115 3月物业及2月水电费</t>
  </si>
  <si>
    <t>C101 3月租金物业及2月水电费</t>
  </si>
  <si>
    <t>B130 3月物业及2月水电费</t>
  </si>
  <si>
    <t>A138 3月租金物业及2月水电费</t>
  </si>
  <si>
    <t>C120 3月租金物业及2月水电费</t>
  </si>
  <si>
    <t>C123 2月租金物业及1月水电费</t>
  </si>
  <si>
    <t>C123 3月租金物业及2月水电费</t>
  </si>
  <si>
    <t>C111 3月租金物业及2月水电费</t>
  </si>
  <si>
    <t>B118 3月租金物业及2月水电费</t>
  </si>
  <si>
    <t>B129 3月物业及2月水电费</t>
  </si>
  <si>
    <t>B127 3月物业及2月水电费</t>
  </si>
  <si>
    <t>B114 3月物业及2月水电费</t>
  </si>
  <si>
    <t>A121 2月水电费</t>
  </si>
  <si>
    <t>A136 2月水电费</t>
  </si>
  <si>
    <t>A137 1月租金物业及2月水电费</t>
  </si>
  <si>
    <t>C112 3月租金及2月水电费</t>
  </si>
  <si>
    <t>A101-102 2月水电费</t>
  </si>
  <si>
    <t>A128 3月租金物业及2月水电费</t>
  </si>
  <si>
    <t>A120 2月租金物业及3月水电费</t>
  </si>
  <si>
    <t>C118 3月租金物业及2月水电费</t>
  </si>
  <si>
    <t>退A121押金12600元、租金4200</t>
  </si>
  <si>
    <t>A131 3月租金及2月水电费</t>
  </si>
  <si>
    <t>C126 季度租金（2026.2.1-2026.4.30）</t>
  </si>
  <si>
    <t>C103 2月水电费</t>
  </si>
  <si>
    <t>3.14-3.15地摊费</t>
  </si>
  <si>
    <t>B121 2月水电费</t>
  </si>
  <si>
    <t>B122 3月物业及2月水电费</t>
  </si>
  <si>
    <t>B125 3月租金及2月水电费</t>
  </si>
  <si>
    <t>C127 1月物业及12月水电费</t>
  </si>
  <si>
    <t>C127 2月物业及3月水电费</t>
  </si>
  <si>
    <t>段锦亮</t>
  </si>
  <si>
    <t>B116 1月租金物业及12月水电费</t>
  </si>
  <si>
    <t>B116 2月租金物业及1月水电费</t>
  </si>
  <si>
    <t>B116 3月租金物业及2月水电费</t>
  </si>
  <si>
    <t>C126 1月物业及12月水电费</t>
  </si>
  <si>
    <t>C126 1月水电费</t>
  </si>
  <si>
    <t>C126 3月物业及2月水电费</t>
  </si>
  <si>
    <t>A119 1月租金物业及12月水电费</t>
  </si>
  <si>
    <t>江伟生</t>
  </si>
  <si>
    <t>A121 押金</t>
  </si>
  <si>
    <t>A121 2026.3.15-2026.4.14租金</t>
  </si>
  <si>
    <t>陈娟</t>
  </si>
  <si>
    <t>B102 押金</t>
  </si>
  <si>
    <t>B102 2026.3.20-2026.4.19租金</t>
  </si>
  <si>
    <t>转入王晓华建行账户转入艾泊烨对公账户（借款用于支付艾泊烨2月工资）</t>
  </si>
  <si>
    <t>古玩城2026年2月工资</t>
  </si>
  <si>
    <t>陈志坚</t>
  </si>
  <si>
    <t>C104 12月物业及11月水电费</t>
  </si>
  <si>
    <t>C104 1月物业及12月水电费</t>
  </si>
  <si>
    <t>C104 半年租金（2026.2.1-2026.7.31）</t>
  </si>
  <si>
    <t>C104 2月物业及1月水电费</t>
  </si>
  <si>
    <t>C104 3月物业及2月水电费</t>
  </si>
  <si>
    <t>B123 1月物业及12月水电费</t>
  </si>
  <si>
    <t>B123 2月物业及1月水电费</t>
  </si>
  <si>
    <t>B123 3月物业及2月水电费</t>
  </si>
  <si>
    <t>C122 1月水电费</t>
  </si>
  <si>
    <t>C122 3月物业及2月水电费</t>
  </si>
  <si>
    <t>A109 3月租金物业及2月水电费</t>
  </si>
  <si>
    <t>转入王晓华建行账户转入艾泊烨对公账户（借款用于支付博烨体育投资款）</t>
  </si>
  <si>
    <t>朱佑钦</t>
  </si>
  <si>
    <t>C137 1月租金物业及12月水电费</t>
  </si>
  <si>
    <t>C137 2月租金及1月水电费</t>
  </si>
  <si>
    <t>A132 半年租金（2025.11.15-2026.5.14）</t>
  </si>
  <si>
    <t>吴海萍农商银行利息收入</t>
  </si>
  <si>
    <t>A113 3月租金物业及2月水电费</t>
  </si>
  <si>
    <t>B113 C125 1月租金</t>
  </si>
  <si>
    <t>3.20-3.21地地摊费</t>
  </si>
  <si>
    <t>B101 2026.4.1-2026.4.30租金</t>
  </si>
  <si>
    <t>A129 1月租金物业及12月水电费</t>
  </si>
  <si>
    <t>B131 B132 2月物业及1月水电费</t>
  </si>
  <si>
    <t>饶燕云</t>
  </si>
  <si>
    <t>B115 1月物业及12月水电费</t>
  </si>
  <si>
    <t>B115 2月物业及1月水电费</t>
  </si>
  <si>
    <t>B115 3月物业及2月水电费</t>
  </si>
  <si>
    <t>C117 1月租金及12月水电费</t>
  </si>
  <si>
    <t>B110-2 2月租金物业及1月水电费</t>
  </si>
  <si>
    <t>B110-2 3月租金物业及2月水电费</t>
  </si>
  <si>
    <t>C106 2月租金物业及3月水电费</t>
  </si>
  <si>
    <t>微信利息收入</t>
  </si>
  <si>
    <t>邱香珠</t>
  </si>
  <si>
    <t>A133 1月物业及12月水电费</t>
  </si>
  <si>
    <t>A133 2月物业及1月水电费</t>
  </si>
  <si>
    <t>A133 3月物业及2月水电费</t>
  </si>
  <si>
    <t>宣传牌面150元、地摊布1600元、茶具26.48元</t>
  </si>
  <si>
    <t>古玩城水费（2026.2.10-2026.3.10）</t>
  </si>
  <si>
    <t>社区警务室治安费用（2026.3-4月）</t>
  </si>
  <si>
    <t>古玩城2026年2月份租金</t>
  </si>
  <si>
    <t>B113 1月租金物业及12月水电费</t>
  </si>
  <si>
    <t>B128 1月租金物业及12月水电费</t>
  </si>
  <si>
    <t>B128 2月租金物业及1月水电费</t>
  </si>
  <si>
    <t>B110-1 3月租金及2月水电费</t>
  </si>
  <si>
    <t>A116 3月租金物业及2月水电费</t>
  </si>
  <si>
    <t>A103 104 3月租金及2月水电费</t>
  </si>
  <si>
    <t>B105 1月水电费</t>
  </si>
  <si>
    <t>B105 3月租金物业及2月水电费</t>
  </si>
  <si>
    <t>A115 3月租金物业及2月水电费</t>
  </si>
  <si>
    <t>古玩城电费2026.3.1-3.20</t>
  </si>
  <si>
    <t>更换电表及维修材料142元</t>
  </si>
  <si>
    <t>消毒水43.8元</t>
  </si>
  <si>
    <t>固定43摊位26.4.1-26.6.30</t>
  </si>
  <si>
    <t>3.28地摊收入4066</t>
  </si>
  <si>
    <t>外固定86摊位26.4.6-26.7.5</t>
  </si>
  <si>
    <t>3.29地摊收入1110</t>
  </si>
  <si>
    <t>C107 3月租金物业及2月水电费</t>
  </si>
  <si>
    <t>B131 B132 3月物业及2月水电费</t>
  </si>
  <si>
    <t>A120 3月租金物业及4月水电费</t>
  </si>
  <si>
    <t>B108 3月租金物业及2月水电费</t>
  </si>
  <si>
    <t>B119 1月租金物业及12月水电费</t>
  </si>
  <si>
    <t>B119 2月租金物业及1月水电费</t>
  </si>
  <si>
    <t>C128 12月物业及1月水电费</t>
  </si>
  <si>
    <t>C128 3月物业及2月水电费</t>
  </si>
  <si>
    <t>A12G 1月租金物业及12月水电费</t>
  </si>
  <si>
    <t>A105 4月租金</t>
  </si>
  <si>
    <t>A105 3月物业费及2月水电费</t>
  </si>
  <si>
    <t>A117-2 3月租金物业及2月水电费</t>
  </si>
  <si>
    <t>C109 2月租金物业及1月水电费</t>
  </si>
  <si>
    <t>C132 3月租金物业及2月水电费</t>
  </si>
  <si>
    <t>A108 4月租金物业及3月水电费</t>
  </si>
  <si>
    <t>A107 4月租金物业及3月水电费</t>
  </si>
  <si>
    <t>A107 5月租金</t>
  </si>
  <si>
    <t>A106 4月租金物业及3月水电费</t>
  </si>
  <si>
    <t>A127 B135 B134 4月物业及3月水电费</t>
  </si>
  <si>
    <t>C103 3月水电费</t>
  </si>
  <si>
    <t>4.4地摊收入</t>
  </si>
  <si>
    <t>微信4.7</t>
  </si>
  <si>
    <t>B133 3月物业及2月水电费</t>
  </si>
  <si>
    <t>A111 3月租金物业及2月水电费</t>
  </si>
  <si>
    <t>A137-1 1月租金物业及12月水电费</t>
  </si>
  <si>
    <t>A137-1 2月租金物业及1月水电费</t>
  </si>
  <si>
    <t>A118 3月租金物业及2月水电费</t>
  </si>
  <si>
    <t>江槟楔</t>
  </si>
  <si>
    <t>A102 押金</t>
  </si>
  <si>
    <t>冯师杨</t>
  </si>
  <si>
    <t>A101 押金</t>
  </si>
  <si>
    <t>A132 3月物业及2月水电费</t>
  </si>
  <si>
    <t>A137 1月物业及2月水电费</t>
  </si>
  <si>
    <t>B103 12月水电费</t>
  </si>
  <si>
    <t>A137 2月租金及1月水电费</t>
  </si>
  <si>
    <t>B103 1月水电费</t>
  </si>
  <si>
    <t>A137 3月租金及1月水电费</t>
  </si>
  <si>
    <t>A101-102 4月租金及3月水电费</t>
  </si>
  <si>
    <t>A130 4月物业及23月水电费</t>
  </si>
  <si>
    <t>A138 4月租金物业及3月水电费</t>
  </si>
  <si>
    <t>A128 4月租金及3月水电费</t>
  </si>
  <si>
    <t>C124 3月水电费</t>
  </si>
  <si>
    <t>C121 4月租金物业及3月水电费</t>
  </si>
  <si>
    <t>C127 半年租金（2026.2.1-2026.7.31）</t>
  </si>
  <si>
    <t>C127 4月物业及3月水电费</t>
  </si>
  <si>
    <t>A117-1 4月租金物业及3月水电费</t>
  </si>
  <si>
    <t>C112 4月租金及3月水电费</t>
  </si>
  <si>
    <t>C133 C134 3月租金</t>
  </si>
  <si>
    <t>A110 4月租金物业及3月水电费</t>
  </si>
  <si>
    <t>A112 4月租金物业及3月水电费</t>
  </si>
  <si>
    <t>B120-1 4月租金物业及3月水电费</t>
  </si>
  <si>
    <t>B120-2 4月物业及3水电费</t>
  </si>
  <si>
    <t>B106 3月水电费</t>
  </si>
  <si>
    <t>A121 4月租金物业及3月水电费</t>
  </si>
  <si>
    <t>古玩城办公室3月水票</t>
  </si>
  <si>
    <t>古玩城电费2026.3.20-2026.3.31）</t>
  </si>
  <si>
    <t>薛玉芳</t>
  </si>
  <si>
    <t>A101-102 退还押金</t>
  </si>
  <si>
    <t>A113 4月租金物业及3月水电费</t>
  </si>
  <si>
    <t>B111 4月租金物业及3月水电费</t>
  </si>
  <si>
    <t>A114 4月租金物业及3月水电费</t>
  </si>
  <si>
    <t>C137 3月租金及2月水电费</t>
  </si>
  <si>
    <t>C137 4月租金及3月水电费</t>
  </si>
  <si>
    <t>4.11-12地摊费</t>
  </si>
  <si>
    <t>外95固定摊位（4.11-7.10）</t>
  </si>
  <si>
    <t>C123 4月租金物业及2月水电费</t>
  </si>
  <si>
    <t>C114 115 4月物业及3月水电费</t>
  </si>
  <si>
    <t>C110 4月物业及3月水电费</t>
  </si>
  <si>
    <t>C108 4月租金物业及3月水电费</t>
  </si>
  <si>
    <t>B125 2月物业及1月水电费</t>
  </si>
  <si>
    <t>B125 4月租金及3月水电费</t>
  </si>
  <si>
    <t>B127 4月物业及3月水电费</t>
  </si>
  <si>
    <t>B121 3月水电费</t>
  </si>
  <si>
    <t>B122 4月物业及3月水电费</t>
  </si>
  <si>
    <t>B108 4月租金物业及3月水电费</t>
  </si>
  <si>
    <t>C102 4月物业及3月水电费</t>
  </si>
  <si>
    <t>C111 4月租金物业及3月水电费</t>
  </si>
  <si>
    <t>C113 4月物业及3月水电费</t>
  </si>
  <si>
    <t>B124 4月物业及3水电费</t>
  </si>
  <si>
    <t>B114 4月物业及3月水电费</t>
  </si>
  <si>
    <t>B126 2月租金物业及1月水电费</t>
  </si>
  <si>
    <t>B117 3月水电费</t>
  </si>
  <si>
    <t>B126 3月租金</t>
  </si>
  <si>
    <t>C101 4月租金物业及3月水电费</t>
  </si>
  <si>
    <t>B102 4月租金及3月水电费</t>
  </si>
  <si>
    <t>B130 4月物业及3月水电费</t>
  </si>
  <si>
    <t>B129 4月物业及3月水电费</t>
  </si>
  <si>
    <t>C126 4月物业及3月水电费</t>
  </si>
  <si>
    <t>A13G 半年租金（2026.2.1-2026.7.31）</t>
  </si>
  <si>
    <t>A13G 3月水电费</t>
  </si>
  <si>
    <t>A13G 2月水电费</t>
  </si>
  <si>
    <t>B131 B132 4月物业及3月水电费</t>
  </si>
  <si>
    <t>C120 4月租金物业及3月水电费</t>
  </si>
  <si>
    <t>C104 3月水电费</t>
  </si>
  <si>
    <t>C128 4月物业及3月水电费</t>
  </si>
  <si>
    <t>A119 3月租金及2月水电费</t>
  </si>
  <si>
    <t>B112 4月租金物业及3月水电费</t>
  </si>
  <si>
    <t>C106 4月租金物业及3月水电费</t>
  </si>
  <si>
    <t>C118 4月租金物业及3月水电费</t>
  </si>
  <si>
    <t>B123 4月物业及3月水电费</t>
  </si>
  <si>
    <t>古玩城2026年3月工资</t>
  </si>
  <si>
    <t>邱利琴</t>
  </si>
  <si>
    <t>榕禾花园物业补贴26年4月-6月</t>
  </si>
  <si>
    <t>卫生耗材117.38元、卫生间自来水管维修材料66元</t>
  </si>
  <si>
    <t>地摊画线1300元</t>
  </si>
  <si>
    <t>打印纸，茶杯38.02</t>
  </si>
  <si>
    <t>古玩城水费（2026.311-4.10）</t>
  </si>
  <si>
    <t>收回艾泊烨借款</t>
  </si>
  <si>
    <t>退还B129 B130商铺押金</t>
  </si>
  <si>
    <t>古玩城2026年3月份租金</t>
  </si>
  <si>
    <t>卫生间更换洗手盆</t>
  </si>
  <si>
    <t>介绍费</t>
  </si>
  <si>
    <t>B130 押金、5月租金</t>
  </si>
  <si>
    <t>刘祖锣（宋少波）</t>
  </si>
  <si>
    <t>B129 宋少波押金</t>
  </si>
  <si>
    <t>B113 C125 2月租金</t>
  </si>
  <si>
    <t>B128 3月租金物业及2月水电费</t>
  </si>
  <si>
    <t>B128 4月租金物业及3月水电费</t>
  </si>
  <si>
    <t>4.18-19号地摊费</t>
  </si>
  <si>
    <t>C119 1月物业及12月水电费</t>
  </si>
  <si>
    <t>C119 2月物业及1月水电费</t>
  </si>
  <si>
    <t>C119 4月物业及3月水电费</t>
  </si>
  <si>
    <t>A133 4月物业及3月水电费</t>
  </si>
  <si>
    <t>B127 年缴租金（2026.5.1-2027.4.30）</t>
  </si>
  <si>
    <t>A122 4月物业及3月水电费</t>
  </si>
  <si>
    <t>B129 5月租金</t>
  </si>
  <si>
    <t>C133 C134 3月租金物业及2月水电费</t>
  </si>
  <si>
    <t>A120 4月租金物业及3月水电费</t>
  </si>
  <si>
    <t>A109 4月租金物业及3月水电费</t>
  </si>
  <si>
    <t>A116 4月租金物业及3月水电费</t>
  </si>
  <si>
    <t>4.25-26号地摊费</t>
  </si>
  <si>
    <t>B126 3月租金物业及2月水电费</t>
  </si>
  <si>
    <t>B118 4月租金物业及3月水电费</t>
  </si>
  <si>
    <t>A12G 2月租金物业及1月水电费</t>
  </si>
  <si>
    <t>C107 4月租金物业及3月水电费</t>
  </si>
  <si>
    <t>B109 1月租金物业及12月水电费</t>
  </si>
  <si>
    <t>B109 2月租金物业及1月水电费</t>
  </si>
  <si>
    <t>B110-2 4月租金物业及3月水电费</t>
  </si>
  <si>
    <t>A118 4月租金物业及3月水电费</t>
  </si>
  <si>
    <t>B126 4月租金</t>
  </si>
  <si>
    <t>C117 2月租金及1月水电费</t>
  </si>
  <si>
    <t>C117 3月租金及2月水电费</t>
  </si>
  <si>
    <t>古玩城2026年4月份租金</t>
  </si>
  <si>
    <t>电费（2026.4.1-2026.4.20）</t>
  </si>
  <si>
    <t>卷帘门维修费</t>
  </si>
  <si>
    <t>B110-1 4月租金及3月水电费</t>
  </si>
  <si>
    <t>A103 104 4月租金及3月水电费</t>
  </si>
  <si>
    <t>A105 4月物业费及3月水电费</t>
  </si>
  <si>
    <t>B105 4月租金及3月水电费</t>
  </si>
  <si>
    <t>A115 4月租金物业及3月水电费</t>
  </si>
  <si>
    <t>A129 2月租金物业及1月水电费</t>
  </si>
  <si>
    <t>A129 3月租金物业及2月水电费</t>
  </si>
  <si>
    <t>A136 1月物业及12月水电费</t>
  </si>
  <si>
    <t>A136 4月物业及3月水电费</t>
  </si>
  <si>
    <t>A135 3月物业及2月水电费</t>
  </si>
  <si>
    <t>A135 4月物业及3月水电费</t>
  </si>
  <si>
    <t>A137 3月租金</t>
  </si>
  <si>
    <t>A137 2月水电费</t>
  </si>
  <si>
    <t>A137 4月租金及3月水电费</t>
  </si>
  <si>
    <t>B119 3月租金物业及2月水电费</t>
  </si>
  <si>
    <t>B133 4月物业及3月水电费</t>
  </si>
  <si>
    <t>C105 2月物业及1水电费</t>
  </si>
  <si>
    <t>C105 3月物业及2水电费</t>
  </si>
  <si>
    <t>C105 4月物业及3水电费</t>
  </si>
  <si>
    <t>A105 5月租金</t>
  </si>
  <si>
    <t>A101 5月租金物业</t>
  </si>
  <si>
    <t>C132 4月租金物业及3月水电费</t>
  </si>
  <si>
    <t>2026.5.2-5.3号地摊费4430</t>
  </si>
  <si>
    <t>A132 4月物业及3月水电费</t>
  </si>
  <si>
    <t>A102 5月租金物业及4月水电费</t>
  </si>
  <si>
    <t>江婉露</t>
  </si>
  <si>
    <t>C103 4月水电费</t>
  </si>
  <si>
    <t>A110 5月租金物业及4月水电费</t>
  </si>
  <si>
    <t>A107 5月租金物业及4月水电费</t>
  </si>
  <si>
    <t>A108 5月租金物业及4月水电费</t>
  </si>
  <si>
    <t>B120-2 5月物业及4水电费</t>
  </si>
  <si>
    <t>A106 5月租金物业及4月水电费</t>
  </si>
  <si>
    <t>C121 5月租金物业及4月水电费</t>
  </si>
  <si>
    <t>A105 5月物业费及4月水电费</t>
  </si>
  <si>
    <t>A121 5月租金物业及4月水电费</t>
  </si>
  <si>
    <t>A112 5月租金物业及4月水电费</t>
  </si>
  <si>
    <t>2026.5.9-5.10地摊费6320</t>
  </si>
  <si>
    <t>B121 5月租金及4月水电费</t>
  </si>
  <si>
    <t>B122 4月水电费</t>
  </si>
  <si>
    <t>B123 4月水电费</t>
  </si>
  <si>
    <t>B125 5月租金及4月水电费</t>
  </si>
  <si>
    <t>C101 5月租金物业及4月水电费</t>
  </si>
  <si>
    <t>C104 4月水电费</t>
  </si>
  <si>
    <t>C106 5月租金物业及4月水电费</t>
  </si>
  <si>
    <t>C110 5月物业及4月水电费</t>
  </si>
  <si>
    <t>C112 5月租金及4月水电费</t>
  </si>
  <si>
    <t>C113 5月物业及4月水电费</t>
  </si>
  <si>
    <t>A138 5月租金物业及4月水电费</t>
  </si>
  <si>
    <t>B127 5月物业及4月水电费</t>
  </si>
  <si>
    <t>C120 5月租金物业及4月水电费</t>
  </si>
  <si>
    <t>宋少波</t>
  </si>
  <si>
    <t>B129 5月物业及4月水电费</t>
  </si>
  <si>
    <t>B129 6月租金</t>
  </si>
  <si>
    <t>B124 4水电费</t>
  </si>
  <si>
    <t>B108 5月租金物业及4月水电费</t>
  </si>
  <si>
    <t>C105 4月水电费</t>
  </si>
  <si>
    <t>C119 5月物业及4月水电费</t>
  </si>
  <si>
    <t>C123 5月租金物业及4月水电费</t>
  </si>
  <si>
    <t>C12G 4月水电费</t>
  </si>
  <si>
    <t>C102 5月物业及4月水电费</t>
  </si>
  <si>
    <t>B130 5月物业及4月水电费</t>
  </si>
  <si>
    <t>A128 5月租金及4月水电费</t>
  </si>
  <si>
    <t>B112 5月租金物业及4月水电费</t>
  </si>
  <si>
    <t>A119 4月租金及3月水电费</t>
  </si>
  <si>
    <t>电费2026.3.27-2026.4.26</t>
  </si>
  <si>
    <t>A114 5月租金物业及4月水电费</t>
  </si>
  <si>
    <t>B113 C125 2月租金物业及1月水电费</t>
  </si>
  <si>
    <t>A117-2 4月租金物业及3月水电费</t>
  </si>
  <si>
    <t>A117-1 5月租金物业及4月水电费</t>
  </si>
  <si>
    <t>B111 5月租金物业及4月水电费</t>
  </si>
  <si>
    <t>林静</t>
  </si>
  <si>
    <t>A12G 押金</t>
  </si>
  <si>
    <t>A12G 租金（2026.6.15-2026.7.14）</t>
  </si>
  <si>
    <t>A127 B135 B134 5月物业及4月水电费</t>
  </si>
  <si>
    <t>古玩城2026年4月工资</t>
  </si>
  <si>
    <t>A113 5月租金物业及4月水电费</t>
  </si>
  <si>
    <t>B105 5月租金及4月水电费</t>
  </si>
  <si>
    <t>B113 C125 3月租金</t>
  </si>
  <si>
    <t>C126 季度租金（2026.5.1-2026.7.31）</t>
  </si>
  <si>
    <t>C109 3月租金物业及2月水电费</t>
  </si>
  <si>
    <t>C109 4月租金物业及5月水电费</t>
  </si>
  <si>
    <t>B120-1 5月租金物业及4月水电费</t>
  </si>
  <si>
    <t>2026.5.16-5.17地摊费4590</t>
  </si>
  <si>
    <t>外固定21、99摊位（周六）(2026.5.16-2026.8.15)</t>
  </si>
  <si>
    <t>外固定22.27摊位（周六）600元，时间(2026.5.16-2026.8.15)</t>
  </si>
  <si>
    <t>A120 5月租金物业及4月水电费</t>
  </si>
  <si>
    <t>C108 5月租金物业及4月水电费</t>
  </si>
  <si>
    <t>C108 1-4月租金</t>
  </si>
  <si>
    <t>B117 4月水电费</t>
  </si>
  <si>
    <t>C128 5月物业及4月水电费</t>
  </si>
  <si>
    <t>B126 4月租金物业及4月水电费</t>
  </si>
  <si>
    <t>B126 5月租金</t>
  </si>
  <si>
    <t>陈强</t>
  </si>
  <si>
    <t>A132 押金</t>
  </si>
  <si>
    <t>A132 租金（2026.5.15-2026.6.14）</t>
  </si>
  <si>
    <t>A132 4月水电费</t>
  </si>
  <si>
    <t>A133 5月物业及4月水电费</t>
  </si>
  <si>
    <t>C122 5月物业及4月水电费</t>
  </si>
  <si>
    <t>C111 5月租金物业及4月水电费</t>
  </si>
  <si>
    <t>C126 5月物业及4月水电费</t>
  </si>
  <si>
    <t>B119 4月租金物业及5月水电费</t>
  </si>
  <si>
    <t>B102 5月租金及4月水电费</t>
  </si>
  <si>
    <t>C114 115 5月物业及4月水电费</t>
  </si>
  <si>
    <t>A130 4月水电费</t>
  </si>
  <si>
    <t>B101 5月物业及4月水电费</t>
  </si>
  <si>
    <t>C127 5月物业及4月水电费</t>
  </si>
  <si>
    <t>A122 5月物业及4月水电费</t>
  </si>
  <si>
    <t>A132 半年租金（2025.11.15-2026.5.14）以押抵租</t>
  </si>
  <si>
    <t>C137 5月租金及4月水电费</t>
  </si>
  <si>
    <t>B101 5月租金</t>
  </si>
  <si>
    <t>B119 5月租金及4月水电费</t>
  </si>
  <si>
    <t>C122 4月物业及3月水电费</t>
  </si>
  <si>
    <t>王妙金</t>
  </si>
  <si>
    <t>B104 押金</t>
  </si>
  <si>
    <t>B104 5月租金物业及4月水电费（2026.5.10-2026.6.9）</t>
  </si>
  <si>
    <t>A135 5月物业及4月水电费</t>
  </si>
  <si>
    <t>B115 半年租金（2026.2.1-2026.7.31）</t>
  </si>
  <si>
    <t>B115 4月物业及3月水电费</t>
  </si>
  <si>
    <t>B115 5月物业及4月水电费</t>
  </si>
  <si>
    <t>A137 4月租金</t>
  </si>
  <si>
    <t>B103 季度租金（2026.4.1-2026.6.30）</t>
  </si>
  <si>
    <t>B103 3月水电费</t>
  </si>
  <si>
    <t>归还2026年3月2日借款</t>
  </si>
  <si>
    <t>3月计息29天：1300/31*29=1216.13元、4月整月利息：1300元、5月计息22天：1300/31*22=922.58元，利息合计3438.71元</t>
  </si>
  <si>
    <t>A115 5月租金物业及4月水电费</t>
  </si>
  <si>
    <t>2026.5.23-5.25地摊费3825</t>
  </si>
  <si>
    <t>C122半年租金（2026.2.1-2026.7.31）</t>
  </si>
  <si>
    <t>陈锦秀</t>
  </si>
  <si>
    <t>B133 押金</t>
  </si>
  <si>
    <t>B133 租金（2026.6.15-2026.7.14）</t>
  </si>
  <si>
    <t>A118 5月租金物业及4月水电费</t>
  </si>
  <si>
    <t>A12G 125 126 B136 137 3月租金物业及2月水电费</t>
  </si>
  <si>
    <t>A127 B135 B134 季度租金（2026.5.1-2026.7.31）</t>
  </si>
  <si>
    <t>A116 5月租金物业及4月水电费</t>
  </si>
  <si>
    <t>A133 半年租金（2026.2.1-2026.7.31）</t>
  </si>
  <si>
    <t>古玩城水费2026.4.11-5.10</t>
  </si>
  <si>
    <t>古玩城电费2026.4.27-5.20</t>
  </si>
  <si>
    <t>维修费用156元、垃圾袋59.24元</t>
  </si>
  <si>
    <t>办公室抽纸131.8元、4-5月水票600元</t>
  </si>
  <si>
    <t>治安费用5-6月</t>
  </si>
  <si>
    <t>古玩城2026年5月份租金</t>
  </si>
  <si>
    <t>A103 104 5月租金及4月水电费</t>
  </si>
  <si>
    <t>B110-1 5月租金及4月水电费</t>
  </si>
  <si>
    <t>B116 4月水电费</t>
  </si>
  <si>
    <t>A129 5月租金物业及4月水电费</t>
  </si>
  <si>
    <t>2026.5.30-5.31地摊费4730</t>
  </si>
  <si>
    <t>C107 5月租金物业及4月水电费</t>
  </si>
  <si>
    <t>A109 5月租金物业及4月水电费</t>
  </si>
  <si>
    <t>B110-2 5月租金及4月水电费</t>
  </si>
  <si>
    <t>A12G 125 126 B136 137 4月租金物业及3月水电费</t>
  </si>
  <si>
    <t>A12G 125 126 B136 137 5月租金物业及4月水电费</t>
  </si>
  <si>
    <t>C118 5月租金物业及4月水电费</t>
  </si>
  <si>
    <t>A137-1 3月租金物业及2月水电费</t>
  </si>
  <si>
    <t>A13G 4月水电费</t>
  </si>
  <si>
    <t>C133 C134 4月租金及3月水电费</t>
  </si>
  <si>
    <t>C133 C134 5月租金</t>
  </si>
  <si>
    <t>B113 C125 3月租金物业及2月水电费</t>
  </si>
  <si>
    <t>A105 6月租金</t>
  </si>
  <si>
    <t>B128 5月租金物业及4月水电费</t>
  </si>
  <si>
    <t>B128 6月租金物业及5月水电费</t>
  </si>
  <si>
    <t>A110 6月租金物业及5月水电费</t>
  </si>
  <si>
    <t>A108 6月租金物业及5月水电费</t>
  </si>
  <si>
    <t>A135 半年租金（2026.3.1-2026.8.31）</t>
  </si>
  <si>
    <t>郑海勇</t>
  </si>
  <si>
    <t>A129 押金</t>
  </si>
  <si>
    <t>B106 5月物业及4月水电费</t>
  </si>
  <si>
    <t>A125 126 B136 137 5月租金物业及4月水电费</t>
  </si>
  <si>
    <t>A125 126 B136 137 押金</t>
  </si>
  <si>
    <t>B101 6月租金物业及5月水电费</t>
  </si>
  <si>
    <t>B121 6月租金及5月水电费</t>
  </si>
  <si>
    <t>B122 5月水电费</t>
  </si>
  <si>
    <t>B123 6月物业及5月水电费</t>
  </si>
  <si>
    <t>B133 6月物业及5月水电费</t>
  </si>
  <si>
    <t>A130 5月水电费</t>
  </si>
  <si>
    <t>A124 6月物业及5月水电费</t>
  </si>
  <si>
    <t>A102 6月租金物业及5月水电费</t>
  </si>
  <si>
    <t>A107 6月租金物业及5月水电费</t>
  </si>
  <si>
    <t>A106 6月租金物业及5月水电费</t>
  </si>
  <si>
    <t>A117-1 6月租金物业及5月水电费</t>
  </si>
  <si>
    <t>A101 6月租金物业及5月水电费</t>
  </si>
  <si>
    <t>古玩城电费2026.5.21-5.31</t>
  </si>
  <si>
    <t>通下水道材料费</t>
  </si>
  <si>
    <t>郑菁</t>
  </si>
  <si>
    <t>退还A12G商户陈小龙押金</t>
  </si>
  <si>
    <t>张雪钦</t>
  </si>
  <si>
    <t>退古玩城A129商户押金</t>
  </si>
  <si>
    <t>C132 5月租金物业及4月水电费</t>
  </si>
  <si>
    <t>C121 6月租金物业及5月水电费</t>
  </si>
  <si>
    <t>A127 B135 B134 6月物业及5月水电费</t>
  </si>
  <si>
    <t>B129 7月租金</t>
  </si>
  <si>
    <t>B111 6月租金物业及5月水电费</t>
  </si>
  <si>
    <t>B130 6月租金物业及5月水电费</t>
  </si>
  <si>
    <t>C103 5月水电费</t>
  </si>
  <si>
    <t>2026.6.6-6.7地摊费3910</t>
  </si>
  <si>
    <t>A137 5月租金及4月水电费</t>
  </si>
  <si>
    <t>B103 4月水电费</t>
  </si>
  <si>
    <t>A137 6月租金及5月水电费</t>
  </si>
  <si>
    <t>B103 5月水电费</t>
  </si>
  <si>
    <t>C107 4月水电费</t>
  </si>
  <si>
    <t>A132 5月物业及4月水电费</t>
  </si>
  <si>
    <t>A132 6月租金物业及5月水电费</t>
  </si>
  <si>
    <t>A128 6月租金及5月水电费</t>
  </si>
  <si>
    <t>C12G 5月水电费</t>
  </si>
  <si>
    <t>C105 5月水电费</t>
  </si>
  <si>
    <t>B127 6月物业及5月水电费</t>
  </si>
  <si>
    <t>B118 5月租金物业及4月水电费</t>
  </si>
  <si>
    <t>B108 6月租金物业及5月水电费</t>
  </si>
  <si>
    <t>B129 6月物业及5月水电费</t>
  </si>
  <si>
    <t>C101 6月租金物业及5月水电费</t>
  </si>
  <si>
    <t>C106 6月租金物业及5月水电费</t>
  </si>
  <si>
    <t>C108 6月租金物业及5月水电费</t>
  </si>
  <si>
    <t>C113 6月物业及5月水电费</t>
  </si>
  <si>
    <t>B124 5水电费</t>
  </si>
  <si>
    <t>A138 6月租金物业及5月水电费</t>
  </si>
  <si>
    <t>C104 5月水电费</t>
  </si>
  <si>
    <t>C110 6月物业及5月水电费</t>
  </si>
  <si>
    <t>C127 6月物业及5月水电费</t>
  </si>
  <si>
    <t>C102 6月物业及5月水电费</t>
  </si>
  <si>
    <t>C112 6月租金及5月水电费</t>
  </si>
  <si>
    <t>C119 6月物业及5月水电费</t>
  </si>
  <si>
    <t>C120 6月租金物业及5月水电费</t>
  </si>
  <si>
    <t>C116 2025年8月物业及7月水电费</t>
  </si>
  <si>
    <t>C116 2025年9月物业及8月水电费</t>
  </si>
  <si>
    <t>C116 2025年10月物业及9月水电费</t>
  </si>
  <si>
    <t>C116 2025年11月物业及10月水电费</t>
  </si>
  <si>
    <t>C116 2025年12月物业及11月水电费</t>
  </si>
  <si>
    <t>C116 1月物业及12月水电费</t>
  </si>
  <si>
    <t>C116 2月物业及1月水电费</t>
  </si>
  <si>
    <t>C116 3月物业及2月水电费</t>
  </si>
  <si>
    <t>C116 4月物业及3月水电费</t>
  </si>
  <si>
    <t>C116 5月物业及4月水电费</t>
  </si>
  <si>
    <t>C116 6月物业及5月水电费</t>
  </si>
  <si>
    <t>C114 115 6月物业及5月水电费</t>
  </si>
  <si>
    <t>B120-2 6月物业及5水电费</t>
  </si>
  <si>
    <t>A121 6月租金物业及5月水电费</t>
  </si>
  <si>
    <t>B120-1 6月租金物业及5月水电费</t>
  </si>
  <si>
    <t>A114 6月租金物业及5月水电费</t>
  </si>
  <si>
    <t>C111 6月租金物业及5月水电费</t>
  </si>
  <si>
    <t>2026.6.13地摊费3440</t>
  </si>
  <si>
    <t>B129 5月水电费</t>
  </si>
  <si>
    <t>B102 6月租金及5月水电费</t>
  </si>
  <si>
    <t>A135 6月物业及5月水电费</t>
  </si>
  <si>
    <t>A112 6月租金物业及5月水电费</t>
  </si>
  <si>
    <t>B112 6月租金及5月水电费</t>
  </si>
  <si>
    <t>B106 6月物业及5月水电费</t>
  </si>
  <si>
    <t>古玩城2026年5月工资</t>
  </si>
  <si>
    <t>A113 6月租金物业及5月水电费</t>
  </si>
  <si>
    <t>A131 4月租金及3月水电费</t>
  </si>
  <si>
    <t>A131 5月租金及4月水电费</t>
  </si>
  <si>
    <t>古玩城水费2026.5.11-6.10</t>
  </si>
  <si>
    <t>古玩城2026年6月份租金</t>
  </si>
  <si>
    <t>A131 6月租金及5月水电费</t>
  </si>
  <si>
    <t>2026.6.20-6.21地摊费3505</t>
  </si>
  <si>
    <t>C111 5月水电费</t>
  </si>
  <si>
    <t>A129 6月租金</t>
  </si>
  <si>
    <t>A109 6月租金物业及5月水电费</t>
  </si>
  <si>
    <t>B104 6月租金物业</t>
  </si>
  <si>
    <t>B126 押金</t>
  </si>
  <si>
    <t>以押抵租押金8268元：5月租金2100元、物业150元、4月水电费235元；6月租金2650元、物业150元、5月水电费241元；8月租金2300元、7月水电费334元，9月租金108元</t>
  </si>
  <si>
    <t>以押抵租</t>
  </si>
  <si>
    <t>A117-2 5月租金物业及4月水电费</t>
  </si>
  <si>
    <t>A115 6月租金物业及5月水电费</t>
  </si>
  <si>
    <t>C103 押金</t>
  </si>
  <si>
    <t>A116 6月租金物业及5月水电费</t>
  </si>
  <si>
    <t>B110-1 6月租金及5月水电费</t>
  </si>
  <si>
    <t>2026.6.27-6.28地摊费2190</t>
  </si>
  <si>
    <t>C107 6月租金物业及5月水电费</t>
  </si>
  <si>
    <t>B115 5月水电费</t>
  </si>
  <si>
    <t>C118 6月租金物业及5月水电费</t>
  </si>
  <si>
    <t>A120 6月租金物业及5月水电费</t>
  </si>
  <si>
    <t>A119 5月租金及4月水电费</t>
  </si>
  <si>
    <t>C122 6月物业及5月水电费</t>
  </si>
  <si>
    <t>B119 6月租金及5月水电费</t>
  </si>
  <si>
    <t>C126 6月物业及5月水电费</t>
  </si>
  <si>
    <t>C128 6月物业及5月水电费</t>
  </si>
  <si>
    <t>C132 6月租金物业及5月水电费</t>
  </si>
  <si>
    <t>手机充值-中国移动13950213981</t>
  </si>
  <si>
    <t>C137搬至B131 132原押金7500元抵新押金10500元；6月租金2300元、物业150元、5月水电90元合计：2540元；7月租金3500元</t>
  </si>
  <si>
    <t>A103 104 6月租金及5月水电费</t>
  </si>
  <si>
    <t>古玩城电费2026.6.11-6.20</t>
  </si>
  <si>
    <t>购矿泉水（地摊使用）</t>
  </si>
  <si>
    <t>办公室6月水票</t>
  </si>
  <si>
    <t>更换灯具及电焊材料</t>
  </si>
  <si>
    <t>退C103商户押金</t>
  </si>
  <si>
    <t>退C118商户押金</t>
  </si>
  <si>
    <t>C117 4月租金及3月水电费</t>
  </si>
  <si>
    <t>A133 半年租金（2026.2.1-2026.7.31）；6月物业及5月水电费</t>
  </si>
  <si>
    <t>C117 5月租金物业及4月水电费</t>
  </si>
  <si>
    <t>B110-2 6月租金及5月水电费</t>
  </si>
  <si>
    <t>B118 6月租金物业及5月水电费</t>
  </si>
  <si>
    <t>C123 6月租金物业及5月水电费</t>
  </si>
  <si>
    <t>A137-1 4月租金物业及3月水电费</t>
  </si>
  <si>
    <t>B117 5月水电费</t>
  </si>
  <si>
    <t>A122 6月物业及5月水电费</t>
  </si>
  <si>
    <t>A13G 5月水电费</t>
  </si>
  <si>
    <t>A136 5月物业及4月水电费</t>
  </si>
  <si>
    <t>A136 6月物业及5月水电费</t>
  </si>
  <si>
    <t>B131 B132 5月物业及4月水电费</t>
  </si>
  <si>
    <t>B131 B132 6月物业及5月水电费</t>
  </si>
  <si>
    <t>B131 B132 7月物业及6月水电费</t>
  </si>
  <si>
    <t>B131 132 半年租金（2026.1.1-2026.6.30）</t>
  </si>
  <si>
    <t xml:space="preserve">B131 B132原押金15000元抵 半年租金（2026.1.1-2026.6.30） </t>
  </si>
  <si>
    <t>A105 6月物业费及5月水电费</t>
  </si>
  <si>
    <t>A111 4月租金物业及3月水电费</t>
  </si>
  <si>
    <t>A111 5月租金物业及4月水电费</t>
  </si>
  <si>
    <t>A105 7月租金物业费及6月水电费</t>
  </si>
  <si>
    <t>A110 7月租金物业及6月水电费</t>
  </si>
  <si>
    <t>A108 7月租金物业及6月水电费</t>
  </si>
  <si>
    <t>A107 7月租金物业及6月水电费</t>
  </si>
  <si>
    <t>A106 7月租金物业及6月水电费</t>
  </si>
  <si>
    <t>B105 6月租金及5月水电费</t>
  </si>
  <si>
    <t>A101 7月租金物业及6月水电费</t>
  </si>
  <si>
    <t>A127 B135 B134 7月物业及6月水电费</t>
  </si>
  <si>
    <t>2026.7.4-7.5地摊费5020</t>
  </si>
  <si>
    <t>外固定摊位19-20（7.11-10.10）</t>
  </si>
  <si>
    <t>B101 7月租金物业及6月水电费</t>
  </si>
  <si>
    <t>C118 6月水电费</t>
  </si>
  <si>
    <t>B113 C125 4月租金物业及3月水电费</t>
  </si>
  <si>
    <t>A129 6月租金物业及5月水电费</t>
  </si>
  <si>
    <t>A102 7月租金物业及6月水电费</t>
  </si>
  <si>
    <t>A138 7月租金物业及6月水电费</t>
  </si>
  <si>
    <t>B117 7月物业及6月水电费</t>
  </si>
  <si>
    <t>B127 7月物业及6月水电费</t>
  </si>
  <si>
    <t>A132 7月租金物业及6月水电费</t>
  </si>
  <si>
    <t>A118 6月租金物业及5月水电费</t>
  </si>
  <si>
    <t>A111 6月租金物业及5月水电费</t>
  </si>
  <si>
    <t>B124 6水电费</t>
  </si>
  <si>
    <t>A130 6月水电费</t>
  </si>
  <si>
    <t>B129 7月物业及6月水电费</t>
  </si>
  <si>
    <t>A109 7月租金物业及6月水电费</t>
  </si>
  <si>
    <t>B109以押抵租原押金7938元：3月租金1900元、物业150元、2月水电126元</t>
  </si>
  <si>
    <t>B109以押抵租原押金7938元：4月租金1900元、物业150元、3月水电158元</t>
  </si>
  <si>
    <t>B109以押抵租原押金7938元：5月租金1900元、物业150元、4月水电179元</t>
  </si>
  <si>
    <t>B109以押抵租原押金7938元：6月租金1900元、物业150元、5月水电169元</t>
  </si>
  <si>
    <t>B109以押抵租原押金7938元：6月水电费180</t>
  </si>
  <si>
    <t>A117-1 7月租金物业及6月水电费</t>
  </si>
  <si>
    <t>B120-1 7月租金物业及6月水电费</t>
  </si>
  <si>
    <t>C121 7月租金物业及6月水电费</t>
  </si>
  <si>
    <t>B120-2 7月物业及6水电费</t>
  </si>
  <si>
    <t>B128 7月租金物业及6月水电费</t>
  </si>
  <si>
    <t>古玩城电费2026.6.20-6.30</t>
  </si>
  <si>
    <t>古玩城B109更换电表</t>
  </si>
  <si>
    <t>榕禾花园物业补贴26年7月-9月</t>
  </si>
  <si>
    <t>C111 7月租金物业及6月水电费</t>
  </si>
  <si>
    <t>A114 7月租金物业及6月水电费</t>
  </si>
  <si>
    <t>B121 7月租金及6月水电费</t>
  </si>
  <si>
    <t>B122 6月水电费</t>
  </si>
  <si>
    <t>B123 7月物业及6月水电费</t>
  </si>
  <si>
    <t>B126 7月租金物业及6月水电费</t>
  </si>
  <si>
    <t>B109 押金、7月租金</t>
  </si>
  <si>
    <t>B131 B132 8月租金</t>
  </si>
  <si>
    <t>C137 6月水电费</t>
  </si>
  <si>
    <t>A112 7月租金物业及6月水电费</t>
  </si>
  <si>
    <t>A119 押金</t>
  </si>
  <si>
    <t>B111 7月租金物业及6月水电费</t>
  </si>
  <si>
    <t>固定摊位内24号：26.7.11-10.10</t>
  </si>
  <si>
    <t>B125 7月租金及6月水电费</t>
  </si>
  <si>
    <t>C101 7月租金物业及6月水电费</t>
  </si>
  <si>
    <t>C106 7月租金物业及6月水电费</t>
  </si>
  <si>
    <t>C108 7月租金物业及6月水电费</t>
  </si>
  <si>
    <t>C110 7月物业及6月水电费</t>
  </si>
  <si>
    <t>C112 7月租金物业及6月水电费</t>
  </si>
  <si>
    <t>C119 7月物业及6月水电费</t>
  </si>
  <si>
    <t>C120 7月租金物业及6月水电费</t>
  </si>
  <si>
    <t>C104 6月水电费</t>
  </si>
  <si>
    <t>C12G 6月水电费</t>
  </si>
  <si>
    <t>C114 115 7月物业及6月水电费</t>
  </si>
  <si>
    <t>B130 7月租金物业及6月水电费</t>
  </si>
  <si>
    <t>A128 7月租金及6月水电费</t>
  </si>
  <si>
    <t>B112 7月租金及6月水电费</t>
  </si>
  <si>
    <t>C128 7月物业及6月水电费</t>
  </si>
  <si>
    <t>C127 7月物业及6月水电费</t>
  </si>
  <si>
    <t>A113 7月租金物业及6月水电费</t>
  </si>
  <si>
    <t>古玩城2026年6月工资</t>
  </si>
  <si>
    <t>B120-2 年缴租金（2026.8.1-2027.7.31）</t>
  </si>
  <si>
    <t>B106 7月物业及6月水电费</t>
  </si>
  <si>
    <t>A117-2 6月租金物业及5月水电费</t>
  </si>
  <si>
    <t>A115 7月租金物业及6月水电费</t>
  </si>
  <si>
    <t>C103 7月租金及6月水电费</t>
  </si>
  <si>
    <t>2026.7.18-7.19地摊费</t>
  </si>
  <si>
    <t>C126 7月物业及6月水电费</t>
  </si>
  <si>
    <t>B125 6月水电费</t>
  </si>
  <si>
    <t>A122 7月物业及6月水电费</t>
  </si>
  <si>
    <t>C122 7月物业及6月水电费</t>
  </si>
  <si>
    <t>C102 7月物业及6月水电费</t>
  </si>
  <si>
    <t>A125 126 B136 137 7月租金物业及6月水电费</t>
  </si>
  <si>
    <t>B113 C125 5月租金物业及4月水电费</t>
  </si>
  <si>
    <t>A119以押抵租原押金15000元抵扣剩余退还7203元（2026.7.21付）：6月租金及5月水电费</t>
  </si>
  <si>
    <t>A119以押抵租原押金15000元抵扣剩余退还：7月租金及6月水电费</t>
  </si>
  <si>
    <t>古玩城水费2026.6.11-7.10</t>
  </si>
  <si>
    <t>退还B104商户押金</t>
  </si>
  <si>
    <t>C109 5月租金物业及4月水电费</t>
  </si>
  <si>
    <t>C109 6月租金物业及5月水电费</t>
  </si>
  <si>
    <t>古玩城2026年7月份租金</t>
  </si>
  <si>
    <t>2026.7.25-7.26地摊费</t>
  </si>
  <si>
    <t>A135 7月物业及6月水电费</t>
  </si>
  <si>
    <t>B102 7月租金及6月水电费</t>
  </si>
  <si>
    <t>B10G 6月水电费</t>
  </si>
  <si>
    <t>B109 7月物业及6月水电费</t>
  </si>
  <si>
    <t>C107 7月租金物业及6月水电费</t>
  </si>
  <si>
    <t>B110-2 7月租金及6月水电费</t>
  </si>
  <si>
    <t>B133 7月租金物业及6月水电费</t>
  </si>
  <si>
    <t>C123 7月租金物业及6月水电费</t>
  </si>
  <si>
    <t>A118 7月租金物业及6月水电费</t>
  </si>
  <si>
    <t>C117 6月租金物业及5月水电费</t>
  </si>
  <si>
    <t>古玩城电费2026.7.1-7.21</t>
  </si>
  <si>
    <t>治安费用7-8月</t>
  </si>
  <si>
    <t>退还C113商户押金</t>
  </si>
  <si>
    <t>A116 7月租金物业及6月水电费</t>
  </si>
  <si>
    <t>C133 C134 6月租金及5月水电费</t>
  </si>
  <si>
    <t>C133 C134 7月租金及6月水电费</t>
  </si>
  <si>
    <t>C133 C134 8月租金</t>
  </si>
  <si>
    <t>A131 7月租金及6月水电费</t>
  </si>
  <si>
    <t>B105 7月租金及6月水电费</t>
  </si>
  <si>
    <t>A121 7月租金物业及6月水电费</t>
  </si>
  <si>
    <t>古玩城卫生材料：垃圾袋、拖把、洗衣服、抽纸等</t>
  </si>
  <si>
    <t>古玩城大厅更换筒灯及射灯</t>
  </si>
  <si>
    <t>B110-1 7月租金物业及6月水电费</t>
  </si>
  <si>
    <t>B113 C125 6月租金物业及5月水电费</t>
  </si>
  <si>
    <t>A137-1 5月租金物业及4月水电费</t>
  </si>
  <si>
    <t>A13G 6月水电费</t>
  </si>
  <si>
    <t>A129 7月租金及6月水电费</t>
  </si>
  <si>
    <t>A103 104 7月租金及6月水电费</t>
  </si>
  <si>
    <t>A107 8月租金物业及7月水电费</t>
  </si>
  <si>
    <t>A107 9月租金</t>
  </si>
  <si>
    <t>A108 8月租金物业及7月水电费</t>
  </si>
  <si>
    <t>2026.8.1-8.2地摊费3980</t>
  </si>
  <si>
    <t>A120 7月租金物业及8月水电费</t>
  </si>
  <si>
    <t>B101 8月租金物业及7月水电费</t>
  </si>
  <si>
    <t>C132 7月租金物业及6月水电费</t>
  </si>
  <si>
    <t>A105 8月租金</t>
  </si>
  <si>
    <t>A106 8月租金及7月水电费</t>
  </si>
  <si>
    <t>A101 8月租金及7月水电费</t>
  </si>
  <si>
    <t>A130 年缴租金（2026.8.10-2027.8.9）</t>
  </si>
  <si>
    <t>A130 7月水电费</t>
  </si>
  <si>
    <t>B126 9月租金</t>
  </si>
  <si>
    <t>2026.8.8-8.9地摊费2350</t>
  </si>
  <si>
    <t>C114 115 8月物业及7月水电费</t>
  </si>
  <si>
    <t>A102 8月租金及7月水电费</t>
  </si>
  <si>
    <t>A102 9月租金</t>
  </si>
  <si>
    <t>A111 7月租金物业及6月水电费</t>
  </si>
  <si>
    <t>C120 8月租金物业及7月水电费</t>
  </si>
  <si>
    <t>C112 8月租金物业及7月水电费</t>
  </si>
  <si>
    <t>B125 8月租金及7月水电费</t>
  </si>
  <si>
    <t>C113 7月物业及6月水电费</t>
  </si>
  <si>
    <t>C105 6月水电费</t>
  </si>
  <si>
    <t>B119 7月租金及6月水电费</t>
  </si>
  <si>
    <t>B120-2 7月水电费</t>
  </si>
  <si>
    <t>C113 年缴租金（2026.8.1-2027.7.31）7月物业及6月水电费</t>
  </si>
  <si>
    <t>B111 8月租金物业及7月水电费</t>
  </si>
  <si>
    <t>A121 8月租金及7月水电费</t>
  </si>
  <si>
    <t>C111 8月租金物业及7月水电费</t>
  </si>
  <si>
    <t>C103 8月租金及7月水电费</t>
  </si>
  <si>
    <t>C121 8月租金物业及7月水电费</t>
  </si>
  <si>
    <t>B121 8月租金及7月水电费</t>
  </si>
  <si>
    <t>B122 7月水电费</t>
  </si>
  <si>
    <t>B123 8月物业及7月水电费</t>
  </si>
  <si>
    <t>B124 年缴租金（2026.8.10-2027.7.9）及7月水电费</t>
  </si>
  <si>
    <t>A127 B135 B134 8月物业及7月水电费</t>
  </si>
  <si>
    <t>古玩城更换灭火器粉</t>
  </si>
  <si>
    <t>古玩城电费2026.7.20-7.31</t>
  </si>
  <si>
    <t>古玩城水费2026.7.11-8.10</t>
  </si>
  <si>
    <t>购抽纸</t>
  </si>
  <si>
    <t>退还C114 C115商户押金</t>
  </si>
  <si>
    <t>A117-1 8月租金物业及7月水电费</t>
  </si>
  <si>
    <t>A117-2 7月租金物业及6月水电费</t>
  </si>
  <si>
    <t>B120-1 8月租金物业及7月水电费</t>
  </si>
  <si>
    <t>8.15-8.16地摊收入3390</t>
  </si>
  <si>
    <t>A132 8月租金物业及7月水电费</t>
  </si>
  <si>
    <t>C123 8月租金物业及7月水电费</t>
  </si>
  <si>
    <t>C108 8月租金物业及7月水电费</t>
  </si>
  <si>
    <t>B112 8月租金及7月水电费</t>
  </si>
  <si>
    <t>A128 8月租金及7月水电费</t>
  </si>
  <si>
    <t>B113 C125 7月租金物业及6月水电费</t>
  </si>
  <si>
    <t>C116 原押金5100元抵年缴租金（2025.8.1-2026.7.31）5100元</t>
  </si>
  <si>
    <t>C116 年缴租金（2025.8.1-2026.7.31）1460元、7月物业及6月水电费186元、7月水电费16元</t>
  </si>
  <si>
    <t>B130 8月租金物业及7月水电费</t>
  </si>
  <si>
    <t>程柔微</t>
  </si>
  <si>
    <t>A12G 8月租金物业及7月水电费</t>
  </si>
  <si>
    <t>B118 7月租金物业及6月水电费</t>
  </si>
  <si>
    <t>A133 7月物业及6月水电费</t>
  </si>
  <si>
    <t>B127 8月物业及7月水电费</t>
  </si>
  <si>
    <t>B102 8月租金及7月水电费</t>
  </si>
  <si>
    <t>古玩城2026年7月工资</t>
  </si>
  <si>
    <t>A136 半年租金（2026.8.1-2027.1.31）8月物业及7月水电费</t>
  </si>
  <si>
    <t>8.22地摊收入2940</t>
  </si>
  <si>
    <t>A137 7月租金及6月水电费</t>
  </si>
  <si>
    <t>A137 8月租金及7月水电费</t>
  </si>
  <si>
    <t>B103 6月水电费</t>
  </si>
  <si>
    <t>B103 季度租金（2026.7.1-2026.9.30)及7月水电费</t>
  </si>
  <si>
    <t>B116 6月租金物业及5月水电费</t>
  </si>
  <si>
    <t>C102 8月租金及7月水电费</t>
  </si>
  <si>
    <t>C128 8月物业及7月水电费</t>
  </si>
  <si>
    <t>B131 B132 8月租金物业及7月水电费</t>
  </si>
  <si>
    <t>C12G 7月水电费</t>
  </si>
  <si>
    <t>B129 8月物业及7月水电费</t>
  </si>
  <si>
    <t>C105 8月租金及7水电费</t>
  </si>
  <si>
    <t>雷燕雄</t>
  </si>
  <si>
    <t>A131 8月租金及7月水电费</t>
  </si>
  <si>
    <t>古玩城更新电路材料费及人工费</t>
  </si>
  <si>
    <t>卫生材料费</t>
  </si>
  <si>
    <t>7月-8月办公室水票</t>
  </si>
  <si>
    <t>古玩城2026年8月份租金</t>
  </si>
  <si>
    <t>古玩城电费（2026.8.1-2026.8.20）</t>
  </si>
  <si>
    <t>A127 B135 B134 季度租金（2026.8.1-2026.8.31）</t>
  </si>
  <si>
    <t>B105 8月租金及7月水电费</t>
  </si>
  <si>
    <t>A110 8月租金物业及7月水电费</t>
  </si>
  <si>
    <t>B110-1 8月租金物业及7月水电费</t>
  </si>
  <si>
    <t>A103 104 赔偿违约金</t>
  </si>
  <si>
    <t>8.29-8.30地摊收入1520</t>
  </si>
  <si>
    <t>C101 8月租金物业及7月水电费</t>
  </si>
  <si>
    <t>吴翀</t>
  </si>
  <si>
    <t>C136 137押金</t>
  </si>
  <si>
    <t>B115 7月物业及6月水电费</t>
  </si>
  <si>
    <t>B133 8月租金物业及7月水电费</t>
  </si>
  <si>
    <t>C107 8月租金物业及7月水电费</t>
  </si>
  <si>
    <t>A13G 半年租金（2026.8.1-2027.1.31）8月物业及7月水电费</t>
  </si>
  <si>
    <t>A122 8月物业及7月水电费</t>
  </si>
  <si>
    <t>A137-1 6月租金物业及5月水电费</t>
  </si>
  <si>
    <t>A112 8月租金物业及7月水电费</t>
  </si>
  <si>
    <t>A125 126 B136 137 8月租金物业及7月水电费</t>
  </si>
  <si>
    <t>C122 8月租金及7月水电费</t>
  </si>
  <si>
    <t>A105 7月水电费</t>
  </si>
  <si>
    <t>B109 8月租金物业及7月水电费</t>
  </si>
  <si>
    <t>C104 7月水电费</t>
  </si>
  <si>
    <t>B113 C125 8月租金物业及7月水电费</t>
  </si>
  <si>
    <t>A107 9月租金物业及8月水电费</t>
  </si>
  <si>
    <t>A105 9月租金物业费及8月水电费</t>
  </si>
  <si>
    <t>C109 7月租金物业及6月水电费</t>
  </si>
  <si>
    <t>C109 8月租金物业及7月水电费</t>
  </si>
  <si>
    <t>A114 8月租金物业及7月水电费</t>
  </si>
  <si>
    <t>A113 8月租金物业及7月水电费</t>
  </si>
  <si>
    <t>A108 9月租金物业及8月水电费</t>
  </si>
  <si>
    <t>A101 9月租金物业及8月水电费</t>
  </si>
  <si>
    <t>B120-2 8月水电费</t>
  </si>
  <si>
    <t>A116 8月租金物业及7月水电费</t>
  </si>
  <si>
    <t>B111 9月租金物业及8月水电费</t>
  </si>
  <si>
    <t>C132 8月租金物业及7月水电费</t>
  </si>
  <si>
    <t>A115 8月租金物业及7月水电费</t>
  </si>
  <si>
    <t>2026.9.5-9.6地摊收入3510</t>
  </si>
  <si>
    <t>外固定摊位97、98号（26.9.1-11.30）</t>
  </si>
  <si>
    <t>B101 9月租金物业及8月水电费</t>
  </si>
  <si>
    <t>A119 8月租金及7月水电费</t>
  </si>
  <si>
    <t>A118 8月租金物业及7月水电费</t>
  </si>
  <si>
    <t>A133 8月物业及7月水电费</t>
  </si>
  <si>
    <t>A129 8月租金</t>
  </si>
  <si>
    <t>A135 半年租金（2026.3.1-2026.8.31）、8月物业及7月水电费</t>
  </si>
  <si>
    <t>B116 7月租金物业及6月水电费</t>
  </si>
  <si>
    <t>A109 8月租金物业及7月水电费</t>
  </si>
  <si>
    <t>B106 7月水电费133元+ 8月水电费83元</t>
  </si>
  <si>
    <t>A130 8月水电费</t>
  </si>
  <si>
    <t>A132 9月租金物业及8月水电费</t>
  </si>
  <si>
    <t>A136 7月物业及6月水电费</t>
  </si>
  <si>
    <t>A121 9月租金及8月水电费</t>
  </si>
  <si>
    <t>B124 8水电费</t>
  </si>
  <si>
    <t>B112 9月租金及8月水电费</t>
  </si>
  <si>
    <t>郭泓</t>
  </si>
  <si>
    <t>A138 押金</t>
  </si>
  <si>
    <t>C121 9月租金物业及8月水电费</t>
  </si>
  <si>
    <t>A127 B135 B134 季度租金（2026.5.1-2026.7.31）、9月物业及8月水电费</t>
  </si>
  <si>
    <t>A117-1 9月租金物业及8月水电费</t>
  </si>
  <si>
    <t>古玩城电费（2026.8.20-8.31)</t>
  </si>
  <si>
    <t>C110 年缴租金（26.8.10-27.8.9）、8月水电费</t>
  </si>
  <si>
    <t>B121 9月租金及8月水电费</t>
  </si>
  <si>
    <t>B122 8月水电费</t>
  </si>
  <si>
    <t>B123 9月物业及8月水电费</t>
  </si>
  <si>
    <t>钟雄文</t>
  </si>
  <si>
    <t>A111 押金</t>
  </si>
  <si>
    <t>9.12-9.13地摊收入3330</t>
  </si>
  <si>
    <t>C123 9月租金物业及8月水电费</t>
  </si>
  <si>
    <t>C120 9月租金物业及8月水电费</t>
  </si>
  <si>
    <t>C108 9月租金物业及8月水电费</t>
  </si>
  <si>
    <t>C101 9月租金物业及8月水电费</t>
  </si>
  <si>
    <t>C105 9月租金及8水电费</t>
  </si>
  <si>
    <t>C111 9月租金物业及8月水电费</t>
  </si>
  <si>
    <t>A128 9月租金及8月水电费</t>
  </si>
  <si>
    <t>C113 9月物业及8月水电费</t>
  </si>
  <si>
    <t>A129 9月租金及8月水电费</t>
  </si>
  <si>
    <t>B125 9月租金及8月水电费</t>
  </si>
  <si>
    <t>A12G 9月租金物业及8月水电费</t>
  </si>
  <si>
    <t>B130 9月租金物业及8月水电费</t>
  </si>
  <si>
    <t>C112 9月租金及8月水电费</t>
  </si>
  <si>
    <t>B119 8月租金及7月水电费</t>
  </si>
  <si>
    <t>B127 8月水电费</t>
  </si>
  <si>
    <t>C12G 9月物业及8月水电费</t>
  </si>
  <si>
    <t>C128 9月物业及8月水电费</t>
  </si>
  <si>
    <t>B129 9月物业及8月水电费</t>
  </si>
  <si>
    <t>B102 9月租金及8月水电费</t>
  </si>
  <si>
    <t>B119 9月租金物业及8月水电费</t>
  </si>
  <si>
    <t>A137 9月租金及8月水电费</t>
  </si>
  <si>
    <t>B103 8月水电费</t>
  </si>
  <si>
    <t>A111 8月租金及7月水电费</t>
  </si>
  <si>
    <t>A111 9月租金及8月水电费</t>
  </si>
  <si>
    <t>古玩城水费（2026.8.11-9.10）</t>
  </si>
  <si>
    <t>A138租赁介绍费</t>
  </si>
  <si>
    <t>安装电路材料1634.5元、维修A118门口材料75元</t>
  </si>
  <si>
    <t>以押抵租，原租金5700元，剩余退还2193元。                                                           B108 7月租金1500元、物业150元、6月水电费74                           B108 8月租金1500元、物业150元、7月水电费71                         B108 8月水电费62元</t>
  </si>
  <si>
    <t>古玩城2026年8月工资</t>
  </si>
  <si>
    <t>B128 8月租金物业及7月水电费</t>
  </si>
  <si>
    <t>B120-1 9月租金物业及8月水电费</t>
  </si>
  <si>
    <t>9.19-9.20地摊收入3130</t>
  </si>
  <si>
    <t>地摊外固定76摊位（9.15-12.14）</t>
  </si>
  <si>
    <t>B115 8月物业及7月水电费</t>
  </si>
  <si>
    <t>B115 8月水电费</t>
  </si>
  <si>
    <t>A137-1 7月租金物业及6月水电费</t>
  </si>
  <si>
    <t>B133 9月租金物业及8月水电费</t>
  </si>
  <si>
    <t>B104 9月租金及8月水电费</t>
  </si>
  <si>
    <t>A122 9月租金及8月水电费</t>
  </si>
  <si>
    <t>B116 8月租金及7月水电费</t>
  </si>
  <si>
    <t>B118 8月租金物业及7月水电费</t>
  </si>
  <si>
    <t>B118 9月租金物业及78月水电费</t>
  </si>
  <si>
    <t>C102 9月租金及8月水电费</t>
  </si>
  <si>
    <t>C122 9月租金及8月水电费</t>
  </si>
  <si>
    <t>A103 104 8月租金及7月水电费</t>
  </si>
  <si>
    <t>A106 9月租金及8月水电费</t>
  </si>
  <si>
    <t>9.26-9.27地摊收入2440</t>
  </si>
  <si>
    <t>C107 9月租金物业及8月水电费</t>
  </si>
  <si>
    <t>C117 7月租金及6月水电费</t>
  </si>
  <si>
    <t>林素琴</t>
  </si>
  <si>
    <t>B126 9月租金及8月水电费</t>
  </si>
  <si>
    <t>A138 9月租金</t>
  </si>
  <si>
    <t>A102 9月租金及8月水电费</t>
  </si>
  <si>
    <t>C126 7月水电费</t>
  </si>
  <si>
    <t>C126 季度租金（2025.2.1-2026.4.30）9月物业及8月水电费</t>
  </si>
  <si>
    <t>C126 10月物业及9月水电费</t>
  </si>
  <si>
    <t>古玩城电费2026.91-9.20</t>
  </si>
  <si>
    <t>办公室9月水票</t>
  </si>
  <si>
    <t>警务治安费用9-10月</t>
  </si>
  <si>
    <t>退还A111商户押金</t>
  </si>
  <si>
    <t>A111 10月租金</t>
  </si>
  <si>
    <t>A112 9月租金及8月水电费</t>
  </si>
  <si>
    <t>A117-2 8月租金物业及7月水电费</t>
  </si>
  <si>
    <t>B110-1 9月租金物业及8月水电费</t>
  </si>
  <si>
    <t>A102 8月水电费</t>
  </si>
  <si>
    <t>A135 9月物业及8月水电费</t>
  </si>
  <si>
    <t>C119 年缴租金（2026.8.1-2027.7.31）、8月物业及7月水电费</t>
  </si>
  <si>
    <t>C119 8月水电费</t>
  </si>
  <si>
    <t>A13G 9月物业及8月水电费</t>
  </si>
  <si>
    <t>C109 9月租金物业及8月水电费</t>
  </si>
  <si>
    <t>B109 9月租金物业及8月水电费</t>
  </si>
  <si>
    <t>B110-2 8月租金及7月水电费</t>
  </si>
  <si>
    <t>A125 126 B136 137 9月租金物业及8月水电费</t>
  </si>
  <si>
    <t>A137-1 8月租金物业及7月水电费</t>
  </si>
  <si>
    <t>C103 9月租金及8月水电费</t>
  </si>
  <si>
    <t>B131 B132 9月租金物业及8月水电费</t>
  </si>
  <si>
    <t>B117 半年缴租金（2026.8.19-2027.2.18）、7月水电费</t>
  </si>
  <si>
    <t>B117 8月水电费</t>
  </si>
  <si>
    <t>A110 9月租金及8月水电费</t>
  </si>
  <si>
    <t>A110 10月租金及9月水电费</t>
  </si>
  <si>
    <t>A107 10月租金物业及9月水电费</t>
  </si>
  <si>
    <t>A111 8月水电费</t>
  </si>
  <si>
    <t>A105 10月租金</t>
  </si>
  <si>
    <t>C132 9月租金物业及8月水电费</t>
  </si>
  <si>
    <t>A101 10月租金及9月水电费</t>
  </si>
  <si>
    <t>A117-1 10月租金物业及9月水电费</t>
  </si>
  <si>
    <t>A116 9月租金及8月水电费</t>
  </si>
  <si>
    <t>A131 9月租金及8月水电费</t>
  </si>
  <si>
    <t>A114 9月租金及8月水电费</t>
  </si>
  <si>
    <t>10.3-10.4地摊收入3410</t>
  </si>
  <si>
    <t>A109 9月租金物业及8月水电费</t>
  </si>
  <si>
    <t>B113 C125 9月租金物业及8月水电费</t>
  </si>
  <si>
    <t>A132 10月租金物业及9月水电费</t>
  </si>
  <si>
    <t>B101 10月租金物业及9月水电费</t>
  </si>
  <si>
    <t>A118 9月租金物业及8月水电费</t>
  </si>
  <si>
    <t>A130 9月水电费</t>
  </si>
  <si>
    <t>A128 10月租金及9月水电费</t>
  </si>
  <si>
    <t>A129 10月租金及9月水电费</t>
  </si>
  <si>
    <t>A121 10月租金物业及9月水电费</t>
  </si>
  <si>
    <t>B128 9月租金物业及8月水电费</t>
  </si>
  <si>
    <t>B120-2 9月水电费</t>
  </si>
  <si>
    <t>A120 8月租金物业及7月水电费</t>
  </si>
  <si>
    <t>A120 9月租金物业及8月水电费</t>
  </si>
  <si>
    <t>A120 9月水电费</t>
  </si>
  <si>
    <t>退A120商户押金（原押金11700元）</t>
  </si>
  <si>
    <t>剩余押金退还</t>
  </si>
  <si>
    <t>古玩城电费2026.8.27-9.26</t>
  </si>
  <si>
    <t>榕禾花园小区物业补贴10-12月</t>
  </si>
  <si>
    <t>古玩城节礼</t>
  </si>
  <si>
    <t>C127 8月租金及7月水电费</t>
  </si>
  <si>
    <t>C127 9月租金及8月水电费</t>
  </si>
  <si>
    <t>B105 9月租金及8月水电费</t>
  </si>
  <si>
    <t>2026.5.9-5.10地摊费740</t>
  </si>
  <si>
    <t>B114 5月物业及4月水电费</t>
  </si>
  <si>
    <t>2026.5.16-5.17地摊费1110</t>
  </si>
  <si>
    <t>C133 C134 4月租金</t>
  </si>
  <si>
    <t>2026.5.23-5.24地摊费550</t>
  </si>
  <si>
    <t>2026.5.30-5.31地摊费1680</t>
  </si>
  <si>
    <t>A129 3月租金</t>
  </si>
  <si>
    <t>A129 4月租金物业及3月水电费</t>
  </si>
  <si>
    <t>A129 5月租金</t>
  </si>
  <si>
    <t>B116 4月租金物业及3月水电费</t>
  </si>
  <si>
    <t>B116 5月租金物业及4月水电费</t>
  </si>
  <si>
    <t>2026.6.6-6.7地摊费660</t>
  </si>
  <si>
    <t>B125 6月租金及5月水电费</t>
  </si>
  <si>
    <t>2026.6.13地摊费640</t>
  </si>
  <si>
    <t>2026.6.20-6.21地摊费200</t>
  </si>
  <si>
    <t>B114 6月物业及5月水电费</t>
  </si>
  <si>
    <t>B129 8月租金</t>
  </si>
  <si>
    <t>C133 C134 5月租金及4月水电费</t>
  </si>
  <si>
    <t>2026.7.4-7.5地摊费</t>
  </si>
  <si>
    <t>B114 7月物业及6月水电费</t>
  </si>
  <si>
    <t>C113 押金</t>
  </si>
  <si>
    <t>2026.8.1-8.2地摊费</t>
  </si>
  <si>
    <t>2026.8.8-8.9地摊费</t>
  </si>
  <si>
    <t>A12G 7月租金及6月水电费</t>
  </si>
  <si>
    <t>C106 8月租金物业及6月水电费</t>
  </si>
  <si>
    <t>A128 8月租金</t>
  </si>
  <si>
    <t>C104 半年租金（2026.8.1-2027.1.31）</t>
  </si>
  <si>
    <t>8.15地摊收入310</t>
  </si>
  <si>
    <t>B114 8月物业及7月水电费</t>
  </si>
  <si>
    <t>8.22地摊收入</t>
  </si>
  <si>
    <t>8.29地摊收入</t>
  </si>
  <si>
    <t>9.5地摊收入</t>
  </si>
  <si>
    <t>B114 年缴租金（2026.9.3-2027..9.2）</t>
  </si>
  <si>
    <t>B106 半年缴租金（2026.8.6-2027.2.5）</t>
  </si>
  <si>
    <t>A128 9月租金</t>
  </si>
  <si>
    <t>C106 9月租金物业及8月水电费</t>
  </si>
  <si>
    <t>B114 9月物业及8月水电费</t>
  </si>
  <si>
    <t>9.12地摊收入</t>
  </si>
  <si>
    <t>9.19-9.20地摊收入380</t>
  </si>
  <si>
    <t>9.26-9.27地摊收入280</t>
  </si>
  <si>
    <t>10.3-10.4地摊收入230</t>
  </si>
  <si>
    <t>电力项目归集专户</t>
  </si>
  <si>
    <t>灵响路26号12月电费</t>
  </si>
  <si>
    <t>福州艾泊烨停车科技有限公司</t>
  </si>
  <si>
    <t>王晓华建行转入投资款（支付丝绸厂场工程款）</t>
  </si>
  <si>
    <t>福州市博烨体育发展有限公司</t>
  </si>
  <si>
    <t>博烨体育投资款</t>
  </si>
  <si>
    <t>福建海峡银行</t>
  </si>
  <si>
    <t>缴纳个人所得税</t>
  </si>
  <si>
    <t>增值税20251001-20251231</t>
  </si>
  <si>
    <t>城市维护建设税20251001-20251231</t>
  </si>
  <si>
    <t>教育费附加20251001-20251231</t>
  </si>
  <si>
    <t>地方教育附加20251001-20251231</t>
  </si>
  <si>
    <t>印花税20251001-20251231</t>
  </si>
  <si>
    <t>张丽君</t>
  </si>
  <si>
    <t>闽A670CS停车费</t>
  </si>
  <si>
    <t>建行银行转入（贷款）</t>
  </si>
  <si>
    <t>支付2026年1月公积金</t>
  </si>
  <si>
    <t>对公户转入农商银行一般户（支付本金、贷款利息）</t>
  </si>
  <si>
    <t>招商银行应付代发业务清算款（福州艾泊烨停车科技有限公司</t>
  </si>
  <si>
    <t>代发工资（2025年12月工资）</t>
  </si>
  <si>
    <t>郑国瑞</t>
  </si>
  <si>
    <t>闽AV9Y15,停车费1.22-2.22</t>
  </si>
  <si>
    <t>福州万泊烨体育发展有限公司</t>
  </si>
  <si>
    <t>收元帅路（2025.7.1-2025.8.1）运动场地电费16798.32、水费168</t>
  </si>
  <si>
    <t>已开票</t>
  </si>
  <si>
    <t>国家税务总局福州市台江区税务局</t>
  </si>
  <si>
    <t>企业职工基本养老保险费 20260101-20260131   9682.56       失业保险费            20260101-20260131   403.52        工伤保险费            20260101-20260131   563.04         基本医疗保险费        20260101-20260131   3903.1        生育保险费            20260101-20260131   273.21</t>
  </si>
  <si>
    <t>米长峰</t>
  </si>
  <si>
    <t>月卡停车费</t>
  </si>
  <si>
    <t>灵响路26号1月电费</t>
  </si>
  <si>
    <t>王晓华农商银行转入艾泊烨对公账户</t>
  </si>
  <si>
    <t>王晓华（古玩城）</t>
  </si>
  <si>
    <t>古玩城吴海萍农商行转入王晓华账户再转入艾泊烨对公账户（借款用于支付博烨体育工程款）</t>
  </si>
  <si>
    <t>福建省卓正能源科技有限公司</t>
  </si>
  <si>
    <t>代开发票5500元扣款税点275元，剩余5225元由私户转出(王晓华农商银行）</t>
  </si>
  <si>
    <t>金昶晟</t>
  </si>
  <si>
    <t>退还小肥猪冰浆押金</t>
  </si>
  <si>
    <t>福州潭榕食品贸易有限公司</t>
  </si>
  <si>
    <t>古玩城转入王晓华账户转入艾泊烨对公账户（借款用于支付艾泊烨1月工资及年终奖）</t>
  </si>
  <si>
    <t>对公户转入农商银行一般户（用于支付贷款利息）</t>
  </si>
  <si>
    <t>代发工资（2026年1月工资46408.08元、年终奖27243元）</t>
  </si>
  <si>
    <t>福建泊易安智慧停车管理有限公司</t>
  </si>
  <si>
    <t>借款转入（用于支付灵响路拆除清理费用及博烨体育工程款）</t>
  </si>
  <si>
    <t>福州市凯江科技工程有限公司</t>
  </si>
  <si>
    <t>灵响路地基拆除清理，土方外运至丝绸厂地块费用</t>
  </si>
  <si>
    <t>未开票</t>
  </si>
  <si>
    <t>王庄项目</t>
  </si>
  <si>
    <t>王晓华借款转入（用于支付博烨体育工程款）</t>
  </si>
  <si>
    <t>支付2026年2月公积金</t>
  </si>
  <si>
    <t>福建立行科技有限公司</t>
  </si>
  <si>
    <t>哎呦飞金包银租金2025.12.29-2026.1.28</t>
  </si>
  <si>
    <t>哎呦飞金包银租金2025.11.29-2025.12.21营业分成1%</t>
  </si>
  <si>
    <t>哎呦飞金包银（2025.12.1-2026.1.1）电费833.7元、水费4.2元</t>
  </si>
  <si>
    <t>王晓华借款转入</t>
  </si>
  <si>
    <t>王晓华转入（易佰兴员工1月工资、2025年终奖、社医保费用）</t>
  </si>
  <si>
    <t>企业职工基本养老保险费 20260201-20260228   10652.88                           失业保险费            20260201-20260228   443.96                               工伤保险费            20260201-20260228   620.42                              基本医疗保险费        20260201-20260228   4789.7                               生育保险费            20260201-20260228   335.27</t>
  </si>
  <si>
    <t>易佰兴1月工资16130.67元、2025年终奖1900元</t>
  </si>
  <si>
    <t>福建省隆君定慧设计工程有限公司</t>
  </si>
  <si>
    <t>农商银行私户转入艾泊烨对公账户</t>
  </si>
  <si>
    <t>还款转入王晓华建行账户</t>
  </si>
  <si>
    <t>支付2026年3月公积金</t>
  </si>
  <si>
    <t>吴海萍转入王晓华账户转入艾泊烨对公账户（借款用于支付艾泊烨2月工资）</t>
  </si>
  <si>
    <t>王晓华转入（易佰兴员工2月工资15665.01元、社医保费用4599.99元）</t>
  </si>
  <si>
    <t>代发工资2026年2月工资</t>
  </si>
  <si>
    <t>吴海萍转入王晓华建行账户转入艾泊烨对公账户（借款用于支付博烨体育投资款）</t>
  </si>
  <si>
    <t>哎呦飞金包银租金2026.2.28-2026.3.28</t>
  </si>
  <si>
    <t>哎呦飞金包银租金2026.1.29-2026.2.28营业分成1%</t>
  </si>
  <si>
    <t>哎呦飞金包银（2026.2.1-2026.3.1）电费783.3元、水费2.8元</t>
  </si>
  <si>
    <t>企业职工基本养老保险费 20260301-20260331   10652.88       失业保险费            20260301-20260331   443.96        工伤保险费            20260301-20260331   310.21        基本医疗保险费        20260301-20260331   4789.7        生育保险费            20260301-20260331   335.27</t>
  </si>
  <si>
    <t>王晓华（王晓东）</t>
  </si>
  <si>
    <t>王晓东转入王晓华建行账户转入艾泊烨对公账户（借款用于支付丝绸厂项目遮阳篷安装费用）</t>
  </si>
  <si>
    <r>
      <rPr>
        <sz val="10"/>
        <color rgb="FF000000"/>
        <rFont val="宋体"/>
        <charset val="134"/>
      </rPr>
      <t>借款</t>
    </r>
    <r>
      <rPr>
        <sz val="10"/>
        <color rgb="FF000000"/>
        <rFont val="Times New Roman"/>
        <charset val="134"/>
      </rPr>
      <t>1</t>
    </r>
    <r>
      <rPr>
        <sz val="10"/>
        <color rgb="FF000000"/>
        <rFont val="宋体"/>
        <charset val="134"/>
      </rPr>
      <t>分利息(2026年4月10日用160万贷款归还本金+利息351283.33元</t>
    </r>
  </si>
  <si>
    <t>上海良哥装饰工程有限公司福州分公司</t>
  </si>
  <si>
    <t>1、遮阳篷安装费用预付款5万元，第二笔：30万元（其中博烨体育已支付25万元）                                    2、（总价150万，支付方式：合同签订预付20%：30万元，  第二笔：材料进场后支付20%：30万元，                 第三笔：弧形大梁吊装2套支付20%：30万元，             第四笔：验收合格支付35%：525000元，                 尾款：质保期结束后支付5%：75000元 ）</t>
  </si>
  <si>
    <t>福州尚豚电子商务有限公司</t>
  </si>
  <si>
    <t>元帅路停车场售货机费用结算营业收入</t>
  </si>
  <si>
    <t>20260101-20260331印花税</t>
  </si>
  <si>
    <t>哎呦飞金包银租金2026.1.29-2026.2.28</t>
  </si>
  <si>
    <t>哎呦飞金包银租金2025.12.29-2026.1.28营业分成1%</t>
  </si>
  <si>
    <t>哎呦飞金包银（2026.1.1-2026.2.1）电费1166.55元、水费3.5元</t>
  </si>
  <si>
    <t>福州万象会发展有限公司</t>
  </si>
  <si>
    <t>2025.8-2026.3水电费和2025.11-2026.3服务费</t>
  </si>
  <si>
    <t>退回2025.8-2026.3水电费和2025.11-2026.3服务费</t>
  </si>
  <si>
    <t>收元帅路（2025.8.1-2025.9.1）运动场地电费17923.5元、水费203元</t>
  </si>
  <si>
    <t>收元帅路（2025.9.1-2025.10.1）运动场地电费17684.68元、水费217元</t>
  </si>
  <si>
    <t>收元帅路运动场地服务费（2025.10.29-2025.11.28）</t>
  </si>
  <si>
    <t>收元帅路（2025.10.1-2025.11.1）运动场地电费8585.32元、水费147元</t>
  </si>
  <si>
    <t>收元帅路运动场地服务费（2025.11.29-2025.12.28）</t>
  </si>
  <si>
    <t>收元帅路（2025.11.1-2025.12.1）运动场地电费4000.5元、水费315元</t>
  </si>
  <si>
    <t>收元帅路运动场地服务费（2025.12.29-2026.1.28）</t>
  </si>
  <si>
    <t>收元帅路（2025.12.1-2026.1.1）运动场地电费3528元、水费196元</t>
  </si>
  <si>
    <t>收元帅路运动场地服务费（2026.1.29-2026.2.28）</t>
  </si>
  <si>
    <t>收元帅路（2026.1.1-2026.2.1）运动场地电费3907.89元、水费224元</t>
  </si>
  <si>
    <t>收元帅路运动场地服务费（2026.3.1-2026.3.28）</t>
  </si>
  <si>
    <t>收元帅路（2026.2.1-2026.3.1）运动场地电费3606.12元、水费161.7元</t>
  </si>
  <si>
    <t>收元帅路（2026.3.1-2026.4.1）运动场地电费4707.99元、水费195.3元</t>
  </si>
  <si>
    <t>归还股东借款</t>
  </si>
  <si>
    <t>福州市房营物业管理有限责任公司</t>
  </si>
  <si>
    <t>津泰路：2026.1.20-2026.3.19道闸服务费</t>
  </si>
  <si>
    <t>1、遮阳篷安装费用预付款5万元，第二笔：30万元（其中博烨体育已支付25万元，艾泊烨付35万）                                                                         2、（总价150万，支付方式：合同签订预付20%：30万元，  第二笔：材料进场后支付20%：30万元，                 第三笔：弧形大梁吊装2套支付20%：30万元，             第四笔：验收合格支付35%：525000元，                 尾款：质保期结束后支付5%：75000元 ）</t>
  </si>
  <si>
    <t>支付2026年4月公积金</t>
  </si>
  <si>
    <t>厦门科拓通讯技术股份有限公司</t>
  </si>
  <si>
    <t>西湖国际、开元寺、屏山公园、兰尾景居、西洪路口省政五办地停车场，技术服务费（2025.12.1-2025.12.31）</t>
  </si>
  <si>
    <t>福州众和天成智能科技有限公司</t>
  </si>
  <si>
    <t>灵响路、杨桥路球馆拆除费用25791元，拆除后物品回收23760元，需支付2031元</t>
  </si>
  <si>
    <t>代发工资2026年3月工资</t>
  </si>
  <si>
    <t>王晓华转入（易佰兴员工3月工资16599.86元、社医保费用3244.38元）</t>
  </si>
  <si>
    <t>王晓华转入（160万贷款，支付丝绸厂工程款）</t>
  </si>
  <si>
    <t>丝绸厂工程款</t>
  </si>
  <si>
    <t>对公户转入农商银行一般户（贷款利息）</t>
  </si>
  <si>
    <t>王晓华转入（160万贷款，归还股东借款、贷款利息）</t>
  </si>
  <si>
    <t>企业职工基本养老保险费 20260301-20260331   9682.56       失业保险费            20260301-20260331   403.52        工伤保险费            20260301-20260331   281.52        基本医疗保险费        20260301-20260331   4346.4        生育保险费            20260301-20260331   304.24</t>
  </si>
  <si>
    <t>收卧湖路26号地块运动场地租金费用(2025.8.25-2026.2.24)</t>
  </si>
  <si>
    <t>2025年尾牙聚餐费2581.61元、尾牙买酒454.83元</t>
  </si>
  <si>
    <t>购买茶叶760元、朴朴购物卡2000元（土开）</t>
  </si>
  <si>
    <t>2025.9.1-2026.2.28省五办、西湖、开元寺、屏山公园、兰尾停车场道闸服务费</t>
  </si>
  <si>
    <t>2025.9.15-2026.3.14灵响路道闸服务费</t>
  </si>
  <si>
    <t>福州市土地房屋开发总公司</t>
  </si>
  <si>
    <t>卧湖路54号地块运动场地租金费用（2025.8.25-2026.2.24）</t>
  </si>
  <si>
    <t>福州市土开商业运营管理有限公司</t>
  </si>
  <si>
    <t>超出部分的80%</t>
  </si>
  <si>
    <t>遮阳篷安装费用</t>
  </si>
  <si>
    <t>丝绸厂地块运动场地费用（2025.8.15-2025.10.14）</t>
  </si>
  <si>
    <t>丝绸厂地块停车场费用（2025.8.15-2025.10.14）</t>
  </si>
  <si>
    <t>吴海萍转入（160万贷款，支付丝绸厂费用、科拓费用）</t>
  </si>
  <si>
    <t>丝绸厂地块运动场地费用（2025.10.15-2025.12.14）</t>
  </si>
  <si>
    <t>丝绸厂地块停车场费用（2025.10.15-2025.12.14）</t>
  </si>
  <si>
    <t>2026.3.1-2026.3.31省五办、西湖、开元寺、屏山公园、兰尾停车场道闸服务费</t>
  </si>
  <si>
    <t>2026.3.15-2026.4.14灵响路道闸服务费</t>
  </si>
  <si>
    <t>2026.3.20-2026.4.19津泰路立体停车场道闸服务费</t>
  </si>
  <si>
    <t>西湖国际、开元寺、屏山公园、兰尾景居、西洪路口省政五办地停车场，灵响路、津泰路技术服务费（2026.1.1-2026.3.31）</t>
  </si>
  <si>
    <t>支付2026年5月公积金</t>
  </si>
  <si>
    <t>王晓华转入（160万贷款，支付工资）</t>
  </si>
  <si>
    <t>王晓华转入（易佰兴员工4月工资16599.86元、5月社医保费用3244.38元）</t>
  </si>
  <si>
    <t>代发工资2026年4月工资</t>
  </si>
  <si>
    <t>吴海萍转入（160万贷款，支付丝绸厂工程款）</t>
  </si>
  <si>
    <t>博烨借款转入（用于支付博烨体育工程款）</t>
  </si>
  <si>
    <t>企业职工基本养老保险费 20260501-20260531   9682.56       失业保险费            20260501-20260531   403.52        工伤保险费            20260501-20260531   281.52        基本医疗保险费        20260501-20260531   4346.4        生育保险费            20260501-20260531   304.24</t>
  </si>
  <si>
    <t>哎呦飞金包银租金2026.3.29-2026.4.28</t>
  </si>
  <si>
    <t>哎呦飞金包银租金2025.3.1-2026.3.28营业分成1%</t>
  </si>
  <si>
    <t>哎呦飞金包银（2026.3.1-2026.4.1）电费1142.4元、水费6.3元</t>
  </si>
  <si>
    <t>哎呦飞金包银租金2026.4.29-2026.5.28</t>
  </si>
  <si>
    <t>哎呦飞金包银租金2025.3.29-2026.4.28营业分成1%</t>
  </si>
  <si>
    <t>哎呦飞金包银（2026.4.1-2026.5.1）电费1603.35元、水费4.2元</t>
  </si>
  <si>
    <t>2026.4.20-2026.5.19区政府立体停车场道闸服务费</t>
  </si>
  <si>
    <t>2026.4.15-2026.5.14灵响路道闸服务费</t>
  </si>
  <si>
    <t>博烨借款转入（用于支付王庄项目建设款）</t>
  </si>
  <si>
    <t>基本户转入私户（支付丝绸厂设备费用）</t>
  </si>
  <si>
    <t>收2026.4.1-2026.4.30省五办、西湖、开元寺、屏山公园、兰尾停车场道闸服务费</t>
  </si>
  <si>
    <t>支付2026年6月公积金</t>
  </si>
  <si>
    <t>王晓华转入（易佰兴员工5月工资16501.01元、6月社医保费用3244.38元）</t>
  </si>
  <si>
    <t>代发工资2026年5月工资</t>
  </si>
  <si>
    <t>借款转入（用于支付丝绸厂遮阳篷安装费用）</t>
  </si>
  <si>
    <t>招商银行转入基本户</t>
  </si>
  <si>
    <t>企业职工基本养老保险费 20260601-20260630   9682.56       失业保险费            20260601-20260630   403.52        工伤保险费            20260601-20260630   281.52        基本医疗保险费        20260601-20260630   4346.4        生育保险费            20260601-20260630   304.24</t>
  </si>
  <si>
    <t>吴家华</t>
  </si>
  <si>
    <t>钟翔</t>
  </si>
  <si>
    <t>谢海亮</t>
  </si>
  <si>
    <t>谢海亮转入王晓华账户转入艾泊烨基本</t>
  </si>
  <si>
    <r>
      <rPr>
        <sz val="10"/>
        <color rgb="FF000000"/>
        <rFont val="宋体"/>
        <charset val="134"/>
      </rPr>
      <t>利率</t>
    </r>
    <r>
      <rPr>
        <sz val="10"/>
        <color rgb="FF000000"/>
        <rFont val="Times New Roman"/>
        <charset val="134"/>
      </rPr>
      <t>0.5%</t>
    </r>
  </si>
  <si>
    <t>王晓华个人转入</t>
  </si>
  <si>
    <r>
      <rPr>
        <sz val="10"/>
        <color rgb="FF000000"/>
        <rFont val="宋体"/>
        <charset val="134"/>
      </rPr>
      <t>利率</t>
    </r>
    <r>
      <rPr>
        <sz val="10"/>
        <color rgb="FF000000"/>
        <rFont val="Times New Roman"/>
        <charset val="134"/>
      </rPr>
      <t>0.8%</t>
    </r>
  </si>
  <si>
    <t>丝绸厂地块运动场地费用（2025.12.15-2026.1.14）</t>
  </si>
  <si>
    <t>丝绸厂地块停车场费用（2025.12.15-2026.1.14）</t>
  </si>
  <si>
    <t>增值税20260401-20260630</t>
  </si>
  <si>
    <t>城市维护建设税220260401-20260630</t>
  </si>
  <si>
    <t>20260401-20260430印花税</t>
  </si>
  <si>
    <t>收元帅路运动场地服务费（2026.3.29-2026.4.28）</t>
  </si>
  <si>
    <t>王晓华（谢海亮）</t>
  </si>
  <si>
    <t>利率0.5%</t>
  </si>
  <si>
    <t>福州市鼓楼区文化旅游投资发展有限公司</t>
  </si>
  <si>
    <t>八一体工队项目合作意向金</t>
  </si>
  <si>
    <t>收元帅路运动场地服务费（2026.4.29-2026.5.28）</t>
  </si>
  <si>
    <t>收元帅路（2026.4.1-2026.5.1）运动场地电费5355元、水费35元</t>
  </si>
  <si>
    <t>私户转入基本户</t>
  </si>
  <si>
    <t>归还博烨体育借款</t>
  </si>
  <si>
    <t>代发工资2026年6月工资</t>
  </si>
  <si>
    <t>哎呦飞金包银租金2026.5.29-2026.6.28</t>
  </si>
  <si>
    <t>哎呦飞金包银租金2025.4.29-2026.5.28营业分成1%</t>
  </si>
  <si>
    <t>哎呦飞金包银（2026.5.1-2026.6.1）电费1260元、水费1.4元</t>
  </si>
  <si>
    <t>对公户转入农商银行一般户（贷款本金、利息）</t>
  </si>
  <si>
    <t>企业职工基本养老保险费 20260701-20260731   9682.56       失业保险费            20260701-20260731   403.52        工伤保险费            20260701-20260731   281.52        基本医疗保险费        20260701-20260731  4463.2       生育保险费            20260701-20260731   312.4</t>
  </si>
  <si>
    <t>收元帅路运动场地服务费（2026.5.29-2026.6.28）</t>
  </si>
  <si>
    <t>收元帅路（2026.5.1-2026.6.1）运动场地电费17356.5元、水费35元</t>
  </si>
  <si>
    <t>基本户转入私户（支付丝绸厂电力承包工程第二笔款）</t>
  </si>
  <si>
    <r>
      <rPr>
        <sz val="10"/>
        <color rgb="FF000000"/>
        <rFont val="宋体"/>
        <charset val="134"/>
      </rPr>
      <t>利率1</t>
    </r>
    <r>
      <rPr>
        <sz val="10"/>
        <color rgb="FF000000"/>
        <rFont val="Times New Roman"/>
        <charset val="134"/>
      </rPr>
      <t>%</t>
    </r>
  </si>
  <si>
    <t>零星工程工程款</t>
  </si>
  <si>
    <t>福州福报工程管理服务有限公司</t>
  </si>
  <si>
    <t>王庄项目房屋安全性评估和建筑消防设施检测费预付款</t>
  </si>
  <si>
    <t>西湖国际、开元寺、屏山公园、兰尾景居、西洪路口省政五办地停车场，灵响路、津泰路技术服务费（2026.4.1-2026.4.30）</t>
  </si>
  <si>
    <t>卧湖路54号地块运动场地租金费用(2026.2.25-2026.4.24)</t>
  </si>
  <si>
    <t>企业电子银行服务费（网银年费）</t>
  </si>
  <si>
    <t>王庄项目采购电缆费用</t>
  </si>
  <si>
    <t>支付2026年8月公积金</t>
  </si>
  <si>
    <t>私户转入基本户（易佰兴7月工资及8月月社医保费用）</t>
  </si>
  <si>
    <t>谢海亮股东借款转入艾泊烨基本</t>
  </si>
  <si>
    <t>代发工资2026年7月工资</t>
  </si>
  <si>
    <t>2026.5.20-2026.7.19区政府立体停车场道闸服务费</t>
  </si>
  <si>
    <t>2026.5.15-2026.7.14灵响路道闸服务费</t>
  </si>
  <si>
    <t>收2026.5.1-2026.6.30省五办、西湖、开元寺、屏山公园、兰尾停车场道闸服务费</t>
  </si>
  <si>
    <t>基本户转入私户（支付丝绸厂电力承包工程第三笔款）</t>
  </si>
  <si>
    <t>高烨</t>
  </si>
  <si>
    <t>王庄项目房屋安全性评估和建筑消防设施检测费尾款</t>
  </si>
  <si>
    <t>TIPS归集专户</t>
  </si>
  <si>
    <t>企业职工基本养老保险费 20260801-20260831   9723.12       失业保险费            20260801-20260831   405.2       工伤保险费            20260801-20260831   290.08        基本医疗保险费        20260801-20260831   4463.2       生育保险费            20260801-20260831   312.4</t>
  </si>
  <si>
    <t>西湖国际、开元寺、屏山公园、兰尾景居、西洪路口省政五办地停车场，灵响路、津泰路技术服务费（2026.5.1-2026.5.31）</t>
  </si>
  <si>
    <t>博烨借款转入</t>
  </si>
  <si>
    <t>西湖国际、开元寺、屏山公园、兰尾景居、西洪路口省政五办地停车场，灵响路、津泰路技术服务费（2026.6.1-2026.6.30）</t>
  </si>
  <si>
    <t>收元帅路运动场地服务费（2026.6.29-2026.7.28）</t>
  </si>
  <si>
    <t>丝绸厂地块运动场地费用（2026.1.15-2026.2.14）</t>
  </si>
  <si>
    <t>支付2026年9月公积金</t>
  </si>
  <si>
    <t>私户转入基本户（易佰兴8月工资及9月月社医保费用）</t>
  </si>
  <si>
    <t>代发工资2026年8月工资</t>
  </si>
  <si>
    <t>2026.7.20-2026.9.19区政府立体停车场道闸服务费</t>
  </si>
  <si>
    <t>2026.7.15-2026.9.14灵响路道闸服务费</t>
  </si>
  <si>
    <t>收2026.7.1-2026.8.31省五办、西湖、开元寺、屏山公园、兰尾停车场道闸服务费</t>
  </si>
  <si>
    <t>基本户转入私户（电房电力承包工程款第四笔款及增补款项）</t>
  </si>
  <si>
    <t>企业职工基本养老保险费 20260901-20260930   10652.88       失业保险费            20260901-20260930   443.96       工伤保险费            20260901-20260930   319.84        基本医疗保险费        20260901-20260930   4463.2       生育保险费            20260901-20260930   312.4</t>
  </si>
  <si>
    <t>丝绸厂地块运动场地费用（2026.2.15-2026.4.14）</t>
  </si>
  <si>
    <t>一般户转入基本户</t>
  </si>
  <si>
    <t>西湖国际、开元寺、屏山公园、兰尾景居、西洪路口省政五办地停车场，灵响路、津泰路技术服务费（2026.7.1-2026.8.31）</t>
  </si>
  <si>
    <r>
      <rPr>
        <u val="singleAccounting"/>
        <sz val="16"/>
        <color theme="0"/>
        <rFont val="汉仪粗宋简"/>
        <charset val="134"/>
      </rPr>
      <t>银行日记账--</t>
    </r>
    <r>
      <rPr>
        <sz val="16"/>
        <color theme="0"/>
        <rFont val="汉仪粗宋简"/>
        <charset val="134"/>
      </rPr>
      <t>招商银行（一般户）</t>
    </r>
  </si>
  <si>
    <t>招商银行福州南台支行</t>
  </si>
  <si>
    <t>网上企业银行-网上企业银行服务费</t>
  </si>
  <si>
    <t>转入艾泊烨农商银行一般户（还利息）</t>
  </si>
  <si>
    <t>转入艾泊烨基本户</t>
  </si>
  <si>
    <r>
      <rPr>
        <u val="singleAccounting"/>
        <sz val="16"/>
        <color theme="0"/>
        <rFont val="汉仪粗宋简"/>
        <charset val="134"/>
      </rPr>
      <t>银行日记账--</t>
    </r>
    <r>
      <rPr>
        <sz val="16"/>
        <color theme="0"/>
        <rFont val="汉仪粗宋简"/>
        <charset val="134"/>
      </rPr>
      <t>农商</t>
    </r>
    <r>
      <rPr>
        <u val="singleAccounting"/>
        <sz val="16"/>
        <color theme="0"/>
        <rFont val="汉仪粗宋简"/>
        <charset val="134"/>
      </rPr>
      <t>银行（</t>
    </r>
    <r>
      <rPr>
        <sz val="16"/>
        <color theme="0"/>
        <rFont val="汉仪粗宋简"/>
        <charset val="134"/>
      </rPr>
      <t>一般户）</t>
    </r>
  </si>
  <si>
    <t>停车收入</t>
  </si>
  <si>
    <t>艾泊烨基本户转入一般户（还利息及本金）</t>
  </si>
  <si>
    <t>归还贷款本金</t>
  </si>
  <si>
    <t>艾泊烨基本户转入一般户（还利息）</t>
  </si>
  <si>
    <t>农商银行营业部</t>
  </si>
  <si>
    <t>收到发放贷款</t>
  </si>
  <si>
    <t>厦门市鑫创达科技有限公司</t>
  </si>
  <si>
    <t>预付账款</t>
  </si>
  <si>
    <t>200万贷款利息</t>
  </si>
  <si>
    <t>160万贷款利息</t>
  </si>
  <si>
    <t>基本户转入艾泊烨农商银行一般户（还利息）</t>
  </si>
  <si>
    <t>转入艾泊烨农商银行一般户（还本金及利息）</t>
  </si>
  <si>
    <t xml:space="preserve"> </t>
  </si>
  <si>
    <t>财付通支付科技有限公司</t>
  </si>
  <si>
    <t>微信支付认证</t>
  </si>
  <si>
    <t>鼓西派出所停车场收入（2026.8.22）</t>
  </si>
  <si>
    <t>鼓西派出所停车场收入（2026.8.23）</t>
  </si>
  <si>
    <t>鼓西派出所停车场收入（2026.8.24）</t>
  </si>
  <si>
    <t>鼓西派出所停车场收入（2026.8.25）</t>
  </si>
  <si>
    <t>鼓西派出所停车场收入（2026.8.26）</t>
  </si>
  <si>
    <t>鼓西派出所停车场收入（2026.8.27）</t>
  </si>
  <si>
    <t>鼓西派出所停车场收入（2026.8.28）</t>
  </si>
  <si>
    <t>鼓西派出所停车场收入（2026.8.29）</t>
  </si>
  <si>
    <t>鼓西派出所停车场收入（2026.8.30）</t>
  </si>
  <si>
    <t>鼓西派出所停车场收入（2026.8.31）</t>
  </si>
  <si>
    <t>鼓西派出所停车场收入（2026.9.1）</t>
  </si>
  <si>
    <t>鼓西派出所停车场收入（2026.9.2）</t>
  </si>
  <si>
    <t>鼓西派出所停车场收入（2026.9.3）</t>
  </si>
  <si>
    <t>鼓西派出所停车场收入（2026.9.4）</t>
  </si>
  <si>
    <t>鼓西派出所停车场收入（2026.9.5）</t>
  </si>
  <si>
    <t>鼓西派出所停车场收入（2026.9.6）</t>
  </si>
  <si>
    <t>鼓西派出所停车场收入（2026.9.7）</t>
  </si>
  <si>
    <t>鼓西派出所停车场收入（2026.9.8）</t>
  </si>
  <si>
    <t>鼓西派出所停车场收入（2026.9.9）</t>
  </si>
  <si>
    <t>鼓西派出所停车场收入（2026.9.10）</t>
  </si>
  <si>
    <t>鼓西派出所停车场收入（2026.9.11）</t>
  </si>
  <si>
    <t>鼓西派出所停车场收入（2026.9.12）</t>
  </si>
  <si>
    <t>鼓西派出所停车场收入（2026.9.13）</t>
  </si>
  <si>
    <t>鼓西派出所停车场收入（2026.9.14）</t>
  </si>
  <si>
    <t>鼓西派出所停车场收入（2026.9.15）</t>
  </si>
  <si>
    <t>鼓西派出所停车场收入（2026.9.16）</t>
  </si>
  <si>
    <t>鼓西派出所停车场收入（2026.9.17）</t>
  </si>
  <si>
    <t>鼓西派出所停车场收入（2026.9.18）</t>
  </si>
  <si>
    <t>鼓西派出所停车场收入（2026.9.19）</t>
  </si>
  <si>
    <t>鼓西派出所停车场收入（2026.9.20）</t>
  </si>
  <si>
    <t>鼓西派出所停车场收入（2026.9.21）</t>
  </si>
  <si>
    <t>鼓西派出所停车场收入（2026.9.22）</t>
  </si>
  <si>
    <t>鼓西派出所停车场收入（2026.9.23）</t>
  </si>
  <si>
    <t>鼓西派出所停车场收入（2026.9.24）</t>
  </si>
  <si>
    <t>鼓西派出所停车场收入（2026.9.25）</t>
  </si>
  <si>
    <t>鼓西派出所停车场收入（2026.9.26）</t>
  </si>
  <si>
    <t>鼓西派出所停车场收入（2026.9.27）</t>
  </si>
  <si>
    <t>鼓西派出所停车场收入（2026.9.28）</t>
  </si>
  <si>
    <t>鼓西派出所停车场收入（2026.9.29）</t>
  </si>
  <si>
    <t>鼓西派出所停车场收入（2026.9.30）</t>
  </si>
  <si>
    <t>鼓西派出所停车场收入（2026.10.1）</t>
  </si>
  <si>
    <t>鼓西派出所停车场收入（2026.10.2）</t>
  </si>
  <si>
    <t>鼓西派出所停车场收入（2026.10.3）</t>
  </si>
  <si>
    <t>鼓西派出所停车场收入（2026.10.4）</t>
  </si>
  <si>
    <t>鼓西派出所停车场收入（2026.10.5）</t>
  </si>
  <si>
    <t>鼓西派出所停车场收入（2026.10.6）</t>
  </si>
  <si>
    <t>鼓西派出所停车场收入（2026.10.7）</t>
  </si>
  <si>
    <r>
      <rPr>
        <u val="singleAccounting"/>
        <sz val="16"/>
        <color theme="0"/>
        <rFont val="汉仪粗宋简"/>
        <charset val="134"/>
      </rPr>
      <t>银行日记账--</t>
    </r>
    <r>
      <rPr>
        <sz val="16"/>
        <color theme="0"/>
        <rFont val="汉仪粗宋简"/>
        <charset val="134"/>
      </rPr>
      <t>农商</t>
    </r>
    <r>
      <rPr>
        <u val="singleAccounting"/>
        <sz val="16"/>
        <color theme="0"/>
        <rFont val="汉仪粗宋简"/>
        <charset val="134"/>
      </rPr>
      <t>银行（</t>
    </r>
    <r>
      <rPr>
        <sz val="16"/>
        <color theme="0"/>
        <rFont val="汉仪粗宋简"/>
        <charset val="134"/>
      </rPr>
      <t>王晓华）</t>
    </r>
  </si>
  <si>
    <t>王雅玲</t>
  </si>
  <si>
    <t>卧湖路2026.1.9-2026.2.8租金</t>
  </si>
  <si>
    <r>
      <rPr>
        <sz val="10"/>
        <color rgb="FFFF0000"/>
        <rFont val="宋体"/>
        <charset val="134"/>
      </rPr>
      <t>福州市鼓楼区若小可烘焙店</t>
    </r>
    <r>
      <rPr>
        <sz val="10"/>
        <color rgb="FFFF0000"/>
        <rFont val="Times New Roman"/>
        <charset val="134"/>
      </rPr>
      <t>(</t>
    </r>
    <r>
      <rPr>
        <sz val="10"/>
        <color rgb="FFFF0000"/>
        <rFont val="宋体"/>
        <charset val="134"/>
      </rPr>
      <t>个体工商户</t>
    </r>
    <r>
      <rPr>
        <sz val="10"/>
        <color rgb="FFFF0000"/>
        <rFont val="Times New Roman"/>
        <charset val="134"/>
      </rPr>
      <t>)</t>
    </r>
  </si>
  <si>
    <t>2025.7.1-2025.8.1电费1473.5元、水费15.4元</t>
  </si>
  <si>
    <t>福州市鼓楼区若小可烘焙店(个体工商户)</t>
  </si>
  <si>
    <t>2025.7.1-2025.7.31营业收入75598.33*3%=2267.95</t>
  </si>
  <si>
    <t>2025.8.1-2025.9.1电费1243.15元</t>
  </si>
  <si>
    <t>12月停车月卡+灵响路1月卡收入14650元，转到农商银行</t>
  </si>
  <si>
    <t>12月停车月卡+灵响路1月卡收入，微信提现手续费</t>
  </si>
  <si>
    <t>支付银行贷款利息</t>
  </si>
  <si>
    <t>郑美蓉</t>
  </si>
  <si>
    <t>收郑美蓉社医保费用</t>
  </si>
  <si>
    <t>王晓东</t>
  </si>
  <si>
    <t>收王晓东社医保、公积金费用</t>
  </si>
  <si>
    <r>
      <rPr>
        <sz val="10"/>
        <color rgb="FFFF0000"/>
        <rFont val="Times New Roman"/>
        <charset val="134"/>
      </rPr>
      <t>2025.8.1-2025.8.31</t>
    </r>
    <r>
      <rPr>
        <sz val="10"/>
        <color rgb="FFFF0000"/>
        <rFont val="宋体"/>
        <charset val="134"/>
      </rPr>
      <t>营业收入</t>
    </r>
    <r>
      <rPr>
        <sz val="10"/>
        <color rgb="FFFF0000"/>
        <rFont val="Times New Roman"/>
        <charset val="134"/>
      </rPr>
      <t>57784.67*3%=1733.54</t>
    </r>
  </si>
  <si>
    <t>2025.8.1-2025.9.1电费3247.56元、水费18.9元</t>
  </si>
  <si>
    <r>
      <rPr>
        <sz val="8"/>
        <color rgb="FF000000"/>
        <rFont val="Times New Roman"/>
        <charset val="134"/>
      </rPr>
      <t>1</t>
    </r>
    <r>
      <rPr>
        <sz val="8"/>
        <color rgb="FF000000"/>
        <rFont val="宋体"/>
        <charset val="134"/>
      </rPr>
      <t>月</t>
    </r>
    <r>
      <rPr>
        <sz val="8"/>
        <color rgb="FF000000"/>
        <rFont val="Times New Roman"/>
        <charset val="134"/>
      </rPr>
      <t>28</t>
    </r>
    <r>
      <rPr>
        <sz val="8"/>
        <color rgb="FF000000"/>
        <rFont val="宋体"/>
        <charset val="134"/>
      </rPr>
      <t>日王晓华支出</t>
    </r>
    <r>
      <rPr>
        <sz val="8"/>
        <color rgb="FF000000"/>
        <rFont val="Times New Roman"/>
        <charset val="134"/>
      </rPr>
      <t>2</t>
    </r>
    <r>
      <rPr>
        <sz val="8"/>
        <color rgb="FF000000"/>
        <rFont val="宋体"/>
        <charset val="134"/>
      </rPr>
      <t>万</t>
    </r>
  </si>
  <si>
    <t>元帅路小木屋咖啡茶馆-押金</t>
  </si>
  <si>
    <t>元帅路小木屋咖啡茶馆-租金（2026.2.6-2026.3.5）</t>
  </si>
  <si>
    <t>卧湖路2026.2.9-2026.3.8租金</t>
  </si>
  <si>
    <t>吴海萍（古玩城）</t>
  </si>
  <si>
    <t>借款转入（用于支付归还贷款25万）</t>
  </si>
  <si>
    <t>私户转入艾泊烨基本户</t>
  </si>
  <si>
    <t>钟荣忠</t>
  </si>
  <si>
    <t>对公转入5500元代开发票扣除税点275元，剩余5225元退回</t>
  </si>
  <si>
    <t>退小肥猪冰浆押金</t>
  </si>
  <si>
    <t>2025.5.1-2025.6.1水费84元</t>
  </si>
  <si>
    <t>2025.8.1-2025.9.1电费538.79元</t>
  </si>
  <si>
    <t>2025.9.1-2025.10.1电费元6187.65元、水费18.9元</t>
  </si>
  <si>
    <t>2025.9.1-2025.9.30营收收入59629.33*3=1788.88</t>
  </si>
  <si>
    <t>归还155万贷款本金</t>
  </si>
  <si>
    <t>归还贷款</t>
  </si>
  <si>
    <r>
      <rPr>
        <sz val="8"/>
        <color rgb="FF000000"/>
        <rFont val="Times New Roman"/>
        <charset val="134"/>
      </rPr>
      <t>2</t>
    </r>
    <r>
      <rPr>
        <sz val="8"/>
        <color rgb="FF000000"/>
        <rFont val="宋体"/>
        <charset val="134"/>
      </rPr>
      <t>月</t>
    </r>
    <r>
      <rPr>
        <sz val="8"/>
        <color rgb="FF000000"/>
        <rFont val="Times New Roman"/>
        <charset val="134"/>
      </rPr>
      <t>18</t>
    </r>
    <r>
      <rPr>
        <sz val="8"/>
        <color rgb="FF000000"/>
        <rFont val="宋体"/>
        <charset val="134"/>
      </rPr>
      <t>日王晓华还款</t>
    </r>
    <r>
      <rPr>
        <sz val="8"/>
        <color rgb="FF000000"/>
        <rFont val="Times New Roman"/>
        <charset val="134"/>
      </rPr>
      <t>1.5</t>
    </r>
    <r>
      <rPr>
        <sz val="8"/>
        <color rgb="FF000000"/>
        <rFont val="宋体"/>
        <charset val="134"/>
      </rPr>
      <t>万</t>
    </r>
    <r>
      <rPr>
        <sz val="8"/>
        <color rgb="FF000000"/>
        <rFont val="Times New Roman"/>
        <charset val="134"/>
      </rPr>
      <t>2</t>
    </r>
    <r>
      <rPr>
        <sz val="8"/>
        <color rgb="FF000000"/>
        <rFont val="宋体"/>
        <charset val="134"/>
      </rPr>
      <t>月</t>
    </r>
    <r>
      <rPr>
        <sz val="8"/>
        <color rgb="FF000000"/>
        <rFont val="Times New Roman"/>
        <charset val="134"/>
      </rPr>
      <t>24</t>
    </r>
    <r>
      <rPr>
        <sz val="8"/>
        <color rgb="FF000000"/>
        <rFont val="宋体"/>
        <charset val="134"/>
      </rPr>
      <t>日王晓华还款</t>
    </r>
    <r>
      <rPr>
        <sz val="8"/>
        <color rgb="FF000000"/>
        <rFont val="Times New Roman"/>
        <charset val="134"/>
      </rPr>
      <t>0.5</t>
    </r>
    <r>
      <rPr>
        <sz val="8"/>
        <color rgb="FF000000"/>
        <rFont val="宋体"/>
        <charset val="134"/>
      </rPr>
      <t>万</t>
    </r>
  </si>
  <si>
    <t>小肥猪冰浆2025.12.16-2026.1.15月水电费706.57元</t>
  </si>
  <si>
    <t>谢依俤转入易佰兴工资、社医保费用</t>
  </si>
  <si>
    <t>柯彦麟</t>
  </si>
  <si>
    <t>元帅路停车场操作不当损坏客户车辆赔偿款</t>
  </si>
  <si>
    <t>易佰兴工资、社医保费用转入基本户</t>
  </si>
  <si>
    <t>2025.10.1-2025.11.1电费元3300.15元、水费13.3元</t>
  </si>
  <si>
    <t>2025.10.1-2025.10.31营收收入71671.33*3=2150.14</t>
  </si>
  <si>
    <t>卧湖路2026.3.9-2026.4.8租金</t>
  </si>
  <si>
    <t>1月月卡收入16787.5元-停车费10=16777.5元 微信提现</t>
  </si>
  <si>
    <t>微信提现</t>
  </si>
  <si>
    <t>1月月卡收入16787.5元-停车费10=16777.5元 微信提现手续费</t>
  </si>
  <si>
    <t>2025.11.1-2025.12.1电费元3334.8元、水费9.8元</t>
  </si>
  <si>
    <t>2025.11.1-2025.11.30营收收入57057.67*3=1711.73</t>
  </si>
  <si>
    <t>元帅路小木屋咖啡茶馆-租金（2026.3.6-2026.4.5）</t>
  </si>
  <si>
    <t>谢依俤转王晓华转入艾泊烨基本户（易佰兴员工2月工资15665.01元、社医保费用4599.99元）</t>
  </si>
  <si>
    <t>借款转入（转入2万元其中17000元转入艾泊烨1月工资，剩余3000元支付贷款利息）</t>
  </si>
  <si>
    <t>2月月卡收入15850元 ，微信提现</t>
  </si>
  <si>
    <t>2月月卡收入15850元 ，微信提现手续费</t>
  </si>
  <si>
    <t>卧湖路2026.4.9-2026.5.8租金</t>
  </si>
  <si>
    <t>元帅路小木屋咖啡茶馆-租金（2026.4.6-2026.5.5）</t>
  </si>
  <si>
    <t>2025.11.1-2025.11.30租金</t>
  </si>
  <si>
    <t>谢依俤转王晓华转入艾泊烨基本户（易佰兴员工3月工资16599.86元、4社医保费用3244.38元）</t>
  </si>
  <si>
    <t>2025.12.1-2025.12.31租金</t>
  </si>
  <si>
    <t>招待费（土开）</t>
  </si>
  <si>
    <t>丝绸厂水费</t>
  </si>
  <si>
    <t>电话费充值</t>
  </si>
  <si>
    <t>客户车辆维修1402元、租车费2414.3元、顺风车600元、茶叶280元、拖车费用2300元</t>
  </si>
  <si>
    <t>元帅路小木屋咖啡茶馆-租金（2026.5.6-2026.6.5）</t>
  </si>
  <si>
    <t>3月月卡收入14500元，微信提现手续费14.49元</t>
  </si>
  <si>
    <t>4月月卡收入12750元，微信提现手续费12.74元</t>
  </si>
  <si>
    <t>邹择凯</t>
  </si>
  <si>
    <t>王庄项目体能训练中心场地租赁履约保证金</t>
  </si>
  <si>
    <t>谢依俤转王晓华转入艾泊烨基本户（易佰兴员工4月工资16501.01元、5社医保费用3244.38元）</t>
  </si>
  <si>
    <t>谢依俤转王晓华转入艾泊烨基本户（易佰兴员工4月工资16501.01元、5社医保费用3244.38元）多转了98.85元</t>
  </si>
  <si>
    <t>2026.5.1-2026.5.31租金</t>
  </si>
  <si>
    <t>2026.4.1-2026.5.1电费4232.55元、水费17.5元</t>
  </si>
  <si>
    <t>元帅路小木屋咖啡茶馆-租金（2026.6.6-2026.7.5）</t>
  </si>
  <si>
    <t>邹学钦（谢海亮）</t>
  </si>
  <si>
    <t>邹学钦转入（160万贷款，支付丝绸厂工车库机械设备）</t>
  </si>
  <si>
    <t>谢海亮借款转入（支付丝绸厂工车库机械设备））</t>
  </si>
  <si>
    <t>归还谢海亮借款</t>
  </si>
  <si>
    <t>转入谢海亮账户，转给卓天赐车库机械设备首笔款</t>
  </si>
  <si>
    <t>农商银行限额</t>
  </si>
  <si>
    <t>基本户转入私户</t>
  </si>
  <si>
    <t>2025.12.1-2026.1.1电费元1916.25元、水费16.8元</t>
  </si>
  <si>
    <t>2025.12.1-2025.12.31营收收入69206.33*3%=2076.19</t>
  </si>
  <si>
    <t>2026.1.1-2026.1.31租金</t>
  </si>
  <si>
    <t>黄世煌</t>
  </si>
  <si>
    <t>2024.起始-2024.12.31电4777.43度，2912.6元</t>
  </si>
  <si>
    <t>（营业额4821.23-电费2912.6）*30%=572.59</t>
  </si>
  <si>
    <t>2025.1.1-2025.12.31电10661.52度，6629.72元</t>
  </si>
  <si>
    <t>(营业额10890.5元-电费6629.72元)*30%</t>
  </si>
  <si>
    <t>2026.1.1-2026.5.11电4482.14度，2991.96元</t>
  </si>
  <si>
    <t>(营业额4783.51元-电费2991.96元)*30%</t>
  </si>
  <si>
    <t>2024年起始-2026.5.11小程序电表读总和:19921.09元；实际电表读数:20340</t>
  </si>
  <si>
    <t>2025.1.24支付金额电费3659.65元</t>
  </si>
  <si>
    <t>2025.1.24支付金额30%营业收入649.8元</t>
  </si>
  <si>
    <t>2025.5.13支付金额电费1056.06元</t>
  </si>
  <si>
    <t>2025.5.13支付金额30%营业收入626.25元    收回差额9370.66元</t>
  </si>
  <si>
    <t>谢依俤转王晓华转入艾泊烨基本户（易佰兴员工5月工资16501.01元、6社医保费用3244.38元）</t>
  </si>
  <si>
    <t>谢海亮借款转入王晓华账户转艾泊烨基本户</t>
  </si>
  <si>
    <r>
      <rPr>
        <sz val="10"/>
        <color rgb="FF000000"/>
        <rFont val="宋体"/>
        <charset val="134"/>
      </rPr>
      <t>借款利息</t>
    </r>
    <r>
      <rPr>
        <sz val="10"/>
        <color rgb="FF000000"/>
        <rFont val="Times New Roman"/>
        <charset val="134"/>
      </rPr>
      <t>0.5%</t>
    </r>
  </si>
  <si>
    <t>5月月卡收入22750元，微信提现手续费22.73元</t>
  </si>
  <si>
    <t>转入王晓华建行账户，转给卓天赐车库机械设备第二笔款</t>
  </si>
  <si>
    <t>2026.6.1-2026.6.30租金</t>
  </si>
  <si>
    <t>2026.5.1-2026.6.1电费2968.35元、水费11.9元</t>
  </si>
  <si>
    <t>转王晓华农商银行（支付邱俊杰：王庄篮球馆装修款3万，木地板5万；应晓峰：电房电力承包工程款第一笔款6万。）</t>
  </si>
  <si>
    <t>邱俊杰</t>
  </si>
  <si>
    <t>支付邱俊杰篮球馆建设水电软包费用3万，建设木地板费用5万</t>
  </si>
  <si>
    <t>应晓峰</t>
  </si>
  <si>
    <t>支付应晓峰电房电力承包工程款第一笔款</t>
  </si>
  <si>
    <t>转王晓华农商银行（支付卓天赐：车库机械设备进度款）</t>
  </si>
  <si>
    <t>卓天赐</t>
  </si>
  <si>
    <t>支付卓天赐车库机械设备第二笔进度款</t>
  </si>
  <si>
    <t>元帅路小木屋咖啡茶馆-租金（2026.7.6-2026.8.5）</t>
  </si>
  <si>
    <t>洪瑛</t>
  </si>
  <si>
    <t>垃圾分类站2025.9.1-2025.12.1电费41.58元、水费13.3元</t>
  </si>
  <si>
    <t>收王晓东、邓静，社医保公积金费用</t>
  </si>
  <si>
    <t>收到徐洁借款转入</t>
  </si>
  <si>
    <t>谢依俤转王晓华转入艾泊烨基本户（易佰兴员工6月工资16755.62元、7社医保费用3244.38元）</t>
  </si>
  <si>
    <r>
      <rPr>
        <sz val="10"/>
        <rFont val="宋体"/>
        <charset val="134"/>
      </rPr>
      <t>福州市鼓楼区若小可烘焙店</t>
    </r>
    <r>
      <rPr>
        <sz val="10"/>
        <rFont val="Times New Roman"/>
        <charset val="134"/>
      </rPr>
      <t>(</t>
    </r>
    <r>
      <rPr>
        <sz val="10"/>
        <rFont val="宋体"/>
        <charset val="134"/>
      </rPr>
      <t>个体工商户</t>
    </r>
    <r>
      <rPr>
        <sz val="10"/>
        <rFont val="Times New Roman"/>
        <charset val="134"/>
      </rPr>
      <t>)</t>
    </r>
  </si>
  <si>
    <t>支付应晓峰电房电力承包工程款第二笔款</t>
  </si>
  <si>
    <t>6月月卡收入24650元，微信提现手续费14.64元</t>
  </si>
  <si>
    <t>苏州中体优建体育产业有限公司</t>
  </si>
  <si>
    <t>谢海亮垫付王庄篮球馆地板第二笔进度款</t>
  </si>
  <si>
    <r>
      <rPr>
        <sz val="10"/>
        <color theme="1"/>
        <rFont val="宋体"/>
        <charset val="134"/>
      </rPr>
      <t>福州市鼓楼区若小可烘焙店</t>
    </r>
    <r>
      <rPr>
        <sz val="10"/>
        <color theme="1"/>
        <rFont val="Times New Roman"/>
        <charset val="134"/>
      </rPr>
      <t>(</t>
    </r>
    <r>
      <rPr>
        <sz val="10"/>
        <color theme="1"/>
        <rFont val="宋体"/>
        <charset val="134"/>
      </rPr>
      <t>个体工商户</t>
    </r>
    <r>
      <rPr>
        <sz val="10"/>
        <color theme="1"/>
        <rFont val="Times New Roman"/>
        <charset val="134"/>
      </rPr>
      <t>)</t>
    </r>
  </si>
  <si>
    <t>2026.7.1-2026.7.31租金</t>
  </si>
  <si>
    <t>2026.6.1-2026.7.1电费2400元</t>
  </si>
  <si>
    <t>2026.6.1-2026.7.1电费1045.05元、水费16.1元</t>
  </si>
  <si>
    <t>2026.1.1-2026.2.1电费1922.55元、水费18.2元</t>
  </si>
  <si>
    <t>2026.1.1-2026.1.31营收收入52333.67*3%=2076.19</t>
  </si>
  <si>
    <t>2026.2.1-2026.2.28租金</t>
  </si>
  <si>
    <t>2026.2.6-2026.7.5电费1122.77元、水费119元</t>
  </si>
  <si>
    <t>2026.7.6-2026.8.5电费540.23元、水费14元</t>
  </si>
  <si>
    <t>2026.7.6-2026.8.5营业分成</t>
  </si>
  <si>
    <t>卧湖路押金抵扣：元帅路小木屋咖啡茶馆-租金（2026.8.6-2026.9.5）</t>
  </si>
  <si>
    <t>卧湖路押金，以押抵租</t>
  </si>
  <si>
    <t>谢依俤转王晓华转入艾泊烨基本户（易佰兴员工7月工资、8月社医保费用）</t>
  </si>
  <si>
    <t>支付应晓峰电房电力承包工程款第三笔款</t>
  </si>
  <si>
    <t>郭汉杰</t>
  </si>
  <si>
    <t>元帅路58号咖啡蛋糕店铺定金</t>
  </si>
  <si>
    <t>谢依俤转王晓华转入艾泊烨基本户（易佰兴员工8月工资、9月社医保费用）</t>
  </si>
  <si>
    <t>月卡收入20000.12元，微信提现手续费20元</t>
  </si>
  <si>
    <t>支付应晓峰电房电力承包工程款第四笔款及增补款项</t>
  </si>
  <si>
    <t>元帅路58号咖啡蛋糕店铺押二付一</t>
  </si>
  <si>
    <r>
      <rPr>
        <u val="singleAccounting"/>
        <sz val="16"/>
        <color theme="0"/>
        <rFont val="汉仪粗宋简"/>
        <charset val="134"/>
      </rPr>
      <t>银行日记账--</t>
    </r>
    <r>
      <rPr>
        <sz val="16"/>
        <color theme="0"/>
        <rFont val="汉仪粗宋简"/>
        <charset val="134"/>
      </rPr>
      <t>农商</t>
    </r>
    <r>
      <rPr>
        <u val="singleAccounting"/>
        <sz val="16"/>
        <color theme="0"/>
        <rFont val="汉仪粗宋简"/>
        <charset val="134"/>
      </rPr>
      <t>银行</t>
    </r>
  </si>
  <si>
    <t>收艾泊烨投资款</t>
  </si>
  <si>
    <t>丝绸厂遮阳篷安装费用</t>
  </si>
  <si>
    <t>王庄项目施工款第七笔</t>
  </si>
  <si>
    <t>王庄项目施工款第八笔</t>
  </si>
  <si>
    <t>王庄项目施工款第九笔</t>
  </si>
  <si>
    <t>福州仓山区寰宇体育有限公司</t>
  </si>
  <si>
    <t>王庄匹克球馆合作——合同履约保证金</t>
  </si>
  <si>
    <t>借款转入艾泊烨对公账户</t>
  </si>
  <si>
    <t>收万象会投资款</t>
  </si>
  <si>
    <t>福州留白体育科技有限公司</t>
  </si>
  <si>
    <t>收匹克球场地服务费（2026.6.15-2026.7.14）</t>
  </si>
  <si>
    <t>福州裕晟公共设施有限公司</t>
  </si>
  <si>
    <t>王庄项目支付空调款</t>
  </si>
  <si>
    <t>台江区传睿电脑店</t>
  </si>
  <si>
    <t>万泊烨麒霖篮球馆布线、监控、无线AP及音响系统安装调试费定金10000元第一笔</t>
  </si>
  <si>
    <t>福州市晋安区万泊烨麒霖文体有限公司</t>
  </si>
  <si>
    <t>场地履约保证金46776+3224+53224=103224（2026.5.1-2029.12.14）</t>
  </si>
  <si>
    <t>收羽毛球场地服务费（2026.6.16-2026.7.15）</t>
  </si>
  <si>
    <t>篮球馆内部隔墙费用40440.19元</t>
  </si>
  <si>
    <t>福州邦度品牌设计有限公司</t>
  </si>
  <si>
    <t>vi设计费用第一笔款</t>
  </si>
  <si>
    <t>王庄丝绸厂公共厕所建设费</t>
  </si>
  <si>
    <t>收艾泊烨往来款</t>
  </si>
  <si>
    <r>
      <rPr>
        <sz val="10"/>
        <color rgb="FFFF0000"/>
        <rFont val="Times New Roman"/>
        <charset val="134"/>
      </rPr>
      <t>2026</t>
    </r>
    <r>
      <rPr>
        <sz val="10"/>
        <color rgb="FFFF0000"/>
        <rFont val="宋体"/>
        <charset val="134"/>
      </rPr>
      <t>年</t>
    </r>
    <r>
      <rPr>
        <sz val="10"/>
        <color rgb="FFFF0000"/>
        <rFont val="Times New Roman"/>
        <charset val="134"/>
      </rPr>
      <t>6</t>
    </r>
    <r>
      <rPr>
        <sz val="10"/>
        <color rgb="FFFF0000"/>
        <rFont val="宋体"/>
        <charset val="134"/>
      </rPr>
      <t>月工资</t>
    </r>
  </si>
  <si>
    <r>
      <rPr>
        <sz val="10"/>
        <rFont val="宋体"/>
        <charset val="134"/>
      </rPr>
      <t>待报解预算收入</t>
    </r>
    <r>
      <rPr>
        <sz val="10"/>
        <color rgb="FF000000"/>
        <rFont val="Times New Roman"/>
        <charset val="134"/>
      </rPr>
      <t>(TIPS</t>
    </r>
    <r>
      <rPr>
        <sz val="10"/>
        <color rgb="FF000000"/>
        <rFont val="宋体"/>
        <charset val="134"/>
      </rPr>
      <t>税费</t>
    </r>
    <r>
      <rPr>
        <sz val="10"/>
        <color rgb="FF000000"/>
        <rFont val="Times New Roman"/>
        <charset val="134"/>
      </rPr>
      <t>)</t>
    </r>
  </si>
  <si>
    <t>企业职工基本养老保险费 20260701-20260731 970.32      
失业保险费            20260701-20260731  40.44    
工伤保险费            20260701-20260731  57.38  
基本医疗保险费        20260701-20260731  457.9 
生育保险费            20260701-20260731  32.05</t>
  </si>
  <si>
    <t>vi设计费用第二笔款</t>
  </si>
  <si>
    <t>收回艾泊烨往来款</t>
  </si>
  <si>
    <t>苏州凯美沃体育产业有限公司</t>
  </si>
  <si>
    <t>运动木地板彩漆涂装施工进度款</t>
  </si>
  <si>
    <t>成都睿晨铭悦科技有限公司</t>
  </si>
  <si>
    <t>LED屏幕定金</t>
  </si>
  <si>
    <t>闽侯县甘蔗余兰玻璃店</t>
  </si>
  <si>
    <t>电动玻璃门费用</t>
  </si>
  <si>
    <t>收羽毛球场地服务费（2026.7.16-2026.8.15）减免5天：51612-（51612*12/365*5）=43127.8</t>
  </si>
  <si>
    <t>万泊烨王庄增加零星工程工程款</t>
  </si>
  <si>
    <t>LED屏幕配系统，尾款</t>
  </si>
  <si>
    <t>揭阳市榕城区盛发不锈钢制品商行</t>
  </si>
  <si>
    <t>喷淋水箱预付款</t>
  </si>
  <si>
    <t>福州晋安区疯狂力量体育发展有限公司</t>
  </si>
  <si>
    <t>健身铁馆品牌授权及管理服务费（2026.7.1-2026.7.31）</t>
  </si>
  <si>
    <t>建表-2026.8.1电费</t>
  </si>
  <si>
    <t>潘选沐</t>
  </si>
  <si>
    <t>王庄篮球馆采购二手电脑</t>
  </si>
  <si>
    <t>2026年7月工资</t>
  </si>
  <si>
    <t>北京字跳网络技术有限公司</t>
  </si>
  <si>
    <t>抖音验证费</t>
  </si>
  <si>
    <t>黄杰</t>
  </si>
  <si>
    <t>接待用水、烟、水果42.6+455+33.6=531.2元</t>
  </si>
  <si>
    <t>电房空调安装费300元、打印费3元、纳米胶带52.96元</t>
  </si>
  <si>
    <t>台风天市内交通费</t>
  </si>
  <si>
    <t>公共厕所购买手机支架6个71.92元、标识牌43.63元、大号垃圾桶6个41.6元、地垫83.99元</t>
  </si>
  <si>
    <t>福建沃瑞尔勇士篮球俱乐部有限公司</t>
  </si>
  <si>
    <t>海峡银行杯 2026 年省直机关篮球赛报名费</t>
  </si>
  <si>
    <t>企业职工基本养老保险费 20260801-20260831 970.32      
失业保险费            20260801-20260831  40.44    
工伤保险费            20260801-20260831  59.53  
基本医疗保险费        20260801-20260831  457.9 
生育保险费            20260801-20260831  32.05</t>
  </si>
  <si>
    <t>博烨一般户（篮球馆）</t>
  </si>
  <si>
    <t>福州房事通置业有限公司</t>
  </si>
  <si>
    <t>羽毛球馆中介费</t>
  </si>
  <si>
    <t>晋安区永金消防器材经营部</t>
  </si>
  <si>
    <t>王庄项目场地消防设备费用</t>
  </si>
  <si>
    <r>
      <rPr>
        <sz val="10"/>
        <color indexed="8"/>
        <rFont val="宋体"/>
        <charset val="134"/>
      </rPr>
      <t>福建新意科技有限公司工会</t>
    </r>
    <r>
      <rPr>
        <sz val="10"/>
        <color rgb="FF000000"/>
        <rFont val="Times New Roman"/>
        <charset val="134"/>
      </rPr>
      <t xml:space="preserve">
</t>
    </r>
  </si>
  <si>
    <t>篮球馆半场（2026.8.14-2027.8.13）</t>
  </si>
  <si>
    <t>福建省福州市润楼体育产业发展有限公司福州市鼓楼区天泉路分公司</t>
  </si>
  <si>
    <t>福建省投资开发集团职工训练活动篮球场地服务费用（</t>
  </si>
  <si>
    <t>建表-2026.8.10水费</t>
  </si>
  <si>
    <t>2026.7.16-2026.7.31保洁薪资</t>
  </si>
  <si>
    <t>厕所使用开始-2026.7.31厕所物品采购</t>
  </si>
  <si>
    <t>收羽毛球场地服务费（2026.8.16-2026.9.15）</t>
  </si>
  <si>
    <t>收匹克球场地服务费（2026.7.15-2026.8.14）减免5天：48200*12/365*26）=41201.1</t>
  </si>
  <si>
    <t>建表-2026.8.10电费</t>
  </si>
  <si>
    <t>建表-2026.8.12水费</t>
  </si>
  <si>
    <t>建表-2026.8.1厕所水费</t>
  </si>
  <si>
    <t>畅林</t>
  </si>
  <si>
    <t>离职保安畅林8月工资</t>
  </si>
  <si>
    <t>太平财产保险有限公司福州中心支公司</t>
  </si>
  <si>
    <t>公众责任保险（2026.9.5-2027.9.4）</t>
  </si>
  <si>
    <t>谢燕</t>
  </si>
  <si>
    <t>2026年8月工资</t>
  </si>
  <si>
    <t>中国平安财产保险股份有限公司福州中心支公司</t>
  </si>
  <si>
    <t>公众责任保险（2026.9.9-2027.9.8）</t>
  </si>
  <si>
    <t>退回公众责任保险（2026.9.5-2027.9.4）</t>
  </si>
  <si>
    <t>厦门光莆电子股份有限公司</t>
  </si>
  <si>
    <t>王庄立体机械车库LED灯费用</t>
  </si>
  <si>
    <t>中国人寿保险股份有限公司福州分公司</t>
  </si>
  <si>
    <t>万泊烨王庄篮球馆场馆意外保险</t>
  </si>
  <si>
    <t>兰德兴</t>
  </si>
  <si>
    <t>垫付律协开幕仪式文建委餐费822.5
篮球馆、羽毛球馆、铁馆遮雨棚867(总价2600/3=867)。3家均摊</t>
  </si>
  <si>
    <t>麒霖羽毛球馆开业花篮194元
餐费(购买茶叶)1125元</t>
  </si>
  <si>
    <t>9.9日采购接待社区水果等47元
9.12购买设备费用
明细说明：
1. 3米高清线+无线鼠标用于监控显示器
2. 5米高清线用于会议投影电视使用
3.排插用于会议桌
（以上设备均用于二楼办公室使用）</t>
  </si>
  <si>
    <t>基本医疗保险费        20260901-20260931  457.9 
生育保险费            20260901-20260931  32.05</t>
  </si>
  <si>
    <t>收羽毛球场地服务费（2026.9.16-2026.10.15）第一笔</t>
  </si>
  <si>
    <t>收匹克球场地服务费（2026.7.15-2026.8.14）</t>
  </si>
  <si>
    <t>2026.8.10-2026.9.4电费</t>
  </si>
  <si>
    <t>2026.8.12-2026.9.4水费</t>
  </si>
  <si>
    <t>2026.8.1-2026.9.4厕所水费</t>
  </si>
  <si>
    <t>2026.8.1-2026.8.31保洁薪资</t>
  </si>
  <si>
    <t>2026.8.1-2026.8.31厕所物品采购</t>
  </si>
  <si>
    <t>福州新麦瑞商贸有限公司</t>
  </si>
  <si>
    <t>企业定制文化服57件</t>
  </si>
  <si>
    <t>采购场地长条椅子+培训用小篮筐2个</t>
  </si>
  <si>
    <t>健身铁馆品牌授权及管理服务费（2026.8.1-2026.8.31）</t>
  </si>
  <si>
    <t>2026.8.1-2026.9.4电费</t>
  </si>
  <si>
    <t>2026.8.10-2026.9.4厕所水费</t>
  </si>
  <si>
    <t>博烨一般户（羽毛球馆）</t>
  </si>
  <si>
    <t>福建新意科技有限公司工会羽毛球订场收入</t>
  </si>
  <si>
    <t>艾泊烨转入博烨对公账户</t>
  </si>
  <si>
    <t>福州金熙体育文化发展有限公司</t>
  </si>
  <si>
    <t>外请裁判、直播工作人员费用</t>
  </si>
  <si>
    <t>福州柒贰肆体育文化发展有限公司</t>
  </si>
  <si>
    <t>申请退还润楼体育900元订场费
润楼体育8月28号支付7200(8场全场场地费)，
至9月，已用7场，余1场</t>
  </si>
  <si>
    <t>兰陵王</t>
  </si>
  <si>
    <t>购买地毯</t>
  </si>
  <si>
    <t>陈梅</t>
  </si>
  <si>
    <t>备用金</t>
  </si>
  <si>
    <t>收羽毛球场地服务费（2026.9.16-2026.10.15）</t>
  </si>
  <si>
    <t>万泊烨麒霖篮球馆布线、监控、无线AP及音响系统安装调试费20000元第二笔</t>
  </si>
  <si>
    <t xml:space="preserve">企业职工基本养老保险费 20260901-20260930 970.32      
失业保险费            20260901-20260930  40.44    
工伤保险费            20260901-20260930  59.53  </t>
  </si>
  <si>
    <t>喷淋水箱尾款</t>
  </si>
  <si>
    <t>福州全壹贸易有限公司</t>
  </si>
  <si>
    <t>8.6-8.31售卖机30%分成1号机、2号机（3601.5+4496）*0.3=2429.25</t>
  </si>
  <si>
    <t>8.15-8.31售卖机30%分成3号机2194.5*0.3=658.35</t>
  </si>
  <si>
    <t>2026.9月售卖机1-3号8931*0.3=2679.3</t>
  </si>
  <si>
    <r>
      <rPr>
        <u val="singleAccounting"/>
        <sz val="16"/>
        <color theme="0"/>
        <rFont val="汉仪粗宋简"/>
        <charset val="134"/>
      </rPr>
      <t>银行日记账--私户</t>
    </r>
    <r>
      <rPr>
        <sz val="16"/>
        <color theme="0"/>
        <rFont val="汉仪粗宋简"/>
        <charset val="134"/>
      </rPr>
      <t>农商</t>
    </r>
    <r>
      <rPr>
        <u val="singleAccounting"/>
        <sz val="16"/>
        <color theme="0"/>
        <rFont val="汉仪粗宋简"/>
        <charset val="134"/>
      </rPr>
      <t>银行</t>
    </r>
  </si>
  <si>
    <t>竞彪篮球馆收入</t>
  </si>
  <si>
    <t>工资</t>
  </si>
  <si>
    <t>王政发</t>
  </si>
  <si>
    <t>王庄馆垃圾清运、采购地板、瓷砖及工人费用</t>
  </si>
  <si>
    <t>万泊烨王庄保洁费用：7月24日 2人一天 300元/人/天，合计600  7月25日 2人半天 200元/人/天，合计400  总合计：1000元</t>
  </si>
  <si>
    <t>曹鸿飞</t>
  </si>
  <si>
    <t>王庄馆建设电费</t>
  </si>
  <si>
    <t>汤界明</t>
  </si>
  <si>
    <t>汤总尾款</t>
  </si>
  <si>
    <t>王庄篮球馆led安装劳务费</t>
  </si>
  <si>
    <t>维修</t>
  </si>
  <si>
    <t>王庄篮球馆采购配件等费用</t>
  </si>
  <si>
    <t xml:space="preserve">王庄篮球馆购买安装led铁链120元；                           王庄篮球馆购买安装led通讯部署器材（配电箱等）117元；      购买后面插销10元；                                      支付垃圾清运费200元。 </t>
  </si>
  <si>
    <t>维修费</t>
  </si>
  <si>
    <t>许广朝</t>
  </si>
  <si>
    <t>王庄篮球馆门禁安装栏杆费用</t>
  </si>
  <si>
    <t>公共厕所用品55.3元、打印费3元、空调外接水管4元</t>
  </si>
  <si>
    <t>代取现金（王庄开业红包）</t>
  </si>
  <si>
    <t>王建玉</t>
  </si>
  <si>
    <t>万泊烨篮球馆场地建设尾款</t>
  </si>
  <si>
    <t>购买前台顶部灯箱351
购买场地空调机保护罩1477.7
购买场地沙发5370
合计351+1477.7+5370=7198.7</t>
  </si>
  <si>
    <t>万泊烨篮球馆前台现金收入</t>
  </si>
  <si>
    <t>陈振春</t>
  </si>
  <si>
    <t>万泊烨王庄清单外新增零星工程施工进度款1</t>
  </si>
  <si>
    <t>万泊烨王庄清单外新增零星工程施工进度款2</t>
  </si>
  <si>
    <t>万泊烨王庄清单外新增零星工程施工进度款3</t>
  </si>
  <si>
    <t>赵永飞</t>
  </si>
  <si>
    <t>王庄万泊烨球馆3匹天花机安装</t>
  </si>
  <si>
    <t>竞彪王庄篮球训练中心</t>
  </si>
  <si>
    <t>篮球馆收入（2026.9.5）</t>
  </si>
  <si>
    <t>篮球馆收入（2026.9.6）</t>
  </si>
  <si>
    <t>高春雷</t>
  </si>
  <si>
    <t>竟彪王庄篮球培训费用（4603.46+11716.63）*0.3=4896.03</t>
  </si>
  <si>
    <t>篮球馆收入（2026.9.8）</t>
  </si>
  <si>
    <t>杨晓江</t>
  </si>
  <si>
    <t>竟彪王庄篮球培训费用3990*0.3=1197</t>
  </si>
  <si>
    <t>篮球馆收入（2026.9.11）</t>
  </si>
  <si>
    <t>篮球馆收入（2026.9.13）</t>
  </si>
  <si>
    <t>竟彪王庄篮球培训费用22493.63*0.3=6748.09</t>
  </si>
  <si>
    <t>王庄菜市场开业花篮600元、采购沙袋1100元</t>
  </si>
  <si>
    <t>1.上渡货拉拉两张桌子到万泊烨保安室52元
2.佰兴拉会议桌拆桌等家具到万泊烨，费用57元
3.采购垃圾桶等51.9(用于2楼办公室)
4.购买一桶水10元
5.购买烧水消毒专用金灶茶炉260
6.购买材料47+13+9.5+9.5=79
7.场地厕所环创等，89元
8.购买4件polo工作服，200元(谢总同意报销)</t>
  </si>
  <si>
    <t xml:space="preserve">1.购买两路排气扇灯控加装的继电器组，金额140元
2.8月14日货拉拉8个长板凳子+积木桌货架等到王庄馆运费74元
3.购买安装风幕机明线盒9.5元
4.8月17日购买人字梯2.5米价格220元
5.8月17日购买水性喷黑油漆用于场馆篮筐焊接及螺丝处喷黑，价格65元
约战裁判费费用150(我们收永泰公路550，另外一个队伍是我们自己的队伍市青创)
</t>
  </si>
  <si>
    <t>高满</t>
  </si>
  <si>
    <t>木地板尾款31000、木地板漆尾款3028</t>
  </si>
  <si>
    <t>篮球馆收入（2026.9.19）</t>
  </si>
  <si>
    <t>竟彪王庄篮球培训费用5103.21*0.3=1530.96</t>
  </si>
  <si>
    <t>篮球馆收入（2026.9.21）</t>
  </si>
  <si>
    <t>竟彪王庄篮球培训费用1795.5*0.3=538.65</t>
  </si>
  <si>
    <t>篮球馆收入（2026.9.26）</t>
  </si>
  <si>
    <t>竟彪王庄篮球培训费用5201.96*0.3=1560.59</t>
  </si>
  <si>
    <t>篮球馆收入（2026.10.7）</t>
  </si>
  <si>
    <t>篮球馆收入（2026.10.8）</t>
  </si>
  <si>
    <t>竟彪王庄篮球培训费用5215*0.3=1564.5</t>
  </si>
  <si>
    <t>二维码测试扫码</t>
  </si>
  <si>
    <t>银行日记账--农商银行一般户146（篮球馆）</t>
  </si>
  <si>
    <t>统一收单清算资金往来过渡户</t>
  </si>
  <si>
    <t>2026.8.7收入</t>
  </si>
  <si>
    <t>2026.8.8收入</t>
  </si>
  <si>
    <t>2026.8.9收入</t>
  </si>
  <si>
    <t>2026.8.10收入</t>
  </si>
  <si>
    <t>2026.8.11收入</t>
  </si>
  <si>
    <t>2026.8.12收入</t>
  </si>
  <si>
    <t>2026.8.13收入</t>
  </si>
  <si>
    <t>2026.8.14收入</t>
  </si>
  <si>
    <t>2026.8.15收入</t>
  </si>
  <si>
    <t>2026.8.16收入</t>
  </si>
  <si>
    <t>2026.8.17收入</t>
  </si>
  <si>
    <t>2026.8.18收入</t>
  </si>
  <si>
    <t>2026.8.19收入</t>
  </si>
  <si>
    <t>2026.8.20收入</t>
  </si>
  <si>
    <t>一般户（篮球馆）转入基本户</t>
  </si>
  <si>
    <t>2026.8.21收入</t>
  </si>
  <si>
    <t>2026.8.22收入</t>
  </si>
  <si>
    <t>2026.8.24收入</t>
  </si>
  <si>
    <t>2026.8.25收入</t>
  </si>
  <si>
    <t>2026.8.26收入</t>
  </si>
  <si>
    <t>2026.8.27收入</t>
  </si>
  <si>
    <t>2026.8.28收入</t>
  </si>
  <si>
    <t>2026.8.29收入</t>
  </si>
  <si>
    <t>2026.8.30收入</t>
  </si>
  <si>
    <t>2026.8.31收入</t>
  </si>
  <si>
    <t>2026.9.1收入</t>
  </si>
  <si>
    <t>2026.9.2收入</t>
  </si>
  <si>
    <t>2026.9.3收入</t>
  </si>
  <si>
    <t>2026.9.4收入</t>
  </si>
  <si>
    <t>2026.9.5收入</t>
  </si>
  <si>
    <t>2026.9.6收入</t>
  </si>
  <si>
    <t>2026.9.7收入</t>
  </si>
  <si>
    <t>2026.9.8收入</t>
  </si>
  <si>
    <t>2026.9.9收入</t>
  </si>
  <si>
    <t>2026.9.10收入</t>
  </si>
  <si>
    <t>2026.9.11收入</t>
  </si>
  <si>
    <t>江苏银行平台交易资金户（抖音）</t>
  </si>
  <si>
    <t>抖音收入</t>
  </si>
  <si>
    <t>2026.9.12收入</t>
  </si>
  <si>
    <t>2026.9.13收入</t>
  </si>
  <si>
    <t>2026.9.14收入</t>
  </si>
  <si>
    <t>2026.9.15收入</t>
  </si>
  <si>
    <t>2026.9.16收入</t>
  </si>
  <si>
    <t>2026.9.17收入</t>
  </si>
  <si>
    <t>2026.9.18收入</t>
  </si>
  <si>
    <t>2026.9.19收入</t>
  </si>
  <si>
    <t>2026.9.20收入</t>
  </si>
  <si>
    <t>2026.9.21收入</t>
  </si>
  <si>
    <t>2026.9.22收入</t>
  </si>
  <si>
    <t>2026.9.23收入</t>
  </si>
  <si>
    <t>2026.9.24收入</t>
  </si>
  <si>
    <t>2026.9.25收入</t>
  </si>
  <si>
    <t>2026.9.26收入</t>
  </si>
  <si>
    <t>2026.9.27收入</t>
  </si>
  <si>
    <t>2026.9.29收入</t>
  </si>
  <si>
    <t>2026.9.230收入</t>
  </si>
  <si>
    <t>2026.10.01收入</t>
  </si>
  <si>
    <t>2026.10.02收入</t>
  </si>
  <si>
    <t>2026.10.03收入</t>
  </si>
  <si>
    <t>2026.10.04收入</t>
  </si>
  <si>
    <t>2026.10.05收入</t>
  </si>
  <si>
    <t>2026.10.06收入</t>
  </si>
  <si>
    <t>2026.10.07收入</t>
  </si>
  <si>
    <t>2026.10.08收入</t>
  </si>
  <si>
    <t>2026.10.09收入</t>
  </si>
  <si>
    <t>2026.10.10收入</t>
  </si>
  <si>
    <t>2026.10.11收入</t>
  </si>
  <si>
    <t>银行日记账--农商银行一般户468（羽毛球馆）</t>
  </si>
  <si>
    <t>行吟信息科技(上海)有限公司</t>
  </si>
  <si>
    <t>小额对公打款,验证</t>
  </si>
  <si>
    <t xml:space="preserve">福建新意科技有限公司工会
</t>
  </si>
  <si>
    <t>场地费（羽毛球球馆）</t>
  </si>
  <si>
    <t>电子银行手续费收入短信银行</t>
  </si>
  <si>
    <t>短信服务费</t>
  </si>
  <si>
    <t>银行日记账--民生银行一般户751（健身房）</t>
  </si>
  <si>
    <t>手续费25%</t>
  </si>
  <si>
    <t>实际收入</t>
  </si>
  <si>
    <t>转入开户费</t>
  </si>
  <si>
    <t>中国民生银行股份有限公司福州晋安支行</t>
  </si>
  <si>
    <t>中国民生银行对公账户开户费</t>
  </si>
  <si>
    <t>中国民生银行企业网银USBKEY工本费</t>
  </si>
  <si>
    <t>福建星驿支付科技有限公司</t>
  </si>
  <si>
    <t>线下二维码收入</t>
  </si>
  <si>
    <t>银行日记账--一般户847（匹克球）</t>
  </si>
  <si>
    <t>泉州银行数字收单平台清分过渡户（D+1）</t>
  </si>
  <si>
    <t>线下订场收入</t>
  </si>
  <si>
    <t>徐洁招商</t>
  </si>
  <si>
    <r>
      <rPr>
        <u val="singleAccounting"/>
        <sz val="16"/>
        <color theme="0"/>
        <rFont val="汉仪粗宋简"/>
        <charset val="134"/>
      </rPr>
      <t>银行日记账--</t>
    </r>
    <r>
      <rPr>
        <sz val="16"/>
        <color theme="0"/>
        <rFont val="汉仪粗宋简"/>
        <charset val="134"/>
      </rPr>
      <t>民生</t>
    </r>
    <r>
      <rPr>
        <u val="singleAccounting"/>
        <sz val="16"/>
        <color theme="0"/>
        <rFont val="汉仪粗宋简"/>
        <charset val="134"/>
      </rPr>
      <t>银行</t>
    </r>
  </si>
  <si>
    <t>林志</t>
  </si>
  <si>
    <t>林志转入投资款</t>
  </si>
  <si>
    <r>
      <rPr>
        <sz val="10"/>
        <color rgb="FF000000"/>
        <rFont val="宋体"/>
        <charset val="134"/>
      </rPr>
      <t>待划转集中清算</t>
    </r>
    <r>
      <rPr>
        <sz val="10"/>
        <color rgb="FF000000"/>
        <rFont val="Times New Roman"/>
        <charset val="134"/>
      </rPr>
      <t>TIPS</t>
    </r>
    <r>
      <rPr>
        <sz val="10"/>
        <color rgb="FF000000"/>
        <rFont val="宋体"/>
        <charset val="134"/>
      </rPr>
      <t>资金款项户</t>
    </r>
  </si>
  <si>
    <t>谢依俤转入（支付易佰兴工资）</t>
  </si>
  <si>
    <t>易佰兴2026年1月工资</t>
  </si>
  <si>
    <t>易佰兴2025年年终奖</t>
  </si>
  <si>
    <t>工资及年终奖退回</t>
  </si>
  <si>
    <t>民生银行</t>
  </si>
  <si>
    <t>福建物吉网络科技有限公司</t>
  </si>
  <si>
    <t>地址服务费</t>
  </si>
  <si>
    <r>
      <rPr>
        <u val="singleAccounting"/>
        <sz val="16"/>
        <color theme="0"/>
        <rFont val="汉仪粗宋简"/>
        <charset val="134"/>
      </rPr>
      <t>银行日记账--谢依俤</t>
    </r>
    <r>
      <rPr>
        <sz val="16"/>
        <color theme="0"/>
        <rFont val="汉仪粗宋简"/>
        <charset val="134"/>
      </rPr>
      <t>农商银行</t>
    </r>
  </si>
  <si>
    <t>营业分成</t>
  </si>
  <si>
    <t>上海汇付支付备付金</t>
  </si>
  <si>
    <t>商户电费01-10 14:27:19至01-11 21:49:14(7笔)</t>
  </si>
  <si>
    <t>商户电费01-12 12:44:27至01-12 19:12:35(3笔)</t>
  </si>
  <si>
    <t>速停车结算中心</t>
  </si>
  <si>
    <t>临时停车费</t>
  </si>
  <si>
    <t>商户电费01-13 10:29:36至01-13 14:29:09(2笔)</t>
  </si>
  <si>
    <t>商户电费01-14 10:46:00至01-14 10:46:00(1笔)</t>
  </si>
  <si>
    <t>商户电费01-15 13:54:36至01-15 16:50:12(2笔)</t>
  </si>
  <si>
    <t>商户电费01-16 07:24:09至01-18 21:08:46(13笔)</t>
  </si>
  <si>
    <t>刘峰 AF8Q35,800尾号停车费</t>
  </si>
  <si>
    <t>B105（闽AQN833)停车费240，c101京东司机停车费300</t>
  </si>
  <si>
    <t>买100张全免的停车票费用</t>
  </si>
  <si>
    <t>天虹车主闽A31J6H</t>
  </si>
  <si>
    <t>天虹1月12日-2月11日10辆车停车费，200元/辆</t>
  </si>
  <si>
    <t>1.4日收临时停车管理费15元（卓龙转进来）</t>
  </si>
  <si>
    <t>闽A87V6U,闽A16S6C,闽ADZ8361三辆停车费</t>
  </si>
  <si>
    <t>年度缴费苏AD90232</t>
  </si>
  <si>
    <t>商户电费01-19 11:56:47至01-19 23:40:18(5笔)</t>
  </si>
  <si>
    <t>高增梁</t>
  </si>
  <si>
    <t>B316-318 季度缴租金物业（2026.1.1-2026.3.31）、12月水电费</t>
  </si>
  <si>
    <r>
      <rPr>
        <sz val="10"/>
        <color rgb="FF000000"/>
        <rFont val="Times New Roman"/>
        <charset val="134"/>
      </rPr>
      <t>2026</t>
    </r>
    <r>
      <rPr>
        <sz val="10"/>
        <color rgb="FF000000"/>
        <rFont val="宋体"/>
        <charset val="134"/>
      </rPr>
      <t>年</t>
    </r>
    <r>
      <rPr>
        <sz val="10"/>
        <color rgb="FF000000"/>
        <rFont val="Times New Roman"/>
        <charset val="134"/>
      </rPr>
      <t>1</t>
    </r>
    <r>
      <rPr>
        <sz val="10"/>
        <color rgb="FF000000"/>
        <rFont val="宋体"/>
        <charset val="134"/>
      </rPr>
      <t>、</t>
    </r>
    <r>
      <rPr>
        <sz val="10"/>
        <color rgb="FF000000"/>
        <rFont val="Times New Roman"/>
        <charset val="134"/>
      </rPr>
      <t>2</t>
    </r>
    <r>
      <rPr>
        <sz val="10"/>
        <color rgb="FF000000"/>
        <rFont val="宋体"/>
        <charset val="134"/>
      </rPr>
      <t>月份租金</t>
    </r>
    <r>
      <rPr>
        <sz val="10"/>
        <color rgb="FF000000"/>
        <rFont val="Times New Roman"/>
        <charset val="134"/>
      </rPr>
      <t>4481*2=8962</t>
    </r>
    <r>
      <rPr>
        <sz val="10"/>
        <color rgb="FF000000"/>
        <rFont val="宋体"/>
        <charset val="134"/>
      </rPr>
      <t>元、</t>
    </r>
    <r>
      <rPr>
        <sz val="10"/>
        <color rgb="FF000000"/>
        <rFont val="Times New Roman"/>
        <charset val="134"/>
      </rPr>
      <t>3</t>
    </r>
    <r>
      <rPr>
        <sz val="10"/>
        <color rgb="FF000000"/>
        <rFont val="宋体"/>
        <charset val="134"/>
      </rPr>
      <t>月租金</t>
    </r>
    <r>
      <rPr>
        <sz val="10"/>
        <color rgb="FF000000"/>
        <rFont val="Times New Roman"/>
        <charset val="134"/>
      </rPr>
      <t>4181</t>
    </r>
    <r>
      <rPr>
        <sz val="10"/>
        <color rgb="FF000000"/>
        <rFont val="宋体"/>
        <charset val="134"/>
      </rPr>
      <t>元，计：</t>
    </r>
    <r>
      <rPr>
        <sz val="10"/>
        <color rgb="FF000000"/>
        <rFont val="Times New Roman"/>
        <charset val="134"/>
      </rPr>
      <t>13143</t>
    </r>
    <r>
      <rPr>
        <sz val="10"/>
        <color rgb="FF000000"/>
        <rFont val="宋体"/>
        <charset val="134"/>
      </rPr>
      <t>元、</t>
    </r>
    <r>
      <rPr>
        <sz val="10"/>
        <color rgb="FF000000"/>
        <rFont val="Times New Roman"/>
        <charset val="134"/>
      </rPr>
      <t>1-3</t>
    </r>
    <r>
      <rPr>
        <sz val="10"/>
        <color rgb="FF000000"/>
        <rFont val="宋体"/>
        <charset val="134"/>
      </rPr>
      <t>月物业</t>
    </r>
    <r>
      <rPr>
        <sz val="10"/>
        <color rgb="FF000000"/>
        <rFont val="Times New Roman"/>
        <charset val="134"/>
      </rPr>
      <t>819*3=2457</t>
    </r>
    <r>
      <rPr>
        <sz val="10"/>
        <color rgb="FF000000"/>
        <rFont val="宋体"/>
        <charset val="134"/>
      </rPr>
      <t>元，合计：</t>
    </r>
    <r>
      <rPr>
        <sz val="10"/>
        <color rgb="FF000000"/>
        <rFont val="Times New Roman"/>
        <charset val="134"/>
      </rPr>
      <t>15600</t>
    </r>
    <r>
      <rPr>
        <sz val="10"/>
        <color rgb="FF000000"/>
        <rFont val="宋体"/>
        <charset val="134"/>
      </rPr>
      <t>元</t>
    </r>
  </si>
  <si>
    <t>B316-318 12月水电费</t>
  </si>
  <si>
    <t>蔡红凤</t>
  </si>
  <si>
    <t>B217 1月租金物业</t>
  </si>
  <si>
    <t>B217 12月水电费</t>
  </si>
  <si>
    <t>商户电费01-20 15:24:37至01-20 15:24:37(1笔)</t>
  </si>
  <si>
    <t>詹志敏</t>
  </si>
  <si>
    <t>B205 12月租金物业</t>
  </si>
  <si>
    <t>B205 1月租金物业</t>
  </si>
  <si>
    <r>
      <rPr>
        <sz val="10"/>
        <color rgb="FF000000"/>
        <rFont val="宋体"/>
        <charset val="134"/>
      </rPr>
      <t>欠</t>
    </r>
    <r>
      <rPr>
        <sz val="10"/>
        <color rgb="FF000000"/>
        <rFont val="Times New Roman"/>
        <charset val="134"/>
      </rPr>
      <t>3</t>
    </r>
    <r>
      <rPr>
        <sz val="10"/>
        <color rgb="FF000000"/>
        <rFont val="宋体"/>
        <charset val="134"/>
      </rPr>
      <t>个月，先交</t>
    </r>
    <r>
      <rPr>
        <sz val="10"/>
        <color rgb="FF000000"/>
        <rFont val="Times New Roman"/>
        <charset val="134"/>
      </rPr>
      <t>1</t>
    </r>
    <r>
      <rPr>
        <sz val="10"/>
        <color rgb="FF000000"/>
        <rFont val="宋体"/>
        <charset val="134"/>
      </rPr>
      <t>月及</t>
    </r>
    <r>
      <rPr>
        <sz val="10"/>
        <color rgb="FF000000"/>
        <rFont val="Times New Roman"/>
        <charset val="134"/>
      </rPr>
      <t>2025/12</t>
    </r>
    <r>
      <rPr>
        <sz val="10"/>
        <color rgb="FF000000"/>
        <rFont val="宋体"/>
        <charset val="134"/>
      </rPr>
      <t>月</t>
    </r>
    <r>
      <rPr>
        <sz val="10"/>
        <color rgb="FF000000"/>
        <rFont val="Times New Roman"/>
        <charset val="134"/>
      </rPr>
      <t>6400</t>
    </r>
    <r>
      <rPr>
        <sz val="10"/>
        <color rgb="FF000000"/>
        <rFont val="宋体"/>
        <charset val="134"/>
      </rPr>
      <t>元，还差</t>
    </r>
    <r>
      <rPr>
        <sz val="10"/>
        <color rgb="FF000000"/>
        <rFont val="Times New Roman"/>
        <charset val="134"/>
      </rPr>
      <t>2025/11</t>
    </r>
    <r>
      <rPr>
        <sz val="10"/>
        <color rgb="FF000000"/>
        <rFont val="宋体"/>
        <charset val="134"/>
      </rPr>
      <t>月</t>
    </r>
    <r>
      <rPr>
        <sz val="10"/>
        <color rgb="FF000000"/>
        <rFont val="Times New Roman"/>
        <charset val="134"/>
      </rPr>
      <t>3200</t>
    </r>
    <r>
      <rPr>
        <sz val="10"/>
        <color rgb="FF000000"/>
        <rFont val="宋体"/>
        <charset val="134"/>
      </rPr>
      <t>元未缴</t>
    </r>
  </si>
  <si>
    <t>刘北荣</t>
  </si>
  <si>
    <t>A102 1月租金物业</t>
  </si>
  <si>
    <t>A102 12月水电费</t>
  </si>
  <si>
    <t>福州创享空间装饰工程有限公司</t>
  </si>
  <si>
    <t>B107 2月租金物业（2026.1.10-2026.3.9）</t>
  </si>
  <si>
    <t>商户电费01-22 04:00:32至01-22 06:31:34(2笔)</t>
  </si>
  <si>
    <t>陈增谷</t>
  </si>
  <si>
    <t>B105-106 1月租金物业</t>
  </si>
  <si>
    <t>商户电费01-23 07:27:59至01-25 23:29:22(9笔)</t>
  </si>
  <si>
    <t>闽KD6211车牌2026.1.23-2.22月租停车费240元
闽A203H3车牌2026.1.25-2.24月租停车费300元</t>
  </si>
  <si>
    <t>闽A96L5W车牌2026.1.23-2.22月租停车费300元</t>
  </si>
  <si>
    <t>闽AP5X99车牌2026.1.20-2.19月租停车位240元</t>
  </si>
  <si>
    <t>福州安润福食品科技有限公司</t>
  </si>
  <si>
    <t>B310-313 1月租金物业</t>
  </si>
  <si>
    <t>B113 1月租金</t>
  </si>
  <si>
    <t>商户电费01-26 06:26:35至01-26 17:24:31(3笔)</t>
  </si>
  <si>
    <t>姚丽丽</t>
  </si>
  <si>
    <t>B204 12月水电费、开票税点179.04</t>
  </si>
  <si>
    <t>商户电电费01-27 08:07:55至01-27 14:48:50(4笔)</t>
  </si>
  <si>
    <t>商户电费01-28 08:37:23至01-28 11:10:06(3笔)</t>
  </si>
  <si>
    <t>刘锋</t>
  </si>
  <si>
    <t>B117-118 1月租金物业</t>
  </si>
  <si>
    <r>
      <rPr>
        <sz val="10"/>
        <color rgb="FF000000"/>
        <rFont val="Times New Roman"/>
        <charset val="134"/>
      </rPr>
      <t>2025</t>
    </r>
    <r>
      <rPr>
        <sz val="10"/>
        <color rgb="FF000000"/>
        <rFont val="宋体"/>
        <charset val="134"/>
      </rPr>
      <t>年</t>
    </r>
    <r>
      <rPr>
        <sz val="10"/>
        <color rgb="FF000000"/>
        <rFont val="Times New Roman"/>
        <charset val="134"/>
      </rPr>
      <t>12</t>
    </r>
    <r>
      <rPr>
        <sz val="10"/>
        <color rgb="FF000000"/>
        <rFont val="宋体"/>
        <charset val="134"/>
      </rPr>
      <t>月租金</t>
    </r>
    <r>
      <rPr>
        <sz val="10"/>
        <color rgb="FF000000"/>
        <rFont val="Times New Roman"/>
        <charset val="134"/>
      </rPr>
      <t>3248.44</t>
    </r>
    <r>
      <rPr>
        <sz val="10"/>
        <color rgb="FF000000"/>
        <rFont val="宋体"/>
        <charset val="134"/>
      </rPr>
      <t>元</t>
    </r>
    <r>
      <rPr>
        <sz val="10"/>
        <color rgb="FF000000"/>
        <rFont val="Times New Roman"/>
        <charset val="134"/>
      </rPr>
      <t>1</t>
    </r>
    <r>
      <rPr>
        <sz val="10"/>
        <color rgb="FF000000"/>
        <rFont val="宋体"/>
        <charset val="134"/>
      </rPr>
      <t>月</t>
    </r>
    <r>
      <rPr>
        <sz val="10"/>
        <color rgb="FF000000"/>
        <rFont val="Times New Roman"/>
        <charset val="134"/>
      </rPr>
      <t>30</t>
    </r>
    <r>
      <rPr>
        <sz val="10"/>
        <color rgb="FF000000"/>
        <rFont val="宋体"/>
        <charset val="134"/>
      </rPr>
      <t>日转农商银行，</t>
    </r>
    <r>
      <rPr>
        <sz val="10"/>
        <color rgb="FF000000"/>
        <rFont val="Times New Roman"/>
        <charset val="134"/>
      </rPr>
      <t>2026</t>
    </r>
    <r>
      <rPr>
        <sz val="10"/>
        <color rgb="FF000000"/>
        <rFont val="宋体"/>
        <charset val="134"/>
      </rPr>
      <t>年</t>
    </r>
    <r>
      <rPr>
        <sz val="10"/>
        <color rgb="FF000000"/>
        <rFont val="Times New Roman"/>
        <charset val="134"/>
      </rPr>
      <t>1</t>
    </r>
    <r>
      <rPr>
        <sz val="10"/>
        <color rgb="FF000000"/>
        <rFont val="宋体"/>
        <charset val="134"/>
      </rPr>
      <t>月租金</t>
    </r>
    <r>
      <rPr>
        <sz val="10"/>
        <color rgb="FF000000"/>
        <rFont val="Times New Roman"/>
        <charset val="134"/>
      </rPr>
      <t>3237.91</t>
    </r>
    <r>
      <rPr>
        <sz val="10"/>
        <color rgb="FF000000"/>
        <rFont val="宋体"/>
        <charset val="134"/>
      </rPr>
      <t>元分两笔汇入</t>
    </r>
  </si>
  <si>
    <t>B117-118 12月水电费</t>
  </si>
  <si>
    <t>福州顶昌盛鞋业有限公司（及厨房）</t>
  </si>
  <si>
    <t>C217-218 1月租金</t>
  </si>
  <si>
    <t>C217-218 12月水电费</t>
  </si>
  <si>
    <t>C311 1月租金</t>
  </si>
  <si>
    <t>C311 12月水电费</t>
  </si>
  <si>
    <t>商户电费01-29 11:12:54至01-29 18:43:35(2笔)</t>
  </si>
  <si>
    <t>B117-118 12月租金物业及11月水电费</t>
  </si>
  <si>
    <t>闽ADC3116车牌 2026.2.1-2.28 月租车停车费</t>
  </si>
  <si>
    <t>转账备注:鲁FBX051 临停收费30元</t>
  </si>
  <si>
    <t>转账备注:微信转账 临停收费10元</t>
  </si>
  <si>
    <t>闽A15B7S车牌 2026.2.1-2.28 月租车停车费</t>
  </si>
  <si>
    <t>福州顺丰速运有限公司</t>
  </si>
  <si>
    <t>B101-103、B114-115  2025年12月水费</t>
  </si>
  <si>
    <t>闽A73T1N车牌 2026.1.29-2.28月租车停车费</t>
  </si>
  <si>
    <t>停车券10元/张，购买10张</t>
  </si>
  <si>
    <t>B205 11月租金物业</t>
  </si>
  <si>
    <t>陈弘</t>
  </si>
  <si>
    <t>C201、C213-214 12月租金物业11月水电费</t>
  </si>
  <si>
    <t>福州市惠榕居建材贸易有限公司</t>
  </si>
  <si>
    <t>A201 电费（2025.3.1-2025.10.31）</t>
  </si>
  <si>
    <r>
      <rPr>
        <sz val="10"/>
        <color rgb="FFFF0000"/>
        <rFont val="宋体"/>
        <charset val="134"/>
      </rPr>
      <t>代收金额</t>
    </r>
    <r>
      <rPr>
        <sz val="10"/>
        <color rgb="FFFF0000"/>
        <rFont val="Times New Roman"/>
        <charset val="134"/>
      </rPr>
      <t>21279.77</t>
    </r>
  </si>
  <si>
    <t>01-30 13:55:25至02-01 16:27:39(11笔)</t>
  </si>
  <si>
    <t>中式快餐店（叶晓玲）</t>
  </si>
  <si>
    <t>A103、A106 2月租金</t>
  </si>
  <si>
    <t>A103、A106 2月租金物业费</t>
  </si>
  <si>
    <t>02-02 10:05:10至02-02 11:22:00(2笔)</t>
  </si>
  <si>
    <t>02-03 08:25:02至02-03 18:56:00(4笔)</t>
  </si>
  <si>
    <t>02-04 09:15:27至02-04 09:15:27(1笔)</t>
  </si>
  <si>
    <t>临时停车费（2026.1.31-2026.2.4）</t>
  </si>
  <si>
    <t>02-05 08:12:48至02-05 20:20:59(6笔)</t>
  </si>
  <si>
    <t>A103、A106 1月水费</t>
  </si>
  <si>
    <t>林其灿（福州浩顺国际货运代理有限公司）</t>
  </si>
  <si>
    <t>B116 2月租金物业费</t>
  </si>
  <si>
    <t>魏龙</t>
  </si>
  <si>
    <t>C215-216 2月租金物业及1月水费</t>
  </si>
  <si>
    <t>02-06 05:58:53至02-08 07:18:01(7笔)</t>
  </si>
  <si>
    <t>闽ADA8913车牌2026.2.1-2.28月租停车费240元</t>
  </si>
  <si>
    <t>C201小野家5元/张停车券40张200元</t>
  </si>
  <si>
    <t>闽C7756H车牌2026.2.1-2.28月租停车费240元</t>
  </si>
  <si>
    <t>闽ADK2176车牌2026.2.10-3.9月租停车费300元</t>
  </si>
  <si>
    <t>闽AY088J车牌2026.2.5-3.4月租停车费240元</t>
  </si>
  <si>
    <t>闽ADF8706车牌2026.2.5-3.4月租停车费240元</t>
  </si>
  <si>
    <t>林剑辉</t>
  </si>
  <si>
    <t>A201林剑辉2025.9-10月水费86.04元+2025.11月29.67元+2025.12月20.28元</t>
  </si>
  <si>
    <t>闽AF8Q35车牌2026.2.13-3.12月租停车费240元</t>
  </si>
  <si>
    <t>员工借款（备用金）</t>
  </si>
  <si>
    <t>办公室卫生间卷纸53.5、打印机送修快递费96.2</t>
  </si>
  <si>
    <t>电动车指引牌3张82.4元、拉环锁41.8、灭烟柱37.5、公司-连江往返加油费109、办公室饮用水50桶449、保安巡逻背心3件30</t>
  </si>
  <si>
    <t>C305寄清退公告函，福州-三明快递费12元、制作亚克力巡查点294元</t>
  </si>
  <si>
    <t>口罩1包</t>
  </si>
  <si>
    <t>玻璃胶1瓶10元、40W LED灯1个30元</t>
  </si>
  <si>
    <t>矿泉水1件39.8元、香片1包20元</t>
  </si>
  <si>
    <t>订书机、剪刀、抽纸40.5元、垃圾桶2个及清洁用品430元、17759081839充值100元、趋势文件寄上下杭.售电合同寄亿云28.4元</t>
  </si>
  <si>
    <t>临时停车费（2026.5.5-2026.5.8）</t>
  </si>
  <si>
    <t>陈夏妹（福建汇闽筑业建设工程有限公司）</t>
  </si>
  <si>
    <t>B308、B309 1月32.45元、2月27.38元</t>
  </si>
  <si>
    <t>02-09 13:14:26至02-09 18:09:17(3笔)</t>
  </si>
  <si>
    <t>刘宝梅（广东浩传管理服务有限公司）</t>
  </si>
  <si>
    <t>C202-204 1月水费</t>
  </si>
  <si>
    <t>万嘉便利店（杨朝辉）</t>
  </si>
  <si>
    <t>A101、A104 2月租金</t>
  </si>
  <si>
    <t>02-10 08:29:31至02-10 08:29:31(1笔)</t>
  </si>
  <si>
    <t>林东林(拓远（福建）勘测规划有限公司)</t>
  </si>
  <si>
    <t>A301 1月水费</t>
  </si>
  <si>
    <t>02-11 16:07:52至02-11 22:45:33(8笔)</t>
  </si>
  <si>
    <t>A101、A104 1月水费</t>
  </si>
  <si>
    <t>福州趋势创投有限公司</t>
  </si>
  <si>
    <t>转入趋势创投对公账户发易佰兴1月工资</t>
  </si>
  <si>
    <t>B217 2月房租、物业、1月水费</t>
  </si>
  <si>
    <t>周明国(福州味全餐饮管理有限公司)</t>
  </si>
  <si>
    <t>B208-210 2月租金物业及1月水费</t>
  </si>
  <si>
    <t>福州易佰兴信息科技有限公司</t>
  </si>
  <si>
    <t>转入易佰兴一般户（建行）（用于支付远西村租金）</t>
  </si>
  <si>
    <t>庄艳（李智）</t>
  </si>
  <si>
    <t>B110 季度缴租金（2026.2.15-5.14）</t>
  </si>
  <si>
    <t>A101、A104 3月租金物业费</t>
  </si>
  <si>
    <t>林雯（刘锋）</t>
  </si>
  <si>
    <t>B117、B118 2月租金物业及1月水费</t>
  </si>
  <si>
    <t>鲁GY0535 临时停车费</t>
  </si>
  <si>
    <t>购买100张（5元/张）限时停车券</t>
  </si>
  <si>
    <t>B117-118 闽AKE800 2.10-2.17期间的停车费</t>
  </si>
  <si>
    <t>天虹车辆 闽A31J6H 2.8-3.7期间的停车费</t>
  </si>
  <si>
    <t>顺丰 闽A203H3 2.25-3.24期间的停车费</t>
  </si>
  <si>
    <t>B214-215 闽A98M8D 2.9-3.8期间的停车费</t>
  </si>
  <si>
    <t>B107  1月水费</t>
  </si>
  <si>
    <t>02-13 08:27:06至02-14 21:13:18(7笔)</t>
  </si>
  <si>
    <t>02-17 06:35:49至02-17 15:52:32(3笔)</t>
  </si>
  <si>
    <t>02-18 08:06:27至02-18 08:06:27(1笔)</t>
  </si>
  <si>
    <t>02-19 17:45:19至02-19 17:45:19(1笔)</t>
  </si>
  <si>
    <t>02-20 22:39:13至02-22 10:59:32(2笔)</t>
  </si>
  <si>
    <t>临时停车费（2026.2.9-2026.2.22）</t>
  </si>
  <si>
    <t>味全 闽AP5X99 2.20-3.19期间的停车费</t>
  </si>
  <si>
    <t>D102极兔 闽A96L5W 2.23-3.22期间的停车费</t>
  </si>
  <si>
    <t>C311顶昌盛 闽A87V6U 2.22-3.21, 闽A16S6C 2.24-3.23,
 闽ADZ8361 2.24-3.23 期间的三部车停车费</t>
  </si>
  <si>
    <t>02-23 10:32:24至02-23 10:32:24(1笔)</t>
  </si>
  <si>
    <t>02-24 16:30:46至02-24 16:30:46(1笔)</t>
  </si>
  <si>
    <t>曾鑫</t>
  </si>
  <si>
    <t>B214-215 2月租金物业</t>
  </si>
  <si>
    <t>B204 2月租金物业及1月水费</t>
  </si>
  <si>
    <t>02-25 08:01:34至02-25 09:44:23(2笔)</t>
  </si>
  <si>
    <t>B105、B106 2月租金物业</t>
  </si>
  <si>
    <t>02-26 08:47:34至02-26 20:12:40(3笔)</t>
  </si>
  <si>
    <t>收回转入趋势创投对公账户发易佰兴1月工资</t>
  </si>
  <si>
    <t>转入王晓华账户转入艾泊烨对公账户代发工资、年终奖 18030.67元</t>
  </si>
  <si>
    <t>转入王晓华账户转入艾泊烨对公账户社医保费用4200.33元</t>
  </si>
  <si>
    <t>2026年1月工资</t>
  </si>
  <si>
    <t>2025年年终奖</t>
  </si>
  <si>
    <t>王琼(福州安润福食品科技有限公司)</t>
  </si>
  <si>
    <t>B310-313、B113 2月租金物业</t>
  </si>
  <si>
    <t>B316-318 1月水费</t>
  </si>
  <si>
    <t>朱江</t>
  </si>
  <si>
    <t>驴充充 电费</t>
  </si>
  <si>
    <t>刘百红（刘北荣）</t>
  </si>
  <si>
    <t>A102 2月租金物业及1月水费</t>
  </si>
  <si>
    <t>闽AQN833 2.24-3.23期间的停车费</t>
  </si>
  <si>
    <t>闽KD6211 2.24-3.23期间的停车费</t>
  </si>
  <si>
    <t>闽A53W8C 2.25-3.24期间的停车费</t>
  </si>
  <si>
    <t>闽ADC3116 3.1-3.31期间的停车费</t>
  </si>
  <si>
    <t>B101-103、B114-115 1月份水费</t>
  </si>
  <si>
    <t>苏M2N069 2.27-3.28期间的停车费</t>
  </si>
  <si>
    <t>闽A15B7S 3.1-3.31期间的停车费</t>
  </si>
  <si>
    <t>闽A73T1N 3.1-3.31期间的停车费</t>
  </si>
  <si>
    <t xml:space="preserve">                                                                                                                                                                                                                                                                                                                                                                                                                                             </t>
  </si>
  <si>
    <t>福州永洋兴贸易有限公司</t>
  </si>
  <si>
    <t>B120、B206-207 1月份水费</t>
  </si>
  <si>
    <t>闽ADA8913 3.1-3.31期间的停车费</t>
  </si>
  <si>
    <t>02-27 07:48:03至03-01 18:18:20(12笔)</t>
  </si>
  <si>
    <t>03-02 15:28:28至03-02 17:24:25(2笔)</t>
  </si>
  <si>
    <t>临时停车费（2026.2.23-2026.3.2）</t>
  </si>
  <si>
    <t>03-03 07:05:32至03-03 20:00:40(4笔)</t>
  </si>
  <si>
    <t>许良针</t>
  </si>
  <si>
    <t>京东佣金2026.2.20-5.19</t>
  </si>
  <si>
    <t>03-04 08:24:38至03-04 09:56:22(2笔)</t>
  </si>
  <si>
    <t>许丽花（福州顶昌盛鞋业有限公司（及厨房））</t>
  </si>
  <si>
    <t>C217-218  2月租金及1月水费</t>
  </si>
  <si>
    <t>C311 2月租金及1月水费</t>
  </si>
  <si>
    <t>03-05 05:19:55至03-05 10:44:38(2笔)</t>
  </si>
  <si>
    <t>03-06 17:31:59至03-08 17:44:28(8笔)</t>
  </si>
  <si>
    <t>闽C7756H  3.1-3.31期间的停车费</t>
  </si>
  <si>
    <t>闽AY088J  3.5-4.4期间的停车费</t>
  </si>
  <si>
    <t>闽ADF7806  3.5-4.4期间的停车费</t>
  </si>
  <si>
    <t>A201 3月份租金</t>
  </si>
  <si>
    <t>闽C600Q0  3.4-4.3期间的停车费</t>
  </si>
  <si>
    <t>B116 3月租金及物业费</t>
  </si>
  <si>
    <t>C215-216 3月租金物业及2月水费</t>
  </si>
  <si>
    <t>A103、A106 3月租金及物业费</t>
  </si>
  <si>
    <t>B308-309 2月水费</t>
  </si>
  <si>
    <t>03-09 10:34:10至03-09 23：53:30(3笔)</t>
  </si>
  <si>
    <t>临时停车费（2026.3.3-2026.3.9）</t>
  </si>
  <si>
    <t>03-10 08:39:48至03-10 11:36:06(3笔)</t>
  </si>
  <si>
    <t>03-11 19:15:35至03-11 19:15:35(1笔)</t>
  </si>
  <si>
    <t>B217 3月租金物业及2月水费</t>
  </si>
  <si>
    <t>B316-318 2月水费</t>
  </si>
  <si>
    <t>A101、A104 2月水费</t>
  </si>
  <si>
    <t>C201 1月租金物业及12月水电费</t>
  </si>
  <si>
    <t>C213 1月租金物业及12月水电费</t>
  </si>
  <si>
    <t>C214 1月租金物业及12月水电费</t>
  </si>
  <si>
    <t>03-12 07:04:34至03-12 07:04:34(1笔)</t>
  </si>
  <si>
    <t>林东林（拓远（福建）勘测规划有限公司）</t>
  </si>
  <si>
    <t>A301 2月水费</t>
  </si>
  <si>
    <t>C202-204 2月水费</t>
  </si>
  <si>
    <t>03-13 08:48:34至03-15 09:13:36(8笔)</t>
  </si>
  <si>
    <t>天虹 闽A31J6H 3.8-4.7期间的停车费</t>
  </si>
  <si>
    <t>停车优惠券 5元/张*100张</t>
  </si>
  <si>
    <t>闽A98M8D 3.9-4.8期间的停车费</t>
  </si>
  <si>
    <t>闽AF8Q35 3.13-4.12期间的停车费</t>
  </si>
  <si>
    <t>闽DAA2175 3.13-4.12期间的停车费</t>
  </si>
  <si>
    <t>2月份工资15665.01元</t>
  </si>
  <si>
    <t>社医保费用4599.99元</t>
  </si>
  <si>
    <t>2月份工资</t>
  </si>
  <si>
    <t>办公室门前布置购小石子161.94元、办公室门口购地毯127.8元、15280010023充话费50元</t>
  </si>
  <si>
    <t>洗洁精30元、清洁手套2双8元、拖把桶*2拖把*5=117元</t>
  </si>
  <si>
    <t>招商横幅570元、购买强力清洗剂4桶80元</t>
  </si>
  <si>
    <t>春节布置物料469.5元、抽屉锁芯58元、卷尺18元、年前贡品306元、清洗沙发3张440元、车辆无痕修复450元</t>
  </si>
  <si>
    <t>LED灯架5*23=115</t>
  </si>
  <si>
    <t>景田水40、香片20片*2=40元、堵漏王5元、铁链挂锁8元</t>
  </si>
  <si>
    <t>灭烟桶三个246.3元、洗手液分装瓶十个14.8元、洗手液分装泵7元、灭烟沙一袋33.46、无线网卡，鼠标各一个65元、带锁水龙头10.99</t>
  </si>
  <si>
    <t>电笔，软线，铁线等</t>
  </si>
  <si>
    <t>五孔插座六个60元、墙板及收边材料127元、财务抽屉锁五把74</t>
  </si>
  <si>
    <t>洗手液40L50元、垃圾桶两个269.85元、灯具264、顺丰同城送打印机42.6元</t>
  </si>
  <si>
    <t>打印机维修350元、鼓山市场监督所所长送茶叶一盒350元、污水管快接及扎箍42元、84消毒液5桶300元</t>
  </si>
  <si>
    <t>办公室清洁用品</t>
  </si>
  <si>
    <t>洁厕剂2瓶36元、不锈钢水龙头10元、下水道疏通弹簧5元</t>
  </si>
  <si>
    <t>03-16 08:01:29至03-16 15:15:19(2笔)</t>
  </si>
  <si>
    <r>
      <rPr>
        <sz val="10"/>
        <color rgb="FFFF0000"/>
        <rFont val="宋体"/>
        <charset val="134"/>
      </rPr>
      <t>周明国</t>
    </r>
    <r>
      <rPr>
        <sz val="10"/>
        <color rgb="FFFF0000"/>
        <rFont val="Times New Roman"/>
        <charset val="134"/>
      </rPr>
      <t>(</t>
    </r>
    <r>
      <rPr>
        <sz val="10"/>
        <color rgb="FFFF0000"/>
        <rFont val="宋体"/>
        <charset val="134"/>
      </rPr>
      <t>福州味全餐饮管理有限公司</t>
    </r>
    <r>
      <rPr>
        <sz val="10"/>
        <color rgb="FFFF0000"/>
        <rFont val="Times New Roman"/>
        <charset val="134"/>
      </rPr>
      <t>)</t>
    </r>
  </si>
  <si>
    <t>B210、B211 押金</t>
  </si>
  <si>
    <t>B210、B211 租金及物业（2026.3.8-2026.4.7）</t>
  </si>
  <si>
    <t>临时停车费（2026.3.10-2026.3.16）</t>
  </si>
  <si>
    <t>03-17 09:53:42至03-17 22:03:06(3笔)</t>
  </si>
  <si>
    <t>陈子奇（福州顺丰速运有限公司）</t>
  </si>
  <si>
    <t>B101-103、B114-115 2月份水费</t>
  </si>
  <si>
    <t>B210、B211 2月水费</t>
  </si>
  <si>
    <t>03-18 08:29:13至03-18 16:28:25(2笔)</t>
  </si>
  <si>
    <t>B214-215 3月租金物业</t>
  </si>
  <si>
    <t>03-19 07:30:45至03-19 12:34:04(4笔)</t>
  </si>
  <si>
    <t>B204 3月租金物业及2月水费</t>
  </si>
  <si>
    <t/>
  </si>
  <si>
    <t>03-20 07:19:03至03-21 10:36:37(4笔)</t>
  </si>
  <si>
    <t>A201林剑辉 2月份水费</t>
  </si>
  <si>
    <t>极兔 闽A96L5W 3.23-4.22期间的停车费</t>
  </si>
  <si>
    <t>顺丰 闽A203H3 3.25-4.24期间的停车费</t>
  </si>
  <si>
    <t>味全 闽AP5X99 3.20-4.19期间的停车费</t>
  </si>
  <si>
    <t>C311鞋厂 闽A87V6U 3.22-4.21、闽A16S6C 3.22-4.21、闽ADZ8361 3.24-4.23 期间的停车费</t>
  </si>
  <si>
    <t>顺丰 闽BMS555 3.23-4.22 期间的停车费</t>
  </si>
  <si>
    <t>顺丰 苏AD70595 3.21-4.20 期间的停车费</t>
  </si>
  <si>
    <t>03-23 07:58:19至03-23 18:18:21(3笔)</t>
  </si>
  <si>
    <t>临时停车费（2026.3.17-2026.3.23）</t>
  </si>
  <si>
    <r>
      <rPr>
        <sz val="10"/>
        <color rgb="FFFF0000"/>
        <rFont val="宋体"/>
        <charset val="134"/>
      </rPr>
      <t>王琼</t>
    </r>
    <r>
      <rPr>
        <sz val="10"/>
        <color rgb="FFFF0000"/>
        <rFont val="Times New Roman"/>
        <charset val="134"/>
      </rPr>
      <t>(</t>
    </r>
    <r>
      <rPr>
        <sz val="10"/>
        <color rgb="FFFF0000"/>
        <rFont val="宋体"/>
        <charset val="134"/>
      </rPr>
      <t>福州安润福食品科技有限公司</t>
    </r>
    <r>
      <rPr>
        <sz val="10"/>
        <color rgb="FFFF0000"/>
        <rFont val="Times New Roman"/>
        <charset val="134"/>
      </rPr>
      <t>)</t>
    </r>
  </si>
  <si>
    <t>B310-313 3月租金物业</t>
  </si>
  <si>
    <t>B113 3月租金</t>
  </si>
  <si>
    <t>03-25 07:54:29至03-25 14:17:08(3笔)</t>
  </si>
  <si>
    <t>03-26 07:11:27至03-26 17:26:20(5笔)</t>
  </si>
  <si>
    <t>B117、B118 3月租金物业及2月水费</t>
  </si>
  <si>
    <t>A102 3月租金物业及2月水费</t>
  </si>
  <si>
    <t>B120、B206-207 2月份水费</t>
  </si>
  <si>
    <t>顺丰 闽KD6211 3.24-4.23期间的停车费</t>
  </si>
  <si>
    <t>顺丰 闽DAF1357 3.26-4.25期间的停车费</t>
  </si>
  <si>
    <t>B104 闽ADC3116 4.1-4.30期间的停车费</t>
  </si>
  <si>
    <t>B105、B106 3月租金物业</t>
  </si>
  <si>
    <t>03-27 06:21:46至03-29 22:46:01(8笔)</t>
  </si>
  <si>
    <t>B107 租金物业（2026.3.10-2026.5.9）</t>
  </si>
  <si>
    <t>03-30 12:06:35至03-30 19:41:29(4笔)</t>
  </si>
  <si>
    <t>A201 4月租物业</t>
  </si>
  <si>
    <t>B107 2月份水费</t>
  </si>
  <si>
    <r>
      <rPr>
        <sz val="10"/>
        <color rgb="FFFF0000"/>
        <rFont val="宋体"/>
        <charset val="134"/>
      </rPr>
      <t>福州食芸集供应链有限公司</t>
    </r>
    <r>
      <rPr>
        <sz val="10"/>
        <color rgb="FFFF0000"/>
        <rFont val="Times New Roman"/>
        <charset val="134"/>
      </rPr>
      <t>(</t>
    </r>
    <r>
      <rPr>
        <sz val="10"/>
        <color rgb="FFFF0000"/>
        <rFont val="宋体"/>
        <charset val="134"/>
      </rPr>
      <t>陈航</t>
    </r>
    <r>
      <rPr>
        <sz val="10"/>
        <color rgb="FFFF0000"/>
        <rFont val="Times New Roman"/>
        <charset val="134"/>
      </rPr>
      <t>)</t>
    </r>
  </si>
  <si>
    <t>C304 5月租金</t>
  </si>
  <si>
    <t>B310 闽A15B7S 4.1-4.30期间的停车费</t>
  </si>
  <si>
    <t>顺丰 闽AA37268与闽A05F3Y 4.1-6.30期间的停车费</t>
  </si>
  <si>
    <t>B310 闽A73T1N 4.1-4.30期间的停车费</t>
  </si>
  <si>
    <t>C217-218 3月租金及2月水费</t>
  </si>
  <si>
    <t>C311 3月租金及2月水费</t>
  </si>
  <si>
    <t>03-31 08:37:41至03-31 16:56:18(6笔)</t>
  </si>
  <si>
    <t>C305 押金</t>
  </si>
  <si>
    <t>04-01 08:29:52至04-01 14:29:11(4笔)</t>
  </si>
  <si>
    <t>临时停车费（2026.3.24-2026.4.1）</t>
  </si>
  <si>
    <t>B205 2月租金物业</t>
  </si>
  <si>
    <t>04-02 05:58:33至04-02 23:39:19(6笔)</t>
  </si>
  <si>
    <t>B308-309 3月水费</t>
  </si>
  <si>
    <t>04-03 06:00:29至04-03 09:03:24(2笔)</t>
  </si>
  <si>
    <t>潘金育</t>
  </si>
  <si>
    <t>B109 4月租金物业</t>
  </si>
  <si>
    <t>04-04 07:07:26至04-04 08:30:06(2笔)</t>
  </si>
  <si>
    <t>04-05 09:36:09至04-05 09:36:09(1笔)</t>
  </si>
  <si>
    <t>顺丰 闽AY088J 4.5-5.4期间的停车费</t>
  </si>
  <si>
    <t>C213小野家 闽ADA8913 4.1-4.30期间的停车费</t>
  </si>
  <si>
    <t>永洋兴购买100张5元/张全免停车券</t>
  </si>
  <si>
    <r>
      <rPr>
        <sz val="10"/>
        <color rgb="FFFF0000"/>
        <rFont val="宋体"/>
        <charset val="134"/>
      </rPr>
      <t>顺丰</t>
    </r>
    <r>
      <rPr>
        <sz val="10"/>
        <color rgb="FFFF0000"/>
        <rFont val="Times New Roman"/>
        <charset val="134"/>
      </rPr>
      <t xml:space="preserve"> </t>
    </r>
    <r>
      <rPr>
        <sz val="10"/>
        <color rgb="FFFF0000"/>
        <rFont val="宋体"/>
        <charset val="134"/>
      </rPr>
      <t>闽</t>
    </r>
    <r>
      <rPr>
        <sz val="10"/>
        <color rgb="FFFF0000"/>
        <rFont val="Times New Roman"/>
        <charset val="134"/>
      </rPr>
      <t>ADF7806 4.5-5.4</t>
    </r>
    <r>
      <rPr>
        <sz val="10"/>
        <color rgb="FFFF0000"/>
        <rFont val="宋体"/>
        <charset val="134"/>
      </rPr>
      <t>期间的停车费</t>
    </r>
  </si>
  <si>
    <t>B117-118 闽AF8Q35 4.13-5.12期间的停车费</t>
  </si>
  <si>
    <t>04-06 16:55:14至04-06 16:55:14(1笔)</t>
  </si>
  <si>
    <r>
      <rPr>
        <sz val="10"/>
        <color rgb="FF000000"/>
        <rFont val="宋体"/>
        <charset val="134"/>
      </rPr>
      <t>福州食芸集供应链有限公司</t>
    </r>
    <r>
      <rPr>
        <sz val="10"/>
        <color rgb="FF000000"/>
        <rFont val="Times New Roman"/>
        <charset val="134"/>
      </rPr>
      <t>(</t>
    </r>
    <r>
      <rPr>
        <sz val="10"/>
        <color rgb="FF000000"/>
        <rFont val="宋体"/>
        <charset val="134"/>
      </rPr>
      <t>陈航)</t>
    </r>
  </si>
  <si>
    <t>C304 押金</t>
  </si>
  <si>
    <t>C304 4月租金物业</t>
  </si>
  <si>
    <t>04-07 16:33:20至04-07 16:33:20(1笔)</t>
  </si>
  <si>
    <t>A103、A106 4月租金及物业费</t>
  </si>
  <si>
    <t>A103、A106 3月水费</t>
  </si>
  <si>
    <t>高上倍</t>
  </si>
  <si>
    <t>D102-105 4月租金物业及3月水费</t>
  </si>
  <si>
    <t>04-08 06:50:20至04-08 07:02:34(2笔)</t>
  </si>
  <si>
    <t>福州云盛达贸易有限公司（郑政云）</t>
  </si>
  <si>
    <t>B104 季度租金物业（2026.4.1-6.30）</t>
  </si>
  <si>
    <t>A101、A104 3月水费</t>
  </si>
  <si>
    <t>C座2楼办公室装修</t>
  </si>
  <si>
    <t>园区门口电线杆拆除</t>
  </si>
  <si>
    <t>临时停车费（2026.4.2-2026.4.8）</t>
  </si>
  <si>
    <r>
      <rPr>
        <sz val="10"/>
        <color rgb="FFFF0000"/>
        <rFont val="Times New Roman"/>
        <charset val="134"/>
      </rPr>
      <t>04-09 07:43:54</t>
    </r>
    <r>
      <rPr>
        <sz val="10"/>
        <color rgb="FFFF0000"/>
        <rFont val="宋体"/>
        <charset val="134"/>
      </rPr>
      <t>至</t>
    </r>
    <r>
      <rPr>
        <sz val="10"/>
        <color rgb="FFFF0000"/>
        <rFont val="Times New Roman"/>
        <charset val="134"/>
      </rPr>
      <t>04-09 22:08:51(5</t>
    </r>
    <r>
      <rPr>
        <sz val="10"/>
        <color rgb="FFFF0000"/>
        <rFont val="宋体"/>
        <charset val="134"/>
      </rPr>
      <t>笔</t>
    </r>
    <r>
      <rPr>
        <sz val="10"/>
        <color rgb="FFFF0000"/>
        <rFont val="Times New Roman"/>
        <charset val="134"/>
      </rPr>
      <t>)</t>
    </r>
  </si>
  <si>
    <t>B316-318 季度缴租金物业（2026.4.1-2026.6.30）、      3月水费</t>
  </si>
  <si>
    <t>04-10 09:13:22至04-12 15:21:26(11笔)</t>
  </si>
  <si>
    <t>B116 4月租金及物业费</t>
  </si>
  <si>
    <t>A201 闽C600Q0 4.4-5.3期间的停车费</t>
  </si>
  <si>
    <t>天虹 闽A31J6H 4.8-5.7期间的停车费</t>
  </si>
  <si>
    <t>B107 3月水费</t>
  </si>
  <si>
    <t>京东 闽ADK2176 4.9-5.8期间的停车费</t>
  </si>
  <si>
    <t>陈杜鹃 闽A818C6 4.19-7.18期间的停车费</t>
  </si>
  <si>
    <t>04-13 14:41:14至04-13 14:41:14(1笔)</t>
  </si>
  <si>
    <t>A101、A104 5月租金物业费（2026.5.1-2026.5.31）</t>
  </si>
  <si>
    <t>清洁用品121元、园区零星修缮1666元、空调清洗800元</t>
  </si>
  <si>
    <t>B208-210 4月租金物业及3月水费</t>
  </si>
  <si>
    <t>支付11月谢依工资</t>
  </si>
  <si>
    <t>A301 3月水费</t>
  </si>
  <si>
    <r>
      <rPr>
        <sz val="10"/>
        <color rgb="FFFF0000"/>
        <rFont val="宋体"/>
        <charset val="134"/>
      </rPr>
      <t>易佰兴</t>
    </r>
    <r>
      <rPr>
        <sz val="10"/>
        <color rgb="FFFF0000"/>
        <rFont val="Times New Roman"/>
        <charset val="134"/>
      </rPr>
      <t>3</t>
    </r>
    <r>
      <rPr>
        <sz val="10"/>
        <color rgb="FFFF0000"/>
        <rFont val="宋体"/>
        <charset val="134"/>
      </rPr>
      <t>月工资16599.86元</t>
    </r>
  </si>
  <si>
    <r>
      <rPr>
        <sz val="10"/>
        <color rgb="FFFF0000"/>
        <rFont val="Times New Roman"/>
        <charset val="134"/>
      </rPr>
      <t>4</t>
    </r>
    <r>
      <rPr>
        <sz val="10"/>
        <color rgb="FFFF0000"/>
        <rFont val="宋体"/>
        <charset val="134"/>
      </rPr>
      <t>月社医保费用3244.38元</t>
    </r>
  </si>
  <si>
    <t>2026年3月工资</t>
  </si>
  <si>
    <t>临时停车费（2026.4.9-2026.4.14）</t>
  </si>
  <si>
    <t>私户转入基本户（支付3月工资）</t>
  </si>
  <si>
    <t>04-15 08:49:09至04-15 23:07:48(6笔)</t>
  </si>
  <si>
    <t>04-16 08:06:57至04-16 10:08:09(2笔)</t>
  </si>
  <si>
    <t>邵莺</t>
  </si>
  <si>
    <t>A106-1 租金（2026.4.18-2026.10.17）</t>
  </si>
  <si>
    <t>C308 4月租金物业及3月水费</t>
  </si>
  <si>
    <t>B217 4月租金物业及3月水费</t>
  </si>
  <si>
    <t>04-17 08:50:59至04-19 21:59:35(12笔)</t>
  </si>
  <si>
    <t>顺丰 闽DAA2175 4.13-5.12期间的停车费</t>
  </si>
  <si>
    <t>京东司机赔偿道闸栏杆损坏费用，由卓龙收完转进来</t>
  </si>
  <si>
    <t>B214-215 闽A98M8D 4.16-5.15期间的停车费</t>
  </si>
  <si>
    <t>D102 极兔 闽A96L5W 4.23-5.22期间的停车费</t>
  </si>
  <si>
    <t>B204 4月租金物业及3月水费</t>
  </si>
  <si>
    <t>临时停车费（2026.4.15-2026.4.19）</t>
  </si>
  <si>
    <t>04-20 06:15:47至04-20 06:15:47(1笔)</t>
  </si>
  <si>
    <t>C306 3月水费</t>
  </si>
  <si>
    <t>B214-215 4月租金物业</t>
  </si>
  <si>
    <t>04-22 07:44:53至04-22 20:23:00(5笔)</t>
  </si>
  <si>
    <t>04-23 15:16:38至04-23 18:39:28(3笔)</t>
  </si>
  <si>
    <t>临时停车费（2026.4.20-2026.4.25）</t>
  </si>
  <si>
    <t>04-24 07:19:54至04-26 20:35:26(13笔)</t>
  </si>
  <si>
    <t>私户转入基本户（支付4月远西村租金）</t>
  </si>
  <si>
    <t>B座过道中间墙面修补、B座下水道冲洗人工费用</t>
  </si>
  <si>
    <t>C216魏龙搬运费</t>
  </si>
  <si>
    <t>C座301墙面粉刷、进水排水、空调拆装等</t>
  </si>
  <si>
    <t>味全 闽AP5X99 4.20-5.19期间的停车费</t>
  </si>
  <si>
    <t>顺丰 闽A203H3 4.25-5.24期间的停车费</t>
  </si>
  <si>
    <t>收A103、106快餐店4.20日晚上疏通油污池的费用</t>
  </si>
  <si>
    <t>收A102、105刘北荣4.20日晚上疏通油污池的费用</t>
  </si>
  <si>
    <t>支付4.20日晚上疏通油污池的费用</t>
  </si>
  <si>
    <t>C311鞋厂 闽A87V6U 4.22-5.21、闽A16S6C 4.22-5.21、闽ADZ8361 4.24-5.23 期间的停车费</t>
  </si>
  <si>
    <t>B120、B206-207 3月份水费</t>
  </si>
  <si>
    <t>顺丰 闽KD6211 4.24-5.23期间的停车费</t>
  </si>
  <si>
    <t>顺丰 闽DAF1357 4.26-5.25期间的停车费</t>
  </si>
  <si>
    <r>
      <rPr>
        <sz val="10"/>
        <color rgb="FFFF0000"/>
        <rFont val="宋体"/>
        <charset val="134"/>
      </rPr>
      <t>B310-313、</t>
    </r>
    <r>
      <rPr>
        <sz val="10"/>
        <color rgb="FFFF0000"/>
        <rFont val="Times New Roman"/>
        <charset val="134"/>
      </rPr>
      <t>B113 4</t>
    </r>
    <r>
      <rPr>
        <sz val="10"/>
        <color rgb="FFFF0000"/>
        <rFont val="宋体"/>
        <charset val="134"/>
      </rPr>
      <t>月租金物业</t>
    </r>
  </si>
  <si>
    <t>B113 4月租金</t>
  </si>
  <si>
    <t>A102 4月租金物业及3月水费</t>
  </si>
  <si>
    <t>04-27 08:42:02至04-27 18:04:21(3笔)</t>
  </si>
  <si>
    <t>赖明惠</t>
  </si>
  <si>
    <t>B117-118 4月租金物业</t>
  </si>
  <si>
    <t>04-28 08:44:45至04-28 19:58:50(3笔)</t>
  </si>
  <si>
    <t>叶月娟</t>
  </si>
  <si>
    <t>B203 押金</t>
  </si>
  <si>
    <t>B203 2个月租金及物业费 （2026.5.6-2026.7.5 ）</t>
  </si>
  <si>
    <t>B105、B106 4月租金物业</t>
  </si>
  <si>
    <t>B101-103、B114-115 3月份水费</t>
  </si>
  <si>
    <t>C217-218 4月租金及3月水费</t>
  </si>
  <si>
    <t>C311 4月租金及3月水费</t>
  </si>
  <si>
    <t>04-29 07:37:18至04-29 15:41:30(6笔)</t>
  </si>
  <si>
    <t>A201 3月水费38元、4月水费7.5元</t>
  </si>
  <si>
    <t>顺丰 苏AD70595 4.21-5.10期间的停车费</t>
  </si>
  <si>
    <t>B104 闽ADC3116 停车费</t>
  </si>
  <si>
    <t>B107张荣购买10张全免劵*10元/张</t>
  </si>
  <si>
    <t>B310 安润福 闽A15B7S 5.1-5.31期间的停车费</t>
  </si>
  <si>
    <t>B310 安润福 闽A73T1N 5.1-5.31期间的停车费</t>
  </si>
  <si>
    <t>04-30 09:03:25至04-30 17:21:53(3笔)</t>
  </si>
  <si>
    <t>05-01 10:38:49至05-01 13:48:42(2笔)</t>
  </si>
  <si>
    <t>05-02 09:48:04至05-02 09:48:04(1笔)</t>
  </si>
  <si>
    <t>05-03 10:45:21至05-03 12:22:59(2笔)</t>
  </si>
  <si>
    <t>05-04 13:11:00至05-04 13:11:00(1笔)</t>
  </si>
  <si>
    <t>05-05 13:51:02至05-05 13:51:02(1笔)</t>
  </si>
  <si>
    <t>临时停车费（2026.4.26-2026.5.5）</t>
  </si>
  <si>
    <t>05-06 09:04:41至05-06 18:14:29(3笔)</t>
  </si>
  <si>
    <t>A103、A106 5月租金及物业费</t>
  </si>
  <si>
    <t>B101-103、B114-115 4月份水费</t>
  </si>
  <si>
    <t>A103、A106 4月水费</t>
  </si>
  <si>
    <t>福州食芸集供应链有限公司(陈航)</t>
  </si>
  <si>
    <t>C304 5月租金物业及水费</t>
  </si>
  <si>
    <t>B116 5月租金及物业费</t>
  </si>
  <si>
    <r>
      <rPr>
        <sz val="10"/>
        <color rgb="FFFF0000"/>
        <rFont val="宋体"/>
        <charset val="134"/>
      </rPr>
      <t>C308  5月租金物业及</t>
    </r>
    <r>
      <rPr>
        <sz val="10"/>
        <color rgb="FFFF0000"/>
        <rFont val="Times New Roman"/>
        <charset val="134"/>
      </rPr>
      <t>4</t>
    </r>
    <r>
      <rPr>
        <sz val="10"/>
        <color rgb="FFFF0000"/>
        <rFont val="宋体"/>
        <charset val="134"/>
      </rPr>
      <t>月水费</t>
    </r>
  </si>
  <si>
    <t>B308-309 4月水费</t>
  </si>
  <si>
    <t>C305 5月租金物业费及4月水费</t>
  </si>
  <si>
    <t>B316-318 4月水费</t>
  </si>
  <si>
    <t>B210、B211 5月租金及物业费</t>
  </si>
  <si>
    <t>顺丰 苏ADF7806 5.5-6.4期间的停车费</t>
  </si>
  <si>
    <t>B203叶月娟购买50张全免劵*10元/张</t>
  </si>
  <si>
    <t>顺丰 闽AY088J 5.5-6.4期间的停车费</t>
  </si>
  <si>
    <t>C301陈弘 闽ADA8913 5.1-5.31期间的停车费</t>
  </si>
  <si>
    <t>A201 闽C600Q0 5.4-6.3期间的停车费</t>
  </si>
  <si>
    <t>赖明惠（刘锋）</t>
  </si>
  <si>
    <t>B117-118 租金及物业费（2026.5.1-2026.5.5）</t>
  </si>
  <si>
    <t>闽AP952B 临时车 停车费</t>
  </si>
  <si>
    <t>B120 4月水费</t>
  </si>
  <si>
    <t>B203 4月水费</t>
  </si>
  <si>
    <t>浙江辰域物联科技有限公司</t>
  </si>
  <si>
    <t>05-08 08:51:45至05-10 18:13:46(5笔)</t>
  </si>
  <si>
    <t>A301 4月水费</t>
  </si>
  <si>
    <t>05-11 08:46:42至05-11 22:42:24(2笔)</t>
  </si>
  <si>
    <t>临时停车费（2026.5.6-2026.5.11）</t>
  </si>
  <si>
    <t>05-12 06:05:20至05-12 17:19:57(6笔)</t>
  </si>
  <si>
    <t>05-13 08:47:56至05-13 21:03:05(2笔)</t>
  </si>
  <si>
    <t>A101、A104 6月租金物业费（2026.6.1-2026.6.30）</t>
  </si>
  <si>
    <t>A101、A104 4月水费</t>
  </si>
  <si>
    <t>05-14 15:50:08至05-14 21:22:44(3笔)</t>
  </si>
  <si>
    <t>私户转入基本户（支付4月工资）</t>
  </si>
  <si>
    <t>易佰兴4月工资16501.01元</t>
  </si>
  <si>
    <t>5月社医保费用3244.38元（艾泊烨）</t>
  </si>
  <si>
    <t>2026年4月工资</t>
  </si>
  <si>
    <t>17759081839充值100元</t>
  </si>
  <si>
    <t>C栋浩顺宽带移线施工费150元、保安亭空调清洗2台100元</t>
  </si>
  <si>
    <t>插销扫把腻子粉挂锁53.5元、堵漏王1包10元、301上下水辅料75.5元</t>
  </si>
  <si>
    <t>B217 5月租金物业及4月水费</t>
  </si>
  <si>
    <t>顺丰 苏ADK2176 5.9-6.8期间的停车费</t>
  </si>
  <si>
    <t>B120永洋兴购买100张*5元/张全免停车券</t>
  </si>
  <si>
    <t>顺丰 闽DAA2175 5.13-8.12期间的停车费</t>
  </si>
  <si>
    <t>C201场地电表预充电费</t>
  </si>
  <si>
    <t>B214-215 闽A98M8D 5.16-6.15期间的停车费</t>
  </si>
  <si>
    <t>05-17 00:26:01至05-17 08:14:56(2笔)</t>
  </si>
  <si>
    <t>B214-215 5月租金物业</t>
  </si>
  <si>
    <t>05-18 08:46:07至05-18 20:09:07(7笔)</t>
  </si>
  <si>
    <t>临时停车费（2026.5.12-2026.5.18）</t>
  </si>
  <si>
    <t>05-19 10:00:44至05-19 12:18:02(5笔)</t>
  </si>
  <si>
    <t>B204 5月租金物业及4月水费</t>
  </si>
  <si>
    <t>05-20 08:16:50至05-20 23:46:20(6笔)</t>
  </si>
  <si>
    <t>05-21 11:19:46至05-21 14:32:10(3笔)</t>
  </si>
  <si>
    <t>保龄球</t>
  </si>
  <si>
    <t>C201  场地电表预充电费</t>
  </si>
  <si>
    <t>闽A58N3M 临时车 停车费</t>
  </si>
  <si>
    <t>B214-215 5月租金</t>
  </si>
  <si>
    <t>B210 味全 闽AP5X99 5.20-6.19期间的停车费</t>
  </si>
  <si>
    <t>C311鞋厂 闽A87V6U 5.22-6.21、闽A16S6C 5.24-6.23、闽ADZ8361 5.24-6.23 期间的停车费</t>
  </si>
  <si>
    <t>顺丰 闽A203H3 5.25-6.24期间的停车费</t>
  </si>
  <si>
    <t>顺丰 闽KD6211 5.24-6.23期间的停车费</t>
  </si>
  <si>
    <t>B310-313、B113 5月租金物业</t>
  </si>
  <si>
    <t>B113 5月租金</t>
  </si>
  <si>
    <t>05-22 07:48:47至05-25 20:51:36(16笔)</t>
  </si>
  <si>
    <t>05-26 15:45:34至05-26 17:35:45(2笔)</t>
  </si>
  <si>
    <t>B105、B106 5月租金物业</t>
  </si>
  <si>
    <t>05-27 00:03:07至05-27 16:18:01(4笔)</t>
  </si>
  <si>
    <t>A102 5月租金物业及4月水费</t>
  </si>
  <si>
    <t>05-28 08:13:29至05-28 21:22:34(8笔)</t>
  </si>
  <si>
    <t>B205 3月租金物业</t>
  </si>
  <si>
    <t>B205 4月租金</t>
  </si>
  <si>
    <t>C217-218 5月租金及4月水费</t>
  </si>
  <si>
    <t>C311 5月租金及4月水费</t>
  </si>
  <si>
    <t>临时停车费（2026.5.19-2026.5.29）</t>
  </si>
  <si>
    <t>顺丰 闽DAF1357 5.26-6.25期间的停车费</t>
  </si>
  <si>
    <t>闽ADF0133 临时车 停车费</t>
  </si>
  <si>
    <t>A201 5月租金物业</t>
  </si>
  <si>
    <t>A201 4月水费公摊</t>
  </si>
  <si>
    <t>福州小野家贸易有限公司（陈弘）</t>
  </si>
  <si>
    <t>C301 4月水费</t>
  </si>
  <si>
    <t>C201（保龄球）场地电表预充电费</t>
  </si>
  <si>
    <t>05-29 15:26:52至05-29 15:26:52(1笔)</t>
  </si>
  <si>
    <t>05-29 08:32:34至05-31 22:26:51(8笔)</t>
  </si>
  <si>
    <t>06-01 08:39:10至06-01 17:18:27(7笔)</t>
  </si>
  <si>
    <t>黄仕铭</t>
  </si>
  <si>
    <t>B座3楼  预收房租</t>
  </si>
  <si>
    <t>06-02 06:46:05至06-02 18:20:43(6笔)</t>
  </si>
  <si>
    <t>退还B110商户李智押金（预收账款）</t>
  </si>
  <si>
    <t>06-03 09:16:00至06-03 16:32:51(3笔)</t>
  </si>
  <si>
    <t>06-04 07:52:59至06-04 08:06:44(2笔)</t>
  </si>
  <si>
    <t>C308 押金</t>
  </si>
  <si>
    <t>B107 租金物业（2026.5.10-2026.7.9）</t>
  </si>
  <si>
    <t>王大强</t>
  </si>
  <si>
    <t>B座3层中介费</t>
  </si>
  <si>
    <t>临时停车费（2026.5.30-2026.6.5）</t>
  </si>
  <si>
    <t>临时车 停车费</t>
  </si>
  <si>
    <t>B104郑政云 闽ADC3116 6.1-6.30期间的停车费</t>
  </si>
  <si>
    <t>顺丰 闽ADF7806 6.5-7.4期间的停车费</t>
  </si>
  <si>
    <t>顺丰 闽AY088J 6.5-7.4期间的停车费</t>
  </si>
  <si>
    <t>A201 林剑辉 闽C7A13E 6.4-7.3期间的停车费</t>
  </si>
  <si>
    <t>B107创享购买（10张*10元/张）停车券</t>
  </si>
  <si>
    <t>B107创享4-5月水费</t>
  </si>
  <si>
    <t>B201（保龄球）场地电表预充电费</t>
  </si>
  <si>
    <t>06-05 11:47:34至06-07 19:40:07(13笔)</t>
  </si>
  <si>
    <t>A301 5月水费</t>
  </si>
  <si>
    <t>B116 6月租金及物业费</t>
  </si>
  <si>
    <t>C305 6月租金物业费及5月水费</t>
  </si>
  <si>
    <t>C304 6月租金物业及5月水费</t>
  </si>
  <si>
    <t>A103、A106 6月租金物业费及5月水费</t>
  </si>
  <si>
    <t>06-08 08:52:59至06-08 18:22:54(4笔)</t>
  </si>
  <si>
    <t>王琼</t>
  </si>
  <si>
    <t>退还安润福B310-313押金（押金在林燊公司）</t>
  </si>
  <si>
    <t>06-09 21:02:32至06-09 21:02:32(1笔)</t>
  </si>
  <si>
    <t>06-10 13:27:40至06-10 21:58:19(2笔)</t>
  </si>
  <si>
    <t>A101、A104 5月水费</t>
  </si>
  <si>
    <t>临时停车费（2026.6.6-2026.6.10）</t>
  </si>
  <si>
    <t>06-11 13:52:50至06-11 18:48:52(3笔)</t>
  </si>
  <si>
    <t>刘宝梅</t>
  </si>
  <si>
    <t>退C306广东浩传辰域预充值电费</t>
  </si>
  <si>
    <t>临时停车费（2026.6.11-2026.6.13）</t>
  </si>
  <si>
    <t>A101、A104 7月租金物业费（2026.7.1-2026.7.31）</t>
  </si>
  <si>
    <t>B120 5月份水费</t>
  </si>
  <si>
    <t>C308 5月份水费公摊</t>
  </si>
  <si>
    <t>B203 6月水费公摊</t>
  </si>
  <si>
    <t>A102刘北荣 赣B9HV76 6.10-7.9期间的停车费</t>
  </si>
  <si>
    <t>B214-215 闽A98M8D 6.16-7.15期间的停车费</t>
  </si>
  <si>
    <t>空调维修上门费</t>
  </si>
  <si>
    <t>太阳布4米*6米，绳子10米1条45元、垃圾袋1件，垃圾桶轮子四个225元</t>
  </si>
  <si>
    <t>香片4包.胶手套88元、铁链挂锁.警戒线等65元</t>
  </si>
  <si>
    <t>2026年5月工资</t>
  </si>
  <si>
    <t>易佰兴5月工资16501.01元</t>
  </si>
  <si>
    <t>6月社医保费用3244.38元</t>
  </si>
  <si>
    <t>06-12 08:42:19至06-14 17:38:40(10笔)</t>
  </si>
  <si>
    <t>06-15 08:35:35至06-15 15:41:54(4笔)</t>
  </si>
  <si>
    <t>06-16 11:23:42至06-16 18:49:46(3笔)</t>
  </si>
  <si>
    <t>B217 6月租金物业及5月水费</t>
  </si>
  <si>
    <t>临时停车费（2026.6.14-2026.6.16）</t>
  </si>
  <si>
    <t>B214-215 6月租金物业</t>
  </si>
  <si>
    <t>福州晋安区朝起科技有限公司(薛尚禧)</t>
  </si>
  <si>
    <t>B201 押金</t>
  </si>
  <si>
    <t>B201 租金(2026.7.3-2026.8.2)</t>
  </si>
  <si>
    <t>06-17 08:00:19至06-17 08:49:57(2笔)</t>
  </si>
  <si>
    <t>B204 6月租金物业及5月水费</t>
  </si>
  <si>
    <t>06-18 11:46:24至06-18 18:46:06(4笔)</t>
  </si>
  <si>
    <t>06-19 09:10:29至06-19 22:33:19(4笔)</t>
  </si>
  <si>
    <t>06-20 11:39:26至06-20 23:24:58(3笔)</t>
  </si>
  <si>
    <t>顺丰 闽A203H3 6.25-7.24期间的停车费</t>
  </si>
  <si>
    <t>C311鞋厂 闽A87V6U 6.22-7.21、闽A16S6C 6.24-7.23 期间的停车费</t>
  </si>
  <si>
    <t>06-21 06:02:30至06-21 09:20:40(4笔)</t>
  </si>
  <si>
    <t>临时停车费（2026.6.17-2026.6.21）</t>
  </si>
  <si>
    <t>06-22 08:26:06至06-22 21:09:39(8笔)</t>
  </si>
  <si>
    <t>06-23 10:51:26至06-23 16:56:22(6笔)</t>
  </si>
  <si>
    <t>私户转入建行一般户（支付6月房租）</t>
  </si>
  <si>
    <t>06-24 07:31:10至06-24 16:27:50(9笔)</t>
  </si>
  <si>
    <t>临时停车费（2026.6.12-2026.6.24）</t>
  </si>
  <si>
    <t>B101-103、B114-115 5月份水费</t>
  </si>
  <si>
    <t>06-25 13:12:09至06-25 19:10:07(3笔)</t>
  </si>
  <si>
    <t>C217-218 6月租金及5月水费</t>
  </si>
  <si>
    <t>C311 6月租金及5月水费</t>
  </si>
  <si>
    <t>B201预充值电费</t>
  </si>
  <si>
    <t>京东 闽A83G2L 6.24-7.23期间的停车费</t>
  </si>
  <si>
    <t>顺丰 闽KD6211 6.24-7.23期间的停车费</t>
  </si>
  <si>
    <t>顺丰 闽DAF1357 6.26-7.25期间的停车费</t>
  </si>
  <si>
    <t>06-27 11:54:41至06-28 13:27:09(5笔)</t>
  </si>
  <si>
    <t>A102 6月租金物业及5月水费</t>
  </si>
  <si>
    <t>B105、B106 6月租金物业</t>
  </si>
  <si>
    <t>私户转入基本户（支付6月房租）</t>
  </si>
  <si>
    <t>06-29 08:55:12至06-29 20:02:34(6笔)</t>
  </si>
  <si>
    <t>C201若明体育预交电费</t>
  </si>
  <si>
    <t>顺丰 闽AA31869与闽AA37276 7.1-9.30期间的停车费</t>
  </si>
  <si>
    <t>C308 6月份水费公摊</t>
  </si>
  <si>
    <t>06-30 13:52:56至06-30 22:45:35(3笔)</t>
  </si>
  <si>
    <t>临时停车费（2026.6.25-2026.6.30）</t>
  </si>
  <si>
    <t>07-01 19:26:44至07-01 09:09:27(3笔)</t>
  </si>
  <si>
    <t>07-02 09:04:00至07-02 20:53:55(9笔)</t>
  </si>
  <si>
    <t>中国平安财产保险股份有限公司</t>
  </si>
  <si>
    <t>叶文斌的赔款</t>
  </si>
  <si>
    <t>B203 2个月租金及物业费 (2026.7.6-9.5)</t>
  </si>
  <si>
    <t>临时停车费（2026.7.1-2026.7.3）</t>
  </si>
  <si>
    <t>B104郑政云 闽ADC3116 7.1-7.31 期间的停车费</t>
  </si>
  <si>
    <t>陈杜娟 闽A818C6  7.19-9.18 期间的停车费</t>
  </si>
  <si>
    <t>临时车 闽A8X85E 停车费</t>
  </si>
  <si>
    <t>顺丰 闽ADF7806 7.5-8.4 期间的停车费</t>
  </si>
  <si>
    <t>A201 闽C600Q0 7.4-8.3 期间的停车费</t>
  </si>
  <si>
    <t>顺丰 闽AY088J 7.5-8.4 期间的停车费</t>
  </si>
  <si>
    <t>A201 7月租金物业及5月水费</t>
  </si>
  <si>
    <t>07-03 09:08:46至07-05 13:30:43(15笔)</t>
  </si>
  <si>
    <t>B109 季度租金物业费（2026.7.7-10.6）</t>
  </si>
  <si>
    <t>C304 7月租金物业及6月水费</t>
  </si>
  <si>
    <t>B116 7月租金及物业费</t>
  </si>
  <si>
    <t>B221-222季度租金及物业费（2026.7.1-9.30）及6月水费</t>
  </si>
  <si>
    <t>07-06 10:23:28至07-06 19:17:49(4笔)</t>
  </si>
  <si>
    <t>A103、A106 7月租金物业费及6月水费</t>
  </si>
  <si>
    <t>B104 季度租金物业（2026.7.1-9.30）</t>
  </si>
  <si>
    <t>07-07 08:38:56至07-07 20:05:20(7笔)</t>
  </si>
  <si>
    <t>B205 4月租金物业</t>
  </si>
  <si>
    <t>B205 5月租金</t>
  </si>
  <si>
    <t>07-08 11:49:56至07-08 17:29:46(2笔)</t>
  </si>
  <si>
    <t>A101、A104 6月水费</t>
  </si>
  <si>
    <t>临时停车费（2026.7.4-2026.7.8）</t>
  </si>
  <si>
    <t>07-09 09:30:03至07-09 15:54:46(7笔)</t>
  </si>
  <si>
    <t>C305 7月租金物业费及6月水费</t>
  </si>
  <si>
    <t>B101-103、B114-115 6月份水费</t>
  </si>
  <si>
    <t>C308 6月水费公摊</t>
  </si>
  <si>
    <t>B120、206、207 6月水费公摊</t>
  </si>
  <si>
    <t>B201 6月水费公摊</t>
  </si>
  <si>
    <t>B214-215 闽A98M8D 7.16-8.15 期间的停车费</t>
  </si>
  <si>
    <t>福州海映文化传媒有限公司</t>
  </si>
  <si>
    <t>B301 预充值电费</t>
  </si>
  <si>
    <t>B107创享购买10张停车券</t>
  </si>
  <si>
    <t>07-10 04:48:58至07-12 11:00:36(13笔)</t>
  </si>
  <si>
    <t>广州智慧网格商业服务有限公司</t>
  </si>
  <si>
    <t>福州顺丰后屿店591NB储物柜电费</t>
  </si>
  <si>
    <t>07-13 09:11:14至07-13 17:33:50(5笔)</t>
  </si>
  <si>
    <t>A301 6月水费</t>
  </si>
  <si>
    <t>临时停车费（2026.7.9-2026.7.13）</t>
  </si>
  <si>
    <t>A101、A104 8月租金物业费（2026.8.1-2026.8.31）</t>
  </si>
  <si>
    <t>易佰兴6月工资16501.01元</t>
  </si>
  <si>
    <t>7月社医保费用3498.99元</t>
  </si>
  <si>
    <t>07-14 09:10:03至07-14 20:44:25(5笔)</t>
  </si>
  <si>
    <t>2026年6月工资</t>
  </si>
  <si>
    <t>私户转入建行一般户（支付7月房租）</t>
  </si>
  <si>
    <t>移电动车配件108元、推车轮4个48元、沉头钻尾钉2盒19.5元、钻头2个33元</t>
  </si>
  <si>
    <t>雨衣.电工手套防汛沙袋彩条.防水布462元、小垃圾袋30元、10绳子5条泡沫胶2瓶49元、防水木板5块+40车费465元、手电筒.头灯.泡沫胶116元</t>
  </si>
  <si>
    <t>购买B201配套办公桌16张</t>
  </si>
  <si>
    <t>B201墙面翻新机空调安装</t>
  </si>
  <si>
    <t>福州市闽冠休闲健身有限公司</t>
  </si>
  <si>
    <t>C201 房租保证金</t>
  </si>
  <si>
    <t>07-15 00:21:52至07-15 11:40:08(4笔)</t>
  </si>
  <si>
    <t>B217 7月租金物业及6月水费</t>
  </si>
  <si>
    <t>B205 5月租金物业</t>
  </si>
  <si>
    <t>B205 6月租金</t>
  </si>
  <si>
    <t>07-16 09:15:19至07-16 20:08:16(4笔)</t>
  </si>
  <si>
    <t>福州市晋安若明体育有限公司</t>
  </si>
  <si>
    <t>C201 租金（2026.7.10-9.9）</t>
  </si>
  <si>
    <t>临时停车费（2026.7.4-2026.7.18）</t>
  </si>
  <si>
    <t>07-17 10:01:04至07-19 10:06:27(12笔)</t>
  </si>
  <si>
    <t>B210、B211 7月租金物业及6月水费</t>
  </si>
  <si>
    <t>C201 租金（2026.7.10-9.9）及6月水费</t>
  </si>
  <si>
    <t>07-20 10:20:25至07-20 21:31:33(7笔)</t>
  </si>
  <si>
    <t>B214-215 7月租金物业</t>
  </si>
  <si>
    <t>07-21 09:10:45至07-21 21:29:25(7笔)</t>
  </si>
  <si>
    <t>B204 7月租金物业及6月水费</t>
  </si>
  <si>
    <t>07-22 09:02:09至07-22 22:52:01(3笔)</t>
  </si>
  <si>
    <t>临时停车费（2026.7.19-2026.7.22）</t>
  </si>
  <si>
    <t>07-23 09:22:36至07-23 16:07:56(3笔)</t>
  </si>
  <si>
    <t>临时停车费（2026.7.23-2026.7.25）</t>
  </si>
  <si>
    <t>城市佰兴零星施工项目第一笔款</t>
  </si>
  <si>
    <t>景田矿泉水2箱</t>
  </si>
  <si>
    <t>10厘米麻花钻头1条15元、小垃圾袋1件.大垃圾袋1件.洁厕剂458元</t>
  </si>
  <si>
    <t>张昌武</t>
  </si>
  <si>
    <t>B201场地租赁中介费</t>
  </si>
  <si>
    <t>顺丰 闽A203H3 7.25-8.24 期间的停车费</t>
  </si>
  <si>
    <t>B203叶月娟购买50张10元全免停车券</t>
  </si>
  <si>
    <t>B107创享购买10张10元全免停车券</t>
  </si>
  <si>
    <t>C311鞋厂 闽A87V6U 7.22-8.21、闽A16S6C 7.24-8.23 期间的停车费</t>
  </si>
  <si>
    <t>B301场地 闽AY331N装修临时车 7.22-8.20 期间的停车费</t>
  </si>
  <si>
    <t>顺丰 闽DAF1357 7.26-8.25 期间的停车费</t>
  </si>
  <si>
    <t>顺丰员工 闽KD6211 7.24-8.23 期间的停车费</t>
  </si>
  <si>
    <t>07-24 14:31:28至07-29 21:30:18(10笔)</t>
  </si>
  <si>
    <t>临时停车费（2026.7.26-2026.7.29）</t>
  </si>
  <si>
    <t>C302 7月租金及6月水费</t>
  </si>
  <si>
    <t>C311 7月租金及6月水费</t>
  </si>
  <si>
    <t>07-30 11:12:21至07-30 19:40:25(9笔)</t>
  </si>
  <si>
    <t>B105、B106 7月租金物业</t>
  </si>
  <si>
    <t>A102 7月租金物业及6月水费</t>
  </si>
  <si>
    <t>B205 6月租金物业费</t>
  </si>
  <si>
    <t>B205 7月租金物业费</t>
  </si>
  <si>
    <t>闽A7M60J 7.26-8.25 期间的停车费</t>
  </si>
  <si>
    <t>B104 闽ADC3116 7.26-8.25 期间的停车费</t>
  </si>
  <si>
    <t>07-31  09:29:49至08-02 14:00:38(11笔)</t>
  </si>
  <si>
    <t>闽A6U89N 临时停车费</t>
  </si>
  <si>
    <t>闽DDZ5098 临时停车费</t>
  </si>
  <si>
    <t>A201 8月租金物业及6月水费</t>
  </si>
  <si>
    <t>闽A129CK 临时停车费</t>
  </si>
  <si>
    <t>闽A9AG30 临时停车费</t>
  </si>
  <si>
    <t>闽A87W64 临时停车费</t>
  </si>
  <si>
    <t>闽AM189H 临时停车费</t>
  </si>
  <si>
    <t>闽A1892G 临时停车费</t>
  </si>
  <si>
    <t>B116 押金</t>
  </si>
  <si>
    <t>B116 8月租金及物业费</t>
  </si>
  <si>
    <t>08-03 11:17:42至08-03 12:47:02(4笔)</t>
  </si>
  <si>
    <t>B107 2个月租金物业（2026.7.10-2026.9.9）</t>
  </si>
  <si>
    <t>临时停车费（2026.7.30-2026.8.3）</t>
  </si>
  <si>
    <t>08-04 00:54:17至08-04 14:33:53(3笔)</t>
  </si>
  <si>
    <t>08-05 08:48:33至08-05 22:23:55(5笔)</t>
  </si>
  <si>
    <t>B221-222 7月水费</t>
  </si>
  <si>
    <t>08-06 10:58:42至08-06 22:01:23(3笔)</t>
  </si>
  <si>
    <t>C304 8月租金物业及7月水费</t>
  </si>
  <si>
    <t>房屋结构鉴定评估费预付款</t>
  </si>
  <si>
    <t>A301 7月水费</t>
  </si>
  <si>
    <t>B107 5月、6月水公摊</t>
  </si>
  <si>
    <t>顺丰 闽ADF7806 8.5-9.4期间的停车费</t>
  </si>
  <si>
    <t>C301 6月水公摊及6月充电桩电费</t>
  </si>
  <si>
    <t>顺丰 闽AY088J 8.5-9.4期间的停车费</t>
  </si>
  <si>
    <t>B201 7月水费</t>
  </si>
  <si>
    <t>C308 7月水费</t>
  </si>
  <si>
    <t>B120 7月水费</t>
  </si>
  <si>
    <t>B203 7月水费</t>
  </si>
  <si>
    <t>A201 闽C600Q0 8.4-9.3期间的停车费</t>
  </si>
  <si>
    <t>08-07 08:28:12至08-09 18:06:56(11笔)</t>
  </si>
  <si>
    <t>08-10 09:15:31至08-10 10:38:17(3笔)</t>
  </si>
  <si>
    <t>A103、A106 8月租金物业费及7月水费</t>
  </si>
  <si>
    <t>08-11 09:15:18至08-11 16:59:02(5笔)</t>
  </si>
  <si>
    <t>私户转入建行一般户（支付8月房租）</t>
  </si>
  <si>
    <t>A103、A106 7月水费</t>
  </si>
  <si>
    <t>08-12 14:16:36至08-12 14:21:38(2笔)</t>
  </si>
  <si>
    <t>A101、A104 7月水费</t>
  </si>
  <si>
    <t>08-13 11:47:33至08-13 17:39:03(6笔)</t>
  </si>
  <si>
    <t>A101、A104 9月租金物业费（2026.9.1-2026.9.30）</t>
  </si>
  <si>
    <t>一般户转入私户</t>
  </si>
  <si>
    <t>B101顺丰 闽DAA2175 8.13-9.12 期间的停车费</t>
  </si>
  <si>
    <t>B214-215 闽A98M8D 8.16-9.15 期间的停车费</t>
  </si>
  <si>
    <t>易佰兴7月工资20411.79元</t>
  </si>
  <si>
    <t>8月社医保费用4588.21元</t>
  </si>
  <si>
    <t>08-14 08:27:16至08-16 17:32:23(9笔)</t>
  </si>
  <si>
    <t>B217 8月租金物业及7月水费</t>
  </si>
  <si>
    <t>C305 8月租金物业费及7月水费</t>
  </si>
  <si>
    <t>办公室空调维修2500元、B座修漏水600元、B座3楼空调1500元</t>
  </si>
  <si>
    <t>卷尺2个.透明胶23元、维修空调外机启动器150元、玻璃胶9元、汽车充电柜门配件39元、生料带5个三角阀20元、警戒线5个25元、防滑条2米6元</t>
  </si>
  <si>
    <t>标识牌1482元、停车场凸面镜700元、B221玻璃指纹锁580元、灭火器检查记录表100张8元</t>
  </si>
  <si>
    <t>17759081839手机充值100元、移动宽带充值300元</t>
  </si>
  <si>
    <t>结构评估团队餐费5人</t>
  </si>
  <si>
    <t>农夫山泉1件</t>
  </si>
  <si>
    <t>B101-103、B114-115 7月份水费</t>
  </si>
  <si>
    <t>08-17 09:53:44至08-17 19:49:15(5笔)</t>
  </si>
  <si>
    <t>福州顺丰后屿店591NB电费6.22-7.22</t>
  </si>
  <si>
    <t>08-18 11:09:02至08-18 23:35:59(6笔)</t>
  </si>
  <si>
    <t>08-19 08:45:53至08-19 21:56:10(4笔)</t>
  </si>
  <si>
    <t>房屋结构鉴定评估费尾款</t>
  </si>
  <si>
    <t>B204 8月租金物业及7月水费</t>
  </si>
  <si>
    <t>08-20 09:31:11至08-20 09:31:11(1笔)</t>
  </si>
  <si>
    <t>B107 购买10张10元全免停车券</t>
  </si>
  <si>
    <t>顺丰 闽A203H3 8.25-9.24 期间的停车费</t>
  </si>
  <si>
    <t>C311鞋厂 闽A87V6U 8.22-9.21、闽A16S6C 8.24-9.23 期间的停车费</t>
  </si>
  <si>
    <t>08-21 08:13:59至08-23 12:53:42(10笔)</t>
  </si>
  <si>
    <t>B210、B211 8月租金物业及7月水费</t>
  </si>
  <si>
    <t>B214-215 8月租金物业</t>
  </si>
  <si>
    <t>王雪（福州市晋安若明体育有限公司）</t>
  </si>
  <si>
    <t>C201 7月水费</t>
  </si>
  <si>
    <t>私户转入建行一般户</t>
  </si>
  <si>
    <t>08-24 07:33:21至08-24 15:45:24(2笔)</t>
  </si>
  <si>
    <t>城市佰兴零星施工项目第二笔款</t>
  </si>
  <si>
    <t>曾春花（陈永鑫）</t>
  </si>
  <si>
    <t>B座1层121-122场地定金</t>
  </si>
  <si>
    <t>08-25 09:44:11至08-25 17:12:55(5笔)</t>
  </si>
  <si>
    <t>08-26 07:27:33至08-26 17:17:58(4笔)</t>
  </si>
  <si>
    <t>B105、B106 8月租金物业</t>
  </si>
  <si>
    <t>08-27 16:22:49至08-27 21:30:39(6笔)</t>
  </si>
  <si>
    <t>魏诗雨</t>
  </si>
  <si>
    <t>售电返利2-6月</t>
  </si>
  <si>
    <t>A102 8月租金物业及7月水费</t>
  </si>
  <si>
    <t>顺丰 闽DAF1357 8.26-9.25 期间的停车费</t>
  </si>
  <si>
    <t>顺丰 闽KD6211 8.24-9.23 期间的停车费</t>
  </si>
  <si>
    <t>包月  闽A27N5V 8.26-9.25 期间的停车费</t>
  </si>
  <si>
    <t>包月  闽A7M60J 8.26-9.25 期间的停车费</t>
  </si>
  <si>
    <t>A201 9月租金物业（2026.9.1-9.30）及7月水费</t>
  </si>
  <si>
    <t>08-28 08:44:35至08-30 16:51:00(13笔)</t>
  </si>
  <si>
    <t>C302 8月租金及7月水费</t>
  </si>
  <si>
    <t>C311 8月租金及7月水费</t>
  </si>
  <si>
    <t>B107创享购买10张全免停车券</t>
  </si>
  <si>
    <t>08-31 09:23:32至08-31 19:37:36(6笔)</t>
  </si>
  <si>
    <t>林其珠</t>
  </si>
  <si>
    <t>林其珠转入卫生间售后机2026.2-7月营业分成</t>
  </si>
  <si>
    <t>09-01 12:45:30至09-01 19:03:33(6笔)</t>
  </si>
  <si>
    <t>09-02 10:44:30至09-02 19:13:20(4笔)</t>
  </si>
  <si>
    <t>09-03 09:24:40至09-03 09:38:26(2笔)</t>
  </si>
  <si>
    <t>B104郑政云 闽ADC3116 9.1-9.30 期间的停车费</t>
  </si>
  <si>
    <t>顺丰 闽AY088J 9.5-10.4 期间的停车费</t>
  </si>
  <si>
    <t>B214-215  预充值电费</t>
  </si>
  <si>
    <t>顺丰 闽ADF7806 9.5-10.4 期间的停车费</t>
  </si>
  <si>
    <t>09-04 13:17:30至09-06 18:07:16(8笔)</t>
  </si>
  <si>
    <t>09-07 09:45:53至09-07 20:41:14(10笔)</t>
  </si>
  <si>
    <t>江秀云（叶月娟）</t>
  </si>
  <si>
    <t>B203 2个月租金及物业费 (2026.9.6-11.5)</t>
  </si>
  <si>
    <t>B221-222 8月水费</t>
  </si>
  <si>
    <t>B116 9月租金及物业费</t>
  </si>
  <si>
    <r>
      <rPr>
        <sz val="10"/>
        <color rgb="FF000000"/>
        <rFont val="宋体"/>
        <charset val="134"/>
      </rPr>
      <t>林东林</t>
    </r>
    <r>
      <rPr>
        <sz val="10"/>
        <color rgb="FF000000"/>
        <rFont val="Times New Roman"/>
        <charset val="134"/>
      </rPr>
      <t>(</t>
    </r>
    <r>
      <rPr>
        <sz val="10"/>
        <color rgb="FF000000"/>
        <rFont val="宋体"/>
        <charset val="134"/>
      </rPr>
      <t>拓远（福建）勘测规划有限公司</t>
    </r>
    <r>
      <rPr>
        <sz val="10"/>
        <color rgb="FF000000"/>
        <rFont val="Times New Roman"/>
        <charset val="134"/>
      </rPr>
      <t>)</t>
    </r>
  </si>
  <si>
    <t>A301 8月水费</t>
  </si>
  <si>
    <t>09-08 11:51:14至09-08 17:31:18(3笔)</t>
  </si>
  <si>
    <t>C304 9月租金物业及8月水费</t>
  </si>
  <si>
    <t>09-09 09:04:53至09-09 17:13:32(2笔)</t>
  </si>
  <si>
    <t>B121-122  押金</t>
  </si>
  <si>
    <t>B121-123 （2026.9.25-10.24（每月优惠172元））</t>
  </si>
  <si>
    <t>A101、A104 8月水费</t>
  </si>
  <si>
    <t>福州晋安后屿站点电费7.22-8.21</t>
  </si>
  <si>
    <t>09-10 12:14:51至09-10 11:55:16(2笔)</t>
  </si>
  <si>
    <t>京东佣金2026.8.20-11.19</t>
  </si>
  <si>
    <t>09-11 14:58:43至09-13 15:06:55(10笔)</t>
  </si>
  <si>
    <t>A103、A106 9月租金物业费及8月水费</t>
  </si>
  <si>
    <t>A101、A104 9月租金物业费（2026.10.1-2026.10.31）</t>
  </si>
  <si>
    <t>B203 8月份水费公摊</t>
  </si>
  <si>
    <t>C308 8月份水费公摊</t>
  </si>
  <si>
    <t>B120、206-207 8月份水费公摊</t>
  </si>
  <si>
    <t>A201 闽C600Q0 9.11-10.10 期间的停车费</t>
  </si>
  <si>
    <t>易佰兴8月工资16492.25元</t>
  </si>
  <si>
    <t>9月社医保费用8507.75元</t>
  </si>
  <si>
    <t>C305 9月租金物业费及8月水费</t>
  </si>
  <si>
    <t>09-14 19:21:11至09-14 19:21:11(1笔)</t>
  </si>
  <si>
    <t>09-15 08:20:20至09-15 18:17:34(3笔)</t>
  </si>
  <si>
    <t>09-16 10:29:48至09-16 19:54:17(2笔)</t>
  </si>
  <si>
    <t>陈茂贵</t>
  </si>
  <si>
    <t>地址托管服务费</t>
  </si>
  <si>
    <t>09-17 13:35:17至09-17 21:13:59(3笔)</t>
  </si>
  <si>
    <t>B101-103、B114-115 8月份水费</t>
  </si>
  <si>
    <t>B214-215 闽A98M8D 9.16-10.15 期间的停车费</t>
  </si>
  <si>
    <t>陈杜娟 闽A818C6 9.19-12.18 期间的停车费</t>
  </si>
  <si>
    <t>09-18 08:55:19至09-20 19:58:32(7笔)</t>
  </si>
  <si>
    <t>09-21 08:14:14至09-21 19:51:52(8笔)</t>
  </si>
  <si>
    <t>B214-215 9月租金物业</t>
  </si>
  <si>
    <t>09-22 08:26:43至09-22 08:26:43(1笔)</t>
  </si>
  <si>
    <t>C201 租金（2026.9.10-11.9）及8月水费</t>
  </si>
  <si>
    <t>售电返利7-8月</t>
  </si>
  <si>
    <t>09-23 08:31:37至09-23 08:33:22(5笔)</t>
  </si>
  <si>
    <t>B210、B211 9月租金物业及8月水费</t>
  </si>
  <si>
    <t>B205 8月租金物业费</t>
  </si>
  <si>
    <t>B205 9月租金物业费</t>
  </si>
  <si>
    <t>09-24 06:15:06至09-24 13:57:40(3笔)</t>
  </si>
  <si>
    <t>09-25 08:40:48至09-25 17:10:01(3笔)</t>
  </si>
  <si>
    <t>09-26 09:09:19至09-26 17:36:32(5笔)</t>
  </si>
  <si>
    <t>09-27 00:37:31至09-27 21:13:51(5笔)</t>
  </si>
  <si>
    <t>C311鞋厂 闽A87V6U 9.22-10.21、闽A16S6C 9.24-10.23 期间的停车费</t>
  </si>
  <si>
    <t>B101顺丰 闽DAF1357 9.26-10.25 期间的停车费</t>
  </si>
  <si>
    <t>B101顺丰 闽KD6211 9.24-10.23 期间的停车费</t>
  </si>
  <si>
    <t>陈兴登</t>
  </si>
  <si>
    <t>易佰兴公司法人工资</t>
  </si>
  <si>
    <t>09-28 09:06:04至09-28 21:17:32(5笔)</t>
  </si>
  <si>
    <t>A102 9月租金物业及8月水费</t>
  </si>
  <si>
    <t>09-29 11:23:59至09-29 19:09:51(7笔)</t>
  </si>
  <si>
    <t>C302 9月租金及8月水费</t>
  </si>
  <si>
    <t>C311 9月租金及8月水费</t>
  </si>
  <si>
    <t>B121楼隔墙项目</t>
  </si>
  <si>
    <t>顺丰 闽AA31869与闽AA37276 10.1-12.31期间的停车费</t>
  </si>
  <si>
    <t>A201 10月租金物业（2026.10.1-10.31）及8月水费</t>
  </si>
  <si>
    <t>09-30 08:11:56至09-30 23:00:10(5笔)</t>
  </si>
  <si>
    <t>10-01 02:05:51至10-01 16:30:20(2笔)</t>
  </si>
  <si>
    <t>10-02 07:31:50至10-02 07:31:50(1笔)</t>
  </si>
  <si>
    <t>10-03 15:01:09至10-03 07:32:04(1笔)</t>
  </si>
  <si>
    <t>10-04 01:30:26至10-04 22:52:44(6笔)</t>
  </si>
  <si>
    <t>B109 季度租金物业费（2026.10.7-2027.1.6）</t>
  </si>
  <si>
    <t>B105、B106 9月租金物业</t>
  </si>
  <si>
    <t>10-05 14:38:13至10-05 14:38:13(1笔)</t>
  </si>
  <si>
    <t>现金日记账</t>
  </si>
  <si>
    <t>天虹 闽A31J6H月租停车费</t>
  </si>
  <si>
    <t>天虹 闽A31J6H</t>
  </si>
  <si>
    <t>月租停车费</t>
  </si>
  <si>
    <r>
      <rPr>
        <u val="singleAccounting"/>
        <sz val="16"/>
        <color theme="0"/>
        <rFont val="汉仪粗宋简"/>
        <charset val="134"/>
      </rPr>
      <t>银行日记账--建设</t>
    </r>
    <r>
      <rPr>
        <sz val="16"/>
        <color theme="0"/>
        <rFont val="汉仪粗宋简"/>
        <charset val="134"/>
      </rPr>
      <t>银行</t>
    </r>
  </si>
  <si>
    <t>广告费</t>
  </si>
  <si>
    <t>转入一般户（用于支付开户手续费）</t>
  </si>
  <si>
    <t>建行福州思儿亭支行</t>
  </si>
  <si>
    <t>网银盾费用</t>
  </si>
  <si>
    <t>对公结算套餐&amp;quot;普惠扬帆（A版）;年费</t>
  </si>
  <si>
    <t>龙岩永泽新能源科技有限公司</t>
  </si>
  <si>
    <t>2026年1月光伏电费</t>
  </si>
  <si>
    <t>基本户转入一般户（建行）</t>
  </si>
  <si>
    <t>谢依俤转入建行一般户（支付远西村租金）</t>
  </si>
  <si>
    <t>福州市晋安区鼓山镇远西村股份经济合作社</t>
  </si>
  <si>
    <t>付远西村2026年2月租金</t>
  </si>
  <si>
    <t>董嘉怡</t>
  </si>
  <si>
    <t>2026.1.22-2026.2.23水费：395吨*7.28=2875.6</t>
  </si>
  <si>
    <t>福州易施特自动化科技</t>
  </si>
  <si>
    <t>B314-315 季度租金及物业（2026.3.1-5.31）</t>
  </si>
  <si>
    <t>国网福建省电力有限公司</t>
  </si>
  <si>
    <t>户号*2043电费2月电费</t>
  </si>
  <si>
    <t>福清市众志财务科技有限公司</t>
  </si>
  <si>
    <t>易佰兴2026年1月份代账费用</t>
  </si>
  <si>
    <t>福建汇闽筑业建设工程有限公司</t>
  </si>
  <si>
    <t>B308-309 3月租金物业</t>
  </si>
  <si>
    <t>付远西村2026年3月租金</t>
  </si>
  <si>
    <t>福州昱硕进出口有限公司</t>
  </si>
  <si>
    <t>B212-213 2月水费</t>
  </si>
  <si>
    <t>广东浩传管理服务有限公司</t>
  </si>
  <si>
    <t>C202-204 3月租金物业</t>
  </si>
  <si>
    <t>福州大极通进出口贸易有限公司</t>
  </si>
  <si>
    <t>B124 3月租金物业2月水费</t>
  </si>
  <si>
    <t>D102-105 3月租金及2月水费</t>
  </si>
  <si>
    <t>拓远（福建）勘测规划有限公司</t>
  </si>
  <si>
    <t>A301 3月租金物业</t>
  </si>
  <si>
    <t>一般户转入基本户（发工资）</t>
  </si>
  <si>
    <t>极芯科技（福州）有限公司</t>
  </si>
  <si>
    <t>C108 租金及物业费（ 2026.3.1-4.30）</t>
  </si>
  <si>
    <t>C108 租赁保证金</t>
  </si>
  <si>
    <t>B101-103、B114-115  租金（2026.3.1-6.30）</t>
  </si>
  <si>
    <t>私户转入一般户（支付远西村租金）</t>
  </si>
  <si>
    <t>户号*2043电费3月电费</t>
  </si>
  <si>
    <t>2026.2.24-2026.3.23水费:472吨*7.28=3436.16</t>
  </si>
  <si>
    <t>个人所得税</t>
  </si>
  <si>
    <t>王雪</t>
  </si>
  <si>
    <t>C201 定金</t>
  </si>
  <si>
    <t>B308-309 4月租金物业</t>
  </si>
  <si>
    <t>还款转入一般户（用于支付开户手续费）</t>
  </si>
  <si>
    <t>福州居宁有害生物防治有限公司</t>
  </si>
  <si>
    <t>垃圾清运费2026年1-3月</t>
  </si>
  <si>
    <t>B212-213 3月水费</t>
  </si>
  <si>
    <t>B212-213 4月租金物业（2026.4.1-6.30）</t>
  </si>
  <si>
    <t>郑玲玲</t>
  </si>
  <si>
    <t>4.12-5.11日京东车队停车费</t>
  </si>
  <si>
    <t>福州吉市晓居商业管理有限公司</t>
  </si>
  <si>
    <t>B124 4月租金物业3月水费</t>
  </si>
  <si>
    <t>20260301-20260331增值税           123.14元
20260301-20260331地方教育附加     1.23元
20260301-20260331城市维护建设税   4.31元
20260301-20260331教育费附加       1.84  元</t>
  </si>
  <si>
    <t>20260301-20260331印花税           18.89元</t>
  </si>
  <si>
    <t>付远西村2026年4月租金</t>
  </si>
  <si>
    <t>15280010023充值（招商）100元、智能电表通信模块充值9台135</t>
  </si>
  <si>
    <t>购插座1格11.5元、电流感应器9格527.23元、智能电表3个1139.83元</t>
  </si>
  <si>
    <t>购插座6个</t>
  </si>
  <si>
    <t>A301 4月物业</t>
  </si>
  <si>
    <t>A301 4月租金</t>
  </si>
  <si>
    <t>B101-103、B114-115 物业费（2026.3.1-6.30）</t>
  </si>
  <si>
    <t>年会费用</t>
  </si>
  <si>
    <t>分众智媒广告有限公司</t>
  </si>
  <si>
    <t>电梯广告费</t>
  </si>
  <si>
    <t>户号*2043电费4月电费(商户：28791.51*0.3884991=11185.48元、4107.84*0.3884991=1595.89</t>
  </si>
  <si>
    <t>2026.3.24-2026.4.23水费3945.76元:535.6吨*7.28=3899.17元、6.4吨*7.28=46.59</t>
  </si>
  <si>
    <t>付远西村2025年7月-8月租金</t>
  </si>
  <si>
    <t>户号*2043电费4月电费</t>
  </si>
  <si>
    <t>5.12-5.11日京东车队停车费</t>
  </si>
  <si>
    <t>B308-309 5月租金物业</t>
  </si>
  <si>
    <t>B124 5月租金物业4月水费</t>
  </si>
  <si>
    <t>B120、B206-207 租金（2025.12.1-2025.12.31）</t>
  </si>
  <si>
    <t>B120、B206-207 租金（2026.1.1-2026.10.31）</t>
  </si>
  <si>
    <t>福建拓远智航科技发展有限公司</t>
  </si>
  <si>
    <t>A301 5月租金物业费</t>
  </si>
  <si>
    <t>B212-213 4月水费</t>
  </si>
  <si>
    <t>C301 押金</t>
  </si>
  <si>
    <t>付远西村2026年5月租金</t>
  </si>
  <si>
    <t>快递费</t>
  </si>
  <si>
    <t>订购50桶七宝桶装水</t>
  </si>
  <si>
    <t>C108 租金及物业费（ 2026.5.1-6.30）</t>
  </si>
  <si>
    <t>B座3层押金</t>
  </si>
  <si>
    <t>广西分众数媒广告有限公司</t>
  </si>
  <si>
    <t>C108 4月水费</t>
  </si>
  <si>
    <t>福州京邦达供应链科技有限公司</t>
  </si>
  <si>
    <t>C101 物业费（2026.5.20-8.19）</t>
  </si>
  <si>
    <t>C101 租金（2026.5.20-8.19）</t>
  </si>
  <si>
    <t>户号*2043电费5月电费(商户：31260.84*0.3113515=9733.11元、8320.24*0.3113515=2590.52元）</t>
  </si>
  <si>
    <t>2026.4.22-2026.5.22水费（商户：3945.76元:581吨*7.28=4229.68元、10吨*7.28=72.8元）</t>
  </si>
  <si>
    <t>退还押金</t>
  </si>
  <si>
    <t>户号*2043电费5月电费</t>
  </si>
  <si>
    <t>基本户转入一般户（建行）支付水利建设专项收入</t>
  </si>
  <si>
    <t>支付水利建设专项收入</t>
  </si>
  <si>
    <t>A301 6月租金</t>
  </si>
  <si>
    <t>A301 6月物业</t>
  </si>
  <si>
    <t>B124 6月租金物业5月水费</t>
  </si>
  <si>
    <t>B212-213 5月水费</t>
  </si>
  <si>
    <t>20260501-20260531城市维护建设税28.19|地方教育附加8.05|增值税805.44|教育费附加12.08</t>
  </si>
  <si>
    <t>20260501-20260531印花税</t>
  </si>
  <si>
    <t>6.12-7.11日京东车队停车费</t>
  </si>
  <si>
    <t>电梯轨道润滑油1桶</t>
  </si>
  <si>
    <t>15280010023充值100元</t>
  </si>
  <si>
    <t>保安、保洁防晒衣</t>
  </si>
  <si>
    <t>付远西村2026年6月租金</t>
  </si>
  <si>
    <t>B212-213 电费</t>
  </si>
  <si>
    <t>福州易施特自动化科技有限公司</t>
  </si>
  <si>
    <t>B314-315 2026.6.1-6.19租金及物业费</t>
  </si>
  <si>
    <t>B219-220 押金</t>
  </si>
  <si>
    <t>B314-315押金7954.64元抵扣B219-220 6月22日-9月30日的部分租金7954.64元，补足剩余租金4453.36元、物业2112元</t>
  </si>
  <si>
    <t>方邦炎</t>
  </si>
  <si>
    <t>福建汇闽筑业建设工程有限公司履约赔偿款</t>
  </si>
  <si>
    <t>2026.5.22-2026.6.22水费（商户：514元吨*7.28=3741.92元、9吨*7.28=65.52元）</t>
  </si>
  <si>
    <t>户号*2043电费6月电费(商户：39398.72*0.2877472=11336.87元、9878.41*0.2877472=2842.49元）</t>
  </si>
  <si>
    <t>B310-313、B113以押抵租原押金12200元，抵扣（ 2026.6.1-2026.6.23租金948.77元，剩余押金5151.23元建行一般户退还，6100元谢依俤农商行退还</t>
  </si>
  <si>
    <t>福州洪庆办公设备有限公司</t>
  </si>
  <si>
    <t>2025年7月1日-2026年3月31日复印机租赁费用</t>
  </si>
  <si>
    <t>福建东南特检科技有限公司福州鼓楼分公司</t>
  </si>
  <si>
    <t>电梯检测费</t>
  </si>
  <si>
    <t>福州欧跃电梯有限公司</t>
  </si>
  <si>
    <t>2026年4月1日-2027年3月31日电梯维保费用</t>
  </si>
  <si>
    <t>垃圾清运费2026年4-6月</t>
  </si>
  <si>
    <t>C215-216 以押抵租原押金9024元，抵扣2026.6.1-2026.9.30租金7308元、物业1492元，2026.10.1-2026.10.31部分租金224元</t>
  </si>
  <si>
    <t>户号*2043电费6月电费</t>
  </si>
  <si>
    <t>7.3-8.2日京东车队停车费</t>
  </si>
  <si>
    <t>7.12-8.11日京东车队停车费</t>
  </si>
  <si>
    <t>B212-213 6月水费</t>
  </si>
  <si>
    <t>B212-213 季度租金物业（2026.7.1-9.30）</t>
  </si>
  <si>
    <t>B124 7月租金物业6月水费</t>
  </si>
  <si>
    <t>C108 租金及物业费（ 2026.7.1-8.31）及6月水费</t>
  </si>
  <si>
    <t>A301 7月租金物业费</t>
  </si>
  <si>
    <t>付远西村2026年7月租金</t>
  </si>
  <si>
    <t>香薰片21.46元、干粉灭火器20套3200元、6人微型消防站3930元、防水布139.25元、防汛沙袋495元</t>
  </si>
  <si>
    <t>发电机用油 汽油92号30L</t>
  </si>
  <si>
    <t>快递费130.56+157.5=288.06元</t>
  </si>
  <si>
    <t>购买办公室厕纸52.5、防汛值班朴朴购买食物干粮及水254.38元</t>
  </si>
  <si>
    <t>B101-103、B114-115  租金（2026.7.1-10.31）</t>
  </si>
  <si>
    <t>灭火器换粉84个.微型消防站3个</t>
  </si>
  <si>
    <t>2026.6.22-2026.7.22水费（商户：570吨*7.28=4149.6元、8吨*7.28=58.24元）</t>
  </si>
  <si>
    <t>2026.2.1-2.28光伏电费</t>
  </si>
  <si>
    <t>户号*2043电费7月电费(商户：53479.52*0.287548=15377.93元、15365.58*0.287548=4418.34元）</t>
  </si>
  <si>
    <t>厦门路桥信息股份有限公司</t>
  </si>
  <si>
    <t>临时停车费（2026.8.2-2026.8.2）</t>
  </si>
  <si>
    <t>临时停车费（2026.8.3-2026.8.3）</t>
  </si>
  <si>
    <t>户号*2043电费7月电费</t>
  </si>
  <si>
    <t>临时停车费（2026.8.4-2026.8.4）</t>
  </si>
  <si>
    <t>8.12-9.11日京东车队停车费</t>
  </si>
  <si>
    <t>临时停车费（2026.8.5-2026.8.5）</t>
  </si>
  <si>
    <t>B124 8月租金物业7月水费</t>
  </si>
  <si>
    <t>A301 8月租金物业费</t>
  </si>
  <si>
    <t>临时停车费（2026.8.6-2026.8.6）</t>
  </si>
  <si>
    <t>临时停车费（2026.8.7-2026.8.7）</t>
  </si>
  <si>
    <t>临时停车费（2026.8.8-2026.8.8）</t>
  </si>
  <si>
    <t>B212-213 7月水费</t>
  </si>
  <si>
    <t>B101-103、B114-115 物业费（2026.7.1-2026.10.31）</t>
  </si>
  <si>
    <t>临时停车费（2026.8.9-2026.8.9）</t>
  </si>
  <si>
    <t>临时停车费（2026.8.10-2026.8.10）</t>
  </si>
  <si>
    <t>2026.4.1-6.30复印机租赁结算费</t>
  </si>
  <si>
    <t>付远西村2026年8月租金</t>
  </si>
  <si>
    <t>20260701-20260731城市维护建设税26.58元、地方教育附加7.59元、增值税759.56元、教育费附加11.39元</t>
  </si>
  <si>
    <t>20260701-20260731印花税</t>
  </si>
  <si>
    <t>临时停车费（2026.8.11-2026.8.11）</t>
  </si>
  <si>
    <t>临时停车费（2026.8.12-2026.8.12）</t>
  </si>
  <si>
    <t>福建喜牛电子商务有限公司</t>
  </si>
  <si>
    <t>B218 租金物业费（2026.8.15-11.14）</t>
  </si>
  <si>
    <t>临时停车费（2026.8.13-2026.8.13）</t>
  </si>
  <si>
    <t>15280010023充值</t>
  </si>
  <si>
    <t>临时停车费（2026.8.14-2026.8.14）</t>
  </si>
  <si>
    <t>临时停车费（2026.8.15-2026.8.15）</t>
  </si>
  <si>
    <t>邮件快递费</t>
  </si>
  <si>
    <t>安全员培训费</t>
  </si>
  <si>
    <t>临时停车费（2026.8.16-2026.8.16）</t>
  </si>
  <si>
    <t>临时停车费（2026.8.17-2026.8.17）</t>
  </si>
  <si>
    <t>C101 季度缴物业费（2026.8.20-2026.11.19）</t>
  </si>
  <si>
    <t>临时停车费（2026.8.18-2026.8.18）</t>
  </si>
  <si>
    <t>C101 季度缴租金（2026.8.20-2026.11.19）</t>
  </si>
  <si>
    <t>私户转入一般户</t>
  </si>
  <si>
    <t>临时停车费（2026.8.19-2026.8.19）</t>
  </si>
  <si>
    <t>临时停车费（2026.8.20-2026.8.20）</t>
  </si>
  <si>
    <t>临时停车费（2026.8.21-2026.8.21）</t>
  </si>
  <si>
    <t>临时停车费（2026.8.22-2026.8.22）</t>
  </si>
  <si>
    <t>临时停车费（2026.8.23-2026.8.23）</t>
  </si>
  <si>
    <t>2026.7.22-2026.8.22水费（商户：569吨*7.28=4142.32元、7吨*7.28=50.96元）</t>
  </si>
  <si>
    <t>临时停车费（2026.8.24-2026.8.24）</t>
  </si>
  <si>
    <t>临时停车费（2026.8.25-2026.8.25）</t>
  </si>
  <si>
    <t>临时停车费（2026.8.26-2026.8.26）</t>
  </si>
  <si>
    <t>户号*2043电费8月电费(商户：49941.62*0.3401494=16987.61元、14450.23*0.3401494=4915.24元）</t>
  </si>
  <si>
    <t>临时停车费（2026.8.27-2026.8.27）</t>
  </si>
  <si>
    <t>临时停车费（2026.8.28-2026.8.28）</t>
  </si>
  <si>
    <t>临时停车费（2026.8.29-2026.8.29）</t>
  </si>
  <si>
    <t>2026.3.1-3.31光伏电费</t>
  </si>
  <si>
    <t>临时停车费（2026.8.30-2026.8.30）</t>
  </si>
  <si>
    <t>临时停车费（2026.8.30-2026.8.31）</t>
  </si>
  <si>
    <t>临时停车费（2026.9.1-2026.9.1）</t>
  </si>
  <si>
    <t>临时停车费（2026.9.2-2026.9.2）</t>
  </si>
  <si>
    <t>户号*2043电费8月电费</t>
  </si>
  <si>
    <t>临时停车费（2026.9.3-2026.9.3）</t>
  </si>
  <si>
    <t>临时停车费（2026.9.4-2026.9.4）</t>
  </si>
  <si>
    <t>临时停车费（2026.9.5-2026.9.5）</t>
  </si>
  <si>
    <t>临时停车费（2026.9.6-2026.9.6）</t>
  </si>
  <si>
    <t>临时停车费（2026.9.7-2026.9.7）</t>
  </si>
  <si>
    <t>B124 9月租金物业8月水费</t>
  </si>
  <si>
    <t>B212-213 8月水费</t>
  </si>
  <si>
    <t>C108 租金及物业费（ 2026.9.1-10.31）及8月水费</t>
  </si>
  <si>
    <t>A301 9月租金物业费</t>
  </si>
  <si>
    <t>9.12-10.11日京东车队停车费</t>
  </si>
  <si>
    <t>临时停车费（2026.9.8-2026.9.8）</t>
  </si>
  <si>
    <t>临时停车费（2026.9.9-2026.9.9）</t>
  </si>
  <si>
    <t>临时停车费（2026.9.10-2026.9.10）</t>
  </si>
  <si>
    <t>临时停车费（2026.9.10-2026.9.11）</t>
  </si>
  <si>
    <t>临时停车费（2026.9.10-2026.9.12）</t>
  </si>
  <si>
    <t>20260801-20260831印花税</t>
  </si>
  <si>
    <t>付远西村2026年9月租金</t>
  </si>
  <si>
    <t>临时停车费（2026.9.13-2026.9.13）</t>
  </si>
  <si>
    <t>临时停车费（2026.9.14-2026.9.14）</t>
  </si>
  <si>
    <t>临时停车费（2026.9.15-2026.9.15）</t>
  </si>
  <si>
    <t>临时停车费（2026.9.15-2026.9.16）</t>
  </si>
  <si>
    <t>临时停车费（2026.9.17-2026.9.17）</t>
  </si>
  <si>
    <t>临时停车费（2026.9.18-2026.9.18）</t>
  </si>
  <si>
    <t>临时停车费（2026.9.19-2026.9.19）</t>
  </si>
  <si>
    <t xml:space="preserve">2026.8.3-2026.9.2服务费
</t>
  </si>
  <si>
    <t>临时停车费（2026.9.20-2026.9.20）</t>
  </si>
  <si>
    <t>中国邮政集团有限公司福州分公司</t>
  </si>
  <si>
    <t>B108、119 租金（2026.8.1-10.31）</t>
  </si>
  <si>
    <t>B108、119 物业费（2026.8.1-10.31）</t>
  </si>
  <si>
    <t>临时停车费（2026.9.21-2026.9.21）</t>
  </si>
  <si>
    <t>2026.8.22-2026.9.22水费（商户：569吨*7.28=4142.32元、7吨*7.28=50.96元）</t>
  </si>
  <si>
    <t>临时停车费（2026.9.22-2026.9.22）</t>
  </si>
  <si>
    <t>临时停车费（2026.9.23-2026.9.23）</t>
  </si>
  <si>
    <t>临时停车费（2026.9.24-2026.9.24）</t>
  </si>
  <si>
    <t>临时停车费（2026.9.25-2026.9.25）</t>
  </si>
  <si>
    <t>临时停车费（2026.9.26-2026.9.26）</t>
  </si>
  <si>
    <t>临时停车费（2026.9.27-2026.9.27）</t>
  </si>
  <si>
    <t>泉州桃李面包有限公司</t>
  </si>
  <si>
    <t>临时停车费（2026.9.28-2026.9.28）</t>
  </si>
  <si>
    <t>户号*2043电费9月电费</t>
  </si>
  <si>
    <t>临时停车费（2026.9.29-2026.9.29）</t>
  </si>
  <si>
    <t>垃圾清运费2026年7-9月</t>
  </si>
  <si>
    <t>2026.4.1-4.30光伏电费</t>
  </si>
  <si>
    <t>临时停车费（2026.9.30-2026.9.30）</t>
  </si>
  <si>
    <t>临时停车费（2026.10.1-2026.10.1）</t>
  </si>
  <si>
    <t>临时停车费（2026.10.2-2026.10.2）</t>
  </si>
  <si>
    <t>临时停车费（2026.10.3-2026.10.3）</t>
  </si>
  <si>
    <t>临时停车费（2026.10.4-2026.10.4）</t>
  </si>
  <si>
    <t>临时停车费（2026.10.5-2026.10.5）</t>
  </si>
  <si>
    <r>
      <rPr>
        <u val="singleAccounting"/>
        <sz val="16"/>
        <color theme="0"/>
        <rFont val="汉仪粗宋简"/>
        <charset val="134"/>
      </rPr>
      <t>银行日记账--</t>
    </r>
    <r>
      <rPr>
        <sz val="16"/>
        <color theme="0"/>
        <rFont val="汉仪粗宋简"/>
        <charset val="134"/>
      </rPr>
      <t>农商银行</t>
    </r>
  </si>
  <si>
    <t>D102-105 2月租金及1月水费</t>
  </si>
  <si>
    <t>B124 2月租金物业及1月水费</t>
  </si>
  <si>
    <t>B101-103、B114-115  1月-2月物业</t>
  </si>
  <si>
    <t>B308-309 2月租金物业及1月水费</t>
  </si>
  <si>
    <t>A301 2月租金物业</t>
  </si>
  <si>
    <t>C202-204 2月租金物业</t>
  </si>
  <si>
    <t>京东4.2停车费(2.12-3.11)日</t>
  </si>
  <si>
    <t>待报解预算收入（TIPS税费）</t>
  </si>
  <si>
    <t>20260201-20260228    医疗保险          886.6                                                      20260201-20260228    生育保险          62.06</t>
  </si>
  <si>
    <t>B218   租金及物业（ 2026.2.15-5.14）</t>
  </si>
  <si>
    <t>电话费</t>
  </si>
  <si>
    <t>代收福州电业局电费归集户</t>
  </si>
  <si>
    <t>C101  季度缴物业费（2026.2.20-2026.5.19）</t>
  </si>
  <si>
    <t>C101  季度缴租金（2026.2.20-2026.5.19）</t>
  </si>
  <si>
    <t>B212-213 预充电费</t>
  </si>
  <si>
    <t>20260201-20260228增值税：2146.41元，城建75.12元，        教育附加32.19元，地方教育附加税21.46元</t>
  </si>
  <si>
    <t>京东4.2停车费(3.12-4.11)日</t>
  </si>
  <si>
    <t>一般户（建行）转入基本户付工资</t>
  </si>
  <si>
    <t>2026年2月工资</t>
  </si>
  <si>
    <t>福州悦丰投资有限公司</t>
  </si>
  <si>
    <t>悦丰转入 B208-210味全押金</t>
  </si>
  <si>
    <t>陈雄辉（味全）</t>
  </si>
  <si>
    <t>退B208-210 味全押金</t>
  </si>
  <si>
    <t>私户转入基本户付工资</t>
  </si>
  <si>
    <t>B108、119 租金（2026.2.1-4.30）</t>
  </si>
  <si>
    <t>B108、119 物业费（2026.2.1-4.30）</t>
  </si>
  <si>
    <t>B218   租金及物业（2026.5.15-8.14）</t>
  </si>
  <si>
    <t>B108、119预收电费</t>
  </si>
  <si>
    <t>B108、119 物业费（2026.5.1-7.31）</t>
  </si>
  <si>
    <t>B108、119 租金（2026.5.1-7.31）</t>
  </si>
  <si>
    <r>
      <rPr>
        <b/>
        <u val="singleAccounting"/>
        <sz val="10"/>
        <color theme="0"/>
        <rFont val="Microsoft YaHei"/>
        <charset val="134"/>
      </rPr>
      <t>银行日记账--</t>
    </r>
    <r>
      <rPr>
        <b/>
        <sz val="10"/>
        <color theme="0"/>
        <rFont val="Microsoft YaHei"/>
        <charset val="134"/>
      </rPr>
      <t>农商银行</t>
    </r>
  </si>
  <si>
    <t>户号*2043电费</t>
  </si>
  <si>
    <t>高上倍（极兔物流）</t>
  </si>
  <si>
    <t>D102-105 1月租金物业及12月水电费</t>
  </si>
  <si>
    <t>C202-204 1月租金物业</t>
  </si>
  <si>
    <t>B212-213 1月租金物业</t>
  </si>
  <si>
    <t>陈兴登转入</t>
  </si>
  <si>
    <t>付远西村2025年12月租金</t>
  </si>
  <si>
    <t>退垃圾清运费及装修保证金</t>
  </si>
  <si>
    <t>付2025.10-12月垃圾清运费</t>
  </si>
  <si>
    <t>B124 1月租金物业12月水电费</t>
  </si>
  <si>
    <t>B109 1月租金物业</t>
  </si>
  <si>
    <t>A301 1月租金物业</t>
  </si>
  <si>
    <t>1.12-1.11日京东车队停车费</t>
  </si>
  <si>
    <t>B101-103、B114-115 1月、2月租金(2026.1.1-2026.2.28)</t>
  </si>
  <si>
    <t>福州味全餐饮管理有限公司(周明国）</t>
  </si>
  <si>
    <t>B208-210 1月租金物业及12月水电费</t>
  </si>
  <si>
    <t>农商银行贷款利息</t>
  </si>
  <si>
    <t>B214-215 1月租金物业</t>
  </si>
  <si>
    <t>福州市惠榕居建材贸易（林剑辉）</t>
  </si>
  <si>
    <t>A201 2月租金（2026.2.1-2026.2.28）</t>
  </si>
  <si>
    <t>12月31日转3800元、1月23日转3800元</t>
  </si>
  <si>
    <t>户号*2043电费 1月电费</t>
  </si>
  <si>
    <t>付1月水费及垃圾处理费</t>
  </si>
  <si>
    <t>姚丽丽（福建利德安全防护用品有限公司）</t>
  </si>
  <si>
    <t>B204 1月租物业</t>
  </si>
  <si>
    <t>付远西村2026年1月租金</t>
  </si>
  <si>
    <t>B212-213 12月水电费</t>
  </si>
  <si>
    <t>悦丰投资转入</t>
  </si>
  <si>
    <t>D102-105 2月租金及1月水电费</t>
  </si>
  <si>
    <t>B124 2月租金物业1月水电费</t>
  </si>
  <si>
    <t>B308-309 2月租金物业及1月水电费</t>
  </si>
  <si>
    <t>水费（1月份）</t>
  </si>
  <si>
    <t>基本医疗保险费        20260201-20260228  886.6                                    生育保险                 20260201-20260228   62.06</t>
  </si>
  <si>
    <t>预充电费</t>
  </si>
  <si>
    <t>20260201-20260228增值税：2146.41元，城建75.12元，教育附加32.19元，地方教育附加税21.46元</t>
  </si>
  <si>
    <t>2-3月贷款利息款</t>
  </si>
  <si>
    <t>转入味全押金</t>
  </si>
  <si>
    <t>退味全押金</t>
  </si>
  <si>
    <t>谢依俤转入基本户付工资</t>
  </si>
  <si>
    <t>悦丰转入</t>
  </si>
  <si>
    <t>基本户转入一般户（建行支付2025年水利建设税）</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</si>
</sst>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_ "/>
  </numFmts>
  <fonts count="89">
    <font>
      <sz val="11"/>
      <color theme="1"/>
      <name val="宋体"/>
      <charset val="134"/>
      <scheme val="minor"/>
    </font>
    <font>
      <sz val="11"/>
      <color indexed="8"/>
      <name val="宋体"/>
      <charset val="134"/>
    </font>
    <font>
      <b/>
      <u/>
      <sz val="10"/>
      <color rgb="FF800080"/>
      <name val="Microsoft YaHei"/>
      <charset val="134"/>
    </font>
    <font>
      <b/>
      <u val="singleAccounting"/>
      <sz val="10"/>
      <color theme="0"/>
      <name val="Microsoft YaHei"/>
      <charset val="134"/>
    </font>
    <font>
      <u val="singleAccounting"/>
      <sz val="18"/>
      <color indexed="17"/>
      <name val="汉仪粗宋简"/>
      <charset val="134"/>
    </font>
    <font>
      <u val="singleAccounting"/>
      <sz val="16"/>
      <color theme="0"/>
      <name val="汉仪粗宋简"/>
      <charset val="134"/>
    </font>
    <font>
      <u/>
      <sz val="11"/>
      <color rgb="FF800080"/>
      <name val="宋体"/>
      <charset val="134"/>
      <scheme val="minor"/>
    </font>
    <font>
      <b/>
      <sz val="11"/>
      <color theme="0"/>
      <name val="Microsoft YaHei"/>
      <charset val="134"/>
    </font>
    <font>
      <sz val="10"/>
      <color indexed="8"/>
      <name val="Microsoft YaHei"/>
      <charset val="134"/>
    </font>
    <font>
      <sz val="10"/>
      <color rgb="FF000000"/>
      <name val="Microsoft YaHei"/>
      <charset val="134"/>
    </font>
    <font>
      <sz val="10"/>
      <color rgb="FFFF0000"/>
      <name val="Microsoft YaHei"/>
      <charset val="134"/>
    </font>
    <font>
      <sz val="10"/>
      <color rgb="FF00B0F0"/>
      <name val="Microsoft YaHei"/>
      <charset val="134"/>
    </font>
    <font>
      <sz val="10"/>
      <name val="Microsoft YaHei"/>
      <charset val="134"/>
    </font>
    <font>
      <sz val="10"/>
      <color indexed="8"/>
      <name val="Times New Roman"/>
      <charset val="134"/>
    </font>
    <font>
      <sz val="10"/>
      <color rgb="FF000000"/>
      <name val="宋体"/>
      <charset val="134"/>
    </font>
    <font>
      <sz val="10"/>
      <color indexed="8"/>
      <name val="宋体"/>
      <charset val="134"/>
    </font>
    <font>
      <sz val="11"/>
      <color theme="0"/>
      <name val="汉仪粗宋简"/>
      <charset val="134"/>
    </font>
    <font>
      <sz val="10"/>
      <color rgb="FFFF0000"/>
      <name val="Times New Roman"/>
      <charset val="134"/>
    </font>
    <font>
      <sz val="10"/>
      <color rgb="FF00B0F0"/>
      <name val="Times New Roman"/>
      <charset val="134"/>
    </font>
    <font>
      <sz val="10"/>
      <name val="Times New Roman"/>
      <charset val="134"/>
    </font>
    <font>
      <sz val="10"/>
      <color rgb="FFFF0000"/>
      <name val="宋体"/>
      <charset val="134"/>
    </font>
    <font>
      <sz val="11"/>
      <color rgb="FFFF0000"/>
      <name val="宋体"/>
      <charset val="134"/>
    </font>
    <font>
      <sz val="10"/>
      <name val="宋体"/>
      <charset val="134"/>
    </font>
    <font>
      <sz val="10"/>
      <color rgb="FFE60FBB"/>
      <name val="Times New Roman"/>
      <charset val="134"/>
    </font>
    <font>
      <sz val="10"/>
      <color rgb="FFE60FBB"/>
      <name val="宋体"/>
      <charset val="134"/>
    </font>
    <font>
      <sz val="10"/>
      <color rgb="FF000000"/>
      <name val="Times New Roman"/>
      <charset val="134"/>
    </font>
    <font>
      <sz val="10"/>
      <color rgb="FF7030A0"/>
      <name val="Times New Roman"/>
      <charset val="134"/>
    </font>
    <font>
      <sz val="10"/>
      <color rgb="FF7030A0"/>
      <name val="宋体"/>
      <charset val="134"/>
    </font>
    <font>
      <sz val="10"/>
      <color rgb="FFFF0000"/>
      <name val="Arial Unicode MS"/>
      <charset val="134"/>
    </font>
    <font>
      <sz val="10"/>
      <color theme="1"/>
      <name val="Arial Unicode MS"/>
      <charset val="134"/>
    </font>
    <font>
      <sz val="10"/>
      <color rgb="FF000000"/>
      <name val="Arial Unicode MS"/>
      <charset val="134"/>
    </font>
    <font>
      <sz val="10"/>
      <color theme="1"/>
      <name val="宋体"/>
      <charset val="134"/>
      <scheme val="minor"/>
    </font>
    <font>
      <sz val="10.5"/>
      <color rgb="FF333333"/>
      <name val="Helvetica"/>
      <charset val="134"/>
    </font>
    <font>
      <sz val="8"/>
      <color rgb="FF000000"/>
      <name val="Times New Roman"/>
      <charset val="134"/>
    </font>
    <font>
      <sz val="10"/>
      <color theme="1"/>
      <name val="宋体"/>
      <charset val="134"/>
    </font>
    <font>
      <sz val="10"/>
      <color theme="1"/>
      <name val="Times New Roman"/>
      <charset val="134"/>
    </font>
    <font>
      <sz val="9"/>
      <name val="宋体"/>
      <charset val="134"/>
    </font>
    <font>
      <sz val="9"/>
      <color theme="1"/>
      <name val="宋体"/>
      <charset val="134"/>
      <scheme val="minor"/>
    </font>
    <font>
      <sz val="9"/>
      <color rgb="FF000000"/>
      <name val="宋体"/>
      <charset val="134"/>
    </font>
    <font>
      <sz val="10"/>
      <color theme="3" tint="0.399975585192419"/>
      <name val="Times New Roman"/>
      <charset val="134"/>
    </font>
    <font>
      <u/>
      <sz val="11"/>
      <color rgb="FF0000FF"/>
      <name val="宋体"/>
      <charset val="134"/>
      <scheme val="minor"/>
    </font>
    <font>
      <sz val="9"/>
      <color rgb="FFFF0000"/>
      <name val="宋体"/>
      <charset val="134"/>
      <scheme val="minor"/>
    </font>
    <font>
      <sz val="9"/>
      <name val="宋体"/>
      <charset val="134"/>
      <scheme val="minor"/>
    </font>
    <font>
      <sz val="11"/>
      <color rgb="FF000000"/>
      <name val="宋体"/>
      <charset val="134"/>
    </font>
    <font>
      <sz val="11"/>
      <color rgb="FFFF0000"/>
      <name val="宋体"/>
      <charset val="134"/>
      <scheme val="minor"/>
    </font>
    <font>
      <sz val="10"/>
      <color rgb="FFFF0000"/>
      <name val="宋体"/>
      <charset val="134"/>
      <scheme val="minor"/>
    </font>
    <font>
      <sz val="14"/>
      <color theme="1"/>
      <name val="KaiTi"/>
      <charset val="134"/>
    </font>
    <font>
      <b/>
      <sz val="14"/>
      <color theme="1"/>
      <name val="KaiTi"/>
      <charset val="134"/>
    </font>
    <font>
      <b/>
      <sz val="12"/>
      <name val="KaiTi"/>
      <charset val="134"/>
    </font>
    <font>
      <b/>
      <sz val="12"/>
      <color theme="0"/>
      <name val="KaiTi"/>
      <charset val="134"/>
    </font>
    <font>
      <sz val="12"/>
      <color theme="1"/>
      <name val="宋体"/>
      <charset val="134"/>
    </font>
    <font>
      <sz val="11"/>
      <color theme="1"/>
      <name val="楷体"/>
      <charset val="134"/>
    </font>
    <font>
      <sz val="11"/>
      <color theme="1"/>
      <name val="KaiTi"/>
      <charset val="134"/>
    </font>
    <font>
      <sz val="11"/>
      <name val="宋体"/>
      <charset val="134"/>
      <scheme val="minor"/>
    </font>
    <font>
      <b/>
      <sz val="12"/>
      <color theme="1"/>
      <name val="KaiTi"/>
      <charset val="134"/>
    </font>
    <font>
      <sz val="10"/>
      <color theme="1"/>
      <name val="KaiTi"/>
      <charset val="134"/>
    </font>
    <font>
      <sz val="9"/>
      <color theme="1"/>
      <name val="KaiTi"/>
      <charset val="134"/>
    </font>
    <font>
      <b/>
      <sz val="12"/>
      <name val="楷体"/>
      <charset val="134"/>
    </font>
    <font>
      <b/>
      <sz val="12"/>
      <color theme="1"/>
      <name val="楷体"/>
      <charset val="134"/>
    </font>
    <font>
      <sz val="9"/>
      <color theme="1"/>
      <name val="楷体"/>
      <charset val="134"/>
    </font>
    <font>
      <b/>
      <sz val="11"/>
      <color theme="1"/>
      <name val="宋体"/>
      <charset val="134"/>
      <scheme val="minor"/>
    </font>
    <font>
      <sz val="10.5"/>
      <color rgb="FF242933"/>
      <name val="宋体"/>
      <charset val="134"/>
    </font>
    <font>
      <sz val="18"/>
      <color theme="1"/>
      <name val="宋体"/>
      <charset val="134"/>
      <scheme val="minor"/>
    </font>
    <font>
      <u/>
      <sz val="18"/>
      <color rgb="FF80008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theme="0"/>
      <name val="宋体"/>
      <charset val="134"/>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134"/>
      <scheme val="minor"/>
    </font>
    <font>
      <sz val="11"/>
      <color theme="1"/>
      <name val="宋体"/>
      <charset val="0"/>
      <scheme val="minor"/>
    </font>
    <font>
      <sz val="11"/>
      <color theme="0"/>
      <name val="宋体"/>
      <charset val="0"/>
      <scheme val="minor"/>
    </font>
    <font>
      <b/>
      <u val="doubleAccounting"/>
      <sz val="24"/>
      <color theme="1"/>
      <name val="微软雅黑"/>
      <charset val="134"/>
    </font>
    <font>
      <sz val="16"/>
      <color theme="0"/>
      <name val="汉仪粗宋简"/>
      <charset val="134"/>
    </font>
    <font>
      <sz val="8"/>
      <color rgb="FF000000"/>
      <name val="宋体"/>
      <charset val="134"/>
    </font>
    <font>
      <b/>
      <sz val="10"/>
      <color theme="0"/>
      <name val="Microsoft YaHei"/>
      <charset val="134"/>
    </font>
    <font>
      <b/>
      <sz val="9"/>
      <name val="宋体"/>
      <charset val="134"/>
    </font>
    <font>
      <sz val="9"/>
      <name val="宋体"/>
      <charset val="134"/>
    </font>
  </fonts>
  <fills count="46">
    <fill>
      <patternFill patternType="none"/>
    </fill>
    <fill>
      <patternFill patternType="gray125"/>
    </fill>
    <fill>
      <patternFill patternType="solid">
        <fgColor theme="0"/>
        <bgColor indexed="64"/>
      </patternFill>
    </fill>
    <fill>
      <patternFill patternType="solid">
        <fgColor theme="3" tint="0.599993896298105"/>
        <bgColor indexed="64"/>
      </patternFill>
    </fill>
    <fill>
      <patternFill patternType="solid">
        <fgColor rgb="FFFF0000"/>
        <bgColor indexed="64"/>
      </patternFill>
    </fill>
    <fill>
      <patternFill patternType="solid">
        <fgColor rgb="FFFFFF00"/>
        <bgColor indexed="64"/>
      </patternFill>
    </fill>
    <fill>
      <patternFill patternType="solid">
        <fgColor theme="9" tint="0.399975585192419"/>
        <bgColor indexed="64"/>
      </patternFill>
    </fill>
    <fill>
      <patternFill patternType="solid">
        <fgColor theme="5" tint="0.6"/>
        <bgColor indexed="64"/>
      </patternFill>
    </fill>
    <fill>
      <patternFill patternType="solid">
        <fgColor rgb="FF00B0F0"/>
        <bgColor indexed="64"/>
      </patternFill>
    </fill>
    <fill>
      <patternFill patternType="solid">
        <fgColor rgb="FF00B050"/>
        <bgColor indexed="64"/>
      </patternFill>
    </fill>
    <fill>
      <patternFill patternType="solid">
        <fgColor rgb="FFFFFFFF"/>
        <bgColor indexed="64"/>
      </patternFill>
    </fill>
    <fill>
      <patternFill patternType="solid">
        <fgColor theme="9" tint="0.599993896298105"/>
        <bgColor indexed="64"/>
      </patternFill>
    </fill>
    <fill>
      <patternFill patternType="solid">
        <fgColor theme="4" tint="0.79985961485641"/>
        <bgColor theme="4" tint="0.79985961485641"/>
      </patternFill>
    </fill>
    <fill>
      <patternFill patternType="solid">
        <fgColor theme="0" tint="-0.149906918546098"/>
        <bgColor indexed="64"/>
      </patternFill>
    </fill>
    <fill>
      <patternFill patternType="gray0625">
        <bgColor theme="0"/>
      </patternFill>
    </fill>
    <fill>
      <patternFill patternType="solid">
        <fgColor rgb="FF41D4D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0" tint="-0.349986266670736"/>
        <bgColor indexed="64"/>
      </patternFill>
    </fill>
  </fills>
  <borders count="31">
    <border>
      <left/>
      <right/>
      <top/>
      <bottom/>
      <diagonal/>
    </border>
    <border>
      <left style="medium">
        <color theme="0"/>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style="medium">
        <color theme="0"/>
      </right>
      <top/>
      <bottom/>
      <diagonal/>
    </border>
    <border>
      <left style="medium">
        <color theme="8"/>
      </left>
      <right style="medium">
        <color theme="8"/>
      </right>
      <top style="medium">
        <color theme="8"/>
      </top>
      <bottom style="medium">
        <color theme="8"/>
      </bottom>
      <diagonal/>
    </border>
    <border>
      <left style="medium">
        <color theme="8"/>
      </left>
      <right/>
      <top style="medium">
        <color theme="8"/>
      </top>
      <bottom style="medium">
        <color theme="8"/>
      </bottom>
      <diagonal/>
    </border>
    <border>
      <left style="medium">
        <color theme="8"/>
      </left>
      <right style="medium">
        <color theme="8"/>
      </right>
      <top/>
      <bottom style="medium">
        <color theme="8"/>
      </bottom>
      <diagonal/>
    </border>
    <border>
      <left style="thin">
        <color auto="1"/>
      </left>
      <right style="thin">
        <color auto="1"/>
      </right>
      <top style="thin">
        <color auto="1"/>
      </top>
      <bottom style="thin">
        <color auto="1"/>
      </bottom>
      <diagonal/>
    </border>
    <border>
      <left style="medium">
        <color theme="8"/>
      </left>
      <right style="medium">
        <color theme="8"/>
      </right>
      <top style="medium">
        <color theme="8"/>
      </top>
      <bottom/>
      <diagonal/>
    </border>
    <border>
      <left style="medium">
        <color theme="8"/>
      </left>
      <right/>
      <top style="medium">
        <color theme="8"/>
      </top>
      <bottom/>
      <diagonal/>
    </border>
    <border>
      <left style="medium">
        <color rgb="FF4BACC6"/>
      </left>
      <right style="medium">
        <color rgb="FF4BACC6"/>
      </right>
      <top style="medium">
        <color rgb="FF4BACC6"/>
      </top>
      <bottom style="medium">
        <color rgb="FF4BACC6"/>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style="medium">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0"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0" fillId="17" borderId="23"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24" applyNumberFormat="0" applyFill="0" applyAlignment="0" applyProtection="0">
      <alignment vertical="center"/>
    </xf>
    <xf numFmtId="0" fontId="69" fillId="0" borderId="24" applyNumberFormat="0" applyFill="0" applyAlignment="0" applyProtection="0">
      <alignment vertical="center"/>
    </xf>
    <xf numFmtId="0" fontId="70" fillId="0" borderId="25" applyNumberFormat="0" applyFill="0" applyAlignment="0" applyProtection="0">
      <alignment vertical="center"/>
    </xf>
    <xf numFmtId="0" fontId="70" fillId="0" borderId="0" applyNumberFormat="0" applyFill="0" applyBorder="0" applyAlignment="0" applyProtection="0">
      <alignment vertical="center"/>
    </xf>
    <xf numFmtId="0" fontId="71" fillId="18" borderId="26" applyNumberFormat="0" applyAlignment="0" applyProtection="0">
      <alignment vertical="center"/>
    </xf>
    <xf numFmtId="0" fontId="72" fillId="19" borderId="27" applyNumberFormat="0" applyAlignment="0" applyProtection="0">
      <alignment vertical="center"/>
    </xf>
    <xf numFmtId="0" fontId="73" fillId="19" borderId="26" applyNumberFormat="0" applyAlignment="0" applyProtection="0">
      <alignment vertical="center"/>
    </xf>
    <xf numFmtId="0" fontId="74" fillId="20" borderId="28" applyNumberFormat="0" applyAlignment="0" applyProtection="0">
      <alignment vertical="center"/>
    </xf>
    <xf numFmtId="0" fontId="75" fillId="0" borderId="29" applyNumberFormat="0" applyFill="0" applyAlignment="0" applyProtection="0">
      <alignment vertical="center"/>
    </xf>
    <xf numFmtId="0" fontId="76" fillId="0" borderId="30" applyNumberFormat="0" applyFill="0" applyAlignment="0" applyProtection="0">
      <alignment vertical="center"/>
    </xf>
    <xf numFmtId="0" fontId="77" fillId="21" borderId="0" applyNumberFormat="0" applyBorder="0" applyAlignment="0" applyProtection="0">
      <alignment vertical="center"/>
    </xf>
    <xf numFmtId="0" fontId="78" fillId="22" borderId="0" applyNumberFormat="0" applyBorder="0" applyAlignment="0" applyProtection="0">
      <alignment vertical="center"/>
    </xf>
    <xf numFmtId="0" fontId="79" fillId="23" borderId="0" applyNumberFormat="0" applyBorder="0" applyAlignment="0" applyProtection="0">
      <alignment vertical="center"/>
    </xf>
    <xf numFmtId="0" fontId="80" fillId="24" borderId="0" applyNumberFormat="0" applyBorder="0" applyAlignment="0" applyProtection="0">
      <alignment vertical="center"/>
    </xf>
    <xf numFmtId="0" fontId="81" fillId="25" borderId="0" applyNumberFormat="0" applyBorder="0" applyAlignment="0" applyProtection="0">
      <alignment vertical="center"/>
    </xf>
    <xf numFmtId="0" fontId="81" fillId="26"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1" fillId="29" borderId="0" applyNumberFormat="0" applyBorder="0" applyAlignment="0" applyProtection="0">
      <alignment vertical="center"/>
    </xf>
    <xf numFmtId="0" fontId="81" fillId="30"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33" borderId="0" applyNumberFormat="0" applyBorder="0" applyAlignment="0" applyProtection="0">
      <alignment vertical="center"/>
    </xf>
    <xf numFmtId="0" fontId="81" fillId="34" borderId="0" applyNumberFormat="0" applyBorder="0" applyAlignment="0" applyProtection="0">
      <alignment vertical="center"/>
    </xf>
    <xf numFmtId="0" fontId="82" fillId="35" borderId="0" applyNumberFormat="0" applyBorder="0" applyAlignment="0" applyProtection="0">
      <alignment vertical="center"/>
    </xf>
    <xf numFmtId="0" fontId="82" fillId="36" borderId="0" applyNumberFormat="0" applyBorder="0" applyAlignment="0" applyProtection="0">
      <alignment vertical="center"/>
    </xf>
    <xf numFmtId="0" fontId="81" fillId="37" borderId="0" applyNumberFormat="0" applyBorder="0" applyAlignment="0" applyProtection="0">
      <alignment vertical="center"/>
    </xf>
    <xf numFmtId="0" fontId="81" fillId="38" borderId="0" applyNumberFormat="0" applyBorder="0" applyAlignment="0" applyProtection="0">
      <alignment vertical="center"/>
    </xf>
    <xf numFmtId="0" fontId="82" fillId="39" borderId="0" applyNumberFormat="0" applyBorder="0" applyAlignment="0" applyProtection="0">
      <alignment vertical="center"/>
    </xf>
    <xf numFmtId="0" fontId="82" fillId="40" borderId="0" applyNumberFormat="0" applyBorder="0" applyAlignment="0" applyProtection="0">
      <alignment vertical="center"/>
    </xf>
    <xf numFmtId="0" fontId="81" fillId="41" borderId="0" applyNumberFormat="0" applyBorder="0" applyAlignment="0" applyProtection="0">
      <alignment vertical="center"/>
    </xf>
    <xf numFmtId="0" fontId="81" fillId="42" borderId="0" applyNumberFormat="0" applyBorder="0" applyAlignment="0" applyProtection="0">
      <alignment vertical="center"/>
    </xf>
    <xf numFmtId="0" fontId="82" fillId="43" borderId="0" applyNumberFormat="0" applyBorder="0" applyAlignment="0" applyProtection="0">
      <alignment vertical="center"/>
    </xf>
    <xf numFmtId="0" fontId="82" fillId="44" borderId="0" applyNumberFormat="0" applyBorder="0" applyAlignment="0" applyProtection="0">
      <alignment vertical="center"/>
    </xf>
    <xf numFmtId="0" fontId="81" fillId="16" borderId="0" applyNumberFormat="0" applyBorder="0" applyAlignment="0" applyProtection="0">
      <alignment vertical="center"/>
    </xf>
    <xf numFmtId="0" fontId="81" fillId="11" borderId="0" applyNumberFormat="0" applyBorder="0" applyAlignment="0" applyProtection="0">
      <alignment vertical="center"/>
    </xf>
    <xf numFmtId="0" fontId="82" fillId="6" borderId="0" applyNumberFormat="0" applyBorder="0" applyAlignment="0" applyProtection="0">
      <alignment vertical="center"/>
    </xf>
    <xf numFmtId="0" fontId="83" fillId="5" borderId="0">
      <alignment horizontal="center" vertical="center"/>
    </xf>
    <xf numFmtId="0" fontId="60" fillId="45" borderId="13" applyBorder="0">
      <alignment horizontal="center" vertical="center" textRotation="255"/>
    </xf>
  </cellStyleXfs>
  <cellXfs count="275">
    <xf numFmtId="0" fontId="0" fillId="0" borderId="0" xfId="0">
      <alignment vertical="center"/>
    </xf>
    <xf numFmtId="0" fontId="1" fillId="2" borderId="0" xfId="0" applyNumberFormat="1" applyFont="1" applyFill="1" applyAlignment="1" applyProtection="1">
      <alignment vertical="center"/>
    </xf>
    <xf numFmtId="0" fontId="1" fillId="0" borderId="0" xfId="0" applyNumberFormat="1" applyFont="1" applyFill="1" applyBorder="1" applyAlignment="1" applyProtection="1">
      <alignment vertical="center"/>
    </xf>
    <xf numFmtId="0" fontId="1" fillId="2" borderId="0" xfId="0" applyNumberFormat="1" applyFont="1" applyFill="1" applyBorder="1" applyAlignment="1" applyProtection="1">
      <alignment vertical="center"/>
    </xf>
    <xf numFmtId="0" fontId="2" fillId="2" borderId="0" xfId="6" applyNumberFormat="1" applyFont="1" applyFill="1" applyBorder="1" applyAlignment="1" applyProtection="1">
      <alignment horizontal="center" vertical="center" wrapText="1"/>
    </xf>
    <xf numFmtId="0" fontId="3" fillId="3" borderId="0" xfId="0" applyNumberFormat="1" applyFont="1" applyFill="1" applyAlignment="1" applyProtection="1">
      <alignment horizontal="center" vertical="center" wrapText="1"/>
    </xf>
    <xf numFmtId="0" fontId="4" fillId="2" borderId="0" xfId="0" applyNumberFormat="1" applyFont="1" applyFill="1" applyBorder="1" applyAlignment="1" applyProtection="1">
      <alignment vertical="top"/>
    </xf>
    <xf numFmtId="0" fontId="1"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center" wrapText="1"/>
    </xf>
    <xf numFmtId="0" fontId="6" fillId="2" borderId="0" xfId="6" applyNumberFormat="1" applyFont="1" applyFill="1" applyBorder="1" applyAlignment="1" applyProtection="1">
      <alignment horizontal="center" vertical="center" wrapText="1"/>
    </xf>
    <xf numFmtId="43" fontId="7" fillId="3" borderId="1" xfId="0" applyNumberFormat="1" applyFont="1" applyFill="1" applyBorder="1" applyAlignment="1" applyProtection="1">
      <alignment horizontal="center" vertical="center" wrapText="1"/>
    </xf>
    <xf numFmtId="43" fontId="7" fillId="3" borderId="2" xfId="0" applyNumberFormat="1" applyFont="1" applyFill="1" applyBorder="1" applyAlignment="1" applyProtection="1">
      <alignment horizontal="center" vertical="center" wrapText="1"/>
    </xf>
    <xf numFmtId="43" fontId="7" fillId="3" borderId="3" xfId="0" applyNumberFormat="1" applyFont="1" applyFill="1" applyBorder="1" applyAlignment="1" applyProtection="1">
      <alignment horizontal="center" vertical="center" wrapText="1"/>
    </xf>
    <xf numFmtId="43" fontId="7" fillId="3" borderId="4" xfId="0" applyNumberFormat="1" applyFont="1" applyFill="1" applyBorder="1" applyAlignment="1" applyProtection="1">
      <alignment horizontal="center" vertical="center" wrapText="1"/>
    </xf>
    <xf numFmtId="43" fontId="7" fillId="3" borderId="5" xfId="0" applyNumberFormat="1" applyFont="1" applyFill="1" applyBorder="1" applyAlignment="1" applyProtection="1">
      <alignment horizontal="center" vertical="center" wrapText="1"/>
    </xf>
    <xf numFmtId="0" fontId="8" fillId="2" borderId="6" xfId="0" applyNumberFormat="1" applyFont="1" applyFill="1" applyBorder="1" applyAlignment="1" applyProtection="1">
      <alignment horizontal="center" vertical="center" wrapText="1"/>
    </xf>
    <xf numFmtId="0" fontId="9" fillId="2" borderId="6" xfId="0" applyNumberFormat="1" applyFont="1" applyFill="1" applyBorder="1" applyAlignment="1" applyProtection="1">
      <alignment horizontal="left" vertical="center" wrapText="1"/>
    </xf>
    <xf numFmtId="44" fontId="10" fillId="2" borderId="6" xfId="0" applyNumberFormat="1" applyFont="1" applyFill="1" applyBorder="1" applyAlignment="1" applyProtection="1">
      <alignment horizontal="center" vertical="center" wrapText="1"/>
    </xf>
    <xf numFmtId="44" fontId="8" fillId="2" borderId="6" xfId="0" applyNumberFormat="1" applyFont="1" applyFill="1" applyBorder="1" applyAlignment="1" applyProtection="1">
      <alignment horizontal="center" vertical="center" wrapText="1"/>
    </xf>
    <xf numFmtId="44" fontId="11" fillId="2" borderId="6" xfId="0" applyNumberFormat="1" applyFont="1" applyFill="1" applyBorder="1" applyAlignment="1" applyProtection="1">
      <alignment horizontal="center" vertical="center" wrapText="1"/>
    </xf>
    <xf numFmtId="44" fontId="8" fillId="2" borderId="7" xfId="0" applyNumberFormat="1" applyFont="1" applyFill="1" applyBorder="1" applyAlignment="1" applyProtection="1">
      <alignment horizontal="center" vertical="center" wrapText="1"/>
    </xf>
    <xf numFmtId="44" fontId="8" fillId="2" borderId="6" xfId="0" applyNumberFormat="1" applyFont="1" applyFill="1" applyBorder="1" applyAlignment="1" applyProtection="1">
      <alignment horizontal="left" vertical="center" wrapText="1"/>
    </xf>
    <xf numFmtId="0" fontId="8" fillId="2" borderId="6" xfId="0" applyNumberFormat="1" applyFont="1" applyFill="1" applyBorder="1" applyAlignment="1" applyProtection="1">
      <alignment horizontal="left" vertical="center" wrapText="1"/>
    </xf>
    <xf numFmtId="44" fontId="12" fillId="2" borderId="6" xfId="0" applyNumberFormat="1" applyFont="1" applyFill="1" applyBorder="1" applyAlignment="1" applyProtection="1">
      <alignment horizontal="center" vertical="center" wrapText="1"/>
    </xf>
    <xf numFmtId="44" fontId="9" fillId="2" borderId="6" xfId="0" applyNumberFormat="1" applyFont="1" applyFill="1" applyBorder="1" applyAlignment="1" applyProtection="1">
      <alignment horizontal="left" vertical="center" wrapText="1"/>
    </xf>
    <xf numFmtId="44" fontId="8" fillId="2" borderId="8" xfId="0" applyNumberFormat="1" applyFont="1" applyFill="1" applyBorder="1" applyAlignment="1" applyProtection="1">
      <alignment horizontal="left" vertical="center" wrapText="1"/>
    </xf>
    <xf numFmtId="44" fontId="8" fillId="4" borderId="6" xfId="0" applyNumberFormat="1" applyFont="1" applyFill="1" applyBorder="1" applyAlignment="1" applyProtection="1">
      <alignment horizontal="center" vertical="center" wrapText="1"/>
    </xf>
    <xf numFmtId="0" fontId="8" fillId="5" borderId="6" xfId="0" applyNumberFormat="1" applyFont="1" applyFill="1" applyBorder="1" applyAlignment="1" applyProtection="1">
      <alignment horizontal="center" vertical="center" wrapText="1"/>
    </xf>
    <xf numFmtId="0" fontId="9" fillId="5" borderId="6" xfId="0" applyNumberFormat="1" applyFont="1" applyFill="1" applyBorder="1" applyAlignment="1" applyProtection="1">
      <alignment horizontal="left" vertical="center" wrapText="1"/>
    </xf>
    <xf numFmtId="44" fontId="12" fillId="5" borderId="6" xfId="0" applyNumberFormat="1" applyFont="1" applyFill="1" applyBorder="1" applyAlignment="1" applyProtection="1">
      <alignment horizontal="center" vertical="center" wrapText="1"/>
    </xf>
    <xf numFmtId="44" fontId="8" fillId="5" borderId="7" xfId="0" applyNumberFormat="1" applyFont="1" applyFill="1" applyBorder="1" applyAlignment="1" applyProtection="1">
      <alignment horizontal="center" vertical="center" wrapText="1"/>
    </xf>
    <xf numFmtId="44" fontId="8" fillId="5" borderId="6" xfId="0" applyNumberFormat="1" applyFont="1" applyFill="1" applyBorder="1" applyAlignment="1" applyProtection="1">
      <alignment horizontal="left" vertical="center" wrapText="1"/>
    </xf>
    <xf numFmtId="0" fontId="9" fillId="0" borderId="6" xfId="0" applyNumberFormat="1" applyFont="1" applyFill="1" applyBorder="1" applyAlignment="1" applyProtection="1">
      <alignment horizontal="left" vertical="center" wrapText="1"/>
    </xf>
    <xf numFmtId="0" fontId="8" fillId="0" borderId="6" xfId="0" applyNumberFormat="1" applyFont="1" applyFill="1" applyBorder="1" applyAlignment="1" applyProtection="1">
      <alignment horizontal="left" vertical="center" wrapText="1"/>
    </xf>
    <xf numFmtId="44" fontId="12" fillId="0" borderId="6" xfId="0" applyNumberFormat="1" applyFont="1" applyFill="1" applyBorder="1" applyAlignment="1" applyProtection="1">
      <alignment horizontal="center" vertical="center" wrapText="1"/>
    </xf>
    <xf numFmtId="44" fontId="8" fillId="0" borderId="6" xfId="0" applyNumberFormat="1" applyFont="1" applyFill="1" applyBorder="1" applyAlignment="1" applyProtection="1">
      <alignment horizontal="center" vertical="center" wrapText="1"/>
    </xf>
    <xf numFmtId="44" fontId="10" fillId="0" borderId="6" xfId="0" applyNumberFormat="1" applyFont="1" applyFill="1" applyBorder="1" applyAlignment="1" applyProtection="1">
      <alignment horizontal="center" vertical="center" wrapText="1"/>
    </xf>
    <xf numFmtId="0" fontId="1" fillId="0" borderId="0" xfId="0" applyNumberFormat="1" applyFont="1" applyFill="1" applyBorder="1" applyAlignment="1" applyProtection="1">
      <alignment horizontal="center" vertical="center" wrapText="1"/>
    </xf>
    <xf numFmtId="0" fontId="8" fillId="0" borderId="6" xfId="0" applyNumberFormat="1" applyFont="1" applyFill="1" applyBorder="1" applyAlignment="1" applyProtection="1">
      <alignment horizontal="center" vertical="center" wrapText="1"/>
    </xf>
    <xf numFmtId="44" fontId="8" fillId="0" borderId="7" xfId="0" applyNumberFormat="1" applyFont="1" applyFill="1" applyBorder="1" applyAlignment="1" applyProtection="1">
      <alignment horizontal="center" vertical="center" wrapText="1"/>
    </xf>
    <xf numFmtId="44" fontId="8" fillId="0" borderId="6" xfId="0" applyNumberFormat="1" applyFont="1" applyFill="1" applyBorder="1" applyAlignment="1" applyProtection="1">
      <alignment horizontal="left" vertical="center" wrapText="1"/>
    </xf>
    <xf numFmtId="0" fontId="12" fillId="0" borderId="6" xfId="0" applyNumberFormat="1" applyFont="1" applyFill="1" applyBorder="1" applyAlignment="1" applyProtection="1">
      <alignment horizontal="left" vertical="center" wrapText="1"/>
    </xf>
    <xf numFmtId="0" fontId="13" fillId="2" borderId="6" xfId="0" applyNumberFormat="1" applyFont="1" applyFill="1" applyBorder="1" applyAlignment="1" applyProtection="1">
      <alignment horizontal="center" vertical="center"/>
    </xf>
    <xf numFmtId="0" fontId="10" fillId="2" borderId="6" xfId="0" applyNumberFormat="1" applyFont="1" applyFill="1" applyBorder="1" applyAlignment="1" applyProtection="1">
      <alignment horizontal="left" vertical="center" wrapText="1"/>
    </xf>
    <xf numFmtId="0" fontId="14" fillId="2" borderId="6" xfId="0" applyNumberFormat="1" applyFont="1" applyFill="1" applyBorder="1" applyAlignment="1" applyProtection="1">
      <alignment horizontal="left" vertical="center"/>
    </xf>
    <xf numFmtId="0" fontId="15" fillId="2" borderId="6" xfId="0" applyNumberFormat="1" applyFont="1" applyFill="1" applyBorder="1" applyAlignment="1" applyProtection="1">
      <alignment horizontal="left" vertical="center"/>
    </xf>
    <xf numFmtId="0" fontId="6" fillId="2" borderId="0" xfId="6" applyNumberFormat="1" applyFont="1" applyFill="1" applyBorder="1" applyAlignment="1" applyProtection="1">
      <alignment vertical="center"/>
    </xf>
    <xf numFmtId="0" fontId="5" fillId="3" borderId="0" xfId="0" applyNumberFormat="1" applyFont="1" applyFill="1" applyAlignment="1" applyProtection="1">
      <alignment horizontal="center" vertical="top"/>
    </xf>
    <xf numFmtId="0" fontId="5" fillId="2" borderId="0" xfId="0" applyNumberFormat="1" applyFont="1" applyFill="1" applyBorder="1" applyAlignment="1" applyProtection="1">
      <alignment horizontal="center" vertical="top"/>
    </xf>
    <xf numFmtId="43" fontId="16" fillId="3" borderId="1" xfId="0" applyNumberFormat="1" applyFont="1" applyFill="1" applyBorder="1" applyAlignment="1" applyProtection="1">
      <alignment horizontal="center" vertical="center"/>
    </xf>
    <xf numFmtId="43" fontId="16" fillId="3" borderId="2" xfId="0" applyNumberFormat="1" applyFont="1" applyFill="1" applyBorder="1" applyAlignment="1" applyProtection="1">
      <alignment horizontal="center" vertical="center"/>
    </xf>
    <xf numFmtId="43" fontId="16" fillId="3" borderId="3" xfId="0" applyNumberFormat="1" applyFont="1" applyFill="1" applyBorder="1" applyAlignment="1" applyProtection="1">
      <alignment horizontal="center" vertical="center"/>
    </xf>
    <xf numFmtId="43" fontId="16" fillId="3" borderId="4" xfId="0" applyNumberFormat="1" applyFont="1" applyFill="1" applyBorder="1" applyAlignment="1" applyProtection="1">
      <alignment horizontal="center" vertical="center"/>
    </xf>
    <xf numFmtId="43" fontId="16" fillId="3" borderId="5" xfId="0" applyNumberFormat="1" applyFont="1" applyFill="1" applyBorder="1" applyAlignment="1" applyProtection="1">
      <alignment horizontal="center" vertical="center"/>
    </xf>
    <xf numFmtId="0" fontId="15" fillId="2" borderId="6" xfId="0" applyNumberFormat="1" applyFont="1" applyFill="1" applyBorder="1" applyAlignment="1" applyProtection="1">
      <alignment horizontal="center" vertical="center"/>
    </xf>
    <xf numFmtId="44" fontId="17" fillId="2" borderId="6" xfId="0" applyNumberFormat="1" applyFont="1" applyFill="1" applyBorder="1" applyAlignment="1" applyProtection="1">
      <alignment horizontal="center" vertical="center"/>
    </xf>
    <xf numFmtId="44" fontId="13" fillId="2" borderId="6" xfId="0" applyNumberFormat="1" applyFont="1" applyFill="1" applyBorder="1" applyAlignment="1" applyProtection="1">
      <alignment horizontal="center" vertical="center"/>
    </xf>
    <xf numFmtId="44" fontId="18" fillId="2" borderId="6" xfId="0" applyNumberFormat="1" applyFont="1" applyFill="1" applyBorder="1" applyAlignment="1" applyProtection="1">
      <alignment horizontal="center" vertical="center"/>
    </xf>
    <xf numFmtId="44" fontId="13" fillId="2" borderId="7" xfId="0" applyNumberFormat="1" applyFont="1" applyFill="1" applyBorder="1" applyAlignment="1" applyProtection="1">
      <alignment horizontal="center" vertical="center"/>
    </xf>
    <xf numFmtId="44" fontId="14" fillId="2" borderId="6" xfId="0" applyNumberFormat="1" applyFont="1" applyFill="1" applyBorder="1" applyAlignment="1" applyProtection="1">
      <alignment horizontal="center" vertical="center"/>
    </xf>
    <xf numFmtId="44" fontId="12" fillId="6" borderId="6" xfId="0" applyNumberFormat="1" applyFont="1" applyFill="1" applyBorder="1" applyAlignment="1" applyProtection="1">
      <alignment horizontal="center" vertical="center" wrapText="1"/>
    </xf>
    <xf numFmtId="44" fontId="13" fillId="0" borderId="7" xfId="0" applyNumberFormat="1" applyFont="1" applyFill="1" applyBorder="1" applyAlignment="1" applyProtection="1">
      <alignment horizontal="center" vertical="center"/>
    </xf>
    <xf numFmtId="0" fontId="10" fillId="0" borderId="6" xfId="0" applyNumberFormat="1" applyFont="1" applyFill="1" applyBorder="1" applyAlignment="1" applyProtection="1">
      <alignment horizontal="left" vertical="center" wrapText="1"/>
    </xf>
    <xf numFmtId="44" fontId="19" fillId="0" borderId="6" xfId="0" applyNumberFormat="1" applyFont="1" applyFill="1" applyBorder="1" applyAlignment="1" applyProtection="1">
      <alignment horizontal="center" vertical="center"/>
    </xf>
    <xf numFmtId="44" fontId="19" fillId="3" borderId="6" xfId="0" applyNumberFormat="1" applyFont="1" applyFill="1" applyBorder="1" applyAlignment="1" applyProtection="1">
      <alignment horizontal="center" vertical="center"/>
    </xf>
    <xf numFmtId="44" fontId="17" fillId="5" borderId="6" xfId="0" applyNumberFormat="1" applyFont="1" applyFill="1" applyBorder="1" applyAlignment="1" applyProtection="1">
      <alignment horizontal="center" vertical="center"/>
    </xf>
    <xf numFmtId="44" fontId="10" fillId="0" borderId="7" xfId="0" applyNumberFormat="1" applyFont="1" applyFill="1" applyBorder="1" applyAlignment="1" applyProtection="1">
      <alignment horizontal="center" vertical="center" wrapText="1"/>
    </xf>
    <xf numFmtId="44" fontId="10" fillId="0" borderId="6" xfId="0" applyNumberFormat="1" applyFont="1" applyFill="1" applyBorder="1" applyAlignment="1" applyProtection="1">
      <alignment horizontal="left" vertical="center" wrapText="1"/>
    </xf>
    <xf numFmtId="0" fontId="13" fillId="5" borderId="6" xfId="0" applyNumberFormat="1" applyFont="1" applyFill="1" applyBorder="1" applyAlignment="1" applyProtection="1">
      <alignment horizontal="center" vertical="center"/>
    </xf>
    <xf numFmtId="0" fontId="14" fillId="5" borderId="6" xfId="0" applyNumberFormat="1" applyFont="1" applyFill="1" applyBorder="1" applyAlignment="1" applyProtection="1">
      <alignment horizontal="left" vertical="center"/>
    </xf>
    <xf numFmtId="0" fontId="15" fillId="5" borderId="6" xfId="0" applyNumberFormat="1" applyFont="1" applyFill="1" applyBorder="1" applyAlignment="1" applyProtection="1">
      <alignment horizontal="center" vertical="center"/>
    </xf>
    <xf numFmtId="44" fontId="13" fillId="5" borderId="6" xfId="0" applyNumberFormat="1" applyFont="1" applyFill="1" applyBorder="1" applyAlignment="1" applyProtection="1">
      <alignment horizontal="center" vertical="center"/>
    </xf>
    <xf numFmtId="44" fontId="13" fillId="5" borderId="7" xfId="0" applyNumberFormat="1" applyFont="1" applyFill="1" applyBorder="1" applyAlignment="1" applyProtection="1">
      <alignment horizontal="center" vertical="center"/>
    </xf>
    <xf numFmtId="44" fontId="8" fillId="5" borderId="6" xfId="0" applyNumberFormat="1" applyFont="1" applyFill="1" applyBorder="1" applyAlignment="1" applyProtection="1">
      <alignment horizontal="center" vertical="center" wrapText="1"/>
    </xf>
    <xf numFmtId="0" fontId="14" fillId="2" borderId="6" xfId="0" applyNumberFormat="1" applyFont="1" applyFill="1" applyBorder="1" applyAlignment="1" applyProtection="1">
      <alignment horizontal="center" vertical="center"/>
    </xf>
    <xf numFmtId="0" fontId="20" fillId="2" borderId="6" xfId="0" applyNumberFormat="1" applyFont="1" applyFill="1" applyBorder="1" applyAlignment="1" applyProtection="1">
      <alignment horizontal="left" vertical="center"/>
    </xf>
    <xf numFmtId="44" fontId="17" fillId="0" borderId="6" xfId="0" applyNumberFormat="1" applyFont="1" applyFill="1" applyBorder="1" applyAlignment="1" applyProtection="1">
      <alignment horizontal="center" vertical="center"/>
    </xf>
    <xf numFmtId="0" fontId="20" fillId="2" borderId="6" xfId="0" applyNumberFormat="1" applyFont="1" applyFill="1" applyBorder="1" applyAlignment="1" applyProtection="1">
      <alignment horizontal="left" vertical="center" wrapText="1"/>
    </xf>
    <xf numFmtId="44" fontId="17" fillId="0" borderId="7" xfId="0" applyNumberFormat="1" applyFont="1" applyFill="1" applyBorder="1" applyAlignment="1" applyProtection="1">
      <alignment horizontal="center" vertical="center"/>
    </xf>
    <xf numFmtId="176" fontId="1" fillId="2" borderId="0" xfId="0" applyNumberFormat="1" applyFont="1" applyFill="1" applyBorder="1" applyAlignment="1" applyProtection="1">
      <alignment vertical="center"/>
    </xf>
    <xf numFmtId="176" fontId="21" fillId="0" borderId="0" xfId="0" applyNumberFormat="1" applyFont="1" applyFill="1" applyBorder="1" applyAlignment="1" applyProtection="1">
      <alignment vertical="center"/>
    </xf>
    <xf numFmtId="44" fontId="13" fillId="2" borderId="8" xfId="0" applyNumberFormat="1" applyFont="1" applyFill="1" applyBorder="1" applyAlignment="1" applyProtection="1">
      <alignment horizontal="center" vertical="center"/>
    </xf>
    <xf numFmtId="44" fontId="12" fillId="0" borderId="7" xfId="0" applyNumberFormat="1" applyFont="1" applyFill="1" applyBorder="1" applyAlignment="1" applyProtection="1">
      <alignment horizontal="center" vertical="center" wrapText="1"/>
    </xf>
    <xf numFmtId="44" fontId="12" fillId="0" borderId="6" xfId="0" applyNumberFormat="1" applyFont="1" applyFill="1" applyBorder="1" applyAlignment="1" applyProtection="1">
      <alignment horizontal="left" vertical="center" wrapText="1"/>
    </xf>
    <xf numFmtId="44" fontId="19" fillId="2" borderId="6" xfId="0" applyNumberFormat="1" applyFont="1" applyFill="1" applyBorder="1" applyAlignment="1" applyProtection="1">
      <alignment horizontal="center" vertical="center"/>
    </xf>
    <xf numFmtId="43" fontId="12" fillId="2" borderId="9" xfId="0" applyNumberFormat="1" applyFont="1" applyFill="1" applyBorder="1" applyAlignment="1">
      <alignment horizontal="center" vertical="center" wrapText="1"/>
    </xf>
    <xf numFmtId="0" fontId="14" fillId="0" borderId="6" xfId="0" applyNumberFormat="1" applyFont="1" applyFill="1" applyBorder="1" applyAlignment="1" applyProtection="1">
      <alignment horizontal="center" vertical="center"/>
    </xf>
    <xf numFmtId="0" fontId="14" fillId="0" borderId="6" xfId="0" applyNumberFormat="1" applyFont="1" applyFill="1" applyBorder="1" applyAlignment="1" applyProtection="1">
      <alignment horizontal="left" vertical="center" wrapText="1"/>
    </xf>
    <xf numFmtId="0" fontId="20" fillId="0" borderId="6" xfId="0" applyNumberFormat="1" applyFont="1" applyFill="1" applyBorder="1" applyAlignment="1" applyProtection="1">
      <alignment horizontal="left" vertical="center"/>
    </xf>
    <xf numFmtId="44" fontId="13" fillId="0" borderId="6" xfId="0" applyNumberFormat="1" applyFont="1" applyFill="1" applyBorder="1" applyAlignment="1" applyProtection="1">
      <alignment horizontal="center" vertical="center"/>
    </xf>
    <xf numFmtId="0" fontId="13" fillId="0" borderId="6" xfId="0" applyNumberFormat="1" applyFont="1" applyFill="1" applyBorder="1" applyAlignment="1" applyProtection="1">
      <alignment horizontal="center" vertical="center"/>
    </xf>
    <xf numFmtId="0" fontId="14" fillId="0" borderId="6" xfId="0" applyNumberFormat="1" applyFont="1" applyFill="1" applyBorder="1" applyAlignment="1" applyProtection="1">
      <alignment horizontal="left" vertical="center"/>
    </xf>
    <xf numFmtId="0" fontId="20" fillId="0" borderId="6" xfId="0" applyNumberFormat="1" applyFont="1" applyFill="1" applyBorder="1" applyAlignment="1" applyProtection="1">
      <alignment horizontal="left" vertical="center" wrapText="1"/>
    </xf>
    <xf numFmtId="0" fontId="14" fillId="2" borderId="6" xfId="0" applyNumberFormat="1" applyFont="1" applyFill="1" applyBorder="1" applyAlignment="1" applyProtection="1">
      <alignment horizontal="left" vertical="center" wrapText="1"/>
    </xf>
    <xf numFmtId="0" fontId="22" fillId="2" borderId="6" xfId="0" applyNumberFormat="1" applyFont="1" applyFill="1" applyBorder="1" applyAlignment="1" applyProtection="1">
      <alignment horizontal="center" vertical="center"/>
    </xf>
    <xf numFmtId="0" fontId="22" fillId="2" borderId="6" xfId="0" applyNumberFormat="1" applyFont="1" applyFill="1" applyBorder="1" applyAlignment="1" applyProtection="1">
      <alignment horizontal="left" vertical="center"/>
    </xf>
    <xf numFmtId="0" fontId="14" fillId="2" borderId="6" xfId="0" applyNumberFormat="1" applyFont="1" applyFill="1" applyBorder="1" applyAlignment="1" applyProtection="1">
      <alignment vertical="center"/>
    </xf>
    <xf numFmtId="0" fontId="20" fillId="2" borderId="6" xfId="0" applyNumberFormat="1" applyFont="1" applyFill="1" applyBorder="1" applyAlignment="1" applyProtection="1">
      <alignment vertical="center"/>
    </xf>
    <xf numFmtId="44" fontId="23" fillId="0" borderId="7" xfId="0" applyNumberFormat="1" applyFont="1" applyFill="1" applyBorder="1" applyAlignment="1" applyProtection="1">
      <alignment horizontal="center" vertical="center"/>
    </xf>
    <xf numFmtId="0" fontId="24" fillId="2" borderId="6" xfId="0" applyNumberFormat="1" applyFont="1" applyFill="1" applyBorder="1" applyAlignment="1" applyProtection="1">
      <alignment horizontal="left" vertical="center"/>
    </xf>
    <xf numFmtId="0" fontId="15" fillId="2" borderId="6" xfId="0" applyNumberFormat="1" applyFont="1" applyFill="1" applyBorder="1" applyAlignment="1" applyProtection="1">
      <alignment vertical="center"/>
    </xf>
    <xf numFmtId="0" fontId="15" fillId="2" borderId="6" xfId="0" applyNumberFormat="1" applyFont="1" applyFill="1" applyBorder="1" applyAlignment="1" applyProtection="1">
      <alignment horizontal="left" vertical="center" wrapText="1"/>
    </xf>
    <xf numFmtId="0" fontId="22" fillId="0" borderId="6" xfId="0" applyNumberFormat="1" applyFont="1" applyFill="1" applyBorder="1" applyAlignment="1" applyProtection="1">
      <alignment horizontal="left" vertical="center"/>
    </xf>
    <xf numFmtId="44" fontId="25" fillId="2" borderId="6" xfId="0" applyNumberFormat="1" applyFont="1" applyFill="1" applyBorder="1" applyAlignment="1" applyProtection="1">
      <alignment horizontal="center" vertical="center"/>
    </xf>
    <xf numFmtId="0" fontId="13" fillId="2" borderId="6" xfId="0" applyNumberFormat="1" applyFont="1" applyFill="1" applyBorder="1" applyAlignment="1" applyProtection="1">
      <alignment vertical="center"/>
    </xf>
    <xf numFmtId="44" fontId="14" fillId="0" borderId="6" xfId="0" applyNumberFormat="1" applyFont="1" applyFill="1" applyBorder="1" applyAlignment="1" applyProtection="1">
      <alignment horizontal="center" vertical="center"/>
    </xf>
    <xf numFmtId="0" fontId="1" fillId="4" borderId="0" xfId="0" applyNumberFormat="1" applyFont="1" applyFill="1" applyBorder="1" applyAlignment="1" applyProtection="1">
      <alignment vertical="center"/>
    </xf>
    <xf numFmtId="0" fontId="22" fillId="2" borderId="6" xfId="0" applyNumberFormat="1" applyFont="1" applyFill="1" applyBorder="1" applyAlignment="1" applyProtection="1">
      <alignment vertical="center"/>
    </xf>
    <xf numFmtId="44" fontId="26" fillId="2" borderId="6" xfId="0" applyNumberFormat="1" applyFont="1" applyFill="1" applyBorder="1" applyAlignment="1" applyProtection="1">
      <alignment horizontal="center" vertical="center"/>
    </xf>
    <xf numFmtId="8" fontId="17" fillId="2" borderId="6" xfId="0" applyNumberFormat="1" applyFont="1" applyFill="1" applyBorder="1" applyAlignment="1" applyProtection="1">
      <alignment horizontal="center" vertical="center"/>
    </xf>
    <xf numFmtId="0" fontId="27" fillId="2" borderId="6" xfId="0" applyNumberFormat="1" applyFont="1" applyFill="1" applyBorder="1" applyAlignment="1" applyProtection="1">
      <alignment horizontal="left" vertical="center"/>
    </xf>
    <xf numFmtId="44" fontId="17" fillId="6" borderId="6" xfId="0" applyNumberFormat="1" applyFont="1" applyFill="1" applyBorder="1" applyAlignment="1" applyProtection="1">
      <alignment horizontal="center" vertical="center"/>
    </xf>
    <xf numFmtId="44" fontId="14" fillId="2" borderId="6" xfId="0" applyNumberFormat="1" applyFont="1" applyFill="1" applyBorder="1" applyAlignment="1" applyProtection="1">
      <alignment horizontal="left" vertical="center" wrapText="1"/>
    </xf>
    <xf numFmtId="44" fontId="25" fillId="2" borderId="6" xfId="0" applyNumberFormat="1" applyFont="1" applyFill="1" applyBorder="1" applyAlignment="1" applyProtection="1">
      <alignment horizontal="center" vertical="center" wrapText="1"/>
    </xf>
    <xf numFmtId="0" fontId="15" fillId="5" borderId="6" xfId="0" applyNumberFormat="1" applyFont="1" applyFill="1" applyBorder="1" applyAlignment="1" applyProtection="1">
      <alignment horizontal="left" vertical="center"/>
    </xf>
    <xf numFmtId="44" fontId="20" fillId="6" borderId="6" xfId="0" applyNumberFormat="1" applyFont="1" applyFill="1" applyBorder="1" applyAlignment="1" applyProtection="1">
      <alignment horizontal="left" vertical="center"/>
    </xf>
    <xf numFmtId="8" fontId="13" fillId="2" borderId="6" xfId="0" applyNumberFormat="1" applyFont="1" applyFill="1" applyBorder="1" applyAlignment="1" applyProtection="1">
      <alignment horizontal="center" vertical="center"/>
    </xf>
    <xf numFmtId="0" fontId="13" fillId="2" borderId="6" xfId="0" applyNumberFormat="1" applyFont="1" applyFill="1" applyBorder="1" applyAlignment="1" applyProtection="1">
      <alignment horizontal="left" vertical="center"/>
    </xf>
    <xf numFmtId="49" fontId="28" fillId="0" borderId="0" xfId="0" applyNumberFormat="1" applyFont="1" applyFill="1" applyAlignment="1">
      <alignment vertical="center" wrapText="1"/>
    </xf>
    <xf numFmtId="44" fontId="14" fillId="5" borderId="6" xfId="0" applyNumberFormat="1" applyFont="1" applyFill="1" applyBorder="1" applyAlignment="1" applyProtection="1">
      <alignment horizontal="center" vertical="center"/>
    </xf>
    <xf numFmtId="0" fontId="13" fillId="2" borderId="0" xfId="0" applyNumberFormat="1" applyFont="1" applyFill="1" applyAlignment="1" applyProtection="1">
      <alignment horizontal="center" vertical="center"/>
    </xf>
    <xf numFmtId="49" fontId="29" fillId="0" borderId="0" xfId="0" applyNumberFormat="1" applyFont="1" applyFill="1" applyAlignment="1">
      <alignment vertical="center" wrapText="1"/>
    </xf>
    <xf numFmtId="0" fontId="20" fillId="0" borderId="6" xfId="0" applyNumberFormat="1" applyFont="1" applyFill="1" applyBorder="1" applyAlignment="1" applyProtection="1">
      <alignment vertical="center"/>
    </xf>
    <xf numFmtId="0" fontId="17" fillId="2" borderId="6" xfId="0" applyNumberFormat="1" applyFont="1" applyFill="1" applyBorder="1" applyAlignment="1" applyProtection="1">
      <alignment vertical="center"/>
    </xf>
    <xf numFmtId="0" fontId="20" fillId="2" borderId="6" xfId="0" applyNumberFormat="1" applyFont="1" applyFill="1" applyBorder="1" applyAlignment="1" applyProtection="1">
      <alignment vertical="center" wrapText="1"/>
    </xf>
    <xf numFmtId="49" fontId="30" fillId="0" borderId="0" xfId="0" applyNumberFormat="1" applyFont="1" applyAlignment="1">
      <alignment vertical="center" wrapText="1"/>
    </xf>
    <xf numFmtId="49" fontId="28" fillId="0" borderId="0" xfId="0" applyNumberFormat="1" applyFont="1" applyAlignment="1">
      <alignment vertical="center" wrapText="1"/>
    </xf>
    <xf numFmtId="0" fontId="21" fillId="2" borderId="0" xfId="0" applyNumberFormat="1" applyFont="1" applyFill="1" applyBorder="1" applyAlignment="1" applyProtection="1">
      <alignment vertical="center"/>
    </xf>
    <xf numFmtId="0" fontId="13" fillId="0" borderId="6" xfId="0" applyNumberFormat="1" applyFont="1" applyFill="1" applyBorder="1" applyAlignment="1" applyProtection="1">
      <alignment horizontal="left" vertical="center"/>
    </xf>
    <xf numFmtId="0" fontId="15" fillId="2" borderId="6" xfId="0" applyNumberFormat="1" applyFont="1" applyFill="1" applyBorder="1" applyAlignment="1" applyProtection="1">
      <alignment vertical="center" wrapText="1"/>
    </xf>
    <xf numFmtId="0" fontId="13" fillId="5" borderId="6" xfId="0" applyNumberFormat="1" applyFont="1" applyFill="1" applyBorder="1" applyAlignment="1" applyProtection="1">
      <alignment horizontal="left" vertical="center"/>
    </xf>
    <xf numFmtId="0" fontId="31" fillId="0" borderId="0" xfId="0" applyFont="1">
      <alignment vertical="center"/>
    </xf>
    <xf numFmtId="0" fontId="31" fillId="0" borderId="9" xfId="0" applyFont="1" applyBorder="1">
      <alignment vertical="center"/>
    </xf>
    <xf numFmtId="0" fontId="22" fillId="5" borderId="6" xfId="0" applyNumberFormat="1" applyFont="1" applyFill="1" applyBorder="1" applyAlignment="1" applyProtection="1">
      <alignment horizontal="left" vertical="center"/>
    </xf>
    <xf numFmtId="44" fontId="19" fillId="5" borderId="6" xfId="0" applyNumberFormat="1" applyFont="1" applyFill="1" applyBorder="1" applyAlignment="1" applyProtection="1">
      <alignment horizontal="center" vertical="center"/>
    </xf>
    <xf numFmtId="0" fontId="32" fillId="0" borderId="0" xfId="0" applyFont="1">
      <alignment vertical="center"/>
    </xf>
    <xf numFmtId="0" fontId="25" fillId="2" borderId="6" xfId="0" applyNumberFormat="1" applyFont="1" applyFill="1" applyBorder="1" applyAlignment="1" applyProtection="1">
      <alignment horizontal="left" vertical="center"/>
    </xf>
    <xf numFmtId="0" fontId="22" fillId="2" borderId="6" xfId="0" applyNumberFormat="1" applyFont="1" applyFill="1" applyBorder="1" applyAlignment="1" applyProtection="1">
      <alignment horizontal="left" vertical="center" wrapText="1"/>
    </xf>
    <xf numFmtId="0" fontId="22" fillId="5" borderId="6" xfId="0" applyNumberFormat="1" applyFont="1" applyFill="1" applyBorder="1" applyAlignment="1" applyProtection="1">
      <alignment horizontal="center" vertical="center"/>
    </xf>
    <xf numFmtId="43" fontId="20" fillId="2" borderId="6" xfId="0" applyNumberFormat="1" applyFont="1" applyFill="1" applyBorder="1" applyAlignment="1" applyProtection="1">
      <alignment horizontal="left" vertical="center"/>
    </xf>
    <xf numFmtId="0" fontId="17" fillId="2" borderId="6" xfId="0" applyNumberFormat="1" applyFont="1" applyFill="1" applyBorder="1" applyAlignment="1" applyProtection="1">
      <alignment horizontal="left" vertical="center"/>
    </xf>
    <xf numFmtId="58" fontId="1" fillId="2" borderId="0" xfId="0" applyNumberFormat="1" applyFont="1" applyFill="1" applyBorder="1" applyAlignment="1" applyProtection="1">
      <alignment vertical="center"/>
    </xf>
    <xf numFmtId="44" fontId="33" fillId="2" borderId="6" xfId="0" applyNumberFormat="1" applyFont="1" applyFill="1" applyBorder="1" applyAlignment="1" applyProtection="1">
      <alignment horizontal="center" vertical="center"/>
    </xf>
    <xf numFmtId="44" fontId="33" fillId="2" borderId="6" xfId="0" applyNumberFormat="1" applyFont="1" applyFill="1" applyBorder="1" applyAlignment="1" applyProtection="1">
      <alignment horizontal="center" vertical="center" wrapText="1"/>
    </xf>
    <xf numFmtId="0" fontId="22" fillId="0" borderId="9" xfId="0" applyFont="1" applyFill="1" applyBorder="1" applyAlignment="1">
      <alignment horizontal="left" vertical="center"/>
    </xf>
    <xf numFmtId="44" fontId="23" fillId="2" borderId="6" xfId="0" applyNumberFormat="1" applyFont="1" applyFill="1" applyBorder="1" applyAlignment="1" applyProtection="1">
      <alignment horizontal="center" vertical="center"/>
    </xf>
    <xf numFmtId="0" fontId="20" fillId="2" borderId="6" xfId="0" applyNumberFormat="1" applyFont="1" applyFill="1" applyBorder="1" applyAlignment="1" applyProtection="1">
      <alignment horizontal="center" vertical="center"/>
    </xf>
    <xf numFmtId="44" fontId="23" fillId="0" borderId="6" xfId="0" applyNumberFormat="1" applyFont="1" applyFill="1" applyBorder="1" applyAlignment="1" applyProtection="1">
      <alignment horizontal="center" vertical="center"/>
    </xf>
    <xf numFmtId="0" fontId="14" fillId="7" borderId="6" xfId="0" applyNumberFormat="1" applyFont="1" applyFill="1" applyBorder="1" applyAlignment="1" applyProtection="1">
      <alignment horizontal="center" vertical="center"/>
    </xf>
    <xf numFmtId="0" fontId="14" fillId="7" borderId="6" xfId="0" applyNumberFormat="1" applyFont="1" applyFill="1" applyBorder="1" applyAlignment="1" applyProtection="1">
      <alignment horizontal="left" vertical="center"/>
    </xf>
    <xf numFmtId="0" fontId="20" fillId="7" borderId="6" xfId="0" applyNumberFormat="1" applyFont="1" applyFill="1" applyBorder="1" applyAlignment="1" applyProtection="1">
      <alignment horizontal="left" vertical="center"/>
    </xf>
    <xf numFmtId="44" fontId="13" fillId="7" borderId="6" xfId="0" applyNumberFormat="1" applyFont="1" applyFill="1" applyBorder="1" applyAlignment="1" applyProtection="1">
      <alignment horizontal="center" vertical="center"/>
    </xf>
    <xf numFmtId="0" fontId="13" fillId="5" borderId="10" xfId="0" applyNumberFormat="1" applyFont="1" applyFill="1" applyBorder="1" applyAlignment="1" applyProtection="1">
      <alignment horizontal="center" vertical="center"/>
    </xf>
    <xf numFmtId="0" fontId="13" fillId="5" borderId="10" xfId="0" applyNumberFormat="1" applyFont="1" applyFill="1" applyBorder="1" applyAlignment="1" applyProtection="1">
      <alignment horizontal="left" vertical="center"/>
    </xf>
    <xf numFmtId="0" fontId="15" fillId="5" borderId="10" xfId="0" applyNumberFormat="1" applyFont="1" applyFill="1" applyBorder="1" applyAlignment="1" applyProtection="1">
      <alignment horizontal="center" vertical="center"/>
    </xf>
    <xf numFmtId="44" fontId="13" fillId="5" borderId="10" xfId="0" applyNumberFormat="1" applyFont="1" applyFill="1" applyBorder="1" applyAlignment="1" applyProtection="1">
      <alignment horizontal="center" vertical="center"/>
    </xf>
    <xf numFmtId="44" fontId="13" fillId="5" borderId="11" xfId="0" applyNumberFormat="1" applyFont="1" applyFill="1" applyBorder="1" applyAlignment="1" applyProtection="1">
      <alignment horizontal="center" vertical="center"/>
    </xf>
    <xf numFmtId="0" fontId="34" fillId="2" borderId="6" xfId="0" applyNumberFormat="1" applyFont="1" applyFill="1" applyBorder="1" applyAlignment="1" applyProtection="1">
      <alignment horizontal="left" vertical="center"/>
    </xf>
    <xf numFmtId="0" fontId="13" fillId="2" borderId="8" xfId="0" applyNumberFormat="1" applyFont="1" applyFill="1" applyBorder="1" applyAlignment="1" applyProtection="1">
      <alignment horizontal="center" vertical="center"/>
    </xf>
    <xf numFmtId="44" fontId="17" fillId="2" borderId="8" xfId="0" applyNumberFormat="1" applyFont="1" applyFill="1" applyBorder="1" applyAlignment="1" applyProtection="1">
      <alignment horizontal="center" vertical="center"/>
    </xf>
    <xf numFmtId="44" fontId="14" fillId="2" borderId="6" xfId="0" applyNumberFormat="1" applyFont="1" applyFill="1" applyBorder="1" applyAlignment="1" applyProtection="1">
      <alignment horizontal="left" vertical="center"/>
    </xf>
    <xf numFmtId="44" fontId="14" fillId="2" borderId="6" xfId="0" applyNumberFormat="1" applyFont="1" applyFill="1" applyBorder="1" applyAlignment="1" applyProtection="1">
      <alignment horizontal="center" vertical="center" wrapText="1"/>
    </xf>
    <xf numFmtId="0" fontId="25" fillId="2" borderId="6" xfId="0" applyNumberFormat="1" applyFont="1" applyFill="1" applyBorder="1" applyAlignment="1" applyProtection="1">
      <alignment horizontal="left" vertical="center" wrapText="1"/>
    </xf>
    <xf numFmtId="0" fontId="22" fillId="0" borderId="9" xfId="0" applyFont="1" applyFill="1" applyBorder="1" applyAlignment="1">
      <alignment horizontal="left" vertical="center" wrapText="1"/>
    </xf>
    <xf numFmtId="0" fontId="20" fillId="0" borderId="9" xfId="0" applyFont="1" applyFill="1" applyBorder="1" applyAlignment="1">
      <alignment horizontal="left" vertical="center" wrapText="1"/>
    </xf>
    <xf numFmtId="177" fontId="1" fillId="2" borderId="0" xfId="0" applyNumberFormat="1" applyFont="1" applyFill="1" applyBorder="1" applyAlignment="1" applyProtection="1">
      <alignment vertical="center"/>
    </xf>
    <xf numFmtId="0" fontId="15" fillId="0" borderId="6" xfId="0" applyNumberFormat="1" applyFont="1" applyFill="1" applyBorder="1" applyAlignment="1" applyProtection="1">
      <alignment horizontal="left" vertical="center"/>
    </xf>
    <xf numFmtId="44" fontId="1" fillId="2" borderId="0" xfId="0" applyNumberFormat="1" applyFont="1" applyFill="1" applyBorder="1" applyAlignment="1" applyProtection="1">
      <alignment vertical="center"/>
    </xf>
    <xf numFmtId="0" fontId="1" fillId="5" borderId="0" xfId="0" applyNumberFormat="1" applyFont="1" applyFill="1" applyBorder="1" applyAlignment="1" applyProtection="1">
      <alignment vertical="center"/>
    </xf>
    <xf numFmtId="0" fontId="20" fillId="8" borderId="6" xfId="0" applyNumberFormat="1" applyFont="1" applyFill="1" applyBorder="1" applyAlignment="1" applyProtection="1">
      <alignment horizontal="left" vertical="center"/>
    </xf>
    <xf numFmtId="44" fontId="13" fillId="8" borderId="6" xfId="0" applyNumberFormat="1" applyFont="1" applyFill="1" applyBorder="1" applyAlignment="1" applyProtection="1">
      <alignment horizontal="center" vertical="center"/>
    </xf>
    <xf numFmtId="44" fontId="19" fillId="8" borderId="6" xfId="0" applyNumberFormat="1" applyFont="1" applyFill="1" applyBorder="1" applyAlignment="1" applyProtection="1">
      <alignment horizontal="center" vertical="center"/>
    </xf>
    <xf numFmtId="44" fontId="13" fillId="9" borderId="6" xfId="0" applyNumberFormat="1" applyFont="1" applyFill="1" applyBorder="1" applyAlignment="1" applyProtection="1">
      <alignment horizontal="center" vertical="center"/>
    </xf>
    <xf numFmtId="0" fontId="14" fillId="5" borderId="6" xfId="0" applyNumberFormat="1" applyFont="1" applyFill="1" applyBorder="1" applyAlignment="1" applyProtection="1">
      <alignment horizontal="center" vertical="center"/>
    </xf>
    <xf numFmtId="44" fontId="17" fillId="8" borderId="6" xfId="0" applyNumberFormat="1" applyFont="1" applyFill="1" applyBorder="1" applyAlignment="1" applyProtection="1">
      <alignment horizontal="center" vertical="center"/>
    </xf>
    <xf numFmtId="44" fontId="22" fillId="5" borderId="6" xfId="0" applyNumberFormat="1" applyFont="1" applyFill="1" applyBorder="1" applyAlignment="1" applyProtection="1">
      <alignment horizontal="center" vertical="center"/>
    </xf>
    <xf numFmtId="44" fontId="17" fillId="9" borderId="6" xfId="0" applyNumberFormat="1" applyFont="1" applyFill="1" applyBorder="1" applyAlignment="1" applyProtection="1">
      <alignment horizontal="center" vertical="center"/>
    </xf>
    <xf numFmtId="44" fontId="19" fillId="9" borderId="6" xfId="0" applyNumberFormat="1" applyFont="1" applyFill="1" applyBorder="1" applyAlignment="1" applyProtection="1">
      <alignment horizontal="center" vertical="center"/>
    </xf>
    <xf numFmtId="0" fontId="20" fillId="5" borderId="6" xfId="0" applyNumberFormat="1" applyFont="1" applyFill="1" applyBorder="1" applyAlignment="1" applyProtection="1">
      <alignment horizontal="left" vertical="center" wrapText="1"/>
    </xf>
    <xf numFmtId="0" fontId="1" fillId="2" borderId="0" xfId="0" applyNumberFormat="1" applyFont="1" applyFill="1" applyBorder="1" applyAlignment="1" applyProtection="1">
      <alignment horizontal="left" vertical="center"/>
    </xf>
    <xf numFmtId="0" fontId="20" fillId="5" borderId="6" xfId="0" applyNumberFormat="1" applyFont="1" applyFill="1" applyBorder="1" applyAlignment="1" applyProtection="1">
      <alignment horizontal="left" vertical="center"/>
    </xf>
    <xf numFmtId="44" fontId="35" fillId="2" borderId="6" xfId="0" applyNumberFormat="1" applyFont="1" applyFill="1" applyBorder="1" applyAlignment="1" applyProtection="1">
      <alignment horizontal="center" vertical="center"/>
    </xf>
    <xf numFmtId="0" fontId="15" fillId="0" borderId="6" xfId="0" applyNumberFormat="1" applyFont="1" applyFill="1" applyBorder="1" applyAlignment="1" applyProtection="1">
      <alignment horizontal="center" vertical="center"/>
    </xf>
    <xf numFmtId="0" fontId="34" fillId="0" borderId="9" xfId="0" applyFont="1" applyFill="1" applyBorder="1" applyAlignment="1">
      <alignment horizontal="left" vertical="center"/>
    </xf>
    <xf numFmtId="44" fontId="18" fillId="2" borderId="6" xfId="0" applyNumberFormat="1" applyFont="1" applyFill="1" applyBorder="1" applyAlignment="1" applyProtection="1">
      <alignment horizontal="left" vertical="center"/>
    </xf>
    <xf numFmtId="44" fontId="13" fillId="2" borderId="6" xfId="0" applyNumberFormat="1" applyFont="1" applyFill="1" applyBorder="1" applyAlignment="1" applyProtection="1">
      <alignment horizontal="left" vertical="center"/>
    </xf>
    <xf numFmtId="44" fontId="17" fillId="2" borderId="6" xfId="0" applyNumberFormat="1" applyFont="1" applyFill="1" applyBorder="1" applyAlignment="1" applyProtection="1">
      <alignment horizontal="left" vertical="center"/>
    </xf>
    <xf numFmtId="0" fontId="20" fillId="0" borderId="9" xfId="0" applyFont="1" applyFill="1" applyBorder="1" applyAlignment="1">
      <alignment horizontal="left" vertical="center"/>
    </xf>
    <xf numFmtId="0" fontId="36" fillId="0" borderId="9" xfId="0" applyFont="1" applyFill="1" applyBorder="1" applyAlignment="1">
      <alignment horizontal="left" vertical="center"/>
    </xf>
    <xf numFmtId="0" fontId="37" fillId="0" borderId="9" xfId="0" applyFont="1" applyFill="1" applyBorder="1" applyAlignment="1">
      <alignment vertical="center"/>
    </xf>
    <xf numFmtId="0" fontId="38" fillId="0" borderId="9" xfId="0" applyFont="1" applyFill="1" applyBorder="1" applyAlignment="1">
      <alignment vertical="center"/>
    </xf>
    <xf numFmtId="44" fontId="39" fillId="2" borderId="6" xfId="0" applyNumberFormat="1" applyFont="1" applyFill="1" applyBorder="1" applyAlignment="1" applyProtection="1">
      <alignment horizontal="center" vertical="center"/>
    </xf>
    <xf numFmtId="0" fontId="22" fillId="0" borderId="9" xfId="0" applyFont="1" applyFill="1" applyBorder="1" applyAlignment="1">
      <alignment vertical="center"/>
    </xf>
    <xf numFmtId="0" fontId="40" fillId="2" borderId="0" xfId="6" applyNumberFormat="1" applyFill="1" applyBorder="1" applyAlignment="1" applyProtection="1">
      <alignment vertical="center"/>
    </xf>
    <xf numFmtId="0" fontId="37" fillId="0" borderId="9" xfId="0" applyFont="1" applyFill="1" applyBorder="1" applyAlignment="1">
      <alignment horizontal="left" vertical="center" wrapText="1"/>
    </xf>
    <xf numFmtId="0" fontId="41" fillId="0" borderId="9" xfId="0" applyFont="1" applyFill="1" applyBorder="1" applyAlignment="1">
      <alignment horizontal="left" vertical="center" wrapText="1"/>
    </xf>
    <xf numFmtId="0" fontId="37" fillId="0" borderId="0" xfId="0" applyFont="1" applyFill="1" applyBorder="1" applyAlignment="1">
      <alignment horizontal="left" vertical="center" wrapText="1"/>
    </xf>
    <xf numFmtId="0" fontId="37" fillId="0" borderId="9" xfId="0" applyFont="1" applyFill="1" applyBorder="1" applyAlignment="1">
      <alignment vertical="center" wrapText="1"/>
    </xf>
    <xf numFmtId="0" fontId="42" fillId="0" borderId="9" xfId="0" applyFont="1" applyFill="1" applyBorder="1" applyAlignment="1" applyProtection="1">
      <alignment vertical="center"/>
      <protection hidden="1"/>
    </xf>
    <xf numFmtId="0" fontId="43" fillId="10" borderId="0" xfId="0" applyFont="1" applyFill="1">
      <alignment vertical="center"/>
    </xf>
    <xf numFmtId="0" fontId="25" fillId="10" borderId="12" xfId="0" applyFont="1" applyFill="1" applyBorder="1" applyAlignment="1">
      <alignment horizontal="center" vertical="center"/>
    </xf>
    <xf numFmtId="0" fontId="14" fillId="10" borderId="12" xfId="0" applyFont="1" applyFill="1" applyBorder="1" applyAlignment="1">
      <alignment horizontal="center" vertical="center"/>
    </xf>
    <xf numFmtId="0" fontId="25" fillId="10" borderId="12" xfId="0" applyFont="1" applyFill="1" applyBorder="1" applyAlignment="1">
      <alignment horizontal="left" vertical="center"/>
    </xf>
    <xf numFmtId="0" fontId="14" fillId="10" borderId="12" xfId="0" applyFont="1" applyFill="1" applyBorder="1" applyAlignment="1">
      <alignment horizontal="left" vertical="center"/>
    </xf>
    <xf numFmtId="44" fontId="25" fillId="10" borderId="12" xfId="0" applyNumberFormat="1" applyFont="1" applyFill="1" applyBorder="1" applyAlignment="1">
      <alignment horizontal="center" vertical="center"/>
    </xf>
    <xf numFmtId="0" fontId="14" fillId="2" borderId="6" xfId="0" applyNumberFormat="1" applyFont="1" applyFill="1" applyBorder="1" applyAlignment="1" applyProtection="1">
      <alignment horizontal="left" vertical="top"/>
    </xf>
    <xf numFmtId="0" fontId="31" fillId="0" borderId="9" xfId="0" applyFont="1" applyFill="1" applyBorder="1" applyAlignment="1">
      <alignment horizontal="center" vertical="center"/>
    </xf>
    <xf numFmtId="0" fontId="0" fillId="0" borderId="0" xfId="0" applyAlignment="1"/>
    <xf numFmtId="0" fontId="44" fillId="11" borderId="0" xfId="0" applyFont="1" applyFill="1" applyAlignment="1"/>
    <xf numFmtId="0" fontId="44" fillId="0" borderId="0" xfId="0" applyFont="1" applyAlignment="1"/>
    <xf numFmtId="0" fontId="0" fillId="0" borderId="0" xfId="0" applyFont="1" applyAlignment="1"/>
    <xf numFmtId="0" fontId="31" fillId="0" borderId="9" xfId="0" applyFont="1" applyBorder="1" applyAlignment="1">
      <alignment vertical="center"/>
    </xf>
    <xf numFmtId="0" fontId="34" fillId="0" borderId="13" xfId="0" applyFont="1" applyFill="1" applyBorder="1" applyAlignment="1">
      <alignment vertical="center"/>
    </xf>
    <xf numFmtId="0" fontId="31" fillId="12" borderId="9" xfId="0" applyFont="1" applyFill="1" applyBorder="1" applyAlignment="1">
      <alignment horizontal="left" vertical="center"/>
    </xf>
    <xf numFmtId="0" fontId="45" fillId="12" borderId="9" xfId="0" applyFont="1" applyFill="1" applyBorder="1" applyAlignment="1">
      <alignment vertical="center"/>
    </xf>
    <xf numFmtId="0" fontId="34" fillId="0" borderId="13" xfId="0" applyFont="1" applyBorder="1" applyAlignment="1">
      <alignment vertical="center"/>
    </xf>
    <xf numFmtId="0" fontId="44" fillId="0" borderId="0" xfId="0" applyFont="1">
      <alignment vertical="center"/>
    </xf>
    <xf numFmtId="0" fontId="31" fillId="12" borderId="9" xfId="0" applyFont="1" applyFill="1" applyBorder="1" applyAlignment="1">
      <alignment vertical="center"/>
    </xf>
    <xf numFmtId="0" fontId="45" fillId="0" borderId="13" xfId="0" applyFont="1" applyBorder="1" applyAlignment="1">
      <alignment vertical="center"/>
    </xf>
    <xf numFmtId="0" fontId="45" fillId="0" borderId="14" xfId="0" applyFont="1" applyBorder="1" applyAlignment="1">
      <alignment vertical="center"/>
    </xf>
    <xf numFmtId="0" fontId="31" fillId="0" borderId="14" xfId="0" applyFont="1" applyBorder="1" applyAlignment="1">
      <alignment vertical="center"/>
    </xf>
    <xf numFmtId="0" fontId="31" fillId="0" borderId="13" xfId="0" applyFont="1" applyBorder="1" applyAlignment="1">
      <alignment vertical="center"/>
    </xf>
    <xf numFmtId="0" fontId="31" fillId="13" borderId="9" xfId="0" applyFont="1" applyFill="1" applyBorder="1" applyAlignment="1" applyProtection="1">
      <alignment vertical="center"/>
      <protection locked="0"/>
    </xf>
    <xf numFmtId="0" fontId="46" fillId="2" borderId="0" xfId="0" applyFont="1" applyFill="1" applyAlignment="1">
      <alignment vertical="center"/>
    </xf>
    <xf numFmtId="0" fontId="46" fillId="2" borderId="0" xfId="0" applyFont="1" applyFill="1" applyAlignment="1">
      <alignment horizontal="left" vertical="center"/>
    </xf>
    <xf numFmtId="0" fontId="46" fillId="14" borderId="0" xfId="0" applyFont="1" applyFill="1" applyAlignment="1">
      <alignment horizontal="center" vertical="center"/>
    </xf>
    <xf numFmtId="0" fontId="0" fillId="0" borderId="0" xfId="0" applyAlignment="1">
      <alignment horizontal="center" vertical="center"/>
    </xf>
    <xf numFmtId="0" fontId="0" fillId="0" borderId="0" xfId="0" applyFont="1">
      <alignment vertical="center"/>
    </xf>
    <xf numFmtId="0" fontId="0" fillId="0" borderId="0" xfId="0" applyFont="1" applyAlignment="1">
      <alignment horizontal="center" vertical="center"/>
    </xf>
    <xf numFmtId="0" fontId="47" fillId="2" borderId="0" xfId="0" applyFont="1" applyFill="1" applyAlignment="1">
      <alignment horizontal="center" vertical="center" wrapText="1"/>
    </xf>
    <xf numFmtId="0" fontId="48" fillId="15" borderId="9" xfId="0" applyFont="1" applyFill="1" applyBorder="1" applyAlignment="1">
      <alignment horizontal="center" vertical="center"/>
    </xf>
    <xf numFmtId="0" fontId="49" fillId="0" borderId="9" xfId="0" applyFont="1" applyFill="1" applyBorder="1" applyAlignment="1">
      <alignment horizontal="center" vertical="center"/>
    </xf>
    <xf numFmtId="0" fontId="48" fillId="0" borderId="9" xfId="0" applyFont="1" applyFill="1" applyBorder="1" applyAlignment="1">
      <alignment horizontal="center" vertical="center"/>
    </xf>
    <xf numFmtId="0" fontId="50" fillId="2" borderId="9" xfId="0" applyFont="1" applyFill="1" applyBorder="1" applyAlignment="1">
      <alignment horizontal="center" vertical="center"/>
    </xf>
    <xf numFmtId="43" fontId="51" fillId="2" borderId="9" xfId="1" applyFont="1" applyFill="1" applyBorder="1" applyAlignment="1"/>
    <xf numFmtId="43" fontId="52" fillId="2" borderId="9" xfId="1" applyFont="1" applyFill="1" applyBorder="1" applyAlignment="1"/>
    <xf numFmtId="43" fontId="0" fillId="0" borderId="9" xfId="1" applyFont="1" applyBorder="1">
      <alignment vertical="center"/>
    </xf>
    <xf numFmtId="43" fontId="53" fillId="0" borderId="9" xfId="1" applyFont="1" applyBorder="1">
      <alignment vertical="center"/>
    </xf>
    <xf numFmtId="0" fontId="54" fillId="2" borderId="9" xfId="0" applyFont="1" applyFill="1" applyBorder="1" applyAlignment="1">
      <alignment horizontal="center" vertical="center"/>
    </xf>
    <xf numFmtId="0" fontId="55" fillId="2" borderId="9" xfId="0" applyFont="1" applyFill="1" applyBorder="1" applyAlignment="1">
      <alignment vertical="center"/>
    </xf>
    <xf numFmtId="0" fontId="56" fillId="2" borderId="0" xfId="0" applyFont="1" applyFill="1" applyAlignment="1"/>
    <xf numFmtId="0" fontId="56" fillId="2" borderId="15" xfId="0" applyFont="1" applyFill="1" applyBorder="1" applyAlignment="1">
      <alignment horizontal="center" vertical="center"/>
    </xf>
    <xf numFmtId="0" fontId="56" fillId="2" borderId="14" xfId="0" applyFont="1" applyFill="1" applyBorder="1" applyAlignment="1">
      <alignment vertical="center"/>
    </xf>
    <xf numFmtId="43" fontId="56" fillId="2" borderId="14" xfId="1" applyFont="1" applyFill="1" applyBorder="1" applyAlignment="1"/>
    <xf numFmtId="43" fontId="0" fillId="0" borderId="0" xfId="1" applyFont="1">
      <alignment vertical="center"/>
    </xf>
    <xf numFmtId="43" fontId="0" fillId="0" borderId="0" xfId="0" applyNumberFormat="1">
      <alignment vertical="center"/>
    </xf>
    <xf numFmtId="0" fontId="57" fillId="15" borderId="16" xfId="0" applyFont="1" applyFill="1" applyBorder="1" applyAlignment="1">
      <alignment horizontal="center" vertical="center" wrapText="1"/>
    </xf>
    <xf numFmtId="0" fontId="57" fillId="15" borderId="17" xfId="0" applyFont="1" applyFill="1" applyBorder="1" applyAlignment="1">
      <alignment horizontal="center" vertical="center" wrapText="1"/>
    </xf>
    <xf numFmtId="43" fontId="57" fillId="15" borderId="17" xfId="1" applyFont="1" applyFill="1" applyBorder="1" applyAlignment="1">
      <alignment horizontal="center" vertical="center" wrapText="1"/>
    </xf>
    <xf numFmtId="0" fontId="48" fillId="15" borderId="17" xfId="0" applyFont="1" applyFill="1" applyBorder="1" applyAlignment="1">
      <alignment horizontal="center" vertical="center"/>
    </xf>
    <xf numFmtId="0" fontId="50" fillId="2" borderId="18" xfId="0" applyFont="1" applyFill="1" applyBorder="1" applyAlignment="1">
      <alignment horizontal="center" vertical="center"/>
    </xf>
    <xf numFmtId="43" fontId="44" fillId="0" borderId="9" xfId="1" applyFont="1" applyBorder="1">
      <alignment vertical="center"/>
    </xf>
    <xf numFmtId="0" fontId="31" fillId="13" borderId="9" xfId="0" applyFont="1" applyFill="1" applyBorder="1" applyAlignment="1" applyProtection="1">
      <alignment horizontal="left" vertical="center"/>
      <protection locked="0"/>
    </xf>
    <xf numFmtId="0" fontId="31" fillId="0" borderId="9" xfId="0" applyFont="1" applyBorder="1" applyAlignment="1" applyProtection="1">
      <alignment vertical="center"/>
      <protection locked="0"/>
    </xf>
    <xf numFmtId="0" fontId="31" fillId="0" borderId="9" xfId="0" applyFont="1" applyBorder="1" applyAlignment="1" applyProtection="1">
      <alignment horizontal="left" vertical="center"/>
      <protection locked="0"/>
    </xf>
    <xf numFmtId="43" fontId="0" fillId="0" borderId="9" xfId="1" applyFont="1" applyFill="1" applyBorder="1">
      <alignment vertical="center"/>
    </xf>
    <xf numFmtId="0" fontId="34" fillId="0" borderId="9" xfId="0" applyFont="1" applyBorder="1" applyAlignment="1" applyProtection="1">
      <alignment vertical="center"/>
      <protection locked="0"/>
    </xf>
    <xf numFmtId="0" fontId="34" fillId="0" borderId="13" xfId="0" applyFont="1" applyBorder="1" applyAlignment="1" applyProtection="1">
      <alignment vertical="center"/>
      <protection locked="0"/>
    </xf>
    <xf numFmtId="43" fontId="51" fillId="2" borderId="13" xfId="1" applyFont="1" applyFill="1" applyBorder="1" applyAlignment="1"/>
    <xf numFmtId="43" fontId="0" fillId="0" borderId="13" xfId="1" applyFont="1" applyBorder="1">
      <alignment vertical="center"/>
    </xf>
    <xf numFmtId="43" fontId="0" fillId="0" borderId="19" xfId="1" applyFont="1" applyBorder="1">
      <alignment vertical="center"/>
    </xf>
    <xf numFmtId="43" fontId="51" fillId="2" borderId="19" xfId="1" applyFont="1" applyFill="1" applyBorder="1" applyAlignment="1"/>
    <xf numFmtId="0" fontId="58" fillId="2" borderId="20" xfId="0" applyFont="1" applyFill="1" applyBorder="1" applyAlignment="1">
      <alignment horizontal="center" vertical="center"/>
    </xf>
    <xf numFmtId="0" fontId="31" fillId="0" borderId="21" xfId="0" applyFont="1" applyBorder="1" applyAlignment="1" applyProtection="1">
      <alignment vertical="center"/>
      <protection locked="0"/>
    </xf>
    <xf numFmtId="43" fontId="51" fillId="2" borderId="22" xfId="1" applyFont="1" applyFill="1" applyBorder="1" applyAlignment="1"/>
    <xf numFmtId="0" fontId="59" fillId="2" borderId="15" xfId="0" applyFont="1" applyFill="1" applyBorder="1" applyAlignment="1">
      <alignment horizontal="center" vertical="center"/>
    </xf>
    <xf numFmtId="43" fontId="59" fillId="2" borderId="14" xfId="0" applyNumberFormat="1" applyFont="1" applyFill="1" applyBorder="1" applyAlignment="1">
      <alignment vertical="center"/>
    </xf>
    <xf numFmtId="0" fontId="60" fillId="0" borderId="9" xfId="0" applyFont="1" applyBorder="1" applyAlignment="1">
      <alignment horizontal="center" vertical="center"/>
    </xf>
    <xf numFmtId="0" fontId="60" fillId="0" borderId="9" xfId="0" applyFont="1" applyBorder="1">
      <alignment vertical="center"/>
    </xf>
    <xf numFmtId="0" fontId="31" fillId="0" borderId="9" xfId="0" applyFont="1" applyFill="1" applyBorder="1" applyAlignment="1">
      <alignment horizontal="left" vertical="center" wrapText="1"/>
    </xf>
    <xf numFmtId="0" fontId="61" fillId="0" borderId="0" xfId="0" applyFont="1">
      <alignment vertical="center"/>
    </xf>
    <xf numFmtId="0" fontId="37" fillId="0" borderId="9" xfId="0" applyFont="1" applyFill="1" applyBorder="1" applyAlignment="1">
      <alignment horizontal="left" vertical="center"/>
    </xf>
    <xf numFmtId="0" fontId="62" fillId="0" borderId="0" xfId="0" applyFont="1">
      <alignment vertical="center"/>
    </xf>
    <xf numFmtId="0" fontId="62" fillId="16" borderId="0" xfId="0" applyFont="1" applyFill="1">
      <alignment vertical="center"/>
    </xf>
    <xf numFmtId="0" fontId="63" fillId="3" borderId="0" xfId="6" applyFont="1" applyFill="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表格标题 1" xfId="49"/>
    <cellStyle name="底纹填充 1" xfId="50"/>
  </cellStyles>
  <dxfs count="2">
    <dxf>
      <font>
        <name val="宋体"/>
        <scheme val="none"/>
        <b val="0"/>
        <i val="0"/>
        <strike val="0"/>
        <u val="none"/>
        <sz val="10"/>
        <color theme="1"/>
      </font>
      <fill>
        <patternFill patternType="none"/>
      </fill>
      <alignment vertical="center"/>
      <border>
        <left style="thin">
          <color auto="1"/>
        </left>
        <right style="thin">
          <color auto="1"/>
        </right>
        <top style="thin">
          <color auto="1"/>
        </top>
        <bottom/>
      </border>
    </dxf>
    <dxf>
      <border>
        <left style="thin">
          <color auto="1"/>
        </left>
        <right style="thin">
          <color auto="1"/>
        </right>
        <top style="thin">
          <color auto="1"/>
        </top>
        <bottom style="thin">
          <color auto="1"/>
        </bottom>
      </border>
    </dxf>
  </dxfs>
  <tableStyles count="0" defaultTableStyle="TableStyleMedium9" defaultPivotStyle="PivotStyleLight16"/>
  <colors>
    <mruColors>
      <color rgb="00000000"/>
      <color rgb="00FFFF00"/>
      <color rgb="00E60FBB"/>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externalLink" Target="externalLinks/externalLink3.xml"/><Relationship Id="rId33" Type="http://schemas.openxmlformats.org/officeDocument/2006/relationships/externalLink" Target="externalLinks/externalLink2.xml"/><Relationship Id="rId32" Type="http://schemas.openxmlformats.org/officeDocument/2006/relationships/externalLink" Target="externalLinks/externalLink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37252\xwechat_files\lqzyp123_b6c4\msg\file\2025-11\2023-2024%20%20&#38134;&#34892;&#26085;&#35760;&#3613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6426;&#26800;&#24037;&#19994;&#20986;&#29256;&#31038;\&#34892;&#19994;&#21150;&#20844;&#65288;4&#26412;&#65289;\Excel%202007&#20844;&#24335;&#19982;&#20989;&#25968;&#22312;&#20844;&#21496;&#26085;&#24120;&#20250;&#35745;&#20013;&#30340;&#33539;&#20363;&#24212;&#29992;\04\&#20250;&#35745;&#20973;&#35777;&#31649;&#297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5&#38134;&#34892;&#26085;&#35760;&#36134;&#24050;&#20462;&#25913;&#29256;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总"/>
      <sheetName val="力喆实业2022"/>
      <sheetName val="力喆实业"/>
      <sheetName val="古玩城"/>
      <sheetName val="力喆贸易（基本户）"/>
      <sheetName val="名称"/>
      <sheetName val="元华资产"/>
      <sheetName val="浪速体育"/>
      <sheetName val="浪速体育 (一般户)"/>
      <sheetName val="Sheet2 (2)"/>
      <sheetName val="浪速个人银行明细"/>
      <sheetName val="趋势创投"/>
      <sheetName val="徐洁招行 (2)"/>
      <sheetName val="Sheet3"/>
      <sheetName val="青翼创"/>
      <sheetName val="艾泊烨 -基本户"/>
      <sheetName val="艾泊烨-一般户（招行）"/>
      <sheetName val="艾泊烨-一般户（农商）"/>
      <sheetName val="艾泊烨  (个人农商银行)"/>
      <sheetName val="艾泊烨贷款明细"/>
      <sheetName val="万安里"/>
      <sheetName val="郭少燕"/>
      <sheetName val="言吾言"/>
      <sheetName val="力喆传媒"/>
      <sheetName val="中策管理"/>
      <sheetName val="四季快安"/>
      <sheetName val="力喆建设"/>
      <sheetName val="耀兴智能"/>
      <sheetName val="力喆贸易"/>
      <sheetName val="丰华智能"/>
      <sheetName val="丰华现金日记账2021.05 (2)"/>
      <sheetName val="招商卡3月明细"/>
      <sheetName val="招行卡明细_20210101_20211231"/>
      <sheetName val="招行卡明细_20220101_20221231"/>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会计科目表"/>
      <sheetName val="总账科目"/>
      <sheetName val="记账凭证清单表"/>
      <sheetName val="按凭证号查询凭证"/>
      <sheetName val="总分类账"/>
    </sheetNames>
    <sheetDataSet>
      <sheetData sheetId="0"/>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汇总"/>
      <sheetName val="月度按科目"/>
      <sheetName val="力喆实业2022"/>
      <sheetName val="力喆实业"/>
      <sheetName val="古玩城"/>
      <sheetName val="力喆贸易（基本户）"/>
      <sheetName val="元生万物"/>
      <sheetName val="言吾言"/>
      <sheetName val="力喆传媒"/>
      <sheetName val="青翼创"/>
      <sheetName val="名称"/>
      <sheetName val="浪速体育"/>
      <sheetName val="浪速体育 (一般户)"/>
      <sheetName val="浪速个人银行明细"/>
      <sheetName val="趋势创投"/>
      <sheetName val="徐洁招行 (2)"/>
      <sheetName val="Sheet3 (2)"/>
      <sheetName val="艾泊烨 -基本户"/>
      <sheetName val="艾泊烨-一般户（招行）"/>
      <sheetName val="艾泊烨-一般户（农商）"/>
      <sheetName val="艾泊烨  (个人农商银行)"/>
      <sheetName val="中策管理"/>
      <sheetName val="四季快安"/>
      <sheetName val="博烨体育-基本户（农商行）"/>
      <sheetName val="艾泊烨贷款明细"/>
      <sheetName val="艾泊烨贷款明细 (王晓华建行)"/>
      <sheetName val="万安里"/>
      <sheetName val="郭少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ables/table1.xml><?xml version="1.0" encoding="utf-8"?>
<table xmlns="http://schemas.openxmlformats.org/spreadsheetml/2006/main" id="1" name="收费名称" displayName="收费名称" ref="B1:B50" totalsRowShown="0">
  <autoFilter xmlns:etc="http://www.wps.cn/officeDocument/2017/etCustomData" ref="B1:B50" etc:filterBottomFollowUsedRange="0"/>
  <tableColumns count="1">
    <tableColumn id="1" name="收费项" dataDxfId="0"/>
  </tableColumns>
  <tableStyleInfo name="TableStyleLight16"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M34"/>
  <sheetViews>
    <sheetView zoomScale="70" zoomScaleNormal="70" workbookViewId="0">
      <selection activeCell="C13" sqref="C13"/>
    </sheetView>
  </sheetViews>
  <sheetFormatPr defaultColWidth="9" defaultRowHeight="13.5"/>
  <cols>
    <col min="2" max="2" width="34" customWidth="1"/>
    <col min="3" max="3" width="14" customWidth="1"/>
  </cols>
  <sheetData>
    <row r="1" s="272" customFormat="1" ht="22.5" spans="2:13">
      <c r="B1" s="272" t="s">
        <v>0</v>
      </c>
      <c r="C1" s="272" t="s">
        <v>1</v>
      </c>
    </row>
    <row r="2" s="272" customFormat="1" ht="22.5" spans="2:13">
      <c r="B2" s="273" t="str" cm="1">
        <f ca="1" t="array" ref="B2:B29">_wpsfn.SHEETSNAME(,1,1)</f>
        <v>汇总</v>
      </c>
      <c r="C2" s="274" t="str">
        <f ca="1" t="shared" ref="C2:C34" si="0">HYPERLINK("#"&amp;B2&amp;"!a1","跳转链接")</f>
        <v>跳转链接</v>
      </c>
    </row>
    <row r="3" s="272" customFormat="1" ht="22.5" spans="2:13">
      <c r="B3" s="273" t="str">
        <v>付费项</v>
      </c>
      <c r="C3" s="274" t="str">
        <f ca="1" t="shared" si="0"/>
        <v>跳转链接</v>
      </c>
    </row>
    <row r="4" s="272" customFormat="1" ht="22.5" spans="2:13">
      <c r="B4" s="273" t="str">
        <v>力喆实业中国银行</v>
      </c>
      <c r="C4" s="274" t="str">
        <f ca="1" t="shared" si="0"/>
        <v>跳转链接</v>
      </c>
    </row>
    <row r="5" s="272" customFormat="1" ht="22.5" spans="2:13">
      <c r="B5" s="273" t="str">
        <v>力喆产业农商银行</v>
      </c>
      <c r="C5" s="274" t="str">
        <f ca="1" t="shared" si="0"/>
        <v>跳转链接</v>
      </c>
    </row>
    <row r="6" s="272" customFormat="1" ht="22.5" spans="2:13">
      <c r="B6" s="273" t="str">
        <v>元生万物建设银行</v>
      </c>
      <c r="C6" s="274" t="str">
        <f ca="1" t="shared" si="0"/>
        <v>跳转链接</v>
      </c>
    </row>
    <row r="7" s="272" customFormat="1" ht="22.5" spans="2:13">
      <c r="B7" s="273" t="str">
        <v>言吾言中国银行</v>
      </c>
      <c r="C7" s="274" t="str">
        <f ca="1" t="shared" si="0"/>
        <v>跳转链接</v>
      </c>
    </row>
    <row r="8" s="272" customFormat="1" ht="22.5" spans="2:13">
      <c r="B8" s="273" t="str">
        <v>力喆传媒海峡银行</v>
      </c>
      <c r="C8" s="274" t="str">
        <f ca="1" t="shared" si="0"/>
        <v>跳转链接</v>
      </c>
    </row>
    <row r="9" s="272" customFormat="1" ht="22.5" spans="2:13">
      <c r="B9" s="273" t="str">
        <v>徐洁招商银行</v>
      </c>
      <c r="C9" s="274" t="str">
        <f ca="1" t="shared" si="0"/>
        <v>跳转链接</v>
      </c>
      <c r="M9" s="272" t="s">
        <v>2</v>
      </c>
    </row>
    <row r="10" s="272" customFormat="1" ht="22.5" spans="2:13">
      <c r="B10" s="273" t="str">
        <v>力喆贸易建设银行</v>
      </c>
      <c r="C10" s="274" t="str">
        <f ca="1" t="shared" si="0"/>
        <v>跳转链接</v>
      </c>
      <c r="M10" s="272" t="s">
        <v>3</v>
      </c>
    </row>
    <row r="11" s="272" customFormat="1" ht="22.5" spans="2:13">
      <c r="B11" s="273" t="str">
        <v>古玩城农商银行</v>
      </c>
      <c r="C11" s="274" t="str">
        <f ca="1" t="shared" si="0"/>
        <v>跳转链接</v>
      </c>
      <c r="M11" s="272" t="s">
        <v>4</v>
      </c>
    </row>
    <row r="12" s="272" customFormat="1" ht="22.5" spans="2:13">
      <c r="B12" s="273" t="str">
        <v>古玩城现金</v>
      </c>
      <c r="C12" s="274" t="str">
        <f ca="1" t="shared" si="0"/>
        <v>跳转链接</v>
      </c>
    </row>
    <row r="13" s="272" customFormat="1" ht="22.5" spans="2:13">
      <c r="B13" s="273" t="str">
        <v>艾泊烨海峡银行</v>
      </c>
      <c r="C13" s="274" t="str">
        <f ca="1" t="shared" si="0"/>
        <v>跳转链接</v>
      </c>
    </row>
    <row r="14" s="272" customFormat="1" ht="22.5" spans="2:13">
      <c r="B14" s="273" t="str">
        <v>艾泊烨招商银行</v>
      </c>
      <c r="C14" s="274" t="str">
        <f ca="1" t="shared" si="0"/>
        <v>跳转链接</v>
      </c>
    </row>
    <row r="15" s="272" customFormat="1" ht="22.5" spans="2:13">
      <c r="B15" s="273" t="str">
        <v>艾泊烨农商银行</v>
      </c>
      <c r="C15" s="274" t="str">
        <f ca="1" t="shared" si="0"/>
        <v>跳转链接</v>
      </c>
    </row>
    <row r="16" s="272" customFormat="1" ht="22.5" spans="2:13">
      <c r="B16" s="273" t="str">
        <v>艾泊烨私户银行</v>
      </c>
      <c r="C16" s="274" t="str">
        <f ca="1" t="shared" si="0"/>
        <v>跳转链接</v>
      </c>
    </row>
    <row r="17" s="272" customFormat="1" ht="22.5" spans="2:3">
      <c r="B17" s="273" t="str">
        <v>博烨体育农商银行</v>
      </c>
      <c r="C17" s="274" t="str">
        <f ca="1" t="shared" si="0"/>
        <v>跳转链接</v>
      </c>
    </row>
    <row r="18" s="272" customFormat="1" ht="22.5" spans="2:3">
      <c r="B18" s="273" t="str">
        <v>博烨私户</v>
      </c>
      <c r="C18" s="274" t="str">
        <f ca="1" t="shared" si="0"/>
        <v>跳转链接</v>
      </c>
    </row>
    <row r="19" s="272" customFormat="1" ht="22.5" spans="2:3">
      <c r="B19" s="273" t="str">
        <v>博烨篮球馆 </v>
      </c>
      <c r="C19" s="274" t="str">
        <f ca="1" t="shared" si="0"/>
        <v>跳转链接</v>
      </c>
    </row>
    <row r="20" s="272" customFormat="1" ht="22.5" spans="2:3">
      <c r="B20" s="273" t="str">
        <v>博烨羽毛球</v>
      </c>
      <c r="C20" s="274" t="str">
        <f ca="1" t="shared" si="0"/>
        <v>跳转链接</v>
      </c>
    </row>
    <row r="21" s="272" customFormat="1" ht="22.5" spans="2:3">
      <c r="B21" s="273" t="str">
        <v>博烨健身房</v>
      </c>
      <c r="C21" s="274" t="str">
        <f ca="1" t="shared" si="0"/>
        <v>跳转链接</v>
      </c>
    </row>
    <row r="22" s="272" customFormat="1" ht="22.5" spans="2:3">
      <c r="B22" s="273" t="str">
        <v>博烨匹克球</v>
      </c>
      <c r="C22" s="274" t="str">
        <f ca="1" t="shared" si="0"/>
        <v>跳转链接</v>
      </c>
    </row>
    <row r="23" s="272" customFormat="1" ht="22.5" spans="2:3">
      <c r="B23" s="273" t="str">
        <v>Sheet1</v>
      </c>
      <c r="C23" s="274" t="str">
        <f ca="1" t="shared" si="0"/>
        <v>跳转链接</v>
      </c>
    </row>
    <row r="24" ht="22.5" spans="2:3">
      <c r="B24" s="273" t="str">
        <v>易佰兴趋势民生银行</v>
      </c>
      <c r="C24" s="274" t="str">
        <f ca="1" t="shared" si="0"/>
        <v>跳转链接</v>
      </c>
    </row>
    <row r="25" ht="22.5" spans="2:3">
      <c r="B25" s="273" t="str">
        <v>易佰兴私户</v>
      </c>
      <c r="C25" s="274" t="str">
        <f ca="1" t="shared" si="0"/>
        <v>跳转链接</v>
      </c>
    </row>
    <row r="26" ht="22.5" spans="2:3">
      <c r="B26" s="273" t="str">
        <v>易佰兴现金</v>
      </c>
      <c r="C26" s="274" t="str">
        <f ca="1" t="shared" si="0"/>
        <v>跳转链接</v>
      </c>
    </row>
    <row r="27" ht="22.5" spans="2:3">
      <c r="B27" s="273" t="str">
        <v>易佰兴建行</v>
      </c>
      <c r="C27" s="274" t="str">
        <f ca="1" t="shared" si="0"/>
        <v>跳转链接</v>
      </c>
    </row>
    <row r="28" ht="22.5" spans="2:3">
      <c r="B28" s="273" t="str">
        <v>易佰兴基本户</v>
      </c>
      <c r="C28" s="274" t="str">
        <f ca="1" t="shared" si="0"/>
        <v>跳转链接</v>
      </c>
    </row>
    <row r="29" ht="22.5" spans="2:3">
      <c r="B29" s="273" t="str">
        <v>易佰兴农商银行外</v>
      </c>
      <c r="C29" s="274" t="str">
        <f ca="1" t="shared" si="0"/>
        <v>跳转链接</v>
      </c>
    </row>
    <row r="30" ht="22.5" spans="2:3">
      <c r="B30" s="273"/>
      <c r="C30" s="274" t="str">
        <f t="shared" si="0"/>
        <v>跳转链接</v>
      </c>
    </row>
    <row r="31" ht="22.5" spans="2:3">
      <c r="B31" s="273"/>
      <c r="C31" s="274" t="str">
        <f t="shared" si="0"/>
        <v>跳转链接</v>
      </c>
    </row>
    <row r="32" ht="22.5" spans="2:3">
      <c r="B32" s="273"/>
      <c r="C32" s="274" t="str">
        <f t="shared" si="0"/>
        <v>跳转链接</v>
      </c>
    </row>
    <row r="33" ht="22.5" spans="2:3">
      <c r="B33" s="273"/>
      <c r="C33" s="274" t="str">
        <f t="shared" si="0"/>
        <v>跳转链接</v>
      </c>
    </row>
    <row r="34" ht="22.5" spans="2:3">
      <c r="B34" s="273"/>
      <c r="C34" s="274" t="str">
        <f t="shared" si="0"/>
        <v>跳转链接</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P65"/>
  <sheetViews>
    <sheetView zoomScale="80" zoomScaleNormal="80" workbookViewId="0">
      <selection activeCell="D5" sqref="D5"/>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193" t="str">
        <f>HYPERLINK("#目录!a1","返回目录")</f>
        <v>返回目录</v>
      </c>
      <c r="B1" s="47" t="s">
        <v>5</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176530.77</v>
      </c>
      <c r="J4" s="56"/>
    </row>
    <row r="5" ht="20" customHeight="1" spans="1:16">
      <c r="B5" s="42">
        <v>1</v>
      </c>
      <c r="C5" s="42">
        <v>5</v>
      </c>
      <c r="D5" s="189" t="s">
        <v>16</v>
      </c>
      <c r="E5" s="271" t="s">
        <v>17</v>
      </c>
      <c r="F5" s="271" t="s">
        <v>18</v>
      </c>
      <c r="G5" s="189"/>
      <c r="H5" s="56">
        <v>10</v>
      </c>
      <c r="I5" s="58">
        <f>I4+G5-H5</f>
        <v>176520.77</v>
      </c>
      <c r="J5" s="56"/>
    </row>
    <row r="6" ht="20" customHeight="1" spans="1:16">
      <c r="B6" s="42">
        <v>1</v>
      </c>
      <c r="C6" s="42">
        <v>11</v>
      </c>
      <c r="D6" s="42"/>
      <c r="E6" s="271" t="s">
        <v>17</v>
      </c>
      <c r="F6" s="45" t="s">
        <v>19</v>
      </c>
      <c r="G6" s="56"/>
      <c r="H6" s="56">
        <v>60</v>
      </c>
      <c r="I6" s="58">
        <f>I5+G6-H6</f>
        <v>176460.77</v>
      </c>
      <c r="J6" s="56"/>
    </row>
    <row r="7" ht="20" customHeight="1" spans="1:16">
      <c r="B7" s="42">
        <v>1</v>
      </c>
      <c r="C7" s="42">
        <v>15</v>
      </c>
      <c r="D7" s="42"/>
      <c r="E7" s="44" t="s">
        <v>20</v>
      </c>
      <c r="F7" s="45" t="s">
        <v>21</v>
      </c>
      <c r="G7" s="56">
        <v>4000</v>
      </c>
      <c r="H7" s="56"/>
      <c r="I7" s="58">
        <f>I6+G7-H7</f>
        <v>180460.77</v>
      </c>
      <c r="J7" s="56"/>
    </row>
    <row r="8" ht="20" customHeight="1" spans="1:16">
      <c r="B8" s="68"/>
      <c r="C8" s="68"/>
      <c r="D8" s="68"/>
      <c r="E8" s="68"/>
      <c r="F8" s="70" t="s">
        <v>22</v>
      </c>
      <c r="G8" s="71">
        <f>SUM(G5:G7)</f>
        <v>4000</v>
      </c>
      <c r="H8" s="71">
        <f>SUM(H5:H7)</f>
        <v>70</v>
      </c>
      <c r="I8" s="72">
        <f>I4+G8-H8</f>
        <v>180460.77</v>
      </c>
      <c r="J8" s="71"/>
    </row>
    <row r="9" ht="20" customHeight="1" spans="1:16">
      <c r="B9" s="42">
        <v>2</v>
      </c>
      <c r="C9" s="42">
        <v>2</v>
      </c>
      <c r="D9" s="42"/>
      <c r="E9" s="74" t="s">
        <v>23</v>
      </c>
      <c r="F9" s="45" t="s">
        <v>24</v>
      </c>
      <c r="G9" s="56"/>
      <c r="H9" s="56">
        <v>21320</v>
      </c>
      <c r="I9" s="58">
        <f>I8+G9-H9</f>
        <v>159140.77</v>
      </c>
      <c r="J9" s="56"/>
    </row>
    <row r="10" ht="20" customHeight="1" spans="1:16">
      <c r="B10" s="42">
        <v>2</v>
      </c>
      <c r="C10" s="42">
        <v>5</v>
      </c>
      <c r="D10" s="189" t="s">
        <v>16</v>
      </c>
      <c r="E10" s="271" t="s">
        <v>17</v>
      </c>
      <c r="F10" s="271" t="s">
        <v>18</v>
      </c>
      <c r="G10" s="189"/>
      <c r="H10" s="56">
        <v>10</v>
      </c>
      <c r="I10" s="58">
        <f>I9+G10-H10</f>
        <v>159130.77</v>
      </c>
      <c r="J10" s="56"/>
    </row>
    <row r="11" ht="20" customHeight="1" spans="1:16">
      <c r="B11" s="42">
        <v>2</v>
      </c>
      <c r="C11" s="42">
        <v>13</v>
      </c>
      <c r="D11" s="42"/>
      <c r="E11" s="44" t="s">
        <v>20</v>
      </c>
      <c r="F11" s="45" t="s">
        <v>21</v>
      </c>
      <c r="G11" s="56">
        <v>4000</v>
      </c>
      <c r="H11" s="56"/>
      <c r="I11" s="58">
        <f>I10+G11-H11</f>
        <v>163130.77</v>
      </c>
      <c r="J11" s="56"/>
    </row>
    <row r="12" ht="20" customHeight="1" spans="1:16">
      <c r="B12" s="42">
        <v>2</v>
      </c>
      <c r="C12" s="42">
        <v>26</v>
      </c>
      <c r="D12" s="42"/>
      <c r="E12" s="45" t="s">
        <v>25</v>
      </c>
      <c r="F12" s="45" t="s">
        <v>26</v>
      </c>
      <c r="G12" s="56"/>
      <c r="H12" s="56">
        <v>48000</v>
      </c>
      <c r="I12" s="58">
        <f>I11+G12-H12</f>
        <v>115130.77</v>
      </c>
      <c r="J12" s="56"/>
    </row>
    <row r="13" ht="20" customHeight="1" spans="1:16">
      <c r="B13" s="42">
        <v>2</v>
      </c>
      <c r="C13" s="42">
        <v>28</v>
      </c>
      <c r="D13" s="42"/>
      <c r="E13" s="74" t="s">
        <v>23</v>
      </c>
      <c r="F13" s="44" t="s">
        <v>27</v>
      </c>
      <c r="G13" s="56">
        <v>800</v>
      </c>
      <c r="H13" s="56"/>
      <c r="I13" s="58">
        <f>I12+G13-H13</f>
        <v>115930.77</v>
      </c>
      <c r="J13" s="56"/>
    </row>
    <row r="14" ht="20" customHeight="1" spans="1:16">
      <c r="B14" s="68"/>
      <c r="C14" s="68"/>
      <c r="D14" s="68"/>
      <c r="E14" s="68"/>
      <c r="F14" s="70" t="s">
        <v>22</v>
      </c>
      <c r="G14" s="71">
        <f>SUM(G9:G13)</f>
        <v>4800</v>
      </c>
      <c r="H14" s="71">
        <f>SUM(H9:H13)</f>
        <v>69330</v>
      </c>
      <c r="I14" s="72">
        <f>I8+G14-H14</f>
        <v>115930.77</v>
      </c>
      <c r="J14" s="56"/>
    </row>
    <row r="15" ht="20" customHeight="1" spans="1:16">
      <c r="B15" s="42">
        <v>3</v>
      </c>
      <c r="C15" s="42">
        <v>5</v>
      </c>
      <c r="D15" s="189" t="s">
        <v>16</v>
      </c>
      <c r="E15" s="271" t="s">
        <v>17</v>
      </c>
      <c r="F15" s="271" t="s">
        <v>18</v>
      </c>
      <c r="G15" s="189"/>
      <c r="H15" s="56">
        <v>10</v>
      </c>
      <c r="I15" s="58">
        <f>I14+G15-H15</f>
        <v>115920.77</v>
      </c>
      <c r="J15" s="56"/>
    </row>
    <row r="16" ht="20" customHeight="1" spans="1:16">
      <c r="B16" s="42">
        <v>3</v>
      </c>
      <c r="C16" s="42">
        <v>16</v>
      </c>
      <c r="D16" s="42"/>
      <c r="E16" s="44" t="s">
        <v>20</v>
      </c>
      <c r="F16" s="45" t="s">
        <v>21</v>
      </c>
      <c r="G16" s="56">
        <v>4000</v>
      </c>
      <c r="H16" s="56"/>
      <c r="I16" s="58">
        <f>I15+G16-H16</f>
        <v>119920.77</v>
      </c>
      <c r="J16" s="56"/>
    </row>
    <row r="17" ht="20" customHeight="1" spans="2:10">
      <c r="B17" s="42">
        <v>3</v>
      </c>
      <c r="C17" s="42">
        <v>21</v>
      </c>
      <c r="D17" s="42"/>
      <c r="E17" s="44" t="s">
        <v>28</v>
      </c>
      <c r="F17" s="45" t="s">
        <v>29</v>
      </c>
      <c r="G17" s="56">
        <v>19.75</v>
      </c>
      <c r="H17" s="56"/>
      <c r="I17" s="58">
        <f>I16+G17-H17</f>
        <v>119940.52</v>
      </c>
      <c r="J17" s="56"/>
    </row>
    <row r="18" ht="20" customHeight="1" spans="2:10">
      <c r="B18" s="68"/>
      <c r="C18" s="68"/>
      <c r="D18" s="68"/>
      <c r="E18" s="68"/>
      <c r="F18" s="70" t="s">
        <v>22</v>
      </c>
      <c r="G18" s="71">
        <f>SUM(G15:G17)</f>
        <v>4019.75</v>
      </c>
      <c r="H18" s="71">
        <f>SUM(H15:H17)</f>
        <v>10</v>
      </c>
      <c r="I18" s="72">
        <f>I14+G18-H18</f>
        <v>119940.52</v>
      </c>
      <c r="J18" s="56"/>
    </row>
    <row r="19" ht="20" customHeight="1" spans="2:10">
      <c r="B19" s="42"/>
      <c r="C19" s="42"/>
      <c r="D19" s="42"/>
      <c r="E19" s="54"/>
      <c r="F19" s="54"/>
      <c r="G19" s="56"/>
      <c r="H19" s="56"/>
      <c r="I19" s="58">
        <f t="shared" ref="I19:I65" si="0">I18+G19-H19</f>
        <v>119940.52</v>
      </c>
      <c r="J19" s="56"/>
    </row>
    <row r="20" ht="20" customHeight="1" spans="2:10">
      <c r="B20" s="42"/>
      <c r="C20" s="42"/>
      <c r="D20" s="42"/>
      <c r="E20" s="42"/>
      <c r="F20" s="54"/>
      <c r="G20" s="56"/>
      <c r="H20" s="56"/>
      <c r="I20" s="58">
        <f t="shared" si="0"/>
        <v>119940.52</v>
      </c>
      <c r="J20" s="56"/>
    </row>
    <row r="21" ht="20" customHeight="1" spans="2:10">
      <c r="B21" s="42"/>
      <c r="C21" s="42"/>
      <c r="D21" s="42"/>
      <c r="E21" s="42"/>
      <c r="F21" s="54"/>
      <c r="G21" s="56"/>
      <c r="H21" s="56"/>
      <c r="I21" s="58">
        <f t="shared" si="0"/>
        <v>119940.52</v>
      </c>
      <c r="J21" s="56"/>
    </row>
    <row r="22" ht="20" customHeight="1" spans="2:10">
      <c r="B22" s="42"/>
      <c r="C22" s="42"/>
      <c r="D22" s="42"/>
      <c r="E22" s="42"/>
      <c r="F22" s="54"/>
      <c r="G22" s="56"/>
      <c r="H22" s="56"/>
      <c r="I22" s="58">
        <f t="shared" si="0"/>
        <v>119940.52</v>
      </c>
      <c r="J22" s="56"/>
    </row>
    <row r="23" ht="20" customHeight="1" spans="2:10">
      <c r="B23" s="42"/>
      <c r="C23" s="42"/>
      <c r="D23" s="42"/>
      <c r="E23" s="42"/>
      <c r="F23" s="54"/>
      <c r="G23" s="56"/>
      <c r="H23" s="56"/>
      <c r="I23" s="58">
        <f t="shared" si="0"/>
        <v>119940.52</v>
      </c>
      <c r="J23" s="56"/>
    </row>
    <row r="24" ht="20" customHeight="1" spans="2:10">
      <c r="B24" s="42"/>
      <c r="C24" s="42"/>
      <c r="D24" s="42"/>
      <c r="E24" s="42"/>
      <c r="F24" s="54"/>
      <c r="G24" s="56"/>
      <c r="H24" s="56"/>
      <c r="I24" s="58">
        <f t="shared" si="0"/>
        <v>119940.52</v>
      </c>
      <c r="J24" s="56"/>
    </row>
    <row r="25" ht="20" customHeight="1" spans="2:10">
      <c r="B25" s="42"/>
      <c r="C25" s="42"/>
      <c r="D25" s="42"/>
      <c r="E25" s="42"/>
      <c r="F25" s="54"/>
      <c r="G25" s="56"/>
      <c r="H25" s="56"/>
      <c r="I25" s="58">
        <f t="shared" si="0"/>
        <v>119940.52</v>
      </c>
      <c r="J25" s="56"/>
    </row>
    <row r="26" ht="20" customHeight="1" spans="2:10">
      <c r="B26" s="42"/>
      <c r="C26" s="42"/>
      <c r="D26" s="42"/>
      <c r="E26" s="42"/>
      <c r="F26" s="54"/>
      <c r="G26" s="56"/>
      <c r="H26" s="56"/>
      <c r="I26" s="58">
        <f t="shared" si="0"/>
        <v>119940.52</v>
      </c>
      <c r="J26" s="56"/>
    </row>
    <row r="27" ht="20" customHeight="1" spans="2:10">
      <c r="B27" s="42"/>
      <c r="C27" s="42"/>
      <c r="D27" s="42"/>
      <c r="E27" s="54"/>
      <c r="F27" s="54"/>
      <c r="G27" s="56"/>
      <c r="H27" s="56"/>
      <c r="I27" s="58">
        <f t="shared" si="0"/>
        <v>119940.52</v>
      </c>
      <c r="J27" s="56"/>
    </row>
    <row r="28" ht="20" customHeight="1" spans="2:10">
      <c r="B28" s="42"/>
      <c r="C28" s="42"/>
      <c r="D28" s="42"/>
      <c r="E28" s="42"/>
      <c r="F28" s="42"/>
      <c r="G28" s="56"/>
      <c r="H28" s="56"/>
      <c r="I28" s="58">
        <f t="shared" si="0"/>
        <v>119940.52</v>
      </c>
      <c r="J28" s="56"/>
    </row>
    <row r="29" ht="20" customHeight="1" spans="2:10">
      <c r="B29" s="42"/>
      <c r="C29" s="42"/>
      <c r="D29" s="42"/>
      <c r="E29" s="42"/>
      <c r="F29" s="54"/>
      <c r="G29" s="56"/>
      <c r="H29" s="56"/>
      <c r="I29" s="58">
        <f t="shared" si="0"/>
        <v>119940.52</v>
      </c>
      <c r="J29" s="56"/>
    </row>
    <row r="30" ht="20" customHeight="1" spans="2:10">
      <c r="B30" s="42"/>
      <c r="C30" s="42"/>
      <c r="D30" s="42"/>
      <c r="E30" s="42"/>
      <c r="F30" s="54"/>
      <c r="G30" s="56"/>
      <c r="H30" s="56"/>
      <c r="I30" s="58">
        <f t="shared" si="0"/>
        <v>119940.52</v>
      </c>
      <c r="J30" s="56"/>
    </row>
    <row r="31" ht="20" customHeight="1" spans="2:10">
      <c r="B31" s="42"/>
      <c r="C31" s="42"/>
      <c r="D31" s="42"/>
      <c r="E31" s="42"/>
      <c r="F31" s="54"/>
      <c r="G31" s="56"/>
      <c r="H31" s="56"/>
      <c r="I31" s="58">
        <f t="shared" si="0"/>
        <v>119940.52</v>
      </c>
      <c r="J31" s="56"/>
    </row>
    <row r="32" ht="20" customHeight="1" spans="2:10">
      <c r="B32" s="42"/>
      <c r="C32" s="42"/>
      <c r="D32" s="42"/>
      <c r="E32" s="42"/>
      <c r="F32" s="54"/>
      <c r="G32" s="56"/>
      <c r="H32" s="56"/>
      <c r="I32" s="58">
        <f t="shared" si="0"/>
        <v>119940.52</v>
      </c>
      <c r="J32" s="56"/>
    </row>
    <row r="33" ht="20" customHeight="1" spans="2:10">
      <c r="B33" s="42"/>
      <c r="C33" s="42"/>
      <c r="D33" s="42"/>
      <c r="E33" s="42"/>
      <c r="F33" s="54"/>
      <c r="G33" s="56"/>
      <c r="H33" s="56"/>
      <c r="I33" s="58">
        <f t="shared" si="0"/>
        <v>119940.52</v>
      </c>
      <c r="J33" s="56"/>
    </row>
    <row r="34" ht="20" customHeight="1" spans="2:10">
      <c r="B34" s="42"/>
      <c r="C34" s="42"/>
      <c r="D34" s="42"/>
      <c r="E34" s="54"/>
      <c r="F34" s="54"/>
      <c r="G34" s="56"/>
      <c r="H34" s="56"/>
      <c r="I34" s="58">
        <f t="shared" si="0"/>
        <v>119940.52</v>
      </c>
      <c r="J34" s="56"/>
    </row>
    <row r="35" ht="20" customHeight="1" spans="2:10">
      <c r="B35" s="42"/>
      <c r="C35" s="42"/>
      <c r="D35" s="42"/>
      <c r="E35" s="42"/>
      <c r="F35" s="54"/>
      <c r="G35" s="56"/>
      <c r="H35" s="56"/>
      <c r="I35" s="58">
        <f t="shared" si="0"/>
        <v>119940.52</v>
      </c>
      <c r="J35" s="56"/>
    </row>
    <row r="36" ht="20" customHeight="1" spans="2:10">
      <c r="B36" s="42"/>
      <c r="C36" s="42"/>
      <c r="D36" s="42"/>
      <c r="E36" s="42"/>
      <c r="F36" s="54"/>
      <c r="G36" s="56"/>
      <c r="H36" s="56"/>
      <c r="I36" s="58">
        <f t="shared" si="0"/>
        <v>119940.52</v>
      </c>
      <c r="J36" s="56"/>
    </row>
    <row r="37" ht="20" customHeight="1" spans="2:10">
      <c r="B37" s="42"/>
      <c r="C37" s="42"/>
      <c r="D37" s="42"/>
      <c r="E37" s="42"/>
      <c r="F37" s="54"/>
      <c r="G37" s="56"/>
      <c r="H37" s="56"/>
      <c r="I37" s="58">
        <f t="shared" si="0"/>
        <v>119940.52</v>
      </c>
      <c r="J37" s="56"/>
    </row>
    <row r="38" ht="20" customHeight="1" spans="2:10">
      <c r="B38" s="42"/>
      <c r="C38" s="42"/>
      <c r="D38" s="42"/>
      <c r="E38" s="42"/>
      <c r="F38" s="54"/>
      <c r="G38" s="56"/>
      <c r="H38" s="56"/>
      <c r="I38" s="58">
        <f t="shared" si="0"/>
        <v>119940.52</v>
      </c>
      <c r="J38" s="56"/>
    </row>
    <row r="39" ht="20" customHeight="1" spans="2:10">
      <c r="B39" s="42"/>
      <c r="C39" s="42"/>
      <c r="D39" s="42"/>
      <c r="E39" s="42"/>
      <c r="F39" s="54"/>
      <c r="G39" s="56"/>
      <c r="H39" s="56"/>
      <c r="I39" s="58">
        <f t="shared" si="0"/>
        <v>119940.52</v>
      </c>
      <c r="J39" s="56"/>
    </row>
    <row r="40" ht="20" customHeight="1" spans="2:10">
      <c r="B40" s="42"/>
      <c r="C40" s="42"/>
      <c r="D40" s="42"/>
      <c r="E40" s="42"/>
      <c r="F40" s="54"/>
      <c r="G40" s="56"/>
      <c r="H40" s="56"/>
      <c r="I40" s="58">
        <f t="shared" si="0"/>
        <v>119940.52</v>
      </c>
      <c r="J40" s="56"/>
    </row>
    <row r="41" ht="20" customHeight="1" spans="2:10">
      <c r="B41" s="42"/>
      <c r="C41" s="42"/>
      <c r="D41" s="42"/>
      <c r="E41" s="42"/>
      <c r="F41" s="54"/>
      <c r="G41" s="56"/>
      <c r="H41" s="56"/>
      <c r="I41" s="58">
        <f t="shared" si="0"/>
        <v>119940.52</v>
      </c>
      <c r="J41" s="56"/>
    </row>
    <row r="42" ht="20" customHeight="1" spans="2:10">
      <c r="B42" s="42"/>
      <c r="C42" s="42"/>
      <c r="D42" s="42"/>
      <c r="E42" s="54"/>
      <c r="F42" s="54"/>
      <c r="G42" s="56"/>
      <c r="H42" s="56"/>
      <c r="I42" s="58">
        <f t="shared" si="0"/>
        <v>119940.52</v>
      </c>
      <c r="J42" s="56"/>
    </row>
    <row r="43" ht="20" customHeight="1" spans="2:10">
      <c r="B43" s="42"/>
      <c r="C43" s="42"/>
      <c r="D43" s="42"/>
      <c r="E43" s="42"/>
      <c r="F43" s="42"/>
      <c r="G43" s="56"/>
      <c r="H43" s="56"/>
      <c r="I43" s="58">
        <f t="shared" si="0"/>
        <v>119940.52</v>
      </c>
      <c r="J43" s="56"/>
    </row>
    <row r="44" ht="20" customHeight="1" spans="2:10">
      <c r="B44" s="42"/>
      <c r="C44" s="42"/>
      <c r="D44" s="42"/>
      <c r="E44" s="42"/>
      <c r="F44" s="54"/>
      <c r="G44" s="56"/>
      <c r="H44" s="56"/>
      <c r="I44" s="58">
        <f t="shared" si="0"/>
        <v>119940.52</v>
      </c>
      <c r="J44" s="56"/>
    </row>
    <row r="45" ht="20" customHeight="1" spans="2:10">
      <c r="B45" s="42"/>
      <c r="C45" s="42"/>
      <c r="D45" s="42"/>
      <c r="E45" s="42"/>
      <c r="F45" s="54"/>
      <c r="G45" s="56"/>
      <c r="H45" s="56"/>
      <c r="I45" s="58">
        <f t="shared" si="0"/>
        <v>119940.52</v>
      </c>
      <c r="J45" s="56"/>
    </row>
    <row r="46" ht="20" customHeight="1" spans="2:10">
      <c r="B46" s="42"/>
      <c r="C46" s="42"/>
      <c r="D46" s="42"/>
      <c r="E46" s="42"/>
      <c r="F46" s="54"/>
      <c r="G46" s="56"/>
      <c r="H46" s="56"/>
      <c r="I46" s="58">
        <f t="shared" si="0"/>
        <v>119940.52</v>
      </c>
      <c r="J46" s="56"/>
    </row>
    <row r="47" ht="20" customHeight="1" spans="2:10">
      <c r="B47" s="42"/>
      <c r="C47" s="42"/>
      <c r="D47" s="42"/>
      <c r="E47" s="42"/>
      <c r="F47" s="54"/>
      <c r="G47" s="56"/>
      <c r="H47" s="56"/>
      <c r="I47" s="58">
        <f t="shared" si="0"/>
        <v>119940.52</v>
      </c>
      <c r="J47" s="56"/>
    </row>
    <row r="48" ht="20" customHeight="1" spans="2:10">
      <c r="B48" s="42"/>
      <c r="C48" s="42"/>
      <c r="D48" s="42"/>
      <c r="E48" s="42"/>
      <c r="F48" s="54"/>
      <c r="G48" s="56"/>
      <c r="H48" s="56"/>
      <c r="I48" s="58">
        <f t="shared" si="0"/>
        <v>119940.52</v>
      </c>
      <c r="J48" s="56"/>
    </row>
    <row r="49" ht="20" customHeight="1" spans="2:10">
      <c r="B49" s="42"/>
      <c r="C49" s="42"/>
      <c r="D49" s="42"/>
      <c r="E49" s="54"/>
      <c r="F49" s="54"/>
      <c r="G49" s="56"/>
      <c r="H49" s="56"/>
      <c r="I49" s="58">
        <f t="shared" si="0"/>
        <v>119940.52</v>
      </c>
      <c r="J49" s="56"/>
    </row>
    <row r="50" ht="20" customHeight="1" spans="2:10">
      <c r="B50" s="42"/>
      <c r="C50" s="42"/>
      <c r="D50" s="42"/>
      <c r="E50" s="42"/>
      <c r="F50" s="54"/>
      <c r="G50" s="56"/>
      <c r="H50" s="56"/>
      <c r="I50" s="58">
        <f t="shared" si="0"/>
        <v>119940.52</v>
      </c>
      <c r="J50" s="56"/>
    </row>
    <row r="51" ht="20" customHeight="1" spans="2:10">
      <c r="B51" s="42"/>
      <c r="C51" s="42"/>
      <c r="D51" s="42"/>
      <c r="E51" s="42"/>
      <c r="F51" s="54"/>
      <c r="G51" s="56"/>
      <c r="H51" s="56"/>
      <c r="I51" s="58">
        <f t="shared" si="0"/>
        <v>119940.52</v>
      </c>
      <c r="J51" s="56"/>
    </row>
    <row r="52" ht="20" customHeight="1" spans="2:10">
      <c r="B52" s="42"/>
      <c r="C52" s="42"/>
      <c r="D52" s="42"/>
      <c r="E52" s="42"/>
      <c r="F52" s="54"/>
      <c r="G52" s="56"/>
      <c r="H52" s="56"/>
      <c r="I52" s="58">
        <f t="shared" si="0"/>
        <v>119940.52</v>
      </c>
      <c r="J52" s="56"/>
    </row>
    <row r="53" ht="20" customHeight="1" spans="2:10">
      <c r="B53" s="42"/>
      <c r="C53" s="42"/>
      <c r="D53" s="42"/>
      <c r="E53" s="42"/>
      <c r="F53" s="54"/>
      <c r="G53" s="56"/>
      <c r="H53" s="56"/>
      <c r="I53" s="58">
        <f t="shared" si="0"/>
        <v>119940.52</v>
      </c>
      <c r="J53" s="56"/>
    </row>
    <row r="54" ht="20" customHeight="1" spans="2:10">
      <c r="B54" s="42"/>
      <c r="C54" s="42"/>
      <c r="D54" s="42"/>
      <c r="E54" s="42"/>
      <c r="F54" s="54"/>
      <c r="G54" s="56"/>
      <c r="H54" s="56"/>
      <c r="I54" s="58">
        <f t="shared" si="0"/>
        <v>119940.52</v>
      </c>
      <c r="J54" s="56"/>
    </row>
    <row r="55" ht="20" customHeight="1" spans="2:10">
      <c r="B55" s="42"/>
      <c r="C55" s="42"/>
      <c r="D55" s="42"/>
      <c r="E55" s="42"/>
      <c r="F55" s="54"/>
      <c r="G55" s="56"/>
      <c r="H55" s="56"/>
      <c r="I55" s="58">
        <f t="shared" si="0"/>
        <v>119940.52</v>
      </c>
      <c r="J55" s="56"/>
    </row>
    <row r="56" ht="20" customHeight="1" spans="2:10">
      <c r="B56" s="42"/>
      <c r="C56" s="42"/>
      <c r="D56" s="42"/>
      <c r="E56" s="42"/>
      <c r="F56" s="54"/>
      <c r="G56" s="56"/>
      <c r="H56" s="56"/>
      <c r="I56" s="58">
        <f t="shared" si="0"/>
        <v>119940.52</v>
      </c>
      <c r="J56" s="56"/>
    </row>
    <row r="57" ht="20" customHeight="1" spans="2:10">
      <c r="B57" s="42"/>
      <c r="C57" s="42"/>
      <c r="D57" s="42"/>
      <c r="E57" s="54"/>
      <c r="F57" s="54"/>
      <c r="G57" s="56"/>
      <c r="H57" s="56"/>
      <c r="I57" s="58">
        <f t="shared" si="0"/>
        <v>119940.52</v>
      </c>
      <c r="J57" s="56"/>
    </row>
    <row r="58" ht="20" customHeight="1" spans="2:10">
      <c r="B58" s="42"/>
      <c r="C58" s="42"/>
      <c r="D58" s="42"/>
      <c r="E58" s="42"/>
      <c r="F58" s="42"/>
      <c r="G58" s="56"/>
      <c r="H58" s="56"/>
      <c r="I58" s="58">
        <f t="shared" si="0"/>
        <v>119940.52</v>
      </c>
      <c r="J58" s="56"/>
    </row>
    <row r="59" ht="20" customHeight="1" spans="2:10">
      <c r="B59" s="42"/>
      <c r="C59" s="42"/>
      <c r="D59" s="42"/>
      <c r="E59" s="42"/>
      <c r="F59" s="54"/>
      <c r="G59" s="56"/>
      <c r="H59" s="56"/>
      <c r="I59" s="58">
        <f t="shared" si="0"/>
        <v>119940.52</v>
      </c>
      <c r="J59" s="56"/>
    </row>
    <row r="60" ht="20" customHeight="1" spans="2:10">
      <c r="B60" s="42"/>
      <c r="C60" s="42"/>
      <c r="D60" s="42"/>
      <c r="E60" s="42"/>
      <c r="F60" s="54"/>
      <c r="G60" s="56"/>
      <c r="H60" s="56"/>
      <c r="I60" s="58">
        <f t="shared" si="0"/>
        <v>119940.52</v>
      </c>
      <c r="J60" s="56"/>
    </row>
    <row r="61" ht="20" customHeight="1" spans="2:10">
      <c r="B61" s="42"/>
      <c r="C61" s="42"/>
      <c r="D61" s="42"/>
      <c r="E61" s="42"/>
      <c r="F61" s="54"/>
      <c r="G61" s="56"/>
      <c r="H61" s="56"/>
      <c r="I61" s="58">
        <f t="shared" si="0"/>
        <v>119940.52</v>
      </c>
      <c r="J61" s="56"/>
    </row>
    <row r="62" ht="20" customHeight="1" spans="2:10">
      <c r="B62" s="42"/>
      <c r="C62" s="42"/>
      <c r="D62" s="42"/>
      <c r="E62" s="42"/>
      <c r="F62" s="54"/>
      <c r="G62" s="56"/>
      <c r="H62" s="56"/>
      <c r="I62" s="58">
        <f t="shared" si="0"/>
        <v>119940.52</v>
      </c>
      <c r="J62" s="56"/>
    </row>
    <row r="63" ht="20" customHeight="1" spans="2:10">
      <c r="B63" s="42"/>
      <c r="C63" s="42"/>
      <c r="D63" s="42"/>
      <c r="E63" s="42"/>
      <c r="F63" s="54"/>
      <c r="G63" s="56"/>
      <c r="H63" s="56"/>
      <c r="I63" s="58">
        <f t="shared" si="0"/>
        <v>119940.52</v>
      </c>
      <c r="J63" s="56"/>
    </row>
    <row r="64" ht="20" customHeight="1" spans="2:10">
      <c r="B64" s="42"/>
      <c r="C64" s="42"/>
      <c r="D64" s="42"/>
      <c r="E64" s="54"/>
      <c r="F64" s="54"/>
      <c r="G64" s="56"/>
      <c r="H64" s="56"/>
      <c r="I64" s="58">
        <f t="shared" si="0"/>
        <v>119940.52</v>
      </c>
      <c r="J64" s="56"/>
    </row>
    <row r="65" ht="20" customHeight="1" spans="2:10">
      <c r="B65" s="42"/>
      <c r="C65" s="42"/>
      <c r="D65" s="42"/>
      <c r="E65" s="42"/>
      <c r="F65" s="54"/>
      <c r="G65" s="56"/>
      <c r="H65" s="56"/>
      <c r="I65" s="58">
        <f t="shared" si="0"/>
        <v>119940.52</v>
      </c>
      <c r="J65" s="56"/>
    </row>
  </sheetData>
  <mergeCells count="1">
    <mergeCell ref="B1:J1"/>
  </mergeCells>
  <dataValidations count="1">
    <dataValidation type="list" allowBlank="1" showInputMessage="1" showErrorMessage="1" sqref="D5 D10 D15">
      <formula1>薪资福利</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P65"/>
  <sheetViews>
    <sheetView topLeftCell="A3" workbookViewId="0">
      <selection activeCell="D5" sqref="D5"/>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193" t="str">
        <f>HYPERLINK("#目录!a1","返回目录")</f>
        <v>返回目录</v>
      </c>
      <c r="B1" s="47" t="s">
        <v>30</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125.51</v>
      </c>
      <c r="J4" s="56"/>
    </row>
    <row r="5" ht="20" customHeight="1" spans="1:16">
      <c r="B5" s="42">
        <v>1</v>
      </c>
      <c r="C5" s="42">
        <v>15</v>
      </c>
      <c r="D5" s="42"/>
      <c r="E5" s="42" t="s">
        <v>31</v>
      </c>
      <c r="F5" s="269" t="s">
        <v>32</v>
      </c>
      <c r="G5" s="56">
        <v>35000</v>
      </c>
      <c r="H5" s="56"/>
      <c r="I5" s="58">
        <f>I4+G5-H5</f>
        <v>35125.51</v>
      </c>
      <c r="J5" s="56"/>
    </row>
    <row r="6" ht="20" customHeight="1" spans="1:16">
      <c r="B6" s="42">
        <v>1</v>
      </c>
      <c r="C6" s="42">
        <v>15</v>
      </c>
      <c r="D6" s="42"/>
      <c r="E6" s="270" t="s">
        <v>33</v>
      </c>
      <c r="F6" s="269" t="s">
        <v>34</v>
      </c>
      <c r="G6" s="56"/>
      <c r="H6" s="56">
        <v>35000</v>
      </c>
      <c r="I6" s="58">
        <f>I5+G6-H6</f>
        <v>125.510000000002</v>
      </c>
      <c r="J6" s="56"/>
    </row>
    <row r="7" ht="20" customHeight="1" spans="1:16">
      <c r="B7" s="42">
        <v>1</v>
      </c>
      <c r="C7" s="42">
        <v>15</v>
      </c>
      <c r="D7" s="42"/>
      <c r="E7" s="42"/>
      <c r="F7" s="269" t="s">
        <v>35</v>
      </c>
      <c r="G7" s="56"/>
      <c r="H7" s="56">
        <v>0.5</v>
      </c>
      <c r="I7" s="58">
        <f>I6+G7-H7</f>
        <v>125.010000000002</v>
      </c>
      <c r="J7" s="56"/>
    </row>
    <row r="8" ht="20" customHeight="1" spans="1:16">
      <c r="B8" s="68"/>
      <c r="C8" s="68"/>
      <c r="D8" s="68"/>
      <c r="E8" s="68"/>
      <c r="F8" s="70" t="s">
        <v>22</v>
      </c>
      <c r="G8" s="71">
        <f>SUM(G5:G7)</f>
        <v>35000</v>
      </c>
      <c r="H8" s="71">
        <f>SUM(H5:H7)</f>
        <v>35000.5</v>
      </c>
      <c r="I8" s="72">
        <f>I4+G8-H8</f>
        <v>125.010000000002</v>
      </c>
      <c r="J8" s="71"/>
    </row>
    <row r="9" ht="20" customHeight="1" spans="1:16">
      <c r="B9" s="42">
        <v>2</v>
      </c>
      <c r="C9" s="42">
        <v>12</v>
      </c>
      <c r="D9" s="42"/>
      <c r="E9" s="42" t="s">
        <v>31</v>
      </c>
      <c r="F9" s="269" t="s">
        <v>32</v>
      </c>
      <c r="G9" s="56">
        <v>85000</v>
      </c>
      <c r="H9" s="56"/>
      <c r="I9" s="58">
        <f>I8+G9-H9</f>
        <v>85125.01</v>
      </c>
      <c r="J9" s="56"/>
    </row>
    <row r="10" ht="20" customHeight="1" spans="1:16">
      <c r="B10" s="42">
        <v>2</v>
      </c>
      <c r="C10" s="42">
        <v>12</v>
      </c>
      <c r="D10" s="42"/>
      <c r="E10" s="270" t="s">
        <v>33</v>
      </c>
      <c r="F10" s="269" t="s">
        <v>34</v>
      </c>
      <c r="G10" s="56"/>
      <c r="H10" s="56">
        <v>85000</v>
      </c>
      <c r="I10" s="58">
        <f>I9+G10-H10</f>
        <v>125.010000000009</v>
      </c>
      <c r="J10" s="56"/>
    </row>
    <row r="11" ht="20" customHeight="1" spans="1:16">
      <c r="B11" s="42">
        <v>2</v>
      </c>
      <c r="C11" s="42">
        <v>12</v>
      </c>
      <c r="D11" s="42"/>
      <c r="E11" s="42"/>
      <c r="F11" s="269" t="s">
        <v>35</v>
      </c>
      <c r="G11" s="56"/>
      <c r="H11" s="56">
        <v>0.5</v>
      </c>
      <c r="I11" s="58">
        <f>I10+G11-H11</f>
        <v>124.510000000009</v>
      </c>
      <c r="J11" s="56"/>
    </row>
    <row r="12" ht="20" customHeight="1" spans="1:16">
      <c r="B12" s="68"/>
      <c r="C12" s="68"/>
      <c r="D12" s="68"/>
      <c r="E12" s="68"/>
      <c r="F12" s="70" t="s">
        <v>22</v>
      </c>
      <c r="G12" s="71">
        <f>SUM(G9:G11)</f>
        <v>85000</v>
      </c>
      <c r="H12" s="71">
        <f>SUM(H9:H11)</f>
        <v>85000.5</v>
      </c>
      <c r="I12" s="72">
        <f>I8+G12-H12</f>
        <v>124.510000000009</v>
      </c>
      <c r="J12" s="71"/>
    </row>
    <row r="13" ht="20" customHeight="1" spans="1:16">
      <c r="B13" s="42">
        <v>3</v>
      </c>
      <c r="C13" s="42">
        <v>16</v>
      </c>
      <c r="D13" s="42"/>
      <c r="E13" s="42" t="s">
        <v>31</v>
      </c>
      <c r="F13" s="269" t="s">
        <v>32</v>
      </c>
      <c r="G13" s="56">
        <v>30000</v>
      </c>
      <c r="H13" s="56"/>
      <c r="I13" s="58">
        <f>I12+G13-H13</f>
        <v>30124.51</v>
      </c>
      <c r="J13" s="56"/>
    </row>
    <row r="14" ht="20" customHeight="1" spans="1:16">
      <c r="B14" s="42">
        <v>3</v>
      </c>
      <c r="C14" s="42">
        <v>16</v>
      </c>
      <c r="D14" s="42"/>
      <c r="E14" s="270" t="s">
        <v>33</v>
      </c>
      <c r="F14" s="269" t="s">
        <v>34</v>
      </c>
      <c r="G14" s="56"/>
      <c r="H14" s="56">
        <v>30000</v>
      </c>
      <c r="I14" s="58">
        <f>I13+G14-H14</f>
        <v>124.510000000009</v>
      </c>
      <c r="J14" s="56"/>
    </row>
    <row r="15" ht="20" customHeight="1" spans="1:16">
      <c r="B15" s="42">
        <v>3</v>
      </c>
      <c r="C15" s="42">
        <v>16</v>
      </c>
      <c r="D15" s="42"/>
      <c r="E15" s="42"/>
      <c r="F15" s="269" t="s">
        <v>35</v>
      </c>
      <c r="G15" s="56"/>
      <c r="H15" s="56">
        <v>0.5</v>
      </c>
      <c r="I15" s="58">
        <f>I14+G15-H15</f>
        <v>124.010000000009</v>
      </c>
      <c r="J15" s="56"/>
    </row>
    <row r="16" ht="20" customHeight="1" spans="1:16">
      <c r="B16" s="90">
        <v>3</v>
      </c>
      <c r="C16" s="90">
        <v>21</v>
      </c>
      <c r="D16" s="90"/>
      <c r="E16" s="91" t="s">
        <v>28</v>
      </c>
      <c r="F16" s="166" t="s">
        <v>29</v>
      </c>
      <c r="G16" s="89">
        <v>0.02</v>
      </c>
      <c r="H16" s="89"/>
      <c r="I16" s="58">
        <f>I15+G16-H16</f>
        <v>124.030000000009</v>
      </c>
      <c r="J16" s="56"/>
    </row>
    <row r="17" ht="20" customHeight="1" spans="2:10">
      <c r="B17" s="68"/>
      <c r="C17" s="68"/>
      <c r="D17" s="68"/>
      <c r="E17" s="68"/>
      <c r="F17" s="70" t="s">
        <v>22</v>
      </c>
      <c r="G17" s="71">
        <f>SUM(G13:G16)</f>
        <v>30000.02</v>
      </c>
      <c r="H17" s="71">
        <f>SUM(H13:H16)</f>
        <v>30000.5</v>
      </c>
      <c r="I17" s="72">
        <f>I12+G17-H17</f>
        <v>124.03000000001</v>
      </c>
      <c r="J17" s="56"/>
    </row>
    <row r="18" ht="20" customHeight="1" spans="2:10">
      <c r="B18" s="42">
        <v>4</v>
      </c>
      <c r="C18" s="42">
        <v>14</v>
      </c>
      <c r="D18" s="42"/>
      <c r="E18" s="42"/>
      <c r="F18" s="269" t="s">
        <v>35</v>
      </c>
      <c r="G18" s="56"/>
      <c r="H18" s="56">
        <v>0.5</v>
      </c>
      <c r="I18" s="58">
        <f t="shared" ref="I18:I65" si="0">I17+G18-H18</f>
        <v>123.53000000001</v>
      </c>
      <c r="J18" s="56"/>
    </row>
    <row r="19" ht="20" customHeight="1" spans="2:10">
      <c r="B19" s="42">
        <v>4</v>
      </c>
      <c r="C19" s="42">
        <v>14</v>
      </c>
      <c r="D19" s="42"/>
      <c r="E19" s="42" t="s">
        <v>31</v>
      </c>
      <c r="F19" s="269" t="s">
        <v>32</v>
      </c>
      <c r="G19" s="56">
        <v>55000</v>
      </c>
      <c r="H19" s="56"/>
      <c r="I19" s="58">
        <f t="shared" si="0"/>
        <v>55123.53</v>
      </c>
      <c r="J19" s="56"/>
    </row>
    <row r="20" ht="20" customHeight="1" spans="2:10">
      <c r="B20" s="42">
        <v>4</v>
      </c>
      <c r="C20" s="42">
        <v>14</v>
      </c>
      <c r="D20" s="42"/>
      <c r="E20" s="270" t="s">
        <v>33</v>
      </c>
      <c r="F20" s="269" t="s">
        <v>34</v>
      </c>
      <c r="G20" s="56"/>
      <c r="H20" s="56">
        <v>55000</v>
      </c>
      <c r="I20" s="58">
        <f t="shared" si="0"/>
        <v>123.530000000013</v>
      </c>
      <c r="J20" s="56"/>
    </row>
    <row r="21" ht="20" customHeight="1" spans="2:10">
      <c r="B21" s="42">
        <v>4</v>
      </c>
      <c r="C21" s="42">
        <v>14</v>
      </c>
      <c r="D21" s="42"/>
      <c r="E21" s="42"/>
      <c r="F21" s="269" t="s">
        <v>35</v>
      </c>
      <c r="G21" s="56"/>
      <c r="H21" s="56">
        <v>0.5</v>
      </c>
      <c r="I21" s="58">
        <f t="shared" si="0"/>
        <v>123.030000000013</v>
      </c>
      <c r="J21" s="56"/>
    </row>
    <row r="22" ht="20" customHeight="1" spans="2:10">
      <c r="B22" s="42">
        <v>4</v>
      </c>
      <c r="C22" s="42">
        <v>16</v>
      </c>
      <c r="D22" s="42"/>
      <c r="E22" s="42" t="s">
        <v>31</v>
      </c>
      <c r="F22" s="269" t="s">
        <v>32</v>
      </c>
      <c r="G22" s="56">
        <v>120000</v>
      </c>
      <c r="H22" s="56"/>
      <c r="I22" s="58">
        <f t="shared" si="0"/>
        <v>120123.03</v>
      </c>
      <c r="J22" s="56"/>
    </row>
    <row r="23" ht="20" customHeight="1" spans="2:10">
      <c r="B23" s="42">
        <v>4</v>
      </c>
      <c r="C23" s="42">
        <v>16</v>
      </c>
      <c r="D23" s="42"/>
      <c r="E23" s="270" t="s">
        <v>33</v>
      </c>
      <c r="F23" s="269" t="s">
        <v>34</v>
      </c>
      <c r="G23" s="56"/>
      <c r="H23" s="56">
        <v>120000</v>
      </c>
      <c r="I23" s="58">
        <f t="shared" si="0"/>
        <v>123.030000000013</v>
      </c>
      <c r="J23" s="56"/>
    </row>
    <row r="24" ht="20" customHeight="1" spans="2:10">
      <c r="B24" s="42">
        <v>4</v>
      </c>
      <c r="C24" s="42">
        <v>16</v>
      </c>
      <c r="D24" s="42"/>
      <c r="E24" s="42"/>
      <c r="F24" s="269" t="s">
        <v>35</v>
      </c>
      <c r="G24" s="56"/>
      <c r="H24" s="56">
        <v>0.5</v>
      </c>
      <c r="I24" s="58">
        <f t="shared" si="0"/>
        <v>122.530000000013</v>
      </c>
      <c r="J24" s="56"/>
    </row>
    <row r="25" ht="20" customHeight="1" spans="2:10">
      <c r="B25" s="42"/>
      <c r="C25" s="42"/>
      <c r="D25" s="42"/>
      <c r="E25" s="42"/>
      <c r="F25" s="54"/>
      <c r="G25" s="56"/>
      <c r="H25" s="56"/>
      <c r="I25" s="58">
        <f t="shared" si="0"/>
        <v>122.530000000013</v>
      </c>
      <c r="J25" s="56"/>
    </row>
    <row r="26" ht="20" customHeight="1" spans="2:10">
      <c r="B26" s="42"/>
      <c r="C26" s="42"/>
      <c r="D26" s="42"/>
      <c r="E26" s="42"/>
      <c r="F26" s="54"/>
      <c r="G26" s="56"/>
      <c r="H26" s="56"/>
      <c r="I26" s="58">
        <f t="shared" si="0"/>
        <v>122.530000000013</v>
      </c>
      <c r="J26" s="56"/>
    </row>
    <row r="27" ht="20" customHeight="1" spans="2:10">
      <c r="B27" s="42"/>
      <c r="C27" s="42"/>
      <c r="D27" s="42"/>
      <c r="E27" s="54"/>
      <c r="F27" s="54"/>
      <c r="G27" s="56"/>
      <c r="H27" s="56"/>
      <c r="I27" s="58">
        <f t="shared" si="0"/>
        <v>122.530000000013</v>
      </c>
      <c r="J27" s="56"/>
    </row>
    <row r="28" ht="20" customHeight="1" spans="2:10">
      <c r="B28" s="42"/>
      <c r="C28" s="42"/>
      <c r="D28" s="42"/>
      <c r="E28" s="42"/>
      <c r="F28" s="42"/>
      <c r="G28" s="56"/>
      <c r="H28" s="56"/>
      <c r="I28" s="58">
        <f t="shared" si="0"/>
        <v>122.530000000013</v>
      </c>
      <c r="J28" s="56"/>
    </row>
    <row r="29" ht="20" customHeight="1" spans="2:10">
      <c r="B29" s="42"/>
      <c r="C29" s="42"/>
      <c r="D29" s="42"/>
      <c r="E29" s="42"/>
      <c r="F29" s="54"/>
      <c r="G29" s="56"/>
      <c r="H29" s="56"/>
      <c r="I29" s="58">
        <f t="shared" si="0"/>
        <v>122.530000000013</v>
      </c>
      <c r="J29" s="56"/>
    </row>
    <row r="30" ht="20" customHeight="1" spans="2:10">
      <c r="B30" s="42"/>
      <c r="C30" s="42"/>
      <c r="D30" s="42"/>
      <c r="E30" s="42"/>
      <c r="F30" s="54"/>
      <c r="G30" s="56"/>
      <c r="H30" s="56"/>
      <c r="I30" s="58">
        <f t="shared" si="0"/>
        <v>122.530000000013</v>
      </c>
      <c r="J30" s="56"/>
    </row>
    <row r="31" ht="20" customHeight="1" spans="2:10">
      <c r="B31" s="42"/>
      <c r="C31" s="42"/>
      <c r="D31" s="42"/>
      <c r="E31" s="42"/>
      <c r="F31" s="54"/>
      <c r="G31" s="56"/>
      <c r="H31" s="56"/>
      <c r="I31" s="58">
        <f t="shared" si="0"/>
        <v>122.530000000013</v>
      </c>
      <c r="J31" s="56"/>
    </row>
    <row r="32" ht="20" customHeight="1" spans="2:10">
      <c r="B32" s="42"/>
      <c r="C32" s="42"/>
      <c r="D32" s="42"/>
      <c r="E32" s="42"/>
      <c r="F32" s="54"/>
      <c r="G32" s="56"/>
      <c r="H32" s="56"/>
      <c r="I32" s="58">
        <f t="shared" si="0"/>
        <v>122.530000000013</v>
      </c>
      <c r="J32" s="56"/>
    </row>
    <row r="33" ht="20" customHeight="1" spans="2:10">
      <c r="B33" s="42"/>
      <c r="C33" s="42"/>
      <c r="D33" s="42"/>
      <c r="E33" s="42"/>
      <c r="F33" s="54"/>
      <c r="G33" s="56"/>
      <c r="H33" s="56"/>
      <c r="I33" s="58">
        <f t="shared" si="0"/>
        <v>122.530000000013</v>
      </c>
      <c r="J33" s="56"/>
    </row>
    <row r="34" ht="20" customHeight="1" spans="2:10">
      <c r="B34" s="42"/>
      <c r="C34" s="42"/>
      <c r="D34" s="42"/>
      <c r="E34" s="54"/>
      <c r="F34" s="54"/>
      <c r="G34" s="56"/>
      <c r="H34" s="56"/>
      <c r="I34" s="58">
        <f t="shared" si="0"/>
        <v>122.530000000013</v>
      </c>
      <c r="J34" s="56"/>
    </row>
    <row r="35" ht="20" customHeight="1" spans="2:10">
      <c r="B35" s="42"/>
      <c r="C35" s="42"/>
      <c r="D35" s="42"/>
      <c r="E35" s="42"/>
      <c r="F35" s="54"/>
      <c r="G35" s="56"/>
      <c r="H35" s="56"/>
      <c r="I35" s="58">
        <f t="shared" si="0"/>
        <v>122.530000000013</v>
      </c>
      <c r="J35" s="56"/>
    </row>
    <row r="36" ht="20" customHeight="1" spans="2:10">
      <c r="B36" s="42"/>
      <c r="C36" s="42"/>
      <c r="D36" s="42"/>
      <c r="E36" s="42"/>
      <c r="F36" s="54"/>
      <c r="G36" s="56"/>
      <c r="H36" s="56"/>
      <c r="I36" s="58">
        <f t="shared" si="0"/>
        <v>122.530000000013</v>
      </c>
      <c r="J36" s="56"/>
    </row>
    <row r="37" ht="20" customHeight="1" spans="2:10">
      <c r="B37" s="42"/>
      <c r="C37" s="42"/>
      <c r="D37" s="42"/>
      <c r="E37" s="42"/>
      <c r="F37" s="54"/>
      <c r="G37" s="56"/>
      <c r="H37" s="56"/>
      <c r="I37" s="58">
        <f t="shared" si="0"/>
        <v>122.530000000013</v>
      </c>
      <c r="J37" s="56"/>
    </row>
    <row r="38" ht="20" customHeight="1" spans="2:10">
      <c r="B38" s="42"/>
      <c r="C38" s="42"/>
      <c r="D38" s="42"/>
      <c r="E38" s="42"/>
      <c r="F38" s="54"/>
      <c r="G38" s="56"/>
      <c r="H38" s="56"/>
      <c r="I38" s="58">
        <f t="shared" si="0"/>
        <v>122.530000000013</v>
      </c>
      <c r="J38" s="56"/>
    </row>
    <row r="39" ht="20" customHeight="1" spans="2:10">
      <c r="B39" s="42"/>
      <c r="C39" s="42"/>
      <c r="D39" s="42"/>
      <c r="E39" s="42"/>
      <c r="F39" s="54"/>
      <c r="G39" s="56"/>
      <c r="H39" s="56"/>
      <c r="I39" s="58">
        <f t="shared" si="0"/>
        <v>122.530000000013</v>
      </c>
      <c r="J39" s="56"/>
    </row>
    <row r="40" ht="20" customHeight="1" spans="2:10">
      <c r="B40" s="42"/>
      <c r="C40" s="42"/>
      <c r="D40" s="42"/>
      <c r="E40" s="42"/>
      <c r="F40" s="54"/>
      <c r="G40" s="56"/>
      <c r="H40" s="56"/>
      <c r="I40" s="58">
        <f t="shared" si="0"/>
        <v>122.530000000013</v>
      </c>
      <c r="J40" s="56"/>
    </row>
    <row r="41" ht="20" customHeight="1" spans="2:10">
      <c r="B41" s="42"/>
      <c r="C41" s="42"/>
      <c r="D41" s="42"/>
      <c r="E41" s="42"/>
      <c r="F41" s="54"/>
      <c r="G41" s="56"/>
      <c r="H41" s="56"/>
      <c r="I41" s="58">
        <f t="shared" si="0"/>
        <v>122.530000000013</v>
      </c>
      <c r="J41" s="56"/>
    </row>
    <row r="42" ht="20" customHeight="1" spans="2:10">
      <c r="B42" s="42"/>
      <c r="C42" s="42"/>
      <c r="D42" s="42"/>
      <c r="E42" s="54"/>
      <c r="F42" s="54"/>
      <c r="G42" s="56"/>
      <c r="H42" s="56"/>
      <c r="I42" s="58">
        <f t="shared" si="0"/>
        <v>122.530000000013</v>
      </c>
      <c r="J42" s="56"/>
    </row>
    <row r="43" ht="20" customHeight="1" spans="2:10">
      <c r="B43" s="42"/>
      <c r="C43" s="42"/>
      <c r="D43" s="42"/>
      <c r="E43" s="42"/>
      <c r="F43" s="42"/>
      <c r="G43" s="56"/>
      <c r="H43" s="56"/>
      <c r="I43" s="58">
        <f t="shared" si="0"/>
        <v>122.530000000013</v>
      </c>
      <c r="J43" s="56"/>
    </row>
    <row r="44" ht="20" customHeight="1" spans="2:10">
      <c r="B44" s="42"/>
      <c r="C44" s="42"/>
      <c r="D44" s="42"/>
      <c r="E44" s="42"/>
      <c r="F44" s="54"/>
      <c r="G44" s="56"/>
      <c r="H44" s="56"/>
      <c r="I44" s="58">
        <f t="shared" si="0"/>
        <v>122.530000000013</v>
      </c>
      <c r="J44" s="56"/>
    </row>
    <row r="45" ht="20" customHeight="1" spans="2:10">
      <c r="B45" s="42"/>
      <c r="C45" s="42"/>
      <c r="D45" s="42"/>
      <c r="E45" s="42"/>
      <c r="F45" s="54"/>
      <c r="G45" s="56"/>
      <c r="H45" s="56"/>
      <c r="I45" s="58">
        <f t="shared" si="0"/>
        <v>122.530000000013</v>
      </c>
      <c r="J45" s="56"/>
    </row>
    <row r="46" ht="20" customHeight="1" spans="2:10">
      <c r="B46" s="42"/>
      <c r="C46" s="42"/>
      <c r="D46" s="42"/>
      <c r="E46" s="42"/>
      <c r="F46" s="54"/>
      <c r="G46" s="56"/>
      <c r="H46" s="56"/>
      <c r="I46" s="58">
        <f t="shared" si="0"/>
        <v>122.530000000013</v>
      </c>
      <c r="J46" s="56"/>
    </row>
    <row r="47" ht="20" customHeight="1" spans="2:10">
      <c r="B47" s="42"/>
      <c r="C47" s="42"/>
      <c r="D47" s="42"/>
      <c r="E47" s="42"/>
      <c r="F47" s="54"/>
      <c r="G47" s="56"/>
      <c r="H47" s="56"/>
      <c r="I47" s="58">
        <f t="shared" si="0"/>
        <v>122.530000000013</v>
      </c>
      <c r="J47" s="56"/>
    </row>
    <row r="48" ht="20" customHeight="1" spans="2:10">
      <c r="B48" s="42"/>
      <c r="C48" s="42"/>
      <c r="D48" s="42"/>
      <c r="E48" s="42"/>
      <c r="F48" s="54"/>
      <c r="G48" s="56"/>
      <c r="H48" s="56"/>
      <c r="I48" s="58">
        <f t="shared" si="0"/>
        <v>122.530000000013</v>
      </c>
      <c r="J48" s="56"/>
    </row>
    <row r="49" ht="20" customHeight="1" spans="2:10">
      <c r="B49" s="42"/>
      <c r="C49" s="42"/>
      <c r="D49" s="42"/>
      <c r="E49" s="54"/>
      <c r="F49" s="54"/>
      <c r="G49" s="56"/>
      <c r="H49" s="56"/>
      <c r="I49" s="58">
        <f t="shared" si="0"/>
        <v>122.530000000013</v>
      </c>
      <c r="J49" s="56"/>
    </row>
    <row r="50" ht="20" customHeight="1" spans="2:10">
      <c r="B50" s="42"/>
      <c r="C50" s="42"/>
      <c r="D50" s="42"/>
      <c r="E50" s="42"/>
      <c r="F50" s="54"/>
      <c r="G50" s="56"/>
      <c r="H50" s="56"/>
      <c r="I50" s="58">
        <f t="shared" si="0"/>
        <v>122.530000000013</v>
      </c>
      <c r="J50" s="56"/>
    </row>
    <row r="51" ht="20" customHeight="1" spans="2:10">
      <c r="B51" s="42"/>
      <c r="C51" s="42"/>
      <c r="D51" s="42"/>
      <c r="E51" s="42"/>
      <c r="F51" s="54"/>
      <c r="G51" s="56"/>
      <c r="H51" s="56"/>
      <c r="I51" s="58">
        <f t="shared" si="0"/>
        <v>122.530000000013</v>
      </c>
      <c r="J51" s="56"/>
    </row>
    <row r="52" ht="20" customHeight="1" spans="2:10">
      <c r="B52" s="42"/>
      <c r="C52" s="42"/>
      <c r="D52" s="42"/>
      <c r="E52" s="42"/>
      <c r="F52" s="54"/>
      <c r="G52" s="56"/>
      <c r="H52" s="56"/>
      <c r="I52" s="58">
        <f t="shared" si="0"/>
        <v>122.530000000013</v>
      </c>
      <c r="J52" s="56"/>
    </row>
    <row r="53" ht="20" customHeight="1" spans="2:10">
      <c r="B53" s="42"/>
      <c r="C53" s="42"/>
      <c r="D53" s="42"/>
      <c r="E53" s="42"/>
      <c r="F53" s="54"/>
      <c r="G53" s="56"/>
      <c r="H53" s="56"/>
      <c r="I53" s="58">
        <f t="shared" si="0"/>
        <v>122.530000000013</v>
      </c>
      <c r="J53" s="56"/>
    </row>
    <row r="54" ht="20" customHeight="1" spans="2:10">
      <c r="B54" s="42"/>
      <c r="C54" s="42"/>
      <c r="D54" s="42"/>
      <c r="E54" s="42"/>
      <c r="F54" s="54"/>
      <c r="G54" s="56"/>
      <c r="H54" s="56"/>
      <c r="I54" s="58">
        <f t="shared" si="0"/>
        <v>122.530000000013</v>
      </c>
      <c r="J54" s="56"/>
    </row>
    <row r="55" ht="20" customHeight="1" spans="2:10">
      <c r="B55" s="42"/>
      <c r="C55" s="42"/>
      <c r="D55" s="42"/>
      <c r="E55" s="42"/>
      <c r="F55" s="54"/>
      <c r="G55" s="56"/>
      <c r="H55" s="56"/>
      <c r="I55" s="58">
        <f t="shared" si="0"/>
        <v>122.530000000013</v>
      </c>
      <c r="J55" s="56"/>
    </row>
    <row r="56" ht="20" customHeight="1" spans="2:10">
      <c r="B56" s="42"/>
      <c r="C56" s="42"/>
      <c r="D56" s="42"/>
      <c r="E56" s="42"/>
      <c r="F56" s="54"/>
      <c r="G56" s="56"/>
      <c r="H56" s="56"/>
      <c r="I56" s="58">
        <f t="shared" si="0"/>
        <v>122.530000000013</v>
      </c>
      <c r="J56" s="56"/>
    </row>
    <row r="57" ht="20" customHeight="1" spans="2:10">
      <c r="B57" s="42"/>
      <c r="C57" s="42"/>
      <c r="D57" s="42"/>
      <c r="E57" s="54"/>
      <c r="F57" s="54"/>
      <c r="G57" s="56"/>
      <c r="H57" s="56"/>
      <c r="I57" s="58">
        <f t="shared" si="0"/>
        <v>122.530000000013</v>
      </c>
      <c r="J57" s="56"/>
    </row>
    <row r="58" ht="20" customHeight="1" spans="2:10">
      <c r="B58" s="42"/>
      <c r="C58" s="42"/>
      <c r="D58" s="42"/>
      <c r="E58" s="42"/>
      <c r="F58" s="42"/>
      <c r="G58" s="56"/>
      <c r="H58" s="56"/>
      <c r="I58" s="58">
        <f t="shared" si="0"/>
        <v>122.530000000013</v>
      </c>
      <c r="J58" s="56"/>
    </row>
    <row r="59" ht="20" customHeight="1" spans="2:10">
      <c r="B59" s="42"/>
      <c r="C59" s="42"/>
      <c r="D59" s="42"/>
      <c r="E59" s="42"/>
      <c r="F59" s="54"/>
      <c r="G59" s="56"/>
      <c r="H59" s="56"/>
      <c r="I59" s="58">
        <f t="shared" si="0"/>
        <v>122.530000000013</v>
      </c>
      <c r="J59" s="56"/>
    </row>
    <row r="60" ht="20" customHeight="1" spans="2:10">
      <c r="B60" s="42"/>
      <c r="C60" s="42"/>
      <c r="D60" s="42"/>
      <c r="E60" s="42"/>
      <c r="F60" s="54"/>
      <c r="G60" s="56"/>
      <c r="H60" s="56"/>
      <c r="I60" s="58">
        <f t="shared" si="0"/>
        <v>122.530000000013</v>
      </c>
      <c r="J60" s="56"/>
    </row>
    <row r="61" ht="20" customHeight="1" spans="2:10">
      <c r="B61" s="42"/>
      <c r="C61" s="42"/>
      <c r="D61" s="42"/>
      <c r="E61" s="42"/>
      <c r="F61" s="54"/>
      <c r="G61" s="56"/>
      <c r="H61" s="56"/>
      <c r="I61" s="58">
        <f t="shared" si="0"/>
        <v>122.530000000013</v>
      </c>
      <c r="J61" s="56"/>
    </row>
    <row r="62" ht="20" customHeight="1" spans="2:10">
      <c r="B62" s="42"/>
      <c r="C62" s="42"/>
      <c r="D62" s="42"/>
      <c r="E62" s="42"/>
      <c r="F62" s="54"/>
      <c r="G62" s="56"/>
      <c r="H62" s="56"/>
      <c r="I62" s="58">
        <f t="shared" si="0"/>
        <v>122.530000000013</v>
      </c>
      <c r="J62" s="56"/>
    </row>
    <row r="63" ht="20" customHeight="1" spans="2:10">
      <c r="B63" s="42"/>
      <c r="C63" s="42"/>
      <c r="D63" s="42"/>
      <c r="E63" s="42"/>
      <c r="F63" s="54"/>
      <c r="G63" s="56"/>
      <c r="H63" s="56"/>
      <c r="I63" s="58">
        <f t="shared" si="0"/>
        <v>122.530000000013</v>
      </c>
      <c r="J63" s="56"/>
    </row>
    <row r="64" ht="20" customHeight="1" spans="2:10">
      <c r="B64" s="42"/>
      <c r="C64" s="42"/>
      <c r="D64" s="42"/>
      <c r="E64" s="54"/>
      <c r="F64" s="54"/>
      <c r="G64" s="56"/>
      <c r="H64" s="56"/>
      <c r="I64" s="58">
        <f t="shared" si="0"/>
        <v>122.530000000013</v>
      </c>
      <c r="J64" s="56"/>
    </row>
    <row r="65" ht="20" customHeight="1" spans="2:10">
      <c r="B65" s="42"/>
      <c r="C65" s="42"/>
      <c r="D65" s="42"/>
      <c r="E65" s="42"/>
      <c r="F65" s="54"/>
      <c r="G65" s="56"/>
      <c r="H65" s="56"/>
      <c r="I65" s="58">
        <f t="shared" si="0"/>
        <v>122.530000000013</v>
      </c>
      <c r="J65" s="56"/>
    </row>
  </sheetData>
  <mergeCells count="1">
    <mergeCell ref="B1:J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U91"/>
  <sheetViews>
    <sheetView tabSelected="1" zoomScale="90" zoomScaleNormal="90" workbookViewId="0">
      <pane xSplit="3" ySplit="4" topLeftCell="N5" activePane="bottomRight" state="frozen"/>
      <selection/>
      <selection pane="topRight"/>
      <selection pane="bottomLeft"/>
      <selection pane="bottomRight" activeCell="S40" sqref="S40"/>
    </sheetView>
  </sheetViews>
  <sheetFormatPr defaultColWidth="9" defaultRowHeight="13.5"/>
  <cols>
    <col min="1" max="1" width="4.16666666666667" customWidth="1"/>
    <col min="2" max="2" width="7.49166666666667" customWidth="1"/>
    <col min="3" max="3" width="15.5416666666667" customWidth="1"/>
    <col min="4" max="4" width="11.3833333333333" customWidth="1"/>
    <col min="5" max="5" width="11.25" customWidth="1"/>
    <col min="6" max="6" width="12.625" customWidth="1"/>
    <col min="7" max="7" width="13.75" customWidth="1"/>
    <col min="8" max="8" width="12.625" customWidth="1"/>
    <col min="9" max="9" width="11.525" customWidth="1"/>
    <col min="10" max="10" width="11.5083333333333" customWidth="1"/>
    <col min="11" max="11" width="12.6333333333333" customWidth="1"/>
    <col min="12" max="12" width="13.475" customWidth="1"/>
    <col min="13" max="13" width="11.25" customWidth="1"/>
    <col min="14" max="15" width="15" customWidth="1"/>
    <col min="16" max="16" width="13.8833333333333" customWidth="1"/>
    <col min="17" max="17" width="12.6333333333333" customWidth="1"/>
    <col min="18" max="18" width="12.9166666666667" customWidth="1"/>
    <col min="19" max="20" width="13.3333333333333" customWidth="1"/>
    <col min="21" max="21" width="15" customWidth="1"/>
    <col min="24" max="24" width="9.375"/>
    <col min="25" max="25" width="10.375"/>
    <col min="26" max="26" width="9.375"/>
  </cols>
  <sheetData>
    <row r="1" ht="18.75" spans="1:21">
      <c r="B1" s="223">
        <v>2026</v>
      </c>
      <c r="C1" s="224" t="s">
        <v>36</v>
      </c>
      <c r="D1" s="224"/>
      <c r="E1" s="224"/>
      <c r="F1" s="224"/>
      <c r="I1" s="224"/>
      <c r="J1" s="224"/>
    </row>
    <row r="2" ht="18.75" spans="1:21">
      <c r="A2" t="str">
        <f>HYPERLINK("#目录!a1","返回目录")</f>
        <v>返回目录</v>
      </c>
      <c r="B2" s="225" t="s">
        <v>37</v>
      </c>
      <c r="C2" s="225">
        <v>2026</v>
      </c>
      <c r="D2" s="225" t="s">
        <v>38</v>
      </c>
      <c r="E2" s="225">
        <v>5</v>
      </c>
      <c r="G2" s="224"/>
      <c r="I2" s="224"/>
    </row>
    <row r="3" spans="1:21">
      <c r="E3" s="226" t="s">
        <v>39</v>
      </c>
      <c r="F3" s="226" t="s">
        <v>40</v>
      </c>
      <c r="G3" s="226" t="s">
        <v>41</v>
      </c>
      <c r="H3" t="s">
        <v>42</v>
      </c>
      <c r="I3" t="s">
        <v>43</v>
      </c>
      <c r="J3" t="s">
        <v>44</v>
      </c>
      <c r="K3" t="s">
        <v>45</v>
      </c>
      <c r="L3" s="227" t="s">
        <v>46</v>
      </c>
      <c r="M3" s="228" t="s">
        <v>47</v>
      </c>
      <c r="N3" s="227" t="s">
        <v>48</v>
      </c>
      <c r="O3" s="227" t="s">
        <v>49</v>
      </c>
      <c r="P3" s="227" t="s">
        <v>50</v>
      </c>
      <c r="Q3" s="228" t="s">
        <v>51</v>
      </c>
      <c r="R3" s="227" t="s">
        <v>52</v>
      </c>
      <c r="S3" s="227" t="s">
        <v>53</v>
      </c>
      <c r="T3" s="227" t="s">
        <v>54</v>
      </c>
      <c r="U3" s="227" t="s">
        <v>55</v>
      </c>
    </row>
    <row r="4" ht="14.25" spans="1:21">
      <c r="A4" s="229" t="s">
        <v>56</v>
      </c>
      <c r="B4" s="230" t="s">
        <v>38</v>
      </c>
      <c r="C4" s="230" t="s">
        <v>57</v>
      </c>
      <c r="D4" s="230" t="s">
        <v>58</v>
      </c>
      <c r="E4" s="230" t="s">
        <v>59</v>
      </c>
      <c r="F4" s="230" t="s">
        <v>59</v>
      </c>
      <c r="G4" s="230" t="s">
        <v>59</v>
      </c>
      <c r="H4" s="230" t="s">
        <v>60</v>
      </c>
      <c r="I4" s="230" t="s">
        <v>61</v>
      </c>
      <c r="J4" s="230" t="s">
        <v>62</v>
      </c>
      <c r="K4" s="230" t="s">
        <v>63</v>
      </c>
      <c r="L4" s="230" t="s">
        <v>64</v>
      </c>
      <c r="M4" s="230" t="s">
        <v>64</v>
      </c>
      <c r="N4" s="230" t="s">
        <v>65</v>
      </c>
      <c r="O4" s="230" t="s">
        <v>65</v>
      </c>
      <c r="P4" s="230" t="s">
        <v>65</v>
      </c>
      <c r="Q4" s="230" t="s">
        <v>65</v>
      </c>
      <c r="R4" s="230" t="s">
        <v>66</v>
      </c>
      <c r="S4" s="230" t="s">
        <v>66</v>
      </c>
      <c r="T4" s="230" t="s">
        <v>66</v>
      </c>
      <c r="U4" s="230" t="s">
        <v>66</v>
      </c>
    </row>
    <row r="5" ht="19" customHeight="1" spans="1:21">
      <c r="A5" s="229"/>
      <c r="B5" s="231"/>
      <c r="C5" s="232" t="s">
        <v>67</v>
      </c>
      <c r="D5" s="232">
        <f>SUMIFS(Sheet1!$L:$L,Sheet1!$A:$A,"="&amp;$E$2)</f>
        <v>17724.83</v>
      </c>
      <c r="E5" s="232">
        <f>SUMIFS(Sheet1!$M:$M,Sheet1!$A:$A,"="&amp;$E$2)</f>
        <v>0</v>
      </c>
      <c r="F5" s="232">
        <f>SUMIFS(Sheet1!$N:$N,Sheet1!$A:$A,"="&amp;$E$2)</f>
        <v>6814.57000000001</v>
      </c>
      <c r="G5" s="232">
        <f>SUMIFS(Sheet1!$R:$R,Sheet1!$A:$A,"="&amp;$E$2)</f>
        <v>12055.05</v>
      </c>
      <c r="H5" s="232">
        <f>SUMIFS(Sheet1!$S:$S,Sheet1!$A:$A,"="&amp;$E$2)</f>
        <v>11156.41</v>
      </c>
      <c r="I5" s="232">
        <f>SUMIFS(Sheet1!$O:$O,Sheet1!$A:$A,"="&amp;$E$2)</f>
        <v>35003.97</v>
      </c>
      <c r="J5" s="232">
        <f>SUMIFS(Sheet1!$P:$P,Sheet1!$A:$A,"="&amp;$E$2)</f>
        <v>4419.25</v>
      </c>
      <c r="K5" s="232">
        <f>SUMIFS(Sheet1!$Q:$Q,Sheet1!$A:$A,"="&amp;$E$2)</f>
        <v>0</v>
      </c>
      <c r="L5" s="232">
        <f>SUMIFS(Sheet1!$B:$B,Sheet1!$A:$A,"="&amp;$E$2)</f>
        <v>155258.06</v>
      </c>
      <c r="M5" s="232">
        <f>SUMIFS(Sheet1!$C:$C,Sheet1!$A:$A,"="&amp;$E$2)</f>
        <v>0</v>
      </c>
      <c r="N5" s="232">
        <f>SUMIFS(Sheet1!$D:$D,Sheet1!$A:$A,"="&amp;$E$2)</f>
        <v>118439.59</v>
      </c>
      <c r="O5" s="232">
        <f>SUMIFS(Sheet1!$E:$E,Sheet1!$A:$A,"="&amp;$E$2)</f>
        <v>30536.78</v>
      </c>
      <c r="P5" s="232">
        <f>SUMIFS(Sheet1!$F:$F,Sheet1!$A:$A,"="&amp;$E$2)</f>
        <v>3279.77000000002</v>
      </c>
      <c r="Q5" s="232">
        <f>SUMIFS(Sheet1!$G:$G,Sheet1!$A:$A,"="&amp;$E$2)</f>
        <v>28831.4100000002</v>
      </c>
      <c r="R5" s="232">
        <f>SUMIFS(Sheet1!$H:$H,Sheet1!$A:$A,"="&amp;$E$2)</f>
        <v>8822.25999999995</v>
      </c>
      <c r="S5" s="232">
        <f>SUMIFS(Sheet1!$I:$I,Sheet1!$A:$A,"="&amp;$E$2)</f>
        <v>127662.01</v>
      </c>
      <c r="T5" s="232">
        <f>SUMIFS(Sheet1!$J:$J,Sheet1!$A:$A,"="&amp;$E$2)</f>
        <v>0</v>
      </c>
      <c r="U5" s="232">
        <f>SUMIFS(Sheet1!$K:$K,Sheet1!$A:$A,"="&amp;$E$2)</f>
        <v>1352.10000000001</v>
      </c>
    </row>
    <row r="6" ht="14.25" spans="1:21">
      <c r="A6" s="229"/>
      <c r="B6" s="233">
        <f>E2</f>
        <v>5</v>
      </c>
      <c r="C6" s="222" t="s">
        <v>68</v>
      </c>
      <c r="D6" s="234" t="e">
        <f>SUMIFS(#REF!,#REF!,"="&amp;$E$2,#REF!,"="&amp;$C6)</f>
        <v>#REF!</v>
      </c>
      <c r="E6" s="235">
        <f>SUMIFS(力喆实业中国银行!$G:$G,力喆实业中国银行!$B:$B,"="&amp;$E$2,力喆实业中国银行!$D:$D,"="&amp;$C6)</f>
        <v>0</v>
      </c>
      <c r="F6" s="235">
        <f>SUMIFS(力喆产业农商银行!$G:$G,力喆产业农商银行!$B:$B,"="&amp;$E$2,力喆产业农商银行!$D:$D,"="&amp;$C6)</f>
        <v>0</v>
      </c>
      <c r="G6" s="236">
        <f>SUMIFS(徐洁招商银行!$G:$G,徐洁招商银行!$B:$B,"="&amp;$E$2,徐洁招商银行!$D:$D,"="&amp;$C6)</f>
        <v>0</v>
      </c>
      <c r="H6" s="236">
        <f>SUMIFS(力喆贸易建设银行!$G:$G,力喆贸易建设银行!$B:$B,"="&amp;$E$2,力喆贸易建设银行!$D:$D,"="&amp;$C6)</f>
        <v>0</v>
      </c>
      <c r="I6" s="236">
        <f>SUMIFS(元生万物建设银行!$G:$G,元生万物建设银行!$B:$B,"="&amp;$E$2,元生万物建设银行!$D:$D,"="&amp;$C6)</f>
        <v>0</v>
      </c>
      <c r="J6" s="236">
        <f>SUMIFS(言吾言中国银行!$G:$G,言吾言中国银行!$B:$B,"="&amp;$E$2,言吾言中国银行!$D:$D,"="&amp;$C6)</f>
        <v>0</v>
      </c>
      <c r="K6" s="236">
        <f>SUMIFS(力喆传媒海峡银行!$G:$G,力喆传媒海峡银行!$B:$B,"="&amp;$E$2,力喆传媒海峡银行!$D:$D,"="&amp;$C6)</f>
        <v>0</v>
      </c>
      <c r="L6" s="236">
        <f>SUMIFS(古玩城农商银行!$J:$J,古玩城农商银行!$B:$B,"="&amp;$E$2)</f>
        <v>22200</v>
      </c>
      <c r="M6" s="236">
        <f>SUMIFS(古玩城现金!$J:$J,古玩城现金!$B:$B,"="&amp;$E$2)</f>
        <v>0</v>
      </c>
      <c r="N6" s="236">
        <f>SUMIFS(艾泊烨海峡银行!$G:$G,艾泊烨海峡银行!$B:$B,"="&amp;$E$2,艾泊烨海峡银行!$D:$D,"="&amp;$C6)</f>
        <v>0</v>
      </c>
      <c r="O6" s="236">
        <v>0</v>
      </c>
      <c r="P6" s="236">
        <f>SUMIFS(艾泊烨农商银行!$I:$I,艾泊烨农商银行!$B:$B,"="&amp;$E$2,艾泊烨农商银行!$D:$D,"="&amp;$C6)</f>
        <v>0</v>
      </c>
      <c r="Q6" s="236">
        <f>SUMIFS(艾泊烨私户银行!$G:$G,艾泊烨私户银行!$B:$B,"="&amp;$E$2,艾泊烨私户银行!$D:$D,"="&amp;$C6)</f>
        <v>27380</v>
      </c>
      <c r="R6" s="236">
        <f>SUMIFS(易佰兴建行!$J:$J,易佰兴建行!$B:$B,"="&amp;$E$2)</f>
        <v>41422</v>
      </c>
      <c r="S6" s="236">
        <f>SUMIFS(易佰兴私户!$J:$J,易佰兴私户!$B:$B,"="&amp;$E$2)</f>
        <v>0</v>
      </c>
      <c r="T6" s="236">
        <f>SUMIFS(易佰兴现金!$J:$J,易佰兴现金!$B:$B,"="&amp;$E$2)</f>
        <v>0</v>
      </c>
      <c r="U6" s="236">
        <f>SUMIFS(易佰兴基本户!$J:$J,易佰兴基本户!$B:$B,"="&amp;$E$2)</f>
        <v>0</v>
      </c>
    </row>
    <row r="7" ht="14.25" spans="1:21">
      <c r="A7" s="229"/>
      <c r="B7" s="233">
        <f>B6</f>
        <v>5</v>
      </c>
      <c r="C7" s="222" t="s">
        <v>69</v>
      </c>
      <c r="D7" s="234" t="e">
        <f>SUMIFS(#REF!,#REF!,"="&amp;$E$2,#REF!,"="&amp;$C7)</f>
        <v>#REF!</v>
      </c>
      <c r="E7" s="235">
        <f>SUMIFS(力喆实业中国银行!$G:$G,力喆实业中国银行!$B:$B,"="&amp;$E$2,力喆实业中国银行!$D:$D,"="&amp;$C7)</f>
        <v>0</v>
      </c>
      <c r="F7" s="235">
        <f>SUMIFS(力喆产业农商银行!$G:$G,力喆产业农商银行!$B:$B,"="&amp;$E$2,力喆产业农商银行!$D:$D,"="&amp;$C7)</f>
        <v>47832.11</v>
      </c>
      <c r="G7" s="236">
        <f>SUMIFS(徐洁招商银行!$G:$G,徐洁招商银行!$B:$B,"="&amp;$E$2,徐洁招商银行!$D:$D,"="&amp;$C7)</f>
        <v>25000</v>
      </c>
      <c r="H7" s="236">
        <f>SUMIFS(力喆贸易建设银行!$G:$G,力喆贸易建设银行!$B:$B,"="&amp;$E$2,力喆贸易建设银行!$D:$D,"="&amp;$C7)</f>
        <v>0</v>
      </c>
      <c r="I7" s="236">
        <f>SUMIFS(元生万物建设银行!$G:$G,元生万物建设银行!$B:$B,"="&amp;$E$2,元生万物建设银行!$D:$D,"="&amp;$C7)</f>
        <v>30098.25</v>
      </c>
      <c r="J7" s="236">
        <f>SUMIFS(言吾言中国银行!$G:$G,言吾言中国银行!$B:$B,"="&amp;$E$2,言吾言中国银行!$D:$D,"="&amp;$C7)</f>
        <v>0</v>
      </c>
      <c r="K7" s="236">
        <f>SUMIFS(力喆传媒海峡银行!$G:$G,力喆传媒海峡银行!$B:$B,"="&amp;$E$2,力喆传媒海峡银行!$D:$D,"="&amp;$C7)</f>
        <v>0</v>
      </c>
      <c r="L7" s="236"/>
      <c r="M7" s="236">
        <f>SUMIFS(古玩城现金!$D:$D,古玩城现金!$B:$B,"="&amp;$E$2)</f>
        <v>0</v>
      </c>
      <c r="N7" s="236">
        <f>SUMIFS(艾泊烨海峡银行!$G:$G,艾泊烨海峡银行!$B:$B,"="&amp;$E$2,艾泊烨海峡银行!$D:$D,"="&amp;$C7)</f>
        <v>0</v>
      </c>
      <c r="O7" s="236">
        <v>0</v>
      </c>
      <c r="P7" s="236">
        <f>SUMIFS(艾泊烨农商银行!$I:$I,艾泊烨农商银行!$B:$B,"="&amp;$E$2,艾泊烨农商银行!$D:$D,"="&amp;$C7)</f>
        <v>16000</v>
      </c>
      <c r="Q7" s="236">
        <f>SUMIFS(艾泊烨私户银行!$G:$G,艾泊烨私户银行!$B:$B,"="&amp;$E$2,艾泊烨私户银行!$D:$D,"="&amp;$C7)</f>
        <v>0</v>
      </c>
      <c r="R7" s="236">
        <f>SUMIFS(易佰兴建行!$O:$O,易佰兴建行!$B:$B,"="&amp;$E$2,易佰兴建行!D:D,"="&amp;$C7)</f>
        <v>0</v>
      </c>
      <c r="S7" s="236">
        <v>0</v>
      </c>
      <c r="T7" s="236">
        <f>SUMIFS(易佰兴现金!$J:$J,易佰兴现金!$B:$B,"="&amp;$E$2)</f>
        <v>0</v>
      </c>
      <c r="U7" s="236">
        <f>SUMIFS(易佰兴基本户!$O:$O,易佰兴基本户!$B:$B,"="&amp;$E$2,易佰兴基本户!$D:$D,"="&amp;$C7)</f>
        <v>24300</v>
      </c>
    </row>
    <row r="8" ht="14.25" spans="1:21">
      <c r="A8" s="229"/>
      <c r="B8" s="233">
        <f>B24</f>
        <v>5</v>
      </c>
      <c r="C8" s="222" t="s">
        <v>70</v>
      </c>
      <c r="D8" s="234"/>
      <c r="E8" s="235">
        <f>SUMIFS(力喆实业中国银行!$G:$G,力喆实业中国银行!$B:$B,"="&amp;$E$2,力喆实业中国银行!$D:$D,"="&amp;$C8)</f>
        <v>0</v>
      </c>
      <c r="F8" s="235">
        <f>SUMIFS(力喆产业农商银行!$G:$G,力喆产业农商银行!$B:$B,"="&amp;$E$2,力喆产业农商银行!$D:$D,"="&amp;$C8)</f>
        <v>0</v>
      </c>
      <c r="G8" s="236">
        <f>SUMIFS(徐洁招商银行!$G:$G,徐洁招商银行!$B:$B,"="&amp;$E$2,徐洁招商银行!$D:$D,"="&amp;$C8)</f>
        <v>0</v>
      </c>
      <c r="H8" s="236">
        <f>SUMIFS(力喆贸易建设银行!$G:$G,力喆贸易建设银行!$B:$B,"="&amp;$E$2,力喆贸易建设银行!$D:$D,"="&amp;$C8)</f>
        <v>0</v>
      </c>
      <c r="I8" s="236"/>
      <c r="J8" s="236">
        <f>SUMIFS(言吾言中国银行!$G:$G,言吾言中国银行!$B:$B,"="&amp;$E$2,言吾言中国银行!$D:$D,"="&amp;$C8)</f>
        <v>0</v>
      </c>
      <c r="K8" s="236"/>
      <c r="L8" s="236"/>
      <c r="M8" s="236">
        <f>SUMIFS(古玩城现金!$J:$J,古玩城现金!$B:$B,"="&amp;$E$2)</f>
        <v>0</v>
      </c>
      <c r="N8" s="237">
        <f>SUMIFS(艾泊烨海峡银行!$G:$G,艾泊烨海峡银行!$B:$B,"="&amp;$E$2,艾泊烨海峡银行!$D:$D,"="&amp;$C8)</f>
        <v>14000</v>
      </c>
      <c r="O8" s="237">
        <v>0</v>
      </c>
      <c r="P8" s="236">
        <f>SUMIFS(艾泊烨农商银行!$I:$I,艾泊烨农商银行!$B:$B,"="&amp;$E$2,艾泊烨农商银行!$D:$D,"="&amp;$C8)</f>
        <v>0</v>
      </c>
      <c r="Q8" s="236">
        <f>SUMIFS(艾泊烨私户银行!$G:$G,艾泊烨私户银行!$B:$B,"="&amp;$E$2,艾泊烨私户银行!$D:$D,"="&amp;$C8)</f>
        <v>9600</v>
      </c>
      <c r="R8" s="236">
        <v>0</v>
      </c>
      <c r="S8" s="236">
        <v>0</v>
      </c>
      <c r="T8" s="236">
        <f>SUMIFS(易佰兴现金!$J:$J,易佰兴现金!$B:$B,"="&amp;$E$2)</f>
        <v>0</v>
      </c>
      <c r="U8" s="236">
        <v>0</v>
      </c>
    </row>
    <row r="9" ht="14.25" spans="1:21">
      <c r="A9" s="229"/>
      <c r="B9" s="233">
        <f>B24</f>
        <v>5</v>
      </c>
      <c r="C9" s="222" t="s">
        <v>71</v>
      </c>
      <c r="D9" s="234"/>
      <c r="E9" s="235">
        <f>SUMIFS(力喆实业中国银行!$G:$G,力喆实业中国银行!$B:$B,"="&amp;$E$2,力喆实业中国银行!$D:$D,"="&amp;$C9)</f>
        <v>0</v>
      </c>
      <c r="F9" s="235">
        <f>SUMIFS(力喆产业农商银行!$G:$G,力喆产业农商银行!$B:$B,"="&amp;$E$2,力喆产业农商银行!$D:$D,"="&amp;$C9)</f>
        <v>0</v>
      </c>
      <c r="G9" s="236">
        <f>SUMIFS(徐洁招商银行!$G:$G,徐洁招商银行!$B:$B,"="&amp;$E$2,徐洁招商银行!$D:$D,"="&amp;$C9)</f>
        <v>0</v>
      </c>
      <c r="H9" s="236">
        <f>SUMIFS(力喆贸易建设银行!$G:$G,力喆贸易建设银行!$B:$B,"="&amp;$E$2,力喆贸易建设银行!$D:$D,"="&amp;$C9)</f>
        <v>0</v>
      </c>
      <c r="I9" s="236"/>
      <c r="J9" s="236">
        <f>SUMIFS(言吾言中国银行!$G:$G,言吾言中国银行!$B:$B,"="&amp;$E$2,言吾言中国银行!$D:$D,"="&amp;$C9)</f>
        <v>0</v>
      </c>
      <c r="K9" s="236"/>
      <c r="L9" s="236">
        <v>0</v>
      </c>
      <c r="M9" s="236">
        <f>SUMIFS(古玩城现金!$J:$J,古玩城现金!$B:$B,"="&amp;$E$2)</f>
        <v>0</v>
      </c>
      <c r="N9" s="236">
        <f>SUMIFS(艾泊烨海峡银行!$G:$G,艾泊烨海峡银行!$B:$B,"="&amp;$E$2,艾泊烨海峡银行!$D:$D,"="&amp;$C9)</f>
        <v>350</v>
      </c>
      <c r="O9" s="236">
        <v>0</v>
      </c>
      <c r="P9" s="236">
        <f>SUMIFS(艾泊烨农商银行!$I:$I,艾泊烨农商银行!$B:$B,"="&amp;$E$2,艾泊烨农商银行!$D:$D,"="&amp;$C9)</f>
        <v>0</v>
      </c>
      <c r="Q9" s="236">
        <f>SUMIFS(艾泊烨私户银行!$G:$G,艾泊烨私户银行!$B:$B,"="&amp;$E$2,艾泊烨私户银行!$D:$D,"="&amp;$C9)</f>
        <v>27222.77</v>
      </c>
      <c r="R9" s="236">
        <v>0</v>
      </c>
      <c r="S9" s="236">
        <v>0</v>
      </c>
      <c r="T9" s="236">
        <f>SUMIFS(易佰兴现金!$J:$J,易佰兴现金!$B:$B,"="&amp;$E$2)</f>
        <v>0</v>
      </c>
      <c r="U9" s="236">
        <v>0</v>
      </c>
    </row>
    <row r="10" ht="14.25" spans="1:21">
      <c r="A10" s="229"/>
      <c r="B10" s="233">
        <f>B15</f>
        <v>5</v>
      </c>
      <c r="C10" s="222" t="s">
        <v>72</v>
      </c>
      <c r="D10" s="234"/>
      <c r="E10" s="235">
        <f>SUMIFS(力喆实业中国银行!$G:$G,力喆实业中国银行!$B:$B,"="&amp;$E$2,力喆实业中国银行!$D:$D,"="&amp;$C10)</f>
        <v>0</v>
      </c>
      <c r="F10" s="235">
        <f>SUMIFS(力喆产业农商银行!$G:$G,力喆产业农商银行!$B:$B,"="&amp;$E$2,力喆产业农商银行!$D:$D,"="&amp;$C10)</f>
        <v>0</v>
      </c>
      <c r="G10" s="236">
        <f>SUMIFS(徐洁招商银行!$G:$G,徐洁招商银行!$B:$B,"="&amp;$E$2,徐洁招商银行!$D:$D,"="&amp;$C10)</f>
        <v>0</v>
      </c>
      <c r="H10" s="236">
        <f>SUMIFS(力喆贸易建设银行!$G:$G,力喆贸易建设银行!$B:$B,"="&amp;$E$2,力喆贸易建设银行!$D:$D,"="&amp;$C10)</f>
        <v>0</v>
      </c>
      <c r="I10" s="236"/>
      <c r="J10" s="236">
        <f>SUMIFS(言吾言中国银行!$G:$G,言吾言中国银行!$B:$B,"="&amp;$E$2,言吾言中国银行!$D:$D,"="&amp;$C10)</f>
        <v>0</v>
      </c>
      <c r="K10" s="236"/>
      <c r="L10" s="236">
        <v>0</v>
      </c>
      <c r="M10" s="236">
        <f>SUMIFS(古玩城现金!$J:$J,古玩城现金!$B:$B,"="&amp;$E$2)</f>
        <v>0</v>
      </c>
      <c r="N10" s="236">
        <f>SUMIFS(艾泊烨海峡银行!$G:$G,艾泊烨海峡银行!$B:$B,"="&amp;$E$2,艾泊烨海峡银行!$D:$D,"="&amp;$C10)</f>
        <v>2000</v>
      </c>
      <c r="O10" s="236">
        <v>0</v>
      </c>
      <c r="P10" s="236">
        <f>SUMIFS(艾泊烨农商银行!$I:$I,艾泊烨农商银行!$B:$B,"="&amp;$E$2,艾泊烨农商银行!$D:$D,"="&amp;$C10)</f>
        <v>0</v>
      </c>
      <c r="Q10" s="236">
        <f>SUMIFS(艾泊烨私户银行!$G:$G,艾泊烨私户银行!$B:$B,"="&amp;$E$2,艾泊烨私户银行!$D:$D,"="&amp;$C10)</f>
        <v>0</v>
      </c>
      <c r="R10" s="236">
        <v>0</v>
      </c>
      <c r="S10" s="236">
        <v>0</v>
      </c>
      <c r="T10" s="236">
        <f>SUMIFS(易佰兴现金!$J:$J,易佰兴现金!$B:$B,"="&amp;$E$2)</f>
        <v>0</v>
      </c>
      <c r="U10" s="236">
        <v>0</v>
      </c>
    </row>
    <row r="11" ht="14.25" spans="1:21">
      <c r="A11" s="229"/>
      <c r="B11" s="233">
        <f>B8</f>
        <v>5</v>
      </c>
      <c r="C11" s="222" t="s">
        <v>73</v>
      </c>
      <c r="D11" s="234"/>
      <c r="E11" s="235">
        <f>SUMIFS(力喆实业中国银行!$G:$G,力喆实业中国银行!$B:$B,"="&amp;$E$2,力喆实业中国银行!$D:$D,"="&amp;$C11)</f>
        <v>0</v>
      </c>
      <c r="F11" s="235">
        <f>SUMIFS(力喆产业农商银行!$G:$G,力喆产业农商银行!$B:$B,"="&amp;$E$2,力喆产业农商银行!$D:$D,"="&amp;$C11)</f>
        <v>0</v>
      </c>
      <c r="G11" s="236">
        <f>SUMIFS(徐洁招商银行!$G:$G,徐洁招商银行!$B:$B,"="&amp;$E$2,徐洁招商银行!$D:$D,"="&amp;$C11)</f>
        <v>0</v>
      </c>
      <c r="H11" s="236">
        <f>SUMIFS(力喆贸易建设银行!$G:$G,力喆贸易建设银行!$B:$B,"="&amp;$E$2,力喆贸易建设银行!$D:$D,"="&amp;$C11)</f>
        <v>0</v>
      </c>
      <c r="I11" s="236"/>
      <c r="J11" s="236">
        <f>SUMIFS(言吾言中国银行!$G:$G,言吾言中国银行!$B:$B,"="&amp;$E$2,言吾言中国银行!$D:$D,"="&amp;$C11)</f>
        <v>0</v>
      </c>
      <c r="K11" s="236"/>
      <c r="L11" s="236"/>
      <c r="M11" s="236">
        <f>SUMIFS(古玩城现金!$J:$J,古玩城现金!$B:$B,"="&amp;$E$2)</f>
        <v>0</v>
      </c>
      <c r="N11" s="236">
        <f>SUMIFS(艾泊烨海峡银行!$G:$G,艾泊烨海峡银行!$B:$B,"="&amp;$E$2,艾泊烨海峡银行!$D:$D,"="&amp;$C11)</f>
        <v>118449.07</v>
      </c>
      <c r="O11" s="236">
        <v>0</v>
      </c>
      <c r="P11" s="236">
        <f>SUMIFS(艾泊烨农商银行!$I:$I,艾泊烨农商银行!$B:$B,"="&amp;$E$2,艾泊烨农商银行!$D:$D,"="&amp;$C11)</f>
        <v>0</v>
      </c>
      <c r="Q11" s="236">
        <f>SUMIFS(艾泊烨私户银行!$G:$G,艾泊烨私户银行!$B:$B,"="&amp;$E$2,艾泊烨私户银行!$D:$D,"="&amp;$C11)</f>
        <v>0</v>
      </c>
      <c r="R11" s="236">
        <v>0</v>
      </c>
      <c r="S11" s="236">
        <v>0</v>
      </c>
      <c r="T11" s="236">
        <f>SUMIFS(易佰兴现金!$J:$J,易佰兴现金!$B:$B,"="&amp;$E$2)</f>
        <v>0</v>
      </c>
      <c r="U11" s="236">
        <v>0</v>
      </c>
    </row>
    <row r="12" ht="14.25" spans="1:21">
      <c r="A12" s="229"/>
      <c r="B12" s="233">
        <f>B10</f>
        <v>5</v>
      </c>
      <c r="C12" s="222" t="s">
        <v>74</v>
      </c>
      <c r="D12" s="234"/>
      <c r="E12" s="235">
        <f>SUMIFS(力喆实业中国银行!$G:$G,力喆实业中国银行!$B:$B,"="&amp;$E$2,力喆实业中国银行!$D:$D,"="&amp;$C12)</f>
        <v>0</v>
      </c>
      <c r="F12" s="235">
        <f>SUMIFS(力喆产业农商银行!$G:$G,力喆产业农商银行!$B:$B,"="&amp;$E$2,力喆产业农商银行!$D:$D,"="&amp;$C12)</f>
        <v>0</v>
      </c>
      <c r="G12" s="236">
        <f>SUMIFS(徐洁招商银行!$G:$G,徐洁招商银行!$B:$B,"="&amp;$E$2,徐洁招商银行!$D:$D,"="&amp;$C12)</f>
        <v>0</v>
      </c>
      <c r="H12" s="236">
        <f>SUMIFS(力喆贸易建设银行!$G:$G,力喆贸易建设银行!$B:$B,"="&amp;$E$2,力喆贸易建设银行!$D:$D,"="&amp;$C12)</f>
        <v>0</v>
      </c>
      <c r="I12" s="236"/>
      <c r="J12" s="236">
        <f>SUMIFS(言吾言中国银行!$G:$G,言吾言中国银行!$B:$B,"="&amp;$E$2,言吾言中国银行!$D:$D,"="&amp;$C12)</f>
        <v>0</v>
      </c>
      <c r="K12" s="236"/>
      <c r="L12" s="236">
        <v>0</v>
      </c>
      <c r="M12" s="236">
        <f>SUMIFS(古玩城现金!$J:$J,古玩城现金!$B:$B,"="&amp;$E$2)</f>
        <v>0</v>
      </c>
      <c r="N12" s="236">
        <f>SUMIFS(艾泊烨海峡银行!$G:$G,艾泊烨海峡银行!$B:$B,"="&amp;$E$2,艾泊烨海峡银行!$D:$D,"="&amp;$C12)</f>
        <v>16800</v>
      </c>
      <c r="O12" s="236">
        <v>0</v>
      </c>
      <c r="P12" s="236">
        <f>SUMIFS(艾泊烨农商银行!$I:$I,艾泊烨农商银行!$B:$B,"="&amp;$E$2,艾泊烨农商银行!$D:$D,"="&amp;$C12)</f>
        <v>0</v>
      </c>
      <c r="Q12" s="236">
        <f>SUMIFS(艾泊烨私户银行!$G:$G,艾泊烨私户银行!$B:$B,"="&amp;$E$2,艾泊烨私户银行!$D:$D,"="&amp;$C12)</f>
        <v>0</v>
      </c>
      <c r="R12" s="236">
        <v>0</v>
      </c>
      <c r="S12" s="236">
        <v>0</v>
      </c>
      <c r="T12" s="236">
        <f>SUMIFS(易佰兴现金!$J:$J,易佰兴现金!$B:$B,"="&amp;$E$2)</f>
        <v>0</v>
      </c>
      <c r="U12" s="236">
        <v>0</v>
      </c>
    </row>
    <row r="13" ht="14.25" spans="1:21">
      <c r="A13" s="229"/>
      <c r="B13" s="233">
        <f>B12</f>
        <v>5</v>
      </c>
      <c r="C13" s="222" t="s">
        <v>75</v>
      </c>
      <c r="D13" s="234"/>
      <c r="E13" s="235">
        <f>SUMIFS(力喆实业中国银行!$G:$G,力喆实业中国银行!$B:$B,"="&amp;$E$2,力喆实业中国银行!$D:$D,"="&amp;$C13)</f>
        <v>0</v>
      </c>
      <c r="F13" s="235">
        <f>SUMIFS(力喆产业农商银行!$G:$G,力喆产业农商银行!$B:$B,"="&amp;$E$2,力喆产业农商银行!$D:$D,"="&amp;$C13)</f>
        <v>0</v>
      </c>
      <c r="G13" s="236">
        <f>SUMIFS(徐洁招商银行!$G:$G,徐洁招商银行!$B:$B,"="&amp;$E$2,徐洁招商银行!$D:$D,"="&amp;$C13)</f>
        <v>0</v>
      </c>
      <c r="H13" s="236">
        <f>SUMIFS(力喆贸易建设银行!$G:$G,力喆贸易建设银行!$B:$B,"="&amp;$E$2,力喆贸易建设银行!$D:$D,"="&amp;$C13)</f>
        <v>0</v>
      </c>
      <c r="I13" s="236"/>
      <c r="J13" s="236">
        <f>SUMIFS(言吾言中国银行!$G:$G,言吾言中国银行!$B:$B,"="&amp;$E$2,言吾言中国银行!$D:$D,"="&amp;$C13)</f>
        <v>0</v>
      </c>
      <c r="K13" s="236"/>
      <c r="L13" s="236"/>
      <c r="M13" s="236">
        <f>SUMIFS(古玩城现金!$J:$J,古玩城现金!$B:$B,"="&amp;$E$2)</f>
        <v>0</v>
      </c>
      <c r="N13" s="236">
        <f>SUMIFS(艾泊烨海峡银行!$G:$G,艾泊烨海峡银行!$B:$B,"="&amp;$E$2,艾泊烨海峡银行!$D:$D,"="&amp;$C13)</f>
        <v>0</v>
      </c>
      <c r="O13" s="236">
        <v>0</v>
      </c>
      <c r="P13" s="236">
        <f>SUMIFS(艾泊烨农商银行!$I:$I,艾泊烨农商银行!$B:$B,"="&amp;$E$2,艾泊烨农商银行!$D:$D,"="&amp;$C13)</f>
        <v>0</v>
      </c>
      <c r="Q13" s="236">
        <f>SUMIFS(艾泊烨私户银行!$G:$G,艾泊烨私户银行!$B:$B,"="&amp;$E$2,艾泊烨私户银行!$D:$D,"="&amp;$C13)</f>
        <v>0</v>
      </c>
      <c r="R13" s="236">
        <v>0</v>
      </c>
      <c r="S13" s="236">
        <v>0</v>
      </c>
      <c r="T13" s="236">
        <f>SUMIFS(易佰兴现金!$J:$J,易佰兴现金!$B:$B,"="&amp;$E$2)</f>
        <v>0</v>
      </c>
      <c r="U13" s="236">
        <v>0</v>
      </c>
    </row>
    <row r="14" ht="14.25" spans="1:21">
      <c r="A14" s="229"/>
      <c r="B14" s="233">
        <f>B13</f>
        <v>5</v>
      </c>
      <c r="C14" s="222" t="s">
        <v>76</v>
      </c>
      <c r="D14" s="234"/>
      <c r="E14" s="235">
        <f>SUMIFS(力喆实业中国银行!$G:$G,力喆实业中国银行!$B:$B,"="&amp;$E$2,力喆实业中国银行!$D:$D,"="&amp;$C14)</f>
        <v>0</v>
      </c>
      <c r="F14" s="235">
        <f>SUMIFS(力喆产业农商银行!$G:$G,力喆产业农商银行!$B:$B,"="&amp;$E$2,力喆产业农商银行!$D:$D,"="&amp;$C14)</f>
        <v>0</v>
      </c>
      <c r="G14" s="236">
        <f>SUMIFS(徐洁招商银行!$G:$G,徐洁招商银行!$B:$B,"="&amp;$E$2,徐洁招商银行!$D:$D,"="&amp;$C14)</f>
        <v>73824.8</v>
      </c>
      <c r="H14" s="236">
        <f>SUMIFS(力喆贸易建设银行!$G:$G,力喆贸易建设银行!$B:$B,"="&amp;$E$2,力喆贸易建设银行!$D:$D,"="&amp;$C14)</f>
        <v>0</v>
      </c>
      <c r="I14" s="236"/>
      <c r="J14" s="236"/>
      <c r="K14" s="236"/>
      <c r="L14" s="236"/>
      <c r="M14" s="236"/>
      <c r="N14" s="236"/>
      <c r="O14" s="236"/>
      <c r="P14" s="236"/>
      <c r="Q14" s="236"/>
      <c r="R14" s="236"/>
      <c r="S14" s="236"/>
      <c r="T14" s="236">
        <f>SUMIFS(易佰兴现金!$J:$J,易佰兴现金!$B:$B,"="&amp;$E$2)</f>
        <v>0</v>
      </c>
      <c r="U14" s="236"/>
    </row>
    <row r="15" ht="14.25" spans="1:21">
      <c r="A15" s="229"/>
      <c r="B15" s="233">
        <f>B7</f>
        <v>5</v>
      </c>
      <c r="C15" s="222" t="s">
        <v>77</v>
      </c>
      <c r="D15" s="234" t="e">
        <f>SUMIFS(#REF!,#REF!,"="&amp;$E$2,#REF!,"="&amp;$C15)</f>
        <v>#REF!</v>
      </c>
      <c r="E15" s="235">
        <f>SUMIFS(力喆实业中国银行!$G:$G,力喆实业中国银行!$B:$B,"="&amp;$E$2,力喆实业中国银行!$D:$D,"="&amp;$C15)</f>
        <v>0</v>
      </c>
      <c r="F15" s="235">
        <f>SUMIFS(力喆产业农商银行!$G:$G,力喆产业农商银行!$B:$B,"="&amp;$E$2,力喆产业农商银行!$D:$D,"="&amp;$C15)</f>
        <v>0</v>
      </c>
      <c r="G15" s="236">
        <f>SUMIFS(徐洁招商银行!$G:$G,徐洁招商银行!$B:$B,"="&amp;$E$2,徐洁招商银行!$D:$D,"="&amp;$C15)</f>
        <v>57832.11</v>
      </c>
      <c r="H15" s="236">
        <f>SUMIFS(力喆贸易建设银行!$G:$G,力喆贸易建设银行!$B:$B,"="&amp;$E$2,力喆贸易建设银行!$D:$D,"="&amp;$C15)</f>
        <v>73229.1</v>
      </c>
      <c r="I15" s="236">
        <f>SUMIFS(元生万物建设银行!$G:$G,元生万物建设银行!$B:$B,"="&amp;$E$2,元生万物建设银行!$D:$D,"="&amp;$C15)</f>
        <v>0</v>
      </c>
      <c r="J15" s="236">
        <f>SUMIFS(言吾言中国银行!$G:$G,言吾言中国银行!$B:$B,"="&amp;$E$2,言吾言中国银行!$D:$D,"="&amp;$C15)</f>
        <v>0</v>
      </c>
      <c r="K15" s="236">
        <f>SUMIFS(力喆传媒海峡银行!$G:$G,力喆传媒海峡银行!$B:$B,"="&amp;$E$2,力喆传媒海峡银行!$D:$D,"="&amp;$C15)</f>
        <v>0</v>
      </c>
      <c r="L15" s="236">
        <f>SUMIFS(古玩城农商银行!$G:$G,古玩城农商银行!$B:$B,"="&amp;$E$2)</f>
        <v>290765</v>
      </c>
      <c r="M15" s="236">
        <f>SUMIFS(古玩城现金!$G:$G,古玩城现金!$B:$B,"="&amp;$E$2)</f>
        <v>10864</v>
      </c>
      <c r="N15" s="236">
        <f>SUMIFS(艾泊烨海峡银行!$G:$G,艾泊烨海峡银行!$B:$B,"="&amp;$E$2,艾泊烨海峡银行!$D:$D,"="&amp;$C15)</f>
        <v>0</v>
      </c>
      <c r="O15" s="236">
        <v>0</v>
      </c>
      <c r="P15" s="236">
        <f>SUMIFS(艾泊烨农商银行!$I:$I,艾泊烨农商银行!$B:$B,"="&amp;$E$2,艾泊烨农商银行!$D:$D,"="&amp;$C15)</f>
        <v>0</v>
      </c>
      <c r="Q15" s="236">
        <f>SUMIFS(艾泊烨私户银行!$G:$G,艾泊烨私户银行!$B:$B,"="&amp;$E$2,艾泊烨私户银行!$D:$D,"="&amp;$C15)</f>
        <v>0</v>
      </c>
      <c r="R15" s="236">
        <f>SUMIFS(易佰兴建行!$G:$G,易佰兴建行!$B:$B,"="&amp;$E$2)</f>
        <v>278302.83</v>
      </c>
      <c r="S15" s="236">
        <f>SUMIFS(易佰兴私户!$G:$G,易佰兴私户!$B:$B,"="&amp;$E$2)</f>
        <v>79195</v>
      </c>
      <c r="T15" s="236">
        <f>SUMIFS(易佰兴现金!$G:$G,易佰兴现金!$B:$B,"="&amp;$E$2)</f>
        <v>0</v>
      </c>
      <c r="U15" s="236">
        <f>SUMIFS(易佰兴基本户!$G:$G,易佰兴基本户!$B:$B,"="&amp;$E$2)</f>
        <v>0</v>
      </c>
    </row>
    <row r="16" ht="14.25" spans="1:21">
      <c r="A16" s="229"/>
      <c r="B16" s="233">
        <f>B15</f>
        <v>5</v>
      </c>
      <c r="C16" s="222" t="s">
        <v>78</v>
      </c>
      <c r="D16" s="234" t="e">
        <f>SUMIFS(#REF!,#REF!,"="&amp;$E$2,#REF!,"="&amp;$C16)</f>
        <v>#REF!</v>
      </c>
      <c r="E16" s="235">
        <f>SUMIFS(力喆实业中国银行!$G:$G,力喆实业中国银行!$B:$B,"="&amp;$E$2,力喆实业中国银行!$D:$D,"="&amp;$C16)</f>
        <v>0</v>
      </c>
      <c r="F16" s="235">
        <f>SUMIFS(力喆产业农商银行!$G:$G,力喆产业农商银行!$B:$B,"="&amp;$E$2,力喆产业农商银行!$D:$D,"="&amp;$C16)</f>
        <v>0</v>
      </c>
      <c r="G16" s="236">
        <f>SUMIFS(徐洁招商银行!$G:$G,徐洁招商银行!$B:$B,"="&amp;$E$2,徐洁招商银行!$D:$D,"="&amp;$C16)</f>
        <v>0</v>
      </c>
      <c r="H16" s="236">
        <f>SUMIFS(力喆贸易建设银行!$G:$G,力喆贸易建设银行!$B:$B,"="&amp;$E$2,力喆贸易建设银行!$D:$D,"="&amp;$C16)</f>
        <v>0</v>
      </c>
      <c r="I16" s="236">
        <f>SUMIFS(元生万物建设银行!$G:$G,元生万物建设银行!$B:$B,"="&amp;$E$2,元生万物建设银行!$D:$D,"="&amp;$C16)</f>
        <v>0</v>
      </c>
      <c r="J16" s="236">
        <f>SUMIFS(言吾言中国银行!$G:$G,言吾言中国银行!$B:$B,"="&amp;$E$2,言吾言中国银行!$D:$D,"="&amp;$C16)</f>
        <v>0</v>
      </c>
      <c r="K16" s="236">
        <f>SUMIFS(力喆传媒海峡银行!$G:$G,力喆传媒海峡银行!$B:$B,"="&amp;$E$2,力喆传媒海峡银行!$D:$D,"="&amp;$C16)</f>
        <v>0</v>
      </c>
      <c r="L16" s="236">
        <f>SUMIFS(古玩城农商银行!H:H,古玩城农商银行!B:B,"="&amp;$E$2)</f>
        <v>12400</v>
      </c>
      <c r="M16" s="236">
        <f>SUMIFS(古玩城现金!$H:$H,古玩城现金!$B:$B,"="&amp;$E$2)</f>
        <v>600</v>
      </c>
      <c r="N16" s="236">
        <f>SUMIFS(艾泊烨海峡银行!$G:$G,艾泊烨海峡银行!$B:$B,"="&amp;$E$2,艾泊烨海峡银行!$D:$D,"="&amp;$C16)</f>
        <v>0</v>
      </c>
      <c r="O16" s="236">
        <v>0</v>
      </c>
      <c r="P16" s="236">
        <f>SUMIFS(艾泊烨农商银行!$I:$I,艾泊烨农商银行!$B:$B,"="&amp;$E$2,艾泊烨农商银行!$D:$D,"="&amp;$C16)</f>
        <v>0</v>
      </c>
      <c r="Q16" s="236">
        <f>SUMIFS(艾泊烨私户银行!$G:$G,艾泊烨私户银行!$B:$B,"="&amp;$E$2,艾泊烨私户银行!$D:$D,"="&amp;$C16)</f>
        <v>0</v>
      </c>
      <c r="R16" s="236">
        <f>SUMIFS(易佰兴建行!$H:$H,易佰兴建行!$B:$B,"="&amp;$E$2)</f>
        <v>25142.7</v>
      </c>
      <c r="S16" s="236">
        <f>SUMIFS(易佰兴私户!$H:$H,易佰兴私户!B:B,"="&amp;$E$2)</f>
        <v>7862.4</v>
      </c>
      <c r="T16" s="236">
        <f>SUMIFS(易佰兴现金!$H:$H,易佰兴现金!$B:$B,"="&amp;$E$2)</f>
        <v>0</v>
      </c>
      <c r="U16" s="236">
        <f>SUMIFS(易佰兴基本户!$H:$H,易佰兴基本户!$B:$B,"="&amp;$E$2)</f>
        <v>0</v>
      </c>
    </row>
    <row r="17" ht="14.25" spans="1:21">
      <c r="A17" s="229"/>
      <c r="B17" s="233">
        <f>B16</f>
        <v>5</v>
      </c>
      <c r="C17" s="222" t="s">
        <v>79</v>
      </c>
      <c r="D17" s="234" t="e">
        <f>SUMIFS(#REF!,#REF!,"="&amp;$E$2,#REF!,"="&amp;$C17)</f>
        <v>#REF!</v>
      </c>
      <c r="E17" s="235">
        <f>SUMIFS(力喆实业中国银行!$G:$G,力喆实业中国银行!$B:$B,"="&amp;$E$2,力喆实业中国银行!$D:$D,"="&amp;$C17)</f>
        <v>0</v>
      </c>
      <c r="F17" s="235">
        <f>SUMIFS(力喆产业农商银行!$G:$G,力喆产业农商银行!$B:$B,"="&amp;$E$2,力喆产业农商银行!$D:$D,"="&amp;$C17)</f>
        <v>0</v>
      </c>
      <c r="G17" s="236">
        <f>SUMIFS(徐洁招商银行!$G:$G,徐洁招商银行!$B:$B,"="&amp;$E$2,徐洁招商银行!$D:$D,"="&amp;$C17)</f>
        <v>0</v>
      </c>
      <c r="H17" s="236">
        <f>SUMIFS(力喆贸易建设银行!$G:$G,力喆贸易建设银行!$B:$B,"="&amp;$E$2,力喆贸易建设银行!$D:$D,"="&amp;$C17)</f>
        <v>0</v>
      </c>
      <c r="I17" s="236">
        <f>SUMIFS(元生万物建设银行!$G:$G,元生万物建设银行!$B:$B,"="&amp;$E$2,元生万物建设银行!$D:$D,"="&amp;$C17)</f>
        <v>0</v>
      </c>
      <c r="J17" s="236">
        <f>SUMIFS(言吾言中国银行!$G:$G,言吾言中国银行!$B:$B,"="&amp;$E$2,言吾言中国银行!$D:$D,"="&amp;$C17)</f>
        <v>0</v>
      </c>
      <c r="K17" s="236">
        <f>SUMIFS(力喆传媒海峡银行!$G:$G,力喆传媒海峡银行!$B:$B,"="&amp;$E$2,力喆传媒海峡银行!$D:$D,"="&amp;$C17)</f>
        <v>0</v>
      </c>
      <c r="L17" s="236">
        <f>SUMIFS(古玩城农商银行!$I:$I,古玩城农商银行!$B:$B,"="&amp;$E$2)</f>
        <v>20631.2</v>
      </c>
      <c r="M17" s="236">
        <f>SUMIFS(古玩城现金!$I:$I,古玩城现金!$B:$B,"="&amp;$E$2)</f>
        <v>656</v>
      </c>
      <c r="N17" s="236">
        <f>SUMIFS(艾泊烨海峡银行!$G:$G,艾泊烨海峡银行!$B:$B,"="&amp;$E$2,艾泊烨海峡银行!$D:$D,"="&amp;$C17)</f>
        <v>2756.25</v>
      </c>
      <c r="O17" s="236">
        <v>0</v>
      </c>
      <c r="P17" s="236">
        <f>SUMIFS(艾泊烨农商银行!$I:$I,艾泊烨农商银行!$B:$B,"="&amp;$E$2,艾泊烨农商银行!$D:$D,"="&amp;$C17)</f>
        <v>0</v>
      </c>
      <c r="Q17" s="236">
        <f>SUMIFS(艾泊烨私户银行!$G:$G,艾泊烨私户银行!$B:$B,"="&amp;$E$2,艾泊烨私户银行!$D:$D,"="&amp;$C17)</f>
        <v>4250.05</v>
      </c>
      <c r="R17" s="236">
        <f>SUMIFS(易佰兴建行!$I:$I,易佰兴建行!$B:$B,"="&amp;$E$2)</f>
        <v>188</v>
      </c>
      <c r="S17" s="236">
        <f>SUMIFS(易佰兴私户!$I:$I,易佰兴私户!B:B,"="&amp;$E$2)</f>
        <v>25305.83</v>
      </c>
      <c r="T17" s="236">
        <f>SUMIFS(易佰兴现金!$I:$I,易佰兴现金!$B:$B,"="&amp;$E$2)</f>
        <v>0</v>
      </c>
      <c r="U17" s="236">
        <f>SUMIFS(易佰兴基本户!$I:$I,易佰兴基本户!$B:$B,"="&amp;$E$2)</f>
        <v>0</v>
      </c>
    </row>
    <row r="18" ht="14.25" spans="1:21">
      <c r="A18" s="229"/>
      <c r="B18" s="233">
        <f>B17</f>
        <v>5</v>
      </c>
      <c r="C18" s="222" t="s">
        <v>80</v>
      </c>
      <c r="D18" s="234" t="e">
        <f>SUMIFS(#REF!,#REF!,"="&amp;$E$2,#REF!,"="&amp;$C18)</f>
        <v>#REF!</v>
      </c>
      <c r="E18" s="235">
        <f>SUMIFS(力喆实业中国银行!$G:$G,力喆实业中国银行!$B:$B,"="&amp;$E$2,力喆实业中国银行!$D:$D,"="&amp;$C18)</f>
        <v>0</v>
      </c>
      <c r="F18" s="235">
        <f>SUMIFS(力喆产业农商银行!$G:$G,力喆产业农商银行!$B:$B,"="&amp;$E$2,力喆产业农商银行!$D:$D,"="&amp;$C18)</f>
        <v>0</v>
      </c>
      <c r="G18" s="236">
        <f>SUMIFS(徐洁招商银行!$G:$G,徐洁招商银行!$B:$B,"="&amp;$E$2,徐洁招商银行!$D:$D,"="&amp;$C18)</f>
        <v>0</v>
      </c>
      <c r="H18" s="236">
        <f>SUMIFS(力喆贸易建设银行!$G:$G,力喆贸易建设银行!$B:$B,"="&amp;$E$2,力喆贸易建设银行!$D:$D,"="&amp;$C18)</f>
        <v>0</v>
      </c>
      <c r="I18" s="236">
        <f>SUMIFS(元生万物建设银行!$G:$G,元生万物建设银行!$B:$B,"="&amp;$E$2,元生万物建设银行!$D:$D,"="&amp;$C18)</f>
        <v>0</v>
      </c>
      <c r="J18" s="236">
        <f>SUMIFS(言吾言中国银行!$G:$G,言吾言中国银行!$B:$B,"="&amp;$E$2,言吾言中国银行!$D:$D,"="&amp;$C18)</f>
        <v>0</v>
      </c>
      <c r="K18" s="236">
        <f>SUMIFS(力喆传媒海峡银行!$G:$G,力喆传媒海峡银行!$B:$B,"="&amp;$E$2,力喆传媒海峡银行!$D:$D,"="&amp;$C18)</f>
        <v>0</v>
      </c>
      <c r="L18" s="236">
        <f>SUMIFS(古玩城农商银行!$K:$K,古玩城农商银行!$B:$B,"="&amp;$E$2)</f>
        <v>25185</v>
      </c>
      <c r="M18" s="236">
        <f>SUMIFS(古玩城现金!$K:$K,古玩城现金!$B:$B,"="&amp;$E$2)</f>
        <v>4080</v>
      </c>
      <c r="N18" s="236">
        <f>SUMIFS(艾泊烨海峡银行!$G:$G,艾泊烨海峡银行!$B:$B,"="&amp;$E$2,艾泊烨海峡银行!$D:$D,"="&amp;$C18)</f>
        <v>0</v>
      </c>
      <c r="O18" s="236">
        <v>0</v>
      </c>
      <c r="P18" s="236">
        <f>SUMIFS(艾泊烨农商银行!$I:$I,艾泊烨农商银行!$B:$B,"="&amp;$E$2,艾泊烨农商银行!$D:$D,"="&amp;$C18)</f>
        <v>0</v>
      </c>
      <c r="Q18" s="236">
        <f>SUMIFS(艾泊烨私户银行!$G:$G,艾泊烨私户银行!$B:$B,"="&amp;$E$2,艾泊烨私户银行!$D:$D,"="&amp;$C18)</f>
        <v>0</v>
      </c>
      <c r="R18" s="236">
        <v>0</v>
      </c>
      <c r="S18" s="236">
        <v>0</v>
      </c>
      <c r="T18" s="236">
        <f>SUMIFS(易佰兴现金!$J:$J,易佰兴现金!$B:$B,"="&amp;$E$2)</f>
        <v>0</v>
      </c>
      <c r="U18" s="236">
        <v>0</v>
      </c>
    </row>
    <row r="19" ht="14.25" spans="1:21">
      <c r="A19" s="229"/>
      <c r="B19" s="233">
        <f>B18</f>
        <v>5</v>
      </c>
      <c r="C19" s="222" t="s">
        <v>81</v>
      </c>
      <c r="D19" s="234"/>
      <c r="E19" s="235">
        <f>SUMIFS(力喆实业中国银行!$G:$G,力喆实业中国银行!$B:$B,"="&amp;$E$2,力喆实业中国银行!$D:$D,"="&amp;$C19)</f>
        <v>0</v>
      </c>
      <c r="F19" s="235">
        <f>SUMIFS(力喆产业农商银行!$G:$G,力喆产业农商银行!$B:$B,"="&amp;$E$2,力喆产业农商银行!$D:$D,"="&amp;$C19)</f>
        <v>0</v>
      </c>
      <c r="G19" s="236">
        <f>SUMIFS(徐洁招商银行!$G:$G,徐洁招商银行!$B:$B,"="&amp;$E$2,徐洁招商银行!$D:$D,"="&amp;$C19)</f>
        <v>0</v>
      </c>
      <c r="H19" s="236">
        <f>SUMIFS(力喆贸易建设银行!$G:$G,力喆贸易建设银行!$B:$B,"="&amp;$E$2,力喆贸易建设银行!$D:$D,"="&amp;$C19)</f>
        <v>0</v>
      </c>
      <c r="I19" s="236"/>
      <c r="J19" s="236">
        <f>SUMIFS(言吾言中国银行!$G:$G,言吾言中国银行!$B:$B,"="&amp;$E$2,言吾言中国银行!$D:$D,"="&amp;$C19)</f>
        <v>0</v>
      </c>
      <c r="K19" s="236"/>
      <c r="L19" s="236"/>
      <c r="M19" s="236"/>
      <c r="N19" s="236"/>
      <c r="O19" s="236"/>
      <c r="P19" s="236"/>
      <c r="Q19" s="236"/>
      <c r="R19" s="236">
        <f>SUMIFS(易佰兴建行!$K:$K,易佰兴建行!$B:$B,"="&amp;$E$2)</f>
        <v>300</v>
      </c>
      <c r="S19" s="236">
        <f>SUMIFS(易佰兴私户!$K:$K,易佰兴私户!$B:$B,"="&amp;$E$2)</f>
        <v>6580</v>
      </c>
      <c r="T19" s="236">
        <f>SUMIFS(易佰兴现金!$K:$K,易佰兴现金!$B:$B,"="&amp;$E$2)</f>
        <v>240</v>
      </c>
      <c r="U19" s="236">
        <f>SUMIFS(易佰兴基本户!$K:$K,易佰兴基本户!$B:$B,"="&amp;$E$2)</f>
        <v>0</v>
      </c>
    </row>
    <row r="20" ht="14.25" spans="1:21">
      <c r="A20" s="229"/>
      <c r="B20" s="233">
        <f>B19</f>
        <v>5</v>
      </c>
      <c r="C20" s="222" t="s">
        <v>82</v>
      </c>
      <c r="D20" s="234"/>
      <c r="E20" s="235">
        <f>SUMIFS(力喆实业中国银行!$G:$G,力喆实业中国银行!$B:$B,"="&amp;$E$2,力喆实业中国银行!$D:$D,"="&amp;$C20)</f>
        <v>0</v>
      </c>
      <c r="F20" s="235">
        <f>SUMIFS(力喆产业农商银行!$G:$G,力喆产业农商银行!$B:$B,"="&amp;$E$2,力喆产业农商银行!$D:$D,"="&amp;$C20)</f>
        <v>0</v>
      </c>
      <c r="G20" s="236">
        <f>SUMIFS(徐洁招商银行!$G:$G,徐洁招商银行!$B:$B,"="&amp;$E$2,徐洁招商银行!$D:$D,"="&amp;$C20)</f>
        <v>0</v>
      </c>
      <c r="H20" s="236">
        <f>SUMIFS(力喆贸易建设银行!$G:$G,力喆贸易建设银行!$B:$B,"="&amp;$E$2,力喆贸易建设银行!$D:$D,"="&amp;$C20)</f>
        <v>0</v>
      </c>
      <c r="I20" s="236"/>
      <c r="J20" s="236">
        <f>SUMIFS(言吾言中国银行!$G:$G,言吾言中国银行!$B:$B,"="&amp;$E$2,言吾言中国银行!$D:$D,"="&amp;$C20)</f>
        <v>0</v>
      </c>
      <c r="K20" s="236"/>
      <c r="L20" s="236"/>
      <c r="M20" s="236"/>
      <c r="N20" s="236"/>
      <c r="O20" s="236"/>
      <c r="P20" s="236"/>
      <c r="Q20" s="236"/>
      <c r="R20" s="236">
        <f>SUMIFS(易佰兴建行!$L:$L,易佰兴建行!$B:$B,"="&amp;$E$2)</f>
        <v>500</v>
      </c>
      <c r="S20" s="236">
        <v>0</v>
      </c>
      <c r="T20" s="236">
        <f>SUMIFS(易佰兴现金!$J:$J,易佰兴现金!$B:$B,"="&amp;$E$2)</f>
        <v>0</v>
      </c>
      <c r="U20" s="236">
        <f>SUMIFS(易佰兴基本户!$L:$L,易佰兴基本户!$B:$B,"="&amp;$E$2)</f>
        <v>0</v>
      </c>
    </row>
    <row r="21" ht="14.25" spans="1:21">
      <c r="A21" s="229"/>
      <c r="B21" s="233">
        <f>B18</f>
        <v>5</v>
      </c>
      <c r="C21" s="222" t="s">
        <v>83</v>
      </c>
      <c r="D21" s="234" t="e">
        <f>SUMIFS(#REF!,#REF!,"="&amp;$E$2,#REF!,"="&amp;$C21)</f>
        <v>#REF!</v>
      </c>
      <c r="E21" s="235">
        <f>SUMIFS(力喆实业中国银行!$G:$G,力喆实业中国银行!$B:$B,"="&amp;$E$2,力喆实业中国银行!$D:$D,"="&amp;$C21)</f>
        <v>0</v>
      </c>
      <c r="F21" s="235">
        <f>SUMIFS(力喆产业农商银行!$G:$G,力喆产业农商银行!$B:$B,"="&amp;$E$2,力喆产业农商银行!$D:$D,"="&amp;$C21)</f>
        <v>0</v>
      </c>
      <c r="G21" s="236">
        <f>SUMIFS(徐洁招商银行!$G:$G,徐洁招商银行!$B:$B,"="&amp;$E$2,徐洁招商银行!$D:$D,"="&amp;$C21)</f>
        <v>0</v>
      </c>
      <c r="H21" s="236">
        <f>SUMIFS(力喆贸易建设银行!$G:$G,力喆贸易建设银行!$B:$B,"="&amp;$E$2,力喆贸易建设银行!$D:$D,"="&amp;$C21)</f>
        <v>0</v>
      </c>
      <c r="I21" s="236">
        <f>SUMIFS(元生万物建设银行!$G:$G,元生万物建设银行!$B:$B,"="&amp;$E$2,元生万物建设银行!$D:$D,"="&amp;$C21)</f>
        <v>0</v>
      </c>
      <c r="J21" s="236">
        <f>SUMIFS(言吾言中国银行!$G:$G,言吾言中国银行!$B:$B,"="&amp;$E$2,言吾言中国银行!$D:$D,"="&amp;$C21)</f>
        <v>0</v>
      </c>
      <c r="K21" s="236">
        <f>SUMIFS(力喆传媒海峡银行!$G:$G,力喆传媒海峡银行!$B:$B,"="&amp;$E$2,力喆传媒海峡银行!$D:$D,"="&amp;$C21)</f>
        <v>0</v>
      </c>
      <c r="L21" s="236">
        <f>SUMIFS(古玩城农商银行!$G:$G,古玩城农商银行!$B:$B,"="&amp;$E$2,古玩城农商银行!$D:$D,"="&amp;$C21)</f>
        <v>0</v>
      </c>
      <c r="M21" s="236">
        <f>SUMIFS(古玩城现金!$J:$J,古玩城现金!$B:$B,"="&amp;$E$2)</f>
        <v>0</v>
      </c>
      <c r="N21" s="236">
        <f>SUMIFS(艾泊烨海峡银行!$G:$G,艾泊烨海峡银行!$B:$B,"="&amp;$E$2,艾泊烨海峡银行!$D:$D,"="&amp;$C21)</f>
        <v>0</v>
      </c>
      <c r="O21" s="236">
        <v>0</v>
      </c>
      <c r="P21" s="236">
        <f>SUMIFS(艾泊烨农商银行!$I:$I,艾泊烨农商银行!$B:$B,"="&amp;$E$2,艾泊烨农商银行!$D:$D,"="&amp;$C21)</f>
        <v>0</v>
      </c>
      <c r="Q21" s="236">
        <f>SUMIFS(艾泊烨私户银行!$G:$G,艾泊烨私户银行!$B:$B,"="&amp;$E$2,艾泊烨私户银行!$D:$D,"="&amp;$C21)</f>
        <v>0</v>
      </c>
      <c r="R21" s="236">
        <v>0</v>
      </c>
      <c r="S21" s="236">
        <v>0</v>
      </c>
      <c r="T21" s="236">
        <f>SUMIFS(易佰兴现金!$J:$J,易佰兴现金!$B:$B,"="&amp;$E$2)</f>
        <v>0</v>
      </c>
      <c r="U21" s="236">
        <v>0</v>
      </c>
    </row>
    <row r="22" ht="14.25" spans="1:21">
      <c r="A22" s="229"/>
      <c r="B22" s="233">
        <f>B21</f>
        <v>5</v>
      </c>
      <c r="C22" s="222" t="s">
        <v>84</v>
      </c>
      <c r="D22" s="234" t="e">
        <f>SUMIFS(#REF!,#REF!,"="&amp;$E$2,#REF!,"="&amp;$C22)</f>
        <v>#REF!</v>
      </c>
      <c r="E22" s="235">
        <f>SUMIFS(力喆实业中国银行!$G:$G,力喆实业中国银行!$B:$B,"="&amp;$E$2,力喆实业中国银行!$D:$D,"="&amp;$C22)</f>
        <v>0</v>
      </c>
      <c r="F22" s="235">
        <f>SUMIFS(力喆产业农商银行!$G:$G,力喆产业农商银行!$B:$B,"="&amp;$E$2,力喆产业农商银行!$D:$D,"="&amp;$C22)</f>
        <v>0</v>
      </c>
      <c r="G22" s="236">
        <f>SUMIFS(徐洁招商银行!$G:$G,徐洁招商银行!$B:$B,"="&amp;$E$2,徐洁招商银行!$D:$D,"="&amp;$C22)</f>
        <v>0</v>
      </c>
      <c r="H22" s="236">
        <f>SUMIFS(力喆贸易建设银行!$G:$G,力喆贸易建设银行!$B:$B,"="&amp;$E$2,力喆贸易建设银行!$D:$D,"="&amp;$C22)</f>
        <v>0</v>
      </c>
      <c r="I22" s="236">
        <f>SUMIFS(元生万物建设银行!$G:$G,元生万物建设银行!$B:$B,"="&amp;$E$2,元生万物建设银行!$D:$D,"="&amp;$C22)</f>
        <v>0</v>
      </c>
      <c r="J22" s="236">
        <f>SUMIFS(言吾言中国银行!$G:$G,言吾言中国银行!$B:$B,"="&amp;$E$2,言吾言中国银行!$D:$D,"="&amp;$C22)</f>
        <v>0</v>
      </c>
      <c r="K22" s="236">
        <f>SUMIFS(力喆传媒海峡银行!$G:$G,力喆传媒海峡银行!$B:$B,"="&amp;$E$2,力喆传媒海峡银行!$D:$D,"="&amp;$C22)</f>
        <v>0</v>
      </c>
      <c r="L22" s="236">
        <f>SUMIFS(古玩城农商银行!$G:$G,古玩城农商银行!$B:$B,"="&amp;$E$2,古玩城农商银行!$D:$D,"="&amp;$C22)</f>
        <v>0</v>
      </c>
      <c r="M22" s="236">
        <f>SUMIFS(古玩城现金!$J:$J,古玩城现金!$B:$B,"="&amp;$E$2)</f>
        <v>0</v>
      </c>
      <c r="N22" s="236">
        <f>SUMIFS(艾泊烨海峡银行!$G:$G,艾泊烨海峡银行!$B:$B,"="&amp;$E$2,艾泊烨海峡银行!$D:$D,"="&amp;$C22)</f>
        <v>0</v>
      </c>
      <c r="O22" s="236">
        <v>0</v>
      </c>
      <c r="P22" s="236">
        <f>SUMIFS(艾泊烨农商银行!$I:$I,艾泊烨农商银行!$B:$B,"="&amp;$E$2,艾泊烨农商银行!$D:$D,"="&amp;$C22)</f>
        <v>0</v>
      </c>
      <c r="Q22" s="236">
        <f>SUMIFS(艾泊烨私户银行!$G:$G,艾泊烨私户银行!$B:$B,"="&amp;$E$2,艾泊烨私户银行!$D:$D,"="&amp;$C22)</f>
        <v>0</v>
      </c>
      <c r="R22" s="236">
        <v>0</v>
      </c>
      <c r="S22" s="236">
        <v>0</v>
      </c>
      <c r="T22" s="236">
        <f>SUMIFS(易佰兴现金!$J:$J,易佰兴现金!$B:$B,"="&amp;$E$2)</f>
        <v>0</v>
      </c>
      <c r="U22" s="236">
        <v>0</v>
      </c>
    </row>
    <row r="23" ht="14.25" spans="1:21">
      <c r="A23" s="229"/>
      <c r="B23" s="233">
        <f>B22</f>
        <v>5</v>
      </c>
      <c r="C23" s="222" t="s">
        <v>29</v>
      </c>
      <c r="D23" s="234" t="e">
        <f>SUMIFS(#REF!,#REF!,"="&amp;$E$2,#REF!,"="&amp;$C23)</f>
        <v>#REF!</v>
      </c>
      <c r="E23" s="235">
        <f>SUMIFS(力喆实业中国银行!$G:$G,力喆实业中国银行!$B:$B,"="&amp;$E$2,力喆实业中国银行!$D:$D,"="&amp;$C23)</f>
        <v>0</v>
      </c>
      <c r="F23" s="235">
        <f>SUMIFS(力喆产业农商银行!$G:$G,力喆产业农商银行!$B:$B,"="&amp;$E$2,力喆产业农商银行!$D:$D,"="&amp;$C23)</f>
        <v>0</v>
      </c>
      <c r="G23" s="236">
        <f>SUMIFS(徐洁招商银行!$G:$G,徐洁招商银行!$B:$B,"="&amp;$E$2,徐洁招商银行!$D:$D,"="&amp;$C23)</f>
        <v>0</v>
      </c>
      <c r="H23" s="236">
        <f>SUMIFS(力喆贸易建设银行!$G:$G,力喆贸易建设银行!$B:$B,"="&amp;$E$2,力喆贸易建设银行!$D:$D,"="&amp;$C23)</f>
        <v>0</v>
      </c>
      <c r="I23" s="236">
        <f>SUMIFS(元生万物建设银行!$G:$G,元生万物建设银行!$B:$B,"="&amp;$E$2,元生万物建设银行!$D:$D,"="&amp;$C23)</f>
        <v>0</v>
      </c>
      <c r="J23" s="236">
        <f>SUMIFS(言吾言中国银行!$G:$G,言吾言中国银行!$B:$B,"="&amp;$E$2,言吾言中国银行!$D:$D,"="&amp;$C23)</f>
        <v>0</v>
      </c>
      <c r="K23" s="236">
        <f>SUMIFS(力喆传媒海峡银行!$G:$G,力喆传媒海峡银行!$B:$B,"="&amp;$E$2,力喆传媒海峡银行!$D:$D,"="&amp;$C23)</f>
        <v>0</v>
      </c>
      <c r="L23" s="236">
        <f>SUMIFS(古玩城农商银行!$L:$L,古玩城农商银行!$B:$B,"="&amp;$E$2)</f>
        <v>0</v>
      </c>
      <c r="M23" s="236">
        <f>SUMIFS(古玩城现金!$J:$J,古玩城现金!$B:$B,"="&amp;$E$2)</f>
        <v>0</v>
      </c>
      <c r="N23" s="236">
        <f>SUMIFS(艾泊烨海峡银行!$G:$G,艾泊烨海峡银行!$B:$B,"="&amp;$E$2,艾泊烨海峡银行!$D:$D,"="&amp;$C23)</f>
        <v>0</v>
      </c>
      <c r="O23" s="236">
        <f>SUMIFS(艾泊烨招商银行!$G:$G,艾泊烨招商银行!$B:$B,"="&amp;$E$2,艾泊烨招商银行!$D:$D,"="&amp;$C23)</f>
        <v>0</v>
      </c>
      <c r="P23" s="236">
        <f>SUMIFS(艾泊烨农商银行!$I:$I,艾泊烨农商银行!$B:$B,"="&amp;$E$2,艾泊烨农商银行!$D:$D,"="&amp;$C23)</f>
        <v>0</v>
      </c>
      <c r="Q23" s="236">
        <f>SUMIFS(艾泊烨私户银行!$G:$G,艾泊烨私户银行!$B:$B,"="&amp;$E$2,艾泊烨私户银行!$D:$D,"="&amp;$C23)</f>
        <v>0</v>
      </c>
      <c r="R23" s="236">
        <f>SUMIFS(易佰兴建行!$M:$M,易佰兴建行!$B:$B,"="&amp;$E$2)</f>
        <v>0</v>
      </c>
      <c r="S23" s="236">
        <f>SUMIFS(易佰兴私户!$M:$M,易佰兴私户!B:B,"="&amp;$E$2)</f>
        <v>0</v>
      </c>
      <c r="T23" s="236">
        <f>SUMIFS(易佰兴现金!$J:$J,易佰兴现金!$B:$B,"="&amp;$E$2)</f>
        <v>0</v>
      </c>
      <c r="U23" s="236">
        <f>SUMIFS(易佰兴基本户!$M:$M,易佰兴基本户!$B:$B,"="&amp;$E$2)</f>
        <v>0</v>
      </c>
    </row>
    <row r="24" ht="14.25" spans="1:21">
      <c r="A24" s="229"/>
      <c r="B24" s="233">
        <f>B23</f>
        <v>5</v>
      </c>
      <c r="C24" s="222" t="s">
        <v>85</v>
      </c>
      <c r="D24" s="234"/>
      <c r="E24" s="235">
        <f>SUMIFS(力喆实业中国银行!$G:$G,力喆实业中国银行!$B:$B,"="&amp;$E$2,力喆实业中国银行!$D:$D,"="&amp;$C24)</f>
        <v>0</v>
      </c>
      <c r="F24" s="235">
        <f>SUMIFS(力喆产业农商银行!$G:$G,力喆产业农商银行!$B:$B,"="&amp;$E$2,力喆产业农商银行!$D:$D,"="&amp;$C24)</f>
        <v>0</v>
      </c>
      <c r="G24" s="236">
        <f>SUMIFS(徐洁招商银行!$G:$G,徐洁招商银行!$B:$B,"="&amp;$E$2,徐洁招商银行!$D:$D,"="&amp;$C24)</f>
        <v>0</v>
      </c>
      <c r="H24" s="236">
        <f>SUMIFS(力喆贸易建设银行!$G:$G,力喆贸易建设银行!$B:$B,"="&amp;$E$2,力喆贸易建设银行!$D:$D,"="&amp;$C24)</f>
        <v>0</v>
      </c>
      <c r="I24" s="236"/>
      <c r="J24" s="236">
        <f>SUMIFS(言吾言中国银行!$G:$G,言吾言中国银行!$B:$B,"="&amp;$E$2,言吾言中国银行!$D:$D,"="&amp;$C24)</f>
        <v>0</v>
      </c>
      <c r="K24" s="236"/>
      <c r="L24" s="236">
        <v>0</v>
      </c>
      <c r="M24" s="236">
        <f>SUMIFS(古玩城现金!$J:$J,古玩城现金!$B:$B,"="&amp;$E$2)</f>
        <v>0</v>
      </c>
      <c r="N24" s="236">
        <f>SUMIFS(艾泊烨海峡银行!$G:$G,艾泊烨海峡银行!$B:$B,"="&amp;$E$2,艾泊烨海峡银行!$D:$D,"="&amp;$C24)</f>
        <v>650000</v>
      </c>
      <c r="O24" s="236">
        <v>0</v>
      </c>
      <c r="P24" s="236">
        <f>SUMIFS(艾泊烨农商银行!$I:$I,艾泊烨农商银行!$B:$B,"="&amp;$E$2,艾泊烨农商银行!$D:$D,"="&amp;$C24)</f>
        <v>0</v>
      </c>
      <c r="Q24" s="236">
        <f>SUMIFS(艾泊烨私户银行!$G:$G,艾泊烨私户银行!$B:$B,"="&amp;$E$2,艾泊烨私户银行!$D:$D,"="&amp;$C24)</f>
        <v>0</v>
      </c>
      <c r="R24" s="236">
        <v>0</v>
      </c>
      <c r="S24" s="236">
        <v>0</v>
      </c>
      <c r="T24" s="236">
        <f>SUMIFS(易佰兴现金!$J:$J,易佰兴现金!$B:$B,"="&amp;$E$2)</f>
        <v>0</v>
      </c>
      <c r="U24" s="236">
        <v>0</v>
      </c>
    </row>
    <row r="25" ht="14.25" spans="1:21">
      <c r="A25" s="229"/>
      <c r="B25" s="233">
        <f>B9</f>
        <v>5</v>
      </c>
      <c r="C25" s="222" t="s">
        <v>86</v>
      </c>
      <c r="D25" s="234"/>
      <c r="E25" s="235">
        <f>SUMIFS(力喆实业中国银行!$G:$G,力喆实业中国银行!$B:$B,"="&amp;$E$2,力喆实业中国银行!$D:$D,"="&amp;$C25)</f>
        <v>0</v>
      </c>
      <c r="F25" s="235">
        <f>SUMIFS(力喆产业农商银行!$G:$G,力喆产业农商银行!$B:$B,"="&amp;$E$2,力喆产业农商银行!$D:$D,"="&amp;$C25)</f>
        <v>0</v>
      </c>
      <c r="G25" s="236">
        <f>SUMIFS(徐洁招商银行!$G:$G,徐洁招商银行!$B:$B,"="&amp;$E$2,徐洁招商银行!$D:$D,"="&amp;$C25)</f>
        <v>0</v>
      </c>
      <c r="H25" s="236">
        <f>SUMIFS(力喆贸易建设银行!$G:$G,力喆贸易建设银行!$B:$B,"="&amp;$E$2,力喆贸易建设银行!$D:$D,"="&amp;$C25)</f>
        <v>0</v>
      </c>
      <c r="I25" s="236"/>
      <c r="J25" s="236">
        <f>SUMIFS(言吾言中国银行!$G:$G,言吾言中国银行!$B:$B,"="&amp;$E$2,言吾言中国银行!$D:$D,"="&amp;$C25)</f>
        <v>0</v>
      </c>
      <c r="K25" s="236"/>
      <c r="L25" s="236">
        <f>SUMIFS(古玩城农商银行!$N:$N,古玩城农商银行!$B:$B,"="&amp;$E$2,古玩城农商银行!$D:$D,"="&amp;$C25)</f>
        <v>0</v>
      </c>
      <c r="M25" s="236">
        <f>SUMIFS(古玩城现金!$J:$J,古玩城现金!$B:$B,"="&amp;$E$2)</f>
        <v>0</v>
      </c>
      <c r="N25" s="236">
        <f>SUMIFS(艾泊烨海峡银行!$G:$G,艾泊烨海峡银行!$B:$B,"="&amp;$E$2,艾泊烨海峡银行!$D:$D,"="&amp;$C25)</f>
        <v>95000</v>
      </c>
      <c r="O25" s="236">
        <v>0</v>
      </c>
      <c r="P25" s="236">
        <f>SUMIFS(艾泊烨农商银行!$I:$I,艾泊烨农商银行!$B:$B,"="&amp;$E$2,艾泊烨农商银行!$D:$D,"="&amp;$C25)</f>
        <v>0</v>
      </c>
      <c r="Q25" s="236">
        <f>SUMIFS(艾泊烨私户银行!$G:$G,艾泊烨私户银行!$B:$B,"="&amp;$E$2,艾泊烨私户银行!$D:$D,"="&amp;$C25)</f>
        <v>0</v>
      </c>
      <c r="R25" s="236">
        <v>0</v>
      </c>
      <c r="S25" s="236">
        <v>0</v>
      </c>
      <c r="T25" s="236">
        <f>SUMIFS(易佰兴现金!$J:$J,易佰兴现金!$B:$B,"="&amp;$E$2)</f>
        <v>0</v>
      </c>
      <c r="U25" s="236">
        <v>0</v>
      </c>
    </row>
    <row r="26" ht="14.25" spans="1:21">
      <c r="A26" s="229"/>
      <c r="B26" s="233">
        <f>B25</f>
        <v>5</v>
      </c>
      <c r="C26" s="222" t="s">
        <v>87</v>
      </c>
      <c r="D26" s="234"/>
      <c r="E26" s="235">
        <f>SUMIFS(力喆实业中国银行!$G:$G,力喆实业中国银行!$B:$B,"="&amp;$E$2,力喆实业中国银行!$D:$D,"="&amp;$C26)</f>
        <v>0</v>
      </c>
      <c r="F26" s="235">
        <f>SUMIFS(力喆产业农商银行!$G:$G,力喆产业农商银行!$B:$B,"="&amp;$E$2,力喆产业农商银行!$D:$D,"="&amp;$C26)</f>
        <v>0</v>
      </c>
      <c r="G26" s="236">
        <f>SUMIFS(徐洁招商银行!$G:$G,徐洁招商银行!$B:$B,"="&amp;$E$2,徐洁招商银行!$D:$D,"="&amp;$C26)</f>
        <v>0</v>
      </c>
      <c r="H26" s="236">
        <f>SUMIFS(力喆贸易建设银行!$G:$G,力喆贸易建设银行!$B:$B,"="&amp;$E$2,力喆贸易建设银行!$D:$D,"="&amp;$C26)</f>
        <v>0</v>
      </c>
      <c r="I26" s="236"/>
      <c r="J26" s="236">
        <f>SUMIFS(言吾言中国银行!$G:$G,言吾言中国银行!$B:$B,"="&amp;$E$2,言吾言中国银行!$D:$D,"="&amp;$C26)</f>
        <v>0</v>
      </c>
      <c r="K26" s="236"/>
      <c r="L26" s="236">
        <f>SUMIFS(古玩城农商银行!$N:$N,古玩城农商银行!$B:$B,"="&amp;$E$2,古玩城农商银行!$D:$D,"="&amp;$C26)</f>
        <v>0</v>
      </c>
      <c r="M26" s="236">
        <f>SUMIFS(古玩城现金!$J:$J,古玩城现金!$B:$B,"="&amp;$E$2)</f>
        <v>0</v>
      </c>
      <c r="N26" s="236">
        <f>SUMIFS(艾泊烨海峡银行!$G:$G,艾泊烨海峡银行!$B:$B,"="&amp;$E$2,艾泊烨海峡银行!$D:$D,"="&amp;$C26)</f>
        <v>0</v>
      </c>
      <c r="O26" s="236">
        <v>0</v>
      </c>
      <c r="P26" s="236">
        <f>SUMIFS(艾泊烨农商银行!$I:$I,艾泊烨农商银行!$B:$B,"="&amp;$E$2,艾泊烨农商银行!$D:$D,"="&amp;$C26)</f>
        <v>0</v>
      </c>
      <c r="Q26" s="236">
        <f>SUMIFS(艾泊烨私户银行!$G:$G,艾泊烨私户银行!$B:$B,"="&amp;$E$2,艾泊烨私户银行!$D:$D,"="&amp;$C26)</f>
        <v>0</v>
      </c>
      <c r="R26" s="236">
        <v>0</v>
      </c>
      <c r="S26" s="236">
        <v>0</v>
      </c>
      <c r="T26" s="236">
        <f>SUMIFS(易佰兴现金!$J:$J,易佰兴现金!$B:$B,"="&amp;$E$2)</f>
        <v>0</v>
      </c>
      <c r="U26" s="236">
        <v>0</v>
      </c>
    </row>
    <row r="27" ht="14.25" spans="1:21">
      <c r="A27" s="229"/>
      <c r="B27" s="233">
        <f>B26</f>
        <v>5</v>
      </c>
      <c r="C27" s="222" t="s">
        <v>88</v>
      </c>
      <c r="D27" s="234"/>
      <c r="E27" s="235">
        <f>SUMIFS(力喆实业中国银行!$G:$G,力喆实业中国银行!$B:$B,"="&amp;$E$2,力喆实业中国银行!$D:$D,"="&amp;$C27)</f>
        <v>0</v>
      </c>
      <c r="F27" s="235">
        <f>SUMIFS(力喆产业农商银行!$G:$G,力喆产业农商银行!$B:$B,"="&amp;$E$2,力喆产业农商银行!$D:$D,"="&amp;$C27)</f>
        <v>0</v>
      </c>
      <c r="G27" s="236">
        <f>SUMIFS(徐洁招商银行!$G:$G,徐洁招商银行!$B:$B,"="&amp;$E$2,徐洁招商银行!$D:$D,"="&amp;$C27)</f>
        <v>0</v>
      </c>
      <c r="H27" s="236">
        <f>SUMIFS(力喆贸易建设银行!$G:$G,力喆贸易建设银行!$B:$B,"="&amp;$E$2,力喆贸易建设银行!$D:$D,"="&amp;$C27)</f>
        <v>0</v>
      </c>
      <c r="I27" s="236"/>
      <c r="J27" s="236">
        <f>SUMIFS(言吾言中国银行!$G:$G,言吾言中国银行!$B:$B,"="&amp;$E$2,言吾言中国银行!$D:$D,"="&amp;$C27)</f>
        <v>0</v>
      </c>
      <c r="K27" s="236"/>
      <c r="L27" s="236">
        <v>0</v>
      </c>
      <c r="M27" s="236">
        <f>SUMIFS(古玩城现金!$J:$J,古玩城现金!$B:$B,"="&amp;$E$2)</f>
        <v>0</v>
      </c>
      <c r="N27" s="236">
        <f>SUMIFS(艾泊烨海峡银行!$G:$G,艾泊烨海峡银行!$B:$B,"="&amp;$E$2,艾泊烨海峡银行!$D:$D,"="&amp;$C27)</f>
        <v>19844.24</v>
      </c>
      <c r="O27" s="236">
        <v>0</v>
      </c>
      <c r="P27" s="236">
        <f>SUMIFS(艾泊烨农商银行!$I:$I,艾泊烨农商银行!$B:$B,"="&amp;$E$2,艾泊烨农商银行!$D:$D,"="&amp;$C27)</f>
        <v>0</v>
      </c>
      <c r="Q27" s="236">
        <f>SUMIFS(艾泊烨私户银行!$G:$G,艾泊烨私户银行!$B:$B,"="&amp;$E$2,艾泊烨私户银行!$D:$D,"="&amp;$C27)</f>
        <v>19745.39</v>
      </c>
      <c r="R27" s="236">
        <v>0</v>
      </c>
      <c r="S27" s="236">
        <v>0</v>
      </c>
      <c r="T27" s="236">
        <f>SUMIFS(易佰兴现金!$J:$J,易佰兴现金!$B:$B,"="&amp;$E$2)</f>
        <v>0</v>
      </c>
      <c r="U27" s="236">
        <v>0</v>
      </c>
    </row>
    <row r="28" ht="14.25" spans="1:21">
      <c r="A28" s="229"/>
      <c r="B28" s="238" t="s">
        <v>89</v>
      </c>
      <c r="C28" s="239"/>
      <c r="D28" s="235" t="e">
        <f t="shared" ref="D28:U28" si="0">SUBTOTAL(109,D6:D27)</f>
        <v>#REF!</v>
      </c>
      <c r="E28" s="235">
        <f t="shared" si="0"/>
        <v>0</v>
      </c>
      <c r="F28" s="235">
        <f t="shared" si="0"/>
        <v>47832.11</v>
      </c>
      <c r="G28" s="235">
        <f t="shared" si="0"/>
        <v>156656.91</v>
      </c>
      <c r="H28" s="235">
        <f t="shared" si="0"/>
        <v>73229.1</v>
      </c>
      <c r="I28" s="235">
        <f t="shared" si="0"/>
        <v>30098.25</v>
      </c>
      <c r="J28" s="235">
        <f t="shared" si="0"/>
        <v>0</v>
      </c>
      <c r="K28" s="235">
        <f t="shared" si="0"/>
        <v>0</v>
      </c>
      <c r="L28" s="235">
        <f t="shared" si="0"/>
        <v>371181.2</v>
      </c>
      <c r="M28" s="235">
        <f t="shared" si="0"/>
        <v>16200</v>
      </c>
      <c r="N28" s="235">
        <f t="shared" si="0"/>
        <v>919199.56</v>
      </c>
      <c r="O28" s="235">
        <f t="shared" si="0"/>
        <v>0</v>
      </c>
      <c r="P28" s="235">
        <f t="shared" si="0"/>
        <v>16000</v>
      </c>
      <c r="Q28" s="235">
        <f t="shared" si="0"/>
        <v>88198.21</v>
      </c>
      <c r="R28" s="235">
        <f t="shared" si="0"/>
        <v>345855.53</v>
      </c>
      <c r="S28" s="235">
        <f t="shared" si="0"/>
        <v>118943.23</v>
      </c>
      <c r="T28" s="235">
        <f t="shared" si="0"/>
        <v>240</v>
      </c>
      <c r="U28" s="235">
        <f t="shared" si="0"/>
        <v>24300</v>
      </c>
    </row>
    <row r="29" hidden="1" spans="1:21">
      <c r="A29" s="240"/>
      <c r="B29" s="241"/>
      <c r="C29" s="242"/>
      <c r="D29" s="243" t="e">
        <f>D28-SUMIFS(#REF!,#REF!,汇总!$B$17)</f>
        <v>#REF!</v>
      </c>
      <c r="E29" s="243">
        <f>E28-SUMIFS(力喆实业中国银行!$G:$G,力喆实业中国银行!$B:$B,"="&amp;$E$2)-SUMIFS(力喆产业农商银行!$G:$G,力喆产业农商银行!$B:$B,"="&amp;$E$2)</f>
        <v>-47832.11</v>
      </c>
      <c r="F29" s="243">
        <f>F28-SUMIFS(力喆实业中国银行!$G:$G,力喆实业中国银行!$B:$B,"="&amp;$E$2)-SUMIFS(力喆产业农商银行!$G:$G,力喆产业农商银行!$B:$B,"="&amp;$E$2)</f>
        <v>0</v>
      </c>
      <c r="G29" s="244">
        <f>G28-SUMIFS(徐洁招商银行!$G:$G,徐洁招商银行!$B:$B,"="&amp;$E$2)</f>
        <v>0</v>
      </c>
      <c r="H29" s="244">
        <f>H28-SUMIFS(力喆贸易建设银行!$G:$G,力喆贸易建设银行!$B:$B,"="&amp;$E$2)</f>
        <v>0</v>
      </c>
      <c r="I29" s="244">
        <f>I28-SUMIFS(元生万物建设银行!$G:$G,元生万物建设银行!$B:$B,"="&amp;$E$2)</f>
        <v>0</v>
      </c>
      <c r="J29" s="244">
        <f>J28-SUMIFS(言吾言中国银行!$G:$G,言吾言中国银行!$B:$B,"="&amp;$E$2)</f>
        <v>0</v>
      </c>
      <c r="K29" s="244">
        <f>K28-SUMIFS(力喆传媒海峡银行!$G:$G,力喆传媒海峡银行!$B:$B,"="&amp;$E$2)</f>
        <v>0</v>
      </c>
      <c r="L29" s="245">
        <f>L28-SUMIFS(古玩城农商银行!$N:$N,古玩城农商银行!$B:$B,"="&amp;$E$2)</f>
        <v>-24819.23</v>
      </c>
      <c r="M29" s="245">
        <f>M28-SUMIFS(古玩城农商银行!$N:$N,古玩城农商银行!$B:$B,"="&amp;$E$2)</f>
        <v>-379800.43</v>
      </c>
      <c r="N29" s="245">
        <f>N28-SUMIFS(古玩城农商银行!$N:$N,古玩城农商银行!$B:$B,"="&amp;$E$2)</f>
        <v>523199.13</v>
      </c>
      <c r="O29" s="245">
        <f>O28-SUMIFS(古玩城农商银行!$N:$N,古玩城农商银行!$B:$B,"="&amp;$E$2)</f>
        <v>-396000.43</v>
      </c>
      <c r="P29" s="245">
        <f>P28-SUMIFS(古玩城农商银行!$N:$N,古玩城农商银行!$B:$B,"="&amp;$E$2)</f>
        <v>-380000.43</v>
      </c>
      <c r="Q29" s="245">
        <f>Q28-SUMIFS(古玩城农商银行!$N:$N,古玩城农商银行!$B:$B,"="&amp;$E$2)</f>
        <v>-307802.22</v>
      </c>
      <c r="R29" s="245">
        <f>R28-SUMIFS(古玩城农商银行!$N:$N,古玩城农商银行!$B:$B,"="&amp;$E$2)</f>
        <v>-50144.9</v>
      </c>
      <c r="S29" s="245">
        <f>S28-SUMIFS(古玩城农商银行!$N:$N,古玩城农商银行!$B:$B,"="&amp;$E$2)</f>
        <v>-277057.2</v>
      </c>
      <c r="T29" s="245">
        <f>T28-SUMIFS(古玩城农商银行!$N:$N,古玩城农商银行!$B:$B,"="&amp;$E$2)</f>
        <v>-395760.43</v>
      </c>
      <c r="U29" s="245">
        <f>U28-SUMIFS(古玩城农商银行!$N:$N,古玩城农商银行!$B:$B,"="&amp;$E$2)</f>
        <v>-371700.43</v>
      </c>
    </row>
    <row r="30" ht="14.25" spans="1:21">
      <c r="D30" s="244"/>
      <c r="E30" s="244"/>
      <c r="F30" s="244"/>
      <c r="G30" s="244"/>
      <c r="H30" s="244"/>
      <c r="I30" s="244"/>
      <c r="J30" s="244"/>
      <c r="K30" s="244"/>
    </row>
    <row r="31" ht="15" spans="1:21">
      <c r="A31" s="229" t="s">
        <v>90</v>
      </c>
      <c r="B31" s="246" t="s">
        <v>38</v>
      </c>
      <c r="C31" s="247" t="s">
        <v>91</v>
      </c>
      <c r="D31" s="248" t="str">
        <f t="shared" ref="D31:K31" si="1">D4</f>
        <v>青翼创</v>
      </c>
      <c r="E31" s="248" t="str">
        <f t="shared" si="1"/>
        <v>力喆实业</v>
      </c>
      <c r="F31" s="248" t="str">
        <f t="shared" si="1"/>
        <v>力喆实业</v>
      </c>
      <c r="G31" s="248" t="str">
        <f t="shared" si="1"/>
        <v>力喆实业</v>
      </c>
      <c r="H31" s="248" t="str">
        <f t="shared" si="1"/>
        <v>力喆贸易</v>
      </c>
      <c r="I31" s="248" t="str">
        <f t="shared" si="1"/>
        <v>元生万物</v>
      </c>
      <c r="J31" s="248" t="str">
        <f t="shared" si="1"/>
        <v>言吾言</v>
      </c>
      <c r="K31" s="248" t="str">
        <f t="shared" si="1"/>
        <v>力喆传媒</v>
      </c>
      <c r="L31" s="249" t="s">
        <v>64</v>
      </c>
      <c r="M31" s="249" t="s">
        <v>64</v>
      </c>
      <c r="N31" s="249" t="s">
        <v>65</v>
      </c>
      <c r="O31" s="249" t="s">
        <v>65</v>
      </c>
      <c r="P31" s="249" t="s">
        <v>65</v>
      </c>
      <c r="Q31" s="249" t="s">
        <v>65</v>
      </c>
      <c r="R31" s="249" t="s">
        <v>66</v>
      </c>
      <c r="S31" s="249" t="s">
        <v>66</v>
      </c>
      <c r="T31" s="249" t="s">
        <v>66</v>
      </c>
      <c r="U31" s="249" t="s">
        <v>66</v>
      </c>
    </row>
    <row r="32" ht="14.25" outlineLevel="1" spans="1:21">
      <c r="A32" s="229"/>
      <c r="B32" s="250">
        <f>B21</f>
        <v>5</v>
      </c>
      <c r="C32" s="222" t="s">
        <v>92</v>
      </c>
      <c r="D32" s="234" t="e">
        <f>SUMIFS(#REF!,#REF!,"="&amp;$E$2,#REF!,"="&amp;$C32)</f>
        <v>#REF!</v>
      </c>
      <c r="E32" s="235">
        <f>SUMIFS(力喆实业中国银行!$H:$H,力喆实业中国银行!$B:$B,"="&amp;$E$2,力喆实业中国银行!$D:$D,"="&amp;$C32)</f>
        <v>0</v>
      </c>
      <c r="F32" s="235">
        <f>SUMIFS(力喆产业农商银行!$H:$H,力喆产业农商银行!$B:$B,"="&amp;$E$2,力喆产业农商银行!$D:$D,"="&amp;$C32)</f>
        <v>0</v>
      </c>
      <c r="G32" s="236">
        <f>SUMIFS(徐洁招商银行!$H:$H,徐洁招商银行!$B:$B,"="&amp;$E$2,徐洁招商银行!$D:$D,"="&amp;$C32)</f>
        <v>26000</v>
      </c>
      <c r="H32" s="236">
        <f>SUMIFS(力喆贸易建设银行!$H:$H,力喆贸易建设银行!$B:$B,"="&amp;$E$2,力喆贸易建设银行!$D:$D,"="&amp;$C32)</f>
        <v>25121.34</v>
      </c>
      <c r="I32" s="236">
        <f>SUMIFS(元生万物建设银行!$H:$H,元生万物建设银行!$B:$B,"="&amp;$E$2,元生万物建设银行!$D:$D,"="&amp;$C32)</f>
        <v>0</v>
      </c>
      <c r="J32" s="236">
        <f>SUMIFS(言吾言中国银行!$H:$H,言吾言中国银行!$B:$B,"="&amp;$E$2,言吾言中国银行!$D:$D,"="&amp;$C32)</f>
        <v>0</v>
      </c>
      <c r="K32" s="236">
        <f>SUMIFS(力喆传媒海峡银行!$H:$H,力喆传媒海峡银行!$B:$B,"="&amp;$E$2,力喆传媒海峡银行!$D:$D,"="&amp;$C32)</f>
        <v>0</v>
      </c>
      <c r="L32" s="236">
        <f>SUMIFS(古玩城农商银行!$O:$O,古玩城农商银行!$B:$B,"="&amp;$E$2,古玩城农商银行!$D:$D,"="&amp;$C32)</f>
        <v>34100</v>
      </c>
      <c r="M32" s="236">
        <v>0</v>
      </c>
      <c r="N32" s="236">
        <f>SUMIFS(艾泊烨海峡银行!$H:$H,艾泊烨海峡银行!$B:$B,"="&amp;$E$2,艾泊烨海峡银行!$D:$D,"="&amp;$C32)</f>
        <v>59293.95</v>
      </c>
      <c r="O32" s="236">
        <v>0</v>
      </c>
      <c r="P32" s="236">
        <f>SUMIFS(艾泊烨农商银行!$J:$J,艾泊烨农商银行!$B:$B,"="&amp;$E$2,艾泊烨农商银行!D:D,"="&amp;$C32)</f>
        <v>0</v>
      </c>
      <c r="Q32" s="236">
        <f>SUMIFS(艾泊烨私户银行!$H:$H,艾泊烨私户银行!$B:$B,"="&amp;$E$2,艾泊烨私户银行!$D:$D,"="&amp;$C32)</f>
        <v>0</v>
      </c>
      <c r="R32" s="236">
        <f>SUMIFS(易佰兴建行!$P:$P,易佰兴建行!$B:$B,"="&amp;$E$2,易佰兴建行!$D:$D,"="&amp;$C32)</f>
        <v>0</v>
      </c>
      <c r="S32" s="251">
        <f>SUMIFS(易佰兴私户!$P:$P,易佰兴私户!$B:$B,"="&amp;$E$2,易佰兴私户!$D:$D,"="&amp;$C32)+SUMIFS(易佰兴趋势民生银行!$H:$H,易佰兴趋势民生银行!$B:$B,"="&amp;$E$2,易佰兴趋势民生银行!D:D,"="&amp;$C32)</f>
        <v>19001.01</v>
      </c>
      <c r="T32" s="251">
        <f>SUMIFS(易佰兴现金!$O:$O,易佰兴现金!$B:$B,"="&amp;$E$2,易佰兴现金!D:D,"="&amp;$C32)</f>
        <v>0</v>
      </c>
      <c r="U32" s="251">
        <f>SUMIFS(易佰兴基本户!$P:$P,易佰兴基本户!$B:$B,"="&amp;$E$2,易佰兴基本户!D:D,"="&amp;$C32)</f>
        <v>26370.73</v>
      </c>
    </row>
    <row r="33" ht="14.25" outlineLevel="1" spans="1:21">
      <c r="A33" s="229"/>
      <c r="B33" s="250">
        <f>B32</f>
        <v>5</v>
      </c>
      <c r="C33" s="252" t="s">
        <v>93</v>
      </c>
      <c r="D33" s="234" t="e">
        <f>SUMIFS(#REF!,#REF!,"="&amp;$E$2,#REF!,"="&amp;$C33)</f>
        <v>#REF!</v>
      </c>
      <c r="E33" s="235">
        <f>SUMIFS(力喆实业中国银行!$H:$H,力喆实业中国银行!$B:$B,"="&amp;$E$2,力喆实业中国银行!$D:$D,"="&amp;$C33)</f>
        <v>0</v>
      </c>
      <c r="F33" s="235">
        <f>SUMIFS(力喆产业农商银行!$H:$H,力喆产业农商银行!$B:$B,"="&amp;$E$2,力喆产业农商银行!$D:$D,"="&amp;$C33)</f>
        <v>2987.84</v>
      </c>
      <c r="G33" s="236">
        <f>SUMIFS(徐洁招商银行!$H:$H,徐洁招商银行!$B:$B,"="&amp;$E$2,徐洁招商银行!$D:$D,"="&amp;$C33)</f>
        <v>0</v>
      </c>
      <c r="H33" s="236">
        <f>SUMIFS(力喆贸易建设银行!$H:$H,力喆贸易建设银行!$B:$B,"="&amp;$E$2,力喆贸易建设银行!$D:$D,"="&amp;$C33)</f>
        <v>6853.33</v>
      </c>
      <c r="I33" s="236">
        <f>SUMIFS(元生万物建设银行!$H:$H,元生万物建设银行!$B:$B,"="&amp;$E$2,元生万物建设银行!$D:$D,"="&amp;$C33)</f>
        <v>0</v>
      </c>
      <c r="J33" s="236">
        <f>SUMIFS(言吾言中国银行!$H:$H,言吾言中国银行!$B:$B,"="&amp;$E$2,言吾言中国银行!$D:$D,"="&amp;$C33)</f>
        <v>0</v>
      </c>
      <c r="K33" s="236">
        <f>SUMIFS(力喆传媒海峡银行!$H:$H,力喆传媒海峡银行!$B:$B,"="&amp;$E$2,力喆传媒海峡银行!$D:$D,"="&amp;$C33)</f>
        <v>0</v>
      </c>
      <c r="L33" s="236">
        <f>SUMIFS(古玩城农商银行!$O:$O,古玩城农商银行!$B:$B,"="&amp;$E$2,古玩城农商银行!$D:$D,"="&amp;$C33)</f>
        <v>0</v>
      </c>
      <c r="M33" s="236">
        <v>0</v>
      </c>
      <c r="N33" s="236">
        <f>SUMIFS(艾泊烨海峡银行!$H:$H,艾泊烨海峡银行!$B:$B,"="&amp;$E$2,艾泊烨海峡银行!$D:$D,"="&amp;$C33)</f>
        <v>20682.24</v>
      </c>
      <c r="O33" s="236">
        <v>0</v>
      </c>
      <c r="P33" s="236">
        <f>SUMIFS(艾泊烨农商银行!$J:$J,艾泊烨农商银行!$B:$B,"="&amp;$E$2,艾泊烨农商银行!D:D,"="&amp;$C33)</f>
        <v>0</v>
      </c>
      <c r="Q33" s="236">
        <f>SUMIFS(艾泊烨私户银行!$H:$H,艾泊烨私户银行!$B:$B,"="&amp;$E$2,艾泊烨私户银行!$D:$D,"="&amp;$C33)</f>
        <v>0</v>
      </c>
      <c r="R33" s="236">
        <f>SUMIFS(易佰兴建行!$P:$P,易佰兴建行!$B:$B,"="&amp;$E$2,易佰兴建行!$D:$D,"="&amp;$C33)</f>
        <v>0</v>
      </c>
      <c r="S33" s="251">
        <f>SUMIFS(易佰兴私户!$P:$P,易佰兴私户!$B:$B,"="&amp;$E$2,易佰兴私户!$D:$D,"="&amp;$C33)</f>
        <v>3244.38</v>
      </c>
      <c r="T33" s="251">
        <f>SUMIFS(易佰兴现金!$O:$O,易佰兴现金!$B:$B,"="&amp;$E$2,易佰兴现金!D:D,"="&amp;$C33)</f>
        <v>0</v>
      </c>
      <c r="U33" s="236">
        <f>SUMIFS(易佰兴基本户!$P:$P,易佰兴基本户!$B:$B,"="&amp;$E$2,易佰兴基本户!D:D,"="&amp;$C33)</f>
        <v>0</v>
      </c>
    </row>
    <row r="34" ht="14.25" outlineLevel="1" spans="1:21">
      <c r="A34" s="229"/>
      <c r="B34" s="250">
        <f>B33</f>
        <v>5</v>
      </c>
      <c r="C34" s="252" t="s">
        <v>94</v>
      </c>
      <c r="D34" s="234"/>
      <c r="E34" s="235">
        <f>SUMIFS(力喆实业中国银行!$H:$H,力喆实业中国银行!$B:$B,"="&amp;$E$2,力喆实业中国银行!$D:$D,"="&amp;$C34)</f>
        <v>0</v>
      </c>
      <c r="F34" s="235">
        <f>SUMIFS(力喆产业农商银行!$H:$H,力喆产业农商银行!$B:$B,"="&amp;$E$2,力喆产业农商银行!$D:$D,"="&amp;$C34)</f>
        <v>0</v>
      </c>
      <c r="G34" s="236">
        <f>SUMIFS(徐洁招商银行!$H:$H,徐洁招商银行!$B:$B,"="&amp;$E$2,徐洁招商银行!$D:$D,"="&amp;$C34)</f>
        <v>0</v>
      </c>
      <c r="H34" s="236">
        <f>SUMIFS(力喆贸易建设银行!$H:$H,力喆贸易建设银行!$B:$B,"="&amp;$E$2,力喆贸易建设银行!$D:$D,"="&amp;$C34)</f>
        <v>0</v>
      </c>
      <c r="I34" s="236"/>
      <c r="J34" s="236"/>
      <c r="K34" s="236"/>
      <c r="L34" s="236"/>
      <c r="M34" s="236"/>
      <c r="N34" s="236"/>
      <c r="O34" s="236"/>
      <c r="P34" s="236"/>
      <c r="Q34" s="236"/>
      <c r="R34" s="236"/>
      <c r="S34" s="251"/>
      <c r="T34" s="251">
        <f>SUMIFS(易佰兴现金!$O:$O,易佰兴现金!$B:$B,"="&amp;$E$2,易佰兴现金!D:D,"="&amp;$C34)</f>
        <v>0</v>
      </c>
      <c r="U34" s="236"/>
    </row>
    <row r="35" ht="14.25" outlineLevel="1" spans="1:21">
      <c r="A35" s="229"/>
      <c r="B35" s="250">
        <f>B33</f>
        <v>5</v>
      </c>
      <c r="C35" s="222" t="s">
        <v>95</v>
      </c>
      <c r="D35" s="234" t="e">
        <f>SUMIFS(#REF!,#REF!,"="&amp;$E$2,#REF!,"="&amp;$C35)</f>
        <v>#REF!</v>
      </c>
      <c r="E35" s="235">
        <f>SUMIFS(力喆实业中国银行!$H:$H,力喆实业中国银行!$B:$B,"="&amp;$E$2,力喆实业中国银行!$D:$D,"="&amp;$C35)</f>
        <v>0</v>
      </c>
      <c r="F35" s="235">
        <f>SUMIFS(力喆产业农商银行!$H:$H,力喆产业农商银行!$B:$B,"="&amp;$E$2,力喆产业农商银行!$D:$D,"="&amp;$C35)</f>
        <v>0</v>
      </c>
      <c r="G35" s="236">
        <f>SUMIFS(徐洁招商银行!$H:$H,徐洁招商银行!$B:$B,"="&amp;$E$2,徐洁招商银行!$D:$D,"="&amp;$C35)</f>
        <v>0</v>
      </c>
      <c r="H35" s="236">
        <f>SUMIFS(力喆贸易建设银行!$H:$H,力喆贸易建设银行!$B:$B,"="&amp;$E$2,力喆贸易建设银行!$D:$D,"="&amp;$C35)</f>
        <v>0</v>
      </c>
      <c r="I35" s="236">
        <f>SUMIFS(元生万物建设银行!$H:$H,元生万物建设银行!$B:$B,"="&amp;$E$2,元生万物建设银行!$D:$D,"="&amp;$C35)</f>
        <v>0</v>
      </c>
      <c r="J35" s="236">
        <f>SUMIFS(言吾言中国银行!$H:$H,言吾言中国银行!$B:$B,"="&amp;$E$2,言吾言中国银行!$D:$D,"="&amp;$C35)</f>
        <v>0</v>
      </c>
      <c r="K35" s="236">
        <f>SUMIFS(力喆传媒海峡银行!$H:$H,力喆传媒海峡银行!$B:$B,"="&amp;$E$2,力喆传媒海峡银行!$D:$D,"="&amp;$C35)</f>
        <v>0</v>
      </c>
      <c r="L35" s="236">
        <f>SUMIFS(古玩城农商银行!$O:$O,古玩城农商银行!$B:$B,"="&amp;$E$2,古玩城农商银行!$D:$D,"="&amp;$C35)</f>
        <v>0</v>
      </c>
      <c r="M35" s="236">
        <v>0</v>
      </c>
      <c r="N35" s="236">
        <f>SUMIFS(艾泊烨海峡银行!$H:$H,艾泊烨海峡银行!$B:$B,"="&amp;$E$2,艾泊烨海峡银行!$D:$D,"="&amp;$C35)</f>
        <v>0</v>
      </c>
      <c r="O35" s="236">
        <v>0</v>
      </c>
      <c r="P35" s="236">
        <f>SUMIFS(艾泊烨农商银行!$J:$J,艾泊烨农商银行!$B:$B,"="&amp;$E$2,艾泊烨农商银行!D:D,"="&amp;$C35)</f>
        <v>0</v>
      </c>
      <c r="Q35" s="236">
        <f>SUMIFS(艾泊烨私户银行!$H:$H,艾泊烨私户银行!$B:$B,"="&amp;$E$2,艾泊烨私户银行!$D:$D,"="&amp;$C35)</f>
        <v>0</v>
      </c>
      <c r="R35" s="236">
        <f>SUMIFS(易佰兴建行!$P:$P,易佰兴建行!$B:$B,"="&amp;$E$2,易佰兴建行!$D:$D,"="&amp;$C35)</f>
        <v>0</v>
      </c>
      <c r="S35" s="236">
        <f>SUMIFS(易佰兴私户!$P:$P,易佰兴私户!$B:$B,"="&amp;$E$2,易佰兴私户!$D:$D,"="&amp;$C35)</f>
        <v>0</v>
      </c>
      <c r="T35" s="251">
        <f>SUMIFS(易佰兴现金!$O:$O,易佰兴现金!$B:$B,"="&amp;$E$2,易佰兴现金!D:D,"="&amp;$C35)</f>
        <v>0</v>
      </c>
      <c r="U35" s="236">
        <f>SUMIFS(易佰兴基本户!$P:$P,易佰兴基本户!$B:$B,"="&amp;$E$2,易佰兴基本户!D:D,"="&amp;$C35)</f>
        <v>0</v>
      </c>
    </row>
    <row r="36" ht="14.25" outlineLevel="1" spans="1:21">
      <c r="A36" s="229"/>
      <c r="B36" s="250">
        <f t="shared" ref="B36:B44" si="2">B35</f>
        <v>5</v>
      </c>
      <c r="C36" s="222" t="s">
        <v>96</v>
      </c>
      <c r="D36" s="234" t="e">
        <f>SUMIFS(#REF!,#REF!,"="&amp;$E$2,#REF!,"="&amp;$C36)</f>
        <v>#REF!</v>
      </c>
      <c r="E36" s="235">
        <f>SUMIFS(力喆实业中国银行!$H:$H,力喆实业中国银行!$B:$B,"="&amp;$E$2,力喆实业中国银行!$D:$D,"="&amp;$C36)</f>
        <v>0</v>
      </c>
      <c r="F36" s="235">
        <f>SUMIFS(力喆产业农商银行!$H:$H,力喆产业农商银行!$B:$B,"="&amp;$E$2,力喆产业农商银行!$D:$D,"="&amp;$C36)</f>
        <v>0</v>
      </c>
      <c r="G36" s="236">
        <f>SUMIFS(徐洁招商银行!$H:$H,徐洁招商银行!$B:$B,"="&amp;$E$2,徐洁招商银行!$D:$D,"="&amp;$C36)</f>
        <v>0</v>
      </c>
      <c r="H36" s="236">
        <f>SUMIFS(力喆贸易建设银行!$H:$H,力喆贸易建设银行!$B:$B,"="&amp;$E$2,力喆贸易建设银行!$D:$D,"="&amp;$C36)</f>
        <v>0</v>
      </c>
      <c r="I36" s="236">
        <f>SUMIFS(元生万物建设银行!$H:$H,元生万物建设银行!$B:$B,"="&amp;$E$2,元生万物建设银行!$D:$D,"="&amp;$C36)</f>
        <v>0</v>
      </c>
      <c r="J36" s="236">
        <f>SUMIFS(言吾言中国银行!$H:$H,言吾言中国银行!$B:$B,"="&amp;$E$2,言吾言中国银行!$D:$D,"="&amp;$C36)</f>
        <v>0</v>
      </c>
      <c r="K36" s="236">
        <f>SUMIFS(力喆传媒海峡银行!$H:$H,力喆传媒海峡银行!$B:$B,"="&amp;$E$2,力喆传媒海峡银行!$D:$D,"="&amp;$C36)</f>
        <v>0</v>
      </c>
      <c r="L36" s="236">
        <f>SUMIFS(古玩城农商银行!$O:$O,古玩城农商银行!$B:$B,"="&amp;$E$2,古玩城农商银行!$D:$D,"="&amp;$C36)</f>
        <v>0</v>
      </c>
      <c r="M36" s="236">
        <v>0</v>
      </c>
      <c r="N36" s="236">
        <f>SUMIFS(艾泊烨海峡银行!$H:$H,艾泊烨海峡银行!$B:$B,"="&amp;$E$2,艾泊烨海峡银行!$D:$D,"="&amp;$C36)</f>
        <v>0</v>
      </c>
      <c r="O36" s="236">
        <v>0</v>
      </c>
      <c r="P36" s="236">
        <f>SUMIFS(艾泊烨农商银行!$J:$J,艾泊烨农商银行!$B:$B,"="&amp;$E$2,艾泊烨农商银行!D:D,"="&amp;$C36)</f>
        <v>0</v>
      </c>
      <c r="Q36" s="236">
        <f>SUMIFS(艾泊烨私户银行!$H:$H,艾泊烨私户银行!$B:$B,"="&amp;$E$2,艾泊烨私户银行!$D:$D,"="&amp;$C36)</f>
        <v>0</v>
      </c>
      <c r="R36" s="236">
        <f>SUMIFS(易佰兴建行!$P:$P,易佰兴建行!$B:$B,"="&amp;$E$2,易佰兴建行!$D:$D,"="&amp;$C36)</f>
        <v>0</v>
      </c>
      <c r="S36" s="236">
        <f>SUMIFS(易佰兴私户!$P:$P,易佰兴私户!$B:$B,"="&amp;$E$2,易佰兴私户!$D:$D,"="&amp;$C36)</f>
        <v>0</v>
      </c>
      <c r="T36" s="251">
        <f>SUMIFS(易佰兴现金!$O:$O,易佰兴现金!$B:$B,"="&amp;$E$2,易佰兴现金!D:D,"="&amp;$C36)</f>
        <v>0</v>
      </c>
      <c r="U36" s="236">
        <f>SUMIFS(易佰兴基本户!$P:$P,易佰兴基本户!$B:$B,"="&amp;$E$2,易佰兴基本户!D:D,"="&amp;$C36)</f>
        <v>0</v>
      </c>
    </row>
    <row r="37" ht="14.25" outlineLevel="1" spans="1:21">
      <c r="A37" s="229"/>
      <c r="B37" s="250">
        <f t="shared" si="2"/>
        <v>5</v>
      </c>
      <c r="C37" s="253" t="s">
        <v>97</v>
      </c>
      <c r="D37" s="234" t="e">
        <f>SUMIFS(#REF!,#REF!,"="&amp;$E$2,#REF!,"="&amp;$C37)</f>
        <v>#REF!</v>
      </c>
      <c r="E37" s="235">
        <f>SUMIFS(力喆实业中国银行!$H:$H,力喆实业中国银行!$B:$B,"="&amp;$E$2,力喆实业中国银行!$D:$D,"="&amp;$C37)</f>
        <v>0</v>
      </c>
      <c r="F37" s="235">
        <f>SUMIFS(力喆产业农商银行!$H:$H,力喆产业农商银行!$B:$B,"="&amp;$E$2,力喆产业农商银行!$D:$D,"="&amp;$C37)</f>
        <v>0</v>
      </c>
      <c r="G37" s="236">
        <f>SUMIFS(徐洁招商银行!$H:$H,徐洁招商银行!$B:$B,"="&amp;$E$2,徐洁招商银行!$D:$D,"="&amp;$C37)</f>
        <v>0</v>
      </c>
      <c r="H37" s="236">
        <f>SUMIFS(力喆贸易建设银行!$H:$H,力喆贸易建设银行!$B:$B,"="&amp;$E$2,力喆贸易建设银行!$D:$D,"="&amp;$C37)</f>
        <v>0</v>
      </c>
      <c r="I37" s="236">
        <f>SUMIFS(元生万物建设银行!$H:$H,元生万物建设银行!$B:$B,"="&amp;$E$2,元生万物建设银行!$D:$D,"="&amp;$C37)</f>
        <v>0</v>
      </c>
      <c r="J37" s="236">
        <f>SUMIFS(言吾言中国银行!$H:$H,言吾言中国银行!$B:$B,"="&amp;$E$2,言吾言中国银行!$D:$D,"="&amp;$C37)</f>
        <v>0</v>
      </c>
      <c r="K37" s="236">
        <f>SUMIFS(力喆传媒海峡银行!$H:$H,力喆传媒海峡银行!$B:$B,"="&amp;$E$2,力喆传媒海峡银行!$D:$D,"="&amp;$C37)</f>
        <v>0</v>
      </c>
      <c r="L37" s="236">
        <f>SUMIFS(古玩城农商银行!$O:$O,古玩城农商银行!$B:$B,"="&amp;$E$2,古玩城农商银行!$D:$D,"="&amp;$C37)</f>
        <v>0</v>
      </c>
      <c r="M37" s="236">
        <v>0</v>
      </c>
      <c r="N37" s="236">
        <f>SUMIFS(艾泊烨海峡银行!$H:$H,艾泊烨海峡银行!$B:$B,"="&amp;$E$2,艾泊烨海峡银行!$D:$D,"="&amp;$C37)</f>
        <v>0</v>
      </c>
      <c r="O37" s="236">
        <v>0</v>
      </c>
      <c r="P37" s="236">
        <f>SUMIFS(艾泊烨农商银行!$J:$J,艾泊烨农商银行!$B:$B,"="&amp;$E$2,艾泊烨农商银行!D:D,"="&amp;$C37)</f>
        <v>0</v>
      </c>
      <c r="Q37" s="236">
        <f>SUMIFS(艾泊烨私户银行!$H:$H,艾泊烨私户银行!$B:$B,"="&amp;$E$2,艾泊烨私户银行!$D:$D,"="&amp;$C37)</f>
        <v>0</v>
      </c>
      <c r="R37" s="236">
        <f>SUMIFS(易佰兴建行!$P:$P,易佰兴建行!$B:$B,"="&amp;$E$2,易佰兴建行!$D:$D,"="&amp;$C37)</f>
        <v>0</v>
      </c>
      <c r="S37" s="236">
        <f>SUMIFS(易佰兴私户!$P:$P,易佰兴私户!$B:$B,"="&amp;$E$2,易佰兴私户!$D:$D,"="&amp;$C37)</f>
        <v>0</v>
      </c>
      <c r="T37" s="251">
        <f>SUMIFS(易佰兴现金!$O:$O,易佰兴现金!$B:$B,"="&amp;$E$2,易佰兴现金!D:D,"="&amp;$C37)</f>
        <v>0</v>
      </c>
      <c r="U37" s="236">
        <f>SUMIFS(易佰兴基本户!$P:$P,易佰兴基本户!$B:$B,"="&amp;$E$2,易佰兴基本户!D:D,"="&amp;$C37)</f>
        <v>0</v>
      </c>
    </row>
    <row r="38" ht="14.25" outlineLevel="1" spans="1:21">
      <c r="A38" s="229"/>
      <c r="B38" s="250">
        <f t="shared" si="2"/>
        <v>5</v>
      </c>
      <c r="C38" s="253" t="s">
        <v>98</v>
      </c>
      <c r="D38" s="234" t="e">
        <f>SUMIFS(#REF!,#REF!,"="&amp;$E$2,#REF!,"="&amp;$C38)</f>
        <v>#REF!</v>
      </c>
      <c r="E38" s="235">
        <f>SUMIFS(力喆实业中国银行!$H:$H,力喆实业中国银行!$B:$B,"="&amp;$E$2,力喆实业中国银行!$D:$D,"="&amp;$C38)</f>
        <v>0</v>
      </c>
      <c r="F38" s="235">
        <f>SUMIFS(力喆产业农商银行!$H:$H,力喆产业农商银行!$B:$B,"="&amp;$E$2,力喆产业农商银行!$D:$D,"="&amp;$C38)</f>
        <v>0</v>
      </c>
      <c r="G38" s="236">
        <f>SUMIFS(徐洁招商银行!$H:$H,徐洁招商银行!$B:$B,"="&amp;$E$2,徐洁招商银行!$D:$D,"="&amp;$C38)</f>
        <v>0</v>
      </c>
      <c r="H38" s="236">
        <f>SUMIFS(力喆贸易建设银行!$H:$H,力喆贸易建设银行!$B:$B,"="&amp;$E$2,力喆贸易建设银行!$D:$D,"="&amp;$C38)</f>
        <v>0</v>
      </c>
      <c r="I38" s="236">
        <f>SUMIFS(元生万物建设银行!$H:$H,元生万物建设银行!$B:$B,"="&amp;$E$2,元生万物建设银行!$D:$D,"="&amp;$C38)</f>
        <v>0</v>
      </c>
      <c r="J38" s="236">
        <f>SUMIFS(言吾言中国银行!$H:$H,言吾言中国银行!$B:$B,"="&amp;$E$2,言吾言中国银行!$D:$D,"="&amp;$C38)</f>
        <v>0</v>
      </c>
      <c r="K38" s="236">
        <f>SUMIFS(力喆传媒海峡银行!$H:$H,力喆传媒海峡银行!$B:$B,"="&amp;$E$2,力喆传媒海峡银行!$D:$D,"="&amp;$C38)</f>
        <v>0</v>
      </c>
      <c r="L38" s="236">
        <f>SUMIFS(古玩城农商银行!$O:$O,古玩城农商银行!$B:$B,"="&amp;$E$2,古玩城农商银行!$D:$D,"="&amp;$C38)</f>
        <v>0</v>
      </c>
      <c r="M38" s="236">
        <v>0</v>
      </c>
      <c r="N38" s="236">
        <f>SUMIFS(艾泊烨海峡银行!$H:$H,艾泊烨海峡银行!$B:$B,"="&amp;$E$2,艾泊烨海峡银行!$D:$D,"="&amp;$C38)</f>
        <v>0</v>
      </c>
      <c r="O38" s="236">
        <v>0</v>
      </c>
      <c r="P38" s="236">
        <f>SUMIFS(艾泊烨农商银行!$J:$J,艾泊烨农商银行!$B:$B,"="&amp;$E$2,艾泊烨农商银行!D:D,"="&amp;$C38)</f>
        <v>0</v>
      </c>
      <c r="Q38" s="236">
        <f>SUMIFS(艾泊烨私户银行!$H:$H,艾泊烨私户银行!$B:$B,"="&amp;$E$2,艾泊烨私户银行!$D:$D,"="&amp;$C38)</f>
        <v>0</v>
      </c>
      <c r="R38" s="236">
        <f>SUMIFS(易佰兴建行!$P:$P,易佰兴建行!$B:$B,"="&amp;$E$2,易佰兴建行!$D:$D,"="&amp;$C38)</f>
        <v>0</v>
      </c>
      <c r="S38" s="236">
        <f>SUMIFS(易佰兴私户!$P:$P,易佰兴私户!$B:$B,"="&amp;$E$2,易佰兴私户!$D:$D,"="&amp;$C38)</f>
        <v>0</v>
      </c>
      <c r="T38" s="251">
        <f>SUMIFS(易佰兴现金!$O:$O,易佰兴现金!$B:$B,"="&amp;$E$2,易佰兴现金!D:D,"="&amp;$C38)</f>
        <v>0</v>
      </c>
      <c r="U38" s="236">
        <f>SUMIFS(易佰兴基本户!$P:$P,易佰兴基本户!$B:$B,"="&amp;$E$2,易佰兴基本户!D:D,"="&amp;$C38)</f>
        <v>0</v>
      </c>
    </row>
    <row r="39" ht="14.25" outlineLevel="1" spans="1:21">
      <c r="A39" s="229"/>
      <c r="B39" s="250">
        <f t="shared" si="2"/>
        <v>5</v>
      </c>
      <c r="C39" s="253" t="s">
        <v>99</v>
      </c>
      <c r="D39" s="234" t="e">
        <f>SUMIFS(#REF!,#REF!,"="&amp;$E$2,#REF!,"="&amp;$C39)</f>
        <v>#REF!</v>
      </c>
      <c r="E39" s="235">
        <f>SUMIFS(力喆实业中国银行!$H:$H,力喆实业中国银行!$B:$B,"="&amp;$E$2,力喆实业中国银行!$D:$D,"="&amp;$C39)</f>
        <v>0</v>
      </c>
      <c r="F39" s="235">
        <f>SUMIFS(力喆产业农商银行!$H:$H,力喆产业农商银行!$B:$B,"="&amp;$E$2,力喆产业农商银行!$D:$D,"="&amp;$C39)</f>
        <v>0</v>
      </c>
      <c r="G39" s="236">
        <f>SUMIFS(徐洁招商银行!$H:$H,徐洁招商银行!$B:$B,"="&amp;$E$2,徐洁招商银行!$D:$D,"="&amp;$C39)</f>
        <v>0</v>
      </c>
      <c r="H39" s="236">
        <f>SUMIFS(力喆贸易建设银行!$H:$H,力喆贸易建设银行!$B:$B,"="&amp;$E$2,力喆贸易建设银行!$D:$D,"="&amp;$C39)</f>
        <v>0</v>
      </c>
      <c r="I39" s="236">
        <f>SUMIFS(元生万物建设银行!$H:$H,元生万物建设银行!$B:$B,"="&amp;$E$2,元生万物建设银行!$D:$D,"="&amp;$C39)</f>
        <v>0</v>
      </c>
      <c r="J39" s="236">
        <f>SUMIFS(言吾言中国银行!$H:$H,言吾言中国银行!$B:$B,"="&amp;$E$2,言吾言中国银行!$D:$D,"="&amp;$C39)</f>
        <v>0</v>
      </c>
      <c r="K39" s="236">
        <f>SUMIFS(力喆传媒海峡银行!$H:$H,力喆传媒海峡银行!$B:$B,"="&amp;$E$2,力喆传媒海峡银行!$D:$D,"="&amp;$C39)</f>
        <v>0</v>
      </c>
      <c r="L39" s="236">
        <f>SUMIFS(古玩城农商银行!$O:$O,古玩城农商银行!$B:$B,"="&amp;$E$2,古玩城农商银行!$D:$D,"="&amp;$C39)</f>
        <v>0</v>
      </c>
      <c r="M39" s="236">
        <v>0</v>
      </c>
      <c r="N39" s="236">
        <f>SUMIFS(艾泊烨海峡银行!$H:$H,艾泊烨海峡银行!$B:$B,"="&amp;$E$2,艾泊烨海峡银行!$D:$D,"="&amp;$C39)</f>
        <v>0</v>
      </c>
      <c r="O39" s="236">
        <v>0</v>
      </c>
      <c r="P39" s="236">
        <f>SUMIFS(艾泊烨农商银行!$J:$J,艾泊烨农商银行!$B:$B,"="&amp;$E$2,艾泊烨农商银行!D:D,"="&amp;$C39)</f>
        <v>0</v>
      </c>
      <c r="Q39" s="236">
        <f>SUMIFS(艾泊烨私户银行!$H:$H,艾泊烨私户银行!$B:$B,"="&amp;$E$2,艾泊烨私户银行!$D:$D,"="&amp;$C39)</f>
        <v>0</v>
      </c>
      <c r="R39" s="236">
        <f>SUMIFS(易佰兴建行!$P:$P,易佰兴建行!$B:$B,"="&amp;$E$2,易佰兴建行!$D:$D,"="&amp;$C39)</f>
        <v>0</v>
      </c>
      <c r="S39" s="236">
        <f>SUMIFS(易佰兴私户!$P:$P,易佰兴私户!$B:$B,"="&amp;$E$2,易佰兴私户!$D:$D,"="&amp;$C39)</f>
        <v>0</v>
      </c>
      <c r="T39" s="251">
        <f>SUMIFS(易佰兴现金!$O:$O,易佰兴现金!$B:$B,"="&amp;$E$2,易佰兴现金!D:D,"="&amp;$C39)</f>
        <v>0</v>
      </c>
      <c r="U39" s="236">
        <f>SUMIFS(易佰兴基本户!$P:$P,易佰兴基本户!$B:$B,"="&amp;$E$2,易佰兴基本户!D:D,"="&amp;$C39)</f>
        <v>0</v>
      </c>
    </row>
    <row r="40" ht="14.25" outlineLevel="1" spans="1:21">
      <c r="A40" s="229"/>
      <c r="B40" s="250">
        <f t="shared" si="2"/>
        <v>5</v>
      </c>
      <c r="C40" s="222" t="s">
        <v>100</v>
      </c>
      <c r="D40" s="234" t="e">
        <f>SUMIFS(#REF!,#REF!,"="&amp;$E$2,#REF!,"="&amp;$C40)</f>
        <v>#REF!</v>
      </c>
      <c r="E40" s="235">
        <f>SUMIFS(力喆实业中国银行!$H:$H,力喆实业中国银行!$B:$B,"="&amp;$E$2,力喆实业中国银行!$D:$D,"="&amp;$C40)</f>
        <v>0</v>
      </c>
      <c r="F40" s="235">
        <f>SUMIFS(力喆产业农商银行!$H:$H,力喆产业农商银行!$B:$B,"="&amp;$E$2,力喆产业农商银行!$D:$D,"="&amp;$C40)</f>
        <v>0</v>
      </c>
      <c r="G40" s="236">
        <f>SUMIFS(徐洁招商银行!$H:$H,徐洁招商银行!$B:$B,"="&amp;$E$2,徐洁招商银行!$D:$D,"="&amp;$C40)</f>
        <v>0</v>
      </c>
      <c r="H40" s="236">
        <f>SUMIFS(力喆贸易建设银行!$H:$H,力喆贸易建设银行!$B:$B,"="&amp;$E$2,力喆贸易建设银行!$D:$D,"="&amp;$C40)</f>
        <v>0</v>
      </c>
      <c r="I40" s="236">
        <f>SUMIFS(元生万物建设银行!$H:$H,元生万物建设银行!$B:$B,"="&amp;$E$2,元生万物建设银行!$D:$D,"="&amp;$C40)</f>
        <v>0</v>
      </c>
      <c r="J40" s="236">
        <f>SUMIFS(言吾言中国银行!$H:$H,言吾言中国银行!$B:$B,"="&amp;$E$2,言吾言中国银行!$D:$D,"="&amp;$C40)</f>
        <v>0</v>
      </c>
      <c r="K40" s="236">
        <f>SUMIFS(力喆传媒海峡银行!$H:$H,力喆传媒海峡银行!$B:$B,"="&amp;$E$2,力喆传媒海峡银行!$D:$D,"="&amp;$C40)</f>
        <v>0</v>
      </c>
      <c r="L40" s="236">
        <f>SUMIFS(古玩城农商银行!$O:$O,古玩城农商银行!$B:$B,"="&amp;$E$2,古玩城农商银行!$D:$D,"="&amp;$C40)</f>
        <v>731.8</v>
      </c>
      <c r="M40" s="236">
        <v>0</v>
      </c>
      <c r="N40" s="236">
        <f>SUMIFS(艾泊烨海峡银行!$H:$H,艾泊烨海峡银行!$B:$B,"="&amp;$E$2,艾泊烨海峡银行!$D:$D,"="&amp;$C40)</f>
        <v>0</v>
      </c>
      <c r="O40" s="236">
        <v>0</v>
      </c>
      <c r="P40" s="236">
        <f>SUMIFS(艾泊烨农商银行!$J:$J,艾泊烨农商银行!$B:$B,"="&amp;$E$2,艾泊烨农商银行!D:D,"="&amp;$C40)</f>
        <v>0</v>
      </c>
      <c r="Q40" s="236">
        <f>SUMIFS(艾泊烨私户银行!$H:$H,艾泊烨私户银行!$B:$B,"="&amp;$E$2,艾泊烨私户银行!$D:$D,"="&amp;$C40)</f>
        <v>0</v>
      </c>
      <c r="R40" s="236">
        <f>SUMIFS(易佰兴建行!$P:$P,易佰兴建行!$B:$B,"="&amp;$E$2,易佰兴建行!$D:$D,"="&amp;$C40)</f>
        <v>449</v>
      </c>
      <c r="S40" s="251">
        <f>SUMIFS(易佰兴私户!$P:$P,易佰兴私户!$B:$B,"="&amp;$E$2,易佰兴私户!$D:$D,"="&amp;$C40)</f>
        <v>350</v>
      </c>
      <c r="T40" s="251">
        <f>SUMIFS(易佰兴现金!$O:$O,易佰兴现金!$B:$B,"="&amp;$E$2,易佰兴现金!D:D,"="&amp;$C40)</f>
        <v>0</v>
      </c>
      <c r="U40" s="236">
        <f>SUMIFS(易佰兴基本户!$P:$P,易佰兴基本户!$B:$B,"="&amp;$E$2,易佰兴基本户!D:D,"="&amp;$C40)</f>
        <v>0</v>
      </c>
    </row>
    <row r="41" ht="14.25" outlineLevel="1" spans="1:21">
      <c r="A41" s="229"/>
      <c r="B41" s="250">
        <f t="shared" si="2"/>
        <v>5</v>
      </c>
      <c r="C41" s="222" t="s">
        <v>101</v>
      </c>
      <c r="D41" s="234" t="e">
        <f>SUMIFS(#REF!,#REF!,"="&amp;$E$2,#REF!,"="&amp;$C41)</f>
        <v>#REF!</v>
      </c>
      <c r="E41" s="235">
        <f>SUMIFS(力喆实业中国银行!$H:$H,力喆实业中国银行!$B:$B,"="&amp;$E$2,力喆实业中国银行!$D:$D,"="&amp;$C41)</f>
        <v>0</v>
      </c>
      <c r="F41" s="235">
        <f>SUMIFS(力喆产业农商银行!$H:$H,力喆产业农商银行!$B:$B,"="&amp;$E$2,力喆产业农商银行!$D:$D,"="&amp;$C41)</f>
        <v>0</v>
      </c>
      <c r="G41" s="236">
        <f>SUMIFS(徐洁招商银行!$H:$H,徐洁招商银行!$B:$B,"="&amp;$E$2,徐洁招商银行!$D:$D,"="&amp;$C41)</f>
        <v>0</v>
      </c>
      <c r="H41" s="236">
        <f>SUMIFS(力喆贸易建设银行!$H:$H,力喆贸易建设银行!$B:$B,"="&amp;$E$2,力喆贸易建设银行!$D:$D,"="&amp;$C41)</f>
        <v>0</v>
      </c>
      <c r="I41" s="236">
        <f>SUMIFS(元生万物建设银行!$H:$H,元生万物建设银行!$B:$B,"="&amp;$E$2,元生万物建设银行!$D:$D,"="&amp;$C41)</f>
        <v>0</v>
      </c>
      <c r="J41" s="236">
        <f>SUMIFS(言吾言中国银行!$H:$H,言吾言中国银行!$B:$B,"="&amp;$E$2,言吾言中国银行!$D:$D,"="&amp;$C41)</f>
        <v>0</v>
      </c>
      <c r="K41" s="236">
        <f>SUMIFS(力喆传媒海峡银行!$H:$H,力喆传媒海峡银行!$B:$B,"="&amp;$E$2,力喆传媒海峡银行!$D:$D,"="&amp;$C41)</f>
        <v>0</v>
      </c>
      <c r="L41" s="236">
        <f>SUMIFS(古玩城农商银行!$O:$O,古玩城农商银行!$B:$B,"="&amp;$E$2,古玩城农商银行!$D:$D,"="&amp;$C41)</f>
        <v>0</v>
      </c>
      <c r="M41" s="236">
        <v>0</v>
      </c>
      <c r="N41" s="236">
        <f>SUMIFS(艾泊烨海峡银行!$H:$H,艾泊烨海峡银行!$B:$B,"="&amp;$E$2,艾泊烨海峡银行!$D:$D,"="&amp;$C41)</f>
        <v>0</v>
      </c>
      <c r="O41" s="236">
        <v>0</v>
      </c>
      <c r="P41" s="236">
        <f>SUMIFS(艾泊烨农商银行!$J:$J,艾泊烨农商银行!$B:$B,"="&amp;$E$2,艾泊烨农商银行!D:D,"="&amp;$C41)</f>
        <v>0</v>
      </c>
      <c r="Q41" s="236">
        <f>SUMIFS(艾泊烨私户银行!$H:$H,艾泊烨私户银行!$B:$B,"="&amp;$E$2,艾泊烨私户银行!$D:$D,"="&amp;$C41)</f>
        <v>0</v>
      </c>
      <c r="R41" s="236">
        <f>SUMIFS(易佰兴建行!$P:$P,易佰兴建行!$B:$B,"="&amp;$E$2,易佰兴建行!$D:$D,"="&amp;$C41)</f>
        <v>0</v>
      </c>
      <c r="S41" s="251">
        <f>SUMIFS(易佰兴私户!$P:$P,易佰兴私户!$B:$B,"="&amp;$E$2,易佰兴私户!$D:$D,"="&amp;$C41)</f>
        <v>139</v>
      </c>
      <c r="T41" s="251">
        <f>SUMIFS(易佰兴现金!$O:$O,易佰兴现金!$B:$B,"="&amp;$E$2,易佰兴现金!D:D,"="&amp;$C41)</f>
        <v>0</v>
      </c>
      <c r="U41" s="236">
        <f>SUMIFS(易佰兴基本户!$P:$P,易佰兴基本户!$B:$B,"="&amp;$E$2,易佰兴基本户!D:D,"="&amp;$C41)</f>
        <v>0</v>
      </c>
    </row>
    <row r="42" ht="14.25" outlineLevel="1" spans="1:21">
      <c r="A42" s="229"/>
      <c r="B42" s="250">
        <f t="shared" si="2"/>
        <v>5</v>
      </c>
      <c r="C42" s="222" t="s">
        <v>102</v>
      </c>
      <c r="D42" s="234" t="e">
        <f>SUMIFS(#REF!,#REF!,"="&amp;$E$2,#REF!,"="&amp;$C42)</f>
        <v>#REF!</v>
      </c>
      <c r="E42" s="235">
        <f>SUMIFS(力喆实业中国银行!$H:$H,力喆实业中国银行!$B:$B,"="&amp;$E$2,力喆实业中国银行!$D:$D,"="&amp;$C42)</f>
        <v>0</v>
      </c>
      <c r="F42" s="235">
        <f>SUMIFS(力喆产业农商银行!$H:$H,力喆产业农商银行!$B:$B,"="&amp;$E$2,力喆产业农商银行!$D:$D,"="&amp;$C42)</f>
        <v>0</v>
      </c>
      <c r="G42" s="236">
        <f>SUMIFS(徐洁招商银行!$H:$H,徐洁招商银行!$B:$B,"="&amp;$E$2,徐洁招商银行!$D:$D,"="&amp;$C42)</f>
        <v>0</v>
      </c>
      <c r="H42" s="236">
        <f>SUMIFS(力喆贸易建设银行!$H:$H,力喆贸易建设银行!$B:$B,"="&amp;$E$2,力喆贸易建设银行!$D:$D,"="&amp;$C42)</f>
        <v>0</v>
      </c>
      <c r="I42" s="236">
        <f>SUMIFS(元生万物建设银行!$H:$H,元生万物建设银行!$B:$B,"="&amp;$E$2,元生万物建设银行!$D:$D,"="&amp;$C42)</f>
        <v>0</v>
      </c>
      <c r="J42" s="236">
        <f>SUMIFS(言吾言中国银行!$H:$H,言吾言中国银行!$B:$B,"="&amp;$E$2,言吾言中国银行!$D:$D,"="&amp;$C42)</f>
        <v>0</v>
      </c>
      <c r="K42" s="236">
        <f>SUMIFS(力喆传媒海峡银行!$H:$H,力喆传媒海峡银行!$B:$B,"="&amp;$E$2,力喆传媒海峡银行!$D:$D,"="&amp;$C42)</f>
        <v>0</v>
      </c>
      <c r="L42" s="236">
        <f>SUMIFS(古玩城农商银行!$O:$O,古玩城农商银行!$B:$B,"="&amp;$E$2,古玩城农商银行!$D:$D,"="&amp;$C42)</f>
        <v>0</v>
      </c>
      <c r="M42" s="236">
        <v>0</v>
      </c>
      <c r="N42" s="236">
        <f>SUMIFS(艾泊烨海峡银行!$H:$H,艾泊烨海峡银行!$B:$B,"="&amp;$E$2,艾泊烨海峡银行!$D:$D,"="&amp;$C42)</f>
        <v>0</v>
      </c>
      <c r="O42" s="236">
        <v>0</v>
      </c>
      <c r="P42" s="236">
        <f>SUMIFS(艾泊烨农商银行!$J:$J,艾泊烨农商银行!$B:$B,"="&amp;$E$2,艾泊烨农商银行!D:D,"="&amp;$C42)</f>
        <v>0</v>
      </c>
      <c r="Q42" s="236">
        <f>SUMIFS(艾泊烨私户银行!$H:$H,艾泊烨私户银行!$B:$B,"="&amp;$E$2,艾泊烨私户银行!$D:$D,"="&amp;$C42)</f>
        <v>0</v>
      </c>
      <c r="R42" s="236">
        <f>SUMIFS(易佰兴建行!$P:$P,易佰兴建行!$B:$B,"="&amp;$E$2,易佰兴建行!$D:$D,"="&amp;$C42)</f>
        <v>53</v>
      </c>
      <c r="S42" s="251">
        <f>SUMIFS(易佰兴私户!$P:$P,易佰兴私户!$B:$B,"="&amp;$E$2,易佰兴私户!$D:$D,"="&amp;$C42)</f>
        <v>0</v>
      </c>
      <c r="T42" s="251">
        <f>SUMIFS(易佰兴现金!$O:$O,易佰兴现金!$B:$B,"="&amp;$E$2,易佰兴现金!D:D,"="&amp;$C42)</f>
        <v>0</v>
      </c>
      <c r="U42" s="236">
        <f>SUMIFS(易佰兴基本户!$P:$P,易佰兴基本户!$B:$B,"="&amp;$E$2,易佰兴基本户!D:D,"="&amp;$C42)</f>
        <v>0</v>
      </c>
    </row>
    <row r="43" ht="14.25" outlineLevel="1" spans="1:21">
      <c r="A43" s="229"/>
      <c r="B43" s="250">
        <f t="shared" si="2"/>
        <v>5</v>
      </c>
      <c r="C43" s="222" t="s">
        <v>103</v>
      </c>
      <c r="D43" s="234" t="e">
        <f>SUMIFS(#REF!,#REF!,"="&amp;$E$2,#REF!,"="&amp;$C43)</f>
        <v>#REF!</v>
      </c>
      <c r="E43" s="235">
        <f>SUMIFS(力喆实业中国银行!$H:$H,力喆实业中国银行!$B:$B,"="&amp;$E$2,力喆实业中国银行!$D:$D,"="&amp;$C43)</f>
        <v>0</v>
      </c>
      <c r="F43" s="235">
        <f>SUMIFS(力喆产业农商银行!$H:$H,力喆产业农商银行!$B:$B,"="&amp;$E$2,力喆产业农商银行!$D:$D,"="&amp;$C43)</f>
        <v>249</v>
      </c>
      <c r="G43" s="236">
        <f>SUMIFS(徐洁招商银行!$H:$H,徐洁招商银行!$B:$B,"="&amp;$E$2,徐洁招商银行!$D:$D,"="&amp;$C43)</f>
        <v>0</v>
      </c>
      <c r="H43" s="236">
        <f>SUMIFS(力喆贸易建设银行!$H:$H,力喆贸易建设银行!$B:$B,"="&amp;$E$2,力喆贸易建设银行!$D:$D,"="&amp;$C43)</f>
        <v>0</v>
      </c>
      <c r="I43" s="236">
        <f>SUMIFS(元生万物建设银行!$H:$H,元生万物建设银行!$B:$B,"="&amp;$E$2,元生万物建设银行!$D:$D,"="&amp;$C43)</f>
        <v>0</v>
      </c>
      <c r="J43" s="236">
        <f>SUMIFS(言吾言中国银行!$H:$H,言吾言中国银行!$B:$B,"="&amp;$E$2,言吾言中国银行!$D:$D,"="&amp;$C43)</f>
        <v>0</v>
      </c>
      <c r="K43" s="236">
        <f>SUMIFS(力喆传媒海峡银行!$H:$H,力喆传媒海峡银行!$B:$B,"="&amp;$E$2,力喆传媒海峡银行!$D:$D,"="&amp;$C43)</f>
        <v>0</v>
      </c>
      <c r="L43" s="236">
        <f>SUMIFS(古玩城农商银行!$O:$O,古玩城农商银行!$B:$B,"="&amp;$E$2,古玩城农商银行!$D:$D,"="&amp;$C43)</f>
        <v>50</v>
      </c>
      <c r="M43" s="236">
        <v>0</v>
      </c>
      <c r="N43" s="236">
        <f>SUMIFS(艾泊烨海峡银行!$H:$H,艾泊烨海峡银行!$B:$B,"="&amp;$E$2,艾泊烨海峡银行!$D:$D,"="&amp;$C43)</f>
        <v>0</v>
      </c>
      <c r="O43" s="236">
        <v>0</v>
      </c>
      <c r="P43" s="236">
        <f>SUMIFS(艾泊烨农商银行!$J:$J,艾泊烨农商银行!$B:$B,"="&amp;$E$2,艾泊烨农商银行!D:D,"="&amp;$C43)</f>
        <v>0</v>
      </c>
      <c r="Q43" s="236">
        <f>SUMIFS(艾泊烨私户银行!$H:$H,艾泊烨私户银行!$B:$B,"="&amp;$E$2,艾泊烨私户银行!$D:$D,"="&amp;$C43)</f>
        <v>100</v>
      </c>
      <c r="R43" s="236">
        <f>SUMIFS(易佰兴建行!$P:$P,易佰兴建行!$B:$B,"="&amp;$E$2,易佰兴建行!$D:$D,"="&amp;$C43)</f>
        <v>0</v>
      </c>
      <c r="S43" s="236">
        <f>SUMIFS(易佰兴私户!$P:$P,易佰兴私户!$B:$B,"="&amp;$E$2,易佰兴私户!$D:$D,"="&amp;$C43)</f>
        <v>0</v>
      </c>
      <c r="T43" s="251">
        <f>SUMIFS(易佰兴现金!$O:$O,易佰兴现金!$B:$B,"="&amp;$E$2,易佰兴现金!D:D,"="&amp;$C43)</f>
        <v>0</v>
      </c>
      <c r="U43" s="251">
        <f>SUMIFS(易佰兴基本户!$P:$P,易佰兴基本户!$B:$B,"="&amp;$E$2,易佰兴基本户!D:D,"="&amp;$C43)</f>
        <v>415</v>
      </c>
    </row>
    <row r="44" ht="14.25" outlineLevel="1" spans="1:21">
      <c r="A44" s="229"/>
      <c r="B44" s="250">
        <f t="shared" si="2"/>
        <v>5</v>
      </c>
      <c r="C44" s="222" t="s">
        <v>104</v>
      </c>
      <c r="D44" s="234"/>
      <c r="E44" s="235">
        <f>SUMIFS(力喆实业中国银行!$H:$H,力喆实业中国银行!$B:$B,"="&amp;$E$2,力喆实业中国银行!$D:$D,"="&amp;$C44)</f>
        <v>0</v>
      </c>
      <c r="F44" s="235">
        <f>SUMIFS(力喆产业农商银行!$H:$H,力喆产业农商银行!$B:$B,"="&amp;$E$2,力喆产业农商银行!$D:$D,"="&amp;$C44)</f>
        <v>0</v>
      </c>
      <c r="G44" s="236">
        <f>SUMIFS(徐洁招商银行!$H:$H,徐洁招商银行!$B:$B,"="&amp;$E$2,徐洁招商银行!$D:$D,"="&amp;$C44)</f>
        <v>0</v>
      </c>
      <c r="H44" s="236">
        <f>SUMIFS(力喆贸易建设银行!$H:$H,力喆贸易建设银行!$B:$B,"="&amp;$E$2,力喆贸易建设银行!$D:$D,"="&amp;$C44)</f>
        <v>0</v>
      </c>
      <c r="I44" s="236"/>
      <c r="J44" s="236"/>
      <c r="K44" s="236"/>
      <c r="L44" s="236">
        <f>SUMIFS(古玩城农商银行!$O:$O,古玩城农商银行!$B:$B,"="&amp;$E$2,古玩城农商银行!$D:$D,"="&amp;$C44)</f>
        <v>0</v>
      </c>
      <c r="M44" s="236">
        <v>0</v>
      </c>
      <c r="N44" s="236">
        <f>SUMIFS(艾泊烨海峡银行!$H:$H,艾泊烨海峡银行!$B:$B,"="&amp;$E$2,艾泊烨海峡银行!$D:$D,"="&amp;$C44)</f>
        <v>0</v>
      </c>
      <c r="O44" s="236">
        <v>0</v>
      </c>
      <c r="P44" s="236">
        <f>SUMIFS(艾泊烨农商银行!$J:$J,艾泊烨农商银行!$B:$B,"="&amp;$E$2,艾泊烨农商银行!D:D,"="&amp;$C44)</f>
        <v>0</v>
      </c>
      <c r="Q44" s="236">
        <f>SUMIFS(艾泊烨私户银行!$H:$H,艾泊烨私户银行!$B:$B,"="&amp;$E$2,艾泊烨私户银行!$D:$D,"="&amp;$C44)</f>
        <v>0</v>
      </c>
      <c r="R44" s="236">
        <f>SUMIFS(易佰兴建行!$P:$P,易佰兴建行!$B:$B,"="&amp;$E$2,易佰兴建行!$D:$D,"="&amp;$C44)</f>
        <v>0</v>
      </c>
      <c r="S44" s="251">
        <f>SUMIFS(易佰兴私户!$P:$P,易佰兴私户!$B:$B,"="&amp;$E$2,易佰兴私户!$D:$D,"="&amp;$C44)</f>
        <v>0</v>
      </c>
      <c r="T44" s="251">
        <f>SUMIFS(易佰兴现金!$O:$O,易佰兴现金!$B:$B,"="&amp;$E$2,易佰兴现金!D:D,"="&amp;$C44)</f>
        <v>0</v>
      </c>
      <c r="U44" s="236">
        <f>SUMIFS(易佰兴基本户!$P:$P,易佰兴基本户!$B:$B,"="&amp;$E$2,易佰兴基本户!D:D,"="&amp;$C44)</f>
        <v>0</v>
      </c>
    </row>
    <row r="45" ht="14.25" outlineLevel="1" spans="1:21">
      <c r="A45" s="229"/>
      <c r="B45" s="250">
        <f>B43</f>
        <v>5</v>
      </c>
      <c r="C45" s="253" t="s">
        <v>105</v>
      </c>
      <c r="D45" s="234" t="e">
        <f>SUMIFS(#REF!,#REF!,"="&amp;$E$2,#REF!,"="&amp;$C45)</f>
        <v>#REF!</v>
      </c>
      <c r="E45" s="235">
        <f>SUMIFS(力喆实业中国银行!$H:$H,力喆实业中国银行!$B:$B,"="&amp;$E$2,力喆实业中国银行!$D:$D,"="&amp;$C45)</f>
        <v>0</v>
      </c>
      <c r="F45" s="235">
        <f>SUMIFS(力喆产业农商银行!$H:$H,力喆产业农商银行!$B:$B,"="&amp;$E$2,力喆产业农商银行!$D:$D,"="&amp;$C45)</f>
        <v>0</v>
      </c>
      <c r="G45" s="236">
        <f>SUMIFS(徐洁招商银行!$H:$H,徐洁招商银行!$B:$B,"="&amp;$E$2,徐洁招商银行!$D:$D,"="&amp;$C45)</f>
        <v>0</v>
      </c>
      <c r="H45" s="236">
        <f>SUMIFS(力喆贸易建设银行!$H:$H,力喆贸易建设银行!$B:$B,"="&amp;$E$2,力喆贸易建设银行!$D:$D,"="&amp;$C45)</f>
        <v>0</v>
      </c>
      <c r="I45" s="236">
        <f>SUMIFS(元生万物建设银行!$H:$H,元生万物建设银行!$B:$B,"="&amp;$E$2,元生万物建设银行!$D:$D,"="&amp;$C45)</f>
        <v>0</v>
      </c>
      <c r="J45" s="236">
        <f>SUMIFS(言吾言中国银行!$H:$H,言吾言中国银行!$B:$B,"="&amp;$E$2,言吾言中国银行!$D:$D,"="&amp;$C45)</f>
        <v>0</v>
      </c>
      <c r="K45" s="236">
        <f>SUMIFS(力喆传媒海峡银行!$H:$H,力喆传媒海峡银行!$B:$B,"="&amp;$E$2,力喆传媒海峡银行!$D:$D,"="&amp;$C45)</f>
        <v>0</v>
      </c>
      <c r="L45" s="236">
        <f>SUMIFS(古玩城农商银行!$O:$O,古玩城农商银行!$B:$B,"="&amp;$E$2,古玩城农商银行!$D:$D,"="&amp;$C45)</f>
        <v>0</v>
      </c>
      <c r="M45" s="236">
        <v>0</v>
      </c>
      <c r="N45" s="236">
        <f>SUMIFS(艾泊烨海峡银行!$H:$H,艾泊烨海峡银行!$B:$B,"="&amp;$E$2,艾泊烨海峡银行!$D:$D,"="&amp;$C45)</f>
        <v>0</v>
      </c>
      <c r="O45" s="236">
        <v>0</v>
      </c>
      <c r="P45" s="236">
        <f>SUMIFS(艾泊烨农商银行!$J:$J,艾泊烨农商银行!$B:$B,"="&amp;$E$2,艾泊烨农商银行!D:D,"="&amp;$C45)</f>
        <v>0</v>
      </c>
      <c r="Q45" s="236">
        <f>SUMIFS(艾泊烨私户银行!$H:$H,艾泊烨私户银行!$B:$B,"="&amp;$E$2,艾泊烨私户银行!$D:$D,"="&amp;$C45)</f>
        <v>0</v>
      </c>
      <c r="R45" s="236">
        <f>SUMIFS(易佰兴建行!$P:$P,易佰兴建行!$B:$B,"="&amp;$E$2,易佰兴建行!$D:$D,"="&amp;$C45)</f>
        <v>0</v>
      </c>
      <c r="S45" s="236">
        <f>SUMIFS(易佰兴私户!$P:$P,易佰兴私户!$B:$B,"="&amp;$E$2,易佰兴私户!$D:$D,"="&amp;$C45)</f>
        <v>0</v>
      </c>
      <c r="T45" s="251">
        <f>SUMIFS(易佰兴现金!$O:$O,易佰兴现金!$B:$B,"="&amp;$E$2,易佰兴现金!D:D,"="&amp;$C45)</f>
        <v>0</v>
      </c>
      <c r="U45" s="236">
        <f>SUMIFS(易佰兴基本户!$P:$P,易佰兴基本户!$B:$B,"="&amp;$E$2,易佰兴基本户!D:D,"="&amp;$C45)</f>
        <v>0</v>
      </c>
    </row>
    <row r="46" ht="14.25" outlineLevel="1" spans="1:21">
      <c r="A46" s="229"/>
      <c r="B46" s="250">
        <f>B44</f>
        <v>5</v>
      </c>
      <c r="C46" s="253" t="s">
        <v>106</v>
      </c>
      <c r="D46" s="234" t="e">
        <f>SUMIFS(#REF!,#REF!,"="&amp;$E$2,#REF!,"="&amp;$C46)</f>
        <v>#REF!</v>
      </c>
      <c r="E46" s="235">
        <f>SUMIFS(力喆实业中国银行!$H:$H,力喆实业中国银行!$B:$B,"="&amp;$E$2,力喆实业中国银行!$D:$D,"="&amp;$C46)</f>
        <v>0</v>
      </c>
      <c r="F46" s="235">
        <f>SUMIFS(力喆产业农商银行!$H:$H,力喆产业农商银行!$B:$B,"="&amp;$E$2,力喆产业农商银行!$D:$D,"="&amp;$C46)</f>
        <v>0</v>
      </c>
      <c r="G46" s="236">
        <f>SUMIFS(徐洁招商银行!$H:$H,徐洁招商银行!$B:$B,"="&amp;$E$2,徐洁招商银行!$D:$D,"="&amp;$C46)</f>
        <v>0</v>
      </c>
      <c r="H46" s="236">
        <f>SUMIFS(力喆贸易建设银行!$H:$H,力喆贸易建设银行!$B:$B,"="&amp;$E$2,力喆贸易建设银行!$D:$D,"="&amp;$C46)</f>
        <v>0</v>
      </c>
      <c r="I46" s="236"/>
      <c r="J46" s="236"/>
      <c r="K46" s="236"/>
      <c r="L46" s="236">
        <f>SUMIFS(古玩城农商银行!$O:$O,古玩城农商银行!$B:$B,"="&amp;$E$2,古玩城农商银行!$D:$D,"="&amp;$C46)</f>
        <v>9000</v>
      </c>
      <c r="M46" s="236">
        <v>0</v>
      </c>
      <c r="N46" s="236">
        <f>SUMIFS(艾泊烨海峡银行!$H:$H,艾泊烨海峡银行!$B:$B,"="&amp;$E$2,艾泊烨海峡银行!$D:$D,"="&amp;$C46)</f>
        <v>0</v>
      </c>
      <c r="O46" s="236">
        <v>0</v>
      </c>
      <c r="P46" s="236">
        <f>SUMIFS(艾泊烨农商银行!$J:$J,艾泊烨农商银行!$B:$B,"="&amp;$E$2,艾泊烨农商银行!D:D,"="&amp;$C46)</f>
        <v>0</v>
      </c>
      <c r="Q46" s="236">
        <f>SUMIFS(艾泊烨私户银行!$H:$H,艾泊烨私户银行!$B:$B,"="&amp;$E$2,艾泊烨私户银行!$D:$D,"="&amp;$C46)</f>
        <v>0</v>
      </c>
      <c r="R46" s="236">
        <f>SUMIFS(易佰兴建行!$P:$P,易佰兴建行!$B:$B,"="&amp;$E$2,易佰兴建行!$D:$D,"="&amp;$C46)</f>
        <v>770.78</v>
      </c>
      <c r="S46" s="236">
        <f>SUMIFS(易佰兴私户!$P:$P,易佰兴私户!$B:$B,"="&amp;$E$2,易佰兴私户!$D:$D,"="&amp;$C46)</f>
        <v>0</v>
      </c>
      <c r="T46" s="251">
        <f>SUMIFS(易佰兴现金!$O:$O,易佰兴现金!$B:$B,"="&amp;$E$2,易佰兴现金!D:D,"="&amp;$C46)</f>
        <v>0</v>
      </c>
      <c r="U46" s="251">
        <f>SUMIFS(易佰兴基本户!$P:$P,易佰兴基本户!$B:$B,"="&amp;$E$2,易佰兴基本户!D:D,"="&amp;$C46)</f>
        <v>0</v>
      </c>
    </row>
    <row r="47" ht="14.25" outlineLevel="1" spans="1:21">
      <c r="A47" s="229"/>
      <c r="B47" s="250">
        <f>B45</f>
        <v>5</v>
      </c>
      <c r="C47" s="253" t="s">
        <v>107</v>
      </c>
      <c r="D47" s="234" t="e">
        <f>SUMIFS(#REF!,#REF!,"="&amp;$E$2,#REF!,"="&amp;$C47)</f>
        <v>#REF!</v>
      </c>
      <c r="E47" s="235">
        <f>SUMIFS(力喆实业中国银行!$H:$H,力喆实业中国银行!$B:$B,"="&amp;$E$2,力喆实业中国银行!$D:$D,"="&amp;$C47)</f>
        <v>0</v>
      </c>
      <c r="F47" s="235">
        <f>SUMIFS(力喆产业农商银行!$H:$H,力喆产业农商银行!$B:$B,"="&amp;$E$2,力喆产业农商银行!$D:$D,"="&amp;$C47)</f>
        <v>0</v>
      </c>
      <c r="G47" s="236">
        <f>SUMIFS(徐洁招商银行!$H:$H,徐洁招商银行!$B:$B,"="&amp;$E$2,徐洁招商银行!$D:$D,"="&amp;$C47)</f>
        <v>0</v>
      </c>
      <c r="H47" s="236">
        <f>SUMIFS(力喆贸易建设银行!$H:$H,力喆贸易建设银行!$B:$B,"="&amp;$E$2,力喆贸易建设银行!$D:$D,"="&amp;$C47)</f>
        <v>0</v>
      </c>
      <c r="I47" s="236">
        <f>SUMIFS(元生万物建设银行!$H:$H,元生万物建设银行!$B:$B,"="&amp;$E$2,元生万物建设银行!$D:$D,"="&amp;$C47)</f>
        <v>0</v>
      </c>
      <c r="J47" s="236">
        <f>SUMIFS(言吾言中国银行!$H:$H,言吾言中国银行!$B:$B,"="&amp;$E$2,言吾言中国银行!$D:$D,"="&amp;$C47)</f>
        <v>0</v>
      </c>
      <c r="K47" s="236">
        <f>SUMIFS(力喆传媒海峡银行!$H:$H,力喆传媒海峡银行!$B:$B,"="&amp;$E$2,力喆传媒海峡银行!$D:$D,"="&amp;$C47)</f>
        <v>0</v>
      </c>
      <c r="L47" s="236">
        <f>SUMIFS(古玩城农商银行!$O:$O,古玩城农商银行!$B:$B,"="&amp;$E$2,古玩城农商银行!$D:$D,"="&amp;$C47)</f>
        <v>0</v>
      </c>
      <c r="M47" s="236">
        <v>0</v>
      </c>
      <c r="N47" s="236">
        <f>SUMIFS(艾泊烨海峡银行!$H:$H,艾泊烨海峡银行!$B:$B,"="&amp;$E$2,艾泊烨海峡银行!$D:$D,"="&amp;$C47)</f>
        <v>0</v>
      </c>
      <c r="O47" s="236">
        <v>0</v>
      </c>
      <c r="P47" s="236">
        <f>SUMIFS(艾泊烨农商银行!$J:$J,艾泊烨农商银行!$B:$B,"="&amp;$E$2,艾泊烨农商银行!D:D,"="&amp;$C47)</f>
        <v>0</v>
      </c>
      <c r="Q47" s="236">
        <f>SUMIFS(艾泊烨私户银行!$H:$H,艾泊烨私户银行!$B:$B,"="&amp;$E$2,艾泊烨私户银行!$D:$D,"="&amp;$C47)</f>
        <v>0</v>
      </c>
      <c r="R47" s="236">
        <f>SUMIFS(易佰兴建行!$P:$P,易佰兴建行!$B:$B,"="&amp;$E$2,易佰兴建行!$D:$D,"="&amp;$C47)</f>
        <v>0</v>
      </c>
      <c r="S47" s="236">
        <f>SUMIFS(易佰兴私户!$P:$P,易佰兴私户!$B:$B,"="&amp;$E$2,易佰兴私户!$D:$D,"="&amp;$C47)</f>
        <v>0</v>
      </c>
      <c r="T47" s="251">
        <f>SUMIFS(易佰兴现金!$O:$O,易佰兴现金!$B:$B,"="&amp;$E$2,易佰兴现金!D:D,"="&amp;$C47)</f>
        <v>0</v>
      </c>
      <c r="U47" s="236">
        <f>SUMIFS(易佰兴基本户!$P:$P,易佰兴基本户!$B:$B,"="&amp;$E$2,易佰兴基本户!D:D,"="&amp;$C47)</f>
        <v>0</v>
      </c>
    </row>
    <row r="48" ht="14.25" outlineLevel="1" spans="1:21">
      <c r="A48" s="229"/>
      <c r="B48" s="250">
        <f t="shared" ref="B48:B66" si="3">B47</f>
        <v>5</v>
      </c>
      <c r="C48" s="254" t="s">
        <v>108</v>
      </c>
      <c r="D48" s="234" t="e">
        <f>SUMIFS(#REF!,#REF!,"="&amp;$E$2,#REF!,"="&amp;$C48)</f>
        <v>#REF!</v>
      </c>
      <c r="E48" s="235">
        <f>SUMIFS(力喆实业中国银行!$H:$H,力喆实业中国银行!$B:$B,"="&amp;$E$2,力喆实业中国银行!$D:$D,"="&amp;$C48)</f>
        <v>0</v>
      </c>
      <c r="F48" s="235">
        <f>SUMIFS(力喆产业农商银行!$H:$H,力喆产业农商银行!$B:$B,"="&amp;$E$2,力喆产业农商银行!$D:$D,"="&amp;$C48)</f>
        <v>0</v>
      </c>
      <c r="G48" s="236">
        <f>SUMIFS(徐洁招商银行!$H:$H,徐洁招商银行!$B:$B,"="&amp;$E$2,徐洁招商银行!$D:$D,"="&amp;$C48)</f>
        <v>0</v>
      </c>
      <c r="H48" s="236">
        <f>SUMIFS(力喆贸易建设银行!$H:$H,力喆贸易建设银行!$B:$B,"="&amp;$E$2,力喆贸易建设银行!$D:$D,"="&amp;$C48)</f>
        <v>0</v>
      </c>
      <c r="I48" s="236">
        <f>SUMIFS(元生万物建设银行!$H:$H,元生万物建设银行!$B:$B,"="&amp;$E$2,元生万物建设银行!$D:$D,"="&amp;$C48)</f>
        <v>0</v>
      </c>
      <c r="J48" s="236">
        <f>SUMIFS(言吾言中国银行!$H:$H,言吾言中国银行!$B:$B,"="&amp;$E$2,言吾言中国银行!$D:$D,"="&amp;$C48)</f>
        <v>0</v>
      </c>
      <c r="K48" s="236">
        <f>SUMIFS(力喆传媒海峡银行!$H:$H,力喆传媒海峡银行!$B:$B,"="&amp;$E$2,力喆传媒海峡银行!$D:$D,"="&amp;$C48)</f>
        <v>0</v>
      </c>
      <c r="L48" s="236">
        <f>SUMIFS(古玩城农商银行!$O:$O,古玩城农商银行!$B:$B,"="&amp;$E$2,古玩城农商银行!$D:$D,"="&amp;$C48)</f>
        <v>0</v>
      </c>
      <c r="M48" s="236">
        <v>0</v>
      </c>
      <c r="N48" s="236">
        <f>SUMIFS(艾泊烨海峡银行!$H:$H,艾泊烨海峡银行!$B:$B,"="&amp;$E$2,艾泊烨海峡银行!$D:$D,"="&amp;$C48)</f>
        <v>0</v>
      </c>
      <c r="O48" s="236">
        <v>0</v>
      </c>
      <c r="P48" s="236">
        <f>SUMIFS(艾泊烨农商银行!$J:$J,艾泊烨农商银行!$B:$B,"="&amp;$E$2,艾泊烨农商银行!D:D,"="&amp;$C48)</f>
        <v>0</v>
      </c>
      <c r="Q48" s="236">
        <f>SUMIFS(艾泊烨私户银行!$H:$H,艾泊烨私户银行!$B:$B,"="&amp;$E$2,艾泊烨私户银行!$D:$D,"="&amp;$C48)</f>
        <v>0</v>
      </c>
      <c r="R48" s="236">
        <f>SUMIFS(易佰兴建行!$P:$P,易佰兴建行!$B:$B,"="&amp;$E$2,易佰兴建行!$D:$D,"="&amp;$C48)</f>
        <v>0</v>
      </c>
      <c r="S48" s="236">
        <f>SUMIFS(易佰兴私户!$P:$P,易佰兴私户!$B:$B,"="&amp;$E$2,易佰兴私户!$D:$D,"="&amp;$C48)</f>
        <v>0</v>
      </c>
      <c r="T48" s="251">
        <f>SUMIFS(易佰兴现金!$O:$O,易佰兴现金!$B:$B,"="&amp;$E$2,易佰兴现金!D:D,"="&amp;$C48)</f>
        <v>0</v>
      </c>
      <c r="U48" s="236">
        <f>SUMIFS(易佰兴基本户!$P:$P,易佰兴基本户!$B:$B,"="&amp;$E$2,易佰兴基本户!D:D,"="&amp;$C48)</f>
        <v>0</v>
      </c>
    </row>
    <row r="49" ht="14.25" outlineLevel="1" spans="1:21">
      <c r="A49" s="229"/>
      <c r="B49" s="250">
        <f t="shared" si="3"/>
        <v>5</v>
      </c>
      <c r="C49" s="254" t="s">
        <v>109</v>
      </c>
      <c r="D49" s="234" t="e">
        <f>SUMIFS(#REF!,#REF!,"="&amp;$E$2,#REF!,"="&amp;$C49)</f>
        <v>#REF!</v>
      </c>
      <c r="E49" s="235">
        <f>SUMIFS(力喆实业中国银行!$H:$H,力喆实业中国银行!$B:$B,"="&amp;$E$2,力喆实业中国银行!$D:$D,"="&amp;$C49)</f>
        <v>0</v>
      </c>
      <c r="F49" s="235">
        <f>SUMIFS(力喆产业农商银行!$H:$H,力喆产业农商银行!$B:$B,"="&amp;$E$2,力喆产业农商银行!$D:$D,"="&amp;$C49)</f>
        <v>0</v>
      </c>
      <c r="G49" s="236">
        <f>SUMIFS(徐洁招商银行!$H:$H,徐洁招商银行!$B:$B,"="&amp;$E$2,徐洁招商银行!$D:$D,"="&amp;$C49)</f>
        <v>0</v>
      </c>
      <c r="H49" s="236">
        <f>SUMIFS(力喆贸易建设银行!$H:$H,力喆贸易建设银行!$B:$B,"="&amp;$E$2,力喆贸易建设银行!$D:$D,"="&amp;$C49)</f>
        <v>0</v>
      </c>
      <c r="I49" s="236">
        <f>SUMIFS(元生万物建设银行!$H:$H,元生万物建设银行!$B:$B,"="&amp;$E$2,元生万物建设银行!$D:$D,"="&amp;$C49)</f>
        <v>0</v>
      </c>
      <c r="J49" s="236">
        <f>SUMIFS(言吾言中国银行!$H:$H,言吾言中国银行!$B:$B,"="&amp;$E$2,言吾言中国银行!$D:$D,"="&amp;$C49)</f>
        <v>0</v>
      </c>
      <c r="K49" s="236">
        <f>SUMIFS(力喆传媒海峡银行!$H:$H,力喆传媒海峡银行!$B:$B,"="&amp;$E$2,力喆传媒海峡银行!$D:$D,"="&amp;$C49)</f>
        <v>0</v>
      </c>
      <c r="L49" s="236">
        <f>SUMIFS(古玩城农商银行!$O:$O,古玩城农商银行!$B:$B,"="&amp;$E$2,古玩城农商银行!$D:$D,"="&amp;$C49)</f>
        <v>0</v>
      </c>
      <c r="M49" s="236">
        <v>0</v>
      </c>
      <c r="N49" s="236">
        <f>SUMIFS(艾泊烨海峡银行!$H:$H,艾泊烨海峡银行!$B:$B,"="&amp;$E$2,艾泊烨海峡银行!$D:$D,"="&amp;$C49)</f>
        <v>0</v>
      </c>
      <c r="O49" s="236">
        <v>0</v>
      </c>
      <c r="P49" s="236">
        <f>SUMIFS(艾泊烨农商银行!$J:$J,艾泊烨农商银行!$B:$B,"="&amp;$E$2,艾泊烨农商银行!D:D,"="&amp;$C49)</f>
        <v>0</v>
      </c>
      <c r="Q49" s="236">
        <f>SUMIFS(艾泊烨私户银行!$H:$H,艾泊烨私户银行!$B:$B,"="&amp;$E$2,艾泊烨私户银行!$D:$D,"="&amp;$C49)</f>
        <v>0</v>
      </c>
      <c r="R49" s="236">
        <f>SUMIFS(易佰兴建行!$P:$P,易佰兴建行!$B:$B,"="&amp;$E$2,易佰兴建行!$D:$D,"="&amp;$C49)</f>
        <v>0</v>
      </c>
      <c r="S49" s="236">
        <f>SUMIFS(易佰兴私户!$P:$P,易佰兴私户!$B:$B,"="&amp;$E$2,易佰兴私户!$D:$D,"="&amp;$C49)</f>
        <v>0</v>
      </c>
      <c r="T49" s="251">
        <f>SUMIFS(易佰兴现金!$O:$O,易佰兴现金!$B:$B,"="&amp;$E$2,易佰兴现金!D:D,"="&amp;$C49)</f>
        <v>0</v>
      </c>
      <c r="U49" s="236">
        <f>SUMIFS(易佰兴基本户!$P:$P,易佰兴基本户!$B:$B,"="&amp;$E$2,易佰兴基本户!D:D,"="&amp;$C49)</f>
        <v>0</v>
      </c>
    </row>
    <row r="50" ht="14.25" outlineLevel="1" spans="1:21">
      <c r="A50" s="229"/>
      <c r="B50" s="250">
        <f t="shared" si="3"/>
        <v>5</v>
      </c>
      <c r="C50" s="253" t="s">
        <v>110</v>
      </c>
      <c r="D50" s="234" t="e">
        <f>SUMIFS(#REF!,#REF!,"="&amp;$E$2,#REF!,"="&amp;$C50)</f>
        <v>#REF!</v>
      </c>
      <c r="E50" s="235">
        <f>SUMIFS(力喆实业中国银行!$H:$H,力喆实业中国银行!$B:$B,"="&amp;$E$2,力喆实业中国银行!$D:$D,"="&amp;$C50)</f>
        <v>0</v>
      </c>
      <c r="F50" s="235">
        <f>SUMIFS(力喆产业农商银行!$H:$H,力喆产业农商银行!$B:$B,"="&amp;$E$2,力喆产业农商银行!$D:$D,"="&amp;$C50)</f>
        <v>0</v>
      </c>
      <c r="G50" s="236">
        <f>SUMIFS(徐洁招商银行!$H:$H,徐洁招商银行!$B:$B,"="&amp;$E$2,徐洁招商银行!$D:$D,"="&amp;$C50)</f>
        <v>5898.84</v>
      </c>
      <c r="H50" s="236">
        <f>SUMIFS(力喆贸易建设银行!$H:$H,力喆贸易建设银行!$B:$B,"="&amp;$E$2,力喆贸易建设银行!$D:$D,"="&amp;$C50)</f>
        <v>0</v>
      </c>
      <c r="I50" s="236">
        <f>SUMIFS(元生万物建设银行!$H:$H,元生万物建设银行!$B:$B,"="&amp;$E$2,元生万物建设银行!$D:$D,"="&amp;$C50)</f>
        <v>0</v>
      </c>
      <c r="J50" s="236">
        <f>SUMIFS(言吾言中国银行!$H:$H,言吾言中国银行!$B:$B,"="&amp;$E$2,言吾言中国银行!$D:$D,"="&amp;$C50)</f>
        <v>0</v>
      </c>
      <c r="K50" s="236">
        <f>SUMIFS(力喆传媒海峡银行!$H:$H,力喆传媒海峡银行!$B:$B,"="&amp;$E$2,力喆传媒海峡银行!$D:$D,"="&amp;$C50)</f>
        <v>0</v>
      </c>
      <c r="L50" s="236">
        <f>SUMIFS(古玩城农商银行!$O:$O,古玩城农商银行!$B:$B,"="&amp;$E$2,古玩城农商银行!$D:$D,"="&amp;$C50)</f>
        <v>0</v>
      </c>
      <c r="M50" s="236">
        <v>0</v>
      </c>
      <c r="N50" s="236">
        <f>SUMIFS(艾泊烨海峡银行!$H:$H,艾泊烨海峡银行!$B:$B,"="&amp;$E$2,艾泊烨海峡银行!$D:$D,"="&amp;$C50)</f>
        <v>0</v>
      </c>
      <c r="O50" s="236">
        <v>0</v>
      </c>
      <c r="P50" s="236">
        <f>SUMIFS(艾泊烨农商银行!$J:$J,艾泊烨农商银行!$B:$B,"="&amp;$E$2,艾泊烨农商银行!D:D,"="&amp;$C50)</f>
        <v>0</v>
      </c>
      <c r="Q50" s="236">
        <f>SUMIFS(艾泊烨私户银行!$H:$H,艾泊烨私户银行!$B:$B,"="&amp;$E$2,艾泊烨私户银行!$D:$D,"="&amp;$C50)</f>
        <v>0</v>
      </c>
      <c r="R50" s="236">
        <f>SUMIFS(易佰兴建行!$P:$P,易佰兴建行!$B:$B,"="&amp;$E$2,易佰兴建行!$D:$D,"="&amp;$C50)</f>
        <v>0</v>
      </c>
      <c r="S50" s="236">
        <f>SUMIFS(易佰兴私户!$P:$P,易佰兴私户!$B:$B,"="&amp;$E$2,易佰兴私户!$D:$D,"="&amp;$C50)</f>
        <v>0</v>
      </c>
      <c r="T50" s="251">
        <f>SUMIFS(易佰兴现金!$O:$O,易佰兴现金!$B:$B,"="&amp;$E$2,易佰兴现金!D:D,"="&amp;$C50)</f>
        <v>0</v>
      </c>
      <c r="U50" s="236">
        <f>SUMIFS(易佰兴基本户!$P:$P,易佰兴基本户!$B:$B,"="&amp;$E$2,易佰兴基本户!D:D,"="&amp;$C50)</f>
        <v>0</v>
      </c>
    </row>
    <row r="51" ht="14.25" outlineLevel="1" spans="1:21">
      <c r="A51" s="229"/>
      <c r="B51" s="250">
        <f t="shared" si="3"/>
        <v>5</v>
      </c>
      <c r="C51" s="254" t="s">
        <v>111</v>
      </c>
      <c r="D51" s="234" t="e">
        <f>SUMIFS(#REF!,#REF!,"="&amp;$E$2,#REF!,"="&amp;$C51)</f>
        <v>#REF!</v>
      </c>
      <c r="E51" s="235">
        <f>SUMIFS(力喆实业中国银行!$H:$H,力喆实业中国银行!$B:$B,"="&amp;$E$2,力喆实业中国银行!$D:$D,"="&amp;$C51)</f>
        <v>0</v>
      </c>
      <c r="F51" s="235">
        <f>SUMIFS(力喆产业农商银行!$H:$H,力喆产业农商银行!$B:$B,"="&amp;$E$2,力喆产业农商银行!$D:$D,"="&amp;$C51)</f>
        <v>0</v>
      </c>
      <c r="G51" s="236">
        <f>SUMIFS(徐洁招商银行!$H:$H,徐洁招商银行!$B:$B,"="&amp;$E$2,徐洁招商银行!$D:$D,"="&amp;$C51)</f>
        <v>0</v>
      </c>
      <c r="H51" s="236">
        <f>SUMIFS(力喆贸易建设银行!$H:$H,力喆贸易建设银行!$B:$B,"="&amp;$E$2,力喆贸易建设银行!$D:$D,"="&amp;$C51)</f>
        <v>0</v>
      </c>
      <c r="I51" s="236">
        <f>SUMIFS(元生万物建设银行!$H:$H,元生万物建设银行!$B:$B,"="&amp;$E$2,元生万物建设银行!$D:$D,"="&amp;$C51)</f>
        <v>0</v>
      </c>
      <c r="J51" s="236">
        <f>SUMIFS(言吾言中国银行!$H:$H,言吾言中国银行!$B:$B,"="&amp;$E$2,言吾言中国银行!$D:$D,"="&amp;$C51)</f>
        <v>0</v>
      </c>
      <c r="K51" s="236">
        <f>SUMIFS(力喆传媒海峡银行!$H:$H,力喆传媒海峡银行!$B:$B,"="&amp;$E$2,力喆传媒海峡银行!$D:$D,"="&amp;$C51)</f>
        <v>0</v>
      </c>
      <c r="L51" s="236">
        <f>SUMIFS(古玩城农商银行!$O:$O,古玩城农商银行!$B:$B,"="&amp;$E$2,古玩城农商银行!$D:$D,"="&amp;$C51)</f>
        <v>0</v>
      </c>
      <c r="M51" s="236">
        <v>0</v>
      </c>
      <c r="N51" s="236">
        <f>SUMIFS(艾泊烨海峡银行!$H:$H,艾泊烨海峡银行!$B:$B,"="&amp;$E$2,艾泊烨海峡银行!$D:$D,"="&amp;$C51)</f>
        <v>0</v>
      </c>
      <c r="O51" s="236">
        <v>0</v>
      </c>
      <c r="P51" s="236">
        <f>SUMIFS(艾泊烨农商银行!$J:$J,艾泊烨农商银行!$B:$B,"="&amp;$E$2,艾泊烨农商银行!D:D,"="&amp;$C51)</f>
        <v>0</v>
      </c>
      <c r="Q51" s="236">
        <f>SUMIFS(艾泊烨私户银行!$H:$H,艾泊烨私户银行!$B:$B,"="&amp;$E$2,艾泊烨私户银行!$D:$D,"="&amp;$C51)</f>
        <v>0</v>
      </c>
      <c r="R51" s="236">
        <f>SUMIFS(易佰兴建行!$P:$P,易佰兴建行!$B:$B,"="&amp;$E$2,易佰兴建行!$D:$D,"="&amp;$C51)</f>
        <v>0</v>
      </c>
      <c r="S51" s="236">
        <f>SUMIFS(易佰兴私户!$P:$P,易佰兴私户!$B:$B,"="&amp;$E$2,易佰兴私户!$D:$D,"="&amp;$C51)</f>
        <v>0</v>
      </c>
      <c r="T51" s="251">
        <f>SUMIFS(易佰兴现金!$O:$O,易佰兴现金!$B:$B,"="&amp;$E$2,易佰兴现金!D:D,"="&amp;$C51)</f>
        <v>0</v>
      </c>
      <c r="U51" s="236">
        <f>SUMIFS(易佰兴基本户!$P:$P,易佰兴基本户!$B:$B,"="&amp;$E$2,易佰兴基本户!D:D,"="&amp;$C51)</f>
        <v>0</v>
      </c>
    </row>
    <row r="52" ht="14.25" outlineLevel="1" spans="1:21">
      <c r="A52" s="229"/>
      <c r="B52" s="250">
        <f t="shared" si="3"/>
        <v>5</v>
      </c>
      <c r="C52" s="254" t="s">
        <v>112</v>
      </c>
      <c r="D52" s="234" t="e">
        <f>SUMIFS(#REF!,#REF!,"="&amp;$E$2,#REF!,"="&amp;$C52)</f>
        <v>#REF!</v>
      </c>
      <c r="E52" s="235">
        <f>SUMIFS(力喆实业中国银行!$H:$H,力喆实业中国银行!$B:$B,"="&amp;$E$2,力喆实业中国银行!$D:$D,"="&amp;$C52)</f>
        <v>0</v>
      </c>
      <c r="F52" s="235">
        <f>SUMIFS(力喆产业农商银行!$H:$H,力喆产业农商银行!$B:$B,"="&amp;$E$2,力喆产业农商银行!$D:$D,"="&amp;$C52)</f>
        <v>0</v>
      </c>
      <c r="G52" s="236">
        <f>SUMIFS(徐洁招商银行!$H:$H,徐洁招商银行!$B:$B,"="&amp;$E$2,徐洁招商银行!$D:$D,"="&amp;$C52)</f>
        <v>0</v>
      </c>
      <c r="H52" s="236">
        <f>SUMIFS(力喆贸易建设银行!$H:$H,力喆贸易建设银行!$B:$B,"="&amp;$E$2,力喆贸易建设银行!$D:$D,"="&amp;$C52)</f>
        <v>0</v>
      </c>
      <c r="I52" s="236">
        <f>SUMIFS(元生万物建设银行!$H:$H,元生万物建设银行!$B:$B,"="&amp;$E$2,元生万物建设银行!$D:$D,"="&amp;$C52)</f>
        <v>0</v>
      </c>
      <c r="J52" s="236">
        <f>SUMIFS(言吾言中国银行!$H:$H,言吾言中国银行!$B:$B,"="&amp;$E$2,言吾言中国银行!$D:$D,"="&amp;$C52)</f>
        <v>0</v>
      </c>
      <c r="K52" s="236">
        <f>SUMIFS(力喆传媒海峡银行!$H:$H,力喆传媒海峡银行!$B:$B,"="&amp;$E$2,力喆传媒海峡银行!$D:$D,"="&amp;$C52)</f>
        <v>0</v>
      </c>
      <c r="L52" s="236">
        <f>SUMIFS(古玩城农商银行!$O:$O,古玩城农商银行!$B:$B,"="&amp;$E$2,古玩城农商银行!$D:$D,"="&amp;$C52)</f>
        <v>0</v>
      </c>
      <c r="M52" s="236">
        <v>0</v>
      </c>
      <c r="N52" s="236">
        <f>SUMIFS(艾泊烨海峡银行!$H:$H,艾泊烨海峡银行!$B:$B,"="&amp;$E$2,艾泊烨海峡银行!$D:$D,"="&amp;$C52)</f>
        <v>0</v>
      </c>
      <c r="O52" s="236">
        <v>0</v>
      </c>
      <c r="P52" s="236">
        <f>SUMIFS(艾泊烨农商银行!$J:$J,艾泊烨农商银行!$B:$B,"="&amp;$E$2,艾泊烨农商银行!D:D,"="&amp;$C52)</f>
        <v>0</v>
      </c>
      <c r="Q52" s="236">
        <f>SUMIFS(艾泊烨私户银行!$H:$H,艾泊烨私户银行!$B:$B,"="&amp;$E$2,艾泊烨私户银行!$D:$D,"="&amp;$C52)</f>
        <v>0</v>
      </c>
      <c r="R52" s="236">
        <f>SUMIFS(易佰兴建行!$P:$P,易佰兴建行!$B:$B,"="&amp;$E$2,易佰兴建行!$D:$D,"="&amp;$C52)</f>
        <v>0</v>
      </c>
      <c r="S52" s="236">
        <f>SUMIFS(易佰兴私户!$P:$P,易佰兴私户!$B:$B,"="&amp;$E$2,易佰兴私户!$D:$D,"="&amp;$C52)</f>
        <v>0</v>
      </c>
      <c r="T52" s="251">
        <f>SUMIFS(易佰兴现金!$O:$O,易佰兴现金!$B:$B,"="&amp;$E$2,易佰兴现金!D:D,"="&amp;$C52)</f>
        <v>0</v>
      </c>
      <c r="U52" s="236">
        <f>SUMIFS(易佰兴基本户!$P:$P,易佰兴基本户!$B:$B,"="&amp;$E$2,易佰兴基本户!D:D,"="&amp;$C52)</f>
        <v>0</v>
      </c>
    </row>
    <row r="53" ht="14.25" outlineLevel="1" spans="1:21">
      <c r="A53" s="229"/>
      <c r="B53" s="250">
        <f t="shared" si="3"/>
        <v>5</v>
      </c>
      <c r="C53" s="254" t="s">
        <v>113</v>
      </c>
      <c r="D53" s="234" t="e">
        <f>SUMIFS(#REF!,#REF!,"="&amp;$E$2,#REF!,"="&amp;$C53)</f>
        <v>#REF!</v>
      </c>
      <c r="E53" s="235">
        <f>SUMIFS(力喆实业中国银行!$H:$H,力喆实业中国银行!$B:$B,"="&amp;$E$2,力喆实业中国银行!$D:$D,"="&amp;$C53)</f>
        <v>0</v>
      </c>
      <c r="F53" s="235">
        <f>SUMIFS(力喆产业农商银行!$H:$H,力喆产业农商银行!$B:$B,"="&amp;$E$2,力喆产业农商银行!$D:$D,"="&amp;$C53)</f>
        <v>0</v>
      </c>
      <c r="G53" s="236">
        <f>SUMIFS(徐洁招商银行!$H:$H,徐洁招商银行!$B:$B,"="&amp;$E$2,徐洁招商银行!$D:$D,"="&amp;$C53)</f>
        <v>0</v>
      </c>
      <c r="H53" s="236">
        <f>SUMIFS(力喆贸易建设银行!$H:$H,力喆贸易建设银行!$B:$B,"="&amp;$E$2,力喆贸易建设银行!$D:$D,"="&amp;$C53)</f>
        <v>0</v>
      </c>
      <c r="I53" s="236">
        <f>SUMIFS(元生万物建设银行!$H:$H,元生万物建设银行!$B:$B,"="&amp;$E$2,元生万物建设银行!$D:$D,"="&amp;$C53)</f>
        <v>0</v>
      </c>
      <c r="J53" s="236">
        <f>SUMIFS(言吾言中国银行!$H:$H,言吾言中国银行!$B:$B,"="&amp;$E$2,言吾言中国银行!$D:$D,"="&amp;$C53)</f>
        <v>114</v>
      </c>
      <c r="K53" s="236">
        <f>SUMIFS(力喆传媒海峡银行!$H:$H,力喆传媒海峡银行!$B:$B,"="&amp;$E$2,力喆传媒海峡银行!$D:$D,"="&amp;$C53)</f>
        <v>0</v>
      </c>
      <c r="L53" s="236">
        <f>SUMIFS(古玩城农商银行!$O:$O,古玩城农商银行!$B:$B,"="&amp;$E$2,古玩城农商银行!$D:$D,"="&amp;$C53)</f>
        <v>0</v>
      </c>
      <c r="M53" s="236">
        <v>0</v>
      </c>
      <c r="N53" s="236">
        <f>SUMIFS(艾泊烨海峡银行!$H:$H,艾泊烨海峡银行!$B:$B,"="&amp;$E$2,艾泊烨海峡银行!$D:$D,"="&amp;$C53)</f>
        <v>0</v>
      </c>
      <c r="O53" s="236">
        <v>0</v>
      </c>
      <c r="P53" s="236">
        <f>SUMIFS(艾泊烨农商银行!$J:$J,艾泊烨农商银行!$B:$B,"="&amp;$E$2,艾泊烨农商银行!D:D,"="&amp;$C53)</f>
        <v>0</v>
      </c>
      <c r="Q53" s="236">
        <f>SUMIFS(艾泊烨私户银行!$H:$H,艾泊烨私户银行!$B:$B,"="&amp;$E$2,艾泊烨私户银行!$D:$D,"="&amp;$C53)</f>
        <v>0</v>
      </c>
      <c r="R53" s="236">
        <f>SUMIFS(易佰兴建行!$P:$P,易佰兴建行!$B:$B,"="&amp;$E$2,易佰兴建行!$D:$D,"="&amp;$C53)</f>
        <v>0</v>
      </c>
      <c r="S53" s="236">
        <f>SUMIFS(易佰兴私户!$P:$P,易佰兴私户!$B:$B,"="&amp;$E$2,易佰兴私户!$D:$D,"="&amp;$C53)</f>
        <v>0</v>
      </c>
      <c r="T53" s="251">
        <f>SUMIFS(易佰兴现金!$O:$O,易佰兴现金!$B:$B,"="&amp;$E$2,易佰兴现金!D:D,"="&amp;$C53)</f>
        <v>0</v>
      </c>
      <c r="U53" s="236">
        <f>SUMIFS(易佰兴基本户!$P:$P,易佰兴基本户!$B:$B,"="&amp;$E$2,易佰兴基本户!D:D,"="&amp;$C53)</f>
        <v>0</v>
      </c>
    </row>
    <row r="54" ht="14.25" outlineLevel="1" spans="1:21">
      <c r="A54" s="229"/>
      <c r="B54" s="250">
        <f t="shared" si="3"/>
        <v>5</v>
      </c>
      <c r="C54" s="254" t="s">
        <v>114</v>
      </c>
      <c r="D54" s="234" t="e">
        <f>SUMIFS(#REF!,#REF!,"="&amp;$E$2,#REF!,"="&amp;$C54)</f>
        <v>#REF!</v>
      </c>
      <c r="E54" s="235">
        <f>SUMIFS(力喆实业中国银行!$H:$H,力喆实业中国银行!$B:$B,"="&amp;$E$2,力喆实业中国银行!$D:$D,"="&amp;$C54)</f>
        <v>0</v>
      </c>
      <c r="F54" s="235">
        <f>SUMIFS(力喆产业农商银行!$H:$H,力喆产业农商银行!$B:$B,"="&amp;$E$2,力喆产业农商银行!$D:$D,"="&amp;$C54)</f>
        <v>0</v>
      </c>
      <c r="G54" s="236">
        <f>SUMIFS(徐洁招商银行!$H:$H,徐洁招商银行!$B:$B,"="&amp;$E$2,徐洁招商银行!$D:$D,"="&amp;$C54)</f>
        <v>0</v>
      </c>
      <c r="H54" s="236">
        <f>SUMIFS(力喆贸易建设银行!$H:$H,力喆贸易建设银行!$B:$B,"="&amp;$E$2,力喆贸易建设银行!$D:$D,"="&amp;$C54)</f>
        <v>0</v>
      </c>
      <c r="I54" s="236">
        <f>SUMIFS(元生万物建设银行!$H:$H,元生万物建设银行!$B:$B,"="&amp;$E$2,元生万物建设银行!$D:$D,"="&amp;$C54)</f>
        <v>0</v>
      </c>
      <c r="J54" s="236">
        <f>SUMIFS(言吾言中国银行!$H:$H,言吾言中国银行!$B:$B,"="&amp;$E$2,言吾言中国银行!$D:$D,"="&amp;$C54)</f>
        <v>0</v>
      </c>
      <c r="K54" s="236">
        <f>SUMIFS(力喆传媒海峡银行!$H:$H,力喆传媒海峡银行!$B:$B,"="&amp;$E$2,力喆传媒海峡银行!$D:$D,"="&amp;$C54)</f>
        <v>0</v>
      </c>
      <c r="L54" s="236">
        <f>SUMIFS(古玩城农商银行!$O:$O,古玩城农商银行!$B:$B,"="&amp;$E$2,古玩城农商银行!$D:$D,"="&amp;$C54)</f>
        <v>0</v>
      </c>
      <c r="M54" s="236">
        <v>0</v>
      </c>
      <c r="N54" s="236">
        <f>SUMIFS(艾泊烨海峡银行!$H:$H,艾泊烨海峡银行!$B:$B,"="&amp;$E$2,艾泊烨海峡银行!$D:$D,"="&amp;$C54)</f>
        <v>0</v>
      </c>
      <c r="O54" s="236">
        <v>0</v>
      </c>
      <c r="P54" s="236">
        <f>SUMIFS(艾泊烨农商银行!$J:$J,艾泊烨农商银行!$B:$B,"="&amp;$E$2,艾泊烨农商银行!D:D,"="&amp;$C54)</f>
        <v>0</v>
      </c>
      <c r="Q54" s="236">
        <f>SUMIFS(艾泊烨私户银行!$H:$H,艾泊烨私户银行!$B:$B,"="&amp;$E$2,艾泊烨私户银行!$D:$D,"="&amp;$C54)</f>
        <v>0</v>
      </c>
      <c r="R54" s="236">
        <f>SUMIFS(易佰兴建行!$P:$P,易佰兴建行!$B:$B,"="&amp;$E$2,易佰兴建行!$D:$D,"="&amp;$C54)</f>
        <v>0</v>
      </c>
      <c r="S54" s="236">
        <f>SUMIFS(易佰兴私户!$P:$P,易佰兴私户!$B:$B,"="&amp;$E$2,易佰兴私户!$D:$D,"="&amp;$C54)</f>
        <v>0</v>
      </c>
      <c r="T54" s="251">
        <f>SUMIFS(易佰兴现金!$O:$O,易佰兴现金!$B:$B,"="&amp;$E$2,易佰兴现金!D:D,"="&amp;$C54)</f>
        <v>0</v>
      </c>
      <c r="U54" s="236">
        <f>SUMIFS(易佰兴基本户!$P:$P,易佰兴基本户!$B:$B,"="&amp;$E$2,易佰兴基本户!D:D,"="&amp;$C54)</f>
        <v>0</v>
      </c>
    </row>
    <row r="55" ht="14.25" outlineLevel="1" spans="1:21">
      <c r="A55" s="229"/>
      <c r="B55" s="250">
        <f t="shared" si="3"/>
        <v>5</v>
      </c>
      <c r="C55" s="254" t="s">
        <v>115</v>
      </c>
      <c r="D55" s="234" t="e">
        <f>SUMIFS(#REF!,#REF!,"="&amp;$E$2,#REF!,"="&amp;$C55)</f>
        <v>#REF!</v>
      </c>
      <c r="E55" s="235">
        <f>SUMIFS(力喆实业中国银行!$H:$H,力喆实业中国银行!$B:$B,"="&amp;$E$2,力喆实业中国银行!$D:$D,"="&amp;$C55)</f>
        <v>0</v>
      </c>
      <c r="F55" s="235">
        <f>SUMIFS(力喆产业农商银行!$H:$H,力喆产业农商银行!$B:$B,"="&amp;$E$2,力喆产业农商银行!$D:$D,"="&amp;$C55)</f>
        <v>0</v>
      </c>
      <c r="G55" s="236">
        <f>SUMIFS(徐洁招商银行!$H:$H,徐洁招商银行!$B:$B,"="&amp;$E$2,徐洁招商银行!$D:$D,"="&amp;$C55)</f>
        <v>0</v>
      </c>
      <c r="H55" s="236">
        <f>SUMIFS(力喆贸易建设银行!$H:$H,力喆贸易建设银行!$B:$B,"="&amp;$E$2,力喆贸易建设银行!$D:$D,"="&amp;$C55)</f>
        <v>0</v>
      </c>
      <c r="I55" s="236">
        <f>SUMIFS(元生万物建设银行!$H:$H,元生万物建设银行!$B:$B,"="&amp;$E$2,元生万物建设银行!$D:$D,"="&amp;$C55)</f>
        <v>0</v>
      </c>
      <c r="J55" s="236">
        <f>SUMIFS(言吾言中国银行!$H:$H,言吾言中国银行!$B:$B,"="&amp;$E$2,言吾言中国银行!$D:$D,"="&amp;$C55)</f>
        <v>0</v>
      </c>
      <c r="K55" s="236">
        <f>SUMIFS(力喆传媒海峡银行!$H:$H,力喆传媒海峡银行!$B:$B,"="&amp;$E$2,力喆传媒海峡银行!$D:$D,"="&amp;$C55)</f>
        <v>0</v>
      </c>
      <c r="L55" s="236">
        <f>SUMIFS(古玩城农商银行!$O:$O,古玩城农商银行!$B:$B,"="&amp;$E$2,古玩城农商银行!$D:$D,"="&amp;$C55)</f>
        <v>0</v>
      </c>
      <c r="M55" s="236">
        <v>0</v>
      </c>
      <c r="N55" s="236">
        <f>SUMIFS(艾泊烨海峡银行!$H:$H,艾泊烨海峡银行!$B:$B,"="&amp;$E$2,艾泊烨海峡银行!$D:$D,"="&amp;$C55)</f>
        <v>0</v>
      </c>
      <c r="O55" s="236">
        <v>0</v>
      </c>
      <c r="P55" s="236">
        <f>SUMIFS(艾泊烨农商银行!$J:$J,艾泊烨农商银行!$B:$B,"="&amp;$E$2,艾泊烨农商银行!D:D,"="&amp;$C55)</f>
        <v>0</v>
      </c>
      <c r="Q55" s="236">
        <f>SUMIFS(艾泊烨私户银行!$H:$H,艾泊烨私户银行!$B:$B,"="&amp;$E$2,艾泊烨私户银行!$D:$D,"="&amp;$C55)</f>
        <v>0</v>
      </c>
      <c r="R55" s="236">
        <f>SUMIFS(易佰兴建行!$P:$P,易佰兴建行!$B:$B,"="&amp;$E$2,易佰兴建行!$D:$D,"="&amp;$C55)</f>
        <v>0</v>
      </c>
      <c r="S55" s="236">
        <f>SUMIFS(易佰兴私户!$P:$P,易佰兴私户!$B:$B,"="&amp;$E$2,易佰兴私户!$D:$D,"="&amp;$C55)</f>
        <v>0</v>
      </c>
      <c r="T55" s="251">
        <f>SUMIFS(易佰兴现金!$O:$O,易佰兴现金!$B:$B,"="&amp;$E$2,易佰兴现金!D:D,"="&amp;$C55)</f>
        <v>0</v>
      </c>
      <c r="U55" s="236">
        <f>SUMIFS(易佰兴基本户!$P:$P,易佰兴基本户!$B:$B,"="&amp;$E$2,易佰兴基本户!D:D,"="&amp;$C55)</f>
        <v>0</v>
      </c>
    </row>
    <row r="56" ht="14.25" outlineLevel="1" spans="1:21">
      <c r="A56" s="229"/>
      <c r="B56" s="250">
        <f t="shared" si="3"/>
        <v>5</v>
      </c>
      <c r="C56" s="253" t="s">
        <v>116</v>
      </c>
      <c r="D56" s="234" t="e">
        <f>SUMIFS(#REF!,#REF!,"="&amp;$E$2,#REF!,"="&amp;$C56)</f>
        <v>#REF!</v>
      </c>
      <c r="E56" s="235">
        <f>SUMIFS(力喆实业中国银行!$H:$H,力喆实业中国银行!$B:$B,"="&amp;$E$2,力喆实业中国银行!$D:$D,"="&amp;$C56)</f>
        <v>0</v>
      </c>
      <c r="F56" s="235">
        <f>SUMIFS(力喆产业农商银行!$H:$H,力喆产业农商银行!$B:$B,"="&amp;$E$2,力喆产业农商银行!$D:$D,"="&amp;$C56)</f>
        <v>0</v>
      </c>
      <c r="G56" s="236">
        <f>SUMIFS(徐洁招商银行!$H:$H,徐洁招商银行!$B:$B,"="&amp;$E$2,徐洁招商银行!$D:$D,"="&amp;$C56)</f>
        <v>0</v>
      </c>
      <c r="H56" s="236">
        <f>SUMIFS(力喆贸易建设银行!$H:$H,力喆贸易建设银行!$B:$B,"="&amp;$E$2,力喆贸易建设银行!$D:$D,"="&amp;$C56)</f>
        <v>0</v>
      </c>
      <c r="I56" s="236">
        <f>SUMIFS(元生万物建设银行!$H:$H,元生万物建设银行!$B:$B,"="&amp;$E$2,元生万物建设银行!$D:$D,"="&amp;$C56)</f>
        <v>0</v>
      </c>
      <c r="J56" s="236">
        <f>SUMIFS(言吾言中国银行!$H:$H,言吾言中国银行!$B:$B,"="&amp;$E$2,言吾言中国银行!$D:$D,"="&amp;$C56)</f>
        <v>0</v>
      </c>
      <c r="K56" s="236">
        <f>SUMIFS(力喆传媒海峡银行!$H:$H,力喆传媒海峡银行!$B:$B,"="&amp;$E$2,力喆传媒海峡银行!$D:$D,"="&amp;$C56)</f>
        <v>0</v>
      </c>
      <c r="L56" s="236">
        <f>SUMIFS(古玩城农商银行!$O:$O,古玩城农商银行!$B:$B,"="&amp;$E$2,古玩城农商银行!$D:$D,"="&amp;$C56)</f>
        <v>0</v>
      </c>
      <c r="M56" s="236">
        <v>0</v>
      </c>
      <c r="N56" s="236">
        <f>SUMIFS(艾泊烨海峡银行!$H:$H,艾泊烨海峡银行!$B:$B,"="&amp;$E$2,艾泊烨海峡银行!$D:$D,"="&amp;$C56)</f>
        <v>0</v>
      </c>
      <c r="O56" s="236">
        <v>0</v>
      </c>
      <c r="P56" s="236">
        <f>SUMIFS(艾泊烨农商银行!$J:$J,艾泊烨农商银行!$B:$B,"="&amp;$E$2,艾泊烨农商银行!D:D,"="&amp;$C56)</f>
        <v>0</v>
      </c>
      <c r="Q56" s="236">
        <f>SUMIFS(艾泊烨私户银行!$H:$H,艾泊烨私户银行!$B:$B,"="&amp;$E$2,艾泊烨私户银行!$D:$D,"="&amp;$C56)</f>
        <v>0</v>
      </c>
      <c r="R56" s="236">
        <f>SUMIFS(易佰兴建行!$P:$P,易佰兴建行!$B:$B,"="&amp;$E$2,易佰兴建行!$D:$D,"="&amp;$C56)</f>
        <v>0</v>
      </c>
      <c r="S56" s="236">
        <f>SUMIFS(易佰兴私户!$P:$P,易佰兴私户!$B:$B,"="&amp;$E$2,易佰兴私户!$D:$D,"="&amp;$C56)</f>
        <v>0</v>
      </c>
      <c r="T56" s="251">
        <f>SUMIFS(易佰兴现金!$O:$O,易佰兴现金!$B:$B,"="&amp;$E$2,易佰兴现金!D:D,"="&amp;$C56)</f>
        <v>0</v>
      </c>
      <c r="U56" s="236">
        <f>SUMIFS(易佰兴基本户!$P:$P,易佰兴基本户!$B:$B,"="&amp;$E$2,易佰兴基本户!D:D,"="&amp;$C56)</f>
        <v>0</v>
      </c>
    </row>
    <row r="57" ht="14.25" outlineLevel="1" spans="1:21">
      <c r="A57" s="229"/>
      <c r="B57" s="250">
        <f t="shared" si="3"/>
        <v>5</v>
      </c>
      <c r="C57" s="253" t="s">
        <v>117</v>
      </c>
      <c r="D57" s="234" t="e">
        <f>SUMIFS(#REF!,#REF!,"="&amp;$E$2,#REF!,"="&amp;$C57)</f>
        <v>#REF!</v>
      </c>
      <c r="E57" s="235">
        <f>SUMIFS(力喆实业中国银行!$H:$H,力喆实业中国银行!$B:$B,"="&amp;$E$2,力喆实业中国银行!$D:$D,"="&amp;$C57)</f>
        <v>0</v>
      </c>
      <c r="F57" s="235">
        <f>SUMIFS(力喆产业农商银行!$H:$H,力喆产业农商银行!$B:$B,"="&amp;$E$2,力喆产业农商银行!$D:$D,"="&amp;$C57)</f>
        <v>0</v>
      </c>
      <c r="G57" s="236">
        <f>SUMIFS(徐洁招商银行!$H:$H,徐洁招商银行!$B:$B,"="&amp;$E$2,徐洁招商银行!$D:$D,"="&amp;$C57)</f>
        <v>0</v>
      </c>
      <c r="H57" s="236">
        <f>SUMIFS(力喆贸易建设银行!$H:$H,力喆贸易建设银行!$B:$B,"="&amp;$E$2,力喆贸易建设银行!$D:$D,"="&amp;$C57)</f>
        <v>0</v>
      </c>
      <c r="I57" s="236">
        <f>SUMIFS(元生万物建设银行!$H:$H,元生万物建设银行!$B:$B,"="&amp;$E$2,元生万物建设银行!$D:$D,"="&amp;$C57)</f>
        <v>0</v>
      </c>
      <c r="J57" s="236">
        <f>SUMIFS(言吾言中国银行!$H:$H,言吾言中国银行!$B:$B,"="&amp;$E$2,言吾言中国银行!$D:$D,"="&amp;$C57)</f>
        <v>0</v>
      </c>
      <c r="K57" s="236">
        <f>SUMIFS(力喆传媒海峡银行!$H:$H,力喆传媒海峡银行!$B:$B,"="&amp;$E$2,力喆传媒海峡银行!$D:$D,"="&amp;$C57)</f>
        <v>0</v>
      </c>
      <c r="L57" s="236">
        <f>SUMIFS(古玩城农商银行!$O:$O,古玩城农商银行!$B:$B,"="&amp;$E$2,古玩城农商银行!$D:$D,"="&amp;$C57)</f>
        <v>0</v>
      </c>
      <c r="M57" s="236">
        <v>0</v>
      </c>
      <c r="N57" s="236">
        <f>SUMIFS(艾泊烨海峡银行!$H:$H,艾泊烨海峡银行!$B:$B,"="&amp;$E$2,艾泊烨海峡银行!$D:$D,"="&amp;$C57)</f>
        <v>0</v>
      </c>
      <c r="O57" s="236">
        <v>0</v>
      </c>
      <c r="P57" s="236">
        <f>SUMIFS(艾泊烨农商银行!$J:$J,艾泊烨农商银行!$B:$B,"="&amp;$E$2,艾泊烨农商银行!D:D,"="&amp;$C57)</f>
        <v>0</v>
      </c>
      <c r="Q57" s="236">
        <f>SUMIFS(艾泊烨私户银行!$H:$H,艾泊烨私户银行!$B:$B,"="&amp;$E$2,艾泊烨私户银行!$D:$D,"="&amp;$C57)</f>
        <v>0</v>
      </c>
      <c r="R57" s="236">
        <f>SUMIFS(易佰兴建行!$P:$P,易佰兴建行!$B:$B,"="&amp;$E$2,易佰兴建行!$D:$D,"="&amp;$C57)</f>
        <v>0</v>
      </c>
      <c r="S57" s="236">
        <f>SUMIFS(易佰兴私户!$P:$P,易佰兴私户!$B:$B,"="&amp;$E$2,易佰兴私户!$D:$D,"="&amp;$C57)</f>
        <v>0</v>
      </c>
      <c r="T57" s="251">
        <f>SUMIFS(易佰兴现金!$O:$O,易佰兴现金!$B:$B,"="&amp;$E$2,易佰兴现金!D:D,"="&amp;$C57)</f>
        <v>0</v>
      </c>
      <c r="U57" s="236">
        <f>SUMIFS(易佰兴基本户!$P:$P,易佰兴基本户!$B:$B,"="&amp;$E$2,易佰兴基本户!D:D,"="&amp;$C57)</f>
        <v>0</v>
      </c>
    </row>
    <row r="58" ht="14.25" outlineLevel="1" spans="1:21">
      <c r="A58" s="229"/>
      <c r="B58" s="250">
        <f t="shared" si="3"/>
        <v>5</v>
      </c>
      <c r="C58" s="253" t="s">
        <v>118</v>
      </c>
      <c r="D58" s="234" t="e">
        <f>SUMIFS(#REF!,#REF!,"="&amp;$E$2,#REF!,"="&amp;$C58)</f>
        <v>#REF!</v>
      </c>
      <c r="E58" s="235">
        <f>SUMIFS(力喆实业中国银行!$H:$H,力喆实业中国银行!$B:$B,"="&amp;$E$2,力喆实业中国银行!$D:$D,"="&amp;$C58)</f>
        <v>0</v>
      </c>
      <c r="F58" s="235">
        <f>SUMIFS(力喆产业农商银行!$H:$H,力喆产业农商银行!$B:$B,"="&amp;$E$2,力喆产业农商银行!$D:$D,"="&amp;$C58)</f>
        <v>0</v>
      </c>
      <c r="G58" s="236">
        <f>SUMIFS(徐洁招商银行!$H:$H,徐洁招商银行!$B:$B,"="&amp;$E$2,徐洁招商银行!$D:$D,"="&amp;$C58)</f>
        <v>0</v>
      </c>
      <c r="H58" s="236">
        <f>SUMIFS(力喆贸易建设银行!$H:$H,力喆贸易建设银行!$B:$B,"="&amp;$E$2,力喆贸易建设银行!$D:$D,"="&amp;$C58)</f>
        <v>0</v>
      </c>
      <c r="I58" s="236">
        <f>SUMIFS(元生万物建设银行!$H:$H,元生万物建设银行!$B:$B,"="&amp;$E$2,元生万物建设银行!$D:$D,"="&amp;$C58)</f>
        <v>0</v>
      </c>
      <c r="J58" s="236">
        <f>SUMIFS(言吾言中国银行!$H:$H,言吾言中国银行!$B:$B,"="&amp;$E$2,言吾言中国银行!$D:$D,"="&amp;$C58)</f>
        <v>0</v>
      </c>
      <c r="K58" s="236">
        <f>SUMIFS(力喆传媒海峡银行!$H:$H,力喆传媒海峡银行!$B:$B,"="&amp;$E$2,力喆传媒海峡银行!$D:$D,"="&amp;$C58)</f>
        <v>0</v>
      </c>
      <c r="L58" s="236">
        <f>SUMIFS(古玩城农商银行!$O:$O,古玩城农商银行!$B:$B,"="&amp;$E$2,古玩城农商银行!$D:$D,"="&amp;$C58)</f>
        <v>0</v>
      </c>
      <c r="M58" s="236">
        <v>0</v>
      </c>
      <c r="N58" s="236">
        <f>SUMIFS(艾泊烨海峡银行!$H:$H,艾泊烨海峡银行!$B:$B,"="&amp;$E$2,艾泊烨海峡银行!$D:$D,"="&amp;$C58)</f>
        <v>0</v>
      </c>
      <c r="O58" s="236">
        <v>0</v>
      </c>
      <c r="P58" s="236">
        <f>SUMIFS(艾泊烨农商银行!$J:$J,艾泊烨农商银行!$B:$B,"="&amp;$E$2,艾泊烨农商银行!D:D,"="&amp;$C58)</f>
        <v>0</v>
      </c>
      <c r="Q58" s="236">
        <f>SUMIFS(艾泊烨私户银行!$H:$H,艾泊烨私户银行!$B:$B,"="&amp;$E$2,艾泊烨私户银行!$D:$D,"="&amp;$C58)</f>
        <v>0</v>
      </c>
      <c r="R58" s="236">
        <f>SUMIFS(易佰兴建行!$P:$P,易佰兴建行!$B:$B,"="&amp;$E$2,易佰兴建行!$D:$D,"="&amp;$C58)</f>
        <v>0</v>
      </c>
      <c r="S58" s="236">
        <f>SUMIFS(易佰兴私户!$P:$P,易佰兴私户!$B:$B,"="&amp;$E$2,易佰兴私户!$D:$D,"="&amp;$C58)</f>
        <v>0</v>
      </c>
      <c r="T58" s="251">
        <f>SUMIFS(易佰兴现金!$O:$O,易佰兴现金!$B:$B,"="&amp;$E$2,易佰兴现金!D:D,"="&amp;$C58)</f>
        <v>0</v>
      </c>
      <c r="U58" s="236">
        <f>SUMIFS(易佰兴基本户!$P:$P,易佰兴基本户!$B:$B,"="&amp;$E$2,易佰兴基本户!D:D,"="&amp;$C58)</f>
        <v>0</v>
      </c>
    </row>
    <row r="59" ht="14.25" outlineLevel="1" spans="1:21">
      <c r="A59" s="229"/>
      <c r="B59" s="250">
        <f t="shared" si="3"/>
        <v>5</v>
      </c>
      <c r="C59" s="252" t="s">
        <v>16</v>
      </c>
      <c r="D59" s="234" t="e">
        <f>SUMIFS(#REF!,#REF!,"="&amp;$E$2,#REF!,"="&amp;$C59)</f>
        <v>#REF!</v>
      </c>
      <c r="E59" s="235">
        <f>SUMIFS(力喆实业中国银行!$H:$H,力喆实业中国银行!$B:$B,"="&amp;$E$2,力喆实业中国银行!$D:$D,"="&amp;$C59)</f>
        <v>0</v>
      </c>
      <c r="F59" s="235">
        <f>SUMIFS(力喆产业农商银行!$H:$H,力喆产业农商银行!$B:$B,"="&amp;$E$2,力喆产业农商银行!$D:$D,"="&amp;$C59)</f>
        <v>10</v>
      </c>
      <c r="G59" s="236">
        <f>SUMIFS(徐洁招商银行!$H:$H,徐洁招商银行!$B:$B,"="&amp;$E$2,徐洁招商银行!$D:$D,"="&amp;$C59)</f>
        <v>0</v>
      </c>
      <c r="H59" s="236">
        <f>SUMIFS(力喆贸易建设银行!$H:$H,力喆贸易建设银行!$B:$B,"="&amp;$E$2,力喆贸易建设银行!$D:$D,"="&amp;$C59)</f>
        <v>33</v>
      </c>
      <c r="I59" s="236">
        <f>SUMIFS(元生万物建设银行!$H:$H,元生万物建设银行!$B:$B,"="&amp;$E$2,元生万物建设银行!$D:$D,"="&amp;$C59)</f>
        <v>30</v>
      </c>
      <c r="J59" s="236">
        <f>SUMIFS(言吾言中国银行!$H:$H,言吾言中国银行!$B:$B,"="&amp;$E$2,言吾言中国银行!$D:$D,"="&amp;$C59)</f>
        <v>20</v>
      </c>
      <c r="K59" s="236">
        <f>SUMIFS(力喆传媒海峡银行!$H:$H,力喆传媒海峡银行!$B:$B,"="&amp;$E$2,力喆传媒海峡银行!$D:$D,"="&amp;$C59)</f>
        <v>0</v>
      </c>
      <c r="L59" s="236">
        <f>SUMIFS(古玩城农商银行!$M:$M,古玩城农商银行!$B:$B,"="&amp;$E$2)</f>
        <v>180.77</v>
      </c>
      <c r="M59" s="236">
        <v>0</v>
      </c>
      <c r="N59" s="236">
        <f>SUMIFS(艾泊烨海峡银行!$H:$H,艾泊烨海峡银行!$B:$B,"="&amp;$E$2,艾泊烨海峡银行!$D:$D,"="&amp;$C59)</f>
        <v>52</v>
      </c>
      <c r="O59" s="236">
        <f>SUMIFS(艾泊烨招商银行!$H:$H,艾泊烨招商银行!$B:$B,"="&amp;$E$2,艾泊烨招商银行!$D:$D,"="&amp;$C59)</f>
        <v>25</v>
      </c>
      <c r="P59" s="236">
        <f>SUMIFS(艾泊烨农商银行!$J:$J,艾泊烨农商银行!$B:$B,"="&amp;$E$2,艾泊烨农商银行!D:D,"="&amp;$C59)</f>
        <v>0</v>
      </c>
      <c r="Q59" s="236">
        <f>SUMIFS(艾泊烨私户银行!$H:$H,艾泊烨私户银行!$B:$B,"="&amp;$E$2,艾泊烨私户银行!$D:$D,"="&amp;$C59)</f>
        <v>0</v>
      </c>
      <c r="R59" s="236">
        <f>SUMIFS(易佰兴建行!$P:$P,易佰兴建行!$B:$B,"="&amp;$E$2,易佰兴建行!$D:$D,"="&amp;$C59)</f>
        <v>19</v>
      </c>
      <c r="S59" s="255">
        <f>SUMIFS(易佰兴私户!$N:$N,易佰兴私户!$B:$B,"="&amp;$E$2)</f>
        <v>130.37</v>
      </c>
      <c r="T59" s="251">
        <f>SUMIFS(易佰兴现金!$O:$O,易佰兴现金!$B:$B,"="&amp;$E$2,易佰兴现金!D:D,"="&amp;$C59)</f>
        <v>0</v>
      </c>
      <c r="U59" s="255">
        <f>SUMIFS(易佰兴基本户!$N:$N,易佰兴基本户!B:B,"="&amp;$E$2)</f>
        <v>0</v>
      </c>
    </row>
    <row r="60" ht="14.25" outlineLevel="1" spans="1:21">
      <c r="A60" s="229"/>
      <c r="B60" s="250">
        <f t="shared" si="3"/>
        <v>5</v>
      </c>
      <c r="C60" s="222" t="s">
        <v>119</v>
      </c>
      <c r="D60" s="234" t="e">
        <f>SUMIFS(#REF!,#REF!,"="&amp;$E$2,#REF!,"="&amp;$C60)</f>
        <v>#REF!</v>
      </c>
      <c r="E60" s="235">
        <f>SUMIFS(力喆实业中国银行!$H:$H,力喆实业中国银行!$B:$B,"="&amp;$E$2,力喆实业中国银行!$D:$D,"="&amp;$C60)</f>
        <v>0</v>
      </c>
      <c r="F60" s="235">
        <f>SUMIFS(力喆产业农商银行!$H:$H,力喆产业农商银行!$B:$B,"="&amp;$E$2,力喆产业农商银行!$D:$D,"="&amp;$C60)</f>
        <v>0</v>
      </c>
      <c r="G60" s="236">
        <f>SUMIFS(徐洁招商银行!$H:$H,徐洁招商银行!$B:$B,"="&amp;$E$2,徐洁招商银行!$D:$D,"="&amp;$C60)</f>
        <v>0</v>
      </c>
      <c r="H60" s="236">
        <f>SUMIFS(力喆贸易建设银行!$H:$H,力喆贸易建设银行!$B:$B,"="&amp;$E$2,力喆贸易建设银行!$D:$D,"="&amp;$C60)</f>
        <v>6397.46</v>
      </c>
      <c r="I60" s="236">
        <f>SUMIFS(元生万物建设银行!$H:$H,元生万物建设银行!$B:$B,"="&amp;$E$2,元生万物建设银行!$D:$D,"="&amp;$C60)</f>
        <v>0</v>
      </c>
      <c r="J60" s="236">
        <f>SUMIFS(言吾言中国银行!$H:$H,言吾言中国银行!$B:$B,"="&amp;$E$2,言吾言中国银行!$D:$D,"="&amp;$C60)</f>
        <v>0</v>
      </c>
      <c r="K60" s="236">
        <f>SUMIFS(力喆传媒海峡银行!$H:$H,力喆传媒海峡银行!$B:$B,"="&amp;$E$2,力喆传媒海峡银行!$D:$D,"="&amp;$C60)</f>
        <v>0</v>
      </c>
      <c r="L60" s="236">
        <f>SUMIFS(古玩城农商银行!$O:$O,古玩城农商银行!$B:$B,"="&amp;$E$2,古玩城农商银行!$D:$D,"="&amp;$C60)</f>
        <v>0</v>
      </c>
      <c r="M60" s="236">
        <v>0</v>
      </c>
      <c r="N60" s="236">
        <f>SUMIFS(艾泊烨海峡银行!$H:$H,艾泊烨海峡银行!$B:$B,"="&amp;$E$2,艾泊烨海峡银行!$D:$D,"="&amp;$C60)</f>
        <v>17.8</v>
      </c>
      <c r="O60" s="236">
        <v>0</v>
      </c>
      <c r="P60" s="236">
        <f>SUMIFS(艾泊烨农商银行!$J:$J,艾泊烨农商银行!$B:$B,"="&amp;$E$2,艾泊烨农商银行!D:D,"="&amp;$C60)</f>
        <v>0</v>
      </c>
      <c r="Q60" s="236">
        <f>SUMIFS(艾泊烨私户银行!$H:$H,艾泊烨私户银行!$B:$B,"="&amp;$E$2,艾泊烨私户银行!$D:$D,"="&amp;$C60)</f>
        <v>0</v>
      </c>
      <c r="R60" s="236">
        <f>SUMIFS(易佰兴建行!$P:$P,易佰兴建行!$B:$B,"="&amp;$E$2,易佰兴建行!D:D,"="&amp;$C60)</f>
        <v>15.5</v>
      </c>
      <c r="S60" s="236">
        <f>SUMIFS(易佰兴私户!$P:$P,易佰兴私户!$B:$B,"="&amp;$E$2,易佰兴私户!$D:$D,"="&amp;$C60)</f>
        <v>0</v>
      </c>
      <c r="T60" s="251">
        <f>SUMIFS(易佰兴现金!$O:$O,易佰兴现金!$B:$B,"="&amp;$E$2,易佰兴现金!D:D,"="&amp;$C60)</f>
        <v>0</v>
      </c>
      <c r="U60" s="251">
        <f>SUMIFS(易佰兴基本户!$P:$P,易佰兴基本户!$B:$B,"="&amp;$E$2,易佰兴基本户!D:D,"="&amp;$C60)</f>
        <v>0</v>
      </c>
    </row>
    <row r="61" ht="14.25" outlineLevel="1" spans="1:21">
      <c r="A61" s="229"/>
      <c r="B61" s="250">
        <f t="shared" si="3"/>
        <v>5</v>
      </c>
      <c r="C61" s="222" t="s">
        <v>120</v>
      </c>
      <c r="D61" s="234" t="e">
        <f>SUMIFS(#REF!,#REF!,"="&amp;$E$2,#REF!,"="&amp;$C61)</f>
        <v>#REF!</v>
      </c>
      <c r="E61" s="235">
        <f>SUMIFS(力喆实业中国银行!$H:$H,力喆实业中国银行!$B:$B,"="&amp;$E$2,力喆实业中国银行!$D:$D,"="&amp;$C61)</f>
        <v>0</v>
      </c>
      <c r="F61" s="235">
        <f>SUMIFS(力喆产业农商银行!$H:$H,力喆产业农商银行!$B:$B,"="&amp;$E$2,力喆产业农商银行!$D:$D,"="&amp;$C61)</f>
        <v>34931.25</v>
      </c>
      <c r="G61" s="236">
        <f>SUMIFS(徐洁招商银行!$H:$H,徐洁招商银行!$B:$B,"="&amp;$E$2,徐洁招商银行!$D:$D,"="&amp;$C61)</f>
        <v>0</v>
      </c>
      <c r="H61" s="236">
        <f>SUMIFS(力喆贸易建设银行!$H:$H,力喆贸易建设银行!$B:$B,"="&amp;$E$2,力喆贸易建设银行!$D:$D,"="&amp;$C61)</f>
        <v>0</v>
      </c>
      <c r="I61" s="236">
        <f>SUMIFS(元生万物建设银行!$H:$H,元生万物建设银行!$B:$B,"="&amp;$E$2,元生万物建设银行!$D:$D,"="&amp;$C61)</f>
        <v>0</v>
      </c>
      <c r="J61" s="236">
        <f>SUMIFS(言吾言中国银行!$H:$H,言吾言中国银行!$B:$B,"="&amp;$E$2,言吾言中国银行!$D:$D,"="&amp;$C61)</f>
        <v>0</v>
      </c>
      <c r="K61" s="236">
        <f>SUMIFS(力喆传媒海峡银行!$H:$H,力喆传媒海峡银行!$B:$B,"="&amp;$E$2,力喆传媒海峡银行!$D:$D,"="&amp;$C61)</f>
        <v>0</v>
      </c>
      <c r="L61" s="236">
        <f>SUMIFS(古玩城农商银行!$O:$O,古玩城农商银行!$B:$B,"="&amp;$E$2,古玩城农商银行!$D:$D,"="&amp;$C61)</f>
        <v>0</v>
      </c>
      <c r="M61" s="236">
        <v>0</v>
      </c>
      <c r="N61" s="236">
        <f>SUMIFS(艾泊烨海峡银行!$H:$H,艾泊烨海峡银行!$B:$B,"="&amp;$E$2,艾泊烨海峡银行!$D:$D,"="&amp;$C61)</f>
        <v>0</v>
      </c>
      <c r="O61" s="236">
        <v>0</v>
      </c>
      <c r="P61" s="236">
        <f>SUMIFS(艾泊烨农商银行!$J:$J,艾泊烨农商银行!$B:$B,"="&amp;$E$2,艾泊烨农商银行!D:D,"="&amp;$C61)</f>
        <v>15179.17</v>
      </c>
      <c r="Q61" s="236">
        <f>SUMIFS(艾泊烨私户银行!$H:$H,艾泊烨私户银行!$B:$B,"="&amp;$E$2,艾泊烨私户银行!$D:$D,"="&amp;$C61)</f>
        <v>3195.83</v>
      </c>
      <c r="R61" s="236">
        <f>SUMIFS(易佰兴建行!$P:$P,易佰兴建行!$B:$B,"="&amp;$E$2,易佰兴建行!D:D,"="&amp;$C61)</f>
        <v>0</v>
      </c>
      <c r="S61" s="236">
        <f>SUMIFS(易佰兴私户!$P:$P,易佰兴私户!$B:$B,"="&amp;$E$2,易佰兴私户!$D:$D,"="&amp;$C61)</f>
        <v>0</v>
      </c>
      <c r="T61" s="251">
        <f>SUMIFS(易佰兴现金!$O:$O,易佰兴现金!$B:$B,"="&amp;$E$2,易佰兴现金!D:D,"="&amp;$C61)</f>
        <v>0</v>
      </c>
      <c r="U61" s="236">
        <f>SUMIFS(易佰兴基本户!$P:$P,易佰兴基本户!$B:$B,"="&amp;$E$2,易佰兴基本户!D:D,"="&amp;$C61)</f>
        <v>0</v>
      </c>
    </row>
    <row r="62" ht="14.25" outlineLevel="1" spans="1:21">
      <c r="A62" s="229"/>
      <c r="B62" s="250">
        <f t="shared" si="3"/>
        <v>5</v>
      </c>
      <c r="C62" s="222" t="s">
        <v>121</v>
      </c>
      <c r="D62" s="234" t="e">
        <f>SUMIFS(#REF!,#REF!,"="&amp;$E$2,#REF!,"="&amp;$C62)</f>
        <v>#REF!</v>
      </c>
      <c r="E62" s="235">
        <f>SUMIFS(力喆实业中国银行!$H:$H,力喆实业中国银行!$B:$B,"="&amp;$E$2,力喆实业中国银行!$D:$D,"="&amp;$C62)</f>
        <v>0</v>
      </c>
      <c r="F62" s="235">
        <f>SUMIFS(力喆产业农商银行!$H:$H,力喆产业农商银行!$B:$B,"="&amp;$E$2,力喆产业农商银行!$D:$D,"="&amp;$C62)</f>
        <v>12832.11</v>
      </c>
      <c r="G62" s="236">
        <f>SUMIFS(徐洁招商银行!$H:$H,徐洁招商银行!$B:$B,"="&amp;$E$2,徐洁招商银行!$D:$D,"="&amp;$C62)</f>
        <v>0</v>
      </c>
      <c r="H62" s="236">
        <f>SUMIFS(力喆贸易建设银行!$H:$H,力喆贸易建设银行!$B:$B,"="&amp;$E$2,力喆贸易建设银行!$D:$D,"="&amp;$C62)</f>
        <v>0</v>
      </c>
      <c r="I62" s="236">
        <f>SUMIFS(元生万物建设银行!$H:$H,元生万物建设银行!$B:$B,"="&amp;$E$2,元生万物建设银行!$D:$D,"="&amp;$C62)</f>
        <v>0</v>
      </c>
      <c r="J62" s="236">
        <f>SUMIFS(言吾言中国银行!$H:$H,言吾言中国银行!$B:$B,"="&amp;$E$2,言吾言中国银行!$D:$D,"="&amp;$C62)</f>
        <v>0</v>
      </c>
      <c r="K62" s="236">
        <f>SUMIFS(力喆传媒海峡银行!$H:$H,力喆传媒海峡银行!$B:$B,"="&amp;$E$2,力喆传媒海峡银行!$D:$D,"="&amp;$C62)</f>
        <v>0</v>
      </c>
      <c r="L62" s="236">
        <f>SUMIFS(古玩城农商银行!$O:$O,古玩城农商银行!$B:$B,"="&amp;$E$2,古玩城农商银行!$D:$D,"="&amp;$C62)</f>
        <v>130000</v>
      </c>
      <c r="M62" s="236">
        <v>0</v>
      </c>
      <c r="N62" s="236">
        <f>SUMIFS(艾泊烨海峡银行!$H:$H,艾泊烨海峡银行!$B:$B,"="&amp;$E$2,艾泊烨海峡银行!$D:$D,"="&amp;$C62)</f>
        <v>0</v>
      </c>
      <c r="O62" s="236">
        <v>0</v>
      </c>
      <c r="P62" s="236">
        <f>SUMIFS(艾泊烨农商银行!$J:$J,艾泊烨农商银行!$B:$B,"="&amp;$E$2,艾泊烨农商银行!D:D,"="&amp;$C62)</f>
        <v>0</v>
      </c>
      <c r="Q62" s="236">
        <f>SUMIFS(艾泊烨私户银行!$H:$H,艾泊烨私户银行!$B:$B,"="&amp;$E$2,艾泊烨私户银行!$D:$D,"="&amp;$C62)</f>
        <v>0</v>
      </c>
      <c r="R62" s="236">
        <f>SUMIFS(易佰兴建行!$P:$P,易佰兴建行!$B:$B,"="&amp;$E$2,易佰兴建行!D:D,"="&amp;$C62)</f>
        <v>207266.2</v>
      </c>
      <c r="S62" s="236">
        <f>SUMIFS(易佰兴私户!$P:$P,易佰兴私户!$B:$B,"="&amp;$E$2,易佰兴私户!$D:$D,"="&amp;$C62)</f>
        <v>0</v>
      </c>
      <c r="T62" s="251">
        <f>SUMIFS(易佰兴现金!$O:$O,易佰兴现金!$B:$B,"="&amp;$E$2,易佰兴现金!D:D,"="&amp;$C62)</f>
        <v>0</v>
      </c>
      <c r="U62" s="236">
        <f>SUMIFS(易佰兴基本户!$P:$P,易佰兴基本户!$B:$B,"="&amp;$E$2,易佰兴基本户!D:D,"="&amp;$C62)</f>
        <v>0</v>
      </c>
    </row>
    <row r="63" ht="14.25" outlineLevel="1" spans="1:21">
      <c r="A63" s="229"/>
      <c r="B63" s="250">
        <f t="shared" si="3"/>
        <v>5</v>
      </c>
      <c r="C63" s="253" t="s">
        <v>122</v>
      </c>
      <c r="D63" s="234" t="e">
        <f>SUMIFS(#REF!,#REF!,"="&amp;$E$2,#REF!,"="&amp;$C63)</f>
        <v>#REF!</v>
      </c>
      <c r="E63" s="235">
        <f>SUMIFS(力喆实业中国银行!$H:$H,力喆实业中国银行!$B:$B,"="&amp;$E$2,力喆实业中国银行!$D:$D,"="&amp;$C63)</f>
        <v>0</v>
      </c>
      <c r="F63" s="235">
        <f>SUMIFS(力喆产业农商银行!$H:$H,力喆产业农商银行!$B:$B,"="&amp;$E$2,力喆产业农商银行!$D:$D,"="&amp;$C63)</f>
        <v>0</v>
      </c>
      <c r="G63" s="236">
        <f>SUMIFS(徐洁招商银行!$H:$H,徐洁招商银行!$B:$B,"="&amp;$E$2,徐洁招商银行!$D:$D,"="&amp;$C63)</f>
        <v>0</v>
      </c>
      <c r="H63" s="236">
        <f>SUMIFS(力喆贸易建设银行!$H:$H,力喆贸易建设银行!$B:$B,"="&amp;$E$2,力喆贸易建设银行!$D:$D,"="&amp;$C63)</f>
        <v>0</v>
      </c>
      <c r="I63" s="236">
        <f>SUMIFS(元生万物建设银行!$H:$H,元生万物建设银行!$B:$B,"="&amp;$E$2,元生万物建设银行!$D:$D,"="&amp;$C63)</f>
        <v>0</v>
      </c>
      <c r="J63" s="236">
        <f>SUMIFS(言吾言中国银行!$H:$H,言吾言中国银行!$B:$B,"="&amp;$E$2,言吾言中国银行!$D:$D,"="&amp;$C63)</f>
        <v>0</v>
      </c>
      <c r="K63" s="236">
        <f>SUMIFS(力喆传媒海峡银行!$H:$H,力喆传媒海峡银行!$B:$B,"="&amp;$E$2,力喆传媒海峡银行!$D:$D,"="&amp;$C63)</f>
        <v>0</v>
      </c>
      <c r="L63" s="236">
        <f>SUMIFS(古玩城农商银行!$O:$O,古玩城农商银行!$B:$B,"="&amp;$E$2,古玩城农商银行!$D:$D,"="&amp;$C63)</f>
        <v>0</v>
      </c>
      <c r="M63" s="236">
        <v>0</v>
      </c>
      <c r="N63" s="236">
        <f>SUMIFS(艾泊烨海峡银行!$H:$H,艾泊烨海峡银行!$B:$B,"="&amp;$E$2,艾泊烨海峡银行!$D:$D,"="&amp;$C63)</f>
        <v>0</v>
      </c>
      <c r="O63" s="236">
        <v>0</v>
      </c>
      <c r="P63" s="236">
        <f>SUMIFS(艾泊烨农商银行!$J:$J,艾泊烨农商银行!$B:$B,"="&amp;$E$2,艾泊烨农商银行!D:D,"="&amp;$C63)</f>
        <v>0</v>
      </c>
      <c r="Q63" s="236">
        <f>SUMIFS(艾泊烨私户银行!$H:$H,艾泊烨私户银行!$B:$B,"="&amp;$E$2,艾泊烨私户银行!$D:$D,"="&amp;$C63)</f>
        <v>0</v>
      </c>
      <c r="R63" s="236">
        <f>SUMIFS(易佰兴建行!$P:$P,易佰兴建行!$B:$B,"="&amp;$E$2,易佰兴建行!D:D,"="&amp;$C63)</f>
        <v>0</v>
      </c>
      <c r="S63" s="236">
        <f>SUMIFS(易佰兴私户!$P:$P,易佰兴私户!$B:$B,"="&amp;$E$2,易佰兴私户!$D:$D,"="&amp;$C63)</f>
        <v>0</v>
      </c>
      <c r="T63" s="251">
        <f>SUMIFS(易佰兴现金!$O:$O,易佰兴现金!$B:$B,"="&amp;$E$2,易佰兴现金!D:D,"="&amp;$C63)</f>
        <v>0</v>
      </c>
      <c r="U63" s="236">
        <f>SUMIFS(易佰兴基本户!$P:$P,易佰兴基本户!$B:$B,"="&amp;$E$2,易佰兴基本户!D:D,"="&amp;$C63)</f>
        <v>0</v>
      </c>
    </row>
    <row r="64" ht="14.25" outlineLevel="1" spans="1:21">
      <c r="A64" s="229"/>
      <c r="B64" s="250">
        <f t="shared" si="3"/>
        <v>5</v>
      </c>
      <c r="C64" s="253" t="s">
        <v>123</v>
      </c>
      <c r="D64" s="234" t="e">
        <f>SUMIFS(#REF!,#REF!,"="&amp;$E$2,#REF!,"="&amp;$C64)</f>
        <v>#REF!</v>
      </c>
      <c r="E64" s="235">
        <f>SUMIFS(力喆实业中国银行!$H:$H,力喆实业中国银行!$B:$B,"="&amp;$E$2,力喆实业中国银行!$D:$D,"="&amp;$C64)</f>
        <v>0</v>
      </c>
      <c r="F64" s="235">
        <f>SUMIFS(力喆产业农商银行!$H:$H,力喆产业农商银行!$B:$B,"="&amp;$E$2,力喆产业农商银行!$D:$D,"="&amp;$C64)</f>
        <v>0</v>
      </c>
      <c r="G64" s="236">
        <f>SUMIFS(徐洁招商银行!$H:$H,徐洁招商银行!$B:$B,"="&amp;$E$2,徐洁招商银行!$D:$D,"="&amp;$C64)</f>
        <v>0</v>
      </c>
      <c r="H64" s="236">
        <f>SUMIFS(力喆贸易建设银行!$H:$H,力喆贸易建设银行!$B:$B,"="&amp;$E$2,力喆贸易建设银行!$D:$D,"="&amp;$C64)</f>
        <v>0</v>
      </c>
      <c r="I64" s="236">
        <f>SUMIFS(元生万物建设银行!$H:$H,元生万物建设银行!$B:$B,"="&amp;$E$2,元生万物建设银行!$D:$D,"="&amp;$C64)</f>
        <v>0</v>
      </c>
      <c r="J64" s="236">
        <f>SUMIFS(言吾言中国银行!$H:$H,言吾言中国银行!$B:$B,"="&amp;$E$2,言吾言中国银行!$D:$D,"="&amp;$C64)</f>
        <v>0</v>
      </c>
      <c r="K64" s="236">
        <f>SUMIFS(力喆传媒海峡银行!$H:$H,力喆传媒海峡银行!$B:$B,"="&amp;$E$2,力喆传媒海峡银行!$D:$D,"="&amp;$C64)</f>
        <v>0</v>
      </c>
      <c r="L64" s="236">
        <f>SUMIFS(古玩城农商银行!$O:$O,古玩城农商银行!$B:$B,"="&amp;$E$2,古玩城农商银行!$D:$D,"="&amp;$C64)</f>
        <v>0</v>
      </c>
      <c r="M64" s="236">
        <v>0</v>
      </c>
      <c r="N64" s="236">
        <f>SUMIFS(艾泊烨海峡银行!$H:$H,艾泊烨海峡银行!$B:$B,"="&amp;$E$2,艾泊烨海峡银行!$D:$D,"="&amp;$C64)</f>
        <v>0</v>
      </c>
      <c r="O64" s="236">
        <v>0</v>
      </c>
      <c r="P64" s="236">
        <f>SUMIFS(艾泊烨农商银行!$J:$J,艾泊烨农商银行!$B:$B,"="&amp;$E$2,艾泊烨农商银行!D:D,"="&amp;$C64)</f>
        <v>0</v>
      </c>
      <c r="Q64" s="236">
        <f>SUMIFS(艾泊烨私户银行!$H:$H,艾泊烨私户银行!$B:$B,"="&amp;$E$2,艾泊烨私户银行!$D:$D,"="&amp;$C64)</f>
        <v>0</v>
      </c>
      <c r="R64" s="236">
        <f>SUMIFS(易佰兴建行!$P:$P,易佰兴建行!$B:$B,"="&amp;$E$2,易佰兴建行!D:D,"="&amp;$C64)</f>
        <v>0</v>
      </c>
      <c r="S64" s="236">
        <f>SUMIFS(易佰兴私户!$P:$P,易佰兴私户!$B:$B,"="&amp;$E$2,易佰兴私户!$D:$D,"="&amp;$C64)</f>
        <v>0</v>
      </c>
      <c r="T64" s="251">
        <f>SUMIFS(易佰兴现金!$O:$O,易佰兴现金!$B:$B,"="&amp;$E$2,易佰兴现金!D:D,"="&amp;$C64)</f>
        <v>0</v>
      </c>
      <c r="U64" s="236">
        <f>SUMIFS(易佰兴基本户!$P:$P,易佰兴基本户!$B:$B,"="&amp;$E$2,易佰兴基本户!D:D,"="&amp;$C64)</f>
        <v>0</v>
      </c>
    </row>
    <row r="65" ht="14.25" outlineLevel="1" spans="1:21">
      <c r="A65" s="229"/>
      <c r="B65" s="250">
        <f t="shared" si="3"/>
        <v>5</v>
      </c>
      <c r="C65" s="253" t="s">
        <v>124</v>
      </c>
      <c r="D65" s="234" t="e">
        <f>SUMIFS(#REF!,#REF!,"="&amp;$E$2,#REF!,"="&amp;$C65)</f>
        <v>#REF!</v>
      </c>
      <c r="E65" s="235">
        <f>SUMIFS(力喆实业中国银行!$H:$H,力喆实业中国银行!$B:$B,"="&amp;$E$2,力喆实业中国银行!$D:$D,"="&amp;$C65)</f>
        <v>0</v>
      </c>
      <c r="F65" s="235">
        <f>SUMIFS(力喆产业农商银行!$H:$H,力喆产业农商银行!$B:$B,"="&amp;$E$2,力喆产业农商银行!$D:$D,"="&amp;$C65)</f>
        <v>0</v>
      </c>
      <c r="G65" s="236">
        <f>SUMIFS(徐洁招商银行!$H:$H,徐洁招商银行!$B:$B,"="&amp;$E$2,徐洁招商银行!$D:$D,"="&amp;$C65)</f>
        <v>0</v>
      </c>
      <c r="H65" s="236">
        <f>SUMIFS(力喆贸易建设银行!$H:$H,力喆贸易建设银行!$B:$B,"="&amp;$E$2,力喆贸易建设银行!$D:$D,"="&amp;$C65)</f>
        <v>0</v>
      </c>
      <c r="I65" s="236">
        <f>SUMIFS(元生万物建设银行!$H:$H,元生万物建设银行!$B:$B,"="&amp;$E$2,元生万物建设银行!$D:$D,"="&amp;$C65)</f>
        <v>0</v>
      </c>
      <c r="J65" s="236">
        <f>SUMIFS(言吾言中国银行!$H:$H,言吾言中国银行!$B:$B,"="&amp;$E$2,言吾言中国银行!$D:$D,"="&amp;$C65)</f>
        <v>0</v>
      </c>
      <c r="K65" s="236">
        <f>SUMIFS(力喆传媒海峡银行!$H:$H,力喆传媒海峡银行!$B:$B,"="&amp;$E$2,力喆传媒海峡银行!$D:$D,"="&amp;$C65)</f>
        <v>0</v>
      </c>
      <c r="L65" s="236">
        <f>SUMIFS(古玩城农商银行!$O:$O,古玩城农商银行!$B:$B,"="&amp;$E$2,古玩城农商银行!$D:$D,"="&amp;$C65)</f>
        <v>17141.16</v>
      </c>
      <c r="M65" s="236">
        <v>0</v>
      </c>
      <c r="N65" s="236">
        <f>SUMIFS(艾泊烨海峡银行!$H:$H,艾泊烨海峡银行!$B:$B,"="&amp;$E$2,艾泊烨海峡银行!$D:$D,"="&amp;$C65)</f>
        <v>0</v>
      </c>
      <c r="O65" s="236">
        <v>0</v>
      </c>
      <c r="P65" s="236">
        <f>SUMIFS(艾泊烨农商银行!$J:$J,艾泊烨农商银行!$B:$B,"="&amp;$E$2,艾泊烨农商银行!D:D,"="&amp;$C65)</f>
        <v>0</v>
      </c>
      <c r="Q65" s="236">
        <f>SUMIFS(艾泊烨私户银行!$H:$H,艾泊烨私户银行!$B:$B,"="&amp;$E$2,艾泊烨私户银行!$D:$D,"="&amp;$C65)</f>
        <v>0</v>
      </c>
      <c r="R65" s="236">
        <f>SUMIFS(易佰兴建行!$P:$P,易佰兴建行!$B:$B,"="&amp;$E$2,易佰兴建行!D:D,"="&amp;$C65)</f>
        <v>15281.38</v>
      </c>
      <c r="S65" s="236">
        <f>SUMIFS(易佰兴私户!$P:$P,易佰兴私户!$B:$B,"="&amp;$E$2,易佰兴私户!$D:$D,"="&amp;$C65)</f>
        <v>0</v>
      </c>
      <c r="T65" s="251">
        <f>SUMIFS(易佰兴现金!$O:$O,易佰兴现金!$B:$B,"="&amp;$E$2,易佰兴现金!D:D,"="&amp;$C65)</f>
        <v>0</v>
      </c>
      <c r="U65" s="236">
        <f>SUMIFS(易佰兴基本户!$P:$P,易佰兴基本户!$B:$B,"="&amp;$E$2,易佰兴基本户!D:D,"="&amp;$C65)</f>
        <v>0</v>
      </c>
    </row>
    <row r="66" ht="14.25" outlineLevel="1" spans="1:21">
      <c r="A66" s="229"/>
      <c r="B66" s="250">
        <f t="shared" si="3"/>
        <v>5</v>
      </c>
      <c r="C66" s="253" t="s">
        <v>125</v>
      </c>
      <c r="D66" s="234">
        <v>0</v>
      </c>
      <c r="E66" s="235">
        <f>SUMIFS(力喆实业中国银行!$H:$H,力喆实业中国银行!$B:$B,"="&amp;$E$2,力喆实业中国银行!$D:$D,"="&amp;$C66)</f>
        <v>0</v>
      </c>
      <c r="F66" s="235">
        <f>SUMIFS(力喆产业农商银行!$H:$H,力喆产业农商银行!$B:$B,"="&amp;$E$2,力喆产业农商银行!$D:$D,"="&amp;$C66)</f>
        <v>0</v>
      </c>
      <c r="G66" s="236">
        <f>SUMIFS(徐洁招商银行!$H:$H,徐洁招商银行!$B:$B,"="&amp;$E$2,徐洁招商银行!$D:$D,"="&amp;$C66)</f>
        <v>0</v>
      </c>
      <c r="H66" s="236">
        <f>SUMIFS(力喆贸易建设银行!$H:$H,力喆贸易建设银行!$B:$B,"="&amp;$E$2,力喆贸易建设银行!$D:$D,"="&amp;$C66)</f>
        <v>0</v>
      </c>
      <c r="I66" s="236">
        <v>0</v>
      </c>
      <c r="J66" s="236">
        <v>0</v>
      </c>
      <c r="K66" s="236">
        <v>0</v>
      </c>
      <c r="L66" s="236">
        <v>0</v>
      </c>
      <c r="M66" s="236">
        <v>0</v>
      </c>
      <c r="N66" s="236">
        <v>0</v>
      </c>
      <c r="O66" s="236">
        <v>0</v>
      </c>
      <c r="P66" s="236">
        <v>0</v>
      </c>
      <c r="Q66" s="236">
        <f>SUMIFS(艾泊烨私户银行!$H:$H,艾泊烨私户银行!$B:$B,"="&amp;$E$2,艾泊烨私户银行!$D:$D,"="&amp;$C66)</f>
        <v>0</v>
      </c>
      <c r="R66" s="236">
        <f>SUMIFS(易佰兴建行!$P:$P,易佰兴建行!$B:$B,"="&amp;$E$2,易佰兴建行!D:D,"="&amp;$C66)</f>
        <v>0</v>
      </c>
      <c r="S66" s="236">
        <f>SUMIFS(易佰兴私户!$P:$P,易佰兴私户!$B:$B,"="&amp;$E$2,易佰兴私户!$D:$D,"="&amp;$C66)</f>
        <v>0</v>
      </c>
      <c r="T66" s="251">
        <f>SUMIFS(易佰兴现金!$O:$O,易佰兴现金!$B:$B,"="&amp;$E$2,易佰兴现金!D:D,"="&amp;$C66)</f>
        <v>0</v>
      </c>
      <c r="U66" s="236">
        <f>SUMIFS(易佰兴基本户!$P:$P,易佰兴基本户!$B:$B,"="&amp;$E$2,易佰兴基本户!D:D,"="&amp;$C66)</f>
        <v>0</v>
      </c>
    </row>
    <row r="67" ht="14.25" outlineLevel="1" spans="1:21">
      <c r="A67" s="229"/>
      <c r="B67" s="250">
        <f>B64</f>
        <v>5</v>
      </c>
      <c r="C67" s="253" t="s">
        <v>126</v>
      </c>
      <c r="D67" s="234" t="e">
        <f>SUMIFS(#REF!,#REF!,"="&amp;$E$2,#REF!,"="&amp;$C67)</f>
        <v>#REF!</v>
      </c>
      <c r="E67" s="235">
        <f>SUMIFS(力喆实业中国银行!$H:$H,力喆实业中国银行!$B:$B,"="&amp;$E$2,力喆实业中国银行!$D:$D,"="&amp;$C67)</f>
        <v>0</v>
      </c>
      <c r="F67" s="235">
        <f>SUMIFS(力喆产业农商银行!$H:$H,力喆产业农商银行!$B:$B,"="&amp;$E$2,力喆产业农商银行!$D:$D,"="&amp;$C67)</f>
        <v>0</v>
      </c>
      <c r="G67" s="236">
        <f>SUMIFS(徐洁招商银行!$H:$H,徐洁招商银行!$B:$B,"="&amp;$E$2,徐洁招商银行!$D:$D,"="&amp;$C67)</f>
        <v>0</v>
      </c>
      <c r="H67" s="236">
        <f>SUMIFS(力喆贸易建设银行!$H:$H,力喆贸易建设银行!$B:$B,"="&amp;$E$2,力喆贸易建设银行!$D:$D,"="&amp;$C67)</f>
        <v>0</v>
      </c>
      <c r="I67" s="236">
        <f>SUMIFS(元生万物建设银行!$H:$H,元生万物建设银行!$B:$B,"="&amp;$E$2,元生万物建设银行!$D:$D,"="&amp;$C67)</f>
        <v>0</v>
      </c>
      <c r="J67" s="236">
        <f>SUMIFS(言吾言中国银行!$H:$H,言吾言中国银行!$B:$B,"="&amp;$E$2,言吾言中国银行!$D:$D,"="&amp;$C67)</f>
        <v>0</v>
      </c>
      <c r="K67" s="236">
        <f>SUMIFS(力喆传媒海峡银行!$H:$H,力喆传媒海峡银行!$B:$B,"="&amp;$E$2,力喆传媒海峡银行!$D:$D,"="&amp;$C67)</f>
        <v>0</v>
      </c>
      <c r="L67" s="236">
        <f>SUMIFS(古玩城农商银行!$O:$O,古玩城农商银行!$B:$B,"="&amp;$E$2,古玩城农商银行!$D:$D,"="&amp;$C67)</f>
        <v>0</v>
      </c>
      <c r="M67" s="236">
        <v>0</v>
      </c>
      <c r="N67" s="236">
        <f>SUMIFS(艾泊烨海峡银行!$H:$H,艾泊烨海峡银行!$B:$B,"="&amp;$E$2,艾泊烨海峡银行!$D:$D,"="&amp;$C67)</f>
        <v>0</v>
      </c>
      <c r="O67" s="236">
        <v>0</v>
      </c>
      <c r="P67" s="236">
        <f>SUMIFS(艾泊烨农商银行!$J:$J,艾泊烨农商银行!$B:$B,"="&amp;$E$2,艾泊烨农商银行!D:D,"="&amp;$C67)</f>
        <v>0</v>
      </c>
      <c r="Q67" s="236">
        <f>SUMIFS(艾泊烨私户银行!$H:$H,艾泊烨私户银行!$B:$B,"="&amp;$E$2,艾泊烨私户银行!$D:$D,"="&amp;$C67)</f>
        <v>0</v>
      </c>
      <c r="R67" s="236">
        <f>SUMIFS(易佰兴建行!$P:$P,易佰兴建行!$B:$B,"="&amp;$E$2,易佰兴建行!D:D,"="&amp;$C67)</f>
        <v>0</v>
      </c>
      <c r="S67" s="236">
        <f>SUMIFS(易佰兴私户!$P:$P,易佰兴私户!$B:$B,"="&amp;$E$2,易佰兴私户!$D:$D,"="&amp;$C67)</f>
        <v>0</v>
      </c>
      <c r="T67" s="251">
        <f>SUMIFS(易佰兴现金!$O:$O,易佰兴现金!$B:$B,"="&amp;$E$2,易佰兴现金!D:D,"="&amp;$C67)</f>
        <v>0</v>
      </c>
      <c r="U67" s="236">
        <f>SUMIFS(易佰兴基本户!$P:$P,易佰兴基本户!$B:$B,"="&amp;$E$2,易佰兴基本户!D:D,"="&amp;$C67)</f>
        <v>0</v>
      </c>
    </row>
    <row r="68" ht="14.25" outlineLevel="1" spans="1:21">
      <c r="A68" s="229"/>
      <c r="B68" s="250">
        <f>B65</f>
        <v>5</v>
      </c>
      <c r="C68" s="253" t="s">
        <v>127</v>
      </c>
      <c r="D68" s="234" t="e">
        <f>SUMIFS(#REF!,#REF!,"="&amp;$E$2,#REF!,"="&amp;$C68)</f>
        <v>#REF!</v>
      </c>
      <c r="E68" s="235">
        <f>SUMIFS(力喆实业中国银行!$H:$H,力喆实业中国银行!$B:$B,"="&amp;$E$2,力喆实业中国银行!$D:$D,"="&amp;$C68)</f>
        <v>0</v>
      </c>
      <c r="F68" s="235">
        <f>SUMIFS(力喆产业农商银行!$H:$H,力喆产业农商银行!$B:$B,"="&amp;$E$2,力喆产业农商银行!$D:$D,"="&amp;$C68)</f>
        <v>0</v>
      </c>
      <c r="G68" s="236">
        <f>SUMIFS(徐洁招商银行!$H:$H,徐洁招商银行!$B:$B,"="&amp;$E$2,徐洁招商银行!$D:$D,"="&amp;$C68)</f>
        <v>63409.14</v>
      </c>
      <c r="H68" s="236">
        <f>SUMIFS(力喆贸易建设银行!$H:$H,力喆贸易建设银行!$B:$B,"="&amp;$E$2,力喆贸易建设银行!$D:$D,"="&amp;$C68)</f>
        <v>0</v>
      </c>
      <c r="I68" s="236">
        <f>SUMIFS(元生万物建设银行!$H:$H,元生万物建设银行!$B:$B,"="&amp;$E$2,元生万物建设银行!$D:$D,"="&amp;$C68)</f>
        <v>0</v>
      </c>
      <c r="J68" s="236">
        <f>SUMIFS(言吾言中国银行!$H:$H,言吾言中国银行!$B:$B,"="&amp;$E$2,言吾言中国银行!$D:$D,"="&amp;$C68)</f>
        <v>0</v>
      </c>
      <c r="K68" s="236">
        <f>SUMIFS(力喆传媒海峡银行!$H:$H,力喆传媒海峡银行!$B:$B,"="&amp;$E$2,力喆传媒海峡银行!$D:$D,"="&amp;$C68)</f>
        <v>0</v>
      </c>
      <c r="L68" s="236">
        <f>SUMIFS(古玩城农商银行!$O:$O,古玩城农商银行!$B:$B,"="&amp;$E$2,古玩城农商银行!$D:$D,"="&amp;$C68)</f>
        <v>0</v>
      </c>
      <c r="M68" s="236">
        <v>0</v>
      </c>
      <c r="N68" s="236">
        <f>SUMIFS(艾泊烨海峡银行!$H:$H,艾泊烨海峡银行!$B:$B,"="&amp;$E$2,艾泊烨海峡银行!$D:$D,"="&amp;$C68)</f>
        <v>0</v>
      </c>
      <c r="O68" s="236">
        <v>0</v>
      </c>
      <c r="P68" s="236">
        <f>SUMIFS(艾泊烨农商银行!$J:$J,艾泊烨农商银行!$B:$B,"="&amp;$E$2,艾泊烨农商银行!D:D,"="&amp;$C68)</f>
        <v>0</v>
      </c>
      <c r="Q68" s="236">
        <f>SUMIFS(艾泊烨私户银行!$H:$H,艾泊烨私户银行!$B:$B,"="&amp;$E$2,艾泊烨私户银行!$D:$D,"="&amp;$C68)</f>
        <v>0</v>
      </c>
      <c r="R68" s="236">
        <f>SUMIFS(易佰兴建行!$P:$P,易佰兴建行!$B:$B,"="&amp;$E$2,易佰兴建行!D:D,"="&amp;$C68)</f>
        <v>0</v>
      </c>
      <c r="S68" s="236">
        <f>SUMIFS(易佰兴私户!$P:$P,易佰兴私户!$B:$B,"="&amp;$E$2,易佰兴私户!$D:$D,"="&amp;$C68)</f>
        <v>0</v>
      </c>
      <c r="T68" s="251">
        <f>SUMIFS(易佰兴现金!$O:$O,易佰兴现金!$B:$B,"="&amp;$E$2,易佰兴现金!D:D,"="&amp;$C68)</f>
        <v>0</v>
      </c>
      <c r="U68" s="236">
        <f>SUMIFS(易佰兴基本户!$P:$P,易佰兴基本户!$B:$B,"="&amp;$E$2,易佰兴基本户!D:D,"="&amp;$C68)</f>
        <v>0</v>
      </c>
    </row>
    <row r="69" ht="14.25" outlineLevel="1" spans="1:21">
      <c r="A69" s="229"/>
      <c r="B69" s="250">
        <f>B67</f>
        <v>5</v>
      </c>
      <c r="C69" s="256" t="s">
        <v>128</v>
      </c>
      <c r="D69" s="234" t="e">
        <f>SUMIFS(#REF!,#REF!,"="&amp;$E$2,#REF!,"="&amp;$C69)</f>
        <v>#REF!</v>
      </c>
      <c r="E69" s="235">
        <f>SUMIFS(力喆实业中国银行!$H:$H,力喆实业中国银行!$B:$B,"="&amp;$E$2,力喆实业中国银行!$D:$D,"="&amp;$C69)</f>
        <v>0</v>
      </c>
      <c r="F69" s="235">
        <f>SUMIFS(力喆产业农商银行!$H:$H,力喆产业农商银行!$B:$B,"="&amp;$E$2,力喆产业农商银行!$D:$D,"="&amp;$C69)</f>
        <v>0</v>
      </c>
      <c r="G69" s="236">
        <f>SUMIFS(徐洁招商银行!$H:$H,徐洁招商银行!$B:$B,"="&amp;$E$2,徐洁招商银行!$D:$D,"="&amp;$C69)</f>
        <v>0</v>
      </c>
      <c r="H69" s="236">
        <f>SUMIFS(力喆贸易建设银行!$H:$H,力喆贸易建设银行!$B:$B,"="&amp;$E$2,力喆贸易建设银行!$D:$D,"="&amp;$C69)</f>
        <v>0</v>
      </c>
      <c r="I69" s="236">
        <f>SUMIFS(元生万物建设银行!$H:$H,元生万物建设银行!$B:$B,"="&amp;$E$2,元生万物建设银行!$D:$D,"="&amp;$C69)</f>
        <v>0</v>
      </c>
      <c r="J69" s="236">
        <f>SUMIFS(言吾言中国银行!$H:$H,言吾言中国银行!$B:$B,"="&amp;$E$2,言吾言中国银行!$D:$D,"="&amp;$C69)</f>
        <v>0</v>
      </c>
      <c r="K69" s="236">
        <f>SUMIFS(力喆传媒海峡银行!$H:$H,力喆传媒海峡银行!$B:$B,"="&amp;$E$2,力喆传媒海峡银行!$D:$D,"="&amp;$C69)</f>
        <v>0</v>
      </c>
      <c r="L69" s="236">
        <f>SUMIFS(古玩城农商银行!$O:$O,古玩城农商银行!$B:$B,"="&amp;$E$2,古玩城农商银行!$D:$D,"="&amp;$C69)</f>
        <v>0</v>
      </c>
      <c r="M69" s="236">
        <v>0</v>
      </c>
      <c r="N69" s="236">
        <f>SUMIFS(艾泊烨海峡银行!$H:$H,艾泊烨海峡银行!$B:$B,"="&amp;$E$2,艾泊烨海峡银行!$D:$D,"="&amp;$C69)</f>
        <v>0</v>
      </c>
      <c r="O69" s="236">
        <v>0</v>
      </c>
      <c r="P69" s="236">
        <f>SUMIFS(艾泊烨农商银行!$J:$J,艾泊烨农商银行!$B:$B,"="&amp;$E$2,艾泊烨农商银行!D:D,"="&amp;$C69)</f>
        <v>0</v>
      </c>
      <c r="Q69" s="236">
        <f>SUMIFS(艾泊烨私户银行!$H:$H,艾泊烨私户银行!$B:$B,"="&amp;$E$2,艾泊烨私户银行!$D:$D,"="&amp;$C69)</f>
        <v>0</v>
      </c>
      <c r="R69" s="236">
        <f>SUMIFS(易佰兴建行!$P:$P,易佰兴建行!$B:$B,"="&amp;$E$2,易佰兴建行!D:D,"="&amp;$C69)</f>
        <v>0</v>
      </c>
      <c r="S69" s="236">
        <f>SUMIFS(易佰兴私户!$P:$P,易佰兴私户!$B:$B,"="&amp;$E$2,易佰兴私户!$D:$D,"="&amp;$C69)</f>
        <v>0</v>
      </c>
      <c r="T69" s="251">
        <f>SUMIFS(易佰兴现金!$O:$O,易佰兴现金!$B:$B,"="&amp;$E$2,易佰兴现金!D:D,"="&amp;$C69)</f>
        <v>0</v>
      </c>
      <c r="U69" s="236">
        <f>SUMIFS(易佰兴基本户!$P:$P,易佰兴基本户!$B:$B,"="&amp;$E$2,易佰兴基本户!D:D,"="&amp;$C69)</f>
        <v>0</v>
      </c>
    </row>
    <row r="70" ht="14.25" outlineLevel="1" spans="1:21">
      <c r="A70" s="229"/>
      <c r="B70" s="250">
        <f>B68</f>
        <v>5</v>
      </c>
      <c r="C70" s="256" t="s">
        <v>129</v>
      </c>
      <c r="D70" s="234" t="e">
        <f>SUMIFS(#REF!,#REF!,"="&amp;$E$2,#REF!,"="&amp;$C70)</f>
        <v>#REF!</v>
      </c>
      <c r="E70" s="235">
        <f>SUMIFS(力喆实业中国银行!$H:$H,力喆实业中国银行!$B:$B,"="&amp;$E$2,力喆实业中国银行!$D:$D,"="&amp;$C70)</f>
        <v>0</v>
      </c>
      <c r="F70" s="235">
        <f>SUMIFS(力喆产业农商银行!$H:$H,力喆产业农商银行!$B:$B,"="&amp;$E$2,力喆产业农商银行!$D:$D,"="&amp;$C70)</f>
        <v>0</v>
      </c>
      <c r="G70" s="236">
        <f>SUMIFS(徐洁招商银行!$H:$H,徐洁招商银行!$B:$B,"="&amp;$E$2,徐洁招商银行!$D:$D,"="&amp;$C70)</f>
        <v>0</v>
      </c>
      <c r="H70" s="236">
        <f>SUMIFS(力喆贸易建设银行!$H:$H,力喆贸易建设银行!$B:$B,"="&amp;$E$2,力喆贸易建设银行!$D:$D,"="&amp;$C70)</f>
        <v>0</v>
      </c>
      <c r="I70" s="236">
        <f>SUMIFS(元生万物建设银行!$H:$H,元生万物建设银行!$B:$B,"="&amp;$E$2,元生万物建设银行!$D:$D,"="&amp;$C70)</f>
        <v>0</v>
      </c>
      <c r="J70" s="236">
        <f>SUMIFS(言吾言中国银行!$H:$H,言吾言中国银行!$B:$B,"="&amp;$E$2,言吾言中国银行!$D:$D,"="&amp;$C70)</f>
        <v>0</v>
      </c>
      <c r="K70" s="236">
        <f>SUMIFS(力喆传媒海峡银行!$H:$H,力喆传媒海峡银行!$B:$B,"="&amp;$E$2,力喆传媒海峡银行!$D:$D,"="&amp;$C70)</f>
        <v>0</v>
      </c>
      <c r="L70" s="236">
        <f>SUMIFS(古玩城农商银行!$O:$O,古玩城农商银行!$B:$B,"="&amp;$E$2,古玩城农商银行!$D:$D,"="&amp;$C70)</f>
        <v>215.24</v>
      </c>
      <c r="M70" s="236">
        <v>0</v>
      </c>
      <c r="N70" s="236">
        <f>SUMIFS(艾泊烨海峡银行!$H:$H,艾泊烨海峡银行!$B:$B,"="&amp;$E$2,艾泊烨海峡银行!$D:$D,"="&amp;$C70)</f>
        <v>0</v>
      </c>
      <c r="O70" s="236">
        <v>0</v>
      </c>
      <c r="P70" s="236">
        <f>SUMIFS(艾泊烨农商银行!$J:$J,艾泊烨农商银行!$B:$B,"="&amp;$E$2,艾泊烨农商银行!D:D,"="&amp;$C70)</f>
        <v>0</v>
      </c>
      <c r="Q70" s="236">
        <f>SUMIFS(艾泊烨私户银行!$H:$H,艾泊烨私户银行!$B:$B,"="&amp;$E$2,艾泊烨私户银行!$D:$D,"="&amp;$C70)</f>
        <v>0</v>
      </c>
      <c r="R70" s="236">
        <f>SUMIFS(易佰兴建行!$P:$P,易佰兴建行!$B:$B,"="&amp;$E$2,易佰兴建行!D:D,"="&amp;$C70)</f>
        <v>0</v>
      </c>
      <c r="S70" s="251">
        <f>SUMIFS(易佰兴私户!$P:$P,易佰兴私户!$B:$B,"="&amp;$E$2,易佰兴私户!$D:$D,"="&amp;$C70)</f>
        <v>0</v>
      </c>
      <c r="T70" s="251">
        <f>SUMIFS(易佰兴现金!$O:$O,易佰兴现金!$B:$B,"="&amp;$E$2,易佰兴现金!D:D,"="&amp;$C70)</f>
        <v>0</v>
      </c>
      <c r="U70" s="236">
        <f>SUMIFS(易佰兴基本户!$P:$P,易佰兴基本户!$B:$B,"="&amp;$E$2,易佰兴基本户!D:D,"="&amp;$C70)</f>
        <v>0</v>
      </c>
    </row>
    <row r="71" ht="14.25" outlineLevel="1" spans="1:21">
      <c r="A71" s="229"/>
      <c r="B71" s="250">
        <f>B69</f>
        <v>5</v>
      </c>
      <c r="C71" s="256" t="s">
        <v>130</v>
      </c>
      <c r="D71" s="234" t="e">
        <f>SUMIFS(#REF!,#REF!,"="&amp;$E$2,#REF!,"="&amp;$C71)</f>
        <v>#REF!</v>
      </c>
      <c r="E71" s="235">
        <f>SUMIFS(力喆实业中国银行!$H:$H,力喆实业中国银行!$B:$B,"="&amp;$E$2,力喆实业中国银行!$D:$D,"="&amp;$C71)</f>
        <v>0</v>
      </c>
      <c r="F71" s="235">
        <f>SUMIFS(力喆产业农商银行!$H:$H,力喆产业农商银行!$B:$B,"="&amp;$E$2,力喆产业农商银行!$D:$D,"="&amp;$C71)</f>
        <v>0</v>
      </c>
      <c r="G71" s="236">
        <f>SUMIFS(徐洁招商银行!$H:$H,徐洁招商银行!$B:$B,"="&amp;$E$2,徐洁招商银行!$D:$D,"="&amp;$C71)</f>
        <v>0</v>
      </c>
      <c r="H71" s="236">
        <f>SUMIFS(力喆贸易建设银行!$H:$H,力喆贸易建设银行!$B:$B,"="&amp;$E$2,力喆贸易建设银行!$D:$D,"="&amp;$C71)</f>
        <v>0</v>
      </c>
      <c r="I71" s="236">
        <f>SUMIFS(元生万物建设银行!$H:$H,元生万物建设银行!$B:$B,"="&amp;$E$2,元生万物建设银行!$D:$D,"="&amp;$C71)</f>
        <v>0</v>
      </c>
      <c r="J71" s="236">
        <f>SUMIFS(言吾言中国银行!$H:$H,言吾言中国银行!$B:$B,"="&amp;$E$2,言吾言中国银行!$D:$D,"="&amp;$C71)</f>
        <v>0</v>
      </c>
      <c r="K71" s="236">
        <f>SUMIFS(力喆传媒海峡银行!$H:$H,力喆传媒海峡银行!$B:$B,"="&amp;$E$2,力喆传媒海峡银行!$D:$D,"="&amp;$C71)</f>
        <v>0</v>
      </c>
      <c r="L71" s="236">
        <f>SUMIFS(古玩城农商银行!$O:$O,古玩城农商银行!$B:$B,"="&amp;$E$2,古玩城农商银行!$D:$D,"="&amp;$C71)</f>
        <v>3438.71</v>
      </c>
      <c r="M71" s="236">
        <v>0</v>
      </c>
      <c r="N71" s="236">
        <f>SUMIFS(艾泊烨海峡银行!$H:$H,艾泊烨海峡银行!$B:$B,"="&amp;$E$2,艾泊烨海峡银行!$D:$D,"="&amp;$C71)</f>
        <v>0</v>
      </c>
      <c r="O71" s="236">
        <v>0</v>
      </c>
      <c r="P71" s="236">
        <f>SUMIFS(艾泊烨农商银行!$J:$J,艾泊烨农商银行!$B:$B,"="&amp;$E$2,艾泊烨农商银行!D:D,"="&amp;$C71)</f>
        <v>0</v>
      </c>
      <c r="Q71" s="236">
        <f>SUMIFS(艾泊烨私户银行!$H:$H,艾泊烨私户银行!$B:$B,"="&amp;$E$2,艾泊烨私户银行!$D:$D,"="&amp;$C71)</f>
        <v>0</v>
      </c>
      <c r="R71" s="236">
        <f>SUMIFS(易佰兴建行!$P:$P,易佰兴建行!$B:$B,"="&amp;$E$2,易佰兴建行!D:D,"="&amp;$C71)</f>
        <v>0</v>
      </c>
      <c r="S71" s="236">
        <f>SUMIFS(易佰兴私户!$P:$P,易佰兴私户!$B:$B,"="&amp;$E$2,易佰兴私户!$D:$D,"="&amp;$C71)</f>
        <v>0</v>
      </c>
      <c r="T71" s="251">
        <f>SUMIFS(易佰兴现金!$O:$O,易佰兴现金!$B:$B,"="&amp;$E$2,易佰兴现金!D:D,"="&amp;$C71)</f>
        <v>0</v>
      </c>
      <c r="U71" s="236">
        <f>SUMIFS(易佰兴基本户!$P:$P,易佰兴基本户!$B:$B,"="&amp;$E$2,易佰兴基本户!D:D,"="&amp;$C71)</f>
        <v>0</v>
      </c>
    </row>
    <row r="72" ht="14.25" outlineLevel="1" spans="1:21">
      <c r="A72" s="229"/>
      <c r="B72" s="250">
        <f>B70</f>
        <v>5</v>
      </c>
      <c r="C72" s="256" t="s">
        <v>131</v>
      </c>
      <c r="D72" s="234"/>
      <c r="E72" s="235">
        <f>SUMIFS(力喆实业中国银行!$H:$H,力喆实业中国银行!$B:$B,"="&amp;$E$2,力喆实业中国银行!$D:$D,"="&amp;$C72)</f>
        <v>0</v>
      </c>
      <c r="F72" s="235">
        <f>SUMIFS(力喆产业农商银行!$H:$H,力喆产业农商银行!$B:$B,"="&amp;$E$2,力喆产业农商银行!$D:$D,"="&amp;$C72)</f>
        <v>0</v>
      </c>
      <c r="G72" s="236">
        <f>SUMIFS(徐洁招商银行!$H:$H,徐洁招商银行!$B:$B,"="&amp;$E$2,徐洁招商银行!$D:$D,"="&amp;$C72)</f>
        <v>0</v>
      </c>
      <c r="H72" s="236">
        <f>SUMIFS(力喆贸易建设银行!$H:$H,力喆贸易建设银行!$B:$B,"="&amp;$E$2,力喆贸易建设银行!$D:$D,"="&amp;$C72)</f>
        <v>0</v>
      </c>
      <c r="I72" s="236"/>
      <c r="J72" s="236"/>
      <c r="K72" s="236"/>
      <c r="L72" s="236"/>
      <c r="M72" s="236"/>
      <c r="N72" s="236"/>
      <c r="O72" s="236"/>
      <c r="P72" s="236">
        <f>SUMIFS(艾泊烨农商银行!$J:$J,艾泊烨农商银行!$B:$B,"="&amp;$E$2,艾泊烨农商银行!D:D,"="&amp;$C72)</f>
        <v>0</v>
      </c>
      <c r="Q72" s="236">
        <f>SUMIFS(艾泊烨私户银行!$H:$H,艾泊烨私户银行!$B:$B,"="&amp;$E$2,艾泊烨私户银行!$D:$D,"="&amp;$C72)</f>
        <v>0</v>
      </c>
      <c r="R72" s="236">
        <f>SUMIFS(易佰兴建行!$P:$P,易佰兴建行!$B:$B,"="&amp;$E$2,易佰兴建行!D:D,"="&amp;$C72)</f>
        <v>0</v>
      </c>
      <c r="S72" s="236">
        <f>SUMIFS(易佰兴私户!$P:$P,易佰兴私户!$B:$B,"="&amp;$E$2,易佰兴私户!$D:$D,"="&amp;$C72)</f>
        <v>0</v>
      </c>
      <c r="T72" s="251">
        <f>SUMIFS(易佰兴现金!$O:$O,易佰兴现金!$B:$B,"="&amp;$E$2,易佰兴现金!D:D,"="&amp;$C72)</f>
        <v>0</v>
      </c>
      <c r="U72" s="236">
        <f>SUMIFS(易佰兴基本户!$P:$P,易佰兴基本户!$B:$B,"="&amp;$E$2,易佰兴基本户!D:D,"="&amp;$C72)</f>
        <v>0</v>
      </c>
    </row>
    <row r="73" ht="14.25" outlineLevel="1" spans="1:21">
      <c r="A73" s="229"/>
      <c r="B73" s="250">
        <f>B70</f>
        <v>5</v>
      </c>
      <c r="C73" s="256" t="s">
        <v>83</v>
      </c>
      <c r="D73" s="234" t="e">
        <f>SUMIFS(#REF!,#REF!,"="&amp;$E$2,#REF!,"="&amp;$C73)</f>
        <v>#REF!</v>
      </c>
      <c r="E73" s="235">
        <f>SUMIFS(力喆实业中国银行!$H:$H,力喆实业中国银行!$B:$B,"="&amp;$E$2,力喆实业中国银行!$D:$D,"="&amp;$C73)</f>
        <v>0</v>
      </c>
      <c r="F73" s="235">
        <f>SUMIFS(力喆产业农商银行!$H:$H,力喆产业农商银行!$B:$B,"="&amp;$E$2,力喆产业农商银行!$D:$D,"="&amp;$C73)</f>
        <v>0</v>
      </c>
      <c r="G73" s="236">
        <f>SUMIFS(徐洁招商银行!$H:$H,徐洁招商银行!$B:$B,"="&amp;$E$2,徐洁招商银行!$D:$D,"="&amp;$C73)</f>
        <v>0</v>
      </c>
      <c r="H73" s="236">
        <f>SUMIFS(力喆贸易建设银行!$H:$H,力喆贸易建设银行!$B:$B,"="&amp;$E$2,力喆贸易建设银行!$D:$D,"="&amp;$C73)</f>
        <v>0</v>
      </c>
      <c r="I73" s="236">
        <f>SUMIFS(元生万物建设银行!$H:$H,元生万物建设银行!$B:$B,"="&amp;$E$2,元生万物建设银行!$D:$D,"="&amp;$C73)</f>
        <v>0</v>
      </c>
      <c r="J73" s="236">
        <f>SUMIFS(言吾言中国银行!$H:$H,言吾言中国银行!$B:$B,"="&amp;$E$2,言吾言中国银行!$D:$D,"="&amp;$C73)</f>
        <v>0</v>
      </c>
      <c r="K73" s="236">
        <f>SUMIFS(力喆传媒海峡银行!$H:$H,力喆传媒海峡银行!$B:$B,"="&amp;$E$2,力喆传媒海峡银行!$D:$D,"="&amp;$C73)</f>
        <v>0</v>
      </c>
      <c r="L73" s="236">
        <f>SUMIFS(古玩城农商银行!$O:$O,古玩城农商银行!$B:$B,"="&amp;$E$2,古玩城农商银行!$D:$D,"="&amp;$C73)</f>
        <v>0</v>
      </c>
      <c r="M73" s="236">
        <v>0</v>
      </c>
      <c r="N73" s="236">
        <f>SUMIFS(艾泊烨海峡银行!$H:$H,艾泊烨海峡银行!$B:$B,"="&amp;$E$2,艾泊烨海峡银行!$D:$D,"="&amp;$C73)</f>
        <v>0</v>
      </c>
      <c r="O73" s="236">
        <v>0</v>
      </c>
      <c r="P73" s="236">
        <f>SUMIFS(艾泊烨农商银行!$J:$J,艾泊烨农商银行!$B:$B,"="&amp;$E$2,艾泊烨农商银行!D:D,"="&amp;$C73)</f>
        <v>0</v>
      </c>
      <c r="Q73" s="236">
        <f>SUMIFS(艾泊烨私户银行!$H:$H,艾泊烨私户银行!$B:$B,"="&amp;$E$2,艾泊烨私户银行!$D:$D,"="&amp;$C73)</f>
        <v>0</v>
      </c>
      <c r="R73" s="236">
        <f>SUMIFS(易佰兴建行!$P:$P,易佰兴建行!$B:$B,"="&amp;$E$2,易佰兴建行!D:D,"="&amp;$C73)</f>
        <v>0</v>
      </c>
      <c r="S73" s="236">
        <f>SUMIFS(易佰兴私户!$P:$P,易佰兴私户!$B:$B,"="&amp;$E$2,易佰兴私户!$D:$D,"="&amp;$C73)</f>
        <v>0</v>
      </c>
      <c r="T73" s="251">
        <f>SUMIFS(易佰兴现金!$O:$O,易佰兴现金!$B:$B,"="&amp;$E$2,易佰兴现金!D:D,"="&amp;$C73)</f>
        <v>0</v>
      </c>
      <c r="U73" s="236">
        <f>SUMIFS(易佰兴基本户!$P:$P,易佰兴基本户!$B:$B,"="&amp;$E$2,易佰兴基本户!D:D,"="&amp;$C73)</f>
        <v>0</v>
      </c>
    </row>
    <row r="74" ht="14.25" outlineLevel="1" spans="1:21">
      <c r="A74" s="229"/>
      <c r="B74" s="250">
        <f t="shared" ref="B74:B82" si="4">B73</f>
        <v>5</v>
      </c>
      <c r="C74" s="256" t="s">
        <v>132</v>
      </c>
      <c r="D74" s="234" t="e">
        <f>SUMIFS(#REF!,#REF!,"="&amp;$E$2,#REF!,"="&amp;$C74)</f>
        <v>#REF!</v>
      </c>
      <c r="E74" s="235">
        <f>SUMIFS(力喆实业中国银行!$H:$H,力喆实业中国银行!$B:$B,"="&amp;$E$2,力喆实业中国银行!$D:$D,"="&amp;$C74)</f>
        <v>0</v>
      </c>
      <c r="F74" s="235">
        <f>SUMIFS(力喆产业农商银行!$H:$H,力喆产业农商银行!$B:$B,"="&amp;$E$2,力喆产业农商银行!$D:$D,"="&amp;$C74)</f>
        <v>0</v>
      </c>
      <c r="G74" s="236">
        <f>SUMIFS(徐洁招商银行!$H:$H,徐洁招商银行!$B:$B,"="&amp;$E$2,徐洁招商银行!$D:$D,"="&amp;$C74)</f>
        <v>0</v>
      </c>
      <c r="H74" s="236">
        <f>SUMIFS(力喆贸易建设银行!$H:$H,力喆贸易建设银行!$B:$B,"="&amp;$E$2,力喆贸易建设银行!$D:$D,"="&amp;$C74)</f>
        <v>0</v>
      </c>
      <c r="I74" s="236">
        <f>SUMIFS(元生万物建设银行!$H:$H,元生万物建设银行!$B:$B,"="&amp;$E$2,元生万物建设银行!$D:$D,"="&amp;$C74)</f>
        <v>0</v>
      </c>
      <c r="J74" s="236">
        <f>SUMIFS(言吾言中国银行!$H:$H,言吾言中国银行!$B:$B,"="&amp;$E$2,言吾言中国银行!$D:$D,"="&amp;$C74)</f>
        <v>0</v>
      </c>
      <c r="K74" s="236">
        <f>SUMIFS(力喆传媒海峡银行!$H:$H,力喆传媒海峡银行!$B:$B,"="&amp;$E$2,力喆传媒海峡银行!$D:$D,"="&amp;$C74)</f>
        <v>0</v>
      </c>
      <c r="L74" s="236">
        <f>SUMIFS(古玩城农商银行!$O:$O,古玩城农商银行!$B:$B,"="&amp;$E$2,古玩城农商银行!$D:$D,"="&amp;$C74)</f>
        <v>0</v>
      </c>
      <c r="M74" s="236">
        <v>0</v>
      </c>
      <c r="N74" s="236">
        <f>SUMIFS(艾泊烨海峡银行!$H:$H,艾泊烨海峡银行!$B:$B,"="&amp;$E$2,艾泊烨海峡银行!$D:$D,"="&amp;$C74)</f>
        <v>0</v>
      </c>
      <c r="O74" s="236">
        <v>0</v>
      </c>
      <c r="P74" s="236">
        <f>SUMIFS(艾泊烨农商银行!$J:$J,艾泊烨农商银行!$B:$B,"="&amp;$E$2,艾泊烨农商银行!D:D,"="&amp;$C74)</f>
        <v>0</v>
      </c>
      <c r="Q74" s="236">
        <f>SUMIFS(艾泊烨私户银行!$H:$H,艾泊烨私户银行!$B:$B,"="&amp;$E$2,艾泊烨私户银行!$D:$D,"="&amp;$C74)</f>
        <v>0</v>
      </c>
      <c r="R74" s="236">
        <f>SUMIFS(易佰兴建行!$P:$P,易佰兴建行!$B:$B,"="&amp;$E$2,易佰兴建行!D:D,"="&amp;$C74)</f>
        <v>0</v>
      </c>
      <c r="S74" s="236">
        <f>SUMIFS(易佰兴私户!$P:$P,易佰兴私户!$B:$B,"="&amp;$E$2,易佰兴私户!$D:$D,"="&amp;$C74)</f>
        <v>0</v>
      </c>
      <c r="T74" s="251">
        <f>SUMIFS(易佰兴现金!$O:$O,易佰兴现金!$B:$B,"="&amp;$E$2,易佰兴现金!D:D,"="&amp;$C74)</f>
        <v>0</v>
      </c>
      <c r="U74" s="236">
        <f>SUMIFS(易佰兴基本户!$P:$P,易佰兴基本户!$B:$B,"="&amp;$E$2,易佰兴基本户!D:D,"="&amp;$C74)</f>
        <v>0</v>
      </c>
    </row>
    <row r="75" ht="14.25" outlineLevel="1" spans="1:21">
      <c r="A75" s="229"/>
      <c r="B75" s="250">
        <f t="shared" si="4"/>
        <v>5</v>
      </c>
      <c r="C75" s="256" t="s">
        <v>69</v>
      </c>
      <c r="D75" s="234" t="e">
        <f>SUMIFS(#REF!,#REF!,"="&amp;$E$2,#REF!,"="&amp;$C75)</f>
        <v>#REF!</v>
      </c>
      <c r="E75" s="235">
        <f>SUMIFS(力喆实业中国银行!$H:$H,力喆实业中国银行!$B:$B,"="&amp;$E$2,力喆实业中国银行!$D:$D,"="&amp;$C75)</f>
        <v>0</v>
      </c>
      <c r="F75" s="235">
        <f>SUMIFS(力喆产业农商银行!$H:$H,力喆产业农商银行!$B:$B,"="&amp;$E$2,力喆产业农商银行!$D:$D,"="&amp;$C75)</f>
        <v>0</v>
      </c>
      <c r="G75" s="236">
        <f>SUMIFS(徐洁招商银行!$H:$H,徐洁招商银行!$B:$B,"="&amp;$E$2,徐洁招商银行!$D:$D,"="&amp;$C75)</f>
        <v>47930.36</v>
      </c>
      <c r="H75" s="236">
        <f>SUMIFS(力喆贸易建设银行!$H:$H,力喆贸易建设银行!$B:$B,"="&amp;$E$2,力喆贸易建设银行!$D:$D,"="&amp;$C75)</f>
        <v>30000</v>
      </c>
      <c r="I75" s="236">
        <f>SUMIFS(元生万物建设银行!$H:$H,元生万物建设银行!$B:$B,"="&amp;$E$2,元生万物建设银行!$D:$D,"="&amp;$C75)</f>
        <v>0</v>
      </c>
      <c r="J75" s="236">
        <f>SUMIFS(言吾言中国银行!$H:$H,言吾言中国银行!$B:$B,"="&amp;$E$2,言吾言中国银行!$D:$D,"="&amp;$C75)</f>
        <v>0</v>
      </c>
      <c r="K75" s="236">
        <f>SUMIFS(力喆传媒海峡银行!$H:$H,力喆传媒海峡银行!$B:$B,"="&amp;$E$2,力喆传媒海峡银行!$D:$D,"="&amp;$C75)</f>
        <v>0</v>
      </c>
      <c r="L75" s="236">
        <f>SUMIFS(古玩城农商银行!$O:$O,古玩城农商银行!$B:$B,"="&amp;$E$2,古玩城农商银行!$D:$D,"="&amp;$C75)</f>
        <v>25000</v>
      </c>
      <c r="M75" s="236">
        <v>0</v>
      </c>
      <c r="N75" s="236">
        <f>SUMIFS(艾泊烨海峡银行!$H:$H,艾泊烨海峡银行!$B:$B,"="&amp;$E$2,艾泊烨海峡银行!$D:$D,"="&amp;$C75)</f>
        <v>16000</v>
      </c>
      <c r="O75" s="236">
        <v>0</v>
      </c>
      <c r="P75" s="236">
        <f>SUMIFS(艾泊烨农商银行!$J:$J,艾泊烨农商银行!$B:$B,"="&amp;$E$2,艾泊烨农商银行!D:D,"="&amp;$C75)</f>
        <v>0</v>
      </c>
      <c r="Q75" s="236">
        <f>SUMIFS(艾泊烨私户银行!$H:$H,艾泊烨私户银行!$B:$B,"="&amp;$E$2,艾泊烨私户银行!$D:$D,"="&amp;$C75)</f>
        <v>19844.24</v>
      </c>
      <c r="R75" s="236">
        <f>SUMIFS(易佰兴建行!$P:$P,易佰兴建行!$B:$B,"="&amp;$E$2,易佰兴建行!D:D,"="&amp;$C75)</f>
        <v>0</v>
      </c>
      <c r="S75" s="251">
        <f>SUMIFS(易佰兴私户!$P:$P,易佰兴私户!$B:$B,"="&amp;$E$2,易佰兴私户!$D:$D,"="&amp;$C75)</f>
        <v>24300</v>
      </c>
      <c r="T75" s="251">
        <f>SUMIFS(易佰兴现金!$O:$O,易佰兴现金!$B:$B,"="&amp;$E$2,易佰兴现金!D:D,"="&amp;$C75)</f>
        <v>0</v>
      </c>
      <c r="U75" s="251">
        <f>SUMIFS(易佰兴基本户!$P:$P,易佰兴基本户!$B:$B,"="&amp;$E$2,易佰兴基本户!D:D,"="&amp;$C75)</f>
        <v>0</v>
      </c>
    </row>
    <row r="76" ht="14.25" outlineLevel="1" spans="1:21">
      <c r="A76" s="229"/>
      <c r="B76" s="250">
        <f t="shared" si="4"/>
        <v>5</v>
      </c>
      <c r="C76" s="257" t="s">
        <v>133</v>
      </c>
      <c r="D76" s="258"/>
      <c r="E76" s="235">
        <f>SUMIFS(力喆实业中国银行!$H:$H,力喆实业中国银行!$B:$B,"="&amp;$E$2,力喆实业中国银行!$D:$D,"="&amp;$C76)</f>
        <v>0</v>
      </c>
      <c r="F76" s="235">
        <f>SUMIFS(力喆产业农商银行!$H:$H,力喆产业农商银行!$B:$B,"="&amp;$E$2,力喆产业农商银行!$D:$D,"="&amp;$C76)</f>
        <v>0</v>
      </c>
      <c r="G76" s="236">
        <f>SUMIFS(徐洁招商银行!$H:$H,徐洁招商银行!$B:$B,"="&amp;$E$2,徐洁招商银行!$D:$D,"="&amp;$C76)</f>
        <v>0</v>
      </c>
      <c r="H76" s="236">
        <f>SUMIFS(力喆贸易建设银行!$H:$H,力喆贸易建设银行!$B:$B,"="&amp;$E$2,力喆贸易建设银行!$D:$D,"="&amp;$C76)</f>
        <v>0</v>
      </c>
      <c r="I76" s="259"/>
      <c r="J76" s="259"/>
      <c r="K76" s="259"/>
      <c r="L76" s="236">
        <f>SUMIFS(古玩城农商银行!$O:$O,古玩城农商银行!$B:$B,"="&amp;$E$2,古玩城农商银行!$D:$D,"="&amp;$C76)</f>
        <v>0</v>
      </c>
      <c r="M76" s="236">
        <v>0</v>
      </c>
      <c r="N76" s="236">
        <f>SUMIFS(艾泊烨海峡银行!$H:$H,艾泊烨海峡银行!$B:$B,"="&amp;$E$2,艾泊烨海峡银行!$D:$D,"="&amp;$C76)</f>
        <v>0</v>
      </c>
      <c r="O76" s="236">
        <v>0</v>
      </c>
      <c r="P76" s="236">
        <f>SUMIFS(艾泊烨农商银行!$J:$J,艾泊烨农商银行!$B:$B,"="&amp;$E$2,艾泊烨农商银行!D:D,"="&amp;$C76)</f>
        <v>0</v>
      </c>
      <c r="Q76" s="236">
        <f>SUMIFS(艾泊烨私户银行!$H:$H,艾泊烨私户银行!$B:$B,"="&amp;$E$2,艾泊烨私户银行!$D:$D,"="&amp;$C76)</f>
        <v>0</v>
      </c>
      <c r="R76" s="236">
        <f>SUMIFS(易佰兴建行!$P:$P,易佰兴建行!$B:$B,"="&amp;$E$2,易佰兴建行!D:D,"="&amp;$C76)</f>
        <v>0</v>
      </c>
      <c r="S76" s="251">
        <f>SUMIFS(易佰兴私户!$P:$P,易佰兴私户!$B:$B,"="&amp;$E$2,易佰兴私户!$D:$D,"="&amp;$C76)</f>
        <v>0</v>
      </c>
      <c r="T76" s="251">
        <f>SUMIFS(易佰兴现金!$O:$O,易佰兴现金!$B:$B,"="&amp;$E$2,易佰兴现金!D:D,"="&amp;$C76)</f>
        <v>0</v>
      </c>
      <c r="U76" s="236">
        <f>SUMIFS(易佰兴基本户!$P:$P,易佰兴基本户!$B:$B,"="&amp;$E$2,易佰兴基本户!D:D,"="&amp;$C76)</f>
        <v>0</v>
      </c>
    </row>
    <row r="77" ht="14.25" outlineLevel="1" spans="1:21">
      <c r="A77" s="229"/>
      <c r="B77" s="250">
        <f t="shared" si="4"/>
        <v>5</v>
      </c>
      <c r="C77" s="257" t="s">
        <v>134</v>
      </c>
      <c r="D77" s="258"/>
      <c r="E77" s="235">
        <f>SUMIFS(力喆实业中国银行!$H:$H,力喆实业中国银行!$B:$B,"="&amp;$E$2,力喆实业中国银行!$D:$D,"="&amp;$C77)</f>
        <v>0</v>
      </c>
      <c r="F77" s="235">
        <f>SUMIFS(力喆产业农商银行!$H:$H,力喆产业农商银行!$B:$B,"="&amp;$E$2,力喆产业农商银行!$D:$D,"="&amp;$C77)</f>
        <v>0</v>
      </c>
      <c r="G77" s="236">
        <f>SUMIFS(徐洁招商银行!$H:$H,徐洁招商银行!$B:$B,"="&amp;$E$2,徐洁招商银行!$D:$D,"="&amp;$C77)</f>
        <v>0</v>
      </c>
      <c r="H77" s="236">
        <f>SUMIFS(力喆贸易建设银行!$H:$H,力喆贸易建设银行!$B:$B,"="&amp;$E$2,力喆贸易建设银行!$D:$D,"="&amp;$C77)</f>
        <v>0</v>
      </c>
      <c r="I77" s="259"/>
      <c r="J77" s="259"/>
      <c r="K77" s="259"/>
      <c r="L77" s="236">
        <f>SUMIFS(古玩城农商银行!$O:$O,古玩城农商银行!$B:$B,"="&amp;$E$2,古玩城农商银行!$D:$D,"="&amp;$C77)</f>
        <v>0</v>
      </c>
      <c r="M77" s="260">
        <v>0</v>
      </c>
      <c r="N77" s="236">
        <f>SUMIFS(艾泊烨海峡银行!$H:$H,艾泊烨海峡银行!$B:$B,"="&amp;$E$2,艾泊烨海峡银行!$D:$D,"="&amp;$C77)</f>
        <v>0</v>
      </c>
      <c r="O77" s="236">
        <v>0</v>
      </c>
      <c r="P77" s="236">
        <f>SUMIFS(艾泊烨农商银行!$J:$J,艾泊烨农商银行!$B:$B,"="&amp;$E$2,艾泊烨农商银行!D:D,"="&amp;$C77)</f>
        <v>0</v>
      </c>
      <c r="Q77" s="236">
        <f>SUMIFS(艾泊烨私户银行!$H:$H,艾泊烨私户银行!$B:$B,"="&amp;$E$2,艾泊烨私户银行!$D:$D,"="&amp;$C77)</f>
        <v>0</v>
      </c>
      <c r="R77" s="236">
        <f>SUMIFS(易佰兴建行!$P:$P,易佰兴建行!$B:$B,"="&amp;$E$2,易佰兴建行!D:D,"="&amp;$C77)</f>
        <v>0</v>
      </c>
      <c r="S77" s="251">
        <f>SUMIFS(易佰兴私户!$P:$P,易佰兴私户!$B:$B,"="&amp;$E$2,易佰兴私户!$D:$D,"="&amp;$C77)</f>
        <v>0</v>
      </c>
      <c r="T77" s="251">
        <f>SUMIFS(易佰兴现金!$O:$O,易佰兴现金!$B:$B,"="&amp;$E$2,易佰兴现金!D:D,"="&amp;$C77)</f>
        <v>0</v>
      </c>
      <c r="U77" s="236">
        <f>SUMIFS(易佰兴基本户!$P:$P,易佰兴基本户!$B:$B,"="&amp;$E$2,易佰兴基本户!D:D,"="&amp;$C77)</f>
        <v>0</v>
      </c>
    </row>
    <row r="78" ht="14.25" outlineLevel="1" spans="1:21">
      <c r="A78" s="229"/>
      <c r="B78" s="250">
        <f t="shared" si="4"/>
        <v>5</v>
      </c>
      <c r="C78" s="257" t="s">
        <v>135</v>
      </c>
      <c r="D78" s="258"/>
      <c r="E78" s="235">
        <f>SUMIFS(力喆实业中国银行!$H:$H,力喆实业中国银行!$B:$B,"="&amp;$E$2,力喆实业中国银行!$D:$D,"="&amp;$C78)</f>
        <v>0</v>
      </c>
      <c r="F78" s="235">
        <f>SUMIFS(力喆产业农商银行!$H:$H,力喆产业农商银行!$B:$B,"="&amp;$E$2,力喆产业农商银行!$D:$D,"="&amp;$C78)</f>
        <v>0</v>
      </c>
      <c r="G78" s="236">
        <f>SUMIFS(徐洁招商银行!$H:$H,徐洁招商银行!$B:$B,"="&amp;$E$2,徐洁招商银行!$D:$D,"="&amp;$C78)</f>
        <v>0</v>
      </c>
      <c r="H78" s="236">
        <f>SUMIFS(力喆贸易建设银行!$H:$H,力喆贸易建设银行!$B:$B,"="&amp;$E$2,力喆贸易建设银行!$D:$D,"="&amp;$C78)</f>
        <v>0</v>
      </c>
      <c r="I78" s="259"/>
      <c r="J78" s="259"/>
      <c r="K78" s="259"/>
      <c r="L78" s="236">
        <f>SUMIFS(古玩城农商银行!$O:$O,古玩城农商银行!$B:$B,"="&amp;$E$2,古玩城农商银行!$D:$D,"="&amp;$C78)</f>
        <v>0</v>
      </c>
      <c r="M78" s="260">
        <v>0</v>
      </c>
      <c r="N78" s="236">
        <f>SUMIFS(艾泊烨海峡银行!$H:$H,艾泊烨海峡银行!$B:$B,"="&amp;$E$2,艾泊烨海峡银行!$D:$D,"="&amp;$C78)</f>
        <v>150000</v>
      </c>
      <c r="O78" s="236">
        <v>0</v>
      </c>
      <c r="P78" s="236">
        <f>SUMIFS(艾泊烨农商银行!$J:$J,艾泊烨农商银行!$B:$B,"="&amp;$E$2,艾泊烨农商银行!D:D,"="&amp;$C78)</f>
        <v>0</v>
      </c>
      <c r="Q78" s="236">
        <f>SUMIFS(艾泊烨私户银行!$H:$H,艾泊烨私户银行!$B:$B,"="&amp;$E$2,艾泊烨私户银行!$D:$D,"="&amp;$C78)</f>
        <v>0</v>
      </c>
      <c r="R78" s="236">
        <f>SUMIFS(易佰兴建行!$P:$P,易佰兴建行!$B:$B,"="&amp;$E$2,易佰兴建行!D:D,"="&amp;$C78)</f>
        <v>0</v>
      </c>
      <c r="S78" s="236">
        <f>SUMIFS(易佰兴私户!$P:$P,易佰兴私户!$B:$B,"="&amp;$E$2,易佰兴私户!$D:$D,"="&amp;$C78)</f>
        <v>0</v>
      </c>
      <c r="T78" s="251">
        <f>SUMIFS(易佰兴现金!$O:$O,易佰兴现金!$B:$B,"="&amp;$E$2,易佰兴现金!D:D,"="&amp;$C78)</f>
        <v>0</v>
      </c>
      <c r="U78" s="236">
        <f>SUMIFS(易佰兴基本户!$P:$P,易佰兴基本户!$B:$B,"="&amp;$E$2,易佰兴基本户!D:D,"="&amp;$C78)</f>
        <v>0</v>
      </c>
    </row>
    <row r="79" ht="14.25" outlineLevel="1" spans="1:21">
      <c r="A79" s="229"/>
      <c r="B79" s="250">
        <f t="shared" si="4"/>
        <v>5</v>
      </c>
      <c r="C79" s="257" t="s">
        <v>136</v>
      </c>
      <c r="D79" s="258"/>
      <c r="E79" s="235">
        <f>SUMIFS(力喆实业中国银行!$H:$H,力喆实业中国银行!$B:$B,"="&amp;$E$2,力喆实业中国银行!$D:$D,"="&amp;$C79)</f>
        <v>0</v>
      </c>
      <c r="F79" s="235">
        <f>SUMIFS(力喆产业农商银行!$H:$H,力喆产业农商银行!$B:$B,"="&amp;$E$2,力喆产业农商银行!$D:$D,"="&amp;$C79)</f>
        <v>0</v>
      </c>
      <c r="G79" s="236">
        <f>SUMIFS(徐洁招商银行!$H:$H,徐洁招商银行!$B:$B,"="&amp;$E$2,徐洁招商银行!$D:$D,"="&amp;$C79)</f>
        <v>0</v>
      </c>
      <c r="H79" s="236">
        <f>SUMIFS(力喆贸易建设银行!$H:$H,力喆贸易建设银行!$B:$B,"="&amp;$E$2,力喆贸易建设银行!$D:$D,"="&amp;$C79)</f>
        <v>0</v>
      </c>
      <c r="I79" s="259"/>
      <c r="J79" s="259"/>
      <c r="K79" s="259"/>
      <c r="L79" s="236">
        <f>SUMIFS(古玩城农商银行!$O:$O,古玩城农商银行!$B:$B,"="&amp;$E$2,古玩城农商银行!$D:$D,"="&amp;$C79)</f>
        <v>0</v>
      </c>
      <c r="M79" s="260">
        <v>0</v>
      </c>
      <c r="N79" s="236">
        <f>SUMIFS(艾泊烨海峡银行!$H:$H,艾泊烨海峡银行!$B:$B,"="&amp;$E$2,艾泊烨海峡银行!$D:$D,"="&amp;$C79)</f>
        <v>400000</v>
      </c>
      <c r="O79" s="236">
        <v>0</v>
      </c>
      <c r="P79" s="236">
        <f>SUMIFS(艾泊烨农商银行!$J:$J,艾泊烨农商银行!$B:$B,"="&amp;$E$2,艾泊烨农商银行!D:D,"="&amp;$C79)</f>
        <v>0</v>
      </c>
      <c r="Q79" s="236">
        <f>SUMIFS(艾泊烨私户银行!$H:$H,艾泊烨私户银行!$B:$B,"="&amp;$E$2,艾泊烨私户银行!$D:$D,"="&amp;$C79)</f>
        <v>0</v>
      </c>
      <c r="R79" s="236">
        <f>SUMIFS(易佰兴建行!$P:$P,易佰兴建行!$B:$B,"="&amp;$E$2,易佰兴建行!D:D,"="&amp;$C79)</f>
        <v>0</v>
      </c>
      <c r="S79" s="236">
        <f>SUMIFS(易佰兴私户!$P:$P,易佰兴私户!$B:$B,"="&amp;$E$2,易佰兴私户!$D:$D,"="&amp;$C79)</f>
        <v>0</v>
      </c>
      <c r="T79" s="251">
        <f>SUMIFS(易佰兴现金!$O:$O,易佰兴现金!$B:$B,"="&amp;$E$2,易佰兴现金!D:D,"="&amp;$C79)</f>
        <v>0</v>
      </c>
      <c r="U79" s="236">
        <f>SUMIFS(易佰兴基本户!$P:$P,易佰兴基本户!$B:$B,"="&amp;$E$2,易佰兴基本户!D:D,"="&amp;$C79)</f>
        <v>0</v>
      </c>
    </row>
    <row r="80" ht="14.25" outlineLevel="1" spans="1:21">
      <c r="A80" s="229"/>
      <c r="B80" s="250">
        <f t="shared" si="4"/>
        <v>5</v>
      </c>
      <c r="C80" s="257" t="s">
        <v>137</v>
      </c>
      <c r="D80" s="258"/>
      <c r="E80" s="235"/>
      <c r="F80" s="235"/>
      <c r="G80" s="236"/>
      <c r="H80" s="236"/>
      <c r="I80" s="259"/>
      <c r="J80" s="259"/>
      <c r="K80" s="259"/>
      <c r="L80" s="236"/>
      <c r="M80" s="260"/>
      <c r="N80" s="236"/>
      <c r="O80" s="236"/>
      <c r="P80" s="236"/>
      <c r="Q80" s="236"/>
      <c r="R80" s="236"/>
      <c r="S80" s="236"/>
      <c r="T80" s="251"/>
      <c r="U80" s="236"/>
    </row>
    <row r="81" ht="14.25" outlineLevel="1" spans="1:21">
      <c r="A81" s="229"/>
      <c r="B81" s="250">
        <f t="shared" si="4"/>
        <v>5</v>
      </c>
      <c r="C81" s="257" t="s">
        <v>138</v>
      </c>
      <c r="D81" s="258"/>
      <c r="E81" s="235"/>
      <c r="F81" s="235"/>
      <c r="G81" s="236"/>
      <c r="H81" s="236"/>
      <c r="I81" s="259"/>
      <c r="J81" s="259"/>
      <c r="K81" s="259"/>
      <c r="L81" s="236"/>
      <c r="M81" s="260"/>
      <c r="N81" s="236"/>
      <c r="O81" s="236"/>
      <c r="P81" s="236"/>
      <c r="Q81" s="236"/>
      <c r="R81" s="236"/>
      <c r="S81" s="236"/>
      <c r="T81" s="251"/>
      <c r="U81" s="236"/>
    </row>
    <row r="82" ht="14.25" outlineLevel="1" spans="1:21">
      <c r="A82" s="229"/>
      <c r="B82" s="250">
        <f t="shared" si="4"/>
        <v>5</v>
      </c>
      <c r="C82" s="257" t="s">
        <v>139</v>
      </c>
      <c r="D82" s="258"/>
      <c r="E82" s="235"/>
      <c r="F82" s="235"/>
      <c r="G82" s="236"/>
      <c r="H82" s="236"/>
      <c r="I82" s="259"/>
      <c r="J82" s="259"/>
      <c r="K82" s="259"/>
      <c r="L82" s="236"/>
      <c r="M82" s="260"/>
      <c r="N82" s="236"/>
      <c r="O82" s="236"/>
      <c r="P82" s="236"/>
      <c r="Q82" s="236"/>
      <c r="R82" s="236"/>
      <c r="S82" s="236"/>
      <c r="T82" s="251"/>
      <c r="U82" s="236"/>
    </row>
    <row r="83" ht="14.25" outlineLevel="1" spans="1:21">
      <c r="A83" s="229"/>
      <c r="B83" s="250">
        <f>B79</f>
        <v>5</v>
      </c>
      <c r="C83" s="257" t="s">
        <v>140</v>
      </c>
      <c r="D83" s="258"/>
      <c r="E83" s="235">
        <f>SUMIFS(力喆实业中国银行!$H:$H,力喆实业中国银行!$B:$B,"="&amp;$E$2,力喆实业中国银行!$D:$D,"="&amp;$C83)</f>
        <v>0</v>
      </c>
      <c r="F83" s="235">
        <f>SUMIFS(力喆产业农商银行!$H:$H,力喆产业农商银行!$B:$B,"="&amp;$E$2,力喆产业农商银行!$D:$D,"="&amp;$C83)</f>
        <v>0</v>
      </c>
      <c r="G83" s="236">
        <f>SUMIFS(徐洁招商银行!$H:$H,徐洁招商银行!$B:$B,"="&amp;$E$2,徐洁招商银行!$D:$D,"="&amp;$C83)</f>
        <v>0</v>
      </c>
      <c r="H83" s="236">
        <f>SUMIFS(力喆贸易建设银行!$H:$H,力喆贸易建设银行!$B:$B,"="&amp;$E$2,力喆贸易建设银行!$D:$D,"="&amp;$C83)</f>
        <v>0</v>
      </c>
      <c r="I83" s="259"/>
      <c r="J83" s="259"/>
      <c r="K83" s="259"/>
      <c r="L83" s="236">
        <f>SUMIFS(古玩城农商银行!$O:$O,古玩城农商银行!$B:$B,"="&amp;$E$2,古玩城农商银行!$D:$D,"="&amp;$C83)</f>
        <v>0</v>
      </c>
      <c r="M83" s="260">
        <v>0</v>
      </c>
      <c r="N83" s="236">
        <f>SUMIFS(艾泊烨海峡银行!$H:$H,艾泊烨海峡银行!$B:$B,"="&amp;$E$2,艾泊烨海峡银行!$D:$D,"="&amp;$C83)</f>
        <v>33600</v>
      </c>
      <c r="O83" s="236">
        <v>0</v>
      </c>
      <c r="P83" s="236">
        <f>SUMIFS(艾泊烨农商银行!$J:$J,艾泊烨农商银行!$B:$B,"="&amp;$E$2,艾泊烨农商银行!D:D,"="&amp;$C83)</f>
        <v>0</v>
      </c>
      <c r="Q83" s="236">
        <f>SUMIFS(艾泊烨私户银行!$H:$H,艾泊烨私户银行!$B:$B,"="&amp;$E$2,艾泊烨私户银行!$D:$D,"="&amp;$C83)</f>
        <v>0</v>
      </c>
      <c r="R83" s="236">
        <f>SUMIFS(易佰兴建行!$P:$P,易佰兴建行!$B:$B,"="&amp;$E$2,易佰兴建行!D:D,"="&amp;$C83)</f>
        <v>0</v>
      </c>
      <c r="S83" s="236">
        <f>SUMIFS(易佰兴私户!$P:$P,易佰兴私户!$B:$B,"="&amp;$E$2,易佰兴私户!$D:$D,"="&amp;$C83)</f>
        <v>0</v>
      </c>
      <c r="T83" s="251">
        <f>SUMIFS(易佰兴现金!$O:$O,易佰兴现金!$B:$B,"="&amp;$E$2,易佰兴现金!D:D,"="&amp;$C83)</f>
        <v>0</v>
      </c>
      <c r="U83" s="236">
        <f>SUMIFS(易佰兴基本户!$P:$P,易佰兴基本户!$B:$B,"="&amp;$E$2,易佰兴基本户!D:D,"="&amp;$C83)</f>
        <v>0</v>
      </c>
    </row>
    <row r="84" ht="14.25" outlineLevel="1" spans="1:21">
      <c r="A84" s="229"/>
      <c r="B84" s="250">
        <f>B83</f>
        <v>5</v>
      </c>
      <c r="C84" s="257" t="s">
        <v>141</v>
      </c>
      <c r="D84" s="258"/>
      <c r="E84" s="235">
        <f>SUMIFS(力喆实业中国银行!$H:$H,力喆实业中国银行!$B:$B,"="&amp;$E$2,力喆实业中国银行!$D:$D,"="&amp;$C84)</f>
        <v>0</v>
      </c>
      <c r="F84" s="235">
        <f>SUMIFS(力喆产业农商银行!$H:$H,力喆产业农商银行!$B:$B,"="&amp;$E$2,力喆产业农商银行!$D:$D,"="&amp;$C84)</f>
        <v>0</v>
      </c>
      <c r="G84" s="236">
        <f>SUMIFS(徐洁招商银行!$H:$H,徐洁招商银行!$B:$B,"="&amp;$E$2,徐洁招商银行!$D:$D,"="&amp;$C84)</f>
        <v>0</v>
      </c>
      <c r="H84" s="236">
        <f>SUMIFS(力喆贸易建设银行!$H:$H,力喆贸易建设银行!$B:$B,"="&amp;$E$2,力喆贸易建设银行!$D:$D,"="&amp;$C84)</f>
        <v>0</v>
      </c>
      <c r="I84" s="259"/>
      <c r="J84" s="259"/>
      <c r="K84" s="259"/>
      <c r="L84" s="236">
        <f>SUMIFS(古玩城农商银行!$O:$O,古玩城农商银行!$B:$B,"="&amp;$E$2,古玩城农商银行!$D:$D,"="&amp;$C84)</f>
        <v>0</v>
      </c>
      <c r="M84" s="260">
        <v>0</v>
      </c>
      <c r="N84" s="236">
        <f>SUMIFS(艾泊烨海峡银行!$H:$H,艾泊烨海峡银行!$B:$B,"="&amp;$E$2,艾泊烨海峡银行!$D:$D,"="&amp;$C84)</f>
        <v>301300</v>
      </c>
      <c r="O84" s="236">
        <v>0</v>
      </c>
      <c r="P84" s="236">
        <f>SUMIFS(艾泊烨农商银行!$J:$J,艾泊烨农商银行!$B:$B,"="&amp;$E$2,艾泊烨农商银行!D:D,"="&amp;$C84)</f>
        <v>0</v>
      </c>
      <c r="Q84" s="236">
        <f>SUMIFS(艾泊烨私户银行!$H:$H,艾泊烨私户银行!$B:$B,"="&amp;$E$2,艾泊烨私户银行!$D:$D,"="&amp;$C84)</f>
        <v>0</v>
      </c>
      <c r="R84" s="236">
        <f>SUMIFS(易佰兴建行!$P:$P,易佰兴建行!$B:$B,"="&amp;$E$2,易佰兴建行!D:D,"="&amp;$C84)</f>
        <v>0</v>
      </c>
      <c r="S84" s="236">
        <f>SUMIFS(易佰兴私户!$P:$P,易佰兴私户!$B:$B,"="&amp;$E$2,易佰兴私户!$D:$D,"="&amp;$C84)</f>
        <v>0</v>
      </c>
      <c r="T84" s="251">
        <f>SUMIFS(易佰兴现金!$O:$O,易佰兴现金!$B:$B,"="&amp;$E$2,易佰兴现金!D:D,"="&amp;$C84)</f>
        <v>0</v>
      </c>
      <c r="U84" s="236">
        <f>SUMIFS(易佰兴基本户!$P:$P,易佰兴基本户!$B:$B,"="&amp;$E$2,易佰兴基本户!D:D,"="&amp;$C84)</f>
        <v>0</v>
      </c>
    </row>
    <row r="85" ht="14.25" outlineLevel="1" spans="1:21">
      <c r="A85" s="229"/>
      <c r="B85" s="250">
        <f>B84</f>
        <v>5</v>
      </c>
      <c r="C85" s="257" t="s">
        <v>142</v>
      </c>
      <c r="D85" s="261"/>
      <c r="E85" s="235">
        <f>SUMIFS(力喆实业中国银行!$H:$H,力喆实业中国银行!$B:$B,"="&amp;$E$2,力喆实业中国银行!$D:$D,"="&amp;$C85)</f>
        <v>0</v>
      </c>
      <c r="F85" s="235">
        <f>SUMIFS(力喆产业农商银行!$H:$H,力喆产业农商银行!$B:$B,"="&amp;$E$2,力喆产业农商银行!$D:$D,"="&amp;$C85)</f>
        <v>0</v>
      </c>
      <c r="G85" s="236">
        <f>SUMIFS(徐洁招商银行!$H:$H,徐洁招商银行!$B:$B,"="&amp;$E$2,徐洁招商银行!$D:$D,"="&amp;$C85)</f>
        <v>0</v>
      </c>
      <c r="H85" s="236">
        <f>SUMIFS(力喆贸易建设银行!$H:$H,力喆贸易建设银行!$B:$B,"="&amp;$E$2,力喆贸易建设银行!$D:$D,"="&amp;$C85)</f>
        <v>0</v>
      </c>
      <c r="I85" s="260"/>
      <c r="J85" s="260"/>
      <c r="K85" s="260"/>
      <c r="L85" s="236">
        <f>SUMIFS(古玩城农商银行!$O:$O,古玩城农商银行!$B:$B,"="&amp;$E$2,古玩城农商银行!$D:$D,"="&amp;$C85)</f>
        <v>0</v>
      </c>
      <c r="M85" s="260"/>
      <c r="N85" s="236">
        <f>SUMIFS(艾泊烨海峡银行!$H:$H,艾泊烨海峡银行!$B:$B,"="&amp;$E$2,艾泊烨海峡银行!$D:$D,"="&amp;$C85)</f>
        <v>0</v>
      </c>
      <c r="O85" s="260"/>
      <c r="P85" s="260"/>
      <c r="Q85" s="236"/>
      <c r="R85" s="236">
        <f>SUMIFS(易佰兴建行!$P:$P,易佰兴建行!$B:$B,"="&amp;$E$2,易佰兴建行!D:D,"="&amp;$C85)</f>
        <v>0</v>
      </c>
      <c r="S85" s="236">
        <f>SUMIFS(易佰兴私户!$P:$P,易佰兴私户!$B:$B,"="&amp;$E$2,易佰兴私户!$D:$D,"="&amp;$C85)</f>
        <v>0</v>
      </c>
      <c r="T85" s="251">
        <f>SUMIFS(易佰兴现金!$O:$O,易佰兴现金!$B:$B,"="&amp;$E$2,易佰兴现金!D:D,"="&amp;$C85)</f>
        <v>0</v>
      </c>
      <c r="U85" s="236">
        <f>SUMIFS(易佰兴基本户!$P:$P,易佰兴基本户!$B:$B,"="&amp;$E$2,易佰兴基本户!D:D,"="&amp;$C85)</f>
        <v>0</v>
      </c>
    </row>
    <row r="86" ht="14.25" outlineLevel="1" spans="1:21">
      <c r="A86" s="229"/>
      <c r="B86" s="250">
        <f>B85</f>
        <v>5</v>
      </c>
      <c r="C86" s="257" t="s">
        <v>143</v>
      </c>
      <c r="D86" s="261"/>
      <c r="E86" s="235">
        <f>SUMIFS(力喆实业中国银行!$H:$H,力喆实业中国银行!$B:$B,"="&amp;$E$2,力喆实业中国银行!$D:$D,"="&amp;$C86)</f>
        <v>0</v>
      </c>
      <c r="F86" s="235">
        <f>SUMIFS(力喆产业农商银行!$H:$H,力喆产业农商银行!$B:$B,"="&amp;$E$2,力喆产业农商银行!$D:$D,"="&amp;$C86)</f>
        <v>0</v>
      </c>
      <c r="G86" s="236">
        <f>SUMIFS(徐洁招商银行!$H:$H,徐洁招商银行!$B:$B,"="&amp;$E$2,徐洁招商银行!$D:$D,"="&amp;$C86)</f>
        <v>0</v>
      </c>
      <c r="H86" s="236">
        <f>SUMIFS(力喆贸易建设银行!$H:$H,力喆贸易建设银行!$B:$B,"="&amp;$E$2,力喆贸易建设银行!$D:$D,"="&amp;$C86)</f>
        <v>0</v>
      </c>
      <c r="I86" s="260"/>
      <c r="J86" s="260"/>
      <c r="K86" s="260"/>
      <c r="L86" s="236">
        <f>SUMIFS(古玩城农商银行!$O:$O,古玩城农商银行!$B:$B,"="&amp;$E$2,古玩城农商银行!$D:$D,"="&amp;$C86)</f>
        <v>0</v>
      </c>
      <c r="M86" s="260"/>
      <c r="N86" s="236">
        <f>SUMIFS(艾泊烨海峡银行!$H:$H,艾泊烨海峡银行!$B:$B,"="&amp;$E$2,艾泊烨海峡银行!$D:$D,"="&amp;$C86)</f>
        <v>0</v>
      </c>
      <c r="O86" s="260"/>
      <c r="P86" s="260"/>
      <c r="Q86" s="260"/>
      <c r="R86" s="236">
        <f>SUMIFS(易佰兴建行!$P:$P,易佰兴建行!$B:$B,"="&amp;$E$2,易佰兴建行!D:D,"="&amp;$C86)</f>
        <v>0</v>
      </c>
      <c r="S86" s="236">
        <f>SUMIFS(易佰兴私户!$P:$P,易佰兴私户!$B:$B,"="&amp;$E$2,易佰兴私户!$D:$D,"="&amp;$C86)</f>
        <v>0</v>
      </c>
      <c r="T86" s="251">
        <f>SUMIFS(易佰兴现金!$O:$O,易佰兴现金!$B:$B,"="&amp;$E$2,易佰兴现金!D:D,"="&amp;$C86)</f>
        <v>0</v>
      </c>
      <c r="U86" s="236">
        <f>SUMIFS(易佰兴基本户!$P:$P,易佰兴基本户!$B:$B,"="&amp;$E$2,易佰兴基本户!D:D,"="&amp;$C86)</f>
        <v>0</v>
      </c>
    </row>
    <row r="87" ht="14.25" outlineLevel="1" spans="1:21">
      <c r="A87" s="229"/>
      <c r="B87" s="250">
        <f>B86</f>
        <v>5</v>
      </c>
      <c r="C87" s="257" t="s">
        <v>144</v>
      </c>
      <c r="D87" s="261"/>
      <c r="E87" s="235">
        <f>SUMIFS(力喆实业中国银行!$H:$H,力喆实业中国银行!$B:$B,"="&amp;$E$2,力喆实业中国银行!$D:$D,"="&amp;$C87)</f>
        <v>0</v>
      </c>
      <c r="F87" s="235">
        <f>SUMIFS(力喆产业农商银行!$H:$H,力喆产业农商银行!$B:$B,"="&amp;$E$2,力喆产业农商银行!$D:$D,"="&amp;$C87)</f>
        <v>0</v>
      </c>
      <c r="G87" s="236">
        <f>SUMIFS(徐洁招商银行!$H:$H,徐洁招商银行!$B:$B,"="&amp;$E$2,徐洁招商银行!$D:$D,"="&amp;$C87)</f>
        <v>0</v>
      </c>
      <c r="H87" s="236">
        <f>SUMIFS(力喆贸易建设银行!$H:$H,力喆贸易建设银行!$B:$B,"="&amp;$E$2,力喆贸易建设银行!$D:$D,"="&amp;$C87)</f>
        <v>0</v>
      </c>
      <c r="I87" s="260"/>
      <c r="J87" s="260"/>
      <c r="K87" s="260"/>
      <c r="L87" s="236">
        <f>SUMIFS(古玩城农商银行!$O:$O,古玩城农商银行!$B:$B,"="&amp;$E$2,古玩城农商银行!$D:$D,"="&amp;$C87)</f>
        <v>0</v>
      </c>
      <c r="M87" s="260"/>
      <c r="N87" s="236">
        <f>SUMIFS(艾泊烨海峡银行!$H:$H,艾泊烨海峡银行!$B:$B,"="&amp;$E$2,艾泊烨海峡银行!$D:$D,"="&amp;$C87)</f>
        <v>0</v>
      </c>
      <c r="O87" s="260"/>
      <c r="P87" s="260"/>
      <c r="Q87" s="260"/>
      <c r="R87" s="236">
        <f>SUMIFS(易佰兴建行!$P:$P,易佰兴建行!$B:$B,"="&amp;$E$2,易佰兴建行!D:D,"="&amp;$C87)</f>
        <v>0</v>
      </c>
      <c r="S87" s="251">
        <f>SUMIFS(易佰兴私户!$P:$P,易佰兴私户!$B:$B,"="&amp;$E$2,易佰兴私户!$D:$D,"="&amp;$C87)</f>
        <v>28137</v>
      </c>
      <c r="T87" s="251">
        <f>SUMIFS(易佰兴现金!$O:$O,易佰兴现金!$B:$B,"="&amp;$E$2,易佰兴现金!D:D,"="&amp;$C87)</f>
        <v>0</v>
      </c>
      <c r="U87" s="236">
        <f>SUMIFS(易佰兴基本户!$P:$P,易佰兴基本户!$B:$B,"="&amp;$E$2,易佰兴基本户!D:D,"="&amp;$C87)</f>
        <v>0</v>
      </c>
    </row>
    <row r="88" ht="14.25" outlineLevel="1" spans="1:21">
      <c r="A88" s="229"/>
      <c r="B88" s="250">
        <f>B87</f>
        <v>5</v>
      </c>
      <c r="C88" s="257" t="s">
        <v>145</v>
      </c>
      <c r="D88" s="261"/>
      <c r="E88" s="235">
        <f>SUMIFS(力喆实业中国银行!$H:$H,力喆实业中国银行!$B:$B,"="&amp;$E$2,力喆实业中国银行!$D:$D,"="&amp;$C88)</f>
        <v>0</v>
      </c>
      <c r="F88" s="235">
        <f>SUMIFS(力喆产业农商银行!$H:$H,力喆产业农商银行!$B:$B,"="&amp;$E$2,力喆产业农商银行!$D:$D,"="&amp;$C88)</f>
        <v>0</v>
      </c>
      <c r="G88" s="236">
        <f>SUMIFS(徐洁招商银行!$H:$H,徐洁招商银行!$B:$B,"="&amp;$E$2,徐洁招商银行!$D:$D,"="&amp;$C88)</f>
        <v>0</v>
      </c>
      <c r="H88" s="236">
        <f>SUMIFS(力喆贸易建设银行!$H:$H,力喆贸易建设银行!$B:$B,"="&amp;$E$2,力喆贸易建设银行!$D:$D,"="&amp;$C88)</f>
        <v>0</v>
      </c>
      <c r="I88" s="260"/>
      <c r="J88" s="260"/>
      <c r="K88" s="260"/>
      <c r="L88" s="236">
        <f>SUMIFS(古玩城农商银行!$O:$O,古玩城农商银行!$B:$B,"="&amp;$E$2,古玩城农商银行!$D:$D,"="&amp;$C88)</f>
        <v>130000</v>
      </c>
      <c r="M88" s="260"/>
      <c r="N88" s="236">
        <f>SUMIFS(艾泊烨海峡银行!$H:$H,艾泊烨海峡银行!$B:$B,"="&amp;$E$2,艾泊烨海峡银行!$D:$D,"="&amp;$C88)</f>
        <v>0</v>
      </c>
      <c r="O88" s="260"/>
      <c r="P88" s="260"/>
      <c r="Q88" s="260"/>
      <c r="R88" s="260"/>
      <c r="S88" s="260"/>
      <c r="T88" s="251">
        <f>SUMIFS(易佰兴现金!$O:$O,易佰兴现金!$B:$B,"="&amp;$E$2,易佰兴现金!D:D,"="&amp;$C88)</f>
        <v>0</v>
      </c>
      <c r="U88" s="236"/>
    </row>
    <row r="89" ht="15" spans="1:21">
      <c r="A89" s="229"/>
      <c r="B89" s="262" t="s">
        <v>89</v>
      </c>
      <c r="C89" s="263"/>
      <c r="D89" s="264" t="e">
        <f t="shared" ref="D89:U89" si="5">SUBTOTAL(109,D32:D88)</f>
        <v>#REF!</v>
      </c>
      <c r="E89" s="264">
        <f t="shared" si="5"/>
        <v>0</v>
      </c>
      <c r="F89" s="264">
        <f t="shared" si="5"/>
        <v>51010.2</v>
      </c>
      <c r="G89" s="264">
        <f t="shared" si="5"/>
        <v>143238.34</v>
      </c>
      <c r="H89" s="264">
        <f t="shared" si="5"/>
        <v>68405.13</v>
      </c>
      <c r="I89" s="264">
        <f t="shared" si="5"/>
        <v>30</v>
      </c>
      <c r="J89" s="264">
        <f t="shared" si="5"/>
        <v>134</v>
      </c>
      <c r="K89" s="264">
        <f t="shared" si="5"/>
        <v>0</v>
      </c>
      <c r="L89" s="264">
        <f t="shared" si="5"/>
        <v>349857.68</v>
      </c>
      <c r="M89" s="264">
        <f t="shared" si="5"/>
        <v>0</v>
      </c>
      <c r="N89" s="264">
        <f t="shared" si="5"/>
        <v>980945.99</v>
      </c>
      <c r="O89" s="264">
        <f t="shared" si="5"/>
        <v>25</v>
      </c>
      <c r="P89" s="264">
        <f t="shared" si="5"/>
        <v>15179.17</v>
      </c>
      <c r="Q89" s="264">
        <f t="shared" si="5"/>
        <v>23140.07</v>
      </c>
      <c r="R89" s="264">
        <f t="shared" si="5"/>
        <v>223854.86</v>
      </c>
      <c r="S89" s="264">
        <f t="shared" si="5"/>
        <v>75301.76</v>
      </c>
      <c r="T89" s="264">
        <f t="shared" si="5"/>
        <v>0</v>
      </c>
      <c r="U89" s="264">
        <f t="shared" si="5"/>
        <v>26785.73</v>
      </c>
    </row>
    <row r="90" hidden="1" spans="1:21">
      <c r="A90" s="240"/>
      <c r="B90" s="265" t="s">
        <v>146</v>
      </c>
      <c r="C90" s="266"/>
      <c r="D90" s="243" t="e">
        <f>D89-SUMIFS(#REF!,#REF!,汇总!$B$17)</f>
        <v>#REF!</v>
      </c>
      <c r="E90" s="243">
        <f>E89-SUMIFS(力喆实业中国银行!$H:$H,力喆实业中国银行!$B:$B,"="&amp;$E$2)-SUMIFS(力喆产业农商银行!$H:$H,力喆产业农商银行!$B:$B,"="&amp;$E$2)</f>
        <v>-51010.2</v>
      </c>
      <c r="F90" s="243">
        <f>F89-SUMIFS(力喆实业中国银行!$H:$H,力喆实业中国银行!$B:$B,"="&amp;$E$2)-SUMIFS(力喆产业农商银行!$H:$H,力喆产业农商银行!$B:$B,"="&amp;$E$2)</f>
        <v>0</v>
      </c>
      <c r="G90" s="244">
        <f>G89-SUMIFS(徐洁招商银行!$H:$H,徐洁招商银行!$B:$B,"="&amp;$E$2)</f>
        <v>0</v>
      </c>
      <c r="H90" s="244">
        <f>H89-SUMIFS(力喆贸易建设银行!$H:$H,力喆贸易建设银行!$B:$B,"="&amp;$E$2)</f>
        <v>0</v>
      </c>
      <c r="I90" s="244">
        <f>I89-SUMIFS(元生万物建设银行!$H:$H,元生万物建设银行!$B:$B,"="&amp;$E$2)</f>
        <v>0</v>
      </c>
      <c r="J90" s="244">
        <f>J89-SUMIFS(言吾言中国银行!$H:$H,言吾言中国银行!$B:$B,"="&amp;$E$2)</f>
        <v>0</v>
      </c>
      <c r="K90" s="244">
        <f>K89-SUMIFS(力喆传媒海峡银行!$H:$H,力喆传媒海峡银行!$B:$B,"="&amp;$E$2)</f>
        <v>0</v>
      </c>
    </row>
    <row r="91" ht="24" customHeight="1" spans="1:21">
      <c r="B91" s="267" t="s">
        <v>147</v>
      </c>
      <c r="C91" s="268"/>
      <c r="D91" s="268" t="e">
        <f t="shared" ref="D91:U91" si="6">D5+D28-D89</f>
        <v>#REF!</v>
      </c>
      <c r="E91" s="268">
        <f t="shared" si="6"/>
        <v>0</v>
      </c>
      <c r="F91" s="268">
        <f t="shared" si="6"/>
        <v>3636.48000000001</v>
      </c>
      <c r="G91" s="268">
        <f t="shared" si="6"/>
        <v>25473.62</v>
      </c>
      <c r="H91" s="268">
        <f t="shared" si="6"/>
        <v>15980.38</v>
      </c>
      <c r="I91" s="268">
        <f t="shared" si="6"/>
        <v>65072.22</v>
      </c>
      <c r="J91" s="268">
        <f t="shared" si="6"/>
        <v>4285.25</v>
      </c>
      <c r="K91" s="268">
        <f t="shared" si="6"/>
        <v>0</v>
      </c>
      <c r="L91" s="268">
        <f t="shared" si="6"/>
        <v>176581.58</v>
      </c>
      <c r="M91" s="268">
        <f t="shared" si="6"/>
        <v>16200</v>
      </c>
      <c r="N91" s="268">
        <f t="shared" si="6"/>
        <v>56693.16</v>
      </c>
      <c r="O91" s="268">
        <f t="shared" si="6"/>
        <v>30511.78</v>
      </c>
      <c r="P91" s="268">
        <f t="shared" si="6"/>
        <v>4100.60000000002</v>
      </c>
      <c r="Q91" s="268">
        <f t="shared" si="6"/>
        <v>93889.5500000002</v>
      </c>
      <c r="R91" s="268">
        <f t="shared" si="6"/>
        <v>130822.93</v>
      </c>
      <c r="S91" s="268">
        <f t="shared" si="6"/>
        <v>171303.48</v>
      </c>
      <c r="T91" s="268">
        <f t="shared" si="6"/>
        <v>240</v>
      </c>
      <c r="U91" s="268">
        <f t="shared" si="6"/>
        <v>-1133.62999999999</v>
      </c>
    </row>
  </sheetData>
  <autoFilter xmlns:etc="http://www.wps.cn/officeDocument/2017/etCustomData" ref="A4:U29" etc:filterBottomFollowUsedRange="0">
    <extLst/>
  </autoFilter>
  <mergeCells count="2">
    <mergeCell ref="A4:A28"/>
    <mergeCell ref="A31:A89"/>
  </mergeCells>
  <dataValidations count="1">
    <dataValidation type="list" allowBlank="1" showInputMessage="1" showErrorMessage="1" sqref="E2">
      <formula1>"1,2,3,4,5,6,7,8,9,10,11,12"</formula1>
    </dataValidation>
  </dataValidations>
  <pageMargins left="0.7" right="0.7" top="0.75" bottom="0.75" header="0.3" footer="0.3"/>
  <pageSetup paperSize="9" orientation="portrait"/>
  <headerFooter/>
  <ignoredErrors>
    <ignoredError sqref="B25 B15:B16 L27 L58:L59 B21 B35 S59 T19"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32"/>
  <sheetViews>
    <sheetView topLeftCell="A31" workbookViewId="0">
      <selection activeCell="B57" sqref="B57"/>
    </sheetView>
  </sheetViews>
  <sheetFormatPr defaultColWidth="9" defaultRowHeight="13.5"/>
  <sheetData>
    <row r="1" spans="1:4">
      <c r="A1" s="207"/>
      <c r="B1" s="207" t="s">
        <v>8</v>
      </c>
      <c r="C1" s="207" t="s">
        <v>148</v>
      </c>
    </row>
    <row r="2" spans="1:4">
      <c r="A2" s="207"/>
      <c r="B2" s="208" t="s">
        <v>92</v>
      </c>
      <c r="C2" s="207" t="s">
        <v>69</v>
      </c>
      <c r="D2" t="str">
        <f>VLOOKUP(收费名称[[#This Row],[收费项]],汇总!C:C,1,0)</f>
        <v>薪资</v>
      </c>
    </row>
    <row r="3" spans="1:4">
      <c r="A3" s="207"/>
      <c r="B3" s="208" t="s">
        <v>93</v>
      </c>
      <c r="C3" s="207" t="s">
        <v>121</v>
      </c>
      <c r="D3" t="str">
        <f>VLOOKUP(收费名称[[#This Row],[收费项]],汇总!C:C,1,0)</f>
        <v>五险一金</v>
      </c>
    </row>
    <row r="4" spans="1:4">
      <c r="A4" s="207"/>
      <c r="B4" s="208" t="s">
        <v>95</v>
      </c>
      <c r="C4" s="207" t="s">
        <v>123</v>
      </c>
      <c r="D4" t="str">
        <f>VLOOKUP(收费名称[[#This Row],[收费项]],汇总!C:C,1,0)</f>
        <v>员工保险</v>
      </c>
    </row>
    <row r="5" spans="1:4">
      <c r="A5" s="207"/>
      <c r="B5" s="209" t="s">
        <v>96</v>
      </c>
      <c r="C5" s="207"/>
      <c r="D5" t="str">
        <f>VLOOKUP(收费名称[[#This Row],[收费项]],汇总!C:C,1,0)</f>
        <v>福利费</v>
      </c>
    </row>
    <row r="6" spans="1:4">
      <c r="A6" s="207"/>
      <c r="B6" s="208" t="s">
        <v>97</v>
      </c>
      <c r="C6" s="207"/>
      <c r="D6" t="str">
        <f>VLOOKUP(收费名称[[#This Row],[收费项]],汇总!C:C,1,0)</f>
        <v>招待费</v>
      </c>
    </row>
    <row r="7" spans="1:4">
      <c r="A7" s="207"/>
      <c r="B7" s="208" t="s">
        <v>98</v>
      </c>
      <c r="C7" s="207"/>
      <c r="D7" t="str">
        <f>VLOOKUP(收费名称[[#This Row],[收费项]],汇总!C:C,1,0)</f>
        <v>酒水费</v>
      </c>
    </row>
    <row r="8" spans="1:4">
      <c r="A8" s="207"/>
      <c r="B8" s="208" t="s">
        <v>99</v>
      </c>
      <c r="C8" s="207"/>
      <c r="D8" t="str">
        <f>VLOOKUP(收费名称[[#This Row],[收费项]],汇总!C:C,1,0)</f>
        <v>公共关系费用</v>
      </c>
    </row>
    <row r="9" spans="1:4">
      <c r="A9" s="207"/>
      <c r="B9" s="208" t="s">
        <v>100</v>
      </c>
      <c r="C9" s="207"/>
      <c r="D9" t="str">
        <f>VLOOKUP(收费名称[[#This Row],[收费项]],汇总!C:C,1,0)</f>
        <v>办公费</v>
      </c>
    </row>
    <row r="10" spans="1:4">
      <c r="A10" s="207"/>
      <c r="B10" s="209" t="s">
        <v>101</v>
      </c>
      <c r="C10" s="207"/>
      <c r="D10" t="str">
        <f>VLOOKUP(收费名称[[#This Row],[收费项]],汇总!C:C,1,0)</f>
        <v>低值易耗品</v>
      </c>
    </row>
    <row r="11" spans="1:4">
      <c r="A11" s="207"/>
      <c r="B11" s="209" t="s">
        <v>102</v>
      </c>
      <c r="C11" s="207"/>
      <c r="D11" t="str">
        <f>VLOOKUP(收费名称[[#This Row],[收费项]],汇总!C:C,1,0)</f>
        <v>快递邮电费</v>
      </c>
    </row>
    <row r="12" spans="1:4">
      <c r="A12" s="207"/>
      <c r="B12" s="209" t="s">
        <v>103</v>
      </c>
      <c r="C12" s="207"/>
      <c r="D12" t="str">
        <f>VLOOKUP(收费名称[[#This Row],[收费项]],汇总!C:C,1,0)</f>
        <v>通讯、宽带费</v>
      </c>
    </row>
    <row r="13" spans="1:4">
      <c r="A13" s="207"/>
      <c r="B13" s="209" t="s">
        <v>105</v>
      </c>
      <c r="C13" s="207"/>
      <c r="D13" t="str">
        <f>VLOOKUP(收费名称[[#This Row],[收费项]],汇总!C:C,1,0)</f>
        <v>差旅费</v>
      </c>
    </row>
    <row r="14" spans="1:4">
      <c r="A14" s="207"/>
      <c r="B14" s="209" t="s">
        <v>106</v>
      </c>
      <c r="C14" s="207"/>
      <c r="D14" t="str">
        <f>VLOOKUP(收费名称[[#This Row],[收费项]],汇总!C:C,1,0)</f>
        <v>退押金</v>
      </c>
    </row>
    <row r="15" spans="1:4">
      <c r="A15" s="207"/>
      <c r="B15" s="209" t="s">
        <v>104</v>
      </c>
      <c r="C15" s="207"/>
      <c r="D15" t="str">
        <f>VLOOKUP(收费名称[[#This Row],[收费项]],汇总!C:C,1,0)</f>
        <v>营销费用</v>
      </c>
    </row>
    <row r="16" spans="1:4">
      <c r="A16" s="207"/>
      <c r="B16" s="210" t="s">
        <v>107</v>
      </c>
      <c r="C16" s="207"/>
      <c r="D16" t="str">
        <f>VLOOKUP(收费名称[[#This Row],[收费项]],汇总!C:C,1,0)</f>
        <v>油费</v>
      </c>
    </row>
    <row r="17" spans="1:4">
      <c r="A17" s="207"/>
      <c r="B17" s="207" t="s">
        <v>108</v>
      </c>
      <c r="C17" s="207"/>
      <c r="D17" t="str">
        <f>VLOOKUP(收费名称[[#This Row],[收费项]],汇总!C:C,1,0)</f>
        <v>油费（闽A013LZ）</v>
      </c>
    </row>
    <row r="18" spans="1:4">
      <c r="A18" s="207"/>
      <c r="B18" s="207" t="s">
        <v>109</v>
      </c>
      <c r="C18" s="207"/>
      <c r="D18" t="str">
        <f>VLOOKUP(收费名称[[#This Row],[收费项]],汇总!C:C,1,0)</f>
        <v>油费（闽AD10200）</v>
      </c>
    </row>
    <row r="19" spans="1:4">
      <c r="A19" s="207"/>
      <c r="B19" s="207" t="s">
        <v>110</v>
      </c>
      <c r="C19" s="207"/>
      <c r="D19" t="str">
        <f>VLOOKUP(收费名称[[#This Row],[收费项]],汇总!C:C,1,0)</f>
        <v>车辆保险费</v>
      </c>
    </row>
    <row r="20" spans="1:4">
      <c r="A20" s="207"/>
      <c r="B20" s="207" t="s">
        <v>111</v>
      </c>
      <c r="C20" s="207"/>
      <c r="D20" t="str">
        <f>VLOOKUP(收费名称[[#This Row],[收费项]],汇总!C:C,1,0)</f>
        <v>车辆维修费</v>
      </c>
    </row>
    <row r="21" spans="1:4">
      <c r="A21" s="207"/>
      <c r="B21" s="207" t="s">
        <v>112</v>
      </c>
      <c r="C21" s="207"/>
      <c r="D21" t="str">
        <f>VLOOKUP(收费名称[[#This Row],[收费项]],汇总!C:C,1,0)</f>
        <v>车辆保养费</v>
      </c>
    </row>
    <row r="22" spans="1:4">
      <c r="A22" s="207"/>
      <c r="B22" s="207" t="s">
        <v>113</v>
      </c>
      <c r="C22" s="207"/>
      <c r="D22" t="str">
        <f>VLOOKUP(收费名称[[#This Row],[收费项]],汇总!C:C,1,0)</f>
        <v>ETC（闽A6896D）</v>
      </c>
    </row>
    <row r="23" spans="1:4">
      <c r="A23" s="207"/>
      <c r="B23" s="207" t="s">
        <v>114</v>
      </c>
      <c r="C23" s="207"/>
      <c r="D23" t="str">
        <f>VLOOKUP(收费名称[[#This Row],[收费项]],汇总!C:C,1,0)</f>
        <v>ETC（闽A013LZ）</v>
      </c>
    </row>
    <row r="24" spans="1:4">
      <c r="A24" s="207"/>
      <c r="B24" s="207" t="s">
        <v>115</v>
      </c>
      <c r="C24" s="207"/>
      <c r="D24" t="str">
        <f>VLOOKUP(收费名称[[#This Row],[收费项]],汇总!C:C,1,0)</f>
        <v>ETC（闽AD10200）</v>
      </c>
    </row>
    <row r="25" spans="1:4">
      <c r="A25" s="207"/>
      <c r="B25" s="207" t="s">
        <v>116</v>
      </c>
      <c r="C25" s="207"/>
      <c r="D25" t="str">
        <f>VLOOKUP(收费名称[[#This Row],[收费项]],汇总!C:C,1,0)</f>
        <v>停车费</v>
      </c>
    </row>
    <row r="26" spans="1:4">
      <c r="A26" s="207"/>
      <c r="B26" s="207" t="s">
        <v>118</v>
      </c>
      <c r="C26" s="207"/>
      <c r="D26" t="str">
        <f>VLOOKUP(收费名称[[#This Row],[收费项]],汇总!C:C,1,0)</f>
        <v>市内交通费</v>
      </c>
    </row>
    <row r="27" spans="1:4">
      <c r="A27" s="207"/>
      <c r="B27" s="207" t="s">
        <v>16</v>
      </c>
      <c r="C27" s="207"/>
      <c r="D27" t="str">
        <f>VLOOKUP(收费名称[[#This Row],[收费项]],汇总!C:C,1,0)</f>
        <v>银行手续费</v>
      </c>
    </row>
    <row r="28" spans="1:4">
      <c r="A28" s="207"/>
      <c r="B28" s="207" t="s">
        <v>119</v>
      </c>
      <c r="C28" s="207"/>
      <c r="D28" t="str">
        <f>VLOOKUP(收费名称[[#This Row],[收费项]],汇总!C:C,1,0)</f>
        <v>税费</v>
      </c>
    </row>
    <row r="29" spans="1:4">
      <c r="A29" s="207"/>
      <c r="B29" s="207" t="s">
        <v>120</v>
      </c>
      <c r="C29" s="207"/>
      <c r="D29" t="str">
        <f>VLOOKUP(收费名称[[#This Row],[收费项]],汇总!C:C,1,0)</f>
        <v>贷款利息</v>
      </c>
    </row>
    <row r="30" spans="1:4">
      <c r="A30" s="207"/>
      <c r="B30" s="211" t="s">
        <v>122</v>
      </c>
      <c r="C30" s="207"/>
      <c r="D30" t="str">
        <f>VLOOKUP(收费名称[[#This Row],[收费项]],汇总!C:C,1,0)</f>
        <v>衣锦坊52号一进房租</v>
      </c>
    </row>
    <row r="31" spans="1:4">
      <c r="A31" s="207"/>
      <c r="B31" s="207" t="s">
        <v>123</v>
      </c>
      <c r="C31" s="207"/>
      <c r="D31" t="str">
        <f>VLOOKUP(收费名称[[#This Row],[收费项]],汇总!C:C,1,0)</f>
        <v>物业费</v>
      </c>
    </row>
    <row r="32" spans="1:4">
      <c r="A32" s="207"/>
      <c r="B32" s="207" t="s">
        <v>124</v>
      </c>
      <c r="C32" s="207"/>
      <c r="D32" t="str">
        <f>VLOOKUP(收费名称[[#This Row],[收费项]],汇总!C:C,1,0)</f>
        <v>水电费</v>
      </c>
    </row>
    <row r="33" spans="1:4">
      <c r="A33" s="207"/>
      <c r="B33" s="211" t="s">
        <v>126</v>
      </c>
      <c r="C33" s="207"/>
      <c r="D33" t="str">
        <f>VLOOKUP(收费名称[[#This Row],[收费项]],汇总!C:C,1,0)</f>
        <v>上下杭房租</v>
      </c>
    </row>
    <row r="34" spans="1:4">
      <c r="A34" s="207"/>
      <c r="B34" s="207" t="s">
        <v>127</v>
      </c>
      <c r="C34" s="207"/>
      <c r="D34" t="str">
        <f>VLOOKUP(收费名称[[#This Row],[收费项]],汇总!C:C,1,0)</f>
        <v>徐总费用</v>
      </c>
    </row>
    <row r="35" spans="1:4">
      <c r="A35" s="207"/>
      <c r="B35" s="212" t="s">
        <v>130</v>
      </c>
      <c r="C35" s="207"/>
      <c r="D35" t="str">
        <f>VLOOKUP(收费名称[[#This Row],[收费项]],汇总!C:C,1,0)</f>
        <v>利息支出</v>
      </c>
    </row>
    <row r="36" spans="1:4">
      <c r="A36" s="207"/>
      <c r="B36" s="211" t="s">
        <v>128</v>
      </c>
      <c r="C36" s="207"/>
      <c r="D36" t="str">
        <f>VLOOKUP(收费名称[[#This Row],[收费项]],汇总!C:C,1,0)</f>
        <v>营业外支出-赔偿款</v>
      </c>
    </row>
    <row r="37" spans="1:4">
      <c r="A37" s="207"/>
      <c r="B37" s="213" t="s">
        <v>129</v>
      </c>
      <c r="C37" s="207"/>
      <c r="D37" t="str">
        <f>VLOOKUP(收费名称[[#This Row],[收费项]],汇总!C:C,1,0)</f>
        <v>物业修缮费</v>
      </c>
    </row>
    <row r="38" spans="1:4">
      <c r="A38" s="207"/>
      <c r="B38" s="211" t="s">
        <v>83</v>
      </c>
      <c r="C38" s="207"/>
      <c r="D38" t="str">
        <f>VLOOKUP(收费名称[[#This Row],[收费项]],汇总!C:C,1,0)</f>
        <v>股东分红</v>
      </c>
    </row>
    <row r="39" spans="1:4">
      <c r="A39" s="207"/>
      <c r="B39" s="214" t="s">
        <v>132</v>
      </c>
      <c r="C39" s="207"/>
      <c r="D39" t="str">
        <f>VLOOKUP(收费名称[[#This Row],[收费项]],汇总!C:C,1,0)</f>
        <v>股权投资款</v>
      </c>
    </row>
    <row r="40" spans="1:4">
      <c r="A40" s="207"/>
      <c r="B40" s="215" t="s">
        <v>117</v>
      </c>
      <c r="C40" s="207"/>
      <c r="D40" t="str">
        <f>VLOOKUP(收费名称[[#This Row],[收费项]],汇总!C:C,1,0)</f>
        <v>车辆使用费</v>
      </c>
    </row>
    <row r="41" spans="1:4">
      <c r="B41" s="216" t="s">
        <v>134</v>
      </c>
    </row>
    <row r="42" spans="1:4">
      <c r="B42" s="216" t="s">
        <v>135</v>
      </c>
    </row>
    <row r="43" spans="1:4">
      <c r="B43" s="216" t="s">
        <v>136</v>
      </c>
    </row>
    <row r="44" spans="1:4">
      <c r="B44" s="216" t="s">
        <v>140</v>
      </c>
    </row>
    <row r="45" spans="1:4">
      <c r="B45" s="214" t="s">
        <v>141</v>
      </c>
    </row>
    <row r="46" spans="1:4">
      <c r="B46" s="217" t="s">
        <v>131</v>
      </c>
    </row>
    <row r="47" spans="1:4">
      <c r="B47" s="217" t="s">
        <v>125</v>
      </c>
    </row>
    <row r="48" spans="1:4">
      <c r="B48" s="214" t="s">
        <v>142</v>
      </c>
    </row>
    <row r="49" spans="1:3">
      <c r="B49" s="214" t="s">
        <v>143</v>
      </c>
    </row>
    <row r="50" spans="1:3">
      <c r="A50" s="207"/>
      <c r="B50" s="217" t="s">
        <v>121</v>
      </c>
      <c r="C50" s="207"/>
    </row>
    <row r="51" spans="1:3">
      <c r="B51" s="216" t="s">
        <v>144</v>
      </c>
    </row>
    <row r="52" spans="1:3">
      <c r="B52" s="218" t="s">
        <v>133</v>
      </c>
    </row>
    <row r="53" spans="1:3">
      <c r="B53" s="219" t="s">
        <v>145</v>
      </c>
    </row>
    <row r="54" spans="1:3">
      <c r="B54" s="219" t="s">
        <v>94</v>
      </c>
    </row>
    <row r="55" spans="1:3">
      <c r="B55" s="219" t="s">
        <v>137</v>
      </c>
    </row>
    <row r="56" spans="1:3">
      <c r="B56" s="219" t="s">
        <v>138</v>
      </c>
    </row>
    <row r="57" spans="1:3">
      <c r="B57" s="219" t="s">
        <v>139</v>
      </c>
    </row>
    <row r="58" spans="1:3">
      <c r="A58" s="207" t="s">
        <v>11</v>
      </c>
      <c r="B58" s="220" t="s">
        <v>68</v>
      </c>
      <c r="C58" s="207"/>
    </row>
    <row r="59" spans="1:3">
      <c r="A59" s="207" t="s">
        <v>11</v>
      </c>
      <c r="B59" s="211" t="s">
        <v>69</v>
      </c>
      <c r="C59" s="207"/>
    </row>
    <row r="60" spans="1:3">
      <c r="A60" s="207"/>
      <c r="B60" s="211" t="s">
        <v>86</v>
      </c>
      <c r="C60" s="207"/>
    </row>
    <row r="61" spans="1:3">
      <c r="A61" s="207" t="s">
        <v>11</v>
      </c>
      <c r="B61" s="211" t="s">
        <v>77</v>
      </c>
      <c r="C61" s="207"/>
    </row>
    <row r="62" spans="1:3">
      <c r="A62" s="207" t="s">
        <v>11</v>
      </c>
      <c r="B62" s="211" t="s">
        <v>78</v>
      </c>
      <c r="C62" s="207"/>
    </row>
    <row r="63" spans="1:3">
      <c r="A63" s="207" t="s">
        <v>11</v>
      </c>
      <c r="B63" s="211" t="s">
        <v>79</v>
      </c>
      <c r="C63" s="207"/>
    </row>
    <row r="64" spans="1:3">
      <c r="A64" s="207" t="s">
        <v>11</v>
      </c>
      <c r="B64" s="221" t="s">
        <v>80</v>
      </c>
      <c r="C64" s="207"/>
    </row>
    <row r="65" spans="1:3">
      <c r="A65" s="207" t="s">
        <v>11</v>
      </c>
      <c r="B65" s="221" t="s">
        <v>84</v>
      </c>
      <c r="C65" s="207"/>
    </row>
    <row r="66" spans="1:3">
      <c r="B66" s="221" t="s">
        <v>29</v>
      </c>
    </row>
    <row r="67" spans="1:3">
      <c r="B67" s="221" t="s">
        <v>85</v>
      </c>
    </row>
    <row r="68" spans="1:3">
      <c r="B68" s="221" t="s">
        <v>71</v>
      </c>
    </row>
    <row r="69" spans="1:3">
      <c r="B69" s="221" t="s">
        <v>72</v>
      </c>
    </row>
    <row r="70" spans="1:3">
      <c r="B70" s="221" t="s">
        <v>88</v>
      </c>
    </row>
    <row r="71" spans="1:3">
      <c r="B71" s="221" t="s">
        <v>87</v>
      </c>
    </row>
    <row r="72" spans="1:3">
      <c r="B72" s="221" t="s">
        <v>75</v>
      </c>
    </row>
    <row r="73" spans="1:3">
      <c r="B73" s="221" t="s">
        <v>74</v>
      </c>
    </row>
    <row r="74" spans="1:3">
      <c r="B74" s="221" t="s">
        <v>70</v>
      </c>
    </row>
    <row r="75" spans="1:3">
      <c r="B75" s="221" t="s">
        <v>73</v>
      </c>
    </row>
    <row r="76" spans="1:3">
      <c r="B76" s="222" t="s">
        <v>81</v>
      </c>
    </row>
    <row r="77" spans="1:3">
      <c r="B77" s="222" t="s">
        <v>82</v>
      </c>
    </row>
    <row r="78" spans="1:3">
      <c r="B78" s="222" t="s">
        <v>76</v>
      </c>
    </row>
    <row r="132" spans="11:11">
      <c r="K132">
        <v>19535.5</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rgb="FFFF0000"/>
  </sheetPr>
  <dimension ref="A1:P65"/>
  <sheetViews>
    <sheetView workbookViewId="0">
      <selection activeCell="M12" sqref="M12"/>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149</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20187.05</v>
      </c>
      <c r="J4" s="56"/>
    </row>
    <row r="5" ht="20" customHeight="1" spans="1:16">
      <c r="B5" s="42">
        <v>3</v>
      </c>
      <c r="C5" s="42">
        <v>6</v>
      </c>
      <c r="D5" s="74" t="s">
        <v>16</v>
      </c>
      <c r="E5" s="44" t="s">
        <v>28</v>
      </c>
      <c r="F5" s="206" t="s">
        <v>150</v>
      </c>
      <c r="G5" s="56"/>
      <c r="H5" s="56">
        <v>400</v>
      </c>
      <c r="I5" s="58">
        <f>I4+G5-H5</f>
        <v>19787.05</v>
      </c>
      <c r="J5" s="56"/>
    </row>
    <row r="6" ht="20" customHeight="1" spans="1:16">
      <c r="B6" s="42">
        <v>3</v>
      </c>
      <c r="C6" s="42">
        <v>20</v>
      </c>
      <c r="D6" s="74" t="s">
        <v>29</v>
      </c>
      <c r="E6" s="44" t="s">
        <v>28</v>
      </c>
      <c r="F6" s="54" t="s">
        <v>29</v>
      </c>
      <c r="G6" s="56">
        <v>2.52</v>
      </c>
      <c r="H6" s="56"/>
      <c r="I6" s="58">
        <f>I5+G6-H6</f>
        <v>19789.57</v>
      </c>
      <c r="J6" s="56"/>
    </row>
    <row r="7" ht="20" customHeight="1" spans="1:16">
      <c r="B7" s="68"/>
      <c r="C7" s="68"/>
      <c r="D7" s="68"/>
      <c r="E7" s="68"/>
      <c r="F7" s="70" t="s">
        <v>22</v>
      </c>
      <c r="G7" s="71">
        <f>SUM(G5:G6)</f>
        <v>2.52</v>
      </c>
      <c r="H7" s="71">
        <f>SUM(H5:H6)</f>
        <v>400</v>
      </c>
      <c r="I7" s="72">
        <f>I4+G7-H7</f>
        <v>19789.57</v>
      </c>
      <c r="J7" s="71"/>
    </row>
    <row r="8" ht="20" customHeight="1" spans="1:16">
      <c r="B8" s="42">
        <v>6</v>
      </c>
      <c r="C8" s="42">
        <v>20</v>
      </c>
      <c r="D8" s="74" t="s">
        <v>29</v>
      </c>
      <c r="E8" s="44" t="s">
        <v>28</v>
      </c>
      <c r="F8" s="54" t="s">
        <v>29</v>
      </c>
      <c r="G8" s="56">
        <v>2.53</v>
      </c>
      <c r="H8" s="56"/>
      <c r="I8" s="58">
        <f>I7+G8-H8</f>
        <v>19792.1</v>
      </c>
      <c r="J8" s="56"/>
    </row>
    <row r="9" ht="20" customHeight="1" spans="1:16">
      <c r="B9" s="68"/>
      <c r="C9" s="68"/>
      <c r="D9" s="68"/>
      <c r="E9" s="68"/>
      <c r="F9" s="70" t="s">
        <v>22</v>
      </c>
      <c r="G9" s="71">
        <f>SUM(G8)</f>
        <v>2.53</v>
      </c>
      <c r="H9" s="71">
        <f>SUM(H8)</f>
        <v>0</v>
      </c>
      <c r="I9" s="72">
        <f>I6+G9-H9</f>
        <v>19792.1</v>
      </c>
      <c r="J9" s="56"/>
    </row>
    <row r="10" ht="20" customHeight="1" spans="1:16">
      <c r="B10" s="42"/>
      <c r="C10" s="42"/>
      <c r="D10" s="74"/>
      <c r="E10" s="42"/>
      <c r="F10" s="54"/>
      <c r="G10" s="56"/>
      <c r="H10" s="56"/>
      <c r="I10" s="58">
        <f t="shared" ref="I10:I65" si="0">I9+G10-H10</f>
        <v>19792.1</v>
      </c>
      <c r="J10" s="56"/>
    </row>
    <row r="11" ht="20" customHeight="1" spans="1:16">
      <c r="B11" s="42"/>
      <c r="C11" s="42"/>
      <c r="D11" s="74"/>
      <c r="E11" s="42"/>
      <c r="F11" s="54"/>
      <c r="G11" s="56"/>
      <c r="H11" s="56"/>
      <c r="I11" s="58">
        <f t="shared" si="0"/>
        <v>19792.1</v>
      </c>
      <c r="J11" s="56"/>
    </row>
    <row r="12" ht="20" customHeight="1" spans="1:16">
      <c r="B12" s="42"/>
      <c r="C12" s="42"/>
      <c r="D12" s="74"/>
      <c r="E12" s="54"/>
      <c r="F12" s="54"/>
      <c r="G12" s="56"/>
      <c r="H12" s="56"/>
      <c r="I12" s="58">
        <f t="shared" si="0"/>
        <v>19792.1</v>
      </c>
      <c r="J12" s="56"/>
    </row>
    <row r="13" ht="20" customHeight="1" spans="1:16">
      <c r="B13" s="42"/>
      <c r="C13" s="42"/>
      <c r="D13" s="74"/>
      <c r="E13" s="42"/>
      <c r="F13" s="42"/>
      <c r="G13" s="56"/>
      <c r="H13" s="56"/>
      <c r="I13" s="58">
        <f t="shared" si="0"/>
        <v>19792.1</v>
      </c>
      <c r="J13" s="56"/>
    </row>
    <row r="14" ht="20" customHeight="1" spans="1:16">
      <c r="B14" s="42"/>
      <c r="C14" s="42"/>
      <c r="D14" s="74"/>
      <c r="E14" s="42"/>
      <c r="F14" s="54"/>
      <c r="G14" s="56"/>
      <c r="H14" s="56"/>
      <c r="I14" s="58">
        <f t="shared" si="0"/>
        <v>19792.1</v>
      </c>
      <c r="J14" s="56"/>
    </row>
    <row r="15" ht="20" customHeight="1" spans="1:16">
      <c r="B15" s="42"/>
      <c r="C15" s="42"/>
      <c r="D15" s="74"/>
      <c r="E15" s="42"/>
      <c r="F15" s="54"/>
      <c r="G15" s="56"/>
      <c r="H15" s="56"/>
      <c r="I15" s="58">
        <f t="shared" si="0"/>
        <v>19792.1</v>
      </c>
      <c r="J15" s="56"/>
    </row>
    <row r="16" ht="20" customHeight="1" spans="1:16">
      <c r="B16" s="42"/>
      <c r="C16" s="42"/>
      <c r="D16" s="74"/>
      <c r="E16" s="42"/>
      <c r="F16" s="54"/>
      <c r="G16" s="56"/>
      <c r="H16" s="56"/>
      <c r="I16" s="58">
        <f t="shared" si="0"/>
        <v>19792.1</v>
      </c>
      <c r="J16" s="56"/>
    </row>
    <row r="17" ht="20" customHeight="1" spans="2:10">
      <c r="B17" s="42"/>
      <c r="C17" s="42"/>
      <c r="D17" s="74"/>
      <c r="E17" s="42"/>
      <c r="F17" s="54"/>
      <c r="G17" s="56"/>
      <c r="H17" s="56"/>
      <c r="I17" s="58">
        <f t="shared" si="0"/>
        <v>19792.1</v>
      </c>
      <c r="J17" s="56"/>
    </row>
    <row r="18" ht="20" customHeight="1" spans="2:10">
      <c r="B18" s="42"/>
      <c r="C18" s="42"/>
      <c r="D18" s="74"/>
      <c r="E18" s="42"/>
      <c r="F18" s="54"/>
      <c r="G18" s="56"/>
      <c r="H18" s="56"/>
      <c r="I18" s="58">
        <f t="shared" si="0"/>
        <v>19792.1</v>
      </c>
      <c r="J18" s="56"/>
    </row>
    <row r="19" ht="20" customHeight="1" spans="2:10">
      <c r="B19" s="42"/>
      <c r="C19" s="42"/>
      <c r="D19" s="74"/>
      <c r="E19" s="54"/>
      <c r="F19" s="54"/>
      <c r="G19" s="56"/>
      <c r="H19" s="56"/>
      <c r="I19" s="58">
        <f t="shared" si="0"/>
        <v>19792.1</v>
      </c>
      <c r="J19" s="56"/>
    </row>
    <row r="20" ht="20" customHeight="1" spans="2:10">
      <c r="B20" s="42"/>
      <c r="C20" s="42"/>
      <c r="D20" s="74"/>
      <c r="E20" s="42"/>
      <c r="F20" s="54"/>
      <c r="G20" s="56"/>
      <c r="H20" s="56"/>
      <c r="I20" s="58">
        <f t="shared" si="0"/>
        <v>19792.1</v>
      </c>
      <c r="J20" s="56"/>
    </row>
    <row r="21" ht="20" customHeight="1" spans="2:10">
      <c r="B21" s="42"/>
      <c r="C21" s="42"/>
      <c r="D21" s="74"/>
      <c r="E21" s="42"/>
      <c r="F21" s="54"/>
      <c r="G21" s="56"/>
      <c r="H21" s="56"/>
      <c r="I21" s="58">
        <f t="shared" si="0"/>
        <v>19792.1</v>
      </c>
      <c r="J21" s="56"/>
    </row>
    <row r="22" ht="20" customHeight="1" spans="2:10">
      <c r="B22" s="42"/>
      <c r="C22" s="42"/>
      <c r="D22" s="74"/>
      <c r="E22" s="42"/>
      <c r="F22" s="54"/>
      <c r="G22" s="56"/>
      <c r="H22" s="56"/>
      <c r="I22" s="58">
        <f t="shared" si="0"/>
        <v>19792.1</v>
      </c>
      <c r="J22" s="56"/>
    </row>
    <row r="23" ht="20" customHeight="1" spans="2:10">
      <c r="B23" s="42"/>
      <c r="C23" s="42"/>
      <c r="D23" s="74"/>
      <c r="E23" s="42"/>
      <c r="F23" s="54"/>
      <c r="G23" s="56"/>
      <c r="H23" s="56"/>
      <c r="I23" s="58">
        <f t="shared" si="0"/>
        <v>19792.1</v>
      </c>
      <c r="J23" s="56"/>
    </row>
    <row r="24" ht="20" customHeight="1" spans="2:10">
      <c r="B24" s="42"/>
      <c r="C24" s="42"/>
      <c r="D24" s="74"/>
      <c r="E24" s="42"/>
      <c r="F24" s="54"/>
      <c r="G24" s="56"/>
      <c r="H24" s="56"/>
      <c r="I24" s="58">
        <f t="shared" si="0"/>
        <v>19792.1</v>
      </c>
      <c r="J24" s="56"/>
    </row>
    <row r="25" ht="20" customHeight="1" spans="2:10">
      <c r="B25" s="42"/>
      <c r="C25" s="42"/>
      <c r="D25" s="74"/>
      <c r="E25" s="42"/>
      <c r="F25" s="54"/>
      <c r="G25" s="56"/>
      <c r="H25" s="56"/>
      <c r="I25" s="58">
        <f t="shared" si="0"/>
        <v>19792.1</v>
      </c>
      <c r="J25" s="56"/>
    </row>
    <row r="26" ht="20" customHeight="1" spans="2:10">
      <c r="B26" s="42"/>
      <c r="C26" s="42"/>
      <c r="D26" s="74"/>
      <c r="E26" s="42"/>
      <c r="F26" s="54"/>
      <c r="G26" s="56"/>
      <c r="H26" s="56"/>
      <c r="I26" s="58">
        <f t="shared" si="0"/>
        <v>19792.1</v>
      </c>
      <c r="J26" s="56"/>
    </row>
    <row r="27" ht="20" customHeight="1" spans="2:10">
      <c r="B27" s="42"/>
      <c r="C27" s="42"/>
      <c r="D27" s="74"/>
      <c r="E27" s="54"/>
      <c r="F27" s="54"/>
      <c r="G27" s="56"/>
      <c r="H27" s="56"/>
      <c r="I27" s="58">
        <f t="shared" si="0"/>
        <v>19792.1</v>
      </c>
      <c r="J27" s="56"/>
    </row>
    <row r="28" ht="20" customHeight="1" spans="2:10">
      <c r="B28" s="42"/>
      <c r="C28" s="42"/>
      <c r="D28" s="74"/>
      <c r="E28" s="42"/>
      <c r="F28" s="42"/>
      <c r="G28" s="56"/>
      <c r="H28" s="56"/>
      <c r="I28" s="58">
        <f t="shared" si="0"/>
        <v>19792.1</v>
      </c>
      <c r="J28" s="56"/>
    </row>
    <row r="29" ht="20" customHeight="1" spans="2:10">
      <c r="B29" s="42"/>
      <c r="C29" s="42"/>
      <c r="D29" s="74"/>
      <c r="E29" s="42"/>
      <c r="F29" s="54"/>
      <c r="G29" s="56"/>
      <c r="H29" s="56"/>
      <c r="I29" s="58">
        <f t="shared" si="0"/>
        <v>19792.1</v>
      </c>
      <c r="J29" s="56"/>
    </row>
    <row r="30" ht="20" customHeight="1" spans="2:10">
      <c r="B30" s="42"/>
      <c r="C30" s="42"/>
      <c r="D30" s="74"/>
      <c r="E30" s="42"/>
      <c r="F30" s="54"/>
      <c r="G30" s="56"/>
      <c r="H30" s="56"/>
      <c r="I30" s="58">
        <f t="shared" si="0"/>
        <v>19792.1</v>
      </c>
      <c r="J30" s="56"/>
    </row>
    <row r="31" ht="20" customHeight="1" spans="2:10">
      <c r="B31" s="42"/>
      <c r="C31" s="42"/>
      <c r="D31" s="74"/>
      <c r="E31" s="42"/>
      <c r="F31" s="54"/>
      <c r="G31" s="56"/>
      <c r="H31" s="56"/>
      <c r="I31" s="58">
        <f t="shared" si="0"/>
        <v>19792.1</v>
      </c>
      <c r="J31" s="56"/>
    </row>
    <row r="32" ht="20" customHeight="1" spans="2:10">
      <c r="B32" s="42"/>
      <c r="C32" s="42"/>
      <c r="D32" s="74"/>
      <c r="E32" s="42"/>
      <c r="F32" s="54"/>
      <c r="G32" s="56"/>
      <c r="H32" s="56"/>
      <c r="I32" s="58">
        <f t="shared" si="0"/>
        <v>19792.1</v>
      </c>
      <c r="J32" s="56"/>
    </row>
    <row r="33" ht="20" customHeight="1" spans="2:10">
      <c r="B33" s="42"/>
      <c r="C33" s="42"/>
      <c r="D33" s="74"/>
      <c r="E33" s="42"/>
      <c r="F33" s="54"/>
      <c r="G33" s="56"/>
      <c r="H33" s="56"/>
      <c r="I33" s="58">
        <f t="shared" si="0"/>
        <v>19792.1</v>
      </c>
      <c r="J33" s="56"/>
    </row>
    <row r="34" ht="20" customHeight="1" spans="2:10">
      <c r="B34" s="42"/>
      <c r="C34" s="42"/>
      <c r="D34" s="74"/>
      <c r="E34" s="54"/>
      <c r="F34" s="54"/>
      <c r="G34" s="56"/>
      <c r="H34" s="56"/>
      <c r="I34" s="58">
        <f t="shared" si="0"/>
        <v>19792.1</v>
      </c>
      <c r="J34" s="56"/>
    </row>
    <row r="35" ht="20" customHeight="1" spans="2:10">
      <c r="B35" s="42"/>
      <c r="C35" s="42"/>
      <c r="D35" s="74"/>
      <c r="E35" s="42"/>
      <c r="F35" s="54"/>
      <c r="G35" s="56"/>
      <c r="H35" s="56"/>
      <c r="I35" s="58">
        <f t="shared" si="0"/>
        <v>19792.1</v>
      </c>
      <c r="J35" s="56"/>
    </row>
    <row r="36" ht="20" customHeight="1" spans="2:10">
      <c r="B36" s="42"/>
      <c r="C36" s="42"/>
      <c r="D36" s="74"/>
      <c r="E36" s="42"/>
      <c r="F36" s="54"/>
      <c r="G36" s="56"/>
      <c r="H36" s="56"/>
      <c r="I36" s="58">
        <f t="shared" si="0"/>
        <v>19792.1</v>
      </c>
      <c r="J36" s="56"/>
    </row>
    <row r="37" ht="20" customHeight="1" spans="2:10">
      <c r="B37" s="42"/>
      <c r="C37" s="42"/>
      <c r="D37" s="74"/>
      <c r="E37" s="42"/>
      <c r="F37" s="54"/>
      <c r="G37" s="56"/>
      <c r="H37" s="56"/>
      <c r="I37" s="58">
        <f t="shared" si="0"/>
        <v>19792.1</v>
      </c>
      <c r="J37" s="56"/>
    </row>
    <row r="38" ht="20" customHeight="1" spans="2:10">
      <c r="B38" s="42"/>
      <c r="C38" s="42"/>
      <c r="D38" s="74"/>
      <c r="E38" s="42"/>
      <c r="F38" s="54"/>
      <c r="G38" s="56"/>
      <c r="H38" s="56"/>
      <c r="I38" s="58">
        <f t="shared" si="0"/>
        <v>19792.1</v>
      </c>
      <c r="J38" s="56"/>
    </row>
    <row r="39" ht="20" customHeight="1" spans="2:10">
      <c r="B39" s="42"/>
      <c r="C39" s="42"/>
      <c r="D39" s="74"/>
      <c r="E39" s="42"/>
      <c r="F39" s="54"/>
      <c r="G39" s="56"/>
      <c r="H39" s="56"/>
      <c r="I39" s="58">
        <f t="shared" si="0"/>
        <v>19792.1</v>
      </c>
      <c r="J39" s="56"/>
    </row>
    <row r="40" ht="20" customHeight="1" spans="2:10">
      <c r="B40" s="42"/>
      <c r="C40" s="42"/>
      <c r="D40" s="74"/>
      <c r="E40" s="42"/>
      <c r="F40" s="54"/>
      <c r="G40" s="56"/>
      <c r="H40" s="56"/>
      <c r="I40" s="58">
        <f t="shared" si="0"/>
        <v>19792.1</v>
      </c>
      <c r="J40" s="56"/>
    </row>
    <row r="41" ht="20" customHeight="1" spans="2:10">
      <c r="B41" s="42"/>
      <c r="C41" s="42"/>
      <c r="D41" s="74"/>
      <c r="E41" s="42"/>
      <c r="F41" s="54"/>
      <c r="G41" s="56"/>
      <c r="H41" s="56"/>
      <c r="I41" s="58">
        <f t="shared" si="0"/>
        <v>19792.1</v>
      </c>
      <c r="J41" s="56"/>
    </row>
    <row r="42" ht="20" customHeight="1" spans="2:10">
      <c r="B42" s="42"/>
      <c r="C42" s="42"/>
      <c r="D42" s="74"/>
      <c r="E42" s="54"/>
      <c r="F42" s="54"/>
      <c r="G42" s="56"/>
      <c r="H42" s="56"/>
      <c r="I42" s="58">
        <f t="shared" si="0"/>
        <v>19792.1</v>
      </c>
      <c r="J42" s="56"/>
    </row>
    <row r="43" ht="20" customHeight="1" spans="2:10">
      <c r="B43" s="42"/>
      <c r="C43" s="42"/>
      <c r="D43" s="74"/>
      <c r="E43" s="42"/>
      <c r="F43" s="42"/>
      <c r="G43" s="56"/>
      <c r="H43" s="56"/>
      <c r="I43" s="58">
        <f t="shared" si="0"/>
        <v>19792.1</v>
      </c>
      <c r="J43" s="56"/>
    </row>
    <row r="44" ht="20" customHeight="1" spans="2:10">
      <c r="B44" s="42"/>
      <c r="C44" s="42"/>
      <c r="D44" s="74"/>
      <c r="E44" s="42"/>
      <c r="F44" s="54"/>
      <c r="G44" s="56"/>
      <c r="H44" s="56"/>
      <c r="I44" s="58">
        <f t="shared" si="0"/>
        <v>19792.1</v>
      </c>
      <c r="J44" s="56"/>
    </row>
    <row r="45" ht="20" customHeight="1" spans="2:10">
      <c r="B45" s="42"/>
      <c r="C45" s="42"/>
      <c r="D45" s="74"/>
      <c r="E45" s="42"/>
      <c r="F45" s="54"/>
      <c r="G45" s="56"/>
      <c r="H45" s="56"/>
      <c r="I45" s="58">
        <f t="shared" si="0"/>
        <v>19792.1</v>
      </c>
      <c r="J45" s="56"/>
    </row>
    <row r="46" ht="20" customHeight="1" spans="2:10">
      <c r="B46" s="42"/>
      <c r="C46" s="42"/>
      <c r="D46" s="74"/>
      <c r="E46" s="42"/>
      <c r="F46" s="54"/>
      <c r="G46" s="56"/>
      <c r="H46" s="56"/>
      <c r="I46" s="58">
        <f t="shared" si="0"/>
        <v>19792.1</v>
      </c>
      <c r="J46" s="56"/>
    </row>
    <row r="47" ht="20" customHeight="1" spans="2:10">
      <c r="B47" s="42"/>
      <c r="C47" s="42"/>
      <c r="D47" s="74"/>
      <c r="E47" s="42"/>
      <c r="F47" s="54"/>
      <c r="G47" s="56"/>
      <c r="H47" s="56"/>
      <c r="I47" s="58">
        <f t="shared" si="0"/>
        <v>19792.1</v>
      </c>
      <c r="J47" s="56"/>
    </row>
    <row r="48" ht="20" customHeight="1" spans="2:10">
      <c r="B48" s="42"/>
      <c r="C48" s="42"/>
      <c r="D48" s="74"/>
      <c r="E48" s="42"/>
      <c r="F48" s="54"/>
      <c r="G48" s="56"/>
      <c r="H48" s="56"/>
      <c r="I48" s="58">
        <f t="shared" si="0"/>
        <v>19792.1</v>
      </c>
      <c r="J48" s="56"/>
    </row>
    <row r="49" ht="20" customHeight="1" spans="2:10">
      <c r="B49" s="42"/>
      <c r="C49" s="42"/>
      <c r="D49" s="74"/>
      <c r="E49" s="54"/>
      <c r="F49" s="54"/>
      <c r="G49" s="56"/>
      <c r="H49" s="56"/>
      <c r="I49" s="58">
        <f t="shared" si="0"/>
        <v>19792.1</v>
      </c>
      <c r="J49" s="56"/>
    </row>
    <row r="50" ht="20" customHeight="1" spans="2:10">
      <c r="B50" s="42"/>
      <c r="C50" s="42"/>
      <c r="D50" s="74"/>
      <c r="E50" s="42"/>
      <c r="F50" s="54"/>
      <c r="G50" s="56"/>
      <c r="H50" s="56"/>
      <c r="I50" s="58">
        <f t="shared" si="0"/>
        <v>19792.1</v>
      </c>
      <c r="J50" s="56"/>
    </row>
    <row r="51" ht="20" customHeight="1" spans="2:10">
      <c r="B51" s="42"/>
      <c r="C51" s="42"/>
      <c r="D51" s="74"/>
      <c r="E51" s="42"/>
      <c r="F51" s="54"/>
      <c r="G51" s="56"/>
      <c r="H51" s="56"/>
      <c r="I51" s="58">
        <f t="shared" si="0"/>
        <v>19792.1</v>
      </c>
      <c r="J51" s="56"/>
    </row>
    <row r="52" ht="20" customHeight="1" spans="2:10">
      <c r="B52" s="42"/>
      <c r="C52" s="42"/>
      <c r="D52" s="74"/>
      <c r="E52" s="42"/>
      <c r="F52" s="54"/>
      <c r="G52" s="56"/>
      <c r="H52" s="56"/>
      <c r="I52" s="58">
        <f t="shared" si="0"/>
        <v>19792.1</v>
      </c>
      <c r="J52" s="56"/>
    </row>
    <row r="53" ht="20" customHeight="1" spans="2:10">
      <c r="B53" s="42"/>
      <c r="C53" s="42"/>
      <c r="D53" s="74"/>
      <c r="E53" s="42"/>
      <c r="F53" s="54"/>
      <c r="G53" s="56"/>
      <c r="H53" s="56"/>
      <c r="I53" s="58">
        <f t="shared" si="0"/>
        <v>19792.1</v>
      </c>
      <c r="J53" s="56"/>
    </row>
    <row r="54" ht="20" customHeight="1" spans="2:10">
      <c r="B54" s="42"/>
      <c r="C54" s="42"/>
      <c r="D54" s="74"/>
      <c r="E54" s="42"/>
      <c r="F54" s="54"/>
      <c r="G54" s="56"/>
      <c r="H54" s="56"/>
      <c r="I54" s="58">
        <f t="shared" si="0"/>
        <v>19792.1</v>
      </c>
      <c r="J54" s="56"/>
    </row>
    <row r="55" ht="20" customHeight="1" spans="2:10">
      <c r="B55" s="42"/>
      <c r="C55" s="42"/>
      <c r="D55" s="74"/>
      <c r="E55" s="42"/>
      <c r="F55" s="54"/>
      <c r="G55" s="56"/>
      <c r="H55" s="56"/>
      <c r="I55" s="58">
        <f t="shared" si="0"/>
        <v>19792.1</v>
      </c>
      <c r="J55" s="56"/>
    </row>
    <row r="56" ht="20" customHeight="1" spans="2:10">
      <c r="B56" s="42"/>
      <c r="C56" s="42"/>
      <c r="D56" s="74"/>
      <c r="E56" s="42"/>
      <c r="F56" s="54"/>
      <c r="G56" s="56"/>
      <c r="H56" s="56"/>
      <c r="I56" s="58">
        <f t="shared" si="0"/>
        <v>19792.1</v>
      </c>
      <c r="J56" s="56"/>
    </row>
    <row r="57" ht="20" customHeight="1" spans="2:10">
      <c r="B57" s="42"/>
      <c r="C57" s="42"/>
      <c r="D57" s="74"/>
      <c r="E57" s="54"/>
      <c r="F57" s="54"/>
      <c r="G57" s="56"/>
      <c r="H57" s="56"/>
      <c r="I57" s="58">
        <f t="shared" si="0"/>
        <v>19792.1</v>
      </c>
      <c r="J57" s="56"/>
    </row>
    <row r="58" ht="20" customHeight="1" spans="2:10">
      <c r="B58" s="42"/>
      <c r="C58" s="42"/>
      <c r="D58" s="74"/>
      <c r="E58" s="42"/>
      <c r="F58" s="42"/>
      <c r="G58" s="56"/>
      <c r="H58" s="56"/>
      <c r="I58" s="58">
        <f t="shared" si="0"/>
        <v>19792.1</v>
      </c>
      <c r="J58" s="56"/>
    </row>
    <row r="59" ht="20" customHeight="1" spans="2:10">
      <c r="B59" s="42"/>
      <c r="C59" s="42"/>
      <c r="D59" s="74"/>
      <c r="E59" s="42"/>
      <c r="F59" s="54"/>
      <c r="G59" s="56"/>
      <c r="H59" s="56"/>
      <c r="I59" s="58">
        <f t="shared" si="0"/>
        <v>19792.1</v>
      </c>
      <c r="J59" s="56"/>
    </row>
    <row r="60" ht="20" customHeight="1" spans="2:10">
      <c r="B60" s="42"/>
      <c r="C60" s="42"/>
      <c r="D60" s="74"/>
      <c r="E60" s="42"/>
      <c r="F60" s="54"/>
      <c r="G60" s="56"/>
      <c r="H60" s="56"/>
      <c r="I60" s="58">
        <f t="shared" si="0"/>
        <v>19792.1</v>
      </c>
      <c r="J60" s="56"/>
    </row>
    <row r="61" ht="20" customHeight="1" spans="2:10">
      <c r="B61" s="42"/>
      <c r="C61" s="42"/>
      <c r="D61" s="74"/>
      <c r="E61" s="42"/>
      <c r="F61" s="54"/>
      <c r="G61" s="56"/>
      <c r="H61" s="56"/>
      <c r="I61" s="58">
        <f t="shared" si="0"/>
        <v>19792.1</v>
      </c>
      <c r="J61" s="56"/>
    </row>
    <row r="62" ht="20" customHeight="1" spans="2:10">
      <c r="B62" s="42"/>
      <c r="C62" s="42"/>
      <c r="D62" s="74"/>
      <c r="E62" s="42"/>
      <c r="F62" s="54"/>
      <c r="G62" s="56"/>
      <c r="H62" s="56"/>
      <c r="I62" s="58">
        <f t="shared" si="0"/>
        <v>19792.1</v>
      </c>
      <c r="J62" s="56"/>
    </row>
    <row r="63" ht="20" customHeight="1" spans="2:10">
      <c r="B63" s="42"/>
      <c r="C63" s="42"/>
      <c r="D63" s="74"/>
      <c r="E63" s="42"/>
      <c r="F63" s="54"/>
      <c r="G63" s="56"/>
      <c r="H63" s="56"/>
      <c r="I63" s="58">
        <f t="shared" si="0"/>
        <v>19792.1</v>
      </c>
      <c r="J63" s="56"/>
    </row>
    <row r="64" ht="20" customHeight="1" spans="2:10">
      <c r="B64" s="42"/>
      <c r="C64" s="42"/>
      <c r="D64" s="74"/>
      <c r="E64" s="54"/>
      <c r="F64" s="54"/>
      <c r="G64" s="56"/>
      <c r="H64" s="56"/>
      <c r="I64" s="58">
        <f t="shared" si="0"/>
        <v>19792.1</v>
      </c>
      <c r="J64" s="56"/>
    </row>
    <row r="65" ht="20" customHeight="1" spans="2:10">
      <c r="B65" s="42"/>
      <c r="C65" s="42"/>
      <c r="D65" s="74"/>
      <c r="E65" s="42"/>
      <c r="F65" s="54"/>
      <c r="G65" s="56"/>
      <c r="H65" s="56"/>
      <c r="I65" s="58">
        <f t="shared" si="0"/>
        <v>19792.1</v>
      </c>
      <c r="J65" s="56"/>
    </row>
  </sheetData>
  <mergeCells count="1">
    <mergeCell ref="B1:J1"/>
  </mergeCells>
  <dataValidations count="1">
    <dataValidation type="list" allowBlank="1" showInputMessage="1" showErrorMessage="1" sqref="D10:D65">
      <formula1>付费项!$B$2:$B$68</formula1>
    </dataValidation>
  </dataValidations>
  <pageMargins left="0.7" right="0.7" top="0.75" bottom="0.75" header="0.3" footer="0.3"/>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P143"/>
  <sheetViews>
    <sheetView topLeftCell="A80" workbookViewId="0">
      <selection activeCell="F102" sqref="F102"/>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151</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20301.19</v>
      </c>
      <c r="J4" s="56"/>
    </row>
    <row r="5" ht="20" customHeight="1" spans="1:16">
      <c r="B5" s="42">
        <v>1</v>
      </c>
      <c r="C5" s="42">
        <v>8</v>
      </c>
      <c r="D5" s="42" t="s">
        <v>16</v>
      </c>
      <c r="E5" s="42"/>
      <c r="F5" s="45" t="s">
        <v>152</v>
      </c>
      <c r="G5" s="56"/>
      <c r="H5" s="56">
        <v>10</v>
      </c>
      <c r="I5" s="58">
        <f t="shared" ref="I5:I16" si="0">I4+G5-H5</f>
        <v>20291.19</v>
      </c>
      <c r="J5" s="56"/>
    </row>
    <row r="6" ht="20" customHeight="1" spans="1:16">
      <c r="B6" s="42">
        <v>1</v>
      </c>
      <c r="C6" s="42">
        <v>13</v>
      </c>
      <c r="D6" s="74" t="s">
        <v>119</v>
      </c>
      <c r="E6" s="117" t="s">
        <v>153</v>
      </c>
      <c r="F6" s="45" t="s">
        <v>154</v>
      </c>
      <c r="G6" s="56"/>
      <c r="H6" s="56">
        <v>24</v>
      </c>
      <c r="I6" s="58">
        <f t="shared" si="0"/>
        <v>20267.19</v>
      </c>
      <c r="J6" s="56"/>
    </row>
    <row r="7" ht="20" customHeight="1" spans="1:16">
      <c r="B7" s="42">
        <v>1</v>
      </c>
      <c r="C7" s="42">
        <v>13</v>
      </c>
      <c r="D7" s="74" t="s">
        <v>119</v>
      </c>
      <c r="E7" s="117" t="s">
        <v>153</v>
      </c>
      <c r="F7" s="45" t="s">
        <v>155</v>
      </c>
      <c r="G7" s="56"/>
      <c r="H7" s="56">
        <v>6.68</v>
      </c>
      <c r="I7" s="58">
        <f t="shared" si="0"/>
        <v>20260.51</v>
      </c>
      <c r="J7" s="56"/>
    </row>
    <row r="8" ht="20" customHeight="1" spans="1:16">
      <c r="B8" s="42">
        <v>1</v>
      </c>
      <c r="C8" s="42">
        <v>16</v>
      </c>
      <c r="D8" s="74" t="s">
        <v>69</v>
      </c>
      <c r="E8" s="117" t="s">
        <v>20</v>
      </c>
      <c r="F8" s="198" t="s">
        <v>156</v>
      </c>
      <c r="G8" s="56">
        <v>12832.11</v>
      </c>
      <c r="H8" s="56"/>
      <c r="I8" s="58">
        <f t="shared" si="0"/>
        <v>33092.62</v>
      </c>
      <c r="J8" s="56"/>
    </row>
    <row r="9" ht="20" customHeight="1" spans="1:16">
      <c r="B9" s="42">
        <v>1</v>
      </c>
      <c r="C9" s="42">
        <v>16</v>
      </c>
      <c r="D9" s="74" t="s">
        <v>121</v>
      </c>
      <c r="E9" s="117" t="s">
        <v>157</v>
      </c>
      <c r="F9" s="45" t="s">
        <v>158</v>
      </c>
      <c r="G9" s="56"/>
      <c r="H9" s="56">
        <v>12832.11</v>
      </c>
      <c r="I9" s="58">
        <f t="shared" si="0"/>
        <v>20260.51</v>
      </c>
      <c r="J9" s="56"/>
    </row>
    <row r="10" ht="20" customHeight="1" spans="1:16">
      <c r="B10" s="42">
        <v>1</v>
      </c>
      <c r="C10" s="42">
        <v>16</v>
      </c>
      <c r="D10" s="42" t="s">
        <v>69</v>
      </c>
      <c r="E10" s="117" t="s">
        <v>159</v>
      </c>
      <c r="F10" s="45" t="s">
        <v>160</v>
      </c>
      <c r="G10" s="56">
        <v>50000</v>
      </c>
      <c r="H10" s="56"/>
      <c r="I10" s="58">
        <f t="shared" si="0"/>
        <v>70260.51</v>
      </c>
      <c r="J10" s="56"/>
    </row>
    <row r="11" ht="20" customHeight="1" spans="1:16">
      <c r="B11" s="42">
        <v>1</v>
      </c>
      <c r="C11" s="42">
        <v>21</v>
      </c>
      <c r="D11" s="42" t="s">
        <v>120</v>
      </c>
      <c r="E11" s="117" t="s">
        <v>161</v>
      </c>
      <c r="F11" s="45" t="s">
        <v>162</v>
      </c>
      <c r="G11" s="56"/>
      <c r="H11" s="56">
        <v>24189.3</v>
      </c>
      <c r="I11" s="58">
        <f t="shared" si="0"/>
        <v>46071.21</v>
      </c>
      <c r="J11" s="56"/>
    </row>
    <row r="12" ht="20" customHeight="1" spans="1:16">
      <c r="B12" s="42">
        <v>1</v>
      </c>
      <c r="C12" s="42">
        <v>21</v>
      </c>
      <c r="D12" s="42" t="s">
        <v>120</v>
      </c>
      <c r="E12" s="45" t="s">
        <v>161</v>
      </c>
      <c r="F12" s="45" t="s">
        <v>162</v>
      </c>
      <c r="G12" s="56"/>
      <c r="H12" s="56">
        <v>12115.58</v>
      </c>
      <c r="I12" s="58">
        <f t="shared" si="0"/>
        <v>33955.63</v>
      </c>
      <c r="J12" s="56"/>
    </row>
    <row r="13" ht="64.5" spans="1:16">
      <c r="B13" s="42">
        <v>1</v>
      </c>
      <c r="C13" s="42">
        <v>21</v>
      </c>
      <c r="D13" s="42" t="s">
        <v>93</v>
      </c>
      <c r="E13" s="117" t="s">
        <v>153</v>
      </c>
      <c r="F13" s="93" t="s">
        <v>163</v>
      </c>
      <c r="G13" s="56"/>
      <c r="H13" s="56">
        <v>3005.5</v>
      </c>
      <c r="I13" s="58">
        <f t="shared" si="0"/>
        <v>30950.13</v>
      </c>
      <c r="J13" s="56"/>
    </row>
    <row r="14" ht="20" customHeight="1" spans="1:16">
      <c r="B14" s="42">
        <v>1</v>
      </c>
      <c r="C14" s="42">
        <v>25</v>
      </c>
      <c r="D14" s="42" t="s">
        <v>103</v>
      </c>
      <c r="E14" s="117" t="s">
        <v>164</v>
      </c>
      <c r="F14" s="45" t="s">
        <v>165</v>
      </c>
      <c r="G14" s="56"/>
      <c r="H14" s="56">
        <v>249</v>
      </c>
      <c r="I14" s="58">
        <f t="shared" si="0"/>
        <v>30701.13</v>
      </c>
      <c r="J14" s="56"/>
    </row>
    <row r="15" ht="24.75" spans="1:16">
      <c r="B15" s="42">
        <v>1</v>
      </c>
      <c r="C15" s="42">
        <v>27</v>
      </c>
      <c r="D15" s="42" t="s">
        <v>77</v>
      </c>
      <c r="E15" s="117" t="s">
        <v>166</v>
      </c>
      <c r="F15" s="101" t="s">
        <v>167</v>
      </c>
      <c r="G15" s="56">
        <v>4767.11</v>
      </c>
      <c r="H15" s="56"/>
      <c r="I15" s="58">
        <f t="shared" si="0"/>
        <v>35468.24</v>
      </c>
      <c r="J15" s="56"/>
    </row>
    <row r="16" ht="24.75" spans="1:16">
      <c r="B16" s="42">
        <v>1</v>
      </c>
      <c r="C16" s="42">
        <v>27</v>
      </c>
      <c r="D16" s="42" t="s">
        <v>77</v>
      </c>
      <c r="E16" s="117" t="s">
        <v>166</v>
      </c>
      <c r="F16" s="101" t="s">
        <v>168</v>
      </c>
      <c r="G16" s="56">
        <v>5929.66</v>
      </c>
      <c r="H16" s="56"/>
      <c r="I16" s="58">
        <f t="shared" si="0"/>
        <v>41397.9</v>
      </c>
      <c r="J16" s="56"/>
    </row>
    <row r="17" ht="20" customHeight="1" spans="2:10">
      <c r="B17" s="68"/>
      <c r="C17" s="68"/>
      <c r="D17" s="68"/>
      <c r="E17" s="130"/>
      <c r="F17" s="70" t="s">
        <v>22</v>
      </c>
      <c r="G17" s="71">
        <f>SUM(G5:G16)</f>
        <v>73528.88</v>
      </c>
      <c r="H17" s="71">
        <f>SUM(H5:H16)</f>
        <v>52432.17</v>
      </c>
      <c r="I17" s="72">
        <f>I4+G17-H17</f>
        <v>41397.9</v>
      </c>
      <c r="J17" s="71"/>
    </row>
    <row r="18" ht="20" customHeight="1" spans="2:10">
      <c r="B18" s="42">
        <v>2</v>
      </c>
      <c r="C18" s="42">
        <v>8</v>
      </c>
      <c r="D18" s="74" t="s">
        <v>16</v>
      </c>
      <c r="E18" s="117" t="s">
        <v>28</v>
      </c>
      <c r="F18" s="75" t="s">
        <v>152</v>
      </c>
      <c r="G18" s="56"/>
      <c r="H18" s="55">
        <v>10</v>
      </c>
      <c r="I18" s="58">
        <f t="shared" ref="I18:I25" si="1">I17+G18-H18</f>
        <v>41387.9</v>
      </c>
      <c r="J18" s="56"/>
    </row>
    <row r="19" ht="20" customHeight="1" spans="2:10">
      <c r="B19" s="42">
        <v>2</v>
      </c>
      <c r="C19" s="42">
        <v>10</v>
      </c>
      <c r="D19" s="42" t="s">
        <v>115</v>
      </c>
      <c r="E19" s="54" t="s">
        <v>169</v>
      </c>
      <c r="F19" s="45" t="s">
        <v>170</v>
      </c>
      <c r="G19" s="56"/>
      <c r="H19" s="56">
        <v>6.18</v>
      </c>
      <c r="I19" s="58">
        <f t="shared" si="1"/>
        <v>41381.72</v>
      </c>
      <c r="J19" s="56"/>
    </row>
    <row r="20" ht="20" customHeight="1" spans="2:10">
      <c r="B20" s="42">
        <v>2</v>
      </c>
      <c r="C20" s="42">
        <v>13</v>
      </c>
      <c r="D20" s="42" t="s">
        <v>69</v>
      </c>
      <c r="E20" s="117" t="s">
        <v>159</v>
      </c>
      <c r="F20" s="45" t="s">
        <v>160</v>
      </c>
      <c r="G20" s="56">
        <v>20000</v>
      </c>
      <c r="H20" s="56"/>
      <c r="I20" s="58">
        <f t="shared" si="1"/>
        <v>61381.72</v>
      </c>
      <c r="J20" s="56"/>
    </row>
    <row r="21" ht="20" customHeight="1" spans="2:10">
      <c r="B21" s="42">
        <v>2</v>
      </c>
      <c r="C21" s="42">
        <v>13</v>
      </c>
      <c r="D21" s="42" t="s">
        <v>69</v>
      </c>
      <c r="E21" s="44" t="s">
        <v>20</v>
      </c>
      <c r="F21" s="45" t="s">
        <v>171</v>
      </c>
      <c r="G21" s="56"/>
      <c r="H21" s="56">
        <v>16000</v>
      </c>
      <c r="I21" s="58">
        <f t="shared" si="1"/>
        <v>45381.72</v>
      </c>
      <c r="J21" s="56"/>
    </row>
    <row r="22" ht="20" customHeight="1" spans="2:10">
      <c r="B22" s="42">
        <v>2</v>
      </c>
      <c r="C22" s="42">
        <v>17</v>
      </c>
      <c r="D22" s="42" t="s">
        <v>103</v>
      </c>
      <c r="E22" s="117" t="s">
        <v>164</v>
      </c>
      <c r="F22" s="45" t="s">
        <v>172</v>
      </c>
      <c r="G22" s="56"/>
      <c r="H22" s="56">
        <v>249</v>
      </c>
      <c r="I22" s="58">
        <f t="shared" si="1"/>
        <v>45132.72</v>
      </c>
      <c r="J22" s="56"/>
    </row>
    <row r="23" ht="20" customHeight="1" spans="2:10">
      <c r="B23" s="42">
        <v>2</v>
      </c>
      <c r="C23" s="42">
        <v>21</v>
      </c>
      <c r="D23" s="42" t="s">
        <v>120</v>
      </c>
      <c r="E23" s="117" t="s">
        <v>161</v>
      </c>
      <c r="F23" s="45" t="s">
        <v>162</v>
      </c>
      <c r="G23" s="56"/>
      <c r="H23" s="56">
        <v>24189.3</v>
      </c>
      <c r="I23" s="58">
        <f t="shared" si="1"/>
        <v>20943.42</v>
      </c>
      <c r="J23" s="56"/>
    </row>
    <row r="24" ht="20" customHeight="1" spans="2:10">
      <c r="B24" s="42">
        <v>2</v>
      </c>
      <c r="C24" s="42">
        <v>21</v>
      </c>
      <c r="D24" s="42" t="s">
        <v>120</v>
      </c>
      <c r="E24" s="45" t="s">
        <v>161</v>
      </c>
      <c r="F24" s="45" t="s">
        <v>162</v>
      </c>
      <c r="G24" s="56"/>
      <c r="H24" s="56">
        <v>12115.58</v>
      </c>
      <c r="I24" s="58">
        <f t="shared" si="1"/>
        <v>8827.84000000001</v>
      </c>
      <c r="J24" s="56"/>
    </row>
    <row r="25" ht="64.5" spans="2:10">
      <c r="B25" s="42">
        <v>2</v>
      </c>
      <c r="C25" s="42">
        <v>24</v>
      </c>
      <c r="D25" s="42" t="s">
        <v>93</v>
      </c>
      <c r="E25" s="117" t="s">
        <v>153</v>
      </c>
      <c r="F25" s="93" t="s">
        <v>173</v>
      </c>
      <c r="G25" s="56"/>
      <c r="H25" s="56">
        <v>3005.5</v>
      </c>
      <c r="I25" s="58">
        <f t="shared" si="1"/>
        <v>5822.34000000001</v>
      </c>
      <c r="J25" s="56"/>
    </row>
    <row r="26" ht="20" customHeight="1" spans="2:10">
      <c r="B26" s="68"/>
      <c r="C26" s="68"/>
      <c r="D26" s="68"/>
      <c r="E26" s="130"/>
      <c r="F26" s="70" t="s">
        <v>22</v>
      </c>
      <c r="G26" s="71">
        <f>SUM(G18:G25)</f>
        <v>20000</v>
      </c>
      <c r="H26" s="71">
        <f>SUM(H18:H25)</f>
        <v>55575.56</v>
      </c>
      <c r="I26" s="72">
        <f>I17+G26-H26</f>
        <v>5822.34000000001</v>
      </c>
      <c r="J26" s="71"/>
    </row>
    <row r="27" ht="20" customHeight="1" spans="2:10">
      <c r="B27" s="42">
        <v>3</v>
      </c>
      <c r="C27" s="42">
        <v>8</v>
      </c>
      <c r="D27" s="74" t="s">
        <v>16</v>
      </c>
      <c r="E27" s="117" t="s">
        <v>28</v>
      </c>
      <c r="F27" s="45" t="s">
        <v>152</v>
      </c>
      <c r="G27" s="56"/>
      <c r="H27" s="56">
        <v>10</v>
      </c>
      <c r="I27" s="58">
        <f t="shared" ref="I27:I33" si="2">I26+G27-H27</f>
        <v>5812.34000000001</v>
      </c>
      <c r="J27" s="56"/>
    </row>
    <row r="28" ht="20" customHeight="1" spans="2:10">
      <c r="B28" s="42">
        <v>3</v>
      </c>
      <c r="C28" s="42">
        <v>16</v>
      </c>
      <c r="D28" s="42" t="s">
        <v>103</v>
      </c>
      <c r="E28" s="117" t="s">
        <v>164</v>
      </c>
      <c r="F28" s="45" t="s">
        <v>174</v>
      </c>
      <c r="G28" s="56"/>
      <c r="H28" s="56">
        <v>249.2</v>
      </c>
      <c r="I28" s="58">
        <f t="shared" si="2"/>
        <v>5563.14000000001</v>
      </c>
      <c r="J28" s="56"/>
    </row>
    <row r="29" ht="20" customHeight="1" spans="2:10">
      <c r="B29" s="42">
        <v>3</v>
      </c>
      <c r="C29" s="42">
        <v>16</v>
      </c>
      <c r="D29" s="42" t="s">
        <v>69</v>
      </c>
      <c r="E29" s="117" t="s">
        <v>159</v>
      </c>
      <c r="F29" s="45" t="s">
        <v>160</v>
      </c>
      <c r="G29" s="56">
        <v>32000</v>
      </c>
      <c r="H29" s="56"/>
      <c r="I29" s="58">
        <f t="shared" si="2"/>
        <v>37563.14</v>
      </c>
      <c r="J29" s="56"/>
    </row>
    <row r="30" ht="20" customHeight="1" spans="2:10">
      <c r="B30" s="42">
        <v>3</v>
      </c>
      <c r="C30" s="42">
        <v>21</v>
      </c>
      <c r="D30" s="74" t="s">
        <v>29</v>
      </c>
      <c r="E30" s="117" t="s">
        <v>28</v>
      </c>
      <c r="F30" s="45" t="s">
        <v>29</v>
      </c>
      <c r="G30" s="56">
        <v>3.42</v>
      </c>
      <c r="H30" s="56"/>
      <c r="I30" s="58">
        <f t="shared" si="2"/>
        <v>37566.56</v>
      </c>
      <c r="J30" s="56"/>
    </row>
    <row r="31" ht="20" customHeight="1" spans="2:10">
      <c r="B31" s="42">
        <v>3</v>
      </c>
      <c r="C31" s="42">
        <v>21</v>
      </c>
      <c r="D31" s="42" t="s">
        <v>120</v>
      </c>
      <c r="E31" s="117" t="s">
        <v>161</v>
      </c>
      <c r="F31" s="45" t="s">
        <v>162</v>
      </c>
      <c r="G31" s="56"/>
      <c r="H31" s="56">
        <v>21848.4</v>
      </c>
      <c r="I31" s="58">
        <f t="shared" si="2"/>
        <v>15718.16</v>
      </c>
      <c r="J31" s="56"/>
    </row>
    <row r="32" ht="20" customHeight="1" spans="2:10">
      <c r="B32" s="42">
        <v>3</v>
      </c>
      <c r="C32" s="42">
        <v>21</v>
      </c>
      <c r="D32" s="42" t="s">
        <v>120</v>
      </c>
      <c r="E32" s="45" t="s">
        <v>161</v>
      </c>
      <c r="F32" s="45" t="s">
        <v>162</v>
      </c>
      <c r="G32" s="56"/>
      <c r="H32" s="56">
        <v>10943.1</v>
      </c>
      <c r="I32" s="58">
        <f t="shared" si="2"/>
        <v>4775.06000000001</v>
      </c>
      <c r="J32" s="56"/>
    </row>
    <row r="33" ht="94" customHeight="1" spans="2:10">
      <c r="B33" s="42">
        <v>3</v>
      </c>
      <c r="C33" s="42">
        <v>23</v>
      </c>
      <c r="D33" s="42" t="s">
        <v>93</v>
      </c>
      <c r="E33" s="117" t="s">
        <v>153</v>
      </c>
      <c r="F33" s="93" t="s">
        <v>175</v>
      </c>
      <c r="G33" s="56"/>
      <c r="H33" s="56">
        <v>2987.84</v>
      </c>
      <c r="I33" s="58">
        <f t="shared" si="2"/>
        <v>1787.22000000001</v>
      </c>
      <c r="J33" s="56"/>
    </row>
    <row r="34" ht="20" customHeight="1" spans="2:10">
      <c r="B34" s="68"/>
      <c r="C34" s="68"/>
      <c r="D34" s="173"/>
      <c r="E34" s="68"/>
      <c r="F34" s="70" t="s">
        <v>22</v>
      </c>
      <c r="G34" s="71">
        <f>SUM(G27:G33)</f>
        <v>32003.42</v>
      </c>
      <c r="H34" s="71">
        <f>SUM(H27:H33)</f>
        <v>36038.54</v>
      </c>
      <c r="I34" s="72">
        <f>I26+G34-H34</f>
        <v>1787.22000000001</v>
      </c>
      <c r="J34" s="56"/>
    </row>
    <row r="35" ht="20" customHeight="1" spans="2:10">
      <c r="B35" s="42">
        <v>4</v>
      </c>
      <c r="C35" s="42">
        <v>8</v>
      </c>
      <c r="D35" s="74" t="s">
        <v>16</v>
      </c>
      <c r="E35" s="117" t="s">
        <v>28</v>
      </c>
      <c r="F35" s="45" t="s">
        <v>152</v>
      </c>
      <c r="G35" s="56"/>
      <c r="H35" s="56">
        <v>10</v>
      </c>
      <c r="I35" s="58">
        <f t="shared" ref="I35:I47" si="3">I34+G35-H35</f>
        <v>1777.22000000001</v>
      </c>
      <c r="J35" s="56"/>
    </row>
    <row r="36" ht="20" customHeight="1" spans="2:10">
      <c r="B36" s="42">
        <v>4</v>
      </c>
      <c r="C36" s="42">
        <v>14</v>
      </c>
      <c r="D36" s="42" t="s">
        <v>103</v>
      </c>
      <c r="E36" s="117" t="s">
        <v>164</v>
      </c>
      <c r="F36" s="45" t="s">
        <v>176</v>
      </c>
      <c r="G36" s="56"/>
      <c r="H36" s="56">
        <v>357</v>
      </c>
      <c r="I36" s="58">
        <f t="shared" si="3"/>
        <v>1420.22000000001</v>
      </c>
      <c r="J36" s="56"/>
    </row>
    <row r="37" ht="20" customHeight="1" spans="2:10">
      <c r="B37" s="42">
        <v>4</v>
      </c>
      <c r="C37" s="42">
        <v>15</v>
      </c>
      <c r="D37" s="42" t="s">
        <v>69</v>
      </c>
      <c r="E37" s="44" t="s">
        <v>20</v>
      </c>
      <c r="F37" s="45" t="s">
        <v>177</v>
      </c>
      <c r="G37" s="56">
        <v>50000</v>
      </c>
      <c r="H37" s="56"/>
      <c r="I37" s="58">
        <f t="shared" si="3"/>
        <v>51420.22</v>
      </c>
      <c r="J37" s="56"/>
    </row>
    <row r="38" ht="20" customHeight="1" spans="2:10">
      <c r="B38" s="42">
        <v>4</v>
      </c>
      <c r="C38" s="42">
        <v>15</v>
      </c>
      <c r="D38" s="42" t="s">
        <v>69</v>
      </c>
      <c r="E38" s="117" t="s">
        <v>159</v>
      </c>
      <c r="F38" s="45" t="s">
        <v>160</v>
      </c>
      <c r="G38" s="56">
        <v>35000</v>
      </c>
      <c r="H38" s="56"/>
      <c r="I38" s="58">
        <f t="shared" si="3"/>
        <v>86420.22</v>
      </c>
      <c r="J38" s="56"/>
    </row>
    <row r="39" ht="20" customHeight="1" spans="2:10">
      <c r="B39" s="42">
        <v>4</v>
      </c>
      <c r="C39" s="42">
        <v>15</v>
      </c>
      <c r="D39" s="74" t="s">
        <v>102</v>
      </c>
      <c r="E39" s="44" t="s">
        <v>178</v>
      </c>
      <c r="F39" s="45" t="s">
        <v>179</v>
      </c>
      <c r="G39" s="56"/>
      <c r="H39" s="56">
        <v>16.8</v>
      </c>
      <c r="I39" s="58">
        <f t="shared" si="3"/>
        <v>86403.42</v>
      </c>
      <c r="J39" s="56"/>
    </row>
    <row r="40" ht="20" customHeight="1" spans="2:10">
      <c r="B40" s="42">
        <v>4</v>
      </c>
      <c r="C40" s="42">
        <v>16</v>
      </c>
      <c r="D40" s="74" t="s">
        <v>119</v>
      </c>
      <c r="E40" s="117" t="s">
        <v>153</v>
      </c>
      <c r="F40" s="45" t="s">
        <v>180</v>
      </c>
      <c r="G40" s="56"/>
      <c r="H40" s="56">
        <v>11.65</v>
      </c>
      <c r="I40" s="58">
        <f t="shared" si="3"/>
        <v>86391.77</v>
      </c>
      <c r="J40" s="56"/>
    </row>
    <row r="41" ht="20" customHeight="1" spans="2:10">
      <c r="B41" s="42">
        <v>4</v>
      </c>
      <c r="C41" s="42">
        <v>16</v>
      </c>
      <c r="D41" s="74" t="s">
        <v>119</v>
      </c>
      <c r="E41" s="117" t="s">
        <v>153</v>
      </c>
      <c r="F41" s="45" t="s">
        <v>181</v>
      </c>
      <c r="G41" s="56"/>
      <c r="H41" s="56">
        <v>24</v>
      </c>
      <c r="I41" s="58">
        <f t="shared" si="3"/>
        <v>86367.77</v>
      </c>
      <c r="J41" s="56"/>
    </row>
    <row r="42" ht="20" customHeight="1" spans="2:10">
      <c r="B42" s="42">
        <v>4</v>
      </c>
      <c r="C42" s="42">
        <v>17</v>
      </c>
      <c r="D42" s="42" t="s">
        <v>69</v>
      </c>
      <c r="E42" s="44" t="s">
        <v>20</v>
      </c>
      <c r="F42" s="45" t="s">
        <v>177</v>
      </c>
      <c r="G42" s="56">
        <v>10000</v>
      </c>
      <c r="H42" s="56"/>
      <c r="I42" s="58">
        <f t="shared" si="3"/>
        <v>96367.77</v>
      </c>
      <c r="J42" s="56"/>
    </row>
    <row r="43" ht="20" customHeight="1" spans="2:10">
      <c r="B43" s="42">
        <v>4</v>
      </c>
      <c r="C43" s="42">
        <v>17</v>
      </c>
      <c r="D43" s="74" t="s">
        <v>102</v>
      </c>
      <c r="E43" s="44" t="s">
        <v>178</v>
      </c>
      <c r="F43" s="45" t="s">
        <v>182</v>
      </c>
      <c r="G43" s="56"/>
      <c r="H43" s="56">
        <v>260.48</v>
      </c>
      <c r="I43" s="58">
        <f t="shared" si="3"/>
        <v>96107.29</v>
      </c>
      <c r="J43" s="56"/>
    </row>
    <row r="44" ht="20" customHeight="1" spans="2:10">
      <c r="B44" s="42">
        <v>4</v>
      </c>
      <c r="C44" s="42">
        <v>21</v>
      </c>
      <c r="D44" s="42" t="s">
        <v>120</v>
      </c>
      <c r="E44" s="117" t="s">
        <v>161</v>
      </c>
      <c r="F44" s="45" t="s">
        <v>162</v>
      </c>
      <c r="G44" s="56"/>
      <c r="H44" s="56">
        <v>24189.3</v>
      </c>
      <c r="I44" s="58">
        <f t="shared" si="3"/>
        <v>71917.99</v>
      </c>
      <c r="J44" s="56"/>
    </row>
    <row r="45" ht="20" customHeight="1" spans="2:10">
      <c r="B45" s="42">
        <v>4</v>
      </c>
      <c r="C45" s="42">
        <v>21</v>
      </c>
      <c r="D45" s="74" t="s">
        <v>131</v>
      </c>
      <c r="E45" s="45" t="s">
        <v>161</v>
      </c>
      <c r="F45" s="45" t="s">
        <v>183</v>
      </c>
      <c r="G45" s="56"/>
      <c r="H45" s="56">
        <v>50000</v>
      </c>
      <c r="I45" s="58">
        <f t="shared" si="3"/>
        <v>21917.99</v>
      </c>
      <c r="J45" s="56"/>
    </row>
    <row r="46" ht="20" customHeight="1" spans="2:10">
      <c r="B46" s="42">
        <v>4</v>
      </c>
      <c r="C46" s="42">
        <v>21</v>
      </c>
      <c r="D46" s="42" t="s">
        <v>120</v>
      </c>
      <c r="E46" s="45" t="s">
        <v>161</v>
      </c>
      <c r="F46" s="45" t="s">
        <v>162</v>
      </c>
      <c r="G46" s="56"/>
      <c r="H46" s="56">
        <v>12115.58</v>
      </c>
      <c r="I46" s="58">
        <f t="shared" si="3"/>
        <v>9802.41000000001</v>
      </c>
      <c r="J46" s="56"/>
    </row>
    <row r="47" ht="80" customHeight="1" spans="2:10">
      <c r="B47" s="42">
        <v>4</v>
      </c>
      <c r="C47" s="42">
        <v>22</v>
      </c>
      <c r="D47" s="42" t="s">
        <v>93</v>
      </c>
      <c r="E47" s="117" t="s">
        <v>153</v>
      </c>
      <c r="F47" s="93" t="s">
        <v>184</v>
      </c>
      <c r="G47" s="56"/>
      <c r="H47" s="56">
        <v>2987.84</v>
      </c>
      <c r="I47" s="58">
        <f t="shared" si="3"/>
        <v>6814.57000000001</v>
      </c>
      <c r="J47" s="56"/>
    </row>
    <row r="48" ht="20" customHeight="1" spans="2:10">
      <c r="B48" s="68"/>
      <c r="C48" s="68"/>
      <c r="D48" s="173"/>
      <c r="E48" s="68"/>
      <c r="F48" s="70" t="s">
        <v>22</v>
      </c>
      <c r="G48" s="71">
        <f>SUM(G35:G47)</f>
        <v>95000</v>
      </c>
      <c r="H48" s="71">
        <f>SUM(H35:H47)</f>
        <v>89972.65</v>
      </c>
      <c r="I48" s="72">
        <f>I34+G48-H48</f>
        <v>6814.57000000001</v>
      </c>
      <c r="J48" s="56"/>
    </row>
    <row r="49" ht="20" customHeight="1" spans="2:10">
      <c r="B49" s="42">
        <v>5</v>
      </c>
      <c r="C49" s="42">
        <v>8</v>
      </c>
      <c r="D49" s="74" t="s">
        <v>16</v>
      </c>
      <c r="E49" s="117" t="s">
        <v>28</v>
      </c>
      <c r="F49" s="45" t="s">
        <v>152</v>
      </c>
      <c r="G49" s="56"/>
      <c r="H49" s="56">
        <v>10</v>
      </c>
      <c r="I49" s="58">
        <f>I47+G49-H49</f>
        <v>6804.57000000001</v>
      </c>
      <c r="J49" s="56"/>
    </row>
    <row r="50" ht="20" customHeight="1" spans="2:10">
      <c r="B50" s="42">
        <v>5</v>
      </c>
      <c r="C50" s="42">
        <v>15</v>
      </c>
      <c r="D50" s="42" t="s">
        <v>69</v>
      </c>
      <c r="E50" s="44" t="s">
        <v>20</v>
      </c>
      <c r="F50" s="45" t="s">
        <v>177</v>
      </c>
      <c r="G50" s="56">
        <v>5000</v>
      </c>
      <c r="H50" s="56"/>
      <c r="I50" s="58">
        <f t="shared" ref="I50:I57" si="4">I49+G50-H50</f>
        <v>11804.57</v>
      </c>
      <c r="J50" s="56"/>
    </row>
    <row r="51" ht="20" customHeight="1" spans="2:10">
      <c r="B51" s="42">
        <v>5</v>
      </c>
      <c r="C51" s="42">
        <v>15</v>
      </c>
      <c r="D51" s="42" t="s">
        <v>69</v>
      </c>
      <c r="E51" s="117" t="s">
        <v>159</v>
      </c>
      <c r="F51" s="45" t="s">
        <v>160</v>
      </c>
      <c r="G51" s="56">
        <v>30000</v>
      </c>
      <c r="H51" s="56"/>
      <c r="I51" s="58">
        <f t="shared" si="4"/>
        <v>41804.57</v>
      </c>
      <c r="J51" s="56"/>
    </row>
    <row r="52" ht="20" customHeight="1" spans="2:10">
      <c r="B52" s="42">
        <v>5</v>
      </c>
      <c r="C52" s="42">
        <v>15</v>
      </c>
      <c r="D52" s="42" t="s">
        <v>103</v>
      </c>
      <c r="E52" s="117" t="s">
        <v>164</v>
      </c>
      <c r="F52" s="45" t="s">
        <v>185</v>
      </c>
      <c r="G52" s="56"/>
      <c r="H52" s="56">
        <v>249</v>
      </c>
      <c r="I52" s="58">
        <f t="shared" si="4"/>
        <v>41555.57</v>
      </c>
      <c r="J52" s="56"/>
    </row>
    <row r="53" ht="20" customHeight="1" spans="2:10">
      <c r="B53" s="42">
        <v>5</v>
      </c>
      <c r="C53" s="42">
        <v>21</v>
      </c>
      <c r="D53" s="42" t="s">
        <v>120</v>
      </c>
      <c r="E53" s="117" t="s">
        <v>161</v>
      </c>
      <c r="F53" s="45" t="s">
        <v>162</v>
      </c>
      <c r="G53" s="56"/>
      <c r="H53" s="56">
        <v>23267.25</v>
      </c>
      <c r="I53" s="58">
        <f t="shared" si="4"/>
        <v>18288.32</v>
      </c>
      <c r="J53" s="56"/>
    </row>
    <row r="54" ht="20" customHeight="1" spans="2:10">
      <c r="B54" s="42">
        <v>5</v>
      </c>
      <c r="C54" s="42">
        <v>21</v>
      </c>
      <c r="D54" s="42" t="s">
        <v>120</v>
      </c>
      <c r="E54" s="45" t="s">
        <v>161</v>
      </c>
      <c r="F54" s="45" t="s">
        <v>162</v>
      </c>
      <c r="G54" s="56"/>
      <c r="H54" s="56">
        <v>11664</v>
      </c>
      <c r="I54" s="58">
        <f t="shared" si="4"/>
        <v>6624.32000000001</v>
      </c>
      <c r="J54" s="56"/>
    </row>
    <row r="55" ht="69" customHeight="1" spans="2:10">
      <c r="B55" s="42">
        <v>5</v>
      </c>
      <c r="C55" s="42">
        <v>25</v>
      </c>
      <c r="D55" s="42" t="s">
        <v>93</v>
      </c>
      <c r="E55" s="117" t="s">
        <v>153</v>
      </c>
      <c r="F55" s="93" t="s">
        <v>186</v>
      </c>
      <c r="G55" s="56"/>
      <c r="H55" s="56">
        <v>2987.84</v>
      </c>
      <c r="I55" s="58">
        <f t="shared" si="4"/>
        <v>3636.48000000001</v>
      </c>
      <c r="J55" s="56"/>
    </row>
    <row r="56" ht="20" customHeight="1" spans="2:10">
      <c r="B56" s="42">
        <v>5</v>
      </c>
      <c r="C56" s="42">
        <v>25</v>
      </c>
      <c r="D56" s="74" t="s">
        <v>69</v>
      </c>
      <c r="E56" s="117" t="s">
        <v>20</v>
      </c>
      <c r="F56" s="198" t="s">
        <v>187</v>
      </c>
      <c r="G56" s="56">
        <v>12832.11</v>
      </c>
      <c r="H56" s="56"/>
      <c r="I56" s="58">
        <f t="shared" si="4"/>
        <v>16468.59</v>
      </c>
      <c r="J56" s="56"/>
    </row>
    <row r="57" ht="20" customHeight="1" spans="2:10">
      <c r="B57" s="42">
        <v>5</v>
      </c>
      <c r="C57" s="42">
        <v>25</v>
      </c>
      <c r="D57" s="74" t="s">
        <v>121</v>
      </c>
      <c r="E57" s="117" t="s">
        <v>157</v>
      </c>
      <c r="F57" s="45" t="s">
        <v>188</v>
      </c>
      <c r="G57" s="56"/>
      <c r="H57" s="56">
        <v>12832.11</v>
      </c>
      <c r="I57" s="58">
        <f t="shared" si="4"/>
        <v>3636.48000000001</v>
      </c>
      <c r="J57" s="56"/>
    </row>
    <row r="58" ht="20" customHeight="1" spans="2:10">
      <c r="B58" s="68"/>
      <c r="C58" s="68"/>
      <c r="D58" s="173"/>
      <c r="E58" s="68"/>
      <c r="F58" s="70" t="s">
        <v>22</v>
      </c>
      <c r="G58" s="71">
        <f>SUM(G49:G57)</f>
        <v>47832.11</v>
      </c>
      <c r="H58" s="71">
        <f>SUM(H49:H57)</f>
        <v>51010.2</v>
      </c>
      <c r="I58" s="72">
        <f>I48+G58-H58</f>
        <v>3636.48000000001</v>
      </c>
      <c r="J58" s="56"/>
    </row>
    <row r="59" ht="20" customHeight="1" spans="2:10">
      <c r="B59" s="42">
        <v>6</v>
      </c>
      <c r="C59" s="42">
        <v>8</v>
      </c>
      <c r="D59" s="74" t="s">
        <v>16</v>
      </c>
      <c r="E59" s="117" t="s">
        <v>28</v>
      </c>
      <c r="F59" s="45" t="s">
        <v>152</v>
      </c>
      <c r="G59" s="56"/>
      <c r="H59" s="56">
        <v>10</v>
      </c>
      <c r="I59" s="58">
        <f t="shared" ref="I59:I66" si="5">I58+G59-H59</f>
        <v>3626.48000000001</v>
      </c>
      <c r="J59" s="56"/>
    </row>
    <row r="60" ht="20" customHeight="1" spans="2:10">
      <c r="B60" s="42">
        <v>6</v>
      </c>
      <c r="C60" s="42">
        <v>14</v>
      </c>
      <c r="D60" s="42" t="s">
        <v>103</v>
      </c>
      <c r="E60" s="117" t="s">
        <v>164</v>
      </c>
      <c r="F60" s="45" t="s">
        <v>189</v>
      </c>
      <c r="G60" s="56"/>
      <c r="H60" s="56">
        <v>249</v>
      </c>
      <c r="I60" s="58">
        <f t="shared" si="5"/>
        <v>3377.48000000001</v>
      </c>
      <c r="J60" s="56"/>
    </row>
    <row r="61" ht="20" customHeight="1" spans="2:10">
      <c r="B61" s="42">
        <v>6</v>
      </c>
      <c r="C61" s="42">
        <v>15</v>
      </c>
      <c r="D61" s="42" t="s">
        <v>69</v>
      </c>
      <c r="E61" s="117" t="s">
        <v>159</v>
      </c>
      <c r="F61" s="45" t="s">
        <v>160</v>
      </c>
      <c r="G61" s="56">
        <v>33000</v>
      </c>
      <c r="H61" s="56"/>
      <c r="I61" s="58">
        <f t="shared" si="5"/>
        <v>36377.48</v>
      </c>
      <c r="J61" s="56"/>
    </row>
    <row r="62" ht="20" customHeight="1" spans="2:10">
      <c r="B62" s="42">
        <v>6</v>
      </c>
      <c r="C62" s="42">
        <v>21</v>
      </c>
      <c r="D62" s="74" t="s">
        <v>29</v>
      </c>
      <c r="E62" s="117" t="s">
        <v>28</v>
      </c>
      <c r="F62" s="45" t="s">
        <v>29</v>
      </c>
      <c r="G62" s="56">
        <v>1.87</v>
      </c>
      <c r="H62" s="56"/>
      <c r="I62" s="58">
        <f t="shared" si="5"/>
        <v>36379.35</v>
      </c>
      <c r="J62" s="56"/>
    </row>
    <row r="63" ht="20" customHeight="1" spans="2:10">
      <c r="B63" s="42">
        <v>6</v>
      </c>
      <c r="C63" s="42">
        <v>21</v>
      </c>
      <c r="D63" s="42" t="s">
        <v>120</v>
      </c>
      <c r="E63" s="117" t="s">
        <v>161</v>
      </c>
      <c r="F63" s="45" t="s">
        <v>162</v>
      </c>
      <c r="G63" s="56"/>
      <c r="H63" s="56">
        <v>24042.83</v>
      </c>
      <c r="I63" s="58">
        <f t="shared" si="5"/>
        <v>12336.52</v>
      </c>
      <c r="J63" s="56"/>
    </row>
    <row r="64" ht="20" customHeight="1" spans="2:10">
      <c r="B64" s="42">
        <v>6</v>
      </c>
      <c r="C64" s="42">
        <v>21</v>
      </c>
      <c r="D64" s="42" t="s">
        <v>120</v>
      </c>
      <c r="E64" s="45" t="s">
        <v>161</v>
      </c>
      <c r="F64" s="45" t="s">
        <v>162</v>
      </c>
      <c r="G64" s="56"/>
      <c r="H64" s="56">
        <v>12052.8</v>
      </c>
      <c r="I64" s="58">
        <f t="shared" si="5"/>
        <v>283.720000000012</v>
      </c>
      <c r="J64" s="56"/>
    </row>
    <row r="65" ht="20" customHeight="1" spans="2:10">
      <c r="B65" s="42">
        <v>6</v>
      </c>
      <c r="C65" s="42">
        <v>22</v>
      </c>
      <c r="D65" s="42" t="s">
        <v>69</v>
      </c>
      <c r="E65" s="44" t="s">
        <v>20</v>
      </c>
      <c r="F65" s="45" t="s">
        <v>177</v>
      </c>
      <c r="G65" s="56">
        <v>10000</v>
      </c>
      <c r="H65" s="56"/>
      <c r="I65" s="58">
        <f t="shared" si="5"/>
        <v>10283.72</v>
      </c>
      <c r="J65" s="56"/>
    </row>
    <row r="66" ht="76" customHeight="1" spans="2:10">
      <c r="B66" s="42">
        <v>6</v>
      </c>
      <c r="C66" s="42">
        <v>22</v>
      </c>
      <c r="D66" s="42" t="s">
        <v>93</v>
      </c>
      <c r="E66" s="117" t="s">
        <v>153</v>
      </c>
      <c r="F66" s="93" t="s">
        <v>190</v>
      </c>
      <c r="G66" s="56"/>
      <c r="H66" s="56">
        <v>2987.84</v>
      </c>
      <c r="I66" s="58">
        <f t="shared" si="5"/>
        <v>7295.88000000001</v>
      </c>
      <c r="J66" s="56"/>
    </row>
    <row r="67" ht="14.25" spans="2:10">
      <c r="B67" s="68"/>
      <c r="C67" s="68"/>
      <c r="D67" s="173"/>
      <c r="E67" s="68"/>
      <c r="F67" s="70" t="s">
        <v>22</v>
      </c>
      <c r="G67" s="71">
        <f>SUM(G59:G66)</f>
        <v>43001.87</v>
      </c>
      <c r="H67" s="71">
        <f>SUM(H59:H66)</f>
        <v>39342.47</v>
      </c>
      <c r="I67" s="72">
        <f>I58+G67-H67</f>
        <v>7295.88000000001</v>
      </c>
      <c r="J67" s="56"/>
    </row>
    <row r="68" ht="23" customHeight="1" spans="2:10">
      <c r="B68" s="42">
        <v>7</v>
      </c>
      <c r="C68" s="42">
        <v>8</v>
      </c>
      <c r="D68" s="74" t="s">
        <v>16</v>
      </c>
      <c r="E68" s="117" t="s">
        <v>28</v>
      </c>
      <c r="F68" s="45" t="s">
        <v>152</v>
      </c>
      <c r="G68" s="56"/>
      <c r="H68" s="56">
        <v>10</v>
      </c>
      <c r="I68" s="58">
        <f t="shared" ref="I68:I131" si="6">I67+G68-H68</f>
        <v>7285.88000000001</v>
      </c>
      <c r="J68" s="56"/>
    </row>
    <row r="69" ht="23" customHeight="1" spans="2:10">
      <c r="B69" s="42">
        <v>7</v>
      </c>
      <c r="C69" s="42">
        <v>13</v>
      </c>
      <c r="D69" s="74" t="s">
        <v>119</v>
      </c>
      <c r="E69" s="117" t="s">
        <v>153</v>
      </c>
      <c r="F69" s="45" t="s">
        <v>191</v>
      </c>
      <c r="G69" s="56"/>
      <c r="H69" s="56">
        <v>24</v>
      </c>
      <c r="I69" s="58">
        <f t="shared" si="6"/>
        <v>7261.88000000001</v>
      </c>
      <c r="J69" s="56"/>
    </row>
    <row r="70" ht="23" customHeight="1" spans="2:10">
      <c r="B70" s="42">
        <v>7</v>
      </c>
      <c r="C70" s="42">
        <v>13</v>
      </c>
      <c r="D70" s="74" t="s">
        <v>119</v>
      </c>
      <c r="E70" s="117" t="s">
        <v>153</v>
      </c>
      <c r="F70" s="45" t="s">
        <v>192</v>
      </c>
      <c r="G70" s="56"/>
      <c r="H70" s="56">
        <v>6.35</v>
      </c>
      <c r="I70" s="58">
        <f t="shared" si="6"/>
        <v>7255.53000000001</v>
      </c>
      <c r="J70" s="56"/>
    </row>
    <row r="71" ht="23" customHeight="1" spans="2:10">
      <c r="B71" s="42">
        <v>7</v>
      </c>
      <c r="C71" s="42">
        <v>14</v>
      </c>
      <c r="D71" s="42" t="s">
        <v>115</v>
      </c>
      <c r="E71" s="54" t="s">
        <v>169</v>
      </c>
      <c r="F71" s="45" t="s">
        <v>170</v>
      </c>
      <c r="G71" s="56"/>
      <c r="H71" s="56">
        <v>138.6</v>
      </c>
      <c r="I71" s="58">
        <f t="shared" si="6"/>
        <v>7116.93000000001</v>
      </c>
      <c r="J71" s="56"/>
    </row>
    <row r="72" ht="23" customHeight="1" spans="2:10">
      <c r="B72" s="42">
        <v>7</v>
      </c>
      <c r="C72" s="42">
        <v>15</v>
      </c>
      <c r="D72" s="42" t="s">
        <v>69</v>
      </c>
      <c r="E72" s="117" t="s">
        <v>159</v>
      </c>
      <c r="F72" s="45" t="s">
        <v>160</v>
      </c>
      <c r="G72" s="56">
        <v>33000</v>
      </c>
      <c r="H72" s="56"/>
      <c r="I72" s="58">
        <f t="shared" si="6"/>
        <v>40116.93</v>
      </c>
      <c r="J72" s="56"/>
    </row>
    <row r="73" ht="23" customHeight="1" spans="2:10">
      <c r="B73" s="42">
        <v>7</v>
      </c>
      <c r="C73" s="42">
        <v>15</v>
      </c>
      <c r="D73" s="42" t="s">
        <v>103</v>
      </c>
      <c r="E73" s="117" t="s">
        <v>164</v>
      </c>
      <c r="F73" s="45" t="s">
        <v>193</v>
      </c>
      <c r="G73" s="56"/>
      <c r="H73" s="56">
        <v>249</v>
      </c>
      <c r="I73" s="58">
        <f t="shared" si="6"/>
        <v>39867.93</v>
      </c>
      <c r="J73" s="56"/>
    </row>
    <row r="74" ht="23" customHeight="1" spans="2:10">
      <c r="B74" s="42">
        <v>7</v>
      </c>
      <c r="C74" s="42">
        <v>17</v>
      </c>
      <c r="D74" s="42" t="s">
        <v>115</v>
      </c>
      <c r="E74" s="54" t="s">
        <v>169</v>
      </c>
      <c r="F74" s="45" t="s">
        <v>170</v>
      </c>
      <c r="G74" s="56"/>
      <c r="H74" s="56">
        <v>132.84</v>
      </c>
      <c r="I74" s="58">
        <f t="shared" si="6"/>
        <v>39735.09</v>
      </c>
      <c r="J74" s="56"/>
    </row>
    <row r="75" ht="23" customHeight="1" spans="2:10">
      <c r="B75" s="42">
        <v>7</v>
      </c>
      <c r="C75" s="42">
        <v>21</v>
      </c>
      <c r="D75" s="42" t="s">
        <v>120</v>
      </c>
      <c r="E75" s="117" t="s">
        <v>161</v>
      </c>
      <c r="F75" s="45" t="s">
        <v>162</v>
      </c>
      <c r="G75" s="56"/>
      <c r="H75" s="56">
        <v>23267.25</v>
      </c>
      <c r="I75" s="58">
        <f t="shared" si="6"/>
        <v>16467.84</v>
      </c>
      <c r="J75" s="56"/>
    </row>
    <row r="76" ht="23" customHeight="1" spans="2:10">
      <c r="B76" s="42">
        <v>7</v>
      </c>
      <c r="C76" s="42">
        <v>21</v>
      </c>
      <c r="D76" s="42" t="s">
        <v>120</v>
      </c>
      <c r="E76" s="45" t="s">
        <v>161</v>
      </c>
      <c r="F76" s="45" t="s">
        <v>162</v>
      </c>
      <c r="G76" s="56"/>
      <c r="H76" s="56">
        <v>11664</v>
      </c>
      <c r="I76" s="58">
        <f t="shared" si="6"/>
        <v>4803.84000000001</v>
      </c>
      <c r="J76" s="56"/>
    </row>
    <row r="77" ht="64.5" spans="2:10">
      <c r="B77" s="42">
        <v>7</v>
      </c>
      <c r="C77" s="42">
        <v>21</v>
      </c>
      <c r="D77" s="74" t="s">
        <v>93</v>
      </c>
      <c r="E77" s="117" t="s">
        <v>153</v>
      </c>
      <c r="F77" s="93" t="s">
        <v>194</v>
      </c>
      <c r="G77" s="56"/>
      <c r="H77" s="56">
        <v>3019.08</v>
      </c>
      <c r="I77" s="58">
        <f t="shared" si="6"/>
        <v>1784.76000000001</v>
      </c>
      <c r="J77" s="56"/>
    </row>
    <row r="78" ht="23" customHeight="1" spans="2:10">
      <c r="B78" s="42">
        <v>7</v>
      </c>
      <c r="C78" s="42">
        <v>23</v>
      </c>
      <c r="D78" s="74" t="s">
        <v>69</v>
      </c>
      <c r="E78" s="117" t="s">
        <v>20</v>
      </c>
      <c r="F78" s="198" t="s">
        <v>195</v>
      </c>
      <c r="G78" s="56">
        <v>12832.11</v>
      </c>
      <c r="H78" s="56"/>
      <c r="I78" s="58">
        <f t="shared" si="6"/>
        <v>14616.87</v>
      </c>
      <c r="J78" s="56"/>
    </row>
    <row r="79" ht="23" customHeight="1" spans="2:10">
      <c r="B79" s="42">
        <v>7</v>
      </c>
      <c r="C79" s="42">
        <v>24</v>
      </c>
      <c r="D79" s="74" t="s">
        <v>121</v>
      </c>
      <c r="E79" s="117" t="s">
        <v>157</v>
      </c>
      <c r="F79" s="45" t="s">
        <v>196</v>
      </c>
      <c r="G79" s="56"/>
      <c r="H79" s="56">
        <v>12832.11</v>
      </c>
      <c r="I79" s="58">
        <f t="shared" si="6"/>
        <v>1784.76000000001</v>
      </c>
      <c r="J79" s="56"/>
    </row>
    <row r="80" ht="23" customHeight="1" spans="2:10">
      <c r="B80" s="68"/>
      <c r="C80" s="68"/>
      <c r="D80" s="173"/>
      <c r="E80" s="68"/>
      <c r="F80" s="70" t="s">
        <v>22</v>
      </c>
      <c r="G80" s="71">
        <f>SUM(G68:G79)</f>
        <v>45832.11</v>
      </c>
      <c r="H80" s="71">
        <f>SUM(H68:H79)</f>
        <v>51343.23</v>
      </c>
      <c r="I80" s="72">
        <f>I67+G80-H80</f>
        <v>1784.76000000001</v>
      </c>
      <c r="J80" s="56"/>
    </row>
    <row r="81" ht="23" customHeight="1" spans="1:10">
      <c r="B81" s="42">
        <v>8</v>
      </c>
      <c r="C81" s="42">
        <v>4</v>
      </c>
      <c r="D81" s="74" t="s">
        <v>84</v>
      </c>
      <c r="E81" s="44" t="s">
        <v>197</v>
      </c>
      <c r="F81" s="45" t="s">
        <v>198</v>
      </c>
      <c r="G81" s="56">
        <v>1920</v>
      </c>
      <c r="H81" s="56"/>
      <c r="I81" s="58">
        <f t="shared" si="6"/>
        <v>3704.76000000001</v>
      </c>
      <c r="J81" s="56"/>
    </row>
    <row r="82" ht="23" customHeight="1" spans="1:10">
      <c r="A82" s="199"/>
      <c r="B82" s="200">
        <v>8</v>
      </c>
      <c r="C82" s="200">
        <v>8</v>
      </c>
      <c r="D82" s="201" t="s">
        <v>16</v>
      </c>
      <c r="E82" s="202" t="s">
        <v>28</v>
      </c>
      <c r="F82" s="203" t="s">
        <v>152</v>
      </c>
      <c r="G82" s="204"/>
      <c r="H82" s="204">
        <v>10</v>
      </c>
      <c r="I82" s="58">
        <f t="shared" ref="I82:I87" si="7">I81+G82-H82</f>
        <v>3694.76000000001</v>
      </c>
      <c r="J82" s="204"/>
    </row>
    <row r="83" ht="23" customHeight="1" spans="1:10">
      <c r="A83" s="199"/>
      <c r="B83" s="200">
        <v>8</v>
      </c>
      <c r="C83" s="200">
        <v>12</v>
      </c>
      <c r="D83" s="200" t="s">
        <v>103</v>
      </c>
      <c r="E83" s="202" t="s">
        <v>164</v>
      </c>
      <c r="F83" s="203" t="s">
        <v>199</v>
      </c>
      <c r="G83" s="204"/>
      <c r="H83" s="204">
        <v>249</v>
      </c>
      <c r="I83" s="58">
        <f t="shared" si="7"/>
        <v>3445.76000000001</v>
      </c>
      <c r="J83" s="204"/>
    </row>
    <row r="84" ht="14.25" spans="1:10">
      <c r="A84" s="199"/>
      <c r="B84" s="200">
        <v>8</v>
      </c>
      <c r="C84" s="200">
        <v>17</v>
      </c>
      <c r="D84" s="200" t="s">
        <v>69</v>
      </c>
      <c r="E84" s="202" t="s">
        <v>159</v>
      </c>
      <c r="F84" s="203" t="s">
        <v>160</v>
      </c>
      <c r="G84" s="204">
        <v>37000</v>
      </c>
      <c r="H84" s="204"/>
      <c r="I84" s="58">
        <f t="shared" si="7"/>
        <v>40445.76</v>
      </c>
      <c r="J84" s="204"/>
    </row>
    <row r="85" ht="64.5" spans="1:10">
      <c r="A85" s="199"/>
      <c r="B85" s="200">
        <v>8</v>
      </c>
      <c r="C85" s="200">
        <v>20</v>
      </c>
      <c r="D85" s="200" t="s">
        <v>93</v>
      </c>
      <c r="E85" s="202" t="s">
        <v>153</v>
      </c>
      <c r="F85" s="93" t="s">
        <v>200</v>
      </c>
      <c r="G85" s="204"/>
      <c r="H85" s="204">
        <v>3019.74</v>
      </c>
      <c r="I85" s="58">
        <f t="shared" si="7"/>
        <v>37426.02</v>
      </c>
      <c r="J85" s="204"/>
    </row>
    <row r="86" ht="14.25" spans="1:10">
      <c r="A86" s="199"/>
      <c r="B86" s="200">
        <v>8</v>
      </c>
      <c r="C86" s="200">
        <v>21</v>
      </c>
      <c r="D86" s="200" t="s">
        <v>120</v>
      </c>
      <c r="E86" s="202" t="s">
        <v>161</v>
      </c>
      <c r="F86" s="203" t="s">
        <v>162</v>
      </c>
      <c r="G86" s="204"/>
      <c r="H86" s="204">
        <v>24042.83</v>
      </c>
      <c r="I86" s="58">
        <f t="shared" si="7"/>
        <v>13383.19</v>
      </c>
      <c r="J86" s="204"/>
    </row>
    <row r="87" ht="14.25" spans="1:10">
      <c r="A87" s="199"/>
      <c r="B87" s="200">
        <v>8</v>
      </c>
      <c r="C87" s="200">
        <v>21</v>
      </c>
      <c r="D87" s="200" t="s">
        <v>120</v>
      </c>
      <c r="E87" s="203" t="s">
        <v>161</v>
      </c>
      <c r="F87" s="203" t="s">
        <v>162</v>
      </c>
      <c r="G87" s="204"/>
      <c r="H87" s="204">
        <v>12052.8</v>
      </c>
      <c r="I87" s="58">
        <f t="shared" si="7"/>
        <v>1330.39000000001</v>
      </c>
      <c r="J87" s="204"/>
    </row>
    <row r="88" ht="14.25" spans="1:10">
      <c r="B88" s="68"/>
      <c r="C88" s="68"/>
      <c r="D88" s="173"/>
      <c r="E88" s="68"/>
      <c r="F88" s="70" t="s">
        <v>22</v>
      </c>
      <c r="G88" s="71">
        <f>SUM(G81:G87)</f>
        <v>38920</v>
      </c>
      <c r="H88" s="71">
        <f>SUM(H81:H87)</f>
        <v>39374.37</v>
      </c>
      <c r="I88" s="72">
        <f>I80+G88-H88</f>
        <v>1330.39000000001</v>
      </c>
      <c r="J88" s="56"/>
    </row>
    <row r="89" ht="14.25" spans="1:10">
      <c r="B89" s="42">
        <v>9</v>
      </c>
      <c r="C89" s="42">
        <v>3</v>
      </c>
      <c r="D89" s="74" t="s">
        <v>84</v>
      </c>
      <c r="E89" s="44" t="s">
        <v>201</v>
      </c>
      <c r="F89" s="45"/>
      <c r="G89" s="56">
        <v>3838</v>
      </c>
      <c r="H89" s="56"/>
      <c r="I89" s="58">
        <f t="shared" si="6"/>
        <v>5168.39000000001</v>
      </c>
      <c r="J89" s="56"/>
    </row>
    <row r="90" ht="14.25" spans="1:10">
      <c r="B90" s="42">
        <v>9</v>
      </c>
      <c r="C90" s="42">
        <v>8</v>
      </c>
      <c r="D90" s="201" t="s">
        <v>16</v>
      </c>
      <c r="E90" s="202" t="s">
        <v>28</v>
      </c>
      <c r="F90" s="203" t="s">
        <v>152</v>
      </c>
      <c r="G90" s="56"/>
      <c r="H90" s="56">
        <v>10</v>
      </c>
      <c r="I90" s="58">
        <f t="shared" si="6"/>
        <v>5158.39000000001</v>
      </c>
      <c r="J90" s="56"/>
    </row>
    <row r="91" ht="14.25" spans="1:10">
      <c r="B91" s="42">
        <v>9</v>
      </c>
      <c r="C91" s="42">
        <v>13</v>
      </c>
      <c r="D91" s="200" t="s">
        <v>103</v>
      </c>
      <c r="E91" s="202" t="s">
        <v>164</v>
      </c>
      <c r="F91" s="203" t="s">
        <v>202</v>
      </c>
      <c r="G91" s="56"/>
      <c r="H91" s="56">
        <v>249</v>
      </c>
      <c r="I91" s="58">
        <f t="shared" si="6"/>
        <v>4909.39000000001</v>
      </c>
      <c r="J91" s="56"/>
    </row>
    <row r="92" ht="14.25" spans="1:10">
      <c r="B92" s="42">
        <v>9</v>
      </c>
      <c r="C92" s="42">
        <v>15</v>
      </c>
      <c r="D92" s="200" t="s">
        <v>69</v>
      </c>
      <c r="E92" s="202" t="s">
        <v>159</v>
      </c>
      <c r="F92" s="203" t="s">
        <v>160</v>
      </c>
      <c r="G92" s="56">
        <v>36000</v>
      </c>
      <c r="H92" s="56"/>
      <c r="I92" s="58">
        <f t="shared" si="6"/>
        <v>40909.39</v>
      </c>
      <c r="J92" s="56"/>
    </row>
    <row r="93" ht="14.25" spans="1:10">
      <c r="B93" s="42">
        <v>9</v>
      </c>
      <c r="C93" s="42">
        <v>21</v>
      </c>
      <c r="D93" s="74" t="s">
        <v>29</v>
      </c>
      <c r="E93" s="202" t="s">
        <v>161</v>
      </c>
      <c r="F93" s="45" t="s">
        <v>29</v>
      </c>
      <c r="G93" s="56">
        <v>1.35</v>
      </c>
      <c r="H93" s="56"/>
      <c r="I93" s="58">
        <f t="shared" si="6"/>
        <v>40910.74</v>
      </c>
      <c r="J93" s="56"/>
    </row>
    <row r="94" ht="14.25" spans="1:10">
      <c r="B94" s="42">
        <v>9</v>
      </c>
      <c r="C94" s="42">
        <v>21</v>
      </c>
      <c r="D94" s="200" t="s">
        <v>120</v>
      </c>
      <c r="E94" s="202" t="s">
        <v>161</v>
      </c>
      <c r="F94" s="203" t="s">
        <v>162</v>
      </c>
      <c r="G94" s="56"/>
      <c r="H94" s="56">
        <v>24042.83</v>
      </c>
      <c r="I94" s="58">
        <f t="shared" si="6"/>
        <v>16867.91</v>
      </c>
      <c r="J94" s="56"/>
    </row>
    <row r="95" ht="14.25" spans="1:10">
      <c r="B95" s="42">
        <v>9</v>
      </c>
      <c r="C95" s="42">
        <v>21</v>
      </c>
      <c r="D95" s="200" t="s">
        <v>120</v>
      </c>
      <c r="E95" s="203" t="s">
        <v>161</v>
      </c>
      <c r="F95" s="203" t="s">
        <v>162</v>
      </c>
      <c r="G95" s="56"/>
      <c r="H95" s="56">
        <v>12052.8</v>
      </c>
      <c r="I95" s="58">
        <f t="shared" si="6"/>
        <v>4815.11000000001</v>
      </c>
      <c r="J95" s="56"/>
    </row>
    <row r="96" ht="64.5" spans="1:10">
      <c r="B96" s="42">
        <v>9</v>
      </c>
      <c r="C96" s="42">
        <v>23</v>
      </c>
      <c r="D96" s="200" t="s">
        <v>93</v>
      </c>
      <c r="E96" s="202" t="s">
        <v>153</v>
      </c>
      <c r="F96" s="93" t="s">
        <v>203</v>
      </c>
      <c r="G96" s="56"/>
      <c r="H96" s="56">
        <v>3019.74</v>
      </c>
      <c r="I96" s="58">
        <f t="shared" si="6"/>
        <v>1795.37000000001</v>
      </c>
      <c r="J96" s="56"/>
    </row>
    <row r="97" ht="14.25" spans="2:10">
      <c r="B97" s="42">
        <v>9</v>
      </c>
      <c r="C97" s="42">
        <v>29</v>
      </c>
      <c r="D97" s="74" t="s">
        <v>100</v>
      </c>
      <c r="E97" s="205" t="s">
        <v>204</v>
      </c>
      <c r="F97" s="45" t="s">
        <v>205</v>
      </c>
      <c r="G97" s="56"/>
      <c r="H97" s="56">
        <v>235</v>
      </c>
      <c r="I97" s="58">
        <f t="shared" si="6"/>
        <v>1560.37000000001</v>
      </c>
      <c r="J97" s="56"/>
    </row>
    <row r="98" ht="14.25" spans="2:10">
      <c r="B98" s="42">
        <v>9</v>
      </c>
      <c r="C98" s="42">
        <v>29</v>
      </c>
      <c r="D98" s="74" t="s">
        <v>105</v>
      </c>
      <c r="E98" s="205" t="s">
        <v>206</v>
      </c>
      <c r="F98" s="45" t="s">
        <v>207</v>
      </c>
      <c r="G98" s="56"/>
      <c r="H98" s="56">
        <v>675.18</v>
      </c>
      <c r="I98" s="58">
        <f t="shared" si="6"/>
        <v>885.190000000012</v>
      </c>
      <c r="J98" s="56"/>
    </row>
    <row r="99" ht="14.25" spans="2:10">
      <c r="B99" s="68"/>
      <c r="C99" s="68"/>
      <c r="D99" s="173"/>
      <c r="E99" s="68"/>
      <c r="F99" s="70" t="s">
        <v>22</v>
      </c>
      <c r="G99" s="71">
        <f>SUM(G89:G98)</f>
        <v>39839.35</v>
      </c>
      <c r="H99" s="71">
        <f>SUM(H89:H98)</f>
        <v>40284.55</v>
      </c>
      <c r="I99" s="72">
        <f>I88+G99-H99</f>
        <v>885.190000000002</v>
      </c>
      <c r="J99" s="56"/>
    </row>
    <row r="100" ht="19" customHeight="1" spans="2:10">
      <c r="B100" s="42">
        <v>10</v>
      </c>
      <c r="C100" s="42">
        <v>8</v>
      </c>
      <c r="D100" s="201" t="s">
        <v>16</v>
      </c>
      <c r="E100" s="202" t="s">
        <v>28</v>
      </c>
      <c r="F100" s="203" t="s">
        <v>152</v>
      </c>
      <c r="G100" s="56"/>
      <c r="H100" s="56">
        <v>10</v>
      </c>
      <c r="I100" s="58">
        <f t="shared" si="6"/>
        <v>875.190000000002</v>
      </c>
      <c r="J100" s="56"/>
    </row>
    <row r="101" ht="19" customHeight="1" spans="2:10">
      <c r="B101" s="42">
        <v>10</v>
      </c>
      <c r="C101" s="42">
        <v>9</v>
      </c>
      <c r="D101" s="74" t="s">
        <v>69</v>
      </c>
      <c r="E101" s="117" t="s">
        <v>20</v>
      </c>
      <c r="F101" s="45" t="s">
        <v>208</v>
      </c>
      <c r="G101" s="56">
        <v>8554.74</v>
      </c>
      <c r="H101" s="56"/>
      <c r="I101" s="58">
        <f t="shared" si="6"/>
        <v>9429.93</v>
      </c>
      <c r="J101" s="56"/>
    </row>
    <row r="102" ht="14.25" spans="2:10">
      <c r="B102" s="42"/>
      <c r="C102" s="42"/>
      <c r="D102" s="74"/>
      <c r="E102" s="42"/>
      <c r="F102" s="54"/>
      <c r="G102" s="56"/>
      <c r="H102" s="56"/>
      <c r="I102" s="58">
        <f t="shared" si="6"/>
        <v>9429.93</v>
      </c>
      <c r="J102" s="56"/>
    </row>
    <row r="103" ht="14.25" spans="2:10">
      <c r="B103" s="42"/>
      <c r="C103" s="42"/>
      <c r="D103" s="74"/>
      <c r="E103" s="42"/>
      <c r="F103" s="54"/>
      <c r="G103" s="56"/>
      <c r="H103" s="56"/>
      <c r="I103" s="58">
        <f t="shared" si="6"/>
        <v>9429.93</v>
      </c>
      <c r="J103" s="56"/>
    </row>
    <row r="104" ht="14.25" spans="2:10">
      <c r="B104" s="42"/>
      <c r="C104" s="42"/>
      <c r="D104" s="74"/>
      <c r="E104" s="42"/>
      <c r="F104" s="54"/>
      <c r="G104" s="56"/>
      <c r="H104" s="56"/>
      <c r="I104" s="58">
        <f t="shared" si="6"/>
        <v>9429.93</v>
      </c>
      <c r="J104" s="56"/>
    </row>
    <row r="105" ht="14.25" spans="2:10">
      <c r="B105" s="42"/>
      <c r="C105" s="42"/>
      <c r="D105" s="74"/>
      <c r="E105" s="42"/>
      <c r="F105" s="54"/>
      <c r="G105" s="56"/>
      <c r="H105" s="56"/>
      <c r="I105" s="58">
        <f t="shared" si="6"/>
        <v>9429.93</v>
      </c>
      <c r="J105" s="56"/>
    </row>
    <row r="106" ht="14.25" spans="2:10">
      <c r="B106" s="42"/>
      <c r="C106" s="42"/>
      <c r="D106" s="74"/>
      <c r="E106" s="42"/>
      <c r="F106" s="54"/>
      <c r="G106" s="56"/>
      <c r="H106" s="56"/>
      <c r="I106" s="58">
        <f t="shared" si="6"/>
        <v>9429.93</v>
      </c>
      <c r="J106" s="56"/>
    </row>
    <row r="107" ht="14.25" spans="2:10">
      <c r="B107" s="42"/>
      <c r="C107" s="42"/>
      <c r="D107" s="74"/>
      <c r="E107" s="42"/>
      <c r="F107" s="54"/>
      <c r="G107" s="56"/>
      <c r="H107" s="56"/>
      <c r="I107" s="58">
        <f t="shared" si="6"/>
        <v>9429.93</v>
      </c>
      <c r="J107" s="56"/>
    </row>
    <row r="108" ht="14.25" spans="2:10">
      <c r="B108" s="42"/>
      <c r="C108" s="42"/>
      <c r="D108" s="74"/>
      <c r="E108" s="42"/>
      <c r="F108" s="54"/>
      <c r="G108" s="56"/>
      <c r="H108" s="56"/>
      <c r="I108" s="58">
        <f t="shared" si="6"/>
        <v>9429.93</v>
      </c>
      <c r="J108" s="56"/>
    </row>
    <row r="109" ht="14.25" spans="2:10">
      <c r="B109" s="42"/>
      <c r="C109" s="42"/>
      <c r="D109" s="74"/>
      <c r="E109" s="42"/>
      <c r="F109" s="54"/>
      <c r="G109" s="56"/>
      <c r="H109" s="56"/>
      <c r="I109" s="58">
        <f t="shared" si="6"/>
        <v>9429.93</v>
      </c>
      <c r="J109" s="56"/>
    </row>
    <row r="110" ht="14.25" spans="2:10">
      <c r="B110" s="42"/>
      <c r="C110" s="42"/>
      <c r="D110" s="74"/>
      <c r="E110" s="42"/>
      <c r="F110" s="54"/>
      <c r="G110" s="56"/>
      <c r="H110" s="56"/>
      <c r="I110" s="58">
        <f t="shared" si="6"/>
        <v>9429.93</v>
      </c>
      <c r="J110" s="56"/>
    </row>
    <row r="111" ht="14.25" spans="2:10">
      <c r="B111" s="42"/>
      <c r="C111" s="42"/>
      <c r="D111" s="74"/>
      <c r="E111" s="42"/>
      <c r="F111" s="54"/>
      <c r="G111" s="56"/>
      <c r="H111" s="56"/>
      <c r="I111" s="58">
        <f t="shared" si="6"/>
        <v>9429.93</v>
      </c>
      <c r="J111" s="56"/>
    </row>
    <row r="112" ht="14.25" spans="2:10">
      <c r="B112" s="42"/>
      <c r="C112" s="42"/>
      <c r="D112" s="74"/>
      <c r="E112" s="42"/>
      <c r="F112" s="54"/>
      <c r="G112" s="56"/>
      <c r="H112" s="56"/>
      <c r="I112" s="58">
        <f t="shared" si="6"/>
        <v>9429.93</v>
      </c>
      <c r="J112" s="56"/>
    </row>
    <row r="113" ht="14.25" spans="2:10">
      <c r="B113" s="42"/>
      <c r="C113" s="42"/>
      <c r="D113" s="74"/>
      <c r="E113" s="42"/>
      <c r="F113" s="54"/>
      <c r="G113" s="56"/>
      <c r="H113" s="56"/>
      <c r="I113" s="58">
        <f t="shared" si="6"/>
        <v>9429.93</v>
      </c>
      <c r="J113" s="56"/>
    </row>
    <row r="114" ht="14.25" spans="2:10">
      <c r="B114" s="42"/>
      <c r="C114" s="42"/>
      <c r="D114" s="74"/>
      <c r="E114" s="42"/>
      <c r="F114" s="54"/>
      <c r="G114" s="56"/>
      <c r="H114" s="56"/>
      <c r="I114" s="58">
        <f t="shared" si="6"/>
        <v>9429.93</v>
      </c>
      <c r="J114" s="56"/>
    </row>
    <row r="115" ht="14.25" spans="2:10">
      <c r="B115" s="42"/>
      <c r="C115" s="42"/>
      <c r="D115" s="74"/>
      <c r="E115" s="42"/>
      <c r="F115" s="54"/>
      <c r="G115" s="56"/>
      <c r="H115" s="56"/>
      <c r="I115" s="58">
        <f t="shared" si="6"/>
        <v>9429.93</v>
      </c>
      <c r="J115" s="56"/>
    </row>
    <row r="116" ht="14.25" spans="2:10">
      <c r="B116" s="42"/>
      <c r="C116" s="42"/>
      <c r="D116" s="74"/>
      <c r="E116" s="42"/>
      <c r="F116" s="54"/>
      <c r="G116" s="56"/>
      <c r="H116" s="56"/>
      <c r="I116" s="58">
        <f t="shared" si="6"/>
        <v>9429.93</v>
      </c>
      <c r="J116" s="56"/>
    </row>
    <row r="117" ht="14.25" spans="2:10">
      <c r="B117" s="42"/>
      <c r="C117" s="42"/>
      <c r="D117" s="74"/>
      <c r="E117" s="42"/>
      <c r="F117" s="54"/>
      <c r="G117" s="56"/>
      <c r="H117" s="56"/>
      <c r="I117" s="58">
        <f t="shared" si="6"/>
        <v>9429.93</v>
      </c>
      <c r="J117" s="56"/>
    </row>
    <row r="118" ht="14.25" spans="2:10">
      <c r="B118" s="42"/>
      <c r="C118" s="42"/>
      <c r="D118" s="74"/>
      <c r="E118" s="42"/>
      <c r="F118" s="54"/>
      <c r="G118" s="56"/>
      <c r="H118" s="56"/>
      <c r="I118" s="58">
        <f t="shared" si="6"/>
        <v>9429.93</v>
      </c>
      <c r="J118" s="56"/>
    </row>
    <row r="119" ht="14.25" spans="2:10">
      <c r="B119" s="42"/>
      <c r="C119" s="42"/>
      <c r="D119" s="74"/>
      <c r="E119" s="42"/>
      <c r="F119" s="54"/>
      <c r="G119" s="56"/>
      <c r="H119" s="56"/>
      <c r="I119" s="58">
        <f t="shared" si="6"/>
        <v>9429.93</v>
      </c>
      <c r="J119" s="56"/>
    </row>
    <row r="120" ht="14.25" spans="2:10">
      <c r="B120" s="42"/>
      <c r="C120" s="42"/>
      <c r="D120" s="74"/>
      <c r="E120" s="42"/>
      <c r="F120" s="54"/>
      <c r="G120" s="56"/>
      <c r="H120" s="56"/>
      <c r="I120" s="58">
        <f t="shared" si="6"/>
        <v>9429.93</v>
      </c>
      <c r="J120" s="56"/>
    </row>
    <row r="121" ht="14.25" spans="2:10">
      <c r="B121" s="42"/>
      <c r="C121" s="42"/>
      <c r="D121" s="74"/>
      <c r="E121" s="42"/>
      <c r="F121" s="54"/>
      <c r="G121" s="56"/>
      <c r="H121" s="56"/>
      <c r="I121" s="58">
        <f t="shared" si="6"/>
        <v>9429.93</v>
      </c>
      <c r="J121" s="56"/>
    </row>
    <row r="122" ht="14.25" spans="2:10">
      <c r="B122" s="42"/>
      <c r="C122" s="42"/>
      <c r="D122" s="74"/>
      <c r="E122" s="42"/>
      <c r="F122" s="54"/>
      <c r="G122" s="56"/>
      <c r="H122" s="56"/>
      <c r="I122" s="58">
        <f t="shared" si="6"/>
        <v>9429.93</v>
      </c>
      <c r="J122" s="56"/>
    </row>
    <row r="123" ht="14.25" spans="2:10">
      <c r="B123" s="42"/>
      <c r="C123" s="42"/>
      <c r="D123" s="74"/>
      <c r="E123" s="42"/>
      <c r="F123" s="54"/>
      <c r="G123" s="56"/>
      <c r="H123" s="56"/>
      <c r="I123" s="58">
        <f t="shared" si="6"/>
        <v>9429.93</v>
      </c>
      <c r="J123" s="56"/>
    </row>
    <row r="124" ht="14.25" spans="2:10">
      <c r="B124" s="42"/>
      <c r="C124" s="42"/>
      <c r="D124" s="74"/>
      <c r="E124" s="42"/>
      <c r="F124" s="54"/>
      <c r="G124" s="56"/>
      <c r="H124" s="56"/>
      <c r="I124" s="58">
        <f t="shared" si="6"/>
        <v>9429.93</v>
      </c>
      <c r="J124" s="56"/>
    </row>
    <row r="125" ht="14.25" spans="2:10">
      <c r="B125" s="42"/>
      <c r="C125" s="42"/>
      <c r="D125" s="74"/>
      <c r="E125" s="42"/>
      <c r="F125" s="54"/>
      <c r="G125" s="56"/>
      <c r="H125" s="56"/>
      <c r="I125" s="58">
        <f t="shared" si="6"/>
        <v>9429.93</v>
      </c>
      <c r="J125" s="56"/>
    </row>
    <row r="126" ht="14.25" spans="2:10">
      <c r="B126" s="42"/>
      <c r="C126" s="42"/>
      <c r="D126" s="74"/>
      <c r="E126" s="42"/>
      <c r="F126" s="54"/>
      <c r="G126" s="56"/>
      <c r="H126" s="56"/>
      <c r="I126" s="58">
        <f t="shared" si="6"/>
        <v>9429.93</v>
      </c>
      <c r="J126" s="56"/>
    </row>
    <row r="127" ht="14.25" spans="2:10">
      <c r="B127" s="42"/>
      <c r="C127" s="42"/>
      <c r="D127" s="74"/>
      <c r="E127" s="42"/>
      <c r="F127" s="54"/>
      <c r="G127" s="56"/>
      <c r="H127" s="56"/>
      <c r="I127" s="58">
        <f t="shared" si="6"/>
        <v>9429.93</v>
      </c>
      <c r="J127" s="56"/>
    </row>
    <row r="128" ht="14.25" spans="2:10">
      <c r="B128" s="42"/>
      <c r="C128" s="42"/>
      <c r="D128" s="74"/>
      <c r="E128" s="42"/>
      <c r="F128" s="54"/>
      <c r="G128" s="56"/>
      <c r="H128" s="56"/>
      <c r="I128" s="58">
        <f t="shared" si="6"/>
        <v>9429.93</v>
      </c>
      <c r="J128" s="56"/>
    </row>
    <row r="129" ht="14.25" spans="2:10">
      <c r="B129" s="42"/>
      <c r="C129" s="42"/>
      <c r="D129" s="74"/>
      <c r="E129" s="42"/>
      <c r="F129" s="54"/>
      <c r="G129" s="56"/>
      <c r="H129" s="56"/>
      <c r="I129" s="58">
        <f t="shared" si="6"/>
        <v>9429.93</v>
      </c>
      <c r="J129" s="56"/>
    </row>
    <row r="130" ht="14.25" spans="2:10">
      <c r="B130" s="42"/>
      <c r="C130" s="42"/>
      <c r="D130" s="74"/>
      <c r="E130" s="42"/>
      <c r="F130" s="54"/>
      <c r="G130" s="56"/>
      <c r="H130" s="56"/>
      <c r="I130" s="58">
        <f t="shared" si="6"/>
        <v>9429.93</v>
      </c>
      <c r="J130" s="56"/>
    </row>
    <row r="131" ht="14.25" spans="2:10">
      <c r="B131" s="42"/>
      <c r="C131" s="42"/>
      <c r="D131" s="74"/>
      <c r="E131" s="42"/>
      <c r="F131" s="54"/>
      <c r="G131" s="56"/>
      <c r="H131" s="56"/>
      <c r="I131" s="58">
        <f t="shared" si="6"/>
        <v>9429.93</v>
      </c>
      <c r="J131" s="56"/>
    </row>
    <row r="132" ht="14.25" spans="2:10">
      <c r="B132" s="42"/>
      <c r="C132" s="42"/>
      <c r="D132" s="74"/>
      <c r="E132" s="42"/>
      <c r="F132" s="54"/>
      <c r="G132" s="56"/>
      <c r="H132" s="56"/>
      <c r="I132" s="58">
        <f t="shared" ref="I132:I143" si="8">I131+G132-H132</f>
        <v>9429.93</v>
      </c>
      <c r="J132" s="56"/>
    </row>
    <row r="133" ht="14.25" spans="2:10">
      <c r="B133" s="42"/>
      <c r="C133" s="42"/>
      <c r="D133" s="74"/>
      <c r="E133" s="42"/>
      <c r="F133" s="54"/>
      <c r="G133" s="56"/>
      <c r="H133" s="56"/>
      <c r="I133" s="58">
        <f t="shared" si="8"/>
        <v>9429.93</v>
      </c>
      <c r="J133" s="56"/>
    </row>
    <row r="134" ht="14.25" spans="2:10">
      <c r="B134" s="42"/>
      <c r="C134" s="42"/>
      <c r="D134" s="74"/>
      <c r="E134" s="42"/>
      <c r="F134" s="54"/>
      <c r="G134" s="56"/>
      <c r="H134" s="56"/>
      <c r="I134" s="58">
        <f t="shared" si="8"/>
        <v>9429.93</v>
      </c>
      <c r="J134" s="56"/>
    </row>
    <row r="135" ht="14.25" spans="2:10">
      <c r="B135" s="42"/>
      <c r="C135" s="42"/>
      <c r="D135" s="74"/>
      <c r="E135" s="42"/>
      <c r="F135" s="54"/>
      <c r="G135" s="56"/>
      <c r="H135" s="56"/>
      <c r="I135" s="58">
        <f t="shared" si="8"/>
        <v>9429.93</v>
      </c>
      <c r="J135" s="56"/>
    </row>
    <row r="136" ht="14.25" spans="2:10">
      <c r="B136" s="42"/>
      <c r="C136" s="42"/>
      <c r="D136" s="74"/>
      <c r="E136" s="42"/>
      <c r="F136" s="54"/>
      <c r="G136" s="56"/>
      <c r="H136" s="56"/>
      <c r="I136" s="58">
        <f t="shared" si="8"/>
        <v>9429.93</v>
      </c>
      <c r="J136" s="56"/>
    </row>
    <row r="137" ht="14.25" spans="2:10">
      <c r="B137" s="42"/>
      <c r="C137" s="42"/>
      <c r="D137" s="74"/>
      <c r="E137" s="42"/>
      <c r="F137" s="54"/>
      <c r="G137" s="56"/>
      <c r="H137" s="56"/>
      <c r="I137" s="58">
        <f t="shared" si="8"/>
        <v>9429.93</v>
      </c>
      <c r="J137" s="56"/>
    </row>
    <row r="138" ht="14.25" spans="2:10">
      <c r="B138" s="42"/>
      <c r="C138" s="42"/>
      <c r="D138" s="74"/>
      <c r="E138" s="42"/>
      <c r="F138" s="54"/>
      <c r="G138" s="56"/>
      <c r="H138" s="56"/>
      <c r="I138" s="58">
        <f t="shared" si="8"/>
        <v>9429.93</v>
      </c>
      <c r="J138" s="56"/>
    </row>
    <row r="139" ht="14.25" spans="2:10">
      <c r="B139" s="42"/>
      <c r="C139" s="42"/>
      <c r="D139" s="74"/>
      <c r="E139" s="42"/>
      <c r="F139" s="54"/>
      <c r="G139" s="56"/>
      <c r="H139" s="56"/>
      <c r="I139" s="58">
        <f t="shared" si="8"/>
        <v>9429.93</v>
      </c>
      <c r="J139" s="56"/>
    </row>
    <row r="140" ht="14.25" spans="2:10">
      <c r="B140" s="42"/>
      <c r="C140" s="42"/>
      <c r="D140" s="74"/>
      <c r="E140" s="42"/>
      <c r="F140" s="54"/>
      <c r="G140" s="56"/>
      <c r="H140" s="56"/>
      <c r="I140" s="58">
        <f t="shared" si="8"/>
        <v>9429.93</v>
      </c>
      <c r="J140" s="56"/>
    </row>
    <row r="141" ht="14.25" spans="2:10">
      <c r="B141" s="42"/>
      <c r="C141" s="42"/>
      <c r="D141" s="74"/>
      <c r="E141" s="42"/>
      <c r="F141" s="54"/>
      <c r="G141" s="56"/>
      <c r="H141" s="56"/>
      <c r="I141" s="58">
        <f t="shared" si="8"/>
        <v>9429.93</v>
      </c>
      <c r="J141" s="56"/>
    </row>
    <row r="142" ht="14.25" spans="2:10">
      <c r="B142" s="42"/>
      <c r="C142" s="42"/>
      <c r="D142" s="74"/>
      <c r="E142" s="42"/>
      <c r="F142" s="54"/>
      <c r="G142" s="56"/>
      <c r="H142" s="56"/>
      <c r="I142" s="58">
        <f t="shared" si="8"/>
        <v>9429.93</v>
      </c>
      <c r="J142" s="56"/>
    </row>
    <row r="143" ht="14.25" spans="2:10">
      <c r="B143" s="42"/>
      <c r="C143" s="42"/>
      <c r="D143" s="74"/>
      <c r="E143" s="42"/>
      <c r="F143" s="54"/>
      <c r="G143" s="56"/>
      <c r="H143" s="56"/>
      <c r="I143" s="58">
        <f t="shared" si="8"/>
        <v>9429.93</v>
      </c>
      <c r="J143" s="56"/>
    </row>
  </sheetData>
  <autoFilter xmlns:etc="http://www.wps.cn/officeDocument/2017/etCustomData" ref="A3:P143" etc:filterBottomFollowUsedRange="0">
    <extLst/>
  </autoFilter>
  <mergeCells count="1">
    <mergeCell ref="B1:J1"/>
  </mergeCells>
  <conditionalFormatting sqref="F8">
    <cfRule type="expression" dxfId="1" priority="4">
      <formula>$L8&lt;&gt;""</formula>
    </cfRule>
  </conditionalFormatting>
  <conditionalFormatting sqref="F56">
    <cfRule type="expression" dxfId="1" priority="3">
      <formula>$L56&lt;&gt;""</formula>
    </cfRule>
  </conditionalFormatting>
  <conditionalFormatting sqref="F78">
    <cfRule type="expression" dxfId="1" priority="2">
      <formula>$L78&lt;&gt;""</formula>
    </cfRule>
  </conditionalFormatting>
  <dataValidations count="1">
    <dataValidation type="list" allowBlank="1" showInputMessage="1" showErrorMessage="1" sqref="D77 D81 D89 D93 D97:D98 D102:D143">
      <formula1>付费项!$B$2:$B$68</formula1>
    </dataValidation>
  </dataValidation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sheetPr>
  <dimension ref="A1:P67"/>
  <sheetViews>
    <sheetView topLeftCell="A23" workbookViewId="0">
      <selection activeCell="F45" sqref="F45"/>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55.5833333333333"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209</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36305.74</v>
      </c>
      <c r="J4" s="56"/>
    </row>
    <row r="5" ht="20" customHeight="1" spans="1:16">
      <c r="B5" s="42">
        <v>1</v>
      </c>
      <c r="C5" s="42">
        <v>8</v>
      </c>
      <c r="D5" s="117" t="s">
        <v>16</v>
      </c>
      <c r="E5" s="117" t="s">
        <v>210</v>
      </c>
      <c r="F5" s="45" t="s">
        <v>211</v>
      </c>
      <c r="G5" s="56"/>
      <c r="H5" s="56">
        <v>1</v>
      </c>
      <c r="I5" s="58">
        <f>I4+G5-H5</f>
        <v>36304.74</v>
      </c>
      <c r="J5" s="56"/>
    </row>
    <row r="6" ht="20" customHeight="1" spans="1:16">
      <c r="B6" s="42">
        <v>1</v>
      </c>
      <c r="C6" s="42">
        <v>10</v>
      </c>
      <c r="D6" s="117" t="s">
        <v>16</v>
      </c>
      <c r="E6" s="117" t="s">
        <v>210</v>
      </c>
      <c r="F6" s="45" t="s">
        <v>212</v>
      </c>
      <c r="G6" s="56"/>
      <c r="H6" s="56">
        <v>30</v>
      </c>
      <c r="I6" s="58">
        <f>I5+G6-H6</f>
        <v>36274.74</v>
      </c>
      <c r="J6" s="56"/>
    </row>
    <row r="7" ht="20" customHeight="1" spans="1:16">
      <c r="B7" s="42">
        <v>1</v>
      </c>
      <c r="C7" s="42">
        <v>13</v>
      </c>
      <c r="D7" s="117" t="s">
        <v>119</v>
      </c>
      <c r="E7" s="117" t="s">
        <v>213</v>
      </c>
      <c r="F7" s="45" t="s">
        <v>214</v>
      </c>
      <c r="G7" s="56"/>
      <c r="H7" s="56">
        <v>42.57</v>
      </c>
      <c r="I7" s="58">
        <f>I6+G7-H7</f>
        <v>36232.17</v>
      </c>
      <c r="J7" s="56"/>
    </row>
    <row r="8" ht="20" customHeight="1" spans="1:16">
      <c r="B8" s="68"/>
      <c r="C8" s="68"/>
      <c r="D8" s="130"/>
      <c r="E8" s="130"/>
      <c r="F8" s="70" t="s">
        <v>22</v>
      </c>
      <c r="G8" s="71"/>
      <c r="H8" s="71">
        <f>SUM(H5:H7)</f>
        <v>73.57</v>
      </c>
      <c r="I8" s="72">
        <f>I4+G8-H8</f>
        <v>36232.17</v>
      </c>
      <c r="J8" s="71"/>
    </row>
    <row r="9" ht="20" customHeight="1" spans="1:16">
      <c r="B9" s="42">
        <v>2</v>
      </c>
      <c r="C9" s="42">
        <v>10</v>
      </c>
      <c r="D9" s="117" t="s">
        <v>16</v>
      </c>
      <c r="E9" s="117" t="s">
        <v>210</v>
      </c>
      <c r="F9" s="75" t="s">
        <v>212</v>
      </c>
      <c r="G9" s="56"/>
      <c r="H9" s="55">
        <v>30</v>
      </c>
      <c r="I9" s="58">
        <f>I8+G9-H9</f>
        <v>36202.17</v>
      </c>
      <c r="J9" s="56"/>
    </row>
    <row r="10" ht="20" customHeight="1" spans="1:16">
      <c r="B10" s="68"/>
      <c r="C10" s="68"/>
      <c r="D10" s="130"/>
      <c r="E10" s="130"/>
      <c r="F10" s="70" t="s">
        <v>22</v>
      </c>
      <c r="G10" s="71"/>
      <c r="H10" s="71">
        <f>SUM(H9:H9)</f>
        <v>30</v>
      </c>
      <c r="I10" s="72">
        <f>I8+G10-H10</f>
        <v>36202.17</v>
      </c>
      <c r="J10" s="56"/>
    </row>
    <row r="11" ht="20" customHeight="1" spans="1:16">
      <c r="B11" s="42">
        <v>3</v>
      </c>
      <c r="C11" s="42">
        <v>4</v>
      </c>
      <c r="D11" s="44" t="s">
        <v>69</v>
      </c>
      <c r="E11" s="117" t="s">
        <v>20</v>
      </c>
      <c r="F11" s="45" t="s">
        <v>215</v>
      </c>
      <c r="G11" s="56">
        <v>30098.25</v>
      </c>
      <c r="H11" s="56"/>
      <c r="I11" s="58">
        <f>I10+G11-H11</f>
        <v>66300.42</v>
      </c>
      <c r="J11" s="56"/>
    </row>
    <row r="12" ht="20" customHeight="1" spans="1:16">
      <c r="B12" s="42">
        <v>3</v>
      </c>
      <c r="C12" s="42">
        <v>10</v>
      </c>
      <c r="D12" s="117" t="s">
        <v>16</v>
      </c>
      <c r="E12" s="117" t="s">
        <v>210</v>
      </c>
      <c r="F12" s="45" t="s">
        <v>212</v>
      </c>
      <c r="G12" s="56"/>
      <c r="H12" s="56">
        <v>30</v>
      </c>
      <c r="I12" s="58">
        <f>I11+G12-H12</f>
        <v>66270.42</v>
      </c>
      <c r="J12" s="56"/>
    </row>
    <row r="13" ht="20" customHeight="1" spans="1:16">
      <c r="B13" s="42">
        <v>3</v>
      </c>
      <c r="C13" s="42">
        <v>21</v>
      </c>
      <c r="D13" s="44" t="s">
        <v>29</v>
      </c>
      <c r="E13" s="44" t="s">
        <v>28</v>
      </c>
      <c r="F13" s="44" t="s">
        <v>29</v>
      </c>
      <c r="G13" s="56">
        <v>6.03</v>
      </c>
      <c r="H13" s="56"/>
      <c r="I13" s="58">
        <f>I12+G13-H13</f>
        <v>66276.45</v>
      </c>
      <c r="J13" s="56"/>
    </row>
    <row r="14" ht="20" customHeight="1" spans="1:16">
      <c r="B14" s="42">
        <v>3</v>
      </c>
      <c r="C14" s="42">
        <v>23</v>
      </c>
      <c r="D14" s="44" t="s">
        <v>69</v>
      </c>
      <c r="E14" s="117" t="s">
        <v>20</v>
      </c>
      <c r="F14" s="45" t="s">
        <v>216</v>
      </c>
      <c r="G14" s="56">
        <v>30098.25</v>
      </c>
      <c r="H14" s="56"/>
      <c r="I14" s="58">
        <f>I13+G14-H14</f>
        <v>96374.7</v>
      </c>
      <c r="J14" s="56"/>
    </row>
    <row r="15" ht="20" customHeight="1" spans="1:16">
      <c r="B15" s="42">
        <v>3</v>
      </c>
      <c r="C15" s="42">
        <v>24</v>
      </c>
      <c r="D15" s="44" t="s">
        <v>217</v>
      </c>
      <c r="E15" s="117" t="s">
        <v>157</v>
      </c>
      <c r="F15" s="45" t="s">
        <v>218</v>
      </c>
      <c r="G15" s="56"/>
      <c r="H15" s="56">
        <v>89536.65</v>
      </c>
      <c r="I15" s="58">
        <f>I14+G15-H15</f>
        <v>6838.05</v>
      </c>
      <c r="J15" s="56"/>
    </row>
    <row r="16" ht="20" customHeight="1" spans="1:16">
      <c r="B16" s="68"/>
      <c r="C16" s="68"/>
      <c r="D16" s="130"/>
      <c r="E16" s="130"/>
      <c r="F16" s="70" t="s">
        <v>22</v>
      </c>
      <c r="G16" s="71">
        <f>SUM(G11:G15)</f>
        <v>60202.53</v>
      </c>
      <c r="H16" s="71">
        <f>SUM(H11:H15)</f>
        <v>89566.65</v>
      </c>
      <c r="I16" s="72">
        <f>I10+G16-H16</f>
        <v>6838.05</v>
      </c>
      <c r="J16" s="56"/>
    </row>
    <row r="17" ht="20" customHeight="1" spans="2:10">
      <c r="B17" s="42">
        <v>4</v>
      </c>
      <c r="C17" s="42">
        <v>2</v>
      </c>
      <c r="D17" s="44" t="s">
        <v>69</v>
      </c>
      <c r="E17" s="117" t="s">
        <v>20</v>
      </c>
      <c r="F17" s="45" t="s">
        <v>219</v>
      </c>
      <c r="G17" s="56">
        <v>30098.25</v>
      </c>
      <c r="H17" s="56"/>
      <c r="I17" s="58">
        <f>I16+G17-H17</f>
        <v>36936.3</v>
      </c>
      <c r="J17" s="56"/>
    </row>
    <row r="18" ht="20" customHeight="1" spans="2:10">
      <c r="B18" s="42">
        <v>4</v>
      </c>
      <c r="C18" s="42">
        <v>7</v>
      </c>
      <c r="D18" s="117" t="s">
        <v>16</v>
      </c>
      <c r="E18" s="117" t="s">
        <v>210</v>
      </c>
      <c r="F18" s="197" t="s">
        <v>220</v>
      </c>
      <c r="G18" s="56"/>
      <c r="H18" s="56">
        <v>600</v>
      </c>
      <c r="I18" s="58">
        <f>I17+G18-H18</f>
        <v>36336.3</v>
      </c>
      <c r="J18" s="56"/>
    </row>
    <row r="19" ht="20" customHeight="1" spans="2:10">
      <c r="B19" s="42">
        <v>4</v>
      </c>
      <c r="C19" s="42">
        <v>8</v>
      </c>
      <c r="D19" s="117" t="s">
        <v>16</v>
      </c>
      <c r="E19" s="117" t="s">
        <v>210</v>
      </c>
      <c r="F19" s="45" t="s">
        <v>211</v>
      </c>
      <c r="G19" s="56"/>
      <c r="H19" s="56">
        <v>1</v>
      </c>
      <c r="I19" s="58">
        <f>I18+G19-H19</f>
        <v>36335.3</v>
      </c>
      <c r="J19" s="56"/>
    </row>
    <row r="20" ht="20" customHeight="1" spans="2:10">
      <c r="B20" s="42">
        <v>4</v>
      </c>
      <c r="C20" s="42">
        <v>10</v>
      </c>
      <c r="D20" s="117" t="s">
        <v>16</v>
      </c>
      <c r="E20" s="117" t="s">
        <v>210</v>
      </c>
      <c r="F20" s="45" t="s">
        <v>212</v>
      </c>
      <c r="G20" s="56"/>
      <c r="H20" s="56">
        <v>30</v>
      </c>
      <c r="I20" s="58">
        <f>I19+G20-H20</f>
        <v>36305.3</v>
      </c>
      <c r="J20" s="56"/>
    </row>
    <row r="21" ht="20" customHeight="1" spans="2:10">
      <c r="B21" s="42">
        <v>4</v>
      </c>
      <c r="C21" s="42">
        <v>17</v>
      </c>
      <c r="D21" s="44" t="s">
        <v>96</v>
      </c>
      <c r="E21" s="44" t="s">
        <v>178</v>
      </c>
      <c r="F21" s="45" t="s">
        <v>221</v>
      </c>
      <c r="G21" s="56"/>
      <c r="H21" s="56">
        <v>1301.33</v>
      </c>
      <c r="I21" s="58">
        <f>I20+G21-H21</f>
        <v>35003.97</v>
      </c>
      <c r="J21" s="56"/>
    </row>
    <row r="22" ht="20" customHeight="1" spans="2:10">
      <c r="B22" s="68"/>
      <c r="C22" s="68"/>
      <c r="D22" s="130"/>
      <c r="E22" s="130"/>
      <c r="F22" s="70" t="s">
        <v>22</v>
      </c>
      <c r="G22" s="71">
        <f>SUM(G17:G21)</f>
        <v>30098.25</v>
      </c>
      <c r="H22" s="71">
        <f>SUM(H17:H21)</f>
        <v>1932.33</v>
      </c>
      <c r="I22" s="72">
        <f>I16+G22-H22</f>
        <v>35003.97</v>
      </c>
      <c r="J22" s="56"/>
    </row>
    <row r="23" ht="20" customHeight="1" spans="2:10">
      <c r="B23" s="42">
        <v>5</v>
      </c>
      <c r="C23" s="42">
        <v>6</v>
      </c>
      <c r="D23" s="44" t="s">
        <v>69</v>
      </c>
      <c r="E23" s="117" t="s">
        <v>20</v>
      </c>
      <c r="F23" s="45" t="s">
        <v>222</v>
      </c>
      <c r="G23" s="56">
        <v>30098.25</v>
      </c>
      <c r="H23" s="56"/>
      <c r="I23" s="58">
        <f>I21+G23-H23</f>
        <v>65102.22</v>
      </c>
      <c r="J23" s="56"/>
    </row>
    <row r="24" ht="20" customHeight="1" spans="2:10">
      <c r="B24" s="42">
        <v>5</v>
      </c>
      <c r="C24" s="42">
        <v>10</v>
      </c>
      <c r="D24" s="117" t="s">
        <v>16</v>
      </c>
      <c r="E24" s="117" t="s">
        <v>210</v>
      </c>
      <c r="F24" s="45" t="s">
        <v>212</v>
      </c>
      <c r="G24" s="56"/>
      <c r="H24" s="56">
        <v>30</v>
      </c>
      <c r="I24" s="58">
        <f>I23+G24-H24</f>
        <v>65072.22</v>
      </c>
      <c r="J24" s="56"/>
    </row>
    <row r="25" ht="20" customHeight="1" spans="2:10">
      <c r="B25" s="68"/>
      <c r="C25" s="68"/>
      <c r="D25" s="130"/>
      <c r="E25" s="130"/>
      <c r="F25" s="70" t="s">
        <v>22</v>
      </c>
      <c r="G25" s="71">
        <f>SUM(G23:G24)</f>
        <v>30098.25</v>
      </c>
      <c r="H25" s="71">
        <f>SUM(H23:H24)</f>
        <v>30</v>
      </c>
      <c r="I25" s="72">
        <f>I22+G25-H25</f>
        <v>65072.22</v>
      </c>
      <c r="J25" s="56"/>
    </row>
    <row r="26" s="3" customFormat="1" ht="20" customHeight="1" spans="2:10">
      <c r="B26" s="42">
        <v>6</v>
      </c>
      <c r="C26" s="42">
        <v>3</v>
      </c>
      <c r="D26" s="44" t="s">
        <v>69</v>
      </c>
      <c r="E26" s="117" t="s">
        <v>20</v>
      </c>
      <c r="F26" s="45" t="s">
        <v>223</v>
      </c>
      <c r="G26" s="56">
        <v>30098.25</v>
      </c>
      <c r="H26" s="56"/>
      <c r="I26" s="58">
        <f>I24+G26-H26</f>
        <v>95170.47</v>
      </c>
      <c r="J26" s="56"/>
    </row>
    <row r="27" s="3" customFormat="1" ht="20" customHeight="1" spans="2:10">
      <c r="B27" s="42">
        <v>6</v>
      </c>
      <c r="C27" s="42">
        <v>10</v>
      </c>
      <c r="D27" s="117" t="s">
        <v>16</v>
      </c>
      <c r="E27" s="117" t="s">
        <v>210</v>
      </c>
      <c r="F27" s="45" t="s">
        <v>212</v>
      </c>
      <c r="G27" s="56"/>
      <c r="H27" s="56">
        <v>30</v>
      </c>
      <c r="I27" s="58">
        <f>I26+G27-H27</f>
        <v>95140.47</v>
      </c>
      <c r="J27" s="56"/>
    </row>
    <row r="28" s="3" customFormat="1" ht="20" customHeight="1" spans="2:10">
      <c r="B28" s="42">
        <v>6</v>
      </c>
      <c r="C28" s="42">
        <v>21</v>
      </c>
      <c r="D28" s="44" t="s">
        <v>29</v>
      </c>
      <c r="E28" s="44" t="s">
        <v>28</v>
      </c>
      <c r="F28" s="44" t="s">
        <v>29</v>
      </c>
      <c r="G28" s="56">
        <v>7</v>
      </c>
      <c r="H28" s="56"/>
      <c r="I28" s="58">
        <f>I27+G28-H28</f>
        <v>95147.47</v>
      </c>
      <c r="J28" s="56"/>
    </row>
    <row r="29" s="3" customFormat="1" ht="20" customHeight="1" spans="2:10">
      <c r="B29" s="42">
        <v>6</v>
      </c>
      <c r="C29" s="42">
        <v>29</v>
      </c>
      <c r="D29" s="117" t="s">
        <v>119</v>
      </c>
      <c r="E29" s="44" t="s">
        <v>224</v>
      </c>
      <c r="F29" s="44" t="s">
        <v>225</v>
      </c>
      <c r="G29" s="56"/>
      <c r="H29" s="56">
        <v>1881.58</v>
      </c>
      <c r="I29" s="58">
        <f>I28+G29-H29</f>
        <v>93265.89</v>
      </c>
      <c r="J29" s="56"/>
    </row>
    <row r="30" s="3" customFormat="1" ht="20" customHeight="1" spans="2:10">
      <c r="B30" s="68"/>
      <c r="C30" s="68"/>
      <c r="D30" s="130"/>
      <c r="E30" s="130"/>
      <c r="F30" s="70" t="s">
        <v>22</v>
      </c>
      <c r="G30" s="71">
        <f>SUM(G26:G29)</f>
        <v>30105.25</v>
      </c>
      <c r="H30" s="71">
        <f>SUM(H26:H29)</f>
        <v>1911.58</v>
      </c>
      <c r="I30" s="72">
        <f>I25+G30-H30</f>
        <v>93265.89</v>
      </c>
      <c r="J30" s="56"/>
    </row>
    <row r="31" ht="20" customHeight="1" spans="2:10">
      <c r="B31" s="42">
        <v>7</v>
      </c>
      <c r="C31" s="42">
        <v>10</v>
      </c>
      <c r="D31" s="117" t="s">
        <v>16</v>
      </c>
      <c r="E31" s="117" t="s">
        <v>210</v>
      </c>
      <c r="F31" s="45" t="s">
        <v>212</v>
      </c>
      <c r="G31" s="56"/>
      <c r="H31" s="56">
        <v>30</v>
      </c>
      <c r="I31" s="58">
        <f>I29+G31-H31</f>
        <v>93235.89</v>
      </c>
      <c r="J31" s="56"/>
    </row>
    <row r="32" ht="20" customHeight="1" spans="2:10">
      <c r="B32" s="42">
        <v>7</v>
      </c>
      <c r="C32" s="42">
        <v>13</v>
      </c>
      <c r="D32" s="117" t="s">
        <v>119</v>
      </c>
      <c r="E32" s="117" t="s">
        <v>213</v>
      </c>
      <c r="F32" s="45" t="s">
        <v>226</v>
      </c>
      <c r="G32" s="56"/>
      <c r="H32" s="56">
        <v>44.7</v>
      </c>
      <c r="I32" s="58">
        <f>I31+G32-H32</f>
        <v>93191.19</v>
      </c>
      <c r="J32" s="56"/>
    </row>
    <row r="33" ht="20" customHeight="1" spans="2:10">
      <c r="B33" s="42">
        <v>7</v>
      </c>
      <c r="C33" s="42">
        <v>26</v>
      </c>
      <c r="D33" s="117" t="s">
        <v>16</v>
      </c>
      <c r="E33" s="117" t="s">
        <v>210</v>
      </c>
      <c r="F33" s="197" t="s">
        <v>220</v>
      </c>
      <c r="G33" s="56"/>
      <c r="H33" s="56">
        <v>600</v>
      </c>
      <c r="I33" s="58">
        <f>I32+G33-H33</f>
        <v>92591.19</v>
      </c>
      <c r="J33" s="56"/>
    </row>
    <row r="34" ht="20" customHeight="1" spans="2:10">
      <c r="B34" s="42">
        <v>7</v>
      </c>
      <c r="C34" s="42">
        <v>28</v>
      </c>
      <c r="D34" s="44" t="s">
        <v>217</v>
      </c>
      <c r="E34" s="117" t="s">
        <v>157</v>
      </c>
      <c r="F34" s="45" t="s">
        <v>227</v>
      </c>
      <c r="G34" s="56"/>
      <c r="H34" s="56">
        <v>89536.65</v>
      </c>
      <c r="I34" s="58">
        <f>I33+G34-H34</f>
        <v>3054.54000000001</v>
      </c>
      <c r="J34" s="56"/>
    </row>
    <row r="35" ht="20" customHeight="1" spans="2:10">
      <c r="B35" s="42">
        <v>7</v>
      </c>
      <c r="C35" s="42">
        <v>31</v>
      </c>
      <c r="D35" s="44" t="s">
        <v>69</v>
      </c>
      <c r="E35" s="117" t="s">
        <v>20</v>
      </c>
      <c r="F35" s="45" t="s">
        <v>223</v>
      </c>
      <c r="G35" s="56">
        <v>30098.25</v>
      </c>
      <c r="H35" s="56"/>
      <c r="I35" s="58">
        <f>I34+G35-H35</f>
        <v>33152.79</v>
      </c>
      <c r="J35" s="56"/>
    </row>
    <row r="36" ht="20" customHeight="1" spans="2:10">
      <c r="B36" s="68"/>
      <c r="C36" s="68"/>
      <c r="D36" s="130"/>
      <c r="E36" s="130"/>
      <c r="F36" s="70" t="s">
        <v>22</v>
      </c>
      <c r="G36" s="71">
        <f>SUM(G31:G35)</f>
        <v>30098.25</v>
      </c>
      <c r="H36" s="71">
        <f>SUM(H31:H35)</f>
        <v>90211.35</v>
      </c>
      <c r="I36" s="72">
        <f>I30+G36-H36</f>
        <v>33152.79</v>
      </c>
      <c r="J36" s="56"/>
    </row>
    <row r="37" ht="20" customHeight="1" spans="2:10">
      <c r="B37" s="42">
        <v>8</v>
      </c>
      <c r="C37" s="42">
        <v>3</v>
      </c>
      <c r="D37" s="44" t="s">
        <v>69</v>
      </c>
      <c r="E37" s="117" t="s">
        <v>20</v>
      </c>
      <c r="F37" s="45" t="s">
        <v>228</v>
      </c>
      <c r="G37" s="56">
        <v>30098.25</v>
      </c>
      <c r="H37" s="56"/>
      <c r="I37" s="58">
        <f>I35+G37-H37</f>
        <v>63251.04</v>
      </c>
      <c r="J37" s="56"/>
    </row>
    <row r="38" ht="20" customHeight="1" spans="2:10">
      <c r="B38" s="42">
        <v>8</v>
      </c>
      <c r="C38" s="42">
        <v>8</v>
      </c>
      <c r="D38" s="117" t="s">
        <v>16</v>
      </c>
      <c r="E38" s="117" t="s">
        <v>210</v>
      </c>
      <c r="F38" s="45" t="s">
        <v>211</v>
      </c>
      <c r="G38" s="56"/>
      <c r="H38" s="56">
        <v>1</v>
      </c>
      <c r="I38" s="58">
        <f>I37+G38-H38</f>
        <v>63250.04</v>
      </c>
      <c r="J38" s="56"/>
    </row>
    <row r="39" ht="20" customHeight="1" spans="2:10">
      <c r="B39" s="42">
        <v>8</v>
      </c>
      <c r="C39" s="42">
        <v>10</v>
      </c>
      <c r="D39" s="117" t="s">
        <v>16</v>
      </c>
      <c r="E39" s="117" t="s">
        <v>210</v>
      </c>
      <c r="F39" s="45" t="s">
        <v>212</v>
      </c>
      <c r="G39" s="56"/>
      <c r="H39" s="56">
        <v>30</v>
      </c>
      <c r="I39" s="58">
        <f>I38+G39-H39</f>
        <v>63220.04</v>
      </c>
      <c r="J39" s="56"/>
    </row>
    <row r="40" ht="20" customHeight="1" spans="2:10">
      <c r="B40" s="68"/>
      <c r="C40" s="68"/>
      <c r="D40" s="130"/>
      <c r="E40" s="130"/>
      <c r="F40" s="70" t="s">
        <v>22</v>
      </c>
      <c r="G40" s="71">
        <f>SUM(G37:G39)</f>
        <v>30098.25</v>
      </c>
      <c r="H40" s="71">
        <f>SUM(H37:H39)</f>
        <v>31</v>
      </c>
      <c r="I40" s="72">
        <f>I36+G40-H40</f>
        <v>63220.04</v>
      </c>
      <c r="J40" s="56"/>
    </row>
    <row r="41" ht="20" customHeight="1" spans="2:10">
      <c r="B41" s="42">
        <v>9</v>
      </c>
      <c r="C41" s="42">
        <v>10</v>
      </c>
      <c r="D41" s="117" t="s">
        <v>16</v>
      </c>
      <c r="E41" s="117" t="s">
        <v>210</v>
      </c>
      <c r="F41" s="45" t="s">
        <v>212</v>
      </c>
      <c r="G41" s="56"/>
      <c r="H41" s="56">
        <v>30</v>
      </c>
      <c r="I41" s="58">
        <f t="shared" ref="I31:I67" si="0">I40+G41-H41</f>
        <v>63190.04</v>
      </c>
      <c r="J41" s="56"/>
    </row>
    <row r="42" ht="20" customHeight="1" spans="2:10">
      <c r="B42" s="42">
        <v>9</v>
      </c>
      <c r="C42" s="42">
        <v>21</v>
      </c>
      <c r="D42" s="44" t="s">
        <v>29</v>
      </c>
      <c r="E42" s="44" t="s">
        <v>28</v>
      </c>
      <c r="F42" s="44" t="s">
        <v>29</v>
      </c>
      <c r="G42" s="56">
        <v>9.26</v>
      </c>
      <c r="H42" s="56"/>
      <c r="I42" s="58">
        <f t="shared" si="0"/>
        <v>63199.3</v>
      </c>
      <c r="J42" s="56"/>
    </row>
    <row r="43" ht="20" customHeight="1" spans="2:10">
      <c r="B43" s="68"/>
      <c r="C43" s="68"/>
      <c r="D43" s="130"/>
      <c r="E43" s="130"/>
      <c r="F43" s="70" t="s">
        <v>22</v>
      </c>
      <c r="G43" s="71">
        <f>SUM(G41:G42)</f>
        <v>9.26</v>
      </c>
      <c r="H43" s="71">
        <f>SUM(H41:H42)</f>
        <v>30</v>
      </c>
      <c r="I43" s="72">
        <f>I40+G43-H43</f>
        <v>63199.3</v>
      </c>
      <c r="J43" s="56"/>
    </row>
    <row r="44" ht="20" customHeight="1" spans="2:10">
      <c r="B44" s="42">
        <v>10</v>
      </c>
      <c r="C44" s="42">
        <v>9</v>
      </c>
      <c r="D44" s="117" t="s">
        <v>119</v>
      </c>
      <c r="E44" s="117" t="s">
        <v>213</v>
      </c>
      <c r="F44" s="45" t="s">
        <v>229</v>
      </c>
      <c r="G44" s="56"/>
      <c r="H44" s="56">
        <v>29.8</v>
      </c>
      <c r="I44" s="58">
        <f t="shared" si="0"/>
        <v>63169.5</v>
      </c>
      <c r="J44" s="56"/>
    </row>
    <row r="45" ht="20" customHeight="1" spans="2:10">
      <c r="B45" s="42">
        <v>10</v>
      </c>
      <c r="C45" s="42">
        <v>9</v>
      </c>
      <c r="D45" s="44" t="s">
        <v>69</v>
      </c>
      <c r="E45" s="117" t="s">
        <v>20</v>
      </c>
      <c r="F45" s="45" t="s">
        <v>230</v>
      </c>
      <c r="G45" s="56">
        <v>30098.25</v>
      </c>
      <c r="H45" s="56"/>
      <c r="I45" s="58">
        <f t="shared" si="0"/>
        <v>93267.75</v>
      </c>
      <c r="J45" s="56"/>
    </row>
    <row r="46" ht="20" customHeight="1" spans="2:10">
      <c r="B46" s="42">
        <v>10</v>
      </c>
      <c r="C46" s="42">
        <v>10</v>
      </c>
      <c r="D46" s="117" t="s">
        <v>16</v>
      </c>
      <c r="E46" s="117" t="s">
        <v>210</v>
      </c>
      <c r="F46" s="45" t="s">
        <v>212</v>
      </c>
      <c r="G46" s="56"/>
      <c r="H46" s="56">
        <v>30</v>
      </c>
      <c r="I46" s="58">
        <f t="shared" si="0"/>
        <v>93237.75</v>
      </c>
      <c r="J46" s="56"/>
    </row>
    <row r="47" ht="20" customHeight="1" spans="2:10">
      <c r="B47" s="42"/>
      <c r="C47" s="42"/>
      <c r="D47" s="74"/>
      <c r="E47" s="42"/>
      <c r="F47" s="54"/>
      <c r="G47" s="56"/>
      <c r="H47" s="56"/>
      <c r="I47" s="58">
        <f t="shared" si="0"/>
        <v>93237.75</v>
      </c>
      <c r="J47" s="56"/>
    </row>
    <row r="48" ht="20" customHeight="1" spans="2:10">
      <c r="B48" s="42"/>
      <c r="C48" s="42"/>
      <c r="D48" s="74"/>
      <c r="E48" s="42"/>
      <c r="F48" s="54"/>
      <c r="G48" s="56"/>
      <c r="H48" s="56"/>
      <c r="I48" s="58">
        <f t="shared" si="0"/>
        <v>93237.75</v>
      </c>
      <c r="J48" s="56"/>
    </row>
    <row r="49" ht="20" customHeight="1" spans="2:10">
      <c r="B49" s="42"/>
      <c r="C49" s="42"/>
      <c r="D49" s="74"/>
      <c r="E49" s="42"/>
      <c r="F49" s="54"/>
      <c r="G49" s="56"/>
      <c r="H49" s="56"/>
      <c r="I49" s="58">
        <f t="shared" si="0"/>
        <v>93237.75</v>
      </c>
      <c r="J49" s="56"/>
    </row>
    <row r="50" ht="20" customHeight="1" spans="2:10">
      <c r="B50" s="42"/>
      <c r="C50" s="42"/>
      <c r="D50" s="74"/>
      <c r="E50" s="42"/>
      <c r="F50" s="54"/>
      <c r="G50" s="56"/>
      <c r="H50" s="56"/>
      <c r="I50" s="58">
        <f t="shared" si="0"/>
        <v>93237.75</v>
      </c>
      <c r="J50" s="56"/>
    </row>
    <row r="51" ht="20" customHeight="1" spans="2:10">
      <c r="B51" s="42"/>
      <c r="C51" s="42"/>
      <c r="D51" s="74"/>
      <c r="E51" s="54"/>
      <c r="F51" s="54"/>
      <c r="G51" s="56"/>
      <c r="H51" s="56"/>
      <c r="I51" s="58">
        <f t="shared" si="0"/>
        <v>93237.75</v>
      </c>
      <c r="J51" s="56"/>
    </row>
    <row r="52" ht="20" customHeight="1" spans="2:10">
      <c r="B52" s="42"/>
      <c r="C52" s="42"/>
      <c r="D52" s="74"/>
      <c r="E52" s="42"/>
      <c r="F52" s="54"/>
      <c r="G52" s="56"/>
      <c r="H52" s="56"/>
      <c r="I52" s="58">
        <f t="shared" si="0"/>
        <v>93237.75</v>
      </c>
      <c r="J52" s="56"/>
    </row>
    <row r="53" ht="20" customHeight="1" spans="2:10">
      <c r="B53" s="42"/>
      <c r="C53" s="42"/>
      <c r="D53" s="74"/>
      <c r="E53" s="42"/>
      <c r="F53" s="54"/>
      <c r="G53" s="56"/>
      <c r="H53" s="56"/>
      <c r="I53" s="58">
        <f t="shared" si="0"/>
        <v>93237.75</v>
      </c>
      <c r="J53" s="56"/>
    </row>
    <row r="54" ht="20" customHeight="1" spans="2:10">
      <c r="B54" s="42"/>
      <c r="C54" s="42"/>
      <c r="D54" s="74"/>
      <c r="E54" s="42"/>
      <c r="F54" s="54"/>
      <c r="G54" s="56"/>
      <c r="H54" s="56"/>
      <c r="I54" s="58">
        <f t="shared" si="0"/>
        <v>93237.75</v>
      </c>
      <c r="J54" s="56"/>
    </row>
    <row r="55" ht="20" customHeight="1" spans="2:10">
      <c r="B55" s="42"/>
      <c r="C55" s="42"/>
      <c r="D55" s="74"/>
      <c r="E55" s="42"/>
      <c r="F55" s="54"/>
      <c r="G55" s="56"/>
      <c r="H55" s="56"/>
      <c r="I55" s="58">
        <f t="shared" si="0"/>
        <v>93237.75</v>
      </c>
      <c r="J55" s="56"/>
    </row>
    <row r="56" ht="20" customHeight="1" spans="2:10">
      <c r="B56" s="42"/>
      <c r="C56" s="42"/>
      <c r="D56" s="74"/>
      <c r="E56" s="42"/>
      <c r="F56" s="54"/>
      <c r="G56" s="56"/>
      <c r="H56" s="56"/>
      <c r="I56" s="58">
        <f t="shared" si="0"/>
        <v>93237.75</v>
      </c>
      <c r="J56" s="56"/>
    </row>
    <row r="57" ht="20" customHeight="1" spans="2:10">
      <c r="B57" s="42"/>
      <c r="C57" s="42"/>
      <c r="D57" s="74"/>
      <c r="E57" s="42"/>
      <c r="F57" s="54"/>
      <c r="G57" s="56"/>
      <c r="H57" s="56"/>
      <c r="I57" s="58">
        <f t="shared" si="0"/>
        <v>93237.75</v>
      </c>
      <c r="J57" s="56"/>
    </row>
    <row r="58" ht="20" customHeight="1" spans="2:10">
      <c r="B58" s="42"/>
      <c r="C58" s="42"/>
      <c r="D58" s="74"/>
      <c r="E58" s="42"/>
      <c r="F58" s="54"/>
      <c r="G58" s="56"/>
      <c r="H58" s="56"/>
      <c r="I58" s="58">
        <f t="shared" si="0"/>
        <v>93237.75</v>
      </c>
      <c r="J58" s="56"/>
    </row>
    <row r="59" ht="20" customHeight="1" spans="2:10">
      <c r="B59" s="42"/>
      <c r="C59" s="42"/>
      <c r="D59" s="74"/>
      <c r="E59" s="54"/>
      <c r="F59" s="54"/>
      <c r="G59" s="56"/>
      <c r="H59" s="56"/>
      <c r="I59" s="58">
        <f t="shared" si="0"/>
        <v>93237.75</v>
      </c>
      <c r="J59" s="56"/>
    </row>
    <row r="60" ht="20" customHeight="1" spans="2:10">
      <c r="B60" s="42"/>
      <c r="C60" s="42"/>
      <c r="D60" s="74"/>
      <c r="E60" s="42"/>
      <c r="F60" s="42"/>
      <c r="G60" s="56"/>
      <c r="H60" s="56"/>
      <c r="I60" s="58">
        <f t="shared" si="0"/>
        <v>93237.75</v>
      </c>
      <c r="J60" s="56"/>
    </row>
    <row r="61" ht="20" customHeight="1" spans="2:10">
      <c r="B61" s="42"/>
      <c r="C61" s="42"/>
      <c r="D61" s="74"/>
      <c r="E61" s="42"/>
      <c r="F61" s="54"/>
      <c r="G61" s="56"/>
      <c r="H61" s="56"/>
      <c r="I61" s="58">
        <f t="shared" si="0"/>
        <v>93237.75</v>
      </c>
      <c r="J61" s="56"/>
    </row>
    <row r="62" ht="20" customHeight="1" spans="2:10">
      <c r="B62" s="42"/>
      <c r="C62" s="42"/>
      <c r="D62" s="74"/>
      <c r="E62" s="42"/>
      <c r="F62" s="54"/>
      <c r="G62" s="56"/>
      <c r="H62" s="56"/>
      <c r="I62" s="58">
        <f t="shared" si="0"/>
        <v>93237.75</v>
      </c>
      <c r="J62" s="56"/>
    </row>
    <row r="63" ht="20" customHeight="1" spans="2:10">
      <c r="B63" s="42"/>
      <c r="C63" s="42"/>
      <c r="D63" s="74"/>
      <c r="E63" s="42"/>
      <c r="F63" s="54"/>
      <c r="G63" s="56"/>
      <c r="H63" s="56"/>
      <c r="I63" s="58">
        <f t="shared" si="0"/>
        <v>93237.75</v>
      </c>
      <c r="J63" s="56"/>
    </row>
    <row r="64" ht="20" customHeight="1" spans="2:10">
      <c r="B64" s="42"/>
      <c r="C64" s="42"/>
      <c r="D64" s="74"/>
      <c r="E64" s="42"/>
      <c r="F64" s="54"/>
      <c r="G64" s="56"/>
      <c r="H64" s="56"/>
      <c r="I64" s="58">
        <f t="shared" si="0"/>
        <v>93237.75</v>
      </c>
      <c r="J64" s="56"/>
    </row>
    <row r="65" ht="20" customHeight="1" spans="2:10">
      <c r="B65" s="42"/>
      <c r="C65" s="42"/>
      <c r="D65" s="74"/>
      <c r="E65" s="42"/>
      <c r="F65" s="54"/>
      <c r="G65" s="56"/>
      <c r="H65" s="56"/>
      <c r="I65" s="58">
        <f t="shared" si="0"/>
        <v>93237.75</v>
      </c>
      <c r="J65" s="56"/>
    </row>
    <row r="66" ht="20" customHeight="1" spans="2:10">
      <c r="B66" s="42"/>
      <c r="C66" s="42"/>
      <c r="D66" s="74"/>
      <c r="E66" s="54"/>
      <c r="F66" s="54"/>
      <c r="G66" s="56"/>
      <c r="H66" s="56"/>
      <c r="I66" s="58">
        <f t="shared" si="0"/>
        <v>93237.75</v>
      </c>
      <c r="J66" s="56"/>
    </row>
    <row r="67" ht="20" customHeight="1" spans="2:10">
      <c r="B67" s="42"/>
      <c r="C67" s="42"/>
      <c r="D67" s="74"/>
      <c r="E67" s="42"/>
      <c r="F67" s="54"/>
      <c r="G67" s="56"/>
      <c r="H67" s="56"/>
      <c r="I67" s="58">
        <f t="shared" si="0"/>
        <v>93237.75</v>
      </c>
      <c r="J67" s="56"/>
    </row>
  </sheetData>
  <mergeCells count="1">
    <mergeCell ref="B1:J1"/>
  </mergeCells>
  <dataValidations count="1">
    <dataValidation type="list" allowBlank="1" showInputMessage="1" showErrorMessage="1" sqref="D5:D67">
      <formula1>付费项!$B$2:$B$100</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0000"/>
  </sheetPr>
  <dimension ref="A1:P166"/>
  <sheetViews>
    <sheetView topLeftCell="A67" workbookViewId="0">
      <selection activeCell="H90" sqref="H90"/>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231</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3045.39</v>
      </c>
      <c r="J4" s="56"/>
    </row>
    <row r="5" ht="20" customHeight="1" spans="1:16">
      <c r="B5" s="42">
        <v>1</v>
      </c>
      <c r="C5" s="42">
        <v>1</v>
      </c>
      <c r="D5" s="42" t="s">
        <v>113</v>
      </c>
      <c r="E5" s="44" t="s">
        <v>232</v>
      </c>
      <c r="F5" s="194" t="s">
        <v>233</v>
      </c>
      <c r="G5" s="56"/>
      <c r="H5" s="56">
        <v>77.7</v>
      </c>
      <c r="I5" s="58">
        <f t="shared" ref="I5:I11" si="0">I4+G5-H5</f>
        <v>2967.69</v>
      </c>
      <c r="J5" s="56"/>
    </row>
    <row r="6" ht="20" customHeight="1" spans="1:16">
      <c r="B6" s="42">
        <v>1</v>
      </c>
      <c r="C6" s="42">
        <v>2</v>
      </c>
      <c r="D6" s="42" t="s">
        <v>113</v>
      </c>
      <c r="E6" s="44" t="s">
        <v>232</v>
      </c>
      <c r="F6" s="194" t="s">
        <v>233</v>
      </c>
      <c r="G6" s="56"/>
      <c r="H6" s="56">
        <v>24.7</v>
      </c>
      <c r="I6" s="58">
        <f t="shared" si="0"/>
        <v>2942.99</v>
      </c>
      <c r="J6" s="56"/>
    </row>
    <row r="7" ht="20" customHeight="1" spans="1:16">
      <c r="B7" s="42">
        <v>1</v>
      </c>
      <c r="C7" s="42">
        <v>7</v>
      </c>
      <c r="D7" s="42" t="s">
        <v>16</v>
      </c>
      <c r="E7" s="44" t="s">
        <v>234</v>
      </c>
      <c r="F7" s="45" t="s">
        <v>152</v>
      </c>
      <c r="G7" s="56"/>
      <c r="H7" s="56">
        <v>20</v>
      </c>
      <c r="I7" s="58">
        <f t="shared" si="0"/>
        <v>2922.99</v>
      </c>
      <c r="J7" s="56"/>
    </row>
    <row r="8" ht="20" customHeight="1" spans="1:16">
      <c r="B8" s="42">
        <v>1</v>
      </c>
      <c r="C8" s="42">
        <v>10</v>
      </c>
      <c r="D8" s="42" t="s">
        <v>113</v>
      </c>
      <c r="E8" s="44" t="s">
        <v>232</v>
      </c>
      <c r="F8" s="194" t="s">
        <v>233</v>
      </c>
      <c r="G8" s="56"/>
      <c r="H8" s="56">
        <v>55.1</v>
      </c>
      <c r="I8" s="58">
        <f t="shared" si="0"/>
        <v>2867.89</v>
      </c>
      <c r="J8" s="56"/>
    </row>
    <row r="9" ht="20" customHeight="1" spans="1:16">
      <c r="B9" s="42">
        <v>1</v>
      </c>
      <c r="C9" s="42">
        <v>27</v>
      </c>
      <c r="D9" s="74" t="s">
        <v>107</v>
      </c>
      <c r="E9" s="44" t="s">
        <v>235</v>
      </c>
      <c r="F9" s="45" t="s">
        <v>236</v>
      </c>
      <c r="G9" s="56"/>
      <c r="H9" s="56">
        <v>2000</v>
      </c>
      <c r="I9" s="58">
        <f t="shared" si="0"/>
        <v>867.89</v>
      </c>
      <c r="J9" s="56"/>
    </row>
    <row r="10" ht="20" customHeight="1" spans="1:16">
      <c r="B10" s="42">
        <v>1</v>
      </c>
      <c r="C10" s="42">
        <v>27</v>
      </c>
      <c r="D10" s="42" t="s">
        <v>16</v>
      </c>
      <c r="E10" s="44" t="s">
        <v>234</v>
      </c>
      <c r="F10" s="194" t="s">
        <v>237</v>
      </c>
      <c r="G10" s="56"/>
      <c r="H10" s="56">
        <v>4.5</v>
      </c>
      <c r="I10" s="58">
        <f t="shared" si="0"/>
        <v>863.39</v>
      </c>
      <c r="J10" s="56"/>
    </row>
    <row r="11" ht="20" customHeight="1" spans="1:16">
      <c r="B11" s="42">
        <v>1</v>
      </c>
      <c r="C11" s="42">
        <v>31</v>
      </c>
      <c r="D11" s="74" t="s">
        <v>16</v>
      </c>
      <c r="E11" s="44" t="s">
        <v>234</v>
      </c>
      <c r="F11" s="45" t="s">
        <v>238</v>
      </c>
      <c r="G11" s="56"/>
      <c r="H11" s="56">
        <v>500</v>
      </c>
      <c r="I11" s="58">
        <f t="shared" si="0"/>
        <v>363.39</v>
      </c>
      <c r="J11" s="56"/>
    </row>
    <row r="12" ht="20" customHeight="1" spans="1:16">
      <c r="B12" s="68"/>
      <c r="C12" s="68"/>
      <c r="D12" s="68"/>
      <c r="E12" s="114"/>
      <c r="F12" s="70" t="s">
        <v>22</v>
      </c>
      <c r="G12" s="71">
        <f>SUM(G5:G11)</f>
        <v>0</v>
      </c>
      <c r="H12" s="71">
        <f>SUM(H5:H11)</f>
        <v>2682</v>
      </c>
      <c r="I12" s="72">
        <f>I4+G12-H12</f>
        <v>363.39</v>
      </c>
      <c r="J12" s="71"/>
    </row>
    <row r="13" ht="20" customHeight="1" spans="1:16">
      <c r="B13" s="42">
        <v>2</v>
      </c>
      <c r="C13" s="42">
        <v>2</v>
      </c>
      <c r="D13" s="42" t="s">
        <v>113</v>
      </c>
      <c r="E13" s="44" t="s">
        <v>232</v>
      </c>
      <c r="F13" s="194" t="s">
        <v>233</v>
      </c>
      <c r="G13" s="56"/>
      <c r="H13" s="84">
        <v>27.43</v>
      </c>
      <c r="I13" s="58">
        <f t="shared" ref="I13:I20" si="1">I12+G13-H13</f>
        <v>335.96</v>
      </c>
      <c r="J13" s="56"/>
    </row>
    <row r="14" ht="20" customHeight="1" spans="1:16">
      <c r="B14" s="42">
        <v>2</v>
      </c>
      <c r="C14" s="42">
        <v>3</v>
      </c>
      <c r="D14" s="42" t="s">
        <v>113</v>
      </c>
      <c r="E14" s="44" t="s">
        <v>232</v>
      </c>
      <c r="F14" s="45" t="s">
        <v>233</v>
      </c>
      <c r="G14" s="56"/>
      <c r="H14" s="84">
        <v>236.92</v>
      </c>
      <c r="I14" s="58">
        <f t="shared" si="1"/>
        <v>99.0399999999999</v>
      </c>
      <c r="J14" s="56"/>
    </row>
    <row r="15" ht="20" customHeight="1" spans="1:16">
      <c r="B15" s="42">
        <v>2</v>
      </c>
      <c r="C15" s="42">
        <v>7</v>
      </c>
      <c r="D15" s="42" t="s">
        <v>16</v>
      </c>
      <c r="E15" s="44" t="s">
        <v>234</v>
      </c>
      <c r="F15" s="195" t="s">
        <v>152</v>
      </c>
      <c r="G15" s="55"/>
      <c r="H15" s="84">
        <v>20</v>
      </c>
      <c r="I15" s="58">
        <f t="shared" si="1"/>
        <v>79.0399999999999</v>
      </c>
      <c r="J15" s="56"/>
    </row>
    <row r="16" ht="20" customHeight="1" spans="1:16">
      <c r="B16" s="42">
        <v>2</v>
      </c>
      <c r="C16" s="42">
        <v>9</v>
      </c>
      <c r="D16" s="74" t="s">
        <v>69</v>
      </c>
      <c r="E16" s="44" t="s">
        <v>239</v>
      </c>
      <c r="F16" s="45" t="s">
        <v>240</v>
      </c>
      <c r="G16" s="56">
        <v>1000</v>
      </c>
      <c r="H16" s="84"/>
      <c r="I16" s="58">
        <f t="shared" si="1"/>
        <v>1079.04</v>
      </c>
      <c r="J16" s="56"/>
    </row>
    <row r="17" ht="20" customHeight="1" spans="2:10">
      <c r="B17" s="42">
        <v>2</v>
      </c>
      <c r="C17" s="42">
        <v>28</v>
      </c>
      <c r="D17" s="74" t="s">
        <v>69</v>
      </c>
      <c r="E17" s="44" t="s">
        <v>239</v>
      </c>
      <c r="F17" s="45" t="s">
        <v>240</v>
      </c>
      <c r="G17" s="56">
        <v>5000</v>
      </c>
      <c r="H17" s="84"/>
      <c r="I17" s="58">
        <f t="shared" si="1"/>
        <v>6079.04</v>
      </c>
      <c r="J17" s="56"/>
    </row>
    <row r="18" ht="20" customHeight="1" spans="2:10">
      <c r="B18" s="42">
        <v>2</v>
      </c>
      <c r="C18" s="42">
        <v>28</v>
      </c>
      <c r="D18" s="74" t="s">
        <v>107</v>
      </c>
      <c r="E18" s="44" t="s">
        <v>235</v>
      </c>
      <c r="F18" s="45" t="s">
        <v>236</v>
      </c>
      <c r="G18" s="56"/>
      <c r="H18" s="84">
        <v>2000</v>
      </c>
      <c r="I18" s="58">
        <f t="shared" si="1"/>
        <v>4079.04</v>
      </c>
      <c r="J18" s="56"/>
    </row>
    <row r="19" ht="20" customHeight="1" spans="2:10">
      <c r="B19" s="42">
        <v>2</v>
      </c>
      <c r="C19" s="42">
        <v>28</v>
      </c>
      <c r="D19" s="42" t="s">
        <v>113</v>
      </c>
      <c r="E19" s="44" t="s">
        <v>232</v>
      </c>
      <c r="F19" s="194" t="s">
        <v>237</v>
      </c>
      <c r="G19" s="56"/>
      <c r="H19" s="84">
        <v>4.5</v>
      </c>
      <c r="I19" s="58">
        <f t="shared" si="1"/>
        <v>4074.54</v>
      </c>
      <c r="J19" s="56"/>
    </row>
    <row r="20" ht="20" customHeight="1" spans="2:10">
      <c r="B20" s="42">
        <v>2</v>
      </c>
      <c r="C20" s="42">
        <v>28</v>
      </c>
      <c r="D20" s="74" t="s">
        <v>69</v>
      </c>
      <c r="E20" s="44" t="s">
        <v>241</v>
      </c>
      <c r="F20" s="45" t="s">
        <v>240</v>
      </c>
      <c r="G20" s="56">
        <v>5000</v>
      </c>
      <c r="H20" s="56"/>
      <c r="I20" s="58">
        <f t="shared" si="1"/>
        <v>9074.54</v>
      </c>
      <c r="J20" s="56"/>
    </row>
    <row r="21" ht="20" customHeight="1" spans="2:10">
      <c r="B21" s="68"/>
      <c r="C21" s="68"/>
      <c r="D21" s="68"/>
      <c r="E21" s="114"/>
      <c r="F21" s="70" t="s">
        <v>22</v>
      </c>
      <c r="G21" s="71">
        <f>SUM(G13:G20)</f>
        <v>11000</v>
      </c>
      <c r="H21" s="71">
        <f>SUM(H13:H20)</f>
        <v>2288.85</v>
      </c>
      <c r="I21" s="72">
        <f>I12+G21-H21</f>
        <v>9074.54</v>
      </c>
      <c r="J21" s="71"/>
    </row>
    <row r="22" ht="20" customHeight="1" spans="2:10">
      <c r="B22" s="42">
        <v>3</v>
      </c>
      <c r="C22" s="42">
        <v>2</v>
      </c>
      <c r="D22" s="42" t="s">
        <v>113</v>
      </c>
      <c r="E22" s="44" t="s">
        <v>232</v>
      </c>
      <c r="F22" s="44" t="s">
        <v>233</v>
      </c>
      <c r="G22" s="56"/>
      <c r="H22" s="56">
        <v>48.94</v>
      </c>
      <c r="I22" s="58">
        <f t="shared" ref="I22:I28" si="2">I21+G22-H22</f>
        <v>9025.6</v>
      </c>
      <c r="J22" s="56"/>
    </row>
    <row r="23" ht="20" customHeight="1" spans="2:10">
      <c r="B23" s="42">
        <v>3</v>
      </c>
      <c r="C23" s="42">
        <v>6</v>
      </c>
      <c r="D23" s="42" t="s">
        <v>16</v>
      </c>
      <c r="E23" s="44" t="s">
        <v>234</v>
      </c>
      <c r="F23" s="44" t="s">
        <v>242</v>
      </c>
      <c r="G23" s="56"/>
      <c r="H23" s="56">
        <v>400</v>
      </c>
      <c r="I23" s="58">
        <f t="shared" si="2"/>
        <v>8625.6</v>
      </c>
      <c r="J23" s="56"/>
    </row>
    <row r="24" ht="20" customHeight="1" spans="2:10">
      <c r="B24" s="42">
        <v>3</v>
      </c>
      <c r="C24" s="42">
        <v>7</v>
      </c>
      <c r="D24" s="42" t="s">
        <v>16</v>
      </c>
      <c r="E24" s="44" t="s">
        <v>234</v>
      </c>
      <c r="F24" s="44" t="s">
        <v>152</v>
      </c>
      <c r="G24" s="56"/>
      <c r="H24" s="56">
        <v>20</v>
      </c>
      <c r="I24" s="58">
        <f t="shared" si="2"/>
        <v>8605.6</v>
      </c>
      <c r="J24" s="56"/>
    </row>
    <row r="25" ht="20" customHeight="1" spans="2:10">
      <c r="B25" s="42">
        <v>3</v>
      </c>
      <c r="C25" s="42">
        <v>20</v>
      </c>
      <c r="D25" s="74" t="s">
        <v>29</v>
      </c>
      <c r="E25" s="44" t="s">
        <v>234</v>
      </c>
      <c r="F25" s="44" t="s">
        <v>29</v>
      </c>
      <c r="G25" s="56">
        <v>0.45</v>
      </c>
      <c r="H25" s="56"/>
      <c r="I25" s="58">
        <f t="shared" si="2"/>
        <v>8606.05</v>
      </c>
      <c r="J25" s="56"/>
    </row>
    <row r="26" ht="20" customHeight="1" spans="2:10">
      <c r="B26" s="42">
        <v>3</v>
      </c>
      <c r="C26" s="42">
        <v>22</v>
      </c>
      <c r="D26" s="42" t="s">
        <v>113</v>
      </c>
      <c r="E26" s="44" t="s">
        <v>232</v>
      </c>
      <c r="F26" s="44" t="s">
        <v>233</v>
      </c>
      <c r="G26" s="56"/>
      <c r="H26" s="56">
        <v>100.3</v>
      </c>
      <c r="I26" s="58">
        <f t="shared" si="2"/>
        <v>8505.75</v>
      </c>
      <c r="J26" s="56"/>
    </row>
    <row r="27" ht="20" customHeight="1" spans="2:10">
      <c r="B27" s="42">
        <v>3</v>
      </c>
      <c r="C27" s="42">
        <v>24</v>
      </c>
      <c r="D27" s="74" t="s">
        <v>107</v>
      </c>
      <c r="E27" s="44" t="s">
        <v>235</v>
      </c>
      <c r="F27" s="45" t="s">
        <v>236</v>
      </c>
      <c r="G27" s="56"/>
      <c r="H27" s="56">
        <v>2000</v>
      </c>
      <c r="I27" s="58">
        <f t="shared" si="2"/>
        <v>6505.75</v>
      </c>
      <c r="J27" s="56"/>
    </row>
    <row r="28" ht="20" customHeight="1" spans="2:10">
      <c r="B28" s="42">
        <v>3</v>
      </c>
      <c r="C28" s="42">
        <v>24</v>
      </c>
      <c r="D28" s="42" t="s">
        <v>16</v>
      </c>
      <c r="E28" s="44" t="s">
        <v>234</v>
      </c>
      <c r="F28" s="194" t="s">
        <v>237</v>
      </c>
      <c r="G28" s="56"/>
      <c r="H28" s="56">
        <v>4.5</v>
      </c>
      <c r="I28" s="58">
        <f t="shared" si="2"/>
        <v>6501.25</v>
      </c>
      <c r="J28" s="56"/>
    </row>
    <row r="29" ht="20" customHeight="1" spans="2:10">
      <c r="B29" s="68"/>
      <c r="C29" s="68"/>
      <c r="D29" s="68"/>
      <c r="E29" s="114"/>
      <c r="F29" s="70" t="s">
        <v>22</v>
      </c>
      <c r="G29" s="71">
        <f>SUM(G22:G28)</f>
        <v>0.45</v>
      </c>
      <c r="H29" s="71">
        <f>SUM(H22:H28)</f>
        <v>2573.74</v>
      </c>
      <c r="I29" s="72">
        <f>I20+G29-H29</f>
        <v>6501.25</v>
      </c>
      <c r="J29" s="71"/>
    </row>
    <row r="30" ht="20" customHeight="1" spans="2:10">
      <c r="B30" s="42">
        <v>4</v>
      </c>
      <c r="C30" s="42">
        <v>7</v>
      </c>
      <c r="D30" s="42" t="s">
        <v>16</v>
      </c>
      <c r="E30" s="44" t="s">
        <v>234</v>
      </c>
      <c r="F30" s="44" t="s">
        <v>152</v>
      </c>
      <c r="G30" s="56"/>
      <c r="H30" s="56">
        <v>20</v>
      </c>
      <c r="I30" s="58">
        <f>I28+G30-H30</f>
        <v>6481.25</v>
      </c>
      <c r="J30" s="56"/>
    </row>
    <row r="31" ht="20" customHeight="1" spans="2:10">
      <c r="B31" s="42">
        <v>4</v>
      </c>
      <c r="C31" s="42">
        <v>21</v>
      </c>
      <c r="D31" s="42" t="s">
        <v>113</v>
      </c>
      <c r="E31" s="44" t="s">
        <v>232</v>
      </c>
      <c r="F31" s="44" t="s">
        <v>233</v>
      </c>
      <c r="G31" s="56"/>
      <c r="H31" s="56">
        <v>28.5</v>
      </c>
      <c r="I31" s="58">
        <f>I30+G31-H31</f>
        <v>6452.75</v>
      </c>
      <c r="J31" s="56"/>
    </row>
    <row r="32" ht="20" customHeight="1" spans="2:10">
      <c r="B32" s="42">
        <v>4</v>
      </c>
      <c r="C32" s="42">
        <v>26</v>
      </c>
      <c r="D32" s="42" t="s">
        <v>113</v>
      </c>
      <c r="E32" s="44" t="s">
        <v>232</v>
      </c>
      <c r="F32" s="44" t="s">
        <v>233</v>
      </c>
      <c r="G32" s="56"/>
      <c r="H32" s="56">
        <v>28.5</v>
      </c>
      <c r="I32" s="58">
        <f>I31+G32-H32</f>
        <v>6424.25</v>
      </c>
      <c r="J32" s="56"/>
    </row>
    <row r="33" ht="20" customHeight="1" spans="2:10">
      <c r="B33" s="42">
        <v>4</v>
      </c>
      <c r="C33" s="42">
        <v>30</v>
      </c>
      <c r="D33" s="74" t="s">
        <v>107</v>
      </c>
      <c r="E33" s="44" t="s">
        <v>235</v>
      </c>
      <c r="F33" s="45" t="s">
        <v>236</v>
      </c>
      <c r="G33" s="56"/>
      <c r="H33" s="56">
        <v>2000</v>
      </c>
      <c r="I33" s="58">
        <f>I32+G33-H33</f>
        <v>4424.25</v>
      </c>
      <c r="J33" s="56"/>
    </row>
    <row r="34" ht="20" customHeight="1" spans="2:10">
      <c r="B34" s="42">
        <v>4</v>
      </c>
      <c r="C34" s="42">
        <v>30</v>
      </c>
      <c r="D34" s="42" t="s">
        <v>16</v>
      </c>
      <c r="E34" s="44" t="s">
        <v>234</v>
      </c>
      <c r="F34" s="194" t="s">
        <v>237</v>
      </c>
      <c r="G34" s="56"/>
      <c r="H34" s="56">
        <v>4.5</v>
      </c>
      <c r="I34" s="58">
        <f>I33+G34-H34</f>
        <v>4419.75</v>
      </c>
      <c r="J34" s="56"/>
    </row>
    <row r="35" ht="20" customHeight="1" spans="2:10">
      <c r="B35" s="68"/>
      <c r="C35" s="68"/>
      <c r="D35" s="68"/>
      <c r="E35" s="114"/>
      <c r="F35" s="70" t="s">
        <v>22</v>
      </c>
      <c r="G35" s="71">
        <f>SUM(G30:G34)</f>
        <v>0</v>
      </c>
      <c r="H35" s="71">
        <f>SUM(H30:H34)</f>
        <v>2081.5</v>
      </c>
      <c r="I35" s="72">
        <f>I29+G35-H35</f>
        <v>4419.75</v>
      </c>
      <c r="J35" s="71"/>
    </row>
    <row r="36" ht="20" customHeight="1" spans="2:10">
      <c r="B36" s="42">
        <v>5</v>
      </c>
      <c r="C36" s="42">
        <v>7</v>
      </c>
      <c r="D36" s="42" t="s">
        <v>16</v>
      </c>
      <c r="E36" s="44" t="s">
        <v>234</v>
      </c>
      <c r="F36" s="44" t="s">
        <v>152</v>
      </c>
      <c r="G36" s="56"/>
      <c r="H36" s="56">
        <v>20</v>
      </c>
      <c r="I36" s="58">
        <f>I34+G36-H36</f>
        <v>4399.75</v>
      </c>
      <c r="J36" s="56"/>
    </row>
    <row r="37" ht="20" customHeight="1" spans="2:10">
      <c r="B37" s="42">
        <v>5</v>
      </c>
      <c r="C37" s="42">
        <v>9</v>
      </c>
      <c r="D37" s="42" t="s">
        <v>113</v>
      </c>
      <c r="E37" s="44" t="s">
        <v>232</v>
      </c>
      <c r="F37" s="44" t="s">
        <v>233</v>
      </c>
      <c r="G37" s="56"/>
      <c r="H37" s="56">
        <v>28.5</v>
      </c>
      <c r="I37" s="58">
        <f>I36+G37-H37</f>
        <v>4371.25</v>
      </c>
      <c r="J37" s="56"/>
    </row>
    <row r="38" ht="20" customHeight="1" spans="2:10">
      <c r="B38" s="42">
        <v>5</v>
      </c>
      <c r="C38" s="42">
        <v>14</v>
      </c>
      <c r="D38" s="42" t="s">
        <v>113</v>
      </c>
      <c r="E38" s="44" t="s">
        <v>232</v>
      </c>
      <c r="F38" s="44" t="s">
        <v>233</v>
      </c>
      <c r="G38" s="56"/>
      <c r="H38" s="56">
        <v>57</v>
      </c>
      <c r="I38" s="58">
        <f>I37+G38-H38</f>
        <v>4314.25</v>
      </c>
      <c r="J38" s="56"/>
    </row>
    <row r="39" ht="20" customHeight="1" spans="2:10">
      <c r="B39" s="42">
        <v>5</v>
      </c>
      <c r="C39" s="42">
        <v>30</v>
      </c>
      <c r="D39" s="42" t="s">
        <v>113</v>
      </c>
      <c r="E39" s="44" t="s">
        <v>232</v>
      </c>
      <c r="F39" s="44" t="s">
        <v>233</v>
      </c>
      <c r="G39" s="56"/>
      <c r="H39" s="56">
        <v>28.5</v>
      </c>
      <c r="I39" s="58">
        <f>I38+G39-H39</f>
        <v>4285.75</v>
      </c>
      <c r="J39" s="56"/>
    </row>
    <row r="40" ht="20" customHeight="1" spans="2:10">
      <c r="B40" s="68"/>
      <c r="C40" s="68"/>
      <c r="D40" s="68"/>
      <c r="E40" s="114"/>
      <c r="F40" s="70" t="s">
        <v>22</v>
      </c>
      <c r="G40" s="71">
        <f>SUM(G36:G39)</f>
        <v>0</v>
      </c>
      <c r="H40" s="71">
        <f>SUM(H36:H39)</f>
        <v>134</v>
      </c>
      <c r="I40" s="72">
        <f>I34+G40-H40</f>
        <v>4285.75</v>
      </c>
      <c r="J40" s="71"/>
    </row>
    <row r="41" ht="20" customHeight="1" spans="2:10">
      <c r="B41" s="42">
        <v>6</v>
      </c>
      <c r="C41" s="42">
        <v>2</v>
      </c>
      <c r="D41" s="74" t="s">
        <v>107</v>
      </c>
      <c r="E41" s="44" t="s">
        <v>235</v>
      </c>
      <c r="F41" s="45" t="s">
        <v>236</v>
      </c>
      <c r="G41" s="56"/>
      <c r="H41" s="56">
        <v>2000</v>
      </c>
      <c r="I41" s="58">
        <f>I39+G41-H41</f>
        <v>2285.75</v>
      </c>
      <c r="J41" s="56"/>
    </row>
    <row r="42" ht="20" customHeight="1" spans="2:10">
      <c r="B42" s="42">
        <v>6</v>
      </c>
      <c r="C42" s="42">
        <v>2</v>
      </c>
      <c r="D42" s="42" t="s">
        <v>16</v>
      </c>
      <c r="E42" s="44" t="s">
        <v>234</v>
      </c>
      <c r="F42" s="194" t="s">
        <v>237</v>
      </c>
      <c r="G42" s="56"/>
      <c r="H42" s="56">
        <v>4.5</v>
      </c>
      <c r="I42" s="58">
        <f t="shared" ref="I42:I50" si="3">I41+G42-H42</f>
        <v>2281.25</v>
      </c>
      <c r="J42" s="56"/>
    </row>
    <row r="43" ht="20" customHeight="1" spans="2:10">
      <c r="B43" s="42">
        <v>6</v>
      </c>
      <c r="C43" s="42">
        <v>3</v>
      </c>
      <c r="D43" s="42" t="s">
        <v>113</v>
      </c>
      <c r="E43" s="44" t="s">
        <v>232</v>
      </c>
      <c r="F43" s="44" t="s">
        <v>233</v>
      </c>
      <c r="G43" s="56"/>
      <c r="H43" s="56">
        <v>22.68</v>
      </c>
      <c r="I43" s="58">
        <f t="shared" si="3"/>
        <v>2258.57</v>
      </c>
      <c r="J43" s="56"/>
    </row>
    <row r="44" ht="20" customHeight="1" spans="2:10">
      <c r="B44" s="42">
        <v>6</v>
      </c>
      <c r="C44" s="42">
        <v>7</v>
      </c>
      <c r="D44" s="42" t="s">
        <v>16</v>
      </c>
      <c r="E44" s="44" t="s">
        <v>234</v>
      </c>
      <c r="F44" s="44" t="s">
        <v>152</v>
      </c>
      <c r="G44" s="56"/>
      <c r="H44" s="56">
        <v>20</v>
      </c>
      <c r="I44" s="58">
        <f t="shared" si="3"/>
        <v>2238.57</v>
      </c>
      <c r="J44" s="56"/>
    </row>
    <row r="45" ht="20" customHeight="1" spans="2:10">
      <c r="B45" s="42">
        <v>6</v>
      </c>
      <c r="C45" s="42">
        <v>17</v>
      </c>
      <c r="D45" s="74" t="s">
        <v>69</v>
      </c>
      <c r="E45" s="44" t="s">
        <v>239</v>
      </c>
      <c r="F45" s="45" t="s">
        <v>240</v>
      </c>
      <c r="G45" s="56">
        <v>10000</v>
      </c>
      <c r="H45" s="56"/>
      <c r="I45" s="58">
        <f t="shared" si="3"/>
        <v>12238.57</v>
      </c>
      <c r="J45" s="56"/>
    </row>
    <row r="46" ht="20" customHeight="1" spans="2:10">
      <c r="B46" s="42">
        <v>6</v>
      </c>
      <c r="C46" s="42">
        <v>17</v>
      </c>
      <c r="D46" s="42" t="s">
        <v>113</v>
      </c>
      <c r="E46" s="74" t="s">
        <v>243</v>
      </c>
      <c r="F46" s="44" t="s">
        <v>244</v>
      </c>
      <c r="G46" s="56"/>
      <c r="H46" s="56">
        <v>2675</v>
      </c>
      <c r="I46" s="58">
        <f t="shared" si="3"/>
        <v>9563.57</v>
      </c>
      <c r="J46" s="56"/>
    </row>
    <row r="47" ht="20" customHeight="1" spans="2:10">
      <c r="B47" s="42">
        <v>6</v>
      </c>
      <c r="C47" s="42">
        <v>17</v>
      </c>
      <c r="D47" s="42" t="s">
        <v>16</v>
      </c>
      <c r="E47" s="44" t="s">
        <v>234</v>
      </c>
      <c r="F47" s="194" t="s">
        <v>152</v>
      </c>
      <c r="G47" s="56"/>
      <c r="H47" s="56">
        <v>4.5</v>
      </c>
      <c r="I47" s="58">
        <f t="shared" si="3"/>
        <v>9559.07</v>
      </c>
      <c r="J47" s="56"/>
    </row>
    <row r="48" ht="20" customHeight="1" spans="2:10">
      <c r="B48" s="42">
        <v>6</v>
      </c>
      <c r="C48" s="42">
        <v>21</v>
      </c>
      <c r="D48" s="74" t="s">
        <v>29</v>
      </c>
      <c r="E48" s="44" t="s">
        <v>234</v>
      </c>
      <c r="F48" s="44" t="s">
        <v>29</v>
      </c>
      <c r="G48" s="56">
        <v>0.67</v>
      </c>
      <c r="H48" s="56"/>
      <c r="I48" s="58">
        <f t="shared" si="3"/>
        <v>9559.74</v>
      </c>
      <c r="J48" s="56"/>
    </row>
    <row r="49" ht="20" customHeight="1" spans="2:10">
      <c r="B49" s="42">
        <v>6</v>
      </c>
      <c r="C49" s="42">
        <v>25</v>
      </c>
      <c r="D49" s="74" t="s">
        <v>107</v>
      </c>
      <c r="E49" s="44" t="s">
        <v>235</v>
      </c>
      <c r="F49" s="45" t="s">
        <v>236</v>
      </c>
      <c r="G49" s="56"/>
      <c r="H49" s="56">
        <v>2000</v>
      </c>
      <c r="I49" s="58">
        <f t="shared" si="3"/>
        <v>7559.74</v>
      </c>
      <c r="J49" s="56"/>
    </row>
    <row r="50" ht="20" customHeight="1" spans="2:10">
      <c r="B50" s="42">
        <v>6</v>
      </c>
      <c r="C50" s="42">
        <v>25</v>
      </c>
      <c r="D50" s="42" t="s">
        <v>16</v>
      </c>
      <c r="E50" s="44" t="s">
        <v>234</v>
      </c>
      <c r="F50" s="194" t="s">
        <v>237</v>
      </c>
      <c r="G50" s="56"/>
      <c r="H50" s="56">
        <v>4.5</v>
      </c>
      <c r="I50" s="58">
        <f t="shared" si="3"/>
        <v>7555.24</v>
      </c>
      <c r="J50" s="56"/>
    </row>
    <row r="51" ht="20" customHeight="1" spans="2:10">
      <c r="B51" s="68"/>
      <c r="C51" s="68"/>
      <c r="D51" s="68"/>
      <c r="E51" s="114"/>
      <c r="F51" s="70" t="s">
        <v>22</v>
      </c>
      <c r="G51" s="71">
        <f>SUM(G41:G50)</f>
        <v>10000.67</v>
      </c>
      <c r="H51" s="71">
        <f>SUM(H41:H50)</f>
        <v>6731.18</v>
      </c>
      <c r="I51" s="72">
        <f>I40+G51-H51</f>
        <v>7555.24</v>
      </c>
      <c r="J51" s="56"/>
    </row>
    <row r="52" ht="20" customHeight="1" spans="2:10">
      <c r="B52" s="42">
        <v>7</v>
      </c>
      <c r="C52" s="42">
        <v>7</v>
      </c>
      <c r="D52" s="42" t="s">
        <v>16</v>
      </c>
      <c r="E52" s="44" t="s">
        <v>234</v>
      </c>
      <c r="F52" s="44" t="s">
        <v>152</v>
      </c>
      <c r="G52" s="56"/>
      <c r="H52" s="56">
        <v>20</v>
      </c>
      <c r="I52" s="58">
        <f>I50+G52-H52</f>
        <v>7535.24</v>
      </c>
      <c r="J52" s="56"/>
    </row>
    <row r="53" ht="20" customHeight="1" spans="2:10">
      <c r="B53" s="42">
        <v>7</v>
      </c>
      <c r="C53" s="42">
        <v>10</v>
      </c>
      <c r="D53" s="74" t="s">
        <v>68</v>
      </c>
      <c r="E53" s="42" t="s">
        <v>245</v>
      </c>
      <c r="F53" s="45" t="s">
        <v>246</v>
      </c>
      <c r="G53" s="56">
        <v>84854</v>
      </c>
      <c r="H53" s="56"/>
      <c r="I53" s="58">
        <f>I52+G53-H53</f>
        <v>92389.24</v>
      </c>
      <c r="J53" s="56"/>
    </row>
    <row r="54" ht="20" customHeight="1" spans="2:10">
      <c r="B54" s="42">
        <v>7</v>
      </c>
      <c r="C54" s="42">
        <v>14</v>
      </c>
      <c r="D54" s="74" t="s">
        <v>69</v>
      </c>
      <c r="E54" s="45" t="s">
        <v>20</v>
      </c>
      <c r="F54" s="45" t="s">
        <v>69</v>
      </c>
      <c r="G54" s="56"/>
      <c r="H54" s="56">
        <v>50000</v>
      </c>
      <c r="I54" s="58">
        <f t="shared" ref="I54:I61" si="4">I53+G54-H54</f>
        <v>42389.24</v>
      </c>
      <c r="J54" s="56"/>
    </row>
    <row r="55" ht="20" customHeight="1" spans="2:10">
      <c r="B55" s="42">
        <v>7</v>
      </c>
      <c r="C55" s="42">
        <v>14</v>
      </c>
      <c r="D55" s="42" t="s">
        <v>16</v>
      </c>
      <c r="E55" s="44" t="s">
        <v>234</v>
      </c>
      <c r="F55" s="194" t="s">
        <v>152</v>
      </c>
      <c r="G55" s="56"/>
      <c r="H55" s="56">
        <v>9</v>
      </c>
      <c r="I55" s="58">
        <f t="shared" si="4"/>
        <v>42380.24</v>
      </c>
      <c r="J55" s="56"/>
    </row>
    <row r="56" ht="20" customHeight="1" spans="2:10">
      <c r="B56" s="42">
        <v>7</v>
      </c>
      <c r="C56" s="42">
        <v>16</v>
      </c>
      <c r="D56" s="74" t="s">
        <v>77</v>
      </c>
      <c r="E56" s="42" t="s">
        <v>245</v>
      </c>
      <c r="F56" s="45" t="s">
        <v>247</v>
      </c>
      <c r="G56" s="56">
        <v>42427.14</v>
      </c>
      <c r="H56" s="56"/>
      <c r="I56" s="58">
        <f t="shared" si="4"/>
        <v>84807.38</v>
      </c>
      <c r="J56" s="56"/>
    </row>
    <row r="57" ht="20" customHeight="1" spans="2:10">
      <c r="B57" s="42">
        <v>7</v>
      </c>
      <c r="C57" s="42">
        <v>22</v>
      </c>
      <c r="D57" s="42" t="s">
        <v>113</v>
      </c>
      <c r="E57" s="44" t="s">
        <v>232</v>
      </c>
      <c r="F57" s="44" t="s">
        <v>233</v>
      </c>
      <c r="G57" s="56"/>
      <c r="H57" s="56">
        <v>47.5</v>
      </c>
      <c r="I57" s="58">
        <f t="shared" si="4"/>
        <v>84759.88</v>
      </c>
      <c r="J57" s="56"/>
    </row>
    <row r="58" ht="20" customHeight="1" spans="2:10">
      <c r="B58" s="42">
        <v>7</v>
      </c>
      <c r="C58" s="42">
        <v>23</v>
      </c>
      <c r="D58" s="74" t="s">
        <v>107</v>
      </c>
      <c r="E58" s="44" t="s">
        <v>235</v>
      </c>
      <c r="F58" s="45" t="s">
        <v>236</v>
      </c>
      <c r="G58" s="56"/>
      <c r="H58" s="56">
        <v>2000</v>
      </c>
      <c r="I58" s="58">
        <f t="shared" si="4"/>
        <v>82759.88</v>
      </c>
      <c r="J58" s="56"/>
    </row>
    <row r="59" ht="20" customHeight="1" spans="2:10">
      <c r="B59" s="42">
        <v>7</v>
      </c>
      <c r="C59" s="42">
        <v>23</v>
      </c>
      <c r="D59" s="42" t="s">
        <v>16</v>
      </c>
      <c r="E59" s="44" t="s">
        <v>234</v>
      </c>
      <c r="F59" s="194" t="s">
        <v>237</v>
      </c>
      <c r="G59" s="56"/>
      <c r="H59" s="56">
        <v>4.5</v>
      </c>
      <c r="I59" s="58">
        <f t="shared" si="4"/>
        <v>82755.38</v>
      </c>
      <c r="J59" s="56"/>
    </row>
    <row r="60" ht="20" customHeight="1" spans="2:10">
      <c r="B60" s="42">
        <v>7</v>
      </c>
      <c r="C60" s="42">
        <v>24</v>
      </c>
      <c r="D60" s="42" t="s">
        <v>113</v>
      </c>
      <c r="E60" s="44" t="s">
        <v>232</v>
      </c>
      <c r="F60" s="44" t="s">
        <v>233</v>
      </c>
      <c r="G60" s="56"/>
      <c r="H60" s="56">
        <v>145.48</v>
      </c>
      <c r="I60" s="58">
        <f t="shared" si="4"/>
        <v>82609.9</v>
      </c>
      <c r="J60" s="56"/>
    </row>
    <row r="61" ht="20" customHeight="1" spans="2:10">
      <c r="B61" s="42">
        <v>7</v>
      </c>
      <c r="C61" s="42">
        <v>25</v>
      </c>
      <c r="D61" s="42" t="s">
        <v>113</v>
      </c>
      <c r="E61" s="44" t="s">
        <v>232</v>
      </c>
      <c r="F61" s="44" t="s">
        <v>233</v>
      </c>
      <c r="G61" s="56"/>
      <c r="H61" s="56">
        <v>43.27</v>
      </c>
      <c r="I61" s="58">
        <f t="shared" si="4"/>
        <v>82566.63</v>
      </c>
      <c r="J61" s="56"/>
    </row>
    <row r="62" ht="20" customHeight="1" spans="2:10">
      <c r="B62" s="42">
        <v>7</v>
      </c>
      <c r="C62" s="42">
        <v>29</v>
      </c>
      <c r="D62" s="42" t="s">
        <v>113</v>
      </c>
      <c r="E62" s="44" t="s">
        <v>232</v>
      </c>
      <c r="F62" s="44" t="s">
        <v>233</v>
      </c>
      <c r="G62" s="56"/>
      <c r="H62" s="56">
        <v>42.75</v>
      </c>
      <c r="I62" s="58">
        <f>I60+G62-H62</f>
        <v>82567.15</v>
      </c>
      <c r="J62" s="56"/>
    </row>
    <row r="63" ht="20" customHeight="1" spans="2:10">
      <c r="B63" s="68"/>
      <c r="C63" s="68"/>
      <c r="D63" s="68"/>
      <c r="E63" s="114"/>
      <c r="F63" s="70" t="s">
        <v>22</v>
      </c>
      <c r="G63" s="71">
        <f>SUM(G52:G62)</f>
        <v>127281.14</v>
      </c>
      <c r="H63" s="71">
        <f>SUM(H52:H62)</f>
        <v>52312.5</v>
      </c>
      <c r="I63" s="72">
        <f>I51+G63-H63</f>
        <v>82523.88</v>
      </c>
      <c r="J63" s="56"/>
    </row>
    <row r="64" ht="24" customHeight="1" spans="2:10">
      <c r="B64" s="42">
        <v>8</v>
      </c>
      <c r="C64" s="42">
        <v>3</v>
      </c>
      <c r="D64" s="42" t="s">
        <v>113</v>
      </c>
      <c r="E64" s="44" t="s">
        <v>232</v>
      </c>
      <c r="F64" s="44" t="s">
        <v>233</v>
      </c>
      <c r="G64" s="56"/>
      <c r="H64" s="56">
        <v>28.5</v>
      </c>
      <c r="I64" s="58">
        <f t="shared" ref="I64:I69" si="5">I63+G64-H64</f>
        <v>82495.38</v>
      </c>
      <c r="J64" s="56"/>
    </row>
    <row r="65" ht="24" customHeight="1" spans="2:10">
      <c r="B65" s="42">
        <v>8</v>
      </c>
      <c r="C65" s="42">
        <v>5</v>
      </c>
      <c r="D65" s="42" t="s">
        <v>113</v>
      </c>
      <c r="E65" s="44" t="s">
        <v>232</v>
      </c>
      <c r="F65" s="44" t="s">
        <v>233</v>
      </c>
      <c r="G65" s="56"/>
      <c r="H65" s="56">
        <v>193.54</v>
      </c>
      <c r="I65" s="58">
        <f t="shared" si="5"/>
        <v>82301.84</v>
      </c>
      <c r="J65" s="56"/>
    </row>
    <row r="66" ht="24" customHeight="1" spans="2:10">
      <c r="B66" s="42">
        <v>8</v>
      </c>
      <c r="C66" s="42">
        <v>7</v>
      </c>
      <c r="D66" s="42" t="s">
        <v>16</v>
      </c>
      <c r="E66" s="44" t="s">
        <v>234</v>
      </c>
      <c r="F66" s="44" t="s">
        <v>152</v>
      </c>
      <c r="G66" s="56"/>
      <c r="H66" s="56">
        <v>20</v>
      </c>
      <c r="I66" s="58">
        <f t="shared" si="5"/>
        <v>82281.84</v>
      </c>
      <c r="J66" s="56"/>
    </row>
    <row r="67" ht="24" customHeight="1" spans="2:10">
      <c r="B67" s="42">
        <v>8</v>
      </c>
      <c r="C67" s="42">
        <v>7</v>
      </c>
      <c r="D67" s="74" t="s">
        <v>107</v>
      </c>
      <c r="E67" s="44" t="s">
        <v>235</v>
      </c>
      <c r="F67" s="45" t="s">
        <v>236</v>
      </c>
      <c r="G67" s="56"/>
      <c r="H67" s="56">
        <v>2000</v>
      </c>
      <c r="I67" s="58">
        <f t="shared" si="5"/>
        <v>80281.84</v>
      </c>
      <c r="J67" s="56"/>
    </row>
    <row r="68" ht="24" customHeight="1" spans="2:10">
      <c r="B68" s="42">
        <v>8</v>
      </c>
      <c r="C68" s="42">
        <v>7</v>
      </c>
      <c r="D68" s="42" t="s">
        <v>16</v>
      </c>
      <c r="E68" s="44" t="s">
        <v>234</v>
      </c>
      <c r="F68" s="194" t="s">
        <v>237</v>
      </c>
      <c r="G68" s="56"/>
      <c r="H68" s="56">
        <v>4.5</v>
      </c>
      <c r="I68" s="58">
        <f t="shared" si="5"/>
        <v>80277.34</v>
      </c>
      <c r="J68" s="56"/>
    </row>
    <row r="69" ht="24" customHeight="1" spans="2:10">
      <c r="B69" s="42">
        <v>8</v>
      </c>
      <c r="C69" s="42">
        <v>9</v>
      </c>
      <c r="D69" s="42" t="s">
        <v>113</v>
      </c>
      <c r="E69" s="44" t="s">
        <v>232</v>
      </c>
      <c r="F69" s="44" t="s">
        <v>233</v>
      </c>
      <c r="G69" s="56"/>
      <c r="H69" s="56">
        <v>36.1</v>
      </c>
      <c r="I69" s="58">
        <f t="shared" si="5"/>
        <v>80241.24</v>
      </c>
      <c r="J69" s="56"/>
    </row>
    <row r="70" ht="24" customHeight="1" spans="2:10">
      <c r="B70" s="42">
        <v>8</v>
      </c>
      <c r="C70" s="42">
        <v>10</v>
      </c>
      <c r="D70" s="42" t="s">
        <v>113</v>
      </c>
      <c r="E70" s="44" t="s">
        <v>232</v>
      </c>
      <c r="F70" s="44" t="s">
        <v>233</v>
      </c>
      <c r="G70" s="56"/>
      <c r="H70" s="56">
        <v>36.1</v>
      </c>
      <c r="I70" s="58">
        <f t="shared" ref="I70:I101" si="6">I69+G70-H70</f>
        <v>80205.14</v>
      </c>
      <c r="J70" s="56"/>
    </row>
    <row r="71" ht="24" customHeight="1" spans="2:10">
      <c r="B71" s="42">
        <v>8</v>
      </c>
      <c r="C71" s="42">
        <v>11</v>
      </c>
      <c r="D71" s="42" t="s">
        <v>113</v>
      </c>
      <c r="E71" s="44" t="s">
        <v>232</v>
      </c>
      <c r="F71" s="44" t="s">
        <v>233</v>
      </c>
      <c r="G71" s="56"/>
      <c r="H71" s="56">
        <v>24.7</v>
      </c>
      <c r="I71" s="58">
        <f t="shared" si="6"/>
        <v>80180.44</v>
      </c>
      <c r="J71" s="56"/>
    </row>
    <row r="72" ht="24" customHeight="1" spans="2:10">
      <c r="B72" s="42">
        <v>8</v>
      </c>
      <c r="C72" s="42">
        <v>13</v>
      </c>
      <c r="D72" s="42" t="s">
        <v>113</v>
      </c>
      <c r="E72" s="44" t="s">
        <v>232</v>
      </c>
      <c r="F72" s="44" t="s">
        <v>233</v>
      </c>
      <c r="G72" s="56"/>
      <c r="H72" s="56">
        <v>24.7</v>
      </c>
      <c r="I72" s="58">
        <f t="shared" si="6"/>
        <v>80155.74</v>
      </c>
      <c r="J72" s="56"/>
    </row>
    <row r="73" ht="24" customHeight="1" spans="2:10">
      <c r="B73" s="42">
        <v>8</v>
      </c>
      <c r="C73" s="42">
        <v>27</v>
      </c>
      <c r="D73" s="42" t="s">
        <v>113</v>
      </c>
      <c r="E73" s="44" t="s">
        <v>243</v>
      </c>
      <c r="F73" s="44" t="s">
        <v>248</v>
      </c>
      <c r="G73" s="56"/>
      <c r="H73" s="56">
        <v>1630</v>
      </c>
      <c r="I73" s="58">
        <f t="shared" si="6"/>
        <v>78525.74</v>
      </c>
      <c r="J73" s="56"/>
    </row>
    <row r="74" ht="24" customHeight="1" spans="2:10">
      <c r="B74" s="42">
        <v>8</v>
      </c>
      <c r="C74" s="42">
        <v>27</v>
      </c>
      <c r="D74" s="42" t="s">
        <v>16</v>
      </c>
      <c r="E74" s="44" t="s">
        <v>234</v>
      </c>
      <c r="F74" s="194" t="s">
        <v>237</v>
      </c>
      <c r="G74" s="56"/>
      <c r="H74" s="56">
        <v>4.5</v>
      </c>
      <c r="I74" s="58">
        <f t="shared" si="6"/>
        <v>78521.24</v>
      </c>
      <c r="J74" s="56"/>
    </row>
    <row r="75" ht="24" customHeight="1" spans="2:10">
      <c r="B75" s="42">
        <v>8</v>
      </c>
      <c r="C75" s="42">
        <v>28</v>
      </c>
      <c r="D75" s="74" t="s">
        <v>77</v>
      </c>
      <c r="E75" s="42" t="s">
        <v>245</v>
      </c>
      <c r="F75" s="44" t="s">
        <v>249</v>
      </c>
      <c r="G75" s="56">
        <v>42427.14</v>
      </c>
      <c r="H75" s="56"/>
      <c r="I75" s="58">
        <f t="shared" si="6"/>
        <v>120948.38</v>
      </c>
      <c r="J75" s="56"/>
    </row>
    <row r="76" ht="24" customHeight="1" spans="2:10">
      <c r="B76" s="42">
        <v>8</v>
      </c>
      <c r="C76" s="42">
        <v>31</v>
      </c>
      <c r="D76" s="42" t="s">
        <v>69</v>
      </c>
      <c r="E76" s="44" t="s">
        <v>20</v>
      </c>
      <c r="F76" s="44" t="s">
        <v>250</v>
      </c>
      <c r="G76" s="56"/>
      <c r="H76" s="56">
        <v>50000</v>
      </c>
      <c r="I76" s="58">
        <f t="shared" si="6"/>
        <v>70948.38</v>
      </c>
      <c r="J76" s="56"/>
    </row>
    <row r="77" ht="24" customHeight="1" spans="2:10">
      <c r="B77" s="42">
        <v>8</v>
      </c>
      <c r="C77" s="42">
        <v>31</v>
      </c>
      <c r="D77" s="42" t="s">
        <v>16</v>
      </c>
      <c r="E77" s="44" t="s">
        <v>234</v>
      </c>
      <c r="F77" s="44" t="s">
        <v>152</v>
      </c>
      <c r="G77" s="56"/>
      <c r="H77" s="56">
        <v>9</v>
      </c>
      <c r="I77" s="58">
        <f t="shared" si="6"/>
        <v>70939.38</v>
      </c>
      <c r="J77" s="56"/>
    </row>
    <row r="78" ht="21" customHeight="1" spans="2:10">
      <c r="B78" s="68"/>
      <c r="C78" s="68"/>
      <c r="D78" s="68"/>
      <c r="E78" s="114"/>
      <c r="F78" s="70" t="s">
        <v>22</v>
      </c>
      <c r="G78" s="71">
        <f>SUM(G64:G77)</f>
        <v>42427.14</v>
      </c>
      <c r="H78" s="71">
        <f>SUM(H64:H77)</f>
        <v>54011.64</v>
      </c>
      <c r="I78" s="72">
        <f>I63+G78-H78</f>
        <v>70939.38</v>
      </c>
      <c r="J78" s="56"/>
    </row>
    <row r="79" ht="20" customHeight="1" spans="2:10">
      <c r="B79" s="42">
        <v>9</v>
      </c>
      <c r="C79" s="42">
        <v>2</v>
      </c>
      <c r="D79" s="42" t="s">
        <v>113</v>
      </c>
      <c r="E79" s="44" t="s">
        <v>232</v>
      </c>
      <c r="F79" s="44" t="s">
        <v>233</v>
      </c>
      <c r="G79" s="56"/>
      <c r="H79" s="56">
        <v>55.57</v>
      </c>
      <c r="I79" s="58">
        <f t="shared" si="6"/>
        <v>70883.81</v>
      </c>
      <c r="J79" s="56"/>
    </row>
    <row r="80" ht="20" customHeight="1" spans="2:10">
      <c r="B80" s="42">
        <v>9</v>
      </c>
      <c r="C80" s="42">
        <v>2</v>
      </c>
      <c r="D80" s="74" t="s">
        <v>107</v>
      </c>
      <c r="E80" s="44" t="s">
        <v>235</v>
      </c>
      <c r="F80" s="45" t="s">
        <v>236</v>
      </c>
      <c r="G80" s="56"/>
      <c r="H80" s="56">
        <v>2000</v>
      </c>
      <c r="I80" s="58">
        <f t="shared" si="6"/>
        <v>68883.81</v>
      </c>
      <c r="J80" s="56"/>
    </row>
    <row r="81" ht="20" customHeight="1" spans="2:10">
      <c r="B81" s="42">
        <v>9</v>
      </c>
      <c r="C81" s="42">
        <v>2</v>
      </c>
      <c r="D81" s="42" t="s">
        <v>16</v>
      </c>
      <c r="E81" s="44" t="s">
        <v>234</v>
      </c>
      <c r="F81" s="194" t="s">
        <v>237</v>
      </c>
      <c r="G81" s="56"/>
      <c r="H81" s="56">
        <v>4.5</v>
      </c>
      <c r="I81" s="58">
        <f t="shared" si="6"/>
        <v>68879.31</v>
      </c>
      <c r="J81" s="56"/>
    </row>
    <row r="82" ht="20" customHeight="1" spans="2:10">
      <c r="B82" s="42">
        <v>9</v>
      </c>
      <c r="C82" s="42">
        <v>6</v>
      </c>
      <c r="D82" s="42" t="s">
        <v>16</v>
      </c>
      <c r="E82" s="44" t="s">
        <v>234</v>
      </c>
      <c r="F82" s="194" t="s">
        <v>152</v>
      </c>
      <c r="G82" s="56"/>
      <c r="H82" s="56">
        <v>20</v>
      </c>
      <c r="I82" s="58">
        <f t="shared" si="6"/>
        <v>68859.31</v>
      </c>
      <c r="J82" s="56"/>
    </row>
    <row r="83" ht="20" customHeight="1" spans="2:10">
      <c r="B83" s="42">
        <v>9</v>
      </c>
      <c r="C83" s="42">
        <v>7</v>
      </c>
      <c r="D83" s="42" t="s">
        <v>110</v>
      </c>
      <c r="E83" s="44" t="s">
        <v>251</v>
      </c>
      <c r="F83" s="44" t="s">
        <v>252</v>
      </c>
      <c r="G83" s="56"/>
      <c r="H83" s="56">
        <v>6412.06</v>
      </c>
      <c r="I83" s="58">
        <f t="shared" si="6"/>
        <v>62447.25</v>
      </c>
      <c r="J83" s="56"/>
    </row>
    <row r="84" ht="20" customHeight="1" spans="2:10">
      <c r="B84" s="42">
        <v>9</v>
      </c>
      <c r="C84" s="42">
        <v>7</v>
      </c>
      <c r="D84" s="42" t="s">
        <v>16</v>
      </c>
      <c r="E84" s="44" t="s">
        <v>234</v>
      </c>
      <c r="F84" s="194" t="s">
        <v>237</v>
      </c>
      <c r="G84" s="56"/>
      <c r="H84" s="56">
        <v>4.5</v>
      </c>
      <c r="I84" s="58">
        <f t="shared" si="6"/>
        <v>62442.75</v>
      </c>
      <c r="J84" s="56"/>
    </row>
    <row r="85" ht="20" customHeight="1" spans="2:10">
      <c r="B85" s="42">
        <v>9</v>
      </c>
      <c r="C85" s="42">
        <v>10</v>
      </c>
      <c r="D85" s="42" t="s">
        <v>113</v>
      </c>
      <c r="E85" s="44" t="s">
        <v>232</v>
      </c>
      <c r="F85" s="44" t="s">
        <v>233</v>
      </c>
      <c r="G85" s="56"/>
      <c r="H85" s="56">
        <v>9.5</v>
      </c>
      <c r="I85" s="58">
        <f t="shared" si="6"/>
        <v>62433.25</v>
      </c>
      <c r="J85" s="56"/>
    </row>
    <row r="86" ht="20" customHeight="1" spans="2:10">
      <c r="B86" s="42">
        <v>9</v>
      </c>
      <c r="C86" s="42">
        <v>20</v>
      </c>
      <c r="D86" s="42" t="s">
        <v>113</v>
      </c>
      <c r="E86" s="44" t="s">
        <v>232</v>
      </c>
      <c r="F86" s="44" t="s">
        <v>233</v>
      </c>
      <c r="G86" s="56"/>
      <c r="H86" s="56">
        <v>8.11</v>
      </c>
      <c r="I86" s="58">
        <f t="shared" si="6"/>
        <v>62425.14</v>
      </c>
      <c r="J86" s="56"/>
    </row>
    <row r="87" ht="20" customHeight="1" spans="2:10">
      <c r="B87" s="42">
        <v>9</v>
      </c>
      <c r="C87" s="42">
        <v>24</v>
      </c>
      <c r="D87" s="74" t="s">
        <v>107</v>
      </c>
      <c r="E87" s="44" t="s">
        <v>235</v>
      </c>
      <c r="F87" s="45" t="s">
        <v>236</v>
      </c>
      <c r="G87" s="56"/>
      <c r="H87" s="56">
        <v>2000</v>
      </c>
      <c r="I87" s="58">
        <f t="shared" si="6"/>
        <v>60425.14</v>
      </c>
      <c r="J87" s="56"/>
    </row>
    <row r="88" ht="20" customHeight="1" spans="2:10">
      <c r="B88" s="42">
        <v>9</v>
      </c>
      <c r="C88" s="42">
        <v>24</v>
      </c>
      <c r="D88" s="42" t="s">
        <v>16</v>
      </c>
      <c r="E88" s="44" t="s">
        <v>234</v>
      </c>
      <c r="F88" s="194" t="s">
        <v>237</v>
      </c>
      <c r="G88" s="56"/>
      <c r="H88" s="56">
        <v>4.5</v>
      </c>
      <c r="I88" s="58">
        <f t="shared" si="6"/>
        <v>60420.64</v>
      </c>
      <c r="J88" s="56"/>
    </row>
    <row r="89" ht="20" customHeight="1" spans="2:10">
      <c r="B89" s="42">
        <v>9</v>
      </c>
      <c r="C89" s="42">
        <v>29</v>
      </c>
      <c r="D89" s="42" t="s">
        <v>121</v>
      </c>
      <c r="E89" s="44" t="s">
        <v>20</v>
      </c>
      <c r="F89" s="196" t="s">
        <v>253</v>
      </c>
      <c r="G89" s="56"/>
      <c r="H89" s="56">
        <v>22000</v>
      </c>
      <c r="I89" s="58">
        <f t="shared" si="6"/>
        <v>38420.64</v>
      </c>
      <c r="J89" s="56"/>
    </row>
    <row r="90" ht="14.25" spans="2:10">
      <c r="B90" s="68"/>
      <c r="C90" s="68"/>
      <c r="D90" s="68"/>
      <c r="E90" s="114"/>
      <c r="F90" s="70" t="s">
        <v>22</v>
      </c>
      <c r="G90" s="71">
        <f>SUM(G79:G89)</f>
        <v>0</v>
      </c>
      <c r="H90" s="71">
        <f>SUM(H79:H89)</f>
        <v>32518.74</v>
      </c>
      <c r="I90" s="72">
        <f>I78+G90-H90</f>
        <v>38420.64</v>
      </c>
      <c r="J90" s="56"/>
    </row>
    <row r="91" ht="14.25" spans="2:10">
      <c r="B91" s="42"/>
      <c r="C91" s="42"/>
      <c r="D91" s="42"/>
      <c r="E91" s="44"/>
      <c r="F91" s="44"/>
      <c r="G91" s="56"/>
      <c r="H91" s="56"/>
      <c r="I91" s="58">
        <f t="shared" ref="I91:I102" si="7">I90+G91-H91</f>
        <v>38420.64</v>
      </c>
      <c r="J91" s="56"/>
    </row>
    <row r="92" ht="14.25" spans="2:10">
      <c r="B92" s="42"/>
      <c r="C92" s="42"/>
      <c r="D92" s="42"/>
      <c r="E92" s="44"/>
      <c r="F92" s="44"/>
      <c r="G92" s="56"/>
      <c r="H92" s="56"/>
      <c r="I92" s="58">
        <f t="shared" si="7"/>
        <v>38420.64</v>
      </c>
      <c r="J92" s="56"/>
    </row>
    <row r="93" ht="14.25" spans="2:10">
      <c r="B93" s="42"/>
      <c r="C93" s="42"/>
      <c r="D93" s="42"/>
      <c r="E93" s="44"/>
      <c r="F93" s="44"/>
      <c r="G93" s="56"/>
      <c r="H93" s="56"/>
      <c r="I93" s="58">
        <f t="shared" si="7"/>
        <v>38420.64</v>
      </c>
      <c r="J93" s="56"/>
    </row>
    <row r="94" ht="14.25" spans="2:10">
      <c r="B94" s="42"/>
      <c r="C94" s="42"/>
      <c r="D94" s="42"/>
      <c r="E94" s="44"/>
      <c r="F94" s="44"/>
      <c r="G94" s="56"/>
      <c r="H94" s="56"/>
      <c r="I94" s="58">
        <f t="shared" si="7"/>
        <v>38420.64</v>
      </c>
      <c r="J94" s="56"/>
    </row>
    <row r="95" ht="14.25" spans="2:10">
      <c r="B95" s="42"/>
      <c r="C95" s="42"/>
      <c r="D95" s="42"/>
      <c r="E95" s="44"/>
      <c r="F95" s="44"/>
      <c r="G95" s="56"/>
      <c r="H95" s="56"/>
      <c r="I95" s="58">
        <f t="shared" si="7"/>
        <v>38420.64</v>
      </c>
      <c r="J95" s="56"/>
    </row>
    <row r="96" ht="14.25" spans="2:10">
      <c r="B96" s="42"/>
      <c r="C96" s="42"/>
      <c r="D96" s="42"/>
      <c r="E96" s="44"/>
      <c r="F96" s="44"/>
      <c r="G96" s="56"/>
      <c r="H96" s="56"/>
      <c r="I96" s="58">
        <f t="shared" si="7"/>
        <v>38420.64</v>
      </c>
      <c r="J96" s="56"/>
    </row>
    <row r="97" ht="14.25" spans="2:10">
      <c r="B97" s="42"/>
      <c r="C97" s="42"/>
      <c r="D97" s="42"/>
      <c r="E97" s="44"/>
      <c r="F97" s="44"/>
      <c r="G97" s="56"/>
      <c r="H97" s="56"/>
      <c r="I97" s="58">
        <f t="shared" si="7"/>
        <v>38420.64</v>
      </c>
      <c r="J97" s="56"/>
    </row>
    <row r="98" ht="14.25" spans="2:10">
      <c r="B98" s="42"/>
      <c r="C98" s="42"/>
      <c r="D98" s="42"/>
      <c r="E98" s="44"/>
      <c r="F98" s="44"/>
      <c r="G98" s="56"/>
      <c r="H98" s="56"/>
      <c r="I98" s="58">
        <f t="shared" si="7"/>
        <v>38420.64</v>
      </c>
      <c r="J98" s="56"/>
    </row>
    <row r="99" ht="14.25" spans="2:10">
      <c r="B99" s="42"/>
      <c r="C99" s="42"/>
      <c r="D99" s="42"/>
      <c r="E99" s="44"/>
      <c r="F99" s="44"/>
      <c r="G99" s="56"/>
      <c r="H99" s="56"/>
      <c r="I99" s="58">
        <f t="shared" si="7"/>
        <v>38420.64</v>
      </c>
      <c r="J99" s="56"/>
    </row>
    <row r="100" ht="14.25" spans="2:10">
      <c r="B100" s="42"/>
      <c r="C100" s="42"/>
      <c r="D100" s="42"/>
      <c r="E100" s="44"/>
      <c r="F100" s="44"/>
      <c r="G100" s="56"/>
      <c r="H100" s="56"/>
      <c r="I100" s="58">
        <f t="shared" si="7"/>
        <v>38420.64</v>
      </c>
      <c r="J100" s="56"/>
    </row>
    <row r="101" ht="14.25" spans="2:10">
      <c r="B101" s="42"/>
      <c r="C101" s="42"/>
      <c r="D101" s="42"/>
      <c r="E101" s="44"/>
      <c r="F101" s="44"/>
      <c r="G101" s="56"/>
      <c r="H101" s="56"/>
      <c r="I101" s="58">
        <f t="shared" si="7"/>
        <v>38420.64</v>
      </c>
      <c r="J101" s="56"/>
    </row>
    <row r="102" ht="14.25" spans="2:10">
      <c r="B102" s="42"/>
      <c r="C102" s="42"/>
      <c r="D102" s="42"/>
      <c r="E102" s="44"/>
      <c r="F102" s="44"/>
      <c r="G102" s="56"/>
      <c r="H102" s="56"/>
      <c r="I102" s="58">
        <f t="shared" si="7"/>
        <v>38420.64</v>
      </c>
      <c r="J102" s="56"/>
    </row>
    <row r="103" ht="14.25" spans="2:10">
      <c r="B103" s="42"/>
      <c r="C103" s="42"/>
      <c r="D103" s="42"/>
      <c r="E103" s="44"/>
      <c r="F103" s="44"/>
      <c r="G103" s="56"/>
      <c r="H103" s="56"/>
      <c r="I103" s="58">
        <f t="shared" ref="I103:I134" si="8">I102+G103-H103</f>
        <v>38420.64</v>
      </c>
      <c r="J103" s="56"/>
    </row>
    <row r="104" ht="14.25" spans="2:10">
      <c r="B104" s="42"/>
      <c r="C104" s="42"/>
      <c r="D104" s="42"/>
      <c r="E104" s="44"/>
      <c r="F104" s="44"/>
      <c r="G104" s="56"/>
      <c r="H104" s="56"/>
      <c r="I104" s="58">
        <f t="shared" si="8"/>
        <v>38420.64</v>
      </c>
      <c r="J104" s="56"/>
    </row>
    <row r="105" ht="14.25" spans="2:10">
      <c r="B105" s="42"/>
      <c r="C105" s="42"/>
      <c r="D105" s="42"/>
      <c r="E105" s="44"/>
      <c r="F105" s="44"/>
      <c r="G105" s="56"/>
      <c r="H105" s="56"/>
      <c r="I105" s="58">
        <f t="shared" si="8"/>
        <v>38420.64</v>
      </c>
      <c r="J105" s="56"/>
    </row>
    <row r="106" ht="14.25" spans="2:10">
      <c r="B106" s="42"/>
      <c r="C106" s="42"/>
      <c r="D106" s="42"/>
      <c r="E106" s="44"/>
      <c r="F106" s="44"/>
      <c r="G106" s="56"/>
      <c r="H106" s="56"/>
      <c r="I106" s="58">
        <f t="shared" si="8"/>
        <v>38420.64</v>
      </c>
      <c r="J106" s="56"/>
    </row>
    <row r="107" ht="14.25" spans="2:10">
      <c r="B107" s="42"/>
      <c r="C107" s="42"/>
      <c r="D107" s="42"/>
      <c r="E107" s="44"/>
      <c r="F107" s="44"/>
      <c r="G107" s="56"/>
      <c r="H107" s="56"/>
      <c r="I107" s="58">
        <f t="shared" si="8"/>
        <v>38420.64</v>
      </c>
      <c r="J107" s="56"/>
    </row>
    <row r="108" ht="14.25" spans="2:10">
      <c r="B108" s="42"/>
      <c r="C108" s="42"/>
      <c r="D108" s="42"/>
      <c r="E108" s="44"/>
      <c r="F108" s="44"/>
      <c r="G108" s="56"/>
      <c r="H108" s="56"/>
      <c r="I108" s="58">
        <f t="shared" si="8"/>
        <v>38420.64</v>
      </c>
      <c r="J108" s="56"/>
    </row>
    <row r="109" ht="14.25" spans="2:10">
      <c r="B109" s="42"/>
      <c r="C109" s="42"/>
      <c r="D109" s="42"/>
      <c r="E109" s="44"/>
      <c r="F109" s="44"/>
      <c r="G109" s="56"/>
      <c r="H109" s="56"/>
      <c r="I109" s="58">
        <f t="shared" si="8"/>
        <v>38420.64</v>
      </c>
      <c r="J109" s="56"/>
    </row>
    <row r="110" ht="14.25" spans="2:10">
      <c r="B110" s="42"/>
      <c r="C110" s="42"/>
      <c r="D110" s="42"/>
      <c r="E110" s="44"/>
      <c r="F110" s="44"/>
      <c r="G110" s="56"/>
      <c r="H110" s="56"/>
      <c r="I110" s="58">
        <f t="shared" si="8"/>
        <v>38420.64</v>
      </c>
      <c r="J110" s="56"/>
    </row>
    <row r="111" ht="14.25" spans="2:10">
      <c r="B111" s="42"/>
      <c r="C111" s="42"/>
      <c r="D111" s="42"/>
      <c r="E111" s="44"/>
      <c r="F111" s="44"/>
      <c r="G111" s="56"/>
      <c r="H111" s="56"/>
      <c r="I111" s="58">
        <f t="shared" si="8"/>
        <v>38420.64</v>
      </c>
      <c r="J111" s="56"/>
    </row>
    <row r="112" ht="14.25" spans="2:10">
      <c r="B112" s="42"/>
      <c r="C112" s="42"/>
      <c r="D112" s="42"/>
      <c r="E112" s="44"/>
      <c r="F112" s="44"/>
      <c r="G112" s="56"/>
      <c r="H112" s="56"/>
      <c r="I112" s="58">
        <f t="shared" si="8"/>
        <v>38420.64</v>
      </c>
      <c r="J112" s="56"/>
    </row>
    <row r="113" ht="14.25" spans="2:10">
      <c r="B113" s="42"/>
      <c r="C113" s="42"/>
      <c r="D113" s="42"/>
      <c r="E113" s="44"/>
      <c r="F113" s="44"/>
      <c r="G113" s="56"/>
      <c r="H113" s="56"/>
      <c r="I113" s="58">
        <f t="shared" si="8"/>
        <v>38420.64</v>
      </c>
      <c r="J113" s="56"/>
    </row>
    <row r="114" ht="14.25" spans="2:10">
      <c r="B114" s="42"/>
      <c r="C114" s="42"/>
      <c r="D114" s="42"/>
      <c r="E114" s="44"/>
      <c r="F114" s="44"/>
      <c r="G114" s="56"/>
      <c r="H114" s="56"/>
      <c r="I114" s="58">
        <f t="shared" si="8"/>
        <v>38420.64</v>
      </c>
      <c r="J114" s="56"/>
    </row>
    <row r="115" ht="14.25" spans="2:10">
      <c r="B115" s="42"/>
      <c r="C115" s="42"/>
      <c r="D115" s="42"/>
      <c r="E115" s="44"/>
      <c r="F115" s="44"/>
      <c r="G115" s="56"/>
      <c r="H115" s="56"/>
      <c r="I115" s="58">
        <f t="shared" si="8"/>
        <v>38420.64</v>
      </c>
      <c r="J115" s="56"/>
    </row>
    <row r="116" ht="14.25" spans="2:10">
      <c r="B116" s="42"/>
      <c r="C116" s="42"/>
      <c r="D116" s="42"/>
      <c r="E116" s="44"/>
      <c r="F116" s="44"/>
      <c r="G116" s="56"/>
      <c r="H116" s="56"/>
      <c r="I116" s="58">
        <f t="shared" si="8"/>
        <v>38420.64</v>
      </c>
      <c r="J116" s="56"/>
    </row>
    <row r="117" ht="14.25" spans="2:10">
      <c r="B117" s="42"/>
      <c r="C117" s="42"/>
      <c r="D117" s="42"/>
      <c r="E117" s="44"/>
      <c r="F117" s="44"/>
      <c r="G117" s="56"/>
      <c r="H117" s="56"/>
      <c r="I117" s="58">
        <f t="shared" si="8"/>
        <v>38420.64</v>
      </c>
      <c r="J117" s="56"/>
    </row>
    <row r="118" ht="14.25" spans="2:10">
      <c r="B118" s="42"/>
      <c r="C118" s="42"/>
      <c r="D118" s="42"/>
      <c r="E118" s="44"/>
      <c r="F118" s="44"/>
      <c r="G118" s="56"/>
      <c r="H118" s="56"/>
      <c r="I118" s="58">
        <f t="shared" si="8"/>
        <v>38420.64</v>
      </c>
      <c r="J118" s="56"/>
    </row>
    <row r="119" ht="14.25" spans="2:10">
      <c r="B119" s="42"/>
      <c r="C119" s="42"/>
      <c r="D119" s="42"/>
      <c r="E119" s="44"/>
      <c r="F119" s="44"/>
      <c r="G119" s="56"/>
      <c r="H119" s="56"/>
      <c r="I119" s="58">
        <f t="shared" si="8"/>
        <v>38420.64</v>
      </c>
      <c r="J119" s="56"/>
    </row>
    <row r="120" ht="14.25" spans="2:10">
      <c r="B120" s="42"/>
      <c r="C120" s="42"/>
      <c r="D120" s="42"/>
      <c r="E120" s="44"/>
      <c r="F120" s="44"/>
      <c r="G120" s="56"/>
      <c r="H120" s="56"/>
      <c r="I120" s="58">
        <f t="shared" si="8"/>
        <v>38420.64</v>
      </c>
      <c r="J120" s="56"/>
    </row>
    <row r="121" ht="14.25" spans="2:10">
      <c r="B121" s="42"/>
      <c r="C121" s="42"/>
      <c r="D121" s="42"/>
      <c r="E121" s="44"/>
      <c r="F121" s="44"/>
      <c r="G121" s="56"/>
      <c r="H121" s="56"/>
      <c r="I121" s="58">
        <f t="shared" si="8"/>
        <v>38420.64</v>
      </c>
      <c r="J121" s="56"/>
    </row>
    <row r="122" ht="14.25" spans="2:10">
      <c r="B122" s="42"/>
      <c r="C122" s="42"/>
      <c r="D122" s="42"/>
      <c r="E122" s="44"/>
      <c r="F122" s="44"/>
      <c r="G122" s="56"/>
      <c r="H122" s="56"/>
      <c r="I122" s="58">
        <f t="shared" si="8"/>
        <v>38420.64</v>
      </c>
      <c r="J122" s="56"/>
    </row>
    <row r="123" ht="14.25" spans="2:10">
      <c r="B123" s="42"/>
      <c r="C123" s="42"/>
      <c r="D123" s="42"/>
      <c r="E123" s="44"/>
      <c r="F123" s="44"/>
      <c r="G123" s="56"/>
      <c r="H123" s="56"/>
      <c r="I123" s="58">
        <f t="shared" si="8"/>
        <v>38420.64</v>
      </c>
      <c r="J123" s="56"/>
    </row>
    <row r="124" ht="14.25" spans="2:10">
      <c r="B124" s="42"/>
      <c r="C124" s="42"/>
      <c r="D124" s="42"/>
      <c r="E124" s="44"/>
      <c r="F124" s="44"/>
      <c r="G124" s="56"/>
      <c r="H124" s="56"/>
      <c r="I124" s="58">
        <f t="shared" si="8"/>
        <v>38420.64</v>
      </c>
      <c r="J124" s="56"/>
    </row>
    <row r="125" ht="14.25" spans="2:10">
      <c r="B125" s="42"/>
      <c r="C125" s="42"/>
      <c r="D125" s="42"/>
      <c r="E125" s="44"/>
      <c r="F125" s="44"/>
      <c r="G125" s="56"/>
      <c r="H125" s="56"/>
      <c r="I125" s="58">
        <f t="shared" si="8"/>
        <v>38420.64</v>
      </c>
      <c r="J125" s="56"/>
    </row>
    <row r="126" ht="14.25" spans="2:10">
      <c r="B126" s="42"/>
      <c r="C126" s="42"/>
      <c r="D126" s="42"/>
      <c r="E126" s="44"/>
      <c r="F126" s="44"/>
      <c r="G126" s="56"/>
      <c r="H126" s="56"/>
      <c r="I126" s="58">
        <f t="shared" si="8"/>
        <v>38420.64</v>
      </c>
      <c r="J126" s="56"/>
    </row>
    <row r="127" ht="14.25" spans="2:10">
      <c r="B127" s="42"/>
      <c r="C127" s="42"/>
      <c r="D127" s="42"/>
      <c r="E127" s="44"/>
      <c r="F127" s="44"/>
      <c r="G127" s="56"/>
      <c r="H127" s="56"/>
      <c r="I127" s="58">
        <f t="shared" si="8"/>
        <v>38420.64</v>
      </c>
      <c r="J127" s="56"/>
    </row>
    <row r="128" ht="14.25" spans="2:10">
      <c r="B128" s="42"/>
      <c r="C128" s="42"/>
      <c r="D128" s="42"/>
      <c r="E128" s="44"/>
      <c r="F128" s="44"/>
      <c r="G128" s="56"/>
      <c r="H128" s="56"/>
      <c r="I128" s="58">
        <f t="shared" si="8"/>
        <v>38420.64</v>
      </c>
      <c r="J128" s="56"/>
    </row>
    <row r="129" ht="14.25" spans="2:10">
      <c r="B129" s="42"/>
      <c r="C129" s="42"/>
      <c r="D129" s="42"/>
      <c r="E129" s="44"/>
      <c r="F129" s="44"/>
      <c r="G129" s="56"/>
      <c r="H129" s="56"/>
      <c r="I129" s="58">
        <f t="shared" si="8"/>
        <v>38420.64</v>
      </c>
      <c r="J129" s="56"/>
    </row>
    <row r="130" ht="14.25" spans="2:10">
      <c r="B130" s="42"/>
      <c r="C130" s="42"/>
      <c r="D130" s="42"/>
      <c r="E130" s="44"/>
      <c r="F130" s="44"/>
      <c r="G130" s="56"/>
      <c r="H130" s="56"/>
      <c r="I130" s="58">
        <f t="shared" si="8"/>
        <v>38420.64</v>
      </c>
      <c r="J130" s="56"/>
    </row>
    <row r="131" ht="14.25" spans="2:10">
      <c r="B131" s="42"/>
      <c r="C131" s="42"/>
      <c r="D131" s="42"/>
      <c r="E131" s="44"/>
      <c r="F131" s="44"/>
      <c r="G131" s="56"/>
      <c r="H131" s="56"/>
      <c r="I131" s="58">
        <f t="shared" si="8"/>
        <v>38420.64</v>
      </c>
      <c r="J131" s="56"/>
    </row>
    <row r="132" ht="14.25" spans="2:10">
      <c r="B132" s="42"/>
      <c r="C132" s="42"/>
      <c r="D132" s="42"/>
      <c r="E132" s="44"/>
      <c r="F132" s="44"/>
      <c r="G132" s="56"/>
      <c r="H132" s="56"/>
      <c r="I132" s="58">
        <f t="shared" si="8"/>
        <v>38420.64</v>
      </c>
      <c r="J132" s="56"/>
    </row>
    <row r="133" ht="14.25" spans="2:10">
      <c r="B133" s="42"/>
      <c r="C133" s="42"/>
      <c r="D133" s="42"/>
      <c r="E133" s="44"/>
      <c r="F133" s="44"/>
      <c r="G133" s="56"/>
      <c r="H133" s="56"/>
      <c r="I133" s="58">
        <f t="shared" si="8"/>
        <v>38420.64</v>
      </c>
      <c r="J133" s="56"/>
    </row>
    <row r="134" ht="14.25" spans="2:10">
      <c r="B134" s="42"/>
      <c r="C134" s="42"/>
      <c r="D134" s="42"/>
      <c r="E134" s="44"/>
      <c r="F134" s="44"/>
      <c r="G134" s="56"/>
      <c r="H134" s="56"/>
      <c r="I134" s="58">
        <f t="shared" si="8"/>
        <v>38420.64</v>
      </c>
      <c r="J134" s="56"/>
    </row>
    <row r="135" ht="14.25" spans="2:10">
      <c r="B135" s="42"/>
      <c r="C135" s="42"/>
      <c r="D135" s="42"/>
      <c r="E135" s="44"/>
      <c r="F135" s="44"/>
      <c r="G135" s="56"/>
      <c r="H135" s="56"/>
      <c r="I135" s="58">
        <f t="shared" ref="I135:I166" si="9">I134+G135-H135</f>
        <v>38420.64</v>
      </c>
      <c r="J135" s="56"/>
    </row>
    <row r="136" ht="14.25" spans="2:10">
      <c r="B136" s="42"/>
      <c r="C136" s="42"/>
      <c r="D136" s="42"/>
      <c r="E136" s="44"/>
      <c r="F136" s="44"/>
      <c r="G136" s="56"/>
      <c r="H136" s="56"/>
      <c r="I136" s="58">
        <f t="shared" si="9"/>
        <v>38420.64</v>
      </c>
      <c r="J136" s="56"/>
    </row>
    <row r="137" ht="14.25" spans="2:10">
      <c r="B137" s="42"/>
      <c r="C137" s="42"/>
      <c r="D137" s="42"/>
      <c r="E137" s="44"/>
      <c r="F137" s="44"/>
      <c r="G137" s="56"/>
      <c r="H137" s="56"/>
      <c r="I137" s="58">
        <f t="shared" si="9"/>
        <v>38420.64</v>
      </c>
      <c r="J137" s="56"/>
    </row>
    <row r="138" ht="14.25" spans="2:10">
      <c r="B138" s="42"/>
      <c r="C138" s="42"/>
      <c r="D138" s="42"/>
      <c r="E138" s="44"/>
      <c r="F138" s="44"/>
      <c r="G138" s="56"/>
      <c r="H138" s="56"/>
      <c r="I138" s="58">
        <f t="shared" si="9"/>
        <v>38420.64</v>
      </c>
      <c r="J138" s="56"/>
    </row>
    <row r="139" ht="14.25" spans="2:10">
      <c r="B139" s="42"/>
      <c r="C139" s="42"/>
      <c r="D139" s="42"/>
      <c r="E139" s="44"/>
      <c r="F139" s="44"/>
      <c r="G139" s="56"/>
      <c r="H139" s="56"/>
      <c r="I139" s="58">
        <f t="shared" si="9"/>
        <v>38420.64</v>
      </c>
      <c r="J139" s="56"/>
    </row>
    <row r="140" ht="14.25" spans="2:10">
      <c r="B140" s="42"/>
      <c r="C140" s="42"/>
      <c r="D140" s="42"/>
      <c r="E140" s="44"/>
      <c r="F140" s="44"/>
      <c r="G140" s="56"/>
      <c r="H140" s="56"/>
      <c r="I140" s="58">
        <f t="shared" si="9"/>
        <v>38420.64</v>
      </c>
      <c r="J140" s="56"/>
    </row>
    <row r="141" ht="14.25" spans="2:10">
      <c r="B141" s="42"/>
      <c r="C141" s="42"/>
      <c r="D141" s="42"/>
      <c r="E141" s="44"/>
      <c r="F141" s="44"/>
      <c r="G141" s="56"/>
      <c r="H141" s="56"/>
      <c r="I141" s="58">
        <f t="shared" si="9"/>
        <v>38420.64</v>
      </c>
      <c r="J141" s="56"/>
    </row>
    <row r="142" ht="14.25" spans="2:10">
      <c r="B142" s="42"/>
      <c r="C142" s="42"/>
      <c r="D142" s="42"/>
      <c r="E142" s="44"/>
      <c r="F142" s="44"/>
      <c r="G142" s="56"/>
      <c r="H142" s="56"/>
      <c r="I142" s="58">
        <f t="shared" si="9"/>
        <v>38420.64</v>
      </c>
      <c r="J142" s="56"/>
    </row>
    <row r="143" ht="14.25" spans="2:10">
      <c r="B143" s="42"/>
      <c r="C143" s="42"/>
      <c r="D143" s="42"/>
      <c r="E143" s="44"/>
      <c r="F143" s="44"/>
      <c r="G143" s="56"/>
      <c r="H143" s="56"/>
      <c r="I143" s="58">
        <f t="shared" si="9"/>
        <v>38420.64</v>
      </c>
      <c r="J143" s="56"/>
    </row>
    <row r="144" ht="14.25" spans="2:10">
      <c r="B144" s="42"/>
      <c r="C144" s="42"/>
      <c r="D144" s="42"/>
      <c r="E144" s="44"/>
      <c r="F144" s="44"/>
      <c r="G144" s="56"/>
      <c r="H144" s="56"/>
      <c r="I144" s="58">
        <f t="shared" si="9"/>
        <v>38420.64</v>
      </c>
      <c r="J144" s="56"/>
    </row>
    <row r="145" ht="14.25" spans="2:10">
      <c r="B145" s="42"/>
      <c r="C145" s="42"/>
      <c r="D145" s="42"/>
      <c r="E145" s="44"/>
      <c r="F145" s="44"/>
      <c r="G145" s="56"/>
      <c r="H145" s="56"/>
      <c r="I145" s="58">
        <f t="shared" si="9"/>
        <v>38420.64</v>
      </c>
      <c r="J145" s="56"/>
    </row>
    <row r="146" ht="14.25" spans="2:10">
      <c r="B146" s="42"/>
      <c r="C146" s="42"/>
      <c r="D146" s="42"/>
      <c r="E146" s="44"/>
      <c r="F146" s="44"/>
      <c r="G146" s="56"/>
      <c r="H146" s="56"/>
      <c r="I146" s="58">
        <f t="shared" si="9"/>
        <v>38420.64</v>
      </c>
      <c r="J146" s="56"/>
    </row>
    <row r="147" ht="14.25" spans="2:10">
      <c r="B147" s="42"/>
      <c r="C147" s="42"/>
      <c r="D147" s="42"/>
      <c r="E147" s="44"/>
      <c r="F147" s="44"/>
      <c r="G147" s="56"/>
      <c r="H147" s="56"/>
      <c r="I147" s="58">
        <f t="shared" si="9"/>
        <v>38420.64</v>
      </c>
      <c r="J147" s="56"/>
    </row>
    <row r="148" ht="14.25" spans="2:10">
      <c r="B148" s="42"/>
      <c r="C148" s="42"/>
      <c r="D148" s="42"/>
      <c r="E148" s="44"/>
      <c r="F148" s="44"/>
      <c r="G148" s="56"/>
      <c r="H148" s="56"/>
      <c r="I148" s="58">
        <f t="shared" si="9"/>
        <v>38420.64</v>
      </c>
      <c r="J148" s="56"/>
    </row>
    <row r="149" ht="14.25" spans="2:10">
      <c r="B149" s="42"/>
      <c r="C149" s="42"/>
      <c r="D149" s="42"/>
      <c r="E149" s="44"/>
      <c r="F149" s="44"/>
      <c r="G149" s="56"/>
      <c r="H149" s="56"/>
      <c r="I149" s="58">
        <f t="shared" si="9"/>
        <v>38420.64</v>
      </c>
      <c r="J149" s="56"/>
    </row>
    <row r="150" ht="14.25" spans="2:10">
      <c r="B150" s="42"/>
      <c r="C150" s="42"/>
      <c r="D150" s="42"/>
      <c r="E150" s="44"/>
      <c r="F150" s="44"/>
      <c r="G150" s="56"/>
      <c r="H150" s="56"/>
      <c r="I150" s="58">
        <f t="shared" si="9"/>
        <v>38420.64</v>
      </c>
      <c r="J150" s="56"/>
    </row>
    <row r="151" ht="14.25" spans="2:10">
      <c r="B151" s="42"/>
      <c r="C151" s="42"/>
      <c r="D151" s="42"/>
      <c r="E151" s="44"/>
      <c r="F151" s="44"/>
      <c r="G151" s="56"/>
      <c r="H151" s="56"/>
      <c r="I151" s="58">
        <f t="shared" si="9"/>
        <v>38420.64</v>
      </c>
      <c r="J151" s="56"/>
    </row>
    <row r="152" ht="14.25" spans="2:10">
      <c r="B152" s="42"/>
      <c r="C152" s="42"/>
      <c r="D152" s="42"/>
      <c r="E152" s="44"/>
      <c r="F152" s="44"/>
      <c r="G152" s="56"/>
      <c r="H152" s="56"/>
      <c r="I152" s="58">
        <f t="shared" si="9"/>
        <v>38420.64</v>
      </c>
      <c r="J152" s="56"/>
    </row>
    <row r="153" ht="14.25" spans="2:10">
      <c r="B153" s="42"/>
      <c r="C153" s="42"/>
      <c r="D153" s="42"/>
      <c r="E153" s="44"/>
      <c r="F153" s="44"/>
      <c r="G153" s="56"/>
      <c r="H153" s="56"/>
      <c r="I153" s="58">
        <f t="shared" si="9"/>
        <v>38420.64</v>
      </c>
      <c r="J153" s="56"/>
    </row>
    <row r="154" ht="14.25" spans="2:10">
      <c r="B154" s="42"/>
      <c r="C154" s="42"/>
      <c r="D154" s="42"/>
      <c r="E154" s="44"/>
      <c r="F154" s="44"/>
      <c r="G154" s="56"/>
      <c r="H154" s="56"/>
      <c r="I154" s="58">
        <f t="shared" si="9"/>
        <v>38420.64</v>
      </c>
      <c r="J154" s="56"/>
    </row>
    <row r="155" ht="14.25" spans="2:10">
      <c r="B155" s="42"/>
      <c r="C155" s="42"/>
      <c r="D155" s="42"/>
      <c r="E155" s="44"/>
      <c r="F155" s="44"/>
      <c r="G155" s="56"/>
      <c r="H155" s="56"/>
      <c r="I155" s="58">
        <f t="shared" si="9"/>
        <v>38420.64</v>
      </c>
      <c r="J155" s="56"/>
    </row>
    <row r="156" ht="14.25" spans="2:10">
      <c r="B156" s="42"/>
      <c r="C156" s="42"/>
      <c r="D156" s="42"/>
      <c r="E156" s="44"/>
      <c r="F156" s="44"/>
      <c r="G156" s="56"/>
      <c r="H156" s="56"/>
      <c r="I156" s="58">
        <f t="shared" si="9"/>
        <v>38420.64</v>
      </c>
      <c r="J156" s="56"/>
    </row>
    <row r="157" ht="14.25" spans="2:10">
      <c r="B157" s="42"/>
      <c r="C157" s="42"/>
      <c r="D157" s="42"/>
      <c r="E157" s="44"/>
      <c r="F157" s="44"/>
      <c r="G157" s="56"/>
      <c r="H157" s="56"/>
      <c r="I157" s="58">
        <f t="shared" si="9"/>
        <v>38420.64</v>
      </c>
      <c r="J157" s="56"/>
    </row>
    <row r="158" ht="14.25" spans="2:10">
      <c r="B158" s="42"/>
      <c r="C158" s="42"/>
      <c r="D158" s="42"/>
      <c r="E158" s="44"/>
      <c r="F158" s="44"/>
      <c r="G158" s="56"/>
      <c r="H158" s="56"/>
      <c r="I158" s="58">
        <f t="shared" si="9"/>
        <v>38420.64</v>
      </c>
      <c r="J158" s="56"/>
    </row>
    <row r="159" ht="14.25" spans="2:10">
      <c r="B159" s="42"/>
      <c r="C159" s="42"/>
      <c r="D159" s="42"/>
      <c r="E159" s="44"/>
      <c r="F159" s="44"/>
      <c r="G159" s="56"/>
      <c r="H159" s="56"/>
      <c r="I159" s="58">
        <f t="shared" si="9"/>
        <v>38420.64</v>
      </c>
      <c r="J159" s="56"/>
    </row>
    <row r="160" ht="14.25" spans="2:10">
      <c r="B160" s="42"/>
      <c r="C160" s="42"/>
      <c r="D160" s="42"/>
      <c r="E160" s="44"/>
      <c r="F160" s="44"/>
      <c r="G160" s="56"/>
      <c r="H160" s="56"/>
      <c r="I160" s="58">
        <f t="shared" si="9"/>
        <v>38420.64</v>
      </c>
      <c r="J160" s="56"/>
    </row>
    <row r="161" ht="14.25" spans="2:10">
      <c r="B161" s="42"/>
      <c r="C161" s="42"/>
      <c r="D161" s="42"/>
      <c r="E161" s="44"/>
      <c r="F161" s="44"/>
      <c r="G161" s="56"/>
      <c r="H161" s="56"/>
      <c r="I161" s="58">
        <f t="shared" si="9"/>
        <v>38420.64</v>
      </c>
      <c r="J161" s="56"/>
    </row>
    <row r="162" ht="14.25" spans="2:10">
      <c r="B162" s="42"/>
      <c r="C162" s="42"/>
      <c r="D162" s="42"/>
      <c r="E162" s="44"/>
      <c r="F162" s="44"/>
      <c r="G162" s="56"/>
      <c r="H162" s="56"/>
      <c r="I162" s="58">
        <f t="shared" si="9"/>
        <v>38420.64</v>
      </c>
      <c r="J162" s="56"/>
    </row>
    <row r="163" ht="14.25" spans="2:10">
      <c r="B163" s="42"/>
      <c r="C163" s="42"/>
      <c r="D163" s="42"/>
      <c r="E163" s="44"/>
      <c r="F163" s="44"/>
      <c r="G163" s="56"/>
      <c r="H163" s="56"/>
      <c r="I163" s="58">
        <f t="shared" si="9"/>
        <v>38420.64</v>
      </c>
      <c r="J163" s="56"/>
    </row>
    <row r="164" ht="14.25" spans="2:10">
      <c r="B164" s="42"/>
      <c r="C164" s="42"/>
      <c r="D164" s="42"/>
      <c r="E164" s="44"/>
      <c r="F164" s="44"/>
      <c r="G164" s="56"/>
      <c r="H164" s="56"/>
      <c r="I164" s="58">
        <f t="shared" si="9"/>
        <v>38420.64</v>
      </c>
      <c r="J164" s="56"/>
    </row>
    <row r="165" ht="14.25" spans="2:10">
      <c r="B165" s="42"/>
      <c r="C165" s="42"/>
      <c r="D165" s="42"/>
      <c r="E165" s="44"/>
      <c r="F165" s="44"/>
      <c r="G165" s="56"/>
      <c r="H165" s="56"/>
      <c r="I165" s="58">
        <f t="shared" si="9"/>
        <v>38420.64</v>
      </c>
      <c r="J165" s="56"/>
    </row>
    <row r="166" ht="14.25" spans="2:10">
      <c r="B166" s="42"/>
      <c r="C166" s="42"/>
      <c r="D166" s="42"/>
      <c r="E166" s="44"/>
      <c r="F166" s="44"/>
      <c r="G166" s="56"/>
      <c r="H166" s="56"/>
      <c r="I166" s="58">
        <f t="shared" si="9"/>
        <v>38420.64</v>
      </c>
      <c r="J166" s="56"/>
    </row>
  </sheetData>
  <mergeCells count="1">
    <mergeCell ref="B1:J1"/>
  </mergeCells>
  <conditionalFormatting sqref="F5">
    <cfRule type="expression" dxfId="1" priority="37">
      <formula>$A5</formula>
    </cfRule>
  </conditionalFormatting>
  <conditionalFormatting sqref="F6">
    <cfRule type="expression" dxfId="1" priority="36">
      <formula>$A6</formula>
    </cfRule>
  </conditionalFormatting>
  <conditionalFormatting sqref="F8">
    <cfRule type="expression" dxfId="1" priority="33">
      <formula>$A8</formula>
    </cfRule>
  </conditionalFormatting>
  <conditionalFormatting sqref="F10">
    <cfRule type="expression" dxfId="1" priority="2">
      <formula>$A10</formula>
    </cfRule>
  </conditionalFormatting>
  <conditionalFormatting sqref="F13">
    <cfRule type="expression" dxfId="1" priority="31">
      <formula>$A13</formula>
    </cfRule>
  </conditionalFormatting>
  <conditionalFormatting sqref="F15">
    <cfRule type="expression" dxfId="1" priority="29">
      <formula>$A15</formula>
    </cfRule>
  </conditionalFormatting>
  <conditionalFormatting sqref="F19">
    <cfRule type="expression" dxfId="1" priority="3">
      <formula>$A19</formula>
    </cfRule>
  </conditionalFormatting>
  <conditionalFormatting sqref="F28">
    <cfRule type="expression" dxfId="1" priority="4">
      <formula>$A28</formula>
    </cfRule>
  </conditionalFormatting>
  <conditionalFormatting sqref="F34">
    <cfRule type="expression" dxfId="1" priority="5">
      <formula>$A34</formula>
    </cfRule>
  </conditionalFormatting>
  <conditionalFormatting sqref="F42">
    <cfRule type="expression" dxfId="1" priority="6">
      <formula>$A42</formula>
    </cfRule>
  </conditionalFormatting>
  <conditionalFormatting sqref="F47">
    <cfRule type="expression" dxfId="1" priority="21">
      <formula>$A47</formula>
    </cfRule>
  </conditionalFormatting>
  <conditionalFormatting sqref="F50">
    <cfRule type="expression" dxfId="1" priority="11">
      <formula>$A50</formula>
    </cfRule>
  </conditionalFormatting>
  <conditionalFormatting sqref="F55">
    <cfRule type="expression" dxfId="1" priority="15">
      <formula>$A55</formula>
    </cfRule>
  </conditionalFormatting>
  <conditionalFormatting sqref="F59">
    <cfRule type="expression" dxfId="1" priority="14">
      <formula>$A59</formula>
    </cfRule>
  </conditionalFormatting>
  <conditionalFormatting sqref="F68">
    <cfRule type="expression" dxfId="1" priority="10">
      <formula>$A68</formula>
    </cfRule>
  </conditionalFormatting>
  <conditionalFormatting sqref="F74">
    <cfRule type="expression" dxfId="1" priority="9">
      <formula>$A74</formula>
    </cfRule>
  </conditionalFormatting>
  <conditionalFormatting sqref="F81">
    <cfRule type="expression" dxfId="1" priority="8">
      <formula>$A81</formula>
    </cfRule>
  </conditionalFormatting>
  <conditionalFormatting sqref="F82">
    <cfRule type="expression" dxfId="1" priority="12">
      <formula>$A82</formula>
    </cfRule>
  </conditionalFormatting>
  <conditionalFormatting sqref="F84">
    <cfRule type="expression" dxfId="1" priority="7">
      <formula>$A84</formula>
    </cfRule>
  </conditionalFormatting>
  <conditionalFormatting sqref="F88:F89">
    <cfRule type="expression" dxfId="1" priority="1">
      <formula>$A88</formula>
    </cfRule>
  </conditionalFormatting>
  <dataValidations count="1">
    <dataValidation type="list" allowBlank="1" showInputMessage="1" showErrorMessage="1" sqref="D5:D166">
      <formula1>付费项!$B$2:$B$100</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FF0000"/>
  </sheetPr>
  <dimension ref="A1:P69"/>
  <sheetViews>
    <sheetView workbookViewId="0">
      <selection activeCell="H21" sqref="H21"/>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193" t="str">
        <f>HYPERLINK("#目录!a1","返回目录")</f>
        <v>返回目录</v>
      </c>
      <c r="B1" s="47" t="s">
        <v>254</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10337.35</v>
      </c>
      <c r="J4" s="56"/>
    </row>
    <row r="5" ht="20" customHeight="1" spans="1:16">
      <c r="B5" s="42">
        <v>1</v>
      </c>
      <c r="C5" s="42">
        <v>11</v>
      </c>
      <c r="D5" s="74" t="s">
        <v>16</v>
      </c>
      <c r="E5" s="44" t="s">
        <v>28</v>
      </c>
      <c r="F5" s="45" t="s">
        <v>255</v>
      </c>
      <c r="G5" s="56"/>
      <c r="H5" s="56">
        <v>60</v>
      </c>
      <c r="I5" s="58">
        <f>I4+G5-H5</f>
        <v>10277.35</v>
      </c>
      <c r="J5" s="56"/>
    </row>
    <row r="6" ht="20" customHeight="1" spans="1:16">
      <c r="B6" s="68"/>
      <c r="C6" s="68"/>
      <c r="D6" s="68"/>
      <c r="E6" s="68"/>
      <c r="F6" s="70" t="s">
        <v>22</v>
      </c>
      <c r="G6" s="71">
        <f>SUM(G5:G5)</f>
        <v>0</v>
      </c>
      <c r="H6" s="71">
        <f>SUM(H5:H5)</f>
        <v>60</v>
      </c>
      <c r="I6" s="72">
        <f>I4+G6-H6</f>
        <v>10277.35</v>
      </c>
      <c r="J6" s="56"/>
    </row>
    <row r="7" ht="20" customHeight="1" spans="1:16">
      <c r="B7" s="42">
        <v>2</v>
      </c>
      <c r="C7" s="42">
        <v>27</v>
      </c>
      <c r="D7" s="74" t="s">
        <v>69</v>
      </c>
      <c r="E7" s="44" t="s">
        <v>69</v>
      </c>
      <c r="F7" s="45" t="s">
        <v>256</v>
      </c>
      <c r="G7" s="56"/>
      <c r="H7" s="56">
        <v>5000</v>
      </c>
      <c r="I7" s="58">
        <f>I6+G7-H7</f>
        <v>5277.35</v>
      </c>
      <c r="J7" s="56"/>
    </row>
    <row r="8" ht="20" customHeight="1" spans="1:16">
      <c r="B8" s="42">
        <v>2</v>
      </c>
      <c r="C8" s="42">
        <v>27</v>
      </c>
      <c r="D8" s="42" t="s">
        <v>16</v>
      </c>
      <c r="E8" s="44" t="s">
        <v>28</v>
      </c>
      <c r="F8" s="75" t="s">
        <v>237</v>
      </c>
      <c r="G8" s="55"/>
      <c r="H8" s="191">
        <v>4</v>
      </c>
      <c r="I8" s="58">
        <f>I7+G8-H8</f>
        <v>5273.35</v>
      </c>
      <c r="J8" s="56"/>
    </row>
    <row r="9" ht="20" customHeight="1" spans="1:16">
      <c r="B9" s="42">
        <v>2</v>
      </c>
      <c r="C9" s="42">
        <v>28</v>
      </c>
      <c r="D9" s="74" t="s">
        <v>69</v>
      </c>
      <c r="E9" s="44" t="s">
        <v>69</v>
      </c>
      <c r="F9" s="45" t="s">
        <v>256</v>
      </c>
      <c r="G9" s="56"/>
      <c r="H9" s="56">
        <v>5000</v>
      </c>
      <c r="I9" s="58">
        <f>I8+G9-H9</f>
        <v>273.35</v>
      </c>
      <c r="J9" s="56"/>
    </row>
    <row r="10" ht="20" customHeight="1" spans="1:16">
      <c r="B10" s="42">
        <v>2</v>
      </c>
      <c r="C10" s="42">
        <v>28</v>
      </c>
      <c r="D10" s="42" t="s">
        <v>16</v>
      </c>
      <c r="E10" s="44" t="s">
        <v>28</v>
      </c>
      <c r="F10" s="75" t="s">
        <v>237</v>
      </c>
      <c r="G10" s="55"/>
      <c r="H10" s="191">
        <v>4</v>
      </c>
      <c r="I10" s="58">
        <f>I9+G10-H10</f>
        <v>269.35</v>
      </c>
      <c r="J10" s="56"/>
    </row>
    <row r="11" ht="20" customHeight="1" spans="1:16">
      <c r="B11" s="68"/>
      <c r="C11" s="68"/>
      <c r="D11" s="68"/>
      <c r="E11" s="68"/>
      <c r="F11" s="70" t="s">
        <v>22</v>
      </c>
      <c r="G11" s="71">
        <f>SUM(G7:G10)</f>
        <v>0</v>
      </c>
      <c r="H11" s="71">
        <f>SUM(H7:H10)</f>
        <v>10008</v>
      </c>
      <c r="I11" s="72">
        <f>I6+G11-H11</f>
        <v>269.35</v>
      </c>
      <c r="J11" s="56"/>
    </row>
    <row r="12" ht="20" customHeight="1" spans="1:16">
      <c r="B12" s="42">
        <v>3</v>
      </c>
      <c r="C12" s="42">
        <v>21</v>
      </c>
      <c r="D12" s="74" t="s">
        <v>29</v>
      </c>
      <c r="E12" s="45" t="s">
        <v>28</v>
      </c>
      <c r="F12" s="45" t="s">
        <v>29</v>
      </c>
      <c r="G12" s="56">
        <v>0.99</v>
      </c>
      <c r="H12" s="56"/>
      <c r="I12" s="58">
        <f>I11+G12-H12</f>
        <v>270.34</v>
      </c>
      <c r="J12" s="56"/>
    </row>
    <row r="13" ht="20" customHeight="1" spans="1:16">
      <c r="B13" s="68"/>
      <c r="C13" s="68"/>
      <c r="D13" s="68"/>
      <c r="E13" s="68"/>
      <c r="F13" s="70" t="s">
        <v>22</v>
      </c>
      <c r="G13" s="71">
        <f t="shared" ref="G13:G17" si="0">SUM(G12)</f>
        <v>0.99</v>
      </c>
      <c r="H13" s="71">
        <f>SUM(H12)</f>
        <v>0</v>
      </c>
      <c r="I13" s="72">
        <f>I11+G13-H13</f>
        <v>270.34</v>
      </c>
      <c r="J13" s="56"/>
    </row>
    <row r="14" s="3" customFormat="1" ht="20" customHeight="1" spans="1:16">
      <c r="B14" s="42">
        <v>6</v>
      </c>
      <c r="C14" s="42">
        <v>21</v>
      </c>
      <c r="D14" s="74" t="s">
        <v>29</v>
      </c>
      <c r="E14" s="45" t="s">
        <v>28</v>
      </c>
      <c r="F14" s="45" t="s">
        <v>29</v>
      </c>
      <c r="G14" s="56">
        <v>0.03</v>
      </c>
      <c r="H14" s="56"/>
      <c r="I14" s="58">
        <v>270.37</v>
      </c>
      <c r="J14" s="56"/>
    </row>
    <row r="15" s="3" customFormat="1" ht="20" customHeight="1" spans="1:16">
      <c r="B15" s="68"/>
      <c r="C15" s="68"/>
      <c r="D15" s="68"/>
      <c r="E15" s="68"/>
      <c r="F15" s="70" t="s">
        <v>22</v>
      </c>
      <c r="G15" s="71">
        <f t="shared" si="0"/>
        <v>0.03</v>
      </c>
      <c r="H15" s="71">
        <v>0</v>
      </c>
      <c r="I15" s="72">
        <v>270.37</v>
      </c>
      <c r="J15" s="56"/>
    </row>
    <row r="16" ht="20" customHeight="1" spans="1:16">
      <c r="B16" s="42">
        <v>9</v>
      </c>
      <c r="C16" s="42">
        <v>21</v>
      </c>
      <c r="D16" s="74" t="s">
        <v>29</v>
      </c>
      <c r="E16" s="45" t="s">
        <v>28</v>
      </c>
      <c r="F16" s="45" t="s">
        <v>29</v>
      </c>
      <c r="G16" s="56">
        <v>0.03</v>
      </c>
      <c r="H16" s="56"/>
      <c r="I16" s="58">
        <f t="shared" ref="I16:I65" si="1">I15+G16-H16</f>
        <v>270.4</v>
      </c>
      <c r="J16" s="56"/>
    </row>
    <row r="17" ht="20" customHeight="1" spans="2:10">
      <c r="B17" s="68"/>
      <c r="C17" s="68"/>
      <c r="D17" s="68"/>
      <c r="E17" s="68"/>
      <c r="F17" s="70" t="s">
        <v>22</v>
      </c>
      <c r="G17" s="71">
        <f t="shared" si="0"/>
        <v>0.03</v>
      </c>
      <c r="H17" s="71">
        <v>0</v>
      </c>
      <c r="I17" s="72">
        <f t="shared" si="1"/>
        <v>270.43</v>
      </c>
      <c r="J17" s="56"/>
    </row>
    <row r="18" ht="20" customHeight="1" spans="2:10">
      <c r="B18" s="42"/>
      <c r="C18" s="42"/>
      <c r="D18" s="74"/>
      <c r="E18" s="42"/>
      <c r="F18" s="54"/>
      <c r="G18" s="56"/>
      <c r="H18" s="56"/>
      <c r="I18" s="58">
        <f t="shared" si="1"/>
        <v>270.43</v>
      </c>
      <c r="J18" s="56"/>
    </row>
    <row r="19" ht="20" customHeight="1" spans="2:10">
      <c r="B19" s="42"/>
      <c r="C19" s="42"/>
      <c r="D19" s="74"/>
      <c r="E19" s="54"/>
      <c r="F19" s="54"/>
      <c r="G19" s="56"/>
      <c r="H19" s="56"/>
      <c r="I19" s="58">
        <f t="shared" si="1"/>
        <v>270.43</v>
      </c>
      <c r="J19" s="56"/>
    </row>
    <row r="20" ht="20" customHeight="1" spans="2:10">
      <c r="B20" s="42"/>
      <c r="C20" s="42"/>
      <c r="D20" s="74"/>
      <c r="E20" s="42"/>
      <c r="F20" s="54"/>
      <c r="G20" s="56"/>
      <c r="H20" s="56"/>
      <c r="I20" s="58">
        <f t="shared" si="1"/>
        <v>270.43</v>
      </c>
      <c r="J20" s="56"/>
    </row>
    <row r="21" ht="20" customHeight="1" spans="2:10">
      <c r="B21" s="42"/>
      <c r="C21" s="42"/>
      <c r="D21" s="74"/>
      <c r="E21" s="42"/>
      <c r="F21" s="54"/>
      <c r="G21" s="56"/>
      <c r="H21" s="56"/>
      <c r="I21" s="58">
        <f t="shared" si="1"/>
        <v>270.43</v>
      </c>
      <c r="J21" s="56"/>
    </row>
    <row r="22" ht="20" customHeight="1" spans="2:10">
      <c r="B22" s="42"/>
      <c r="C22" s="42"/>
      <c r="D22" s="74"/>
      <c r="E22" s="42"/>
      <c r="F22" s="54"/>
      <c r="G22" s="56"/>
      <c r="H22" s="56"/>
      <c r="I22" s="58">
        <f t="shared" si="1"/>
        <v>270.43</v>
      </c>
      <c r="J22" s="56"/>
    </row>
    <row r="23" ht="20" customHeight="1" spans="2:10">
      <c r="B23" s="42"/>
      <c r="C23" s="42"/>
      <c r="D23" s="74"/>
      <c r="E23" s="42"/>
      <c r="F23" s="54"/>
      <c r="G23" s="56"/>
      <c r="H23" s="56"/>
      <c r="I23" s="58">
        <f t="shared" si="1"/>
        <v>270.43</v>
      </c>
      <c r="J23" s="56"/>
    </row>
    <row r="24" ht="20" customHeight="1" spans="2:10">
      <c r="B24" s="42"/>
      <c r="C24" s="42"/>
      <c r="D24" s="74"/>
      <c r="E24" s="42"/>
      <c r="F24" s="54"/>
      <c r="G24" s="56"/>
      <c r="H24" s="56"/>
      <c r="I24" s="58">
        <f t="shared" si="1"/>
        <v>270.43</v>
      </c>
      <c r="J24" s="56"/>
    </row>
    <row r="25" ht="20" customHeight="1" spans="2:10">
      <c r="B25" s="42"/>
      <c r="C25" s="42"/>
      <c r="D25" s="74"/>
      <c r="E25" s="42"/>
      <c r="F25" s="54"/>
      <c r="G25" s="56"/>
      <c r="H25" s="56"/>
      <c r="I25" s="58">
        <f t="shared" si="1"/>
        <v>270.43</v>
      </c>
      <c r="J25" s="56"/>
    </row>
    <row r="26" ht="20" customHeight="1" spans="2:10">
      <c r="B26" s="42"/>
      <c r="C26" s="42"/>
      <c r="D26" s="74"/>
      <c r="E26" s="42"/>
      <c r="F26" s="54"/>
      <c r="G26" s="56"/>
      <c r="H26" s="56"/>
      <c r="I26" s="58">
        <f t="shared" si="1"/>
        <v>270.43</v>
      </c>
      <c r="J26" s="56"/>
    </row>
    <row r="27" ht="20" customHeight="1" spans="2:10">
      <c r="B27" s="42"/>
      <c r="C27" s="42"/>
      <c r="D27" s="74"/>
      <c r="E27" s="54"/>
      <c r="F27" s="54"/>
      <c r="G27" s="56"/>
      <c r="H27" s="56"/>
      <c r="I27" s="58">
        <f t="shared" si="1"/>
        <v>270.43</v>
      </c>
      <c r="J27" s="56"/>
    </row>
    <row r="28" ht="20" customHeight="1" spans="2:10">
      <c r="B28" s="42"/>
      <c r="C28" s="42"/>
      <c r="D28" s="74"/>
      <c r="E28" s="42"/>
      <c r="F28" s="42"/>
      <c r="G28" s="56"/>
      <c r="H28" s="56"/>
      <c r="I28" s="58">
        <f t="shared" si="1"/>
        <v>270.43</v>
      </c>
      <c r="J28" s="56"/>
    </row>
    <row r="29" ht="20" customHeight="1" spans="2:10">
      <c r="B29" s="42"/>
      <c r="C29" s="42"/>
      <c r="D29" s="74"/>
      <c r="E29" s="42"/>
      <c r="F29" s="54"/>
      <c r="G29" s="56"/>
      <c r="H29" s="56"/>
      <c r="I29" s="58">
        <f t="shared" si="1"/>
        <v>270.43</v>
      </c>
      <c r="J29" s="56"/>
    </row>
    <row r="30" ht="20" customHeight="1" spans="2:10">
      <c r="B30" s="42"/>
      <c r="C30" s="42"/>
      <c r="D30" s="74"/>
      <c r="E30" s="42"/>
      <c r="F30" s="54"/>
      <c r="G30" s="56"/>
      <c r="H30" s="56"/>
      <c r="I30" s="58">
        <f t="shared" si="1"/>
        <v>270.43</v>
      </c>
      <c r="J30" s="56"/>
    </row>
    <row r="31" ht="20" customHeight="1" spans="2:10">
      <c r="B31" s="42"/>
      <c r="C31" s="42"/>
      <c r="D31" s="74"/>
      <c r="E31" s="42"/>
      <c r="F31" s="54"/>
      <c r="G31" s="56"/>
      <c r="H31" s="56"/>
      <c r="I31" s="58">
        <f t="shared" si="1"/>
        <v>270.43</v>
      </c>
      <c r="J31" s="56"/>
    </row>
    <row r="32" ht="20" customHeight="1" spans="2:10">
      <c r="B32" s="42"/>
      <c r="C32" s="42"/>
      <c r="D32" s="74"/>
      <c r="E32" s="42"/>
      <c r="F32" s="54"/>
      <c r="G32" s="56"/>
      <c r="H32" s="56"/>
      <c r="I32" s="58">
        <f t="shared" si="1"/>
        <v>270.43</v>
      </c>
      <c r="J32" s="56"/>
    </row>
    <row r="33" ht="20" customHeight="1" spans="2:10">
      <c r="B33" s="42"/>
      <c r="C33" s="42"/>
      <c r="D33" s="74"/>
      <c r="E33" s="42"/>
      <c r="F33" s="54"/>
      <c r="G33" s="56"/>
      <c r="H33" s="56"/>
      <c r="I33" s="58">
        <f t="shared" si="1"/>
        <v>270.43</v>
      </c>
      <c r="J33" s="56"/>
    </row>
    <row r="34" ht="20" customHeight="1" spans="2:10">
      <c r="B34" s="42"/>
      <c r="C34" s="42"/>
      <c r="D34" s="74"/>
      <c r="E34" s="54"/>
      <c r="F34" s="54"/>
      <c r="G34" s="56"/>
      <c r="H34" s="56"/>
      <c r="I34" s="58">
        <f t="shared" si="1"/>
        <v>270.43</v>
      </c>
      <c r="J34" s="56"/>
    </row>
    <row r="35" ht="20" customHeight="1" spans="2:10">
      <c r="B35" s="42"/>
      <c r="C35" s="42"/>
      <c r="D35" s="74"/>
      <c r="E35" s="42"/>
      <c r="F35" s="54"/>
      <c r="G35" s="56"/>
      <c r="H35" s="56"/>
      <c r="I35" s="58">
        <f t="shared" si="1"/>
        <v>270.43</v>
      </c>
      <c r="J35" s="56"/>
    </row>
    <row r="36" ht="20" customHeight="1" spans="2:10">
      <c r="B36" s="42"/>
      <c r="C36" s="42"/>
      <c r="D36" s="74"/>
      <c r="E36" s="42"/>
      <c r="F36" s="54"/>
      <c r="G36" s="56"/>
      <c r="H36" s="56"/>
      <c r="I36" s="58">
        <f t="shared" si="1"/>
        <v>270.43</v>
      </c>
      <c r="J36" s="56"/>
    </row>
    <row r="37" ht="20" customHeight="1" spans="2:10">
      <c r="B37" s="42"/>
      <c r="C37" s="42"/>
      <c r="D37" s="74"/>
      <c r="E37" s="42"/>
      <c r="F37" s="54"/>
      <c r="G37" s="56"/>
      <c r="H37" s="56"/>
      <c r="I37" s="58">
        <f t="shared" si="1"/>
        <v>270.43</v>
      </c>
      <c r="J37" s="56"/>
    </row>
    <row r="38" ht="20" customHeight="1" spans="2:10">
      <c r="B38" s="42"/>
      <c r="C38" s="42"/>
      <c r="D38" s="74"/>
      <c r="E38" s="42"/>
      <c r="F38" s="54"/>
      <c r="G38" s="56"/>
      <c r="H38" s="56"/>
      <c r="I38" s="58">
        <f t="shared" si="1"/>
        <v>270.43</v>
      </c>
      <c r="J38" s="56"/>
    </row>
    <row r="39" ht="20" customHeight="1" spans="2:10">
      <c r="B39" s="42"/>
      <c r="C39" s="42"/>
      <c r="D39" s="74"/>
      <c r="E39" s="42"/>
      <c r="F39" s="54"/>
      <c r="G39" s="56"/>
      <c r="H39" s="56"/>
      <c r="I39" s="58">
        <f t="shared" si="1"/>
        <v>270.43</v>
      </c>
      <c r="J39" s="56"/>
    </row>
    <row r="40" ht="20" customHeight="1" spans="2:10">
      <c r="B40" s="42"/>
      <c r="C40" s="42"/>
      <c r="D40" s="74"/>
      <c r="E40" s="42"/>
      <c r="F40" s="54"/>
      <c r="G40" s="56"/>
      <c r="H40" s="56"/>
      <c r="I40" s="58">
        <f t="shared" si="1"/>
        <v>270.43</v>
      </c>
      <c r="J40" s="56"/>
    </row>
    <row r="41" ht="20" customHeight="1" spans="2:10">
      <c r="B41" s="42"/>
      <c r="C41" s="42"/>
      <c r="D41" s="74"/>
      <c r="E41" s="42"/>
      <c r="F41" s="54"/>
      <c r="G41" s="56"/>
      <c r="H41" s="56"/>
      <c r="I41" s="58">
        <f t="shared" si="1"/>
        <v>270.43</v>
      </c>
      <c r="J41" s="56"/>
    </row>
    <row r="42" ht="20" customHeight="1" spans="2:10">
      <c r="B42" s="42"/>
      <c r="C42" s="42"/>
      <c r="D42" s="74"/>
      <c r="E42" s="54"/>
      <c r="F42" s="54"/>
      <c r="G42" s="56"/>
      <c r="H42" s="56"/>
      <c r="I42" s="58">
        <f t="shared" si="1"/>
        <v>270.43</v>
      </c>
      <c r="J42" s="56"/>
    </row>
    <row r="43" ht="20" customHeight="1" spans="2:10">
      <c r="B43" s="42"/>
      <c r="C43" s="42"/>
      <c r="D43" s="74"/>
      <c r="E43" s="42"/>
      <c r="F43" s="42"/>
      <c r="G43" s="56"/>
      <c r="H43" s="56"/>
      <c r="I43" s="58">
        <f t="shared" si="1"/>
        <v>270.43</v>
      </c>
      <c r="J43" s="56"/>
    </row>
    <row r="44" ht="20" customHeight="1" spans="2:10">
      <c r="B44" s="42"/>
      <c r="C44" s="42"/>
      <c r="D44" s="74"/>
      <c r="E44" s="42"/>
      <c r="F44" s="54"/>
      <c r="G44" s="56"/>
      <c r="H44" s="56"/>
      <c r="I44" s="58">
        <f t="shared" si="1"/>
        <v>270.43</v>
      </c>
      <c r="J44" s="56"/>
    </row>
    <row r="45" ht="20" customHeight="1" spans="2:10">
      <c r="B45" s="42"/>
      <c r="C45" s="42"/>
      <c r="D45" s="74"/>
      <c r="E45" s="42"/>
      <c r="F45" s="54"/>
      <c r="G45" s="56"/>
      <c r="H45" s="56"/>
      <c r="I45" s="58">
        <f t="shared" si="1"/>
        <v>270.43</v>
      </c>
      <c r="J45" s="56"/>
    </row>
    <row r="46" ht="20" customHeight="1" spans="2:10">
      <c r="B46" s="42"/>
      <c r="C46" s="42"/>
      <c r="D46" s="74"/>
      <c r="E46" s="42"/>
      <c r="F46" s="54"/>
      <c r="G46" s="56"/>
      <c r="H46" s="56"/>
      <c r="I46" s="58">
        <f t="shared" si="1"/>
        <v>270.43</v>
      </c>
      <c r="J46" s="56"/>
    </row>
    <row r="47" ht="20" customHeight="1" spans="2:10">
      <c r="B47" s="42"/>
      <c r="C47" s="42"/>
      <c r="D47" s="74"/>
      <c r="E47" s="42"/>
      <c r="F47" s="54"/>
      <c r="G47" s="56"/>
      <c r="H47" s="56"/>
      <c r="I47" s="58">
        <f t="shared" si="1"/>
        <v>270.43</v>
      </c>
      <c r="J47" s="56"/>
    </row>
    <row r="48" ht="20" customHeight="1" spans="2:10">
      <c r="B48" s="42"/>
      <c r="C48" s="42"/>
      <c r="D48" s="74"/>
      <c r="E48" s="42"/>
      <c r="F48" s="54"/>
      <c r="G48" s="56"/>
      <c r="H48" s="56"/>
      <c r="I48" s="58">
        <f t="shared" si="1"/>
        <v>270.43</v>
      </c>
      <c r="J48" s="56"/>
    </row>
    <row r="49" ht="20" customHeight="1" spans="2:10">
      <c r="B49" s="42"/>
      <c r="C49" s="42"/>
      <c r="D49" s="74"/>
      <c r="E49" s="54"/>
      <c r="F49" s="54"/>
      <c r="G49" s="56"/>
      <c r="H49" s="56"/>
      <c r="I49" s="58">
        <f t="shared" si="1"/>
        <v>270.43</v>
      </c>
      <c r="J49" s="56"/>
    </row>
    <row r="50" ht="20" customHeight="1" spans="2:10">
      <c r="B50" s="42"/>
      <c r="C50" s="42"/>
      <c r="D50" s="74"/>
      <c r="E50" s="42"/>
      <c r="F50" s="54"/>
      <c r="G50" s="56"/>
      <c r="H50" s="56"/>
      <c r="I50" s="58">
        <f t="shared" si="1"/>
        <v>270.43</v>
      </c>
      <c r="J50" s="56"/>
    </row>
    <row r="51" ht="20" customHeight="1" spans="2:10">
      <c r="B51" s="42"/>
      <c r="C51" s="42"/>
      <c r="D51" s="74"/>
      <c r="E51" s="42"/>
      <c r="F51" s="54"/>
      <c r="G51" s="56"/>
      <c r="H51" s="56"/>
      <c r="I51" s="58">
        <f t="shared" si="1"/>
        <v>270.43</v>
      </c>
      <c r="J51" s="56"/>
    </row>
    <row r="52" ht="20" customHeight="1" spans="2:10">
      <c r="B52" s="42"/>
      <c r="C52" s="42"/>
      <c r="D52" s="74"/>
      <c r="E52" s="42"/>
      <c r="F52" s="54"/>
      <c r="G52" s="56"/>
      <c r="H52" s="56"/>
      <c r="I52" s="58">
        <f t="shared" si="1"/>
        <v>270.43</v>
      </c>
      <c r="J52" s="56"/>
    </row>
    <row r="53" ht="20" customHeight="1" spans="2:10">
      <c r="B53" s="42"/>
      <c r="C53" s="42"/>
      <c r="D53" s="74"/>
      <c r="E53" s="42"/>
      <c r="F53" s="54"/>
      <c r="G53" s="56"/>
      <c r="H53" s="56"/>
      <c r="I53" s="58">
        <f t="shared" si="1"/>
        <v>270.43</v>
      </c>
      <c r="J53" s="56"/>
    </row>
    <row r="54" ht="20" customHeight="1" spans="2:10">
      <c r="B54" s="42"/>
      <c r="C54" s="42"/>
      <c r="D54" s="74"/>
      <c r="E54" s="42"/>
      <c r="F54" s="54"/>
      <c r="G54" s="56"/>
      <c r="H54" s="56"/>
      <c r="I54" s="58">
        <f t="shared" si="1"/>
        <v>270.43</v>
      </c>
      <c r="J54" s="56"/>
    </row>
    <row r="55" ht="20" customHeight="1" spans="2:10">
      <c r="B55" s="42"/>
      <c r="C55" s="42"/>
      <c r="D55" s="74"/>
      <c r="E55" s="42"/>
      <c r="F55" s="54"/>
      <c r="G55" s="56"/>
      <c r="H55" s="56"/>
      <c r="I55" s="58">
        <f t="shared" si="1"/>
        <v>270.43</v>
      </c>
      <c r="J55" s="56"/>
    </row>
    <row r="56" ht="20" customHeight="1" spans="2:10">
      <c r="B56" s="42"/>
      <c r="C56" s="42"/>
      <c r="D56" s="74"/>
      <c r="E56" s="42"/>
      <c r="F56" s="54"/>
      <c r="G56" s="56"/>
      <c r="H56" s="56"/>
      <c r="I56" s="58">
        <f t="shared" si="1"/>
        <v>270.43</v>
      </c>
      <c r="J56" s="56"/>
    </row>
    <row r="57" ht="20" customHeight="1" spans="2:10">
      <c r="B57" s="42"/>
      <c r="C57" s="42"/>
      <c r="D57" s="74"/>
      <c r="E57" s="54"/>
      <c r="F57" s="54"/>
      <c r="G57" s="56"/>
      <c r="H57" s="56"/>
      <c r="I57" s="58">
        <f t="shared" si="1"/>
        <v>270.43</v>
      </c>
      <c r="J57" s="56"/>
    </row>
    <row r="58" ht="20" customHeight="1" spans="2:10">
      <c r="B58" s="42"/>
      <c r="C58" s="42"/>
      <c r="D58" s="74"/>
      <c r="E58" s="42"/>
      <c r="F58" s="42"/>
      <c r="G58" s="56"/>
      <c r="H58" s="56"/>
      <c r="I58" s="58">
        <f t="shared" si="1"/>
        <v>270.43</v>
      </c>
      <c r="J58" s="56"/>
    </row>
    <row r="59" ht="20" customHeight="1" spans="2:10">
      <c r="B59" s="42"/>
      <c r="C59" s="42"/>
      <c r="D59" s="74"/>
      <c r="E59" s="42"/>
      <c r="F59" s="54"/>
      <c r="G59" s="56"/>
      <c r="H59" s="56"/>
      <c r="I59" s="58">
        <f t="shared" si="1"/>
        <v>270.43</v>
      </c>
      <c r="J59" s="56"/>
    </row>
    <row r="60" ht="20" customHeight="1" spans="2:10">
      <c r="B60" s="42"/>
      <c r="C60" s="42"/>
      <c r="D60" s="74"/>
      <c r="E60" s="42"/>
      <c r="F60" s="54"/>
      <c r="G60" s="56"/>
      <c r="H60" s="56"/>
      <c r="I60" s="58">
        <f t="shared" si="1"/>
        <v>270.43</v>
      </c>
      <c r="J60" s="56"/>
    </row>
    <row r="61" ht="20" customHeight="1" spans="2:10">
      <c r="B61" s="42"/>
      <c r="C61" s="42"/>
      <c r="D61" s="74"/>
      <c r="E61" s="42"/>
      <c r="F61" s="54"/>
      <c r="G61" s="56"/>
      <c r="H61" s="56"/>
      <c r="I61" s="58">
        <f t="shared" si="1"/>
        <v>270.43</v>
      </c>
      <c r="J61" s="56"/>
    </row>
    <row r="62" ht="20" customHeight="1" spans="2:10">
      <c r="B62" s="42"/>
      <c r="C62" s="42"/>
      <c r="D62" s="74"/>
      <c r="E62" s="42"/>
      <c r="F62" s="54"/>
      <c r="G62" s="56"/>
      <c r="H62" s="56"/>
      <c r="I62" s="58">
        <f t="shared" si="1"/>
        <v>270.43</v>
      </c>
      <c r="J62" s="56"/>
    </row>
    <row r="63" ht="20" customHeight="1" spans="2:10">
      <c r="B63" s="42"/>
      <c r="C63" s="42"/>
      <c r="D63" s="74"/>
      <c r="E63" s="42"/>
      <c r="F63" s="54"/>
      <c r="G63" s="56"/>
      <c r="H63" s="56"/>
      <c r="I63" s="58">
        <f t="shared" si="1"/>
        <v>270.43</v>
      </c>
      <c r="J63" s="56"/>
    </row>
    <row r="64" ht="20" customHeight="1" spans="2:10">
      <c r="B64" s="42"/>
      <c r="C64" s="42"/>
      <c r="D64" s="74"/>
      <c r="E64" s="54"/>
      <c r="F64" s="54"/>
      <c r="G64" s="56"/>
      <c r="H64" s="56"/>
      <c r="I64" s="58">
        <f t="shared" si="1"/>
        <v>270.43</v>
      </c>
      <c r="J64" s="56"/>
    </row>
    <row r="65" ht="20" customHeight="1" spans="2:10">
      <c r="B65" s="42"/>
      <c r="C65" s="42"/>
      <c r="D65" s="74"/>
      <c r="E65" s="42"/>
      <c r="F65" s="54"/>
      <c r="G65" s="56"/>
      <c r="H65" s="56"/>
      <c r="I65" s="58">
        <f t="shared" si="1"/>
        <v>270.43</v>
      </c>
      <c r="J65" s="56"/>
    </row>
    <row r="66" ht="14.25" spans="2:10">
      <c r="D66" s="74"/>
    </row>
    <row r="67" ht="14.25" spans="2:10">
      <c r="D67" s="74"/>
    </row>
    <row r="68" ht="14.25" spans="2:10">
      <c r="D68" s="74"/>
    </row>
    <row r="69" ht="14.25" spans="2:10">
      <c r="D69" s="74"/>
    </row>
  </sheetData>
  <mergeCells count="1">
    <mergeCell ref="B1:J1"/>
  </mergeCells>
  <dataValidations count="2">
    <dataValidation type="list" allowBlank="1" showInputMessage="1" showErrorMessage="1" sqref="D5:D65">
      <formula1>付费项!$B$2:$B$100</formula1>
    </dataValidation>
    <dataValidation type="list" allowBlank="1" showInputMessage="1" showErrorMessage="1" sqref="D66:D69">
      <formula1>付费项!$B$2:$B$68</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0000"/>
  </sheetPr>
  <dimension ref="A1:P437"/>
  <sheetViews>
    <sheetView workbookViewId="0">
      <pane xSplit="5" ySplit="4" topLeftCell="F243" activePane="bottomRight" state="frozen"/>
      <selection/>
      <selection pane="topRight"/>
      <selection pane="bottomLeft"/>
      <selection pane="bottomRight" activeCell="F264" sqref="F264"/>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257</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227902.83</v>
      </c>
      <c r="J4" s="56"/>
    </row>
    <row r="5" ht="20" customHeight="1" spans="1:16">
      <c r="B5" s="42">
        <v>1</v>
      </c>
      <c r="C5" s="42">
        <v>10</v>
      </c>
      <c r="D5" s="74" t="s">
        <v>76</v>
      </c>
      <c r="E5" s="188" t="s">
        <v>258</v>
      </c>
      <c r="F5" s="45" t="s">
        <v>259</v>
      </c>
      <c r="G5" s="56">
        <v>10530</v>
      </c>
      <c r="H5" s="56"/>
      <c r="I5" s="58">
        <f t="shared" ref="I5:I22" si="0">I4+G5-H5</f>
        <v>238432.83</v>
      </c>
      <c r="J5" s="56"/>
    </row>
    <row r="6" ht="20" customHeight="1" spans="1:16">
      <c r="B6" s="42">
        <v>1</v>
      </c>
      <c r="C6" s="42">
        <v>12</v>
      </c>
      <c r="D6" s="74" t="s">
        <v>127</v>
      </c>
      <c r="E6" s="117" t="s">
        <v>224</v>
      </c>
      <c r="F6" s="45" t="s">
        <v>260</v>
      </c>
      <c r="G6" s="84"/>
      <c r="H6" s="84">
        <v>8259.6</v>
      </c>
      <c r="I6" s="58">
        <f t="shared" si="0"/>
        <v>230173.23</v>
      </c>
      <c r="J6" s="59" t="s">
        <v>59</v>
      </c>
    </row>
    <row r="7" ht="20" customHeight="1" spans="1:16">
      <c r="B7" s="42">
        <v>1</v>
      </c>
      <c r="C7" s="42">
        <v>12</v>
      </c>
      <c r="D7" s="74" t="s">
        <v>127</v>
      </c>
      <c r="E7" s="117" t="s">
        <v>224</v>
      </c>
      <c r="F7" s="45" t="s">
        <v>261</v>
      </c>
      <c r="G7" s="84"/>
      <c r="H7" s="84">
        <v>1042.65</v>
      </c>
      <c r="I7" s="58">
        <f t="shared" si="0"/>
        <v>229130.58</v>
      </c>
      <c r="J7" s="59" t="s">
        <v>59</v>
      </c>
    </row>
    <row r="8" ht="20" customHeight="1" spans="1:16">
      <c r="B8" s="42">
        <v>1</v>
      </c>
      <c r="C8" s="42">
        <v>12</v>
      </c>
      <c r="D8" s="74" t="s">
        <v>127</v>
      </c>
      <c r="E8" s="117" t="s">
        <v>20</v>
      </c>
      <c r="F8" s="45" t="s">
        <v>262</v>
      </c>
      <c r="G8" s="84"/>
      <c r="H8" s="84">
        <v>6000</v>
      </c>
      <c r="I8" s="58">
        <f t="shared" si="0"/>
        <v>223130.58</v>
      </c>
      <c r="J8" s="59" t="s">
        <v>59</v>
      </c>
    </row>
    <row r="9" ht="20" customHeight="1" spans="1:16">
      <c r="B9" s="42">
        <v>1</v>
      </c>
      <c r="C9" s="42">
        <v>12</v>
      </c>
      <c r="D9" s="74" t="s">
        <v>127</v>
      </c>
      <c r="E9" s="117" t="s">
        <v>20</v>
      </c>
      <c r="F9" s="45" t="s">
        <v>263</v>
      </c>
      <c r="G9" s="84"/>
      <c r="H9" s="84">
        <v>14014.58</v>
      </c>
      <c r="I9" s="58">
        <f t="shared" si="0"/>
        <v>209116</v>
      </c>
      <c r="J9" s="59" t="s">
        <v>59</v>
      </c>
    </row>
    <row r="10" ht="20" customHeight="1" spans="1:16">
      <c r="B10" s="42">
        <v>1</v>
      </c>
      <c r="C10" s="42">
        <v>12</v>
      </c>
      <c r="D10" s="74" t="s">
        <v>127</v>
      </c>
      <c r="E10" s="117" t="s">
        <v>20</v>
      </c>
      <c r="F10" s="45" t="s">
        <v>264</v>
      </c>
      <c r="G10" s="84"/>
      <c r="H10" s="84">
        <v>2000</v>
      </c>
      <c r="I10" s="58">
        <f t="shared" si="0"/>
        <v>207116</v>
      </c>
      <c r="J10" s="59" t="s">
        <v>59</v>
      </c>
    </row>
    <row r="11" ht="20" customHeight="1" spans="1:16">
      <c r="B11" s="42">
        <v>1</v>
      </c>
      <c r="C11" s="42">
        <v>13</v>
      </c>
      <c r="D11" s="42" t="s">
        <v>94</v>
      </c>
      <c r="E11" s="117" t="s">
        <v>265</v>
      </c>
      <c r="F11" s="45" t="s">
        <v>266</v>
      </c>
      <c r="G11" s="84"/>
      <c r="H11" s="84">
        <v>10530</v>
      </c>
      <c r="I11" s="58">
        <f t="shared" si="0"/>
        <v>196586</v>
      </c>
      <c r="J11" s="56"/>
    </row>
    <row r="12" ht="20" customHeight="1" spans="1:16">
      <c r="B12" s="42">
        <v>1</v>
      </c>
      <c r="C12" s="42">
        <v>14</v>
      </c>
      <c r="D12" s="74" t="s">
        <v>69</v>
      </c>
      <c r="E12" s="189" t="s">
        <v>251</v>
      </c>
      <c r="F12" s="190" t="s">
        <v>267</v>
      </c>
      <c r="G12" s="84"/>
      <c r="H12" s="84">
        <v>130000</v>
      </c>
      <c r="I12" s="58">
        <f t="shared" si="0"/>
        <v>66586</v>
      </c>
      <c r="J12" s="56" t="s">
        <v>59</v>
      </c>
    </row>
    <row r="13" ht="20" customHeight="1" spans="1:16">
      <c r="B13" s="42">
        <v>1</v>
      </c>
      <c r="C13" s="42">
        <v>15</v>
      </c>
      <c r="D13" s="42" t="s">
        <v>127</v>
      </c>
      <c r="E13" s="117" t="s">
        <v>20</v>
      </c>
      <c r="F13" s="44" t="s">
        <v>268</v>
      </c>
      <c r="G13" s="84"/>
      <c r="H13" s="84">
        <v>21502.11</v>
      </c>
      <c r="I13" s="58">
        <f t="shared" si="0"/>
        <v>45083.89</v>
      </c>
      <c r="J13" s="56" t="s">
        <v>59</v>
      </c>
    </row>
    <row r="14" ht="20" customHeight="1" spans="1:16">
      <c r="B14" s="42">
        <v>1</v>
      </c>
      <c r="C14" s="42">
        <v>15</v>
      </c>
      <c r="D14" s="74" t="s">
        <v>69</v>
      </c>
      <c r="E14" s="44" t="s">
        <v>269</v>
      </c>
      <c r="F14" s="45" t="s">
        <v>270</v>
      </c>
      <c r="G14" s="84"/>
      <c r="H14" s="84">
        <v>20000</v>
      </c>
      <c r="I14" s="58">
        <f t="shared" si="0"/>
        <v>25083.89</v>
      </c>
      <c r="J14" s="56" t="s">
        <v>59</v>
      </c>
    </row>
    <row r="15" ht="20" customHeight="1" spans="1:16">
      <c r="B15" s="42">
        <v>1</v>
      </c>
      <c r="C15" s="42">
        <v>15</v>
      </c>
      <c r="D15" s="42" t="s">
        <v>92</v>
      </c>
      <c r="E15" s="44" t="s">
        <v>271</v>
      </c>
      <c r="F15" s="45" t="s">
        <v>272</v>
      </c>
      <c r="G15" s="84"/>
      <c r="H15" s="84">
        <v>25000</v>
      </c>
      <c r="I15" s="58">
        <f t="shared" si="0"/>
        <v>83.8899999999994</v>
      </c>
      <c r="J15" s="56" t="s">
        <v>59</v>
      </c>
    </row>
    <row r="16" ht="20" customHeight="1" spans="1:16">
      <c r="B16" s="42">
        <v>1</v>
      </c>
      <c r="C16" s="42">
        <v>16</v>
      </c>
      <c r="D16" s="74" t="s">
        <v>77</v>
      </c>
      <c r="E16" s="117" t="s">
        <v>273</v>
      </c>
      <c r="F16" s="45" t="s">
        <v>274</v>
      </c>
      <c r="G16" s="84">
        <v>12832.11</v>
      </c>
      <c r="H16" s="84"/>
      <c r="I16" s="58">
        <f t="shared" si="0"/>
        <v>12916</v>
      </c>
      <c r="J16" s="56" t="s">
        <v>59</v>
      </c>
    </row>
    <row r="17" ht="20" customHeight="1" spans="2:10">
      <c r="B17" s="42">
        <v>1</v>
      </c>
      <c r="C17" s="42">
        <v>16</v>
      </c>
      <c r="D17" s="74" t="s">
        <v>69</v>
      </c>
      <c r="E17" s="117" t="s">
        <v>275</v>
      </c>
      <c r="F17" s="45" t="s">
        <v>276</v>
      </c>
      <c r="G17" s="84"/>
      <c r="H17" s="84">
        <v>12832.11</v>
      </c>
      <c r="I17" s="58">
        <f t="shared" si="0"/>
        <v>83.8899999999994</v>
      </c>
      <c r="J17" s="56" t="s">
        <v>59</v>
      </c>
    </row>
    <row r="18" ht="20" customHeight="1" spans="2:10">
      <c r="B18" s="42">
        <v>1</v>
      </c>
      <c r="C18" s="42">
        <v>17</v>
      </c>
      <c r="D18" s="74" t="s">
        <v>76</v>
      </c>
      <c r="E18" s="44" t="s">
        <v>277</v>
      </c>
      <c r="F18" s="45" t="s">
        <v>278</v>
      </c>
      <c r="G18" s="84">
        <v>11000</v>
      </c>
      <c r="H18" s="84"/>
      <c r="I18" s="58">
        <f t="shared" si="0"/>
        <v>11083.89</v>
      </c>
      <c r="J18" s="56"/>
    </row>
    <row r="19" ht="20" customHeight="1" spans="2:10">
      <c r="B19" s="42">
        <v>1</v>
      </c>
      <c r="C19" s="42">
        <v>23</v>
      </c>
      <c r="D19" s="74" t="s">
        <v>76</v>
      </c>
      <c r="E19" s="45" t="s">
        <v>279</v>
      </c>
      <c r="F19" s="45" t="s">
        <v>278</v>
      </c>
      <c r="G19" s="84">
        <v>29406.8</v>
      </c>
      <c r="H19" s="84"/>
      <c r="I19" s="58">
        <f t="shared" si="0"/>
        <v>40490.69</v>
      </c>
      <c r="J19" s="56"/>
    </row>
    <row r="20" ht="20" customHeight="1" spans="2:10">
      <c r="B20" s="42">
        <v>1</v>
      </c>
      <c r="C20" s="42">
        <v>26</v>
      </c>
      <c r="D20" s="42" t="s">
        <v>94</v>
      </c>
      <c r="E20" s="117" t="s">
        <v>265</v>
      </c>
      <c r="F20" s="45" t="s">
        <v>278</v>
      </c>
      <c r="G20" s="84"/>
      <c r="H20" s="84">
        <v>40406.8</v>
      </c>
      <c r="I20" s="58">
        <f t="shared" si="0"/>
        <v>83.8899999999994</v>
      </c>
      <c r="J20" s="56"/>
    </row>
    <row r="21" ht="20" customHeight="1" spans="2:10">
      <c r="B21" s="42">
        <v>1</v>
      </c>
      <c r="C21" s="42">
        <v>26</v>
      </c>
      <c r="D21" s="74" t="s">
        <v>69</v>
      </c>
      <c r="E21" s="117" t="s">
        <v>239</v>
      </c>
      <c r="F21" s="45" t="s">
        <v>280</v>
      </c>
      <c r="G21" s="84">
        <v>1000</v>
      </c>
      <c r="H21" s="84"/>
      <c r="I21" s="58">
        <f t="shared" si="0"/>
        <v>1083.89</v>
      </c>
      <c r="J21" s="59" t="s">
        <v>64</v>
      </c>
    </row>
    <row r="22" ht="20" customHeight="1" spans="2:10">
      <c r="B22" s="42">
        <v>1</v>
      </c>
      <c r="C22" s="42">
        <v>26</v>
      </c>
      <c r="D22" s="74" t="s">
        <v>92</v>
      </c>
      <c r="E22" s="117" t="s">
        <v>281</v>
      </c>
      <c r="F22" s="45" t="s">
        <v>282</v>
      </c>
      <c r="G22" s="84"/>
      <c r="H22" s="84">
        <v>1000</v>
      </c>
      <c r="I22" s="58">
        <f t="shared" si="0"/>
        <v>83.8899999999994</v>
      </c>
      <c r="J22" s="56" t="s">
        <v>59</v>
      </c>
    </row>
    <row r="23" ht="20" customHeight="1" spans="2:10">
      <c r="B23" s="68"/>
      <c r="C23" s="68"/>
      <c r="D23" s="68"/>
      <c r="E23" s="130"/>
      <c r="F23" s="70" t="s">
        <v>22</v>
      </c>
      <c r="G23" s="71">
        <f>SUM(G5:G22)</f>
        <v>64768.91</v>
      </c>
      <c r="H23" s="71">
        <f>SUM(H5:H22)</f>
        <v>292587.85</v>
      </c>
      <c r="I23" s="72">
        <f>I4+G23-H23</f>
        <v>83.890000000014</v>
      </c>
      <c r="J23" s="71"/>
    </row>
    <row r="24" ht="20" customHeight="1" spans="2:10">
      <c r="B24" s="42">
        <v>2</v>
      </c>
      <c r="C24" s="42">
        <v>5</v>
      </c>
      <c r="D24" s="74" t="s">
        <v>69</v>
      </c>
      <c r="E24" s="117" t="s">
        <v>239</v>
      </c>
      <c r="F24" s="45" t="s">
        <v>280</v>
      </c>
      <c r="G24" s="55">
        <v>96000</v>
      </c>
      <c r="H24" s="56"/>
      <c r="I24" s="58">
        <f t="shared" ref="I24:I53" si="1">I23+G24-H24</f>
        <v>96083.89</v>
      </c>
      <c r="J24" s="59" t="s">
        <v>64</v>
      </c>
    </row>
    <row r="25" ht="20" customHeight="1" spans="2:10">
      <c r="B25" s="42">
        <v>2</v>
      </c>
      <c r="C25" s="42">
        <v>5</v>
      </c>
      <c r="D25" s="74" t="s">
        <v>134</v>
      </c>
      <c r="E25" s="117" t="s">
        <v>283</v>
      </c>
      <c r="F25" s="45" t="s">
        <v>284</v>
      </c>
      <c r="G25" s="84"/>
      <c r="H25" s="191">
        <v>21600</v>
      </c>
      <c r="I25" s="58">
        <f t="shared" si="1"/>
        <v>74483.89</v>
      </c>
      <c r="J25" s="56" t="s">
        <v>59</v>
      </c>
    </row>
    <row r="26" ht="20" customHeight="1" spans="2:10">
      <c r="B26" s="42">
        <v>2</v>
      </c>
      <c r="C26" s="42">
        <v>5</v>
      </c>
      <c r="D26" s="74" t="s">
        <v>83</v>
      </c>
      <c r="E26" s="117" t="s">
        <v>285</v>
      </c>
      <c r="F26" s="45" t="s">
        <v>286</v>
      </c>
      <c r="G26" s="56"/>
      <c r="H26" s="55">
        <v>65000</v>
      </c>
      <c r="I26" s="58">
        <f t="shared" si="1"/>
        <v>9483.89000000001</v>
      </c>
      <c r="J26" s="56" t="s">
        <v>59</v>
      </c>
    </row>
    <row r="27" ht="20" customHeight="1" spans="2:10">
      <c r="B27" s="42">
        <v>2</v>
      </c>
      <c r="C27" s="42">
        <v>5</v>
      </c>
      <c r="D27" s="74" t="s">
        <v>100</v>
      </c>
      <c r="E27" s="45" t="s">
        <v>287</v>
      </c>
      <c r="F27" s="45" t="s">
        <v>288</v>
      </c>
      <c r="G27" s="56"/>
      <c r="H27" s="191">
        <v>8500</v>
      </c>
      <c r="I27" s="58">
        <f t="shared" si="1"/>
        <v>983.890000000014</v>
      </c>
      <c r="J27" s="56" t="s">
        <v>59</v>
      </c>
    </row>
    <row r="28" ht="20" customHeight="1" spans="2:10">
      <c r="B28" s="42">
        <v>2</v>
      </c>
      <c r="C28" s="42">
        <v>9</v>
      </c>
      <c r="D28" s="74" t="s">
        <v>69</v>
      </c>
      <c r="E28" s="117" t="s">
        <v>239</v>
      </c>
      <c r="F28" s="45" t="s">
        <v>280</v>
      </c>
      <c r="G28" s="55">
        <v>2000</v>
      </c>
      <c r="H28" s="56"/>
      <c r="I28" s="58">
        <f t="shared" si="1"/>
        <v>2983.89000000001</v>
      </c>
      <c r="J28" s="59" t="s">
        <v>64</v>
      </c>
    </row>
    <row r="29" ht="20" customHeight="1" spans="2:10">
      <c r="B29" s="42">
        <v>2</v>
      </c>
      <c r="C29" s="42">
        <v>9</v>
      </c>
      <c r="D29" s="74" t="s">
        <v>111</v>
      </c>
      <c r="E29" s="44" t="s">
        <v>243</v>
      </c>
      <c r="F29" s="45" t="s">
        <v>289</v>
      </c>
      <c r="G29" s="56"/>
      <c r="H29" s="191">
        <v>1278</v>
      </c>
      <c r="I29" s="58">
        <f t="shared" si="1"/>
        <v>1705.89000000001</v>
      </c>
      <c r="J29" s="56" t="s">
        <v>59</v>
      </c>
    </row>
    <row r="30" ht="20" customHeight="1" spans="2:10">
      <c r="B30" s="42">
        <v>2</v>
      </c>
      <c r="C30" s="42">
        <v>9</v>
      </c>
      <c r="D30" s="74" t="s">
        <v>69</v>
      </c>
      <c r="E30" s="44" t="s">
        <v>241</v>
      </c>
      <c r="F30" s="45" t="s">
        <v>290</v>
      </c>
      <c r="G30" s="56"/>
      <c r="H30" s="55">
        <v>1000</v>
      </c>
      <c r="I30" s="58">
        <f t="shared" si="1"/>
        <v>705.890000000014</v>
      </c>
      <c r="J30" s="56" t="s">
        <v>59</v>
      </c>
    </row>
    <row r="31" ht="20" customHeight="1" spans="2:10">
      <c r="B31" s="42">
        <v>2</v>
      </c>
      <c r="C31" s="42">
        <v>10</v>
      </c>
      <c r="D31" s="74" t="s">
        <v>69</v>
      </c>
      <c r="E31" s="44" t="s">
        <v>239</v>
      </c>
      <c r="F31" s="45" t="s">
        <v>280</v>
      </c>
      <c r="G31" s="55">
        <v>10000</v>
      </c>
      <c r="H31" s="56"/>
      <c r="I31" s="58">
        <f t="shared" si="1"/>
        <v>10705.89</v>
      </c>
      <c r="J31" s="59" t="s">
        <v>64</v>
      </c>
    </row>
    <row r="32" ht="20" customHeight="1" spans="2:10">
      <c r="B32" s="42">
        <v>2</v>
      </c>
      <c r="C32" s="42">
        <v>10</v>
      </c>
      <c r="D32" s="42" t="s">
        <v>127</v>
      </c>
      <c r="E32" s="44" t="s">
        <v>291</v>
      </c>
      <c r="F32" s="45" t="s">
        <v>292</v>
      </c>
      <c r="G32" s="56"/>
      <c r="H32" s="191">
        <v>10000</v>
      </c>
      <c r="I32" s="58">
        <f t="shared" si="1"/>
        <v>705.890000000014</v>
      </c>
      <c r="J32" s="56" t="s">
        <v>59</v>
      </c>
    </row>
    <row r="33" ht="20" customHeight="1" spans="2:10">
      <c r="B33" s="42">
        <v>2</v>
      </c>
      <c r="C33" s="42">
        <v>10</v>
      </c>
      <c r="D33" s="74" t="s">
        <v>76</v>
      </c>
      <c r="E33" s="188" t="s">
        <v>258</v>
      </c>
      <c r="F33" s="45" t="s">
        <v>259</v>
      </c>
      <c r="G33" s="56">
        <v>10530</v>
      </c>
      <c r="H33" s="56"/>
      <c r="I33" s="58">
        <f t="shared" si="1"/>
        <v>11235.89</v>
      </c>
      <c r="J33" s="56"/>
    </row>
    <row r="34" ht="20" customHeight="1" spans="2:10">
      <c r="B34" s="42">
        <v>2</v>
      </c>
      <c r="C34" s="42">
        <v>11</v>
      </c>
      <c r="D34" s="74" t="s">
        <v>69</v>
      </c>
      <c r="E34" s="44" t="s">
        <v>239</v>
      </c>
      <c r="F34" s="45" t="s">
        <v>280</v>
      </c>
      <c r="G34" s="55">
        <v>60000</v>
      </c>
      <c r="H34" s="56"/>
      <c r="I34" s="58">
        <f t="shared" si="1"/>
        <v>71235.89</v>
      </c>
      <c r="J34" s="59" t="s">
        <v>64</v>
      </c>
    </row>
    <row r="35" ht="20" customHeight="1" spans="2:10">
      <c r="B35" s="42">
        <v>2</v>
      </c>
      <c r="C35" s="42">
        <v>11</v>
      </c>
      <c r="D35" s="42" t="s">
        <v>127</v>
      </c>
      <c r="E35" s="117" t="s">
        <v>224</v>
      </c>
      <c r="F35" s="45" t="s">
        <v>260</v>
      </c>
      <c r="G35" s="84"/>
      <c r="H35" s="191">
        <v>8115.89</v>
      </c>
      <c r="I35" s="58">
        <f t="shared" si="1"/>
        <v>63120</v>
      </c>
      <c r="J35" s="56" t="s">
        <v>59</v>
      </c>
    </row>
    <row r="36" ht="20" customHeight="1" spans="2:10">
      <c r="B36" s="42">
        <v>2</v>
      </c>
      <c r="C36" s="42">
        <v>11</v>
      </c>
      <c r="D36" s="42" t="s">
        <v>127</v>
      </c>
      <c r="E36" s="117" t="s">
        <v>224</v>
      </c>
      <c r="F36" s="45" t="s">
        <v>261</v>
      </c>
      <c r="G36" s="84"/>
      <c r="H36" s="191">
        <v>1035.86</v>
      </c>
      <c r="I36" s="58">
        <f t="shared" si="1"/>
        <v>62084.14</v>
      </c>
      <c r="J36" s="56" t="s">
        <v>59</v>
      </c>
    </row>
    <row r="37" ht="20" customHeight="1" spans="2:10">
      <c r="B37" s="42">
        <v>2</v>
      </c>
      <c r="C37" s="42">
        <v>11</v>
      </c>
      <c r="D37" s="42" t="s">
        <v>127</v>
      </c>
      <c r="E37" s="117" t="s">
        <v>20</v>
      </c>
      <c r="F37" s="45" t="s">
        <v>262</v>
      </c>
      <c r="G37" s="84"/>
      <c r="H37" s="191">
        <v>6000</v>
      </c>
      <c r="I37" s="58">
        <f t="shared" si="1"/>
        <v>56084.14</v>
      </c>
      <c r="J37" s="56" t="s">
        <v>59</v>
      </c>
    </row>
    <row r="38" ht="20" customHeight="1" spans="2:10">
      <c r="B38" s="42">
        <v>2</v>
      </c>
      <c r="C38" s="42">
        <v>11</v>
      </c>
      <c r="D38" s="42" t="s">
        <v>127</v>
      </c>
      <c r="E38" s="117" t="s">
        <v>20</v>
      </c>
      <c r="F38" s="45" t="s">
        <v>263</v>
      </c>
      <c r="G38" s="84"/>
      <c r="H38" s="191">
        <v>14014.58</v>
      </c>
      <c r="I38" s="58">
        <f t="shared" si="1"/>
        <v>42069.56</v>
      </c>
      <c r="J38" s="56" t="s">
        <v>59</v>
      </c>
    </row>
    <row r="39" ht="20" customHeight="1" spans="2:10">
      <c r="B39" s="42">
        <v>2</v>
      </c>
      <c r="C39" s="42">
        <v>11</v>
      </c>
      <c r="D39" s="42" t="s">
        <v>127</v>
      </c>
      <c r="E39" s="117" t="s">
        <v>20</v>
      </c>
      <c r="F39" s="45" t="s">
        <v>264</v>
      </c>
      <c r="G39" s="84"/>
      <c r="H39" s="191">
        <v>2000</v>
      </c>
      <c r="I39" s="58">
        <f t="shared" si="1"/>
        <v>40069.56</v>
      </c>
      <c r="J39" s="56" t="s">
        <v>59</v>
      </c>
    </row>
    <row r="40" ht="20" customHeight="1" spans="2:10">
      <c r="B40" s="42">
        <v>2</v>
      </c>
      <c r="C40" s="42">
        <v>13</v>
      </c>
      <c r="D40" s="74" t="s">
        <v>69</v>
      </c>
      <c r="E40" s="44" t="s">
        <v>293</v>
      </c>
      <c r="F40" s="45" t="s">
        <v>294</v>
      </c>
      <c r="G40" s="55">
        <v>26000</v>
      </c>
      <c r="H40" s="55"/>
      <c r="I40" s="58">
        <f t="shared" si="1"/>
        <v>66069.56</v>
      </c>
      <c r="J40" s="56" t="s">
        <v>59</v>
      </c>
    </row>
    <row r="41" ht="20" customHeight="1" spans="2:10">
      <c r="B41" s="42">
        <v>2</v>
      </c>
      <c r="C41" s="42">
        <v>13</v>
      </c>
      <c r="D41" s="74" t="s">
        <v>69</v>
      </c>
      <c r="E41" s="44" t="s">
        <v>295</v>
      </c>
      <c r="F41" s="45" t="s">
        <v>296</v>
      </c>
      <c r="G41" s="55">
        <v>16000</v>
      </c>
      <c r="H41" s="55"/>
      <c r="I41" s="58">
        <f t="shared" si="1"/>
        <v>82069.56</v>
      </c>
      <c r="J41" s="56" t="s">
        <v>59</v>
      </c>
    </row>
    <row r="42" ht="20" customHeight="1" spans="2:10">
      <c r="B42" s="42">
        <v>2</v>
      </c>
      <c r="C42" s="42">
        <v>13</v>
      </c>
      <c r="D42" s="42" t="s">
        <v>94</v>
      </c>
      <c r="E42" s="117" t="s">
        <v>265</v>
      </c>
      <c r="F42" s="45" t="s">
        <v>266</v>
      </c>
      <c r="G42" s="55"/>
      <c r="H42" s="191">
        <v>10530</v>
      </c>
      <c r="I42" s="58">
        <f t="shared" si="1"/>
        <v>71539.56</v>
      </c>
      <c r="J42" s="56"/>
    </row>
    <row r="43" ht="20" customHeight="1" spans="2:10">
      <c r="B43" s="42">
        <v>2</v>
      </c>
      <c r="C43" s="42">
        <v>13</v>
      </c>
      <c r="D43" s="42" t="s">
        <v>92</v>
      </c>
      <c r="E43" s="44" t="s">
        <v>271</v>
      </c>
      <c r="F43" s="45" t="s">
        <v>297</v>
      </c>
      <c r="G43" s="55"/>
      <c r="H43" s="191">
        <v>25000</v>
      </c>
      <c r="I43" s="58">
        <f t="shared" si="1"/>
        <v>46539.56</v>
      </c>
      <c r="J43" s="56" t="s">
        <v>59</v>
      </c>
    </row>
    <row r="44" ht="20" customHeight="1" spans="2:10">
      <c r="B44" s="42">
        <v>2</v>
      </c>
      <c r="C44" s="42">
        <v>13</v>
      </c>
      <c r="D44" s="42" t="s">
        <v>92</v>
      </c>
      <c r="E44" s="44" t="s">
        <v>271</v>
      </c>
      <c r="F44" s="45" t="s">
        <v>298</v>
      </c>
      <c r="G44" s="55"/>
      <c r="H44" s="191">
        <v>17000</v>
      </c>
      <c r="I44" s="58">
        <f t="shared" si="1"/>
        <v>29539.56</v>
      </c>
      <c r="J44" s="56" t="s">
        <v>59</v>
      </c>
    </row>
    <row r="45" ht="20" customHeight="1" spans="2:10">
      <c r="B45" s="42">
        <v>2</v>
      </c>
      <c r="C45" s="42">
        <v>14</v>
      </c>
      <c r="D45" s="74" t="s">
        <v>69</v>
      </c>
      <c r="E45" s="117" t="s">
        <v>239</v>
      </c>
      <c r="F45" s="45" t="s">
        <v>280</v>
      </c>
      <c r="G45" s="55">
        <v>10000</v>
      </c>
      <c r="H45" s="56"/>
      <c r="I45" s="58">
        <f t="shared" si="1"/>
        <v>39539.56</v>
      </c>
      <c r="J45" s="59" t="s">
        <v>64</v>
      </c>
    </row>
    <row r="46" ht="20" customHeight="1" spans="2:10">
      <c r="B46" s="42">
        <v>2</v>
      </c>
      <c r="C46" s="42">
        <v>14</v>
      </c>
      <c r="D46" s="42" t="s">
        <v>127</v>
      </c>
      <c r="E46" s="44" t="s">
        <v>178</v>
      </c>
      <c r="F46" s="45" t="s">
        <v>299</v>
      </c>
      <c r="G46" s="55"/>
      <c r="H46" s="191">
        <v>3303.09</v>
      </c>
      <c r="I46" s="58">
        <f t="shared" si="1"/>
        <v>36236.47</v>
      </c>
      <c r="J46" s="56" t="s">
        <v>59</v>
      </c>
    </row>
    <row r="47" ht="20" customHeight="1" spans="2:10">
      <c r="B47" s="42">
        <v>2</v>
      </c>
      <c r="C47" s="42">
        <v>14</v>
      </c>
      <c r="D47" s="42" t="s">
        <v>127</v>
      </c>
      <c r="E47" s="44" t="s">
        <v>178</v>
      </c>
      <c r="F47" s="45" t="s">
        <v>300</v>
      </c>
      <c r="G47" s="55"/>
      <c r="H47" s="191">
        <v>2807</v>
      </c>
      <c r="I47" s="58">
        <f t="shared" si="1"/>
        <v>33429.47</v>
      </c>
      <c r="J47" s="56" t="s">
        <v>59</v>
      </c>
    </row>
    <row r="48" ht="20" customHeight="1" spans="2:10">
      <c r="B48" s="42">
        <v>2</v>
      </c>
      <c r="C48" s="42">
        <v>14</v>
      </c>
      <c r="D48" s="74" t="s">
        <v>98</v>
      </c>
      <c r="E48" s="44" t="s">
        <v>178</v>
      </c>
      <c r="F48" s="45" t="s">
        <v>301</v>
      </c>
      <c r="G48" s="55"/>
      <c r="H48" s="191">
        <v>2600</v>
      </c>
      <c r="I48" s="58">
        <f t="shared" si="1"/>
        <v>30829.47</v>
      </c>
      <c r="J48" s="56" t="s">
        <v>59</v>
      </c>
    </row>
    <row r="49" ht="20" customHeight="1" spans="2:10">
      <c r="B49" s="42">
        <v>2</v>
      </c>
      <c r="C49" s="42">
        <v>14</v>
      </c>
      <c r="D49" s="42" t="s">
        <v>117</v>
      </c>
      <c r="E49" s="44" t="s">
        <v>178</v>
      </c>
      <c r="F49" s="45" t="s">
        <v>302</v>
      </c>
      <c r="G49" s="55"/>
      <c r="H49" s="191">
        <v>1000</v>
      </c>
      <c r="I49" s="58">
        <f t="shared" si="1"/>
        <v>29829.47</v>
      </c>
      <c r="J49" s="56" t="s">
        <v>59</v>
      </c>
    </row>
    <row r="50" ht="20" customHeight="1" spans="2:10">
      <c r="B50" s="42">
        <v>2</v>
      </c>
      <c r="C50" s="42">
        <v>15</v>
      </c>
      <c r="D50" s="42" t="s">
        <v>127</v>
      </c>
      <c r="E50" s="117" t="s">
        <v>20</v>
      </c>
      <c r="F50" s="117" t="s">
        <v>268</v>
      </c>
      <c r="G50" s="55"/>
      <c r="H50" s="191">
        <v>21502.11</v>
      </c>
      <c r="I50" s="58">
        <f t="shared" si="1"/>
        <v>8327.36000000002</v>
      </c>
      <c r="J50" s="56" t="s">
        <v>59</v>
      </c>
    </row>
    <row r="51" ht="20" customHeight="1" spans="2:10">
      <c r="B51" s="42">
        <v>2</v>
      </c>
      <c r="C51" s="42">
        <v>27</v>
      </c>
      <c r="D51" s="74" t="s">
        <v>76</v>
      </c>
      <c r="E51" s="44" t="s">
        <v>277</v>
      </c>
      <c r="F51" s="45" t="s">
        <v>278</v>
      </c>
      <c r="G51" s="191">
        <v>11000</v>
      </c>
      <c r="H51" s="56"/>
      <c r="I51" s="58">
        <f t="shared" si="1"/>
        <v>19327.36</v>
      </c>
      <c r="J51" s="56"/>
    </row>
    <row r="52" ht="20" customHeight="1" spans="2:10">
      <c r="B52" s="42">
        <v>2</v>
      </c>
      <c r="C52" s="42">
        <v>27</v>
      </c>
      <c r="D52" s="74" t="s">
        <v>76</v>
      </c>
      <c r="E52" s="45" t="s">
        <v>279</v>
      </c>
      <c r="F52" s="45" t="s">
        <v>278</v>
      </c>
      <c r="G52" s="191">
        <v>29406.8</v>
      </c>
      <c r="H52" s="56"/>
      <c r="I52" s="58">
        <f t="shared" si="1"/>
        <v>48734.16</v>
      </c>
      <c r="J52" s="56"/>
    </row>
    <row r="53" ht="20" customHeight="1" spans="2:10">
      <c r="B53" s="42">
        <v>2</v>
      </c>
      <c r="C53" s="42">
        <v>28</v>
      </c>
      <c r="D53" s="74" t="s">
        <v>77</v>
      </c>
      <c r="E53" s="117" t="s">
        <v>273</v>
      </c>
      <c r="F53" s="45" t="s">
        <v>303</v>
      </c>
      <c r="G53" s="191">
        <v>45000</v>
      </c>
      <c r="H53" s="55"/>
      <c r="I53" s="58">
        <f t="shared" si="1"/>
        <v>93734.16</v>
      </c>
      <c r="J53" s="56" t="s">
        <v>59</v>
      </c>
    </row>
    <row r="54" ht="20" customHeight="1" spans="2:10">
      <c r="B54" s="68"/>
      <c r="C54" s="68"/>
      <c r="D54" s="68"/>
      <c r="E54" s="130"/>
      <c r="F54" s="70" t="s">
        <v>22</v>
      </c>
      <c r="G54" s="71">
        <f>SUM(G24:G53)</f>
        <v>315936.8</v>
      </c>
      <c r="H54" s="71">
        <f>SUM(H24:H53)</f>
        <v>222286.53</v>
      </c>
      <c r="I54" s="72">
        <f>I23+G54-H54</f>
        <v>93734.16</v>
      </c>
      <c r="J54" s="71"/>
    </row>
    <row r="55" ht="20" customHeight="1" spans="2:10">
      <c r="B55" s="42">
        <v>3</v>
      </c>
      <c r="C55" s="42">
        <v>4</v>
      </c>
      <c r="D55" s="42" t="s">
        <v>94</v>
      </c>
      <c r="E55" s="117" t="s">
        <v>265</v>
      </c>
      <c r="F55" s="45" t="s">
        <v>278</v>
      </c>
      <c r="G55" s="56"/>
      <c r="H55" s="191">
        <v>40406.8</v>
      </c>
      <c r="I55" s="58">
        <f>I53+G55-H55</f>
        <v>53327.36</v>
      </c>
      <c r="J55" s="56"/>
    </row>
    <row r="56" ht="20" customHeight="1" spans="2:10">
      <c r="B56" s="42">
        <v>3</v>
      </c>
      <c r="C56" s="42">
        <v>4</v>
      </c>
      <c r="D56" s="74" t="s">
        <v>69</v>
      </c>
      <c r="E56" s="117" t="s">
        <v>304</v>
      </c>
      <c r="F56" s="44" t="s">
        <v>305</v>
      </c>
      <c r="G56" s="56"/>
      <c r="H56" s="191">
        <v>30098.25</v>
      </c>
      <c r="I56" s="58">
        <f t="shared" ref="I56:I82" si="2">I55+G56-H56</f>
        <v>23229.11</v>
      </c>
      <c r="J56" s="56" t="s">
        <v>59</v>
      </c>
    </row>
    <row r="57" ht="20" customHeight="1" spans="2:10">
      <c r="B57" s="42">
        <v>3</v>
      </c>
      <c r="C57" s="42">
        <v>4</v>
      </c>
      <c r="D57" s="74" t="s">
        <v>92</v>
      </c>
      <c r="E57" s="117" t="s">
        <v>281</v>
      </c>
      <c r="F57" s="45" t="s">
        <v>306</v>
      </c>
      <c r="G57" s="56"/>
      <c r="H57" s="56">
        <v>1000</v>
      </c>
      <c r="I57" s="58">
        <f t="shared" si="2"/>
        <v>22229.11</v>
      </c>
      <c r="J57" s="56" t="s">
        <v>59</v>
      </c>
    </row>
    <row r="58" ht="20" customHeight="1" spans="2:10">
      <c r="B58" s="42">
        <v>3</v>
      </c>
      <c r="C58" s="42">
        <v>10</v>
      </c>
      <c r="D58" s="42" t="s">
        <v>127</v>
      </c>
      <c r="E58" s="44" t="s">
        <v>20</v>
      </c>
      <c r="F58" s="45" t="s">
        <v>307</v>
      </c>
      <c r="G58" s="56"/>
      <c r="H58" s="56">
        <v>278.4</v>
      </c>
      <c r="I58" s="58">
        <f t="shared" si="2"/>
        <v>21950.71</v>
      </c>
      <c r="J58" s="56" t="s">
        <v>59</v>
      </c>
    </row>
    <row r="59" ht="20" customHeight="1" spans="2:10">
      <c r="B59" s="42">
        <v>3</v>
      </c>
      <c r="C59" s="42">
        <v>10</v>
      </c>
      <c r="D59" s="74" t="s">
        <v>76</v>
      </c>
      <c r="E59" s="188" t="s">
        <v>258</v>
      </c>
      <c r="F59" s="45" t="s">
        <v>259</v>
      </c>
      <c r="G59" s="56">
        <v>10530</v>
      </c>
      <c r="H59" s="56"/>
      <c r="I59" s="58">
        <f t="shared" si="2"/>
        <v>32480.71</v>
      </c>
      <c r="J59" s="56"/>
    </row>
    <row r="60" ht="20" customHeight="1" spans="2:10">
      <c r="B60" s="42">
        <v>3</v>
      </c>
      <c r="C60" s="42">
        <v>11</v>
      </c>
      <c r="D60" s="42" t="s">
        <v>69</v>
      </c>
      <c r="E60" s="117" t="s">
        <v>239</v>
      </c>
      <c r="F60" s="45" t="s">
        <v>280</v>
      </c>
      <c r="G60" s="56">
        <v>50000</v>
      </c>
      <c r="H60" s="56"/>
      <c r="I60" s="58">
        <f t="shared" si="2"/>
        <v>82480.71</v>
      </c>
      <c r="J60" s="59" t="s">
        <v>64</v>
      </c>
    </row>
    <row r="61" ht="20" customHeight="1" spans="2:10">
      <c r="B61" s="42">
        <v>3</v>
      </c>
      <c r="C61" s="42">
        <v>11</v>
      </c>
      <c r="D61" s="42" t="s">
        <v>69</v>
      </c>
      <c r="E61" s="117" t="s">
        <v>239</v>
      </c>
      <c r="F61" s="45" t="s">
        <v>280</v>
      </c>
      <c r="G61" s="56">
        <v>10000</v>
      </c>
      <c r="H61" s="56"/>
      <c r="I61" s="58">
        <f t="shared" si="2"/>
        <v>92480.71</v>
      </c>
      <c r="J61" s="59" t="s">
        <v>64</v>
      </c>
    </row>
    <row r="62" ht="20" customHeight="1" spans="2:10">
      <c r="B62" s="42">
        <v>3</v>
      </c>
      <c r="C62" s="42">
        <v>11</v>
      </c>
      <c r="D62" s="42" t="s">
        <v>94</v>
      </c>
      <c r="E62" s="117" t="s">
        <v>265</v>
      </c>
      <c r="F62" s="45" t="s">
        <v>266</v>
      </c>
      <c r="G62" s="56"/>
      <c r="H62" s="56">
        <v>10530</v>
      </c>
      <c r="I62" s="58">
        <f t="shared" si="2"/>
        <v>81950.71</v>
      </c>
      <c r="J62" s="56"/>
    </row>
    <row r="63" ht="20" customHeight="1" spans="2:10">
      <c r="B63" s="42">
        <v>3</v>
      </c>
      <c r="C63" s="42">
        <v>11</v>
      </c>
      <c r="D63" s="42" t="s">
        <v>127</v>
      </c>
      <c r="E63" s="117" t="s">
        <v>20</v>
      </c>
      <c r="F63" s="45" t="s">
        <v>264</v>
      </c>
      <c r="G63" s="56"/>
      <c r="H63" s="56">
        <v>2000</v>
      </c>
      <c r="I63" s="58">
        <f t="shared" si="2"/>
        <v>79950.71</v>
      </c>
      <c r="J63" s="56" t="s">
        <v>59</v>
      </c>
    </row>
    <row r="64" ht="20" customHeight="1" spans="2:10">
      <c r="B64" s="42">
        <v>3</v>
      </c>
      <c r="C64" s="42">
        <v>11</v>
      </c>
      <c r="D64" s="42" t="s">
        <v>127</v>
      </c>
      <c r="E64" s="117" t="s">
        <v>224</v>
      </c>
      <c r="F64" s="45" t="s">
        <v>260</v>
      </c>
      <c r="G64" s="56"/>
      <c r="H64" s="56">
        <v>8115.89</v>
      </c>
      <c r="I64" s="58">
        <f t="shared" si="2"/>
        <v>71834.82</v>
      </c>
      <c r="J64" s="56" t="s">
        <v>59</v>
      </c>
    </row>
    <row r="65" ht="20" customHeight="1" spans="2:10">
      <c r="B65" s="42">
        <v>3</v>
      </c>
      <c r="C65" s="42">
        <v>11</v>
      </c>
      <c r="D65" s="42" t="s">
        <v>127</v>
      </c>
      <c r="E65" s="117" t="s">
        <v>224</v>
      </c>
      <c r="F65" s="45" t="s">
        <v>261</v>
      </c>
      <c r="G65" s="56"/>
      <c r="H65" s="56">
        <v>1035.86</v>
      </c>
      <c r="I65" s="58">
        <f t="shared" si="2"/>
        <v>70798.96</v>
      </c>
      <c r="J65" s="56" t="s">
        <v>59</v>
      </c>
    </row>
    <row r="66" ht="20" customHeight="1" spans="2:10">
      <c r="B66" s="42">
        <v>3</v>
      </c>
      <c r="C66" s="42">
        <v>11</v>
      </c>
      <c r="D66" s="42" t="s">
        <v>127</v>
      </c>
      <c r="E66" s="117" t="s">
        <v>20</v>
      </c>
      <c r="F66" s="45" t="s">
        <v>262</v>
      </c>
      <c r="G66" s="56"/>
      <c r="H66" s="56">
        <v>6000</v>
      </c>
      <c r="I66" s="58">
        <f t="shared" si="2"/>
        <v>64798.96</v>
      </c>
      <c r="J66" s="56" t="s">
        <v>59</v>
      </c>
    </row>
    <row r="67" ht="20" customHeight="1" spans="2:10">
      <c r="B67" s="42">
        <v>3</v>
      </c>
      <c r="C67" s="42">
        <v>11</v>
      </c>
      <c r="D67" s="42" t="s">
        <v>127</v>
      </c>
      <c r="E67" s="117" t="s">
        <v>20</v>
      </c>
      <c r="F67" s="45" t="s">
        <v>263</v>
      </c>
      <c r="G67" s="56"/>
      <c r="H67" s="56">
        <v>12658.33</v>
      </c>
      <c r="I67" s="58">
        <f t="shared" si="2"/>
        <v>52140.63</v>
      </c>
      <c r="J67" s="56" t="s">
        <v>59</v>
      </c>
    </row>
    <row r="68" ht="20" customHeight="1" spans="2:10">
      <c r="B68" s="42">
        <v>3</v>
      </c>
      <c r="C68" s="42">
        <v>11</v>
      </c>
      <c r="D68" s="74" t="s">
        <v>69</v>
      </c>
      <c r="E68" s="117" t="s">
        <v>239</v>
      </c>
      <c r="F68" s="45" t="s">
        <v>280</v>
      </c>
      <c r="G68" s="56">
        <v>50000</v>
      </c>
      <c r="H68" s="56"/>
      <c r="I68" s="58">
        <f t="shared" si="2"/>
        <v>102140.63</v>
      </c>
      <c r="J68" s="59" t="s">
        <v>64</v>
      </c>
    </row>
    <row r="69" ht="20" customHeight="1" spans="2:10">
      <c r="B69" s="42">
        <v>3</v>
      </c>
      <c r="C69" s="42">
        <v>11</v>
      </c>
      <c r="D69" s="74" t="s">
        <v>69</v>
      </c>
      <c r="E69" s="117" t="s">
        <v>239</v>
      </c>
      <c r="F69" s="45" t="s">
        <v>280</v>
      </c>
      <c r="G69" s="56">
        <v>30000</v>
      </c>
      <c r="H69" s="56"/>
      <c r="I69" s="58">
        <f t="shared" si="2"/>
        <v>132140.63</v>
      </c>
      <c r="J69" s="59" t="s">
        <v>64</v>
      </c>
    </row>
    <row r="70" ht="20" customHeight="1" spans="2:10">
      <c r="B70" s="42">
        <v>3</v>
      </c>
      <c r="C70" s="42">
        <v>11</v>
      </c>
      <c r="D70" s="74" t="s">
        <v>130</v>
      </c>
      <c r="E70" s="189" t="s">
        <v>308</v>
      </c>
      <c r="F70" s="192" t="s">
        <v>309</v>
      </c>
      <c r="G70" s="56"/>
      <c r="H70" s="56">
        <v>15000</v>
      </c>
      <c r="I70" s="58">
        <f t="shared" si="2"/>
        <v>117140.63</v>
      </c>
      <c r="J70" s="56" t="s">
        <v>59</v>
      </c>
    </row>
    <row r="71" ht="20" customHeight="1" spans="2:10">
      <c r="B71" s="42">
        <v>3</v>
      </c>
      <c r="C71" s="42">
        <v>11</v>
      </c>
      <c r="D71" s="74" t="s">
        <v>83</v>
      </c>
      <c r="E71" s="117" t="s">
        <v>285</v>
      </c>
      <c r="F71" s="45" t="s">
        <v>310</v>
      </c>
      <c r="G71" s="56"/>
      <c r="H71" s="56">
        <v>65000</v>
      </c>
      <c r="I71" s="58">
        <f t="shared" si="2"/>
        <v>52140.63</v>
      </c>
      <c r="J71" s="56" t="s">
        <v>59</v>
      </c>
    </row>
    <row r="72" ht="20" customHeight="1" spans="2:10">
      <c r="B72" s="42">
        <v>3</v>
      </c>
      <c r="C72" s="42">
        <v>15</v>
      </c>
      <c r="D72" s="42" t="s">
        <v>127</v>
      </c>
      <c r="E72" s="117" t="s">
        <v>20</v>
      </c>
      <c r="F72" s="117" t="s">
        <v>268</v>
      </c>
      <c r="G72" s="84"/>
      <c r="H72" s="84">
        <v>21502.11</v>
      </c>
      <c r="I72" s="58">
        <f t="shared" si="2"/>
        <v>30638.52</v>
      </c>
      <c r="J72" s="56" t="s">
        <v>59</v>
      </c>
    </row>
    <row r="73" ht="20" customHeight="1" spans="2:10">
      <c r="B73" s="42">
        <v>3</v>
      </c>
      <c r="C73" s="42">
        <v>16</v>
      </c>
      <c r="D73" s="42" t="s">
        <v>92</v>
      </c>
      <c r="E73" s="44" t="s">
        <v>271</v>
      </c>
      <c r="F73" s="45" t="s">
        <v>311</v>
      </c>
      <c r="G73" s="56"/>
      <c r="H73" s="56">
        <v>25000</v>
      </c>
      <c r="I73" s="58">
        <f t="shared" si="2"/>
        <v>5638.52</v>
      </c>
      <c r="J73" s="56" t="s">
        <v>59</v>
      </c>
    </row>
    <row r="74" ht="20" customHeight="1" spans="2:10">
      <c r="B74" s="42">
        <v>3</v>
      </c>
      <c r="C74" s="42">
        <v>17</v>
      </c>
      <c r="D74" s="74" t="s">
        <v>76</v>
      </c>
      <c r="E74" s="117" t="s">
        <v>277</v>
      </c>
      <c r="F74" s="45" t="s">
        <v>278</v>
      </c>
      <c r="G74" s="71">
        <v>11000</v>
      </c>
      <c r="H74" s="56"/>
      <c r="I74" s="58">
        <f t="shared" si="2"/>
        <v>16638.52</v>
      </c>
      <c r="J74" s="56"/>
    </row>
    <row r="75" ht="20" customHeight="1" spans="2:10">
      <c r="B75" s="42">
        <v>3</v>
      </c>
      <c r="C75" s="42">
        <v>19</v>
      </c>
      <c r="D75" s="74" t="s">
        <v>77</v>
      </c>
      <c r="E75" s="117" t="s">
        <v>273</v>
      </c>
      <c r="F75" s="45" t="s">
        <v>312</v>
      </c>
      <c r="G75" s="56">
        <v>45000</v>
      </c>
      <c r="H75" s="56"/>
      <c r="I75" s="58">
        <f t="shared" si="2"/>
        <v>61638.52</v>
      </c>
      <c r="J75" s="56" t="s">
        <v>59</v>
      </c>
    </row>
    <row r="76" ht="20" customHeight="1" spans="2:10">
      <c r="B76" s="42">
        <v>3</v>
      </c>
      <c r="C76" s="42">
        <v>21</v>
      </c>
      <c r="D76" s="74" t="s">
        <v>29</v>
      </c>
      <c r="E76" s="44" t="s">
        <v>313</v>
      </c>
      <c r="F76" s="45" t="s">
        <v>29</v>
      </c>
      <c r="G76" s="56">
        <v>9.56</v>
      </c>
      <c r="H76" s="56"/>
      <c r="I76" s="58">
        <f t="shared" si="2"/>
        <v>61648.08</v>
      </c>
      <c r="J76" s="56" t="s">
        <v>59</v>
      </c>
    </row>
    <row r="77" ht="20" customHeight="1" spans="2:10">
      <c r="B77" s="42">
        <v>3</v>
      </c>
      <c r="C77" s="42">
        <v>23</v>
      </c>
      <c r="D77" s="74" t="s">
        <v>69</v>
      </c>
      <c r="E77" s="117" t="s">
        <v>304</v>
      </c>
      <c r="F77" s="45" t="s">
        <v>314</v>
      </c>
      <c r="G77" s="56"/>
      <c r="H77" s="56">
        <v>30098.25</v>
      </c>
      <c r="I77" s="58">
        <f t="shared" si="2"/>
        <v>31549.83</v>
      </c>
      <c r="J77" s="56" t="s">
        <v>59</v>
      </c>
    </row>
    <row r="78" ht="20" customHeight="1" spans="2:10">
      <c r="B78" s="42">
        <v>3</v>
      </c>
      <c r="C78" s="42">
        <v>23</v>
      </c>
      <c r="D78" s="74" t="s">
        <v>69</v>
      </c>
      <c r="E78" s="44" t="s">
        <v>20</v>
      </c>
      <c r="F78" s="45" t="s">
        <v>315</v>
      </c>
      <c r="G78" s="56">
        <v>30000</v>
      </c>
      <c r="H78" s="56"/>
      <c r="I78" s="58">
        <f t="shared" si="2"/>
        <v>61549.83</v>
      </c>
      <c r="J78" s="56" t="s">
        <v>59</v>
      </c>
    </row>
    <row r="79" ht="20" customHeight="1" spans="2:10">
      <c r="B79" s="42">
        <v>3</v>
      </c>
      <c r="C79" s="42">
        <v>24</v>
      </c>
      <c r="D79" s="74" t="s">
        <v>142</v>
      </c>
      <c r="E79" s="117" t="s">
        <v>316</v>
      </c>
      <c r="F79" s="45" t="s">
        <v>317</v>
      </c>
      <c r="G79" s="56"/>
      <c r="H79" s="56">
        <v>17500</v>
      </c>
      <c r="I79" s="58">
        <f t="shared" si="2"/>
        <v>44049.83</v>
      </c>
      <c r="J79" s="56" t="s">
        <v>59</v>
      </c>
    </row>
    <row r="80" ht="20" customHeight="1" spans="2:10">
      <c r="B80" s="42">
        <v>3</v>
      </c>
      <c r="C80" s="42">
        <v>26</v>
      </c>
      <c r="D80" s="74" t="s">
        <v>92</v>
      </c>
      <c r="E80" s="117" t="s">
        <v>281</v>
      </c>
      <c r="F80" s="45" t="s">
        <v>318</v>
      </c>
      <c r="G80" s="56"/>
      <c r="H80" s="56">
        <v>1000</v>
      </c>
      <c r="I80" s="58">
        <f t="shared" si="2"/>
        <v>43049.83</v>
      </c>
      <c r="J80" s="56" t="s">
        <v>59</v>
      </c>
    </row>
    <row r="81" ht="20" customHeight="1" spans="2:10">
      <c r="B81" s="42">
        <v>3</v>
      </c>
      <c r="C81" s="42">
        <v>26</v>
      </c>
      <c r="D81" s="74" t="s">
        <v>69</v>
      </c>
      <c r="E81" s="44" t="s">
        <v>283</v>
      </c>
      <c r="F81" s="45" t="s">
        <v>319</v>
      </c>
      <c r="G81" s="56">
        <v>15000</v>
      </c>
      <c r="H81" s="56"/>
      <c r="I81" s="58">
        <f t="shared" si="2"/>
        <v>58049.83</v>
      </c>
      <c r="J81" s="56" t="s">
        <v>59</v>
      </c>
    </row>
    <row r="82" ht="20" customHeight="1" spans="2:10">
      <c r="B82" s="42">
        <v>3</v>
      </c>
      <c r="C82" s="42">
        <v>31</v>
      </c>
      <c r="D82" s="74" t="s">
        <v>77</v>
      </c>
      <c r="E82" s="117" t="s">
        <v>273</v>
      </c>
      <c r="F82" s="45" t="s">
        <v>320</v>
      </c>
      <c r="G82" s="56">
        <v>45000</v>
      </c>
      <c r="H82" s="56"/>
      <c r="I82" s="58">
        <f t="shared" si="2"/>
        <v>103049.83</v>
      </c>
      <c r="J82" s="56" t="s">
        <v>59</v>
      </c>
    </row>
    <row r="83" ht="20" customHeight="1" spans="2:10">
      <c r="B83" s="68"/>
      <c r="C83" s="68"/>
      <c r="D83" s="68"/>
      <c r="E83" s="130"/>
      <c r="F83" s="70" t="s">
        <v>22</v>
      </c>
      <c r="G83" s="71">
        <f>SUM(G55:G82)</f>
        <v>296539.56</v>
      </c>
      <c r="H83" s="71">
        <f>SUM(H55:H82)</f>
        <v>287223.89</v>
      </c>
      <c r="I83" s="72">
        <f>I54+G83-H83</f>
        <v>103049.83</v>
      </c>
      <c r="J83" s="71"/>
    </row>
    <row r="84" ht="20" customHeight="1" spans="2:10">
      <c r="B84" s="42">
        <v>4</v>
      </c>
      <c r="C84" s="42">
        <v>2</v>
      </c>
      <c r="D84" s="74" t="s">
        <v>76</v>
      </c>
      <c r="E84" s="44" t="s">
        <v>321</v>
      </c>
      <c r="F84" s="45" t="s">
        <v>322</v>
      </c>
      <c r="G84" s="71">
        <v>24588</v>
      </c>
      <c r="H84" s="56"/>
      <c r="I84" s="58">
        <f t="shared" ref="I84:I114" si="3">I83+G84-H84</f>
        <v>127637.83</v>
      </c>
      <c r="J84" s="56" t="s">
        <v>59</v>
      </c>
    </row>
    <row r="85" ht="20" customHeight="1" spans="2:10">
      <c r="B85" s="42">
        <v>4</v>
      </c>
      <c r="C85" s="42">
        <v>2</v>
      </c>
      <c r="D85" s="74" t="s">
        <v>69</v>
      </c>
      <c r="E85" s="44" t="s">
        <v>304</v>
      </c>
      <c r="F85" s="45" t="s">
        <v>323</v>
      </c>
      <c r="G85" s="56"/>
      <c r="H85" s="56">
        <v>30098.25</v>
      </c>
      <c r="I85" s="58">
        <f t="shared" si="3"/>
        <v>97539.58</v>
      </c>
      <c r="J85" s="56" t="s">
        <v>59</v>
      </c>
    </row>
    <row r="86" ht="20" customHeight="1" spans="2:10">
      <c r="B86" s="42">
        <v>4</v>
      </c>
      <c r="C86" s="42">
        <v>2</v>
      </c>
      <c r="D86" s="74" t="s">
        <v>127</v>
      </c>
      <c r="E86" s="136" t="s">
        <v>324</v>
      </c>
      <c r="F86" s="45" t="s">
        <v>325</v>
      </c>
      <c r="G86" s="56"/>
      <c r="H86" s="56">
        <v>26555.04</v>
      </c>
      <c r="I86" s="58">
        <f t="shared" si="3"/>
        <v>70984.54</v>
      </c>
      <c r="J86" s="56" t="s">
        <v>59</v>
      </c>
    </row>
    <row r="87" ht="20" customHeight="1" spans="2:10">
      <c r="B87" s="42">
        <v>4</v>
      </c>
      <c r="C87" s="42">
        <v>2</v>
      </c>
      <c r="D87" s="74" t="s">
        <v>100</v>
      </c>
      <c r="E87" s="117" t="s">
        <v>178</v>
      </c>
      <c r="F87" s="45" t="s">
        <v>326</v>
      </c>
      <c r="G87" s="56"/>
      <c r="H87" s="56">
        <v>6200</v>
      </c>
      <c r="I87" s="58">
        <f t="shared" si="3"/>
        <v>64784.54</v>
      </c>
      <c r="J87" s="56" t="s">
        <v>59</v>
      </c>
    </row>
    <row r="88" ht="20" customHeight="1" spans="2:10">
      <c r="B88" s="42">
        <v>4</v>
      </c>
      <c r="C88" s="42">
        <v>2</v>
      </c>
      <c r="D88" s="42" t="s">
        <v>127</v>
      </c>
      <c r="E88" s="44" t="s">
        <v>206</v>
      </c>
      <c r="F88" s="45" t="s">
        <v>327</v>
      </c>
      <c r="G88" s="56"/>
      <c r="H88" s="56">
        <v>2875.44</v>
      </c>
      <c r="I88" s="58">
        <f t="shared" si="3"/>
        <v>61909.1</v>
      </c>
      <c r="J88" s="56" t="s">
        <v>59</v>
      </c>
    </row>
    <row r="89" ht="20" customHeight="1" spans="2:10">
      <c r="B89" s="42">
        <v>4</v>
      </c>
      <c r="C89" s="42">
        <v>2</v>
      </c>
      <c r="D89" s="74" t="s">
        <v>117</v>
      </c>
      <c r="E89" s="44" t="s">
        <v>206</v>
      </c>
      <c r="F89" s="45" t="s">
        <v>328</v>
      </c>
      <c r="G89" s="56"/>
      <c r="H89" s="56">
        <v>1386.4</v>
      </c>
      <c r="I89" s="58">
        <f t="shared" si="3"/>
        <v>60522.7</v>
      </c>
      <c r="J89" s="56" t="s">
        <v>59</v>
      </c>
    </row>
    <row r="90" ht="20" customHeight="1" spans="2:10">
      <c r="B90" s="42">
        <v>4</v>
      </c>
      <c r="C90" s="42">
        <v>2</v>
      </c>
      <c r="D90" s="42" t="s">
        <v>117</v>
      </c>
      <c r="E90" s="44" t="s">
        <v>206</v>
      </c>
      <c r="F90" s="44" t="s">
        <v>329</v>
      </c>
      <c r="G90" s="56"/>
      <c r="H90" s="56">
        <v>1240</v>
      </c>
      <c r="I90" s="58">
        <f t="shared" si="3"/>
        <v>59282.7</v>
      </c>
      <c r="J90" s="56" t="s">
        <v>59</v>
      </c>
    </row>
    <row r="91" ht="20" customHeight="1" spans="2:10">
      <c r="B91" s="42">
        <v>4</v>
      </c>
      <c r="C91" s="42">
        <v>2</v>
      </c>
      <c r="D91" s="42" t="s">
        <v>127</v>
      </c>
      <c r="E91" s="44" t="s">
        <v>206</v>
      </c>
      <c r="F91" s="45" t="s">
        <v>330</v>
      </c>
      <c r="G91" s="56"/>
      <c r="H91" s="56">
        <v>561.01</v>
      </c>
      <c r="I91" s="58">
        <f t="shared" si="3"/>
        <v>58721.69</v>
      </c>
      <c r="J91" s="56" t="s">
        <v>59</v>
      </c>
    </row>
    <row r="92" ht="20" customHeight="1" spans="2:10">
      <c r="B92" s="42">
        <v>4</v>
      </c>
      <c r="C92" s="42">
        <v>2</v>
      </c>
      <c r="D92" s="74" t="s">
        <v>116</v>
      </c>
      <c r="E92" s="44" t="s">
        <v>206</v>
      </c>
      <c r="F92" s="45" t="s">
        <v>116</v>
      </c>
      <c r="G92" s="56"/>
      <c r="H92" s="56">
        <v>1412</v>
      </c>
      <c r="I92" s="58">
        <f t="shared" si="3"/>
        <v>57309.69</v>
      </c>
      <c r="J92" s="56" t="s">
        <v>59</v>
      </c>
    </row>
    <row r="93" ht="20" customHeight="1" spans="2:10">
      <c r="B93" s="42">
        <v>4</v>
      </c>
      <c r="C93" s="42">
        <v>2</v>
      </c>
      <c r="D93" s="74" t="s">
        <v>118</v>
      </c>
      <c r="E93" s="44" t="s">
        <v>206</v>
      </c>
      <c r="F93" s="45" t="s">
        <v>331</v>
      </c>
      <c r="G93" s="56"/>
      <c r="H93" s="56">
        <v>724.1</v>
      </c>
      <c r="I93" s="58">
        <f t="shared" si="3"/>
        <v>56585.59</v>
      </c>
      <c r="J93" s="56" t="s">
        <v>59</v>
      </c>
    </row>
    <row r="94" ht="20" customHeight="1" spans="2:10">
      <c r="B94" s="42">
        <v>4</v>
      </c>
      <c r="C94" s="42">
        <v>2</v>
      </c>
      <c r="D94" s="42" t="s">
        <v>127</v>
      </c>
      <c r="E94" s="44" t="s">
        <v>206</v>
      </c>
      <c r="F94" s="45" t="s">
        <v>332</v>
      </c>
      <c r="G94" s="56"/>
      <c r="H94" s="56">
        <v>548</v>
      </c>
      <c r="I94" s="58">
        <f t="shared" si="3"/>
        <v>56037.59</v>
      </c>
      <c r="J94" s="56" t="s">
        <v>59</v>
      </c>
    </row>
    <row r="95" ht="20" customHeight="1" spans="2:10">
      <c r="B95" s="42">
        <v>4</v>
      </c>
      <c r="C95" s="42">
        <v>7</v>
      </c>
      <c r="D95" s="42" t="s">
        <v>127</v>
      </c>
      <c r="E95" s="44" t="s">
        <v>20</v>
      </c>
      <c r="F95" s="45" t="s">
        <v>333</v>
      </c>
      <c r="G95" s="56"/>
      <c r="H95" s="56">
        <v>202.1</v>
      </c>
      <c r="I95" s="58">
        <f t="shared" si="3"/>
        <v>55835.49</v>
      </c>
      <c r="J95" s="56" t="s">
        <v>59</v>
      </c>
    </row>
    <row r="96" ht="20" customHeight="1" spans="2:10">
      <c r="B96" s="42">
        <v>4</v>
      </c>
      <c r="C96" s="42">
        <v>9</v>
      </c>
      <c r="D96" s="74" t="s">
        <v>69</v>
      </c>
      <c r="E96" s="117" t="s">
        <v>239</v>
      </c>
      <c r="F96" s="45" t="s">
        <v>280</v>
      </c>
      <c r="G96" s="56">
        <v>10000</v>
      </c>
      <c r="H96" s="56"/>
      <c r="I96" s="58">
        <f t="shared" si="3"/>
        <v>65835.49</v>
      </c>
      <c r="J96" s="59" t="s">
        <v>64</v>
      </c>
    </row>
    <row r="97" ht="20" customHeight="1" spans="2:10">
      <c r="B97" s="42">
        <v>4</v>
      </c>
      <c r="C97" s="42">
        <v>9</v>
      </c>
      <c r="D97" s="42" t="s">
        <v>127</v>
      </c>
      <c r="E97" s="117" t="s">
        <v>20</v>
      </c>
      <c r="F97" s="45" t="s">
        <v>264</v>
      </c>
      <c r="G97" s="56"/>
      <c r="H97" s="56">
        <v>2000</v>
      </c>
      <c r="I97" s="58">
        <f t="shared" si="3"/>
        <v>63835.49</v>
      </c>
      <c r="J97" s="56" t="s">
        <v>59</v>
      </c>
    </row>
    <row r="98" ht="20" customHeight="1" spans="2:10">
      <c r="B98" s="42">
        <v>4</v>
      </c>
      <c r="C98" s="42">
        <v>9</v>
      </c>
      <c r="D98" s="42" t="s">
        <v>127</v>
      </c>
      <c r="E98" s="117" t="s">
        <v>224</v>
      </c>
      <c r="F98" s="45" t="s">
        <v>260</v>
      </c>
      <c r="G98" s="56"/>
      <c r="H98" s="56">
        <v>8115.89</v>
      </c>
      <c r="I98" s="58">
        <f t="shared" si="3"/>
        <v>55719.6</v>
      </c>
      <c r="J98" s="56" t="s">
        <v>59</v>
      </c>
    </row>
    <row r="99" ht="20" customHeight="1" spans="2:10">
      <c r="B99" s="42">
        <v>4</v>
      </c>
      <c r="C99" s="42">
        <v>9</v>
      </c>
      <c r="D99" s="42" t="s">
        <v>127</v>
      </c>
      <c r="E99" s="117" t="s">
        <v>224</v>
      </c>
      <c r="F99" s="45" t="s">
        <v>261</v>
      </c>
      <c r="G99" s="56"/>
      <c r="H99" s="56">
        <v>1035.86</v>
      </c>
      <c r="I99" s="58">
        <f t="shared" si="3"/>
        <v>54683.74</v>
      </c>
      <c r="J99" s="56" t="s">
        <v>59</v>
      </c>
    </row>
    <row r="100" ht="20" customHeight="1" spans="2:10">
      <c r="B100" s="42">
        <v>4</v>
      </c>
      <c r="C100" s="42">
        <v>9</v>
      </c>
      <c r="D100" s="42" t="s">
        <v>127</v>
      </c>
      <c r="E100" s="117" t="s">
        <v>20</v>
      </c>
      <c r="F100" s="45" t="s">
        <v>262</v>
      </c>
      <c r="G100" s="56"/>
      <c r="H100" s="56">
        <v>6000</v>
      </c>
      <c r="I100" s="58">
        <f t="shared" si="3"/>
        <v>48683.74</v>
      </c>
      <c r="J100" s="56" t="s">
        <v>59</v>
      </c>
    </row>
    <row r="101" ht="20" customHeight="1" spans="2:10">
      <c r="B101" s="42">
        <v>4</v>
      </c>
      <c r="C101" s="42">
        <v>9</v>
      </c>
      <c r="D101" s="42" t="s">
        <v>127</v>
      </c>
      <c r="E101" s="117" t="s">
        <v>20</v>
      </c>
      <c r="F101" s="45" t="s">
        <v>263</v>
      </c>
      <c r="G101" s="56"/>
      <c r="H101" s="56">
        <v>14014.58</v>
      </c>
      <c r="I101" s="58">
        <f t="shared" si="3"/>
        <v>34669.16</v>
      </c>
      <c r="J101" s="56" t="s">
        <v>59</v>
      </c>
    </row>
    <row r="102" ht="20" customHeight="1" spans="2:10">
      <c r="B102" s="42">
        <v>4</v>
      </c>
      <c r="C102" s="42">
        <v>10</v>
      </c>
      <c r="D102" s="74" t="s">
        <v>76</v>
      </c>
      <c r="E102" s="188" t="s">
        <v>258</v>
      </c>
      <c r="F102" s="45" t="s">
        <v>259</v>
      </c>
      <c r="G102" s="71">
        <v>10530</v>
      </c>
      <c r="H102" s="56"/>
      <c r="I102" s="58">
        <f t="shared" si="3"/>
        <v>45199.16</v>
      </c>
      <c r="J102" s="56" t="s">
        <v>59</v>
      </c>
    </row>
    <row r="103" ht="20" customHeight="1" spans="2:10">
      <c r="B103" s="42">
        <v>4</v>
      </c>
      <c r="C103" s="42">
        <v>14</v>
      </c>
      <c r="D103" s="74" t="s">
        <v>76</v>
      </c>
      <c r="E103" s="44" t="s">
        <v>279</v>
      </c>
      <c r="F103" s="45" t="s">
        <v>278</v>
      </c>
      <c r="G103" s="71">
        <v>14700</v>
      </c>
      <c r="H103" s="56"/>
      <c r="I103" s="58">
        <f t="shared" si="3"/>
        <v>59899.16</v>
      </c>
      <c r="J103" s="56" t="s">
        <v>59</v>
      </c>
    </row>
    <row r="104" ht="20" customHeight="1" spans="2:10">
      <c r="B104" s="42">
        <v>4</v>
      </c>
      <c r="C104" s="42">
        <v>14</v>
      </c>
      <c r="D104" s="42" t="s">
        <v>127</v>
      </c>
      <c r="E104" s="45" t="s">
        <v>20</v>
      </c>
      <c r="F104" s="45" t="s">
        <v>334</v>
      </c>
      <c r="G104" s="56"/>
      <c r="H104" s="56">
        <v>1114.5</v>
      </c>
      <c r="I104" s="58">
        <f t="shared" si="3"/>
        <v>58784.66</v>
      </c>
      <c r="J104" s="56" t="s">
        <v>59</v>
      </c>
    </row>
    <row r="105" ht="20" customHeight="1" spans="2:10">
      <c r="B105" s="42">
        <v>4</v>
      </c>
      <c r="C105" s="42">
        <v>15</v>
      </c>
      <c r="D105" s="42" t="s">
        <v>127</v>
      </c>
      <c r="E105" s="117" t="s">
        <v>20</v>
      </c>
      <c r="F105" s="117" t="s">
        <v>268</v>
      </c>
      <c r="G105" s="84"/>
      <c r="H105" s="84">
        <v>21502.11</v>
      </c>
      <c r="I105" s="58">
        <f t="shared" si="3"/>
        <v>37282.55</v>
      </c>
      <c r="J105" s="56" t="s">
        <v>59</v>
      </c>
    </row>
    <row r="106" ht="20" customHeight="1" spans="2:10">
      <c r="B106" s="42">
        <v>4</v>
      </c>
      <c r="C106" s="42">
        <v>15</v>
      </c>
      <c r="D106" s="74" t="s">
        <v>69</v>
      </c>
      <c r="E106" s="44" t="s">
        <v>335</v>
      </c>
      <c r="F106" s="45" t="s">
        <v>336</v>
      </c>
      <c r="G106" s="56">
        <v>3500</v>
      </c>
      <c r="H106" s="56"/>
      <c r="I106" s="58">
        <f t="shared" si="3"/>
        <v>40782.55</v>
      </c>
      <c r="J106" s="56" t="s">
        <v>59</v>
      </c>
    </row>
    <row r="107" ht="20" customHeight="1" spans="2:10">
      <c r="B107" s="42">
        <v>4</v>
      </c>
      <c r="C107" s="42">
        <v>15</v>
      </c>
      <c r="D107" s="74" t="s">
        <v>69</v>
      </c>
      <c r="E107" s="117" t="s">
        <v>239</v>
      </c>
      <c r="F107" s="45" t="s">
        <v>280</v>
      </c>
      <c r="G107" s="56">
        <v>85000</v>
      </c>
      <c r="H107" s="56"/>
      <c r="I107" s="58">
        <f t="shared" si="3"/>
        <v>125782.55</v>
      </c>
      <c r="J107" s="59" t="s">
        <v>64</v>
      </c>
    </row>
    <row r="108" ht="20" customHeight="1" spans="2:10">
      <c r="B108" s="42">
        <v>4</v>
      </c>
      <c r="C108" s="42">
        <v>15</v>
      </c>
      <c r="D108" s="42" t="s">
        <v>92</v>
      </c>
      <c r="E108" s="44" t="s">
        <v>271</v>
      </c>
      <c r="F108" s="45" t="s">
        <v>337</v>
      </c>
      <c r="G108" s="56"/>
      <c r="H108" s="56">
        <v>25000</v>
      </c>
      <c r="I108" s="58">
        <f t="shared" si="3"/>
        <v>100782.55</v>
      </c>
      <c r="J108" s="56" t="s">
        <v>59</v>
      </c>
    </row>
    <row r="109" ht="20" customHeight="1" spans="2:10">
      <c r="B109" s="42">
        <v>4</v>
      </c>
      <c r="C109" s="42">
        <v>15</v>
      </c>
      <c r="D109" s="74" t="s">
        <v>69</v>
      </c>
      <c r="E109" s="117" t="s">
        <v>295</v>
      </c>
      <c r="F109" s="45" t="s">
        <v>338</v>
      </c>
      <c r="G109" s="56"/>
      <c r="H109" s="56">
        <v>50000</v>
      </c>
      <c r="I109" s="58">
        <f t="shared" si="3"/>
        <v>50782.55</v>
      </c>
      <c r="J109" s="56" t="s">
        <v>59</v>
      </c>
    </row>
    <row r="110" ht="20" customHeight="1" spans="2:10">
      <c r="B110" s="42">
        <v>4</v>
      </c>
      <c r="C110" s="42">
        <v>16</v>
      </c>
      <c r="D110" s="74" t="s">
        <v>92</v>
      </c>
      <c r="E110" s="117" t="s">
        <v>281</v>
      </c>
      <c r="F110" s="45" t="s">
        <v>318</v>
      </c>
      <c r="G110" s="56"/>
      <c r="H110" s="56">
        <v>1000</v>
      </c>
      <c r="I110" s="58">
        <f t="shared" si="3"/>
        <v>49782.55</v>
      </c>
      <c r="J110" s="56" t="s">
        <v>59</v>
      </c>
    </row>
    <row r="111" ht="20" customHeight="1" spans="2:10">
      <c r="B111" s="42">
        <v>4</v>
      </c>
      <c r="C111" s="42">
        <v>17</v>
      </c>
      <c r="D111" s="74" t="s">
        <v>69</v>
      </c>
      <c r="E111" s="117" t="s">
        <v>295</v>
      </c>
      <c r="F111" s="45" t="s">
        <v>339</v>
      </c>
      <c r="G111" s="56"/>
      <c r="H111" s="56">
        <v>10000</v>
      </c>
      <c r="I111" s="58">
        <f t="shared" si="3"/>
        <v>39782.55</v>
      </c>
      <c r="J111" s="56" t="s">
        <v>59</v>
      </c>
    </row>
    <row r="112" ht="20" customHeight="1" spans="2:10">
      <c r="B112" s="42">
        <v>4</v>
      </c>
      <c r="C112" s="42">
        <v>20</v>
      </c>
      <c r="D112" s="42" t="s">
        <v>83</v>
      </c>
      <c r="E112" s="44" t="s">
        <v>340</v>
      </c>
      <c r="F112" s="45" t="s">
        <v>341</v>
      </c>
      <c r="G112" s="56"/>
      <c r="H112" s="56">
        <v>13000</v>
      </c>
      <c r="I112" s="58">
        <f t="shared" si="3"/>
        <v>26782.55</v>
      </c>
      <c r="J112" s="56" t="s">
        <v>59</v>
      </c>
    </row>
    <row r="113" ht="20" customHeight="1" spans="2:12">
      <c r="B113" s="42">
        <v>4</v>
      </c>
      <c r="C113" s="42">
        <v>27</v>
      </c>
      <c r="D113" s="42" t="s">
        <v>127</v>
      </c>
      <c r="E113" s="117" t="s">
        <v>178</v>
      </c>
      <c r="F113" s="45" t="s">
        <v>342</v>
      </c>
      <c r="G113" s="56"/>
      <c r="H113" s="56">
        <v>3727.46</v>
      </c>
      <c r="I113" s="58">
        <f t="shared" si="3"/>
        <v>23055.09</v>
      </c>
      <c r="J113" s="56" t="s">
        <v>59</v>
      </c>
      <c r="L113" s="3">
        <f>G74+G84+G102+G103-H86-H113-H114</f>
        <v>19535.5</v>
      </c>
    </row>
    <row r="114" ht="20" customHeight="1" spans="2:12">
      <c r="B114" s="42">
        <v>4</v>
      </c>
      <c r="C114" s="42">
        <v>30</v>
      </c>
      <c r="D114" s="42" t="s">
        <v>127</v>
      </c>
      <c r="E114" s="44" t="s">
        <v>343</v>
      </c>
      <c r="F114" s="45" t="s">
        <v>344</v>
      </c>
      <c r="G114" s="56"/>
      <c r="H114" s="56">
        <v>11000</v>
      </c>
      <c r="I114" s="58">
        <f t="shared" si="3"/>
        <v>12055.09</v>
      </c>
      <c r="J114" s="56" t="s">
        <v>59</v>
      </c>
    </row>
    <row r="115" ht="20" customHeight="1" spans="2:12">
      <c r="B115" s="68"/>
      <c r="C115" s="68"/>
      <c r="D115" s="68"/>
      <c r="E115" s="130"/>
      <c r="F115" s="70" t="s">
        <v>22</v>
      </c>
      <c r="G115" s="71">
        <f>SUM(G84:G114)</f>
        <v>148318</v>
      </c>
      <c r="H115" s="71">
        <f>SUM(H84:H114)</f>
        <v>239312.74</v>
      </c>
      <c r="I115" s="72">
        <f>I83+G115-H115</f>
        <v>12055.09</v>
      </c>
      <c r="J115" s="71"/>
    </row>
    <row r="116" ht="20" customHeight="1" spans="2:12">
      <c r="B116" s="42">
        <v>5</v>
      </c>
      <c r="C116" s="42">
        <v>6</v>
      </c>
      <c r="D116" s="74" t="s">
        <v>77</v>
      </c>
      <c r="E116" s="117" t="s">
        <v>273</v>
      </c>
      <c r="F116" s="45" t="s">
        <v>345</v>
      </c>
      <c r="G116" s="56">
        <v>45000</v>
      </c>
      <c r="H116" s="56"/>
      <c r="I116" s="58">
        <f>I114+G116-H116</f>
        <v>57055.09</v>
      </c>
      <c r="J116" s="56" t="s">
        <v>59</v>
      </c>
    </row>
    <row r="117" ht="20" customHeight="1" spans="2:12">
      <c r="B117" s="42">
        <v>5</v>
      </c>
      <c r="C117" s="42">
        <v>6</v>
      </c>
      <c r="D117" s="74" t="s">
        <v>76</v>
      </c>
      <c r="E117" s="44" t="s">
        <v>279</v>
      </c>
      <c r="F117" s="45" t="s">
        <v>278</v>
      </c>
      <c r="G117" s="71">
        <v>14706.8</v>
      </c>
      <c r="H117" s="56"/>
      <c r="I117" s="58">
        <f t="shared" ref="I117:I140" si="4">I116+G117-H117</f>
        <v>71761.89</v>
      </c>
      <c r="J117" s="56" t="s">
        <v>59</v>
      </c>
    </row>
    <row r="118" ht="20" customHeight="1" spans="2:12">
      <c r="B118" s="42">
        <v>5</v>
      </c>
      <c r="C118" s="42">
        <v>6</v>
      </c>
      <c r="D118" s="74" t="s">
        <v>69</v>
      </c>
      <c r="E118" s="117" t="s">
        <v>304</v>
      </c>
      <c r="F118" s="45" t="s">
        <v>346</v>
      </c>
      <c r="G118" s="56"/>
      <c r="H118" s="56">
        <v>30098.25</v>
      </c>
      <c r="I118" s="58">
        <f t="shared" si="4"/>
        <v>41663.64</v>
      </c>
      <c r="J118" s="56" t="s">
        <v>59</v>
      </c>
    </row>
    <row r="119" ht="20" customHeight="1" spans="2:12">
      <c r="B119" s="42">
        <v>5</v>
      </c>
      <c r="C119" s="42">
        <v>6</v>
      </c>
      <c r="D119" s="74" t="s">
        <v>76</v>
      </c>
      <c r="E119" s="44" t="s">
        <v>321</v>
      </c>
      <c r="F119" s="45" t="s">
        <v>347</v>
      </c>
      <c r="G119" s="71">
        <v>24588</v>
      </c>
      <c r="H119" s="56"/>
      <c r="I119" s="58">
        <f t="shared" si="4"/>
        <v>66251.64</v>
      </c>
      <c r="J119" s="56" t="s">
        <v>59</v>
      </c>
    </row>
    <row r="120" ht="20" customHeight="1" spans="2:12">
      <c r="B120" s="42">
        <v>5</v>
      </c>
      <c r="C120" s="42">
        <v>10</v>
      </c>
      <c r="D120" s="42" t="s">
        <v>127</v>
      </c>
      <c r="E120" s="44" t="s">
        <v>20</v>
      </c>
      <c r="F120" s="45" t="s">
        <v>333</v>
      </c>
      <c r="G120" s="56"/>
      <c r="H120" s="56">
        <v>139.9</v>
      </c>
      <c r="I120" s="58">
        <f t="shared" si="4"/>
        <v>66111.74</v>
      </c>
      <c r="J120" s="56" t="s">
        <v>59</v>
      </c>
    </row>
    <row r="121" ht="20" customHeight="1" spans="2:12">
      <c r="B121" s="42">
        <v>5</v>
      </c>
      <c r="C121" s="42">
        <v>10</v>
      </c>
      <c r="D121" s="74" t="s">
        <v>76</v>
      </c>
      <c r="E121" s="188" t="s">
        <v>258</v>
      </c>
      <c r="F121" s="45" t="s">
        <v>259</v>
      </c>
      <c r="G121" s="71">
        <v>10530</v>
      </c>
      <c r="H121" s="56"/>
      <c r="I121" s="58">
        <f t="shared" si="4"/>
        <v>76641.74</v>
      </c>
      <c r="J121" s="56" t="s">
        <v>59</v>
      </c>
    </row>
    <row r="122" ht="20" customHeight="1" spans="2:12">
      <c r="B122" s="42">
        <v>5</v>
      </c>
      <c r="C122" s="42">
        <v>11</v>
      </c>
      <c r="D122" s="42" t="s">
        <v>127</v>
      </c>
      <c r="E122" s="117" t="s">
        <v>20</v>
      </c>
      <c r="F122" s="45" t="s">
        <v>264</v>
      </c>
      <c r="G122" s="56"/>
      <c r="H122" s="56">
        <v>2000</v>
      </c>
      <c r="I122" s="58">
        <f t="shared" si="4"/>
        <v>74641.74</v>
      </c>
      <c r="J122" s="56" t="s">
        <v>59</v>
      </c>
    </row>
    <row r="123" ht="20" customHeight="1" spans="2:12">
      <c r="B123" s="42">
        <v>5</v>
      </c>
      <c r="C123" s="42">
        <v>11</v>
      </c>
      <c r="D123" s="42" t="s">
        <v>127</v>
      </c>
      <c r="E123" s="117" t="s">
        <v>224</v>
      </c>
      <c r="F123" s="45" t="s">
        <v>260</v>
      </c>
      <c r="G123" s="56"/>
      <c r="H123" s="56">
        <v>1035.84</v>
      </c>
      <c r="I123" s="58">
        <f t="shared" si="4"/>
        <v>73605.9</v>
      </c>
      <c r="J123" s="56" t="s">
        <v>59</v>
      </c>
    </row>
    <row r="124" ht="20" customHeight="1" spans="2:12">
      <c r="B124" s="42">
        <v>5</v>
      </c>
      <c r="C124" s="42">
        <v>11</v>
      </c>
      <c r="D124" s="42" t="s">
        <v>127</v>
      </c>
      <c r="E124" s="117" t="s">
        <v>224</v>
      </c>
      <c r="F124" s="45" t="s">
        <v>261</v>
      </c>
      <c r="G124" s="56"/>
      <c r="H124" s="56">
        <v>8113.89</v>
      </c>
      <c r="I124" s="58">
        <f t="shared" si="4"/>
        <v>65492.01</v>
      </c>
      <c r="J124" s="56" t="s">
        <v>59</v>
      </c>
    </row>
    <row r="125" ht="20" customHeight="1" spans="2:12">
      <c r="B125" s="42">
        <v>5</v>
      </c>
      <c r="C125" s="42">
        <v>11</v>
      </c>
      <c r="D125" s="42" t="s">
        <v>127</v>
      </c>
      <c r="E125" s="117" t="s">
        <v>20</v>
      </c>
      <c r="F125" s="45" t="s">
        <v>262</v>
      </c>
      <c r="G125" s="56"/>
      <c r="H125" s="56">
        <v>6000</v>
      </c>
      <c r="I125" s="58">
        <f t="shared" si="4"/>
        <v>59492.01</v>
      </c>
      <c r="J125" s="56" t="s">
        <v>59</v>
      </c>
    </row>
    <row r="126" ht="20" customHeight="1" spans="2:12">
      <c r="B126" s="42">
        <v>5</v>
      </c>
      <c r="C126" s="42">
        <v>11</v>
      </c>
      <c r="D126" s="42" t="s">
        <v>127</v>
      </c>
      <c r="E126" s="117" t="s">
        <v>20</v>
      </c>
      <c r="F126" s="45" t="s">
        <v>263</v>
      </c>
      <c r="G126" s="56"/>
      <c r="H126" s="56">
        <v>13562.5</v>
      </c>
      <c r="I126" s="58">
        <f t="shared" si="4"/>
        <v>45929.51</v>
      </c>
      <c r="J126" s="56" t="s">
        <v>59</v>
      </c>
    </row>
    <row r="127" ht="20" customHeight="1" spans="2:12">
      <c r="B127" s="42">
        <v>5</v>
      </c>
      <c r="C127" s="42">
        <v>15</v>
      </c>
      <c r="D127" s="42" t="s">
        <v>127</v>
      </c>
      <c r="E127" s="117" t="s">
        <v>20</v>
      </c>
      <c r="F127" s="117" t="s">
        <v>268</v>
      </c>
      <c r="G127" s="84"/>
      <c r="H127" s="84">
        <v>21546.88</v>
      </c>
      <c r="I127" s="58">
        <f t="shared" si="4"/>
        <v>24382.63</v>
      </c>
      <c r="J127" s="56" t="s">
        <v>59</v>
      </c>
    </row>
    <row r="128" ht="20" customHeight="1" spans="2:12">
      <c r="B128" s="42">
        <v>5</v>
      </c>
      <c r="C128" s="42">
        <v>15</v>
      </c>
      <c r="D128" s="74" t="s">
        <v>69</v>
      </c>
      <c r="E128" s="117" t="s">
        <v>239</v>
      </c>
      <c r="F128" s="45" t="s">
        <v>280</v>
      </c>
      <c r="G128" s="56">
        <v>25000</v>
      </c>
      <c r="H128" s="56"/>
      <c r="I128" s="58">
        <f t="shared" si="4"/>
        <v>49382.63</v>
      </c>
      <c r="J128" s="59" t="s">
        <v>64</v>
      </c>
    </row>
    <row r="129" ht="20" customHeight="1" spans="2:10">
      <c r="B129" s="42">
        <v>5</v>
      </c>
      <c r="C129" s="42">
        <v>15</v>
      </c>
      <c r="D129" s="42" t="s">
        <v>92</v>
      </c>
      <c r="E129" s="44" t="s">
        <v>271</v>
      </c>
      <c r="F129" s="45" t="s">
        <v>348</v>
      </c>
      <c r="G129" s="56"/>
      <c r="H129" s="56">
        <v>25000</v>
      </c>
      <c r="I129" s="58">
        <f t="shared" si="4"/>
        <v>24382.63</v>
      </c>
      <c r="J129" s="56" t="s">
        <v>59</v>
      </c>
    </row>
    <row r="130" ht="20" customHeight="1" spans="2:10">
      <c r="B130" s="42">
        <v>5</v>
      </c>
      <c r="C130" s="42">
        <v>15</v>
      </c>
      <c r="D130" s="74" t="s">
        <v>69</v>
      </c>
      <c r="E130" s="117" t="s">
        <v>295</v>
      </c>
      <c r="F130" s="45" t="s">
        <v>339</v>
      </c>
      <c r="G130" s="56"/>
      <c r="H130" s="56">
        <v>5000</v>
      </c>
      <c r="I130" s="58">
        <f t="shared" si="4"/>
        <v>19382.63</v>
      </c>
      <c r="J130" s="56" t="s">
        <v>59</v>
      </c>
    </row>
    <row r="131" ht="20" customHeight="1" spans="2:10">
      <c r="B131" s="42">
        <v>5</v>
      </c>
      <c r="C131" s="42">
        <v>15</v>
      </c>
      <c r="D131" s="74" t="s">
        <v>76</v>
      </c>
      <c r="E131" s="117" t="s">
        <v>277</v>
      </c>
      <c r="F131" s="45" t="s">
        <v>278</v>
      </c>
      <c r="G131" s="71">
        <v>11000</v>
      </c>
      <c r="H131" s="56"/>
      <c r="I131" s="58">
        <f t="shared" si="4"/>
        <v>30382.63</v>
      </c>
      <c r="J131" s="56" t="s">
        <v>59</v>
      </c>
    </row>
    <row r="132" ht="20" customHeight="1" spans="2:10">
      <c r="B132" s="42">
        <v>5</v>
      </c>
      <c r="C132" s="42">
        <v>18</v>
      </c>
      <c r="D132" s="74" t="s">
        <v>92</v>
      </c>
      <c r="E132" s="117" t="s">
        <v>281</v>
      </c>
      <c r="F132" s="45" t="s">
        <v>349</v>
      </c>
      <c r="G132" s="56"/>
      <c r="H132" s="56">
        <v>1000</v>
      </c>
      <c r="I132" s="58">
        <f t="shared" si="4"/>
        <v>29382.63</v>
      </c>
      <c r="J132" s="56"/>
    </row>
    <row r="133" ht="20" customHeight="1" spans="2:10">
      <c r="B133" s="42">
        <v>5</v>
      </c>
      <c r="C133" s="42">
        <v>22</v>
      </c>
      <c r="D133" s="74" t="s">
        <v>77</v>
      </c>
      <c r="E133" s="117" t="s">
        <v>273</v>
      </c>
      <c r="F133" s="45" t="s">
        <v>350</v>
      </c>
      <c r="G133" s="56">
        <v>12832.11</v>
      </c>
      <c r="H133" s="56"/>
      <c r="I133" s="58">
        <f t="shared" si="4"/>
        <v>42214.74</v>
      </c>
      <c r="J133" s="56"/>
    </row>
    <row r="134" ht="20" customHeight="1" spans="2:10">
      <c r="B134" s="42">
        <v>5</v>
      </c>
      <c r="C134" s="42">
        <v>25</v>
      </c>
      <c r="D134" s="74" t="s">
        <v>69</v>
      </c>
      <c r="E134" s="117" t="s">
        <v>275</v>
      </c>
      <c r="F134" s="45" t="s">
        <v>351</v>
      </c>
      <c r="G134" s="56"/>
      <c r="H134" s="56">
        <v>12832.11</v>
      </c>
      <c r="I134" s="58">
        <f t="shared" si="4"/>
        <v>29382.63</v>
      </c>
      <c r="J134" s="56"/>
    </row>
    <row r="135" ht="20" customHeight="1" spans="2:10">
      <c r="B135" s="42">
        <v>5</v>
      </c>
      <c r="C135" s="42">
        <v>26</v>
      </c>
      <c r="D135" s="74" t="s">
        <v>76</v>
      </c>
      <c r="E135" s="45" t="s">
        <v>279</v>
      </c>
      <c r="F135" s="45" t="s">
        <v>352</v>
      </c>
      <c r="G135" s="56">
        <v>8000</v>
      </c>
      <c r="H135" s="56"/>
      <c r="I135" s="58">
        <f t="shared" si="4"/>
        <v>37382.63</v>
      </c>
      <c r="J135" s="56"/>
    </row>
    <row r="136" ht="20" customHeight="1" spans="2:10">
      <c r="B136" s="42">
        <v>5</v>
      </c>
      <c r="C136" s="42">
        <v>27</v>
      </c>
      <c r="D136" s="74" t="s">
        <v>76</v>
      </c>
      <c r="E136" s="117" t="s">
        <v>279</v>
      </c>
      <c r="F136" s="117" t="s">
        <v>352</v>
      </c>
      <c r="G136" s="56">
        <v>5000</v>
      </c>
      <c r="H136" s="56"/>
      <c r="I136" s="58">
        <f t="shared" si="4"/>
        <v>42382.63</v>
      </c>
      <c r="J136" s="56"/>
    </row>
    <row r="137" ht="20" customHeight="1" spans="2:10">
      <c r="B137" s="42">
        <v>5</v>
      </c>
      <c r="C137" s="42">
        <v>28</v>
      </c>
      <c r="D137" s="74" t="s">
        <v>110</v>
      </c>
      <c r="E137" s="117" t="s">
        <v>178</v>
      </c>
      <c r="F137" s="45" t="s">
        <v>353</v>
      </c>
      <c r="G137" s="56"/>
      <c r="H137" s="56">
        <v>5898.84</v>
      </c>
      <c r="I137" s="58">
        <f t="shared" si="4"/>
        <v>36483.79</v>
      </c>
      <c r="J137" s="56"/>
    </row>
    <row r="138" ht="20" customHeight="1" spans="2:10">
      <c r="B138" s="42">
        <v>5</v>
      </c>
      <c r="C138" s="42">
        <v>28</v>
      </c>
      <c r="D138" s="74" t="s">
        <v>127</v>
      </c>
      <c r="E138" s="117" t="s">
        <v>178</v>
      </c>
      <c r="F138" s="45" t="s">
        <v>354</v>
      </c>
      <c r="G138" s="56"/>
      <c r="H138" s="56">
        <v>7243.1</v>
      </c>
      <c r="I138" s="58">
        <f t="shared" si="4"/>
        <v>29240.69</v>
      </c>
      <c r="J138" s="56"/>
    </row>
    <row r="139" ht="20" customHeight="1" spans="2:10">
      <c r="B139" s="42">
        <v>5</v>
      </c>
      <c r="C139" s="42">
        <v>28</v>
      </c>
      <c r="D139" s="74" t="s">
        <v>127</v>
      </c>
      <c r="E139" s="117" t="s">
        <v>178</v>
      </c>
      <c r="F139" s="45" t="s">
        <v>355</v>
      </c>
      <c r="G139" s="56"/>
      <c r="H139" s="56">
        <v>1280.03</v>
      </c>
      <c r="I139" s="58">
        <f t="shared" si="4"/>
        <v>27960.66</v>
      </c>
      <c r="J139" s="56"/>
    </row>
    <row r="140" ht="20" customHeight="1" spans="2:10">
      <c r="B140" s="42">
        <v>5</v>
      </c>
      <c r="C140" s="42">
        <v>28</v>
      </c>
      <c r="D140" s="74" t="s">
        <v>127</v>
      </c>
      <c r="E140" s="117" t="s">
        <v>178</v>
      </c>
      <c r="F140" s="45" t="s">
        <v>300</v>
      </c>
      <c r="G140" s="56"/>
      <c r="H140" s="56">
        <v>2487</v>
      </c>
      <c r="I140" s="58">
        <f t="shared" si="4"/>
        <v>25473.66</v>
      </c>
      <c r="J140" s="56"/>
    </row>
    <row r="141" ht="20" customHeight="1" spans="2:10">
      <c r="B141" s="68"/>
      <c r="C141" s="68"/>
      <c r="D141" s="68"/>
      <c r="E141" s="130"/>
      <c r="F141" s="70" t="s">
        <v>22</v>
      </c>
      <c r="G141" s="71">
        <f>SUM(G116:G140)</f>
        <v>156656.91</v>
      </c>
      <c r="H141" s="71">
        <f>SUM(H116:H140)</f>
        <v>143238.34</v>
      </c>
      <c r="I141" s="72">
        <f>I115+G141-H141</f>
        <v>25473.66</v>
      </c>
      <c r="J141" s="71"/>
    </row>
    <row r="142" ht="20" customHeight="1" spans="2:10">
      <c r="B142" s="42">
        <v>6</v>
      </c>
      <c r="C142" s="42">
        <v>2</v>
      </c>
      <c r="D142" s="74" t="s">
        <v>77</v>
      </c>
      <c r="E142" s="117" t="s">
        <v>273</v>
      </c>
      <c r="F142" s="45" t="s">
        <v>356</v>
      </c>
      <c r="G142" s="56">
        <v>45000</v>
      </c>
      <c r="H142" s="56"/>
      <c r="I142" s="58">
        <f>I140+G142-H142</f>
        <v>70473.66</v>
      </c>
      <c r="J142" s="56"/>
    </row>
    <row r="143" ht="20" customHeight="1" spans="2:10">
      <c r="B143" s="42">
        <v>6</v>
      </c>
      <c r="C143" s="42">
        <v>2</v>
      </c>
      <c r="D143" s="42" t="s">
        <v>357</v>
      </c>
      <c r="E143" s="44" t="s">
        <v>321</v>
      </c>
      <c r="F143" s="45" t="s">
        <v>358</v>
      </c>
      <c r="G143" s="71">
        <v>24588</v>
      </c>
      <c r="H143" s="56"/>
      <c r="I143" s="58">
        <f t="shared" ref="I143:I173" si="5">I142+G143-H143</f>
        <v>95061.66</v>
      </c>
      <c r="J143" s="56"/>
    </row>
    <row r="144" ht="20" customHeight="1" spans="2:10">
      <c r="B144" s="42">
        <v>6</v>
      </c>
      <c r="C144" s="42">
        <v>3</v>
      </c>
      <c r="D144" s="74" t="s">
        <v>130</v>
      </c>
      <c r="E144" s="189" t="s">
        <v>308</v>
      </c>
      <c r="F144" s="192" t="s">
        <v>309</v>
      </c>
      <c r="G144" s="56"/>
      <c r="H144" s="56">
        <v>15000</v>
      </c>
      <c r="I144" s="58">
        <f t="shared" si="5"/>
        <v>80061.66</v>
      </c>
      <c r="J144" s="56"/>
    </row>
    <row r="145" ht="20" customHeight="1" spans="2:10">
      <c r="B145" s="42">
        <v>6</v>
      </c>
      <c r="C145" s="42">
        <v>3</v>
      </c>
      <c r="D145" s="74" t="s">
        <v>69</v>
      </c>
      <c r="E145" s="117" t="s">
        <v>304</v>
      </c>
      <c r="F145" s="45" t="s">
        <v>359</v>
      </c>
      <c r="G145" s="56"/>
      <c r="H145" s="56">
        <v>30098.25</v>
      </c>
      <c r="I145" s="58">
        <f t="shared" si="5"/>
        <v>49963.41</v>
      </c>
      <c r="J145" s="56"/>
    </row>
    <row r="146" ht="20" customHeight="1" spans="2:10">
      <c r="B146" s="42">
        <v>6</v>
      </c>
      <c r="C146" s="42">
        <v>8</v>
      </c>
      <c r="D146" s="42" t="s">
        <v>357</v>
      </c>
      <c r="E146" s="44" t="s">
        <v>279</v>
      </c>
      <c r="F146" s="45" t="s">
        <v>352</v>
      </c>
      <c r="G146" s="56">
        <v>16406.8</v>
      </c>
      <c r="H146" s="56"/>
      <c r="I146" s="58">
        <f t="shared" si="5"/>
        <v>66370.21</v>
      </c>
      <c r="J146" s="56"/>
    </row>
    <row r="147" ht="20" customHeight="1" spans="2:10">
      <c r="B147" s="42">
        <v>6</v>
      </c>
      <c r="C147" s="42">
        <v>8</v>
      </c>
      <c r="D147" s="42" t="s">
        <v>83</v>
      </c>
      <c r="E147" s="44" t="s">
        <v>340</v>
      </c>
      <c r="F147" s="45" t="s">
        <v>360</v>
      </c>
      <c r="G147" s="56"/>
      <c r="H147" s="56">
        <v>13000</v>
      </c>
      <c r="I147" s="58">
        <f t="shared" si="5"/>
        <v>53370.21</v>
      </c>
      <c r="J147" s="56"/>
    </row>
    <row r="148" ht="20" customHeight="1" spans="2:10">
      <c r="B148" s="42">
        <v>6</v>
      </c>
      <c r="C148" s="42">
        <v>8</v>
      </c>
      <c r="D148" s="42" t="s">
        <v>83</v>
      </c>
      <c r="E148" s="44" t="s">
        <v>340</v>
      </c>
      <c r="F148" s="45" t="s">
        <v>361</v>
      </c>
      <c r="G148" s="56"/>
      <c r="H148" s="56">
        <v>13000</v>
      </c>
      <c r="I148" s="58">
        <f t="shared" si="5"/>
        <v>40370.21</v>
      </c>
      <c r="J148" s="56"/>
    </row>
    <row r="149" ht="20" customHeight="1" spans="2:10">
      <c r="B149" s="42">
        <v>6</v>
      </c>
      <c r="C149" s="42">
        <v>8</v>
      </c>
      <c r="D149" s="42" t="s">
        <v>118</v>
      </c>
      <c r="E149" s="44" t="s">
        <v>206</v>
      </c>
      <c r="F149" s="45" t="s">
        <v>118</v>
      </c>
      <c r="G149" s="56"/>
      <c r="H149" s="56">
        <v>374.08</v>
      </c>
      <c r="I149" s="58">
        <f t="shared" si="5"/>
        <v>39996.13</v>
      </c>
      <c r="J149" s="56"/>
    </row>
    <row r="150" ht="20" customHeight="1" spans="2:10">
      <c r="B150" s="42">
        <v>6</v>
      </c>
      <c r="C150" s="42">
        <v>8</v>
      </c>
      <c r="D150" s="42" t="s">
        <v>127</v>
      </c>
      <c r="E150" s="44" t="s">
        <v>206</v>
      </c>
      <c r="F150" s="45" t="s">
        <v>362</v>
      </c>
      <c r="G150" s="56"/>
      <c r="H150" s="56">
        <v>828.61</v>
      </c>
      <c r="I150" s="58">
        <f t="shared" si="5"/>
        <v>39167.52</v>
      </c>
      <c r="J150" s="56"/>
    </row>
    <row r="151" ht="20" customHeight="1" spans="2:10">
      <c r="B151" s="42">
        <v>6</v>
      </c>
      <c r="C151" s="42">
        <v>8</v>
      </c>
      <c r="D151" s="42" t="s">
        <v>127</v>
      </c>
      <c r="E151" s="45" t="s">
        <v>206</v>
      </c>
      <c r="F151" s="45" t="s">
        <v>363</v>
      </c>
      <c r="G151" s="56"/>
      <c r="H151" s="56">
        <v>5054.19</v>
      </c>
      <c r="I151" s="58">
        <f t="shared" si="5"/>
        <v>34113.33</v>
      </c>
      <c r="J151" s="56"/>
    </row>
    <row r="152" ht="20" customHeight="1" spans="2:10">
      <c r="B152" s="42">
        <v>6</v>
      </c>
      <c r="C152" s="42">
        <v>8</v>
      </c>
      <c r="D152" s="42" t="s">
        <v>117</v>
      </c>
      <c r="E152" s="117" t="s">
        <v>206</v>
      </c>
      <c r="F152" s="44" t="s">
        <v>364</v>
      </c>
      <c r="G152" s="56"/>
      <c r="H152" s="56">
        <v>1484.17</v>
      </c>
      <c r="I152" s="58">
        <f t="shared" si="5"/>
        <v>32629.16</v>
      </c>
      <c r="J152" s="56"/>
    </row>
    <row r="153" ht="20" customHeight="1" spans="2:10">
      <c r="B153" s="42">
        <v>6</v>
      </c>
      <c r="C153" s="42">
        <v>8</v>
      </c>
      <c r="D153" s="42" t="s">
        <v>127</v>
      </c>
      <c r="E153" s="117" t="s">
        <v>206</v>
      </c>
      <c r="F153" s="45" t="s">
        <v>365</v>
      </c>
      <c r="G153" s="56"/>
      <c r="H153" s="56">
        <v>317.5</v>
      </c>
      <c r="I153" s="58">
        <f t="shared" si="5"/>
        <v>32311.66</v>
      </c>
      <c r="J153" s="56"/>
    </row>
    <row r="154" ht="20" customHeight="1" spans="2:10">
      <c r="B154" s="42">
        <v>6</v>
      </c>
      <c r="C154" s="42">
        <v>10</v>
      </c>
      <c r="D154" s="74" t="s">
        <v>76</v>
      </c>
      <c r="E154" s="188" t="s">
        <v>258</v>
      </c>
      <c r="F154" s="45" t="s">
        <v>259</v>
      </c>
      <c r="G154" s="71">
        <v>10530</v>
      </c>
      <c r="H154" s="56"/>
      <c r="I154" s="58">
        <f t="shared" si="5"/>
        <v>42841.66</v>
      </c>
      <c r="J154" s="56"/>
    </row>
    <row r="155" ht="20" customHeight="1" spans="2:10">
      <c r="B155" s="42">
        <v>6</v>
      </c>
      <c r="C155" s="42">
        <v>11</v>
      </c>
      <c r="D155" s="74" t="s">
        <v>69</v>
      </c>
      <c r="E155" s="117" t="s">
        <v>239</v>
      </c>
      <c r="F155" s="45" t="s">
        <v>280</v>
      </c>
      <c r="G155" s="56">
        <v>10000</v>
      </c>
      <c r="H155" s="56"/>
      <c r="I155" s="58">
        <f t="shared" si="5"/>
        <v>52841.66</v>
      </c>
      <c r="J155" s="59" t="s">
        <v>64</v>
      </c>
    </row>
    <row r="156" ht="20" customHeight="1" spans="2:10">
      <c r="B156" s="42">
        <v>6</v>
      </c>
      <c r="C156" s="42">
        <v>11</v>
      </c>
      <c r="D156" s="42" t="s">
        <v>127</v>
      </c>
      <c r="E156" s="117" t="s">
        <v>20</v>
      </c>
      <c r="F156" s="45" t="s">
        <v>264</v>
      </c>
      <c r="G156" s="56"/>
      <c r="H156" s="56">
        <v>2000</v>
      </c>
      <c r="I156" s="58">
        <f t="shared" si="5"/>
        <v>50841.66</v>
      </c>
      <c r="J156" s="56"/>
    </row>
    <row r="157" ht="20" customHeight="1" spans="2:10">
      <c r="B157" s="42">
        <v>6</v>
      </c>
      <c r="C157" s="42">
        <v>11</v>
      </c>
      <c r="D157" s="42" t="s">
        <v>127</v>
      </c>
      <c r="E157" s="117" t="s">
        <v>224</v>
      </c>
      <c r="F157" s="45" t="s">
        <v>260</v>
      </c>
      <c r="G157" s="56"/>
      <c r="H157" s="56">
        <v>8115.88</v>
      </c>
      <c r="I157" s="58">
        <f t="shared" si="5"/>
        <v>42725.78</v>
      </c>
      <c r="J157" s="56"/>
    </row>
    <row r="158" ht="20" customHeight="1" spans="2:10">
      <c r="B158" s="42">
        <v>6</v>
      </c>
      <c r="C158" s="42">
        <v>11</v>
      </c>
      <c r="D158" s="42" t="s">
        <v>127</v>
      </c>
      <c r="E158" s="117" t="s">
        <v>224</v>
      </c>
      <c r="F158" s="45" t="s">
        <v>261</v>
      </c>
      <c r="G158" s="56"/>
      <c r="H158" s="56">
        <v>1035.85</v>
      </c>
      <c r="I158" s="58">
        <f t="shared" si="5"/>
        <v>41689.93</v>
      </c>
      <c r="J158" s="56"/>
    </row>
    <row r="159" ht="20" customHeight="1" spans="2:10">
      <c r="B159" s="42">
        <v>6</v>
      </c>
      <c r="C159" s="42">
        <v>11</v>
      </c>
      <c r="D159" s="42" t="s">
        <v>127</v>
      </c>
      <c r="E159" s="117" t="s">
        <v>20</v>
      </c>
      <c r="F159" s="45" t="s">
        <v>262</v>
      </c>
      <c r="G159" s="56"/>
      <c r="H159" s="56">
        <v>6000</v>
      </c>
      <c r="I159" s="58">
        <f t="shared" si="5"/>
        <v>35689.93</v>
      </c>
      <c r="J159" s="56"/>
    </row>
    <row r="160" ht="20" customHeight="1" spans="2:10">
      <c r="B160" s="42">
        <v>6</v>
      </c>
      <c r="C160" s="42">
        <v>11</v>
      </c>
      <c r="D160" s="42" t="s">
        <v>127</v>
      </c>
      <c r="E160" s="117" t="s">
        <v>20</v>
      </c>
      <c r="F160" s="45" t="s">
        <v>263</v>
      </c>
      <c r="G160" s="56"/>
      <c r="H160" s="56">
        <v>14014.58</v>
      </c>
      <c r="I160" s="58">
        <f t="shared" si="5"/>
        <v>21675.35</v>
      </c>
      <c r="J160" s="56"/>
    </row>
    <row r="161" ht="20" customHeight="1" spans="2:10">
      <c r="B161" s="42">
        <v>6</v>
      </c>
      <c r="C161" s="42">
        <v>15</v>
      </c>
      <c r="D161" s="42" t="s">
        <v>127</v>
      </c>
      <c r="E161" s="117" t="s">
        <v>20</v>
      </c>
      <c r="F161" s="117" t="s">
        <v>268</v>
      </c>
      <c r="G161" s="84"/>
      <c r="H161" s="84">
        <v>21324.27</v>
      </c>
      <c r="I161" s="58">
        <f t="shared" si="5"/>
        <v>351.080000000005</v>
      </c>
      <c r="J161" s="56"/>
    </row>
    <row r="162" ht="20" customHeight="1" spans="2:10">
      <c r="B162" s="42">
        <v>6</v>
      </c>
      <c r="C162" s="42">
        <v>15</v>
      </c>
      <c r="D162" s="74" t="s">
        <v>69</v>
      </c>
      <c r="E162" s="117" t="s">
        <v>239</v>
      </c>
      <c r="F162" s="45" t="s">
        <v>280</v>
      </c>
      <c r="G162" s="56">
        <v>30000</v>
      </c>
      <c r="H162" s="56"/>
      <c r="I162" s="58">
        <f t="shared" si="5"/>
        <v>30351.08</v>
      </c>
      <c r="J162" s="59" t="s">
        <v>64</v>
      </c>
    </row>
    <row r="163" ht="20" customHeight="1" spans="2:10">
      <c r="B163" s="42">
        <v>6</v>
      </c>
      <c r="C163" s="42">
        <v>15</v>
      </c>
      <c r="D163" s="42" t="s">
        <v>92</v>
      </c>
      <c r="E163" s="44" t="s">
        <v>271</v>
      </c>
      <c r="F163" s="45" t="s">
        <v>366</v>
      </c>
      <c r="G163" s="56"/>
      <c r="H163" s="56">
        <v>26000</v>
      </c>
      <c r="I163" s="58">
        <f t="shared" si="5"/>
        <v>4351.08000000001</v>
      </c>
      <c r="J163" s="56"/>
    </row>
    <row r="164" ht="20" customHeight="1" spans="2:10">
      <c r="B164" s="42">
        <v>6</v>
      </c>
      <c r="C164" s="42">
        <v>15</v>
      </c>
      <c r="D164" s="74" t="s">
        <v>69</v>
      </c>
      <c r="E164" s="117" t="s">
        <v>239</v>
      </c>
      <c r="F164" s="45" t="s">
        <v>280</v>
      </c>
      <c r="G164" s="56">
        <v>13000</v>
      </c>
      <c r="H164" s="56"/>
      <c r="I164" s="58">
        <f t="shared" si="5"/>
        <v>17351.08</v>
      </c>
      <c r="J164" s="59" t="s">
        <v>64</v>
      </c>
    </row>
    <row r="165" ht="20" customHeight="1" spans="2:10">
      <c r="B165" s="42">
        <v>6</v>
      </c>
      <c r="C165" s="42">
        <v>15</v>
      </c>
      <c r="D165" s="74" t="s">
        <v>98</v>
      </c>
      <c r="E165" s="117" t="s">
        <v>178</v>
      </c>
      <c r="F165" s="45" t="s">
        <v>367</v>
      </c>
      <c r="G165" s="56"/>
      <c r="H165" s="56">
        <v>5220</v>
      </c>
      <c r="I165" s="58">
        <f t="shared" si="5"/>
        <v>12131.08</v>
      </c>
      <c r="J165" s="56"/>
    </row>
    <row r="166" ht="20" customHeight="1" spans="2:10">
      <c r="B166" s="42">
        <v>6</v>
      </c>
      <c r="C166" s="42">
        <v>15</v>
      </c>
      <c r="D166" s="74" t="s">
        <v>127</v>
      </c>
      <c r="E166" s="117" t="s">
        <v>178</v>
      </c>
      <c r="F166" s="45" t="s">
        <v>368</v>
      </c>
      <c r="G166" s="56"/>
      <c r="H166" s="56">
        <v>11266.21</v>
      </c>
      <c r="I166" s="58">
        <f t="shared" si="5"/>
        <v>864.870000000003</v>
      </c>
      <c r="J166" s="56"/>
    </row>
    <row r="167" ht="20" customHeight="1" spans="2:10">
      <c r="B167" s="42">
        <v>6</v>
      </c>
      <c r="C167" s="42">
        <v>17</v>
      </c>
      <c r="D167" s="74" t="s">
        <v>69</v>
      </c>
      <c r="E167" s="117" t="s">
        <v>239</v>
      </c>
      <c r="F167" s="45" t="s">
        <v>280</v>
      </c>
      <c r="G167" s="56">
        <v>10000</v>
      </c>
      <c r="H167" s="56"/>
      <c r="I167" s="58">
        <f t="shared" si="5"/>
        <v>10864.87</v>
      </c>
      <c r="J167" s="59" t="s">
        <v>64</v>
      </c>
    </row>
    <row r="168" ht="20" customHeight="1" spans="2:10">
      <c r="B168" s="42">
        <v>6</v>
      </c>
      <c r="C168" s="42">
        <v>17</v>
      </c>
      <c r="D168" s="74" t="s">
        <v>69</v>
      </c>
      <c r="E168" s="44" t="s">
        <v>241</v>
      </c>
      <c r="F168" s="45" t="s">
        <v>290</v>
      </c>
      <c r="G168" s="56"/>
      <c r="H168" s="56">
        <v>10000</v>
      </c>
      <c r="I168" s="58">
        <f t="shared" si="5"/>
        <v>864.870000000003</v>
      </c>
      <c r="J168" s="56"/>
    </row>
    <row r="169" ht="20" customHeight="1" spans="2:10">
      <c r="B169" s="42">
        <v>6</v>
      </c>
      <c r="C169" s="42">
        <v>21</v>
      </c>
      <c r="D169" s="74" t="s">
        <v>29</v>
      </c>
      <c r="E169" s="117" t="s">
        <v>313</v>
      </c>
      <c r="F169" s="45" t="s">
        <v>29</v>
      </c>
      <c r="G169" s="56">
        <v>5.04</v>
      </c>
      <c r="H169" s="56"/>
      <c r="I169" s="58">
        <f t="shared" si="5"/>
        <v>869.910000000003</v>
      </c>
      <c r="J169" s="56"/>
    </row>
    <row r="170" ht="20" customHeight="1" spans="2:10">
      <c r="B170" s="42">
        <v>6</v>
      </c>
      <c r="C170" s="42">
        <v>22</v>
      </c>
      <c r="D170" s="74" t="s">
        <v>69</v>
      </c>
      <c r="E170" s="117" t="s">
        <v>239</v>
      </c>
      <c r="F170" s="45" t="s">
        <v>280</v>
      </c>
      <c r="G170" s="56">
        <v>10000</v>
      </c>
      <c r="H170" s="56"/>
      <c r="I170" s="58">
        <f t="shared" si="5"/>
        <v>10869.91</v>
      </c>
      <c r="J170" s="56"/>
    </row>
    <row r="171" ht="20" customHeight="1" spans="2:10">
      <c r="B171" s="42">
        <v>6</v>
      </c>
      <c r="C171" s="42">
        <v>22</v>
      </c>
      <c r="D171" s="74" t="s">
        <v>69</v>
      </c>
      <c r="E171" s="45" t="s">
        <v>295</v>
      </c>
      <c r="F171" s="45" t="s">
        <v>339</v>
      </c>
      <c r="G171" s="56"/>
      <c r="H171" s="56">
        <v>10000</v>
      </c>
      <c r="I171" s="58">
        <f t="shared" si="5"/>
        <v>869.910000000003</v>
      </c>
      <c r="J171" s="56"/>
    </row>
    <row r="172" ht="20" customHeight="1" spans="2:10">
      <c r="B172" s="42">
        <v>6</v>
      </c>
      <c r="C172" s="42">
        <v>30</v>
      </c>
      <c r="D172" s="74" t="s">
        <v>69</v>
      </c>
      <c r="E172" s="117" t="s">
        <v>239</v>
      </c>
      <c r="F172" s="45" t="s">
        <v>280</v>
      </c>
      <c r="G172" s="56">
        <v>13000</v>
      </c>
      <c r="H172" s="56"/>
      <c r="I172" s="58">
        <f t="shared" si="5"/>
        <v>13869.91</v>
      </c>
      <c r="J172" s="59" t="s">
        <v>64</v>
      </c>
    </row>
    <row r="173" ht="20" customHeight="1" spans="2:10">
      <c r="B173" s="42">
        <v>6</v>
      </c>
      <c r="C173" s="42">
        <v>30</v>
      </c>
      <c r="D173" s="42" t="s">
        <v>83</v>
      </c>
      <c r="E173" s="44" t="s">
        <v>340</v>
      </c>
      <c r="F173" s="45" t="s">
        <v>369</v>
      </c>
      <c r="G173" s="56"/>
      <c r="H173" s="56">
        <v>13000</v>
      </c>
      <c r="I173" s="58">
        <f t="shared" si="5"/>
        <v>869.910000000003</v>
      </c>
      <c r="J173" s="56"/>
    </row>
    <row r="174" ht="20" customHeight="1" spans="2:10">
      <c r="B174" s="68"/>
      <c r="C174" s="68"/>
      <c r="D174" s="68"/>
      <c r="E174" s="130"/>
      <c r="F174" s="70" t="s">
        <v>22</v>
      </c>
      <c r="G174" s="71">
        <f>SUM(G142:G173)</f>
        <v>182529.84</v>
      </c>
      <c r="H174" s="71">
        <f>SUM(H142:H173)</f>
        <v>207133.59</v>
      </c>
      <c r="I174" s="72">
        <f>I141+G174-H174</f>
        <v>869.910000000003</v>
      </c>
      <c r="J174" s="71"/>
    </row>
    <row r="175" ht="20" customHeight="1" spans="2:10">
      <c r="B175" s="42">
        <v>7</v>
      </c>
      <c r="C175" s="42">
        <v>2</v>
      </c>
      <c r="D175" s="42" t="s">
        <v>357</v>
      </c>
      <c r="E175" s="44" t="s">
        <v>321</v>
      </c>
      <c r="F175" s="45" t="s">
        <v>370</v>
      </c>
      <c r="G175" s="71">
        <v>24588</v>
      </c>
      <c r="H175" s="56"/>
      <c r="I175" s="58">
        <f>I173+G175-H175</f>
        <v>25457.91</v>
      </c>
      <c r="J175" s="56"/>
    </row>
    <row r="176" ht="20" customHeight="1" spans="2:10">
      <c r="B176" s="42">
        <v>7</v>
      </c>
      <c r="C176" s="42">
        <v>9</v>
      </c>
      <c r="D176" s="74" t="s">
        <v>69</v>
      </c>
      <c r="E176" s="117" t="s">
        <v>239</v>
      </c>
      <c r="F176" s="45" t="s">
        <v>280</v>
      </c>
      <c r="G176" s="56">
        <v>40000</v>
      </c>
      <c r="H176" s="56"/>
      <c r="I176" s="58">
        <f t="shared" ref="I176:I197" si="6">I175+G176-H176</f>
        <v>65457.91</v>
      </c>
      <c r="J176" s="59" t="s">
        <v>64</v>
      </c>
    </row>
    <row r="177" ht="20" customHeight="1" spans="2:10">
      <c r="B177" s="42">
        <v>7</v>
      </c>
      <c r="C177" s="42">
        <v>9</v>
      </c>
      <c r="D177" s="42" t="s">
        <v>127</v>
      </c>
      <c r="E177" s="117" t="s">
        <v>20</v>
      </c>
      <c r="F177" s="45" t="s">
        <v>264</v>
      </c>
      <c r="G177" s="56"/>
      <c r="H177" s="56">
        <v>2000</v>
      </c>
      <c r="I177" s="58">
        <f t="shared" si="6"/>
        <v>63457.91</v>
      </c>
      <c r="J177" s="56"/>
    </row>
    <row r="178" ht="20" customHeight="1" spans="2:10">
      <c r="B178" s="42">
        <v>7</v>
      </c>
      <c r="C178" s="42">
        <v>9</v>
      </c>
      <c r="D178" s="42" t="s">
        <v>127</v>
      </c>
      <c r="E178" s="117" t="s">
        <v>224</v>
      </c>
      <c r="F178" s="45" t="s">
        <v>260</v>
      </c>
      <c r="G178" s="56"/>
      <c r="H178" s="56">
        <v>8115.88</v>
      </c>
      <c r="I178" s="58">
        <f t="shared" si="6"/>
        <v>55342.03</v>
      </c>
      <c r="J178" s="56"/>
    </row>
    <row r="179" ht="20" customHeight="1" spans="2:10">
      <c r="B179" s="42">
        <v>7</v>
      </c>
      <c r="C179" s="42">
        <v>9</v>
      </c>
      <c r="D179" s="42" t="s">
        <v>127</v>
      </c>
      <c r="E179" s="117" t="s">
        <v>224</v>
      </c>
      <c r="F179" s="45" t="s">
        <v>261</v>
      </c>
      <c r="G179" s="56"/>
      <c r="H179" s="56">
        <v>1035.85</v>
      </c>
      <c r="I179" s="58">
        <f t="shared" si="6"/>
        <v>54306.18</v>
      </c>
      <c r="J179" s="56"/>
    </row>
    <row r="180" ht="20" customHeight="1" spans="2:10">
      <c r="B180" s="42">
        <v>7</v>
      </c>
      <c r="C180" s="42">
        <v>9</v>
      </c>
      <c r="D180" s="42" t="s">
        <v>127</v>
      </c>
      <c r="E180" s="117" t="s">
        <v>20</v>
      </c>
      <c r="F180" s="45" t="s">
        <v>262</v>
      </c>
      <c r="G180" s="56"/>
      <c r="H180" s="56">
        <v>6000</v>
      </c>
      <c r="I180" s="58">
        <f t="shared" si="6"/>
        <v>48306.18</v>
      </c>
      <c r="J180" s="56"/>
    </row>
    <row r="181" ht="20" customHeight="1" spans="2:10">
      <c r="B181" s="42">
        <v>7</v>
      </c>
      <c r="C181" s="42">
        <v>9</v>
      </c>
      <c r="D181" s="42" t="s">
        <v>127</v>
      </c>
      <c r="E181" s="117" t="s">
        <v>20</v>
      </c>
      <c r="F181" s="45" t="s">
        <v>263</v>
      </c>
      <c r="G181" s="56"/>
      <c r="H181" s="56">
        <v>13562.5</v>
      </c>
      <c r="I181" s="58">
        <f t="shared" si="6"/>
        <v>34743.68</v>
      </c>
      <c r="J181" s="56"/>
    </row>
    <row r="182" ht="20" customHeight="1" spans="2:10">
      <c r="B182" s="42">
        <v>7</v>
      </c>
      <c r="C182" s="42">
        <v>11</v>
      </c>
      <c r="D182" s="74" t="s">
        <v>76</v>
      </c>
      <c r="E182" s="188" t="s">
        <v>258</v>
      </c>
      <c r="F182" s="45" t="s">
        <v>259</v>
      </c>
      <c r="G182" s="71">
        <v>10530</v>
      </c>
      <c r="H182" s="56"/>
      <c r="I182" s="58">
        <f t="shared" si="6"/>
        <v>45273.68</v>
      </c>
      <c r="J182" s="56"/>
    </row>
    <row r="183" ht="20" customHeight="1" spans="2:10">
      <c r="B183" s="42">
        <v>7</v>
      </c>
      <c r="C183" s="42">
        <v>14</v>
      </c>
      <c r="D183" s="74" t="s">
        <v>69</v>
      </c>
      <c r="E183" s="117" t="s">
        <v>241</v>
      </c>
      <c r="F183" s="45" t="s">
        <v>371</v>
      </c>
      <c r="G183" s="56">
        <v>50000</v>
      </c>
      <c r="H183" s="56"/>
      <c r="I183" s="58">
        <f t="shared" si="6"/>
        <v>95273.68</v>
      </c>
      <c r="J183" s="56"/>
    </row>
    <row r="184" ht="20" customHeight="1" spans="2:10">
      <c r="B184" s="42">
        <v>7</v>
      </c>
      <c r="C184" s="42">
        <v>14</v>
      </c>
      <c r="D184" s="74" t="s">
        <v>69</v>
      </c>
      <c r="E184" s="44" t="s">
        <v>251</v>
      </c>
      <c r="F184" s="45" t="s">
        <v>372</v>
      </c>
      <c r="G184" s="56"/>
      <c r="H184" s="56">
        <v>50000</v>
      </c>
      <c r="I184" s="58">
        <f t="shared" si="6"/>
        <v>45273.68</v>
      </c>
      <c r="J184" s="56"/>
    </row>
    <row r="185" ht="20" customHeight="1" spans="2:10">
      <c r="B185" s="42">
        <v>7</v>
      </c>
      <c r="C185" s="42">
        <v>15</v>
      </c>
      <c r="D185" s="42" t="s">
        <v>127</v>
      </c>
      <c r="E185" s="117" t="s">
        <v>20</v>
      </c>
      <c r="F185" s="117" t="s">
        <v>268</v>
      </c>
      <c r="G185" s="84"/>
      <c r="H185" s="84">
        <v>21324.27</v>
      </c>
      <c r="I185" s="58">
        <f t="shared" si="6"/>
        <v>23949.41</v>
      </c>
      <c r="J185" s="56"/>
    </row>
    <row r="186" ht="20" customHeight="1" spans="2:10">
      <c r="B186" s="42">
        <v>7</v>
      </c>
      <c r="C186" s="42">
        <v>15</v>
      </c>
      <c r="D186" s="74" t="s">
        <v>69</v>
      </c>
      <c r="E186" s="117" t="s">
        <v>239</v>
      </c>
      <c r="F186" s="45" t="s">
        <v>280</v>
      </c>
      <c r="G186" s="56">
        <v>20000</v>
      </c>
      <c r="H186" s="56"/>
      <c r="I186" s="58">
        <f t="shared" si="6"/>
        <v>43949.41</v>
      </c>
      <c r="J186" s="59" t="s">
        <v>64</v>
      </c>
    </row>
    <row r="187" ht="20" customHeight="1" spans="2:10">
      <c r="B187" s="42">
        <v>7</v>
      </c>
      <c r="C187" s="42">
        <v>15</v>
      </c>
      <c r="D187" s="42" t="s">
        <v>92</v>
      </c>
      <c r="E187" s="44" t="s">
        <v>271</v>
      </c>
      <c r="F187" s="45" t="s">
        <v>373</v>
      </c>
      <c r="G187" s="56"/>
      <c r="H187" s="56">
        <v>26000</v>
      </c>
      <c r="I187" s="58">
        <f t="shared" si="6"/>
        <v>17949.41</v>
      </c>
      <c r="J187" s="56"/>
    </row>
    <row r="188" ht="20" customHeight="1" spans="2:10">
      <c r="B188" s="42">
        <v>7</v>
      </c>
      <c r="C188" s="42">
        <v>21</v>
      </c>
      <c r="D188" s="74" t="s">
        <v>145</v>
      </c>
      <c r="E188" s="44" t="s">
        <v>293</v>
      </c>
      <c r="F188" s="45" t="s">
        <v>374</v>
      </c>
      <c r="G188" s="56"/>
      <c r="H188" s="56">
        <v>15000</v>
      </c>
      <c r="I188" s="58">
        <f t="shared" si="6"/>
        <v>2949.41</v>
      </c>
      <c r="J188" s="56"/>
    </row>
    <row r="189" ht="20" customHeight="1" spans="2:10">
      <c r="B189" s="42">
        <v>7</v>
      </c>
      <c r="C189" s="42">
        <v>22</v>
      </c>
      <c r="D189" s="74" t="s">
        <v>77</v>
      </c>
      <c r="E189" s="117" t="s">
        <v>273</v>
      </c>
      <c r="F189" s="45" t="s">
        <v>375</v>
      </c>
      <c r="G189" s="56">
        <v>12832.11</v>
      </c>
      <c r="H189" s="56"/>
      <c r="I189" s="58">
        <f t="shared" si="6"/>
        <v>15781.52</v>
      </c>
      <c r="J189" s="56"/>
    </row>
    <row r="190" ht="20" customHeight="1" spans="2:10">
      <c r="B190" s="42">
        <v>7</v>
      </c>
      <c r="C190" s="42">
        <v>23</v>
      </c>
      <c r="D190" s="74" t="s">
        <v>69</v>
      </c>
      <c r="E190" s="117" t="s">
        <v>275</v>
      </c>
      <c r="F190" s="45" t="s">
        <v>376</v>
      </c>
      <c r="G190" s="56"/>
      <c r="H190" s="56">
        <v>12832.11</v>
      </c>
      <c r="I190" s="58">
        <f t="shared" si="6"/>
        <v>2949.41</v>
      </c>
      <c r="J190" s="56"/>
    </row>
    <row r="191" ht="20" customHeight="1" spans="2:10">
      <c r="B191" s="42">
        <v>7</v>
      </c>
      <c r="C191" s="42">
        <v>23</v>
      </c>
      <c r="D191" s="74" t="s">
        <v>117</v>
      </c>
      <c r="E191" s="45" t="s">
        <v>206</v>
      </c>
      <c r="F191" s="45" t="s">
        <v>377</v>
      </c>
      <c r="G191" s="56"/>
      <c r="H191" s="56">
        <v>891.7</v>
      </c>
      <c r="I191" s="58">
        <f t="shared" si="6"/>
        <v>2057.71</v>
      </c>
      <c r="J191" s="56"/>
    </row>
    <row r="192" ht="20" customHeight="1" spans="2:10">
      <c r="B192" s="42">
        <v>7</v>
      </c>
      <c r="C192" s="42">
        <v>23</v>
      </c>
      <c r="D192" s="74" t="s">
        <v>127</v>
      </c>
      <c r="E192" s="45" t="s">
        <v>206</v>
      </c>
      <c r="F192" s="45" t="s">
        <v>378</v>
      </c>
      <c r="G192" s="56"/>
      <c r="H192" s="56">
        <v>1386.1</v>
      </c>
      <c r="I192" s="58">
        <f t="shared" si="6"/>
        <v>671.61</v>
      </c>
      <c r="J192" s="56"/>
    </row>
    <row r="193" ht="20" customHeight="1" spans="2:10">
      <c r="B193" s="42">
        <v>7</v>
      </c>
      <c r="C193" s="42">
        <v>23</v>
      </c>
      <c r="D193" s="74" t="s">
        <v>118</v>
      </c>
      <c r="E193" s="44" t="s">
        <v>206</v>
      </c>
      <c r="F193" s="45" t="s">
        <v>118</v>
      </c>
      <c r="G193" s="56"/>
      <c r="H193" s="56">
        <v>324.31</v>
      </c>
      <c r="I193" s="58">
        <f t="shared" si="6"/>
        <v>347.3</v>
      </c>
      <c r="J193" s="56"/>
    </row>
    <row r="194" ht="20" customHeight="1" spans="2:10">
      <c r="B194" s="42">
        <v>7</v>
      </c>
      <c r="C194" s="42">
        <v>28</v>
      </c>
      <c r="D194" s="74" t="s">
        <v>77</v>
      </c>
      <c r="E194" s="117" t="s">
        <v>273</v>
      </c>
      <c r="F194" s="45" t="s">
        <v>379</v>
      </c>
      <c r="G194" s="56">
        <v>45000</v>
      </c>
      <c r="H194" s="56"/>
      <c r="I194" s="58">
        <f t="shared" si="6"/>
        <v>45347.3</v>
      </c>
      <c r="J194" s="56"/>
    </row>
    <row r="195" ht="20" customHeight="1" spans="2:10">
      <c r="B195" s="42">
        <v>7</v>
      </c>
      <c r="C195" s="42">
        <v>31</v>
      </c>
      <c r="D195" s="74" t="s">
        <v>69</v>
      </c>
      <c r="E195" s="117" t="s">
        <v>304</v>
      </c>
      <c r="F195" s="45" t="s">
        <v>380</v>
      </c>
      <c r="G195" s="56"/>
      <c r="H195" s="56">
        <v>30098.25</v>
      </c>
      <c r="I195" s="58">
        <f t="shared" si="6"/>
        <v>15249.05</v>
      </c>
      <c r="J195" s="56"/>
    </row>
    <row r="196" ht="20" customHeight="1" spans="2:10">
      <c r="B196" s="42">
        <v>7</v>
      </c>
      <c r="C196" s="42">
        <v>31</v>
      </c>
      <c r="D196" s="42" t="s">
        <v>83</v>
      </c>
      <c r="E196" s="44" t="s">
        <v>340</v>
      </c>
      <c r="F196" s="45" t="s">
        <v>381</v>
      </c>
      <c r="G196" s="56"/>
      <c r="H196" s="56">
        <v>13000</v>
      </c>
      <c r="I196" s="58">
        <f t="shared" si="6"/>
        <v>2249.05</v>
      </c>
      <c r="J196" s="56"/>
    </row>
    <row r="197" ht="20" customHeight="1" spans="2:10">
      <c r="B197" s="42">
        <v>7</v>
      </c>
      <c r="C197" s="42">
        <v>31</v>
      </c>
      <c r="D197" s="74" t="s">
        <v>77</v>
      </c>
      <c r="E197" s="117" t="s">
        <v>273</v>
      </c>
      <c r="F197" s="45" t="s">
        <v>382</v>
      </c>
      <c r="G197" s="56">
        <v>45000</v>
      </c>
      <c r="H197" s="56"/>
      <c r="I197" s="58">
        <f t="shared" si="6"/>
        <v>47249.05</v>
      </c>
      <c r="J197" s="56"/>
    </row>
    <row r="198" ht="20" customHeight="1" spans="2:10">
      <c r="B198" s="68"/>
      <c r="C198" s="68"/>
      <c r="D198" s="68"/>
      <c r="E198" s="130"/>
      <c r="F198" s="70" t="s">
        <v>22</v>
      </c>
      <c r="G198" s="71">
        <f>SUM(G175:G197)</f>
        <v>247950.11</v>
      </c>
      <c r="H198" s="71">
        <f>SUM(H175:H197)</f>
        <v>201570.97</v>
      </c>
      <c r="I198" s="72">
        <f>I174+G198-H198</f>
        <v>47249.05</v>
      </c>
      <c r="J198" s="71"/>
    </row>
    <row r="199" ht="20" customHeight="1" spans="2:10">
      <c r="B199" s="42">
        <v>8</v>
      </c>
      <c r="C199" s="42">
        <v>3</v>
      </c>
      <c r="D199" s="74" t="s">
        <v>69</v>
      </c>
      <c r="E199" s="117" t="s">
        <v>304</v>
      </c>
      <c r="F199" s="45" t="s">
        <v>383</v>
      </c>
      <c r="G199" s="55"/>
      <c r="H199" s="55">
        <v>30098.25</v>
      </c>
      <c r="I199" s="58">
        <f>I197+G199-H199</f>
        <v>17150.8</v>
      </c>
      <c r="J199" s="56"/>
    </row>
    <row r="200" ht="20" customHeight="1" spans="2:10">
      <c r="B200" s="42">
        <v>8</v>
      </c>
      <c r="C200" s="42">
        <v>3</v>
      </c>
      <c r="D200" s="74" t="s">
        <v>127</v>
      </c>
      <c r="E200" s="44" t="s">
        <v>384</v>
      </c>
      <c r="F200" s="45" t="s">
        <v>385</v>
      </c>
      <c r="G200" s="55"/>
      <c r="H200" s="55">
        <v>1000</v>
      </c>
      <c r="I200" s="58">
        <f t="shared" ref="I200:I241" si="7">I199+G200-H200</f>
        <v>16150.8</v>
      </c>
      <c r="J200" s="56"/>
    </row>
    <row r="201" ht="20" customHeight="1" spans="2:10">
      <c r="B201" s="42">
        <v>8</v>
      </c>
      <c r="C201" s="42">
        <v>5</v>
      </c>
      <c r="D201" s="42" t="s">
        <v>357</v>
      </c>
      <c r="E201" s="44" t="s">
        <v>321</v>
      </c>
      <c r="F201" s="45" t="s">
        <v>386</v>
      </c>
      <c r="G201" s="65">
        <v>24588</v>
      </c>
      <c r="H201" s="55"/>
      <c r="I201" s="58">
        <f t="shared" si="7"/>
        <v>40738.8</v>
      </c>
      <c r="J201" s="56"/>
    </row>
    <row r="202" ht="20" customHeight="1" spans="2:10">
      <c r="B202" s="42">
        <v>8</v>
      </c>
      <c r="C202" s="42">
        <v>10</v>
      </c>
      <c r="D202" s="74" t="s">
        <v>76</v>
      </c>
      <c r="E202" s="188" t="s">
        <v>258</v>
      </c>
      <c r="F202" s="45" t="s">
        <v>259</v>
      </c>
      <c r="G202" s="65">
        <v>10530</v>
      </c>
      <c r="H202" s="55"/>
      <c r="I202" s="58">
        <f t="shared" si="7"/>
        <v>51268.8</v>
      </c>
      <c r="J202" s="56"/>
    </row>
    <row r="203" ht="20" customHeight="1" spans="2:10">
      <c r="B203" s="42">
        <v>8</v>
      </c>
      <c r="C203" s="42">
        <v>11</v>
      </c>
      <c r="D203" s="74" t="s">
        <v>69</v>
      </c>
      <c r="E203" s="117" t="s">
        <v>239</v>
      </c>
      <c r="F203" s="45" t="s">
        <v>280</v>
      </c>
      <c r="G203" s="56">
        <v>10000</v>
      </c>
      <c r="H203" s="56"/>
      <c r="I203" s="58">
        <f t="shared" si="7"/>
        <v>61268.8</v>
      </c>
      <c r="J203" s="59" t="s">
        <v>64</v>
      </c>
    </row>
    <row r="204" ht="20" customHeight="1" spans="2:10">
      <c r="B204" s="42">
        <v>8</v>
      </c>
      <c r="C204" s="42">
        <v>11</v>
      </c>
      <c r="D204" s="42" t="s">
        <v>127</v>
      </c>
      <c r="E204" s="117" t="s">
        <v>20</v>
      </c>
      <c r="F204" s="45" t="s">
        <v>264</v>
      </c>
      <c r="G204" s="55"/>
      <c r="H204" s="55">
        <v>2000</v>
      </c>
      <c r="I204" s="58">
        <f t="shared" si="7"/>
        <v>59268.8</v>
      </c>
      <c r="J204" s="56"/>
    </row>
    <row r="205" ht="20" customHeight="1" spans="2:10">
      <c r="B205" s="42">
        <v>8</v>
      </c>
      <c r="C205" s="42">
        <v>11</v>
      </c>
      <c r="D205" s="42" t="s">
        <v>127</v>
      </c>
      <c r="E205" s="117" t="s">
        <v>224</v>
      </c>
      <c r="F205" s="45" t="s">
        <v>260</v>
      </c>
      <c r="G205" s="55"/>
      <c r="H205" s="55">
        <v>8115.88</v>
      </c>
      <c r="I205" s="58">
        <f t="shared" si="7"/>
        <v>51152.92</v>
      </c>
      <c r="J205" s="56"/>
    </row>
    <row r="206" ht="20" customHeight="1" spans="2:10">
      <c r="B206" s="42">
        <v>8</v>
      </c>
      <c r="C206" s="42">
        <v>11</v>
      </c>
      <c r="D206" s="42" t="s">
        <v>127</v>
      </c>
      <c r="E206" s="117" t="s">
        <v>224</v>
      </c>
      <c r="F206" s="45" t="s">
        <v>261</v>
      </c>
      <c r="G206" s="55"/>
      <c r="H206" s="55">
        <v>1035.85</v>
      </c>
      <c r="I206" s="58">
        <f t="shared" si="7"/>
        <v>50117.07</v>
      </c>
      <c r="J206" s="56"/>
    </row>
    <row r="207" ht="20" customHeight="1" spans="2:10">
      <c r="B207" s="42">
        <v>8</v>
      </c>
      <c r="C207" s="42">
        <v>11</v>
      </c>
      <c r="D207" s="42" t="s">
        <v>127</v>
      </c>
      <c r="E207" s="117" t="s">
        <v>20</v>
      </c>
      <c r="F207" s="45" t="s">
        <v>262</v>
      </c>
      <c r="G207" s="55"/>
      <c r="H207" s="55">
        <v>6000</v>
      </c>
      <c r="I207" s="58">
        <f t="shared" si="7"/>
        <v>44117.07</v>
      </c>
      <c r="J207" s="56"/>
    </row>
    <row r="208" ht="20" customHeight="1" spans="2:10">
      <c r="B208" s="42">
        <v>8</v>
      </c>
      <c r="C208" s="42">
        <v>11</v>
      </c>
      <c r="D208" s="42" t="s">
        <v>127</v>
      </c>
      <c r="E208" s="117" t="s">
        <v>20</v>
      </c>
      <c r="F208" s="45" t="s">
        <v>263</v>
      </c>
      <c r="G208" s="55"/>
      <c r="H208" s="55">
        <v>14014.58</v>
      </c>
      <c r="I208" s="58">
        <f t="shared" si="7"/>
        <v>30102.49</v>
      </c>
      <c r="J208" s="56"/>
    </row>
    <row r="209" ht="20" customHeight="1" spans="2:10">
      <c r="B209" s="42">
        <v>8</v>
      </c>
      <c r="C209" s="42">
        <v>12</v>
      </c>
      <c r="D209" s="74" t="s">
        <v>76</v>
      </c>
      <c r="E209" s="117" t="s">
        <v>279</v>
      </c>
      <c r="F209" s="44" t="s">
        <v>387</v>
      </c>
      <c r="G209" s="65">
        <v>18000</v>
      </c>
      <c r="H209" s="55"/>
      <c r="I209" s="58">
        <f t="shared" si="7"/>
        <v>48102.49</v>
      </c>
      <c r="J209" s="56"/>
    </row>
    <row r="210" ht="20" customHeight="1" spans="2:10">
      <c r="B210" s="42">
        <v>8</v>
      </c>
      <c r="C210" s="42">
        <v>15</v>
      </c>
      <c r="D210" s="42" t="s">
        <v>127</v>
      </c>
      <c r="E210" s="117" t="s">
        <v>20</v>
      </c>
      <c r="F210" s="117" t="s">
        <v>268</v>
      </c>
      <c r="G210" s="55"/>
      <c r="H210" s="55">
        <v>21324.27</v>
      </c>
      <c r="I210" s="58">
        <f t="shared" si="7"/>
        <v>26778.22</v>
      </c>
      <c r="J210" s="56"/>
    </row>
    <row r="211" ht="20" customHeight="1" spans="2:10">
      <c r="B211" s="42">
        <v>8</v>
      </c>
      <c r="C211" s="42">
        <v>17</v>
      </c>
      <c r="D211" s="42" t="s">
        <v>92</v>
      </c>
      <c r="E211" s="44" t="s">
        <v>271</v>
      </c>
      <c r="F211" s="45" t="s">
        <v>388</v>
      </c>
      <c r="G211" s="55"/>
      <c r="H211" s="55">
        <v>23000</v>
      </c>
      <c r="I211" s="58">
        <f t="shared" si="7"/>
        <v>3778.22</v>
      </c>
      <c r="J211" s="56"/>
    </row>
    <row r="212" ht="20" customHeight="1" spans="2:10">
      <c r="B212" s="42">
        <v>8</v>
      </c>
      <c r="C212" s="42">
        <v>27</v>
      </c>
      <c r="D212" s="74" t="s">
        <v>69</v>
      </c>
      <c r="E212" s="117" t="s">
        <v>239</v>
      </c>
      <c r="F212" s="45" t="s">
        <v>280</v>
      </c>
      <c r="G212" s="56">
        <v>90000</v>
      </c>
      <c r="H212" s="56"/>
      <c r="I212" s="58">
        <f t="shared" si="7"/>
        <v>93778.22</v>
      </c>
      <c r="J212" s="59" t="s">
        <v>64</v>
      </c>
    </row>
    <row r="213" ht="20" customHeight="1" spans="2:10">
      <c r="B213" s="42">
        <v>8</v>
      </c>
      <c r="C213" s="42">
        <v>27</v>
      </c>
      <c r="D213" s="74" t="s">
        <v>83</v>
      </c>
      <c r="E213" s="117" t="s">
        <v>285</v>
      </c>
      <c r="F213" s="45" t="s">
        <v>389</v>
      </c>
      <c r="G213" s="55"/>
      <c r="H213" s="55">
        <v>65000</v>
      </c>
      <c r="I213" s="58">
        <f t="shared" si="7"/>
        <v>28778.22</v>
      </c>
      <c r="J213" s="56"/>
    </row>
    <row r="214" ht="20" customHeight="1" spans="2:10">
      <c r="B214" s="42">
        <v>8</v>
      </c>
      <c r="C214" s="42">
        <v>27</v>
      </c>
      <c r="D214" s="74" t="s">
        <v>100</v>
      </c>
      <c r="E214" s="117" t="s">
        <v>178</v>
      </c>
      <c r="F214" s="45" t="s">
        <v>390</v>
      </c>
      <c r="G214" s="55"/>
      <c r="H214" s="55">
        <v>2239.24</v>
      </c>
      <c r="I214" s="58">
        <f t="shared" si="7"/>
        <v>26538.98</v>
      </c>
      <c r="J214" s="56"/>
    </row>
    <row r="215" ht="20" customHeight="1" spans="2:10">
      <c r="B215" s="42">
        <v>8</v>
      </c>
      <c r="C215" s="42">
        <v>27</v>
      </c>
      <c r="D215" s="74" t="s">
        <v>127</v>
      </c>
      <c r="E215" s="117" t="s">
        <v>178</v>
      </c>
      <c r="F215" s="45" t="s">
        <v>391</v>
      </c>
      <c r="G215" s="55"/>
      <c r="H215" s="55">
        <v>4649.9</v>
      </c>
      <c r="I215" s="58">
        <f t="shared" si="7"/>
        <v>21889.08</v>
      </c>
      <c r="J215" s="56"/>
    </row>
    <row r="216" ht="20" customHeight="1" spans="2:10">
      <c r="B216" s="42">
        <v>8</v>
      </c>
      <c r="C216" s="42">
        <v>27</v>
      </c>
      <c r="D216" s="74" t="s">
        <v>127</v>
      </c>
      <c r="E216" s="45" t="s">
        <v>178</v>
      </c>
      <c r="F216" s="45" t="s">
        <v>392</v>
      </c>
      <c r="G216" s="55"/>
      <c r="H216" s="55">
        <v>758.9</v>
      </c>
      <c r="I216" s="58">
        <f t="shared" si="7"/>
        <v>21130.18</v>
      </c>
      <c r="J216" s="56"/>
    </row>
    <row r="217" ht="20" customHeight="1" spans="2:10">
      <c r="B217" s="42">
        <v>8</v>
      </c>
      <c r="C217" s="42">
        <v>27</v>
      </c>
      <c r="D217" s="74" t="s">
        <v>127</v>
      </c>
      <c r="E217" s="117" t="s">
        <v>178</v>
      </c>
      <c r="F217" s="45" t="s">
        <v>393</v>
      </c>
      <c r="G217" s="55"/>
      <c r="H217" s="55">
        <v>1000</v>
      </c>
      <c r="I217" s="58">
        <f t="shared" si="7"/>
        <v>20130.18</v>
      </c>
      <c r="J217" s="56"/>
    </row>
    <row r="218" ht="20" customHeight="1" spans="2:10">
      <c r="B218" s="42">
        <v>8</v>
      </c>
      <c r="C218" s="42">
        <v>27</v>
      </c>
      <c r="D218" s="74" t="s">
        <v>127</v>
      </c>
      <c r="E218" s="117" t="s">
        <v>178</v>
      </c>
      <c r="F218" s="45" t="s">
        <v>394</v>
      </c>
      <c r="G218" s="55"/>
      <c r="H218" s="55">
        <v>2085.9</v>
      </c>
      <c r="I218" s="58">
        <f t="shared" si="7"/>
        <v>18044.28</v>
      </c>
      <c r="J218" s="56"/>
    </row>
    <row r="219" ht="20" customHeight="1" spans="2:10">
      <c r="B219" s="42">
        <v>8</v>
      </c>
      <c r="C219" s="42">
        <v>27</v>
      </c>
      <c r="D219" s="74" t="s">
        <v>130</v>
      </c>
      <c r="E219" s="189" t="s">
        <v>308</v>
      </c>
      <c r="F219" s="192" t="s">
        <v>309</v>
      </c>
      <c r="G219" s="55"/>
      <c r="H219" s="55">
        <v>15000</v>
      </c>
      <c r="I219" s="58">
        <f t="shared" si="7"/>
        <v>3044.28</v>
      </c>
      <c r="J219" s="56"/>
    </row>
    <row r="220" ht="20" customHeight="1" spans="2:10">
      <c r="B220" s="42">
        <v>8</v>
      </c>
      <c r="C220" s="42">
        <v>29</v>
      </c>
      <c r="D220" s="74" t="s">
        <v>69</v>
      </c>
      <c r="E220" s="117" t="s">
        <v>283</v>
      </c>
      <c r="F220" s="45" t="s">
        <v>319</v>
      </c>
      <c r="G220" s="55">
        <v>8360</v>
      </c>
      <c r="H220" s="55"/>
      <c r="I220" s="58">
        <f t="shared" si="7"/>
        <v>11404.28</v>
      </c>
      <c r="J220" s="56"/>
    </row>
    <row r="221" ht="20" customHeight="1" spans="2:10">
      <c r="B221" s="42">
        <v>8</v>
      </c>
      <c r="C221" s="42">
        <v>31</v>
      </c>
      <c r="D221" s="74" t="s">
        <v>69</v>
      </c>
      <c r="E221" s="117" t="s">
        <v>241</v>
      </c>
      <c r="F221" s="45" t="s">
        <v>395</v>
      </c>
      <c r="G221" s="55">
        <v>50000</v>
      </c>
      <c r="H221" s="55"/>
      <c r="I221" s="58">
        <f t="shared" si="7"/>
        <v>61404.28</v>
      </c>
      <c r="J221" s="56"/>
    </row>
    <row r="222" ht="20" customHeight="1" spans="2:10">
      <c r="B222" s="42">
        <v>8</v>
      </c>
      <c r="C222" s="42">
        <v>31</v>
      </c>
      <c r="D222" s="74" t="s">
        <v>127</v>
      </c>
      <c r="E222" s="45" t="s">
        <v>396</v>
      </c>
      <c r="F222" s="45" t="s">
        <v>397</v>
      </c>
      <c r="G222" s="55"/>
      <c r="H222" s="55">
        <v>58000</v>
      </c>
      <c r="I222" s="58">
        <f t="shared" si="7"/>
        <v>3404.28</v>
      </c>
      <c r="J222" s="56"/>
    </row>
    <row r="223" ht="20" customHeight="1" spans="2:10">
      <c r="B223" s="68"/>
      <c r="C223" s="68"/>
      <c r="D223" s="68"/>
      <c r="E223" s="130"/>
      <c r="F223" s="70" t="s">
        <v>22</v>
      </c>
      <c r="G223" s="71">
        <f>SUM(G199:G222)</f>
        <v>211478</v>
      </c>
      <c r="H223" s="71">
        <f>SUM(H199:H222)</f>
        <v>255322.77</v>
      </c>
      <c r="I223" s="72">
        <f>I198+G223-H223</f>
        <v>3404.28</v>
      </c>
      <c r="J223" s="71"/>
    </row>
    <row r="224" ht="20" customHeight="1" spans="2:10">
      <c r="B224" s="42">
        <v>9</v>
      </c>
      <c r="C224" s="42">
        <v>3</v>
      </c>
      <c r="D224" s="42" t="s">
        <v>357</v>
      </c>
      <c r="E224" s="44" t="s">
        <v>321</v>
      </c>
      <c r="F224" s="45" t="s">
        <v>398</v>
      </c>
      <c r="G224" s="65">
        <v>24588</v>
      </c>
      <c r="H224" s="56"/>
      <c r="I224" s="58">
        <f>I222+G224-H224</f>
        <v>27992.28</v>
      </c>
      <c r="J224" s="56"/>
    </row>
    <row r="225" ht="20" customHeight="1" spans="2:10">
      <c r="B225" s="42">
        <v>9</v>
      </c>
      <c r="C225" s="42">
        <v>4</v>
      </c>
      <c r="D225" s="74" t="s">
        <v>69</v>
      </c>
      <c r="E225" s="44" t="s">
        <v>251</v>
      </c>
      <c r="F225" s="45" t="s">
        <v>399</v>
      </c>
      <c r="G225" s="56"/>
      <c r="H225" s="56">
        <v>3838</v>
      </c>
      <c r="I225" s="58">
        <f t="shared" ref="I225:I247" si="8">I224+G225-H225</f>
        <v>24154.28</v>
      </c>
      <c r="J225" s="56"/>
    </row>
    <row r="226" ht="20" customHeight="1" spans="2:10">
      <c r="B226" s="42">
        <v>9</v>
      </c>
      <c r="C226" s="42">
        <v>10</v>
      </c>
      <c r="D226" s="74" t="s">
        <v>69</v>
      </c>
      <c r="E226" s="117" t="s">
        <v>239</v>
      </c>
      <c r="F226" s="45" t="s">
        <v>280</v>
      </c>
      <c r="G226" s="56">
        <v>30000</v>
      </c>
      <c r="H226" s="56"/>
      <c r="I226" s="58">
        <f t="shared" si="8"/>
        <v>54154.28</v>
      </c>
      <c r="J226" s="59" t="s">
        <v>64</v>
      </c>
    </row>
    <row r="227" ht="20" customHeight="1" spans="2:10">
      <c r="B227" s="42">
        <v>9</v>
      </c>
      <c r="C227" s="42">
        <v>10</v>
      </c>
      <c r="D227" s="42" t="s">
        <v>127</v>
      </c>
      <c r="E227" s="117" t="s">
        <v>20</v>
      </c>
      <c r="F227" s="45" t="s">
        <v>264</v>
      </c>
      <c r="G227" s="55"/>
      <c r="H227" s="84">
        <v>2000</v>
      </c>
      <c r="I227" s="58">
        <f t="shared" si="8"/>
        <v>52154.28</v>
      </c>
      <c r="J227" s="56"/>
    </row>
    <row r="228" ht="20" customHeight="1" spans="2:10">
      <c r="B228" s="42">
        <v>9</v>
      </c>
      <c r="C228" s="42">
        <v>10</v>
      </c>
      <c r="D228" s="42" t="s">
        <v>127</v>
      </c>
      <c r="E228" s="117" t="s">
        <v>224</v>
      </c>
      <c r="F228" s="45" t="s">
        <v>260</v>
      </c>
      <c r="G228" s="55"/>
      <c r="H228" s="84">
        <v>8115.88</v>
      </c>
      <c r="I228" s="58">
        <f t="shared" si="8"/>
        <v>44038.4</v>
      </c>
      <c r="J228" s="56"/>
    </row>
    <row r="229" ht="20" customHeight="1" spans="2:10">
      <c r="B229" s="42">
        <v>9</v>
      </c>
      <c r="C229" s="42">
        <v>10</v>
      </c>
      <c r="D229" s="42" t="s">
        <v>127</v>
      </c>
      <c r="E229" s="117" t="s">
        <v>224</v>
      </c>
      <c r="F229" s="45" t="s">
        <v>261</v>
      </c>
      <c r="G229" s="55"/>
      <c r="H229" s="84">
        <v>1035.83</v>
      </c>
      <c r="I229" s="58">
        <f t="shared" si="8"/>
        <v>43002.57</v>
      </c>
      <c r="J229" s="56"/>
    </row>
    <row r="230" ht="20" customHeight="1" spans="2:10">
      <c r="B230" s="42">
        <v>9</v>
      </c>
      <c r="C230" s="42">
        <v>10</v>
      </c>
      <c r="D230" s="42" t="s">
        <v>127</v>
      </c>
      <c r="E230" s="117" t="s">
        <v>20</v>
      </c>
      <c r="F230" s="45" t="s">
        <v>262</v>
      </c>
      <c r="G230" s="55"/>
      <c r="H230" s="84">
        <v>6000</v>
      </c>
      <c r="I230" s="58">
        <f t="shared" si="8"/>
        <v>37002.57</v>
      </c>
      <c r="J230" s="56"/>
    </row>
    <row r="231" ht="20" customHeight="1" spans="2:10">
      <c r="B231" s="42">
        <v>9</v>
      </c>
      <c r="C231" s="42">
        <v>10</v>
      </c>
      <c r="D231" s="42" t="s">
        <v>127</v>
      </c>
      <c r="E231" s="117" t="s">
        <v>20</v>
      </c>
      <c r="F231" s="45" t="s">
        <v>263</v>
      </c>
      <c r="G231" s="55"/>
      <c r="H231" s="84">
        <v>14014.58</v>
      </c>
      <c r="I231" s="58">
        <f t="shared" si="8"/>
        <v>22987.99</v>
      </c>
      <c r="J231" s="56"/>
    </row>
    <row r="232" ht="20" customHeight="1" spans="2:10">
      <c r="B232" s="42">
        <v>9</v>
      </c>
      <c r="C232" s="42">
        <v>11</v>
      </c>
      <c r="D232" s="74" t="s">
        <v>76</v>
      </c>
      <c r="E232" s="188" t="s">
        <v>258</v>
      </c>
      <c r="F232" s="45" t="s">
        <v>259</v>
      </c>
      <c r="G232" s="65">
        <v>10530</v>
      </c>
      <c r="H232" s="56"/>
      <c r="I232" s="58">
        <f t="shared" si="8"/>
        <v>33517.99</v>
      </c>
      <c r="J232" s="56"/>
    </row>
    <row r="233" ht="20" customHeight="1" spans="2:10">
      <c r="B233" s="42">
        <v>9</v>
      </c>
      <c r="C233" s="42">
        <v>12</v>
      </c>
      <c r="D233" s="74" t="s">
        <v>76</v>
      </c>
      <c r="E233" s="117" t="s">
        <v>279</v>
      </c>
      <c r="F233" s="44" t="s">
        <v>387</v>
      </c>
      <c r="G233" s="65">
        <v>18000</v>
      </c>
      <c r="H233" s="56"/>
      <c r="I233" s="58">
        <f t="shared" si="8"/>
        <v>51517.99</v>
      </c>
      <c r="J233" s="56"/>
    </row>
    <row r="234" ht="20" customHeight="1" spans="2:10">
      <c r="B234" s="42">
        <v>9</v>
      </c>
      <c r="C234" s="42">
        <v>15</v>
      </c>
      <c r="D234" s="42" t="s">
        <v>127</v>
      </c>
      <c r="E234" s="117" t="s">
        <v>20</v>
      </c>
      <c r="F234" s="117" t="s">
        <v>268</v>
      </c>
      <c r="G234" s="55"/>
      <c r="H234" s="84">
        <v>21324.27</v>
      </c>
      <c r="I234" s="58">
        <f t="shared" si="8"/>
        <v>30193.72</v>
      </c>
      <c r="J234" s="56"/>
    </row>
    <row r="235" ht="20" customHeight="1" spans="2:10">
      <c r="B235" s="42">
        <v>9</v>
      </c>
      <c r="C235" s="42">
        <v>15</v>
      </c>
      <c r="D235" s="42" t="s">
        <v>92</v>
      </c>
      <c r="E235" s="44" t="s">
        <v>271</v>
      </c>
      <c r="F235" s="45" t="s">
        <v>400</v>
      </c>
      <c r="G235" s="55"/>
      <c r="H235" s="84">
        <v>23000</v>
      </c>
      <c r="I235" s="58">
        <f t="shared" si="8"/>
        <v>7193.72</v>
      </c>
      <c r="J235" s="56"/>
    </row>
    <row r="236" ht="20" customHeight="1" spans="2:10">
      <c r="B236" s="42">
        <v>9</v>
      </c>
      <c r="C236" s="42">
        <v>16</v>
      </c>
      <c r="D236" s="74" t="s">
        <v>127</v>
      </c>
      <c r="E236" s="44" t="s">
        <v>335</v>
      </c>
      <c r="F236" s="45" t="s">
        <v>401</v>
      </c>
      <c r="G236" s="56"/>
      <c r="H236" s="56">
        <v>2700</v>
      </c>
      <c r="I236" s="58">
        <f t="shared" si="8"/>
        <v>4493.72</v>
      </c>
      <c r="J236" s="56"/>
    </row>
    <row r="237" ht="20" customHeight="1" spans="2:10">
      <c r="B237" s="42">
        <v>9</v>
      </c>
      <c r="C237" s="42">
        <v>16</v>
      </c>
      <c r="D237" s="74" t="s">
        <v>118</v>
      </c>
      <c r="E237" s="44" t="s">
        <v>335</v>
      </c>
      <c r="F237" s="45" t="s">
        <v>118</v>
      </c>
      <c r="G237" s="56"/>
      <c r="H237" s="56">
        <v>543.92</v>
      </c>
      <c r="I237" s="58">
        <f t="shared" si="8"/>
        <v>3949.8</v>
      </c>
      <c r="J237" s="56"/>
    </row>
    <row r="238" ht="20" customHeight="1" spans="2:10">
      <c r="B238" s="42">
        <v>9</v>
      </c>
      <c r="C238" s="42">
        <v>21</v>
      </c>
      <c r="D238" s="74" t="s">
        <v>29</v>
      </c>
      <c r="E238" s="117" t="s">
        <v>313</v>
      </c>
      <c r="F238" s="45" t="s">
        <v>29</v>
      </c>
      <c r="G238" s="56">
        <v>2.58</v>
      </c>
      <c r="H238" s="56"/>
      <c r="I238" s="58">
        <f t="shared" si="8"/>
        <v>3952.38</v>
      </c>
      <c r="J238" s="56"/>
    </row>
    <row r="239" ht="20" customHeight="1" spans="2:10">
      <c r="B239" s="42">
        <v>9</v>
      </c>
      <c r="C239" s="42">
        <v>28</v>
      </c>
      <c r="D239" s="74" t="s">
        <v>117</v>
      </c>
      <c r="E239" s="44" t="s">
        <v>206</v>
      </c>
      <c r="F239" s="45" t="s">
        <v>402</v>
      </c>
      <c r="G239" s="56"/>
      <c r="H239" s="56">
        <v>1245.86</v>
      </c>
      <c r="I239" s="58">
        <f t="shared" si="8"/>
        <v>2706.52</v>
      </c>
      <c r="J239" s="56"/>
    </row>
    <row r="240" ht="20" customHeight="1" spans="2:10">
      <c r="B240" s="42">
        <v>9</v>
      </c>
      <c r="C240" s="42">
        <v>28</v>
      </c>
      <c r="D240" s="74" t="s">
        <v>127</v>
      </c>
      <c r="E240" s="44" t="s">
        <v>206</v>
      </c>
      <c r="F240" s="45" t="s">
        <v>403</v>
      </c>
      <c r="G240" s="56"/>
      <c r="H240" s="56">
        <v>1478.61</v>
      </c>
      <c r="I240" s="58">
        <f t="shared" si="8"/>
        <v>1227.91</v>
      </c>
      <c r="J240" s="56"/>
    </row>
    <row r="241" ht="20" customHeight="1" spans="2:10">
      <c r="B241" s="42">
        <v>9</v>
      </c>
      <c r="C241" s="42">
        <v>28</v>
      </c>
      <c r="D241" s="74" t="s">
        <v>69</v>
      </c>
      <c r="E241" s="117" t="s">
        <v>239</v>
      </c>
      <c r="F241" s="45" t="s">
        <v>280</v>
      </c>
      <c r="G241" s="56">
        <v>100000</v>
      </c>
      <c r="H241" s="56"/>
      <c r="I241" s="58">
        <f t="shared" si="8"/>
        <v>101227.91</v>
      </c>
      <c r="J241" s="56"/>
    </row>
    <row r="242" ht="20" customHeight="1" spans="2:10">
      <c r="B242" s="42">
        <v>9</v>
      </c>
      <c r="C242" s="42">
        <v>28</v>
      </c>
      <c r="D242" s="74" t="s">
        <v>130</v>
      </c>
      <c r="E242" s="44" t="s">
        <v>404</v>
      </c>
      <c r="F242" s="45" t="s">
        <v>405</v>
      </c>
      <c r="G242" s="56"/>
      <c r="H242" s="56">
        <v>100000</v>
      </c>
      <c r="I242" s="58">
        <f t="shared" si="8"/>
        <v>1227.91</v>
      </c>
      <c r="J242" s="56"/>
    </row>
    <row r="243" ht="20" customHeight="1" spans="2:10">
      <c r="B243" s="42">
        <v>9</v>
      </c>
      <c r="C243" s="42">
        <v>28</v>
      </c>
      <c r="D243" s="74" t="s">
        <v>127</v>
      </c>
      <c r="E243" s="44" t="s">
        <v>20</v>
      </c>
      <c r="F243" s="45" t="s">
        <v>406</v>
      </c>
      <c r="G243" s="56"/>
      <c r="H243" s="56">
        <v>800</v>
      </c>
      <c r="I243" s="58">
        <f t="shared" si="8"/>
        <v>427.91</v>
      </c>
      <c r="J243" s="56"/>
    </row>
    <row r="244" ht="20" customHeight="1" spans="2:10">
      <c r="B244" s="42">
        <v>9</v>
      </c>
      <c r="C244" s="42">
        <v>30</v>
      </c>
      <c r="D244" s="74" t="s">
        <v>69</v>
      </c>
      <c r="E244" s="117" t="s">
        <v>239</v>
      </c>
      <c r="F244" s="45" t="s">
        <v>280</v>
      </c>
      <c r="G244" s="56">
        <v>21000</v>
      </c>
      <c r="H244" s="56"/>
      <c r="I244" s="58">
        <f t="shared" si="8"/>
        <v>21427.91</v>
      </c>
      <c r="J244" s="56"/>
    </row>
    <row r="245" ht="20" customHeight="1" spans="2:10">
      <c r="B245" s="42">
        <v>9</v>
      </c>
      <c r="C245" s="42">
        <v>30</v>
      </c>
      <c r="D245" s="74" t="s">
        <v>127</v>
      </c>
      <c r="E245" s="44" t="s">
        <v>178</v>
      </c>
      <c r="F245" s="45" t="s">
        <v>407</v>
      </c>
      <c r="G245" s="56"/>
      <c r="H245" s="56">
        <v>18330</v>
      </c>
      <c r="I245" s="58">
        <f t="shared" si="8"/>
        <v>3097.91</v>
      </c>
      <c r="J245" s="56"/>
    </row>
    <row r="246" ht="20" customHeight="1" spans="2:10">
      <c r="B246" s="42">
        <v>9</v>
      </c>
      <c r="C246" s="42">
        <v>30</v>
      </c>
      <c r="D246" s="74" t="s">
        <v>98</v>
      </c>
      <c r="E246" s="44" t="s">
        <v>178</v>
      </c>
      <c r="F246" s="45" t="s">
        <v>408</v>
      </c>
      <c r="G246" s="56"/>
      <c r="H246" s="56">
        <v>2160</v>
      </c>
      <c r="I246" s="58">
        <f t="shared" si="8"/>
        <v>937.91</v>
      </c>
      <c r="J246" s="56"/>
    </row>
    <row r="247" ht="20" customHeight="1" spans="2:10">
      <c r="B247" s="42">
        <v>9</v>
      </c>
      <c r="C247" s="42">
        <v>30</v>
      </c>
      <c r="D247" s="42" t="s">
        <v>357</v>
      </c>
      <c r="E247" s="44" t="s">
        <v>321</v>
      </c>
      <c r="F247" s="45" t="s">
        <v>409</v>
      </c>
      <c r="G247" s="65">
        <v>24588</v>
      </c>
      <c r="H247" s="56"/>
      <c r="I247" s="58">
        <f t="shared" si="8"/>
        <v>25525.91</v>
      </c>
      <c r="J247" s="56"/>
    </row>
    <row r="248" ht="20" customHeight="1" spans="2:10">
      <c r="B248" s="68"/>
      <c r="C248" s="68"/>
      <c r="D248" s="68"/>
      <c r="E248" s="130"/>
      <c r="F248" s="70" t="s">
        <v>22</v>
      </c>
      <c r="G248" s="71">
        <f>SUM(G224:G247)</f>
        <v>228708.58</v>
      </c>
      <c r="H248" s="71">
        <f>SUM(H224:H247)</f>
        <v>206586.95</v>
      </c>
      <c r="I248" s="72">
        <f>I223+G248-H248</f>
        <v>25525.91</v>
      </c>
      <c r="J248" s="71"/>
    </row>
    <row r="249" ht="20" customHeight="1" spans="2:10">
      <c r="B249" s="42">
        <v>10</v>
      </c>
      <c r="C249" s="42">
        <v>8</v>
      </c>
      <c r="D249" s="74" t="s">
        <v>77</v>
      </c>
      <c r="E249" s="117" t="s">
        <v>273</v>
      </c>
      <c r="F249" s="45" t="s">
        <v>375</v>
      </c>
      <c r="G249" s="56">
        <v>8554.74</v>
      </c>
      <c r="H249" s="56"/>
      <c r="I249" s="58">
        <f>I247+G249-H249</f>
        <v>34080.65</v>
      </c>
      <c r="J249" s="56"/>
    </row>
    <row r="250" ht="20" customHeight="1" spans="2:10">
      <c r="B250" s="42">
        <v>10</v>
      </c>
      <c r="C250" s="42">
        <v>8</v>
      </c>
      <c r="D250" s="74" t="s">
        <v>77</v>
      </c>
      <c r="E250" s="117" t="s">
        <v>273</v>
      </c>
      <c r="F250" s="45" t="s">
        <v>410</v>
      </c>
      <c r="G250" s="56">
        <v>45000</v>
      </c>
      <c r="H250" s="56"/>
      <c r="I250" s="58">
        <f t="shared" ref="I249:I256" si="9">I249+G250-H250</f>
        <v>79080.65</v>
      </c>
      <c r="J250" s="56"/>
    </row>
    <row r="251" ht="20" customHeight="1" spans="2:10">
      <c r="B251" s="42">
        <v>10</v>
      </c>
      <c r="C251" s="42">
        <v>9</v>
      </c>
      <c r="D251" s="74" t="s">
        <v>69</v>
      </c>
      <c r="E251" s="117" t="s">
        <v>275</v>
      </c>
      <c r="F251" s="45" t="s">
        <v>411</v>
      </c>
      <c r="G251" s="56"/>
      <c r="H251" s="56">
        <v>8554.74</v>
      </c>
      <c r="I251" s="58">
        <f t="shared" si="9"/>
        <v>70525.91</v>
      </c>
      <c r="J251" s="56"/>
    </row>
    <row r="252" ht="20" customHeight="1" spans="2:10">
      <c r="B252" s="42">
        <v>10</v>
      </c>
      <c r="C252" s="42">
        <v>9</v>
      </c>
      <c r="D252" s="74" t="s">
        <v>69</v>
      </c>
      <c r="E252" s="117" t="s">
        <v>304</v>
      </c>
      <c r="F252" s="45" t="s">
        <v>412</v>
      </c>
      <c r="G252" s="56"/>
      <c r="H252" s="56">
        <v>30098.25</v>
      </c>
      <c r="I252" s="58">
        <f t="shared" si="9"/>
        <v>40427.66</v>
      </c>
      <c r="J252" s="56"/>
    </row>
    <row r="253" ht="20" customHeight="1" spans="2:10">
      <c r="B253" s="42">
        <v>10</v>
      </c>
      <c r="C253" s="42">
        <v>10</v>
      </c>
      <c r="D253" s="74" t="s">
        <v>76</v>
      </c>
      <c r="E253" s="188" t="s">
        <v>258</v>
      </c>
      <c r="F253" s="45" t="s">
        <v>259</v>
      </c>
      <c r="G253" s="65">
        <v>10530</v>
      </c>
      <c r="H253" s="56"/>
      <c r="I253" s="58">
        <f t="shared" si="9"/>
        <v>50957.66</v>
      </c>
      <c r="J253" s="56"/>
    </row>
    <row r="254" ht="20" customHeight="1" spans="2:10">
      <c r="B254" s="42">
        <v>10</v>
      </c>
      <c r="C254" s="42">
        <v>13</v>
      </c>
      <c r="D254" s="74" t="s">
        <v>69</v>
      </c>
      <c r="E254" s="117" t="s">
        <v>239</v>
      </c>
      <c r="F254" s="45" t="s">
        <v>280</v>
      </c>
      <c r="G254" s="56">
        <v>5000</v>
      </c>
      <c r="H254" s="56"/>
      <c r="I254" s="58">
        <f t="shared" si="9"/>
        <v>55957.66</v>
      </c>
      <c r="J254" s="56"/>
    </row>
    <row r="255" ht="20" customHeight="1" spans="2:10">
      <c r="B255" s="42">
        <v>10</v>
      </c>
      <c r="C255" s="42">
        <v>13</v>
      </c>
      <c r="D255" s="42" t="s">
        <v>127</v>
      </c>
      <c r="E255" s="117" t="s">
        <v>20</v>
      </c>
      <c r="F255" s="45" t="s">
        <v>264</v>
      </c>
      <c r="G255" s="55"/>
      <c r="H255" s="84">
        <v>2000</v>
      </c>
      <c r="I255" s="58">
        <f t="shared" si="9"/>
        <v>53957.66</v>
      </c>
      <c r="J255" s="56"/>
    </row>
    <row r="256" ht="20" customHeight="1" spans="2:10">
      <c r="B256" s="42">
        <v>10</v>
      </c>
      <c r="C256" s="42">
        <v>13</v>
      </c>
      <c r="D256" s="42" t="s">
        <v>127</v>
      </c>
      <c r="E256" s="117" t="s">
        <v>224</v>
      </c>
      <c r="F256" s="45" t="s">
        <v>260</v>
      </c>
      <c r="G256" s="55"/>
      <c r="H256" s="84">
        <v>8115.87</v>
      </c>
      <c r="I256" s="58">
        <f t="shared" ref="I256:I265" si="10">I255+G256-H256</f>
        <v>45841.79</v>
      </c>
      <c r="J256" s="56"/>
    </row>
    <row r="257" ht="20" customHeight="1" spans="2:10">
      <c r="B257" s="42">
        <v>10</v>
      </c>
      <c r="C257" s="42">
        <v>13</v>
      </c>
      <c r="D257" s="42" t="s">
        <v>127</v>
      </c>
      <c r="E257" s="117" t="s">
        <v>224</v>
      </c>
      <c r="F257" s="45" t="s">
        <v>261</v>
      </c>
      <c r="G257" s="55"/>
      <c r="H257" s="84">
        <v>1035.83</v>
      </c>
      <c r="I257" s="58">
        <f t="shared" si="10"/>
        <v>44805.96</v>
      </c>
      <c r="J257" s="56"/>
    </row>
    <row r="258" ht="20" customHeight="1" spans="2:10">
      <c r="B258" s="42">
        <v>10</v>
      </c>
      <c r="C258" s="42">
        <v>13</v>
      </c>
      <c r="D258" s="42" t="s">
        <v>127</v>
      </c>
      <c r="E258" s="117" t="s">
        <v>20</v>
      </c>
      <c r="F258" s="45" t="s">
        <v>262</v>
      </c>
      <c r="G258" s="55"/>
      <c r="H258" s="84">
        <v>6000</v>
      </c>
      <c r="I258" s="58">
        <f t="shared" si="10"/>
        <v>38805.96</v>
      </c>
      <c r="J258" s="56"/>
    </row>
    <row r="259" ht="20" customHeight="1" spans="2:10">
      <c r="B259" s="42">
        <v>10</v>
      </c>
      <c r="C259" s="42">
        <v>13</v>
      </c>
      <c r="D259" s="42" t="s">
        <v>127</v>
      </c>
      <c r="E259" s="117" t="s">
        <v>20</v>
      </c>
      <c r="F259" s="45" t="s">
        <v>263</v>
      </c>
      <c r="G259" s="55"/>
      <c r="H259" s="84">
        <v>13562.5</v>
      </c>
      <c r="I259" s="58">
        <f t="shared" si="10"/>
        <v>25243.46</v>
      </c>
      <c r="J259" s="56"/>
    </row>
    <row r="260" ht="20" customHeight="1" spans="2:10">
      <c r="B260" s="42">
        <v>10</v>
      </c>
      <c r="C260" s="42">
        <v>13</v>
      </c>
      <c r="D260" s="74"/>
      <c r="E260" s="54"/>
      <c r="F260" s="45"/>
      <c r="G260" s="56"/>
      <c r="H260" s="56"/>
      <c r="I260" s="58">
        <f t="shared" si="10"/>
        <v>25243.46</v>
      </c>
      <c r="J260" s="56"/>
    </row>
    <row r="261" ht="20" customHeight="1" spans="2:10">
      <c r="B261" s="42">
        <v>10</v>
      </c>
      <c r="C261" s="42">
        <v>13</v>
      </c>
      <c r="D261" s="74"/>
      <c r="E261" s="42"/>
      <c r="F261" s="45"/>
      <c r="G261" s="56"/>
      <c r="H261" s="56"/>
      <c r="I261" s="58">
        <f t="shared" si="10"/>
        <v>25243.46</v>
      </c>
      <c r="J261" s="56"/>
    </row>
    <row r="262" ht="20" customHeight="1" spans="2:10">
      <c r="B262" s="42">
        <v>10</v>
      </c>
      <c r="C262" s="42"/>
      <c r="D262" s="74"/>
      <c r="E262" s="42"/>
      <c r="F262" s="45"/>
      <c r="G262" s="56"/>
      <c r="H262" s="56"/>
      <c r="I262" s="58">
        <f t="shared" si="10"/>
        <v>25243.46</v>
      </c>
      <c r="J262" s="56"/>
    </row>
    <row r="263" ht="20" customHeight="1" spans="2:10">
      <c r="B263" s="42">
        <v>10</v>
      </c>
      <c r="C263" s="42"/>
      <c r="D263" s="74"/>
      <c r="E263" s="42"/>
      <c r="F263" s="45"/>
      <c r="G263" s="56"/>
      <c r="H263" s="56"/>
      <c r="I263" s="58">
        <f t="shared" si="10"/>
        <v>25243.46</v>
      </c>
      <c r="J263" s="56"/>
    </row>
    <row r="264" ht="20" customHeight="1" spans="2:10">
      <c r="B264" s="42">
        <v>10</v>
      </c>
      <c r="C264" s="42"/>
      <c r="D264" s="74"/>
      <c r="E264" s="42"/>
      <c r="F264" s="45"/>
      <c r="G264" s="56"/>
      <c r="H264" s="56"/>
      <c r="I264" s="58">
        <f t="shared" si="10"/>
        <v>25243.46</v>
      </c>
      <c r="J264" s="56"/>
    </row>
    <row r="265" ht="20" customHeight="1" spans="2:10">
      <c r="B265" s="42">
        <v>10</v>
      </c>
      <c r="C265" s="42"/>
      <c r="D265" s="74"/>
      <c r="E265" s="42"/>
      <c r="F265" s="45"/>
      <c r="G265" s="56"/>
      <c r="H265" s="56"/>
      <c r="I265" s="58">
        <f t="shared" si="10"/>
        <v>25243.46</v>
      </c>
      <c r="J265" s="56"/>
    </row>
    <row r="266" ht="20" customHeight="1" spans="2:10">
      <c r="B266" s="42"/>
      <c r="C266" s="42"/>
      <c r="D266" s="74"/>
      <c r="E266" s="54"/>
      <c r="F266" s="45"/>
      <c r="G266" s="56"/>
      <c r="H266" s="56"/>
      <c r="I266" s="58">
        <f t="shared" ref="I266:I274" si="11">I265+G266-H266</f>
        <v>25243.46</v>
      </c>
      <c r="J266" s="56"/>
    </row>
    <row r="267" ht="20" customHeight="1" spans="2:10">
      <c r="B267" s="42"/>
      <c r="C267" s="42"/>
      <c r="D267" s="74"/>
      <c r="E267" s="42"/>
      <c r="F267" s="45"/>
      <c r="G267" s="56"/>
      <c r="H267" s="56"/>
      <c r="I267" s="58">
        <f t="shared" si="11"/>
        <v>25243.46</v>
      </c>
      <c r="J267" s="56"/>
    </row>
    <row r="268" ht="20" customHeight="1" spans="2:10">
      <c r="B268" s="42"/>
      <c r="C268" s="42"/>
      <c r="D268" s="74"/>
      <c r="E268" s="42"/>
      <c r="F268" s="45"/>
      <c r="G268" s="56"/>
      <c r="H268" s="56"/>
      <c r="I268" s="58">
        <f t="shared" si="11"/>
        <v>25243.46</v>
      </c>
      <c r="J268" s="56"/>
    </row>
    <row r="269" ht="20" customHeight="1" spans="2:10">
      <c r="B269" s="42"/>
      <c r="C269" s="42"/>
      <c r="D269" s="74"/>
      <c r="E269" s="42"/>
      <c r="F269" s="45"/>
      <c r="G269" s="56"/>
      <c r="H269" s="56"/>
      <c r="I269" s="58">
        <f t="shared" si="11"/>
        <v>25243.46</v>
      </c>
      <c r="J269" s="56"/>
    </row>
    <row r="270" ht="20" customHeight="1" spans="2:10">
      <c r="B270" s="42"/>
      <c r="C270" s="42"/>
      <c r="D270" s="74"/>
      <c r="E270" s="42"/>
      <c r="F270" s="45"/>
      <c r="G270" s="56"/>
      <c r="H270" s="56"/>
      <c r="I270" s="58">
        <f t="shared" si="11"/>
        <v>25243.46</v>
      </c>
      <c r="J270" s="56"/>
    </row>
    <row r="271" ht="20" customHeight="1" spans="2:10">
      <c r="B271" s="42"/>
      <c r="C271" s="42"/>
      <c r="D271" s="74"/>
      <c r="E271" s="42"/>
      <c r="F271" s="45"/>
      <c r="G271" s="56"/>
      <c r="H271" s="56"/>
      <c r="I271" s="58">
        <f t="shared" si="11"/>
        <v>25243.46</v>
      </c>
      <c r="J271" s="56"/>
    </row>
    <row r="272" ht="20" customHeight="1" spans="2:10">
      <c r="B272" s="42"/>
      <c r="C272" s="42"/>
      <c r="D272" s="74"/>
      <c r="E272" s="42"/>
      <c r="F272" s="45"/>
      <c r="G272" s="56"/>
      <c r="H272" s="56"/>
      <c r="I272" s="58">
        <f t="shared" si="11"/>
        <v>25243.46</v>
      </c>
      <c r="J272" s="56"/>
    </row>
    <row r="273" ht="20" customHeight="1" spans="2:10">
      <c r="B273" s="42"/>
      <c r="C273" s="42"/>
      <c r="D273" s="74"/>
      <c r="E273" s="42"/>
      <c r="F273" s="45"/>
      <c r="G273" s="56"/>
      <c r="H273" s="56"/>
      <c r="I273" s="58">
        <f t="shared" si="11"/>
        <v>25243.46</v>
      </c>
      <c r="J273" s="56"/>
    </row>
    <row r="274" ht="20" customHeight="1" spans="2:10">
      <c r="B274" s="42"/>
      <c r="C274" s="42"/>
      <c r="D274" s="74"/>
      <c r="E274" s="54"/>
      <c r="F274" s="45"/>
      <c r="G274" s="56"/>
      <c r="H274" s="56"/>
      <c r="I274" s="58">
        <f t="shared" si="11"/>
        <v>25243.46</v>
      </c>
      <c r="J274" s="56"/>
    </row>
    <row r="275" ht="20" customHeight="1" spans="2:10">
      <c r="B275" s="42"/>
      <c r="C275" s="42"/>
      <c r="D275" s="74"/>
      <c r="E275" s="42"/>
      <c r="F275" s="45"/>
      <c r="G275" s="56"/>
      <c r="H275" s="56"/>
      <c r="I275" s="58"/>
      <c r="J275" s="56"/>
    </row>
    <row r="276" ht="20" customHeight="1" spans="2:10">
      <c r="B276" s="42"/>
      <c r="C276" s="42"/>
      <c r="D276" s="74"/>
      <c r="E276" s="42"/>
      <c r="F276" s="45"/>
      <c r="G276" s="56"/>
      <c r="H276" s="56"/>
      <c r="I276" s="58"/>
      <c r="J276" s="56"/>
    </row>
    <row r="277" ht="20" customHeight="1" spans="2:10">
      <c r="B277" s="42"/>
      <c r="C277" s="42"/>
      <c r="D277" s="74"/>
      <c r="E277" s="42"/>
      <c r="F277" s="45"/>
      <c r="G277" s="56"/>
      <c r="H277" s="56"/>
      <c r="I277" s="58"/>
      <c r="J277" s="56"/>
    </row>
    <row r="278" ht="20" customHeight="1" spans="2:10">
      <c r="B278" s="42"/>
      <c r="C278" s="42"/>
      <c r="D278" s="74"/>
      <c r="E278" s="42"/>
      <c r="F278" s="45"/>
      <c r="G278" s="56"/>
      <c r="H278" s="56"/>
      <c r="I278" s="58"/>
      <c r="J278" s="56"/>
    </row>
    <row r="279" ht="20" customHeight="1" spans="2:10">
      <c r="B279" s="42"/>
      <c r="C279" s="42"/>
      <c r="D279" s="74"/>
      <c r="E279" s="42"/>
      <c r="F279" s="45"/>
      <c r="G279" s="56"/>
      <c r="H279" s="56"/>
      <c r="I279" s="58"/>
      <c r="J279" s="56"/>
    </row>
    <row r="280" ht="20" customHeight="1" spans="2:10">
      <c r="B280" s="42"/>
      <c r="C280" s="42"/>
      <c r="D280" s="74"/>
      <c r="E280" s="54"/>
      <c r="F280" s="45"/>
      <c r="G280" s="56"/>
      <c r="H280" s="56"/>
      <c r="I280" s="58"/>
      <c r="J280" s="56"/>
    </row>
    <row r="281" ht="20" customHeight="1" spans="2:10">
      <c r="B281" s="42"/>
      <c r="C281" s="42"/>
      <c r="D281" s="74"/>
      <c r="E281" s="42"/>
      <c r="F281" s="45"/>
      <c r="G281" s="56"/>
      <c r="H281" s="56"/>
      <c r="I281" s="58"/>
      <c r="J281" s="56"/>
    </row>
    <row r="282" ht="20" customHeight="1" spans="2:10">
      <c r="B282" s="42"/>
      <c r="C282" s="42"/>
      <c r="D282" s="74"/>
      <c r="E282" s="42"/>
      <c r="F282" s="45"/>
      <c r="G282" s="56"/>
      <c r="H282" s="56"/>
      <c r="I282" s="58"/>
      <c r="J282" s="56"/>
    </row>
    <row r="283" ht="20" customHeight="1" spans="2:10">
      <c r="B283" s="42"/>
      <c r="C283" s="42"/>
      <c r="D283" s="74"/>
      <c r="E283" s="42"/>
      <c r="F283" s="45"/>
      <c r="G283" s="56"/>
      <c r="H283" s="56"/>
      <c r="I283" s="58"/>
      <c r="J283" s="56"/>
    </row>
    <row r="284" ht="20" customHeight="1" spans="2:10">
      <c r="B284" s="42"/>
      <c r="C284" s="42"/>
      <c r="D284" s="74"/>
      <c r="E284" s="42"/>
      <c r="F284" s="45"/>
      <c r="G284" s="56"/>
      <c r="H284" s="56"/>
      <c r="I284" s="58"/>
      <c r="J284" s="56"/>
    </row>
    <row r="285" ht="20" customHeight="1" spans="2:10">
      <c r="B285" s="42"/>
      <c r="C285" s="42"/>
      <c r="D285" s="74"/>
      <c r="E285" s="42"/>
      <c r="F285" s="45"/>
      <c r="G285" s="56"/>
      <c r="H285" s="56"/>
      <c r="I285" s="58"/>
      <c r="J285" s="56"/>
    </row>
    <row r="286" ht="20" customHeight="1" spans="2:10">
      <c r="B286" s="42"/>
      <c r="C286" s="42"/>
      <c r="D286" s="74"/>
      <c r="E286" s="42"/>
      <c r="F286" s="45"/>
      <c r="G286" s="56"/>
      <c r="H286" s="56"/>
      <c r="I286" s="58"/>
      <c r="J286" s="56"/>
    </row>
    <row r="287" ht="20" customHeight="1" spans="2:10">
      <c r="B287" s="42"/>
      <c r="C287" s="42"/>
      <c r="D287" s="74"/>
      <c r="E287" s="42"/>
      <c r="F287" s="45"/>
      <c r="G287" s="56"/>
      <c r="H287" s="56"/>
      <c r="I287" s="58"/>
      <c r="J287" s="56"/>
    </row>
    <row r="288" ht="20" customHeight="1" spans="2:10">
      <c r="B288" s="42"/>
      <c r="C288" s="42"/>
      <c r="D288" s="74"/>
      <c r="E288" s="54"/>
      <c r="F288" s="45"/>
      <c r="G288" s="56"/>
      <c r="H288" s="56"/>
      <c r="I288" s="58"/>
      <c r="J288" s="56"/>
    </row>
    <row r="289" ht="20" customHeight="1" spans="2:10">
      <c r="B289" s="42"/>
      <c r="C289" s="42"/>
      <c r="D289" s="74"/>
      <c r="E289" s="42"/>
      <c r="F289" s="45"/>
      <c r="G289" s="56"/>
      <c r="H289" s="56"/>
      <c r="I289" s="58"/>
      <c r="J289" s="56"/>
    </row>
    <row r="290" ht="20" customHeight="1" spans="2:10">
      <c r="B290" s="42"/>
      <c r="C290" s="42"/>
      <c r="D290" s="74"/>
      <c r="E290" s="42"/>
      <c r="F290" s="45"/>
      <c r="G290" s="56"/>
      <c r="H290" s="56"/>
      <c r="I290" s="58"/>
      <c r="J290" s="56"/>
    </row>
    <row r="291" ht="20" customHeight="1" spans="2:10">
      <c r="B291" s="42"/>
      <c r="C291" s="42"/>
      <c r="D291" s="74"/>
      <c r="E291" s="42"/>
      <c r="F291" s="45"/>
      <c r="G291" s="56"/>
      <c r="H291" s="56"/>
      <c r="I291" s="58"/>
      <c r="J291" s="56"/>
    </row>
    <row r="292" ht="20" customHeight="1" spans="2:10">
      <c r="B292" s="42"/>
      <c r="C292" s="42"/>
      <c r="D292" s="74"/>
      <c r="E292" s="42"/>
      <c r="F292" s="45"/>
      <c r="G292" s="56"/>
      <c r="H292" s="56"/>
      <c r="I292" s="58"/>
      <c r="J292" s="56"/>
    </row>
    <row r="293" ht="20" customHeight="1" spans="2:10">
      <c r="B293" s="42"/>
      <c r="C293" s="42"/>
      <c r="D293" s="74"/>
      <c r="E293" s="42"/>
      <c r="F293" s="45"/>
      <c r="G293" s="56"/>
      <c r="H293" s="56"/>
      <c r="I293" s="58"/>
      <c r="J293" s="56"/>
    </row>
    <row r="294" ht="20" customHeight="1" spans="2:10">
      <c r="B294" s="42"/>
      <c r="C294" s="42"/>
      <c r="D294" s="74"/>
      <c r="E294" s="54"/>
      <c r="F294" s="45"/>
      <c r="G294" s="56"/>
      <c r="H294" s="56"/>
      <c r="I294" s="58"/>
      <c r="J294" s="56"/>
    </row>
    <row r="295" ht="20" customHeight="1" spans="2:10">
      <c r="B295" s="42"/>
      <c r="C295" s="42"/>
      <c r="D295" s="74"/>
      <c r="E295" s="42"/>
      <c r="F295" s="45"/>
      <c r="G295" s="56"/>
      <c r="H295" s="56"/>
      <c r="I295" s="58"/>
      <c r="J295" s="56"/>
    </row>
    <row r="296" ht="20" customHeight="1" spans="2:10">
      <c r="B296" s="42"/>
      <c r="C296" s="42"/>
      <c r="D296" s="74"/>
      <c r="E296" s="42"/>
      <c r="F296" s="45"/>
      <c r="G296" s="56"/>
      <c r="H296" s="56"/>
      <c r="I296" s="58"/>
      <c r="J296" s="56"/>
    </row>
    <row r="297" ht="20" customHeight="1" spans="2:10">
      <c r="B297" s="42"/>
      <c r="C297" s="42"/>
      <c r="D297" s="74"/>
      <c r="E297" s="42"/>
      <c r="F297" s="45"/>
      <c r="G297" s="56"/>
      <c r="H297" s="56"/>
      <c r="I297" s="58"/>
      <c r="J297" s="56"/>
    </row>
    <row r="298" ht="20" customHeight="1" spans="2:10">
      <c r="B298" s="42"/>
      <c r="C298" s="42"/>
      <c r="D298" s="74"/>
      <c r="E298" s="42"/>
      <c r="F298" s="45"/>
      <c r="G298" s="56"/>
      <c r="H298" s="56"/>
      <c r="I298" s="58"/>
      <c r="J298" s="56"/>
    </row>
    <row r="299" ht="20" customHeight="1" spans="2:10">
      <c r="B299" s="42"/>
      <c r="C299" s="42"/>
      <c r="D299" s="74"/>
      <c r="E299" s="42"/>
      <c r="F299" s="45"/>
      <c r="G299" s="56"/>
      <c r="H299" s="56"/>
      <c r="I299" s="58"/>
      <c r="J299" s="56"/>
    </row>
    <row r="300" ht="20" customHeight="1" spans="2:10">
      <c r="B300" s="42"/>
      <c r="C300" s="42"/>
      <c r="D300" s="74"/>
      <c r="E300" s="42"/>
      <c r="F300" s="45"/>
      <c r="G300" s="56"/>
      <c r="H300" s="56"/>
      <c r="I300" s="58"/>
      <c r="J300" s="56"/>
    </row>
    <row r="301" ht="20" customHeight="1" spans="2:10">
      <c r="B301" s="42"/>
      <c r="C301" s="42"/>
      <c r="D301" s="74"/>
      <c r="E301" s="42"/>
      <c r="F301" s="45"/>
      <c r="G301" s="56"/>
      <c r="H301" s="56"/>
      <c r="I301" s="58"/>
      <c r="J301" s="56"/>
    </row>
    <row r="302" ht="20" customHeight="1" spans="2:10">
      <c r="B302" s="42"/>
      <c r="C302" s="42"/>
      <c r="D302" s="74"/>
      <c r="E302" s="54"/>
      <c r="F302" s="45"/>
      <c r="G302" s="56"/>
      <c r="H302" s="56"/>
      <c r="I302" s="58"/>
      <c r="J302" s="56"/>
    </row>
    <row r="303" ht="20" customHeight="1" spans="2:10">
      <c r="B303" s="42"/>
      <c r="C303" s="42"/>
      <c r="D303" s="74"/>
      <c r="E303" s="42"/>
      <c r="F303" s="45"/>
      <c r="G303" s="56"/>
      <c r="H303" s="56"/>
      <c r="I303" s="58"/>
      <c r="J303" s="56"/>
    </row>
    <row r="304" ht="20" customHeight="1" spans="2:10">
      <c r="B304" s="42"/>
      <c r="C304" s="42"/>
      <c r="D304" s="74"/>
      <c r="E304" s="42"/>
      <c r="F304" s="45"/>
      <c r="G304" s="56"/>
      <c r="H304" s="56"/>
      <c r="I304" s="58"/>
      <c r="J304" s="56"/>
    </row>
    <row r="305" ht="20" customHeight="1" spans="2:10">
      <c r="B305" s="42"/>
      <c r="C305" s="42"/>
      <c r="D305" s="74"/>
      <c r="E305" s="42"/>
      <c r="F305" s="45"/>
      <c r="G305" s="56"/>
      <c r="H305" s="56"/>
      <c r="I305" s="58"/>
      <c r="J305" s="56"/>
    </row>
    <row r="306" ht="20" customHeight="1" spans="2:10">
      <c r="B306" s="42"/>
      <c r="C306" s="42"/>
      <c r="D306" s="74"/>
      <c r="E306" s="42"/>
      <c r="F306" s="45"/>
      <c r="G306" s="56"/>
      <c r="H306" s="56"/>
      <c r="I306" s="58"/>
      <c r="J306" s="56"/>
    </row>
    <row r="307" ht="20" customHeight="1" spans="2:10">
      <c r="B307" s="42"/>
      <c r="C307" s="42"/>
      <c r="D307" s="74"/>
      <c r="E307" s="42"/>
      <c r="F307" s="45"/>
      <c r="G307" s="56"/>
      <c r="H307" s="56"/>
      <c r="I307" s="58"/>
      <c r="J307" s="56"/>
    </row>
    <row r="308" ht="20" customHeight="1" spans="2:10">
      <c r="B308" s="42"/>
      <c r="C308" s="42"/>
      <c r="D308" s="74"/>
      <c r="E308" s="54"/>
      <c r="F308" s="45"/>
      <c r="G308" s="56"/>
      <c r="H308" s="56"/>
      <c r="I308" s="58"/>
      <c r="J308" s="56"/>
    </row>
    <row r="309" ht="20" customHeight="1" spans="2:10">
      <c r="B309" s="42"/>
      <c r="C309" s="42"/>
      <c r="D309" s="74"/>
      <c r="E309" s="42"/>
      <c r="F309" s="45"/>
      <c r="G309" s="56"/>
      <c r="H309" s="56"/>
      <c r="I309" s="58"/>
      <c r="J309" s="56"/>
    </row>
    <row r="310" ht="20" customHeight="1" spans="2:10">
      <c r="B310" s="42"/>
      <c r="C310" s="42"/>
      <c r="D310" s="74"/>
      <c r="E310" s="42"/>
      <c r="F310" s="45"/>
      <c r="G310" s="56"/>
      <c r="H310" s="56"/>
      <c r="I310" s="58"/>
      <c r="J310" s="56"/>
    </row>
    <row r="311" ht="20" customHeight="1" spans="2:10">
      <c r="B311" s="42"/>
      <c r="C311" s="42"/>
      <c r="D311" s="74"/>
      <c r="E311" s="42"/>
      <c r="F311" s="45"/>
      <c r="G311" s="56"/>
      <c r="H311" s="56"/>
      <c r="I311" s="58"/>
      <c r="J311" s="56"/>
    </row>
    <row r="312" ht="20" customHeight="1" spans="2:10">
      <c r="B312" s="42"/>
      <c r="C312" s="42"/>
      <c r="D312" s="74"/>
      <c r="E312" s="42"/>
      <c r="F312" s="45"/>
      <c r="G312" s="56"/>
      <c r="H312" s="56"/>
      <c r="I312" s="58"/>
      <c r="J312" s="56"/>
    </row>
    <row r="313" ht="20" customHeight="1" spans="2:10">
      <c r="B313" s="42"/>
      <c r="C313" s="42"/>
      <c r="D313" s="74"/>
      <c r="E313" s="42"/>
      <c r="F313" s="45"/>
      <c r="G313" s="56"/>
      <c r="H313" s="56"/>
      <c r="I313" s="58"/>
      <c r="J313" s="56"/>
    </row>
    <row r="314" ht="20" customHeight="1" spans="2:10">
      <c r="B314" s="42"/>
      <c r="C314" s="42"/>
      <c r="D314" s="74"/>
      <c r="E314" s="42"/>
      <c r="F314" s="45"/>
      <c r="G314" s="56"/>
      <c r="H314" s="56"/>
      <c r="I314" s="58"/>
      <c r="J314" s="56"/>
    </row>
    <row r="315" ht="20" customHeight="1" spans="2:10">
      <c r="B315" s="42"/>
      <c r="C315" s="42"/>
      <c r="D315" s="74"/>
      <c r="E315" s="42"/>
      <c r="F315" s="45"/>
      <c r="G315" s="56"/>
      <c r="H315" s="56"/>
      <c r="I315" s="58"/>
      <c r="J315" s="56"/>
    </row>
    <row r="316" ht="20" customHeight="1" spans="2:10">
      <c r="B316" s="42"/>
      <c r="C316" s="42"/>
      <c r="D316" s="74"/>
      <c r="E316" s="54"/>
      <c r="F316" s="45"/>
      <c r="G316" s="56"/>
      <c r="H316" s="56"/>
      <c r="I316" s="58"/>
      <c r="J316" s="56"/>
    </row>
    <row r="317" ht="20" customHeight="1" spans="2:10">
      <c r="B317" s="42"/>
      <c r="C317" s="42"/>
      <c r="D317" s="74"/>
      <c r="E317" s="42"/>
      <c r="F317" s="45"/>
      <c r="G317" s="56"/>
      <c r="H317" s="56"/>
      <c r="I317" s="58"/>
      <c r="J317" s="56"/>
    </row>
    <row r="318" ht="20" customHeight="1" spans="2:10">
      <c r="B318" s="42"/>
      <c r="C318" s="42"/>
      <c r="D318" s="74"/>
      <c r="E318" s="42"/>
      <c r="F318" s="45"/>
      <c r="G318" s="56"/>
      <c r="H318" s="56"/>
      <c r="I318" s="58"/>
      <c r="J318" s="56"/>
    </row>
    <row r="319" ht="20" customHeight="1" spans="2:10">
      <c r="B319" s="42"/>
      <c r="C319" s="42"/>
      <c r="D319" s="74"/>
      <c r="E319" s="42"/>
      <c r="F319" s="45"/>
      <c r="G319" s="56"/>
      <c r="H319" s="56"/>
      <c r="I319" s="58"/>
      <c r="J319" s="56"/>
    </row>
    <row r="320" ht="20" customHeight="1" spans="2:10">
      <c r="B320" s="42"/>
      <c r="C320" s="42"/>
      <c r="D320" s="74"/>
      <c r="E320" s="42"/>
      <c r="F320" s="45"/>
      <c r="G320" s="56"/>
      <c r="H320" s="56"/>
      <c r="I320" s="58"/>
      <c r="J320" s="56"/>
    </row>
    <row r="321" ht="20" customHeight="1" spans="2:10">
      <c r="B321" s="42"/>
      <c r="C321" s="42"/>
      <c r="D321" s="74"/>
      <c r="E321" s="42"/>
      <c r="F321" s="45"/>
      <c r="G321" s="56"/>
      <c r="H321" s="56"/>
      <c r="I321" s="58"/>
      <c r="J321" s="56"/>
    </row>
    <row r="322" ht="20" customHeight="1" spans="2:10">
      <c r="B322" s="42"/>
      <c r="C322" s="42"/>
      <c r="D322" s="74"/>
      <c r="E322" s="54"/>
      <c r="F322" s="45"/>
      <c r="G322" s="56"/>
      <c r="H322" s="56"/>
      <c r="I322" s="58"/>
      <c r="J322" s="56"/>
    </row>
    <row r="323" ht="20" customHeight="1" spans="2:10">
      <c r="B323" s="42"/>
      <c r="C323" s="42"/>
      <c r="D323" s="74"/>
      <c r="E323" s="42"/>
      <c r="F323" s="45"/>
      <c r="G323" s="56"/>
      <c r="H323" s="56"/>
      <c r="I323" s="58"/>
      <c r="J323" s="56"/>
    </row>
    <row r="324" ht="20" customHeight="1" spans="2:10">
      <c r="B324" s="42"/>
      <c r="C324" s="42"/>
      <c r="D324" s="74"/>
      <c r="E324" s="42"/>
      <c r="F324" s="45"/>
      <c r="G324" s="56"/>
      <c r="H324" s="56"/>
      <c r="I324" s="58"/>
      <c r="J324" s="56"/>
    </row>
    <row r="325" ht="20" customHeight="1" spans="2:10">
      <c r="B325" s="42"/>
      <c r="C325" s="42"/>
      <c r="D325" s="74"/>
      <c r="E325" s="42"/>
      <c r="F325" s="45"/>
      <c r="G325" s="56"/>
      <c r="H325" s="56"/>
      <c r="I325" s="58"/>
      <c r="J325" s="56"/>
    </row>
    <row r="326" ht="20" customHeight="1" spans="2:10">
      <c r="B326" s="42"/>
      <c r="C326" s="42"/>
      <c r="D326" s="74"/>
      <c r="E326" s="42"/>
      <c r="F326" s="45"/>
      <c r="G326" s="56"/>
      <c r="H326" s="56"/>
      <c r="I326" s="58"/>
      <c r="J326" s="56"/>
    </row>
    <row r="327" ht="20" customHeight="1" spans="2:10">
      <c r="B327" s="42"/>
      <c r="C327" s="42"/>
      <c r="D327" s="74"/>
      <c r="E327" s="42"/>
      <c r="F327" s="45"/>
      <c r="G327" s="56"/>
      <c r="H327" s="56"/>
      <c r="I327" s="58"/>
      <c r="J327" s="56"/>
    </row>
    <row r="328" ht="20" customHeight="1" spans="2:10">
      <c r="B328" s="42"/>
      <c r="C328" s="42"/>
      <c r="D328" s="74"/>
      <c r="E328" s="42"/>
      <c r="F328" s="45"/>
      <c r="G328" s="56"/>
      <c r="H328" s="56"/>
      <c r="I328" s="58"/>
      <c r="J328" s="56"/>
    </row>
    <row r="329" ht="20" customHeight="1" spans="2:10">
      <c r="B329" s="42"/>
      <c r="C329" s="42"/>
      <c r="D329" s="74"/>
      <c r="E329" s="42"/>
      <c r="F329" s="45"/>
      <c r="G329" s="56"/>
      <c r="H329" s="56"/>
      <c r="I329" s="58"/>
      <c r="J329" s="56"/>
    </row>
    <row r="330" ht="20" customHeight="1" spans="2:10">
      <c r="B330" s="42"/>
      <c r="C330" s="42"/>
      <c r="D330" s="74"/>
      <c r="E330" s="54"/>
      <c r="F330" s="45"/>
      <c r="G330" s="56"/>
      <c r="H330" s="56"/>
      <c r="I330" s="58"/>
      <c r="J330" s="56"/>
    </row>
    <row r="331" ht="20" customHeight="1" spans="2:10">
      <c r="B331" s="42"/>
      <c r="C331" s="42"/>
      <c r="D331" s="74"/>
      <c r="E331" s="42"/>
      <c r="F331" s="45"/>
      <c r="G331" s="56"/>
      <c r="H331" s="56"/>
      <c r="I331" s="58"/>
      <c r="J331" s="56"/>
    </row>
    <row r="332" ht="20" customHeight="1" spans="2:10">
      <c r="B332" s="42"/>
      <c r="C332" s="42"/>
      <c r="D332" s="74"/>
      <c r="E332" s="42"/>
      <c r="F332" s="45"/>
      <c r="G332" s="56"/>
      <c r="H332" s="56"/>
      <c r="I332" s="58"/>
      <c r="J332" s="56"/>
    </row>
    <row r="333" ht="20" customHeight="1" spans="2:10">
      <c r="B333" s="42"/>
      <c r="C333" s="42"/>
      <c r="D333" s="74"/>
      <c r="E333" s="42"/>
      <c r="F333" s="45"/>
      <c r="G333" s="56"/>
      <c r="H333" s="56"/>
      <c r="I333" s="58"/>
      <c r="J333" s="56"/>
    </row>
    <row r="334" ht="20" customHeight="1" spans="2:10">
      <c r="B334" s="42"/>
      <c r="C334" s="42"/>
      <c r="D334" s="74"/>
      <c r="E334" s="42"/>
      <c r="F334" s="45"/>
      <c r="G334" s="56"/>
      <c r="H334" s="56"/>
      <c r="I334" s="58"/>
      <c r="J334" s="56"/>
    </row>
    <row r="335" ht="20" customHeight="1" spans="2:10">
      <c r="B335" s="42"/>
      <c r="C335" s="42"/>
      <c r="D335" s="74"/>
      <c r="E335" s="42"/>
      <c r="F335" s="45"/>
      <c r="G335" s="56"/>
      <c r="H335" s="56"/>
      <c r="I335" s="58"/>
      <c r="J335" s="56"/>
    </row>
    <row r="336" ht="20" customHeight="1" spans="2:10">
      <c r="B336" s="42"/>
      <c r="C336" s="42"/>
      <c r="D336" s="74"/>
      <c r="E336" s="54"/>
      <c r="F336" s="45"/>
      <c r="G336" s="56"/>
      <c r="H336" s="56"/>
      <c r="I336" s="58"/>
      <c r="J336" s="56"/>
    </row>
    <row r="337" ht="20" customHeight="1" spans="2:10">
      <c r="B337" s="42"/>
      <c r="C337" s="42"/>
      <c r="D337" s="74"/>
      <c r="E337" s="42"/>
      <c r="F337" s="45"/>
      <c r="G337" s="56"/>
      <c r="H337" s="56"/>
      <c r="I337" s="58"/>
      <c r="J337" s="56"/>
    </row>
    <row r="338" ht="20" customHeight="1" spans="2:10">
      <c r="B338" s="42"/>
      <c r="C338" s="42"/>
      <c r="D338" s="74"/>
      <c r="E338" s="42"/>
      <c r="F338" s="45"/>
      <c r="G338" s="56"/>
      <c r="H338" s="56"/>
      <c r="I338" s="58"/>
      <c r="J338" s="56"/>
    </row>
    <row r="339" ht="20" customHeight="1" spans="2:10">
      <c r="B339" s="42"/>
      <c r="C339" s="42"/>
      <c r="D339" s="74"/>
      <c r="E339" s="42"/>
      <c r="F339" s="45"/>
      <c r="G339" s="56"/>
      <c r="H339" s="56"/>
      <c r="I339" s="58"/>
      <c r="J339" s="56"/>
    </row>
    <row r="340" ht="20" customHeight="1" spans="2:10">
      <c r="B340" s="42"/>
      <c r="C340" s="42"/>
      <c r="D340" s="74"/>
      <c r="E340" s="42"/>
      <c r="F340" s="45"/>
      <c r="G340" s="56"/>
      <c r="H340" s="56"/>
      <c r="I340" s="58"/>
      <c r="J340" s="56"/>
    </row>
    <row r="341" ht="20" customHeight="1" spans="2:10">
      <c r="B341" s="42"/>
      <c r="C341" s="42"/>
      <c r="D341" s="74"/>
      <c r="E341" s="42"/>
      <c r="F341" s="45"/>
      <c r="G341" s="56"/>
      <c r="H341" s="56"/>
      <c r="I341" s="58"/>
      <c r="J341" s="56"/>
    </row>
    <row r="342" ht="20" customHeight="1" spans="2:10">
      <c r="B342" s="42"/>
      <c r="C342" s="42"/>
      <c r="D342" s="74"/>
      <c r="E342" s="42"/>
      <c r="F342" s="45"/>
      <c r="G342" s="56"/>
      <c r="H342" s="56"/>
      <c r="I342" s="58"/>
      <c r="J342" s="56"/>
    </row>
    <row r="343" ht="20" customHeight="1" spans="2:10">
      <c r="B343" s="42"/>
      <c r="C343" s="42"/>
      <c r="D343" s="74"/>
      <c r="E343" s="42"/>
      <c r="F343" s="45"/>
      <c r="G343" s="56"/>
      <c r="H343" s="56"/>
      <c r="I343" s="58"/>
      <c r="J343" s="56"/>
    </row>
    <row r="344" ht="20" customHeight="1" spans="2:10">
      <c r="B344" s="42"/>
      <c r="C344" s="42"/>
      <c r="D344" s="74"/>
      <c r="E344" s="54"/>
      <c r="F344" s="45"/>
      <c r="G344" s="56"/>
      <c r="H344" s="56"/>
      <c r="I344" s="58"/>
      <c r="J344" s="56"/>
    </row>
    <row r="345" ht="20" customHeight="1" spans="2:10">
      <c r="B345" s="42"/>
      <c r="C345" s="42"/>
      <c r="D345" s="74"/>
      <c r="E345" s="42"/>
      <c r="F345" s="45"/>
      <c r="G345" s="56"/>
      <c r="H345" s="56"/>
      <c r="I345" s="58"/>
      <c r="J345" s="56"/>
    </row>
    <row r="346" ht="20" customHeight="1" spans="2:10">
      <c r="B346" s="42"/>
      <c r="C346" s="42"/>
      <c r="D346" s="74"/>
      <c r="E346" s="42"/>
      <c r="F346" s="45"/>
      <c r="G346" s="56"/>
      <c r="H346" s="56"/>
      <c r="I346" s="58"/>
      <c r="J346" s="56"/>
    </row>
    <row r="347" ht="20" customHeight="1" spans="2:10">
      <c r="B347" s="42"/>
      <c r="C347" s="42"/>
      <c r="D347" s="74"/>
      <c r="E347" s="42"/>
      <c r="F347" s="45"/>
      <c r="G347" s="56"/>
      <c r="H347" s="56"/>
      <c r="I347" s="58"/>
      <c r="J347" s="56"/>
    </row>
    <row r="348" ht="20" customHeight="1" spans="2:10">
      <c r="B348" s="42"/>
      <c r="C348" s="42"/>
      <c r="D348" s="74"/>
      <c r="E348" s="42"/>
      <c r="F348" s="45"/>
      <c r="G348" s="56"/>
      <c r="H348" s="56"/>
      <c r="I348" s="58"/>
      <c r="J348" s="56"/>
    </row>
    <row r="349" ht="20" customHeight="1" spans="2:10">
      <c r="B349" s="42"/>
      <c r="C349" s="42"/>
      <c r="D349" s="74"/>
      <c r="E349" s="42"/>
      <c r="F349" s="45"/>
      <c r="G349" s="56"/>
      <c r="H349" s="56"/>
      <c r="I349" s="58"/>
      <c r="J349" s="56"/>
    </row>
    <row r="350" ht="20" customHeight="1" spans="2:10">
      <c r="B350" s="42"/>
      <c r="C350" s="42"/>
      <c r="D350" s="74"/>
      <c r="E350" s="54"/>
      <c r="F350" s="45"/>
      <c r="G350" s="56"/>
      <c r="H350" s="56"/>
      <c r="I350" s="58"/>
      <c r="J350" s="56"/>
    </row>
    <row r="351" ht="20" customHeight="1" spans="2:10">
      <c r="B351" s="42"/>
      <c r="C351" s="42"/>
      <c r="D351" s="74"/>
      <c r="E351" s="42"/>
      <c r="F351" s="45"/>
      <c r="G351" s="56"/>
      <c r="H351" s="56"/>
      <c r="I351" s="58"/>
      <c r="J351" s="56"/>
    </row>
    <row r="352" ht="20" customHeight="1" spans="2:10">
      <c r="B352" s="42"/>
      <c r="C352" s="42"/>
      <c r="D352" s="74"/>
      <c r="E352" s="42"/>
      <c r="F352" s="45"/>
      <c r="G352" s="56"/>
      <c r="H352" s="56"/>
      <c r="I352" s="58"/>
      <c r="J352" s="56"/>
    </row>
    <row r="353" ht="20" customHeight="1" spans="2:10">
      <c r="B353" s="42"/>
      <c r="C353" s="42"/>
      <c r="D353" s="74"/>
      <c r="E353" s="42"/>
      <c r="F353" s="45"/>
      <c r="G353" s="56"/>
      <c r="H353" s="56"/>
      <c r="I353" s="58"/>
      <c r="J353" s="56"/>
    </row>
    <row r="354" ht="20" customHeight="1" spans="2:10">
      <c r="B354" s="42"/>
      <c r="C354" s="42"/>
      <c r="D354" s="74"/>
      <c r="E354" s="42"/>
      <c r="F354" s="45"/>
      <c r="G354" s="56"/>
      <c r="H354" s="56"/>
      <c r="I354" s="58"/>
      <c r="J354" s="56"/>
    </row>
    <row r="355" ht="20" customHeight="1" spans="2:10">
      <c r="B355" s="42"/>
      <c r="C355" s="42"/>
      <c r="D355" s="74"/>
      <c r="E355" s="42"/>
      <c r="F355" s="45"/>
      <c r="G355" s="56"/>
      <c r="H355" s="56"/>
      <c r="I355" s="58"/>
      <c r="J355" s="56"/>
    </row>
    <row r="356" ht="20" customHeight="1" spans="2:10">
      <c r="B356" s="42"/>
      <c r="C356" s="42"/>
      <c r="D356" s="74"/>
      <c r="E356" s="42"/>
      <c r="F356" s="45"/>
      <c r="G356" s="56"/>
      <c r="H356" s="56"/>
      <c r="I356" s="58"/>
      <c r="J356" s="56"/>
    </row>
    <row r="357" ht="20" customHeight="1" spans="2:10">
      <c r="B357" s="42"/>
      <c r="C357" s="42"/>
      <c r="D357" s="74"/>
      <c r="E357" s="42"/>
      <c r="F357" s="45"/>
      <c r="G357" s="56"/>
      <c r="H357" s="56"/>
      <c r="I357" s="58"/>
      <c r="J357" s="56"/>
    </row>
    <row r="358" ht="20" customHeight="1" spans="2:10">
      <c r="B358" s="42"/>
      <c r="C358" s="42"/>
      <c r="D358" s="74"/>
      <c r="E358" s="54"/>
      <c r="F358" s="45"/>
      <c r="G358" s="56"/>
      <c r="H358" s="56"/>
      <c r="I358" s="58"/>
      <c r="J358" s="56"/>
    </row>
    <row r="359" ht="20" customHeight="1" spans="2:10">
      <c r="B359" s="42"/>
      <c r="C359" s="42"/>
      <c r="D359" s="74"/>
      <c r="E359" s="42"/>
      <c r="F359" s="45"/>
      <c r="G359" s="56"/>
      <c r="H359" s="56"/>
      <c r="I359" s="58"/>
      <c r="J359" s="56"/>
    </row>
    <row r="360" ht="20" customHeight="1" spans="2:10">
      <c r="B360" s="42"/>
      <c r="C360" s="42"/>
      <c r="D360" s="74"/>
      <c r="E360" s="42"/>
      <c r="F360" s="45"/>
      <c r="G360" s="56"/>
      <c r="H360" s="56"/>
      <c r="I360" s="58"/>
      <c r="J360" s="56"/>
    </row>
    <row r="361" ht="20" customHeight="1" spans="2:10">
      <c r="B361" s="42"/>
      <c r="C361" s="42"/>
      <c r="D361" s="74"/>
      <c r="E361" s="42"/>
      <c r="F361" s="45"/>
      <c r="G361" s="56"/>
      <c r="H361" s="56"/>
      <c r="I361" s="58"/>
      <c r="J361" s="56"/>
    </row>
    <row r="362" ht="20" customHeight="1" spans="2:10">
      <c r="B362" s="42"/>
      <c r="C362" s="42"/>
      <c r="D362" s="74"/>
      <c r="E362" s="42"/>
      <c r="F362" s="45"/>
      <c r="G362" s="56"/>
      <c r="H362" s="56"/>
      <c r="I362" s="58"/>
      <c r="J362" s="56"/>
    </row>
    <row r="363" ht="20" customHeight="1" spans="2:10">
      <c r="B363" s="42"/>
      <c r="C363" s="42"/>
      <c r="D363" s="74"/>
      <c r="E363" s="42"/>
      <c r="F363" s="45"/>
      <c r="G363" s="56"/>
      <c r="H363" s="56"/>
      <c r="I363" s="58"/>
      <c r="J363" s="56"/>
    </row>
    <row r="364" ht="20" customHeight="1" spans="2:10">
      <c r="B364" s="42"/>
      <c r="C364" s="42"/>
      <c r="D364" s="74"/>
      <c r="E364" s="54"/>
      <c r="F364" s="45"/>
      <c r="G364" s="56"/>
      <c r="H364" s="56"/>
      <c r="I364" s="58"/>
      <c r="J364" s="56"/>
    </row>
    <row r="365" ht="20" customHeight="1" spans="2:10">
      <c r="B365" s="42"/>
      <c r="C365" s="42"/>
      <c r="D365" s="74"/>
      <c r="E365" s="42"/>
      <c r="F365" s="45"/>
      <c r="G365" s="56"/>
      <c r="H365" s="56"/>
      <c r="I365" s="58"/>
      <c r="J365" s="56"/>
    </row>
    <row r="366" ht="20" customHeight="1" spans="2:10">
      <c r="B366" s="42"/>
      <c r="C366" s="42"/>
      <c r="D366" s="74"/>
      <c r="E366" s="42"/>
      <c r="F366" s="45"/>
      <c r="G366" s="56"/>
      <c r="H366" s="56"/>
      <c r="I366" s="58"/>
      <c r="J366" s="56"/>
    </row>
    <row r="367" ht="20" customHeight="1" spans="2:10">
      <c r="B367" s="42"/>
      <c r="C367" s="42"/>
      <c r="D367" s="74"/>
      <c r="E367" s="42"/>
      <c r="F367" s="45"/>
      <c r="G367" s="56"/>
      <c r="H367" s="56"/>
      <c r="I367" s="58"/>
      <c r="J367" s="56"/>
    </row>
    <row r="368" ht="20" customHeight="1" spans="2:10">
      <c r="B368" s="42"/>
      <c r="C368" s="42"/>
      <c r="D368" s="74"/>
      <c r="E368" s="42"/>
      <c r="F368" s="45"/>
      <c r="G368" s="56"/>
      <c r="H368" s="56"/>
      <c r="I368" s="58"/>
      <c r="J368" s="56"/>
    </row>
    <row r="369" ht="20" customHeight="1" spans="2:10">
      <c r="B369" s="42"/>
      <c r="C369" s="42"/>
      <c r="D369" s="74"/>
      <c r="E369" s="42"/>
      <c r="F369" s="45"/>
      <c r="G369" s="56"/>
      <c r="H369" s="56"/>
      <c r="I369" s="58"/>
      <c r="J369" s="56"/>
    </row>
    <row r="370" ht="20" customHeight="1" spans="2:10">
      <c r="B370" s="42"/>
      <c r="C370" s="42"/>
      <c r="D370" s="74"/>
      <c r="E370" s="42"/>
      <c r="F370" s="45"/>
      <c r="G370" s="56"/>
      <c r="H370" s="56"/>
      <c r="I370" s="58"/>
      <c r="J370" s="56"/>
    </row>
    <row r="371" ht="20" customHeight="1" spans="2:10">
      <c r="B371" s="42"/>
      <c r="C371" s="42"/>
      <c r="D371" s="74"/>
      <c r="E371" s="42"/>
      <c r="F371" s="45"/>
      <c r="G371" s="56"/>
      <c r="H371" s="56"/>
      <c r="I371" s="58"/>
      <c r="J371" s="56"/>
    </row>
    <row r="372" ht="20" customHeight="1" spans="2:10">
      <c r="B372" s="42"/>
      <c r="C372" s="42"/>
      <c r="D372" s="74"/>
      <c r="E372" s="54"/>
      <c r="F372" s="45"/>
      <c r="G372" s="56"/>
      <c r="H372" s="56"/>
      <c r="I372" s="58"/>
      <c r="J372" s="56"/>
    </row>
    <row r="373" ht="20" customHeight="1" spans="2:10">
      <c r="B373" s="42"/>
      <c r="C373" s="42"/>
      <c r="D373" s="74"/>
      <c r="E373" s="42"/>
      <c r="F373" s="45"/>
      <c r="G373" s="56"/>
      <c r="H373" s="56"/>
      <c r="I373" s="58"/>
      <c r="J373" s="56"/>
    </row>
    <row r="374" ht="20" customHeight="1" spans="2:10">
      <c r="B374" s="42"/>
      <c r="C374" s="42"/>
      <c r="D374" s="74"/>
      <c r="E374" s="42"/>
      <c r="F374" s="45"/>
      <c r="G374" s="56"/>
      <c r="H374" s="56"/>
      <c r="I374" s="58"/>
      <c r="J374" s="56"/>
    </row>
    <row r="375" ht="20" customHeight="1" spans="2:10">
      <c r="B375" s="42"/>
      <c r="C375" s="42"/>
      <c r="D375" s="74"/>
      <c r="E375" s="42"/>
      <c r="F375" s="45"/>
      <c r="G375" s="56"/>
      <c r="H375" s="56"/>
      <c r="I375" s="58"/>
      <c r="J375" s="56"/>
    </row>
    <row r="376" ht="20" customHeight="1" spans="2:10">
      <c r="B376" s="42"/>
      <c r="C376" s="42"/>
      <c r="D376" s="74"/>
      <c r="E376" s="42"/>
      <c r="F376" s="45"/>
      <c r="G376" s="56"/>
      <c r="H376" s="56"/>
      <c r="I376" s="58"/>
      <c r="J376" s="56"/>
    </row>
    <row r="377" ht="20" customHeight="1" spans="2:10">
      <c r="B377" s="42"/>
      <c r="C377" s="42"/>
      <c r="D377" s="74"/>
      <c r="E377" s="42"/>
      <c r="F377" s="45"/>
      <c r="G377" s="56"/>
      <c r="H377" s="56"/>
      <c r="I377" s="58"/>
      <c r="J377" s="56"/>
    </row>
    <row r="378" ht="20" customHeight="1" spans="2:10">
      <c r="B378" s="42"/>
      <c r="C378" s="42"/>
      <c r="D378" s="74"/>
      <c r="E378" s="54"/>
      <c r="F378" s="45"/>
      <c r="G378" s="56"/>
      <c r="H378" s="56"/>
      <c r="I378" s="58"/>
      <c r="J378" s="56"/>
    </row>
    <row r="379" ht="20" customHeight="1" spans="2:10">
      <c r="B379" s="42"/>
      <c r="C379" s="42"/>
      <c r="D379" s="74"/>
      <c r="E379" s="42"/>
      <c r="F379" s="45"/>
      <c r="G379" s="56"/>
      <c r="H379" s="56"/>
      <c r="I379" s="58"/>
      <c r="J379" s="56"/>
    </row>
    <row r="380" ht="20" customHeight="1" spans="2:10">
      <c r="B380" s="42"/>
      <c r="C380" s="42"/>
      <c r="D380" s="74"/>
      <c r="E380" s="42"/>
      <c r="F380" s="45"/>
      <c r="G380" s="56"/>
      <c r="H380" s="56"/>
      <c r="I380" s="58"/>
      <c r="J380" s="56"/>
    </row>
    <row r="381" ht="20" customHeight="1" spans="2:10">
      <c r="B381" s="42"/>
      <c r="C381" s="42"/>
      <c r="D381" s="74"/>
      <c r="E381" s="42"/>
      <c r="F381" s="45"/>
      <c r="G381" s="56"/>
      <c r="H381" s="56"/>
      <c r="I381" s="58"/>
      <c r="J381" s="56"/>
    </row>
    <row r="382" ht="20" customHeight="1" spans="2:10">
      <c r="B382" s="42"/>
      <c r="C382" s="42"/>
      <c r="D382" s="74"/>
      <c r="E382" s="42"/>
      <c r="F382" s="45"/>
      <c r="G382" s="56"/>
      <c r="H382" s="56"/>
      <c r="I382" s="58"/>
      <c r="J382" s="56"/>
    </row>
    <row r="383" ht="20" customHeight="1" spans="2:10">
      <c r="B383" s="42"/>
      <c r="C383" s="42"/>
      <c r="D383" s="74"/>
      <c r="E383" s="42"/>
      <c r="F383" s="45"/>
      <c r="G383" s="56"/>
      <c r="H383" s="56"/>
      <c r="I383" s="58"/>
      <c r="J383" s="56"/>
    </row>
    <row r="384" ht="20" customHeight="1" spans="2:10">
      <c r="B384" s="42"/>
      <c r="C384" s="42"/>
      <c r="D384" s="74"/>
      <c r="E384" s="42"/>
      <c r="F384" s="45"/>
      <c r="G384" s="56"/>
      <c r="H384" s="56"/>
      <c r="I384" s="58"/>
      <c r="J384" s="56"/>
    </row>
    <row r="385" ht="20" customHeight="1" spans="2:10">
      <c r="B385" s="42"/>
      <c r="C385" s="42"/>
      <c r="D385" s="74"/>
      <c r="E385" s="42"/>
      <c r="F385" s="45"/>
      <c r="G385" s="56"/>
      <c r="H385" s="56"/>
      <c r="I385" s="58"/>
      <c r="J385" s="56"/>
    </row>
    <row r="386" ht="20" customHeight="1" spans="2:10">
      <c r="B386" s="42"/>
      <c r="C386" s="42"/>
      <c r="D386" s="74"/>
      <c r="E386" s="54"/>
      <c r="F386" s="45"/>
      <c r="G386" s="56"/>
      <c r="H386" s="56"/>
      <c r="I386" s="58"/>
      <c r="J386" s="56"/>
    </row>
    <row r="387" ht="20" customHeight="1" spans="2:10">
      <c r="B387" s="42"/>
      <c r="C387" s="42"/>
      <c r="D387" s="74"/>
      <c r="E387" s="42"/>
      <c r="F387" s="45"/>
      <c r="G387" s="56"/>
      <c r="H387" s="56"/>
      <c r="I387" s="58"/>
      <c r="J387" s="56"/>
    </row>
    <row r="388" ht="20" customHeight="1" spans="2:10">
      <c r="B388" s="42"/>
      <c r="C388" s="42"/>
      <c r="D388" s="74"/>
      <c r="E388" s="42"/>
      <c r="F388" s="45"/>
      <c r="G388" s="56"/>
      <c r="H388" s="56"/>
      <c r="I388" s="58"/>
      <c r="J388" s="56"/>
    </row>
    <row r="389" ht="20" customHeight="1" spans="2:10">
      <c r="B389" s="42"/>
      <c r="C389" s="42"/>
      <c r="D389" s="74"/>
      <c r="E389" s="42"/>
      <c r="F389" s="45"/>
      <c r="G389" s="56"/>
      <c r="H389" s="56"/>
      <c r="I389" s="58"/>
      <c r="J389" s="56"/>
    </row>
    <row r="390" ht="20" customHeight="1" spans="2:10">
      <c r="B390" s="42"/>
      <c r="C390" s="42"/>
      <c r="D390" s="74"/>
      <c r="E390" s="42"/>
      <c r="F390" s="45"/>
      <c r="G390" s="56"/>
      <c r="H390" s="56"/>
      <c r="I390" s="58"/>
      <c r="J390" s="56"/>
    </row>
    <row r="391" ht="20" customHeight="1" spans="2:10">
      <c r="B391" s="42"/>
      <c r="C391" s="42"/>
      <c r="D391" s="74"/>
      <c r="E391" s="42"/>
      <c r="F391" s="45"/>
      <c r="G391" s="56"/>
      <c r="H391" s="56"/>
      <c r="I391" s="58"/>
      <c r="J391" s="56"/>
    </row>
    <row r="392" ht="20" customHeight="1" spans="2:10">
      <c r="B392" s="42"/>
      <c r="C392" s="42"/>
      <c r="D392" s="74"/>
      <c r="E392" s="54"/>
      <c r="F392" s="45"/>
      <c r="G392" s="56"/>
      <c r="H392" s="56"/>
      <c r="I392" s="58"/>
      <c r="J392" s="56"/>
    </row>
    <row r="393" ht="20" customHeight="1" spans="2:10">
      <c r="B393" s="42"/>
      <c r="C393" s="42"/>
      <c r="D393" s="74"/>
      <c r="E393" s="42"/>
      <c r="F393" s="45"/>
      <c r="G393" s="56"/>
      <c r="H393" s="56"/>
      <c r="I393" s="58"/>
      <c r="J393" s="56"/>
    </row>
    <row r="394" ht="20" customHeight="1" spans="2:10">
      <c r="B394" s="42"/>
      <c r="C394" s="42"/>
      <c r="D394" s="74"/>
      <c r="E394" s="42"/>
      <c r="F394" s="45"/>
      <c r="G394" s="56"/>
      <c r="H394" s="56"/>
      <c r="I394" s="58"/>
      <c r="J394" s="56"/>
    </row>
    <row r="395" ht="20" customHeight="1" spans="2:10">
      <c r="B395" s="42"/>
      <c r="C395" s="42"/>
      <c r="D395" s="74"/>
      <c r="E395" s="42"/>
      <c r="F395" s="45"/>
      <c r="G395" s="56"/>
      <c r="H395" s="56"/>
      <c r="I395" s="58"/>
      <c r="J395" s="56"/>
    </row>
    <row r="396" ht="20" customHeight="1" spans="2:10">
      <c r="B396" s="42"/>
      <c r="C396" s="42"/>
      <c r="D396" s="74"/>
      <c r="E396" s="42"/>
      <c r="F396" s="45"/>
      <c r="G396" s="56"/>
      <c r="H396" s="56"/>
      <c r="I396" s="58"/>
      <c r="J396" s="56"/>
    </row>
    <row r="397" ht="20" customHeight="1" spans="2:10">
      <c r="B397" s="42"/>
      <c r="C397" s="42"/>
      <c r="D397" s="74"/>
      <c r="E397" s="42"/>
      <c r="F397" s="45"/>
      <c r="G397" s="56"/>
      <c r="H397" s="56"/>
      <c r="I397" s="58"/>
      <c r="J397" s="56"/>
    </row>
    <row r="398" ht="20" customHeight="1" spans="2:10">
      <c r="B398" s="42"/>
      <c r="C398" s="42"/>
      <c r="D398" s="74"/>
      <c r="E398" s="42"/>
      <c r="F398" s="45"/>
      <c r="G398" s="56"/>
      <c r="H398" s="56"/>
      <c r="I398" s="58"/>
      <c r="J398" s="56"/>
    </row>
    <row r="399" ht="20" customHeight="1" spans="2:10">
      <c r="B399" s="42"/>
      <c r="C399" s="42"/>
      <c r="D399" s="74"/>
      <c r="E399" s="42"/>
      <c r="F399" s="45"/>
      <c r="G399" s="56"/>
      <c r="H399" s="56"/>
      <c r="I399" s="58"/>
      <c r="J399" s="56"/>
    </row>
    <row r="400" ht="20" customHeight="1" spans="2:10">
      <c r="B400" s="42"/>
      <c r="C400" s="42"/>
      <c r="D400" s="74"/>
      <c r="E400" s="54"/>
      <c r="F400" s="45"/>
      <c r="G400" s="56"/>
      <c r="H400" s="56"/>
      <c r="I400" s="58"/>
      <c r="J400" s="56"/>
    </row>
    <row r="401" ht="20" customHeight="1" spans="2:10">
      <c r="B401" s="42"/>
      <c r="C401" s="42"/>
      <c r="D401" s="74"/>
      <c r="E401" s="42"/>
      <c r="F401" s="45"/>
      <c r="G401" s="56"/>
      <c r="H401" s="56"/>
      <c r="I401" s="58"/>
      <c r="J401" s="56"/>
    </row>
    <row r="402" ht="20" customHeight="1" spans="2:10">
      <c r="B402" s="42"/>
      <c r="C402" s="42"/>
      <c r="D402" s="74"/>
      <c r="E402" s="42"/>
      <c r="F402" s="45"/>
      <c r="G402" s="56"/>
      <c r="H402" s="56"/>
      <c r="I402" s="58"/>
      <c r="J402" s="56"/>
    </row>
    <row r="403" ht="20" customHeight="1" spans="2:10">
      <c r="B403" s="42"/>
      <c r="C403" s="42"/>
      <c r="D403" s="74"/>
      <c r="E403" s="42"/>
      <c r="F403" s="45"/>
      <c r="G403" s="56"/>
      <c r="H403" s="56"/>
      <c r="I403" s="58"/>
      <c r="J403" s="56"/>
    </row>
    <row r="404" ht="20" customHeight="1" spans="2:10">
      <c r="B404" s="42"/>
      <c r="C404" s="42"/>
      <c r="D404" s="74"/>
      <c r="E404" s="42"/>
      <c r="F404" s="45"/>
      <c r="G404" s="56"/>
      <c r="H404" s="56"/>
      <c r="I404" s="58"/>
      <c r="J404" s="56"/>
    </row>
    <row r="405" ht="20" customHeight="1" spans="2:10">
      <c r="B405" s="42"/>
      <c r="C405" s="42"/>
      <c r="D405" s="74"/>
      <c r="E405" s="42"/>
      <c r="F405" s="45"/>
      <c r="G405" s="56"/>
      <c r="H405" s="56"/>
      <c r="I405" s="58"/>
      <c r="J405" s="56"/>
    </row>
    <row r="406" ht="20" customHeight="1" spans="2:10">
      <c r="B406" s="42"/>
      <c r="C406" s="42"/>
      <c r="D406" s="74"/>
      <c r="E406" s="54"/>
      <c r="F406" s="45"/>
      <c r="G406" s="56"/>
      <c r="H406" s="56"/>
      <c r="I406" s="58"/>
      <c r="J406" s="56"/>
    </row>
    <row r="407" ht="20" customHeight="1" spans="2:10">
      <c r="B407" s="42"/>
      <c r="C407" s="42"/>
      <c r="D407" s="74"/>
      <c r="E407" s="42"/>
      <c r="F407" s="45"/>
      <c r="G407" s="56"/>
      <c r="H407" s="56"/>
      <c r="I407" s="58"/>
      <c r="J407" s="56"/>
    </row>
    <row r="408" ht="20" customHeight="1" spans="2:10">
      <c r="B408" s="42"/>
      <c r="C408" s="42"/>
      <c r="D408" s="74"/>
      <c r="E408" s="42"/>
      <c r="F408" s="45"/>
      <c r="G408" s="56"/>
      <c r="H408" s="56"/>
      <c r="I408" s="58"/>
      <c r="J408" s="56"/>
    </row>
    <row r="409" ht="20" customHeight="1" spans="2:10">
      <c r="B409" s="42"/>
      <c r="C409" s="42"/>
      <c r="D409" s="74"/>
      <c r="E409" s="42"/>
      <c r="F409" s="45"/>
      <c r="G409" s="56"/>
      <c r="H409" s="56"/>
      <c r="I409" s="58"/>
      <c r="J409" s="56"/>
    </row>
    <row r="410" ht="20" customHeight="1" spans="2:10">
      <c r="B410" s="42"/>
      <c r="C410" s="42"/>
      <c r="D410" s="74"/>
      <c r="E410" s="42"/>
      <c r="F410" s="45"/>
      <c r="G410" s="56"/>
      <c r="H410" s="56"/>
      <c r="I410" s="58"/>
      <c r="J410" s="56"/>
    </row>
    <row r="411" ht="20" customHeight="1" spans="2:10">
      <c r="B411" s="42"/>
      <c r="C411" s="42"/>
      <c r="D411" s="74"/>
      <c r="E411" s="42"/>
      <c r="F411" s="45"/>
      <c r="G411" s="56"/>
      <c r="H411" s="56"/>
      <c r="I411" s="58"/>
      <c r="J411" s="56"/>
    </row>
    <row r="412" ht="20" customHeight="1" spans="2:10">
      <c r="B412" s="42"/>
      <c r="C412" s="42"/>
      <c r="D412" s="74"/>
      <c r="E412" s="42"/>
      <c r="F412" s="45"/>
      <c r="G412" s="56"/>
      <c r="H412" s="56"/>
      <c r="I412" s="58"/>
      <c r="J412" s="56"/>
    </row>
    <row r="413" ht="20" customHeight="1" spans="2:10">
      <c r="B413" s="42"/>
      <c r="C413" s="42"/>
      <c r="D413" s="74"/>
      <c r="E413" s="42"/>
      <c r="F413" s="45"/>
      <c r="G413" s="56"/>
      <c r="H413" s="56"/>
      <c r="I413" s="58"/>
      <c r="J413" s="56"/>
    </row>
    <row r="414" ht="20" customHeight="1" spans="2:10">
      <c r="B414" s="42"/>
      <c r="C414" s="42"/>
      <c r="D414" s="74"/>
      <c r="E414" s="54"/>
      <c r="F414" s="45"/>
      <c r="G414" s="56"/>
      <c r="H414" s="56"/>
      <c r="I414" s="58"/>
      <c r="J414" s="56"/>
    </row>
    <row r="415" ht="20" customHeight="1" spans="2:10">
      <c r="B415" s="42"/>
      <c r="C415" s="42"/>
      <c r="D415" s="74"/>
      <c r="E415" s="42"/>
      <c r="F415" s="45"/>
      <c r="G415" s="56"/>
      <c r="H415" s="56"/>
      <c r="I415" s="58"/>
      <c r="J415" s="56"/>
    </row>
    <row r="416" ht="20" customHeight="1" spans="2:10">
      <c r="B416" s="42"/>
      <c r="C416" s="42"/>
      <c r="D416" s="74"/>
      <c r="E416" s="42"/>
      <c r="F416" s="45"/>
      <c r="G416" s="56"/>
      <c r="H416" s="56"/>
      <c r="I416" s="58"/>
      <c r="J416" s="56"/>
    </row>
    <row r="417" ht="20" customHeight="1" spans="2:10">
      <c r="B417" s="42"/>
      <c r="C417" s="42"/>
      <c r="D417" s="74"/>
      <c r="E417" s="42"/>
      <c r="F417" s="45"/>
      <c r="G417" s="56"/>
      <c r="H417" s="56"/>
      <c r="I417" s="58"/>
      <c r="J417" s="56"/>
    </row>
    <row r="418" ht="20" customHeight="1" spans="2:10">
      <c r="B418" s="42"/>
      <c r="C418" s="42"/>
      <c r="D418" s="74"/>
      <c r="E418" s="42"/>
      <c r="F418" s="45"/>
      <c r="G418" s="56"/>
      <c r="H418" s="56"/>
      <c r="I418" s="58"/>
      <c r="J418" s="56"/>
    </row>
    <row r="419" ht="20" customHeight="1" spans="2:10">
      <c r="B419" s="42"/>
      <c r="C419" s="42"/>
      <c r="D419" s="74"/>
      <c r="E419" s="42"/>
      <c r="F419" s="45"/>
      <c r="G419" s="56"/>
      <c r="H419" s="56"/>
      <c r="I419" s="58"/>
      <c r="J419" s="56"/>
    </row>
    <row r="420" ht="20" customHeight="1" spans="2:10">
      <c r="B420" s="42"/>
      <c r="C420" s="42"/>
      <c r="D420" s="74"/>
      <c r="E420" s="54"/>
      <c r="F420" s="45"/>
      <c r="G420" s="56"/>
      <c r="H420" s="56"/>
      <c r="I420" s="58"/>
      <c r="J420" s="56"/>
    </row>
    <row r="421" ht="20" customHeight="1" spans="2:10">
      <c r="B421" s="42"/>
      <c r="C421" s="42"/>
      <c r="D421" s="74"/>
      <c r="E421" s="42"/>
      <c r="F421" s="45"/>
      <c r="G421" s="56"/>
      <c r="H421" s="56"/>
      <c r="I421" s="58"/>
      <c r="J421" s="56"/>
    </row>
    <row r="422" ht="20" customHeight="1" spans="2:10">
      <c r="B422" s="42"/>
      <c r="C422" s="42"/>
      <c r="D422" s="74"/>
      <c r="E422" s="42"/>
      <c r="F422" s="45"/>
      <c r="G422" s="56"/>
      <c r="H422" s="56"/>
      <c r="I422" s="58"/>
      <c r="J422" s="56"/>
    </row>
    <row r="423" ht="20" customHeight="1" spans="2:10">
      <c r="B423" s="42"/>
      <c r="C423" s="42"/>
      <c r="D423" s="74"/>
      <c r="E423" s="42"/>
      <c r="F423" s="45"/>
      <c r="G423" s="56"/>
      <c r="H423" s="56"/>
      <c r="I423" s="58"/>
      <c r="J423" s="56"/>
    </row>
    <row r="424" ht="20" customHeight="1" spans="2:10">
      <c r="B424" s="42"/>
      <c r="C424" s="42"/>
      <c r="D424" s="74"/>
      <c r="E424" s="42"/>
      <c r="F424" s="45"/>
      <c r="G424" s="56"/>
      <c r="H424" s="56"/>
      <c r="I424" s="58"/>
      <c r="J424" s="56"/>
    </row>
    <row r="425" ht="20" customHeight="1" spans="2:10">
      <c r="B425" s="42"/>
      <c r="C425" s="42"/>
      <c r="D425" s="74"/>
      <c r="E425" s="42"/>
      <c r="F425" s="45"/>
      <c r="G425" s="56"/>
      <c r="H425" s="56"/>
      <c r="I425" s="58"/>
      <c r="J425" s="56"/>
    </row>
    <row r="426" ht="20" customHeight="1" spans="2:10">
      <c r="B426" s="42"/>
      <c r="C426" s="42"/>
      <c r="D426" s="74"/>
      <c r="E426" s="42"/>
      <c r="F426" s="45"/>
      <c r="G426" s="56"/>
      <c r="H426" s="56"/>
      <c r="I426" s="58"/>
      <c r="J426" s="56"/>
    </row>
    <row r="427" ht="20" customHeight="1" spans="2:10">
      <c r="B427" s="42"/>
      <c r="C427" s="42"/>
      <c r="D427" s="74"/>
      <c r="E427" s="42"/>
      <c r="F427" s="45"/>
      <c r="G427" s="56"/>
      <c r="H427" s="56"/>
      <c r="I427" s="58"/>
      <c r="J427" s="56"/>
    </row>
    <row r="428" ht="20" customHeight="1" spans="2:10">
      <c r="B428" s="42"/>
      <c r="C428" s="42"/>
      <c r="D428" s="74"/>
      <c r="E428" s="54"/>
      <c r="F428" s="45"/>
      <c r="G428" s="56"/>
      <c r="H428" s="56"/>
      <c r="I428" s="58"/>
      <c r="J428" s="56"/>
    </row>
    <row r="429" ht="20" customHeight="1" spans="2:10">
      <c r="B429" s="42"/>
      <c r="C429" s="42"/>
      <c r="D429" s="74"/>
      <c r="E429" s="42"/>
      <c r="F429" s="45"/>
      <c r="G429" s="56"/>
      <c r="H429" s="56"/>
      <c r="I429" s="58"/>
      <c r="J429" s="56"/>
    </row>
    <row r="430" ht="20" customHeight="1" spans="2:10">
      <c r="B430" s="42"/>
      <c r="C430" s="42"/>
      <c r="D430" s="74"/>
      <c r="E430" s="42"/>
      <c r="F430" s="45"/>
      <c r="G430" s="56"/>
      <c r="H430" s="56"/>
      <c r="I430" s="58"/>
      <c r="J430" s="56"/>
    </row>
    <row r="431" ht="20" customHeight="1" spans="2:10">
      <c r="B431" s="42"/>
      <c r="C431" s="42"/>
      <c r="D431" s="74"/>
      <c r="E431" s="42"/>
      <c r="F431" s="45"/>
      <c r="G431" s="56"/>
      <c r="H431" s="56"/>
      <c r="I431" s="58"/>
      <c r="J431" s="56"/>
    </row>
    <row r="432" ht="20" customHeight="1" spans="2:10">
      <c r="B432" s="42"/>
      <c r="C432" s="42"/>
      <c r="D432" s="74"/>
      <c r="E432" s="42"/>
      <c r="F432" s="45"/>
      <c r="G432" s="56"/>
      <c r="H432" s="56"/>
      <c r="I432" s="58"/>
      <c r="J432" s="56"/>
    </row>
    <row r="433" ht="20" customHeight="1" spans="2:10">
      <c r="B433" s="42"/>
      <c r="C433" s="42"/>
      <c r="D433" s="74"/>
      <c r="E433" s="42"/>
      <c r="F433" s="45"/>
      <c r="G433" s="56"/>
      <c r="H433" s="56"/>
      <c r="I433" s="58"/>
      <c r="J433" s="56"/>
    </row>
    <row r="434" ht="20" customHeight="1" spans="2:10">
      <c r="B434" s="42"/>
      <c r="C434" s="42"/>
      <c r="D434" s="74"/>
      <c r="E434" s="54"/>
      <c r="F434" s="45"/>
      <c r="G434" s="56"/>
      <c r="H434" s="56"/>
      <c r="I434" s="58"/>
      <c r="J434" s="56"/>
    </row>
    <row r="435" ht="20" customHeight="1" spans="2:10">
      <c r="B435" s="42"/>
      <c r="C435" s="42"/>
      <c r="D435" s="74"/>
      <c r="E435" s="42"/>
      <c r="F435" s="45"/>
      <c r="G435" s="56"/>
      <c r="H435" s="56"/>
      <c r="I435" s="58"/>
      <c r="J435" s="56"/>
    </row>
    <row r="436" ht="20" customHeight="1" spans="2:10">
      <c r="B436" s="42"/>
      <c r="C436" s="42"/>
      <c r="D436" s="74"/>
      <c r="E436" s="42"/>
      <c r="F436" s="45"/>
      <c r="G436" s="56"/>
      <c r="H436" s="56"/>
      <c r="I436" s="58"/>
      <c r="J436" s="56"/>
    </row>
    <row r="437" ht="20" customHeight="1" spans="2:10">
      <c r="B437" s="42"/>
      <c r="C437" s="42"/>
      <c r="D437" s="74"/>
      <c r="E437" s="42"/>
      <c r="F437" s="45"/>
      <c r="G437" s="56"/>
      <c r="H437" s="56"/>
      <c r="I437" s="58"/>
      <c r="J437" s="56"/>
    </row>
  </sheetData>
  <autoFilter xmlns:etc="http://www.wps.cn/officeDocument/2017/etCustomData" ref="A3:P274" etc:filterBottomFollowUsedRange="0">
    <extLst/>
  </autoFilter>
  <mergeCells count="1">
    <mergeCell ref="B1:J1"/>
  </mergeCells>
  <conditionalFormatting sqref="E5">
    <cfRule type="expression" dxfId="1" priority="22">
      <formula>$A5&lt;&gt;""</formula>
    </cfRule>
  </conditionalFormatting>
  <conditionalFormatting sqref="E12:F12">
    <cfRule type="expression" dxfId="1" priority="21">
      <formula>$A12&lt;&gt;""</formula>
    </cfRule>
  </conditionalFormatting>
  <conditionalFormatting sqref="E33">
    <cfRule type="expression" dxfId="1" priority="16">
      <formula>$A33&lt;&gt;""</formula>
    </cfRule>
  </conditionalFormatting>
  <conditionalFormatting sqref="E59">
    <cfRule type="expression" dxfId="1" priority="13">
      <formula>$A59&lt;&gt;""</formula>
    </cfRule>
  </conditionalFormatting>
  <conditionalFormatting sqref="E70:F70">
    <cfRule type="expression" dxfId="1" priority="12">
      <formula>$A70&lt;&gt;""</formula>
    </cfRule>
  </conditionalFormatting>
  <conditionalFormatting sqref="E102">
    <cfRule type="expression" dxfId="1" priority="9">
      <formula>$A102&lt;&gt;""</formula>
    </cfRule>
  </conditionalFormatting>
  <conditionalFormatting sqref="E121">
    <cfRule type="expression" dxfId="1" priority="8">
      <formula>$A121&lt;&gt;""</formula>
    </cfRule>
  </conditionalFormatting>
  <conditionalFormatting sqref="E144:F144">
    <cfRule type="expression" dxfId="1" priority="7">
      <formula>$A144&lt;&gt;""</formula>
    </cfRule>
  </conditionalFormatting>
  <conditionalFormatting sqref="E154">
    <cfRule type="expression" dxfId="1" priority="6">
      <formula>$A154&lt;&gt;""</formula>
    </cfRule>
  </conditionalFormatting>
  <conditionalFormatting sqref="E182">
    <cfRule type="expression" dxfId="1" priority="5">
      <formula>$A182&lt;&gt;""</formula>
    </cfRule>
  </conditionalFormatting>
  <conditionalFormatting sqref="E202">
    <cfRule type="expression" dxfId="1" priority="4">
      <formula>$A202&lt;&gt;""</formula>
    </cfRule>
  </conditionalFormatting>
  <conditionalFormatting sqref="E219:F219">
    <cfRule type="expression" dxfId="1" priority="3">
      <formula>$A219&lt;&gt;""</formula>
    </cfRule>
  </conditionalFormatting>
  <conditionalFormatting sqref="E232">
    <cfRule type="expression" dxfId="1" priority="2">
      <formula>$A232&lt;&gt;""</formula>
    </cfRule>
  </conditionalFormatting>
  <conditionalFormatting sqref="E253">
    <cfRule type="expression" dxfId="1" priority="1">
      <formula>$A253&lt;&gt;""</formula>
    </cfRule>
  </conditionalFormatting>
  <dataValidations count="1">
    <dataValidation type="list" allowBlank="1" showInputMessage="1" showErrorMessage="1" sqref="D170 D172 D174 D200 D4:D142 D154:D164 D167:D168 D176:D194 D197:D198 D202:D218 D220:D223 D225:D246 D248:D251 D253:D437">
      <formula1>付费项!$B$2:$B$83</formula1>
    </dataValidation>
  </dataValidations>
  <pageMargins left="0.7" right="0.7" top="0.75" bottom="0.75" header="0.3" footer="0.3"/>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FF0000"/>
  </sheetPr>
  <dimension ref="A1:P126"/>
  <sheetViews>
    <sheetView topLeftCell="A95" workbookViewId="0">
      <selection activeCell="N97" sqref="N97"/>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413</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14300.72</v>
      </c>
      <c r="J4" s="56"/>
    </row>
    <row r="5" ht="20" customHeight="1" spans="1:16">
      <c r="B5" s="42">
        <v>1</v>
      </c>
      <c r="C5" s="42">
        <v>2</v>
      </c>
      <c r="D5" s="42" t="s">
        <v>16</v>
      </c>
      <c r="E5" s="44" t="s">
        <v>414</v>
      </c>
      <c r="F5" s="45" t="s">
        <v>415</v>
      </c>
      <c r="G5" s="56"/>
      <c r="H5" s="56">
        <v>30</v>
      </c>
      <c r="I5" s="58">
        <f t="shared" ref="I5:I15" si="0">I4+G5-H5</f>
        <v>14270.72</v>
      </c>
      <c r="J5" s="56"/>
    </row>
    <row r="6" ht="20" customHeight="1" spans="1:16">
      <c r="B6" s="42">
        <v>1</v>
      </c>
      <c r="C6" s="42">
        <v>4</v>
      </c>
      <c r="D6" s="74" t="s">
        <v>119</v>
      </c>
      <c r="E6" s="44" t="s">
        <v>416</v>
      </c>
      <c r="F6" s="45" t="s">
        <v>417</v>
      </c>
      <c r="G6" s="56"/>
      <c r="H6" s="56">
        <v>353.79</v>
      </c>
      <c r="I6" s="58">
        <f t="shared" si="0"/>
        <v>13916.93</v>
      </c>
      <c r="J6" s="56"/>
    </row>
    <row r="7" ht="20" customHeight="1" spans="1:16">
      <c r="B7" s="42">
        <v>1</v>
      </c>
      <c r="C7" s="42">
        <v>13</v>
      </c>
      <c r="D7" s="74" t="s">
        <v>119</v>
      </c>
      <c r="E7" s="44" t="s">
        <v>416</v>
      </c>
      <c r="F7" s="45" t="s">
        <v>418</v>
      </c>
      <c r="G7" s="56"/>
      <c r="H7" s="56">
        <v>2117.68</v>
      </c>
      <c r="I7" s="58">
        <f t="shared" si="0"/>
        <v>11799.25</v>
      </c>
      <c r="J7" s="56"/>
    </row>
    <row r="8" ht="20" customHeight="1" spans="1:16">
      <c r="B8" s="42">
        <v>1</v>
      </c>
      <c r="C8" s="42">
        <v>13</v>
      </c>
      <c r="D8" s="74" t="s">
        <v>119</v>
      </c>
      <c r="E8" s="45" t="s">
        <v>416</v>
      </c>
      <c r="F8" s="45" t="s">
        <v>419</v>
      </c>
      <c r="G8" s="56"/>
      <c r="H8" s="56">
        <v>745.92</v>
      </c>
      <c r="I8" s="58">
        <f t="shared" si="0"/>
        <v>11053.33</v>
      </c>
      <c r="J8" s="56"/>
    </row>
    <row r="9" ht="20" customHeight="1" spans="1:16">
      <c r="B9" s="42">
        <v>1</v>
      </c>
      <c r="C9" s="42">
        <v>15</v>
      </c>
      <c r="D9" s="74" t="s">
        <v>93</v>
      </c>
      <c r="E9" s="44" t="s">
        <v>420</v>
      </c>
      <c r="F9" s="183" t="s">
        <v>421</v>
      </c>
      <c r="G9" s="56"/>
      <c r="H9" s="56">
        <v>2230</v>
      </c>
      <c r="I9" s="58">
        <f t="shared" si="0"/>
        <v>8823.33</v>
      </c>
      <c r="J9" s="56"/>
    </row>
    <row r="10" ht="20" customHeight="1" spans="1:16">
      <c r="B10" s="42">
        <v>1</v>
      </c>
      <c r="C10" s="42">
        <v>15</v>
      </c>
      <c r="D10" s="74" t="s">
        <v>69</v>
      </c>
      <c r="E10" s="44" t="s">
        <v>20</v>
      </c>
      <c r="F10" s="45" t="s">
        <v>422</v>
      </c>
      <c r="G10" s="56">
        <v>20000</v>
      </c>
      <c r="H10" s="56"/>
      <c r="I10" s="58">
        <f t="shared" si="0"/>
        <v>28823.33</v>
      </c>
      <c r="J10" s="56"/>
    </row>
    <row r="11" ht="20" customHeight="1" spans="1:16">
      <c r="B11" s="42">
        <v>1</v>
      </c>
      <c r="C11" s="42">
        <v>15</v>
      </c>
      <c r="D11" s="74" t="s">
        <v>92</v>
      </c>
      <c r="E11" s="44" t="s">
        <v>271</v>
      </c>
      <c r="F11" s="45" t="s">
        <v>423</v>
      </c>
      <c r="G11" s="56"/>
      <c r="H11" s="56">
        <v>25715.81</v>
      </c>
      <c r="I11" s="58">
        <f t="shared" si="0"/>
        <v>3107.52</v>
      </c>
      <c r="J11" s="56"/>
    </row>
    <row r="12" ht="20" customHeight="1" spans="1:16">
      <c r="B12" s="42">
        <v>1</v>
      </c>
      <c r="C12" s="42">
        <v>15</v>
      </c>
      <c r="D12" s="74" t="s">
        <v>77</v>
      </c>
      <c r="E12" s="101" t="s">
        <v>424</v>
      </c>
      <c r="F12" s="45" t="s">
        <v>425</v>
      </c>
      <c r="G12" s="184">
        <v>73229.1</v>
      </c>
      <c r="H12" s="56"/>
      <c r="I12" s="58">
        <f t="shared" si="0"/>
        <v>76336.62</v>
      </c>
      <c r="J12" s="56"/>
    </row>
    <row r="13" ht="20" customHeight="1" spans="1:16">
      <c r="B13" s="42">
        <v>1</v>
      </c>
      <c r="C13" s="42">
        <v>16</v>
      </c>
      <c r="D13" s="74" t="s">
        <v>69</v>
      </c>
      <c r="E13" s="44" t="s">
        <v>295</v>
      </c>
      <c r="F13" s="117" t="s">
        <v>426</v>
      </c>
      <c r="G13" s="56"/>
      <c r="H13" s="56">
        <v>50000</v>
      </c>
      <c r="I13" s="58">
        <f t="shared" si="0"/>
        <v>26336.62</v>
      </c>
      <c r="J13" s="56"/>
    </row>
    <row r="14" ht="64.5" spans="1:16">
      <c r="B14" s="42">
        <v>1</v>
      </c>
      <c r="C14" s="42">
        <v>21</v>
      </c>
      <c r="D14" s="42" t="s">
        <v>93</v>
      </c>
      <c r="E14" s="44" t="s">
        <v>416</v>
      </c>
      <c r="F14" s="93" t="s">
        <v>427</v>
      </c>
      <c r="G14" s="56"/>
      <c r="H14" s="56">
        <v>4669.98</v>
      </c>
      <c r="I14" s="58">
        <f t="shared" si="0"/>
        <v>21666.64</v>
      </c>
      <c r="J14" s="56"/>
    </row>
    <row r="15" ht="20" customHeight="1" spans="1:16">
      <c r="B15" s="42">
        <v>1</v>
      </c>
      <c r="C15" s="42">
        <v>29</v>
      </c>
      <c r="D15" s="74" t="s">
        <v>16</v>
      </c>
      <c r="E15" s="44" t="s">
        <v>414</v>
      </c>
      <c r="F15" s="45" t="s">
        <v>16</v>
      </c>
      <c r="G15" s="56"/>
      <c r="H15" s="56">
        <v>3</v>
      </c>
      <c r="I15" s="58">
        <f t="shared" si="0"/>
        <v>21663.64</v>
      </c>
      <c r="J15" s="56"/>
    </row>
    <row r="16" ht="20" customHeight="1" spans="1:16">
      <c r="B16" s="68"/>
      <c r="C16" s="68"/>
      <c r="D16" s="68"/>
      <c r="E16" s="68"/>
      <c r="F16" s="70" t="s">
        <v>22</v>
      </c>
      <c r="G16" s="71">
        <f>SUM(G5:G15)</f>
        <v>93229.1</v>
      </c>
      <c r="H16" s="71">
        <f>SUM(H5:H15)</f>
        <v>85866.18</v>
      </c>
      <c r="I16" s="72">
        <f>I4+G16-H16</f>
        <v>21663.64</v>
      </c>
      <c r="J16" s="71"/>
    </row>
    <row r="17" ht="20" customHeight="1" spans="2:10">
      <c r="B17" s="42">
        <v>2</v>
      </c>
      <c r="C17" s="42">
        <v>2</v>
      </c>
      <c r="D17" s="42" t="s">
        <v>16</v>
      </c>
      <c r="E17" s="44" t="s">
        <v>414</v>
      </c>
      <c r="F17" s="45" t="s">
        <v>415</v>
      </c>
      <c r="G17" s="56"/>
      <c r="H17" s="56">
        <v>30</v>
      </c>
      <c r="I17" s="58">
        <f t="shared" ref="I17:I27" si="1">I16+G17-H17</f>
        <v>21633.64</v>
      </c>
      <c r="J17" s="56"/>
    </row>
    <row r="18" ht="20" customHeight="1" spans="2:10">
      <c r="B18" s="42">
        <v>2</v>
      </c>
      <c r="C18" s="42">
        <v>3</v>
      </c>
      <c r="D18" s="74" t="s">
        <v>119</v>
      </c>
      <c r="E18" s="44" t="s">
        <v>416</v>
      </c>
      <c r="F18" s="45" t="s">
        <v>428</v>
      </c>
      <c r="G18" s="56"/>
      <c r="H18" s="56">
        <v>6046.44</v>
      </c>
      <c r="I18" s="58">
        <f t="shared" si="1"/>
        <v>15587.2</v>
      </c>
      <c r="J18" s="56"/>
    </row>
    <row r="19" ht="20" customHeight="1" spans="2:10">
      <c r="B19" s="42">
        <v>2</v>
      </c>
      <c r="C19" s="42">
        <v>3</v>
      </c>
      <c r="D19" s="74" t="s">
        <v>119</v>
      </c>
      <c r="E19" s="45" t="s">
        <v>416</v>
      </c>
      <c r="F19" s="45" t="s">
        <v>429</v>
      </c>
      <c r="G19" s="56"/>
      <c r="H19" s="56">
        <v>211.62</v>
      </c>
      <c r="I19" s="58">
        <f t="shared" si="1"/>
        <v>15375.58</v>
      </c>
      <c r="J19" s="56"/>
    </row>
    <row r="20" ht="20" customHeight="1" spans="2:10">
      <c r="B20" s="42">
        <v>2</v>
      </c>
      <c r="C20" s="42">
        <v>6</v>
      </c>
      <c r="D20" s="74" t="s">
        <v>119</v>
      </c>
      <c r="E20" s="44" t="s">
        <v>416</v>
      </c>
      <c r="F20" s="45" t="s">
        <v>417</v>
      </c>
      <c r="G20" s="56"/>
      <c r="H20" s="56">
        <v>152.46</v>
      </c>
      <c r="I20" s="58">
        <f t="shared" si="1"/>
        <v>15223.12</v>
      </c>
      <c r="J20" s="56"/>
    </row>
    <row r="21" ht="20" customHeight="1" spans="2:10">
      <c r="B21" s="42">
        <v>2</v>
      </c>
      <c r="C21" s="42">
        <v>9</v>
      </c>
      <c r="D21" s="42" t="s">
        <v>77</v>
      </c>
      <c r="E21" s="101" t="s">
        <v>424</v>
      </c>
      <c r="F21" s="45" t="s">
        <v>430</v>
      </c>
      <c r="G21" s="185">
        <v>73229.1</v>
      </c>
      <c r="H21" s="56"/>
      <c r="I21" s="58">
        <f t="shared" si="1"/>
        <v>88452.22</v>
      </c>
      <c r="J21" s="56"/>
    </row>
    <row r="22" ht="20" customHeight="1" spans="2:10">
      <c r="B22" s="42">
        <v>2</v>
      </c>
      <c r="C22" s="42">
        <v>13</v>
      </c>
      <c r="D22" s="74" t="s">
        <v>92</v>
      </c>
      <c r="E22" s="44" t="s">
        <v>271</v>
      </c>
      <c r="F22" s="45" t="s">
        <v>431</v>
      </c>
      <c r="G22" s="56"/>
      <c r="H22" s="57">
        <v>25140</v>
      </c>
      <c r="I22" s="58">
        <f t="shared" si="1"/>
        <v>63312.22</v>
      </c>
      <c r="J22" s="56"/>
    </row>
    <row r="23" ht="20" customHeight="1" spans="2:10">
      <c r="B23" s="42">
        <v>2</v>
      </c>
      <c r="C23" s="42">
        <v>13</v>
      </c>
      <c r="D23" s="74" t="s">
        <v>92</v>
      </c>
      <c r="E23" s="44" t="s">
        <v>271</v>
      </c>
      <c r="F23" s="45" t="s">
        <v>432</v>
      </c>
      <c r="G23" s="56"/>
      <c r="H23" s="57">
        <v>21300</v>
      </c>
      <c r="I23" s="58">
        <f t="shared" si="1"/>
        <v>42012.22</v>
      </c>
      <c r="J23" s="56"/>
    </row>
    <row r="24" ht="20" customHeight="1" spans="2:10">
      <c r="B24" s="42">
        <v>2</v>
      </c>
      <c r="C24" s="42">
        <v>13</v>
      </c>
      <c r="D24" s="42" t="s">
        <v>69</v>
      </c>
      <c r="E24" s="93" t="s">
        <v>295</v>
      </c>
      <c r="F24" s="45" t="s">
        <v>426</v>
      </c>
      <c r="G24" s="56"/>
      <c r="H24" s="56">
        <v>20000</v>
      </c>
      <c r="I24" s="58">
        <f t="shared" si="1"/>
        <v>22012.22</v>
      </c>
      <c r="J24" s="56"/>
    </row>
    <row r="25" ht="20" customHeight="1" spans="2:10">
      <c r="B25" s="42">
        <v>2</v>
      </c>
      <c r="C25" s="42">
        <v>14</v>
      </c>
      <c r="D25" s="74" t="s">
        <v>92</v>
      </c>
      <c r="E25" s="44" t="s">
        <v>271</v>
      </c>
      <c r="F25" s="45" t="s">
        <v>432</v>
      </c>
      <c r="G25" s="56"/>
      <c r="H25" s="56">
        <v>6500</v>
      </c>
      <c r="I25" s="58">
        <f t="shared" si="1"/>
        <v>15512.22</v>
      </c>
      <c r="J25" s="56"/>
    </row>
    <row r="26" ht="20" customHeight="1" spans="2:10">
      <c r="B26" s="42">
        <v>2</v>
      </c>
      <c r="C26" s="42">
        <v>15</v>
      </c>
      <c r="D26" s="42" t="s">
        <v>93</v>
      </c>
      <c r="E26" s="44" t="s">
        <v>420</v>
      </c>
      <c r="F26" s="183" t="s">
        <v>433</v>
      </c>
      <c r="G26" s="56"/>
      <c r="H26" s="56">
        <v>2230</v>
      </c>
      <c r="I26" s="58">
        <f t="shared" si="1"/>
        <v>13282.22</v>
      </c>
      <c r="J26" s="56"/>
    </row>
    <row r="27" ht="64.5" spans="2:10">
      <c r="B27" s="42">
        <v>2</v>
      </c>
      <c r="C27" s="42">
        <v>24</v>
      </c>
      <c r="D27" s="42" t="s">
        <v>93</v>
      </c>
      <c r="E27" s="44" t="s">
        <v>416</v>
      </c>
      <c r="F27" s="93" t="s">
        <v>434</v>
      </c>
      <c r="G27" s="56"/>
      <c r="H27" s="56">
        <v>4669.98</v>
      </c>
      <c r="I27" s="58">
        <f t="shared" si="1"/>
        <v>8612.24000000002</v>
      </c>
      <c r="J27" s="56"/>
    </row>
    <row r="28" ht="20" customHeight="1" spans="2:10">
      <c r="B28" s="68"/>
      <c r="C28" s="68"/>
      <c r="D28" s="68"/>
      <c r="E28" s="68"/>
      <c r="F28" s="70" t="s">
        <v>22</v>
      </c>
      <c r="G28" s="71">
        <f>SUM(G17:G27)</f>
        <v>73229.1</v>
      </c>
      <c r="H28" s="71">
        <f>SUM(H17:H27)</f>
        <v>86280.5</v>
      </c>
      <c r="I28" s="72">
        <f>I16+G28-H28</f>
        <v>8612.24000000002</v>
      </c>
      <c r="J28" s="71"/>
    </row>
    <row r="29" ht="20" customHeight="1" spans="2:10">
      <c r="B29" s="42">
        <v>3</v>
      </c>
      <c r="C29" s="42">
        <v>1</v>
      </c>
      <c r="D29" s="42" t="s">
        <v>16</v>
      </c>
      <c r="E29" s="44" t="s">
        <v>414</v>
      </c>
      <c r="F29" s="45" t="s">
        <v>415</v>
      </c>
      <c r="G29" s="56"/>
      <c r="H29" s="56">
        <v>35</v>
      </c>
      <c r="I29" s="58">
        <f t="shared" ref="I29:I39" si="2">I28+G29-H29</f>
        <v>8577.24000000002</v>
      </c>
      <c r="J29" s="56"/>
    </row>
    <row r="30" ht="20" customHeight="1" spans="2:10">
      <c r="B30" s="42">
        <v>3</v>
      </c>
      <c r="C30" s="42">
        <v>5</v>
      </c>
      <c r="D30" s="74" t="s">
        <v>119</v>
      </c>
      <c r="E30" s="44" t="s">
        <v>416</v>
      </c>
      <c r="F30" s="45" t="s">
        <v>435</v>
      </c>
      <c r="G30" s="56"/>
      <c r="H30" s="56">
        <v>6046.44</v>
      </c>
      <c r="I30" s="58">
        <f t="shared" si="2"/>
        <v>2530.80000000002</v>
      </c>
      <c r="J30" s="56"/>
    </row>
    <row r="31" ht="20" customHeight="1" spans="2:10">
      <c r="B31" s="42">
        <v>3</v>
      </c>
      <c r="C31" s="42">
        <v>5</v>
      </c>
      <c r="D31" s="74" t="s">
        <v>119</v>
      </c>
      <c r="E31" s="45" t="s">
        <v>416</v>
      </c>
      <c r="F31" s="45" t="s">
        <v>436</v>
      </c>
      <c r="G31" s="56"/>
      <c r="H31" s="56">
        <v>211.62</v>
      </c>
      <c r="I31" s="58">
        <f t="shared" si="2"/>
        <v>2319.18000000002</v>
      </c>
      <c r="J31" s="56"/>
    </row>
    <row r="32" ht="20" customHeight="1" spans="2:10">
      <c r="B32" s="42">
        <v>3</v>
      </c>
      <c r="C32" s="42">
        <v>9</v>
      </c>
      <c r="D32" s="74" t="s">
        <v>119</v>
      </c>
      <c r="E32" s="44" t="s">
        <v>416</v>
      </c>
      <c r="F32" s="45" t="s">
        <v>417</v>
      </c>
      <c r="G32" s="56"/>
      <c r="H32" s="56">
        <v>828.15</v>
      </c>
      <c r="I32" s="58">
        <f t="shared" si="2"/>
        <v>1491.03000000002</v>
      </c>
      <c r="J32" s="56"/>
    </row>
    <row r="33" ht="20" customHeight="1" spans="2:10">
      <c r="B33" s="42">
        <v>3</v>
      </c>
      <c r="C33" s="42">
        <v>9</v>
      </c>
      <c r="D33" s="42" t="s">
        <v>77</v>
      </c>
      <c r="E33" s="101" t="s">
        <v>424</v>
      </c>
      <c r="F33" s="45" t="s">
        <v>437</v>
      </c>
      <c r="G33" s="185">
        <v>73229.1</v>
      </c>
      <c r="H33" s="56"/>
      <c r="I33" s="58">
        <f t="shared" si="2"/>
        <v>74720.13</v>
      </c>
      <c r="J33" s="56"/>
    </row>
    <row r="34" ht="20" customHeight="1" spans="2:10">
      <c r="B34" s="42">
        <v>3</v>
      </c>
      <c r="C34" s="42">
        <v>15</v>
      </c>
      <c r="D34" s="42" t="s">
        <v>93</v>
      </c>
      <c r="E34" s="44" t="s">
        <v>420</v>
      </c>
      <c r="F34" s="183" t="s">
        <v>438</v>
      </c>
      <c r="G34" s="56"/>
      <c r="H34" s="56">
        <v>2230</v>
      </c>
      <c r="I34" s="58">
        <f t="shared" si="2"/>
        <v>72490.13</v>
      </c>
      <c r="J34" s="56"/>
    </row>
    <row r="35" ht="20" customHeight="1" spans="2:10">
      <c r="B35" s="42">
        <v>3</v>
      </c>
      <c r="C35" s="42">
        <v>16</v>
      </c>
      <c r="D35" s="74" t="s">
        <v>92</v>
      </c>
      <c r="E35" s="44" t="s">
        <v>271</v>
      </c>
      <c r="F35" s="45" t="s">
        <v>439</v>
      </c>
      <c r="G35" s="56"/>
      <c r="H35" s="84">
        <v>23141.45</v>
      </c>
      <c r="I35" s="58">
        <f t="shared" si="2"/>
        <v>49348.68</v>
      </c>
      <c r="J35" s="56"/>
    </row>
    <row r="36" ht="20" customHeight="1" spans="2:10">
      <c r="B36" s="42">
        <v>3</v>
      </c>
      <c r="C36" s="42">
        <v>16</v>
      </c>
      <c r="D36" s="42" t="s">
        <v>69</v>
      </c>
      <c r="E36" s="93" t="s">
        <v>295</v>
      </c>
      <c r="F36" s="45" t="s">
        <v>426</v>
      </c>
      <c r="G36" s="56"/>
      <c r="H36" s="56">
        <v>32000</v>
      </c>
      <c r="I36" s="58">
        <f t="shared" si="2"/>
        <v>17348.68</v>
      </c>
      <c r="J36" s="56"/>
    </row>
    <row r="37" ht="20" customHeight="1" spans="2:10">
      <c r="B37" s="42">
        <v>3</v>
      </c>
      <c r="C37" s="42">
        <v>21</v>
      </c>
      <c r="D37" s="74" t="s">
        <v>29</v>
      </c>
      <c r="E37" s="44" t="s">
        <v>414</v>
      </c>
      <c r="F37" s="45" t="s">
        <v>29</v>
      </c>
      <c r="G37" s="56">
        <v>2.97</v>
      </c>
      <c r="H37" s="56"/>
      <c r="I37" s="58">
        <f t="shared" si="2"/>
        <v>17351.65</v>
      </c>
      <c r="J37" s="56"/>
    </row>
    <row r="38" ht="64.5" spans="2:10">
      <c r="B38" s="42">
        <v>3</v>
      </c>
      <c r="C38" s="42">
        <v>23</v>
      </c>
      <c r="D38" s="42" t="s">
        <v>93</v>
      </c>
      <c r="E38" s="44" t="s">
        <v>416</v>
      </c>
      <c r="F38" s="93" t="s">
        <v>440</v>
      </c>
      <c r="G38" s="56"/>
      <c r="H38" s="56">
        <v>4623.33</v>
      </c>
      <c r="I38" s="58">
        <f t="shared" si="2"/>
        <v>12728.32</v>
      </c>
      <c r="J38" s="56"/>
    </row>
    <row r="39" ht="20" customHeight="1" spans="2:10">
      <c r="B39" s="42">
        <v>3</v>
      </c>
      <c r="C39" s="42">
        <v>29</v>
      </c>
      <c r="D39" s="42" t="s">
        <v>16</v>
      </c>
      <c r="E39" s="44" t="s">
        <v>414</v>
      </c>
      <c r="F39" s="45" t="s">
        <v>16</v>
      </c>
      <c r="G39" s="56"/>
      <c r="H39" s="56">
        <v>3</v>
      </c>
      <c r="I39" s="58">
        <f t="shared" si="2"/>
        <v>12725.32</v>
      </c>
      <c r="J39" s="56"/>
    </row>
    <row r="40" ht="20" customHeight="1" spans="2:10">
      <c r="B40" s="68"/>
      <c r="C40" s="68"/>
      <c r="D40" s="68"/>
      <c r="E40" s="68"/>
      <c r="F40" s="70" t="s">
        <v>22</v>
      </c>
      <c r="G40" s="71">
        <f>SUM(G29:G39)</f>
        <v>73232.07</v>
      </c>
      <c r="H40" s="71">
        <f>SUM(H29:H39)</f>
        <v>69118.99</v>
      </c>
      <c r="I40" s="72">
        <f>I28+G40-H40</f>
        <v>12725.32</v>
      </c>
      <c r="J40" s="71"/>
    </row>
    <row r="41" ht="20" customHeight="1" spans="2:10">
      <c r="B41" s="42">
        <v>4</v>
      </c>
      <c r="C41" s="42">
        <v>2</v>
      </c>
      <c r="D41" s="42" t="s">
        <v>16</v>
      </c>
      <c r="E41" s="44" t="s">
        <v>414</v>
      </c>
      <c r="F41" s="45" t="s">
        <v>415</v>
      </c>
      <c r="G41" s="56"/>
      <c r="H41" s="56">
        <v>30</v>
      </c>
      <c r="I41" s="58">
        <f>I39+G41-H41</f>
        <v>12695.32</v>
      </c>
      <c r="J41" s="56"/>
    </row>
    <row r="42" ht="20" customHeight="1" spans="2:10">
      <c r="B42" s="42">
        <v>4</v>
      </c>
      <c r="C42" s="42">
        <v>8</v>
      </c>
      <c r="D42" s="74" t="s">
        <v>119</v>
      </c>
      <c r="E42" s="44" t="s">
        <v>416</v>
      </c>
      <c r="F42" s="45" t="s">
        <v>441</v>
      </c>
      <c r="G42" s="56"/>
      <c r="H42" s="56">
        <v>6258.06</v>
      </c>
      <c r="I42" s="58">
        <f t="shared" ref="I42:I50" si="3">I41+G42-H42</f>
        <v>6437.26000000002</v>
      </c>
      <c r="J42" s="56"/>
    </row>
    <row r="43" ht="20" customHeight="1" spans="2:10">
      <c r="B43" s="42">
        <v>4</v>
      </c>
      <c r="C43" s="42">
        <v>8</v>
      </c>
      <c r="D43" s="74" t="s">
        <v>119</v>
      </c>
      <c r="E43" s="45" t="s">
        <v>416</v>
      </c>
      <c r="F43" s="45" t="s">
        <v>442</v>
      </c>
      <c r="G43" s="56"/>
      <c r="H43" s="56">
        <v>745.92</v>
      </c>
      <c r="I43" s="58">
        <f t="shared" si="3"/>
        <v>5691.34000000002</v>
      </c>
      <c r="J43" s="56"/>
    </row>
    <row r="44" ht="20" customHeight="1" spans="2:10">
      <c r="B44" s="42">
        <v>4</v>
      </c>
      <c r="C44" s="42">
        <v>8</v>
      </c>
      <c r="D44" s="74" t="s">
        <v>119</v>
      </c>
      <c r="E44" s="44" t="s">
        <v>416</v>
      </c>
      <c r="F44" s="45" t="s">
        <v>417</v>
      </c>
      <c r="G44" s="56"/>
      <c r="H44" s="56">
        <v>97.67</v>
      </c>
      <c r="I44" s="58">
        <f t="shared" si="3"/>
        <v>5593.67000000002</v>
      </c>
      <c r="J44" s="56"/>
    </row>
    <row r="45" ht="20" customHeight="1" spans="2:10">
      <c r="B45" s="42">
        <v>4</v>
      </c>
      <c r="C45" s="42">
        <v>11</v>
      </c>
      <c r="D45" s="42" t="s">
        <v>77</v>
      </c>
      <c r="E45" s="101" t="s">
        <v>424</v>
      </c>
      <c r="F45" s="45" t="s">
        <v>443</v>
      </c>
      <c r="G45" s="185">
        <v>73229.1</v>
      </c>
      <c r="H45" s="56"/>
      <c r="I45" s="58">
        <f t="shared" si="3"/>
        <v>78822.77</v>
      </c>
      <c r="J45" s="56"/>
    </row>
    <row r="46" ht="20" customHeight="1" spans="2:10">
      <c r="B46" s="42">
        <v>4</v>
      </c>
      <c r="C46" s="42">
        <v>15</v>
      </c>
      <c r="D46" s="42" t="s">
        <v>93</v>
      </c>
      <c r="E46" s="44" t="s">
        <v>420</v>
      </c>
      <c r="F46" s="183" t="s">
        <v>444</v>
      </c>
      <c r="G46" s="56"/>
      <c r="H46" s="56">
        <v>2230</v>
      </c>
      <c r="I46" s="58">
        <f t="shared" si="3"/>
        <v>76592.77</v>
      </c>
      <c r="J46" s="56"/>
    </row>
    <row r="47" ht="20" customHeight="1" spans="2:10">
      <c r="B47" s="42">
        <v>4</v>
      </c>
      <c r="C47" s="42">
        <v>15</v>
      </c>
      <c r="D47" s="74" t="s">
        <v>92</v>
      </c>
      <c r="E47" s="44" t="s">
        <v>271</v>
      </c>
      <c r="F47" s="45" t="s">
        <v>445</v>
      </c>
      <c r="G47" s="56"/>
      <c r="H47" s="56">
        <v>25810.03</v>
      </c>
      <c r="I47" s="58">
        <f t="shared" si="3"/>
        <v>50782.74</v>
      </c>
      <c r="J47" s="56"/>
    </row>
    <row r="48" ht="20" customHeight="1" spans="2:10">
      <c r="B48" s="42">
        <v>4</v>
      </c>
      <c r="C48" s="42">
        <v>15</v>
      </c>
      <c r="D48" s="42" t="s">
        <v>69</v>
      </c>
      <c r="E48" s="93" t="s">
        <v>295</v>
      </c>
      <c r="F48" s="45" t="s">
        <v>426</v>
      </c>
      <c r="G48" s="56"/>
      <c r="H48" s="56">
        <v>35000</v>
      </c>
      <c r="I48" s="58">
        <f t="shared" si="3"/>
        <v>15782.74</v>
      </c>
      <c r="J48" s="56"/>
    </row>
    <row r="49" ht="64.5" spans="2:10">
      <c r="B49" s="42">
        <v>4</v>
      </c>
      <c r="C49" s="42">
        <v>22</v>
      </c>
      <c r="D49" s="42" t="s">
        <v>93</v>
      </c>
      <c r="E49" s="44" t="s">
        <v>416</v>
      </c>
      <c r="F49" s="93" t="s">
        <v>446</v>
      </c>
      <c r="G49" s="56"/>
      <c r="H49" s="56">
        <v>4623.33</v>
      </c>
      <c r="I49" s="58">
        <f t="shared" si="3"/>
        <v>11159.41</v>
      </c>
      <c r="J49" s="56"/>
    </row>
    <row r="50" ht="20" customHeight="1" spans="2:10">
      <c r="B50" s="42">
        <v>4</v>
      </c>
      <c r="C50" s="42">
        <v>29</v>
      </c>
      <c r="D50" s="74" t="s">
        <v>16</v>
      </c>
      <c r="E50" s="44" t="s">
        <v>414</v>
      </c>
      <c r="F50" s="45" t="s">
        <v>16</v>
      </c>
      <c r="G50" s="56"/>
      <c r="H50" s="56">
        <v>3</v>
      </c>
      <c r="I50" s="58">
        <f t="shared" si="3"/>
        <v>11156.41</v>
      </c>
      <c r="J50" s="56"/>
    </row>
    <row r="51" ht="20" customHeight="1" spans="2:10">
      <c r="B51" s="68"/>
      <c r="C51" s="68"/>
      <c r="D51" s="68"/>
      <c r="E51" s="68"/>
      <c r="F51" s="70" t="s">
        <v>22</v>
      </c>
      <c r="G51" s="71">
        <f>SUM(G41:G50)</f>
        <v>73229.1</v>
      </c>
      <c r="H51" s="71">
        <f>SUM(H41:H50)</f>
        <v>74798.01</v>
      </c>
      <c r="I51" s="72">
        <f>I39+G51-H51</f>
        <v>11156.41</v>
      </c>
      <c r="J51" s="71"/>
    </row>
    <row r="52" ht="20" customHeight="1" spans="2:10">
      <c r="B52" s="42">
        <v>5</v>
      </c>
      <c r="C52" s="42">
        <v>2</v>
      </c>
      <c r="D52" s="42" t="s">
        <v>16</v>
      </c>
      <c r="E52" s="44" t="s">
        <v>414</v>
      </c>
      <c r="F52" s="45" t="s">
        <v>415</v>
      </c>
      <c r="G52" s="56"/>
      <c r="H52" s="56">
        <v>30</v>
      </c>
      <c r="I52" s="58">
        <f>I50+G52-H52</f>
        <v>11126.41</v>
      </c>
      <c r="J52" s="56"/>
    </row>
    <row r="53" ht="20" customHeight="1" spans="2:10">
      <c r="B53" s="42">
        <v>5</v>
      </c>
      <c r="C53" s="42">
        <v>6</v>
      </c>
      <c r="D53" s="74" t="s">
        <v>119</v>
      </c>
      <c r="E53" s="44" t="s">
        <v>416</v>
      </c>
      <c r="F53" s="45" t="s">
        <v>447</v>
      </c>
      <c r="G53" s="56"/>
      <c r="H53" s="56">
        <v>6258.06</v>
      </c>
      <c r="I53" s="58">
        <f t="shared" ref="I53:I60" si="4">I52+G53-H53</f>
        <v>4868.35</v>
      </c>
      <c r="J53" s="56"/>
    </row>
    <row r="54" ht="20" customHeight="1" spans="2:10">
      <c r="B54" s="42">
        <v>5</v>
      </c>
      <c r="C54" s="42">
        <v>11</v>
      </c>
      <c r="D54" s="74" t="s">
        <v>119</v>
      </c>
      <c r="E54" s="44" t="s">
        <v>416</v>
      </c>
      <c r="F54" s="45" t="s">
        <v>417</v>
      </c>
      <c r="G54" s="56"/>
      <c r="H54" s="56">
        <v>139.4</v>
      </c>
      <c r="I54" s="58">
        <f t="shared" si="4"/>
        <v>4728.95</v>
      </c>
      <c r="J54" s="56"/>
    </row>
    <row r="55" ht="20" customHeight="1" spans="2:10">
      <c r="B55" s="42">
        <v>5</v>
      </c>
      <c r="C55" s="42">
        <v>11</v>
      </c>
      <c r="D55" s="42" t="s">
        <v>77</v>
      </c>
      <c r="E55" s="101" t="s">
        <v>424</v>
      </c>
      <c r="F55" s="45" t="s">
        <v>448</v>
      </c>
      <c r="G55" s="185">
        <v>73229.1</v>
      </c>
      <c r="H55" s="56"/>
      <c r="I55" s="58">
        <f t="shared" si="4"/>
        <v>77958.05</v>
      </c>
      <c r="J55" s="56"/>
    </row>
    <row r="56" ht="20" customHeight="1" spans="2:10">
      <c r="B56" s="42">
        <v>5</v>
      </c>
      <c r="C56" s="42">
        <v>15</v>
      </c>
      <c r="D56" s="42" t="s">
        <v>93</v>
      </c>
      <c r="E56" s="44" t="s">
        <v>420</v>
      </c>
      <c r="F56" s="183" t="s">
        <v>449</v>
      </c>
      <c r="G56" s="56"/>
      <c r="H56" s="56">
        <v>2230</v>
      </c>
      <c r="I56" s="58">
        <f t="shared" si="4"/>
        <v>75728.05</v>
      </c>
      <c r="J56" s="56"/>
    </row>
    <row r="57" ht="20" customHeight="1" spans="2:10">
      <c r="B57" s="42">
        <v>5</v>
      </c>
      <c r="C57" s="42">
        <v>15</v>
      </c>
      <c r="D57" s="74" t="s">
        <v>92</v>
      </c>
      <c r="E57" s="44" t="s">
        <v>271</v>
      </c>
      <c r="F57" s="45" t="s">
        <v>450</v>
      </c>
      <c r="G57" s="56"/>
      <c r="H57" s="56">
        <v>25121.34</v>
      </c>
      <c r="I57" s="58">
        <f t="shared" si="4"/>
        <v>50606.71</v>
      </c>
      <c r="J57" s="56"/>
    </row>
    <row r="58" ht="20" customHeight="1" spans="2:10">
      <c r="B58" s="42">
        <v>5</v>
      </c>
      <c r="C58" s="42">
        <v>15</v>
      </c>
      <c r="D58" s="74" t="s">
        <v>69</v>
      </c>
      <c r="E58" s="93" t="s">
        <v>295</v>
      </c>
      <c r="F58" s="45" t="s">
        <v>426</v>
      </c>
      <c r="G58" s="56"/>
      <c r="H58" s="56">
        <v>30000</v>
      </c>
      <c r="I58" s="58">
        <f t="shared" si="4"/>
        <v>20606.71</v>
      </c>
      <c r="J58" s="56"/>
    </row>
    <row r="59" ht="64.5" spans="2:10">
      <c r="B59" s="42">
        <v>5</v>
      </c>
      <c r="C59" s="42">
        <v>25</v>
      </c>
      <c r="D59" s="74" t="s">
        <v>93</v>
      </c>
      <c r="E59" s="54" t="s">
        <v>416</v>
      </c>
      <c r="F59" s="93" t="s">
        <v>451</v>
      </c>
      <c r="G59" s="56"/>
      <c r="H59" s="56">
        <v>4623.33</v>
      </c>
      <c r="I59" s="58">
        <f t="shared" si="4"/>
        <v>15983.38</v>
      </c>
      <c r="J59" s="56"/>
    </row>
    <row r="60" ht="20" customHeight="1" spans="2:10">
      <c r="B60" s="42">
        <v>5</v>
      </c>
      <c r="C60" s="42">
        <v>29</v>
      </c>
      <c r="D60" s="74" t="s">
        <v>16</v>
      </c>
      <c r="E60" s="117" t="s">
        <v>414</v>
      </c>
      <c r="F60" s="117" t="s">
        <v>16</v>
      </c>
      <c r="G60" s="56"/>
      <c r="H60" s="56">
        <v>3</v>
      </c>
      <c r="I60" s="58">
        <f t="shared" si="4"/>
        <v>15980.38</v>
      </c>
      <c r="J60" s="56"/>
    </row>
    <row r="61" ht="20" customHeight="1" spans="2:10">
      <c r="B61" s="68"/>
      <c r="C61" s="68"/>
      <c r="D61" s="68"/>
      <c r="E61" s="68"/>
      <c r="F61" s="70" t="s">
        <v>22</v>
      </c>
      <c r="G61" s="71">
        <f>SUM(G52:G60)</f>
        <v>73229.1</v>
      </c>
      <c r="H61" s="71">
        <f>SUM(H52:H60)</f>
        <v>68405.13</v>
      </c>
      <c r="I61" s="72">
        <f>I51+G61-H61</f>
        <v>15980.38</v>
      </c>
      <c r="J61" s="71"/>
    </row>
    <row r="62" ht="20" customHeight="1" spans="2:10">
      <c r="B62" s="42">
        <v>6</v>
      </c>
      <c r="C62" s="42">
        <v>2</v>
      </c>
      <c r="D62" s="42" t="s">
        <v>16</v>
      </c>
      <c r="E62" s="44" t="s">
        <v>414</v>
      </c>
      <c r="F62" s="45" t="s">
        <v>415</v>
      </c>
      <c r="G62" s="56"/>
      <c r="H62" s="56">
        <v>30</v>
      </c>
      <c r="I62" s="58">
        <f>I60+G62-H62</f>
        <v>15950.38</v>
      </c>
      <c r="J62" s="56"/>
    </row>
    <row r="63" ht="20" customHeight="1" spans="2:10">
      <c r="B63" s="42">
        <v>6</v>
      </c>
      <c r="C63" s="42">
        <v>3</v>
      </c>
      <c r="D63" s="74" t="s">
        <v>119</v>
      </c>
      <c r="E63" s="44" t="s">
        <v>416</v>
      </c>
      <c r="F63" s="45" t="s">
        <v>452</v>
      </c>
      <c r="G63" s="56"/>
      <c r="H63" s="56">
        <v>6258.06</v>
      </c>
      <c r="I63" s="58">
        <f t="shared" ref="I63:I71" si="5">I62+G63-H63</f>
        <v>9692.32</v>
      </c>
      <c r="J63" s="56"/>
    </row>
    <row r="64" ht="20" customHeight="1" spans="2:10">
      <c r="B64" s="42">
        <v>6</v>
      </c>
      <c r="C64" s="42">
        <v>5</v>
      </c>
      <c r="D64" s="74" t="s">
        <v>119</v>
      </c>
      <c r="E64" s="44" t="s">
        <v>416</v>
      </c>
      <c r="F64" s="45" t="s">
        <v>417</v>
      </c>
      <c r="G64" s="56"/>
      <c r="H64" s="56">
        <v>128.2</v>
      </c>
      <c r="I64" s="58">
        <f t="shared" si="5"/>
        <v>9564.12</v>
      </c>
      <c r="J64" s="56"/>
    </row>
    <row r="65" ht="20" customHeight="1" spans="2:10">
      <c r="B65" s="42">
        <v>6</v>
      </c>
      <c r="C65" s="42">
        <v>9</v>
      </c>
      <c r="D65" s="42" t="s">
        <v>77</v>
      </c>
      <c r="E65" s="101" t="s">
        <v>424</v>
      </c>
      <c r="F65" s="45" t="s">
        <v>453</v>
      </c>
      <c r="G65" s="185">
        <v>73229.1</v>
      </c>
      <c r="H65" s="56"/>
      <c r="I65" s="58">
        <f t="shared" si="5"/>
        <v>82793.22</v>
      </c>
      <c r="J65" s="56"/>
    </row>
    <row r="66" ht="20" customHeight="1" spans="2:10">
      <c r="B66" s="42">
        <v>6</v>
      </c>
      <c r="C66" s="42">
        <v>15</v>
      </c>
      <c r="D66" s="42" t="s">
        <v>93</v>
      </c>
      <c r="E66" s="44" t="s">
        <v>420</v>
      </c>
      <c r="F66" s="183" t="s">
        <v>454</v>
      </c>
      <c r="G66" s="56"/>
      <c r="H66" s="56">
        <v>2230</v>
      </c>
      <c r="I66" s="58">
        <f t="shared" si="5"/>
        <v>80563.22</v>
      </c>
      <c r="J66" s="56"/>
    </row>
    <row r="67" ht="20" customHeight="1" spans="2:10">
      <c r="B67" s="42">
        <v>6</v>
      </c>
      <c r="C67" s="42">
        <v>15</v>
      </c>
      <c r="D67" s="74" t="s">
        <v>92</v>
      </c>
      <c r="E67" s="44" t="s">
        <v>271</v>
      </c>
      <c r="F67" s="45" t="s">
        <v>455</v>
      </c>
      <c r="G67" s="56"/>
      <c r="H67" s="56">
        <v>25465.6</v>
      </c>
      <c r="I67" s="58">
        <f t="shared" si="5"/>
        <v>55097.62</v>
      </c>
      <c r="J67" s="56"/>
    </row>
    <row r="68" ht="20" customHeight="1" spans="2:10">
      <c r="B68" s="42">
        <v>6</v>
      </c>
      <c r="C68" s="42">
        <v>15</v>
      </c>
      <c r="D68" s="74" t="s">
        <v>69</v>
      </c>
      <c r="E68" s="93" t="s">
        <v>295</v>
      </c>
      <c r="F68" s="45" t="s">
        <v>426</v>
      </c>
      <c r="G68" s="56"/>
      <c r="H68" s="56">
        <v>33000</v>
      </c>
      <c r="I68" s="58">
        <f t="shared" si="5"/>
        <v>22097.62</v>
      </c>
      <c r="J68" s="56"/>
    </row>
    <row r="69" ht="20" customHeight="1" spans="2:10">
      <c r="B69" s="42">
        <v>6</v>
      </c>
      <c r="C69" s="42">
        <v>21</v>
      </c>
      <c r="D69" s="74" t="s">
        <v>29</v>
      </c>
      <c r="E69" s="117" t="s">
        <v>414</v>
      </c>
      <c r="F69" s="45" t="s">
        <v>29</v>
      </c>
      <c r="G69" s="56">
        <v>3.07</v>
      </c>
      <c r="H69" s="56"/>
      <c r="I69" s="58">
        <f t="shared" si="5"/>
        <v>22100.69</v>
      </c>
      <c r="J69" s="56"/>
    </row>
    <row r="70" ht="20" customHeight="1" spans="2:10">
      <c r="B70" s="42">
        <v>6</v>
      </c>
      <c r="C70" s="42">
        <v>29</v>
      </c>
      <c r="D70" s="74" t="s">
        <v>16</v>
      </c>
      <c r="E70" s="117" t="s">
        <v>414</v>
      </c>
      <c r="F70" s="117" t="s">
        <v>16</v>
      </c>
      <c r="G70" s="56"/>
      <c r="H70" s="56">
        <v>3</v>
      </c>
      <c r="I70" s="58">
        <f t="shared" si="5"/>
        <v>22097.69</v>
      </c>
      <c r="J70" s="56"/>
    </row>
    <row r="71" ht="64.5" spans="2:10">
      <c r="B71" s="42">
        <v>6</v>
      </c>
      <c r="C71" s="42">
        <v>30</v>
      </c>
      <c r="D71" s="42" t="s">
        <v>93</v>
      </c>
      <c r="E71" s="44" t="s">
        <v>416</v>
      </c>
      <c r="F71" s="93" t="s">
        <v>456</v>
      </c>
      <c r="G71" s="56"/>
      <c r="H71" s="56">
        <v>4623.33</v>
      </c>
      <c r="I71" s="58">
        <f t="shared" si="5"/>
        <v>17474.36</v>
      </c>
      <c r="J71" s="56"/>
    </row>
    <row r="72" ht="20" customHeight="1" spans="2:10">
      <c r="B72" s="68"/>
      <c r="C72" s="68"/>
      <c r="D72" s="68"/>
      <c r="E72" s="68"/>
      <c r="F72" s="70" t="s">
        <v>22</v>
      </c>
      <c r="G72" s="71">
        <f>SUM(G62:G71)</f>
        <v>73232.17</v>
      </c>
      <c r="H72" s="71">
        <f>SUM(H62:H71)</f>
        <v>71738.19</v>
      </c>
      <c r="I72" s="72">
        <f>I61+G72-H72</f>
        <v>17474.36</v>
      </c>
      <c r="J72" s="71"/>
    </row>
    <row r="73" ht="20" customHeight="1" spans="2:10">
      <c r="B73" s="42">
        <v>7</v>
      </c>
      <c r="C73" s="42">
        <v>2</v>
      </c>
      <c r="D73" s="42" t="s">
        <v>16</v>
      </c>
      <c r="E73" s="44" t="s">
        <v>414</v>
      </c>
      <c r="F73" s="45" t="s">
        <v>415</v>
      </c>
      <c r="G73" s="56"/>
      <c r="H73" s="56">
        <v>30</v>
      </c>
      <c r="I73" s="58">
        <f>I71+G73-H73</f>
        <v>17444.36</v>
      </c>
      <c r="J73" s="56"/>
    </row>
    <row r="74" ht="20" customHeight="1" spans="2:10">
      <c r="B74" s="42">
        <v>7</v>
      </c>
      <c r="C74" s="42">
        <v>3</v>
      </c>
      <c r="D74" s="74" t="s">
        <v>119</v>
      </c>
      <c r="E74" s="44" t="s">
        <v>416</v>
      </c>
      <c r="F74" s="45" t="s">
        <v>417</v>
      </c>
      <c r="G74" s="56"/>
      <c r="H74" s="56">
        <v>138.18</v>
      </c>
      <c r="I74" s="58">
        <f t="shared" ref="I74:I82" si="6">I73+G74-H74</f>
        <v>17306.18</v>
      </c>
      <c r="J74" s="56"/>
    </row>
    <row r="75" ht="20" customHeight="1" spans="2:10">
      <c r="B75" s="42">
        <v>7</v>
      </c>
      <c r="C75" s="42">
        <v>3</v>
      </c>
      <c r="D75" s="74" t="s">
        <v>119</v>
      </c>
      <c r="E75" s="44" t="s">
        <v>416</v>
      </c>
      <c r="F75" s="45" t="s">
        <v>457</v>
      </c>
      <c r="G75" s="56"/>
      <c r="H75" s="56">
        <v>6258.06</v>
      </c>
      <c r="I75" s="58">
        <f t="shared" si="6"/>
        <v>11048.12</v>
      </c>
      <c r="J75" s="56"/>
    </row>
    <row r="76" ht="20" customHeight="1" spans="2:10">
      <c r="B76" s="42">
        <v>7</v>
      </c>
      <c r="C76" s="42">
        <v>3</v>
      </c>
      <c r="D76" s="74" t="s">
        <v>119</v>
      </c>
      <c r="E76" s="45" t="s">
        <v>416</v>
      </c>
      <c r="F76" s="45" t="s">
        <v>458</v>
      </c>
      <c r="G76" s="56"/>
      <c r="H76" s="56">
        <v>745.92</v>
      </c>
      <c r="I76" s="58">
        <f t="shared" si="6"/>
        <v>10302.2</v>
      </c>
      <c r="J76" s="56"/>
    </row>
    <row r="77" ht="20" customHeight="1" spans="2:10">
      <c r="B77" s="42">
        <v>7</v>
      </c>
      <c r="C77" s="42">
        <v>14</v>
      </c>
      <c r="D77" s="42" t="s">
        <v>77</v>
      </c>
      <c r="E77" s="101" t="s">
        <v>424</v>
      </c>
      <c r="F77" s="45" t="s">
        <v>459</v>
      </c>
      <c r="G77" s="185">
        <v>73229.1</v>
      </c>
      <c r="H77" s="56"/>
      <c r="I77" s="58">
        <f t="shared" si="6"/>
        <v>83531.3</v>
      </c>
      <c r="J77" s="56"/>
    </row>
    <row r="78" ht="20" customHeight="1" spans="2:10">
      <c r="B78" s="42">
        <v>7</v>
      </c>
      <c r="C78" s="42">
        <v>15</v>
      </c>
      <c r="D78" s="42" t="s">
        <v>93</v>
      </c>
      <c r="E78" s="44" t="s">
        <v>420</v>
      </c>
      <c r="F78" s="183" t="s">
        <v>460</v>
      </c>
      <c r="G78" s="56"/>
      <c r="H78" s="56">
        <v>2230</v>
      </c>
      <c r="I78" s="58">
        <f t="shared" si="6"/>
        <v>81301.3</v>
      </c>
      <c r="J78" s="56"/>
    </row>
    <row r="79" ht="20" customHeight="1" spans="2:10">
      <c r="B79" s="42">
        <v>7</v>
      </c>
      <c r="C79" s="42">
        <v>15</v>
      </c>
      <c r="D79" s="74" t="s">
        <v>92</v>
      </c>
      <c r="E79" s="44" t="s">
        <v>271</v>
      </c>
      <c r="F79" s="45" t="s">
        <v>461</v>
      </c>
      <c r="G79" s="56"/>
      <c r="H79" s="56">
        <v>25312.88</v>
      </c>
      <c r="I79" s="58">
        <f t="shared" si="6"/>
        <v>55988.42</v>
      </c>
      <c r="J79" s="56"/>
    </row>
    <row r="80" ht="20" customHeight="1" spans="2:10">
      <c r="B80" s="42">
        <v>7</v>
      </c>
      <c r="C80" s="42">
        <v>15</v>
      </c>
      <c r="D80" s="74" t="s">
        <v>69</v>
      </c>
      <c r="E80" s="93" t="s">
        <v>295</v>
      </c>
      <c r="F80" s="45" t="s">
        <v>426</v>
      </c>
      <c r="G80" s="56"/>
      <c r="H80" s="56">
        <v>33000</v>
      </c>
      <c r="I80" s="58">
        <f t="shared" si="6"/>
        <v>22988.42</v>
      </c>
      <c r="J80" s="56"/>
    </row>
    <row r="81" ht="64.5" spans="2:10">
      <c r="B81" s="42">
        <v>7</v>
      </c>
      <c r="C81" s="42">
        <v>21</v>
      </c>
      <c r="D81" s="42" t="s">
        <v>93</v>
      </c>
      <c r="E81" s="44" t="s">
        <v>416</v>
      </c>
      <c r="F81" s="93" t="s">
        <v>462</v>
      </c>
      <c r="G81" s="56"/>
      <c r="H81" s="56">
        <v>4663.02</v>
      </c>
      <c r="I81" s="58">
        <f t="shared" si="6"/>
        <v>18325.4</v>
      </c>
      <c r="J81" s="56"/>
    </row>
    <row r="82" ht="20" customHeight="1" spans="2:10">
      <c r="B82" s="42">
        <v>7</v>
      </c>
      <c r="C82" s="42">
        <v>29</v>
      </c>
      <c r="D82" s="42" t="s">
        <v>16</v>
      </c>
      <c r="E82" s="44" t="s">
        <v>414</v>
      </c>
      <c r="F82" s="45" t="s">
        <v>16</v>
      </c>
      <c r="G82" s="56"/>
      <c r="H82" s="56">
        <v>3</v>
      </c>
      <c r="I82" s="58">
        <f t="shared" si="6"/>
        <v>18322.4</v>
      </c>
      <c r="J82" s="56"/>
    </row>
    <row r="83" ht="20" customHeight="1" spans="2:10">
      <c r="B83" s="68"/>
      <c r="C83" s="68"/>
      <c r="D83" s="68"/>
      <c r="E83" s="68"/>
      <c r="F83" s="70" t="s">
        <v>22</v>
      </c>
      <c r="G83" s="71">
        <f>SUM(G73:G82)</f>
        <v>73229.1</v>
      </c>
      <c r="H83" s="71">
        <f>SUM(H73:H82)</f>
        <v>72381.06</v>
      </c>
      <c r="I83" s="72">
        <f>I72+G83-H83</f>
        <v>18322.4</v>
      </c>
      <c r="J83" s="71"/>
    </row>
    <row r="84" ht="20" customHeight="1" spans="2:10">
      <c r="B84" s="42">
        <v>8</v>
      </c>
      <c r="C84" s="42">
        <v>2</v>
      </c>
      <c r="D84" s="42" t="s">
        <v>16</v>
      </c>
      <c r="E84" s="44" t="s">
        <v>414</v>
      </c>
      <c r="F84" s="45" t="s">
        <v>415</v>
      </c>
      <c r="G84" s="56"/>
      <c r="H84" s="56">
        <v>30</v>
      </c>
      <c r="I84" s="58">
        <f>I83+G84-H84</f>
        <v>18292.4</v>
      </c>
      <c r="J84" s="56"/>
    </row>
    <row r="85" ht="20" customHeight="1" spans="2:10">
      <c r="B85" s="42">
        <v>8</v>
      </c>
      <c r="C85" s="42">
        <v>3</v>
      </c>
      <c r="D85" s="74" t="s">
        <v>119</v>
      </c>
      <c r="E85" s="44" t="s">
        <v>416</v>
      </c>
      <c r="F85" s="45" t="s">
        <v>463</v>
      </c>
      <c r="G85" s="56"/>
      <c r="H85" s="56">
        <v>6258.06</v>
      </c>
      <c r="I85" s="58">
        <f t="shared" ref="I85:I92" si="7">I84+G85-H85</f>
        <v>12034.34</v>
      </c>
      <c r="J85" s="56"/>
    </row>
    <row r="86" ht="20" customHeight="1" spans="2:10">
      <c r="B86" s="42">
        <v>8</v>
      </c>
      <c r="C86" s="42">
        <v>5</v>
      </c>
      <c r="D86" s="74" t="s">
        <v>119</v>
      </c>
      <c r="E86" s="44" t="s">
        <v>416</v>
      </c>
      <c r="F86" s="45" t="s">
        <v>417</v>
      </c>
      <c r="G86" s="56"/>
      <c r="H86" s="56">
        <v>133.91</v>
      </c>
      <c r="I86" s="58">
        <f t="shared" si="7"/>
        <v>11900.43</v>
      </c>
      <c r="J86" s="56"/>
    </row>
    <row r="87" ht="20" customHeight="1" spans="2:10">
      <c r="B87" s="42">
        <v>8</v>
      </c>
      <c r="C87" s="42">
        <v>13</v>
      </c>
      <c r="D87" s="42" t="s">
        <v>77</v>
      </c>
      <c r="E87" s="101" t="s">
        <v>424</v>
      </c>
      <c r="F87" s="45" t="s">
        <v>464</v>
      </c>
      <c r="G87" s="185">
        <v>73229.1</v>
      </c>
      <c r="H87" s="56"/>
      <c r="I87" s="58">
        <f t="shared" si="7"/>
        <v>85129.53</v>
      </c>
      <c r="J87" s="56"/>
    </row>
    <row r="88" ht="20" customHeight="1" spans="2:10">
      <c r="B88" s="42">
        <v>8</v>
      </c>
      <c r="C88" s="42">
        <v>15</v>
      </c>
      <c r="D88" s="42" t="s">
        <v>93</v>
      </c>
      <c r="E88" s="44" t="s">
        <v>420</v>
      </c>
      <c r="F88" s="183" t="s">
        <v>465</v>
      </c>
      <c r="G88" s="56"/>
      <c r="H88" s="56">
        <v>2230</v>
      </c>
      <c r="I88" s="58">
        <f t="shared" si="7"/>
        <v>82899.53</v>
      </c>
      <c r="J88" s="56"/>
    </row>
    <row r="89" ht="20" customHeight="1" spans="2:10">
      <c r="B89" s="42">
        <v>8</v>
      </c>
      <c r="C89" s="42">
        <v>17</v>
      </c>
      <c r="D89" s="74" t="s">
        <v>92</v>
      </c>
      <c r="E89" s="44" t="s">
        <v>271</v>
      </c>
      <c r="F89" s="45" t="s">
        <v>466</v>
      </c>
      <c r="G89" s="56"/>
      <c r="H89" s="56">
        <v>25826.77</v>
      </c>
      <c r="I89" s="58">
        <f t="shared" si="7"/>
        <v>57072.76</v>
      </c>
      <c r="J89" s="56"/>
    </row>
    <row r="90" ht="20" customHeight="1" spans="2:10">
      <c r="B90" s="42">
        <v>8</v>
      </c>
      <c r="C90" s="42">
        <v>17</v>
      </c>
      <c r="D90" s="74" t="s">
        <v>69</v>
      </c>
      <c r="E90" s="93" t="s">
        <v>295</v>
      </c>
      <c r="F90" s="45" t="s">
        <v>426</v>
      </c>
      <c r="G90" s="56"/>
      <c r="H90" s="56">
        <v>37000</v>
      </c>
      <c r="I90" s="58">
        <f t="shared" si="7"/>
        <v>20072.76</v>
      </c>
      <c r="J90" s="56"/>
    </row>
    <row r="91" ht="64.5" spans="2:10">
      <c r="B91" s="42">
        <v>8</v>
      </c>
      <c r="C91" s="42">
        <v>20</v>
      </c>
      <c r="D91" s="42" t="s">
        <v>93</v>
      </c>
      <c r="E91" s="44" t="s">
        <v>416</v>
      </c>
      <c r="F91" s="93" t="s">
        <v>467</v>
      </c>
      <c r="G91" s="56"/>
      <c r="H91" s="56">
        <v>4664.46</v>
      </c>
      <c r="I91" s="58">
        <f t="shared" si="7"/>
        <v>15408.3</v>
      </c>
      <c r="J91" s="56"/>
    </row>
    <row r="92" ht="20" customHeight="1" spans="2:10">
      <c r="B92" s="42">
        <v>8</v>
      </c>
      <c r="C92" s="42">
        <v>29</v>
      </c>
      <c r="D92" s="42" t="s">
        <v>16</v>
      </c>
      <c r="E92" s="44" t="s">
        <v>414</v>
      </c>
      <c r="F92" s="45" t="s">
        <v>16</v>
      </c>
      <c r="G92" s="56"/>
      <c r="H92" s="56">
        <v>3</v>
      </c>
      <c r="I92" s="58">
        <f t="shared" si="7"/>
        <v>15405.3</v>
      </c>
      <c r="J92" s="56"/>
    </row>
    <row r="93" ht="20" customHeight="1" spans="2:10">
      <c r="B93" s="68"/>
      <c r="C93" s="68"/>
      <c r="D93" s="68"/>
      <c r="E93" s="68"/>
      <c r="F93" s="70" t="s">
        <v>22</v>
      </c>
      <c r="G93" s="71">
        <f>SUM(G84:G92)</f>
        <v>73229.1</v>
      </c>
      <c r="H93" s="71">
        <f>SUM(H84:H92)</f>
        <v>76146.2</v>
      </c>
      <c r="I93" s="72">
        <f>I83+G93-H93</f>
        <v>15405.3</v>
      </c>
      <c r="J93" s="71"/>
    </row>
    <row r="94" ht="20" customHeight="1" spans="2:10">
      <c r="B94" s="42">
        <v>9</v>
      </c>
      <c r="C94" s="42">
        <v>1</v>
      </c>
      <c r="D94" s="74" t="s">
        <v>119</v>
      </c>
      <c r="E94" s="44" t="s">
        <v>416</v>
      </c>
      <c r="F94" s="75" t="s">
        <v>417</v>
      </c>
      <c r="G94" s="56"/>
      <c r="H94" s="55">
        <v>149.25</v>
      </c>
      <c r="I94" s="58">
        <f>I92+G94-H94</f>
        <v>15256.05</v>
      </c>
      <c r="J94" s="56"/>
    </row>
    <row r="95" ht="20" customHeight="1" spans="2:10">
      <c r="B95" s="42">
        <v>9</v>
      </c>
      <c r="C95" s="42">
        <v>2</v>
      </c>
      <c r="D95" s="42" t="s">
        <v>16</v>
      </c>
      <c r="E95" s="44" t="s">
        <v>414</v>
      </c>
      <c r="F95" s="75" t="s">
        <v>415</v>
      </c>
      <c r="G95" s="55"/>
      <c r="H95" s="55">
        <v>30</v>
      </c>
      <c r="I95" s="58">
        <f t="shared" ref="I95:I103" si="8">I94+G95-H95</f>
        <v>15226.05</v>
      </c>
      <c r="J95" s="56"/>
    </row>
    <row r="96" ht="20" customHeight="1" spans="2:10">
      <c r="B96" s="42">
        <v>9</v>
      </c>
      <c r="C96" s="42">
        <v>3</v>
      </c>
      <c r="D96" s="74" t="s">
        <v>119</v>
      </c>
      <c r="E96" s="44" t="s">
        <v>416</v>
      </c>
      <c r="F96" s="75" t="s">
        <v>468</v>
      </c>
      <c r="G96" s="56"/>
      <c r="H96" s="55">
        <v>6258.06</v>
      </c>
      <c r="I96" s="58">
        <f t="shared" si="8"/>
        <v>8967.99</v>
      </c>
      <c r="J96" s="56"/>
    </row>
    <row r="97" ht="20" customHeight="1" spans="2:10">
      <c r="B97" s="42">
        <v>9</v>
      </c>
      <c r="C97" s="42">
        <v>14</v>
      </c>
      <c r="D97" s="42" t="s">
        <v>77</v>
      </c>
      <c r="E97" s="101" t="s">
        <v>424</v>
      </c>
      <c r="F97" s="75" t="s">
        <v>469</v>
      </c>
      <c r="G97" s="186">
        <v>73229.1</v>
      </c>
      <c r="H97" s="56"/>
      <c r="I97" s="58">
        <f t="shared" si="8"/>
        <v>82197.09</v>
      </c>
      <c r="J97" s="56"/>
    </row>
    <row r="98" ht="20" customHeight="1" spans="2:10">
      <c r="B98" s="42">
        <v>9</v>
      </c>
      <c r="C98" s="42">
        <v>15</v>
      </c>
      <c r="D98" s="42" t="s">
        <v>93</v>
      </c>
      <c r="E98" s="44" t="s">
        <v>420</v>
      </c>
      <c r="F98" s="187" t="s">
        <v>470</v>
      </c>
      <c r="G98" s="55"/>
      <c r="H98" s="55">
        <v>2230</v>
      </c>
      <c r="I98" s="58">
        <f t="shared" si="8"/>
        <v>79967.09</v>
      </c>
      <c r="J98" s="56"/>
    </row>
    <row r="99" ht="20" customHeight="1" spans="2:10">
      <c r="B99" s="42">
        <v>9</v>
      </c>
      <c r="C99" s="42">
        <v>15</v>
      </c>
      <c r="D99" s="74" t="s">
        <v>92</v>
      </c>
      <c r="E99" s="44" t="s">
        <v>271</v>
      </c>
      <c r="F99" s="75" t="s">
        <v>471</v>
      </c>
      <c r="G99" s="56"/>
      <c r="H99" s="55">
        <v>24802.73</v>
      </c>
      <c r="I99" s="58">
        <f t="shared" si="8"/>
        <v>55164.36</v>
      </c>
      <c r="J99" s="56"/>
    </row>
    <row r="100" ht="38" customHeight="1" spans="2:10">
      <c r="B100" s="42">
        <v>9</v>
      </c>
      <c r="C100" s="42">
        <v>15</v>
      </c>
      <c r="D100" s="74" t="s">
        <v>69</v>
      </c>
      <c r="E100" s="93" t="s">
        <v>295</v>
      </c>
      <c r="F100" s="75" t="s">
        <v>426</v>
      </c>
      <c r="G100" s="55"/>
      <c r="H100" s="55">
        <v>36000</v>
      </c>
      <c r="I100" s="58">
        <f t="shared" si="8"/>
        <v>19164.36</v>
      </c>
      <c r="J100" s="56"/>
    </row>
    <row r="101" ht="64.5" spans="2:10">
      <c r="B101" s="42">
        <v>9</v>
      </c>
      <c r="C101" s="42">
        <v>20</v>
      </c>
      <c r="D101" s="42" t="s">
        <v>93</v>
      </c>
      <c r="E101" s="44" t="s">
        <v>416</v>
      </c>
      <c r="F101" s="77" t="s">
        <v>472</v>
      </c>
      <c r="G101" s="56"/>
      <c r="H101" s="55">
        <v>4664.46</v>
      </c>
      <c r="I101" s="58">
        <f t="shared" si="8"/>
        <v>14499.9</v>
      </c>
      <c r="J101" s="56"/>
    </row>
    <row r="102" ht="20" customHeight="1" spans="2:10">
      <c r="B102" s="42">
        <v>9</v>
      </c>
      <c r="C102" s="42">
        <v>21</v>
      </c>
      <c r="D102" s="74" t="s">
        <v>29</v>
      </c>
      <c r="E102" s="45" t="s">
        <v>414</v>
      </c>
      <c r="F102" s="75" t="s">
        <v>29</v>
      </c>
      <c r="G102" s="55">
        <v>2.56</v>
      </c>
      <c r="H102" s="56"/>
      <c r="I102" s="58">
        <f t="shared" si="8"/>
        <v>14502.46</v>
      </c>
      <c r="J102" s="56"/>
    </row>
    <row r="103" ht="20" customHeight="1" spans="2:10">
      <c r="B103" s="42">
        <v>9</v>
      </c>
      <c r="C103" s="42">
        <v>29</v>
      </c>
      <c r="D103" s="42" t="s">
        <v>16</v>
      </c>
      <c r="E103" s="44" t="s">
        <v>414</v>
      </c>
      <c r="F103" s="75" t="s">
        <v>16</v>
      </c>
      <c r="G103" s="56"/>
      <c r="H103" s="55">
        <v>3</v>
      </c>
      <c r="I103" s="58">
        <f t="shared" si="8"/>
        <v>14499.46</v>
      </c>
      <c r="J103" s="56"/>
    </row>
    <row r="104" ht="20" customHeight="1" spans="2:10">
      <c r="B104" s="68"/>
      <c r="C104" s="68"/>
      <c r="D104" s="68"/>
      <c r="E104" s="68"/>
      <c r="F104" s="70" t="s">
        <v>22</v>
      </c>
      <c r="G104" s="71">
        <f>SUM(G94:G103)</f>
        <v>73231.66</v>
      </c>
      <c r="H104" s="71">
        <f>SUM(H94:H103)</f>
        <v>74137.5</v>
      </c>
      <c r="I104" s="72">
        <f>I93+G104-H104</f>
        <v>14499.46</v>
      </c>
      <c r="J104" s="71"/>
    </row>
    <row r="105" ht="20" customHeight="1" spans="2:10">
      <c r="B105" s="42">
        <v>10</v>
      </c>
      <c r="C105" s="42">
        <v>2</v>
      </c>
      <c r="D105" s="42" t="s">
        <v>16</v>
      </c>
      <c r="E105" s="44" t="s">
        <v>414</v>
      </c>
      <c r="F105" s="45" t="s">
        <v>415</v>
      </c>
      <c r="G105" s="56"/>
      <c r="H105" s="56">
        <v>30</v>
      </c>
      <c r="I105" s="58">
        <f>I103+G105-H105</f>
        <v>14469.46</v>
      </c>
      <c r="J105" s="56"/>
    </row>
    <row r="106" ht="20" customHeight="1" spans="2:10">
      <c r="B106" s="42">
        <v>10</v>
      </c>
      <c r="C106" s="42"/>
      <c r="D106" s="74"/>
      <c r="E106" s="117"/>
      <c r="F106" s="45"/>
      <c r="G106" s="56"/>
      <c r="H106" s="56"/>
      <c r="I106" s="58">
        <f t="shared" ref="I105:I117" si="9">I105+G106-H106</f>
        <v>14469.46</v>
      </c>
      <c r="J106" s="56"/>
    </row>
    <row r="107" ht="20" customHeight="1" spans="2:10">
      <c r="B107" s="42">
        <v>10</v>
      </c>
      <c r="C107" s="42"/>
      <c r="D107" s="74"/>
      <c r="E107" s="45"/>
      <c r="F107" s="45"/>
      <c r="G107" s="56"/>
      <c r="H107" s="56"/>
      <c r="I107" s="58">
        <f t="shared" si="9"/>
        <v>14469.46</v>
      </c>
      <c r="J107" s="56"/>
    </row>
    <row r="108" ht="20" customHeight="1" spans="2:10">
      <c r="B108" s="42">
        <v>10</v>
      </c>
      <c r="C108" s="42"/>
      <c r="D108" s="74"/>
      <c r="E108" s="117"/>
      <c r="F108" s="45"/>
      <c r="G108" s="56"/>
      <c r="H108" s="56"/>
      <c r="I108" s="58">
        <f t="shared" si="9"/>
        <v>14469.46</v>
      </c>
      <c r="J108" s="56"/>
    </row>
    <row r="109" ht="20" customHeight="1" spans="2:10">
      <c r="B109" s="42">
        <v>10</v>
      </c>
      <c r="C109" s="42"/>
      <c r="D109" s="74"/>
      <c r="E109" s="117"/>
      <c r="F109" s="45"/>
      <c r="G109" s="56"/>
      <c r="H109" s="56"/>
      <c r="I109" s="58">
        <f t="shared" si="9"/>
        <v>14469.46</v>
      </c>
      <c r="J109" s="56"/>
    </row>
    <row r="110" ht="20" customHeight="1" spans="2:10">
      <c r="B110" s="42"/>
      <c r="C110" s="42"/>
      <c r="D110" s="74"/>
      <c r="E110" s="117"/>
      <c r="F110" s="45"/>
      <c r="G110" s="56"/>
      <c r="H110" s="56"/>
      <c r="I110" s="58">
        <f t="shared" si="9"/>
        <v>14469.46</v>
      </c>
      <c r="J110" s="56"/>
    </row>
    <row r="111" ht="20" customHeight="1" spans="2:10">
      <c r="B111" s="42"/>
      <c r="C111" s="42"/>
      <c r="D111" s="74"/>
      <c r="E111" s="45"/>
      <c r="F111" s="45"/>
      <c r="G111" s="56"/>
      <c r="H111" s="56"/>
      <c r="I111" s="58">
        <f t="shared" si="9"/>
        <v>14469.46</v>
      </c>
      <c r="J111" s="56"/>
    </row>
    <row r="112" ht="20" customHeight="1" spans="2:10">
      <c r="B112" s="42"/>
      <c r="C112" s="42"/>
      <c r="D112" s="74"/>
      <c r="E112" s="42"/>
      <c r="F112" s="54"/>
      <c r="G112" s="56"/>
      <c r="H112" s="56"/>
      <c r="I112" s="58">
        <f t="shared" si="9"/>
        <v>14469.46</v>
      </c>
      <c r="J112" s="56"/>
    </row>
    <row r="113" ht="20" customHeight="1" spans="2:10">
      <c r="B113" s="42"/>
      <c r="C113" s="42"/>
      <c r="D113" s="74"/>
      <c r="E113" s="42"/>
      <c r="F113" s="54"/>
      <c r="G113" s="56"/>
      <c r="H113" s="56"/>
      <c r="I113" s="58">
        <f t="shared" si="9"/>
        <v>14469.46</v>
      </c>
      <c r="J113" s="56"/>
    </row>
    <row r="114" ht="20" customHeight="1" spans="2:10">
      <c r="B114" s="42"/>
      <c r="C114" s="42"/>
      <c r="D114" s="74"/>
      <c r="E114" s="42"/>
      <c r="F114" s="54"/>
      <c r="G114" s="56"/>
      <c r="H114" s="56"/>
      <c r="I114" s="58">
        <f t="shared" si="9"/>
        <v>14469.46</v>
      </c>
      <c r="J114" s="56"/>
    </row>
    <row r="115" ht="20" customHeight="1" spans="2:10">
      <c r="B115" s="42"/>
      <c r="C115" s="42"/>
      <c r="D115" s="74"/>
      <c r="E115" s="54"/>
      <c r="F115" s="54"/>
      <c r="G115" s="56"/>
      <c r="H115" s="56"/>
      <c r="I115" s="58">
        <f t="shared" si="9"/>
        <v>14469.46</v>
      </c>
      <c r="J115" s="56"/>
    </row>
    <row r="116" ht="20" customHeight="1" spans="2:10">
      <c r="B116" s="42"/>
      <c r="C116" s="42"/>
      <c r="D116" s="74"/>
      <c r="E116" s="42"/>
      <c r="F116" s="54"/>
      <c r="G116" s="56"/>
      <c r="H116" s="56"/>
      <c r="I116" s="58">
        <f t="shared" si="9"/>
        <v>14469.46</v>
      </c>
      <c r="J116" s="56"/>
    </row>
    <row r="117" ht="20" customHeight="1" spans="2:10">
      <c r="B117" s="42"/>
      <c r="C117" s="42"/>
      <c r="D117" s="74"/>
      <c r="E117" s="42"/>
      <c r="F117" s="54"/>
      <c r="G117" s="56"/>
      <c r="H117" s="56"/>
      <c r="I117" s="58">
        <f t="shared" si="9"/>
        <v>14469.46</v>
      </c>
      <c r="J117" s="56"/>
    </row>
    <row r="118" ht="20" customHeight="1" spans="2:10">
      <c r="B118" s="42"/>
      <c r="C118" s="42"/>
      <c r="D118" s="74"/>
      <c r="E118" s="42"/>
      <c r="F118" s="54"/>
      <c r="G118" s="56"/>
      <c r="H118" s="56"/>
      <c r="I118" s="58"/>
      <c r="J118" s="56"/>
    </row>
    <row r="119" ht="20" customHeight="1" spans="2:10">
      <c r="B119" s="42"/>
      <c r="C119" s="42"/>
      <c r="D119" s="74"/>
      <c r="E119" s="54"/>
      <c r="F119" s="54"/>
      <c r="G119" s="56"/>
      <c r="H119" s="56"/>
      <c r="I119" s="58"/>
      <c r="J119" s="56"/>
    </row>
    <row r="120" ht="20" customHeight="1" spans="2:10">
      <c r="B120" s="42"/>
      <c r="C120" s="42"/>
      <c r="D120" s="74"/>
      <c r="E120" s="42"/>
      <c r="F120" s="54"/>
      <c r="G120" s="56"/>
      <c r="H120" s="56"/>
      <c r="I120" s="58"/>
      <c r="J120" s="56"/>
    </row>
    <row r="121" ht="20" customHeight="1" spans="2:10">
      <c r="B121" s="42"/>
      <c r="C121" s="42"/>
      <c r="D121" s="74"/>
      <c r="E121" s="42"/>
      <c r="F121" s="54"/>
      <c r="G121" s="56"/>
      <c r="H121" s="56"/>
      <c r="I121" s="58"/>
      <c r="J121" s="56"/>
    </row>
    <row r="122" ht="20" customHeight="1" spans="2:10">
      <c r="B122" s="42"/>
      <c r="C122" s="42"/>
      <c r="D122" s="74"/>
      <c r="E122" s="42"/>
      <c r="F122" s="54"/>
      <c r="G122" s="56"/>
      <c r="H122" s="56"/>
      <c r="I122" s="58"/>
      <c r="J122" s="56"/>
    </row>
    <row r="123" ht="20" customHeight="1" spans="2:10">
      <c r="B123" s="42"/>
      <c r="C123" s="42"/>
      <c r="D123" s="74"/>
      <c r="E123" s="54"/>
      <c r="F123" s="54"/>
      <c r="G123" s="56"/>
      <c r="H123" s="56"/>
      <c r="I123" s="58"/>
      <c r="J123" s="56"/>
    </row>
    <row r="124" ht="20" customHeight="1" spans="2:10">
      <c r="B124" s="42"/>
      <c r="C124" s="42"/>
      <c r="D124" s="74"/>
      <c r="E124" s="42"/>
      <c r="F124" s="54"/>
      <c r="G124" s="56"/>
      <c r="H124" s="56"/>
      <c r="I124" s="58"/>
      <c r="J124" s="56"/>
    </row>
    <row r="125" ht="20" customHeight="1" spans="2:10">
      <c r="B125" s="42"/>
      <c r="C125" s="42"/>
      <c r="D125" s="74"/>
      <c r="E125" s="42"/>
      <c r="F125" s="54"/>
      <c r="G125" s="56"/>
      <c r="H125" s="56"/>
      <c r="I125" s="58"/>
      <c r="J125" s="56"/>
    </row>
    <row r="126" ht="20" customHeight="1" spans="2:10">
      <c r="B126" s="42"/>
      <c r="C126" s="42"/>
      <c r="D126" s="74"/>
      <c r="E126" s="42"/>
      <c r="F126" s="54"/>
      <c r="G126" s="56"/>
      <c r="H126" s="56"/>
      <c r="I126" s="58"/>
      <c r="J126" s="56"/>
    </row>
  </sheetData>
  <autoFilter xmlns:etc="http://www.wps.cn/officeDocument/2017/etCustomData" ref="A3:P117" etc:filterBottomFollowUsedRange="0">
    <extLst/>
  </autoFilter>
  <mergeCells count="1">
    <mergeCell ref="B1:J1"/>
  </mergeCells>
  <dataValidations count="1">
    <dataValidation type="list" allowBlank="1" showInputMessage="1" showErrorMessage="1" sqref="D5:D126">
      <formula1>付费项!$B$2:$B$100</formula1>
    </dataValidation>
  </dataValidation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sheetPr>
  <dimension ref="A1:W1284"/>
  <sheetViews>
    <sheetView zoomScale="90" zoomScaleNormal="90" topLeftCell="A3" workbookViewId="0">
      <pane xSplit="6" ySplit="3" topLeftCell="G1174" activePane="bottomRight" state="frozen"/>
      <selection/>
      <selection pane="topRight"/>
      <selection pane="bottomLeft"/>
      <selection pane="bottomRight" activeCell="R1226" sqref="R1226"/>
    </sheetView>
  </sheetViews>
  <sheetFormatPr defaultColWidth="9" defaultRowHeight="13.5"/>
  <cols>
    <col min="1" max="1" width="6.26666666666667" style="3" customWidth="1"/>
    <col min="2" max="3" width="4.725" style="3" customWidth="1"/>
    <col min="4" max="4" width="9" style="3" customWidth="1"/>
    <col min="5" max="5" width="11.0916666666667" style="3" customWidth="1"/>
    <col min="6" max="6" width="53.325" style="3" customWidth="1"/>
    <col min="7" max="7" width="13.3666666666667" style="3" customWidth="1"/>
    <col min="8" max="8" width="12.725" style="3" customWidth="1"/>
    <col min="9" max="9" width="12.45" style="3" customWidth="1"/>
    <col min="10" max="13" width="9.725" style="3" customWidth="1"/>
    <col min="14" max="14" width="13.1833333333333" style="3" customWidth="1"/>
    <col min="15" max="15" width="10.6333333333333" style="3" customWidth="1"/>
    <col min="16" max="16" width="12.725" style="3" customWidth="1"/>
    <col min="17" max="17" width="13.6333333333333" style="3" customWidth="1"/>
    <col min="18" max="18" width="10.725" style="3" customWidth="1"/>
    <col min="19" max="19" width="12.6333333333333" style="3" customWidth="1"/>
    <col min="20" max="20" width="11.5083333333333" style="3"/>
    <col min="21" max="16384" width="9" style="3"/>
  </cols>
  <sheetData>
    <row r="1" ht="24.75" spans="1:23">
      <c r="A1" s="46" t="str">
        <f>HYPERLINK("#目录!a1","返回目录")</f>
        <v>返回目录</v>
      </c>
      <c r="B1" s="47" t="s">
        <v>473</v>
      </c>
      <c r="C1" s="47"/>
      <c r="D1" s="47"/>
      <c r="E1" s="47"/>
      <c r="F1" s="47"/>
      <c r="G1" s="47"/>
      <c r="H1" s="47"/>
      <c r="I1" s="47"/>
      <c r="J1" s="47"/>
      <c r="K1" s="47"/>
      <c r="L1" s="47"/>
      <c r="M1" s="47"/>
      <c r="N1" s="47"/>
      <c r="O1" s="47"/>
      <c r="P1" s="47"/>
      <c r="Q1" s="47"/>
      <c r="R1" s="6"/>
      <c r="S1" s="6"/>
      <c r="T1" s="6"/>
      <c r="U1" s="6"/>
      <c r="V1" s="6"/>
      <c r="W1" s="6"/>
    </row>
    <row r="2" ht="9" customHeight="1" spans="1:23">
      <c r="B2" s="48"/>
      <c r="C2" s="48"/>
      <c r="D2" s="48"/>
      <c r="E2" s="48"/>
      <c r="F2" s="48"/>
      <c r="G2" s="48"/>
      <c r="H2" s="48"/>
      <c r="I2" s="48"/>
      <c r="J2" s="48"/>
      <c r="K2" s="48"/>
      <c r="L2" s="48"/>
      <c r="M2" s="48"/>
      <c r="N2" s="48"/>
      <c r="O2" s="48"/>
      <c r="P2" s="48"/>
      <c r="Q2" s="48"/>
      <c r="R2" s="6"/>
      <c r="S2" s="6"/>
      <c r="T2" s="6"/>
      <c r="U2" s="6"/>
      <c r="V2" s="6"/>
      <c r="W2" s="6"/>
    </row>
    <row r="3" ht="21" customHeight="1" spans="1:23">
      <c r="A3" s="46" t="str">
        <f>HYPERLINK("#目录!a1","返回目录")</f>
        <v>返回目录</v>
      </c>
      <c r="B3" s="49"/>
      <c r="C3" s="49"/>
      <c r="D3" s="49"/>
      <c r="E3" s="49"/>
      <c r="F3" s="49"/>
      <c r="G3" s="50" t="s">
        <v>11</v>
      </c>
      <c r="H3" s="51"/>
      <c r="I3" s="51"/>
      <c r="J3" s="51"/>
      <c r="K3" s="51"/>
      <c r="L3" s="51"/>
      <c r="M3" s="51"/>
      <c r="N3" s="52"/>
      <c r="O3" s="49" t="s">
        <v>12</v>
      </c>
      <c r="P3" s="49" t="s">
        <v>13</v>
      </c>
      <c r="Q3" s="49"/>
    </row>
    <row r="4" ht="21" customHeight="1" spans="1:23">
      <c r="B4" s="49" t="s">
        <v>6</v>
      </c>
      <c r="C4" s="49" t="s">
        <v>7</v>
      </c>
      <c r="D4" s="49" t="s">
        <v>8</v>
      </c>
      <c r="E4" s="49" t="s">
        <v>9</v>
      </c>
      <c r="F4" s="49" t="s">
        <v>10</v>
      </c>
      <c r="G4" s="49" t="s">
        <v>474</v>
      </c>
      <c r="H4" s="49" t="s">
        <v>475</v>
      </c>
      <c r="I4" s="49" t="s">
        <v>124</v>
      </c>
      <c r="J4" s="49" t="s">
        <v>68</v>
      </c>
      <c r="K4" s="49" t="s">
        <v>476</v>
      </c>
      <c r="L4" s="49" t="s">
        <v>477</v>
      </c>
      <c r="M4" s="49" t="s">
        <v>478</v>
      </c>
      <c r="N4" s="49" t="s">
        <v>11</v>
      </c>
      <c r="O4" s="53"/>
      <c r="P4" s="53"/>
      <c r="Q4" s="49" t="s">
        <v>14</v>
      </c>
    </row>
    <row r="5" ht="20" customHeight="1" spans="1:23">
      <c r="B5" s="42"/>
      <c r="C5" s="42"/>
      <c r="D5" s="74"/>
      <c r="E5" s="42"/>
      <c r="F5" s="54" t="s">
        <v>15</v>
      </c>
      <c r="G5" s="56"/>
      <c r="H5" s="56"/>
      <c r="I5" s="56"/>
      <c r="J5" s="56"/>
      <c r="K5" s="56"/>
      <c r="L5" s="56"/>
      <c r="M5" s="56"/>
      <c r="N5" s="56">
        <f t="shared" ref="N5:N68" si="0">SUM(G5:L5)-M5</f>
        <v>0</v>
      </c>
      <c r="O5" s="56"/>
      <c r="P5" s="58">
        <v>7552829.5</v>
      </c>
      <c r="Q5" s="59" t="s">
        <v>239</v>
      </c>
      <c r="R5" s="79">
        <v>262273.1</v>
      </c>
    </row>
    <row r="6" ht="20" customHeight="1" spans="1:23">
      <c r="B6" s="42">
        <v>1</v>
      </c>
      <c r="C6" s="42">
        <v>1</v>
      </c>
      <c r="D6" s="74"/>
      <c r="E6" s="74" t="s">
        <v>479</v>
      </c>
      <c r="F6" s="75" t="s">
        <v>480</v>
      </c>
      <c r="G6" s="71">
        <v>7247</v>
      </c>
      <c r="H6" s="71"/>
      <c r="I6" s="71"/>
      <c r="J6" s="56"/>
      <c r="K6" s="56"/>
      <c r="L6" s="56"/>
      <c r="M6" s="56"/>
      <c r="N6" s="55">
        <f t="shared" si="0"/>
        <v>7247</v>
      </c>
      <c r="O6" s="56"/>
      <c r="P6" s="58">
        <f t="shared" ref="P6:P69" si="1">P5+N6-O6</f>
        <v>7560076.5</v>
      </c>
      <c r="Q6" s="56"/>
    </row>
    <row r="7" ht="20" customHeight="1" spans="1:23">
      <c r="B7" s="42">
        <v>1</v>
      </c>
      <c r="C7" s="42">
        <v>4</v>
      </c>
      <c r="D7" s="74"/>
      <c r="E7" s="42"/>
      <c r="F7" s="75" t="s">
        <v>481</v>
      </c>
      <c r="G7" s="71"/>
      <c r="H7" s="71"/>
      <c r="I7" s="71"/>
      <c r="J7" s="56"/>
      <c r="K7" s="55">
        <v>600</v>
      </c>
      <c r="L7" s="56"/>
      <c r="M7" s="56">
        <v>17.23</v>
      </c>
      <c r="N7" s="56">
        <f t="shared" si="0"/>
        <v>582.77</v>
      </c>
      <c r="O7" s="56"/>
      <c r="P7" s="58">
        <f t="shared" si="1"/>
        <v>7560659.27</v>
      </c>
      <c r="Q7" s="56"/>
    </row>
    <row r="8" ht="20" customHeight="1" spans="1:23">
      <c r="B8" s="42">
        <v>1</v>
      </c>
      <c r="C8" s="42">
        <v>4</v>
      </c>
      <c r="D8" s="74"/>
      <c r="E8" s="42"/>
      <c r="F8" s="75" t="s">
        <v>482</v>
      </c>
      <c r="G8" s="71"/>
      <c r="H8" s="71"/>
      <c r="I8" s="71"/>
      <c r="J8" s="56"/>
      <c r="K8" s="55">
        <v>500</v>
      </c>
      <c r="L8" s="56"/>
      <c r="M8" s="56"/>
      <c r="N8" s="56">
        <f t="shared" si="0"/>
        <v>500</v>
      </c>
      <c r="O8" s="56"/>
      <c r="P8" s="58">
        <f t="shared" si="1"/>
        <v>7561159.27</v>
      </c>
      <c r="Q8" s="56"/>
    </row>
    <row r="9" ht="20" customHeight="1" spans="1:23">
      <c r="B9" s="42">
        <v>1</v>
      </c>
      <c r="C9" s="42">
        <v>4</v>
      </c>
      <c r="D9" s="74"/>
      <c r="E9" s="42"/>
      <c r="F9" s="75" t="s">
        <v>483</v>
      </c>
      <c r="G9" s="71"/>
      <c r="H9" s="71"/>
      <c r="I9" s="71"/>
      <c r="J9" s="56"/>
      <c r="K9" s="65">
        <v>5790</v>
      </c>
      <c r="L9" s="56"/>
      <c r="M9" s="56"/>
      <c r="N9" s="56">
        <f t="shared" si="0"/>
        <v>5790</v>
      </c>
      <c r="O9" s="56"/>
      <c r="P9" s="58">
        <f t="shared" si="1"/>
        <v>7566949.27</v>
      </c>
      <c r="Q9" s="56"/>
    </row>
    <row r="10" ht="20" customHeight="1" spans="1:23">
      <c r="B10" s="42">
        <v>1</v>
      </c>
      <c r="C10" s="42">
        <v>4</v>
      </c>
      <c r="D10" s="74"/>
      <c r="E10" s="74" t="s">
        <v>484</v>
      </c>
      <c r="F10" s="75" t="s">
        <v>485</v>
      </c>
      <c r="G10" s="71">
        <v>10360</v>
      </c>
      <c r="H10" s="71"/>
      <c r="I10" s="71"/>
      <c r="J10" s="56"/>
      <c r="K10" s="56"/>
      <c r="L10" s="56"/>
      <c r="M10" s="56"/>
      <c r="N10" s="56">
        <f t="shared" si="0"/>
        <v>10360</v>
      </c>
      <c r="O10" s="56"/>
      <c r="P10" s="58">
        <f t="shared" si="1"/>
        <v>7577309.27</v>
      </c>
      <c r="Q10" s="59" t="s">
        <v>239</v>
      </c>
      <c r="R10" s="3">
        <f>SUM(N6:N10)+R5</f>
        <v>286752.87</v>
      </c>
    </row>
    <row r="11" ht="20" customHeight="1" spans="1:23">
      <c r="B11" s="42">
        <v>1</v>
      </c>
      <c r="C11" s="42">
        <v>6</v>
      </c>
      <c r="D11" s="74" t="s">
        <v>124</v>
      </c>
      <c r="E11" s="74" t="s">
        <v>486</v>
      </c>
      <c r="F11" s="75" t="s">
        <v>487</v>
      </c>
      <c r="G11" s="71"/>
      <c r="H11" s="71"/>
      <c r="I11" s="71"/>
      <c r="J11" s="56"/>
      <c r="K11" s="56"/>
      <c r="L11" s="56"/>
      <c r="M11" s="56"/>
      <c r="N11" s="56">
        <f t="shared" si="0"/>
        <v>0</v>
      </c>
      <c r="O11" s="56">
        <v>5511.88</v>
      </c>
      <c r="P11" s="58">
        <f t="shared" si="1"/>
        <v>7571797.39</v>
      </c>
      <c r="Q11" s="56"/>
    </row>
    <row r="12" ht="20" customHeight="1" spans="1:23">
      <c r="B12" s="42">
        <v>1</v>
      </c>
      <c r="C12" s="42">
        <v>6</v>
      </c>
      <c r="D12" s="74" t="s">
        <v>100</v>
      </c>
      <c r="E12" s="74" t="s">
        <v>486</v>
      </c>
      <c r="F12" s="75" t="s">
        <v>488</v>
      </c>
      <c r="G12" s="71"/>
      <c r="H12" s="71"/>
      <c r="I12" s="71"/>
      <c r="J12" s="56"/>
      <c r="K12" s="56"/>
      <c r="L12" s="56"/>
      <c r="M12" s="56"/>
      <c r="N12" s="56">
        <f t="shared" si="0"/>
        <v>0</v>
      </c>
      <c r="O12" s="56">
        <v>75.6</v>
      </c>
      <c r="P12" s="58">
        <f t="shared" si="1"/>
        <v>7571721.79</v>
      </c>
      <c r="Q12" s="56"/>
    </row>
    <row r="13" ht="20" customHeight="1" spans="1:23">
      <c r="B13" s="42">
        <v>1</v>
      </c>
      <c r="C13" s="42">
        <v>5</v>
      </c>
      <c r="D13" s="74"/>
      <c r="E13" s="74" t="s">
        <v>489</v>
      </c>
      <c r="F13" s="75" t="s">
        <v>490</v>
      </c>
      <c r="G13" s="71">
        <v>6000</v>
      </c>
      <c r="H13" s="71"/>
      <c r="I13" s="71"/>
      <c r="J13" s="56"/>
      <c r="K13" s="56"/>
      <c r="L13" s="56"/>
      <c r="M13" s="56"/>
      <c r="N13" s="56">
        <f t="shared" si="0"/>
        <v>6000</v>
      </c>
      <c r="O13" s="56"/>
      <c r="P13" s="58">
        <f t="shared" si="1"/>
        <v>7577721.79</v>
      </c>
      <c r="Q13" s="56"/>
    </row>
    <row r="14" ht="20" customHeight="1" spans="1:23">
      <c r="B14" s="42">
        <v>1</v>
      </c>
      <c r="C14" s="42">
        <v>5</v>
      </c>
      <c r="D14" s="74"/>
      <c r="E14" s="74" t="s">
        <v>491</v>
      </c>
      <c r="F14" s="169" t="s">
        <v>492</v>
      </c>
      <c r="G14" s="170">
        <v>16445</v>
      </c>
      <c r="H14" s="56"/>
      <c r="I14" s="170">
        <v>338</v>
      </c>
      <c r="J14" s="56"/>
      <c r="K14" s="56"/>
      <c r="L14" s="56"/>
      <c r="M14" s="56"/>
      <c r="N14" s="55">
        <f t="shared" si="0"/>
        <v>16783</v>
      </c>
      <c r="O14" s="56"/>
      <c r="P14" s="58">
        <f t="shared" si="1"/>
        <v>7594504.79</v>
      </c>
      <c r="Q14" s="56"/>
    </row>
    <row r="15" ht="20" customHeight="1" spans="1:23">
      <c r="B15" s="42">
        <v>1</v>
      </c>
      <c r="C15" s="42">
        <v>10</v>
      </c>
      <c r="D15" s="74"/>
      <c r="E15" s="74" t="s">
        <v>493</v>
      </c>
      <c r="F15" s="75" t="s">
        <v>494</v>
      </c>
      <c r="G15" s="71">
        <v>7221</v>
      </c>
      <c r="H15" s="71">
        <v>200</v>
      </c>
      <c r="I15" s="71">
        <v>486.2</v>
      </c>
      <c r="J15" s="56"/>
      <c r="K15" s="56"/>
      <c r="L15" s="56"/>
      <c r="M15" s="56"/>
      <c r="N15" s="55">
        <f t="shared" si="0"/>
        <v>7907.2</v>
      </c>
      <c r="O15" s="56"/>
      <c r="P15" s="58">
        <f t="shared" si="1"/>
        <v>7602411.99</v>
      </c>
      <c r="Q15" s="56"/>
    </row>
    <row r="16" ht="20" customHeight="1" spans="1:23">
      <c r="B16" s="42">
        <v>1</v>
      </c>
      <c r="C16" s="42">
        <v>10</v>
      </c>
      <c r="D16" s="74"/>
      <c r="E16" s="74" t="s">
        <v>495</v>
      </c>
      <c r="F16" s="75" t="s">
        <v>496</v>
      </c>
      <c r="G16" s="71">
        <v>6655</v>
      </c>
      <c r="H16" s="71">
        <v>200</v>
      </c>
      <c r="I16" s="71">
        <v>616.8</v>
      </c>
      <c r="J16" s="56"/>
      <c r="K16" s="56"/>
      <c r="L16" s="56"/>
      <c r="M16" s="56"/>
      <c r="N16" s="55">
        <f t="shared" si="0"/>
        <v>7471.8</v>
      </c>
      <c r="O16" s="56"/>
      <c r="P16" s="58">
        <f t="shared" si="1"/>
        <v>7609883.79</v>
      </c>
      <c r="Q16" s="56"/>
    </row>
    <row r="17" ht="20" customHeight="1" spans="2:17">
      <c r="B17" s="42">
        <v>1</v>
      </c>
      <c r="C17" s="42">
        <v>10</v>
      </c>
      <c r="D17" s="74"/>
      <c r="E17" s="74" t="s">
        <v>497</v>
      </c>
      <c r="F17" s="75" t="s">
        <v>498</v>
      </c>
      <c r="G17" s="71">
        <v>1300</v>
      </c>
      <c r="H17" s="71">
        <v>150</v>
      </c>
      <c r="I17" s="71">
        <v>63.6</v>
      </c>
      <c r="J17" s="56"/>
      <c r="K17" s="56"/>
      <c r="L17" s="56"/>
      <c r="M17" s="56"/>
      <c r="N17" s="55">
        <f t="shared" si="0"/>
        <v>1513.6</v>
      </c>
      <c r="O17" s="56"/>
      <c r="P17" s="58">
        <f t="shared" si="1"/>
        <v>7611397.39</v>
      </c>
      <c r="Q17" s="56"/>
    </row>
    <row r="18" ht="20" customHeight="1" spans="2:17">
      <c r="B18" s="42">
        <v>1</v>
      </c>
      <c r="C18" s="42">
        <v>10</v>
      </c>
      <c r="D18" s="74"/>
      <c r="E18" s="74" t="s">
        <v>499</v>
      </c>
      <c r="F18" s="75" t="s">
        <v>500</v>
      </c>
      <c r="G18" s="71"/>
      <c r="H18" s="71"/>
      <c r="I18" s="71">
        <v>75.6</v>
      </c>
      <c r="J18" s="56"/>
      <c r="K18" s="56"/>
      <c r="L18" s="56"/>
      <c r="M18" s="56"/>
      <c r="N18" s="55">
        <f t="shared" si="0"/>
        <v>75.6</v>
      </c>
      <c r="O18" s="56"/>
      <c r="P18" s="58">
        <f t="shared" si="1"/>
        <v>7611472.99</v>
      </c>
      <c r="Q18" s="56"/>
    </row>
    <row r="19" ht="20" customHeight="1" spans="2:17">
      <c r="B19" s="42">
        <v>1</v>
      </c>
      <c r="C19" s="42">
        <v>10</v>
      </c>
      <c r="D19" s="74"/>
      <c r="E19" s="74" t="s">
        <v>501</v>
      </c>
      <c r="F19" s="75" t="s">
        <v>502</v>
      </c>
      <c r="G19" s="71">
        <v>1500</v>
      </c>
      <c r="H19" s="71">
        <v>150</v>
      </c>
      <c r="I19" s="71">
        <v>93</v>
      </c>
      <c r="J19" s="56"/>
      <c r="K19" s="56"/>
      <c r="L19" s="56"/>
      <c r="M19" s="56"/>
      <c r="N19" s="55">
        <f t="shared" si="0"/>
        <v>1743</v>
      </c>
      <c r="O19" s="56"/>
      <c r="P19" s="58">
        <f t="shared" si="1"/>
        <v>7613215.99</v>
      </c>
      <c r="Q19" s="56"/>
    </row>
    <row r="20" ht="20" customHeight="1" spans="2:17">
      <c r="B20" s="42">
        <v>1</v>
      </c>
      <c r="C20" s="42">
        <v>10</v>
      </c>
      <c r="D20" s="74"/>
      <c r="E20" s="74" t="s">
        <v>503</v>
      </c>
      <c r="F20" s="75" t="s">
        <v>504</v>
      </c>
      <c r="G20" s="71">
        <v>1400</v>
      </c>
      <c r="H20" s="71">
        <v>150</v>
      </c>
      <c r="I20" s="71">
        <v>66</v>
      </c>
      <c r="J20" s="56"/>
      <c r="K20" s="56"/>
      <c r="L20" s="56"/>
      <c r="M20" s="56"/>
      <c r="N20" s="55">
        <f t="shared" si="0"/>
        <v>1616</v>
      </c>
      <c r="O20" s="56"/>
      <c r="P20" s="58">
        <f t="shared" si="1"/>
        <v>7614831.99</v>
      </c>
      <c r="Q20" s="56"/>
    </row>
    <row r="21" ht="20" customHeight="1" spans="2:17">
      <c r="B21" s="42">
        <v>1</v>
      </c>
      <c r="C21" s="42">
        <v>10</v>
      </c>
      <c r="D21" s="74"/>
      <c r="E21" s="74" t="s">
        <v>479</v>
      </c>
      <c r="F21" s="75" t="s">
        <v>505</v>
      </c>
      <c r="G21" s="71"/>
      <c r="H21" s="71">
        <v>200</v>
      </c>
      <c r="I21" s="71">
        <v>633.8</v>
      </c>
      <c r="J21" s="56"/>
      <c r="K21" s="56"/>
      <c r="L21" s="56"/>
      <c r="M21" s="56"/>
      <c r="N21" s="55">
        <f t="shared" si="0"/>
        <v>833.8</v>
      </c>
      <c r="O21" s="56"/>
      <c r="P21" s="58">
        <f t="shared" si="1"/>
        <v>7615665.79</v>
      </c>
      <c r="Q21" s="56"/>
    </row>
    <row r="22" ht="20" customHeight="1" spans="2:17">
      <c r="B22" s="42">
        <v>1</v>
      </c>
      <c r="C22" s="42">
        <v>10</v>
      </c>
      <c r="D22" s="74"/>
      <c r="E22" s="74" t="s">
        <v>506</v>
      </c>
      <c r="F22" s="75" t="s">
        <v>507</v>
      </c>
      <c r="G22" s="71">
        <v>7274</v>
      </c>
      <c r="H22" s="71">
        <v>200</v>
      </c>
      <c r="I22" s="71">
        <v>409.6</v>
      </c>
      <c r="J22" s="56"/>
      <c r="K22" s="56"/>
      <c r="L22" s="56"/>
      <c r="M22" s="56"/>
      <c r="N22" s="55">
        <f t="shared" si="0"/>
        <v>7883.6</v>
      </c>
      <c r="O22" s="56"/>
      <c r="P22" s="58">
        <f t="shared" si="1"/>
        <v>7623549.39</v>
      </c>
      <c r="Q22" s="56"/>
    </row>
    <row r="23" ht="20" customHeight="1" spans="2:17">
      <c r="B23" s="42">
        <v>1</v>
      </c>
      <c r="C23" s="42">
        <v>11</v>
      </c>
      <c r="D23" s="74"/>
      <c r="E23" s="74" t="s">
        <v>508</v>
      </c>
      <c r="F23" s="75" t="s">
        <v>509</v>
      </c>
      <c r="G23" s="71">
        <v>6946</v>
      </c>
      <c r="H23" s="71">
        <v>200</v>
      </c>
      <c r="I23" s="71">
        <v>535.8</v>
      </c>
      <c r="J23" s="56"/>
      <c r="K23" s="56"/>
      <c r="L23" s="56"/>
      <c r="M23" s="56"/>
      <c r="N23" s="55">
        <f t="shared" si="0"/>
        <v>7681.8</v>
      </c>
      <c r="O23" s="56"/>
      <c r="P23" s="58">
        <f t="shared" si="1"/>
        <v>7631231.19</v>
      </c>
      <c r="Q23" s="56"/>
    </row>
    <row r="24" ht="20" customHeight="1" spans="2:17">
      <c r="B24" s="42">
        <v>1</v>
      </c>
      <c r="C24" s="42">
        <v>11</v>
      </c>
      <c r="D24" s="74"/>
      <c r="E24" s="74" t="s">
        <v>510</v>
      </c>
      <c r="F24" s="75" t="s">
        <v>511</v>
      </c>
      <c r="G24" s="71">
        <v>1700</v>
      </c>
      <c r="H24" s="71">
        <v>150</v>
      </c>
      <c r="I24" s="71">
        <v>136.8</v>
      </c>
      <c r="J24" s="56"/>
      <c r="K24" s="56"/>
      <c r="L24" s="56"/>
      <c r="M24" s="56"/>
      <c r="N24" s="55">
        <f t="shared" si="0"/>
        <v>1986.8</v>
      </c>
      <c r="O24" s="56"/>
      <c r="P24" s="58">
        <f t="shared" si="1"/>
        <v>7633217.99</v>
      </c>
      <c r="Q24" s="56"/>
    </row>
    <row r="25" ht="20" customHeight="1" spans="2:17">
      <c r="B25" s="42">
        <v>1</v>
      </c>
      <c r="C25" s="42">
        <v>12</v>
      </c>
      <c r="D25" s="74"/>
      <c r="E25" s="74" t="s">
        <v>512</v>
      </c>
      <c r="F25" s="75" t="s">
        <v>513</v>
      </c>
      <c r="G25" s="71"/>
      <c r="H25" s="71">
        <v>200</v>
      </c>
      <c r="I25" s="71">
        <v>164.4</v>
      </c>
      <c r="J25" s="56"/>
      <c r="K25" s="56"/>
      <c r="L25" s="56"/>
      <c r="M25" s="56"/>
      <c r="N25" s="55">
        <f t="shared" si="0"/>
        <v>364.4</v>
      </c>
      <c r="O25" s="56"/>
      <c r="P25" s="58">
        <f t="shared" si="1"/>
        <v>7633582.39</v>
      </c>
      <c r="Q25" s="56"/>
    </row>
    <row r="26" ht="20" customHeight="1" spans="2:17">
      <c r="B26" s="42">
        <v>1</v>
      </c>
      <c r="C26" s="42">
        <v>12</v>
      </c>
      <c r="D26" s="74"/>
      <c r="E26" s="74" t="s">
        <v>514</v>
      </c>
      <c r="F26" s="75" t="s">
        <v>515</v>
      </c>
      <c r="G26" s="71">
        <v>7715</v>
      </c>
      <c r="H26" s="71">
        <v>200</v>
      </c>
      <c r="I26" s="71">
        <v>659.8</v>
      </c>
      <c r="J26" s="56"/>
      <c r="K26" s="56"/>
      <c r="L26" s="56"/>
      <c r="M26" s="56"/>
      <c r="N26" s="55">
        <f t="shared" si="0"/>
        <v>8574.8</v>
      </c>
      <c r="O26" s="56"/>
      <c r="P26" s="58">
        <f t="shared" si="1"/>
        <v>7642157.19</v>
      </c>
      <c r="Q26" s="56"/>
    </row>
    <row r="27" ht="20" customHeight="1" spans="2:17">
      <c r="B27" s="42">
        <v>1</v>
      </c>
      <c r="C27" s="42">
        <v>12</v>
      </c>
      <c r="D27" s="74"/>
      <c r="E27" s="42"/>
      <c r="F27" s="75" t="s">
        <v>516</v>
      </c>
      <c r="G27" s="71"/>
      <c r="H27" s="71"/>
      <c r="I27" s="71"/>
      <c r="J27" s="56"/>
      <c r="K27" s="55">
        <v>700</v>
      </c>
      <c r="L27" s="56"/>
      <c r="M27" s="56">
        <v>87.4</v>
      </c>
      <c r="N27" s="56">
        <f t="shared" si="0"/>
        <v>612.6</v>
      </c>
      <c r="O27" s="56"/>
      <c r="P27" s="58">
        <f t="shared" si="1"/>
        <v>7642769.79</v>
      </c>
      <c r="Q27" s="56"/>
    </row>
    <row r="28" ht="20" customHeight="1" spans="2:17">
      <c r="B28" s="42">
        <v>1</v>
      </c>
      <c r="C28" s="42">
        <v>12</v>
      </c>
      <c r="D28" s="74"/>
      <c r="E28" s="42"/>
      <c r="F28" s="75" t="s">
        <v>517</v>
      </c>
      <c r="G28" s="71"/>
      <c r="H28" s="71"/>
      <c r="I28" s="71"/>
      <c r="J28" s="56"/>
      <c r="K28" s="71">
        <v>5290</v>
      </c>
      <c r="L28" s="56"/>
      <c r="M28" s="56"/>
      <c r="N28" s="55">
        <f t="shared" si="0"/>
        <v>5290</v>
      </c>
      <c r="O28" s="56"/>
      <c r="P28" s="58">
        <f t="shared" si="1"/>
        <v>7648059.79</v>
      </c>
      <c r="Q28" s="56"/>
    </row>
    <row r="29" ht="20" customHeight="1" spans="2:17">
      <c r="B29" s="42">
        <v>1</v>
      </c>
      <c r="C29" s="42">
        <v>12</v>
      </c>
      <c r="D29" s="74"/>
      <c r="E29" s="74" t="s">
        <v>518</v>
      </c>
      <c r="F29" s="75" t="s">
        <v>519</v>
      </c>
      <c r="G29" s="71">
        <v>12000</v>
      </c>
      <c r="H29" s="71"/>
      <c r="I29" s="71"/>
      <c r="J29" s="56"/>
      <c r="K29" s="56"/>
      <c r="L29" s="56"/>
      <c r="M29" s="56"/>
      <c r="N29" s="55">
        <f t="shared" si="0"/>
        <v>12000</v>
      </c>
      <c r="O29" s="56"/>
      <c r="P29" s="58">
        <f t="shared" si="1"/>
        <v>7660059.79</v>
      </c>
      <c r="Q29" s="56"/>
    </row>
    <row r="30" ht="20" customHeight="1" spans="2:17">
      <c r="B30" s="42">
        <v>1</v>
      </c>
      <c r="C30" s="42">
        <v>12</v>
      </c>
      <c r="D30" s="74"/>
      <c r="E30" s="74" t="s">
        <v>520</v>
      </c>
      <c r="F30" s="169" t="s">
        <v>521</v>
      </c>
      <c r="G30" s="170"/>
      <c r="H30" s="56"/>
      <c r="I30" s="170">
        <v>47</v>
      </c>
      <c r="J30" s="56"/>
      <c r="K30" s="56"/>
      <c r="L30" s="56"/>
      <c r="M30" s="56"/>
      <c r="N30" s="55">
        <f t="shared" si="0"/>
        <v>47</v>
      </c>
      <c r="O30" s="56"/>
      <c r="P30" s="58">
        <f t="shared" si="1"/>
        <v>7660106.79</v>
      </c>
      <c r="Q30" s="56"/>
    </row>
    <row r="31" ht="20" customHeight="1" spans="2:17">
      <c r="B31" s="42">
        <v>1</v>
      </c>
      <c r="C31" s="42">
        <v>12</v>
      </c>
      <c r="D31" s="74"/>
      <c r="E31" s="74" t="s">
        <v>522</v>
      </c>
      <c r="F31" s="169" t="s">
        <v>523</v>
      </c>
      <c r="G31" s="170">
        <v>1500</v>
      </c>
      <c r="H31" s="56">
        <v>150</v>
      </c>
      <c r="I31" s="170">
        <v>61</v>
      </c>
      <c r="J31" s="56"/>
      <c r="K31" s="56"/>
      <c r="L31" s="56"/>
      <c r="M31" s="56"/>
      <c r="N31" s="55">
        <f t="shared" si="0"/>
        <v>1711</v>
      </c>
      <c r="O31" s="56"/>
      <c r="P31" s="58">
        <f t="shared" si="1"/>
        <v>7661817.79</v>
      </c>
      <c r="Q31" s="56"/>
    </row>
    <row r="32" ht="20" customHeight="1" spans="2:17">
      <c r="B32" s="42">
        <v>1</v>
      </c>
      <c r="C32" s="42">
        <v>12</v>
      </c>
      <c r="D32" s="74"/>
      <c r="E32" s="74" t="s">
        <v>524</v>
      </c>
      <c r="F32" s="169" t="s">
        <v>525</v>
      </c>
      <c r="G32" s="170">
        <v>2900</v>
      </c>
      <c r="H32" s="56"/>
      <c r="I32" s="170">
        <v>210</v>
      </c>
      <c r="J32" s="56"/>
      <c r="K32" s="56"/>
      <c r="L32" s="56"/>
      <c r="M32" s="56"/>
      <c r="N32" s="55">
        <f t="shared" si="0"/>
        <v>3110</v>
      </c>
      <c r="O32" s="56"/>
      <c r="P32" s="58">
        <f t="shared" si="1"/>
        <v>7664927.79</v>
      </c>
      <c r="Q32" s="56"/>
    </row>
    <row r="33" ht="20" customHeight="1" spans="2:17">
      <c r="B33" s="42">
        <v>1</v>
      </c>
      <c r="C33" s="42">
        <v>12</v>
      </c>
      <c r="D33" s="74"/>
      <c r="E33" s="74" t="s">
        <v>524</v>
      </c>
      <c r="F33" s="169" t="s">
        <v>526</v>
      </c>
      <c r="G33" s="170"/>
      <c r="H33" s="56"/>
      <c r="I33" s="170">
        <v>163</v>
      </c>
      <c r="J33" s="56"/>
      <c r="K33" s="56"/>
      <c r="L33" s="56"/>
      <c r="M33" s="56"/>
      <c r="N33" s="55">
        <f t="shared" si="0"/>
        <v>163</v>
      </c>
      <c r="O33" s="56"/>
      <c r="P33" s="58">
        <f t="shared" si="1"/>
        <v>7665090.79</v>
      </c>
      <c r="Q33" s="56"/>
    </row>
    <row r="34" ht="20" customHeight="1" spans="2:17">
      <c r="B34" s="42">
        <v>1</v>
      </c>
      <c r="C34" s="42">
        <v>12</v>
      </c>
      <c r="D34" s="74"/>
      <c r="E34" s="74" t="s">
        <v>527</v>
      </c>
      <c r="F34" s="75" t="s">
        <v>528</v>
      </c>
      <c r="G34" s="71">
        <v>24000</v>
      </c>
      <c r="H34" s="71"/>
      <c r="I34" s="71"/>
      <c r="J34" s="56"/>
      <c r="K34" s="56"/>
      <c r="L34" s="56"/>
      <c r="M34" s="56"/>
      <c r="N34" s="55">
        <f t="shared" si="0"/>
        <v>24000</v>
      </c>
      <c r="O34" s="56"/>
      <c r="P34" s="58">
        <f t="shared" si="1"/>
        <v>7689090.79</v>
      </c>
      <c r="Q34" s="56"/>
    </row>
    <row r="35" ht="20" customHeight="1" spans="2:17">
      <c r="B35" s="42">
        <v>1</v>
      </c>
      <c r="C35" s="42">
        <v>12</v>
      </c>
      <c r="D35" s="74"/>
      <c r="E35" s="74" t="s">
        <v>529</v>
      </c>
      <c r="F35" s="169" t="s">
        <v>530</v>
      </c>
      <c r="G35" s="170">
        <v>3646</v>
      </c>
      <c r="H35" s="56">
        <v>150</v>
      </c>
      <c r="I35" s="170">
        <v>190</v>
      </c>
      <c r="J35" s="56"/>
      <c r="K35" s="56"/>
      <c r="L35" s="56"/>
      <c r="M35" s="56"/>
      <c r="N35" s="55">
        <f t="shared" si="0"/>
        <v>3986</v>
      </c>
      <c r="O35" s="56"/>
      <c r="P35" s="58">
        <f t="shared" si="1"/>
        <v>7693076.79</v>
      </c>
      <c r="Q35" s="56"/>
    </row>
    <row r="36" ht="20" customHeight="1" spans="2:17">
      <c r="B36" s="42">
        <v>1</v>
      </c>
      <c r="C36" s="42">
        <v>12</v>
      </c>
      <c r="D36" s="74"/>
      <c r="E36" s="74" t="s">
        <v>531</v>
      </c>
      <c r="F36" s="75" t="s">
        <v>532</v>
      </c>
      <c r="G36" s="71"/>
      <c r="H36" s="71">
        <v>150</v>
      </c>
      <c r="I36" s="71">
        <v>60</v>
      </c>
      <c r="J36" s="56"/>
      <c r="K36" s="56"/>
      <c r="L36" s="56"/>
      <c r="M36" s="56"/>
      <c r="N36" s="55">
        <f t="shared" si="0"/>
        <v>210</v>
      </c>
      <c r="O36" s="56"/>
      <c r="P36" s="58">
        <f t="shared" si="1"/>
        <v>7693286.79</v>
      </c>
      <c r="Q36" s="56"/>
    </row>
    <row r="37" ht="20" customHeight="1" spans="2:17">
      <c r="B37" s="42">
        <v>1</v>
      </c>
      <c r="C37" s="42">
        <v>12</v>
      </c>
      <c r="D37" s="74"/>
      <c r="E37" s="74" t="s">
        <v>533</v>
      </c>
      <c r="F37" s="75" t="s">
        <v>534</v>
      </c>
      <c r="G37" s="71"/>
      <c r="H37" s="71">
        <v>150</v>
      </c>
      <c r="I37" s="71">
        <v>50.4</v>
      </c>
      <c r="J37" s="56"/>
      <c r="K37" s="56"/>
      <c r="L37" s="56"/>
      <c r="M37" s="56"/>
      <c r="N37" s="55">
        <f t="shared" si="0"/>
        <v>200.4</v>
      </c>
      <c r="O37" s="56"/>
      <c r="P37" s="58">
        <f t="shared" si="1"/>
        <v>7693487.19</v>
      </c>
      <c r="Q37" s="56"/>
    </row>
    <row r="38" ht="20" customHeight="1" spans="2:17">
      <c r="B38" s="42">
        <v>1</v>
      </c>
      <c r="C38" s="42">
        <v>12</v>
      </c>
      <c r="D38" s="74"/>
      <c r="E38" s="74" t="s">
        <v>535</v>
      </c>
      <c r="F38" s="75" t="s">
        <v>536</v>
      </c>
      <c r="G38" s="71">
        <v>1400</v>
      </c>
      <c r="H38" s="71">
        <v>150</v>
      </c>
      <c r="I38" s="71">
        <v>187.2</v>
      </c>
      <c r="J38" s="56"/>
      <c r="K38" s="56"/>
      <c r="L38" s="56"/>
      <c r="M38" s="56"/>
      <c r="N38" s="55">
        <f t="shared" si="0"/>
        <v>1737.2</v>
      </c>
      <c r="O38" s="56"/>
      <c r="P38" s="58">
        <f t="shared" si="1"/>
        <v>7695224.39</v>
      </c>
      <c r="Q38" s="56"/>
    </row>
    <row r="39" ht="20" customHeight="1" spans="2:17">
      <c r="B39" s="42">
        <v>1</v>
      </c>
      <c r="C39" s="42">
        <v>12</v>
      </c>
      <c r="D39" s="74"/>
      <c r="E39" s="74" t="s">
        <v>537</v>
      </c>
      <c r="F39" s="75" t="s">
        <v>538</v>
      </c>
      <c r="G39" s="71"/>
      <c r="H39" s="71">
        <v>150</v>
      </c>
      <c r="I39" s="71">
        <v>100.8</v>
      </c>
      <c r="J39" s="56"/>
      <c r="K39" s="56"/>
      <c r="L39" s="56"/>
      <c r="M39" s="56"/>
      <c r="N39" s="55">
        <f t="shared" si="0"/>
        <v>250.8</v>
      </c>
      <c r="O39" s="56"/>
      <c r="P39" s="58">
        <f t="shared" si="1"/>
        <v>7695475.19</v>
      </c>
      <c r="Q39" s="56"/>
    </row>
    <row r="40" ht="20" customHeight="1" spans="2:17">
      <c r="B40" s="42">
        <v>1</v>
      </c>
      <c r="C40" s="42">
        <v>12</v>
      </c>
      <c r="D40" s="74"/>
      <c r="E40" s="74" t="s">
        <v>539</v>
      </c>
      <c r="F40" s="75" t="s">
        <v>540</v>
      </c>
      <c r="G40" s="71"/>
      <c r="H40" s="71">
        <v>150</v>
      </c>
      <c r="I40" s="71">
        <v>61.2</v>
      </c>
      <c r="J40" s="56"/>
      <c r="K40" s="56"/>
      <c r="L40" s="56"/>
      <c r="M40" s="56"/>
      <c r="N40" s="55">
        <f t="shared" si="0"/>
        <v>211.2</v>
      </c>
      <c r="O40" s="56"/>
      <c r="P40" s="58">
        <f t="shared" si="1"/>
        <v>7695686.39</v>
      </c>
      <c r="Q40" s="56"/>
    </row>
    <row r="41" ht="20" customHeight="1" spans="2:17">
      <c r="B41" s="42">
        <v>1</v>
      </c>
      <c r="C41" s="42">
        <v>12</v>
      </c>
      <c r="D41" s="74"/>
      <c r="E41" s="74" t="s">
        <v>541</v>
      </c>
      <c r="F41" s="75" t="s">
        <v>542</v>
      </c>
      <c r="G41" s="71"/>
      <c r="H41" s="71">
        <v>150</v>
      </c>
      <c r="I41" s="71">
        <v>102</v>
      </c>
      <c r="J41" s="56"/>
      <c r="K41" s="56"/>
      <c r="L41" s="56"/>
      <c r="M41" s="56"/>
      <c r="N41" s="55">
        <f t="shared" si="0"/>
        <v>252</v>
      </c>
      <c r="O41" s="56"/>
      <c r="P41" s="58">
        <f t="shared" si="1"/>
        <v>7695938.39</v>
      </c>
      <c r="Q41" s="56"/>
    </row>
    <row r="42" ht="20" customHeight="1" spans="2:17">
      <c r="B42" s="42">
        <v>1</v>
      </c>
      <c r="C42" s="42">
        <v>12</v>
      </c>
      <c r="D42" s="74"/>
      <c r="E42" s="74" t="s">
        <v>543</v>
      </c>
      <c r="F42" s="75" t="s">
        <v>544</v>
      </c>
      <c r="G42" s="71"/>
      <c r="H42" s="71"/>
      <c r="I42" s="71">
        <v>62.4</v>
      </c>
      <c r="J42" s="56"/>
      <c r="K42" s="56"/>
      <c r="L42" s="56"/>
      <c r="M42" s="56"/>
      <c r="N42" s="55">
        <f t="shared" si="0"/>
        <v>62.4</v>
      </c>
      <c r="O42" s="56"/>
      <c r="P42" s="58">
        <f t="shared" si="1"/>
        <v>7696000.79</v>
      </c>
      <c r="Q42" s="56"/>
    </row>
    <row r="43" ht="20" customHeight="1" spans="2:17">
      <c r="B43" s="42">
        <v>1</v>
      </c>
      <c r="C43" s="42">
        <v>12</v>
      </c>
      <c r="D43" s="74"/>
      <c r="E43" s="74" t="s">
        <v>545</v>
      </c>
      <c r="F43" s="75" t="s">
        <v>546</v>
      </c>
      <c r="G43" s="71">
        <v>1500</v>
      </c>
      <c r="H43" s="71">
        <v>150</v>
      </c>
      <c r="I43" s="71">
        <v>76.8</v>
      </c>
      <c r="J43" s="56"/>
      <c r="K43" s="56"/>
      <c r="L43" s="56"/>
      <c r="M43" s="56"/>
      <c r="N43" s="55">
        <f t="shared" si="0"/>
        <v>1726.8</v>
      </c>
      <c r="O43" s="56"/>
      <c r="P43" s="58">
        <f t="shared" si="1"/>
        <v>7697727.59</v>
      </c>
      <c r="Q43" s="56"/>
    </row>
    <row r="44" ht="20" customHeight="1" spans="2:17">
      <c r="B44" s="42">
        <v>1</v>
      </c>
      <c r="C44" s="42">
        <v>12</v>
      </c>
      <c r="D44" s="74"/>
      <c r="E44" s="74" t="s">
        <v>520</v>
      </c>
      <c r="F44" s="75" t="s">
        <v>547</v>
      </c>
      <c r="G44" s="71"/>
      <c r="H44" s="71"/>
      <c r="I44" s="71">
        <v>40.8</v>
      </c>
      <c r="J44" s="56"/>
      <c r="K44" s="56"/>
      <c r="L44" s="56"/>
      <c r="M44" s="56"/>
      <c r="N44" s="55">
        <f t="shared" si="0"/>
        <v>40.8</v>
      </c>
      <c r="O44" s="56"/>
      <c r="P44" s="58">
        <f t="shared" si="1"/>
        <v>7697768.39</v>
      </c>
      <c r="Q44" s="56"/>
    </row>
    <row r="45" ht="20" customHeight="1" spans="2:17">
      <c r="B45" s="42">
        <v>1</v>
      </c>
      <c r="C45" s="42">
        <v>12</v>
      </c>
      <c r="D45" s="74"/>
      <c r="E45" s="74" t="s">
        <v>548</v>
      </c>
      <c r="F45" s="75" t="s">
        <v>549</v>
      </c>
      <c r="G45" s="71">
        <v>1700</v>
      </c>
      <c r="H45" s="71">
        <v>150</v>
      </c>
      <c r="I45" s="71">
        <v>89</v>
      </c>
      <c r="J45" s="56"/>
      <c r="K45" s="56"/>
      <c r="L45" s="56"/>
      <c r="M45" s="56"/>
      <c r="N45" s="55">
        <f t="shared" si="0"/>
        <v>1939</v>
      </c>
      <c r="O45" s="56"/>
      <c r="P45" s="58">
        <f t="shared" si="1"/>
        <v>7699707.39</v>
      </c>
      <c r="Q45" s="56"/>
    </row>
    <row r="46" ht="20" customHeight="1" spans="2:17">
      <c r="B46" s="42">
        <v>1</v>
      </c>
      <c r="C46" s="42">
        <v>12</v>
      </c>
      <c r="D46" s="74"/>
      <c r="E46" s="74" t="s">
        <v>550</v>
      </c>
      <c r="F46" s="75" t="s">
        <v>551</v>
      </c>
      <c r="G46" s="71"/>
      <c r="H46" s="71">
        <v>150</v>
      </c>
      <c r="I46" s="71">
        <v>106</v>
      </c>
      <c r="J46" s="56"/>
      <c r="K46" s="56"/>
      <c r="L46" s="56"/>
      <c r="M46" s="56"/>
      <c r="N46" s="55">
        <f t="shared" si="0"/>
        <v>256</v>
      </c>
      <c r="O46" s="56"/>
      <c r="P46" s="58">
        <f t="shared" si="1"/>
        <v>7699963.39</v>
      </c>
      <c r="Q46" s="56"/>
    </row>
    <row r="47" ht="20" customHeight="1" spans="2:17">
      <c r="B47" s="42">
        <v>1</v>
      </c>
      <c r="C47" s="42">
        <v>12</v>
      </c>
      <c r="D47" s="74"/>
      <c r="E47" s="74" t="s">
        <v>552</v>
      </c>
      <c r="F47" s="75" t="s">
        <v>553</v>
      </c>
      <c r="G47" s="71">
        <v>7590</v>
      </c>
      <c r="H47" s="71"/>
      <c r="I47" s="71">
        <v>165</v>
      </c>
      <c r="J47" s="56"/>
      <c r="K47" s="56"/>
      <c r="L47" s="56"/>
      <c r="M47" s="56"/>
      <c r="N47" s="55">
        <f t="shared" si="0"/>
        <v>7755</v>
      </c>
      <c r="O47" s="56"/>
      <c r="P47" s="58">
        <f t="shared" si="1"/>
        <v>7707718.39</v>
      </c>
      <c r="Q47" s="56"/>
    </row>
    <row r="48" ht="20" customHeight="1" spans="2:17">
      <c r="B48" s="42">
        <v>1</v>
      </c>
      <c r="C48" s="42">
        <v>12</v>
      </c>
      <c r="D48" s="74"/>
      <c r="E48" s="74" t="s">
        <v>554</v>
      </c>
      <c r="F48" s="75" t="s">
        <v>555</v>
      </c>
      <c r="G48" s="71"/>
      <c r="H48" s="71">
        <v>150</v>
      </c>
      <c r="I48" s="71">
        <v>162</v>
      </c>
      <c r="J48" s="56"/>
      <c r="K48" s="56"/>
      <c r="L48" s="56"/>
      <c r="M48" s="56"/>
      <c r="N48" s="55">
        <f t="shared" si="0"/>
        <v>312</v>
      </c>
      <c r="O48" s="56"/>
      <c r="P48" s="58">
        <f t="shared" si="1"/>
        <v>7708030.39</v>
      </c>
      <c r="Q48" s="56"/>
    </row>
    <row r="49" ht="20" customHeight="1" spans="2:17">
      <c r="B49" s="42">
        <v>1</v>
      </c>
      <c r="C49" s="42">
        <v>12</v>
      </c>
      <c r="D49" s="74"/>
      <c r="E49" s="74" t="s">
        <v>556</v>
      </c>
      <c r="F49" s="75" t="s">
        <v>557</v>
      </c>
      <c r="G49" s="71">
        <v>2500</v>
      </c>
      <c r="H49" s="71">
        <v>150</v>
      </c>
      <c r="I49" s="71">
        <v>54</v>
      </c>
      <c r="J49" s="56"/>
      <c r="K49" s="56"/>
      <c r="L49" s="56"/>
      <c r="M49" s="56"/>
      <c r="N49" s="55">
        <f t="shared" si="0"/>
        <v>2704</v>
      </c>
      <c r="O49" s="56"/>
      <c r="P49" s="58">
        <f t="shared" si="1"/>
        <v>7710734.39</v>
      </c>
      <c r="Q49" s="56"/>
    </row>
    <row r="50" ht="20" customHeight="1" spans="2:17">
      <c r="B50" s="42">
        <v>1</v>
      </c>
      <c r="C50" s="42">
        <v>12</v>
      </c>
      <c r="D50" s="74"/>
      <c r="E50" s="74" t="s">
        <v>558</v>
      </c>
      <c r="F50" s="75" t="s">
        <v>559</v>
      </c>
      <c r="G50" s="71">
        <v>1400</v>
      </c>
      <c r="H50" s="71">
        <v>150</v>
      </c>
      <c r="I50" s="71">
        <v>70.8</v>
      </c>
      <c r="J50" s="56"/>
      <c r="K50" s="56"/>
      <c r="L50" s="56"/>
      <c r="M50" s="56"/>
      <c r="N50" s="55">
        <f t="shared" si="0"/>
        <v>1620.8</v>
      </c>
      <c r="O50" s="56"/>
      <c r="P50" s="58">
        <f t="shared" si="1"/>
        <v>7712355.19</v>
      </c>
      <c r="Q50" s="56"/>
    </row>
    <row r="51" ht="20" customHeight="1" spans="2:17">
      <c r="B51" s="42">
        <v>1</v>
      </c>
      <c r="C51" s="42">
        <v>12</v>
      </c>
      <c r="D51" s="74"/>
      <c r="E51" s="74" t="s">
        <v>560</v>
      </c>
      <c r="F51" s="75" t="s">
        <v>561</v>
      </c>
      <c r="G51" s="71">
        <v>2400</v>
      </c>
      <c r="H51" s="71">
        <v>150</v>
      </c>
      <c r="I51" s="71">
        <v>79.2</v>
      </c>
      <c r="J51" s="56"/>
      <c r="K51" s="56"/>
      <c r="L51" s="56"/>
      <c r="M51" s="56"/>
      <c r="N51" s="55">
        <f t="shared" si="0"/>
        <v>2629.2</v>
      </c>
      <c r="O51" s="56"/>
      <c r="P51" s="58">
        <f t="shared" si="1"/>
        <v>7714984.39</v>
      </c>
      <c r="Q51" s="56"/>
    </row>
    <row r="52" ht="20" customHeight="1" spans="2:17">
      <c r="B52" s="42">
        <v>1</v>
      </c>
      <c r="C52" s="42">
        <v>12</v>
      </c>
      <c r="D52" s="74"/>
      <c r="E52" s="74" t="s">
        <v>562</v>
      </c>
      <c r="F52" s="75" t="s">
        <v>563</v>
      </c>
      <c r="G52" s="71"/>
      <c r="H52" s="71"/>
      <c r="I52" s="71">
        <v>97.2</v>
      </c>
      <c r="J52" s="56"/>
      <c r="K52" s="56"/>
      <c r="L52" s="56"/>
      <c r="M52" s="56"/>
      <c r="N52" s="55">
        <f t="shared" si="0"/>
        <v>97.2</v>
      </c>
      <c r="O52" s="56"/>
      <c r="P52" s="58">
        <f t="shared" si="1"/>
        <v>7715081.59</v>
      </c>
      <c r="Q52" s="56"/>
    </row>
    <row r="53" ht="20" customHeight="1" spans="2:17">
      <c r="B53" s="42">
        <v>1</v>
      </c>
      <c r="C53" s="42">
        <v>12</v>
      </c>
      <c r="D53" s="74"/>
      <c r="E53" s="74" t="s">
        <v>564</v>
      </c>
      <c r="F53" s="75" t="s">
        <v>565</v>
      </c>
      <c r="G53" s="71"/>
      <c r="H53" s="71"/>
      <c r="I53" s="71">
        <v>277.2</v>
      </c>
      <c r="J53" s="56"/>
      <c r="K53" s="56"/>
      <c r="L53" s="56"/>
      <c r="M53" s="56"/>
      <c r="N53" s="55">
        <f t="shared" si="0"/>
        <v>277.2</v>
      </c>
      <c r="O53" s="56"/>
      <c r="P53" s="58">
        <f t="shared" si="1"/>
        <v>7715358.79</v>
      </c>
      <c r="Q53" s="56"/>
    </row>
    <row r="54" ht="20" customHeight="1" spans="2:17">
      <c r="B54" s="42">
        <v>1</v>
      </c>
      <c r="C54" s="42">
        <v>12</v>
      </c>
      <c r="D54" s="74"/>
      <c r="E54" s="74" t="s">
        <v>566</v>
      </c>
      <c r="F54" s="75" t="s">
        <v>567</v>
      </c>
      <c r="G54" s="71"/>
      <c r="H54" s="71">
        <v>150</v>
      </c>
      <c r="I54" s="71">
        <v>103.2</v>
      </c>
      <c r="J54" s="56"/>
      <c r="K54" s="56"/>
      <c r="L54" s="56"/>
      <c r="M54" s="56"/>
      <c r="N54" s="55">
        <f t="shared" si="0"/>
        <v>253.2</v>
      </c>
      <c r="O54" s="56"/>
      <c r="P54" s="58">
        <f t="shared" si="1"/>
        <v>7715611.99</v>
      </c>
      <c r="Q54" s="56"/>
    </row>
    <row r="55" ht="20" customHeight="1" spans="2:17">
      <c r="B55" s="42">
        <v>1</v>
      </c>
      <c r="C55" s="42">
        <v>12</v>
      </c>
      <c r="D55" s="74"/>
      <c r="E55" s="74" t="s">
        <v>568</v>
      </c>
      <c r="F55" s="75" t="s">
        <v>569</v>
      </c>
      <c r="G55" s="71">
        <v>2500</v>
      </c>
      <c r="H55" s="71">
        <v>150</v>
      </c>
      <c r="I55" s="71">
        <v>108</v>
      </c>
      <c r="J55" s="56"/>
      <c r="K55" s="56"/>
      <c r="L55" s="56"/>
      <c r="M55" s="56"/>
      <c r="N55" s="55">
        <f t="shared" si="0"/>
        <v>2758</v>
      </c>
      <c r="O55" s="56"/>
      <c r="P55" s="58">
        <f t="shared" si="1"/>
        <v>7718369.99</v>
      </c>
      <c r="Q55" s="56"/>
    </row>
    <row r="56" ht="20" customHeight="1" spans="2:17">
      <c r="B56" s="42">
        <v>1</v>
      </c>
      <c r="C56" s="42">
        <v>12</v>
      </c>
      <c r="D56" s="74"/>
      <c r="E56" s="74" t="s">
        <v>570</v>
      </c>
      <c r="F56" s="88" t="s">
        <v>571</v>
      </c>
      <c r="G56" s="56">
        <v>1500</v>
      </c>
      <c r="H56" s="71">
        <v>150</v>
      </c>
      <c r="I56" s="71">
        <v>105.6</v>
      </c>
      <c r="J56" s="56"/>
      <c r="K56" s="56"/>
      <c r="L56" s="56"/>
      <c r="M56" s="56"/>
      <c r="N56" s="55">
        <f t="shared" si="0"/>
        <v>1755.6</v>
      </c>
      <c r="O56" s="56"/>
      <c r="P56" s="58">
        <f t="shared" si="1"/>
        <v>7720125.59</v>
      </c>
      <c r="Q56" s="56"/>
    </row>
    <row r="57" ht="20" customHeight="1" spans="2:17">
      <c r="B57" s="42">
        <v>1</v>
      </c>
      <c r="C57" s="42">
        <v>12</v>
      </c>
      <c r="D57" s="74"/>
      <c r="E57" s="74" t="s">
        <v>572</v>
      </c>
      <c r="F57" s="169" t="s">
        <v>573</v>
      </c>
      <c r="G57" s="170">
        <v>544</v>
      </c>
      <c r="H57" s="56">
        <v>150</v>
      </c>
      <c r="I57" s="170">
        <v>526</v>
      </c>
      <c r="J57" s="56"/>
      <c r="K57" s="56"/>
      <c r="L57" s="56"/>
      <c r="M57" s="56"/>
      <c r="N57" s="55">
        <f t="shared" si="0"/>
        <v>1220</v>
      </c>
      <c r="O57" s="56"/>
      <c r="P57" s="58">
        <f t="shared" si="1"/>
        <v>7721345.59</v>
      </c>
      <c r="Q57" s="56"/>
    </row>
    <row r="58" ht="20" customHeight="1" spans="2:17">
      <c r="B58" s="42">
        <v>1</v>
      </c>
      <c r="C58" s="42">
        <v>12</v>
      </c>
      <c r="D58" s="74"/>
      <c r="E58" s="74" t="s">
        <v>574</v>
      </c>
      <c r="F58" s="75" t="s">
        <v>575</v>
      </c>
      <c r="G58" s="71">
        <v>7043</v>
      </c>
      <c r="H58" s="71">
        <v>200</v>
      </c>
      <c r="I58" s="71">
        <v>649</v>
      </c>
      <c r="J58" s="56"/>
      <c r="K58" s="56"/>
      <c r="L58" s="56"/>
      <c r="M58" s="56"/>
      <c r="N58" s="55">
        <f t="shared" si="0"/>
        <v>7892</v>
      </c>
      <c r="O58" s="56"/>
      <c r="P58" s="58">
        <f t="shared" si="1"/>
        <v>7729237.59</v>
      </c>
      <c r="Q58" s="56"/>
    </row>
    <row r="59" ht="20" customHeight="1" spans="2:17">
      <c r="B59" s="42">
        <v>1</v>
      </c>
      <c r="C59" s="42">
        <v>12</v>
      </c>
      <c r="D59" s="74"/>
      <c r="E59" s="74" t="s">
        <v>484</v>
      </c>
      <c r="F59" s="75" t="s">
        <v>576</v>
      </c>
      <c r="G59" s="71"/>
      <c r="H59" s="71">
        <v>200</v>
      </c>
      <c r="I59" s="71">
        <v>112.8</v>
      </c>
      <c r="J59" s="56"/>
      <c r="K59" s="56"/>
      <c r="L59" s="56"/>
      <c r="M59" s="56"/>
      <c r="N59" s="55">
        <f t="shared" si="0"/>
        <v>312.8</v>
      </c>
      <c r="O59" s="56"/>
      <c r="P59" s="58">
        <f t="shared" si="1"/>
        <v>7729550.39</v>
      </c>
      <c r="Q59" s="56"/>
    </row>
    <row r="60" ht="20" customHeight="1" spans="2:17">
      <c r="B60" s="42">
        <v>1</v>
      </c>
      <c r="C60" s="42">
        <v>13</v>
      </c>
      <c r="D60" s="74" t="s">
        <v>124</v>
      </c>
      <c r="E60" s="74" t="s">
        <v>486</v>
      </c>
      <c r="F60" s="75" t="s">
        <v>577</v>
      </c>
      <c r="G60" s="71"/>
      <c r="H60" s="71"/>
      <c r="I60" s="71"/>
      <c r="J60" s="56"/>
      <c r="K60" s="56"/>
      <c r="L60" s="56"/>
      <c r="M60" s="56"/>
      <c r="N60" s="56">
        <f t="shared" si="0"/>
        <v>0</v>
      </c>
      <c r="O60" s="56">
        <v>2864.63</v>
      </c>
      <c r="P60" s="58">
        <f t="shared" si="1"/>
        <v>7726685.76</v>
      </c>
      <c r="Q60" s="56"/>
    </row>
    <row r="61" ht="20" customHeight="1" spans="2:17">
      <c r="B61" s="42">
        <v>1</v>
      </c>
      <c r="C61" s="42">
        <v>13</v>
      </c>
      <c r="D61" s="74" t="s">
        <v>100</v>
      </c>
      <c r="E61" s="74" t="s">
        <v>486</v>
      </c>
      <c r="F61" s="75" t="s">
        <v>578</v>
      </c>
      <c r="G61" s="71"/>
      <c r="H61" s="71"/>
      <c r="I61" s="71"/>
      <c r="J61" s="56"/>
      <c r="K61" s="56"/>
      <c r="L61" s="56"/>
      <c r="M61" s="56"/>
      <c r="N61" s="56">
        <f t="shared" si="0"/>
        <v>0</v>
      </c>
      <c r="O61" s="56">
        <v>300</v>
      </c>
      <c r="P61" s="58">
        <f t="shared" si="1"/>
        <v>7726385.76</v>
      </c>
      <c r="Q61" s="56"/>
    </row>
    <row r="62" ht="20" customHeight="1" spans="2:17">
      <c r="B62" s="42">
        <v>1</v>
      </c>
      <c r="C62" s="42">
        <v>14</v>
      </c>
      <c r="D62" s="74"/>
      <c r="E62" s="74" t="s">
        <v>579</v>
      </c>
      <c r="F62" s="75" t="s">
        <v>580</v>
      </c>
      <c r="G62" s="71">
        <v>5959</v>
      </c>
      <c r="H62" s="71">
        <v>200</v>
      </c>
      <c r="I62" s="71">
        <v>2532.2</v>
      </c>
      <c r="J62" s="56"/>
      <c r="K62" s="56"/>
      <c r="L62" s="56"/>
      <c r="M62" s="56"/>
      <c r="N62" s="55">
        <f t="shared" si="0"/>
        <v>8691.2</v>
      </c>
      <c r="O62" s="56"/>
      <c r="P62" s="58">
        <f t="shared" si="1"/>
        <v>7735076.96</v>
      </c>
      <c r="Q62" s="56"/>
    </row>
    <row r="63" ht="20" customHeight="1" spans="2:17">
      <c r="B63" s="42">
        <v>1</v>
      </c>
      <c r="C63" s="42">
        <v>15</v>
      </c>
      <c r="D63" s="74"/>
      <c r="E63" s="74" t="s">
        <v>581</v>
      </c>
      <c r="F63" s="169" t="s">
        <v>582</v>
      </c>
      <c r="G63" s="170">
        <v>4200</v>
      </c>
      <c r="H63" s="56">
        <v>150</v>
      </c>
      <c r="I63" s="170">
        <v>769</v>
      </c>
      <c r="J63" s="56"/>
      <c r="K63" s="56"/>
      <c r="L63" s="56"/>
      <c r="M63" s="56"/>
      <c r="N63" s="55">
        <f t="shared" si="0"/>
        <v>5119</v>
      </c>
      <c r="O63" s="56"/>
      <c r="P63" s="58">
        <f t="shared" si="1"/>
        <v>7740195.96</v>
      </c>
      <c r="Q63" s="56"/>
    </row>
    <row r="64" ht="20" customHeight="1" spans="2:17">
      <c r="B64" s="42">
        <v>1</v>
      </c>
      <c r="C64" s="42">
        <v>15</v>
      </c>
      <c r="D64" s="74"/>
      <c r="E64" s="74" t="s">
        <v>583</v>
      </c>
      <c r="F64" s="169" t="s">
        <v>584</v>
      </c>
      <c r="G64" s="170">
        <v>6708</v>
      </c>
      <c r="H64" s="56">
        <v>200</v>
      </c>
      <c r="I64" s="170">
        <v>276</v>
      </c>
      <c r="J64" s="56"/>
      <c r="K64" s="56"/>
      <c r="L64" s="56"/>
      <c r="M64" s="56"/>
      <c r="N64" s="55">
        <f t="shared" si="0"/>
        <v>7184</v>
      </c>
      <c r="O64" s="56"/>
      <c r="P64" s="58">
        <f t="shared" si="1"/>
        <v>7747379.96</v>
      </c>
      <c r="Q64" s="56"/>
    </row>
    <row r="65" ht="20" customHeight="1" spans="2:18">
      <c r="B65" s="42">
        <v>1</v>
      </c>
      <c r="C65" s="42">
        <v>15</v>
      </c>
      <c r="D65" s="74"/>
      <c r="E65" s="74" t="s">
        <v>585</v>
      </c>
      <c r="F65" s="75" t="s">
        <v>586</v>
      </c>
      <c r="G65" s="71">
        <v>3000</v>
      </c>
      <c r="H65" s="71">
        <v>150</v>
      </c>
      <c r="I65" s="71">
        <v>183.6</v>
      </c>
      <c r="J65" s="56"/>
      <c r="K65" s="56"/>
      <c r="L65" s="56"/>
      <c r="M65" s="56"/>
      <c r="N65" s="55">
        <f t="shared" si="0"/>
        <v>3333.6</v>
      </c>
      <c r="O65" s="56"/>
      <c r="P65" s="58">
        <f t="shared" si="1"/>
        <v>7750713.56</v>
      </c>
      <c r="Q65" s="56"/>
    </row>
    <row r="66" ht="20" customHeight="1" spans="2:18">
      <c r="B66" s="42">
        <v>1</v>
      </c>
      <c r="C66" s="42">
        <v>15</v>
      </c>
      <c r="D66" s="74" t="s">
        <v>92</v>
      </c>
      <c r="E66" s="74" t="s">
        <v>271</v>
      </c>
      <c r="F66" s="75" t="s">
        <v>587</v>
      </c>
      <c r="G66" s="71"/>
      <c r="H66" s="71"/>
      <c r="I66" s="71"/>
      <c r="J66" s="56"/>
      <c r="K66" s="56"/>
      <c r="L66" s="56"/>
      <c r="M66" s="56"/>
      <c r="N66" s="56">
        <f t="shared" si="0"/>
        <v>0</v>
      </c>
      <c r="O66" s="56">
        <v>31190</v>
      </c>
      <c r="P66" s="58">
        <f t="shared" si="1"/>
        <v>7719523.56</v>
      </c>
      <c r="Q66" s="56"/>
    </row>
    <row r="67" ht="20" customHeight="1" spans="2:18">
      <c r="B67" s="42">
        <v>1</v>
      </c>
      <c r="C67" s="42">
        <v>15</v>
      </c>
      <c r="D67" s="74" t="s">
        <v>103</v>
      </c>
      <c r="E67" s="74" t="s">
        <v>178</v>
      </c>
      <c r="F67" s="75" t="s">
        <v>588</v>
      </c>
      <c r="G67" s="71"/>
      <c r="H67" s="71"/>
      <c r="I67" s="71"/>
      <c r="J67" s="56"/>
      <c r="K67" s="56"/>
      <c r="L67" s="56"/>
      <c r="M67" s="56"/>
      <c r="N67" s="56">
        <f t="shared" si="0"/>
        <v>0</v>
      </c>
      <c r="O67" s="56">
        <v>1090</v>
      </c>
      <c r="P67" s="58">
        <f t="shared" si="1"/>
        <v>7718433.56</v>
      </c>
      <c r="Q67" s="56"/>
    </row>
    <row r="68" ht="20" customHeight="1" spans="2:18">
      <c r="B68" s="42">
        <v>1</v>
      </c>
      <c r="C68" s="42">
        <v>15</v>
      </c>
      <c r="D68" s="74"/>
      <c r="E68" s="42"/>
      <c r="F68" s="75" t="s">
        <v>589</v>
      </c>
      <c r="G68" s="71"/>
      <c r="H68" s="71"/>
      <c r="I68" s="71"/>
      <c r="J68" s="56"/>
      <c r="K68" s="56"/>
      <c r="L68" s="56">
        <v>0.22</v>
      </c>
      <c r="M68" s="56"/>
      <c r="N68" s="56">
        <f t="shared" si="0"/>
        <v>0.22</v>
      </c>
      <c r="O68" s="56"/>
      <c r="P68" s="58">
        <f t="shared" si="1"/>
        <v>7718433.78</v>
      </c>
      <c r="Q68" s="59" t="s">
        <v>239</v>
      </c>
      <c r="R68" s="3">
        <f>SUM(N11:N68)-SUM(O11:O67)+R10</f>
        <v>427877.38</v>
      </c>
    </row>
    <row r="69" ht="20" customHeight="1" spans="2:18">
      <c r="B69" s="42">
        <v>1</v>
      </c>
      <c r="C69" s="42">
        <v>16</v>
      </c>
      <c r="D69" s="74"/>
      <c r="E69" s="74" t="s">
        <v>590</v>
      </c>
      <c r="F69" s="75" t="s">
        <v>591</v>
      </c>
      <c r="G69" s="71">
        <v>1000</v>
      </c>
      <c r="H69" s="71">
        <v>150</v>
      </c>
      <c r="I69" s="71">
        <v>30</v>
      </c>
      <c r="J69" s="56"/>
      <c r="K69" s="56"/>
      <c r="L69" s="56"/>
      <c r="M69" s="56"/>
      <c r="N69" s="55">
        <f t="shared" ref="N69:N96" si="2">SUM(G69:L69)-M69</f>
        <v>1180</v>
      </c>
      <c r="O69" s="56"/>
      <c r="P69" s="58">
        <f t="shared" si="1"/>
        <v>7719613.78</v>
      </c>
      <c r="Q69" s="56"/>
    </row>
    <row r="70" ht="20" customHeight="1" spans="2:18">
      <c r="B70" s="42">
        <v>1</v>
      </c>
      <c r="C70" s="42">
        <v>18</v>
      </c>
      <c r="D70" s="74"/>
      <c r="E70" s="74" t="s">
        <v>592</v>
      </c>
      <c r="F70" s="75" t="s">
        <v>593</v>
      </c>
      <c r="G70" s="71">
        <v>2700</v>
      </c>
      <c r="H70" s="71">
        <v>200</v>
      </c>
      <c r="I70" s="71">
        <v>124.8</v>
      </c>
      <c r="J70" s="56"/>
      <c r="K70" s="56"/>
      <c r="L70" s="56"/>
      <c r="M70" s="56"/>
      <c r="N70" s="55">
        <f t="shared" si="2"/>
        <v>3024.8</v>
      </c>
      <c r="O70" s="56"/>
      <c r="P70" s="58">
        <f t="shared" ref="P70:P114" si="3">P69+N70-O70</f>
        <v>7722638.58</v>
      </c>
      <c r="Q70" s="56"/>
    </row>
    <row r="71" ht="20" customHeight="1" spans="2:18">
      <c r="B71" s="42">
        <v>1</v>
      </c>
      <c r="C71" s="42">
        <v>19</v>
      </c>
      <c r="D71" s="74"/>
      <c r="E71" s="74"/>
      <c r="F71" s="75" t="s">
        <v>594</v>
      </c>
      <c r="G71" s="71"/>
      <c r="H71" s="71"/>
      <c r="I71" s="71"/>
      <c r="J71" s="56"/>
      <c r="K71" s="65">
        <v>5976</v>
      </c>
      <c r="L71" s="56"/>
      <c r="M71" s="56">
        <v>8.43</v>
      </c>
      <c r="N71" s="56">
        <f t="shared" si="2"/>
        <v>5967.57</v>
      </c>
      <c r="O71" s="56"/>
      <c r="P71" s="58">
        <f t="shared" si="3"/>
        <v>7728606.15</v>
      </c>
      <c r="Q71" s="56"/>
    </row>
    <row r="72" ht="20" customHeight="1" spans="2:18">
      <c r="B72" s="42">
        <v>1</v>
      </c>
      <c r="C72" s="42">
        <v>19</v>
      </c>
      <c r="D72" s="74"/>
      <c r="E72" s="74" t="s">
        <v>595</v>
      </c>
      <c r="F72" s="75" t="s">
        <v>596</v>
      </c>
      <c r="G72" s="71"/>
      <c r="H72" s="71">
        <v>150</v>
      </c>
      <c r="I72" s="71">
        <v>66</v>
      </c>
      <c r="J72" s="56"/>
      <c r="K72" s="56"/>
      <c r="L72" s="56"/>
      <c r="M72" s="56"/>
      <c r="N72" s="55">
        <f t="shared" si="2"/>
        <v>216</v>
      </c>
      <c r="O72" s="56"/>
      <c r="P72" s="58">
        <f t="shared" si="3"/>
        <v>7728822.15</v>
      </c>
      <c r="Q72" s="56"/>
    </row>
    <row r="73" ht="20" customHeight="1" spans="2:18">
      <c r="B73" s="42">
        <v>1</v>
      </c>
      <c r="C73" s="42">
        <v>19</v>
      </c>
      <c r="D73" s="74"/>
      <c r="E73" s="74" t="s">
        <v>597</v>
      </c>
      <c r="F73" s="75" t="s">
        <v>598</v>
      </c>
      <c r="G73" s="71"/>
      <c r="H73" s="71"/>
      <c r="I73" s="71">
        <v>91.2</v>
      </c>
      <c r="J73" s="56"/>
      <c r="K73" s="56"/>
      <c r="L73" s="56"/>
      <c r="M73" s="56"/>
      <c r="N73" s="55">
        <f t="shared" si="2"/>
        <v>91.2</v>
      </c>
      <c r="O73" s="56"/>
      <c r="P73" s="58">
        <f t="shared" si="3"/>
        <v>7728913.35</v>
      </c>
      <c r="Q73" s="56"/>
    </row>
    <row r="74" ht="20" customHeight="1" spans="2:18">
      <c r="B74" s="42">
        <v>1</v>
      </c>
      <c r="C74" s="42">
        <v>19</v>
      </c>
      <c r="D74" s="74"/>
      <c r="E74" s="74" t="s">
        <v>599</v>
      </c>
      <c r="F74" s="75" t="s">
        <v>600</v>
      </c>
      <c r="G74" s="71"/>
      <c r="H74" s="71">
        <v>150</v>
      </c>
      <c r="I74" s="71">
        <v>117</v>
      </c>
      <c r="J74" s="56"/>
      <c r="K74" s="56"/>
      <c r="L74" s="56"/>
      <c r="M74" s="56"/>
      <c r="N74" s="55">
        <f t="shared" si="2"/>
        <v>267</v>
      </c>
      <c r="O74" s="56"/>
      <c r="P74" s="58">
        <f t="shared" si="3"/>
        <v>7729180.35</v>
      </c>
      <c r="Q74" s="56"/>
    </row>
    <row r="75" ht="20" customHeight="1" spans="2:18">
      <c r="B75" s="42">
        <v>1</v>
      </c>
      <c r="C75" s="42">
        <v>19</v>
      </c>
      <c r="D75" s="74"/>
      <c r="E75" s="74" t="s">
        <v>599</v>
      </c>
      <c r="F75" s="75" t="s">
        <v>601</v>
      </c>
      <c r="G75" s="71"/>
      <c r="H75" s="71">
        <v>150</v>
      </c>
      <c r="I75" s="71">
        <v>151.2</v>
      </c>
      <c r="J75" s="56"/>
      <c r="K75" s="56"/>
      <c r="L75" s="56"/>
      <c r="M75" s="56"/>
      <c r="N75" s="55">
        <f t="shared" si="2"/>
        <v>301.2</v>
      </c>
      <c r="O75" s="56"/>
      <c r="P75" s="58">
        <f t="shared" si="3"/>
        <v>7729481.55</v>
      </c>
      <c r="Q75" s="56"/>
    </row>
    <row r="76" ht="20" customHeight="1" spans="2:18">
      <c r="B76" s="42">
        <v>1</v>
      </c>
      <c r="C76" s="42">
        <v>19</v>
      </c>
      <c r="D76" s="74"/>
      <c r="E76" s="74" t="s">
        <v>602</v>
      </c>
      <c r="F76" s="169" t="s">
        <v>603</v>
      </c>
      <c r="G76" s="170">
        <v>1350</v>
      </c>
      <c r="H76" s="56">
        <v>150</v>
      </c>
      <c r="I76" s="170">
        <v>83</v>
      </c>
      <c r="J76" s="56"/>
      <c r="K76" s="56"/>
      <c r="L76" s="56"/>
      <c r="M76" s="56"/>
      <c r="N76" s="55">
        <f t="shared" si="2"/>
        <v>1583</v>
      </c>
      <c r="O76" s="56"/>
      <c r="P76" s="58">
        <f t="shared" si="3"/>
        <v>7731064.55</v>
      </c>
      <c r="Q76" s="56"/>
    </row>
    <row r="77" ht="20" customHeight="1" spans="2:18">
      <c r="B77" s="42">
        <v>1</v>
      </c>
      <c r="C77" s="42">
        <v>20</v>
      </c>
      <c r="D77" s="74"/>
      <c r="E77" s="74" t="s">
        <v>604</v>
      </c>
      <c r="F77" s="75" t="s">
        <v>605</v>
      </c>
      <c r="G77" s="71">
        <v>7355</v>
      </c>
      <c r="H77" s="71">
        <v>200</v>
      </c>
      <c r="I77" s="71">
        <v>338.4</v>
      </c>
      <c r="J77" s="56"/>
      <c r="K77" s="56"/>
      <c r="L77" s="56"/>
      <c r="M77" s="56"/>
      <c r="N77" s="55">
        <f t="shared" si="2"/>
        <v>7893.4</v>
      </c>
      <c r="O77" s="56"/>
      <c r="P77" s="58">
        <f t="shared" si="3"/>
        <v>7738957.95</v>
      </c>
      <c r="Q77" s="56"/>
    </row>
    <row r="78" ht="20" customHeight="1" spans="2:18">
      <c r="B78" s="42">
        <v>1</v>
      </c>
      <c r="C78" s="42">
        <v>22</v>
      </c>
      <c r="D78" s="74"/>
      <c r="E78" s="74" t="s">
        <v>606</v>
      </c>
      <c r="F78" s="169" t="s">
        <v>607</v>
      </c>
      <c r="G78" s="171">
        <v>10333</v>
      </c>
      <c r="H78" s="71"/>
      <c r="I78" s="71"/>
      <c r="J78" s="56"/>
      <c r="K78" s="56"/>
      <c r="L78" s="56"/>
      <c r="M78" s="56">
        <v>28.95</v>
      </c>
      <c r="N78" s="56">
        <f t="shared" si="2"/>
        <v>10304.05</v>
      </c>
      <c r="O78" s="56"/>
      <c r="P78" s="58">
        <f t="shared" si="3"/>
        <v>7749262</v>
      </c>
      <c r="Q78" s="56"/>
    </row>
    <row r="79" ht="20" customHeight="1" spans="2:18">
      <c r="B79" s="42">
        <v>1</v>
      </c>
      <c r="C79" s="42">
        <v>22</v>
      </c>
      <c r="D79" s="74"/>
      <c r="E79" s="74" t="s">
        <v>608</v>
      </c>
      <c r="F79" s="75" t="s">
        <v>609</v>
      </c>
      <c r="G79" s="71">
        <v>1200</v>
      </c>
      <c r="H79" s="71">
        <v>150</v>
      </c>
      <c r="I79" s="71">
        <v>79.2</v>
      </c>
      <c r="J79" s="56"/>
      <c r="K79" s="56"/>
      <c r="L79" s="56"/>
      <c r="M79" s="56"/>
      <c r="N79" s="55">
        <f t="shared" si="2"/>
        <v>1429.2</v>
      </c>
      <c r="O79" s="56"/>
      <c r="P79" s="58">
        <f t="shared" si="3"/>
        <v>7750691.2</v>
      </c>
      <c r="Q79" s="56"/>
    </row>
    <row r="80" ht="20" customHeight="1" spans="2:18">
      <c r="B80" s="42">
        <v>1</v>
      </c>
      <c r="C80" s="42">
        <v>22</v>
      </c>
      <c r="D80" s="74"/>
      <c r="E80" s="74" t="s">
        <v>572</v>
      </c>
      <c r="F80" s="75" t="s">
        <v>610</v>
      </c>
      <c r="G80" s="71">
        <v>1000</v>
      </c>
      <c r="H80" s="71"/>
      <c r="I80" s="71"/>
      <c r="J80" s="56"/>
      <c r="K80" s="56"/>
      <c r="L80" s="56"/>
      <c r="M80" s="56"/>
      <c r="N80" s="55">
        <f t="shared" si="2"/>
        <v>1000</v>
      </c>
      <c r="O80" s="56"/>
      <c r="P80" s="58">
        <f t="shared" si="3"/>
        <v>7751691.2</v>
      </c>
      <c r="Q80" s="56"/>
    </row>
    <row r="81" ht="20" customHeight="1" spans="2:18">
      <c r="B81" s="42">
        <v>1</v>
      </c>
      <c r="C81" s="42">
        <v>22</v>
      </c>
      <c r="D81" s="74"/>
      <c r="E81" s="74" t="s">
        <v>611</v>
      </c>
      <c r="F81" s="169" t="s">
        <v>612</v>
      </c>
      <c r="G81" s="170"/>
      <c r="H81" s="56">
        <v>200</v>
      </c>
      <c r="I81" s="170">
        <v>377</v>
      </c>
      <c r="J81" s="56"/>
      <c r="K81" s="56"/>
      <c r="L81" s="56"/>
      <c r="M81" s="56"/>
      <c r="N81" s="55">
        <f t="shared" si="2"/>
        <v>577</v>
      </c>
      <c r="O81" s="56"/>
      <c r="P81" s="58">
        <f t="shared" si="3"/>
        <v>7752268.2</v>
      </c>
      <c r="Q81" s="56"/>
    </row>
    <row r="82" ht="20" customHeight="1" spans="2:18">
      <c r="B82" s="42">
        <v>1</v>
      </c>
      <c r="C82" s="42">
        <v>22</v>
      </c>
      <c r="D82" s="74"/>
      <c r="E82" s="74" t="s">
        <v>613</v>
      </c>
      <c r="F82" s="169" t="s">
        <v>614</v>
      </c>
      <c r="G82" s="170"/>
      <c r="H82" s="56">
        <v>200</v>
      </c>
      <c r="I82" s="170">
        <v>254</v>
      </c>
      <c r="J82" s="56"/>
      <c r="K82" s="56"/>
      <c r="L82" s="56"/>
      <c r="M82" s="56"/>
      <c r="N82" s="55">
        <f t="shared" si="2"/>
        <v>454</v>
      </c>
      <c r="O82" s="56"/>
      <c r="P82" s="58">
        <f t="shared" si="3"/>
        <v>7752722.2</v>
      </c>
      <c r="Q82" s="56"/>
    </row>
    <row r="83" ht="20" customHeight="1" spans="2:18">
      <c r="B83" s="42">
        <v>1</v>
      </c>
      <c r="C83" s="42">
        <v>22</v>
      </c>
      <c r="D83" s="74"/>
      <c r="E83" s="74" t="s">
        <v>615</v>
      </c>
      <c r="F83" s="75" t="s">
        <v>616</v>
      </c>
      <c r="G83" s="71">
        <v>6200</v>
      </c>
      <c r="H83" s="71"/>
      <c r="I83" s="71"/>
      <c r="J83" s="56"/>
      <c r="K83" s="56"/>
      <c r="L83" s="56"/>
      <c r="M83" s="56"/>
      <c r="N83" s="55">
        <f t="shared" si="2"/>
        <v>6200</v>
      </c>
      <c r="O83" s="56"/>
      <c r="P83" s="58">
        <f t="shared" si="3"/>
        <v>7758922.2</v>
      </c>
      <c r="Q83" s="56"/>
    </row>
    <row r="84" ht="20" customHeight="1" spans="2:18">
      <c r="B84" s="42">
        <v>1</v>
      </c>
      <c r="C84" s="42">
        <v>22</v>
      </c>
      <c r="D84" s="74"/>
      <c r="E84" s="74" t="s">
        <v>590</v>
      </c>
      <c r="F84" s="169" t="s">
        <v>617</v>
      </c>
      <c r="G84" s="170"/>
      <c r="H84" s="56">
        <v>150</v>
      </c>
      <c r="I84" s="170">
        <v>30</v>
      </c>
      <c r="J84" s="56"/>
      <c r="K84" s="56"/>
      <c r="L84" s="56"/>
      <c r="M84" s="56"/>
      <c r="N84" s="55">
        <f t="shared" si="2"/>
        <v>180</v>
      </c>
      <c r="O84" s="56"/>
      <c r="P84" s="58">
        <f t="shared" si="3"/>
        <v>7759102.2</v>
      </c>
      <c r="Q84" s="56"/>
    </row>
    <row r="85" ht="20" customHeight="1" spans="2:18">
      <c r="B85" s="42">
        <v>1</v>
      </c>
      <c r="C85" s="42">
        <v>22</v>
      </c>
      <c r="D85" s="74"/>
      <c r="E85" s="74" t="s">
        <v>618</v>
      </c>
      <c r="F85" s="75" t="s">
        <v>619</v>
      </c>
      <c r="G85" s="71">
        <v>7707</v>
      </c>
      <c r="H85" s="71">
        <v>200</v>
      </c>
      <c r="I85" s="71">
        <v>885.4</v>
      </c>
      <c r="J85" s="56"/>
      <c r="K85" s="56"/>
      <c r="L85" s="56"/>
      <c r="M85" s="56"/>
      <c r="N85" s="55">
        <f t="shared" si="2"/>
        <v>8792.4</v>
      </c>
      <c r="O85" s="56"/>
      <c r="P85" s="58">
        <f t="shared" si="3"/>
        <v>7767894.6</v>
      </c>
      <c r="Q85" s="56"/>
    </row>
    <row r="86" ht="20" customHeight="1" spans="2:18">
      <c r="B86" s="42">
        <v>1</v>
      </c>
      <c r="C86" s="42">
        <v>22</v>
      </c>
      <c r="D86" s="74" t="s">
        <v>129</v>
      </c>
      <c r="E86" s="74" t="s">
        <v>620</v>
      </c>
      <c r="F86" s="75" t="s">
        <v>621</v>
      </c>
      <c r="G86" s="71"/>
      <c r="H86" s="71"/>
      <c r="I86" s="71"/>
      <c r="J86" s="56"/>
      <c r="K86" s="56"/>
      <c r="L86" s="56"/>
      <c r="M86" s="56"/>
      <c r="N86" s="56">
        <f t="shared" si="2"/>
        <v>0</v>
      </c>
      <c r="O86" s="56">
        <v>795</v>
      </c>
      <c r="P86" s="58">
        <f t="shared" si="3"/>
        <v>7767099.6</v>
      </c>
      <c r="Q86" s="56"/>
    </row>
    <row r="87" ht="20" customHeight="1" spans="2:18">
      <c r="B87" s="42">
        <v>1</v>
      </c>
      <c r="C87" s="42">
        <v>22</v>
      </c>
      <c r="D87" s="74" t="s">
        <v>92</v>
      </c>
      <c r="E87" s="74" t="s">
        <v>486</v>
      </c>
      <c r="F87" s="75" t="s">
        <v>622</v>
      </c>
      <c r="G87" s="71"/>
      <c r="H87" s="71"/>
      <c r="I87" s="71"/>
      <c r="J87" s="56"/>
      <c r="K87" s="56"/>
      <c r="L87" s="56"/>
      <c r="M87" s="56"/>
      <c r="N87" s="56">
        <f t="shared" si="2"/>
        <v>0</v>
      </c>
      <c r="O87" s="56">
        <v>1000</v>
      </c>
      <c r="P87" s="58">
        <f t="shared" si="3"/>
        <v>7766099.6</v>
      </c>
      <c r="Q87" s="56"/>
    </row>
    <row r="88" ht="20" customHeight="1" spans="2:18">
      <c r="B88" s="42">
        <v>1</v>
      </c>
      <c r="C88" s="42">
        <v>23</v>
      </c>
      <c r="D88" s="74"/>
      <c r="E88" s="74" t="s">
        <v>623</v>
      </c>
      <c r="F88" s="75" t="s">
        <v>624</v>
      </c>
      <c r="G88" s="71"/>
      <c r="H88" s="71">
        <v>300</v>
      </c>
      <c r="I88" s="71">
        <v>388.8</v>
      </c>
      <c r="J88" s="56"/>
      <c r="K88" s="56"/>
      <c r="L88" s="56"/>
      <c r="M88" s="56"/>
      <c r="N88" s="55">
        <f t="shared" si="2"/>
        <v>688.8</v>
      </c>
      <c r="O88" s="56"/>
      <c r="P88" s="58">
        <f t="shared" si="3"/>
        <v>7766788.4</v>
      </c>
      <c r="Q88" s="56" t="s">
        <v>239</v>
      </c>
      <c r="R88" s="3">
        <f>SUM(N69:N88)-SUM(O69:O88)+R68</f>
        <v>476232</v>
      </c>
    </row>
    <row r="89" ht="20" customHeight="1" spans="2:18">
      <c r="B89" s="42">
        <v>1</v>
      </c>
      <c r="C89" s="42">
        <v>24</v>
      </c>
      <c r="D89" s="74"/>
      <c r="E89" s="74" t="s">
        <v>518</v>
      </c>
      <c r="F89" s="75" t="s">
        <v>625</v>
      </c>
      <c r="G89" s="71"/>
      <c r="H89" s="71">
        <v>150</v>
      </c>
      <c r="I89" s="71">
        <v>97</v>
      </c>
      <c r="J89" s="56"/>
      <c r="K89" s="56"/>
      <c r="L89" s="56"/>
      <c r="M89" s="56"/>
      <c r="N89" s="55">
        <f t="shared" si="2"/>
        <v>247</v>
      </c>
      <c r="O89" s="56"/>
      <c r="P89" s="58">
        <f t="shared" si="3"/>
        <v>7767035.4</v>
      </c>
      <c r="Q89" s="56"/>
    </row>
    <row r="90" ht="20" customHeight="1" spans="2:18">
      <c r="B90" s="42">
        <v>1</v>
      </c>
      <c r="C90" s="42">
        <v>24</v>
      </c>
      <c r="D90" s="74"/>
      <c r="E90" s="74" t="s">
        <v>626</v>
      </c>
      <c r="F90" s="75" t="s">
        <v>627</v>
      </c>
      <c r="G90" s="71">
        <v>1400</v>
      </c>
      <c r="H90" s="71">
        <v>150</v>
      </c>
      <c r="I90" s="71">
        <v>45.6</v>
      </c>
      <c r="J90" s="56"/>
      <c r="K90" s="56"/>
      <c r="L90" s="56"/>
      <c r="M90" s="56"/>
      <c r="N90" s="55">
        <f t="shared" si="2"/>
        <v>1595.6</v>
      </c>
      <c r="O90" s="56"/>
      <c r="P90" s="58">
        <f t="shared" si="3"/>
        <v>7768631</v>
      </c>
      <c r="Q90" s="56"/>
    </row>
    <row r="91" ht="20" customHeight="1" spans="2:18">
      <c r="B91" s="42">
        <v>1</v>
      </c>
      <c r="C91" s="42">
        <v>26</v>
      </c>
      <c r="D91" s="74"/>
      <c r="E91" s="74" t="s">
        <v>628</v>
      </c>
      <c r="F91" s="75" t="s">
        <v>629</v>
      </c>
      <c r="G91" s="71">
        <v>6090</v>
      </c>
      <c r="H91" s="71">
        <v>200</v>
      </c>
      <c r="I91" s="71">
        <v>349</v>
      </c>
      <c r="J91" s="56"/>
      <c r="K91" s="56"/>
      <c r="L91" s="56"/>
      <c r="M91" s="56"/>
      <c r="N91" s="55">
        <f t="shared" si="2"/>
        <v>6639</v>
      </c>
      <c r="O91" s="56"/>
      <c r="P91" s="58">
        <f t="shared" si="3"/>
        <v>7775270</v>
      </c>
      <c r="Q91" s="56"/>
    </row>
    <row r="92" ht="20" customHeight="1" spans="2:18">
      <c r="B92" s="42">
        <v>1</v>
      </c>
      <c r="C92" s="42">
        <v>28</v>
      </c>
      <c r="D92" s="74"/>
      <c r="E92" s="74" t="s">
        <v>491</v>
      </c>
      <c r="F92" s="75" t="s">
        <v>630</v>
      </c>
      <c r="G92" s="71">
        <v>16445</v>
      </c>
      <c r="H92" s="71"/>
      <c r="I92" s="71">
        <v>65.6</v>
      </c>
      <c r="J92" s="56"/>
      <c r="K92" s="56"/>
      <c r="L92" s="56"/>
      <c r="M92" s="56"/>
      <c r="N92" s="55">
        <f t="shared" si="2"/>
        <v>16510.6</v>
      </c>
      <c r="O92" s="56"/>
      <c r="P92" s="58">
        <f t="shared" si="3"/>
        <v>7791780.6</v>
      </c>
      <c r="Q92" s="56"/>
    </row>
    <row r="93" ht="20" customHeight="1" spans="2:18">
      <c r="B93" s="42">
        <v>1</v>
      </c>
      <c r="C93" s="42">
        <v>26</v>
      </c>
      <c r="D93" s="74" t="s">
        <v>124</v>
      </c>
      <c r="E93" s="74" t="s">
        <v>486</v>
      </c>
      <c r="F93" s="75" t="s">
        <v>631</v>
      </c>
      <c r="G93" s="71"/>
      <c r="H93" s="71"/>
      <c r="I93" s="71"/>
      <c r="J93" s="56"/>
      <c r="K93" s="56"/>
      <c r="L93" s="56"/>
      <c r="M93" s="56"/>
      <c r="N93" s="56">
        <f t="shared" si="2"/>
        <v>0</v>
      </c>
      <c r="O93" s="56">
        <v>9142.55</v>
      </c>
      <c r="P93" s="58">
        <f t="shared" si="3"/>
        <v>7782638.05</v>
      </c>
      <c r="Q93" s="56"/>
    </row>
    <row r="94" ht="20" customHeight="1" spans="2:18">
      <c r="B94" s="42">
        <v>1</v>
      </c>
      <c r="C94" s="42">
        <v>26</v>
      </c>
      <c r="D94" s="74" t="s">
        <v>104</v>
      </c>
      <c r="E94" s="74" t="s">
        <v>620</v>
      </c>
      <c r="F94" s="75" t="s">
        <v>632</v>
      </c>
      <c r="G94" s="71"/>
      <c r="H94" s="71"/>
      <c r="I94" s="71"/>
      <c r="J94" s="56"/>
      <c r="K94" s="56"/>
      <c r="L94" s="56"/>
      <c r="M94" s="56"/>
      <c r="N94" s="56">
        <f t="shared" si="2"/>
        <v>0</v>
      </c>
      <c r="O94" s="56">
        <v>1300</v>
      </c>
      <c r="P94" s="58">
        <f t="shared" si="3"/>
        <v>7781338.05</v>
      </c>
      <c r="Q94" s="56"/>
    </row>
    <row r="95" ht="20" customHeight="1" spans="2:18">
      <c r="B95" s="42">
        <v>1</v>
      </c>
      <c r="C95" s="42">
        <v>26</v>
      </c>
      <c r="D95" s="74" t="s">
        <v>106</v>
      </c>
      <c r="E95" s="74" t="s">
        <v>633</v>
      </c>
      <c r="F95" s="75" t="s">
        <v>634</v>
      </c>
      <c r="G95" s="71"/>
      <c r="H95" s="71"/>
      <c r="I95" s="71"/>
      <c r="J95" s="56"/>
      <c r="K95" s="56"/>
      <c r="L95" s="56"/>
      <c r="M95" s="56"/>
      <c r="N95" s="56">
        <f t="shared" si="2"/>
        <v>0</v>
      </c>
      <c r="O95" s="56">
        <v>4800</v>
      </c>
      <c r="P95" s="58">
        <f t="shared" si="3"/>
        <v>7776538.05</v>
      </c>
      <c r="Q95" s="56"/>
    </row>
    <row r="96" ht="20" customHeight="1" spans="2:18">
      <c r="B96" s="42">
        <v>1</v>
      </c>
      <c r="C96" s="42">
        <v>26</v>
      </c>
      <c r="D96" s="74" t="s">
        <v>106</v>
      </c>
      <c r="E96" s="74" t="s">
        <v>635</v>
      </c>
      <c r="F96" s="75" t="s">
        <v>636</v>
      </c>
      <c r="G96" s="71"/>
      <c r="H96" s="71"/>
      <c r="I96" s="71"/>
      <c r="J96" s="56"/>
      <c r="K96" s="56"/>
      <c r="L96" s="56"/>
      <c r="M96" s="56"/>
      <c r="N96" s="56">
        <f t="shared" si="2"/>
        <v>0</v>
      </c>
      <c r="O96" s="56">
        <v>7446</v>
      </c>
      <c r="P96" s="58">
        <f t="shared" si="3"/>
        <v>7769092.05</v>
      </c>
      <c r="Q96" s="56"/>
    </row>
    <row r="97" ht="20" customHeight="1" spans="1:18">
      <c r="B97" s="42">
        <v>1</v>
      </c>
      <c r="C97" s="42"/>
      <c r="D97" s="74" t="s">
        <v>69</v>
      </c>
      <c r="E97" s="42" t="s">
        <v>20</v>
      </c>
      <c r="F97" s="75" t="s">
        <v>280</v>
      </c>
      <c r="G97" s="71"/>
      <c r="H97" s="71"/>
      <c r="I97" s="71"/>
      <c r="J97" s="56"/>
      <c r="K97" s="56"/>
      <c r="L97" s="56"/>
      <c r="M97" s="56"/>
      <c r="N97" s="172">
        <v>1000</v>
      </c>
      <c r="O97" s="56">
        <v>1000</v>
      </c>
      <c r="P97" s="58">
        <f t="shared" si="3"/>
        <v>7769092.05</v>
      </c>
      <c r="Q97" s="56"/>
    </row>
    <row r="98" ht="20" customHeight="1" spans="1:18">
      <c r="B98" s="42">
        <v>1</v>
      </c>
      <c r="C98" s="42"/>
      <c r="D98" s="74"/>
      <c r="E98" s="42"/>
      <c r="F98" s="75" t="s">
        <v>637</v>
      </c>
      <c r="G98" s="71"/>
      <c r="H98" s="71"/>
      <c r="I98" s="71"/>
      <c r="J98" s="56"/>
      <c r="K98" s="65">
        <v>5370</v>
      </c>
      <c r="L98" s="56"/>
      <c r="M98" s="56">
        <v>12.22</v>
      </c>
      <c r="N98" s="56">
        <f t="shared" ref="N98:N114" si="4">SUM(G98:L98)-M98</f>
        <v>5357.78</v>
      </c>
      <c r="O98" s="56"/>
      <c r="P98" s="58">
        <f t="shared" si="3"/>
        <v>7774449.83</v>
      </c>
      <c r="Q98" s="56"/>
    </row>
    <row r="99" ht="20" customHeight="1" spans="1:18">
      <c r="B99" s="42">
        <v>1</v>
      </c>
      <c r="C99" s="42">
        <v>30</v>
      </c>
      <c r="D99" s="74"/>
      <c r="E99" s="74" t="s">
        <v>572</v>
      </c>
      <c r="F99" s="169" t="s">
        <v>638</v>
      </c>
      <c r="G99" s="170">
        <v>100</v>
      </c>
      <c r="H99" s="56">
        <v>150</v>
      </c>
      <c r="I99" s="170">
        <v>110</v>
      </c>
      <c r="J99" s="56"/>
      <c r="K99" s="56"/>
      <c r="L99" s="56"/>
      <c r="M99" s="56"/>
      <c r="N99" s="55">
        <f t="shared" si="4"/>
        <v>360</v>
      </c>
      <c r="O99" s="56"/>
      <c r="P99" s="58">
        <f t="shared" si="3"/>
        <v>7774809.83</v>
      </c>
      <c r="Q99" s="56"/>
    </row>
    <row r="100" ht="20" customHeight="1" spans="1:18">
      <c r="B100" s="42">
        <v>1</v>
      </c>
      <c r="C100" s="42">
        <v>30</v>
      </c>
      <c r="D100" s="74"/>
      <c r="E100" s="74" t="s">
        <v>572</v>
      </c>
      <c r="F100" s="75" t="s">
        <v>639</v>
      </c>
      <c r="G100" s="71">
        <v>640</v>
      </c>
      <c r="H100" s="71"/>
      <c r="I100" s="71"/>
      <c r="J100" s="56"/>
      <c r="K100" s="56"/>
      <c r="L100" s="56"/>
      <c r="M100" s="56"/>
      <c r="N100" s="55">
        <f t="shared" si="4"/>
        <v>640</v>
      </c>
      <c r="O100" s="56"/>
      <c r="P100" s="58">
        <f t="shared" si="3"/>
        <v>7775449.83</v>
      </c>
      <c r="Q100" s="56"/>
    </row>
    <row r="101" ht="20" customHeight="1" spans="1:18">
      <c r="B101" s="42">
        <v>1</v>
      </c>
      <c r="C101" s="42">
        <v>30</v>
      </c>
      <c r="D101" s="74"/>
      <c r="E101" s="74" t="s">
        <v>640</v>
      </c>
      <c r="F101" s="75" t="s">
        <v>641</v>
      </c>
      <c r="G101" s="71"/>
      <c r="H101" s="71">
        <v>150</v>
      </c>
      <c r="I101" s="71">
        <v>30</v>
      </c>
      <c r="J101" s="56"/>
      <c r="K101" s="56"/>
      <c r="L101" s="56"/>
      <c r="M101" s="56"/>
      <c r="N101" s="55">
        <f t="shared" si="4"/>
        <v>180</v>
      </c>
      <c r="O101" s="56"/>
      <c r="P101" s="58">
        <f t="shared" si="3"/>
        <v>7775629.83</v>
      </c>
      <c r="Q101" s="56"/>
    </row>
    <row r="102" ht="20" customHeight="1" spans="1:18">
      <c r="B102" s="42">
        <v>1</v>
      </c>
      <c r="C102" s="42">
        <v>30</v>
      </c>
      <c r="D102" s="74"/>
      <c r="E102" s="74" t="s">
        <v>642</v>
      </c>
      <c r="F102" s="169" t="s">
        <v>643</v>
      </c>
      <c r="G102" s="170">
        <v>1600</v>
      </c>
      <c r="H102" s="56">
        <v>150</v>
      </c>
      <c r="I102" s="170">
        <v>42</v>
      </c>
      <c r="J102" s="56"/>
      <c r="K102" s="56"/>
      <c r="L102" s="56"/>
      <c r="M102" s="56"/>
      <c r="N102" s="55">
        <f t="shared" si="4"/>
        <v>1792</v>
      </c>
      <c r="O102" s="56"/>
      <c r="P102" s="58">
        <f t="shared" si="3"/>
        <v>7777421.83</v>
      </c>
      <c r="Q102" s="56"/>
    </row>
    <row r="103" ht="20" customHeight="1" spans="1:18">
      <c r="B103" s="42">
        <v>1</v>
      </c>
      <c r="C103" s="42">
        <v>30</v>
      </c>
      <c r="D103" s="74"/>
      <c r="E103" s="74" t="s">
        <v>644</v>
      </c>
      <c r="F103" s="169" t="s">
        <v>645</v>
      </c>
      <c r="G103" s="170">
        <v>1600</v>
      </c>
      <c r="H103" s="56">
        <v>150</v>
      </c>
      <c r="I103" s="170">
        <v>90</v>
      </c>
      <c r="J103" s="56"/>
      <c r="K103" s="56"/>
      <c r="L103" s="56"/>
      <c r="M103" s="56"/>
      <c r="N103" s="55">
        <f t="shared" si="4"/>
        <v>1840</v>
      </c>
      <c r="O103" s="56"/>
      <c r="P103" s="58">
        <f t="shared" si="3"/>
        <v>7779261.83</v>
      </c>
      <c r="Q103" s="56"/>
    </row>
    <row r="104" ht="20" customHeight="1" spans="1:18">
      <c r="B104" s="42">
        <v>1</v>
      </c>
      <c r="C104" s="42">
        <v>30</v>
      </c>
      <c r="D104" s="74"/>
      <c r="E104" s="74" t="s">
        <v>646</v>
      </c>
      <c r="F104" s="169" t="s">
        <v>647</v>
      </c>
      <c r="G104" s="56"/>
      <c r="H104" s="56"/>
      <c r="I104" s="170">
        <v>454</v>
      </c>
      <c r="J104" s="56"/>
      <c r="K104" s="56"/>
      <c r="L104" s="56"/>
      <c r="M104" s="56"/>
      <c r="N104" s="55">
        <f t="shared" si="4"/>
        <v>454</v>
      </c>
      <c r="O104" s="56"/>
      <c r="P104" s="58">
        <f t="shared" si="3"/>
        <v>7779715.83</v>
      </c>
      <c r="Q104" s="56"/>
    </row>
    <row r="105" ht="20" customHeight="1" spans="1:18">
      <c r="B105" s="42">
        <v>1</v>
      </c>
      <c r="C105" s="42">
        <v>30</v>
      </c>
      <c r="D105" s="74"/>
      <c r="E105" s="74" t="s">
        <v>648</v>
      </c>
      <c r="F105" s="169" t="s">
        <v>649</v>
      </c>
      <c r="G105" s="170">
        <v>1500</v>
      </c>
      <c r="H105" s="56"/>
      <c r="I105" s="170">
        <v>89</v>
      </c>
      <c r="J105" s="56"/>
      <c r="K105" s="56"/>
      <c r="L105" s="56"/>
      <c r="M105" s="56"/>
      <c r="N105" s="55">
        <f t="shared" si="4"/>
        <v>1589</v>
      </c>
      <c r="O105" s="56"/>
      <c r="P105" s="58">
        <f t="shared" si="3"/>
        <v>7781304.83</v>
      </c>
      <c r="Q105" s="56" t="s">
        <v>239</v>
      </c>
      <c r="R105" s="3">
        <f>SUM(N89:N96)+SUM(N98:N105)-SUM(O89:O105)+R88</f>
        <v>489748.43</v>
      </c>
    </row>
    <row r="106" ht="20" customHeight="1" spans="1:18">
      <c r="B106" s="42">
        <v>1</v>
      </c>
      <c r="C106" s="42">
        <v>30</v>
      </c>
      <c r="D106" s="74"/>
      <c r="E106" s="74" t="s">
        <v>650</v>
      </c>
      <c r="F106" s="75" t="s">
        <v>651</v>
      </c>
      <c r="G106" s="71">
        <v>6654</v>
      </c>
      <c r="H106" s="71">
        <v>200</v>
      </c>
      <c r="I106" s="71">
        <v>441</v>
      </c>
      <c r="J106" s="56"/>
      <c r="K106" s="56"/>
      <c r="L106" s="56"/>
      <c r="M106" s="56"/>
      <c r="N106" s="55">
        <f t="shared" si="4"/>
        <v>7295</v>
      </c>
      <c r="O106" s="56"/>
      <c r="P106" s="58">
        <f t="shared" si="3"/>
        <v>7788599.83</v>
      </c>
      <c r="Q106" s="56"/>
    </row>
    <row r="107" ht="20" customHeight="1" spans="1:18">
      <c r="B107" s="42">
        <v>1</v>
      </c>
      <c r="C107" s="42">
        <v>31</v>
      </c>
      <c r="D107" s="74"/>
      <c r="E107" s="74" t="s">
        <v>581</v>
      </c>
      <c r="F107" s="169" t="s">
        <v>652</v>
      </c>
      <c r="G107" s="170">
        <v>4200</v>
      </c>
      <c r="H107" s="56">
        <v>150</v>
      </c>
      <c r="I107" s="170">
        <v>394</v>
      </c>
      <c r="J107" s="56"/>
      <c r="K107" s="56"/>
      <c r="L107" s="56"/>
      <c r="M107" s="56"/>
      <c r="N107" s="55">
        <f t="shared" si="4"/>
        <v>4744</v>
      </c>
      <c r="O107" s="56"/>
      <c r="P107" s="58">
        <f t="shared" si="3"/>
        <v>7793343.83</v>
      </c>
      <c r="Q107" s="56"/>
    </row>
    <row r="108" ht="20" customHeight="1" spans="1:18">
      <c r="B108" s="42">
        <v>1</v>
      </c>
      <c r="C108" s="42">
        <v>31</v>
      </c>
      <c r="D108" s="74"/>
      <c r="E108" s="74" t="s">
        <v>653</v>
      </c>
      <c r="F108" s="75" t="s">
        <v>654</v>
      </c>
      <c r="G108" s="71">
        <v>8100</v>
      </c>
      <c r="H108" s="71">
        <v>200</v>
      </c>
      <c r="I108" s="71">
        <v>301.8</v>
      </c>
      <c r="J108" s="56"/>
      <c r="K108" s="56"/>
      <c r="L108" s="56"/>
      <c r="M108" s="56"/>
      <c r="N108" s="55">
        <f t="shared" si="4"/>
        <v>8601.8</v>
      </c>
      <c r="O108" s="56"/>
      <c r="P108" s="58">
        <f t="shared" si="3"/>
        <v>7801945.63</v>
      </c>
      <c r="Q108" s="56"/>
    </row>
    <row r="109" ht="20" customHeight="1" spans="1:18">
      <c r="B109" s="42">
        <v>1</v>
      </c>
      <c r="C109" s="42">
        <v>31</v>
      </c>
      <c r="D109" s="74"/>
      <c r="E109" s="74" t="s">
        <v>655</v>
      </c>
      <c r="F109" s="75" t="s">
        <v>656</v>
      </c>
      <c r="G109" s="71">
        <v>1300</v>
      </c>
      <c r="H109" s="71">
        <v>150</v>
      </c>
      <c r="I109" s="71">
        <v>106.8</v>
      </c>
      <c r="J109" s="56"/>
      <c r="K109" s="56"/>
      <c r="L109" s="56"/>
      <c r="M109" s="56"/>
      <c r="N109" s="55">
        <f t="shared" si="4"/>
        <v>1556.8</v>
      </c>
      <c r="O109" s="56"/>
      <c r="P109" s="58">
        <f t="shared" si="3"/>
        <v>7803502.43</v>
      </c>
      <c r="Q109" s="56"/>
    </row>
    <row r="110" ht="20" customHeight="1" spans="1:18">
      <c r="B110" s="42">
        <v>1</v>
      </c>
      <c r="C110" s="42">
        <v>31</v>
      </c>
      <c r="D110" s="74"/>
      <c r="E110" s="74" t="s">
        <v>657</v>
      </c>
      <c r="F110" s="169" t="s">
        <v>658</v>
      </c>
      <c r="G110" s="170">
        <v>2000</v>
      </c>
      <c r="H110" s="56">
        <v>150</v>
      </c>
      <c r="I110" s="170">
        <v>355</v>
      </c>
      <c r="J110" s="56"/>
      <c r="K110" s="56"/>
      <c r="L110" s="56"/>
      <c r="M110" s="56"/>
      <c r="N110" s="55">
        <f t="shared" si="4"/>
        <v>2505</v>
      </c>
      <c r="O110" s="56"/>
      <c r="P110" s="58">
        <f t="shared" si="3"/>
        <v>7806007.43</v>
      </c>
      <c r="Q110" s="56"/>
    </row>
    <row r="111" ht="20" customHeight="1" spans="1:18">
      <c r="B111" s="42">
        <v>1</v>
      </c>
      <c r="C111" s="42">
        <v>31</v>
      </c>
      <c r="D111" s="74"/>
      <c r="E111" s="74" t="s">
        <v>657</v>
      </c>
      <c r="F111" s="169" t="s">
        <v>659</v>
      </c>
      <c r="G111" s="170">
        <v>2000</v>
      </c>
      <c r="H111" s="56">
        <v>150</v>
      </c>
      <c r="I111" s="170">
        <v>223</v>
      </c>
      <c r="J111" s="56"/>
      <c r="K111" s="56"/>
      <c r="L111" s="56"/>
      <c r="M111" s="56"/>
      <c r="N111" s="55">
        <f t="shared" si="4"/>
        <v>2373</v>
      </c>
      <c r="O111" s="56"/>
      <c r="P111" s="58">
        <f t="shared" si="3"/>
        <v>7808380.43</v>
      </c>
      <c r="Q111" s="56"/>
    </row>
    <row r="112" ht="20" customHeight="1" spans="1:18">
      <c r="A112" s="2"/>
      <c r="B112" s="42">
        <v>1</v>
      </c>
      <c r="C112" s="42">
        <v>31</v>
      </c>
      <c r="D112" s="74"/>
      <c r="E112" s="74" t="s">
        <v>660</v>
      </c>
      <c r="F112" s="169" t="s">
        <v>661</v>
      </c>
      <c r="G112" s="170">
        <v>2100</v>
      </c>
      <c r="H112" s="56">
        <v>150</v>
      </c>
      <c r="I112" s="170">
        <v>208</v>
      </c>
      <c r="J112" s="56"/>
      <c r="K112" s="56"/>
      <c r="L112" s="56"/>
      <c r="M112" s="56">
        <v>3.46</v>
      </c>
      <c r="N112" s="56">
        <f t="shared" si="4"/>
        <v>2454.54</v>
      </c>
      <c r="O112" s="56"/>
      <c r="P112" s="58">
        <f t="shared" si="3"/>
        <v>7810834.97</v>
      </c>
      <c r="Q112" s="56"/>
    </row>
    <row r="113" ht="20" customHeight="1" spans="2:18">
      <c r="B113" s="42">
        <v>1</v>
      </c>
      <c r="C113" s="42">
        <v>31</v>
      </c>
      <c r="D113" s="74"/>
      <c r="E113" s="74" t="s">
        <v>626</v>
      </c>
      <c r="F113" s="169" t="s">
        <v>662</v>
      </c>
      <c r="G113" s="170"/>
      <c r="H113" s="56">
        <v>150</v>
      </c>
      <c r="I113" s="170">
        <v>343</v>
      </c>
      <c r="J113" s="56"/>
      <c r="K113" s="56"/>
      <c r="L113" s="56"/>
      <c r="M113" s="56"/>
      <c r="N113" s="55">
        <f t="shared" si="4"/>
        <v>493</v>
      </c>
      <c r="O113" s="56"/>
      <c r="P113" s="58">
        <f t="shared" si="3"/>
        <v>7811327.97</v>
      </c>
      <c r="Q113" s="56"/>
    </row>
    <row r="114" ht="20" customHeight="1" spans="2:18">
      <c r="B114" s="42">
        <v>1</v>
      </c>
      <c r="C114" s="42">
        <v>31</v>
      </c>
      <c r="D114" s="74"/>
      <c r="E114" s="74" t="s">
        <v>626</v>
      </c>
      <c r="F114" s="75" t="s">
        <v>663</v>
      </c>
      <c r="G114" s="71"/>
      <c r="H114" s="71">
        <v>150</v>
      </c>
      <c r="I114" s="71">
        <v>367.2</v>
      </c>
      <c r="J114" s="56"/>
      <c r="K114" s="56"/>
      <c r="L114" s="56"/>
      <c r="M114" s="56"/>
      <c r="N114" s="55">
        <f t="shared" si="4"/>
        <v>517.2</v>
      </c>
      <c r="O114" s="56"/>
      <c r="P114" s="58">
        <f t="shared" si="3"/>
        <v>7811845.17</v>
      </c>
      <c r="Q114" s="56" t="s">
        <v>239</v>
      </c>
      <c r="R114" s="3">
        <f>SUM(N106:N114)+R105</f>
        <v>520288.77</v>
      </c>
    </row>
    <row r="115" ht="20" customHeight="1" spans="2:18">
      <c r="B115" s="68"/>
      <c r="C115" s="68"/>
      <c r="D115" s="173"/>
      <c r="E115" s="68"/>
      <c r="F115" s="70" t="s">
        <v>22</v>
      </c>
      <c r="G115" s="71">
        <f t="shared" ref="G115:O115" si="5">SUM(G6:G114)</f>
        <v>270327</v>
      </c>
      <c r="H115" s="71">
        <f t="shared" si="5"/>
        <v>10850</v>
      </c>
      <c r="I115" s="71">
        <f t="shared" si="5"/>
        <v>19285.8</v>
      </c>
      <c r="J115" s="71">
        <f t="shared" si="5"/>
        <v>0</v>
      </c>
      <c r="K115" s="71">
        <f t="shared" si="5"/>
        <v>24226</v>
      </c>
      <c r="L115" s="71">
        <f t="shared" si="5"/>
        <v>0.22</v>
      </c>
      <c r="M115" s="71">
        <f t="shared" si="5"/>
        <v>157.69</v>
      </c>
      <c r="N115" s="71">
        <f t="shared" si="5"/>
        <v>325531.33</v>
      </c>
      <c r="O115" s="71">
        <f t="shared" si="5"/>
        <v>66515.66</v>
      </c>
      <c r="P115" s="72">
        <f>P5+N115-O115</f>
        <v>7811845.17</v>
      </c>
      <c r="Q115" s="71"/>
      <c r="R115" s="3">
        <f>P115-R114</f>
        <v>7291556.4</v>
      </c>
    </row>
    <row r="116" ht="20" customHeight="1" spans="2:18">
      <c r="B116" s="42">
        <v>2</v>
      </c>
      <c r="C116" s="42">
        <v>1</v>
      </c>
      <c r="D116" s="74"/>
      <c r="E116" s="74" t="s">
        <v>479</v>
      </c>
      <c r="F116" s="75" t="s">
        <v>664</v>
      </c>
      <c r="G116" s="56">
        <v>7247</v>
      </c>
      <c r="H116" s="56"/>
      <c r="I116" s="56"/>
      <c r="J116" s="56"/>
      <c r="K116" s="56"/>
      <c r="L116" s="56"/>
      <c r="M116" s="56"/>
      <c r="N116" s="55">
        <f t="shared" ref="N116:N124" si="6">SUM(G116:L116)-M116</f>
        <v>7247</v>
      </c>
      <c r="O116" s="56"/>
      <c r="P116" s="58">
        <f t="shared" ref="P116:P129" si="7">P115+N116-O116</f>
        <v>7819092.17</v>
      </c>
      <c r="Q116" s="56"/>
    </row>
    <row r="117" ht="20" customHeight="1" spans="2:18">
      <c r="B117" s="42">
        <v>2</v>
      </c>
      <c r="C117" s="42">
        <v>2</v>
      </c>
      <c r="D117" s="74" t="s">
        <v>133</v>
      </c>
      <c r="E117" s="74" t="s">
        <v>251</v>
      </c>
      <c r="F117" s="75" t="s">
        <v>665</v>
      </c>
      <c r="G117" s="56"/>
      <c r="H117" s="56"/>
      <c r="I117" s="56"/>
      <c r="J117" s="56"/>
      <c r="K117" s="56"/>
      <c r="L117" s="56"/>
      <c r="M117" s="56"/>
      <c r="N117" s="56">
        <f t="shared" si="6"/>
        <v>0</v>
      </c>
      <c r="O117" s="55">
        <v>150000</v>
      </c>
      <c r="P117" s="58">
        <f t="shared" si="7"/>
        <v>7669092.17</v>
      </c>
      <c r="Q117" s="59" t="s">
        <v>666</v>
      </c>
    </row>
    <row r="118" ht="20" customHeight="1" spans="2:18">
      <c r="B118" s="42">
        <v>2</v>
      </c>
      <c r="C118" s="42">
        <v>4</v>
      </c>
      <c r="D118" s="74"/>
      <c r="E118" s="74" t="s">
        <v>667</v>
      </c>
      <c r="F118" s="169" t="s">
        <v>668</v>
      </c>
      <c r="G118" s="170">
        <v>2200</v>
      </c>
      <c r="H118" s="170">
        <v>150</v>
      </c>
      <c r="I118" s="170">
        <v>208</v>
      </c>
      <c r="J118" s="56"/>
      <c r="K118" s="56"/>
      <c r="L118" s="56"/>
      <c r="M118" s="56">
        <v>13.32</v>
      </c>
      <c r="N118" s="56">
        <f t="shared" si="6"/>
        <v>2544.68</v>
      </c>
      <c r="O118" s="56"/>
      <c r="P118" s="58">
        <f t="shared" si="7"/>
        <v>7671636.85</v>
      </c>
      <c r="Q118" s="59" t="s">
        <v>669</v>
      </c>
    </row>
    <row r="119" ht="20" customHeight="1" spans="2:18">
      <c r="B119" s="42">
        <v>2</v>
      </c>
      <c r="C119" s="42">
        <v>4</v>
      </c>
      <c r="D119" s="74"/>
      <c r="E119" s="74" t="s">
        <v>602</v>
      </c>
      <c r="F119" s="75" t="s">
        <v>670</v>
      </c>
      <c r="G119" s="55">
        <v>1350</v>
      </c>
      <c r="H119" s="55">
        <v>150</v>
      </c>
      <c r="I119" s="55">
        <v>86.4</v>
      </c>
      <c r="J119" s="56"/>
      <c r="K119" s="56"/>
      <c r="L119" s="56"/>
      <c r="M119" s="56"/>
      <c r="N119" s="55">
        <f t="shared" si="6"/>
        <v>1586.4</v>
      </c>
      <c r="O119" s="56"/>
      <c r="P119" s="58">
        <f t="shared" si="7"/>
        <v>7673223.25</v>
      </c>
      <c r="Q119" s="59" t="s">
        <v>669</v>
      </c>
    </row>
    <row r="120" ht="20" customHeight="1" spans="2:18">
      <c r="B120" s="42">
        <v>2</v>
      </c>
      <c r="C120" s="42">
        <v>4</v>
      </c>
      <c r="D120" s="74"/>
      <c r="E120" s="74" t="s">
        <v>671</v>
      </c>
      <c r="F120" s="169" t="s">
        <v>672</v>
      </c>
      <c r="G120" s="174">
        <v>6200</v>
      </c>
      <c r="H120" s="56"/>
      <c r="I120" s="56"/>
      <c r="J120" s="56"/>
      <c r="K120" s="56"/>
      <c r="L120" s="56"/>
      <c r="M120" s="56"/>
      <c r="N120" s="55">
        <f t="shared" si="6"/>
        <v>6200</v>
      </c>
      <c r="O120" s="56"/>
      <c r="P120" s="58">
        <f t="shared" si="7"/>
        <v>7679423.25</v>
      </c>
      <c r="Q120" s="59" t="s">
        <v>669</v>
      </c>
    </row>
    <row r="121" ht="20" customHeight="1" spans="2:18">
      <c r="B121" s="42">
        <v>2</v>
      </c>
      <c r="C121" s="42">
        <v>4</v>
      </c>
      <c r="D121" s="74"/>
      <c r="E121" s="74" t="s">
        <v>673</v>
      </c>
      <c r="F121" s="169" t="s">
        <v>674</v>
      </c>
      <c r="G121" s="170">
        <v>2640</v>
      </c>
      <c r="H121" s="170">
        <v>150</v>
      </c>
      <c r="I121" s="170">
        <v>198</v>
      </c>
      <c r="J121" s="56"/>
      <c r="K121" s="56"/>
      <c r="L121" s="56"/>
      <c r="M121" s="56"/>
      <c r="N121" s="56">
        <f t="shared" si="6"/>
        <v>2988</v>
      </c>
      <c r="O121" s="56"/>
      <c r="P121" s="58">
        <f t="shared" si="7"/>
        <v>7682411.25</v>
      </c>
      <c r="Q121" s="59" t="s">
        <v>669</v>
      </c>
    </row>
    <row r="122" ht="20" customHeight="1" spans="2:18">
      <c r="B122" s="42">
        <v>2</v>
      </c>
      <c r="C122" s="42">
        <v>4</v>
      </c>
      <c r="D122" s="74" t="s">
        <v>133</v>
      </c>
      <c r="E122" s="74" t="s">
        <v>251</v>
      </c>
      <c r="F122" s="75" t="s">
        <v>665</v>
      </c>
      <c r="G122" s="56"/>
      <c r="H122" s="56"/>
      <c r="I122" s="56"/>
      <c r="J122" s="56"/>
      <c r="K122" s="56"/>
      <c r="L122" s="56"/>
      <c r="M122" s="56"/>
      <c r="N122" s="56">
        <f t="shared" si="6"/>
        <v>0</v>
      </c>
      <c r="O122" s="55">
        <v>100000</v>
      </c>
      <c r="P122" s="58">
        <f t="shared" si="7"/>
        <v>7582411.25</v>
      </c>
      <c r="Q122" s="59" t="s">
        <v>666</v>
      </c>
    </row>
    <row r="123" ht="20" customHeight="1" spans="2:18">
      <c r="B123" s="42">
        <v>2</v>
      </c>
      <c r="C123" s="42">
        <v>5</v>
      </c>
      <c r="D123" s="74"/>
      <c r="E123" s="74" t="s">
        <v>497</v>
      </c>
      <c r="F123" s="75" t="s">
        <v>675</v>
      </c>
      <c r="G123" s="56">
        <v>1300</v>
      </c>
      <c r="H123" s="56">
        <v>150</v>
      </c>
      <c r="I123" s="56">
        <v>59</v>
      </c>
      <c r="J123" s="56"/>
      <c r="K123" s="56"/>
      <c r="L123" s="56"/>
      <c r="M123" s="56"/>
      <c r="N123" s="56">
        <f t="shared" si="6"/>
        <v>1509</v>
      </c>
      <c r="O123" s="56"/>
      <c r="P123" s="58">
        <f t="shared" si="7"/>
        <v>7583920.25</v>
      </c>
      <c r="Q123" s="56"/>
    </row>
    <row r="124" ht="20" customHeight="1" spans="2:18">
      <c r="B124" s="42">
        <v>2</v>
      </c>
      <c r="C124" s="42">
        <v>5</v>
      </c>
      <c r="D124" s="74" t="s">
        <v>133</v>
      </c>
      <c r="E124" s="74" t="s">
        <v>251</v>
      </c>
      <c r="F124" s="75" t="s">
        <v>676</v>
      </c>
      <c r="G124" s="56"/>
      <c r="H124" s="56"/>
      <c r="I124" s="56"/>
      <c r="J124" s="56"/>
      <c r="K124" s="56"/>
      <c r="L124" s="56"/>
      <c r="M124" s="56"/>
      <c r="N124" s="56">
        <f t="shared" si="6"/>
        <v>0</v>
      </c>
      <c r="O124" s="56">
        <v>45000</v>
      </c>
      <c r="P124" s="58">
        <f t="shared" si="7"/>
        <v>7538920.25</v>
      </c>
      <c r="Q124" s="59" t="s">
        <v>666</v>
      </c>
    </row>
    <row r="125" ht="20" customHeight="1" spans="2:18">
      <c r="B125" s="42">
        <v>2</v>
      </c>
      <c r="C125" s="42">
        <v>5</v>
      </c>
      <c r="D125" s="74" t="s">
        <v>69</v>
      </c>
      <c r="E125" s="42" t="s">
        <v>20</v>
      </c>
      <c r="F125" s="75" t="s">
        <v>280</v>
      </c>
      <c r="G125" s="56"/>
      <c r="H125" s="56"/>
      <c r="I125" s="56"/>
      <c r="J125" s="56"/>
      <c r="K125" s="56"/>
      <c r="L125" s="56"/>
      <c r="M125" s="56"/>
      <c r="N125" s="172">
        <v>96000</v>
      </c>
      <c r="O125" s="55">
        <v>96000</v>
      </c>
      <c r="P125" s="58">
        <f t="shared" si="7"/>
        <v>7538920.25</v>
      </c>
      <c r="Q125" s="56"/>
    </row>
    <row r="126" ht="20" customHeight="1" spans="2:18">
      <c r="B126" s="42">
        <v>2</v>
      </c>
      <c r="C126" s="42">
        <v>5</v>
      </c>
      <c r="D126" s="74" t="s">
        <v>124</v>
      </c>
      <c r="E126" s="74" t="s">
        <v>486</v>
      </c>
      <c r="F126" s="75" t="s">
        <v>677</v>
      </c>
      <c r="G126" s="56"/>
      <c r="H126" s="56"/>
      <c r="I126" s="56"/>
      <c r="J126" s="56"/>
      <c r="K126" s="56"/>
      <c r="L126" s="56"/>
      <c r="M126" s="56"/>
      <c r="N126" s="56">
        <f>SUM(G126:L126)-M126</f>
        <v>0</v>
      </c>
      <c r="O126" s="56">
        <v>5975.43</v>
      </c>
      <c r="P126" s="58">
        <f t="shared" si="7"/>
        <v>7532944.82</v>
      </c>
      <c r="Q126" s="56"/>
    </row>
    <row r="127" ht="20" customHeight="1" spans="2:18">
      <c r="B127" s="42">
        <v>2</v>
      </c>
      <c r="C127" s="42">
        <v>5</v>
      </c>
      <c r="D127" s="74" t="s">
        <v>129</v>
      </c>
      <c r="E127" s="74" t="s">
        <v>486</v>
      </c>
      <c r="F127" s="75" t="s">
        <v>678</v>
      </c>
      <c r="G127" s="56"/>
      <c r="H127" s="56"/>
      <c r="I127" s="56"/>
      <c r="J127" s="56"/>
      <c r="K127" s="56"/>
      <c r="L127" s="56"/>
      <c r="M127" s="56"/>
      <c r="N127" s="56">
        <f>SUM(G127:L127)-M127</f>
        <v>0</v>
      </c>
      <c r="O127" s="56">
        <v>164</v>
      </c>
      <c r="P127" s="58">
        <f t="shared" si="7"/>
        <v>7532780.82</v>
      </c>
      <c r="Q127" s="56"/>
    </row>
    <row r="128" ht="20" customHeight="1" spans="2:18">
      <c r="B128" s="42">
        <v>2</v>
      </c>
      <c r="C128" s="42">
        <v>5</v>
      </c>
      <c r="D128" s="74" t="s">
        <v>104</v>
      </c>
      <c r="E128" s="74" t="s">
        <v>486</v>
      </c>
      <c r="F128" s="75" t="s">
        <v>679</v>
      </c>
      <c r="G128" s="56"/>
      <c r="H128" s="56"/>
      <c r="I128" s="56"/>
      <c r="J128" s="56"/>
      <c r="K128" s="56"/>
      <c r="L128" s="56"/>
      <c r="M128" s="56"/>
      <c r="N128" s="56"/>
      <c r="O128" s="56">
        <v>280</v>
      </c>
      <c r="P128" s="58">
        <f t="shared" si="7"/>
        <v>7532500.82</v>
      </c>
      <c r="Q128" s="56"/>
    </row>
    <row r="129" ht="20" customHeight="1" spans="2:17">
      <c r="B129" s="42">
        <v>2</v>
      </c>
      <c r="C129" s="42">
        <v>5</v>
      </c>
      <c r="D129" s="74" t="s">
        <v>100</v>
      </c>
      <c r="E129" s="74" t="s">
        <v>486</v>
      </c>
      <c r="F129" s="75" t="s">
        <v>680</v>
      </c>
      <c r="G129" s="56"/>
      <c r="H129" s="56"/>
      <c r="I129" s="56"/>
      <c r="J129" s="56"/>
      <c r="K129" s="56"/>
      <c r="L129" s="56"/>
      <c r="M129" s="56"/>
      <c r="N129" s="56"/>
      <c r="O129" s="56">
        <v>105.12</v>
      </c>
      <c r="P129" s="58">
        <f t="shared" si="7"/>
        <v>7532395.7</v>
      </c>
      <c r="Q129" s="56"/>
    </row>
    <row r="130" ht="20" customHeight="1" spans="2:17">
      <c r="B130" s="42">
        <v>2</v>
      </c>
      <c r="C130" s="42">
        <v>9</v>
      </c>
      <c r="D130" s="74"/>
      <c r="E130" s="74" t="s">
        <v>572</v>
      </c>
      <c r="F130" s="169" t="s">
        <v>681</v>
      </c>
      <c r="G130" s="170">
        <v>460</v>
      </c>
      <c r="H130" s="170"/>
      <c r="I130" s="170">
        <v>270</v>
      </c>
      <c r="J130" s="56"/>
      <c r="K130" s="56"/>
      <c r="L130" s="56"/>
      <c r="M130" s="56">
        <v>0.73</v>
      </c>
      <c r="N130" s="56">
        <f>SUM(G130:L130)-M130</f>
        <v>729.27</v>
      </c>
      <c r="O130" s="56"/>
      <c r="P130" s="58">
        <f>P127+N130-O130</f>
        <v>7533510.09</v>
      </c>
      <c r="Q130" s="59" t="s">
        <v>669</v>
      </c>
    </row>
    <row r="131" ht="20" customHeight="1" spans="2:17">
      <c r="B131" s="42">
        <v>2</v>
      </c>
      <c r="C131" s="42">
        <v>9</v>
      </c>
      <c r="D131" s="74" t="s">
        <v>69</v>
      </c>
      <c r="E131" s="42" t="s">
        <v>20</v>
      </c>
      <c r="F131" s="75" t="s">
        <v>280</v>
      </c>
      <c r="G131" s="56"/>
      <c r="H131" s="56"/>
      <c r="I131" s="56"/>
      <c r="J131" s="56"/>
      <c r="K131" s="56"/>
      <c r="L131" s="56"/>
      <c r="M131" s="56"/>
      <c r="N131" s="172">
        <v>2000</v>
      </c>
      <c r="O131" s="55">
        <v>2000</v>
      </c>
      <c r="P131" s="58">
        <f t="shared" ref="P131:P194" si="8">P130+N131-O131</f>
        <v>7533510.09</v>
      </c>
      <c r="Q131" s="56"/>
    </row>
    <row r="132" ht="20" customHeight="1" spans="2:17">
      <c r="B132" s="42">
        <v>2</v>
      </c>
      <c r="C132" s="42">
        <v>9</v>
      </c>
      <c r="D132" s="74"/>
      <c r="E132" s="74" t="s">
        <v>623</v>
      </c>
      <c r="F132" s="75" t="s">
        <v>682</v>
      </c>
      <c r="G132" s="56"/>
      <c r="H132" s="56">
        <v>300</v>
      </c>
      <c r="I132" s="56">
        <v>315.6</v>
      </c>
      <c r="J132" s="56"/>
      <c r="K132" s="56"/>
      <c r="L132" s="56"/>
      <c r="M132" s="56"/>
      <c r="N132" s="56">
        <f t="shared" ref="N132:N141" si="9">SUM(G132:L132)-M132</f>
        <v>615.6</v>
      </c>
      <c r="O132" s="56"/>
      <c r="P132" s="58">
        <f t="shared" si="8"/>
        <v>7534125.69</v>
      </c>
      <c r="Q132" s="56"/>
    </row>
    <row r="133" ht="20" customHeight="1" spans="2:17">
      <c r="B133" s="42">
        <v>2</v>
      </c>
      <c r="C133" s="42">
        <v>9</v>
      </c>
      <c r="D133" s="74"/>
      <c r="E133" s="74" t="s">
        <v>508</v>
      </c>
      <c r="F133" s="75" t="s">
        <v>683</v>
      </c>
      <c r="G133" s="56">
        <v>6946</v>
      </c>
      <c r="H133" s="56">
        <v>200</v>
      </c>
      <c r="I133" s="56">
        <v>473</v>
      </c>
      <c r="J133" s="56"/>
      <c r="K133" s="56"/>
      <c r="L133" s="56"/>
      <c r="M133" s="56"/>
      <c r="N133" s="56">
        <f t="shared" si="9"/>
        <v>7619</v>
      </c>
      <c r="O133" s="56"/>
      <c r="P133" s="58">
        <f t="shared" si="8"/>
        <v>7541744.69</v>
      </c>
      <c r="Q133" s="56"/>
    </row>
    <row r="134" ht="20" customHeight="1" spans="2:17">
      <c r="B134" s="42">
        <v>2</v>
      </c>
      <c r="C134" s="42">
        <v>9</v>
      </c>
      <c r="D134" s="74"/>
      <c r="E134" s="74" t="s">
        <v>562</v>
      </c>
      <c r="F134" s="75" t="s">
        <v>684</v>
      </c>
      <c r="G134" s="56"/>
      <c r="H134" s="56"/>
      <c r="I134" s="56">
        <v>92.4</v>
      </c>
      <c r="J134" s="56"/>
      <c r="K134" s="56"/>
      <c r="L134" s="56"/>
      <c r="M134" s="56"/>
      <c r="N134" s="56">
        <f t="shared" si="9"/>
        <v>92.4</v>
      </c>
      <c r="O134" s="56"/>
      <c r="P134" s="58">
        <f t="shared" si="8"/>
        <v>7541837.09</v>
      </c>
      <c r="Q134" s="56"/>
    </row>
    <row r="135" ht="20" customHeight="1" spans="2:17">
      <c r="B135" s="42">
        <v>2</v>
      </c>
      <c r="C135" s="42">
        <v>9</v>
      </c>
      <c r="D135" s="74"/>
      <c r="E135" s="74" t="s">
        <v>495</v>
      </c>
      <c r="F135" s="75" t="s">
        <v>685</v>
      </c>
      <c r="G135" s="56">
        <v>6655</v>
      </c>
      <c r="H135" s="56">
        <v>200</v>
      </c>
      <c r="I135" s="56">
        <v>519.4</v>
      </c>
      <c r="J135" s="56"/>
      <c r="K135" s="56"/>
      <c r="L135" s="56"/>
      <c r="M135" s="56"/>
      <c r="N135" s="56">
        <f t="shared" si="9"/>
        <v>7374.4</v>
      </c>
      <c r="O135" s="56"/>
      <c r="P135" s="58">
        <f t="shared" si="8"/>
        <v>7549211.49</v>
      </c>
      <c r="Q135" s="56"/>
    </row>
    <row r="136" ht="20" customHeight="1" spans="2:17">
      <c r="B136" s="42">
        <v>2</v>
      </c>
      <c r="C136" s="42">
        <v>9</v>
      </c>
      <c r="D136" s="74"/>
      <c r="E136" s="74" t="s">
        <v>501</v>
      </c>
      <c r="F136" s="75" t="s">
        <v>686</v>
      </c>
      <c r="G136" s="56">
        <v>1500</v>
      </c>
      <c r="H136" s="56">
        <v>150</v>
      </c>
      <c r="I136" s="56">
        <v>94.8</v>
      </c>
      <c r="J136" s="56"/>
      <c r="K136" s="56"/>
      <c r="L136" s="56"/>
      <c r="M136" s="56"/>
      <c r="N136" s="56">
        <f t="shared" si="9"/>
        <v>1744.8</v>
      </c>
      <c r="O136" s="56"/>
      <c r="P136" s="58">
        <f t="shared" si="8"/>
        <v>7550956.29</v>
      </c>
      <c r="Q136" s="56"/>
    </row>
    <row r="137" ht="20" customHeight="1" spans="2:17">
      <c r="B137" s="42">
        <v>2</v>
      </c>
      <c r="C137" s="42">
        <v>9</v>
      </c>
      <c r="D137" s="74"/>
      <c r="E137" s="74" t="s">
        <v>479</v>
      </c>
      <c r="F137" s="75" t="s">
        <v>687</v>
      </c>
      <c r="G137" s="56"/>
      <c r="H137" s="56"/>
      <c r="I137" s="56">
        <v>559.4</v>
      </c>
      <c r="J137" s="56"/>
      <c r="K137" s="56"/>
      <c r="L137" s="56"/>
      <c r="M137" s="56"/>
      <c r="N137" s="56">
        <f t="shared" si="9"/>
        <v>559.4</v>
      </c>
      <c r="O137" s="56"/>
      <c r="P137" s="58">
        <f t="shared" si="8"/>
        <v>7551515.69</v>
      </c>
      <c r="Q137" s="56"/>
    </row>
    <row r="138" ht="20" customHeight="1" spans="2:17">
      <c r="B138" s="42">
        <v>2</v>
      </c>
      <c r="C138" s="42">
        <v>10</v>
      </c>
      <c r="D138" s="74"/>
      <c r="E138" s="74" t="s">
        <v>560</v>
      </c>
      <c r="F138" s="75" t="s">
        <v>688</v>
      </c>
      <c r="G138" s="56">
        <v>2400</v>
      </c>
      <c r="H138" s="56">
        <v>150</v>
      </c>
      <c r="I138" s="56">
        <v>72</v>
      </c>
      <c r="J138" s="56"/>
      <c r="K138" s="56"/>
      <c r="L138" s="56"/>
      <c r="M138" s="56"/>
      <c r="N138" s="56">
        <f t="shared" si="9"/>
        <v>2622</v>
      </c>
      <c r="O138" s="56"/>
      <c r="P138" s="58">
        <f t="shared" si="8"/>
        <v>7554137.69</v>
      </c>
      <c r="Q138" s="56"/>
    </row>
    <row r="139" ht="20" customHeight="1" spans="2:17">
      <c r="B139" s="42">
        <v>2</v>
      </c>
      <c r="C139" s="42">
        <v>10</v>
      </c>
      <c r="D139" s="74"/>
      <c r="E139" s="74" t="s">
        <v>510</v>
      </c>
      <c r="F139" s="75" t="s">
        <v>689</v>
      </c>
      <c r="G139" s="56">
        <v>1700</v>
      </c>
      <c r="H139" s="56">
        <v>150</v>
      </c>
      <c r="I139" s="56">
        <v>145.2</v>
      </c>
      <c r="J139" s="56"/>
      <c r="K139" s="56"/>
      <c r="L139" s="56"/>
      <c r="M139" s="56"/>
      <c r="N139" s="56">
        <f t="shared" si="9"/>
        <v>1995.2</v>
      </c>
      <c r="O139" s="56"/>
      <c r="P139" s="58">
        <f t="shared" si="8"/>
        <v>7556132.89</v>
      </c>
      <c r="Q139" s="56"/>
    </row>
    <row r="140" ht="20" customHeight="1" spans="2:17">
      <c r="B140" s="42">
        <v>2</v>
      </c>
      <c r="C140" s="42">
        <v>10</v>
      </c>
      <c r="D140" s="74"/>
      <c r="E140" s="74" t="s">
        <v>599</v>
      </c>
      <c r="F140" s="75" t="s">
        <v>690</v>
      </c>
      <c r="G140" s="56">
        <v>13800</v>
      </c>
      <c r="H140" s="56"/>
      <c r="I140" s="56"/>
      <c r="J140" s="56"/>
      <c r="K140" s="56"/>
      <c r="L140" s="56"/>
      <c r="M140" s="56"/>
      <c r="N140" s="56">
        <f t="shared" si="9"/>
        <v>13800</v>
      </c>
      <c r="O140" s="56"/>
      <c r="P140" s="58">
        <f t="shared" si="8"/>
        <v>7569932.89</v>
      </c>
      <c r="Q140" s="56"/>
    </row>
    <row r="141" ht="20" customHeight="1" spans="2:17">
      <c r="B141" s="42">
        <v>2</v>
      </c>
      <c r="C141" s="42">
        <v>10</v>
      </c>
      <c r="D141" s="74"/>
      <c r="E141" s="74" t="s">
        <v>599</v>
      </c>
      <c r="F141" s="75" t="s">
        <v>691</v>
      </c>
      <c r="G141" s="56"/>
      <c r="H141" s="56">
        <v>150</v>
      </c>
      <c r="I141" s="56">
        <v>138</v>
      </c>
      <c r="J141" s="56"/>
      <c r="K141" s="56"/>
      <c r="L141" s="56"/>
      <c r="M141" s="56"/>
      <c r="N141" s="56">
        <f t="shared" si="9"/>
        <v>288</v>
      </c>
      <c r="O141" s="56"/>
      <c r="P141" s="58">
        <f t="shared" si="8"/>
        <v>7570220.89</v>
      </c>
      <c r="Q141" s="56"/>
    </row>
    <row r="142" ht="20" customHeight="1" spans="2:17">
      <c r="B142" s="42">
        <v>2</v>
      </c>
      <c r="C142" s="42">
        <v>10</v>
      </c>
      <c r="D142" s="74" t="s">
        <v>69</v>
      </c>
      <c r="E142" s="42" t="s">
        <v>20</v>
      </c>
      <c r="F142" s="75" t="s">
        <v>280</v>
      </c>
      <c r="G142" s="56"/>
      <c r="H142" s="56"/>
      <c r="I142" s="56"/>
      <c r="J142" s="56"/>
      <c r="K142" s="56"/>
      <c r="L142" s="56"/>
      <c r="M142" s="56"/>
      <c r="N142" s="172">
        <v>10000</v>
      </c>
      <c r="O142" s="55">
        <v>10000</v>
      </c>
      <c r="P142" s="58">
        <f t="shared" si="8"/>
        <v>7570220.89</v>
      </c>
      <c r="Q142" s="56"/>
    </row>
    <row r="143" ht="20" customHeight="1" spans="2:17">
      <c r="B143" s="42">
        <v>2</v>
      </c>
      <c r="C143" s="42">
        <v>10</v>
      </c>
      <c r="D143" s="74"/>
      <c r="E143" s="74" t="s">
        <v>644</v>
      </c>
      <c r="F143" s="75" t="s">
        <v>692</v>
      </c>
      <c r="G143" s="56">
        <v>1600</v>
      </c>
      <c r="H143" s="56">
        <v>150</v>
      </c>
      <c r="I143" s="56">
        <v>94.8</v>
      </c>
      <c r="J143" s="56"/>
      <c r="K143" s="56"/>
      <c r="L143" s="56"/>
      <c r="M143" s="56"/>
      <c r="N143" s="56">
        <f t="shared" ref="N143:N171" si="10">SUM(G143:L143)-M143</f>
        <v>1844.8</v>
      </c>
      <c r="O143" s="56"/>
      <c r="P143" s="58">
        <f t="shared" si="8"/>
        <v>7572065.69</v>
      </c>
      <c r="Q143" s="56"/>
    </row>
    <row r="144" ht="20" customHeight="1" spans="2:17">
      <c r="B144" s="42">
        <v>2</v>
      </c>
      <c r="C144" s="42">
        <v>10</v>
      </c>
      <c r="D144" s="74"/>
      <c r="E144" s="74" t="s">
        <v>514</v>
      </c>
      <c r="F144" s="75" t="s">
        <v>693</v>
      </c>
      <c r="G144" s="56">
        <v>7715</v>
      </c>
      <c r="H144" s="56">
        <v>200</v>
      </c>
      <c r="I144" s="56">
        <v>645.4</v>
      </c>
      <c r="J144" s="56"/>
      <c r="K144" s="56"/>
      <c r="L144" s="56"/>
      <c r="M144" s="56"/>
      <c r="N144" s="56">
        <f t="shared" si="10"/>
        <v>8560.4</v>
      </c>
      <c r="O144" s="56"/>
      <c r="P144" s="58">
        <f t="shared" si="8"/>
        <v>7580626.09</v>
      </c>
      <c r="Q144" s="56"/>
    </row>
    <row r="145" ht="20" customHeight="1" spans="2:17">
      <c r="B145" s="42">
        <v>2</v>
      </c>
      <c r="C145" s="42">
        <v>11</v>
      </c>
      <c r="D145" s="74"/>
      <c r="E145" s="74" t="s">
        <v>568</v>
      </c>
      <c r="F145" s="75" t="s">
        <v>694</v>
      </c>
      <c r="G145" s="56">
        <v>2500</v>
      </c>
      <c r="H145" s="56">
        <v>150</v>
      </c>
      <c r="I145" s="56">
        <v>111.6</v>
      </c>
      <c r="J145" s="56"/>
      <c r="K145" s="56"/>
      <c r="L145" s="56"/>
      <c r="M145" s="56">
        <v>27.99</v>
      </c>
      <c r="N145" s="56">
        <f t="shared" si="10"/>
        <v>2733.61</v>
      </c>
      <c r="O145" s="56"/>
      <c r="P145" s="58">
        <f t="shared" si="8"/>
        <v>7583359.7</v>
      </c>
      <c r="Q145" s="59" t="s">
        <v>669</v>
      </c>
    </row>
    <row r="146" ht="20" customHeight="1" spans="2:17">
      <c r="B146" s="42">
        <v>2</v>
      </c>
      <c r="C146" s="42">
        <v>11</v>
      </c>
      <c r="D146" s="74"/>
      <c r="E146" s="74" t="s">
        <v>564</v>
      </c>
      <c r="F146" s="75" t="s">
        <v>695</v>
      </c>
      <c r="G146" s="56"/>
      <c r="H146" s="56"/>
      <c r="I146" s="56">
        <v>262</v>
      </c>
      <c r="J146" s="56"/>
      <c r="K146" s="56"/>
      <c r="L146" s="56"/>
      <c r="M146" s="56"/>
      <c r="N146" s="56">
        <f t="shared" si="10"/>
        <v>262</v>
      </c>
      <c r="O146" s="56"/>
      <c r="P146" s="58">
        <f t="shared" si="8"/>
        <v>7583621.7</v>
      </c>
      <c r="Q146" s="59" t="s">
        <v>669</v>
      </c>
    </row>
    <row r="147" ht="20" customHeight="1" spans="2:17">
      <c r="B147" s="42">
        <v>2</v>
      </c>
      <c r="C147" s="42">
        <v>11</v>
      </c>
      <c r="D147" s="74"/>
      <c r="E147" s="74" t="s">
        <v>503</v>
      </c>
      <c r="F147" s="75" t="s">
        <v>696</v>
      </c>
      <c r="G147" s="56">
        <v>1400</v>
      </c>
      <c r="H147" s="56">
        <v>150</v>
      </c>
      <c r="I147" s="56">
        <v>69.6</v>
      </c>
      <c r="J147" s="56"/>
      <c r="K147" s="56"/>
      <c r="L147" s="56"/>
      <c r="M147" s="56"/>
      <c r="N147" s="56">
        <f t="shared" si="10"/>
        <v>1619.6</v>
      </c>
      <c r="O147" s="56"/>
      <c r="P147" s="58">
        <f t="shared" si="8"/>
        <v>7585241.3</v>
      </c>
      <c r="Q147" s="59" t="s">
        <v>669</v>
      </c>
    </row>
    <row r="148" ht="20" customHeight="1" spans="2:17">
      <c r="B148" s="42">
        <v>2</v>
      </c>
      <c r="C148" s="42">
        <v>11</v>
      </c>
      <c r="D148" s="74"/>
      <c r="E148" s="74" t="s">
        <v>595</v>
      </c>
      <c r="F148" s="75" t="s">
        <v>697</v>
      </c>
      <c r="G148" s="56"/>
      <c r="H148" s="56">
        <v>150</v>
      </c>
      <c r="I148" s="56">
        <v>50</v>
      </c>
      <c r="J148" s="56"/>
      <c r="K148" s="56"/>
      <c r="L148" s="56"/>
      <c r="M148" s="56"/>
      <c r="N148" s="56">
        <f t="shared" si="10"/>
        <v>200</v>
      </c>
      <c r="O148" s="56"/>
      <c r="P148" s="58">
        <f t="shared" si="8"/>
        <v>7585441.3</v>
      </c>
      <c r="Q148" s="59" t="s">
        <v>669</v>
      </c>
    </row>
    <row r="149" ht="20" customHeight="1" spans="2:17">
      <c r="B149" s="42">
        <v>2</v>
      </c>
      <c r="C149" s="42">
        <v>11</v>
      </c>
      <c r="D149" s="74"/>
      <c r="E149" s="74" t="s">
        <v>512</v>
      </c>
      <c r="F149" s="75" t="s">
        <v>698</v>
      </c>
      <c r="G149" s="56">
        <v>200</v>
      </c>
      <c r="H149" s="56">
        <v>177.6</v>
      </c>
      <c r="I149" s="56"/>
      <c r="J149" s="56"/>
      <c r="K149" s="56"/>
      <c r="L149" s="56"/>
      <c r="M149" s="56"/>
      <c r="N149" s="56">
        <f t="shared" si="10"/>
        <v>377.6</v>
      </c>
      <c r="O149" s="56"/>
      <c r="P149" s="58">
        <f t="shared" si="8"/>
        <v>7585818.9</v>
      </c>
      <c r="Q149" s="59" t="s">
        <v>669</v>
      </c>
    </row>
    <row r="150" ht="20" customHeight="1" spans="2:17">
      <c r="B150" s="42">
        <v>2</v>
      </c>
      <c r="C150" s="42">
        <v>11</v>
      </c>
      <c r="D150" s="74"/>
      <c r="E150" s="74" t="s">
        <v>554</v>
      </c>
      <c r="F150" s="75" t="s">
        <v>699</v>
      </c>
      <c r="G150" s="56"/>
      <c r="H150" s="56">
        <v>150</v>
      </c>
      <c r="I150" s="56">
        <v>156</v>
      </c>
      <c r="J150" s="56"/>
      <c r="K150" s="56"/>
      <c r="L150" s="56"/>
      <c r="M150" s="56"/>
      <c r="N150" s="56">
        <f t="shared" si="10"/>
        <v>306</v>
      </c>
      <c r="O150" s="56"/>
      <c r="P150" s="58">
        <f t="shared" si="8"/>
        <v>7586124.9</v>
      </c>
      <c r="Q150" s="59" t="s">
        <v>669</v>
      </c>
    </row>
    <row r="151" ht="20" customHeight="1" spans="2:17">
      <c r="B151" s="42">
        <v>2</v>
      </c>
      <c r="C151" s="42">
        <v>11</v>
      </c>
      <c r="D151" s="74"/>
      <c r="E151" s="74" t="s">
        <v>541</v>
      </c>
      <c r="F151" s="75" t="s">
        <v>700</v>
      </c>
      <c r="G151" s="56"/>
      <c r="H151" s="56">
        <v>150</v>
      </c>
      <c r="I151" s="56">
        <v>432</v>
      </c>
      <c r="J151" s="56"/>
      <c r="K151" s="56"/>
      <c r="L151" s="56"/>
      <c r="M151" s="56"/>
      <c r="N151" s="56">
        <f t="shared" si="10"/>
        <v>582</v>
      </c>
      <c r="O151" s="56"/>
      <c r="P151" s="58">
        <f t="shared" si="8"/>
        <v>7586706.9</v>
      </c>
      <c r="Q151" s="59" t="s">
        <v>669</v>
      </c>
    </row>
    <row r="152" ht="20" customHeight="1" spans="2:17">
      <c r="B152" s="42">
        <v>2</v>
      </c>
      <c r="C152" s="42">
        <v>11</v>
      </c>
      <c r="D152" s="74"/>
      <c r="E152" s="74" t="s">
        <v>701</v>
      </c>
      <c r="F152" s="75" t="s">
        <v>702</v>
      </c>
      <c r="G152" s="56"/>
      <c r="H152" s="56"/>
      <c r="I152" s="56">
        <v>87.6</v>
      </c>
      <c r="J152" s="56"/>
      <c r="K152" s="56"/>
      <c r="L152" s="56"/>
      <c r="M152" s="56"/>
      <c r="N152" s="56">
        <f t="shared" si="10"/>
        <v>87.6</v>
      </c>
      <c r="O152" s="56"/>
      <c r="P152" s="58">
        <f t="shared" si="8"/>
        <v>7586794.5</v>
      </c>
      <c r="Q152" s="59" t="s">
        <v>669</v>
      </c>
    </row>
    <row r="153" ht="20" customHeight="1" spans="2:17">
      <c r="B153" s="42">
        <v>2</v>
      </c>
      <c r="C153" s="42">
        <v>11</v>
      </c>
      <c r="D153" s="74"/>
      <c r="E153" s="74" t="s">
        <v>537</v>
      </c>
      <c r="F153" s="75" t="s">
        <v>703</v>
      </c>
      <c r="G153" s="56"/>
      <c r="H153" s="56">
        <v>150</v>
      </c>
      <c r="I153" s="56">
        <v>128.4</v>
      </c>
      <c r="J153" s="56"/>
      <c r="K153" s="56"/>
      <c r="L153" s="56"/>
      <c r="M153" s="56"/>
      <c r="N153" s="56">
        <f t="shared" si="10"/>
        <v>278.4</v>
      </c>
      <c r="O153" s="56"/>
      <c r="P153" s="58">
        <f t="shared" si="8"/>
        <v>7587072.9</v>
      </c>
      <c r="Q153" s="59" t="s">
        <v>669</v>
      </c>
    </row>
    <row r="154" ht="20" customHeight="1" spans="2:17">
      <c r="B154" s="42">
        <v>2</v>
      </c>
      <c r="C154" s="42">
        <v>11</v>
      </c>
      <c r="D154" s="74"/>
      <c r="E154" s="74" t="s">
        <v>545</v>
      </c>
      <c r="F154" s="75" t="s">
        <v>704</v>
      </c>
      <c r="G154" s="56">
        <v>1500</v>
      </c>
      <c r="H154" s="56">
        <v>150</v>
      </c>
      <c r="I154" s="56">
        <v>99.6</v>
      </c>
      <c r="J154" s="56"/>
      <c r="K154" s="56"/>
      <c r="L154" s="56"/>
      <c r="M154" s="56"/>
      <c r="N154" s="56">
        <f t="shared" si="10"/>
        <v>1749.6</v>
      </c>
      <c r="O154" s="56"/>
      <c r="P154" s="58">
        <f t="shared" si="8"/>
        <v>7588822.5</v>
      </c>
      <c r="Q154" s="59" t="s">
        <v>669</v>
      </c>
    </row>
    <row r="155" ht="20" customHeight="1" spans="2:17">
      <c r="B155" s="42">
        <v>2</v>
      </c>
      <c r="C155" s="42">
        <v>11</v>
      </c>
      <c r="D155" s="74"/>
      <c r="E155" s="74" t="s">
        <v>599</v>
      </c>
      <c r="F155" s="75" t="s">
        <v>705</v>
      </c>
      <c r="G155" s="56"/>
      <c r="H155" s="56">
        <v>150</v>
      </c>
      <c r="I155" s="56">
        <v>133.2</v>
      </c>
      <c r="J155" s="56"/>
      <c r="K155" s="56"/>
      <c r="L155" s="56"/>
      <c r="M155" s="56"/>
      <c r="N155" s="56">
        <f t="shared" si="10"/>
        <v>283.2</v>
      </c>
      <c r="O155" s="56"/>
      <c r="P155" s="58">
        <f t="shared" si="8"/>
        <v>7589105.7</v>
      </c>
      <c r="Q155" s="59" t="s">
        <v>669</v>
      </c>
    </row>
    <row r="156" ht="20" customHeight="1" spans="2:17">
      <c r="B156" s="42">
        <v>2</v>
      </c>
      <c r="C156" s="42">
        <v>11</v>
      </c>
      <c r="D156" s="74"/>
      <c r="E156" s="74" t="s">
        <v>531</v>
      </c>
      <c r="F156" s="75" t="s">
        <v>706</v>
      </c>
      <c r="G156" s="56"/>
      <c r="H156" s="56">
        <v>150</v>
      </c>
      <c r="I156" s="56">
        <v>63.6</v>
      </c>
      <c r="J156" s="56"/>
      <c r="K156" s="56"/>
      <c r="L156" s="56"/>
      <c r="M156" s="56"/>
      <c r="N156" s="56">
        <f t="shared" si="10"/>
        <v>213.6</v>
      </c>
      <c r="O156" s="56"/>
      <c r="P156" s="58">
        <f t="shared" si="8"/>
        <v>7589319.3</v>
      </c>
      <c r="Q156" s="59" t="s">
        <v>669</v>
      </c>
    </row>
    <row r="157" ht="20" customHeight="1" spans="2:17">
      <c r="B157" s="42">
        <v>2</v>
      </c>
      <c r="C157" s="42">
        <v>11</v>
      </c>
      <c r="D157" s="74"/>
      <c r="E157" s="74" t="s">
        <v>550</v>
      </c>
      <c r="F157" s="75" t="s">
        <v>707</v>
      </c>
      <c r="G157" s="56"/>
      <c r="H157" s="56">
        <v>150</v>
      </c>
      <c r="I157" s="56">
        <v>133.2</v>
      </c>
      <c r="J157" s="56"/>
      <c r="K157" s="56"/>
      <c r="L157" s="56"/>
      <c r="M157" s="56"/>
      <c r="N157" s="56">
        <f t="shared" si="10"/>
        <v>283.2</v>
      </c>
      <c r="O157" s="56"/>
      <c r="P157" s="58">
        <f t="shared" si="8"/>
        <v>7589602.5</v>
      </c>
      <c r="Q157" s="59" t="s">
        <v>669</v>
      </c>
    </row>
    <row r="158" ht="20" customHeight="1" spans="2:17">
      <c r="B158" s="42">
        <v>2</v>
      </c>
      <c r="C158" s="42">
        <v>11</v>
      </c>
      <c r="D158" s="74"/>
      <c r="E158" s="74" t="s">
        <v>608</v>
      </c>
      <c r="F158" s="75" t="s">
        <v>708</v>
      </c>
      <c r="G158" s="56">
        <v>1200</v>
      </c>
      <c r="H158" s="56">
        <v>150</v>
      </c>
      <c r="I158" s="56">
        <v>69</v>
      </c>
      <c r="J158" s="56"/>
      <c r="K158" s="56"/>
      <c r="L158" s="56"/>
      <c r="M158" s="56"/>
      <c r="N158" s="56">
        <f t="shared" si="10"/>
        <v>1419</v>
      </c>
      <c r="O158" s="56"/>
      <c r="P158" s="58">
        <f t="shared" si="8"/>
        <v>7591021.5</v>
      </c>
      <c r="Q158" s="59" t="s">
        <v>669</v>
      </c>
    </row>
    <row r="159" ht="20" customHeight="1" spans="2:17">
      <c r="B159" s="42">
        <v>2</v>
      </c>
      <c r="C159" s="42">
        <v>11</v>
      </c>
      <c r="D159" s="74"/>
      <c r="E159" s="74" t="s">
        <v>572</v>
      </c>
      <c r="F159" s="75" t="s">
        <v>709</v>
      </c>
      <c r="G159" s="56">
        <v>1488</v>
      </c>
      <c r="H159" s="56"/>
      <c r="I159" s="56">
        <v>322.8</v>
      </c>
      <c r="J159" s="56"/>
      <c r="K159" s="56"/>
      <c r="L159" s="56"/>
      <c r="M159" s="56"/>
      <c r="N159" s="56">
        <f t="shared" si="10"/>
        <v>1810.8</v>
      </c>
      <c r="O159" s="56"/>
      <c r="P159" s="58">
        <f t="shared" si="8"/>
        <v>7592832.3</v>
      </c>
      <c r="Q159" s="59" t="s">
        <v>669</v>
      </c>
    </row>
    <row r="160" ht="20" customHeight="1" spans="2:17">
      <c r="B160" s="42">
        <v>2</v>
      </c>
      <c r="C160" s="42">
        <v>11</v>
      </c>
      <c r="D160" s="74"/>
      <c r="E160" s="74" t="s">
        <v>552</v>
      </c>
      <c r="F160" s="75" t="s">
        <v>710</v>
      </c>
      <c r="G160" s="56">
        <v>7590</v>
      </c>
      <c r="H160" s="56"/>
      <c r="I160" s="56">
        <v>130</v>
      </c>
      <c r="J160" s="56"/>
      <c r="K160" s="56"/>
      <c r="L160" s="56"/>
      <c r="M160" s="56"/>
      <c r="N160" s="56">
        <f t="shared" si="10"/>
        <v>7720</v>
      </c>
      <c r="O160" s="56"/>
      <c r="P160" s="58">
        <f t="shared" si="8"/>
        <v>7600552.3</v>
      </c>
      <c r="Q160" s="59" t="s">
        <v>669</v>
      </c>
    </row>
    <row r="161" ht="20" customHeight="1" spans="2:17">
      <c r="B161" s="42">
        <v>2</v>
      </c>
      <c r="C161" s="42">
        <v>11</v>
      </c>
      <c r="D161" s="74"/>
      <c r="E161" s="42" t="s">
        <v>570</v>
      </c>
      <c r="F161" s="75" t="s">
        <v>711</v>
      </c>
      <c r="G161" s="56">
        <v>1500</v>
      </c>
      <c r="H161" s="56">
        <v>150</v>
      </c>
      <c r="I161" s="56">
        <v>81.6</v>
      </c>
      <c r="J161" s="56"/>
      <c r="K161" s="56"/>
      <c r="L161" s="56"/>
      <c r="M161" s="56"/>
      <c r="N161" s="56">
        <f t="shared" si="10"/>
        <v>1731.6</v>
      </c>
      <c r="O161" s="56"/>
      <c r="P161" s="58">
        <f t="shared" si="8"/>
        <v>7602283.9</v>
      </c>
      <c r="Q161" s="59" t="s">
        <v>669</v>
      </c>
    </row>
    <row r="162" ht="20" customHeight="1" spans="2:17">
      <c r="B162" s="42">
        <v>2</v>
      </c>
      <c r="C162" s="42">
        <v>11</v>
      </c>
      <c r="D162" s="74"/>
      <c r="E162" s="74" t="s">
        <v>602</v>
      </c>
      <c r="F162" s="75" t="s">
        <v>712</v>
      </c>
      <c r="G162" s="56">
        <v>1350</v>
      </c>
      <c r="H162" s="56"/>
      <c r="I162" s="56">
        <v>102</v>
      </c>
      <c r="J162" s="56"/>
      <c r="K162" s="56"/>
      <c r="L162" s="56"/>
      <c r="M162" s="56"/>
      <c r="N162" s="56">
        <f t="shared" si="10"/>
        <v>1452</v>
      </c>
      <c r="O162" s="56"/>
      <c r="P162" s="58">
        <f t="shared" si="8"/>
        <v>7603735.9</v>
      </c>
      <c r="Q162" s="59" t="s">
        <v>669</v>
      </c>
    </row>
    <row r="163" ht="20" customHeight="1" spans="2:17">
      <c r="B163" s="42">
        <v>2</v>
      </c>
      <c r="C163" s="42">
        <v>11</v>
      </c>
      <c r="D163" s="74"/>
      <c r="E163" s="74" t="s">
        <v>539</v>
      </c>
      <c r="F163" s="75" t="s">
        <v>713</v>
      </c>
      <c r="G163" s="56"/>
      <c r="H163" s="56">
        <v>150</v>
      </c>
      <c r="I163" s="56">
        <v>71.4</v>
      </c>
      <c r="J163" s="56"/>
      <c r="K163" s="56"/>
      <c r="L163" s="56"/>
      <c r="M163" s="56"/>
      <c r="N163" s="56">
        <f t="shared" si="10"/>
        <v>221.4</v>
      </c>
      <c r="O163" s="56"/>
      <c r="P163" s="58">
        <f t="shared" si="8"/>
        <v>7603957.3</v>
      </c>
      <c r="Q163" s="59" t="s">
        <v>669</v>
      </c>
    </row>
    <row r="164" ht="20" customHeight="1" spans="2:17">
      <c r="B164" s="42">
        <v>2</v>
      </c>
      <c r="C164" s="42">
        <v>11</v>
      </c>
      <c r="D164" s="74"/>
      <c r="E164" s="74" t="s">
        <v>556</v>
      </c>
      <c r="F164" s="75" t="s">
        <v>714</v>
      </c>
      <c r="G164" s="56">
        <v>2500</v>
      </c>
      <c r="H164" s="56">
        <v>150</v>
      </c>
      <c r="I164" s="56">
        <v>55.2</v>
      </c>
      <c r="J164" s="56"/>
      <c r="K164" s="56"/>
      <c r="L164" s="56"/>
      <c r="M164" s="56"/>
      <c r="N164" s="56">
        <f t="shared" si="10"/>
        <v>2705.2</v>
      </c>
      <c r="O164" s="56"/>
      <c r="P164" s="58">
        <f t="shared" si="8"/>
        <v>7606662.5</v>
      </c>
      <c r="Q164" s="59" t="s">
        <v>669</v>
      </c>
    </row>
    <row r="165" ht="20" customHeight="1" spans="2:17">
      <c r="B165" s="42">
        <v>2</v>
      </c>
      <c r="C165" s="42">
        <v>11</v>
      </c>
      <c r="D165" s="74"/>
      <c r="E165" s="74" t="s">
        <v>548</v>
      </c>
      <c r="F165" s="75" t="s">
        <v>715</v>
      </c>
      <c r="G165" s="56">
        <v>1700</v>
      </c>
      <c r="H165" s="56">
        <v>150</v>
      </c>
      <c r="I165" s="56">
        <v>103.2</v>
      </c>
      <c r="J165" s="56"/>
      <c r="K165" s="56"/>
      <c r="L165" s="56"/>
      <c r="M165" s="56"/>
      <c r="N165" s="56">
        <f t="shared" si="10"/>
        <v>1953.2</v>
      </c>
      <c r="O165" s="56"/>
      <c r="P165" s="58">
        <f t="shared" si="8"/>
        <v>7608615.7</v>
      </c>
      <c r="Q165" s="59" t="s">
        <v>669</v>
      </c>
    </row>
    <row r="166" ht="20" customHeight="1" spans="2:17">
      <c r="B166" s="42">
        <v>2</v>
      </c>
      <c r="C166" s="42">
        <v>11</v>
      </c>
      <c r="D166" s="74"/>
      <c r="E166" s="74" t="s">
        <v>716</v>
      </c>
      <c r="F166" s="75" t="s">
        <v>717</v>
      </c>
      <c r="G166" s="56"/>
      <c r="H166" s="56"/>
      <c r="I166" s="56">
        <v>80.4</v>
      </c>
      <c r="J166" s="56"/>
      <c r="K166" s="56"/>
      <c r="L166" s="56"/>
      <c r="M166" s="56">
        <v>1.42</v>
      </c>
      <c r="N166" s="56">
        <f t="shared" si="10"/>
        <v>78.98</v>
      </c>
      <c r="O166" s="56"/>
      <c r="P166" s="58">
        <f t="shared" si="8"/>
        <v>7608694.68</v>
      </c>
      <c r="Q166" s="59" t="s">
        <v>669</v>
      </c>
    </row>
    <row r="167" ht="20" customHeight="1" spans="2:17">
      <c r="B167" s="42">
        <v>2</v>
      </c>
      <c r="C167" s="42">
        <v>11</v>
      </c>
      <c r="D167" s="74"/>
      <c r="E167" s="74" t="s">
        <v>716</v>
      </c>
      <c r="F167" s="75" t="s">
        <v>718</v>
      </c>
      <c r="G167" s="56"/>
      <c r="H167" s="56">
        <v>150</v>
      </c>
      <c r="I167" s="56">
        <v>229</v>
      </c>
      <c r="J167" s="56"/>
      <c r="K167" s="56"/>
      <c r="L167" s="56"/>
      <c r="M167" s="56"/>
      <c r="N167" s="56">
        <f t="shared" si="10"/>
        <v>379</v>
      </c>
      <c r="O167" s="56"/>
      <c r="P167" s="58">
        <f t="shared" si="8"/>
        <v>7609073.68</v>
      </c>
      <c r="Q167" s="59" t="s">
        <v>669</v>
      </c>
    </row>
    <row r="168" ht="20" customHeight="1" spans="2:17">
      <c r="B168" s="42">
        <v>2</v>
      </c>
      <c r="C168" s="42">
        <v>11</v>
      </c>
      <c r="D168" s="74"/>
      <c r="E168" s="74" t="s">
        <v>716</v>
      </c>
      <c r="F168" s="75" t="s">
        <v>719</v>
      </c>
      <c r="G168" s="56"/>
      <c r="H168" s="56"/>
      <c r="I168" s="56">
        <v>79</v>
      </c>
      <c r="J168" s="56"/>
      <c r="K168" s="56"/>
      <c r="L168" s="56"/>
      <c r="M168" s="56"/>
      <c r="N168" s="56">
        <f t="shared" si="10"/>
        <v>79</v>
      </c>
      <c r="O168" s="56"/>
      <c r="P168" s="58">
        <f t="shared" si="8"/>
        <v>7609152.68</v>
      </c>
      <c r="Q168" s="59" t="s">
        <v>669</v>
      </c>
    </row>
    <row r="169" ht="20" customHeight="1" spans="2:17">
      <c r="B169" s="42">
        <v>2</v>
      </c>
      <c r="C169" s="42">
        <v>11</v>
      </c>
      <c r="D169" s="74"/>
      <c r="E169" s="74" t="s">
        <v>716</v>
      </c>
      <c r="F169" s="75" t="s">
        <v>720</v>
      </c>
      <c r="G169" s="56"/>
      <c r="H169" s="56">
        <v>150</v>
      </c>
      <c r="I169" s="56">
        <v>247</v>
      </c>
      <c r="J169" s="56"/>
      <c r="K169" s="56"/>
      <c r="L169" s="56"/>
      <c r="M169" s="56"/>
      <c r="N169" s="56">
        <f t="shared" si="10"/>
        <v>397</v>
      </c>
      <c r="O169" s="56"/>
      <c r="P169" s="58">
        <f t="shared" si="8"/>
        <v>7609549.68</v>
      </c>
      <c r="Q169" s="59" t="s">
        <v>669</v>
      </c>
    </row>
    <row r="170" ht="20" customHeight="1" spans="2:17">
      <c r="B170" s="42">
        <v>2</v>
      </c>
      <c r="C170" s="42">
        <v>11</v>
      </c>
      <c r="D170" s="74"/>
      <c r="E170" s="74" t="s">
        <v>640</v>
      </c>
      <c r="F170" s="75" t="s">
        <v>721</v>
      </c>
      <c r="G170" s="56"/>
      <c r="H170" s="56">
        <v>150</v>
      </c>
      <c r="I170" s="56">
        <v>334</v>
      </c>
      <c r="J170" s="56"/>
      <c r="K170" s="56"/>
      <c r="L170" s="56"/>
      <c r="M170" s="56"/>
      <c r="N170" s="56">
        <f t="shared" si="10"/>
        <v>484</v>
      </c>
      <c r="O170" s="56"/>
      <c r="P170" s="58">
        <f t="shared" si="8"/>
        <v>7610033.68</v>
      </c>
      <c r="Q170" s="59" t="s">
        <v>669</v>
      </c>
    </row>
    <row r="171" ht="20" customHeight="1" spans="2:17">
      <c r="B171" s="42">
        <v>2</v>
      </c>
      <c r="C171" s="42">
        <v>11</v>
      </c>
      <c r="D171" s="74"/>
      <c r="E171" s="74" t="s">
        <v>506</v>
      </c>
      <c r="F171" s="75" t="s">
        <v>722</v>
      </c>
      <c r="G171" s="56">
        <v>7274</v>
      </c>
      <c r="H171" s="56">
        <v>200</v>
      </c>
      <c r="I171" s="56">
        <v>384</v>
      </c>
      <c r="J171" s="56"/>
      <c r="K171" s="56"/>
      <c r="L171" s="56"/>
      <c r="M171" s="56"/>
      <c r="N171" s="56">
        <f t="shared" si="10"/>
        <v>7858</v>
      </c>
      <c r="O171" s="56"/>
      <c r="P171" s="58">
        <f t="shared" si="8"/>
        <v>7617891.68</v>
      </c>
      <c r="Q171" s="56"/>
    </row>
    <row r="172" ht="20" customHeight="1" spans="2:17">
      <c r="B172" s="42">
        <v>2</v>
      </c>
      <c r="C172" s="42">
        <v>11</v>
      </c>
      <c r="D172" s="74" t="s">
        <v>69</v>
      </c>
      <c r="E172" s="42" t="s">
        <v>20</v>
      </c>
      <c r="F172" s="75" t="s">
        <v>280</v>
      </c>
      <c r="G172" s="56"/>
      <c r="H172" s="56"/>
      <c r="I172" s="56"/>
      <c r="J172" s="56"/>
      <c r="K172" s="56"/>
      <c r="L172" s="56"/>
      <c r="M172" s="56"/>
      <c r="N172" s="172">
        <v>60000</v>
      </c>
      <c r="O172" s="55">
        <v>60000</v>
      </c>
      <c r="P172" s="58">
        <f t="shared" si="8"/>
        <v>7617891.68</v>
      </c>
      <c r="Q172" s="56"/>
    </row>
    <row r="173" ht="20" customHeight="1" spans="2:17">
      <c r="B173" s="42">
        <v>2</v>
      </c>
      <c r="C173" s="42">
        <v>11</v>
      </c>
      <c r="D173" s="74"/>
      <c r="E173" s="74" t="s">
        <v>479</v>
      </c>
      <c r="F173" s="75" t="s">
        <v>723</v>
      </c>
      <c r="G173" s="56"/>
      <c r="H173" s="56">
        <v>200</v>
      </c>
      <c r="I173" s="56"/>
      <c r="J173" s="56"/>
      <c r="K173" s="56"/>
      <c r="L173" s="56"/>
      <c r="M173" s="56"/>
      <c r="N173" s="56">
        <f t="shared" ref="N173:N186" si="11">SUM(G173:L173)-M173</f>
        <v>200</v>
      </c>
      <c r="O173" s="56"/>
      <c r="P173" s="58">
        <f t="shared" si="8"/>
        <v>7618091.68</v>
      </c>
      <c r="Q173" s="56"/>
    </row>
    <row r="174" ht="20" customHeight="1" spans="2:17">
      <c r="B174" s="42">
        <v>2</v>
      </c>
      <c r="C174" s="42">
        <v>12</v>
      </c>
      <c r="D174" s="74"/>
      <c r="E174" s="74" t="s">
        <v>604</v>
      </c>
      <c r="F174" s="75" t="s">
        <v>724</v>
      </c>
      <c r="G174" s="56">
        <v>7355</v>
      </c>
      <c r="H174" s="56">
        <v>200</v>
      </c>
      <c r="I174" s="56">
        <v>118.8</v>
      </c>
      <c r="J174" s="56"/>
      <c r="K174" s="56"/>
      <c r="L174" s="56"/>
      <c r="M174" s="56"/>
      <c r="N174" s="56">
        <f t="shared" si="11"/>
        <v>7673.8</v>
      </c>
      <c r="O174" s="56"/>
      <c r="P174" s="58">
        <f t="shared" si="8"/>
        <v>7625765.48</v>
      </c>
      <c r="Q174" s="56"/>
    </row>
    <row r="175" ht="20" customHeight="1" spans="2:17">
      <c r="B175" s="42">
        <v>2</v>
      </c>
      <c r="C175" s="42">
        <v>12</v>
      </c>
      <c r="D175" s="74"/>
      <c r="E175" s="42" t="s">
        <v>579</v>
      </c>
      <c r="F175" s="75" t="s">
        <v>725</v>
      </c>
      <c r="G175" s="56">
        <v>5959</v>
      </c>
      <c r="H175" s="56">
        <v>200</v>
      </c>
      <c r="I175" s="56">
        <v>2450.8</v>
      </c>
      <c r="J175" s="56"/>
      <c r="K175" s="56"/>
      <c r="L175" s="56"/>
      <c r="M175" s="56"/>
      <c r="N175" s="56">
        <f t="shared" si="11"/>
        <v>8609.8</v>
      </c>
      <c r="O175" s="56"/>
      <c r="P175" s="58">
        <f t="shared" si="8"/>
        <v>7634375.28</v>
      </c>
      <c r="Q175" s="56"/>
    </row>
    <row r="176" ht="20" customHeight="1" spans="2:17">
      <c r="B176" s="42">
        <v>2</v>
      </c>
      <c r="C176" s="42">
        <v>13</v>
      </c>
      <c r="D176" s="74" t="s">
        <v>133</v>
      </c>
      <c r="E176" s="74" t="s">
        <v>251</v>
      </c>
      <c r="F176" s="75" t="s">
        <v>726</v>
      </c>
      <c r="G176" s="56"/>
      <c r="H176" s="56"/>
      <c r="I176" s="56"/>
      <c r="J176" s="56"/>
      <c r="K176" s="56"/>
      <c r="L176" s="56"/>
      <c r="M176" s="56"/>
      <c r="N176" s="56">
        <f t="shared" si="11"/>
        <v>0</v>
      </c>
      <c r="O176" s="56">
        <v>80000</v>
      </c>
      <c r="P176" s="58">
        <f t="shared" si="8"/>
        <v>7554375.28</v>
      </c>
      <c r="Q176" s="59" t="s">
        <v>666</v>
      </c>
    </row>
    <row r="177" ht="20" customHeight="1" spans="2:19">
      <c r="B177" s="42">
        <v>2</v>
      </c>
      <c r="C177" s="42">
        <v>13</v>
      </c>
      <c r="D177" s="74"/>
      <c r="E177" s="74" t="s">
        <v>558</v>
      </c>
      <c r="F177" s="75" t="s">
        <v>727</v>
      </c>
      <c r="G177" s="56">
        <v>1400</v>
      </c>
      <c r="H177" s="56">
        <v>150</v>
      </c>
      <c r="I177" s="56">
        <v>88.8</v>
      </c>
      <c r="J177" s="56"/>
      <c r="K177" s="56"/>
      <c r="L177" s="56"/>
      <c r="M177" s="56">
        <v>3.75</v>
      </c>
      <c r="N177" s="56">
        <f t="shared" si="11"/>
        <v>1635.05</v>
      </c>
      <c r="O177" s="56"/>
      <c r="P177" s="58">
        <f t="shared" si="8"/>
        <v>7556010.33</v>
      </c>
      <c r="Q177" s="59" t="s">
        <v>669</v>
      </c>
    </row>
    <row r="178" ht="20" customHeight="1" spans="2:19">
      <c r="B178" s="42">
        <v>2</v>
      </c>
      <c r="C178" s="42">
        <v>13</v>
      </c>
      <c r="D178" s="74"/>
      <c r="E178" s="74" t="s">
        <v>728</v>
      </c>
      <c r="F178" s="75" t="s">
        <v>729</v>
      </c>
      <c r="G178" s="56">
        <v>1829</v>
      </c>
      <c r="H178" s="56">
        <v>150</v>
      </c>
      <c r="I178" s="56">
        <v>139.2</v>
      </c>
      <c r="J178" s="56"/>
      <c r="K178" s="56"/>
      <c r="L178" s="56"/>
      <c r="M178" s="56"/>
      <c r="N178" s="56">
        <f t="shared" si="11"/>
        <v>2118.2</v>
      </c>
      <c r="O178" s="56"/>
      <c r="P178" s="58">
        <f t="shared" si="8"/>
        <v>7558128.53</v>
      </c>
      <c r="Q178" s="59" t="s">
        <v>669</v>
      </c>
    </row>
    <row r="179" ht="20" customHeight="1" spans="2:19">
      <c r="B179" s="42">
        <v>2</v>
      </c>
      <c r="C179" s="42">
        <v>13</v>
      </c>
      <c r="D179" s="74" t="s">
        <v>92</v>
      </c>
      <c r="E179" s="74" t="s">
        <v>271</v>
      </c>
      <c r="F179" s="75" t="s">
        <v>730</v>
      </c>
      <c r="G179" s="56"/>
      <c r="H179" s="56"/>
      <c r="I179" s="56"/>
      <c r="J179" s="56"/>
      <c r="K179" s="56"/>
      <c r="L179" s="56"/>
      <c r="M179" s="56"/>
      <c r="N179" s="56">
        <f t="shared" si="11"/>
        <v>0</v>
      </c>
      <c r="O179" s="56">
        <v>32398.33</v>
      </c>
      <c r="P179" s="58">
        <f t="shared" si="8"/>
        <v>7525730.2</v>
      </c>
      <c r="Q179" s="56"/>
    </row>
    <row r="180" ht="20" customHeight="1" spans="2:19">
      <c r="B180" s="42">
        <v>2</v>
      </c>
      <c r="C180" s="42">
        <v>13</v>
      </c>
      <c r="D180" s="74" t="s">
        <v>92</v>
      </c>
      <c r="E180" s="74" t="s">
        <v>271</v>
      </c>
      <c r="F180" s="75" t="s">
        <v>731</v>
      </c>
      <c r="G180" s="56"/>
      <c r="H180" s="56"/>
      <c r="I180" s="56"/>
      <c r="J180" s="56"/>
      <c r="K180" s="56"/>
      <c r="L180" s="56"/>
      <c r="M180" s="56"/>
      <c r="N180" s="56">
        <f t="shared" si="11"/>
        <v>0</v>
      </c>
      <c r="O180" s="56">
        <v>15700</v>
      </c>
      <c r="P180" s="58">
        <f t="shared" si="8"/>
        <v>7510030.2</v>
      </c>
      <c r="Q180" s="56"/>
    </row>
    <row r="181" ht="20" customHeight="1" spans="2:19">
      <c r="B181" s="42">
        <v>2</v>
      </c>
      <c r="C181" s="42">
        <v>13</v>
      </c>
      <c r="D181" s="74" t="s">
        <v>96</v>
      </c>
      <c r="E181" s="74" t="s">
        <v>620</v>
      </c>
      <c r="F181" s="75" t="s">
        <v>732</v>
      </c>
      <c r="G181" s="56"/>
      <c r="H181" s="56"/>
      <c r="I181" s="56"/>
      <c r="J181" s="56"/>
      <c r="K181" s="56"/>
      <c r="L181" s="56"/>
      <c r="M181" s="56"/>
      <c r="N181" s="56">
        <f t="shared" si="11"/>
        <v>0</v>
      </c>
      <c r="O181" s="56">
        <v>16000</v>
      </c>
      <c r="P181" s="58">
        <f t="shared" si="8"/>
        <v>7494030.2</v>
      </c>
      <c r="Q181" s="56"/>
    </row>
    <row r="182" ht="20" customHeight="1" spans="2:19">
      <c r="B182" s="42">
        <v>2</v>
      </c>
      <c r="C182" s="42">
        <v>13</v>
      </c>
      <c r="D182" s="74" t="s">
        <v>101</v>
      </c>
      <c r="E182" s="74" t="s">
        <v>486</v>
      </c>
      <c r="F182" s="75" t="s">
        <v>733</v>
      </c>
      <c r="G182" s="56"/>
      <c r="H182" s="56"/>
      <c r="I182" s="56"/>
      <c r="J182" s="56"/>
      <c r="K182" s="56"/>
      <c r="L182" s="56"/>
      <c r="M182" s="56"/>
      <c r="N182" s="56">
        <f t="shared" si="11"/>
        <v>0</v>
      </c>
      <c r="O182" s="56">
        <v>337.43</v>
      </c>
      <c r="P182" s="58">
        <f t="shared" si="8"/>
        <v>7493692.77</v>
      </c>
      <c r="Q182" s="56"/>
    </row>
    <row r="183" ht="20" customHeight="1" spans="2:19">
      <c r="B183" s="42">
        <v>2</v>
      </c>
      <c r="C183" s="42">
        <v>13</v>
      </c>
      <c r="D183" s="74" t="s">
        <v>124</v>
      </c>
      <c r="E183" s="74" t="s">
        <v>486</v>
      </c>
      <c r="F183" s="75" t="s">
        <v>734</v>
      </c>
      <c r="G183" s="56"/>
      <c r="H183" s="56"/>
      <c r="I183" s="56"/>
      <c r="J183" s="56"/>
      <c r="K183" s="56"/>
      <c r="L183" s="56"/>
      <c r="M183" s="56"/>
      <c r="N183" s="56">
        <f t="shared" si="11"/>
        <v>0</v>
      </c>
      <c r="O183" s="56">
        <v>2560.22</v>
      </c>
      <c r="P183" s="58">
        <f t="shared" si="8"/>
        <v>7491132.55</v>
      </c>
      <c r="Q183" s="56"/>
    </row>
    <row r="184" ht="20" customHeight="1" spans="2:19">
      <c r="B184" s="42">
        <v>2</v>
      </c>
      <c r="C184" s="42">
        <v>14</v>
      </c>
      <c r="D184" s="74"/>
      <c r="E184" s="54" t="s">
        <v>574</v>
      </c>
      <c r="F184" s="75" t="s">
        <v>735</v>
      </c>
      <c r="G184" s="56">
        <v>7043</v>
      </c>
      <c r="H184" s="56">
        <v>200</v>
      </c>
      <c r="I184" s="56">
        <v>603</v>
      </c>
      <c r="J184" s="56"/>
      <c r="K184" s="56"/>
      <c r="L184" s="56"/>
      <c r="M184" s="56">
        <v>16.51</v>
      </c>
      <c r="N184" s="56">
        <f t="shared" si="11"/>
        <v>7829.49</v>
      </c>
      <c r="O184" s="56"/>
      <c r="P184" s="58">
        <f t="shared" si="8"/>
        <v>7498962.04</v>
      </c>
      <c r="Q184" s="59" t="s">
        <v>669</v>
      </c>
    </row>
    <row r="185" ht="20" customHeight="1" spans="2:19">
      <c r="B185" s="42">
        <v>2</v>
      </c>
      <c r="C185" s="42">
        <v>14</v>
      </c>
      <c r="D185" s="74"/>
      <c r="E185" s="74" t="s">
        <v>618</v>
      </c>
      <c r="F185" s="140" t="s">
        <v>736</v>
      </c>
      <c r="G185" s="56">
        <v>7707</v>
      </c>
      <c r="H185" s="56">
        <v>200</v>
      </c>
      <c r="I185" s="56">
        <v>769.6</v>
      </c>
      <c r="J185" s="56"/>
      <c r="K185" s="56"/>
      <c r="L185" s="56"/>
      <c r="M185" s="56"/>
      <c r="N185" s="56">
        <f t="shared" si="11"/>
        <v>8676.6</v>
      </c>
      <c r="O185" s="56"/>
      <c r="P185" s="58">
        <f t="shared" si="8"/>
        <v>7507638.64</v>
      </c>
      <c r="Q185" s="59" t="s">
        <v>669</v>
      </c>
    </row>
    <row r="186" ht="20" customHeight="1" spans="2:19">
      <c r="B186" s="42">
        <v>2</v>
      </c>
      <c r="C186" s="42">
        <v>14</v>
      </c>
      <c r="D186" s="74" t="s">
        <v>101</v>
      </c>
      <c r="E186" s="74" t="s">
        <v>486</v>
      </c>
      <c r="F186" s="75" t="s">
        <v>737</v>
      </c>
      <c r="G186" s="56"/>
      <c r="H186" s="56"/>
      <c r="I186" s="56"/>
      <c r="J186" s="56"/>
      <c r="K186" s="56"/>
      <c r="L186" s="56"/>
      <c r="M186" s="56"/>
      <c r="N186" s="56">
        <f t="shared" si="11"/>
        <v>0</v>
      </c>
      <c r="O186" s="56">
        <v>942.02</v>
      </c>
      <c r="P186" s="58">
        <f t="shared" si="8"/>
        <v>7506696.62</v>
      </c>
      <c r="Q186" s="56"/>
    </row>
    <row r="187" ht="20" customHeight="1" spans="2:19">
      <c r="B187" s="42">
        <v>2</v>
      </c>
      <c r="C187" s="42">
        <v>14</v>
      </c>
      <c r="D187" s="74" t="s">
        <v>69</v>
      </c>
      <c r="E187" s="42" t="s">
        <v>20</v>
      </c>
      <c r="F187" s="75" t="s">
        <v>280</v>
      </c>
      <c r="G187" s="56"/>
      <c r="H187" s="56"/>
      <c r="I187" s="56"/>
      <c r="J187" s="56"/>
      <c r="K187" s="56"/>
      <c r="L187" s="56"/>
      <c r="M187" s="56"/>
      <c r="N187" s="172">
        <v>10000</v>
      </c>
      <c r="O187" s="55">
        <v>10000</v>
      </c>
      <c r="P187" s="58">
        <f t="shared" si="8"/>
        <v>7506696.62</v>
      </c>
      <c r="Q187" s="56"/>
    </row>
    <row r="188" ht="20" customHeight="1" spans="2:19">
      <c r="B188" s="42">
        <v>2</v>
      </c>
      <c r="C188" s="42">
        <v>21</v>
      </c>
      <c r="D188" s="74"/>
      <c r="E188" s="42" t="s">
        <v>529</v>
      </c>
      <c r="F188" s="75" t="s">
        <v>738</v>
      </c>
      <c r="G188" s="56">
        <v>3646</v>
      </c>
      <c r="H188" s="56">
        <v>150</v>
      </c>
      <c r="I188" s="56">
        <v>180</v>
      </c>
      <c r="J188" s="56"/>
      <c r="K188" s="56"/>
      <c r="L188" s="56"/>
      <c r="M188" s="56">
        <v>3.97</v>
      </c>
      <c r="N188" s="56">
        <f t="shared" ref="N188:N203" si="12">SUM(G188:L188)-M188</f>
        <v>3972.03</v>
      </c>
      <c r="O188" s="56"/>
      <c r="P188" s="58">
        <f t="shared" si="8"/>
        <v>7510668.65</v>
      </c>
      <c r="Q188" s="56"/>
      <c r="R188" s="3">
        <f>SUM(N116:N189)-N187-N172-N142-N131-N125+R114</f>
        <v>675360.68</v>
      </c>
      <c r="S188" s="3">
        <f>SUM(O116:O189)</f>
        <v>627462.55</v>
      </c>
    </row>
    <row r="189" ht="20" customHeight="1" spans="2:19">
      <c r="B189" s="42">
        <v>2</v>
      </c>
      <c r="C189" s="42">
        <v>24</v>
      </c>
      <c r="D189" s="74"/>
      <c r="E189" s="74" t="s">
        <v>583</v>
      </c>
      <c r="F189" s="75" t="s">
        <v>739</v>
      </c>
      <c r="G189" s="56">
        <v>6708</v>
      </c>
      <c r="H189" s="56">
        <v>200</v>
      </c>
      <c r="I189" s="56">
        <v>263</v>
      </c>
      <c r="J189" s="56"/>
      <c r="K189" s="56"/>
      <c r="L189" s="56"/>
      <c r="M189" s="56"/>
      <c r="N189" s="56">
        <f t="shared" si="12"/>
        <v>7171</v>
      </c>
      <c r="O189" s="56"/>
      <c r="P189" s="58">
        <f t="shared" si="8"/>
        <v>7517839.65</v>
      </c>
      <c r="Q189" s="56" t="s">
        <v>239</v>
      </c>
      <c r="R189" s="3">
        <f>R188-S188</f>
        <v>47898.1300000001</v>
      </c>
    </row>
    <row r="190" ht="20" customHeight="1" spans="2:19">
      <c r="B190" s="42">
        <v>2</v>
      </c>
      <c r="C190" s="42">
        <v>24</v>
      </c>
      <c r="D190" s="74"/>
      <c r="E190" s="74" t="s">
        <v>626</v>
      </c>
      <c r="F190" s="75" t="s">
        <v>740</v>
      </c>
      <c r="G190" s="56">
        <v>1400</v>
      </c>
      <c r="H190" s="56">
        <v>150</v>
      </c>
      <c r="I190" s="56">
        <v>50.4</v>
      </c>
      <c r="J190" s="56"/>
      <c r="K190" s="56"/>
      <c r="L190" s="56"/>
      <c r="M190" s="56"/>
      <c r="N190" s="56">
        <f t="shared" si="12"/>
        <v>1600.4</v>
      </c>
      <c r="O190" s="56"/>
      <c r="P190" s="58">
        <f t="shared" si="8"/>
        <v>7519440.05</v>
      </c>
      <c r="Q190" s="56"/>
    </row>
    <row r="191" ht="20" customHeight="1" spans="2:19">
      <c r="B191" s="42">
        <v>2</v>
      </c>
      <c r="C191" s="42">
        <v>25</v>
      </c>
      <c r="D191" s="74"/>
      <c r="E191" s="54" t="s">
        <v>628</v>
      </c>
      <c r="F191" s="75" t="s">
        <v>741</v>
      </c>
      <c r="G191" s="56">
        <v>6090</v>
      </c>
      <c r="H191" s="56">
        <v>200</v>
      </c>
      <c r="I191" s="56">
        <v>306</v>
      </c>
      <c r="J191" s="56"/>
      <c r="K191" s="56"/>
      <c r="L191" s="56"/>
      <c r="M191" s="56"/>
      <c r="N191" s="56">
        <f t="shared" si="12"/>
        <v>6596</v>
      </c>
      <c r="O191" s="56"/>
      <c r="P191" s="58">
        <f t="shared" si="8"/>
        <v>7526036.05</v>
      </c>
      <c r="Q191" s="56"/>
    </row>
    <row r="192" ht="20" customHeight="1" spans="2:19">
      <c r="B192" s="42">
        <v>2</v>
      </c>
      <c r="C192" s="42">
        <v>26</v>
      </c>
      <c r="D192" s="74"/>
      <c r="E192" s="74" t="s">
        <v>581</v>
      </c>
      <c r="F192" s="169" t="s">
        <v>742</v>
      </c>
      <c r="G192" s="170">
        <v>3000</v>
      </c>
      <c r="H192" s="56"/>
      <c r="I192" s="56"/>
      <c r="J192" s="56"/>
      <c r="K192" s="56"/>
      <c r="L192" s="56"/>
      <c r="M192" s="56"/>
      <c r="N192" s="56">
        <f t="shared" si="12"/>
        <v>3000</v>
      </c>
      <c r="O192" s="56"/>
      <c r="P192" s="58">
        <f t="shared" si="8"/>
        <v>7529036.05</v>
      </c>
      <c r="Q192" s="56"/>
    </row>
    <row r="193" ht="20" customHeight="1" spans="2:20">
      <c r="B193" s="42">
        <v>2</v>
      </c>
      <c r="C193" s="42">
        <v>28</v>
      </c>
      <c r="D193" s="74"/>
      <c r="E193" s="74" t="s">
        <v>585</v>
      </c>
      <c r="F193" s="75" t="s">
        <v>743</v>
      </c>
      <c r="G193" s="56">
        <v>3000</v>
      </c>
      <c r="H193" s="56"/>
      <c r="I193" s="56">
        <v>183.6</v>
      </c>
      <c r="J193" s="56"/>
      <c r="K193" s="56"/>
      <c r="L193" s="56"/>
      <c r="M193" s="56"/>
      <c r="N193" s="56">
        <f t="shared" si="12"/>
        <v>3183.6</v>
      </c>
      <c r="O193" s="56"/>
      <c r="P193" s="58">
        <f t="shared" si="8"/>
        <v>7532219.65</v>
      </c>
      <c r="Q193" s="56"/>
    </row>
    <row r="194" ht="20" customHeight="1" spans="2:20">
      <c r="B194" s="42">
        <v>2</v>
      </c>
      <c r="C194" s="42">
        <v>28</v>
      </c>
      <c r="D194" s="74"/>
      <c r="E194" s="74" t="s">
        <v>572</v>
      </c>
      <c r="F194" s="75" t="s">
        <v>744</v>
      </c>
      <c r="G194" s="56">
        <v>712</v>
      </c>
      <c r="H194" s="56">
        <v>150</v>
      </c>
      <c r="I194" s="56">
        <v>138</v>
      </c>
      <c r="J194" s="56"/>
      <c r="K194" s="56"/>
      <c r="L194" s="56"/>
      <c r="M194" s="56">
        <v>7</v>
      </c>
      <c r="N194" s="56">
        <f t="shared" si="12"/>
        <v>993</v>
      </c>
      <c r="O194" s="56"/>
      <c r="P194" s="58">
        <f t="shared" si="8"/>
        <v>7533212.65</v>
      </c>
      <c r="Q194" s="175" t="s">
        <v>669</v>
      </c>
    </row>
    <row r="195" ht="20" customHeight="1" spans="2:20">
      <c r="B195" s="42">
        <v>2</v>
      </c>
      <c r="C195" s="42">
        <v>28</v>
      </c>
      <c r="D195" s="74"/>
      <c r="E195" s="74" t="s">
        <v>673</v>
      </c>
      <c r="F195" s="75" t="s">
        <v>745</v>
      </c>
      <c r="G195" s="56">
        <v>2650</v>
      </c>
      <c r="H195" s="56">
        <v>150</v>
      </c>
      <c r="I195" s="56">
        <v>202.8</v>
      </c>
      <c r="J195" s="56"/>
      <c r="K195" s="56"/>
      <c r="L195" s="56"/>
      <c r="M195" s="56"/>
      <c r="N195" s="56">
        <f t="shared" si="12"/>
        <v>3002.8</v>
      </c>
      <c r="O195" s="56"/>
      <c r="P195" s="58">
        <f t="shared" ref="P195:P203" si="13">P194+N195-O195</f>
        <v>7536215.45</v>
      </c>
      <c r="Q195" s="175" t="s">
        <v>669</v>
      </c>
    </row>
    <row r="196" ht="20" customHeight="1" spans="2:20">
      <c r="B196" s="42">
        <v>2</v>
      </c>
      <c r="C196" s="42">
        <v>28</v>
      </c>
      <c r="D196" s="74"/>
      <c r="E196" s="74" t="s">
        <v>746</v>
      </c>
      <c r="F196" s="75" t="s">
        <v>747</v>
      </c>
      <c r="G196" s="56"/>
      <c r="H196" s="56">
        <v>150</v>
      </c>
      <c r="I196" s="56">
        <v>284</v>
      </c>
      <c r="J196" s="56"/>
      <c r="K196" s="56"/>
      <c r="L196" s="56"/>
      <c r="M196" s="56"/>
      <c r="N196" s="56">
        <f t="shared" si="12"/>
        <v>434</v>
      </c>
      <c r="O196" s="56"/>
      <c r="P196" s="58">
        <f t="shared" si="13"/>
        <v>7536649.45</v>
      </c>
      <c r="Q196" s="175" t="s">
        <v>669</v>
      </c>
    </row>
    <row r="197" ht="20" customHeight="1" spans="2:20">
      <c r="B197" s="42">
        <v>2</v>
      </c>
      <c r="C197" s="42">
        <v>28</v>
      </c>
      <c r="D197" s="74"/>
      <c r="E197" s="74" t="s">
        <v>746</v>
      </c>
      <c r="F197" s="75" t="s">
        <v>748</v>
      </c>
      <c r="G197" s="56"/>
      <c r="H197" s="56">
        <v>150</v>
      </c>
      <c r="I197" s="56">
        <v>298</v>
      </c>
      <c r="J197" s="56"/>
      <c r="K197" s="56"/>
      <c r="L197" s="56"/>
      <c r="M197" s="56"/>
      <c r="N197" s="56">
        <f t="shared" si="12"/>
        <v>448</v>
      </c>
      <c r="O197" s="56"/>
      <c r="P197" s="58">
        <f t="shared" si="13"/>
        <v>7537097.45</v>
      </c>
      <c r="Q197" s="175" t="s">
        <v>669</v>
      </c>
    </row>
    <row r="198" ht="20" customHeight="1" spans="2:20">
      <c r="B198" s="42">
        <v>2</v>
      </c>
      <c r="C198" s="42">
        <v>28</v>
      </c>
      <c r="D198" s="74"/>
      <c r="E198" s="74" t="s">
        <v>746</v>
      </c>
      <c r="F198" s="75" t="s">
        <v>749</v>
      </c>
      <c r="G198" s="56"/>
      <c r="H198" s="56">
        <v>150</v>
      </c>
      <c r="I198" s="56">
        <v>317</v>
      </c>
      <c r="J198" s="56"/>
      <c r="K198" s="56"/>
      <c r="L198" s="56"/>
      <c r="M198" s="56"/>
      <c r="N198" s="56">
        <f t="shared" si="12"/>
        <v>467</v>
      </c>
      <c r="O198" s="56"/>
      <c r="P198" s="58">
        <f t="shared" si="13"/>
        <v>7537564.45</v>
      </c>
      <c r="Q198" s="175" t="s">
        <v>669</v>
      </c>
    </row>
    <row r="199" ht="20" customHeight="1" spans="2:20">
      <c r="B199" s="42">
        <v>2</v>
      </c>
      <c r="C199" s="42">
        <v>28</v>
      </c>
      <c r="D199" s="74"/>
      <c r="E199" s="74" t="s">
        <v>746</v>
      </c>
      <c r="F199" s="75" t="s">
        <v>750</v>
      </c>
      <c r="G199" s="56"/>
      <c r="H199" s="56">
        <v>150</v>
      </c>
      <c r="I199" s="56">
        <v>413</v>
      </c>
      <c r="J199" s="56"/>
      <c r="K199" s="56"/>
      <c r="L199" s="56"/>
      <c r="M199" s="56"/>
      <c r="N199" s="56">
        <f t="shared" si="12"/>
        <v>563</v>
      </c>
      <c r="O199" s="56"/>
      <c r="P199" s="58">
        <f t="shared" si="13"/>
        <v>7538127.45</v>
      </c>
      <c r="Q199" s="175" t="s">
        <v>669</v>
      </c>
    </row>
    <row r="200" ht="20" customHeight="1" spans="2:20">
      <c r="B200" s="42">
        <v>2</v>
      </c>
      <c r="C200" s="42">
        <v>28</v>
      </c>
      <c r="D200" s="74"/>
      <c r="E200" s="74" t="s">
        <v>746</v>
      </c>
      <c r="F200" s="75" t="s">
        <v>751</v>
      </c>
      <c r="G200" s="56"/>
      <c r="H200" s="56">
        <v>150</v>
      </c>
      <c r="I200" s="56">
        <v>298</v>
      </c>
      <c r="J200" s="56"/>
      <c r="K200" s="56"/>
      <c r="L200" s="56"/>
      <c r="M200" s="56"/>
      <c r="N200" s="56">
        <f t="shared" si="12"/>
        <v>448</v>
      </c>
      <c r="O200" s="56"/>
      <c r="P200" s="58">
        <f t="shared" si="13"/>
        <v>7538575.45</v>
      </c>
      <c r="Q200" s="175" t="s">
        <v>669</v>
      </c>
    </row>
    <row r="201" ht="20" customHeight="1" spans="2:20">
      <c r="B201" s="42">
        <v>2</v>
      </c>
      <c r="C201" s="42">
        <v>28</v>
      </c>
      <c r="D201" s="74"/>
      <c r="E201" s="74" t="s">
        <v>746</v>
      </c>
      <c r="F201" s="169" t="s">
        <v>752</v>
      </c>
      <c r="G201" s="170"/>
      <c r="H201" s="170">
        <v>150</v>
      </c>
      <c r="I201" s="170">
        <v>210</v>
      </c>
      <c r="J201" s="56"/>
      <c r="K201" s="56"/>
      <c r="L201" s="56"/>
      <c r="M201" s="56"/>
      <c r="N201" s="56">
        <f t="shared" si="12"/>
        <v>360</v>
      </c>
      <c r="O201" s="56"/>
      <c r="P201" s="58">
        <f t="shared" si="13"/>
        <v>7538935.45</v>
      </c>
      <c r="Q201" s="175" t="s">
        <v>669</v>
      </c>
    </row>
    <row r="202" ht="20" customHeight="1" spans="2:20">
      <c r="B202" s="42">
        <v>2</v>
      </c>
      <c r="C202" s="42">
        <v>28</v>
      </c>
      <c r="D202" s="74"/>
      <c r="E202" s="74" t="s">
        <v>746</v>
      </c>
      <c r="F202" s="169" t="s">
        <v>753</v>
      </c>
      <c r="G202" s="174">
        <v>280</v>
      </c>
      <c r="H202" s="56"/>
      <c r="I202" s="56"/>
      <c r="J202" s="56"/>
      <c r="K202" s="56"/>
      <c r="L202" s="56"/>
      <c r="M202" s="56"/>
      <c r="N202" s="56">
        <f t="shared" si="12"/>
        <v>280</v>
      </c>
      <c r="O202" s="56"/>
      <c r="P202" s="58">
        <f t="shared" si="13"/>
        <v>7539215.45</v>
      </c>
      <c r="Q202" s="175" t="s">
        <v>669</v>
      </c>
    </row>
    <row r="203" ht="20" customHeight="1" spans="2:20">
      <c r="B203" s="42">
        <v>2</v>
      </c>
      <c r="C203" s="42">
        <v>28</v>
      </c>
      <c r="D203" s="74"/>
      <c r="E203" s="74" t="s">
        <v>491</v>
      </c>
      <c r="F203" s="75" t="s">
        <v>754</v>
      </c>
      <c r="G203" s="56">
        <v>16445</v>
      </c>
      <c r="H203" s="56"/>
      <c r="I203" s="56">
        <v>38.6</v>
      </c>
      <c r="J203" s="56"/>
      <c r="K203" s="56"/>
      <c r="L203" s="56"/>
      <c r="M203" s="56"/>
      <c r="N203" s="56">
        <f t="shared" si="12"/>
        <v>16483.6</v>
      </c>
      <c r="O203" s="56"/>
      <c r="P203" s="58">
        <f t="shared" si="13"/>
        <v>7555699.05</v>
      </c>
      <c r="Q203" s="59" t="s">
        <v>239</v>
      </c>
      <c r="R203" s="3">
        <f>SUM(N190:N203)+R189</f>
        <v>85757.5300000001</v>
      </c>
    </row>
    <row r="204" ht="20" customHeight="1" spans="2:20">
      <c r="B204" s="68"/>
      <c r="C204" s="68"/>
      <c r="D204" s="74"/>
      <c r="E204" s="68"/>
      <c r="F204" s="70" t="s">
        <v>22</v>
      </c>
      <c r="G204" s="71">
        <f t="shared" ref="G204:O204" si="14">SUM(G116:G203)</f>
        <v>169139</v>
      </c>
      <c r="H204" s="71">
        <f t="shared" si="14"/>
        <v>8527.6</v>
      </c>
      <c r="I204" s="71">
        <f t="shared" si="14"/>
        <v>15339.4</v>
      </c>
      <c r="J204" s="71">
        <f t="shared" si="14"/>
        <v>0</v>
      </c>
      <c r="K204" s="71">
        <f t="shared" si="14"/>
        <v>0</v>
      </c>
      <c r="L204" s="71">
        <f t="shared" si="14"/>
        <v>0</v>
      </c>
      <c r="M204" s="71">
        <f t="shared" si="14"/>
        <v>74.69</v>
      </c>
      <c r="N204" s="71">
        <f t="shared" si="14"/>
        <v>370931.31</v>
      </c>
      <c r="O204" s="71">
        <f t="shared" si="14"/>
        <v>627462.55</v>
      </c>
      <c r="P204" s="71">
        <f>P115+N204-O204</f>
        <v>7555313.93</v>
      </c>
      <c r="Q204" s="71"/>
      <c r="R204" s="3">
        <f>P204-R203</f>
        <v>7469556.4</v>
      </c>
      <c r="T204" s="3">
        <f>N204-N187-N172-N142-N131-N125</f>
        <v>192931.31</v>
      </c>
    </row>
    <row r="205" ht="20" customHeight="1" spans="2:20">
      <c r="B205" s="42">
        <v>3</v>
      </c>
      <c r="C205" s="42">
        <v>1</v>
      </c>
      <c r="D205" s="74"/>
      <c r="E205" s="74" t="s">
        <v>655</v>
      </c>
      <c r="F205" s="75" t="s">
        <v>755</v>
      </c>
      <c r="G205" s="56">
        <v>1300</v>
      </c>
      <c r="H205" s="56"/>
      <c r="I205" s="56">
        <v>109</v>
      </c>
      <c r="J205" s="56"/>
      <c r="K205" s="56"/>
      <c r="L205" s="56"/>
      <c r="M205" s="56"/>
      <c r="N205" s="55">
        <f t="shared" ref="N205:N210" si="15">SUM(G205:L205)-M205</f>
        <v>1409</v>
      </c>
      <c r="O205" s="56"/>
      <c r="P205" s="58">
        <f t="shared" ref="P205:P268" si="16">P204+N205-O205</f>
        <v>7556722.93</v>
      </c>
      <c r="Q205" s="56"/>
    </row>
    <row r="206" ht="20" customHeight="1" spans="2:20">
      <c r="B206" s="42">
        <v>3</v>
      </c>
      <c r="C206" s="42">
        <v>1</v>
      </c>
      <c r="D206" s="74"/>
      <c r="E206" s="74" t="s">
        <v>479</v>
      </c>
      <c r="F206" s="75" t="s">
        <v>756</v>
      </c>
      <c r="G206" s="56">
        <v>7247</v>
      </c>
      <c r="H206" s="56"/>
      <c r="I206" s="56"/>
      <c r="J206" s="56"/>
      <c r="K206" s="56"/>
      <c r="L206" s="56"/>
      <c r="M206" s="56"/>
      <c r="N206" s="55">
        <f t="shared" si="15"/>
        <v>7247</v>
      </c>
      <c r="O206" s="56"/>
      <c r="P206" s="58">
        <f t="shared" si="16"/>
        <v>7563969.93</v>
      </c>
      <c r="Q206" s="56"/>
    </row>
    <row r="207" ht="20" customHeight="1" spans="2:20">
      <c r="B207" s="42">
        <v>3</v>
      </c>
      <c r="C207" s="42">
        <v>1</v>
      </c>
      <c r="D207" s="74"/>
      <c r="E207" s="54" t="s">
        <v>757</v>
      </c>
      <c r="F207" s="75" t="s">
        <v>758</v>
      </c>
      <c r="G207" s="56"/>
      <c r="H207" s="56">
        <v>150</v>
      </c>
      <c r="I207" s="56">
        <v>80.4</v>
      </c>
      <c r="J207" s="56"/>
      <c r="K207" s="56"/>
      <c r="L207" s="56"/>
      <c r="M207" s="56"/>
      <c r="N207" s="55">
        <f t="shared" si="15"/>
        <v>230.4</v>
      </c>
      <c r="O207" s="56"/>
      <c r="P207" s="58">
        <f t="shared" si="16"/>
        <v>7564200.33</v>
      </c>
      <c r="Q207" s="56"/>
    </row>
    <row r="208" ht="20" customHeight="1" spans="2:20">
      <c r="B208" s="42">
        <v>3</v>
      </c>
      <c r="C208" s="42">
        <v>1</v>
      </c>
      <c r="D208" s="74"/>
      <c r="E208" s="74" t="s">
        <v>757</v>
      </c>
      <c r="F208" s="75" t="s">
        <v>759</v>
      </c>
      <c r="G208" s="56"/>
      <c r="H208" s="56">
        <v>150</v>
      </c>
      <c r="I208" s="56">
        <v>132</v>
      </c>
      <c r="J208" s="56"/>
      <c r="K208" s="56"/>
      <c r="L208" s="56"/>
      <c r="M208" s="56"/>
      <c r="N208" s="55">
        <f t="shared" si="15"/>
        <v>282</v>
      </c>
      <c r="O208" s="56"/>
      <c r="P208" s="58">
        <f t="shared" si="16"/>
        <v>7564482.33</v>
      </c>
      <c r="Q208" s="56"/>
    </row>
    <row r="209" ht="20" customHeight="1" spans="2:17">
      <c r="B209" s="42">
        <v>3</v>
      </c>
      <c r="C209" s="42">
        <v>2</v>
      </c>
      <c r="D209" s="74"/>
      <c r="E209" s="74" t="s">
        <v>746</v>
      </c>
      <c r="F209" s="75" t="s">
        <v>760</v>
      </c>
      <c r="G209" s="56">
        <v>1200</v>
      </c>
      <c r="H209" s="56">
        <v>150</v>
      </c>
      <c r="I209" s="56">
        <v>73</v>
      </c>
      <c r="J209" s="56"/>
      <c r="K209" s="56"/>
      <c r="L209" s="56"/>
      <c r="M209" s="56"/>
      <c r="N209" s="55">
        <f t="shared" si="15"/>
        <v>1423</v>
      </c>
      <c r="O209" s="56"/>
      <c r="P209" s="58">
        <f t="shared" si="16"/>
        <v>7565905.33</v>
      </c>
      <c r="Q209" s="56"/>
    </row>
    <row r="210" ht="20" customHeight="1" spans="2:17">
      <c r="B210" s="42">
        <v>3</v>
      </c>
      <c r="C210" s="42">
        <v>2</v>
      </c>
      <c r="D210" s="74"/>
      <c r="E210" s="74" t="s">
        <v>592</v>
      </c>
      <c r="F210" s="75" t="s">
        <v>761</v>
      </c>
      <c r="G210" s="56">
        <v>2700</v>
      </c>
      <c r="H210" s="56">
        <v>200</v>
      </c>
      <c r="I210" s="56">
        <v>140.4</v>
      </c>
      <c r="J210" s="56"/>
      <c r="K210" s="56"/>
      <c r="L210" s="56"/>
      <c r="M210" s="56"/>
      <c r="N210" s="55">
        <f t="shared" si="15"/>
        <v>3040.4</v>
      </c>
      <c r="O210" s="56"/>
      <c r="P210" s="58">
        <f t="shared" si="16"/>
        <v>7568945.73</v>
      </c>
      <c r="Q210" s="56"/>
    </row>
    <row r="211" ht="20" customHeight="1" spans="2:17">
      <c r="B211" s="42">
        <v>3</v>
      </c>
      <c r="C211" s="42">
        <v>2</v>
      </c>
      <c r="D211" s="74" t="s">
        <v>86</v>
      </c>
      <c r="E211" s="74" t="s">
        <v>251</v>
      </c>
      <c r="F211" s="75" t="s">
        <v>762</v>
      </c>
      <c r="G211" s="56"/>
      <c r="H211" s="56"/>
      <c r="I211" s="56"/>
      <c r="J211" s="56"/>
      <c r="K211" s="56"/>
      <c r="L211" s="56"/>
      <c r="M211" s="56"/>
      <c r="N211" s="55">
        <v>130000</v>
      </c>
      <c r="O211" s="56"/>
      <c r="P211" s="58">
        <f t="shared" si="16"/>
        <v>7698945.73</v>
      </c>
      <c r="Q211" s="59" t="s">
        <v>763</v>
      </c>
    </row>
    <row r="212" ht="20" customHeight="1" spans="2:17">
      <c r="B212" s="42">
        <v>3</v>
      </c>
      <c r="C212" s="42">
        <v>2</v>
      </c>
      <c r="D212" s="74" t="s">
        <v>121</v>
      </c>
      <c r="E212" s="74" t="s">
        <v>764</v>
      </c>
      <c r="F212" s="75" t="s">
        <v>765</v>
      </c>
      <c r="G212" s="56"/>
      <c r="H212" s="56"/>
      <c r="I212" s="56"/>
      <c r="J212" s="56"/>
      <c r="K212" s="56"/>
      <c r="L212" s="56"/>
      <c r="M212" s="56"/>
      <c r="N212" s="56">
        <f t="shared" ref="N212:N275" si="17">SUM(G212:L212)-M212</f>
        <v>0</v>
      </c>
      <c r="O212" s="56">
        <v>130000</v>
      </c>
      <c r="P212" s="58">
        <f t="shared" si="16"/>
        <v>7568945.73</v>
      </c>
      <c r="Q212" s="56"/>
    </row>
    <row r="213" ht="20" customHeight="1" spans="2:17">
      <c r="B213" s="42">
        <v>3</v>
      </c>
      <c r="C213" s="42">
        <v>4</v>
      </c>
      <c r="D213" s="74"/>
      <c r="E213" s="74" t="s">
        <v>497</v>
      </c>
      <c r="F213" s="75" t="s">
        <v>766</v>
      </c>
      <c r="G213" s="56">
        <v>1300</v>
      </c>
      <c r="H213" s="56">
        <v>150</v>
      </c>
      <c r="I213" s="56">
        <v>48</v>
      </c>
      <c r="J213" s="56"/>
      <c r="K213" s="56"/>
      <c r="L213" s="56"/>
      <c r="M213" s="56"/>
      <c r="N213" s="55">
        <f t="shared" si="17"/>
        <v>1498</v>
      </c>
      <c r="O213" s="56"/>
      <c r="P213" s="58">
        <f t="shared" si="16"/>
        <v>7570443.73</v>
      </c>
      <c r="Q213" s="56"/>
    </row>
    <row r="214" ht="20" customHeight="1" spans="2:17">
      <c r="B214" s="42">
        <v>3</v>
      </c>
      <c r="C214" s="42">
        <v>4</v>
      </c>
      <c r="D214" s="74"/>
      <c r="E214" s="74" t="s">
        <v>650</v>
      </c>
      <c r="F214" s="75" t="s">
        <v>767</v>
      </c>
      <c r="G214" s="56">
        <v>6654</v>
      </c>
      <c r="H214" s="56">
        <v>200</v>
      </c>
      <c r="I214" s="56">
        <v>342</v>
      </c>
      <c r="J214" s="56"/>
      <c r="K214" s="56"/>
      <c r="L214" s="56"/>
      <c r="M214" s="56"/>
      <c r="N214" s="55">
        <f t="shared" si="17"/>
        <v>7196</v>
      </c>
      <c r="O214" s="56"/>
      <c r="P214" s="58">
        <f t="shared" si="16"/>
        <v>7577639.73</v>
      </c>
      <c r="Q214" s="56"/>
    </row>
    <row r="215" ht="20" customHeight="1" spans="2:17">
      <c r="B215" s="42">
        <v>3</v>
      </c>
      <c r="C215" s="42">
        <v>5</v>
      </c>
      <c r="D215" s="74"/>
      <c r="E215" s="54" t="s">
        <v>508</v>
      </c>
      <c r="F215" s="75" t="s">
        <v>768</v>
      </c>
      <c r="G215" s="56">
        <v>6946</v>
      </c>
      <c r="H215" s="56">
        <v>200</v>
      </c>
      <c r="I215" s="56">
        <v>510</v>
      </c>
      <c r="J215" s="56"/>
      <c r="K215" s="56"/>
      <c r="L215" s="56"/>
      <c r="M215" s="56"/>
      <c r="N215" s="55">
        <f t="shared" si="17"/>
        <v>7656</v>
      </c>
      <c r="O215" s="56"/>
      <c r="P215" s="58">
        <f t="shared" si="16"/>
        <v>7585295.73</v>
      </c>
      <c r="Q215" s="56"/>
    </row>
    <row r="216" ht="20" customHeight="1" spans="2:17">
      <c r="B216" s="42">
        <v>3</v>
      </c>
      <c r="C216" s="42">
        <v>5</v>
      </c>
      <c r="D216" s="74"/>
      <c r="E216" s="74" t="s">
        <v>653</v>
      </c>
      <c r="F216" s="140" t="s">
        <v>769</v>
      </c>
      <c r="G216" s="56">
        <v>8100</v>
      </c>
      <c r="H216" s="56">
        <v>200</v>
      </c>
      <c r="I216" s="56">
        <v>343.8</v>
      </c>
      <c r="J216" s="56"/>
      <c r="K216" s="56"/>
      <c r="L216" s="56"/>
      <c r="M216" s="56"/>
      <c r="N216" s="55">
        <f t="shared" si="17"/>
        <v>8643.8</v>
      </c>
      <c r="O216" s="56"/>
      <c r="P216" s="58">
        <f t="shared" si="16"/>
        <v>7593939.53</v>
      </c>
      <c r="Q216" s="56"/>
    </row>
    <row r="217" ht="20" customHeight="1" spans="2:17">
      <c r="B217" s="42">
        <v>3</v>
      </c>
      <c r="C217" s="42">
        <v>5</v>
      </c>
      <c r="D217" s="74"/>
      <c r="E217" s="74" t="s">
        <v>493</v>
      </c>
      <c r="F217" s="75" t="s">
        <v>770</v>
      </c>
      <c r="G217" s="56">
        <v>7221</v>
      </c>
      <c r="H217" s="56">
        <v>200</v>
      </c>
      <c r="I217" s="56">
        <v>413.2</v>
      </c>
      <c r="J217" s="56"/>
      <c r="K217" s="56"/>
      <c r="L217" s="56"/>
      <c r="M217" s="56"/>
      <c r="N217" s="55">
        <f t="shared" si="17"/>
        <v>7834.2</v>
      </c>
      <c r="O217" s="56"/>
      <c r="P217" s="58">
        <f t="shared" si="16"/>
        <v>7601773.73</v>
      </c>
      <c r="Q217" s="56"/>
    </row>
    <row r="218" ht="20" customHeight="1" spans="2:17">
      <c r="B218" s="42">
        <v>3</v>
      </c>
      <c r="C218" s="42">
        <v>5</v>
      </c>
      <c r="D218" s="74"/>
      <c r="E218" s="74" t="s">
        <v>493</v>
      </c>
      <c r="F218" s="75" t="s">
        <v>771</v>
      </c>
      <c r="G218" s="56">
        <v>7221</v>
      </c>
      <c r="H218" s="56">
        <v>200</v>
      </c>
      <c r="I218" s="56">
        <v>512</v>
      </c>
      <c r="J218" s="56"/>
      <c r="K218" s="56"/>
      <c r="L218" s="56"/>
      <c r="M218" s="56"/>
      <c r="N218" s="55">
        <f t="shared" si="17"/>
        <v>7933</v>
      </c>
      <c r="O218" s="56"/>
      <c r="P218" s="58">
        <f t="shared" si="16"/>
        <v>7609706.73</v>
      </c>
      <c r="Q218" s="56"/>
    </row>
    <row r="219" ht="20" customHeight="1" spans="2:17">
      <c r="B219" s="42">
        <v>3</v>
      </c>
      <c r="C219" s="42">
        <v>5</v>
      </c>
      <c r="D219" s="74"/>
      <c r="E219" s="74" t="s">
        <v>495</v>
      </c>
      <c r="F219" s="75" t="s">
        <v>772</v>
      </c>
      <c r="G219" s="56">
        <v>6655</v>
      </c>
      <c r="H219" s="56">
        <v>200</v>
      </c>
      <c r="I219" s="56">
        <v>594.6</v>
      </c>
      <c r="J219" s="56"/>
      <c r="K219" s="56"/>
      <c r="L219" s="56"/>
      <c r="M219" s="56"/>
      <c r="N219" s="55">
        <f t="shared" si="17"/>
        <v>7449.6</v>
      </c>
      <c r="O219" s="56"/>
      <c r="P219" s="58">
        <f t="shared" si="16"/>
        <v>7617156.33</v>
      </c>
      <c r="Q219" s="56"/>
    </row>
    <row r="220" ht="20" customHeight="1" spans="2:17">
      <c r="B220" s="42">
        <v>3</v>
      </c>
      <c r="C220" s="42">
        <v>5</v>
      </c>
      <c r="D220" s="74"/>
      <c r="E220" s="74" t="s">
        <v>701</v>
      </c>
      <c r="F220" s="75" t="s">
        <v>773</v>
      </c>
      <c r="G220" s="56">
        <v>21600</v>
      </c>
      <c r="H220" s="56"/>
      <c r="I220" s="56"/>
      <c r="J220" s="56"/>
      <c r="K220" s="56"/>
      <c r="L220" s="56"/>
      <c r="M220" s="56"/>
      <c r="N220" s="55">
        <f t="shared" si="17"/>
        <v>21600</v>
      </c>
      <c r="O220" s="56"/>
      <c r="P220" s="58">
        <f t="shared" si="16"/>
        <v>7638756.33</v>
      </c>
      <c r="Q220" s="56"/>
    </row>
    <row r="221" ht="20" customHeight="1" spans="2:17">
      <c r="B221" s="42">
        <v>3</v>
      </c>
      <c r="C221" s="42">
        <v>5</v>
      </c>
      <c r="D221" s="74"/>
      <c r="E221" s="74" t="s">
        <v>506</v>
      </c>
      <c r="F221" s="75" t="s">
        <v>774</v>
      </c>
      <c r="G221" s="56">
        <v>7274</v>
      </c>
      <c r="H221" s="56">
        <v>200</v>
      </c>
      <c r="I221" s="56">
        <v>398</v>
      </c>
      <c r="J221" s="56"/>
      <c r="K221" s="56"/>
      <c r="L221" s="56"/>
      <c r="M221" s="56"/>
      <c r="N221" s="55">
        <f t="shared" si="17"/>
        <v>7872</v>
      </c>
      <c r="O221" s="56"/>
      <c r="P221" s="58">
        <f t="shared" si="16"/>
        <v>7646628.33</v>
      </c>
      <c r="Q221" s="56"/>
    </row>
    <row r="222" ht="20" customHeight="1" spans="2:17">
      <c r="B222" s="42">
        <v>3</v>
      </c>
      <c r="C222" s="42">
        <v>6</v>
      </c>
      <c r="D222" s="74"/>
      <c r="E222" s="54" t="s">
        <v>613</v>
      </c>
      <c r="F222" s="75" t="s">
        <v>775</v>
      </c>
      <c r="G222" s="56">
        <v>3675</v>
      </c>
      <c r="H222" s="56">
        <v>200</v>
      </c>
      <c r="I222" s="56">
        <v>218</v>
      </c>
      <c r="J222" s="56"/>
      <c r="K222" s="56"/>
      <c r="L222" s="56"/>
      <c r="M222" s="56"/>
      <c r="N222" s="55">
        <f t="shared" si="17"/>
        <v>4093</v>
      </c>
      <c r="O222" s="56"/>
      <c r="P222" s="58">
        <f t="shared" si="16"/>
        <v>7650721.33</v>
      </c>
      <c r="Q222" s="56"/>
    </row>
    <row r="223" ht="20" customHeight="1" spans="2:17">
      <c r="B223" s="42">
        <v>3</v>
      </c>
      <c r="C223" s="42">
        <v>8</v>
      </c>
      <c r="D223" s="74"/>
      <c r="E223" s="74" t="s">
        <v>579</v>
      </c>
      <c r="F223" s="75" t="s">
        <v>776</v>
      </c>
      <c r="G223" s="56">
        <v>5959</v>
      </c>
      <c r="H223" s="56">
        <v>200</v>
      </c>
      <c r="I223" s="56">
        <v>2114</v>
      </c>
      <c r="J223" s="56"/>
      <c r="K223" s="56"/>
      <c r="L223" s="56"/>
      <c r="M223" s="56"/>
      <c r="N223" s="55">
        <f t="shared" si="17"/>
        <v>8273</v>
      </c>
      <c r="O223" s="56"/>
      <c r="P223" s="58">
        <f t="shared" si="16"/>
        <v>7658994.33</v>
      </c>
      <c r="Q223" s="56"/>
    </row>
    <row r="224" ht="20" customHeight="1" spans="2:17">
      <c r="B224" s="42">
        <v>3</v>
      </c>
      <c r="C224" s="42">
        <v>9</v>
      </c>
      <c r="D224" s="74"/>
      <c r="E224" s="74" t="s">
        <v>562</v>
      </c>
      <c r="F224" s="75" t="s">
        <v>777</v>
      </c>
      <c r="G224" s="56"/>
      <c r="H224" s="56">
        <v>150</v>
      </c>
      <c r="I224" s="56">
        <v>108</v>
      </c>
      <c r="J224" s="56"/>
      <c r="K224" s="56"/>
      <c r="L224" s="56"/>
      <c r="M224" s="56"/>
      <c r="N224" s="55">
        <f t="shared" si="17"/>
        <v>258</v>
      </c>
      <c r="O224" s="56"/>
      <c r="P224" s="58">
        <f t="shared" si="16"/>
        <v>7659252.33</v>
      </c>
      <c r="Q224" s="56"/>
    </row>
    <row r="225" ht="20" customHeight="1" spans="2:17">
      <c r="B225" s="42">
        <v>3</v>
      </c>
      <c r="C225" s="42">
        <v>9</v>
      </c>
      <c r="D225" s="74"/>
      <c r="E225" s="54"/>
      <c r="F225" s="75" t="s">
        <v>778</v>
      </c>
      <c r="G225" s="56"/>
      <c r="H225" s="56"/>
      <c r="I225" s="56"/>
      <c r="J225" s="56"/>
      <c r="K225" s="55">
        <v>4260</v>
      </c>
      <c r="L225" s="56"/>
      <c r="M225" s="56">
        <v>46.49</v>
      </c>
      <c r="N225" s="56">
        <f t="shared" si="17"/>
        <v>4213.51</v>
      </c>
      <c r="O225" s="56"/>
      <c r="P225" s="58">
        <f t="shared" si="16"/>
        <v>7663465.84</v>
      </c>
      <c r="Q225" s="59" t="s">
        <v>669</v>
      </c>
    </row>
    <row r="226" ht="20" customHeight="1" spans="2:17">
      <c r="B226" s="42">
        <v>3</v>
      </c>
      <c r="C226" s="42">
        <v>9</v>
      </c>
      <c r="D226" s="74"/>
      <c r="E226" s="74" t="s">
        <v>522</v>
      </c>
      <c r="F226" s="75" t="s">
        <v>779</v>
      </c>
      <c r="G226" s="56">
        <v>1500</v>
      </c>
      <c r="H226" s="56">
        <v>150</v>
      </c>
      <c r="I226" s="56">
        <v>48</v>
      </c>
      <c r="J226" s="56"/>
      <c r="K226" s="56"/>
      <c r="L226" s="56"/>
      <c r="M226" s="56"/>
      <c r="N226" s="55">
        <f t="shared" si="17"/>
        <v>1698</v>
      </c>
      <c r="O226" s="56"/>
      <c r="P226" s="58">
        <f t="shared" si="16"/>
        <v>7665163.84</v>
      </c>
      <c r="Q226" s="59" t="s">
        <v>669</v>
      </c>
    </row>
    <row r="227" ht="20" customHeight="1" spans="2:17">
      <c r="B227" s="42">
        <v>3</v>
      </c>
      <c r="C227" s="42">
        <v>9</v>
      </c>
      <c r="D227" s="74"/>
      <c r="E227" s="74" t="s">
        <v>522</v>
      </c>
      <c r="F227" s="75" t="s">
        <v>780</v>
      </c>
      <c r="G227" s="56">
        <v>1500</v>
      </c>
      <c r="H227" s="56">
        <v>150</v>
      </c>
      <c r="I227" s="56">
        <v>52.8</v>
      </c>
      <c r="J227" s="56"/>
      <c r="K227" s="56"/>
      <c r="L227" s="56"/>
      <c r="M227" s="56"/>
      <c r="N227" s="55">
        <f t="shared" si="17"/>
        <v>1702.8</v>
      </c>
      <c r="O227" s="56"/>
      <c r="P227" s="58">
        <f t="shared" si="16"/>
        <v>7666866.64</v>
      </c>
      <c r="Q227" s="59" t="s">
        <v>669</v>
      </c>
    </row>
    <row r="228" ht="20" customHeight="1" spans="2:17">
      <c r="B228" s="42">
        <v>3</v>
      </c>
      <c r="C228" s="42">
        <v>9</v>
      </c>
      <c r="D228" s="74"/>
      <c r="E228" s="54" t="s">
        <v>701</v>
      </c>
      <c r="F228" s="75" t="s">
        <v>781</v>
      </c>
      <c r="G228" s="56"/>
      <c r="H228" s="56"/>
      <c r="I228" s="56">
        <v>82.8</v>
      </c>
      <c r="J228" s="56"/>
      <c r="K228" s="56"/>
      <c r="L228" s="56"/>
      <c r="M228" s="56"/>
      <c r="N228" s="55">
        <f t="shared" si="17"/>
        <v>82.8</v>
      </c>
      <c r="O228" s="56"/>
      <c r="P228" s="58">
        <f t="shared" si="16"/>
        <v>7666949.44</v>
      </c>
      <c r="Q228" s="59" t="s">
        <v>669</v>
      </c>
    </row>
    <row r="229" ht="20" customHeight="1" spans="2:17">
      <c r="B229" s="42">
        <v>3</v>
      </c>
      <c r="C229" s="42">
        <v>9</v>
      </c>
      <c r="D229" s="74"/>
      <c r="E229" s="74" t="s">
        <v>552</v>
      </c>
      <c r="F229" s="75" t="s">
        <v>782</v>
      </c>
      <c r="G229" s="56">
        <v>7590</v>
      </c>
      <c r="H229" s="56"/>
      <c r="I229" s="56">
        <v>130</v>
      </c>
      <c r="J229" s="56"/>
      <c r="K229" s="56"/>
      <c r="L229" s="56"/>
      <c r="M229" s="56"/>
      <c r="N229" s="55">
        <f t="shared" si="17"/>
        <v>7720</v>
      </c>
      <c r="O229" s="56"/>
      <c r="P229" s="58">
        <f t="shared" si="16"/>
        <v>7674669.44</v>
      </c>
      <c r="Q229" s="59" t="s">
        <v>669</v>
      </c>
    </row>
    <row r="230" ht="20" customHeight="1" spans="2:17">
      <c r="B230" s="42">
        <v>3</v>
      </c>
      <c r="C230" s="42">
        <v>9</v>
      </c>
      <c r="D230" s="74"/>
      <c r="E230" s="74" t="s">
        <v>646</v>
      </c>
      <c r="F230" s="75" t="s">
        <v>783</v>
      </c>
      <c r="G230" s="56"/>
      <c r="H230" s="56"/>
      <c r="I230" s="56">
        <v>471.5</v>
      </c>
      <c r="J230" s="56"/>
      <c r="K230" s="56"/>
      <c r="L230" s="56"/>
      <c r="M230" s="56"/>
      <c r="N230" s="55">
        <f t="shared" si="17"/>
        <v>471.5</v>
      </c>
      <c r="O230" s="56"/>
      <c r="P230" s="58">
        <f t="shared" si="16"/>
        <v>7675140.94</v>
      </c>
      <c r="Q230" s="59" t="s">
        <v>669</v>
      </c>
    </row>
    <row r="231" ht="20" customHeight="1" spans="2:17">
      <c r="B231" s="42">
        <v>3</v>
      </c>
      <c r="C231" s="42">
        <v>9</v>
      </c>
      <c r="D231" s="74"/>
      <c r="E231" s="54" t="s">
        <v>646</v>
      </c>
      <c r="F231" s="75" t="s">
        <v>784</v>
      </c>
      <c r="G231" s="56"/>
      <c r="H231" s="56"/>
      <c r="I231" s="56">
        <v>447.5</v>
      </c>
      <c r="J231" s="56"/>
      <c r="K231" s="56"/>
      <c r="L231" s="56"/>
      <c r="M231" s="56"/>
      <c r="N231" s="55">
        <f t="shared" si="17"/>
        <v>447.5</v>
      </c>
      <c r="O231" s="56"/>
      <c r="P231" s="58">
        <f t="shared" si="16"/>
        <v>7675588.44</v>
      </c>
      <c r="Q231" s="59" t="s">
        <v>669</v>
      </c>
    </row>
    <row r="232" ht="20" customHeight="1" spans="2:17">
      <c r="B232" s="42">
        <v>3</v>
      </c>
      <c r="C232" s="42">
        <v>9</v>
      </c>
      <c r="D232" s="74"/>
      <c r="E232" s="74" t="s">
        <v>785</v>
      </c>
      <c r="F232" s="75" t="s">
        <v>786</v>
      </c>
      <c r="G232" s="56"/>
      <c r="H232" s="56">
        <v>200</v>
      </c>
      <c r="I232" s="56">
        <v>90</v>
      </c>
      <c r="J232" s="56"/>
      <c r="K232" s="56"/>
      <c r="L232" s="56"/>
      <c r="M232" s="56"/>
      <c r="N232" s="55">
        <f t="shared" si="17"/>
        <v>290</v>
      </c>
      <c r="O232" s="56"/>
      <c r="P232" s="58">
        <f t="shared" si="16"/>
        <v>7675878.44</v>
      </c>
      <c r="Q232" s="59" t="s">
        <v>669</v>
      </c>
    </row>
    <row r="233" ht="20" customHeight="1" spans="2:17">
      <c r="B233" s="42">
        <v>3</v>
      </c>
      <c r="C233" s="42">
        <v>9</v>
      </c>
      <c r="D233" s="74"/>
      <c r="E233" s="74" t="s">
        <v>785</v>
      </c>
      <c r="F233" s="75" t="s">
        <v>787</v>
      </c>
      <c r="G233" s="56"/>
      <c r="H233" s="56">
        <v>200</v>
      </c>
      <c r="I233" s="56">
        <v>73.2</v>
      </c>
      <c r="J233" s="56"/>
      <c r="K233" s="56"/>
      <c r="L233" s="56"/>
      <c r="M233" s="56"/>
      <c r="N233" s="55">
        <f t="shared" si="17"/>
        <v>273.2</v>
      </c>
      <c r="O233" s="56"/>
      <c r="P233" s="58">
        <f t="shared" si="16"/>
        <v>7676151.64</v>
      </c>
      <c r="Q233" s="59" t="s">
        <v>669</v>
      </c>
    </row>
    <row r="234" ht="20" customHeight="1" spans="2:17">
      <c r="B234" s="42">
        <v>3</v>
      </c>
      <c r="C234" s="42">
        <v>9</v>
      </c>
      <c r="D234" s="74"/>
      <c r="E234" s="54" t="s">
        <v>550</v>
      </c>
      <c r="F234" s="75" t="s">
        <v>788</v>
      </c>
      <c r="G234" s="56"/>
      <c r="H234" s="56">
        <v>150</v>
      </c>
      <c r="I234" s="56">
        <v>106.8</v>
      </c>
      <c r="J234" s="56"/>
      <c r="K234" s="56"/>
      <c r="L234" s="56"/>
      <c r="M234" s="56"/>
      <c r="N234" s="55">
        <f t="shared" si="17"/>
        <v>256.8</v>
      </c>
      <c r="O234" s="56"/>
      <c r="P234" s="58">
        <f t="shared" si="16"/>
        <v>7676408.44</v>
      </c>
      <c r="Q234" s="59" t="s">
        <v>669</v>
      </c>
    </row>
    <row r="235" ht="20" customHeight="1" spans="2:17">
      <c r="B235" s="42">
        <v>3</v>
      </c>
      <c r="C235" s="42">
        <v>9</v>
      </c>
      <c r="D235" s="74"/>
      <c r="E235" s="74" t="s">
        <v>701</v>
      </c>
      <c r="F235" s="75" t="s">
        <v>789</v>
      </c>
      <c r="G235" s="56"/>
      <c r="H235" s="56"/>
      <c r="I235" s="56">
        <v>90</v>
      </c>
      <c r="J235" s="56"/>
      <c r="K235" s="56"/>
      <c r="L235" s="56"/>
      <c r="M235" s="56"/>
      <c r="N235" s="55">
        <f t="shared" si="17"/>
        <v>90</v>
      </c>
      <c r="O235" s="56"/>
      <c r="P235" s="58">
        <f t="shared" si="16"/>
        <v>7676498.44</v>
      </c>
      <c r="Q235" s="59" t="s">
        <v>669</v>
      </c>
    </row>
    <row r="236" ht="20" customHeight="1" spans="2:17">
      <c r="B236" s="42">
        <v>3</v>
      </c>
      <c r="C236" s="42">
        <v>9</v>
      </c>
      <c r="D236" s="74"/>
      <c r="E236" s="74" t="s">
        <v>790</v>
      </c>
      <c r="F236" s="75" t="s">
        <v>791</v>
      </c>
      <c r="G236" s="56"/>
      <c r="H236" s="56">
        <v>150</v>
      </c>
      <c r="I236" s="56">
        <v>80</v>
      </c>
      <c r="J236" s="56"/>
      <c r="K236" s="56"/>
      <c r="L236" s="56"/>
      <c r="M236" s="56"/>
      <c r="N236" s="55">
        <f t="shared" si="17"/>
        <v>230</v>
      </c>
      <c r="O236" s="56"/>
      <c r="P236" s="58">
        <f t="shared" si="16"/>
        <v>7676728.44</v>
      </c>
      <c r="Q236" s="59" t="s">
        <v>669</v>
      </c>
    </row>
    <row r="237" ht="20" customHeight="1" spans="2:17">
      <c r="B237" s="42">
        <v>3</v>
      </c>
      <c r="C237" s="42">
        <v>9</v>
      </c>
      <c r="D237" s="74"/>
      <c r="E237" s="54" t="s">
        <v>790</v>
      </c>
      <c r="F237" s="75" t="s">
        <v>792</v>
      </c>
      <c r="G237" s="56"/>
      <c r="H237" s="56">
        <v>150</v>
      </c>
      <c r="I237" s="56">
        <v>74.4</v>
      </c>
      <c r="J237" s="56"/>
      <c r="K237" s="56"/>
      <c r="L237" s="56"/>
      <c r="M237" s="56"/>
      <c r="N237" s="55">
        <f t="shared" si="17"/>
        <v>224.4</v>
      </c>
      <c r="O237" s="56"/>
      <c r="P237" s="58">
        <f t="shared" si="16"/>
        <v>7676952.84</v>
      </c>
      <c r="Q237" s="59" t="s">
        <v>669</v>
      </c>
    </row>
    <row r="238" ht="20" customHeight="1" spans="2:17">
      <c r="B238" s="42">
        <v>3</v>
      </c>
      <c r="C238" s="42">
        <v>9</v>
      </c>
      <c r="D238" s="74"/>
      <c r="E238" s="74" t="s">
        <v>790</v>
      </c>
      <c r="F238" s="75" t="s">
        <v>793</v>
      </c>
      <c r="G238" s="56"/>
      <c r="H238" s="56">
        <v>150</v>
      </c>
      <c r="I238" s="56">
        <v>87.8</v>
      </c>
      <c r="J238" s="56"/>
      <c r="K238" s="56"/>
      <c r="L238" s="56"/>
      <c r="M238" s="56"/>
      <c r="N238" s="55">
        <f t="shared" si="17"/>
        <v>237.8</v>
      </c>
      <c r="O238" s="56"/>
      <c r="P238" s="58">
        <f t="shared" si="16"/>
        <v>7677190.64</v>
      </c>
      <c r="Q238" s="59" t="s">
        <v>669</v>
      </c>
    </row>
    <row r="239" ht="20" customHeight="1" spans="2:17">
      <c r="B239" s="42">
        <v>3</v>
      </c>
      <c r="C239" s="42">
        <v>9</v>
      </c>
      <c r="D239" s="74"/>
      <c r="E239" s="74" t="s">
        <v>484</v>
      </c>
      <c r="F239" s="75" t="s">
        <v>794</v>
      </c>
      <c r="G239" s="56"/>
      <c r="H239" s="56">
        <v>200</v>
      </c>
      <c r="I239" s="56">
        <v>111.6</v>
      </c>
      <c r="J239" s="56"/>
      <c r="K239" s="56"/>
      <c r="L239" s="56"/>
      <c r="M239" s="56"/>
      <c r="N239" s="55">
        <f t="shared" si="17"/>
        <v>311.6</v>
      </c>
      <c r="O239" s="56"/>
      <c r="P239" s="58">
        <f t="shared" si="16"/>
        <v>7677502.24</v>
      </c>
      <c r="Q239" s="59" t="s">
        <v>669</v>
      </c>
    </row>
    <row r="240" ht="20" customHeight="1" spans="2:17">
      <c r="B240" s="42">
        <v>3</v>
      </c>
      <c r="C240" s="42">
        <v>9</v>
      </c>
      <c r="D240" s="74"/>
      <c r="E240" s="54" t="s">
        <v>484</v>
      </c>
      <c r="F240" s="75" t="s">
        <v>795</v>
      </c>
      <c r="G240" s="56"/>
      <c r="H240" s="56">
        <v>200</v>
      </c>
      <c r="I240" s="56">
        <v>85.2</v>
      </c>
      <c r="J240" s="56"/>
      <c r="K240" s="56"/>
      <c r="L240" s="56"/>
      <c r="M240" s="56"/>
      <c r="N240" s="55">
        <f t="shared" si="17"/>
        <v>285.2</v>
      </c>
      <c r="O240" s="56"/>
      <c r="P240" s="58">
        <f t="shared" si="16"/>
        <v>7677787.44</v>
      </c>
      <c r="Q240" s="59" t="s">
        <v>669</v>
      </c>
    </row>
    <row r="241" ht="20" customHeight="1" spans="2:17">
      <c r="B241" s="42">
        <v>3</v>
      </c>
      <c r="C241" s="42">
        <v>9</v>
      </c>
      <c r="D241" s="74"/>
      <c r="E241" s="74" t="s">
        <v>796</v>
      </c>
      <c r="F241" s="75" t="s">
        <v>797</v>
      </c>
      <c r="G241" s="56"/>
      <c r="H241" s="56"/>
      <c r="I241" s="56"/>
      <c r="J241" s="56">
        <v>12600</v>
      </c>
      <c r="K241" s="56"/>
      <c r="L241" s="56"/>
      <c r="M241" s="56"/>
      <c r="N241" s="56">
        <f t="shared" si="17"/>
        <v>12600</v>
      </c>
      <c r="O241" s="56"/>
      <c r="P241" s="58">
        <f t="shared" si="16"/>
        <v>7690387.44</v>
      </c>
      <c r="Q241" s="59" t="s">
        <v>669</v>
      </c>
    </row>
    <row r="242" ht="20" customHeight="1" spans="2:17">
      <c r="B242" s="42">
        <v>3</v>
      </c>
      <c r="C242" s="42">
        <v>9</v>
      </c>
      <c r="D242" s="74"/>
      <c r="E242" s="74" t="s">
        <v>796</v>
      </c>
      <c r="F242" s="75" t="s">
        <v>798</v>
      </c>
      <c r="G242" s="56">
        <v>4200</v>
      </c>
      <c r="H242" s="56"/>
      <c r="I242" s="56"/>
      <c r="J242" s="56"/>
      <c r="K242" s="56"/>
      <c r="L242" s="56"/>
      <c r="M242" s="56"/>
      <c r="N242" s="56">
        <f t="shared" si="17"/>
        <v>4200</v>
      </c>
      <c r="O242" s="56"/>
      <c r="P242" s="58">
        <f t="shared" si="16"/>
        <v>7694587.44</v>
      </c>
      <c r="Q242" s="59" t="s">
        <v>669</v>
      </c>
    </row>
    <row r="243" ht="20" customHeight="1" spans="2:17">
      <c r="B243" s="42">
        <v>3</v>
      </c>
      <c r="C243" s="42">
        <v>9</v>
      </c>
      <c r="D243" s="74"/>
      <c r="E243" s="54" t="s">
        <v>615</v>
      </c>
      <c r="F243" s="75" t="s">
        <v>799</v>
      </c>
      <c r="G243" s="56"/>
      <c r="H243" s="56">
        <v>150</v>
      </c>
      <c r="I243" s="56">
        <v>34.8</v>
      </c>
      <c r="J243" s="56"/>
      <c r="K243" s="56"/>
      <c r="L243" s="56"/>
      <c r="M243" s="56"/>
      <c r="N243" s="55">
        <f t="shared" si="17"/>
        <v>184.8</v>
      </c>
      <c r="O243" s="56"/>
      <c r="P243" s="58">
        <f t="shared" si="16"/>
        <v>7694772.24</v>
      </c>
      <c r="Q243" s="59" t="s">
        <v>669</v>
      </c>
    </row>
    <row r="244" ht="20" customHeight="1" spans="2:17">
      <c r="B244" s="42">
        <v>3</v>
      </c>
      <c r="C244" s="42">
        <v>9</v>
      </c>
      <c r="D244" s="74"/>
      <c r="E244" s="74" t="s">
        <v>539</v>
      </c>
      <c r="F244" s="75" t="s">
        <v>800</v>
      </c>
      <c r="G244" s="56"/>
      <c r="H244" s="56">
        <v>150</v>
      </c>
      <c r="I244" s="56">
        <v>48</v>
      </c>
      <c r="J244" s="56"/>
      <c r="K244" s="56"/>
      <c r="L244" s="56"/>
      <c r="M244" s="56"/>
      <c r="N244" s="55">
        <f t="shared" si="17"/>
        <v>198</v>
      </c>
      <c r="O244" s="56"/>
      <c r="P244" s="58">
        <f t="shared" si="16"/>
        <v>7694970.24</v>
      </c>
      <c r="Q244" s="59" t="s">
        <v>669</v>
      </c>
    </row>
    <row r="245" ht="20" customHeight="1" spans="2:17">
      <c r="B245" s="42">
        <v>3</v>
      </c>
      <c r="C245" s="42">
        <v>9</v>
      </c>
      <c r="D245" s="74"/>
      <c r="E245" s="74" t="s">
        <v>608</v>
      </c>
      <c r="F245" s="75" t="s">
        <v>801</v>
      </c>
      <c r="G245" s="56">
        <v>1200</v>
      </c>
      <c r="H245" s="56">
        <v>150</v>
      </c>
      <c r="I245" s="56">
        <v>58</v>
      </c>
      <c r="J245" s="56"/>
      <c r="K245" s="56"/>
      <c r="L245" s="56"/>
      <c r="M245" s="56"/>
      <c r="N245" s="55">
        <f t="shared" si="17"/>
        <v>1408</v>
      </c>
      <c r="O245" s="56"/>
      <c r="P245" s="58">
        <f t="shared" si="16"/>
        <v>7696378.24</v>
      </c>
      <c r="Q245" s="59" t="s">
        <v>669</v>
      </c>
    </row>
    <row r="246" ht="20" customHeight="1" spans="2:17">
      <c r="B246" s="42">
        <v>3</v>
      </c>
      <c r="C246" s="42">
        <v>9</v>
      </c>
      <c r="D246" s="74"/>
      <c r="E246" s="54" t="s">
        <v>535</v>
      </c>
      <c r="F246" s="75" t="s">
        <v>802</v>
      </c>
      <c r="G246" s="56">
        <v>1400</v>
      </c>
      <c r="H246" s="56">
        <v>150</v>
      </c>
      <c r="I246" s="56">
        <v>208.8</v>
      </c>
      <c r="J246" s="56"/>
      <c r="K246" s="56"/>
      <c r="L246" s="56"/>
      <c r="M246" s="56"/>
      <c r="N246" s="55">
        <f t="shared" si="17"/>
        <v>1758.8</v>
      </c>
      <c r="O246" s="56"/>
      <c r="P246" s="58">
        <f t="shared" si="16"/>
        <v>7698137.04</v>
      </c>
      <c r="Q246" s="59" t="s">
        <v>669</v>
      </c>
    </row>
    <row r="247" ht="20" customHeight="1" spans="2:17">
      <c r="B247" s="42">
        <v>3</v>
      </c>
      <c r="C247" s="42">
        <v>9</v>
      </c>
      <c r="D247" s="74"/>
      <c r="E247" s="74" t="s">
        <v>533</v>
      </c>
      <c r="F247" s="75" t="s">
        <v>803</v>
      </c>
      <c r="G247" s="56"/>
      <c r="H247" s="56">
        <v>150</v>
      </c>
      <c r="I247" s="56">
        <v>44.4</v>
      </c>
      <c r="J247" s="56"/>
      <c r="K247" s="56"/>
      <c r="L247" s="56"/>
      <c r="M247" s="56"/>
      <c r="N247" s="55">
        <f t="shared" si="17"/>
        <v>194.4</v>
      </c>
      <c r="O247" s="56"/>
      <c r="P247" s="58">
        <f t="shared" si="16"/>
        <v>7698331.44</v>
      </c>
      <c r="Q247" s="59" t="s">
        <v>669</v>
      </c>
    </row>
    <row r="248" ht="20" customHeight="1" spans="2:17">
      <c r="B248" s="42">
        <v>3</v>
      </c>
      <c r="C248" s="42">
        <v>9</v>
      </c>
      <c r="D248" s="74"/>
      <c r="E248" s="74" t="s">
        <v>533</v>
      </c>
      <c r="F248" s="75" t="s">
        <v>804</v>
      </c>
      <c r="G248" s="56"/>
      <c r="H248" s="56">
        <v>150</v>
      </c>
      <c r="I248" s="56">
        <v>49.2</v>
      </c>
      <c r="J248" s="56"/>
      <c r="K248" s="56"/>
      <c r="L248" s="56"/>
      <c r="M248" s="56"/>
      <c r="N248" s="55">
        <f t="shared" si="17"/>
        <v>199.2</v>
      </c>
      <c r="O248" s="56"/>
      <c r="P248" s="58">
        <f t="shared" si="16"/>
        <v>7698530.64</v>
      </c>
      <c r="Q248" s="59" t="s">
        <v>669</v>
      </c>
    </row>
    <row r="249" ht="20" customHeight="1" spans="2:17">
      <c r="B249" s="42">
        <v>3</v>
      </c>
      <c r="C249" s="42">
        <v>9</v>
      </c>
      <c r="D249" s="74"/>
      <c r="E249" s="54" t="s">
        <v>556</v>
      </c>
      <c r="F249" s="75" t="s">
        <v>805</v>
      </c>
      <c r="G249" s="56">
        <v>2500</v>
      </c>
      <c r="H249" s="56">
        <v>150</v>
      </c>
      <c r="I249" s="56">
        <v>58.8</v>
      </c>
      <c r="J249" s="56"/>
      <c r="K249" s="56"/>
      <c r="L249" s="56"/>
      <c r="M249" s="56"/>
      <c r="N249" s="55">
        <f t="shared" si="17"/>
        <v>2708.8</v>
      </c>
      <c r="O249" s="56"/>
      <c r="P249" s="58">
        <f t="shared" si="16"/>
        <v>7701239.44</v>
      </c>
      <c r="Q249" s="59" t="s">
        <v>669</v>
      </c>
    </row>
    <row r="250" ht="20" customHeight="1" spans="2:17">
      <c r="B250" s="42">
        <v>3</v>
      </c>
      <c r="C250" s="42">
        <v>9</v>
      </c>
      <c r="D250" s="74"/>
      <c r="E250" s="42" t="s">
        <v>806</v>
      </c>
      <c r="F250" s="75" t="s">
        <v>807</v>
      </c>
      <c r="G250" s="56"/>
      <c r="H250" s="56"/>
      <c r="I250" s="56"/>
      <c r="J250" s="56">
        <v>4500</v>
      </c>
      <c r="K250" s="56"/>
      <c r="L250" s="56"/>
      <c r="M250" s="56"/>
      <c r="N250" s="55">
        <f t="shared" si="17"/>
        <v>4500</v>
      </c>
      <c r="O250" s="56"/>
      <c r="P250" s="58">
        <f t="shared" si="16"/>
        <v>7705739.44</v>
      </c>
      <c r="Q250" s="59" t="s">
        <v>669</v>
      </c>
    </row>
    <row r="251" ht="20" customHeight="1" spans="2:17">
      <c r="B251" s="42">
        <v>3</v>
      </c>
      <c r="C251" s="42">
        <v>9</v>
      </c>
      <c r="D251" s="74" t="s">
        <v>103</v>
      </c>
      <c r="E251" s="42"/>
      <c r="F251" s="75" t="s">
        <v>808</v>
      </c>
      <c r="G251" s="56"/>
      <c r="H251" s="56"/>
      <c r="I251" s="56"/>
      <c r="J251" s="56"/>
      <c r="K251" s="56"/>
      <c r="L251" s="56"/>
      <c r="M251" s="56"/>
      <c r="N251" s="56">
        <f t="shared" si="17"/>
        <v>0</v>
      </c>
      <c r="O251" s="56">
        <v>50</v>
      </c>
      <c r="P251" s="58">
        <f t="shared" si="16"/>
        <v>7705689.44</v>
      </c>
      <c r="Q251" s="56"/>
    </row>
    <row r="252" ht="20" customHeight="1" spans="2:17">
      <c r="B252" s="42">
        <v>3</v>
      </c>
      <c r="C252" s="42">
        <v>9</v>
      </c>
      <c r="D252" s="74"/>
      <c r="E252" s="74" t="s">
        <v>583</v>
      </c>
      <c r="F252" s="75" t="s">
        <v>809</v>
      </c>
      <c r="G252" s="56">
        <v>6708</v>
      </c>
      <c r="H252" s="56">
        <v>200</v>
      </c>
      <c r="I252" s="56">
        <v>202</v>
      </c>
      <c r="J252" s="56"/>
      <c r="K252" s="56"/>
      <c r="L252" s="56"/>
      <c r="M252" s="56"/>
      <c r="N252" s="55">
        <f t="shared" si="17"/>
        <v>7110</v>
      </c>
      <c r="O252" s="56"/>
      <c r="P252" s="58">
        <f t="shared" si="16"/>
        <v>7712799.44</v>
      </c>
      <c r="Q252" s="56"/>
    </row>
    <row r="253" ht="20" customHeight="1" spans="2:17">
      <c r="B253" s="42">
        <v>3</v>
      </c>
      <c r="C253" s="42">
        <v>9</v>
      </c>
      <c r="D253" s="74" t="s">
        <v>103</v>
      </c>
      <c r="E253" s="54"/>
      <c r="F253" s="75" t="s">
        <v>810</v>
      </c>
      <c r="G253" s="56"/>
      <c r="H253" s="56"/>
      <c r="I253" s="56"/>
      <c r="J253" s="56"/>
      <c r="K253" s="56"/>
      <c r="L253" s="56"/>
      <c r="M253" s="56"/>
      <c r="N253" s="56">
        <f t="shared" si="17"/>
        <v>0</v>
      </c>
      <c r="O253" s="56">
        <v>6</v>
      </c>
      <c r="P253" s="58">
        <f t="shared" si="16"/>
        <v>7712793.44</v>
      </c>
      <c r="Q253" s="56"/>
    </row>
    <row r="254" ht="20" customHeight="1" spans="2:17">
      <c r="B254" s="42">
        <v>3</v>
      </c>
      <c r="C254" s="42">
        <v>9</v>
      </c>
      <c r="D254" s="74"/>
      <c r="E254" s="74" t="s">
        <v>811</v>
      </c>
      <c r="F254" s="75" t="s">
        <v>812</v>
      </c>
      <c r="G254" s="56">
        <v>1500</v>
      </c>
      <c r="H254" s="56">
        <v>150</v>
      </c>
      <c r="I254" s="56">
        <v>92</v>
      </c>
      <c r="J254" s="56"/>
      <c r="K254" s="56"/>
      <c r="L254" s="56"/>
      <c r="M254" s="56"/>
      <c r="N254" s="55">
        <f t="shared" si="17"/>
        <v>1742</v>
      </c>
      <c r="O254" s="56"/>
      <c r="P254" s="58">
        <f t="shared" si="16"/>
        <v>7714535.44</v>
      </c>
      <c r="Q254" s="56"/>
    </row>
    <row r="255" ht="20" customHeight="1" spans="2:17">
      <c r="B255" s="42">
        <v>3</v>
      </c>
      <c r="C255" s="42">
        <v>9</v>
      </c>
      <c r="D255" s="74"/>
      <c r="E255" s="74" t="s">
        <v>811</v>
      </c>
      <c r="F255" s="75" t="s">
        <v>813</v>
      </c>
      <c r="G255" s="56">
        <v>1500</v>
      </c>
      <c r="H255" s="56">
        <v>150</v>
      </c>
      <c r="I255" s="56">
        <v>61</v>
      </c>
      <c r="J255" s="56"/>
      <c r="K255" s="56"/>
      <c r="L255" s="56"/>
      <c r="M255" s="56"/>
      <c r="N255" s="55">
        <f t="shared" si="17"/>
        <v>1711</v>
      </c>
      <c r="O255" s="56"/>
      <c r="P255" s="58">
        <f t="shared" si="16"/>
        <v>7716246.44</v>
      </c>
      <c r="Q255" s="56"/>
    </row>
    <row r="256" ht="20" customHeight="1" spans="2:17">
      <c r="B256" s="42">
        <v>3</v>
      </c>
      <c r="C256" s="42">
        <v>9</v>
      </c>
      <c r="D256" s="74"/>
      <c r="E256" s="54" t="s">
        <v>560</v>
      </c>
      <c r="F256" s="75" t="s">
        <v>814</v>
      </c>
      <c r="G256" s="56">
        <v>2400</v>
      </c>
      <c r="H256" s="56">
        <v>150</v>
      </c>
      <c r="I256" s="56">
        <v>69.6</v>
      </c>
      <c r="J256" s="56"/>
      <c r="K256" s="56"/>
      <c r="L256" s="56"/>
      <c r="M256" s="56"/>
      <c r="N256" s="55">
        <f t="shared" si="17"/>
        <v>2619.6</v>
      </c>
      <c r="O256" s="56"/>
      <c r="P256" s="58">
        <f t="shared" si="16"/>
        <v>7718866.04</v>
      </c>
      <c r="Q256" s="56"/>
    </row>
    <row r="257" ht="20" customHeight="1" spans="2:17">
      <c r="B257" s="42">
        <v>3</v>
      </c>
      <c r="C257" s="42">
        <v>9</v>
      </c>
      <c r="D257" s="74"/>
      <c r="E257" s="74" t="s">
        <v>623</v>
      </c>
      <c r="F257" s="75" t="s">
        <v>815</v>
      </c>
      <c r="G257" s="56"/>
      <c r="H257" s="56">
        <v>300</v>
      </c>
      <c r="I257" s="56">
        <v>315.6</v>
      </c>
      <c r="J257" s="56"/>
      <c r="K257" s="56"/>
      <c r="L257" s="56"/>
      <c r="M257" s="56"/>
      <c r="N257" s="55">
        <f t="shared" si="17"/>
        <v>615.6</v>
      </c>
      <c r="O257" s="56"/>
      <c r="P257" s="58">
        <f t="shared" si="16"/>
        <v>7719481.64</v>
      </c>
      <c r="Q257" s="56"/>
    </row>
    <row r="258" ht="20" customHeight="1" spans="2:17">
      <c r="B258" s="42">
        <v>3</v>
      </c>
      <c r="C258" s="42">
        <v>9</v>
      </c>
      <c r="D258" s="74"/>
      <c r="E258" s="74" t="s">
        <v>501</v>
      </c>
      <c r="F258" s="75" t="s">
        <v>816</v>
      </c>
      <c r="G258" s="56">
        <v>1500</v>
      </c>
      <c r="H258" s="56">
        <v>150</v>
      </c>
      <c r="I258" s="56">
        <v>93.6</v>
      </c>
      <c r="J258" s="56"/>
      <c r="K258" s="56"/>
      <c r="L258" s="56"/>
      <c r="M258" s="56"/>
      <c r="N258" s="55">
        <f t="shared" si="17"/>
        <v>1743.6</v>
      </c>
      <c r="O258" s="56"/>
      <c r="P258" s="58">
        <f t="shared" si="16"/>
        <v>7721225.24</v>
      </c>
      <c r="Q258" s="56"/>
    </row>
    <row r="259" ht="20" customHeight="1" spans="2:17">
      <c r="B259" s="42">
        <v>3</v>
      </c>
      <c r="C259" s="42">
        <v>9</v>
      </c>
      <c r="D259" s="74"/>
      <c r="E259" s="54" t="s">
        <v>499</v>
      </c>
      <c r="F259" s="75" t="s">
        <v>817</v>
      </c>
      <c r="G259" s="56">
        <v>10200</v>
      </c>
      <c r="H259" s="56">
        <v>150</v>
      </c>
      <c r="I259" s="56">
        <v>57.6</v>
      </c>
      <c r="J259" s="56"/>
      <c r="K259" s="56"/>
      <c r="L259" s="56"/>
      <c r="M259" s="56"/>
      <c r="N259" s="55">
        <f t="shared" si="17"/>
        <v>10407.6</v>
      </c>
      <c r="O259" s="56"/>
      <c r="P259" s="58">
        <f t="shared" si="16"/>
        <v>7731632.84</v>
      </c>
      <c r="Q259" s="56"/>
    </row>
    <row r="260" ht="20" customHeight="1" spans="2:17">
      <c r="B260" s="42">
        <v>3</v>
      </c>
      <c r="C260" s="42">
        <v>9</v>
      </c>
      <c r="D260" s="74"/>
      <c r="E260" s="74" t="s">
        <v>574</v>
      </c>
      <c r="F260" s="75" t="s">
        <v>818</v>
      </c>
      <c r="G260" s="56">
        <v>7043</v>
      </c>
      <c r="H260" s="56">
        <v>200</v>
      </c>
      <c r="I260" s="56">
        <v>665.6</v>
      </c>
      <c r="J260" s="56"/>
      <c r="K260" s="56"/>
      <c r="L260" s="56"/>
      <c r="M260" s="56"/>
      <c r="N260" s="55">
        <f t="shared" si="17"/>
        <v>7908.6</v>
      </c>
      <c r="O260" s="56"/>
      <c r="P260" s="58">
        <f t="shared" si="16"/>
        <v>7739541.44</v>
      </c>
      <c r="Q260" s="56"/>
    </row>
    <row r="261" ht="20" customHeight="1" spans="2:17">
      <c r="B261" s="42">
        <v>3</v>
      </c>
      <c r="C261" s="42">
        <v>10</v>
      </c>
      <c r="D261" s="74"/>
      <c r="E261" s="74" t="s">
        <v>611</v>
      </c>
      <c r="F261" s="75" t="s">
        <v>819</v>
      </c>
      <c r="G261" s="56">
        <v>19800</v>
      </c>
      <c r="H261" s="56">
        <v>200</v>
      </c>
      <c r="I261" s="56">
        <v>334.8</v>
      </c>
      <c r="J261" s="56"/>
      <c r="K261" s="56"/>
      <c r="L261" s="56"/>
      <c r="M261" s="56"/>
      <c r="N261" s="55">
        <f t="shared" si="17"/>
        <v>20334.8</v>
      </c>
      <c r="O261" s="56"/>
      <c r="P261" s="58">
        <f t="shared" si="16"/>
        <v>7759876.24</v>
      </c>
      <c r="Q261" s="56"/>
    </row>
    <row r="262" ht="20" customHeight="1" spans="2:17">
      <c r="B262" s="42">
        <v>3</v>
      </c>
      <c r="C262" s="42">
        <v>10</v>
      </c>
      <c r="D262" s="74"/>
      <c r="E262" s="54" t="s">
        <v>611</v>
      </c>
      <c r="F262" s="75" t="s">
        <v>820</v>
      </c>
      <c r="G262" s="56"/>
      <c r="H262" s="56">
        <v>200</v>
      </c>
      <c r="I262" s="56">
        <v>358.2</v>
      </c>
      <c r="J262" s="56"/>
      <c r="K262" s="56"/>
      <c r="L262" s="56"/>
      <c r="M262" s="56"/>
      <c r="N262" s="55">
        <f t="shared" si="17"/>
        <v>558.2</v>
      </c>
      <c r="O262" s="56"/>
      <c r="P262" s="58">
        <f t="shared" si="16"/>
        <v>7760434.44</v>
      </c>
      <c r="Q262" s="56"/>
    </row>
    <row r="263" ht="20" customHeight="1" spans="2:17">
      <c r="B263" s="42">
        <v>3</v>
      </c>
      <c r="C263" s="42">
        <v>10</v>
      </c>
      <c r="D263" s="74" t="s">
        <v>106</v>
      </c>
      <c r="E263" s="74" t="s">
        <v>512</v>
      </c>
      <c r="F263" s="75" t="s">
        <v>821</v>
      </c>
      <c r="G263" s="56"/>
      <c r="H263" s="56"/>
      <c r="I263" s="56"/>
      <c r="J263" s="56"/>
      <c r="K263" s="56"/>
      <c r="L263" s="56"/>
      <c r="M263" s="56"/>
      <c r="N263" s="56">
        <f t="shared" si="17"/>
        <v>0</v>
      </c>
      <c r="O263" s="56">
        <v>13500</v>
      </c>
      <c r="P263" s="58">
        <f t="shared" si="16"/>
        <v>7746934.44</v>
      </c>
      <c r="Q263" s="56"/>
    </row>
    <row r="264" ht="20" customHeight="1" spans="2:17">
      <c r="B264" s="42">
        <v>3</v>
      </c>
      <c r="C264" s="42">
        <v>10</v>
      </c>
      <c r="D264" s="74" t="s">
        <v>100</v>
      </c>
      <c r="E264" s="74" t="s">
        <v>486</v>
      </c>
      <c r="F264" s="75" t="s">
        <v>822</v>
      </c>
      <c r="G264" s="56"/>
      <c r="H264" s="56"/>
      <c r="I264" s="56"/>
      <c r="J264" s="56"/>
      <c r="K264" s="56"/>
      <c r="L264" s="56"/>
      <c r="M264" s="56"/>
      <c r="N264" s="56">
        <f t="shared" si="17"/>
        <v>0</v>
      </c>
      <c r="O264" s="56">
        <v>300</v>
      </c>
      <c r="P264" s="58">
        <f t="shared" si="16"/>
        <v>7746634.44</v>
      </c>
      <c r="Q264" s="56"/>
    </row>
    <row r="265" ht="20" customHeight="1" spans="2:17">
      <c r="B265" s="42">
        <v>3</v>
      </c>
      <c r="C265" s="42">
        <v>10</v>
      </c>
      <c r="D265" s="74" t="s">
        <v>124</v>
      </c>
      <c r="E265" s="74" t="s">
        <v>486</v>
      </c>
      <c r="F265" s="75" t="s">
        <v>823</v>
      </c>
      <c r="G265" s="56"/>
      <c r="H265" s="56"/>
      <c r="I265" s="56"/>
      <c r="J265" s="56"/>
      <c r="K265" s="56"/>
      <c r="L265" s="56"/>
      <c r="M265" s="56"/>
      <c r="N265" s="56">
        <f t="shared" si="17"/>
        <v>0</v>
      </c>
      <c r="O265" s="56">
        <v>11939.6</v>
      </c>
      <c r="P265" s="58">
        <f t="shared" si="16"/>
        <v>7734694.84</v>
      </c>
      <c r="Q265" s="56"/>
    </row>
    <row r="266" ht="20" customHeight="1" spans="2:17">
      <c r="B266" s="42">
        <v>3</v>
      </c>
      <c r="C266" s="42">
        <v>10</v>
      </c>
      <c r="D266" s="74" t="s">
        <v>100</v>
      </c>
      <c r="E266" s="74" t="s">
        <v>486</v>
      </c>
      <c r="F266" s="75" t="s">
        <v>824</v>
      </c>
      <c r="G266" s="56"/>
      <c r="H266" s="56"/>
      <c r="I266" s="56"/>
      <c r="J266" s="56"/>
      <c r="K266" s="56"/>
      <c r="L266" s="56"/>
      <c r="M266" s="56"/>
      <c r="N266" s="56">
        <f t="shared" si="17"/>
        <v>0</v>
      </c>
      <c r="O266" s="56">
        <v>80</v>
      </c>
      <c r="P266" s="58">
        <f t="shared" si="16"/>
        <v>7734614.84</v>
      </c>
      <c r="Q266" s="56"/>
    </row>
    <row r="267" ht="20" customHeight="1" spans="2:17">
      <c r="B267" s="42">
        <v>3</v>
      </c>
      <c r="C267" s="42">
        <v>10</v>
      </c>
      <c r="D267" s="74" t="s">
        <v>121</v>
      </c>
      <c r="E267" s="74" t="s">
        <v>486</v>
      </c>
      <c r="F267" s="75" t="s">
        <v>825</v>
      </c>
      <c r="G267" s="56"/>
      <c r="H267" s="56"/>
      <c r="I267" s="56"/>
      <c r="J267" s="56"/>
      <c r="K267" s="56"/>
      <c r="L267" s="56"/>
      <c r="M267" s="56"/>
      <c r="N267" s="56">
        <f t="shared" si="17"/>
        <v>0</v>
      </c>
      <c r="O267" s="56">
        <v>1500</v>
      </c>
      <c r="P267" s="58">
        <f t="shared" si="16"/>
        <v>7733114.84</v>
      </c>
      <c r="Q267" s="56"/>
    </row>
    <row r="268" ht="20" customHeight="1" spans="2:17">
      <c r="B268" s="42">
        <v>3</v>
      </c>
      <c r="C268" s="42">
        <v>10</v>
      </c>
      <c r="D268" s="74"/>
      <c r="E268" s="54" t="s">
        <v>510</v>
      </c>
      <c r="F268" s="75" t="s">
        <v>826</v>
      </c>
      <c r="G268" s="56">
        <v>1700</v>
      </c>
      <c r="H268" s="56">
        <v>150</v>
      </c>
      <c r="I268" s="56">
        <v>97.2</v>
      </c>
      <c r="J268" s="56"/>
      <c r="K268" s="56"/>
      <c r="L268" s="56"/>
      <c r="M268" s="56"/>
      <c r="N268" s="55">
        <f t="shared" si="17"/>
        <v>1947.2</v>
      </c>
      <c r="O268" s="56"/>
      <c r="P268" s="58">
        <f t="shared" si="16"/>
        <v>7735062.04</v>
      </c>
      <c r="Q268" s="56"/>
    </row>
    <row r="269" ht="20" customHeight="1" spans="2:17">
      <c r="B269" s="42">
        <v>3</v>
      </c>
      <c r="C269" s="42">
        <v>10</v>
      </c>
      <c r="D269" s="74"/>
      <c r="E269" s="74" t="s">
        <v>514</v>
      </c>
      <c r="F269" s="75" t="s">
        <v>827</v>
      </c>
      <c r="G269" s="56">
        <v>7715</v>
      </c>
      <c r="H269" s="56">
        <v>200</v>
      </c>
      <c r="I269" s="56">
        <v>605.4</v>
      </c>
      <c r="J269" s="56"/>
      <c r="K269" s="56"/>
      <c r="L269" s="56"/>
      <c r="M269" s="56"/>
      <c r="N269" s="55">
        <f t="shared" si="17"/>
        <v>8520.4</v>
      </c>
      <c r="O269" s="56"/>
      <c r="P269" s="58">
        <f t="shared" ref="P269:P322" si="18">P268+N269-O269</f>
        <v>7743582.44</v>
      </c>
      <c r="Q269" s="56"/>
    </row>
    <row r="270" ht="20" customHeight="1" spans="2:17">
      <c r="B270" s="42">
        <v>3</v>
      </c>
      <c r="C270" s="42">
        <v>11</v>
      </c>
      <c r="D270" s="74"/>
      <c r="E270" s="42"/>
      <c r="F270" s="75" t="s">
        <v>828</v>
      </c>
      <c r="G270" s="56"/>
      <c r="H270" s="56"/>
      <c r="I270" s="56"/>
      <c r="J270" s="56"/>
      <c r="K270" s="55">
        <v>680</v>
      </c>
      <c r="L270" s="56"/>
      <c r="M270" s="56">
        <v>28.82</v>
      </c>
      <c r="N270" s="56">
        <f t="shared" si="17"/>
        <v>651.18</v>
      </c>
      <c r="O270" s="56"/>
      <c r="P270" s="58">
        <f t="shared" si="18"/>
        <v>7744233.62</v>
      </c>
      <c r="Q270" s="59" t="s">
        <v>669</v>
      </c>
    </row>
    <row r="271" ht="20" customHeight="1" spans="2:17">
      <c r="B271" s="42">
        <v>3</v>
      </c>
      <c r="C271" s="42">
        <v>11</v>
      </c>
      <c r="D271" s="74"/>
      <c r="E271" s="54" t="s">
        <v>518</v>
      </c>
      <c r="F271" s="75" t="s">
        <v>829</v>
      </c>
      <c r="G271" s="56"/>
      <c r="H271" s="56"/>
      <c r="I271" s="56">
        <v>82.8</v>
      </c>
      <c r="J271" s="56"/>
      <c r="K271" s="56"/>
      <c r="L271" s="56"/>
      <c r="M271" s="56"/>
      <c r="N271" s="55">
        <f t="shared" si="17"/>
        <v>82.8</v>
      </c>
      <c r="O271" s="56"/>
      <c r="P271" s="58">
        <f t="shared" si="18"/>
        <v>7744316.42</v>
      </c>
      <c r="Q271" s="59" t="s">
        <v>669</v>
      </c>
    </row>
    <row r="272" ht="20" customHeight="1" spans="2:17">
      <c r="B272" s="42">
        <v>3</v>
      </c>
      <c r="C272" s="42">
        <v>11</v>
      </c>
      <c r="D272" s="74"/>
      <c r="E272" s="74" t="s">
        <v>518</v>
      </c>
      <c r="F272" s="75" t="s">
        <v>830</v>
      </c>
      <c r="G272" s="56"/>
      <c r="H272" s="56"/>
      <c r="I272" s="56">
        <v>73.2</v>
      </c>
      <c r="J272" s="56"/>
      <c r="K272" s="56"/>
      <c r="L272" s="56"/>
      <c r="M272" s="56"/>
      <c r="N272" s="55">
        <f t="shared" si="17"/>
        <v>73.2</v>
      </c>
      <c r="O272" s="56"/>
      <c r="P272" s="58">
        <f t="shared" si="18"/>
        <v>7744389.62</v>
      </c>
      <c r="Q272" s="59" t="s">
        <v>669</v>
      </c>
    </row>
    <row r="273" ht="20" customHeight="1" spans="2:17">
      <c r="B273" s="42">
        <v>3</v>
      </c>
      <c r="C273" s="42">
        <v>11</v>
      </c>
      <c r="D273" s="74"/>
      <c r="E273" s="74" t="s">
        <v>564</v>
      </c>
      <c r="F273" s="75" t="s">
        <v>831</v>
      </c>
      <c r="G273" s="56"/>
      <c r="H273" s="56">
        <v>150</v>
      </c>
      <c r="I273" s="56">
        <v>237.6</v>
      </c>
      <c r="J273" s="56"/>
      <c r="K273" s="56"/>
      <c r="L273" s="56"/>
      <c r="M273" s="56"/>
      <c r="N273" s="55">
        <f t="shared" si="17"/>
        <v>387.6</v>
      </c>
      <c r="O273" s="56"/>
      <c r="P273" s="58">
        <f t="shared" si="18"/>
        <v>7744777.22</v>
      </c>
      <c r="Q273" s="59" t="s">
        <v>669</v>
      </c>
    </row>
    <row r="274" ht="20" customHeight="1" spans="2:17">
      <c r="B274" s="42">
        <v>3</v>
      </c>
      <c r="C274" s="42">
        <v>11</v>
      </c>
      <c r="D274" s="74"/>
      <c r="E274" s="54" t="s">
        <v>832</v>
      </c>
      <c r="F274" s="75" t="s">
        <v>833</v>
      </c>
      <c r="G274" s="56"/>
      <c r="H274" s="56">
        <v>150</v>
      </c>
      <c r="I274" s="56">
        <v>66</v>
      </c>
      <c r="J274" s="56"/>
      <c r="K274" s="56"/>
      <c r="L274" s="56"/>
      <c r="M274" s="56"/>
      <c r="N274" s="55">
        <f t="shared" si="17"/>
        <v>216</v>
      </c>
      <c r="O274" s="56"/>
      <c r="P274" s="58">
        <f t="shared" si="18"/>
        <v>7744993.22</v>
      </c>
      <c r="Q274" s="59" t="s">
        <v>669</v>
      </c>
    </row>
    <row r="275" ht="20" customHeight="1" spans="2:17">
      <c r="B275" s="42">
        <v>3</v>
      </c>
      <c r="C275" s="42">
        <v>11</v>
      </c>
      <c r="D275" s="74"/>
      <c r="E275" s="74" t="s">
        <v>537</v>
      </c>
      <c r="F275" s="75" t="s">
        <v>834</v>
      </c>
      <c r="G275" s="56"/>
      <c r="H275" s="56">
        <v>150</v>
      </c>
      <c r="I275" s="56">
        <v>124.8</v>
      </c>
      <c r="J275" s="56"/>
      <c r="K275" s="56"/>
      <c r="L275" s="56"/>
      <c r="M275" s="56"/>
      <c r="N275" s="55">
        <f t="shared" si="17"/>
        <v>274.8</v>
      </c>
      <c r="O275" s="56"/>
      <c r="P275" s="58">
        <f t="shared" si="18"/>
        <v>7745268.02</v>
      </c>
      <c r="Q275" s="59" t="s">
        <v>669</v>
      </c>
    </row>
    <row r="276" ht="20" customHeight="1" spans="2:17">
      <c r="B276" s="42">
        <v>3</v>
      </c>
      <c r="C276" s="42">
        <v>11</v>
      </c>
      <c r="D276" s="74"/>
      <c r="E276" s="74" t="s">
        <v>541</v>
      </c>
      <c r="F276" s="75" t="s">
        <v>835</v>
      </c>
      <c r="G276" s="56"/>
      <c r="H276" s="56">
        <v>150</v>
      </c>
      <c r="I276" s="56">
        <v>241.2</v>
      </c>
      <c r="J276" s="56"/>
      <c r="K276" s="56"/>
      <c r="L276" s="56"/>
      <c r="M276" s="56"/>
      <c r="N276" s="55">
        <f t="shared" ref="N276:N295" si="19">SUM(G276:L276)-M276</f>
        <v>391.2</v>
      </c>
      <c r="O276" s="56"/>
      <c r="P276" s="58">
        <f t="shared" si="18"/>
        <v>7745659.22</v>
      </c>
      <c r="Q276" s="59" t="s">
        <v>669</v>
      </c>
    </row>
    <row r="277" ht="20" customHeight="1" spans="2:17">
      <c r="B277" s="42">
        <v>3</v>
      </c>
      <c r="C277" s="42">
        <v>11</v>
      </c>
      <c r="D277" s="74"/>
      <c r="E277" s="54" t="s">
        <v>558</v>
      </c>
      <c r="F277" s="75" t="s">
        <v>836</v>
      </c>
      <c r="G277" s="56">
        <v>1400</v>
      </c>
      <c r="H277" s="56">
        <v>150</v>
      </c>
      <c r="I277" s="56">
        <v>75.6</v>
      </c>
      <c r="J277" s="56"/>
      <c r="K277" s="56"/>
      <c r="L277" s="56"/>
      <c r="M277" s="56"/>
      <c r="N277" s="55">
        <f t="shared" si="19"/>
        <v>1625.6</v>
      </c>
      <c r="O277" s="56"/>
      <c r="P277" s="58">
        <f t="shared" si="18"/>
        <v>7747284.82</v>
      </c>
      <c r="Q277" s="59" t="s">
        <v>669</v>
      </c>
    </row>
    <row r="278" ht="20" customHeight="1" spans="2:17">
      <c r="B278" s="42">
        <v>3</v>
      </c>
      <c r="C278" s="42">
        <v>11</v>
      </c>
      <c r="D278" s="74"/>
      <c r="E278" s="74" t="s">
        <v>599</v>
      </c>
      <c r="F278" s="75" t="s">
        <v>837</v>
      </c>
      <c r="G278" s="56"/>
      <c r="H278" s="56">
        <v>150</v>
      </c>
      <c r="I278" s="56">
        <v>130</v>
      </c>
      <c r="J278" s="56"/>
      <c r="K278" s="56"/>
      <c r="L278" s="56"/>
      <c r="M278" s="56"/>
      <c r="N278" s="55">
        <f t="shared" si="19"/>
        <v>280</v>
      </c>
      <c r="O278" s="56"/>
      <c r="P278" s="58">
        <f t="shared" si="18"/>
        <v>7747564.82</v>
      </c>
      <c r="Q278" s="59" t="s">
        <v>669</v>
      </c>
    </row>
    <row r="279" ht="20" customHeight="1" spans="2:17">
      <c r="B279" s="42">
        <v>3</v>
      </c>
      <c r="C279" s="42">
        <v>11</v>
      </c>
      <c r="D279" s="74"/>
      <c r="E279" s="74" t="s">
        <v>548</v>
      </c>
      <c r="F279" s="75" t="s">
        <v>838</v>
      </c>
      <c r="G279" s="56">
        <v>1700</v>
      </c>
      <c r="H279" s="56">
        <v>150</v>
      </c>
      <c r="I279" s="56">
        <v>82.8</v>
      </c>
      <c r="J279" s="56"/>
      <c r="K279" s="56"/>
      <c r="L279" s="56"/>
      <c r="M279" s="56"/>
      <c r="N279" s="55">
        <f t="shared" si="19"/>
        <v>1932.8</v>
      </c>
      <c r="O279" s="56"/>
      <c r="P279" s="58">
        <f t="shared" si="18"/>
        <v>7749497.62</v>
      </c>
      <c r="Q279" s="59" t="s">
        <v>669</v>
      </c>
    </row>
    <row r="280" ht="20" customHeight="1" spans="2:17">
      <c r="B280" s="42">
        <v>3</v>
      </c>
      <c r="C280" s="42">
        <v>11</v>
      </c>
      <c r="D280" s="74"/>
      <c r="E280" s="54" t="s">
        <v>545</v>
      </c>
      <c r="F280" s="75" t="s">
        <v>839</v>
      </c>
      <c r="G280" s="56">
        <v>1500</v>
      </c>
      <c r="H280" s="56">
        <v>150</v>
      </c>
      <c r="I280" s="56">
        <v>100.8</v>
      </c>
      <c r="J280" s="56"/>
      <c r="K280" s="56"/>
      <c r="L280" s="56"/>
      <c r="M280" s="56"/>
      <c r="N280" s="55">
        <f t="shared" si="19"/>
        <v>1750.8</v>
      </c>
      <c r="O280" s="56"/>
      <c r="P280" s="58">
        <f t="shared" si="18"/>
        <v>7751248.42</v>
      </c>
      <c r="Q280" s="59" t="s">
        <v>669</v>
      </c>
    </row>
    <row r="281" ht="20" customHeight="1" spans="2:17">
      <c r="B281" s="42">
        <v>3</v>
      </c>
      <c r="C281" s="42">
        <v>11</v>
      </c>
      <c r="D281" s="74"/>
      <c r="E281" s="74" t="s">
        <v>597</v>
      </c>
      <c r="F281" s="75" t="s">
        <v>840</v>
      </c>
      <c r="G281" s="56">
        <v>1500</v>
      </c>
      <c r="H281" s="56">
        <v>150</v>
      </c>
      <c r="I281" s="56">
        <v>84</v>
      </c>
      <c r="J281" s="56"/>
      <c r="K281" s="56"/>
      <c r="L281" s="56"/>
      <c r="M281" s="56"/>
      <c r="N281" s="55">
        <f t="shared" si="19"/>
        <v>1734</v>
      </c>
      <c r="O281" s="56"/>
      <c r="P281" s="58">
        <f t="shared" si="18"/>
        <v>7752982.42</v>
      </c>
      <c r="Q281" s="59" t="s">
        <v>669</v>
      </c>
    </row>
    <row r="282" ht="20" customHeight="1" spans="2:17">
      <c r="B282" s="42">
        <v>3</v>
      </c>
      <c r="C282" s="42">
        <v>11</v>
      </c>
      <c r="D282" s="74"/>
      <c r="E282" s="74" t="s">
        <v>597</v>
      </c>
      <c r="F282" s="75" t="s">
        <v>841</v>
      </c>
      <c r="G282" s="56">
        <v>1500</v>
      </c>
      <c r="H282" s="56">
        <v>150</v>
      </c>
      <c r="I282" s="56">
        <v>91.2</v>
      </c>
      <c r="J282" s="56"/>
      <c r="K282" s="56"/>
      <c r="L282" s="56"/>
      <c r="M282" s="56"/>
      <c r="N282" s="55">
        <f t="shared" si="19"/>
        <v>1741.2</v>
      </c>
      <c r="O282" s="56"/>
      <c r="P282" s="58">
        <f t="shared" si="18"/>
        <v>7754723.62</v>
      </c>
      <c r="Q282" s="59" t="s">
        <v>669</v>
      </c>
    </row>
    <row r="283" ht="20" customHeight="1" spans="2:17">
      <c r="B283" s="42">
        <v>3</v>
      </c>
      <c r="C283" s="42">
        <v>11</v>
      </c>
      <c r="D283" s="74"/>
      <c r="E283" s="54" t="s">
        <v>503</v>
      </c>
      <c r="F283" s="75" t="s">
        <v>842</v>
      </c>
      <c r="G283" s="56">
        <v>1400</v>
      </c>
      <c r="H283" s="56">
        <v>150</v>
      </c>
      <c r="I283" s="56">
        <v>57.6</v>
      </c>
      <c r="J283" s="56"/>
      <c r="K283" s="56"/>
      <c r="L283" s="56"/>
      <c r="M283" s="56"/>
      <c r="N283" s="55">
        <f t="shared" si="19"/>
        <v>1607.6</v>
      </c>
      <c r="O283" s="56"/>
      <c r="P283" s="58">
        <f t="shared" si="18"/>
        <v>7756331.22</v>
      </c>
      <c r="Q283" s="59" t="s">
        <v>669</v>
      </c>
    </row>
    <row r="284" ht="20" customHeight="1" spans="2:17">
      <c r="B284" s="42">
        <v>3</v>
      </c>
      <c r="C284" s="42">
        <v>11</v>
      </c>
      <c r="D284" s="74"/>
      <c r="E284" s="74" t="s">
        <v>728</v>
      </c>
      <c r="F284" s="75" t="s">
        <v>843</v>
      </c>
      <c r="G284" s="56">
        <v>1900</v>
      </c>
      <c r="H284" s="56">
        <v>150</v>
      </c>
      <c r="I284" s="56">
        <v>186</v>
      </c>
      <c r="J284" s="56"/>
      <c r="K284" s="56"/>
      <c r="L284" s="56"/>
      <c r="M284" s="56"/>
      <c r="N284" s="55">
        <f t="shared" si="19"/>
        <v>2236</v>
      </c>
      <c r="O284" s="56"/>
      <c r="P284" s="58">
        <f t="shared" si="18"/>
        <v>7758567.22</v>
      </c>
      <c r="Q284" s="59" t="s">
        <v>669</v>
      </c>
    </row>
    <row r="285" ht="20" customHeight="1" spans="2:17">
      <c r="B285" s="42">
        <v>3</v>
      </c>
      <c r="C285" s="42">
        <v>11</v>
      </c>
      <c r="D285" s="74"/>
      <c r="E285" s="74" t="s">
        <v>599</v>
      </c>
      <c r="F285" s="75" t="s">
        <v>844</v>
      </c>
      <c r="G285" s="56"/>
      <c r="H285" s="56">
        <v>150</v>
      </c>
      <c r="I285" s="56">
        <v>166.8</v>
      </c>
      <c r="J285" s="56"/>
      <c r="K285" s="56"/>
      <c r="L285" s="56"/>
      <c r="M285" s="56"/>
      <c r="N285" s="55">
        <f t="shared" si="19"/>
        <v>316.8</v>
      </c>
      <c r="O285" s="56"/>
      <c r="P285" s="58">
        <f t="shared" si="18"/>
        <v>7758884.02</v>
      </c>
      <c r="Q285" s="59" t="s">
        <v>669</v>
      </c>
    </row>
    <row r="286" ht="20" customHeight="1" spans="2:17">
      <c r="B286" s="42">
        <v>3</v>
      </c>
      <c r="C286" s="42">
        <v>11</v>
      </c>
      <c r="D286" s="74"/>
      <c r="E286" s="54" t="s">
        <v>531</v>
      </c>
      <c r="F286" s="75" t="s">
        <v>845</v>
      </c>
      <c r="G286" s="56"/>
      <c r="H286" s="56">
        <v>150</v>
      </c>
      <c r="I286" s="56">
        <v>75.6</v>
      </c>
      <c r="J286" s="56"/>
      <c r="K286" s="56"/>
      <c r="L286" s="56"/>
      <c r="M286" s="56"/>
      <c r="N286" s="55">
        <f t="shared" si="19"/>
        <v>225.6</v>
      </c>
      <c r="O286" s="56"/>
      <c r="P286" s="58">
        <f t="shared" si="18"/>
        <v>7759109.62</v>
      </c>
      <c r="Q286" s="59" t="s">
        <v>669</v>
      </c>
    </row>
    <row r="287" ht="20" customHeight="1" spans="2:17">
      <c r="B287" s="42">
        <v>3</v>
      </c>
      <c r="C287" s="42">
        <v>11</v>
      </c>
      <c r="D287" s="74"/>
      <c r="E287" s="74" t="s">
        <v>554</v>
      </c>
      <c r="F287" s="75" t="s">
        <v>846</v>
      </c>
      <c r="G287" s="56"/>
      <c r="H287" s="56">
        <v>150</v>
      </c>
      <c r="I287" s="56">
        <v>177.6</v>
      </c>
      <c r="J287" s="56"/>
      <c r="K287" s="56"/>
      <c r="L287" s="56"/>
      <c r="M287" s="56"/>
      <c r="N287" s="55">
        <f t="shared" si="19"/>
        <v>327.6</v>
      </c>
      <c r="O287" s="56"/>
      <c r="P287" s="58">
        <f t="shared" si="18"/>
        <v>7759437.22</v>
      </c>
      <c r="Q287" s="59" t="s">
        <v>669</v>
      </c>
    </row>
    <row r="288" ht="20" customHeight="1" spans="2:17">
      <c r="B288" s="42">
        <v>3</v>
      </c>
      <c r="C288" s="42">
        <v>11</v>
      </c>
      <c r="D288" s="74"/>
      <c r="E288" s="74" t="s">
        <v>512</v>
      </c>
      <c r="F288" s="75" t="s">
        <v>847</v>
      </c>
      <c r="G288" s="56"/>
      <c r="H288" s="56"/>
      <c r="I288" s="56">
        <v>90</v>
      </c>
      <c r="J288" s="56"/>
      <c r="K288" s="56"/>
      <c r="L288" s="56"/>
      <c r="M288" s="56"/>
      <c r="N288" s="55">
        <f t="shared" si="19"/>
        <v>90</v>
      </c>
      <c r="O288" s="56"/>
      <c r="P288" s="58">
        <f t="shared" si="18"/>
        <v>7759527.22</v>
      </c>
      <c r="Q288" s="59" t="s">
        <v>669</v>
      </c>
    </row>
    <row r="289" ht="20" customHeight="1" spans="2:19">
      <c r="B289" s="42">
        <v>3</v>
      </c>
      <c r="C289" s="42">
        <v>11</v>
      </c>
      <c r="D289" s="74"/>
      <c r="E289" s="54" t="s">
        <v>611</v>
      </c>
      <c r="F289" s="75" t="s">
        <v>848</v>
      </c>
      <c r="G289" s="56"/>
      <c r="H289" s="56"/>
      <c r="I289" s="56">
        <v>0.6</v>
      </c>
      <c r="J289" s="56"/>
      <c r="K289" s="56"/>
      <c r="L289" s="56"/>
      <c r="M289" s="56"/>
      <c r="N289" s="55">
        <f t="shared" si="19"/>
        <v>0.6</v>
      </c>
      <c r="O289" s="56"/>
      <c r="P289" s="58">
        <f t="shared" si="18"/>
        <v>7759527.82</v>
      </c>
      <c r="Q289" s="59" t="s">
        <v>669</v>
      </c>
    </row>
    <row r="290" ht="20" customHeight="1" spans="2:19">
      <c r="B290" s="42">
        <v>3</v>
      </c>
      <c r="C290" s="42">
        <v>11</v>
      </c>
      <c r="D290" s="74"/>
      <c r="E290" s="74" t="s">
        <v>524</v>
      </c>
      <c r="F290" s="75" t="s">
        <v>849</v>
      </c>
      <c r="G290" s="56">
        <v>2900</v>
      </c>
      <c r="H290" s="56"/>
      <c r="I290" s="56">
        <v>30</v>
      </c>
      <c r="J290" s="56"/>
      <c r="K290" s="56"/>
      <c r="L290" s="56"/>
      <c r="M290" s="56"/>
      <c r="N290" s="55">
        <f t="shared" si="19"/>
        <v>2930</v>
      </c>
      <c r="O290" s="56"/>
      <c r="P290" s="58">
        <f t="shared" si="18"/>
        <v>7762457.82</v>
      </c>
      <c r="Q290" s="59" t="s">
        <v>669</v>
      </c>
    </row>
    <row r="291" ht="20" customHeight="1" spans="2:19">
      <c r="B291" s="42">
        <v>3</v>
      </c>
      <c r="C291" s="42">
        <v>11</v>
      </c>
      <c r="D291" s="74"/>
      <c r="E291" s="74" t="s">
        <v>602</v>
      </c>
      <c r="F291" s="75" t="s">
        <v>850</v>
      </c>
      <c r="G291" s="56">
        <v>1350</v>
      </c>
      <c r="H291" s="56"/>
      <c r="I291" s="56">
        <v>103.2</v>
      </c>
      <c r="J291" s="56"/>
      <c r="K291" s="56"/>
      <c r="L291" s="56"/>
      <c r="M291" s="56"/>
      <c r="N291" s="55">
        <f t="shared" si="19"/>
        <v>1453.2</v>
      </c>
      <c r="O291" s="56"/>
      <c r="P291" s="58">
        <f t="shared" si="18"/>
        <v>7763911.02</v>
      </c>
      <c r="Q291" s="59" t="s">
        <v>669</v>
      </c>
    </row>
    <row r="292" ht="20" customHeight="1" spans="2:19">
      <c r="B292" s="42">
        <v>3</v>
      </c>
      <c r="C292" s="42">
        <v>11</v>
      </c>
      <c r="D292" s="74"/>
      <c r="E292" s="54" t="s">
        <v>552</v>
      </c>
      <c r="F292" s="75" t="s">
        <v>851</v>
      </c>
      <c r="G292" s="56"/>
      <c r="H292" s="56"/>
      <c r="I292" s="56">
        <v>5</v>
      </c>
      <c r="J292" s="56"/>
      <c r="K292" s="56"/>
      <c r="L292" s="56"/>
      <c r="M292" s="56"/>
      <c r="N292" s="55">
        <f t="shared" si="19"/>
        <v>5</v>
      </c>
      <c r="O292" s="56"/>
      <c r="P292" s="58">
        <f t="shared" si="18"/>
        <v>7763916.02</v>
      </c>
      <c r="Q292" s="59" t="s">
        <v>669</v>
      </c>
    </row>
    <row r="293" ht="20" customHeight="1" spans="2:19">
      <c r="B293" s="42">
        <v>3</v>
      </c>
      <c r="C293" s="42">
        <v>11</v>
      </c>
      <c r="D293" s="74"/>
      <c r="E293" s="74" t="s">
        <v>568</v>
      </c>
      <c r="F293" s="75" t="s">
        <v>852</v>
      </c>
      <c r="G293" s="56">
        <v>2400</v>
      </c>
      <c r="H293" s="56">
        <v>150</v>
      </c>
      <c r="I293" s="56">
        <v>114</v>
      </c>
      <c r="J293" s="56"/>
      <c r="K293" s="56"/>
      <c r="L293" s="56"/>
      <c r="M293" s="56"/>
      <c r="N293" s="55">
        <f t="shared" si="19"/>
        <v>2664</v>
      </c>
      <c r="O293" s="56"/>
      <c r="P293" s="58">
        <f t="shared" si="18"/>
        <v>7766580.02</v>
      </c>
      <c r="Q293" s="59" t="s">
        <v>669</v>
      </c>
    </row>
    <row r="294" ht="20" customHeight="1" spans="2:19">
      <c r="B294" s="42">
        <v>3</v>
      </c>
      <c r="C294" s="42">
        <v>11</v>
      </c>
      <c r="D294" s="74"/>
      <c r="E294" s="74" t="s">
        <v>529</v>
      </c>
      <c r="F294" s="75" t="s">
        <v>853</v>
      </c>
      <c r="G294" s="56">
        <v>3646</v>
      </c>
      <c r="H294" s="56">
        <v>150</v>
      </c>
      <c r="I294" s="56">
        <v>277.2</v>
      </c>
      <c r="J294" s="56"/>
      <c r="K294" s="56"/>
      <c r="L294" s="56"/>
      <c r="M294" s="56"/>
      <c r="N294" s="55">
        <f t="shared" si="19"/>
        <v>4073.2</v>
      </c>
      <c r="O294" s="56"/>
      <c r="P294" s="58">
        <f t="shared" si="18"/>
        <v>7770653.22</v>
      </c>
      <c r="Q294" s="59" t="s">
        <v>669</v>
      </c>
    </row>
    <row r="295" ht="20" customHeight="1" spans="2:19">
      <c r="B295" s="42">
        <v>3</v>
      </c>
      <c r="C295" s="42">
        <v>11</v>
      </c>
      <c r="D295" s="74"/>
      <c r="E295" s="54" t="s">
        <v>570</v>
      </c>
      <c r="F295" s="75" t="s">
        <v>854</v>
      </c>
      <c r="G295" s="56">
        <v>1500</v>
      </c>
      <c r="H295" s="56">
        <v>150</v>
      </c>
      <c r="I295" s="56">
        <v>94.8</v>
      </c>
      <c r="J295" s="56"/>
      <c r="K295" s="56"/>
      <c r="L295" s="56"/>
      <c r="M295" s="56"/>
      <c r="N295" s="55">
        <f t="shared" si="19"/>
        <v>1744.8</v>
      </c>
      <c r="O295" s="56"/>
      <c r="P295" s="58">
        <f t="shared" si="18"/>
        <v>7772398.02</v>
      </c>
      <c r="Q295" s="59" t="s">
        <v>669</v>
      </c>
      <c r="R295" s="3">
        <f>SUM(N205:N295)-SUM(O205:O295)+R203</f>
        <v>302841.62</v>
      </c>
      <c r="S295" s="3" t="s">
        <v>239</v>
      </c>
    </row>
    <row r="296" ht="20" customHeight="1" spans="2:19">
      <c r="B296" s="42">
        <v>3</v>
      </c>
      <c r="C296" s="42">
        <v>11</v>
      </c>
      <c r="D296" s="74" t="s">
        <v>69</v>
      </c>
      <c r="E296" s="42" t="s">
        <v>20</v>
      </c>
      <c r="F296" s="75" t="s">
        <v>280</v>
      </c>
      <c r="G296" s="56"/>
      <c r="H296" s="56"/>
      <c r="I296" s="56"/>
      <c r="J296" s="56"/>
      <c r="K296" s="56"/>
      <c r="L296" s="56"/>
      <c r="M296" s="56"/>
      <c r="N296" s="172">
        <v>140000</v>
      </c>
      <c r="O296" s="55">
        <v>140000</v>
      </c>
      <c r="P296" s="58">
        <f t="shared" si="18"/>
        <v>7772398.02</v>
      </c>
      <c r="Q296" s="56"/>
    </row>
    <row r="297" ht="20" customHeight="1" spans="2:19">
      <c r="B297" s="42">
        <v>3</v>
      </c>
      <c r="C297" s="42">
        <v>11</v>
      </c>
      <c r="D297" s="74" t="s">
        <v>106</v>
      </c>
      <c r="E297" s="74" t="s">
        <v>796</v>
      </c>
      <c r="F297" s="75" t="s">
        <v>855</v>
      </c>
      <c r="G297" s="56"/>
      <c r="H297" s="56"/>
      <c r="I297" s="56"/>
      <c r="J297" s="56"/>
      <c r="K297" s="56"/>
      <c r="L297" s="56"/>
      <c r="M297" s="56"/>
      <c r="N297" s="56">
        <f t="shared" ref="N297:N360" si="20">SUM(G297:L297)-M297</f>
        <v>0</v>
      </c>
      <c r="O297" s="56">
        <v>16800</v>
      </c>
      <c r="P297" s="58">
        <f t="shared" si="18"/>
        <v>7755598.02</v>
      </c>
      <c r="Q297" s="56"/>
    </row>
    <row r="298" ht="20" customHeight="1" spans="2:19">
      <c r="B298" s="42">
        <v>3</v>
      </c>
      <c r="C298" s="42">
        <v>12</v>
      </c>
      <c r="D298" s="74"/>
      <c r="E298" s="54" t="s">
        <v>585</v>
      </c>
      <c r="F298" s="75" t="s">
        <v>856</v>
      </c>
      <c r="G298" s="56">
        <v>3000</v>
      </c>
      <c r="H298" s="56"/>
      <c r="I298" s="56">
        <v>190.8</v>
      </c>
      <c r="J298" s="56"/>
      <c r="K298" s="56"/>
      <c r="L298" s="56"/>
      <c r="M298" s="56"/>
      <c r="N298" s="55">
        <f t="shared" si="20"/>
        <v>3190.8</v>
      </c>
      <c r="O298" s="56"/>
      <c r="P298" s="58">
        <f t="shared" si="18"/>
        <v>7758788.82</v>
      </c>
      <c r="Q298" s="56"/>
    </row>
    <row r="299" ht="20" customHeight="1" spans="2:19">
      <c r="B299" s="42">
        <v>3</v>
      </c>
      <c r="C299" s="42">
        <v>13</v>
      </c>
      <c r="D299" s="74"/>
      <c r="E299" s="74" t="s">
        <v>489</v>
      </c>
      <c r="F299" s="75" t="s">
        <v>857</v>
      </c>
      <c r="G299" s="56">
        <v>6000</v>
      </c>
      <c r="H299" s="56"/>
      <c r="I299" s="56"/>
      <c r="J299" s="56"/>
      <c r="K299" s="56"/>
      <c r="L299" s="56"/>
      <c r="M299" s="56"/>
      <c r="N299" s="55">
        <f t="shared" si="20"/>
        <v>6000</v>
      </c>
      <c r="O299" s="56"/>
      <c r="P299" s="58">
        <f t="shared" si="18"/>
        <v>7764788.82</v>
      </c>
      <c r="Q299" s="56"/>
    </row>
    <row r="300" ht="20" customHeight="1" spans="2:19">
      <c r="B300" s="42">
        <v>3</v>
      </c>
      <c r="C300" s="42">
        <v>15</v>
      </c>
      <c r="D300" s="74"/>
      <c r="E300" s="74" t="s">
        <v>757</v>
      </c>
      <c r="F300" s="75" t="s">
        <v>858</v>
      </c>
      <c r="G300" s="56"/>
      <c r="H300" s="56"/>
      <c r="I300" s="56">
        <v>54</v>
      </c>
      <c r="J300" s="56"/>
      <c r="K300" s="56"/>
      <c r="L300" s="56"/>
      <c r="M300" s="56"/>
      <c r="N300" s="55">
        <f t="shared" si="20"/>
        <v>54</v>
      </c>
      <c r="O300" s="56"/>
      <c r="P300" s="58">
        <f t="shared" si="18"/>
        <v>7764842.82</v>
      </c>
      <c r="Q300" s="56"/>
    </row>
    <row r="301" ht="20" customHeight="1" spans="2:19">
      <c r="B301" s="42">
        <v>3</v>
      </c>
      <c r="C301" s="42">
        <v>16</v>
      </c>
      <c r="D301" s="74"/>
      <c r="E301" s="74"/>
      <c r="F301" s="75" t="s">
        <v>859</v>
      </c>
      <c r="G301" s="56"/>
      <c r="H301" s="56"/>
      <c r="I301" s="56"/>
      <c r="J301" s="56"/>
      <c r="K301" s="55">
        <v>4680</v>
      </c>
      <c r="L301" s="56"/>
      <c r="M301" s="56">
        <v>42.17</v>
      </c>
      <c r="N301" s="56">
        <f t="shared" si="20"/>
        <v>4637.83</v>
      </c>
      <c r="O301" s="56"/>
      <c r="P301" s="58">
        <f t="shared" si="18"/>
        <v>7769480.65</v>
      </c>
      <c r="Q301" s="59" t="s">
        <v>669</v>
      </c>
    </row>
    <row r="302" ht="20" customHeight="1" spans="2:19">
      <c r="B302" s="42">
        <v>3</v>
      </c>
      <c r="C302" s="42">
        <v>16</v>
      </c>
      <c r="D302" s="74"/>
      <c r="E302" s="74" t="s">
        <v>716</v>
      </c>
      <c r="F302" s="75" t="s">
        <v>860</v>
      </c>
      <c r="G302" s="56"/>
      <c r="H302" s="56"/>
      <c r="I302" s="56">
        <v>92.4</v>
      </c>
      <c r="J302" s="56"/>
      <c r="K302" s="56"/>
      <c r="L302" s="56"/>
      <c r="M302" s="56"/>
      <c r="N302" s="55">
        <f t="shared" si="20"/>
        <v>92.4</v>
      </c>
      <c r="O302" s="56"/>
      <c r="P302" s="58">
        <f t="shared" si="18"/>
        <v>7769573.05</v>
      </c>
      <c r="Q302" s="59" t="s">
        <v>669</v>
      </c>
    </row>
    <row r="303" ht="20" customHeight="1" spans="2:19">
      <c r="B303" s="42">
        <v>3</v>
      </c>
      <c r="C303" s="42">
        <v>16</v>
      </c>
      <c r="D303" s="74"/>
      <c r="E303" s="74" t="s">
        <v>716</v>
      </c>
      <c r="F303" s="75" t="s">
        <v>861</v>
      </c>
      <c r="G303" s="56"/>
      <c r="H303" s="56">
        <v>150</v>
      </c>
      <c r="I303" s="56">
        <v>258</v>
      </c>
      <c r="J303" s="56"/>
      <c r="K303" s="56"/>
      <c r="L303" s="56"/>
      <c r="M303" s="56"/>
      <c r="N303" s="55">
        <f t="shared" si="20"/>
        <v>408</v>
      </c>
      <c r="O303" s="56"/>
      <c r="P303" s="58">
        <f t="shared" si="18"/>
        <v>7769981.05</v>
      </c>
      <c r="Q303" s="59" t="s">
        <v>669</v>
      </c>
    </row>
    <row r="304" ht="20" customHeight="1" spans="2:19">
      <c r="B304" s="42">
        <v>3</v>
      </c>
      <c r="C304" s="42">
        <v>16</v>
      </c>
      <c r="D304" s="74"/>
      <c r="E304" s="74" t="s">
        <v>566</v>
      </c>
      <c r="F304" s="75" t="s">
        <v>862</v>
      </c>
      <c r="G304" s="56">
        <v>2400</v>
      </c>
      <c r="H304" s="56"/>
      <c r="I304" s="56">
        <v>120.4</v>
      </c>
      <c r="J304" s="56"/>
      <c r="K304" s="56"/>
      <c r="L304" s="56"/>
      <c r="M304" s="56"/>
      <c r="N304" s="55">
        <f t="shared" si="20"/>
        <v>2520.4</v>
      </c>
      <c r="O304" s="56"/>
      <c r="P304" s="58">
        <f t="shared" si="18"/>
        <v>7772501.45</v>
      </c>
      <c r="Q304" s="59" t="s">
        <v>669</v>
      </c>
    </row>
    <row r="305" ht="20" customHeight="1" spans="2:17">
      <c r="B305" s="42">
        <v>3</v>
      </c>
      <c r="C305" s="42">
        <v>16</v>
      </c>
      <c r="D305" s="74"/>
      <c r="E305" s="74" t="s">
        <v>832</v>
      </c>
      <c r="F305" s="75" t="s">
        <v>863</v>
      </c>
      <c r="G305" s="56"/>
      <c r="H305" s="56">
        <v>150</v>
      </c>
      <c r="I305" s="56">
        <v>96</v>
      </c>
      <c r="J305" s="56"/>
      <c r="K305" s="56"/>
      <c r="L305" s="56"/>
      <c r="M305" s="56"/>
      <c r="N305" s="55">
        <f t="shared" si="20"/>
        <v>246</v>
      </c>
      <c r="O305" s="56"/>
      <c r="P305" s="58">
        <f t="shared" si="18"/>
        <v>7772747.45</v>
      </c>
      <c r="Q305" s="59" t="s">
        <v>669</v>
      </c>
    </row>
    <row r="306" ht="20" customHeight="1" spans="2:17">
      <c r="B306" s="42">
        <v>3</v>
      </c>
      <c r="C306" s="42">
        <v>16</v>
      </c>
      <c r="D306" s="74"/>
      <c r="E306" s="74" t="s">
        <v>832</v>
      </c>
      <c r="F306" s="75" t="s">
        <v>864</v>
      </c>
      <c r="G306" s="56"/>
      <c r="H306" s="56">
        <v>150</v>
      </c>
      <c r="I306" s="56">
        <v>76.8</v>
      </c>
      <c r="J306" s="56"/>
      <c r="K306" s="56"/>
      <c r="L306" s="56"/>
      <c r="M306" s="56"/>
      <c r="N306" s="55">
        <f t="shared" si="20"/>
        <v>226.8</v>
      </c>
      <c r="O306" s="56"/>
      <c r="P306" s="58">
        <f t="shared" si="18"/>
        <v>7772974.25</v>
      </c>
      <c r="Q306" s="59" t="s">
        <v>669</v>
      </c>
    </row>
    <row r="307" ht="20" customHeight="1" spans="2:17">
      <c r="B307" s="42">
        <v>3</v>
      </c>
      <c r="C307" s="42">
        <v>16</v>
      </c>
      <c r="D307" s="74"/>
      <c r="E307" s="74" t="s">
        <v>865</v>
      </c>
      <c r="F307" s="75" t="s">
        <v>866</v>
      </c>
      <c r="G307" s="56">
        <v>1700</v>
      </c>
      <c r="H307" s="56">
        <v>150</v>
      </c>
      <c r="I307" s="56">
        <v>140.4</v>
      </c>
      <c r="J307" s="56"/>
      <c r="K307" s="56"/>
      <c r="L307" s="56"/>
      <c r="M307" s="56"/>
      <c r="N307" s="55">
        <f t="shared" si="20"/>
        <v>1990.4</v>
      </c>
      <c r="O307" s="56"/>
      <c r="P307" s="58">
        <f t="shared" si="18"/>
        <v>7774964.65</v>
      </c>
      <c r="Q307" s="59" t="s">
        <v>669</v>
      </c>
    </row>
    <row r="308" ht="20" customHeight="1" spans="2:17">
      <c r="B308" s="42">
        <v>3</v>
      </c>
      <c r="C308" s="42">
        <v>16</v>
      </c>
      <c r="D308" s="74"/>
      <c r="E308" s="74" t="s">
        <v>865</v>
      </c>
      <c r="F308" s="75" t="s">
        <v>867</v>
      </c>
      <c r="G308" s="56">
        <v>1700</v>
      </c>
      <c r="H308" s="56">
        <v>150</v>
      </c>
      <c r="I308" s="56">
        <v>130.8</v>
      </c>
      <c r="J308" s="56"/>
      <c r="K308" s="56"/>
      <c r="L308" s="56"/>
      <c r="M308" s="56"/>
      <c r="N308" s="55">
        <f t="shared" si="20"/>
        <v>1980.8</v>
      </c>
      <c r="O308" s="56"/>
      <c r="P308" s="58">
        <f t="shared" si="18"/>
        <v>7776945.45</v>
      </c>
      <c r="Q308" s="59" t="s">
        <v>669</v>
      </c>
    </row>
    <row r="309" ht="20" customHeight="1" spans="2:17">
      <c r="B309" s="42">
        <v>3</v>
      </c>
      <c r="C309" s="42">
        <v>16</v>
      </c>
      <c r="D309" s="74"/>
      <c r="E309" s="74" t="s">
        <v>865</v>
      </c>
      <c r="F309" s="75" t="s">
        <v>868</v>
      </c>
      <c r="G309" s="56">
        <v>1700</v>
      </c>
      <c r="H309" s="56">
        <v>150</v>
      </c>
      <c r="I309" s="56">
        <v>285.8</v>
      </c>
      <c r="J309" s="56"/>
      <c r="K309" s="56"/>
      <c r="L309" s="56"/>
      <c r="M309" s="56"/>
      <c r="N309" s="55">
        <f t="shared" si="20"/>
        <v>2135.8</v>
      </c>
      <c r="O309" s="56"/>
      <c r="P309" s="58">
        <f t="shared" si="18"/>
        <v>7779081.25</v>
      </c>
      <c r="Q309" s="59" t="s">
        <v>669</v>
      </c>
    </row>
    <row r="310" ht="20" customHeight="1" spans="2:17">
      <c r="B310" s="42">
        <v>3</v>
      </c>
      <c r="C310" s="42">
        <v>16</v>
      </c>
      <c r="D310" s="74"/>
      <c r="E310" s="74" t="s">
        <v>489</v>
      </c>
      <c r="F310" s="75" t="s">
        <v>869</v>
      </c>
      <c r="G310" s="56"/>
      <c r="H310" s="56">
        <v>150</v>
      </c>
      <c r="I310" s="56">
        <v>122.4</v>
      </c>
      <c r="J310" s="56"/>
      <c r="K310" s="56"/>
      <c r="L310" s="56"/>
      <c r="M310" s="56"/>
      <c r="N310" s="55">
        <f t="shared" si="20"/>
        <v>272.4</v>
      </c>
      <c r="O310" s="56"/>
      <c r="P310" s="58">
        <f t="shared" si="18"/>
        <v>7779353.65</v>
      </c>
      <c r="Q310" s="59" t="s">
        <v>669</v>
      </c>
    </row>
    <row r="311" ht="20" customHeight="1" spans="2:17">
      <c r="B311" s="42">
        <v>3</v>
      </c>
      <c r="C311" s="42">
        <v>16</v>
      </c>
      <c r="D311" s="74"/>
      <c r="E311" s="74" t="s">
        <v>489</v>
      </c>
      <c r="F311" s="75" t="s">
        <v>870</v>
      </c>
      <c r="G311" s="56"/>
      <c r="H311" s="56"/>
      <c r="I311" s="56">
        <v>102</v>
      </c>
      <c r="J311" s="56"/>
      <c r="K311" s="56"/>
      <c r="L311" s="56"/>
      <c r="M311" s="56"/>
      <c r="N311" s="55">
        <f t="shared" si="20"/>
        <v>102</v>
      </c>
      <c r="O311" s="56"/>
      <c r="P311" s="58">
        <f t="shared" si="18"/>
        <v>7779455.65</v>
      </c>
      <c r="Q311" s="59" t="s">
        <v>669</v>
      </c>
    </row>
    <row r="312" ht="20" customHeight="1" spans="2:17">
      <c r="B312" s="42">
        <v>3</v>
      </c>
      <c r="C312" s="42">
        <v>16</v>
      </c>
      <c r="D312" s="74"/>
      <c r="E312" s="74" t="s">
        <v>489</v>
      </c>
      <c r="F312" s="75" t="s">
        <v>871</v>
      </c>
      <c r="G312" s="56"/>
      <c r="H312" s="56">
        <v>150</v>
      </c>
      <c r="I312" s="56">
        <v>99.6</v>
      </c>
      <c r="J312" s="56"/>
      <c r="K312" s="56"/>
      <c r="L312" s="56"/>
      <c r="M312" s="56"/>
      <c r="N312" s="55">
        <f t="shared" si="20"/>
        <v>249.6</v>
      </c>
      <c r="O312" s="56"/>
      <c r="P312" s="58">
        <f t="shared" si="18"/>
        <v>7779705.25</v>
      </c>
      <c r="Q312" s="59" t="s">
        <v>669</v>
      </c>
    </row>
    <row r="313" ht="20" customHeight="1" spans="2:17">
      <c r="B313" s="42">
        <v>3</v>
      </c>
      <c r="C313" s="42">
        <v>16</v>
      </c>
      <c r="D313" s="74"/>
      <c r="E313" s="74" t="s">
        <v>613</v>
      </c>
      <c r="F313" s="75" t="s">
        <v>872</v>
      </c>
      <c r="G313" s="56">
        <v>3675</v>
      </c>
      <c r="H313" s="56">
        <v>200</v>
      </c>
      <c r="I313" s="56">
        <v>228</v>
      </c>
      <c r="J313" s="56"/>
      <c r="K313" s="56"/>
      <c r="L313" s="56"/>
      <c r="M313" s="56"/>
      <c r="N313" s="55">
        <f t="shared" si="20"/>
        <v>4103</v>
      </c>
      <c r="O313" s="56"/>
      <c r="P313" s="58">
        <f t="shared" si="18"/>
        <v>7783808.25</v>
      </c>
      <c r="Q313" s="59" t="s">
        <v>669</v>
      </c>
    </row>
    <row r="314" ht="20" customHeight="1" spans="2:17">
      <c r="B314" s="42">
        <v>3</v>
      </c>
      <c r="C314" s="42">
        <v>16</v>
      </c>
      <c r="D314" s="74"/>
      <c r="E314" s="74" t="s">
        <v>873</v>
      </c>
      <c r="F314" s="75" t="s">
        <v>874</v>
      </c>
      <c r="G314" s="56"/>
      <c r="H314" s="56"/>
      <c r="I314" s="56"/>
      <c r="J314" s="56">
        <v>12900</v>
      </c>
      <c r="K314" s="56"/>
      <c r="L314" s="56"/>
      <c r="M314" s="56"/>
      <c r="N314" s="55">
        <f t="shared" si="20"/>
        <v>12900</v>
      </c>
      <c r="O314" s="56"/>
      <c r="P314" s="58">
        <f t="shared" si="18"/>
        <v>7796708.25</v>
      </c>
      <c r="Q314" s="59" t="s">
        <v>669</v>
      </c>
    </row>
    <row r="315" ht="20" customHeight="1" spans="2:17">
      <c r="B315" s="42">
        <v>3</v>
      </c>
      <c r="C315" s="42">
        <v>16</v>
      </c>
      <c r="D315" s="74"/>
      <c r="E315" s="74" t="s">
        <v>873</v>
      </c>
      <c r="F315" s="75" t="s">
        <v>875</v>
      </c>
      <c r="G315" s="56">
        <v>4300</v>
      </c>
      <c r="H315" s="56"/>
      <c r="I315" s="56"/>
      <c r="J315" s="56"/>
      <c r="K315" s="56"/>
      <c r="L315" s="56"/>
      <c r="M315" s="56"/>
      <c r="N315" s="55">
        <f t="shared" si="20"/>
        <v>4300</v>
      </c>
      <c r="O315" s="56"/>
      <c r="P315" s="58">
        <f t="shared" si="18"/>
        <v>7801008.25</v>
      </c>
      <c r="Q315" s="59" t="s">
        <v>669</v>
      </c>
    </row>
    <row r="316" ht="20" customHeight="1" spans="2:17">
      <c r="B316" s="42">
        <v>3</v>
      </c>
      <c r="C316" s="42">
        <v>16</v>
      </c>
      <c r="D316" s="74"/>
      <c r="E316" s="74" t="s">
        <v>876</v>
      </c>
      <c r="F316" s="75" t="s">
        <v>877</v>
      </c>
      <c r="G316" s="56"/>
      <c r="H316" s="56"/>
      <c r="I316" s="56"/>
      <c r="J316" s="56">
        <v>4500</v>
      </c>
      <c r="K316" s="56"/>
      <c r="L316" s="56"/>
      <c r="M316" s="56"/>
      <c r="N316" s="55">
        <f t="shared" si="20"/>
        <v>4500</v>
      </c>
      <c r="O316" s="56"/>
      <c r="P316" s="58">
        <f t="shared" si="18"/>
        <v>7805508.25</v>
      </c>
      <c r="Q316" s="59" t="s">
        <v>669</v>
      </c>
    </row>
    <row r="317" ht="20" customHeight="1" spans="2:17">
      <c r="B317" s="42">
        <v>3</v>
      </c>
      <c r="C317" s="42">
        <v>16</v>
      </c>
      <c r="D317" s="74"/>
      <c r="E317" s="74" t="s">
        <v>876</v>
      </c>
      <c r="F317" s="75" t="s">
        <v>878</v>
      </c>
      <c r="G317" s="56">
        <v>1500</v>
      </c>
      <c r="H317" s="56"/>
      <c r="I317" s="56"/>
      <c r="J317" s="56"/>
      <c r="K317" s="56"/>
      <c r="L317" s="56"/>
      <c r="M317" s="56"/>
      <c r="N317" s="55">
        <f t="shared" si="20"/>
        <v>1500</v>
      </c>
      <c r="O317" s="56"/>
      <c r="P317" s="58">
        <f t="shared" si="18"/>
        <v>7807008.25</v>
      </c>
      <c r="Q317" s="59" t="s">
        <v>669</v>
      </c>
    </row>
    <row r="318" ht="20" customHeight="1" spans="2:17">
      <c r="B318" s="42">
        <v>3</v>
      </c>
      <c r="C318" s="42">
        <v>16</v>
      </c>
      <c r="D318" s="74" t="s">
        <v>133</v>
      </c>
      <c r="E318" s="74" t="s">
        <v>251</v>
      </c>
      <c r="F318" s="75" t="s">
        <v>879</v>
      </c>
      <c r="G318" s="56"/>
      <c r="H318" s="56"/>
      <c r="I318" s="56"/>
      <c r="J318" s="56"/>
      <c r="K318" s="56"/>
      <c r="L318" s="56"/>
      <c r="M318" s="56"/>
      <c r="N318" s="56">
        <f t="shared" si="20"/>
        <v>0</v>
      </c>
      <c r="O318" s="56">
        <v>20000</v>
      </c>
      <c r="P318" s="58">
        <f t="shared" si="18"/>
        <v>7787008.25</v>
      </c>
      <c r="Q318" s="56" t="s">
        <v>666</v>
      </c>
    </row>
    <row r="319" ht="20" customHeight="1" spans="2:17">
      <c r="B319" s="42">
        <v>3</v>
      </c>
      <c r="C319" s="42">
        <v>16</v>
      </c>
      <c r="D319" s="74" t="s">
        <v>92</v>
      </c>
      <c r="E319" s="74" t="s">
        <v>271</v>
      </c>
      <c r="F319" s="75" t="s">
        <v>880</v>
      </c>
      <c r="G319" s="56"/>
      <c r="H319" s="56"/>
      <c r="I319" s="56"/>
      <c r="J319" s="56"/>
      <c r="K319" s="56"/>
      <c r="L319" s="56"/>
      <c r="M319" s="56"/>
      <c r="N319" s="56">
        <f t="shared" si="20"/>
        <v>0</v>
      </c>
      <c r="O319" s="56">
        <v>29835.83</v>
      </c>
      <c r="P319" s="58">
        <f t="shared" si="18"/>
        <v>7757172.42</v>
      </c>
      <c r="Q319" s="56"/>
    </row>
    <row r="320" ht="20" customHeight="1" spans="2:17">
      <c r="B320" s="42">
        <v>3</v>
      </c>
      <c r="C320" s="42">
        <v>18</v>
      </c>
      <c r="D320" s="74"/>
      <c r="E320" s="74" t="s">
        <v>881</v>
      </c>
      <c r="F320" s="75" t="s">
        <v>882</v>
      </c>
      <c r="G320" s="56"/>
      <c r="H320" s="55">
        <v>150</v>
      </c>
      <c r="I320" s="55">
        <v>71</v>
      </c>
      <c r="J320" s="56"/>
      <c r="K320" s="56"/>
      <c r="L320" s="56"/>
      <c r="M320" s="56">
        <v>18.74</v>
      </c>
      <c r="N320" s="56">
        <f t="shared" si="20"/>
        <v>202.26</v>
      </c>
      <c r="O320" s="56"/>
      <c r="P320" s="58">
        <f t="shared" si="18"/>
        <v>7757374.68</v>
      </c>
      <c r="Q320" s="59" t="s">
        <v>669</v>
      </c>
    </row>
    <row r="321" ht="20" customHeight="1" spans="2:17">
      <c r="B321" s="42">
        <v>3</v>
      </c>
      <c r="C321" s="42">
        <v>18</v>
      </c>
      <c r="D321" s="74"/>
      <c r="E321" s="54" t="s">
        <v>881</v>
      </c>
      <c r="F321" s="75" t="s">
        <v>883</v>
      </c>
      <c r="G321" s="56"/>
      <c r="H321" s="56">
        <v>150</v>
      </c>
      <c r="I321" s="56">
        <v>75.6</v>
      </c>
      <c r="J321" s="56"/>
      <c r="K321" s="56"/>
      <c r="L321" s="56"/>
      <c r="M321" s="56"/>
      <c r="N321" s="55">
        <f t="shared" si="20"/>
        <v>225.6</v>
      </c>
      <c r="O321" s="56"/>
      <c r="P321" s="58">
        <f t="shared" si="18"/>
        <v>7757600.28</v>
      </c>
      <c r="Q321" s="59" t="s">
        <v>669</v>
      </c>
    </row>
    <row r="322" ht="20" customHeight="1" spans="2:17">
      <c r="B322" s="42">
        <v>3</v>
      </c>
      <c r="C322" s="42">
        <v>18</v>
      </c>
      <c r="D322" s="74"/>
      <c r="E322" s="54" t="s">
        <v>881</v>
      </c>
      <c r="F322" s="75" t="s">
        <v>884</v>
      </c>
      <c r="G322" s="56">
        <v>8100</v>
      </c>
      <c r="H322" s="56"/>
      <c r="I322" s="56"/>
      <c r="J322" s="56"/>
      <c r="K322" s="56"/>
      <c r="L322" s="56"/>
      <c r="M322" s="56"/>
      <c r="N322" s="55">
        <f t="shared" si="20"/>
        <v>8100</v>
      </c>
      <c r="O322" s="56"/>
      <c r="P322" s="58">
        <f t="shared" si="18"/>
        <v>7765700.28</v>
      </c>
      <c r="Q322" s="59" t="s">
        <v>669</v>
      </c>
    </row>
    <row r="323" ht="20" customHeight="1" spans="2:17">
      <c r="B323" s="42">
        <v>3</v>
      </c>
      <c r="C323" s="42">
        <v>18</v>
      </c>
      <c r="D323" s="74"/>
      <c r="E323" s="54" t="s">
        <v>881</v>
      </c>
      <c r="F323" s="75" t="s">
        <v>885</v>
      </c>
      <c r="G323" s="56"/>
      <c r="H323" s="56">
        <v>150</v>
      </c>
      <c r="I323" s="56">
        <v>85.2</v>
      </c>
      <c r="J323" s="56"/>
      <c r="K323" s="56"/>
      <c r="L323" s="56"/>
      <c r="M323" s="56"/>
      <c r="N323" s="55">
        <f t="shared" si="20"/>
        <v>235.2</v>
      </c>
      <c r="O323" s="56"/>
      <c r="P323" s="58">
        <f>P324+N323-O323</f>
        <v>7766145.48</v>
      </c>
      <c r="Q323" s="59" t="s">
        <v>669</v>
      </c>
    </row>
    <row r="324" ht="20" customHeight="1" spans="2:17">
      <c r="B324" s="42">
        <v>3</v>
      </c>
      <c r="C324" s="42">
        <v>18</v>
      </c>
      <c r="D324" s="74"/>
      <c r="E324" s="54" t="s">
        <v>881</v>
      </c>
      <c r="F324" s="75" t="s">
        <v>886</v>
      </c>
      <c r="G324" s="56"/>
      <c r="H324" s="56">
        <v>150</v>
      </c>
      <c r="I324" s="56">
        <v>60</v>
      </c>
      <c r="J324" s="56"/>
      <c r="K324" s="56"/>
      <c r="L324" s="56"/>
      <c r="M324" s="56"/>
      <c r="N324" s="55">
        <f t="shared" si="20"/>
        <v>210</v>
      </c>
      <c r="O324" s="56"/>
      <c r="P324" s="58">
        <f>P322+N324-O324</f>
        <v>7765910.28</v>
      </c>
      <c r="Q324" s="59" t="s">
        <v>669</v>
      </c>
    </row>
    <row r="325" ht="20" customHeight="1" spans="2:17">
      <c r="B325" s="42">
        <v>3</v>
      </c>
      <c r="C325" s="42">
        <v>18</v>
      </c>
      <c r="D325" s="74"/>
      <c r="E325" s="74" t="s">
        <v>716</v>
      </c>
      <c r="F325" s="75" t="s">
        <v>887</v>
      </c>
      <c r="G325" s="56"/>
      <c r="H325" s="56">
        <v>150</v>
      </c>
      <c r="I325" s="56">
        <v>104.4</v>
      </c>
      <c r="J325" s="56"/>
      <c r="K325" s="56"/>
      <c r="L325" s="56"/>
      <c r="M325" s="56"/>
      <c r="N325" s="55">
        <f t="shared" si="20"/>
        <v>254.4</v>
      </c>
      <c r="O325" s="56"/>
      <c r="P325" s="58">
        <f>P323+N325-O325</f>
        <v>7766399.88</v>
      </c>
      <c r="Q325" s="59" t="s">
        <v>669</v>
      </c>
    </row>
    <row r="326" ht="20" customHeight="1" spans="2:17">
      <c r="B326" s="42">
        <v>3</v>
      </c>
      <c r="C326" s="42">
        <v>18</v>
      </c>
      <c r="D326" s="74"/>
      <c r="E326" s="74" t="s">
        <v>716</v>
      </c>
      <c r="F326" s="75" t="s">
        <v>888</v>
      </c>
      <c r="G326" s="56"/>
      <c r="H326" s="56">
        <v>150</v>
      </c>
      <c r="I326" s="56">
        <v>91.2</v>
      </c>
      <c r="J326" s="56"/>
      <c r="K326" s="56"/>
      <c r="L326" s="56"/>
      <c r="M326" s="56"/>
      <c r="N326" s="55">
        <f t="shared" si="20"/>
        <v>241.2</v>
      </c>
      <c r="O326" s="56"/>
      <c r="P326" s="58">
        <f t="shared" ref="P326:P383" si="21">P325+N326-O326</f>
        <v>7766641.08</v>
      </c>
      <c r="Q326" s="59" t="s">
        <v>669</v>
      </c>
    </row>
    <row r="327" ht="20" customHeight="1" spans="2:17">
      <c r="B327" s="42">
        <v>3</v>
      </c>
      <c r="C327" s="42">
        <v>18</v>
      </c>
      <c r="D327" s="74"/>
      <c r="E327" s="74" t="s">
        <v>716</v>
      </c>
      <c r="F327" s="75" t="s">
        <v>889</v>
      </c>
      <c r="G327" s="56"/>
      <c r="H327" s="56">
        <v>150</v>
      </c>
      <c r="I327" s="56">
        <v>100.8</v>
      </c>
      <c r="J327" s="56"/>
      <c r="K327" s="56"/>
      <c r="L327" s="56"/>
      <c r="M327" s="56"/>
      <c r="N327" s="55">
        <f t="shared" si="20"/>
        <v>250.8</v>
      </c>
      <c r="O327" s="56"/>
      <c r="P327" s="58">
        <f t="shared" si="21"/>
        <v>7766891.88</v>
      </c>
      <c r="Q327" s="59" t="s">
        <v>669</v>
      </c>
    </row>
    <row r="328" ht="20" customHeight="1" spans="2:17">
      <c r="B328" s="42">
        <v>3</v>
      </c>
      <c r="C328" s="42">
        <v>18</v>
      </c>
      <c r="D328" s="74"/>
      <c r="E328" s="54" t="s">
        <v>520</v>
      </c>
      <c r="F328" s="75" t="s">
        <v>890</v>
      </c>
      <c r="G328" s="56"/>
      <c r="H328" s="56"/>
      <c r="I328" s="56">
        <v>44.4</v>
      </c>
      <c r="J328" s="56"/>
      <c r="K328" s="56"/>
      <c r="L328" s="56"/>
      <c r="M328" s="56"/>
      <c r="N328" s="55">
        <f t="shared" si="20"/>
        <v>44.4</v>
      </c>
      <c r="O328" s="56"/>
      <c r="P328" s="58">
        <f t="shared" si="21"/>
        <v>7766936.28</v>
      </c>
      <c r="Q328" s="59" t="s">
        <v>669</v>
      </c>
    </row>
    <row r="329" ht="20" customHeight="1" spans="2:17">
      <c r="B329" s="42">
        <v>3</v>
      </c>
      <c r="C329" s="42">
        <v>18</v>
      </c>
      <c r="D329" s="74"/>
      <c r="E329" s="42" t="s">
        <v>520</v>
      </c>
      <c r="F329" s="75" t="s">
        <v>891</v>
      </c>
      <c r="G329" s="56"/>
      <c r="H329" s="56">
        <v>150</v>
      </c>
      <c r="I329" s="56">
        <v>49.2</v>
      </c>
      <c r="J329" s="56"/>
      <c r="K329" s="56"/>
      <c r="L329" s="56"/>
      <c r="M329" s="56"/>
      <c r="N329" s="55">
        <f t="shared" si="20"/>
        <v>199.2</v>
      </c>
      <c r="O329" s="56"/>
      <c r="P329" s="58">
        <f t="shared" si="21"/>
        <v>7767135.48</v>
      </c>
      <c r="Q329" s="59" t="s">
        <v>669</v>
      </c>
    </row>
    <row r="330" ht="20" customHeight="1" spans="2:17">
      <c r="B330" s="42">
        <v>3</v>
      </c>
      <c r="C330" s="42">
        <v>18</v>
      </c>
      <c r="D330" s="74"/>
      <c r="E330" s="74" t="s">
        <v>618</v>
      </c>
      <c r="F330" s="75" t="s">
        <v>892</v>
      </c>
      <c r="G330" s="56">
        <v>7707</v>
      </c>
      <c r="H330" s="56">
        <v>200</v>
      </c>
      <c r="I330" s="56">
        <v>866.8</v>
      </c>
      <c r="J330" s="56"/>
      <c r="K330" s="56"/>
      <c r="L330" s="56"/>
      <c r="M330" s="56"/>
      <c r="N330" s="55">
        <f t="shared" si="20"/>
        <v>8773.8</v>
      </c>
      <c r="O330" s="56"/>
      <c r="P330" s="58">
        <f t="shared" si="21"/>
        <v>7775909.28</v>
      </c>
      <c r="Q330" s="59" t="s">
        <v>669</v>
      </c>
    </row>
    <row r="331" ht="20" customHeight="1" spans="2:17">
      <c r="B331" s="42">
        <v>3</v>
      </c>
      <c r="C331" s="42">
        <v>18</v>
      </c>
      <c r="D331" s="74" t="s">
        <v>133</v>
      </c>
      <c r="E331" s="74" t="s">
        <v>251</v>
      </c>
      <c r="F331" s="75" t="s">
        <v>893</v>
      </c>
      <c r="G331" s="56"/>
      <c r="H331" s="56"/>
      <c r="I331" s="56"/>
      <c r="J331" s="56"/>
      <c r="K331" s="56"/>
      <c r="L331" s="56"/>
      <c r="M331" s="56"/>
      <c r="N331" s="56">
        <f t="shared" si="20"/>
        <v>0</v>
      </c>
      <c r="O331" s="56">
        <v>50000</v>
      </c>
      <c r="P331" s="58">
        <f t="shared" si="21"/>
        <v>7725909.28</v>
      </c>
      <c r="Q331" s="56" t="s">
        <v>666</v>
      </c>
    </row>
    <row r="332" ht="20" customHeight="1" spans="2:17">
      <c r="B332" s="42">
        <v>3</v>
      </c>
      <c r="C332" s="42">
        <v>19</v>
      </c>
      <c r="D332" s="74"/>
      <c r="E332" s="74" t="s">
        <v>894</v>
      </c>
      <c r="F332" s="75" t="s">
        <v>895</v>
      </c>
      <c r="G332" s="56">
        <v>2500</v>
      </c>
      <c r="H332" s="56">
        <v>150</v>
      </c>
      <c r="I332" s="56">
        <v>57.6</v>
      </c>
      <c r="J332" s="56"/>
      <c r="K332" s="56"/>
      <c r="L332" s="56"/>
      <c r="M332" s="56"/>
      <c r="N332" s="55">
        <f t="shared" si="20"/>
        <v>2707.6</v>
      </c>
      <c r="O332" s="56"/>
      <c r="P332" s="58">
        <f t="shared" si="21"/>
        <v>7728616.88</v>
      </c>
      <c r="Q332" s="56"/>
    </row>
    <row r="333" ht="20" customHeight="1" spans="2:17">
      <c r="B333" s="42">
        <v>3</v>
      </c>
      <c r="C333" s="42">
        <v>19</v>
      </c>
      <c r="D333" s="74"/>
      <c r="E333" s="74" t="s">
        <v>894</v>
      </c>
      <c r="F333" s="75" t="s">
        <v>896</v>
      </c>
      <c r="G333" s="56">
        <v>2500</v>
      </c>
      <c r="H333" s="56"/>
      <c r="I333" s="56">
        <v>93.6</v>
      </c>
      <c r="J333" s="56"/>
      <c r="K333" s="56"/>
      <c r="L333" s="56"/>
      <c r="M333" s="56"/>
      <c r="N333" s="55">
        <f t="shared" si="20"/>
        <v>2593.6</v>
      </c>
      <c r="O333" s="56"/>
      <c r="P333" s="58">
        <f t="shared" si="21"/>
        <v>7731210.48</v>
      </c>
      <c r="Q333" s="56"/>
    </row>
    <row r="334" ht="20" customHeight="1" spans="2:17">
      <c r="B334" s="42">
        <v>3</v>
      </c>
      <c r="C334" s="42">
        <v>20</v>
      </c>
      <c r="D334" s="74"/>
      <c r="E334" s="54" t="s">
        <v>790</v>
      </c>
      <c r="F334" s="75" t="s">
        <v>897</v>
      </c>
      <c r="G334" s="56">
        <v>6750</v>
      </c>
      <c r="H334" s="56"/>
      <c r="I334" s="56"/>
      <c r="J334" s="56"/>
      <c r="K334" s="56"/>
      <c r="L334" s="56"/>
      <c r="M334" s="56"/>
      <c r="N334" s="55">
        <f t="shared" si="20"/>
        <v>6750</v>
      </c>
      <c r="O334" s="56"/>
      <c r="P334" s="58">
        <f t="shared" si="21"/>
        <v>7737960.48</v>
      </c>
      <c r="Q334" s="56"/>
    </row>
    <row r="335" ht="20" customHeight="1" spans="2:17">
      <c r="B335" s="42">
        <v>3</v>
      </c>
      <c r="C335" s="42">
        <v>21</v>
      </c>
      <c r="D335" s="74"/>
      <c r="E335" s="42"/>
      <c r="F335" s="75" t="s">
        <v>898</v>
      </c>
      <c r="G335" s="56"/>
      <c r="H335" s="56"/>
      <c r="I335" s="56"/>
      <c r="J335" s="56"/>
      <c r="K335" s="56"/>
      <c r="L335" s="56">
        <v>30.24</v>
      </c>
      <c r="M335" s="56"/>
      <c r="N335" s="56">
        <f t="shared" si="20"/>
        <v>30.24</v>
      </c>
      <c r="O335" s="56"/>
      <c r="P335" s="58">
        <f t="shared" si="21"/>
        <v>7737990.72</v>
      </c>
      <c r="Q335" s="56"/>
    </row>
    <row r="336" ht="20" customHeight="1" spans="2:17">
      <c r="B336" s="42">
        <v>3</v>
      </c>
      <c r="C336" s="42">
        <v>22</v>
      </c>
      <c r="D336" s="74"/>
      <c r="E336" s="74" t="s">
        <v>604</v>
      </c>
      <c r="F336" s="75" t="s">
        <v>899</v>
      </c>
      <c r="G336" s="56">
        <v>7355</v>
      </c>
      <c r="H336" s="56">
        <v>200</v>
      </c>
      <c r="I336" s="56">
        <v>305</v>
      </c>
      <c r="J336" s="56"/>
      <c r="K336" s="56"/>
      <c r="L336" s="56"/>
      <c r="M336" s="56"/>
      <c r="N336" s="55">
        <f t="shared" si="20"/>
        <v>7860</v>
      </c>
      <c r="O336" s="56"/>
      <c r="P336" s="58">
        <f t="shared" si="21"/>
        <v>7745850.72</v>
      </c>
      <c r="Q336" s="56"/>
    </row>
    <row r="337" ht="20" customHeight="1" spans="2:17">
      <c r="B337" s="42">
        <v>3</v>
      </c>
      <c r="C337" s="42">
        <v>23</v>
      </c>
      <c r="D337" s="74"/>
      <c r="E337" s="54" t="s">
        <v>581</v>
      </c>
      <c r="F337" s="75" t="s">
        <v>900</v>
      </c>
      <c r="G337" s="56">
        <v>3436</v>
      </c>
      <c r="H337" s="56"/>
      <c r="I337" s="56"/>
      <c r="J337" s="56"/>
      <c r="K337" s="56"/>
      <c r="L337" s="56"/>
      <c r="M337" s="56"/>
      <c r="N337" s="55">
        <f t="shared" si="20"/>
        <v>3436</v>
      </c>
      <c r="O337" s="56"/>
      <c r="P337" s="58">
        <f t="shared" si="21"/>
        <v>7749286.72</v>
      </c>
      <c r="Q337" s="56"/>
    </row>
    <row r="338" ht="20" customHeight="1" spans="2:17">
      <c r="B338" s="42">
        <v>3</v>
      </c>
      <c r="C338" s="42">
        <v>23</v>
      </c>
      <c r="D338" s="74"/>
      <c r="E338" s="54"/>
      <c r="F338" s="75" t="s">
        <v>901</v>
      </c>
      <c r="G338" s="56"/>
      <c r="H338" s="56"/>
      <c r="I338" s="56"/>
      <c r="J338" s="56"/>
      <c r="K338" s="55">
        <v>8060</v>
      </c>
      <c r="L338" s="56"/>
      <c r="M338" s="56">
        <v>21.17</v>
      </c>
      <c r="N338" s="56">
        <f t="shared" si="20"/>
        <v>8038.83</v>
      </c>
      <c r="O338" s="56"/>
      <c r="P338" s="58">
        <f t="shared" si="21"/>
        <v>7757325.55</v>
      </c>
      <c r="Q338" s="59" t="s">
        <v>669</v>
      </c>
    </row>
    <row r="339" ht="20" customHeight="1" spans="2:17">
      <c r="B339" s="42">
        <v>3</v>
      </c>
      <c r="C339" s="42">
        <v>23</v>
      </c>
      <c r="D339" s="74"/>
      <c r="E339" s="74" t="s">
        <v>806</v>
      </c>
      <c r="F339" s="75" t="s">
        <v>902</v>
      </c>
      <c r="G339" s="56">
        <v>1680</v>
      </c>
      <c r="H339" s="56"/>
      <c r="I339" s="56"/>
      <c r="J339" s="56"/>
      <c r="K339" s="56"/>
      <c r="L339" s="56"/>
      <c r="M339" s="56"/>
      <c r="N339" s="55">
        <f t="shared" si="20"/>
        <v>1680</v>
      </c>
      <c r="O339" s="56"/>
      <c r="P339" s="58">
        <f t="shared" si="21"/>
        <v>7759005.55</v>
      </c>
      <c r="Q339" s="59" t="s">
        <v>669</v>
      </c>
    </row>
    <row r="340" ht="20" customHeight="1" spans="2:17">
      <c r="B340" s="42">
        <v>3</v>
      </c>
      <c r="C340" s="42">
        <v>23</v>
      </c>
      <c r="D340" s="74"/>
      <c r="E340" s="74" t="s">
        <v>746</v>
      </c>
      <c r="F340" s="75" t="s">
        <v>903</v>
      </c>
      <c r="G340" s="56">
        <v>2922</v>
      </c>
      <c r="H340" s="56">
        <v>150</v>
      </c>
      <c r="I340" s="56">
        <v>249.6</v>
      </c>
      <c r="J340" s="56"/>
      <c r="K340" s="56"/>
      <c r="L340" s="56"/>
      <c r="M340" s="56"/>
      <c r="N340" s="55">
        <f t="shared" si="20"/>
        <v>3321.6</v>
      </c>
      <c r="O340" s="56"/>
      <c r="P340" s="58">
        <f t="shared" si="21"/>
        <v>7762327.15</v>
      </c>
      <c r="Q340" s="59" t="s">
        <v>669</v>
      </c>
    </row>
    <row r="341" ht="20" customHeight="1" spans="2:17">
      <c r="B341" s="42">
        <v>3</v>
      </c>
      <c r="C341" s="42">
        <v>23</v>
      </c>
      <c r="D341" s="74"/>
      <c r="E341" s="74" t="s">
        <v>746</v>
      </c>
      <c r="F341" s="75" t="s">
        <v>753</v>
      </c>
      <c r="G341" s="56">
        <v>478.4</v>
      </c>
      <c r="H341" s="56"/>
      <c r="I341" s="56"/>
      <c r="J341" s="56"/>
      <c r="K341" s="56"/>
      <c r="L341" s="56"/>
      <c r="M341" s="56"/>
      <c r="N341" s="55">
        <f t="shared" si="20"/>
        <v>478.4</v>
      </c>
      <c r="O341" s="56"/>
      <c r="P341" s="58">
        <f t="shared" si="21"/>
        <v>7762805.55</v>
      </c>
      <c r="Q341" s="59" t="s">
        <v>669</v>
      </c>
    </row>
    <row r="342" ht="20" customHeight="1" spans="2:17">
      <c r="B342" s="42">
        <v>3</v>
      </c>
      <c r="C342" s="42">
        <v>23</v>
      </c>
      <c r="D342" s="74"/>
      <c r="E342" s="54" t="s">
        <v>626</v>
      </c>
      <c r="F342" s="75" t="s">
        <v>904</v>
      </c>
      <c r="G342" s="56"/>
      <c r="H342" s="56">
        <v>150</v>
      </c>
      <c r="I342" s="56">
        <v>229.2</v>
      </c>
      <c r="J342" s="56"/>
      <c r="K342" s="56"/>
      <c r="L342" s="56"/>
      <c r="M342" s="56"/>
      <c r="N342" s="55">
        <f t="shared" si="20"/>
        <v>379.2</v>
      </c>
      <c r="O342" s="56"/>
      <c r="P342" s="58">
        <f t="shared" si="21"/>
        <v>7763184.75</v>
      </c>
      <c r="Q342" s="59" t="s">
        <v>669</v>
      </c>
    </row>
    <row r="343" ht="20" customHeight="1" spans="2:17">
      <c r="B343" s="42">
        <v>3</v>
      </c>
      <c r="C343" s="42">
        <v>23</v>
      </c>
      <c r="D343" s="74"/>
      <c r="E343" s="74" t="s">
        <v>905</v>
      </c>
      <c r="F343" s="75" t="s">
        <v>906</v>
      </c>
      <c r="G343" s="56"/>
      <c r="H343" s="56">
        <v>150</v>
      </c>
      <c r="I343" s="56">
        <v>60</v>
      </c>
      <c r="J343" s="56"/>
      <c r="K343" s="56"/>
      <c r="L343" s="56"/>
      <c r="M343" s="56"/>
      <c r="N343" s="55">
        <f t="shared" si="20"/>
        <v>210</v>
      </c>
      <c r="O343" s="56"/>
      <c r="P343" s="58">
        <f t="shared" si="21"/>
        <v>7763394.75</v>
      </c>
      <c r="Q343" s="59" t="s">
        <v>669</v>
      </c>
    </row>
    <row r="344" ht="20" customHeight="1" spans="2:17">
      <c r="B344" s="42">
        <v>3</v>
      </c>
      <c r="C344" s="42">
        <v>23</v>
      </c>
      <c r="D344" s="74"/>
      <c r="E344" s="74" t="s">
        <v>905</v>
      </c>
      <c r="F344" s="75" t="s">
        <v>907</v>
      </c>
      <c r="G344" s="56"/>
      <c r="H344" s="56">
        <v>150</v>
      </c>
      <c r="I344" s="56">
        <v>62.4</v>
      </c>
      <c r="J344" s="56"/>
      <c r="K344" s="56"/>
      <c r="L344" s="56"/>
      <c r="M344" s="56"/>
      <c r="N344" s="55">
        <f t="shared" si="20"/>
        <v>212.4</v>
      </c>
      <c r="O344" s="56"/>
      <c r="P344" s="58">
        <f t="shared" si="21"/>
        <v>7763607.15</v>
      </c>
      <c r="Q344" s="59" t="s">
        <v>669</v>
      </c>
    </row>
    <row r="345" ht="20" customHeight="1" spans="2:17">
      <c r="B345" s="42">
        <v>3</v>
      </c>
      <c r="C345" s="42">
        <v>23</v>
      </c>
      <c r="D345" s="74"/>
      <c r="E345" s="74" t="s">
        <v>905</v>
      </c>
      <c r="F345" s="75" t="s">
        <v>908</v>
      </c>
      <c r="G345" s="56"/>
      <c r="H345" s="56">
        <v>150</v>
      </c>
      <c r="I345" s="56">
        <v>54</v>
      </c>
      <c r="J345" s="56"/>
      <c r="K345" s="56"/>
      <c r="L345" s="56"/>
      <c r="M345" s="56"/>
      <c r="N345" s="55">
        <f t="shared" si="20"/>
        <v>204</v>
      </c>
      <c r="O345" s="56"/>
      <c r="P345" s="58">
        <f t="shared" si="21"/>
        <v>7763811.15</v>
      </c>
      <c r="Q345" s="59" t="s">
        <v>669</v>
      </c>
    </row>
    <row r="346" ht="20" customHeight="1" spans="2:17">
      <c r="B346" s="42">
        <v>3</v>
      </c>
      <c r="C346" s="42">
        <v>23</v>
      </c>
      <c r="D346" s="74"/>
      <c r="E346" s="74" t="s">
        <v>648</v>
      </c>
      <c r="F346" s="75" t="s">
        <v>909</v>
      </c>
      <c r="G346" s="56">
        <v>1500</v>
      </c>
      <c r="H346" s="56"/>
      <c r="I346" s="56">
        <v>103.2</v>
      </c>
      <c r="J346" s="56"/>
      <c r="K346" s="56"/>
      <c r="L346" s="56"/>
      <c r="M346" s="56"/>
      <c r="N346" s="55">
        <f t="shared" si="20"/>
        <v>1603.2</v>
      </c>
      <c r="O346" s="56"/>
      <c r="P346" s="58">
        <f t="shared" si="21"/>
        <v>7765414.35</v>
      </c>
      <c r="Q346" s="59" t="s">
        <v>669</v>
      </c>
    </row>
    <row r="347" ht="20" customHeight="1" spans="2:17">
      <c r="B347" s="42">
        <v>3</v>
      </c>
      <c r="C347" s="42">
        <v>23</v>
      </c>
      <c r="D347" s="74"/>
      <c r="E347" s="74" t="s">
        <v>590</v>
      </c>
      <c r="F347" s="75" t="s">
        <v>910</v>
      </c>
      <c r="G347" s="56">
        <v>1000</v>
      </c>
      <c r="H347" s="56">
        <v>150</v>
      </c>
      <c r="I347" s="56">
        <v>44.4</v>
      </c>
      <c r="J347" s="56"/>
      <c r="K347" s="56"/>
      <c r="L347" s="56"/>
      <c r="M347" s="56"/>
      <c r="N347" s="55">
        <f t="shared" si="20"/>
        <v>1194.4</v>
      </c>
      <c r="O347" s="56"/>
      <c r="P347" s="58">
        <f t="shared" si="21"/>
        <v>7766608.75</v>
      </c>
      <c r="Q347" s="59" t="s">
        <v>669</v>
      </c>
    </row>
    <row r="348" ht="20" customHeight="1" spans="2:17">
      <c r="B348" s="42">
        <v>3</v>
      </c>
      <c r="C348" s="42">
        <v>23</v>
      </c>
      <c r="D348" s="74"/>
      <c r="E348" s="74" t="s">
        <v>590</v>
      </c>
      <c r="F348" s="75" t="s">
        <v>911</v>
      </c>
      <c r="G348" s="56">
        <v>1000</v>
      </c>
      <c r="H348" s="56">
        <v>150</v>
      </c>
      <c r="I348" s="56">
        <v>39.6</v>
      </c>
      <c r="J348" s="56"/>
      <c r="K348" s="56"/>
      <c r="L348" s="56"/>
      <c r="M348" s="56"/>
      <c r="N348" s="55">
        <f t="shared" si="20"/>
        <v>1189.6</v>
      </c>
      <c r="O348" s="56"/>
      <c r="P348" s="58">
        <f t="shared" si="21"/>
        <v>7767798.35</v>
      </c>
      <c r="Q348" s="59" t="s">
        <v>669</v>
      </c>
    </row>
    <row r="349" ht="20" customHeight="1" spans="2:17">
      <c r="B349" s="42">
        <v>3</v>
      </c>
      <c r="C349" s="42">
        <v>23</v>
      </c>
      <c r="D349" s="74"/>
      <c r="E349" s="74" t="s">
        <v>535</v>
      </c>
      <c r="F349" s="75" t="s">
        <v>912</v>
      </c>
      <c r="G349" s="56">
        <v>1400</v>
      </c>
      <c r="H349" s="56">
        <v>150</v>
      </c>
      <c r="I349" s="56">
        <v>188.4</v>
      </c>
      <c r="J349" s="56"/>
      <c r="K349" s="56"/>
      <c r="L349" s="56"/>
      <c r="M349" s="56"/>
      <c r="N349" s="55">
        <f t="shared" si="20"/>
        <v>1738.4</v>
      </c>
      <c r="O349" s="56"/>
      <c r="P349" s="58">
        <f t="shared" si="21"/>
        <v>7769536.75</v>
      </c>
      <c r="Q349" s="59" t="s">
        <v>669</v>
      </c>
    </row>
    <row r="350" ht="20" customHeight="1" spans="2:17">
      <c r="B350" s="42">
        <v>3</v>
      </c>
      <c r="C350" s="42">
        <v>23</v>
      </c>
      <c r="D350" s="74"/>
      <c r="E350" s="42"/>
      <c r="F350" s="75" t="s">
        <v>913</v>
      </c>
      <c r="G350" s="56"/>
      <c r="H350" s="56"/>
      <c r="I350" s="56"/>
      <c r="J350" s="56"/>
      <c r="K350" s="56"/>
      <c r="L350" s="56">
        <v>1.42</v>
      </c>
      <c r="M350" s="56"/>
      <c r="N350" s="55">
        <f t="shared" si="20"/>
        <v>1.42</v>
      </c>
      <c r="O350" s="56"/>
      <c r="P350" s="58">
        <f t="shared" si="21"/>
        <v>7769538.17</v>
      </c>
      <c r="Q350" s="59" t="s">
        <v>669</v>
      </c>
    </row>
    <row r="351" ht="20" customHeight="1" spans="2:17">
      <c r="B351" s="42">
        <v>3</v>
      </c>
      <c r="C351" s="42">
        <v>23</v>
      </c>
      <c r="D351" s="74"/>
      <c r="E351" s="54" t="s">
        <v>914</v>
      </c>
      <c r="F351" s="75" t="s">
        <v>915</v>
      </c>
      <c r="G351" s="56"/>
      <c r="H351" s="56">
        <v>200</v>
      </c>
      <c r="I351" s="56">
        <v>112.8</v>
      </c>
      <c r="J351" s="56"/>
      <c r="K351" s="56"/>
      <c r="L351" s="56"/>
      <c r="M351" s="56"/>
      <c r="N351" s="55">
        <f t="shared" si="20"/>
        <v>312.8</v>
      </c>
      <c r="O351" s="56"/>
      <c r="P351" s="58">
        <f t="shared" si="21"/>
        <v>7769850.97</v>
      </c>
      <c r="Q351" s="59" t="s">
        <v>669</v>
      </c>
    </row>
    <row r="352" ht="20" customHeight="1" spans="2:17">
      <c r="B352" s="42">
        <v>3</v>
      </c>
      <c r="C352" s="42">
        <v>23</v>
      </c>
      <c r="D352" s="74"/>
      <c r="E352" s="42" t="s">
        <v>914</v>
      </c>
      <c r="F352" s="75" t="s">
        <v>916</v>
      </c>
      <c r="G352" s="56"/>
      <c r="H352" s="56">
        <v>200</v>
      </c>
      <c r="I352" s="56">
        <v>105.6</v>
      </c>
      <c r="J352" s="56"/>
      <c r="K352" s="56"/>
      <c r="L352" s="56"/>
      <c r="M352" s="56"/>
      <c r="N352" s="55">
        <f t="shared" si="20"/>
        <v>305.6</v>
      </c>
      <c r="O352" s="56"/>
      <c r="P352" s="58">
        <f t="shared" si="21"/>
        <v>7770156.57</v>
      </c>
      <c r="Q352" s="59" t="s">
        <v>669</v>
      </c>
    </row>
    <row r="353" ht="20" customHeight="1" spans="2:19">
      <c r="B353" s="42">
        <v>3</v>
      </c>
      <c r="C353" s="42">
        <v>23</v>
      </c>
      <c r="D353" s="74"/>
      <c r="E353" s="42" t="s">
        <v>914</v>
      </c>
      <c r="F353" s="75" t="s">
        <v>917</v>
      </c>
      <c r="G353" s="56"/>
      <c r="H353" s="56">
        <v>200</v>
      </c>
      <c r="I353" s="56">
        <v>104.4</v>
      </c>
      <c r="J353" s="56"/>
      <c r="K353" s="56"/>
      <c r="L353" s="56"/>
      <c r="M353" s="56"/>
      <c r="N353" s="55">
        <f t="shared" si="20"/>
        <v>304.4</v>
      </c>
      <c r="O353" s="56"/>
      <c r="P353" s="58">
        <f t="shared" si="21"/>
        <v>7770460.97</v>
      </c>
      <c r="Q353" s="59" t="s">
        <v>669</v>
      </c>
      <c r="R353" s="3" t="s">
        <v>239</v>
      </c>
      <c r="S353" s="79">
        <f>SUM(N297:N353)-SUM(O296:O353)+R295</f>
        <v>160904.57</v>
      </c>
    </row>
    <row r="354" ht="20" customHeight="1" spans="2:19">
      <c r="B354" s="42">
        <v>3</v>
      </c>
      <c r="C354" s="42">
        <v>23</v>
      </c>
      <c r="D354" s="74" t="s">
        <v>104</v>
      </c>
      <c r="E354" s="54" t="s">
        <v>486</v>
      </c>
      <c r="F354" s="75" t="s">
        <v>918</v>
      </c>
      <c r="G354" s="56"/>
      <c r="H354" s="56"/>
      <c r="I354" s="56"/>
      <c r="J354" s="56"/>
      <c r="K354" s="56"/>
      <c r="L354" s="56"/>
      <c r="M354" s="56"/>
      <c r="N354" s="56">
        <f t="shared" si="20"/>
        <v>0</v>
      </c>
      <c r="O354" s="56">
        <v>1776.48</v>
      </c>
      <c r="P354" s="58">
        <f t="shared" si="21"/>
        <v>7768684.49</v>
      </c>
      <c r="Q354" s="56"/>
    </row>
    <row r="355" ht="20" customHeight="1" spans="2:19">
      <c r="B355" s="42">
        <v>3</v>
      </c>
      <c r="C355" s="42">
        <v>23</v>
      </c>
      <c r="D355" s="74" t="s">
        <v>124</v>
      </c>
      <c r="E355" s="42" t="s">
        <v>486</v>
      </c>
      <c r="F355" s="75" t="s">
        <v>919</v>
      </c>
      <c r="G355" s="56"/>
      <c r="H355" s="56"/>
      <c r="I355" s="56"/>
      <c r="J355" s="56"/>
      <c r="K355" s="56"/>
      <c r="L355" s="56"/>
      <c r="M355" s="56"/>
      <c r="N355" s="56">
        <f t="shared" si="20"/>
        <v>0</v>
      </c>
      <c r="O355" s="56">
        <v>1767.88</v>
      </c>
      <c r="P355" s="58">
        <f t="shared" si="21"/>
        <v>7766916.61</v>
      </c>
      <c r="Q355" s="56"/>
    </row>
    <row r="356" ht="20" customHeight="1" spans="2:19">
      <c r="B356" s="42">
        <v>3</v>
      </c>
      <c r="C356" s="42">
        <v>23</v>
      </c>
      <c r="D356" s="74" t="s">
        <v>92</v>
      </c>
      <c r="E356" s="42" t="s">
        <v>486</v>
      </c>
      <c r="F356" s="75" t="s">
        <v>920</v>
      </c>
      <c r="G356" s="56"/>
      <c r="H356" s="56"/>
      <c r="I356" s="56"/>
      <c r="J356" s="56"/>
      <c r="K356" s="56"/>
      <c r="L356" s="56"/>
      <c r="M356" s="56"/>
      <c r="N356" s="56">
        <f t="shared" si="20"/>
        <v>0</v>
      </c>
      <c r="O356" s="56">
        <v>1000</v>
      </c>
      <c r="P356" s="58">
        <f t="shared" si="21"/>
        <v>7765916.61</v>
      </c>
      <c r="Q356" s="56"/>
    </row>
    <row r="357" ht="20" customHeight="1" spans="2:19">
      <c r="B357" s="42">
        <v>3</v>
      </c>
      <c r="C357" s="42">
        <v>23</v>
      </c>
      <c r="D357" s="74" t="s">
        <v>121</v>
      </c>
      <c r="E357" s="54" t="s">
        <v>764</v>
      </c>
      <c r="F357" s="75" t="s">
        <v>921</v>
      </c>
      <c r="G357" s="56"/>
      <c r="H357" s="56"/>
      <c r="I357" s="56"/>
      <c r="J357" s="56"/>
      <c r="K357" s="56"/>
      <c r="L357" s="56"/>
      <c r="M357" s="56"/>
      <c r="N357" s="56">
        <f t="shared" si="20"/>
        <v>0</v>
      </c>
      <c r="O357" s="56">
        <v>130000</v>
      </c>
      <c r="P357" s="58">
        <f t="shared" si="21"/>
        <v>7635916.61</v>
      </c>
      <c r="Q357" s="56"/>
    </row>
    <row r="358" ht="20" customHeight="1" spans="2:19">
      <c r="B358" s="42">
        <v>3</v>
      </c>
      <c r="C358" s="42">
        <v>24</v>
      </c>
      <c r="D358" s="74"/>
      <c r="E358" s="74" t="s">
        <v>581</v>
      </c>
      <c r="F358" s="75" t="s">
        <v>922</v>
      </c>
      <c r="G358" s="56">
        <v>764</v>
      </c>
      <c r="H358" s="56">
        <v>150</v>
      </c>
      <c r="I358" s="56">
        <v>86</v>
      </c>
      <c r="J358" s="56"/>
      <c r="K358" s="56"/>
      <c r="L358" s="56"/>
      <c r="M358" s="56"/>
      <c r="N358" s="55">
        <f t="shared" si="20"/>
        <v>1000</v>
      </c>
      <c r="O358" s="56"/>
      <c r="P358" s="58">
        <f t="shared" si="21"/>
        <v>7636916.61</v>
      </c>
      <c r="Q358" s="56"/>
    </row>
    <row r="359" ht="20" customHeight="1" spans="2:19">
      <c r="B359" s="42">
        <v>3</v>
      </c>
      <c r="C359" s="42">
        <v>27</v>
      </c>
      <c r="D359" s="74"/>
      <c r="E359" s="74" t="s">
        <v>657</v>
      </c>
      <c r="F359" s="75" t="s">
        <v>923</v>
      </c>
      <c r="G359" s="56">
        <v>2000</v>
      </c>
      <c r="H359" s="56">
        <v>150</v>
      </c>
      <c r="I359" s="56">
        <v>211.2</v>
      </c>
      <c r="J359" s="56"/>
      <c r="K359" s="56"/>
      <c r="L359" s="56"/>
      <c r="M359" s="56"/>
      <c r="N359" s="55">
        <f t="shared" si="20"/>
        <v>2361.2</v>
      </c>
      <c r="O359" s="56"/>
      <c r="P359" s="58">
        <f t="shared" si="21"/>
        <v>7639277.81</v>
      </c>
      <c r="Q359" s="56"/>
    </row>
    <row r="360" ht="20" customHeight="1" spans="2:19">
      <c r="B360" s="42">
        <v>3</v>
      </c>
      <c r="C360" s="42">
        <v>27</v>
      </c>
      <c r="D360" s="74"/>
      <c r="E360" s="54" t="s">
        <v>657</v>
      </c>
      <c r="F360" s="75" t="s">
        <v>924</v>
      </c>
      <c r="G360" s="56">
        <v>2000</v>
      </c>
      <c r="H360" s="56">
        <v>150</v>
      </c>
      <c r="I360" s="56">
        <v>198</v>
      </c>
      <c r="J360" s="56"/>
      <c r="K360" s="56"/>
      <c r="L360" s="56"/>
      <c r="M360" s="56"/>
      <c r="N360" s="55">
        <f t="shared" si="20"/>
        <v>2348</v>
      </c>
      <c r="O360" s="56"/>
      <c r="P360" s="58">
        <f t="shared" si="21"/>
        <v>7641625.81</v>
      </c>
      <c r="Q360" s="56"/>
    </row>
    <row r="361" ht="20" customHeight="1" spans="2:19">
      <c r="B361" s="42">
        <v>3</v>
      </c>
      <c r="C361" s="42">
        <v>27</v>
      </c>
      <c r="D361" s="74"/>
      <c r="E361" s="74" t="s">
        <v>655</v>
      </c>
      <c r="F361" s="75" t="s">
        <v>925</v>
      </c>
      <c r="G361" s="56">
        <v>1300</v>
      </c>
      <c r="H361" s="56"/>
      <c r="I361" s="56">
        <v>103</v>
      </c>
      <c r="J361" s="56"/>
      <c r="K361" s="56"/>
      <c r="L361" s="56"/>
      <c r="M361" s="56"/>
      <c r="N361" s="55">
        <f t="shared" ref="N361:N368" si="22">SUM(G361:L361)-M361</f>
        <v>1403</v>
      </c>
      <c r="O361" s="56"/>
      <c r="P361" s="58">
        <f t="shared" si="21"/>
        <v>7643028.81</v>
      </c>
      <c r="Q361" s="56"/>
    </row>
    <row r="362" ht="20" customHeight="1" spans="2:19">
      <c r="B362" s="42">
        <v>3</v>
      </c>
      <c r="C362" s="42">
        <v>28</v>
      </c>
      <c r="D362" s="74"/>
      <c r="E362" s="74" t="s">
        <v>628</v>
      </c>
      <c r="F362" s="75" t="s">
        <v>926</v>
      </c>
      <c r="G362" s="56">
        <v>6090</v>
      </c>
      <c r="H362" s="56">
        <v>200</v>
      </c>
      <c r="I362" s="56">
        <v>331</v>
      </c>
      <c r="J362" s="56"/>
      <c r="K362" s="56"/>
      <c r="L362" s="56"/>
      <c r="M362" s="56"/>
      <c r="N362" s="55">
        <f t="shared" si="22"/>
        <v>6621</v>
      </c>
      <c r="O362" s="56"/>
      <c r="P362" s="58">
        <f t="shared" si="21"/>
        <v>7649649.81</v>
      </c>
      <c r="Q362" s="56"/>
    </row>
    <row r="363" ht="20" customHeight="1" spans="2:19">
      <c r="B363" s="42">
        <v>3</v>
      </c>
      <c r="C363" s="42">
        <v>29</v>
      </c>
      <c r="D363" s="74"/>
      <c r="E363" s="54" t="s">
        <v>491</v>
      </c>
      <c r="F363" s="75" t="s">
        <v>927</v>
      </c>
      <c r="G363" s="56">
        <v>16445</v>
      </c>
      <c r="H363" s="56"/>
      <c r="I363" s="56">
        <v>37.4</v>
      </c>
      <c r="J363" s="56"/>
      <c r="K363" s="56"/>
      <c r="L363" s="56"/>
      <c r="M363" s="56"/>
      <c r="N363" s="55">
        <f t="shared" si="22"/>
        <v>16482.4</v>
      </c>
      <c r="O363" s="56"/>
      <c r="P363" s="58">
        <f t="shared" si="21"/>
        <v>7666132.21</v>
      </c>
      <c r="Q363" s="56"/>
    </row>
    <row r="364" ht="20" customHeight="1" spans="2:19">
      <c r="B364" s="42">
        <v>3</v>
      </c>
      <c r="C364" s="42">
        <v>30</v>
      </c>
      <c r="D364" s="74"/>
      <c r="E364" s="74" t="s">
        <v>811</v>
      </c>
      <c r="F364" s="75" t="s">
        <v>928</v>
      </c>
      <c r="G364" s="56"/>
      <c r="H364" s="56"/>
      <c r="I364" s="56">
        <v>60.2</v>
      </c>
      <c r="J364" s="56"/>
      <c r="K364" s="56"/>
      <c r="L364" s="56"/>
      <c r="M364" s="56"/>
      <c r="N364" s="55">
        <f t="shared" si="22"/>
        <v>60.2</v>
      </c>
      <c r="O364" s="56"/>
      <c r="P364" s="58">
        <f t="shared" si="21"/>
        <v>7666192.41</v>
      </c>
      <c r="Q364" s="56"/>
    </row>
    <row r="365" ht="20" customHeight="1" spans="2:19">
      <c r="B365" s="42">
        <v>3</v>
      </c>
      <c r="C365" s="42">
        <v>30</v>
      </c>
      <c r="D365" s="74"/>
      <c r="E365" s="74" t="s">
        <v>811</v>
      </c>
      <c r="F365" s="75" t="s">
        <v>929</v>
      </c>
      <c r="G365" s="56">
        <v>1500</v>
      </c>
      <c r="H365" s="56">
        <v>150</v>
      </c>
      <c r="I365" s="56">
        <v>129.6</v>
      </c>
      <c r="J365" s="56"/>
      <c r="K365" s="56"/>
      <c r="L365" s="56"/>
      <c r="M365" s="56"/>
      <c r="N365" s="55">
        <f t="shared" si="22"/>
        <v>1779.6</v>
      </c>
      <c r="O365" s="56"/>
      <c r="P365" s="58">
        <f t="shared" si="21"/>
        <v>7667972.01</v>
      </c>
      <c r="Q365" s="56"/>
    </row>
    <row r="366" ht="20" customHeight="1" spans="2:19">
      <c r="B366" s="42">
        <v>3</v>
      </c>
      <c r="C366" s="42">
        <v>30</v>
      </c>
      <c r="D366" s="74"/>
      <c r="E366" s="74" t="s">
        <v>650</v>
      </c>
      <c r="F366" s="75" t="s">
        <v>930</v>
      </c>
      <c r="G366" s="56">
        <v>6654</v>
      </c>
      <c r="H366" s="56">
        <v>200</v>
      </c>
      <c r="I366" s="56">
        <v>361</v>
      </c>
      <c r="J366" s="56"/>
      <c r="K366" s="56"/>
      <c r="L366" s="56"/>
      <c r="M366" s="56"/>
      <c r="N366" s="55">
        <f t="shared" si="22"/>
        <v>7215</v>
      </c>
      <c r="O366" s="56"/>
      <c r="P366" s="58">
        <f t="shared" si="21"/>
        <v>7675187.01</v>
      </c>
      <c r="Q366" s="56"/>
    </row>
    <row r="367" ht="20" customHeight="1" spans="2:19">
      <c r="B367" s="42">
        <v>3</v>
      </c>
      <c r="C367" s="42">
        <v>30</v>
      </c>
      <c r="D367" s="74" t="s">
        <v>124</v>
      </c>
      <c r="E367" s="54" t="s">
        <v>486</v>
      </c>
      <c r="F367" s="75" t="s">
        <v>931</v>
      </c>
      <c r="G367" s="56"/>
      <c r="H367" s="56"/>
      <c r="I367" s="56"/>
      <c r="J367" s="56"/>
      <c r="K367" s="56"/>
      <c r="L367" s="56"/>
      <c r="M367" s="56"/>
      <c r="N367" s="56">
        <f t="shared" si="22"/>
        <v>0</v>
      </c>
      <c r="O367" s="56">
        <v>7905.35</v>
      </c>
      <c r="P367" s="58">
        <f t="shared" si="21"/>
        <v>7667281.66</v>
      </c>
      <c r="Q367" s="56"/>
    </row>
    <row r="368" ht="20" customHeight="1" spans="2:19">
      <c r="B368" s="42">
        <v>3</v>
      </c>
      <c r="C368" s="42">
        <v>30</v>
      </c>
      <c r="D368" s="74" t="s">
        <v>129</v>
      </c>
      <c r="E368" s="42" t="s">
        <v>486</v>
      </c>
      <c r="F368" s="75" t="s">
        <v>932</v>
      </c>
      <c r="G368" s="56"/>
      <c r="H368" s="56"/>
      <c r="I368" s="56"/>
      <c r="J368" s="56"/>
      <c r="K368" s="56"/>
      <c r="L368" s="56"/>
      <c r="M368" s="56"/>
      <c r="N368" s="56">
        <f t="shared" si="22"/>
        <v>0</v>
      </c>
      <c r="O368" s="56">
        <v>142</v>
      </c>
      <c r="P368" s="58">
        <f t="shared" si="21"/>
        <v>7667139.66</v>
      </c>
      <c r="Q368" s="56"/>
    </row>
    <row r="369" ht="20" customHeight="1" spans="1:20">
      <c r="B369" s="42">
        <v>3</v>
      </c>
      <c r="C369" s="42">
        <v>30</v>
      </c>
      <c r="D369" s="74" t="s">
        <v>101</v>
      </c>
      <c r="E369" s="42"/>
      <c r="F369" s="75" t="s">
        <v>933</v>
      </c>
      <c r="G369" s="56"/>
      <c r="H369" s="56"/>
      <c r="I369" s="56"/>
      <c r="J369" s="56"/>
      <c r="K369" s="56"/>
      <c r="L369" s="56"/>
      <c r="M369" s="56"/>
      <c r="N369" s="56"/>
      <c r="O369" s="56">
        <v>43.8</v>
      </c>
      <c r="P369" s="58">
        <f t="shared" si="21"/>
        <v>7667095.86</v>
      </c>
      <c r="Q369" s="56"/>
    </row>
    <row r="370" ht="20" customHeight="1" spans="1:20">
      <c r="B370" s="42">
        <v>3</v>
      </c>
      <c r="C370" s="42">
        <v>31</v>
      </c>
      <c r="D370" s="74"/>
      <c r="E370" s="42"/>
      <c r="F370" s="75" t="s">
        <v>934</v>
      </c>
      <c r="G370" s="56"/>
      <c r="H370" s="56"/>
      <c r="I370" s="56"/>
      <c r="J370" s="56"/>
      <c r="K370" s="55">
        <v>500</v>
      </c>
      <c r="L370" s="56"/>
      <c r="M370" s="56">
        <v>17.52</v>
      </c>
      <c r="N370" s="56">
        <f t="shared" ref="N370:N383" si="23">SUM(G370:L370)-M370</f>
        <v>482.48</v>
      </c>
      <c r="O370" s="56"/>
      <c r="P370" s="58">
        <f t="shared" si="21"/>
        <v>7667578.34</v>
      </c>
      <c r="Q370" s="59" t="s">
        <v>669</v>
      </c>
    </row>
    <row r="371" ht="20" customHeight="1" spans="1:20">
      <c r="B371" s="42">
        <v>3</v>
      </c>
      <c r="C371" s="42">
        <v>31</v>
      </c>
      <c r="D371" s="74"/>
      <c r="E371" s="54"/>
      <c r="F371" s="75" t="s">
        <v>935</v>
      </c>
      <c r="G371" s="56"/>
      <c r="H371" s="56"/>
      <c r="I371" s="56"/>
      <c r="J371" s="56"/>
      <c r="K371" s="56">
        <v>4066</v>
      </c>
      <c r="L371" s="56"/>
      <c r="M371" s="56"/>
      <c r="N371" s="55">
        <f t="shared" si="23"/>
        <v>4066</v>
      </c>
      <c r="O371" s="56"/>
      <c r="P371" s="58">
        <f t="shared" si="21"/>
        <v>7671644.34</v>
      </c>
      <c r="Q371" s="59" t="s">
        <v>669</v>
      </c>
    </row>
    <row r="372" ht="20" customHeight="1" spans="1:20">
      <c r="B372" s="42">
        <v>3</v>
      </c>
      <c r="C372" s="42">
        <v>31</v>
      </c>
      <c r="D372" s="74"/>
      <c r="E372" s="42"/>
      <c r="F372" s="75" t="s">
        <v>936</v>
      </c>
      <c r="G372" s="56"/>
      <c r="H372" s="56"/>
      <c r="I372" s="56"/>
      <c r="J372" s="56"/>
      <c r="K372" s="56">
        <v>500</v>
      </c>
      <c r="L372" s="56"/>
      <c r="M372" s="56"/>
      <c r="N372" s="55">
        <f t="shared" si="23"/>
        <v>500</v>
      </c>
      <c r="O372" s="56"/>
      <c r="P372" s="58">
        <f t="shared" si="21"/>
        <v>7672144.34</v>
      </c>
      <c r="Q372" s="59" t="s">
        <v>669</v>
      </c>
    </row>
    <row r="373" ht="20" customHeight="1" spans="1:20">
      <c r="B373" s="42">
        <v>3</v>
      </c>
      <c r="C373" s="42">
        <v>31</v>
      </c>
      <c r="D373" s="74"/>
      <c r="E373" s="42"/>
      <c r="F373" s="75" t="s">
        <v>937</v>
      </c>
      <c r="G373" s="56"/>
      <c r="H373" s="56"/>
      <c r="I373" s="56"/>
      <c r="J373" s="56"/>
      <c r="K373" s="56">
        <v>1110</v>
      </c>
      <c r="L373" s="56"/>
      <c r="M373" s="56"/>
      <c r="N373" s="55">
        <f t="shared" si="23"/>
        <v>1110</v>
      </c>
      <c r="O373" s="56"/>
      <c r="P373" s="58">
        <f t="shared" si="21"/>
        <v>7673254.34</v>
      </c>
      <c r="Q373" s="59" t="s">
        <v>669</v>
      </c>
    </row>
    <row r="374" ht="20" customHeight="1" spans="1:20">
      <c r="B374" s="42">
        <v>3</v>
      </c>
      <c r="C374" s="42">
        <v>31</v>
      </c>
      <c r="D374" s="74"/>
      <c r="E374" s="54" t="s">
        <v>626</v>
      </c>
      <c r="F374" s="75" t="s">
        <v>938</v>
      </c>
      <c r="G374" s="56">
        <v>1400</v>
      </c>
      <c r="H374" s="56">
        <v>150</v>
      </c>
      <c r="I374" s="56">
        <v>55.2</v>
      </c>
      <c r="J374" s="56"/>
      <c r="K374" s="56"/>
      <c r="L374" s="56"/>
      <c r="M374" s="56"/>
      <c r="N374" s="55">
        <f t="shared" si="23"/>
        <v>1605.2</v>
      </c>
      <c r="O374" s="56"/>
      <c r="P374" s="58">
        <f t="shared" si="21"/>
        <v>7674859.54</v>
      </c>
      <c r="Q374" s="59" t="s">
        <v>669</v>
      </c>
    </row>
    <row r="375" ht="20" customHeight="1" spans="1:20">
      <c r="B375" s="42">
        <v>3</v>
      </c>
      <c r="C375" s="42">
        <v>31</v>
      </c>
      <c r="D375" s="74"/>
      <c r="E375" s="74" t="s">
        <v>626</v>
      </c>
      <c r="F375" s="75" t="s">
        <v>939</v>
      </c>
      <c r="G375" s="56"/>
      <c r="H375" s="56">
        <v>150</v>
      </c>
      <c r="I375" s="56">
        <v>309.6</v>
      </c>
      <c r="J375" s="56"/>
      <c r="K375" s="56"/>
      <c r="L375" s="56"/>
      <c r="M375" s="56"/>
      <c r="N375" s="55">
        <f t="shared" si="23"/>
        <v>459.6</v>
      </c>
      <c r="O375" s="56"/>
      <c r="P375" s="58">
        <f t="shared" si="21"/>
        <v>7675319.14</v>
      </c>
      <c r="Q375" s="59" t="s">
        <v>669</v>
      </c>
    </row>
    <row r="376" ht="20" customHeight="1" spans="1:20">
      <c r="B376" s="42">
        <v>3</v>
      </c>
      <c r="C376" s="42">
        <v>31</v>
      </c>
      <c r="D376" s="74"/>
      <c r="E376" s="74" t="s">
        <v>529</v>
      </c>
      <c r="F376" s="75" t="s">
        <v>940</v>
      </c>
      <c r="G376" s="56">
        <v>3646</v>
      </c>
      <c r="H376" s="56">
        <v>150</v>
      </c>
      <c r="I376" s="56">
        <v>232.8</v>
      </c>
      <c r="J376" s="56"/>
      <c r="K376" s="56"/>
      <c r="L376" s="56"/>
      <c r="M376" s="56"/>
      <c r="N376" s="55">
        <f t="shared" si="23"/>
        <v>4028.8</v>
      </c>
      <c r="O376" s="56"/>
      <c r="P376" s="58">
        <f t="shared" si="21"/>
        <v>7679347.94</v>
      </c>
      <c r="Q376" s="59" t="s">
        <v>669</v>
      </c>
    </row>
    <row r="377" ht="20" customHeight="1" spans="1:20">
      <c r="B377" s="42">
        <v>3</v>
      </c>
      <c r="C377" s="42">
        <v>31</v>
      </c>
      <c r="D377" s="74"/>
      <c r="E377" s="54" t="s">
        <v>522</v>
      </c>
      <c r="F377" s="75" t="s">
        <v>941</v>
      </c>
      <c r="G377" s="56">
        <v>1500</v>
      </c>
      <c r="H377" s="56">
        <v>150</v>
      </c>
      <c r="I377" s="56">
        <v>45.6</v>
      </c>
      <c r="J377" s="56"/>
      <c r="K377" s="56"/>
      <c r="L377" s="56"/>
      <c r="M377" s="56"/>
      <c r="N377" s="55">
        <f t="shared" si="23"/>
        <v>1695.6</v>
      </c>
      <c r="O377" s="56"/>
      <c r="P377" s="58">
        <f t="shared" si="21"/>
        <v>7681043.54</v>
      </c>
      <c r="Q377" s="59" t="s">
        <v>669</v>
      </c>
    </row>
    <row r="378" ht="20" customHeight="1" spans="1:20">
      <c r="B378" s="42">
        <v>3</v>
      </c>
      <c r="C378" s="42">
        <v>31</v>
      </c>
      <c r="D378" s="74"/>
      <c r="E378" s="74" t="s">
        <v>642</v>
      </c>
      <c r="F378" s="75" t="s">
        <v>942</v>
      </c>
      <c r="G378" s="56">
        <v>1600</v>
      </c>
      <c r="H378" s="56">
        <v>150</v>
      </c>
      <c r="I378" s="56">
        <v>36</v>
      </c>
      <c r="J378" s="56"/>
      <c r="K378" s="56"/>
      <c r="L378" s="56"/>
      <c r="M378" s="56"/>
      <c r="N378" s="55">
        <f t="shared" si="23"/>
        <v>1786</v>
      </c>
      <c r="O378" s="56"/>
      <c r="P378" s="58">
        <f t="shared" si="21"/>
        <v>7682829.54</v>
      </c>
      <c r="Q378" s="59" t="s">
        <v>669</v>
      </c>
    </row>
    <row r="379" ht="20" customHeight="1" spans="1:20">
      <c r="A379" s="168"/>
      <c r="B379" s="42">
        <v>3</v>
      </c>
      <c r="C379" s="42">
        <v>31</v>
      </c>
      <c r="D379" s="74"/>
      <c r="E379" s="74" t="s">
        <v>642</v>
      </c>
      <c r="F379" s="75" t="s">
        <v>943</v>
      </c>
      <c r="G379" s="56">
        <v>1600</v>
      </c>
      <c r="H379" s="56">
        <v>150</v>
      </c>
      <c r="I379" s="56">
        <v>36</v>
      </c>
      <c r="J379" s="56"/>
      <c r="K379" s="56"/>
      <c r="L379" s="56"/>
      <c r="M379" s="56"/>
      <c r="N379" s="55">
        <f t="shared" si="23"/>
        <v>1786</v>
      </c>
      <c r="O379" s="56"/>
      <c r="P379" s="58">
        <f t="shared" si="21"/>
        <v>7684615.54</v>
      </c>
      <c r="Q379" s="59" t="s">
        <v>669</v>
      </c>
    </row>
    <row r="380" ht="20" customHeight="1" spans="1:20">
      <c r="B380" s="42">
        <v>3</v>
      </c>
      <c r="C380" s="42">
        <v>31</v>
      </c>
      <c r="D380" s="74"/>
      <c r="E380" s="54" t="s">
        <v>595</v>
      </c>
      <c r="F380" s="75" t="s">
        <v>944</v>
      </c>
      <c r="G380" s="56"/>
      <c r="H380" s="55">
        <v>150</v>
      </c>
      <c r="I380" s="55">
        <v>94</v>
      </c>
      <c r="J380" s="56"/>
      <c r="K380" s="56"/>
      <c r="L380" s="56"/>
      <c r="M380" s="56">
        <v>12.06</v>
      </c>
      <c r="N380" s="56">
        <f t="shared" si="23"/>
        <v>231.94</v>
      </c>
      <c r="O380" s="56"/>
      <c r="P380" s="58">
        <f t="shared" si="21"/>
        <v>7684847.48</v>
      </c>
      <c r="Q380" s="59" t="s">
        <v>669</v>
      </c>
    </row>
    <row r="381" ht="20" customHeight="1" spans="1:20">
      <c r="B381" s="42">
        <v>3</v>
      </c>
      <c r="C381" s="42">
        <v>31</v>
      </c>
      <c r="D381" s="74"/>
      <c r="E381" s="74" t="s">
        <v>595</v>
      </c>
      <c r="F381" s="75" t="s">
        <v>945</v>
      </c>
      <c r="G381" s="56"/>
      <c r="H381" s="56">
        <v>150</v>
      </c>
      <c r="I381" s="56">
        <v>59</v>
      </c>
      <c r="J381" s="56"/>
      <c r="K381" s="56"/>
      <c r="L381" s="56"/>
      <c r="M381" s="56"/>
      <c r="N381" s="56">
        <f t="shared" si="23"/>
        <v>209</v>
      </c>
      <c r="O381" s="56"/>
      <c r="P381" s="58">
        <f t="shared" si="21"/>
        <v>7685056.48</v>
      </c>
      <c r="Q381" s="59" t="s">
        <v>669</v>
      </c>
    </row>
    <row r="382" ht="20" customHeight="1" spans="1:20">
      <c r="B382" s="42">
        <v>3</v>
      </c>
      <c r="C382" s="42">
        <v>31</v>
      </c>
      <c r="D382" s="74"/>
      <c r="E382" s="54" t="s">
        <v>606</v>
      </c>
      <c r="F382" s="75" t="s">
        <v>946</v>
      </c>
      <c r="G382" s="56">
        <v>10333</v>
      </c>
      <c r="H382" s="56">
        <v>600</v>
      </c>
      <c r="I382" s="56">
        <v>685</v>
      </c>
      <c r="J382" s="56"/>
      <c r="K382" s="56"/>
      <c r="L382" s="56"/>
      <c r="M382" s="56"/>
      <c r="N382" s="56">
        <f t="shared" si="23"/>
        <v>11618</v>
      </c>
      <c r="O382" s="56"/>
      <c r="P382" s="58">
        <f t="shared" si="21"/>
        <v>7696674.48</v>
      </c>
      <c r="Q382" s="59" t="s">
        <v>669</v>
      </c>
    </row>
    <row r="383" ht="20" customHeight="1" spans="1:20">
      <c r="B383" s="42">
        <v>3</v>
      </c>
      <c r="C383" s="42">
        <v>31</v>
      </c>
      <c r="D383" s="74"/>
      <c r="E383" s="74" t="s">
        <v>746</v>
      </c>
      <c r="F383" s="75" t="s">
        <v>753</v>
      </c>
      <c r="G383" s="56">
        <v>4000</v>
      </c>
      <c r="H383" s="56"/>
      <c r="I383" s="56"/>
      <c r="J383" s="56"/>
      <c r="K383" s="56"/>
      <c r="L383" s="56"/>
      <c r="M383" s="56">
        <v>4</v>
      </c>
      <c r="N383" s="56">
        <f t="shared" si="23"/>
        <v>3996</v>
      </c>
      <c r="O383" s="56"/>
      <c r="P383" s="58">
        <f t="shared" si="21"/>
        <v>7700670.48</v>
      </c>
      <c r="Q383" s="59" t="s">
        <v>669</v>
      </c>
      <c r="R383" s="3" t="s">
        <v>239</v>
      </c>
      <c r="S383" s="3">
        <f>SUM(N354:N383)-SUM(O354:O383)+S353</f>
        <v>91114.0799999999</v>
      </c>
    </row>
    <row r="384" ht="20" customHeight="1" spans="1:20">
      <c r="B384" s="68"/>
      <c r="C384" s="68"/>
      <c r="D384" s="74"/>
      <c r="E384" s="68"/>
      <c r="F384" s="70" t="s">
        <v>22</v>
      </c>
      <c r="G384" s="71">
        <f t="shared" ref="G384:O384" si="24">SUM(G205:G383)</f>
        <v>332839.4</v>
      </c>
      <c r="H384" s="71">
        <f t="shared" si="24"/>
        <v>18150</v>
      </c>
      <c r="I384" s="71">
        <f t="shared" si="24"/>
        <v>22817.4</v>
      </c>
      <c r="J384" s="71">
        <f t="shared" si="24"/>
        <v>34500</v>
      </c>
      <c r="K384" s="71">
        <f t="shared" si="24"/>
        <v>23856</v>
      </c>
      <c r="L384" s="71">
        <f t="shared" si="24"/>
        <v>31.66</v>
      </c>
      <c r="M384" s="71">
        <f t="shared" si="24"/>
        <v>190.97</v>
      </c>
      <c r="N384" s="71">
        <f t="shared" si="24"/>
        <v>702003.49</v>
      </c>
      <c r="O384" s="71">
        <f t="shared" si="24"/>
        <v>556646.94</v>
      </c>
      <c r="P384" s="71">
        <f>P204+N384-O384</f>
        <v>7700670.48</v>
      </c>
      <c r="Q384" s="71"/>
      <c r="R384" s="3">
        <f>P384-S383</f>
        <v>7609556.4</v>
      </c>
      <c r="T384" s="3">
        <f>N384-N296</f>
        <v>562003.49</v>
      </c>
    </row>
    <row r="385" ht="20" customHeight="1" spans="2:17">
      <c r="B385" s="42">
        <v>4</v>
      </c>
      <c r="C385" s="42">
        <v>1</v>
      </c>
      <c r="D385" s="74"/>
      <c r="E385" s="74" t="s">
        <v>479</v>
      </c>
      <c r="F385" s="75" t="s">
        <v>947</v>
      </c>
      <c r="G385" s="56">
        <v>7247</v>
      </c>
      <c r="H385" s="56"/>
      <c r="I385" s="56"/>
      <c r="J385" s="56"/>
      <c r="K385" s="56"/>
      <c r="L385" s="56"/>
      <c r="M385" s="56"/>
      <c r="N385" s="145">
        <f t="shared" ref="N385:N429" si="25">SUM(G385:L385)-M385</f>
        <v>7247</v>
      </c>
      <c r="O385" s="56"/>
      <c r="P385" s="58">
        <f t="shared" ref="P385:P448" si="26">P384+N385-O385</f>
        <v>7707917.48</v>
      </c>
      <c r="Q385" s="56"/>
    </row>
    <row r="386" ht="20" customHeight="1" spans="2:17">
      <c r="B386" s="42">
        <v>4</v>
      </c>
      <c r="C386" s="42">
        <v>1</v>
      </c>
      <c r="D386" s="74"/>
      <c r="E386" s="74" t="s">
        <v>479</v>
      </c>
      <c r="F386" s="75" t="s">
        <v>948</v>
      </c>
      <c r="G386" s="56"/>
      <c r="H386" s="56">
        <v>200</v>
      </c>
      <c r="I386" s="56">
        <v>505.2</v>
      </c>
      <c r="J386" s="56"/>
      <c r="K386" s="56"/>
      <c r="L386" s="56"/>
      <c r="M386" s="56"/>
      <c r="N386" s="145">
        <f t="shared" si="25"/>
        <v>705.2</v>
      </c>
      <c r="O386" s="56"/>
      <c r="P386" s="58">
        <f t="shared" si="26"/>
        <v>7708622.68</v>
      </c>
      <c r="Q386" s="56"/>
    </row>
    <row r="387" ht="20" customHeight="1" spans="2:17">
      <c r="B387" s="42">
        <v>4</v>
      </c>
      <c r="C387" s="42">
        <v>1</v>
      </c>
      <c r="D387" s="74"/>
      <c r="E387" s="54" t="s">
        <v>653</v>
      </c>
      <c r="F387" s="75" t="s">
        <v>949</v>
      </c>
      <c r="G387" s="56">
        <v>8100</v>
      </c>
      <c r="H387" s="56">
        <v>200</v>
      </c>
      <c r="I387" s="56">
        <v>311.4</v>
      </c>
      <c r="J387" s="56"/>
      <c r="K387" s="56"/>
      <c r="L387" s="56"/>
      <c r="M387" s="56"/>
      <c r="N387" s="145">
        <f t="shared" si="25"/>
        <v>8611.4</v>
      </c>
      <c r="O387" s="56"/>
      <c r="P387" s="58">
        <f t="shared" si="26"/>
        <v>7717234.08</v>
      </c>
      <c r="Q387" s="56"/>
    </row>
    <row r="388" ht="20" customHeight="1" spans="2:17">
      <c r="B388" s="42">
        <v>4</v>
      </c>
      <c r="C388" s="42">
        <v>3</v>
      </c>
      <c r="D388" s="74"/>
      <c r="E388" s="42" t="s">
        <v>644</v>
      </c>
      <c r="F388" s="75" t="s">
        <v>950</v>
      </c>
      <c r="G388" s="56">
        <v>1600</v>
      </c>
      <c r="H388" s="56">
        <v>150</v>
      </c>
      <c r="I388" s="56">
        <v>50.4</v>
      </c>
      <c r="J388" s="56"/>
      <c r="K388" s="56"/>
      <c r="L388" s="56"/>
      <c r="M388" s="56"/>
      <c r="N388" s="145">
        <f t="shared" si="25"/>
        <v>1800.4</v>
      </c>
      <c r="O388" s="56"/>
      <c r="P388" s="58">
        <f t="shared" si="26"/>
        <v>7719034.48</v>
      </c>
      <c r="Q388" s="56"/>
    </row>
    <row r="389" ht="20" customHeight="1" spans="2:17">
      <c r="B389" s="42">
        <v>4</v>
      </c>
      <c r="C389" s="42">
        <v>4</v>
      </c>
      <c r="D389" s="74"/>
      <c r="E389" s="42" t="s">
        <v>497</v>
      </c>
      <c r="F389" s="75" t="s">
        <v>951</v>
      </c>
      <c r="G389" s="56">
        <v>1300</v>
      </c>
      <c r="H389" s="56">
        <v>150</v>
      </c>
      <c r="I389" s="56">
        <v>56.4</v>
      </c>
      <c r="J389" s="56"/>
      <c r="K389" s="56"/>
      <c r="L389" s="56"/>
      <c r="M389" s="56"/>
      <c r="N389" s="145">
        <f t="shared" si="25"/>
        <v>1506.4</v>
      </c>
      <c r="O389" s="56"/>
      <c r="P389" s="58">
        <f t="shared" si="26"/>
        <v>7720540.88</v>
      </c>
      <c r="Q389" s="56"/>
    </row>
    <row r="390" ht="20" customHeight="1" spans="2:17">
      <c r="B390" s="42">
        <v>4</v>
      </c>
      <c r="C390" s="42">
        <v>5</v>
      </c>
      <c r="D390" s="74"/>
      <c r="E390" s="54" t="s">
        <v>508</v>
      </c>
      <c r="F390" s="75" t="s">
        <v>952</v>
      </c>
      <c r="G390" s="56">
        <v>6946</v>
      </c>
      <c r="H390" s="56">
        <v>200</v>
      </c>
      <c r="I390" s="56">
        <v>404</v>
      </c>
      <c r="J390" s="56"/>
      <c r="K390" s="56"/>
      <c r="L390" s="56"/>
      <c r="M390" s="56"/>
      <c r="N390" s="145">
        <f t="shared" si="25"/>
        <v>7550</v>
      </c>
      <c r="O390" s="56"/>
      <c r="P390" s="58">
        <f t="shared" si="26"/>
        <v>7728090.88</v>
      </c>
      <c r="Q390" s="56"/>
    </row>
    <row r="391" ht="20" customHeight="1" spans="2:17">
      <c r="B391" s="42">
        <v>4</v>
      </c>
      <c r="C391" s="42">
        <v>5</v>
      </c>
      <c r="D391" s="74"/>
      <c r="E391" s="42" t="s">
        <v>495</v>
      </c>
      <c r="F391" s="75" t="s">
        <v>953</v>
      </c>
      <c r="G391" s="56">
        <v>6655</v>
      </c>
      <c r="H391" s="56">
        <v>200</v>
      </c>
      <c r="I391" s="56">
        <v>527</v>
      </c>
      <c r="J391" s="56"/>
      <c r="K391" s="56"/>
      <c r="L391" s="56"/>
      <c r="M391" s="56"/>
      <c r="N391" s="145">
        <f t="shared" si="25"/>
        <v>7382</v>
      </c>
      <c r="O391" s="56"/>
      <c r="P391" s="58">
        <f t="shared" si="26"/>
        <v>7735472.88</v>
      </c>
      <c r="Q391" s="56"/>
    </row>
    <row r="392" ht="20" customHeight="1" spans="2:17">
      <c r="B392" s="42">
        <v>4</v>
      </c>
      <c r="C392" s="42">
        <v>5</v>
      </c>
      <c r="D392" s="74"/>
      <c r="E392" s="74" t="s">
        <v>495</v>
      </c>
      <c r="F392" s="75" t="s">
        <v>954</v>
      </c>
      <c r="G392" s="56">
        <v>416</v>
      </c>
      <c r="H392" s="56"/>
      <c r="I392" s="56"/>
      <c r="J392" s="56"/>
      <c r="K392" s="56"/>
      <c r="L392" s="56"/>
      <c r="M392" s="56"/>
      <c r="N392" s="145">
        <f t="shared" si="25"/>
        <v>416</v>
      </c>
      <c r="O392" s="56"/>
      <c r="P392" s="58">
        <f t="shared" si="26"/>
        <v>7735888.88</v>
      </c>
      <c r="Q392" s="56"/>
    </row>
    <row r="393" ht="20" customHeight="1" spans="2:17">
      <c r="B393" s="42">
        <v>4</v>
      </c>
      <c r="C393" s="42">
        <v>6</v>
      </c>
      <c r="D393" s="74"/>
      <c r="E393" s="42" t="s">
        <v>506</v>
      </c>
      <c r="F393" s="75" t="s">
        <v>955</v>
      </c>
      <c r="G393" s="56">
        <v>7274</v>
      </c>
      <c r="H393" s="56">
        <v>200</v>
      </c>
      <c r="I393" s="56">
        <v>314</v>
      </c>
      <c r="J393" s="56"/>
      <c r="K393" s="56"/>
      <c r="L393" s="56"/>
      <c r="M393" s="56"/>
      <c r="N393" s="145">
        <f t="shared" si="25"/>
        <v>7788</v>
      </c>
      <c r="O393" s="56"/>
      <c r="P393" s="58">
        <f t="shared" si="26"/>
        <v>7743676.88</v>
      </c>
      <c r="Q393" s="56"/>
    </row>
    <row r="394" ht="20" customHeight="1" spans="2:17">
      <c r="B394" s="42">
        <v>4</v>
      </c>
      <c r="C394" s="42">
        <v>6</v>
      </c>
      <c r="D394" s="74"/>
      <c r="E394" s="54" t="s">
        <v>623</v>
      </c>
      <c r="F394" s="75" t="s">
        <v>956</v>
      </c>
      <c r="G394" s="56"/>
      <c r="H394" s="56">
        <v>300</v>
      </c>
      <c r="I394" s="56">
        <v>268</v>
      </c>
      <c r="J394" s="56"/>
      <c r="K394" s="56"/>
      <c r="L394" s="56"/>
      <c r="M394" s="56"/>
      <c r="N394" s="145">
        <f t="shared" si="25"/>
        <v>568</v>
      </c>
      <c r="O394" s="56"/>
      <c r="P394" s="58">
        <f t="shared" si="26"/>
        <v>7744244.88</v>
      </c>
      <c r="Q394" s="56"/>
    </row>
    <row r="395" ht="20" customHeight="1" spans="2:17">
      <c r="B395" s="42">
        <v>4</v>
      </c>
      <c r="C395" s="42">
        <v>7</v>
      </c>
      <c r="D395" s="74"/>
      <c r="E395" s="42" t="s">
        <v>757</v>
      </c>
      <c r="F395" s="75" t="s">
        <v>957</v>
      </c>
      <c r="G395" s="56"/>
      <c r="H395" s="56"/>
      <c r="I395" s="56">
        <v>78</v>
      </c>
      <c r="J395" s="56"/>
      <c r="K395" s="56"/>
      <c r="L395" s="56"/>
      <c r="M395" s="56"/>
      <c r="N395" s="145">
        <f t="shared" si="25"/>
        <v>78</v>
      </c>
      <c r="O395" s="56"/>
      <c r="P395" s="58">
        <f t="shared" si="26"/>
        <v>7744322.88</v>
      </c>
      <c r="Q395" s="56"/>
    </row>
    <row r="396" ht="20" customHeight="1" spans="2:17">
      <c r="B396" s="42">
        <v>4</v>
      </c>
      <c r="C396" s="42">
        <v>4</v>
      </c>
      <c r="D396" s="74"/>
      <c r="E396" s="42"/>
      <c r="F396" s="75" t="s">
        <v>958</v>
      </c>
      <c r="G396" s="56"/>
      <c r="H396" s="56"/>
      <c r="I396" s="56"/>
      <c r="J396" s="56"/>
      <c r="K396" s="145">
        <v>5600</v>
      </c>
      <c r="L396" s="56"/>
      <c r="M396" s="56">
        <v>63.89</v>
      </c>
      <c r="N396" s="56">
        <f t="shared" si="25"/>
        <v>5536.11</v>
      </c>
      <c r="O396" s="56"/>
      <c r="P396" s="58">
        <f t="shared" si="26"/>
        <v>7749858.99</v>
      </c>
      <c r="Q396" s="59" t="s">
        <v>959</v>
      </c>
    </row>
    <row r="397" ht="20" customHeight="1" spans="2:17">
      <c r="B397" s="42">
        <v>4</v>
      </c>
      <c r="C397" s="42">
        <v>1</v>
      </c>
      <c r="D397" s="74"/>
      <c r="E397" s="54" t="s">
        <v>640</v>
      </c>
      <c r="F397" s="75" t="s">
        <v>960</v>
      </c>
      <c r="G397" s="56"/>
      <c r="H397" s="56">
        <v>150</v>
      </c>
      <c r="I397" s="56">
        <v>69.6</v>
      </c>
      <c r="J397" s="56"/>
      <c r="K397" s="56"/>
      <c r="L397" s="56"/>
      <c r="M397" s="56"/>
      <c r="N397" s="145">
        <f t="shared" si="25"/>
        <v>219.6</v>
      </c>
      <c r="O397" s="56"/>
      <c r="P397" s="58">
        <f t="shared" si="26"/>
        <v>7750078.59</v>
      </c>
      <c r="Q397" s="59" t="s">
        <v>959</v>
      </c>
    </row>
    <row r="398" ht="20" customHeight="1" spans="2:17">
      <c r="B398" s="42">
        <v>4</v>
      </c>
      <c r="C398" s="42">
        <v>2</v>
      </c>
      <c r="D398" s="74"/>
      <c r="E398" s="74" t="s">
        <v>583</v>
      </c>
      <c r="F398" s="75" t="s">
        <v>961</v>
      </c>
      <c r="G398" s="56">
        <v>6708</v>
      </c>
      <c r="H398" s="56">
        <v>200</v>
      </c>
      <c r="I398" s="56">
        <v>164</v>
      </c>
      <c r="J398" s="56"/>
      <c r="K398" s="56"/>
      <c r="L398" s="56"/>
      <c r="M398" s="56"/>
      <c r="N398" s="145">
        <f t="shared" si="25"/>
        <v>7072</v>
      </c>
      <c r="O398" s="56"/>
      <c r="P398" s="58">
        <f t="shared" si="26"/>
        <v>7757150.59</v>
      </c>
      <c r="Q398" s="59" t="s">
        <v>959</v>
      </c>
    </row>
    <row r="399" ht="20" customHeight="1" spans="2:17">
      <c r="B399" s="42">
        <v>4</v>
      </c>
      <c r="C399" s="42">
        <v>3</v>
      </c>
      <c r="D399" s="74"/>
      <c r="E399" s="74" t="s">
        <v>660</v>
      </c>
      <c r="F399" s="75" t="s">
        <v>962</v>
      </c>
      <c r="G399" s="56">
        <v>2100</v>
      </c>
      <c r="H399" s="56">
        <v>150</v>
      </c>
      <c r="I399" s="56">
        <v>196.5</v>
      </c>
      <c r="J399" s="56"/>
      <c r="K399" s="56"/>
      <c r="L399" s="56"/>
      <c r="M399" s="56"/>
      <c r="N399" s="145">
        <f t="shared" si="25"/>
        <v>2446.5</v>
      </c>
      <c r="O399" s="56"/>
      <c r="P399" s="58">
        <f t="shared" si="26"/>
        <v>7759597.09</v>
      </c>
      <c r="Q399" s="59" t="s">
        <v>959</v>
      </c>
    </row>
    <row r="400" ht="20" customHeight="1" spans="2:17">
      <c r="B400" s="42">
        <v>4</v>
      </c>
      <c r="C400" s="42">
        <v>3</v>
      </c>
      <c r="D400" s="74"/>
      <c r="E400" s="54" t="s">
        <v>660</v>
      </c>
      <c r="F400" s="75" t="s">
        <v>963</v>
      </c>
      <c r="G400" s="56">
        <v>2100</v>
      </c>
      <c r="H400" s="56">
        <v>150</v>
      </c>
      <c r="I400" s="56">
        <v>250.5</v>
      </c>
      <c r="J400" s="56"/>
      <c r="K400" s="56"/>
      <c r="L400" s="56"/>
      <c r="M400" s="56"/>
      <c r="N400" s="145">
        <f t="shared" si="25"/>
        <v>2500.5</v>
      </c>
      <c r="O400" s="56"/>
      <c r="P400" s="58">
        <f t="shared" si="26"/>
        <v>7762097.59</v>
      </c>
      <c r="Q400" s="59" t="s">
        <v>959</v>
      </c>
    </row>
    <row r="401" ht="20" customHeight="1" spans="2:19">
      <c r="B401" s="42">
        <v>4</v>
      </c>
      <c r="C401" s="42">
        <v>3</v>
      </c>
      <c r="D401" s="74"/>
      <c r="E401" s="74" t="s">
        <v>592</v>
      </c>
      <c r="F401" s="75" t="s">
        <v>964</v>
      </c>
      <c r="G401" s="56">
        <v>2700</v>
      </c>
      <c r="H401" s="56">
        <v>200</v>
      </c>
      <c r="I401" s="56">
        <v>151.2</v>
      </c>
      <c r="J401" s="56"/>
      <c r="K401" s="56"/>
      <c r="L401" s="56"/>
      <c r="M401" s="56"/>
      <c r="N401" s="145">
        <f t="shared" si="25"/>
        <v>3051.2</v>
      </c>
      <c r="O401" s="56"/>
      <c r="P401" s="58">
        <f t="shared" si="26"/>
        <v>7765148.79</v>
      </c>
      <c r="Q401" s="59" t="s">
        <v>959</v>
      </c>
    </row>
    <row r="402" ht="20" customHeight="1" spans="2:19">
      <c r="B402" s="42">
        <v>4</v>
      </c>
      <c r="C402" s="42">
        <v>3</v>
      </c>
      <c r="D402" s="74"/>
      <c r="E402" s="74" t="s">
        <v>965</v>
      </c>
      <c r="F402" s="75" t="s">
        <v>966</v>
      </c>
      <c r="G402" s="56"/>
      <c r="H402" s="56"/>
      <c r="I402" s="56"/>
      <c r="J402" s="56">
        <v>12000</v>
      </c>
      <c r="K402" s="56"/>
      <c r="L402" s="56"/>
      <c r="M402" s="56"/>
      <c r="N402" s="145">
        <f t="shared" si="25"/>
        <v>12000</v>
      </c>
      <c r="O402" s="56"/>
      <c r="P402" s="58">
        <f t="shared" si="26"/>
        <v>7777148.79</v>
      </c>
      <c r="Q402" s="59" t="s">
        <v>959</v>
      </c>
    </row>
    <row r="403" ht="20" customHeight="1" spans="2:19">
      <c r="B403" s="42">
        <v>4</v>
      </c>
      <c r="C403" s="42">
        <v>3</v>
      </c>
      <c r="D403" s="74"/>
      <c r="E403" s="54" t="s">
        <v>967</v>
      </c>
      <c r="F403" s="75" t="s">
        <v>968</v>
      </c>
      <c r="G403" s="56"/>
      <c r="H403" s="56"/>
      <c r="I403" s="56"/>
      <c r="J403" s="56">
        <v>14400</v>
      </c>
      <c r="K403" s="56"/>
      <c r="L403" s="56"/>
      <c r="M403" s="56"/>
      <c r="N403" s="145">
        <f t="shared" si="25"/>
        <v>14400</v>
      </c>
      <c r="O403" s="56"/>
      <c r="P403" s="58">
        <f t="shared" si="26"/>
        <v>7791548.79</v>
      </c>
      <c r="Q403" s="59" t="s">
        <v>959</v>
      </c>
    </row>
    <row r="404" ht="20" customHeight="1" spans="2:19">
      <c r="B404" s="42">
        <v>4</v>
      </c>
      <c r="C404" s="42">
        <v>3</v>
      </c>
      <c r="D404" s="74"/>
      <c r="E404" s="74" t="s">
        <v>790</v>
      </c>
      <c r="F404" s="75" t="s">
        <v>969</v>
      </c>
      <c r="G404" s="56"/>
      <c r="H404" s="56">
        <v>150</v>
      </c>
      <c r="I404" s="56">
        <v>58</v>
      </c>
      <c r="J404" s="56"/>
      <c r="K404" s="56"/>
      <c r="L404" s="56"/>
      <c r="M404" s="56"/>
      <c r="N404" s="145">
        <f t="shared" si="25"/>
        <v>208</v>
      </c>
      <c r="O404" s="56"/>
      <c r="P404" s="58">
        <f t="shared" si="26"/>
        <v>7791756.79</v>
      </c>
      <c r="Q404" s="59" t="s">
        <v>959</v>
      </c>
    </row>
    <row r="405" ht="20" customHeight="1" spans="2:19">
      <c r="B405" s="42">
        <v>4</v>
      </c>
      <c r="C405" s="42">
        <v>3</v>
      </c>
      <c r="D405" s="74"/>
      <c r="E405" s="42" t="s">
        <v>524</v>
      </c>
      <c r="F405" s="75" t="s">
        <v>970</v>
      </c>
      <c r="G405" s="56"/>
      <c r="H405" s="56">
        <v>200</v>
      </c>
      <c r="I405" s="56">
        <v>157.2</v>
      </c>
      <c r="J405" s="56"/>
      <c r="K405" s="56"/>
      <c r="L405" s="56"/>
      <c r="M405" s="56"/>
      <c r="N405" s="145">
        <f t="shared" si="25"/>
        <v>357.2</v>
      </c>
      <c r="O405" s="56"/>
      <c r="P405" s="58">
        <f t="shared" si="26"/>
        <v>7792113.99</v>
      </c>
      <c r="Q405" s="59" t="s">
        <v>959</v>
      </c>
    </row>
    <row r="406" ht="20" customHeight="1" spans="2:19">
      <c r="B406" s="42">
        <v>4</v>
      </c>
      <c r="C406" s="42">
        <v>3</v>
      </c>
      <c r="D406" s="74"/>
      <c r="E406" s="54" t="s">
        <v>524</v>
      </c>
      <c r="F406" s="75" t="s">
        <v>971</v>
      </c>
      <c r="G406" s="56"/>
      <c r="H406" s="56"/>
      <c r="I406" s="56">
        <v>168</v>
      </c>
      <c r="J406" s="56"/>
      <c r="K406" s="56"/>
      <c r="L406" s="56"/>
      <c r="M406" s="56"/>
      <c r="N406" s="145">
        <f t="shared" si="25"/>
        <v>168</v>
      </c>
      <c r="O406" s="56"/>
      <c r="P406" s="58">
        <f t="shared" si="26"/>
        <v>7792281.99</v>
      </c>
      <c r="Q406" s="59" t="s">
        <v>959</v>
      </c>
    </row>
    <row r="407" ht="20" customHeight="1" spans="2:19">
      <c r="B407" s="42">
        <v>4</v>
      </c>
      <c r="C407" s="42">
        <v>3</v>
      </c>
      <c r="D407" s="74"/>
      <c r="E407" s="42" t="s">
        <v>524</v>
      </c>
      <c r="F407" s="75" t="s">
        <v>972</v>
      </c>
      <c r="G407" s="56">
        <v>2900</v>
      </c>
      <c r="H407" s="56"/>
      <c r="I407" s="56">
        <v>213.6</v>
      </c>
      <c r="J407" s="56"/>
      <c r="K407" s="56"/>
      <c r="L407" s="56"/>
      <c r="M407" s="56"/>
      <c r="N407" s="145">
        <f t="shared" si="25"/>
        <v>3113.6</v>
      </c>
      <c r="O407" s="56"/>
      <c r="P407" s="58">
        <f t="shared" si="26"/>
        <v>7795395.59</v>
      </c>
      <c r="Q407" s="59" t="s">
        <v>959</v>
      </c>
    </row>
    <row r="408" ht="20" customHeight="1" spans="2:19">
      <c r="B408" s="42">
        <v>4</v>
      </c>
      <c r="C408" s="42">
        <v>3</v>
      </c>
      <c r="D408" s="74"/>
      <c r="E408" s="42" t="s">
        <v>524</v>
      </c>
      <c r="F408" s="75" t="s">
        <v>973</v>
      </c>
      <c r="G408" s="56"/>
      <c r="H408" s="56"/>
      <c r="I408" s="56">
        <v>122.4</v>
      </c>
      <c r="J408" s="56"/>
      <c r="K408" s="56"/>
      <c r="L408" s="56"/>
      <c r="M408" s="56"/>
      <c r="N408" s="145">
        <f t="shared" si="25"/>
        <v>122.4</v>
      </c>
      <c r="O408" s="56"/>
      <c r="P408" s="58">
        <f t="shared" si="26"/>
        <v>7795517.99</v>
      </c>
      <c r="Q408" s="59" t="s">
        <v>959</v>
      </c>
    </row>
    <row r="409" ht="20" customHeight="1" spans="2:19">
      <c r="B409" s="42">
        <v>4</v>
      </c>
      <c r="C409" s="42">
        <v>3</v>
      </c>
      <c r="D409" s="74"/>
      <c r="E409" s="42" t="s">
        <v>524</v>
      </c>
      <c r="F409" s="75" t="s">
        <v>974</v>
      </c>
      <c r="G409" s="56">
        <v>73</v>
      </c>
      <c r="H409" s="56"/>
      <c r="I409" s="56">
        <v>153.6</v>
      </c>
      <c r="J409" s="56"/>
      <c r="K409" s="56"/>
      <c r="L409" s="56"/>
      <c r="M409" s="56"/>
      <c r="N409" s="145">
        <f t="shared" si="25"/>
        <v>226.6</v>
      </c>
      <c r="O409" s="56"/>
      <c r="P409" s="58">
        <f t="shared" si="26"/>
        <v>7795744.59</v>
      </c>
      <c r="Q409" s="59" t="s">
        <v>959</v>
      </c>
    </row>
    <row r="410" ht="20" customHeight="1" spans="2:19">
      <c r="B410" s="42">
        <v>4</v>
      </c>
      <c r="C410" s="42">
        <v>4</v>
      </c>
      <c r="D410" s="74"/>
      <c r="E410" s="74" t="s">
        <v>552</v>
      </c>
      <c r="F410" s="75" t="s">
        <v>975</v>
      </c>
      <c r="G410" s="56">
        <v>7590</v>
      </c>
      <c r="H410" s="56"/>
      <c r="I410" s="56">
        <v>135</v>
      </c>
      <c r="J410" s="56"/>
      <c r="K410" s="56"/>
      <c r="L410" s="56"/>
      <c r="M410" s="56"/>
      <c r="N410" s="145">
        <f t="shared" si="25"/>
        <v>7725</v>
      </c>
      <c r="O410" s="56"/>
      <c r="P410" s="58">
        <f t="shared" si="26"/>
        <v>7803469.59</v>
      </c>
      <c r="Q410" s="59" t="s">
        <v>959</v>
      </c>
    </row>
    <row r="411" ht="20" customHeight="1" spans="2:19">
      <c r="B411" s="42">
        <v>4</v>
      </c>
      <c r="C411" s="42">
        <v>5</v>
      </c>
      <c r="D411" s="74"/>
      <c r="E411" s="42" t="s">
        <v>550</v>
      </c>
      <c r="F411" s="75" t="s">
        <v>976</v>
      </c>
      <c r="G411" s="56"/>
      <c r="H411" s="56">
        <v>150</v>
      </c>
      <c r="I411" s="56">
        <v>74</v>
      </c>
      <c r="J411" s="56"/>
      <c r="K411" s="56"/>
      <c r="L411" s="56"/>
      <c r="M411" s="56"/>
      <c r="N411" s="145">
        <f t="shared" si="25"/>
        <v>224</v>
      </c>
      <c r="O411" s="56"/>
      <c r="P411" s="58">
        <f t="shared" si="26"/>
        <v>7803693.59</v>
      </c>
      <c r="Q411" s="59" t="s">
        <v>959</v>
      </c>
    </row>
    <row r="412" ht="20" customHeight="1" spans="2:19">
      <c r="B412" s="42">
        <v>4</v>
      </c>
      <c r="C412" s="42">
        <v>6</v>
      </c>
      <c r="D412" s="74"/>
      <c r="E412" s="54" t="s">
        <v>548</v>
      </c>
      <c r="F412" s="75" t="s">
        <v>977</v>
      </c>
      <c r="G412" s="56">
        <v>1700</v>
      </c>
      <c r="H412" s="56">
        <v>150</v>
      </c>
      <c r="I412" s="56">
        <v>92</v>
      </c>
      <c r="J412" s="56"/>
      <c r="K412" s="56"/>
      <c r="L412" s="56"/>
      <c r="M412" s="56"/>
      <c r="N412" s="145">
        <f t="shared" si="25"/>
        <v>1942</v>
      </c>
      <c r="O412" s="56"/>
      <c r="P412" s="58">
        <f t="shared" si="26"/>
        <v>7805635.59</v>
      </c>
      <c r="Q412" s="59" t="s">
        <v>959</v>
      </c>
    </row>
    <row r="413" ht="20" customHeight="1" spans="2:19">
      <c r="B413" s="42">
        <v>4</v>
      </c>
      <c r="C413" s="42">
        <v>6</v>
      </c>
      <c r="D413" s="74"/>
      <c r="E413" s="42" t="s">
        <v>568</v>
      </c>
      <c r="F413" s="75" t="s">
        <v>978</v>
      </c>
      <c r="G413" s="56">
        <v>2400</v>
      </c>
      <c r="H413" s="56"/>
      <c r="I413" s="56">
        <v>107</v>
      </c>
      <c r="J413" s="56"/>
      <c r="K413" s="56"/>
      <c r="L413" s="56"/>
      <c r="M413" s="56"/>
      <c r="N413" s="145">
        <f t="shared" si="25"/>
        <v>2507</v>
      </c>
      <c r="O413" s="56"/>
      <c r="P413" s="58">
        <f t="shared" si="26"/>
        <v>7808142.59</v>
      </c>
      <c r="Q413" s="59" t="s">
        <v>959</v>
      </c>
    </row>
    <row r="414" ht="20" customHeight="1" spans="2:19">
      <c r="B414" s="42">
        <v>4</v>
      </c>
      <c r="C414" s="42">
        <v>7</v>
      </c>
      <c r="D414" s="74"/>
      <c r="E414" s="42" t="s">
        <v>701</v>
      </c>
      <c r="F414" s="75" t="s">
        <v>979</v>
      </c>
      <c r="G414" s="56"/>
      <c r="H414" s="56"/>
      <c r="I414" s="56">
        <v>72</v>
      </c>
      <c r="J414" s="56"/>
      <c r="K414" s="56"/>
      <c r="L414" s="56"/>
      <c r="M414" s="56"/>
      <c r="N414" s="145">
        <f t="shared" si="25"/>
        <v>72</v>
      </c>
      <c r="O414" s="56"/>
      <c r="P414" s="58">
        <f t="shared" si="26"/>
        <v>7808214.59</v>
      </c>
      <c r="Q414" s="59" t="s">
        <v>959</v>
      </c>
      <c r="R414" s="3" t="s">
        <v>239</v>
      </c>
      <c r="S414" s="3">
        <f>SUM(N385:N414)+S383</f>
        <v>198658.19</v>
      </c>
    </row>
    <row r="415" ht="20" customHeight="1" spans="2:19">
      <c r="B415" s="42">
        <v>4</v>
      </c>
      <c r="C415" s="42">
        <v>7</v>
      </c>
      <c r="D415" s="74"/>
      <c r="E415" s="54" t="s">
        <v>501</v>
      </c>
      <c r="F415" s="75" t="s">
        <v>980</v>
      </c>
      <c r="G415" s="56">
        <v>1500</v>
      </c>
      <c r="H415" s="56">
        <v>150</v>
      </c>
      <c r="I415" s="56">
        <v>86</v>
      </c>
      <c r="J415" s="56"/>
      <c r="K415" s="56"/>
      <c r="L415" s="56"/>
      <c r="M415" s="56"/>
      <c r="N415" s="145">
        <f t="shared" si="25"/>
        <v>1736</v>
      </c>
      <c r="O415" s="145"/>
      <c r="P415" s="58">
        <f t="shared" si="26"/>
        <v>7809950.59</v>
      </c>
      <c r="Q415" s="56"/>
    </row>
    <row r="416" ht="20" customHeight="1" spans="2:19">
      <c r="B416" s="42">
        <v>4</v>
      </c>
      <c r="C416" s="42">
        <v>7</v>
      </c>
      <c r="D416" s="74"/>
      <c r="E416" s="74" t="s">
        <v>832</v>
      </c>
      <c r="F416" s="75" t="s">
        <v>981</v>
      </c>
      <c r="G416" s="56">
        <v>12600</v>
      </c>
      <c r="H416" s="56"/>
      <c r="I416" s="56"/>
      <c r="J416" s="56"/>
      <c r="K416" s="56"/>
      <c r="L416" s="56"/>
      <c r="M416" s="56"/>
      <c r="N416" s="145">
        <f t="shared" si="25"/>
        <v>12600</v>
      </c>
      <c r="O416" s="56"/>
      <c r="P416" s="58">
        <f t="shared" si="26"/>
        <v>7822550.59</v>
      </c>
      <c r="Q416" s="56"/>
    </row>
    <row r="417" ht="20" customHeight="1" spans="2:19">
      <c r="B417" s="42">
        <v>4</v>
      </c>
      <c r="C417" s="42">
        <v>7</v>
      </c>
      <c r="D417" s="74"/>
      <c r="E417" s="74" t="s">
        <v>832</v>
      </c>
      <c r="F417" s="75" t="s">
        <v>982</v>
      </c>
      <c r="G417" s="56"/>
      <c r="H417" s="56">
        <v>150</v>
      </c>
      <c r="I417" s="56">
        <v>74</v>
      </c>
      <c r="J417" s="56"/>
      <c r="K417" s="56"/>
      <c r="L417" s="56"/>
      <c r="M417" s="56"/>
      <c r="N417" s="145">
        <f t="shared" si="25"/>
        <v>224</v>
      </c>
      <c r="O417" s="56"/>
      <c r="P417" s="58">
        <f t="shared" si="26"/>
        <v>7822774.59</v>
      </c>
      <c r="Q417" s="56"/>
    </row>
    <row r="418" ht="20" customHeight="1" spans="2:19">
      <c r="B418" s="42">
        <v>4</v>
      </c>
      <c r="C418" s="42">
        <v>7</v>
      </c>
      <c r="D418" s="74"/>
      <c r="E418" s="54" t="s">
        <v>579</v>
      </c>
      <c r="F418" s="75" t="s">
        <v>983</v>
      </c>
      <c r="G418" s="56">
        <v>5959</v>
      </c>
      <c r="H418" s="56">
        <v>200</v>
      </c>
      <c r="I418" s="56">
        <v>2157</v>
      </c>
      <c r="J418" s="56"/>
      <c r="K418" s="56"/>
      <c r="L418" s="56"/>
      <c r="M418" s="56"/>
      <c r="N418" s="145">
        <f t="shared" si="25"/>
        <v>8316</v>
      </c>
      <c r="O418" s="56"/>
      <c r="P418" s="58">
        <f t="shared" si="26"/>
        <v>7831090.59</v>
      </c>
      <c r="Q418" s="56"/>
    </row>
    <row r="419" ht="20" customHeight="1" spans="2:19">
      <c r="B419" s="42">
        <v>4</v>
      </c>
      <c r="C419" s="42">
        <v>8</v>
      </c>
      <c r="D419" s="74"/>
      <c r="E419" s="42" t="s">
        <v>602</v>
      </c>
      <c r="F419" s="75" t="s">
        <v>984</v>
      </c>
      <c r="G419" s="56">
        <v>1350</v>
      </c>
      <c r="H419" s="56"/>
      <c r="I419" s="56">
        <v>80</v>
      </c>
      <c r="J419" s="56"/>
      <c r="K419" s="56"/>
      <c r="L419" s="56"/>
      <c r="M419" s="56"/>
      <c r="N419" s="145">
        <f t="shared" si="25"/>
        <v>1430</v>
      </c>
      <c r="O419" s="56"/>
      <c r="P419" s="58">
        <f t="shared" si="26"/>
        <v>7832520.59</v>
      </c>
      <c r="Q419" s="56"/>
    </row>
    <row r="420" ht="20" customHeight="1" spans="2:19">
      <c r="B420" s="42">
        <v>4</v>
      </c>
      <c r="C420" s="42">
        <v>8</v>
      </c>
      <c r="D420" s="74"/>
      <c r="E420" s="74" t="s">
        <v>572</v>
      </c>
      <c r="F420" s="75" t="s">
        <v>985</v>
      </c>
      <c r="G420" s="56">
        <v>2000</v>
      </c>
      <c r="H420" s="56"/>
      <c r="I420" s="56"/>
      <c r="J420" s="56"/>
      <c r="K420" s="56"/>
      <c r="L420" s="56"/>
      <c r="M420" s="56"/>
      <c r="N420" s="145">
        <f t="shared" si="25"/>
        <v>2000</v>
      </c>
      <c r="O420" s="56"/>
      <c r="P420" s="58">
        <f t="shared" si="26"/>
        <v>7834520.59</v>
      </c>
      <c r="Q420" s="56"/>
    </row>
    <row r="421" ht="20" customHeight="1" spans="2:19">
      <c r="B421" s="42">
        <v>4</v>
      </c>
      <c r="C421" s="42">
        <v>8</v>
      </c>
      <c r="D421" s="74"/>
      <c r="E421" s="54" t="s">
        <v>493</v>
      </c>
      <c r="F421" s="75" t="s">
        <v>986</v>
      </c>
      <c r="G421" s="56">
        <v>7221</v>
      </c>
      <c r="H421" s="56">
        <v>200</v>
      </c>
      <c r="I421" s="56">
        <v>377</v>
      </c>
      <c r="J421" s="56"/>
      <c r="K421" s="56"/>
      <c r="L421" s="56"/>
      <c r="M421" s="56"/>
      <c r="N421" s="145">
        <f t="shared" si="25"/>
        <v>7798</v>
      </c>
      <c r="O421" s="56"/>
      <c r="P421" s="58">
        <f t="shared" si="26"/>
        <v>7842318.59</v>
      </c>
      <c r="Q421" s="56"/>
      <c r="R421" s="3" t="s">
        <v>239</v>
      </c>
      <c r="S421" s="3">
        <f>SUM(N415:N421)+S414</f>
        <v>232762.19</v>
      </c>
    </row>
    <row r="422" ht="20" customHeight="1" spans="2:19">
      <c r="B422" s="42">
        <v>4</v>
      </c>
      <c r="C422" s="42">
        <v>9</v>
      </c>
      <c r="D422" s="74"/>
      <c r="E422" s="54" t="s">
        <v>574</v>
      </c>
      <c r="F422" s="75" t="s">
        <v>987</v>
      </c>
      <c r="G422" s="56">
        <v>7043</v>
      </c>
      <c r="H422" s="56">
        <v>200</v>
      </c>
      <c r="I422" s="56">
        <v>513</v>
      </c>
      <c r="J422" s="56"/>
      <c r="K422" s="56"/>
      <c r="L422" s="56"/>
      <c r="M422" s="56"/>
      <c r="N422" s="145">
        <f t="shared" si="25"/>
        <v>7756</v>
      </c>
      <c r="O422" s="56"/>
      <c r="P422" s="58">
        <f t="shared" si="26"/>
        <v>7850074.59</v>
      </c>
      <c r="Q422" s="56"/>
    </row>
    <row r="423" ht="20" customHeight="1" spans="2:19">
      <c r="B423" s="42">
        <v>4</v>
      </c>
      <c r="C423" s="42">
        <v>9</v>
      </c>
      <c r="D423" s="74"/>
      <c r="E423" s="54" t="s">
        <v>510</v>
      </c>
      <c r="F423" s="75" t="s">
        <v>988</v>
      </c>
      <c r="G423" s="56">
        <v>1700</v>
      </c>
      <c r="H423" s="56">
        <v>150</v>
      </c>
      <c r="I423" s="56">
        <v>176</v>
      </c>
      <c r="J423" s="56"/>
      <c r="K423" s="56"/>
      <c r="L423" s="56"/>
      <c r="M423" s="56"/>
      <c r="N423" s="145">
        <f t="shared" si="25"/>
        <v>2026</v>
      </c>
      <c r="O423" s="56"/>
      <c r="P423" s="58">
        <f t="shared" si="26"/>
        <v>7852100.59</v>
      </c>
      <c r="Q423" s="56"/>
    </row>
    <row r="424" ht="20" customHeight="1" spans="2:19">
      <c r="B424" s="42">
        <v>4</v>
      </c>
      <c r="C424" s="42">
        <v>9</v>
      </c>
      <c r="D424" s="74"/>
      <c r="E424" s="54" t="s">
        <v>562</v>
      </c>
      <c r="F424" s="75" t="s">
        <v>989</v>
      </c>
      <c r="G424" s="56"/>
      <c r="H424" s="56">
        <v>150</v>
      </c>
      <c r="I424" s="56">
        <v>80</v>
      </c>
      <c r="J424" s="56"/>
      <c r="K424" s="56"/>
      <c r="L424" s="56"/>
      <c r="M424" s="56"/>
      <c r="N424" s="145">
        <f t="shared" si="25"/>
        <v>230</v>
      </c>
      <c r="O424" s="56"/>
      <c r="P424" s="58">
        <f t="shared" si="26"/>
        <v>7852330.59</v>
      </c>
      <c r="Q424" s="56"/>
    </row>
    <row r="425" ht="20" customHeight="1" spans="2:19">
      <c r="B425" s="42">
        <v>4</v>
      </c>
      <c r="C425" s="42">
        <v>9</v>
      </c>
      <c r="D425" s="74"/>
      <c r="E425" s="54" t="s">
        <v>518</v>
      </c>
      <c r="F425" s="75" t="s">
        <v>990</v>
      </c>
      <c r="G425" s="56"/>
      <c r="H425" s="56"/>
      <c r="I425" s="56">
        <v>70</v>
      </c>
      <c r="J425" s="56"/>
      <c r="K425" s="56"/>
      <c r="L425" s="56"/>
      <c r="M425" s="56"/>
      <c r="N425" s="145">
        <f t="shared" si="25"/>
        <v>70</v>
      </c>
      <c r="O425" s="56"/>
      <c r="P425" s="58">
        <f t="shared" si="26"/>
        <v>7852400.59</v>
      </c>
      <c r="Q425" s="56"/>
    </row>
    <row r="426" ht="20" customHeight="1" spans="2:19">
      <c r="B426" s="42">
        <v>4</v>
      </c>
      <c r="C426" s="42">
        <v>9</v>
      </c>
      <c r="D426" s="74"/>
      <c r="E426" s="54" t="s">
        <v>873</v>
      </c>
      <c r="F426" s="75" t="s">
        <v>991</v>
      </c>
      <c r="G426" s="56">
        <v>4300</v>
      </c>
      <c r="H426" s="56">
        <v>200</v>
      </c>
      <c r="I426" s="56">
        <v>37</v>
      </c>
      <c r="J426" s="56"/>
      <c r="K426" s="56"/>
      <c r="L426" s="56"/>
      <c r="M426" s="56"/>
      <c r="N426" s="145">
        <f t="shared" si="25"/>
        <v>4537</v>
      </c>
      <c r="O426" s="56"/>
      <c r="P426" s="58">
        <f t="shared" si="26"/>
        <v>7856937.59</v>
      </c>
      <c r="Q426" s="56"/>
    </row>
    <row r="427" ht="20" customHeight="1" spans="2:19">
      <c r="B427" s="42">
        <v>4</v>
      </c>
      <c r="C427" s="42">
        <v>9</v>
      </c>
      <c r="D427" s="74" t="s">
        <v>100</v>
      </c>
      <c r="E427" s="74" t="s">
        <v>486</v>
      </c>
      <c r="F427" s="75" t="s">
        <v>992</v>
      </c>
      <c r="G427" s="56"/>
      <c r="H427" s="56"/>
      <c r="I427" s="56"/>
      <c r="J427" s="56"/>
      <c r="K427" s="56"/>
      <c r="L427" s="56"/>
      <c r="M427" s="56"/>
      <c r="N427" s="56">
        <f t="shared" si="25"/>
        <v>0</v>
      </c>
      <c r="O427" s="145">
        <v>300</v>
      </c>
      <c r="P427" s="58">
        <f t="shared" si="26"/>
        <v>7856637.59</v>
      </c>
      <c r="Q427" s="56"/>
    </row>
    <row r="428" ht="20" customHeight="1" spans="2:19">
      <c r="B428" s="42">
        <v>4</v>
      </c>
      <c r="C428" s="42">
        <v>9</v>
      </c>
      <c r="D428" s="74" t="s">
        <v>124</v>
      </c>
      <c r="E428" s="74" t="s">
        <v>486</v>
      </c>
      <c r="F428" s="75" t="s">
        <v>993</v>
      </c>
      <c r="G428" s="56"/>
      <c r="H428" s="56"/>
      <c r="I428" s="56"/>
      <c r="J428" s="56"/>
      <c r="K428" s="56"/>
      <c r="L428" s="56"/>
      <c r="M428" s="56"/>
      <c r="N428" s="56">
        <f t="shared" si="25"/>
        <v>0</v>
      </c>
      <c r="O428" s="145">
        <v>5192.05</v>
      </c>
      <c r="P428" s="58">
        <f t="shared" si="26"/>
        <v>7851445.54</v>
      </c>
      <c r="Q428" s="56"/>
    </row>
    <row r="429" ht="20" customHeight="1" spans="2:19">
      <c r="B429" s="42">
        <v>4</v>
      </c>
      <c r="C429" s="42">
        <v>9</v>
      </c>
      <c r="D429" s="74" t="s">
        <v>106</v>
      </c>
      <c r="E429" s="54" t="s">
        <v>994</v>
      </c>
      <c r="F429" s="75" t="s">
        <v>995</v>
      </c>
      <c r="G429" s="56"/>
      <c r="H429" s="56"/>
      <c r="I429" s="56"/>
      <c r="J429" s="56"/>
      <c r="K429" s="56"/>
      <c r="L429" s="56"/>
      <c r="M429" s="56"/>
      <c r="N429" s="56">
        <f t="shared" si="25"/>
        <v>0</v>
      </c>
      <c r="O429" s="56">
        <v>18000</v>
      </c>
      <c r="P429" s="58">
        <f t="shared" si="26"/>
        <v>7833445.54</v>
      </c>
      <c r="Q429" s="56"/>
    </row>
    <row r="430" ht="20" customHeight="1" spans="2:19">
      <c r="B430" s="42">
        <v>4</v>
      </c>
      <c r="C430" s="42">
        <v>9</v>
      </c>
      <c r="D430" s="74" t="s">
        <v>69</v>
      </c>
      <c r="E430" s="42" t="s">
        <v>20</v>
      </c>
      <c r="F430" s="75" t="s">
        <v>280</v>
      </c>
      <c r="G430" s="56"/>
      <c r="H430" s="56"/>
      <c r="I430" s="56"/>
      <c r="J430" s="56"/>
      <c r="K430" s="56"/>
      <c r="L430" s="56"/>
      <c r="M430" s="56"/>
      <c r="N430" s="176">
        <v>10000</v>
      </c>
      <c r="O430" s="56">
        <v>10000</v>
      </c>
      <c r="P430" s="58">
        <f t="shared" si="26"/>
        <v>7833445.54</v>
      </c>
      <c r="Q430" s="56"/>
    </row>
    <row r="431" ht="20" customHeight="1" spans="2:19">
      <c r="B431" s="42">
        <v>4</v>
      </c>
      <c r="C431" s="42">
        <v>9</v>
      </c>
      <c r="D431" s="74"/>
      <c r="E431" s="74" t="s">
        <v>604</v>
      </c>
      <c r="F431" s="75" t="s">
        <v>996</v>
      </c>
      <c r="G431" s="56">
        <v>7355</v>
      </c>
      <c r="H431" s="56">
        <v>200</v>
      </c>
      <c r="I431" s="56">
        <v>120</v>
      </c>
      <c r="J431" s="56"/>
      <c r="K431" s="56"/>
      <c r="L431" s="56"/>
      <c r="M431" s="56"/>
      <c r="N431" s="145">
        <f t="shared" ref="N431:N473" si="27">SUM(G431:L431)-M431</f>
        <v>7675</v>
      </c>
      <c r="O431" s="56"/>
      <c r="P431" s="58">
        <f t="shared" si="26"/>
        <v>7841120.54</v>
      </c>
      <c r="Q431" s="56"/>
    </row>
    <row r="432" ht="20" customHeight="1" spans="2:19">
      <c r="B432" s="42">
        <v>4</v>
      </c>
      <c r="C432" s="42">
        <v>10</v>
      </c>
      <c r="D432" s="74"/>
      <c r="E432" s="54" t="s">
        <v>560</v>
      </c>
      <c r="F432" s="75" t="s">
        <v>997</v>
      </c>
      <c r="G432" s="56">
        <v>2400</v>
      </c>
      <c r="H432" s="56">
        <v>150</v>
      </c>
      <c r="I432" s="56">
        <v>62</v>
      </c>
      <c r="J432" s="56"/>
      <c r="K432" s="56"/>
      <c r="L432" s="56"/>
      <c r="M432" s="56"/>
      <c r="N432" s="145">
        <f t="shared" si="27"/>
        <v>2612</v>
      </c>
      <c r="O432" s="56"/>
      <c r="P432" s="58">
        <f t="shared" si="26"/>
        <v>7843732.54</v>
      </c>
      <c r="Q432" s="56"/>
    </row>
    <row r="433" ht="20" customHeight="1" spans="2:17">
      <c r="B433" s="42">
        <v>4</v>
      </c>
      <c r="C433" s="42">
        <v>12</v>
      </c>
      <c r="D433" s="74"/>
      <c r="E433" s="74" t="s">
        <v>514</v>
      </c>
      <c r="F433" s="75" t="s">
        <v>998</v>
      </c>
      <c r="G433" s="56">
        <v>7715</v>
      </c>
      <c r="H433" s="56">
        <v>200</v>
      </c>
      <c r="I433" s="56">
        <v>548</v>
      </c>
      <c r="J433" s="56"/>
      <c r="K433" s="56"/>
      <c r="L433" s="56"/>
      <c r="M433" s="56"/>
      <c r="N433" s="145">
        <f t="shared" si="27"/>
        <v>8463</v>
      </c>
      <c r="O433" s="56"/>
      <c r="P433" s="58">
        <f t="shared" si="26"/>
        <v>7852195.54</v>
      </c>
      <c r="Q433" s="56"/>
    </row>
    <row r="434" ht="20" customHeight="1" spans="2:17">
      <c r="B434" s="42">
        <v>4</v>
      </c>
      <c r="C434" s="42">
        <v>13</v>
      </c>
      <c r="D434" s="74"/>
      <c r="E434" s="74" t="s">
        <v>894</v>
      </c>
      <c r="F434" s="75" t="s">
        <v>999</v>
      </c>
      <c r="G434" s="56">
        <v>2500</v>
      </c>
      <c r="H434" s="56"/>
      <c r="I434" s="56">
        <v>94.8</v>
      </c>
      <c r="J434" s="56"/>
      <c r="K434" s="56"/>
      <c r="L434" s="56"/>
      <c r="M434" s="56"/>
      <c r="N434" s="145">
        <f t="shared" si="27"/>
        <v>2594.8</v>
      </c>
      <c r="O434" s="56"/>
      <c r="P434" s="58">
        <f t="shared" si="26"/>
        <v>7854790.34</v>
      </c>
      <c r="Q434" s="56"/>
    </row>
    <row r="435" ht="20" customHeight="1" spans="2:17">
      <c r="B435" s="42">
        <v>4</v>
      </c>
      <c r="C435" s="42">
        <v>13</v>
      </c>
      <c r="D435" s="74"/>
      <c r="E435" s="54" t="s">
        <v>894</v>
      </c>
      <c r="F435" s="75" t="s">
        <v>1000</v>
      </c>
      <c r="G435" s="56">
        <v>2500</v>
      </c>
      <c r="H435" s="56">
        <v>85</v>
      </c>
      <c r="I435" s="56"/>
      <c r="J435" s="56"/>
      <c r="K435" s="56"/>
      <c r="L435" s="56"/>
      <c r="M435" s="56"/>
      <c r="N435" s="145">
        <f t="shared" si="27"/>
        <v>2585</v>
      </c>
      <c r="O435" s="56"/>
      <c r="P435" s="58">
        <f t="shared" si="26"/>
        <v>7857375.34</v>
      </c>
      <c r="Q435" s="56"/>
    </row>
    <row r="436" ht="20" customHeight="1" spans="2:17">
      <c r="B436" s="42">
        <v>4</v>
      </c>
      <c r="C436" s="42">
        <v>14</v>
      </c>
      <c r="D436" s="74"/>
      <c r="E436" s="42"/>
      <c r="F436" s="75" t="s">
        <v>1001</v>
      </c>
      <c r="G436" s="56"/>
      <c r="H436" s="56"/>
      <c r="I436" s="56"/>
      <c r="J436" s="56"/>
      <c r="K436" s="145">
        <v>6150</v>
      </c>
      <c r="L436" s="56"/>
      <c r="M436" s="56">
        <v>77.21</v>
      </c>
      <c r="N436" s="56">
        <f t="shared" si="27"/>
        <v>6072.79</v>
      </c>
      <c r="O436" s="56"/>
      <c r="P436" s="58">
        <f t="shared" si="26"/>
        <v>7863448.13</v>
      </c>
      <c r="Q436" s="59" t="s">
        <v>669</v>
      </c>
    </row>
    <row r="437" ht="20" customHeight="1" spans="2:17">
      <c r="B437" s="42">
        <v>4</v>
      </c>
      <c r="C437" s="42">
        <v>14</v>
      </c>
      <c r="D437" s="74"/>
      <c r="E437" s="42"/>
      <c r="F437" s="75" t="s">
        <v>1002</v>
      </c>
      <c r="G437" s="56"/>
      <c r="H437" s="56"/>
      <c r="I437" s="56"/>
      <c r="J437" s="56"/>
      <c r="K437" s="145">
        <v>1200</v>
      </c>
      <c r="L437" s="56"/>
      <c r="M437" s="56"/>
      <c r="N437" s="56">
        <f t="shared" si="27"/>
        <v>1200</v>
      </c>
      <c r="O437" s="56"/>
      <c r="P437" s="58">
        <f t="shared" si="26"/>
        <v>7864648.13</v>
      </c>
      <c r="Q437" s="59" t="s">
        <v>669</v>
      </c>
    </row>
    <row r="438" ht="20" customHeight="1" spans="2:17">
      <c r="B438" s="42">
        <v>4</v>
      </c>
      <c r="C438" s="42">
        <v>14</v>
      </c>
      <c r="D438" s="74"/>
      <c r="E438" s="74" t="s">
        <v>597</v>
      </c>
      <c r="F438" s="75" t="s">
        <v>1003</v>
      </c>
      <c r="G438" s="56">
        <v>1500</v>
      </c>
      <c r="H438" s="56">
        <v>150</v>
      </c>
      <c r="I438" s="56">
        <v>76</v>
      </c>
      <c r="J438" s="56"/>
      <c r="K438" s="56"/>
      <c r="L438" s="56"/>
      <c r="M438" s="56"/>
      <c r="N438" s="145">
        <f t="shared" si="27"/>
        <v>1726</v>
      </c>
      <c r="O438" s="56"/>
      <c r="P438" s="58">
        <f t="shared" si="26"/>
        <v>7866374.13</v>
      </c>
      <c r="Q438" s="59" t="s">
        <v>669</v>
      </c>
    </row>
    <row r="439" ht="20" customHeight="1" spans="2:17">
      <c r="B439" s="42">
        <v>4</v>
      </c>
      <c r="C439" s="42">
        <v>14</v>
      </c>
      <c r="D439" s="74"/>
      <c r="E439" s="54" t="s">
        <v>541</v>
      </c>
      <c r="F439" s="75" t="s">
        <v>1004</v>
      </c>
      <c r="G439" s="56"/>
      <c r="H439" s="56">
        <v>150</v>
      </c>
      <c r="I439" s="56">
        <v>173</v>
      </c>
      <c r="J439" s="56"/>
      <c r="K439" s="56"/>
      <c r="L439" s="56"/>
      <c r="M439" s="56"/>
      <c r="N439" s="145">
        <f t="shared" si="27"/>
        <v>323</v>
      </c>
      <c r="O439" s="56"/>
      <c r="P439" s="58">
        <f t="shared" si="26"/>
        <v>7866697.13</v>
      </c>
      <c r="Q439" s="59" t="s">
        <v>669</v>
      </c>
    </row>
    <row r="440" ht="20" customHeight="1" spans="2:17">
      <c r="B440" s="42">
        <v>4</v>
      </c>
      <c r="C440" s="42">
        <v>14</v>
      </c>
      <c r="D440" s="74"/>
      <c r="E440" s="74" t="s">
        <v>537</v>
      </c>
      <c r="F440" s="75" t="s">
        <v>1005</v>
      </c>
      <c r="G440" s="56"/>
      <c r="H440" s="56">
        <v>150</v>
      </c>
      <c r="I440" s="56">
        <v>116</v>
      </c>
      <c r="J440" s="56"/>
      <c r="K440" s="56"/>
      <c r="L440" s="56"/>
      <c r="M440" s="56"/>
      <c r="N440" s="145">
        <f t="shared" si="27"/>
        <v>266</v>
      </c>
      <c r="O440" s="56"/>
      <c r="P440" s="58">
        <f t="shared" si="26"/>
        <v>7866963.13</v>
      </c>
      <c r="Q440" s="59" t="s">
        <v>669</v>
      </c>
    </row>
    <row r="441" ht="20" customHeight="1" spans="2:17">
      <c r="B441" s="42">
        <v>4</v>
      </c>
      <c r="C441" s="42">
        <v>14</v>
      </c>
      <c r="D441" s="74"/>
      <c r="E441" s="74" t="s">
        <v>608</v>
      </c>
      <c r="F441" s="75" t="s">
        <v>1006</v>
      </c>
      <c r="G441" s="56">
        <v>1200</v>
      </c>
      <c r="H441" s="56">
        <v>150</v>
      </c>
      <c r="I441" s="56">
        <v>52</v>
      </c>
      <c r="J441" s="56"/>
      <c r="K441" s="56"/>
      <c r="L441" s="56"/>
      <c r="M441" s="56"/>
      <c r="N441" s="145">
        <f t="shared" si="27"/>
        <v>1402</v>
      </c>
      <c r="O441" s="56"/>
      <c r="P441" s="58">
        <f t="shared" si="26"/>
        <v>7868365.13</v>
      </c>
      <c r="Q441" s="59" t="s">
        <v>669</v>
      </c>
    </row>
    <row r="442" ht="20" customHeight="1" spans="2:17">
      <c r="B442" s="42">
        <v>4</v>
      </c>
      <c r="C442" s="42">
        <v>14</v>
      </c>
      <c r="D442" s="74"/>
      <c r="E442" s="54" t="s">
        <v>566</v>
      </c>
      <c r="F442" s="75" t="s">
        <v>1007</v>
      </c>
      <c r="G442" s="56"/>
      <c r="H442" s="56">
        <v>150</v>
      </c>
      <c r="I442" s="56">
        <v>99</v>
      </c>
      <c r="J442" s="56"/>
      <c r="K442" s="56"/>
      <c r="L442" s="56"/>
      <c r="M442" s="56"/>
      <c r="N442" s="145">
        <f t="shared" si="27"/>
        <v>249</v>
      </c>
      <c r="O442" s="56"/>
      <c r="P442" s="58">
        <f t="shared" si="26"/>
        <v>7868614.13</v>
      </c>
      <c r="Q442" s="59" t="s">
        <v>669</v>
      </c>
    </row>
    <row r="443" ht="20" customHeight="1" spans="2:17">
      <c r="B443" s="42">
        <v>4</v>
      </c>
      <c r="C443" s="42">
        <v>14</v>
      </c>
      <c r="D443" s="74"/>
      <c r="E443" s="74" t="s">
        <v>566</v>
      </c>
      <c r="F443" s="75" t="s">
        <v>1008</v>
      </c>
      <c r="G443" s="56">
        <v>2400</v>
      </c>
      <c r="H443" s="56"/>
      <c r="I443" s="56">
        <v>90</v>
      </c>
      <c r="J443" s="56"/>
      <c r="K443" s="56"/>
      <c r="L443" s="56"/>
      <c r="M443" s="56"/>
      <c r="N443" s="145">
        <f t="shared" si="27"/>
        <v>2490</v>
      </c>
      <c r="O443" s="56"/>
      <c r="P443" s="58">
        <f t="shared" si="26"/>
        <v>7871104.13</v>
      </c>
      <c r="Q443" s="59" t="s">
        <v>669</v>
      </c>
    </row>
    <row r="444" ht="20" customHeight="1" spans="2:17">
      <c r="B444" s="42">
        <v>4</v>
      </c>
      <c r="C444" s="42">
        <v>14</v>
      </c>
      <c r="D444" s="74"/>
      <c r="E444" s="74" t="s">
        <v>531</v>
      </c>
      <c r="F444" s="75" t="s">
        <v>1009</v>
      </c>
      <c r="G444" s="56"/>
      <c r="H444" s="56">
        <v>150</v>
      </c>
      <c r="I444" s="56">
        <v>60</v>
      </c>
      <c r="J444" s="56"/>
      <c r="K444" s="56"/>
      <c r="L444" s="56"/>
      <c r="M444" s="56"/>
      <c r="N444" s="145">
        <f t="shared" si="27"/>
        <v>210</v>
      </c>
      <c r="O444" s="56"/>
      <c r="P444" s="58">
        <f t="shared" si="26"/>
        <v>7871314.13</v>
      </c>
      <c r="Q444" s="59" t="s">
        <v>669</v>
      </c>
    </row>
    <row r="445" ht="20" customHeight="1" spans="2:17">
      <c r="B445" s="42">
        <v>4</v>
      </c>
      <c r="C445" s="42">
        <v>14</v>
      </c>
      <c r="D445" s="74"/>
      <c r="E445" s="54" t="s">
        <v>716</v>
      </c>
      <c r="F445" s="75" t="s">
        <v>1010</v>
      </c>
      <c r="G445" s="56"/>
      <c r="H445" s="56"/>
      <c r="I445" s="56">
        <v>73</v>
      </c>
      <c r="J445" s="56"/>
      <c r="K445" s="56"/>
      <c r="L445" s="56"/>
      <c r="M445" s="56"/>
      <c r="N445" s="145">
        <f t="shared" si="27"/>
        <v>73</v>
      </c>
      <c r="O445" s="56"/>
      <c r="P445" s="58">
        <f t="shared" si="26"/>
        <v>7871387.13</v>
      </c>
      <c r="Q445" s="59" t="s">
        <v>669</v>
      </c>
    </row>
    <row r="446" ht="20" customHeight="1" spans="2:17">
      <c r="B446" s="42">
        <v>4</v>
      </c>
      <c r="C446" s="42">
        <v>14</v>
      </c>
      <c r="D446" s="74"/>
      <c r="E446" s="74" t="s">
        <v>716</v>
      </c>
      <c r="F446" s="75" t="s">
        <v>1011</v>
      </c>
      <c r="G446" s="56"/>
      <c r="H446" s="56">
        <v>150</v>
      </c>
      <c r="I446" s="56">
        <v>232</v>
      </c>
      <c r="J446" s="56"/>
      <c r="K446" s="56"/>
      <c r="L446" s="56"/>
      <c r="M446" s="56"/>
      <c r="N446" s="145">
        <f t="shared" si="27"/>
        <v>382</v>
      </c>
      <c r="O446" s="56"/>
      <c r="P446" s="58">
        <f t="shared" si="26"/>
        <v>7871769.13</v>
      </c>
      <c r="Q446" s="59" t="s">
        <v>669</v>
      </c>
    </row>
    <row r="447" ht="20" customHeight="1" spans="2:17">
      <c r="B447" s="42">
        <v>4</v>
      </c>
      <c r="C447" s="42">
        <v>14</v>
      </c>
      <c r="D447" s="74"/>
      <c r="E447" s="74" t="s">
        <v>522</v>
      </c>
      <c r="F447" s="75" t="s">
        <v>1012</v>
      </c>
      <c r="G447" s="56">
        <v>1500</v>
      </c>
      <c r="H447" s="56">
        <v>150</v>
      </c>
      <c r="I447" s="56">
        <v>47</v>
      </c>
      <c r="J447" s="56"/>
      <c r="K447" s="56"/>
      <c r="L447" s="56"/>
      <c r="M447" s="56"/>
      <c r="N447" s="145">
        <f t="shared" si="27"/>
        <v>1697</v>
      </c>
      <c r="O447" s="56"/>
      <c r="P447" s="58">
        <f t="shared" si="26"/>
        <v>7873466.13</v>
      </c>
      <c r="Q447" s="59" t="s">
        <v>669</v>
      </c>
    </row>
    <row r="448" ht="20" customHeight="1" spans="2:17">
      <c r="B448" s="42">
        <v>4</v>
      </c>
      <c r="C448" s="42">
        <v>14</v>
      </c>
      <c r="D448" s="74"/>
      <c r="E448" s="54" t="s">
        <v>533</v>
      </c>
      <c r="F448" s="75" t="s">
        <v>1013</v>
      </c>
      <c r="G448" s="56"/>
      <c r="H448" s="56">
        <v>150</v>
      </c>
      <c r="I448" s="56">
        <v>49</v>
      </c>
      <c r="J448" s="56"/>
      <c r="K448" s="56"/>
      <c r="L448" s="56"/>
      <c r="M448" s="56"/>
      <c r="N448" s="145">
        <f t="shared" si="27"/>
        <v>199</v>
      </c>
      <c r="O448" s="56"/>
      <c r="P448" s="58">
        <f t="shared" si="26"/>
        <v>7873665.13</v>
      </c>
      <c r="Q448" s="59" t="s">
        <v>669</v>
      </c>
    </row>
    <row r="449" ht="20" customHeight="1" spans="2:17">
      <c r="B449" s="42">
        <v>4</v>
      </c>
      <c r="C449" s="42">
        <v>14</v>
      </c>
      <c r="D449" s="74"/>
      <c r="E449" s="74" t="s">
        <v>503</v>
      </c>
      <c r="F449" s="75" t="s">
        <v>1014</v>
      </c>
      <c r="G449" s="56">
        <v>1400</v>
      </c>
      <c r="H449" s="56">
        <v>150</v>
      </c>
      <c r="I449" s="56">
        <v>58</v>
      </c>
      <c r="J449" s="56"/>
      <c r="K449" s="56"/>
      <c r="L449" s="56"/>
      <c r="M449" s="56"/>
      <c r="N449" s="145">
        <f t="shared" si="27"/>
        <v>1608</v>
      </c>
      <c r="O449" s="56"/>
      <c r="P449" s="58">
        <f t="shared" ref="P449:P479" si="28">P448+N449-O449</f>
        <v>7875273.13</v>
      </c>
      <c r="Q449" s="59" t="s">
        <v>669</v>
      </c>
    </row>
    <row r="450" ht="20" customHeight="1" spans="2:17">
      <c r="B450" s="42">
        <v>4</v>
      </c>
      <c r="C450" s="42">
        <v>14</v>
      </c>
      <c r="D450" s="74"/>
      <c r="E450" s="74" t="s">
        <v>539</v>
      </c>
      <c r="F450" s="75" t="s">
        <v>1015</v>
      </c>
      <c r="G450" s="56"/>
      <c r="H450" s="56">
        <v>150</v>
      </c>
      <c r="I450" s="56">
        <v>48</v>
      </c>
      <c r="J450" s="56"/>
      <c r="K450" s="56"/>
      <c r="L450" s="56"/>
      <c r="M450" s="56"/>
      <c r="N450" s="145">
        <f t="shared" si="27"/>
        <v>198</v>
      </c>
      <c r="O450" s="56"/>
      <c r="P450" s="58">
        <f t="shared" si="28"/>
        <v>7875471.13</v>
      </c>
      <c r="Q450" s="59" t="s">
        <v>669</v>
      </c>
    </row>
    <row r="451" ht="20" customHeight="1" spans="2:17">
      <c r="B451" s="42">
        <v>4</v>
      </c>
      <c r="C451" s="42">
        <v>14</v>
      </c>
      <c r="D451" s="74"/>
      <c r="E451" s="54" t="s">
        <v>564</v>
      </c>
      <c r="F451" s="75" t="s">
        <v>1016</v>
      </c>
      <c r="G451" s="56"/>
      <c r="H451" s="56">
        <v>150</v>
      </c>
      <c r="I451" s="56">
        <v>200</v>
      </c>
      <c r="J451" s="56"/>
      <c r="K451" s="56"/>
      <c r="L451" s="56"/>
      <c r="M451" s="56"/>
      <c r="N451" s="145">
        <f t="shared" si="27"/>
        <v>350</v>
      </c>
      <c r="O451" s="56"/>
      <c r="P451" s="58">
        <f t="shared" si="28"/>
        <v>7875821.13</v>
      </c>
      <c r="Q451" s="59" t="s">
        <v>669</v>
      </c>
    </row>
    <row r="452" ht="20" customHeight="1" spans="2:17">
      <c r="B452" s="42">
        <v>4</v>
      </c>
      <c r="C452" s="42">
        <v>14</v>
      </c>
      <c r="D452" s="74"/>
      <c r="E452" s="74" t="s">
        <v>554</v>
      </c>
      <c r="F452" s="75" t="s">
        <v>1017</v>
      </c>
      <c r="G452" s="56"/>
      <c r="H452" s="56">
        <v>150</v>
      </c>
      <c r="I452" s="56">
        <v>136</v>
      </c>
      <c r="J452" s="56"/>
      <c r="K452" s="56"/>
      <c r="L452" s="56"/>
      <c r="M452" s="56"/>
      <c r="N452" s="145">
        <f t="shared" si="27"/>
        <v>286</v>
      </c>
      <c r="O452" s="56"/>
      <c r="P452" s="58">
        <f t="shared" si="28"/>
        <v>7876107.13</v>
      </c>
      <c r="Q452" s="59" t="s">
        <v>669</v>
      </c>
    </row>
    <row r="453" ht="20" customHeight="1" spans="2:17">
      <c r="B453" s="42">
        <v>4</v>
      </c>
      <c r="C453" s="42">
        <v>14</v>
      </c>
      <c r="D453" s="74"/>
      <c r="E453" s="74" t="s">
        <v>673</v>
      </c>
      <c r="F453" s="75" t="s">
        <v>1018</v>
      </c>
      <c r="G453" s="56">
        <v>2650</v>
      </c>
      <c r="H453" s="56">
        <v>150</v>
      </c>
      <c r="I453" s="56">
        <v>204</v>
      </c>
      <c r="J453" s="56"/>
      <c r="K453" s="56"/>
      <c r="L453" s="56"/>
      <c r="M453" s="56"/>
      <c r="N453" s="145">
        <f t="shared" si="27"/>
        <v>3004</v>
      </c>
      <c r="O453" s="56"/>
      <c r="P453" s="58">
        <f t="shared" si="28"/>
        <v>7879111.13</v>
      </c>
      <c r="Q453" s="59" t="s">
        <v>669</v>
      </c>
    </row>
    <row r="454" ht="20" customHeight="1" spans="2:17">
      <c r="B454" s="42">
        <v>4</v>
      </c>
      <c r="C454" s="42">
        <v>14</v>
      </c>
      <c r="D454" s="74"/>
      <c r="E454" s="54" t="s">
        <v>499</v>
      </c>
      <c r="F454" s="75" t="s">
        <v>1019</v>
      </c>
      <c r="G454" s="56"/>
      <c r="H454" s="56"/>
      <c r="I454" s="56">
        <v>58</v>
      </c>
      <c r="J454" s="56"/>
      <c r="K454" s="56"/>
      <c r="L454" s="56"/>
      <c r="M454" s="56"/>
      <c r="N454" s="145">
        <f t="shared" si="27"/>
        <v>58</v>
      </c>
      <c r="O454" s="56"/>
      <c r="P454" s="58">
        <f t="shared" si="28"/>
        <v>7879169.13</v>
      </c>
      <c r="Q454" s="59" t="s">
        <v>669</v>
      </c>
    </row>
    <row r="455" ht="20" customHeight="1" spans="2:17">
      <c r="B455" s="42">
        <v>4</v>
      </c>
      <c r="C455" s="42">
        <v>14</v>
      </c>
      <c r="D455" s="74"/>
      <c r="E455" s="74" t="s">
        <v>673</v>
      </c>
      <c r="F455" s="75" t="s">
        <v>1020</v>
      </c>
      <c r="G455" s="56">
        <v>1000</v>
      </c>
      <c r="H455" s="56"/>
      <c r="I455" s="56"/>
      <c r="J455" s="56"/>
      <c r="K455" s="56"/>
      <c r="L455" s="56"/>
      <c r="M455" s="56"/>
      <c r="N455" s="145">
        <f t="shared" si="27"/>
        <v>1000</v>
      </c>
      <c r="O455" s="56"/>
      <c r="P455" s="58">
        <f t="shared" si="28"/>
        <v>7880169.13</v>
      </c>
      <c r="Q455" s="59" t="s">
        <v>669</v>
      </c>
    </row>
    <row r="456" ht="20" customHeight="1" spans="2:17">
      <c r="B456" s="42">
        <v>4</v>
      </c>
      <c r="C456" s="42">
        <v>14</v>
      </c>
      <c r="D456" s="74"/>
      <c r="E456" s="74" t="s">
        <v>558</v>
      </c>
      <c r="F456" s="75" t="s">
        <v>1021</v>
      </c>
      <c r="G456" s="56">
        <v>1400</v>
      </c>
      <c r="H456" s="56">
        <v>150</v>
      </c>
      <c r="I456" s="56">
        <v>89</v>
      </c>
      <c r="J456" s="56"/>
      <c r="K456" s="56"/>
      <c r="L456" s="56"/>
      <c r="M456" s="56"/>
      <c r="N456" s="145">
        <f t="shared" si="27"/>
        <v>1639</v>
      </c>
      <c r="O456" s="56"/>
      <c r="P456" s="58">
        <f t="shared" si="28"/>
        <v>7881808.13</v>
      </c>
      <c r="Q456" s="59" t="s">
        <v>669</v>
      </c>
    </row>
    <row r="457" ht="20" customHeight="1" spans="2:17">
      <c r="B457" s="42">
        <v>4</v>
      </c>
      <c r="C457" s="42">
        <v>14</v>
      </c>
      <c r="D457" s="74"/>
      <c r="E457" s="54" t="s">
        <v>876</v>
      </c>
      <c r="F457" s="75" t="s">
        <v>1022</v>
      </c>
      <c r="G457" s="56">
        <v>1500</v>
      </c>
      <c r="H457" s="56"/>
      <c r="I457" s="56">
        <v>42</v>
      </c>
      <c r="J457" s="56"/>
      <c r="K457" s="56"/>
      <c r="L457" s="56"/>
      <c r="M457" s="56"/>
      <c r="N457" s="145">
        <f t="shared" si="27"/>
        <v>1542</v>
      </c>
      <c r="O457" s="56"/>
      <c r="P457" s="58">
        <f t="shared" si="28"/>
        <v>7883350.13</v>
      </c>
      <c r="Q457" s="59" t="s">
        <v>669</v>
      </c>
    </row>
    <row r="458" ht="20" customHeight="1" spans="2:17">
      <c r="B458" s="42">
        <v>4</v>
      </c>
      <c r="C458" s="42">
        <v>14</v>
      </c>
      <c r="D458" s="74"/>
      <c r="E458" s="74" t="s">
        <v>599</v>
      </c>
      <c r="F458" s="75" t="s">
        <v>1023</v>
      </c>
      <c r="G458" s="56"/>
      <c r="H458" s="56">
        <v>150</v>
      </c>
      <c r="I458" s="56">
        <v>136</v>
      </c>
      <c r="J458" s="56"/>
      <c r="K458" s="56"/>
      <c r="L458" s="56"/>
      <c r="M458" s="56"/>
      <c r="N458" s="145">
        <f t="shared" si="27"/>
        <v>286</v>
      </c>
      <c r="O458" s="56"/>
      <c r="P458" s="58">
        <f t="shared" si="28"/>
        <v>7883636.13</v>
      </c>
      <c r="Q458" s="59" t="s">
        <v>669</v>
      </c>
    </row>
    <row r="459" ht="20" customHeight="1" spans="2:17">
      <c r="B459" s="42">
        <v>4</v>
      </c>
      <c r="C459" s="42">
        <v>14</v>
      </c>
      <c r="D459" s="74"/>
      <c r="E459" s="74" t="s">
        <v>599</v>
      </c>
      <c r="F459" s="75" t="s">
        <v>1024</v>
      </c>
      <c r="G459" s="56"/>
      <c r="H459" s="56">
        <v>150</v>
      </c>
      <c r="I459" s="56">
        <v>106</v>
      </c>
      <c r="J459" s="56"/>
      <c r="K459" s="56"/>
      <c r="L459" s="56"/>
      <c r="M459" s="56"/>
      <c r="N459" s="145">
        <f t="shared" si="27"/>
        <v>256</v>
      </c>
      <c r="O459" s="56"/>
      <c r="P459" s="58">
        <f t="shared" si="28"/>
        <v>7883892.13</v>
      </c>
      <c r="Q459" s="59" t="s">
        <v>669</v>
      </c>
    </row>
    <row r="460" ht="20" customHeight="1" spans="2:17">
      <c r="B460" s="42">
        <v>4</v>
      </c>
      <c r="C460" s="42">
        <v>14</v>
      </c>
      <c r="D460" s="74"/>
      <c r="E460" s="54" t="s">
        <v>489</v>
      </c>
      <c r="F460" s="75" t="s">
        <v>1025</v>
      </c>
      <c r="G460" s="56"/>
      <c r="H460" s="56">
        <v>150</v>
      </c>
      <c r="I460" s="56">
        <v>86</v>
      </c>
      <c r="J460" s="56"/>
      <c r="K460" s="56"/>
      <c r="L460" s="56"/>
      <c r="M460" s="56"/>
      <c r="N460" s="145">
        <f t="shared" si="27"/>
        <v>236</v>
      </c>
      <c r="O460" s="56"/>
      <c r="P460" s="58">
        <f t="shared" si="28"/>
        <v>7884128.13</v>
      </c>
      <c r="Q460" s="59" t="s">
        <v>669</v>
      </c>
    </row>
    <row r="461" ht="20" customHeight="1" spans="2:17">
      <c r="B461" s="42">
        <v>4</v>
      </c>
      <c r="C461" s="42">
        <v>14</v>
      </c>
      <c r="D461" s="74"/>
      <c r="E461" s="74" t="s">
        <v>646</v>
      </c>
      <c r="F461" s="75" t="s">
        <v>1026</v>
      </c>
      <c r="G461" s="56">
        <v>33000</v>
      </c>
      <c r="H461" s="56"/>
      <c r="I461" s="56"/>
      <c r="J461" s="56"/>
      <c r="K461" s="56"/>
      <c r="L461" s="56"/>
      <c r="M461" s="56"/>
      <c r="N461" s="145">
        <f t="shared" si="27"/>
        <v>33000</v>
      </c>
      <c r="O461" s="56"/>
      <c r="P461" s="58">
        <f t="shared" si="28"/>
        <v>7917128.13</v>
      </c>
      <c r="Q461" s="59" t="s">
        <v>669</v>
      </c>
    </row>
    <row r="462" ht="20" customHeight="1" spans="2:17">
      <c r="B462" s="42">
        <v>4</v>
      </c>
      <c r="C462" s="42">
        <v>14</v>
      </c>
      <c r="D462" s="74"/>
      <c r="E462" s="74" t="s">
        <v>646</v>
      </c>
      <c r="F462" s="75" t="s">
        <v>1027</v>
      </c>
      <c r="G462" s="56"/>
      <c r="H462" s="56"/>
      <c r="I462" s="56">
        <v>360</v>
      </c>
      <c r="J462" s="56"/>
      <c r="K462" s="56"/>
      <c r="L462" s="56"/>
      <c r="M462" s="56"/>
      <c r="N462" s="145">
        <f t="shared" si="27"/>
        <v>360</v>
      </c>
      <c r="O462" s="56"/>
      <c r="P462" s="58">
        <f t="shared" si="28"/>
        <v>7917488.13</v>
      </c>
      <c r="Q462" s="59" t="s">
        <v>669</v>
      </c>
    </row>
    <row r="463" ht="20" customHeight="1" spans="2:17">
      <c r="B463" s="42">
        <v>4</v>
      </c>
      <c r="C463" s="42">
        <v>14</v>
      </c>
      <c r="D463" s="74"/>
      <c r="E463" s="74" t="s">
        <v>646</v>
      </c>
      <c r="F463" s="75" t="s">
        <v>1028</v>
      </c>
      <c r="G463" s="56"/>
      <c r="H463" s="56"/>
      <c r="I463" s="56">
        <v>397</v>
      </c>
      <c r="J463" s="56"/>
      <c r="K463" s="56"/>
      <c r="L463" s="56"/>
      <c r="M463" s="56"/>
      <c r="N463" s="145">
        <f t="shared" si="27"/>
        <v>397</v>
      </c>
      <c r="O463" s="56"/>
      <c r="P463" s="58">
        <f t="shared" si="28"/>
        <v>7917885.13</v>
      </c>
      <c r="Q463" s="59" t="s">
        <v>669</v>
      </c>
    </row>
    <row r="464" ht="20" customHeight="1" spans="2:17">
      <c r="B464" s="42">
        <v>4</v>
      </c>
      <c r="C464" s="42">
        <v>14</v>
      </c>
      <c r="D464" s="74"/>
      <c r="E464" s="54" t="s">
        <v>626</v>
      </c>
      <c r="F464" s="75" t="s">
        <v>1029</v>
      </c>
      <c r="G464" s="56"/>
      <c r="H464" s="56">
        <v>150</v>
      </c>
      <c r="I464" s="56">
        <v>209</v>
      </c>
      <c r="J464" s="56"/>
      <c r="K464" s="56"/>
      <c r="L464" s="56"/>
      <c r="M464" s="56"/>
      <c r="N464" s="145">
        <f t="shared" si="27"/>
        <v>359</v>
      </c>
      <c r="O464" s="56"/>
      <c r="P464" s="58">
        <f t="shared" si="28"/>
        <v>7918244.13</v>
      </c>
      <c r="Q464" s="59" t="s">
        <v>669</v>
      </c>
    </row>
    <row r="465" ht="20" customHeight="1" spans="2:19">
      <c r="B465" s="42">
        <v>4</v>
      </c>
      <c r="C465" s="42">
        <v>14</v>
      </c>
      <c r="D465" s="74"/>
      <c r="E465" s="74" t="s">
        <v>545</v>
      </c>
      <c r="F465" s="75" t="s">
        <v>1030</v>
      </c>
      <c r="G465" s="56">
        <v>1500</v>
      </c>
      <c r="H465" s="56">
        <v>150</v>
      </c>
      <c r="I465" s="56">
        <v>95</v>
      </c>
      <c r="J465" s="56"/>
      <c r="K465" s="56"/>
      <c r="L465" s="56"/>
      <c r="M465" s="56"/>
      <c r="N465" s="145">
        <f t="shared" si="27"/>
        <v>1745</v>
      </c>
      <c r="O465" s="56"/>
      <c r="P465" s="58">
        <f t="shared" si="28"/>
        <v>7919989.13</v>
      </c>
      <c r="Q465" s="59" t="s">
        <v>669</v>
      </c>
    </row>
    <row r="466" ht="20" customHeight="1" spans="2:19">
      <c r="B466" s="42">
        <v>4</v>
      </c>
      <c r="C466" s="42">
        <v>14</v>
      </c>
      <c r="D466" s="74"/>
      <c r="E466" s="74" t="s">
        <v>881</v>
      </c>
      <c r="F466" s="75" t="s">
        <v>1031</v>
      </c>
      <c r="G466" s="56"/>
      <c r="H466" s="56"/>
      <c r="I466" s="56">
        <v>73</v>
      </c>
      <c r="J466" s="56"/>
      <c r="K466" s="56"/>
      <c r="L466" s="56"/>
      <c r="M466" s="56"/>
      <c r="N466" s="145">
        <f t="shared" si="27"/>
        <v>73</v>
      </c>
      <c r="O466" s="56"/>
      <c r="P466" s="58">
        <f t="shared" si="28"/>
        <v>7920062.13</v>
      </c>
      <c r="Q466" s="59" t="s">
        <v>669</v>
      </c>
    </row>
    <row r="467" ht="20" customHeight="1" spans="2:19">
      <c r="B467" s="42">
        <v>4</v>
      </c>
      <c r="C467" s="42">
        <v>14</v>
      </c>
      <c r="D467" s="74"/>
      <c r="E467" s="54" t="s">
        <v>595</v>
      </c>
      <c r="F467" s="75" t="s">
        <v>1032</v>
      </c>
      <c r="G467" s="56"/>
      <c r="H467" s="56">
        <v>150</v>
      </c>
      <c r="I467" s="56">
        <v>50</v>
      </c>
      <c r="J467" s="56"/>
      <c r="K467" s="56"/>
      <c r="L467" s="56"/>
      <c r="M467" s="56"/>
      <c r="N467" s="145">
        <f t="shared" si="27"/>
        <v>200</v>
      </c>
      <c r="O467" s="56"/>
      <c r="P467" s="58">
        <f t="shared" si="28"/>
        <v>7920262.13</v>
      </c>
      <c r="Q467" s="59" t="s">
        <v>669</v>
      </c>
    </row>
    <row r="468" ht="20" customHeight="1" spans="2:19">
      <c r="B468" s="42">
        <v>4</v>
      </c>
      <c r="C468" s="42">
        <v>14</v>
      </c>
      <c r="D468" s="74"/>
      <c r="E468" s="74" t="s">
        <v>613</v>
      </c>
      <c r="F468" s="75" t="s">
        <v>1033</v>
      </c>
      <c r="G468" s="56">
        <v>3675</v>
      </c>
      <c r="H468" s="56"/>
      <c r="I468" s="56">
        <v>256.08</v>
      </c>
      <c r="J468" s="56"/>
      <c r="K468" s="56"/>
      <c r="L468" s="56"/>
      <c r="M468" s="56"/>
      <c r="N468" s="145">
        <f t="shared" si="27"/>
        <v>3931.08</v>
      </c>
      <c r="O468" s="56"/>
      <c r="P468" s="58">
        <f t="shared" si="28"/>
        <v>7924193.21</v>
      </c>
      <c r="Q468" s="59" t="s">
        <v>669</v>
      </c>
    </row>
    <row r="469" ht="20" customHeight="1" spans="2:19">
      <c r="B469" s="42">
        <v>4</v>
      </c>
      <c r="C469" s="42">
        <v>14</v>
      </c>
      <c r="D469" s="74"/>
      <c r="E469" s="74" t="s">
        <v>556</v>
      </c>
      <c r="F469" s="75" t="s">
        <v>1034</v>
      </c>
      <c r="G469" s="56">
        <v>2500</v>
      </c>
      <c r="H469" s="56">
        <v>150</v>
      </c>
      <c r="I469" s="56">
        <v>53</v>
      </c>
      <c r="J469" s="56"/>
      <c r="K469" s="56"/>
      <c r="L469" s="56"/>
      <c r="M469" s="56"/>
      <c r="N469" s="145">
        <f t="shared" si="27"/>
        <v>2703</v>
      </c>
      <c r="O469" s="56"/>
      <c r="P469" s="58">
        <f t="shared" si="28"/>
        <v>7926896.21</v>
      </c>
      <c r="Q469" s="59" t="s">
        <v>669</v>
      </c>
    </row>
    <row r="470" ht="20" customHeight="1" spans="2:19">
      <c r="B470" s="42">
        <v>4</v>
      </c>
      <c r="C470" s="42">
        <v>14</v>
      </c>
      <c r="D470" s="74"/>
      <c r="E470" s="54" t="s">
        <v>535</v>
      </c>
      <c r="F470" s="75" t="s">
        <v>1035</v>
      </c>
      <c r="G470" s="56">
        <v>1400</v>
      </c>
      <c r="H470" s="56">
        <v>150</v>
      </c>
      <c r="I470" s="56">
        <v>178</v>
      </c>
      <c r="J470" s="56"/>
      <c r="K470" s="56"/>
      <c r="L470" s="56"/>
      <c r="M470" s="56"/>
      <c r="N470" s="145">
        <f t="shared" si="27"/>
        <v>1728</v>
      </c>
      <c r="O470" s="56"/>
      <c r="P470" s="58">
        <f t="shared" si="28"/>
        <v>7928624.21</v>
      </c>
      <c r="Q470" s="59" t="s">
        <v>669</v>
      </c>
    </row>
    <row r="471" ht="20" customHeight="1" spans="2:19">
      <c r="B471" s="42">
        <v>4</v>
      </c>
      <c r="C471" s="42">
        <v>14</v>
      </c>
      <c r="D471" s="74"/>
      <c r="E471" s="42" t="s">
        <v>570</v>
      </c>
      <c r="F471" s="75" t="s">
        <v>1036</v>
      </c>
      <c r="G471" s="56">
        <v>1500</v>
      </c>
      <c r="H471" s="56">
        <v>150</v>
      </c>
      <c r="I471" s="56">
        <v>91</v>
      </c>
      <c r="J471" s="56"/>
      <c r="K471" s="56"/>
      <c r="L471" s="56"/>
      <c r="M471" s="56"/>
      <c r="N471" s="145">
        <f t="shared" si="27"/>
        <v>1741</v>
      </c>
      <c r="O471" s="56"/>
      <c r="P471" s="58">
        <f t="shared" si="28"/>
        <v>7930365.21</v>
      </c>
      <c r="Q471" s="59" t="s">
        <v>669</v>
      </c>
    </row>
    <row r="472" ht="20" customHeight="1" spans="2:19">
      <c r="B472" s="42">
        <v>4</v>
      </c>
      <c r="C472" s="42">
        <v>14</v>
      </c>
      <c r="D472" s="74"/>
      <c r="E472" s="74" t="s">
        <v>716</v>
      </c>
      <c r="F472" s="75" t="s">
        <v>1037</v>
      </c>
      <c r="G472" s="56"/>
      <c r="H472" s="56">
        <v>150</v>
      </c>
      <c r="I472" s="56">
        <v>67</v>
      </c>
      <c r="J472" s="56"/>
      <c r="K472" s="56"/>
      <c r="L472" s="56"/>
      <c r="M472" s="56"/>
      <c r="N472" s="145">
        <f t="shared" si="27"/>
        <v>217</v>
      </c>
      <c r="O472" s="56"/>
      <c r="P472" s="58">
        <f t="shared" si="28"/>
        <v>7930582.21</v>
      </c>
      <c r="Q472" s="59" t="s">
        <v>669</v>
      </c>
    </row>
    <row r="473" ht="20" customHeight="1" spans="2:19">
      <c r="B473" s="42">
        <v>4</v>
      </c>
      <c r="C473" s="42">
        <v>14</v>
      </c>
      <c r="D473" s="74"/>
      <c r="E473" s="54" t="s">
        <v>746</v>
      </c>
      <c r="F473" s="75" t="s">
        <v>753</v>
      </c>
      <c r="G473" s="56">
        <v>4000</v>
      </c>
      <c r="H473" s="56"/>
      <c r="I473" s="56"/>
      <c r="J473" s="56"/>
      <c r="K473" s="56"/>
      <c r="L473" s="56"/>
      <c r="M473" s="56"/>
      <c r="N473" s="145">
        <f t="shared" si="27"/>
        <v>4000</v>
      </c>
      <c r="O473" s="56"/>
      <c r="P473" s="58">
        <f t="shared" si="28"/>
        <v>7934582.21</v>
      </c>
      <c r="Q473" s="59" t="s">
        <v>669</v>
      </c>
    </row>
    <row r="474" ht="20" customHeight="1" spans="2:19">
      <c r="B474" s="42">
        <v>4</v>
      </c>
      <c r="C474" s="42">
        <v>15</v>
      </c>
      <c r="D474" s="74" t="s">
        <v>69</v>
      </c>
      <c r="E474" s="42" t="s">
        <v>20</v>
      </c>
      <c r="F474" s="75" t="s">
        <v>280</v>
      </c>
      <c r="G474" s="56"/>
      <c r="H474" s="56"/>
      <c r="I474" s="56"/>
      <c r="J474" s="56"/>
      <c r="K474" s="56"/>
      <c r="L474" s="56"/>
      <c r="M474" s="56"/>
      <c r="N474" s="176">
        <v>85000</v>
      </c>
      <c r="O474" s="56">
        <v>85000</v>
      </c>
      <c r="P474" s="58">
        <f t="shared" si="28"/>
        <v>7934582.21</v>
      </c>
      <c r="Q474" s="56"/>
    </row>
    <row r="475" ht="20" customHeight="1" spans="2:19">
      <c r="B475" s="42">
        <v>4</v>
      </c>
      <c r="C475" s="42">
        <v>15</v>
      </c>
      <c r="D475" s="74" t="s">
        <v>92</v>
      </c>
      <c r="E475" s="74" t="s">
        <v>271</v>
      </c>
      <c r="F475" s="75" t="s">
        <v>1038</v>
      </c>
      <c r="G475" s="56"/>
      <c r="H475" s="56"/>
      <c r="I475" s="56"/>
      <c r="J475" s="56"/>
      <c r="K475" s="56"/>
      <c r="L475" s="56"/>
      <c r="M475" s="56"/>
      <c r="N475" s="56">
        <f>SUM(G475:L475)-M475</f>
        <v>0</v>
      </c>
      <c r="O475" s="56">
        <v>31745.83</v>
      </c>
      <c r="P475" s="58">
        <f t="shared" si="28"/>
        <v>7902836.38</v>
      </c>
      <c r="Q475" s="56"/>
    </row>
    <row r="476" ht="20" customHeight="1" spans="2:19">
      <c r="B476" s="42">
        <v>4</v>
      </c>
      <c r="C476" s="42">
        <v>15</v>
      </c>
      <c r="D476" s="74" t="s">
        <v>123</v>
      </c>
      <c r="E476" s="74" t="s">
        <v>1039</v>
      </c>
      <c r="F476" s="75" t="s">
        <v>1040</v>
      </c>
      <c r="G476" s="56"/>
      <c r="H476" s="56"/>
      <c r="I476" s="56"/>
      <c r="J476" s="56"/>
      <c r="K476" s="56"/>
      <c r="L476" s="56"/>
      <c r="M476" s="56"/>
      <c r="N476" s="56">
        <f>SUM(G476:L476)-M476</f>
        <v>0</v>
      </c>
      <c r="O476" s="56">
        <v>16000</v>
      </c>
      <c r="P476" s="58">
        <f t="shared" si="28"/>
        <v>7886836.38</v>
      </c>
      <c r="Q476" s="56"/>
    </row>
    <row r="477" ht="20" customHeight="1" spans="2:19">
      <c r="B477" s="42">
        <v>4</v>
      </c>
      <c r="C477" s="42">
        <v>15</v>
      </c>
      <c r="D477" s="74" t="s">
        <v>129</v>
      </c>
      <c r="E477" s="74" t="s">
        <v>486</v>
      </c>
      <c r="F477" s="75" t="s">
        <v>1041</v>
      </c>
      <c r="G477" s="56"/>
      <c r="H477" s="56"/>
      <c r="I477" s="56"/>
      <c r="J477" s="56"/>
      <c r="K477" s="56"/>
      <c r="L477" s="56"/>
      <c r="M477" s="56"/>
      <c r="N477" s="56">
        <f>SUM(G477:L477)-M477</f>
        <v>0</v>
      </c>
      <c r="O477" s="56">
        <v>183.38</v>
      </c>
      <c r="P477" s="58">
        <f t="shared" si="28"/>
        <v>7886653</v>
      </c>
      <c r="Q477" s="56"/>
    </row>
    <row r="478" ht="20" customHeight="1" spans="2:19">
      <c r="B478" s="42">
        <v>4</v>
      </c>
      <c r="C478" s="42">
        <v>15</v>
      </c>
      <c r="D478" s="74" t="s">
        <v>104</v>
      </c>
      <c r="E478" s="74" t="s">
        <v>486</v>
      </c>
      <c r="F478" s="75" t="s">
        <v>1042</v>
      </c>
      <c r="G478" s="56"/>
      <c r="H478" s="56"/>
      <c r="I478" s="56"/>
      <c r="J478" s="56"/>
      <c r="K478" s="56"/>
      <c r="L478" s="56"/>
      <c r="M478" s="56"/>
      <c r="N478" s="56"/>
      <c r="O478" s="56">
        <v>1300</v>
      </c>
      <c r="P478" s="58">
        <f t="shared" si="28"/>
        <v>7885353</v>
      </c>
      <c r="Q478" s="56"/>
    </row>
    <row r="479" ht="20" customHeight="1" spans="2:19">
      <c r="B479" s="42">
        <v>4</v>
      </c>
      <c r="C479" s="42">
        <v>15</v>
      </c>
      <c r="D479" s="74" t="s">
        <v>100</v>
      </c>
      <c r="E479" s="74" t="s">
        <v>486</v>
      </c>
      <c r="F479" s="75" t="s">
        <v>1043</v>
      </c>
      <c r="G479" s="56"/>
      <c r="H479" s="56"/>
      <c r="I479" s="56"/>
      <c r="J479" s="56"/>
      <c r="K479" s="56"/>
      <c r="L479" s="56"/>
      <c r="M479" s="56"/>
      <c r="N479" s="56"/>
      <c r="O479" s="56">
        <v>38.02</v>
      </c>
      <c r="P479" s="58">
        <f t="shared" si="28"/>
        <v>7885314.98</v>
      </c>
      <c r="Q479" s="56"/>
    </row>
    <row r="480" ht="20" customHeight="1" spans="2:19">
      <c r="B480" s="42">
        <v>4</v>
      </c>
      <c r="C480" s="42">
        <v>15</v>
      </c>
      <c r="D480" s="74" t="s">
        <v>124</v>
      </c>
      <c r="E480" s="74" t="s">
        <v>486</v>
      </c>
      <c r="F480" s="75" t="s">
        <v>1044</v>
      </c>
      <c r="G480" s="56"/>
      <c r="H480" s="56"/>
      <c r="I480" s="56"/>
      <c r="J480" s="56"/>
      <c r="K480" s="56"/>
      <c r="L480" s="56"/>
      <c r="M480" s="56"/>
      <c r="N480" s="56">
        <f>SUM(G480:L480)-M480</f>
        <v>0</v>
      </c>
      <c r="O480" s="56">
        <v>2464.04</v>
      </c>
      <c r="P480" s="58">
        <f>P477+N480-O480</f>
        <v>7884188.96</v>
      </c>
      <c r="Q480" s="56"/>
      <c r="R480" s="3" t="s">
        <v>239</v>
      </c>
      <c r="S480" s="3">
        <f>SUM(N422:N429)+SUM(N431:N473)-SUM(O422:O480)+S421</f>
        <v>178294.54</v>
      </c>
    </row>
    <row r="481" ht="20" customHeight="1" spans="2:17">
      <c r="B481" s="42">
        <v>4</v>
      </c>
      <c r="C481" s="42">
        <v>17</v>
      </c>
      <c r="D481" s="74" t="s">
        <v>87</v>
      </c>
      <c r="E481" s="54" t="s">
        <v>251</v>
      </c>
      <c r="F481" s="75" t="s">
        <v>1045</v>
      </c>
      <c r="G481" s="56"/>
      <c r="H481" s="56"/>
      <c r="I481" s="56"/>
      <c r="J481" s="56"/>
      <c r="K481" s="56"/>
      <c r="L481" s="56"/>
      <c r="M481" s="56"/>
      <c r="N481" s="56">
        <v>112000</v>
      </c>
      <c r="O481" s="56"/>
      <c r="P481" s="58">
        <f t="shared" ref="P481:P539" si="29">P480+N481-O481</f>
        <v>7996188.96</v>
      </c>
      <c r="Q481" s="56"/>
    </row>
    <row r="482" ht="20" customHeight="1" spans="2:17">
      <c r="B482" s="42">
        <v>4</v>
      </c>
      <c r="C482" s="42">
        <v>17</v>
      </c>
      <c r="D482" s="74" t="s">
        <v>106</v>
      </c>
      <c r="E482" s="54" t="s">
        <v>599</v>
      </c>
      <c r="F482" s="75" t="s">
        <v>1046</v>
      </c>
      <c r="G482" s="56"/>
      <c r="H482" s="56"/>
      <c r="I482" s="56"/>
      <c r="J482" s="56"/>
      <c r="K482" s="56"/>
      <c r="L482" s="56"/>
      <c r="M482" s="56"/>
      <c r="N482" s="56"/>
      <c r="O482" s="56">
        <v>14400</v>
      </c>
      <c r="P482" s="58">
        <f t="shared" si="29"/>
        <v>7981788.96</v>
      </c>
      <c r="Q482" s="56"/>
    </row>
    <row r="483" ht="20" customHeight="1" spans="2:17">
      <c r="B483" s="42">
        <v>4</v>
      </c>
      <c r="C483" s="42">
        <v>17</v>
      </c>
      <c r="D483" s="74" t="s">
        <v>121</v>
      </c>
      <c r="E483" s="42" t="s">
        <v>764</v>
      </c>
      <c r="F483" s="75" t="s">
        <v>1047</v>
      </c>
      <c r="G483" s="56"/>
      <c r="H483" s="56"/>
      <c r="I483" s="56"/>
      <c r="J483" s="56"/>
      <c r="K483" s="56"/>
      <c r="L483" s="56"/>
      <c r="M483" s="56"/>
      <c r="N483" s="56">
        <f t="shared" ref="N483:N539" si="30">SUM(G483:L483)-M483</f>
        <v>0</v>
      </c>
      <c r="O483" s="56">
        <v>130000</v>
      </c>
      <c r="P483" s="58">
        <f t="shared" si="29"/>
        <v>7851788.96</v>
      </c>
      <c r="Q483" s="56"/>
    </row>
    <row r="484" ht="20" customHeight="1" spans="2:17">
      <c r="B484" s="42">
        <v>4</v>
      </c>
      <c r="C484" s="42">
        <v>17</v>
      </c>
      <c r="D484" s="74" t="s">
        <v>129</v>
      </c>
      <c r="E484" s="74" t="s">
        <v>486</v>
      </c>
      <c r="F484" s="75" t="s">
        <v>1048</v>
      </c>
      <c r="G484" s="56"/>
      <c r="H484" s="56"/>
      <c r="I484" s="56"/>
      <c r="J484" s="56"/>
      <c r="K484" s="56"/>
      <c r="L484" s="56"/>
      <c r="M484" s="56"/>
      <c r="N484" s="56">
        <f t="shared" si="30"/>
        <v>0</v>
      </c>
      <c r="O484" s="56">
        <v>105</v>
      </c>
      <c r="P484" s="58">
        <f t="shared" si="29"/>
        <v>7851683.96</v>
      </c>
      <c r="Q484" s="56"/>
    </row>
    <row r="485" ht="20" customHeight="1" spans="2:17">
      <c r="B485" s="42">
        <v>4</v>
      </c>
      <c r="C485" s="42">
        <v>17</v>
      </c>
      <c r="D485" s="74" t="s">
        <v>104</v>
      </c>
      <c r="E485" s="74" t="s">
        <v>486</v>
      </c>
      <c r="F485" s="75" t="s">
        <v>1049</v>
      </c>
      <c r="G485" s="56"/>
      <c r="H485" s="56"/>
      <c r="I485" s="56"/>
      <c r="J485" s="56"/>
      <c r="K485" s="56"/>
      <c r="L485" s="56"/>
      <c r="M485" s="56"/>
      <c r="N485" s="56">
        <f t="shared" si="30"/>
        <v>0</v>
      </c>
      <c r="O485" s="56">
        <v>2300</v>
      </c>
      <c r="P485" s="58">
        <f t="shared" si="29"/>
        <v>7849383.96</v>
      </c>
      <c r="Q485" s="56"/>
    </row>
    <row r="486" ht="20" customHeight="1" spans="2:17">
      <c r="B486" s="42">
        <v>4</v>
      </c>
      <c r="C486" s="42">
        <v>17</v>
      </c>
      <c r="D486" s="74"/>
      <c r="E486" s="74" t="s">
        <v>599</v>
      </c>
      <c r="F486" s="75" t="s">
        <v>1050</v>
      </c>
      <c r="G486" s="56">
        <v>2000</v>
      </c>
      <c r="H486" s="56"/>
      <c r="I486" s="56"/>
      <c r="J486" s="56">
        <v>6000</v>
      </c>
      <c r="K486" s="56"/>
      <c r="L486" s="56"/>
      <c r="M486" s="56"/>
      <c r="N486" s="145">
        <f t="shared" si="30"/>
        <v>8000</v>
      </c>
      <c r="O486" s="56"/>
      <c r="P486" s="58">
        <f t="shared" si="29"/>
        <v>7857383.96</v>
      </c>
      <c r="Q486" s="56"/>
    </row>
    <row r="487" ht="20" customHeight="1" spans="2:17">
      <c r="B487" s="42">
        <v>4</v>
      </c>
      <c r="C487" s="42">
        <v>17</v>
      </c>
      <c r="D487" s="74"/>
      <c r="E487" s="74" t="s">
        <v>1051</v>
      </c>
      <c r="F487" s="75" t="s">
        <v>1052</v>
      </c>
      <c r="G487" s="56"/>
      <c r="H487" s="56"/>
      <c r="I487" s="56"/>
      <c r="J487" s="56">
        <v>6000</v>
      </c>
      <c r="K487" s="56"/>
      <c r="L487" s="56"/>
      <c r="M487" s="56"/>
      <c r="N487" s="145">
        <f t="shared" si="30"/>
        <v>6000</v>
      </c>
      <c r="O487" s="56"/>
      <c r="P487" s="58">
        <f t="shared" si="29"/>
        <v>7863383.96</v>
      </c>
      <c r="Q487" s="56"/>
    </row>
    <row r="488" ht="20" customHeight="1" spans="2:17">
      <c r="B488" s="42">
        <v>4</v>
      </c>
      <c r="C488" s="42">
        <v>18</v>
      </c>
      <c r="D488" s="74"/>
      <c r="E488" s="74" t="s">
        <v>581</v>
      </c>
      <c r="F488" s="75" t="s">
        <v>1053</v>
      </c>
      <c r="G488" s="56">
        <v>1200</v>
      </c>
      <c r="H488" s="56"/>
      <c r="I488" s="56"/>
      <c r="J488" s="56"/>
      <c r="K488" s="56"/>
      <c r="L488" s="56"/>
      <c r="M488" s="56"/>
      <c r="N488" s="145">
        <f t="shared" si="30"/>
        <v>1200</v>
      </c>
      <c r="O488" s="56"/>
      <c r="P488" s="58">
        <f t="shared" si="29"/>
        <v>7864583.96</v>
      </c>
      <c r="Q488" s="56"/>
    </row>
    <row r="489" ht="20" customHeight="1" spans="2:17">
      <c r="B489" s="42">
        <v>4</v>
      </c>
      <c r="C489" s="42">
        <v>19</v>
      </c>
      <c r="D489" s="74"/>
      <c r="E489" s="74" t="s">
        <v>657</v>
      </c>
      <c r="F489" s="75" t="s">
        <v>1054</v>
      </c>
      <c r="G489" s="56">
        <v>2000</v>
      </c>
      <c r="H489" s="56">
        <v>150</v>
      </c>
      <c r="I489" s="56">
        <v>229.2</v>
      </c>
      <c r="J489" s="56"/>
      <c r="K489" s="56"/>
      <c r="L489" s="56"/>
      <c r="M489" s="56"/>
      <c r="N489" s="145">
        <f t="shared" si="30"/>
        <v>2379.2</v>
      </c>
      <c r="O489" s="56"/>
      <c r="P489" s="58">
        <f t="shared" si="29"/>
        <v>7866963.16</v>
      </c>
      <c r="Q489" s="56"/>
    </row>
    <row r="490" ht="20" customHeight="1" spans="2:17">
      <c r="B490" s="42">
        <v>4</v>
      </c>
      <c r="C490" s="42">
        <v>19</v>
      </c>
      <c r="D490" s="74"/>
      <c r="E490" s="42" t="s">
        <v>657</v>
      </c>
      <c r="F490" s="75" t="s">
        <v>1055</v>
      </c>
      <c r="G490" s="56">
        <v>2000</v>
      </c>
      <c r="H490" s="56">
        <v>150</v>
      </c>
      <c r="I490" s="56">
        <v>180</v>
      </c>
      <c r="J490" s="56"/>
      <c r="K490" s="56"/>
      <c r="L490" s="56"/>
      <c r="M490" s="56"/>
      <c r="N490" s="145">
        <f t="shared" si="30"/>
        <v>2330</v>
      </c>
      <c r="O490" s="56"/>
      <c r="P490" s="58">
        <f t="shared" si="29"/>
        <v>7869293.16</v>
      </c>
      <c r="Q490" s="56"/>
    </row>
    <row r="491" ht="20" customHeight="1" spans="2:17">
      <c r="B491" s="42">
        <v>4</v>
      </c>
      <c r="C491" s="42">
        <v>21</v>
      </c>
      <c r="D491" s="74"/>
      <c r="E491" s="54"/>
      <c r="F491" s="75" t="s">
        <v>1056</v>
      </c>
      <c r="G491" s="56"/>
      <c r="H491" s="56"/>
      <c r="I491" s="56"/>
      <c r="J491" s="56"/>
      <c r="K491" s="145">
        <v>3865</v>
      </c>
      <c r="L491" s="56"/>
      <c r="M491" s="56">
        <v>47.73</v>
      </c>
      <c r="N491" s="56">
        <f t="shared" si="30"/>
        <v>3817.27</v>
      </c>
      <c r="O491" s="56"/>
      <c r="P491" s="58">
        <f t="shared" si="29"/>
        <v>7873110.43</v>
      </c>
      <c r="Q491" s="59" t="s">
        <v>669</v>
      </c>
    </row>
    <row r="492" ht="20" customHeight="1" spans="2:17">
      <c r="B492" s="42">
        <v>4</v>
      </c>
      <c r="C492" s="42">
        <v>21</v>
      </c>
      <c r="D492" s="74"/>
      <c r="E492" s="74" t="s">
        <v>615</v>
      </c>
      <c r="F492" s="75" t="s">
        <v>1057</v>
      </c>
      <c r="G492" s="56"/>
      <c r="H492" s="56">
        <v>150</v>
      </c>
      <c r="I492" s="56">
        <v>34.8</v>
      </c>
      <c r="J492" s="56"/>
      <c r="K492" s="56"/>
      <c r="L492" s="56"/>
      <c r="M492" s="56"/>
      <c r="N492" s="145">
        <f t="shared" si="30"/>
        <v>184.8</v>
      </c>
      <c r="O492" s="56"/>
      <c r="P492" s="58">
        <f t="shared" si="29"/>
        <v>7873295.23</v>
      </c>
      <c r="Q492" s="59" t="s">
        <v>669</v>
      </c>
    </row>
    <row r="493" ht="20" customHeight="1" spans="2:17">
      <c r="B493" s="42">
        <v>4</v>
      </c>
      <c r="C493" s="42">
        <v>21</v>
      </c>
      <c r="D493" s="74"/>
      <c r="E493" s="74" t="s">
        <v>615</v>
      </c>
      <c r="F493" s="75" t="s">
        <v>1058</v>
      </c>
      <c r="G493" s="56"/>
      <c r="H493" s="56">
        <v>150</v>
      </c>
      <c r="I493" s="56">
        <v>34.8</v>
      </c>
      <c r="J493" s="56"/>
      <c r="K493" s="56"/>
      <c r="L493" s="56"/>
      <c r="M493" s="56"/>
      <c r="N493" s="145">
        <f t="shared" si="30"/>
        <v>184.8</v>
      </c>
      <c r="O493" s="56"/>
      <c r="P493" s="58">
        <f t="shared" si="29"/>
        <v>7873480.03</v>
      </c>
      <c r="Q493" s="59" t="s">
        <v>669</v>
      </c>
    </row>
    <row r="494" ht="20" customHeight="1" spans="2:17">
      <c r="B494" s="42">
        <v>4</v>
      </c>
      <c r="C494" s="42">
        <v>21</v>
      </c>
      <c r="D494" s="74"/>
      <c r="E494" s="74" t="s">
        <v>615</v>
      </c>
      <c r="F494" s="75" t="s">
        <v>1059</v>
      </c>
      <c r="G494" s="56"/>
      <c r="H494" s="56">
        <v>150</v>
      </c>
      <c r="I494" s="56">
        <v>31</v>
      </c>
      <c r="J494" s="56"/>
      <c r="K494" s="56"/>
      <c r="L494" s="56"/>
      <c r="M494" s="56"/>
      <c r="N494" s="145">
        <f t="shared" si="30"/>
        <v>181</v>
      </c>
      <c r="O494" s="56"/>
      <c r="P494" s="58">
        <f t="shared" si="29"/>
        <v>7873661.03</v>
      </c>
      <c r="Q494" s="59" t="s">
        <v>669</v>
      </c>
    </row>
    <row r="495" ht="20" customHeight="1" spans="2:17">
      <c r="B495" s="42">
        <v>4</v>
      </c>
      <c r="C495" s="42">
        <v>21</v>
      </c>
      <c r="D495" s="74"/>
      <c r="E495" s="42" t="s">
        <v>914</v>
      </c>
      <c r="F495" s="75" t="s">
        <v>1060</v>
      </c>
      <c r="G495" s="56"/>
      <c r="H495" s="56">
        <v>200</v>
      </c>
      <c r="I495" s="56">
        <v>104</v>
      </c>
      <c r="J495" s="56"/>
      <c r="K495" s="56"/>
      <c r="L495" s="56"/>
      <c r="M495" s="56"/>
      <c r="N495" s="145">
        <f t="shared" si="30"/>
        <v>304</v>
      </c>
      <c r="O495" s="56"/>
      <c r="P495" s="58">
        <f t="shared" si="29"/>
        <v>7873965.03</v>
      </c>
      <c r="Q495" s="59" t="s">
        <v>669</v>
      </c>
    </row>
    <row r="496" ht="20" customHeight="1" spans="2:17">
      <c r="B496" s="42">
        <v>4</v>
      </c>
      <c r="C496" s="42">
        <v>21</v>
      </c>
      <c r="D496" s="74"/>
      <c r="E496" s="42" t="s">
        <v>531</v>
      </c>
      <c r="F496" s="75" t="s">
        <v>1061</v>
      </c>
      <c r="G496" s="56">
        <v>27600</v>
      </c>
      <c r="H496" s="56"/>
      <c r="I496" s="56"/>
      <c r="J496" s="56"/>
      <c r="K496" s="56"/>
      <c r="L496" s="56"/>
      <c r="M496" s="56"/>
      <c r="N496" s="145">
        <f t="shared" si="30"/>
        <v>27600</v>
      </c>
      <c r="O496" s="56"/>
      <c r="P496" s="58">
        <f t="shared" si="29"/>
        <v>7901565.03</v>
      </c>
      <c r="Q496" s="59" t="s">
        <v>669</v>
      </c>
    </row>
    <row r="497" ht="20" customHeight="1" spans="2:19">
      <c r="B497" s="42">
        <v>4</v>
      </c>
      <c r="C497" s="42">
        <v>21</v>
      </c>
      <c r="D497" s="74"/>
      <c r="E497" s="54" t="s">
        <v>484</v>
      </c>
      <c r="F497" s="75" t="s">
        <v>1062</v>
      </c>
      <c r="G497" s="56"/>
      <c r="H497" s="56">
        <v>200</v>
      </c>
      <c r="I497" s="56">
        <v>102</v>
      </c>
      <c r="J497" s="56"/>
      <c r="K497" s="56"/>
      <c r="L497" s="56"/>
      <c r="M497" s="56"/>
      <c r="N497" s="145">
        <f t="shared" si="30"/>
        <v>302</v>
      </c>
      <c r="O497" s="56"/>
      <c r="P497" s="58">
        <f t="shared" si="29"/>
        <v>7901867.03</v>
      </c>
      <c r="Q497" s="59" t="s">
        <v>669</v>
      </c>
    </row>
    <row r="498" ht="20" customHeight="1" spans="2:19">
      <c r="B498" s="42">
        <v>4</v>
      </c>
      <c r="C498" s="42">
        <v>21</v>
      </c>
      <c r="D498" s="74"/>
      <c r="E498" s="74" t="s">
        <v>1051</v>
      </c>
      <c r="F498" s="75" t="s">
        <v>1063</v>
      </c>
      <c r="G498" s="56">
        <v>2000</v>
      </c>
      <c r="H498" s="56"/>
      <c r="I498" s="56"/>
      <c r="J498" s="56"/>
      <c r="K498" s="56"/>
      <c r="L498" s="56"/>
      <c r="M498" s="56"/>
      <c r="N498" s="145">
        <f t="shared" si="30"/>
        <v>2000</v>
      </c>
      <c r="O498" s="56"/>
      <c r="P498" s="58">
        <f t="shared" si="29"/>
        <v>7903867.03</v>
      </c>
      <c r="Q498" s="59" t="s">
        <v>669</v>
      </c>
    </row>
    <row r="499" ht="20" customHeight="1" spans="2:19">
      <c r="B499" s="42">
        <v>4</v>
      </c>
      <c r="C499" s="42">
        <v>21</v>
      </c>
      <c r="D499" s="74"/>
      <c r="E499" s="74" t="s">
        <v>572</v>
      </c>
      <c r="F499" s="75" t="s">
        <v>1064</v>
      </c>
      <c r="G499" s="56">
        <v>200</v>
      </c>
      <c r="H499" s="56">
        <v>150</v>
      </c>
      <c r="I499" s="56">
        <v>597.6</v>
      </c>
      <c r="J499" s="56"/>
      <c r="K499" s="56"/>
      <c r="L499" s="56"/>
      <c r="M499" s="56"/>
      <c r="N499" s="145">
        <f t="shared" si="30"/>
        <v>947.6</v>
      </c>
      <c r="O499" s="56"/>
      <c r="P499" s="58">
        <f t="shared" si="29"/>
        <v>7904814.63</v>
      </c>
      <c r="Q499" s="59" t="s">
        <v>669</v>
      </c>
    </row>
    <row r="500" ht="20" customHeight="1" spans="2:19">
      <c r="B500" s="42">
        <v>4</v>
      </c>
      <c r="C500" s="42">
        <v>21</v>
      </c>
      <c r="D500" s="74"/>
      <c r="E500" s="54" t="s">
        <v>529</v>
      </c>
      <c r="F500" s="75" t="s">
        <v>1065</v>
      </c>
      <c r="G500" s="56">
        <v>3300</v>
      </c>
      <c r="H500" s="56">
        <v>150</v>
      </c>
      <c r="I500" s="56">
        <v>175</v>
      </c>
      <c r="J500" s="56"/>
      <c r="K500" s="56"/>
      <c r="L500" s="56"/>
      <c r="M500" s="56"/>
      <c r="N500" s="145">
        <f t="shared" si="30"/>
        <v>3625</v>
      </c>
      <c r="O500" s="56"/>
      <c r="P500" s="58">
        <f t="shared" si="29"/>
        <v>7908439.63</v>
      </c>
      <c r="Q500" s="59" t="s">
        <v>669</v>
      </c>
    </row>
    <row r="501" ht="20" customHeight="1" spans="2:19">
      <c r="B501" s="42">
        <v>4</v>
      </c>
      <c r="C501" s="42">
        <v>21</v>
      </c>
      <c r="D501" s="74"/>
      <c r="E501" s="74" t="s">
        <v>618</v>
      </c>
      <c r="F501" s="75" t="s">
        <v>1066</v>
      </c>
      <c r="G501" s="56">
        <v>7707</v>
      </c>
      <c r="H501" s="56">
        <v>200</v>
      </c>
      <c r="I501" s="56">
        <v>674</v>
      </c>
      <c r="J501" s="56"/>
      <c r="K501" s="56"/>
      <c r="L501" s="56"/>
      <c r="M501" s="56"/>
      <c r="N501" s="145">
        <f t="shared" si="30"/>
        <v>8581</v>
      </c>
      <c r="O501" s="56"/>
      <c r="P501" s="58">
        <f t="shared" si="29"/>
        <v>7917020.63</v>
      </c>
      <c r="Q501" s="59" t="s">
        <v>669</v>
      </c>
    </row>
    <row r="502" ht="20" customHeight="1" spans="2:19">
      <c r="B502" s="42">
        <v>4</v>
      </c>
      <c r="C502" s="42">
        <v>22</v>
      </c>
      <c r="D502" s="74" t="s">
        <v>92</v>
      </c>
      <c r="E502" s="74" t="s">
        <v>271</v>
      </c>
      <c r="F502" s="75" t="s">
        <v>1038</v>
      </c>
      <c r="G502" s="56"/>
      <c r="H502" s="56"/>
      <c r="I502" s="56"/>
      <c r="J502" s="56"/>
      <c r="K502" s="56"/>
      <c r="L502" s="56"/>
      <c r="M502" s="56"/>
      <c r="N502" s="56">
        <f t="shared" si="30"/>
        <v>0</v>
      </c>
      <c r="O502" s="56">
        <v>1354.17</v>
      </c>
      <c r="P502" s="58">
        <f t="shared" si="29"/>
        <v>7915666.46</v>
      </c>
      <c r="Q502" s="59"/>
      <c r="R502" s="3" t="s">
        <v>239</v>
      </c>
      <c r="S502" s="3">
        <f>SUM(N481:N501)-SUM(O481:O501)+S480-O502</f>
        <v>209772.04</v>
      </c>
    </row>
    <row r="503" ht="20" customHeight="1" spans="2:19">
      <c r="B503" s="42">
        <v>4</v>
      </c>
      <c r="C503" s="42">
        <v>27</v>
      </c>
      <c r="D503" s="74"/>
      <c r="E503" s="74" t="s">
        <v>581</v>
      </c>
      <c r="F503" s="75" t="s">
        <v>1053</v>
      </c>
      <c r="G503" s="56">
        <v>1223</v>
      </c>
      <c r="H503" s="56"/>
      <c r="I503" s="56"/>
      <c r="J503" s="56"/>
      <c r="K503" s="56"/>
      <c r="L503" s="56"/>
      <c r="M503" s="56"/>
      <c r="N503" s="145">
        <f t="shared" si="30"/>
        <v>1223</v>
      </c>
      <c r="O503" s="56"/>
      <c r="P503" s="58">
        <f t="shared" si="29"/>
        <v>7916889.46</v>
      </c>
      <c r="Q503" s="59"/>
    </row>
    <row r="504" ht="20" customHeight="1" spans="2:19">
      <c r="B504" s="42">
        <v>4</v>
      </c>
      <c r="C504" s="42">
        <v>27</v>
      </c>
      <c r="D504" s="74"/>
      <c r="E504" s="74" t="s">
        <v>628</v>
      </c>
      <c r="F504" s="75" t="s">
        <v>1067</v>
      </c>
      <c r="G504" s="56">
        <v>6090</v>
      </c>
      <c r="H504" s="56">
        <v>200</v>
      </c>
      <c r="I504" s="56">
        <v>431</v>
      </c>
      <c r="J504" s="56"/>
      <c r="K504" s="56"/>
      <c r="L504" s="56"/>
      <c r="M504" s="56"/>
      <c r="N504" s="145">
        <f t="shared" si="30"/>
        <v>6721</v>
      </c>
      <c r="O504" s="56"/>
      <c r="P504" s="58">
        <f t="shared" si="29"/>
        <v>7923610.46</v>
      </c>
      <c r="Q504" s="59"/>
    </row>
    <row r="505" ht="20" customHeight="1" spans="2:19">
      <c r="B505" s="42">
        <v>4</v>
      </c>
      <c r="C505" s="42">
        <v>27</v>
      </c>
      <c r="D505" s="74"/>
      <c r="E505" s="74"/>
      <c r="F505" s="75" t="s">
        <v>1068</v>
      </c>
      <c r="G505" s="56"/>
      <c r="H505" s="56"/>
      <c r="I505" s="56"/>
      <c r="J505" s="56"/>
      <c r="K505" s="145">
        <v>4660</v>
      </c>
      <c r="L505" s="56"/>
      <c r="M505" s="56">
        <v>35.04</v>
      </c>
      <c r="N505" s="56">
        <f t="shared" si="30"/>
        <v>4624.96</v>
      </c>
      <c r="O505" s="56"/>
      <c r="P505" s="58">
        <f t="shared" si="29"/>
        <v>7928235.42</v>
      </c>
      <c r="Q505" s="59" t="s">
        <v>669</v>
      </c>
    </row>
    <row r="506" ht="20" customHeight="1" spans="2:19">
      <c r="B506" s="42">
        <v>4</v>
      </c>
      <c r="C506" s="42">
        <v>27</v>
      </c>
      <c r="D506" s="74"/>
      <c r="E506" s="74" t="s">
        <v>673</v>
      </c>
      <c r="F506" s="75" t="s">
        <v>1069</v>
      </c>
      <c r="G506" s="56">
        <v>1650</v>
      </c>
      <c r="H506" s="56">
        <v>150</v>
      </c>
      <c r="I506" s="56">
        <v>204</v>
      </c>
      <c r="J506" s="56"/>
      <c r="K506" s="56"/>
      <c r="L506" s="56"/>
      <c r="M506" s="56"/>
      <c r="N506" s="145">
        <f t="shared" si="30"/>
        <v>2004</v>
      </c>
      <c r="O506" s="56"/>
      <c r="P506" s="58">
        <f t="shared" si="29"/>
        <v>7930239.42</v>
      </c>
      <c r="Q506" s="59" t="s">
        <v>669</v>
      </c>
    </row>
    <row r="507" ht="20" customHeight="1" spans="2:19">
      <c r="B507" s="42">
        <v>4</v>
      </c>
      <c r="C507" s="42">
        <v>27</v>
      </c>
      <c r="D507" s="74"/>
      <c r="E507" s="74" t="s">
        <v>728</v>
      </c>
      <c r="F507" s="75" t="s">
        <v>1070</v>
      </c>
      <c r="G507" s="56">
        <v>1900</v>
      </c>
      <c r="H507" s="56">
        <v>150</v>
      </c>
      <c r="I507" s="56">
        <v>154</v>
      </c>
      <c r="J507" s="56"/>
      <c r="K507" s="56"/>
      <c r="L507" s="56"/>
      <c r="M507" s="56"/>
      <c r="N507" s="145">
        <f t="shared" si="30"/>
        <v>2204</v>
      </c>
      <c r="O507" s="56"/>
      <c r="P507" s="58">
        <f t="shared" si="29"/>
        <v>7932443.42</v>
      </c>
      <c r="Q507" s="59" t="s">
        <v>669</v>
      </c>
    </row>
    <row r="508" ht="20" customHeight="1" spans="2:19">
      <c r="B508" s="42">
        <v>4</v>
      </c>
      <c r="C508" s="42">
        <v>27</v>
      </c>
      <c r="D508" s="74"/>
      <c r="E508" s="74" t="s">
        <v>606</v>
      </c>
      <c r="F508" s="75" t="s">
        <v>1071</v>
      </c>
      <c r="G508" s="56">
        <v>10333</v>
      </c>
      <c r="H508" s="56">
        <v>600</v>
      </c>
      <c r="I508" s="56">
        <v>662</v>
      </c>
      <c r="J508" s="56"/>
      <c r="K508" s="56"/>
      <c r="L508" s="56"/>
      <c r="M508" s="56"/>
      <c r="N508" s="145">
        <f t="shared" si="30"/>
        <v>11595</v>
      </c>
      <c r="O508" s="56"/>
      <c r="P508" s="58">
        <f t="shared" si="29"/>
        <v>7944038.42</v>
      </c>
      <c r="Q508" s="59" t="s">
        <v>669</v>
      </c>
    </row>
    <row r="509" ht="20" customHeight="1" spans="2:19">
      <c r="B509" s="42">
        <v>4</v>
      </c>
      <c r="C509" s="42">
        <v>27</v>
      </c>
      <c r="D509" s="74"/>
      <c r="E509" s="74" t="s">
        <v>626</v>
      </c>
      <c r="F509" s="75" t="s">
        <v>1072</v>
      </c>
      <c r="G509" s="56">
        <v>1400</v>
      </c>
      <c r="H509" s="56">
        <v>150</v>
      </c>
      <c r="I509" s="56">
        <v>44</v>
      </c>
      <c r="J509" s="56"/>
      <c r="K509" s="56"/>
      <c r="L509" s="56"/>
      <c r="M509" s="56"/>
      <c r="N509" s="145">
        <f t="shared" si="30"/>
        <v>1594</v>
      </c>
      <c r="O509" s="56"/>
      <c r="P509" s="58">
        <f t="shared" si="29"/>
        <v>7945632.42</v>
      </c>
      <c r="Q509" s="59" t="s">
        <v>669</v>
      </c>
    </row>
    <row r="510" ht="20" customHeight="1" spans="2:19">
      <c r="B510" s="42">
        <v>4</v>
      </c>
      <c r="C510" s="42">
        <v>27</v>
      </c>
      <c r="D510" s="74"/>
      <c r="E510" s="74" t="s">
        <v>667</v>
      </c>
      <c r="F510" s="75" t="s">
        <v>1073</v>
      </c>
      <c r="G510" s="56">
        <v>2200</v>
      </c>
      <c r="H510" s="56">
        <v>150</v>
      </c>
      <c r="I510" s="56">
        <v>191</v>
      </c>
      <c r="J510" s="56"/>
      <c r="K510" s="56"/>
      <c r="L510" s="56"/>
      <c r="M510" s="56"/>
      <c r="N510" s="145">
        <f t="shared" si="30"/>
        <v>2541</v>
      </c>
      <c r="O510" s="56"/>
      <c r="P510" s="58">
        <f t="shared" si="29"/>
        <v>7948173.42</v>
      </c>
      <c r="Q510" s="59" t="s">
        <v>669</v>
      </c>
    </row>
    <row r="511" ht="20" customHeight="1" spans="2:19">
      <c r="B511" s="42">
        <v>4</v>
      </c>
      <c r="C511" s="42">
        <v>27</v>
      </c>
      <c r="D511" s="74"/>
      <c r="E511" s="74" t="s">
        <v>667</v>
      </c>
      <c r="F511" s="75" t="s">
        <v>1074</v>
      </c>
      <c r="G511" s="56">
        <v>2200</v>
      </c>
      <c r="H511" s="56">
        <v>150</v>
      </c>
      <c r="I511" s="56">
        <v>168</v>
      </c>
      <c r="J511" s="56"/>
      <c r="K511" s="56"/>
      <c r="L511" s="56"/>
      <c r="M511" s="56"/>
      <c r="N511" s="145">
        <f t="shared" si="30"/>
        <v>2518</v>
      </c>
      <c r="O511" s="56"/>
      <c r="P511" s="58">
        <f t="shared" si="29"/>
        <v>7950691.42</v>
      </c>
      <c r="Q511" s="59" t="s">
        <v>669</v>
      </c>
    </row>
    <row r="512" ht="20" customHeight="1" spans="2:19">
      <c r="B512" s="42">
        <v>4</v>
      </c>
      <c r="C512" s="42">
        <v>27</v>
      </c>
      <c r="D512" s="74"/>
      <c r="E512" s="74" t="s">
        <v>590</v>
      </c>
      <c r="F512" s="75" t="s">
        <v>1075</v>
      </c>
      <c r="G512" s="56">
        <v>1000</v>
      </c>
      <c r="H512" s="56">
        <v>150</v>
      </c>
      <c r="I512" s="56">
        <v>38</v>
      </c>
      <c r="J512" s="56"/>
      <c r="K512" s="56"/>
      <c r="L512" s="56"/>
      <c r="M512" s="56"/>
      <c r="N512" s="145">
        <f t="shared" si="30"/>
        <v>1188</v>
      </c>
      <c r="O512" s="56"/>
      <c r="P512" s="58">
        <f t="shared" si="29"/>
        <v>7951879.42</v>
      </c>
      <c r="Q512" s="59" t="s">
        <v>669</v>
      </c>
    </row>
    <row r="513" ht="20" customHeight="1" spans="2:19">
      <c r="B513" s="42">
        <v>4</v>
      </c>
      <c r="C513" s="42">
        <v>27</v>
      </c>
      <c r="D513" s="74"/>
      <c r="E513" s="74" t="s">
        <v>592</v>
      </c>
      <c r="F513" s="75" t="s">
        <v>1076</v>
      </c>
      <c r="G513" s="56">
        <v>2700</v>
      </c>
      <c r="H513" s="56">
        <v>200</v>
      </c>
      <c r="I513" s="56">
        <v>125</v>
      </c>
      <c r="J513" s="56"/>
      <c r="K513" s="56"/>
      <c r="L513" s="56"/>
      <c r="M513" s="56"/>
      <c r="N513" s="145">
        <f t="shared" si="30"/>
        <v>3025</v>
      </c>
      <c r="O513" s="56"/>
      <c r="P513" s="58">
        <f t="shared" si="29"/>
        <v>7954904.42</v>
      </c>
      <c r="Q513" s="59" t="s">
        <v>669</v>
      </c>
    </row>
    <row r="514" ht="20" customHeight="1" spans="2:19">
      <c r="B514" s="42">
        <v>4</v>
      </c>
      <c r="C514" s="42">
        <v>27</v>
      </c>
      <c r="D514" s="74"/>
      <c r="E514" s="74" t="s">
        <v>673</v>
      </c>
      <c r="F514" s="75" t="s">
        <v>1077</v>
      </c>
      <c r="G514" s="56">
        <v>550</v>
      </c>
      <c r="H514" s="56"/>
      <c r="I514" s="56"/>
      <c r="J514" s="56"/>
      <c r="K514" s="56"/>
      <c r="L514" s="56"/>
      <c r="M514" s="56"/>
      <c r="N514" s="145">
        <f t="shared" si="30"/>
        <v>550</v>
      </c>
      <c r="O514" s="56"/>
      <c r="P514" s="58">
        <f t="shared" si="29"/>
        <v>7955454.42</v>
      </c>
      <c r="Q514" s="59" t="s">
        <v>669</v>
      </c>
    </row>
    <row r="515" ht="20" customHeight="1" spans="2:19">
      <c r="B515" s="42">
        <v>4</v>
      </c>
      <c r="C515" s="42">
        <v>27</v>
      </c>
      <c r="D515" s="74"/>
      <c r="E515" s="74" t="s">
        <v>648</v>
      </c>
      <c r="F515" s="75" t="s">
        <v>1078</v>
      </c>
      <c r="G515" s="56">
        <v>1500</v>
      </c>
      <c r="H515" s="56"/>
      <c r="I515" s="56">
        <v>103.2</v>
      </c>
      <c r="J515" s="56"/>
      <c r="K515" s="56"/>
      <c r="L515" s="56"/>
      <c r="M515" s="56"/>
      <c r="N515" s="145">
        <f t="shared" si="30"/>
        <v>1603.2</v>
      </c>
      <c r="O515" s="56"/>
      <c r="P515" s="58">
        <f t="shared" si="29"/>
        <v>7957057.62</v>
      </c>
      <c r="Q515" s="59" t="s">
        <v>669</v>
      </c>
    </row>
    <row r="516" ht="20" customHeight="1" spans="2:19">
      <c r="B516" s="42">
        <v>4</v>
      </c>
      <c r="C516" s="42">
        <v>27</v>
      </c>
      <c r="D516" s="74"/>
      <c r="E516" s="74" t="s">
        <v>648</v>
      </c>
      <c r="F516" s="75" t="s">
        <v>1079</v>
      </c>
      <c r="G516" s="56">
        <v>1500</v>
      </c>
      <c r="H516" s="56"/>
      <c r="I516" s="56">
        <v>97.2</v>
      </c>
      <c r="J516" s="56"/>
      <c r="K516" s="56"/>
      <c r="L516" s="56"/>
      <c r="M516" s="56"/>
      <c r="N516" s="145">
        <f t="shared" si="30"/>
        <v>1597.2</v>
      </c>
      <c r="O516" s="56"/>
      <c r="P516" s="58">
        <f t="shared" si="29"/>
        <v>7958654.82</v>
      </c>
      <c r="Q516" s="59" t="s">
        <v>669</v>
      </c>
    </row>
    <row r="517" ht="20" customHeight="1" spans="2:19">
      <c r="B517" s="42">
        <v>4</v>
      </c>
      <c r="C517" s="42">
        <v>27</v>
      </c>
      <c r="D517" s="74" t="s">
        <v>121</v>
      </c>
      <c r="E517" s="54" t="s">
        <v>764</v>
      </c>
      <c r="F517" s="75" t="s">
        <v>1080</v>
      </c>
      <c r="G517" s="56"/>
      <c r="H517" s="56"/>
      <c r="I517" s="56"/>
      <c r="J517" s="56"/>
      <c r="K517" s="56"/>
      <c r="L517" s="56"/>
      <c r="M517" s="56"/>
      <c r="N517" s="56">
        <f t="shared" si="30"/>
        <v>0</v>
      </c>
      <c r="O517" s="56">
        <v>130000</v>
      </c>
      <c r="P517" s="58">
        <f t="shared" si="29"/>
        <v>7828654.82</v>
      </c>
      <c r="Q517" s="56"/>
    </row>
    <row r="518" ht="20" customHeight="1" spans="2:19">
      <c r="B518" s="42">
        <v>4</v>
      </c>
      <c r="C518" s="42">
        <v>27</v>
      </c>
      <c r="D518" s="74" t="s">
        <v>124</v>
      </c>
      <c r="E518" s="74" t="s">
        <v>486</v>
      </c>
      <c r="F518" s="75" t="s">
        <v>1081</v>
      </c>
      <c r="G518" s="56"/>
      <c r="H518" s="56"/>
      <c r="I518" s="56"/>
      <c r="J518" s="56"/>
      <c r="K518" s="56"/>
      <c r="L518" s="56"/>
      <c r="M518" s="56"/>
      <c r="N518" s="56">
        <f t="shared" si="30"/>
        <v>0</v>
      </c>
      <c r="O518" s="56">
        <v>8869.98</v>
      </c>
      <c r="P518" s="58">
        <f t="shared" si="29"/>
        <v>7819784.84</v>
      </c>
      <c r="Q518" s="56"/>
    </row>
    <row r="519" ht="20" customHeight="1" spans="2:19">
      <c r="B519" s="42">
        <v>4</v>
      </c>
      <c r="C519" s="42">
        <v>27</v>
      </c>
      <c r="D519" s="74" t="s">
        <v>129</v>
      </c>
      <c r="E519" s="74" t="s">
        <v>486</v>
      </c>
      <c r="F519" s="75" t="s">
        <v>1082</v>
      </c>
      <c r="G519" s="56"/>
      <c r="H519" s="56"/>
      <c r="I519" s="56"/>
      <c r="J519" s="56"/>
      <c r="K519" s="56"/>
      <c r="L519" s="56"/>
      <c r="M519" s="56"/>
      <c r="N519" s="56">
        <f t="shared" si="30"/>
        <v>0</v>
      </c>
      <c r="O519" s="56">
        <v>115</v>
      </c>
      <c r="P519" s="58">
        <f t="shared" si="29"/>
        <v>7819669.84</v>
      </c>
      <c r="Q519" s="56"/>
      <c r="R519" s="3" t="s">
        <v>239</v>
      </c>
      <c r="S519" s="3">
        <f>SUM(N503:N519)-SUM(O503:O519)+S502</f>
        <v>113775.42</v>
      </c>
    </row>
    <row r="520" ht="20" customHeight="1" spans="2:19">
      <c r="B520" s="42">
        <v>4</v>
      </c>
      <c r="C520" s="42">
        <v>28</v>
      </c>
      <c r="D520" s="74"/>
      <c r="E520" s="54" t="s">
        <v>655</v>
      </c>
      <c r="F520" s="75" t="s">
        <v>1083</v>
      </c>
      <c r="G520" s="56">
        <v>1300</v>
      </c>
      <c r="H520" s="56"/>
      <c r="I520" s="56">
        <v>82</v>
      </c>
      <c r="J520" s="56"/>
      <c r="K520" s="56"/>
      <c r="L520" s="56"/>
      <c r="M520" s="56"/>
      <c r="N520" s="145">
        <f t="shared" si="30"/>
        <v>1382</v>
      </c>
      <c r="O520" s="56"/>
      <c r="P520" s="58">
        <f t="shared" si="29"/>
        <v>7821051.84</v>
      </c>
      <c r="Q520" s="56"/>
    </row>
    <row r="521" ht="20" customHeight="1" spans="2:19">
      <c r="B521" s="42">
        <v>4</v>
      </c>
      <c r="C521" s="42">
        <v>29</v>
      </c>
      <c r="D521" s="74"/>
      <c r="E521" s="74" t="s">
        <v>491</v>
      </c>
      <c r="F521" s="75" t="s">
        <v>1084</v>
      </c>
      <c r="G521" s="56">
        <v>16445</v>
      </c>
      <c r="H521" s="56"/>
      <c r="I521" s="56">
        <v>30</v>
      </c>
      <c r="J521" s="56"/>
      <c r="K521" s="56"/>
      <c r="L521" s="56"/>
      <c r="M521" s="56"/>
      <c r="N521" s="145">
        <f t="shared" si="30"/>
        <v>16475</v>
      </c>
      <c r="O521" s="56"/>
      <c r="P521" s="58">
        <f t="shared" si="29"/>
        <v>7837526.84</v>
      </c>
      <c r="Q521" s="56"/>
    </row>
    <row r="522" ht="20" customHeight="1" spans="2:19">
      <c r="B522" s="42">
        <v>4</v>
      </c>
      <c r="C522" s="42">
        <v>30</v>
      </c>
      <c r="D522" s="74"/>
      <c r="E522" s="74" t="s">
        <v>479</v>
      </c>
      <c r="F522" s="75" t="s">
        <v>1085</v>
      </c>
      <c r="G522" s="56"/>
      <c r="H522" s="56">
        <v>200</v>
      </c>
      <c r="I522" s="56">
        <v>419</v>
      </c>
      <c r="J522" s="56"/>
      <c r="K522" s="56"/>
      <c r="L522" s="56"/>
      <c r="M522" s="56"/>
      <c r="N522" s="145">
        <f t="shared" si="30"/>
        <v>619</v>
      </c>
      <c r="O522" s="56"/>
      <c r="P522" s="58">
        <f t="shared" si="29"/>
        <v>7838145.84</v>
      </c>
      <c r="Q522" s="56"/>
    </row>
    <row r="523" ht="20" customHeight="1" spans="2:19">
      <c r="B523" s="42">
        <v>4</v>
      </c>
      <c r="C523" s="42">
        <v>30</v>
      </c>
      <c r="D523" s="74"/>
      <c r="E523" s="54" t="s">
        <v>811</v>
      </c>
      <c r="F523" s="75" t="s">
        <v>1086</v>
      </c>
      <c r="G523" s="56">
        <v>1500</v>
      </c>
      <c r="H523" s="56"/>
      <c r="I523" s="56">
        <v>150</v>
      </c>
      <c r="J523" s="56"/>
      <c r="K523" s="56"/>
      <c r="L523" s="56"/>
      <c r="M523" s="56"/>
      <c r="N523" s="145">
        <f t="shared" si="30"/>
        <v>1650</v>
      </c>
      <c r="O523" s="56"/>
      <c r="P523" s="58">
        <f t="shared" si="29"/>
        <v>7839795.84</v>
      </c>
      <c r="Q523" s="56"/>
    </row>
    <row r="524" ht="20" customHeight="1" spans="2:19">
      <c r="B524" s="42">
        <v>4</v>
      </c>
      <c r="C524" s="42">
        <v>30</v>
      </c>
      <c r="D524" s="74"/>
      <c r="E524" s="74" t="s">
        <v>650</v>
      </c>
      <c r="F524" s="75" t="s">
        <v>1087</v>
      </c>
      <c r="G524" s="56">
        <v>6654</v>
      </c>
      <c r="H524" s="56">
        <v>200</v>
      </c>
      <c r="I524" s="56">
        <v>346</v>
      </c>
      <c r="J524" s="56"/>
      <c r="K524" s="56"/>
      <c r="L524" s="56"/>
      <c r="M524" s="56"/>
      <c r="N524" s="145">
        <f t="shared" si="30"/>
        <v>7200</v>
      </c>
      <c r="O524" s="56"/>
      <c r="P524" s="58">
        <f t="shared" si="29"/>
        <v>7846995.84</v>
      </c>
      <c r="Q524" s="56"/>
    </row>
    <row r="525" ht="20" customHeight="1" spans="2:19">
      <c r="B525" s="42">
        <v>4</v>
      </c>
      <c r="C525" s="42">
        <v>30</v>
      </c>
      <c r="D525" s="74"/>
      <c r="E525" s="74" t="s">
        <v>746</v>
      </c>
      <c r="F525" s="75" t="s">
        <v>753</v>
      </c>
      <c r="G525" s="145">
        <v>2561.6</v>
      </c>
      <c r="H525" s="56"/>
      <c r="I525" s="56"/>
      <c r="J525" s="56"/>
      <c r="K525" s="56"/>
      <c r="L525" s="56"/>
      <c r="M525" s="56">
        <v>11.48</v>
      </c>
      <c r="N525" s="56">
        <f t="shared" si="30"/>
        <v>2550.12</v>
      </c>
      <c r="O525" s="56"/>
      <c r="P525" s="58">
        <f t="shared" si="29"/>
        <v>7849545.96</v>
      </c>
      <c r="Q525" s="59" t="s">
        <v>669</v>
      </c>
    </row>
    <row r="526" ht="20" customHeight="1" spans="2:19">
      <c r="B526" s="42">
        <v>4</v>
      </c>
      <c r="C526" s="42">
        <v>30</v>
      </c>
      <c r="D526" s="74"/>
      <c r="E526" s="54" t="s">
        <v>746</v>
      </c>
      <c r="F526" s="75" t="s">
        <v>1088</v>
      </c>
      <c r="G526" s="56">
        <v>2922</v>
      </c>
      <c r="H526" s="56">
        <v>150</v>
      </c>
      <c r="I526" s="56">
        <v>405.6</v>
      </c>
      <c r="J526" s="56"/>
      <c r="K526" s="56"/>
      <c r="L526" s="56"/>
      <c r="M526" s="56"/>
      <c r="N526" s="145">
        <f t="shared" si="30"/>
        <v>3477.6</v>
      </c>
      <c r="O526" s="56"/>
      <c r="P526" s="58">
        <f t="shared" si="29"/>
        <v>7853023.56</v>
      </c>
      <c r="Q526" s="59" t="s">
        <v>669</v>
      </c>
    </row>
    <row r="527" ht="20" customHeight="1" spans="2:19">
      <c r="B527" s="42">
        <v>4</v>
      </c>
      <c r="C527" s="42">
        <v>30</v>
      </c>
      <c r="D527" s="74"/>
      <c r="E527" s="74" t="s">
        <v>746</v>
      </c>
      <c r="F527" s="75" t="s">
        <v>1089</v>
      </c>
      <c r="G527" s="56">
        <v>126.8</v>
      </c>
      <c r="H527" s="56">
        <v>150</v>
      </c>
      <c r="I527" s="56">
        <v>295.2</v>
      </c>
      <c r="J527" s="56"/>
      <c r="K527" s="56"/>
      <c r="L527" s="56"/>
      <c r="M527" s="56"/>
      <c r="N527" s="145">
        <f t="shared" si="30"/>
        <v>572</v>
      </c>
      <c r="O527" s="56"/>
      <c r="P527" s="58">
        <f t="shared" si="29"/>
        <v>7853595.56</v>
      </c>
      <c r="Q527" s="59" t="s">
        <v>669</v>
      </c>
    </row>
    <row r="528" ht="20" customHeight="1" spans="2:19">
      <c r="B528" s="42">
        <v>4</v>
      </c>
      <c r="C528" s="42">
        <v>30</v>
      </c>
      <c r="D528" s="74"/>
      <c r="E528" s="74" t="s">
        <v>611</v>
      </c>
      <c r="F528" s="75" t="s">
        <v>1090</v>
      </c>
      <c r="G528" s="56"/>
      <c r="H528" s="56">
        <v>200</v>
      </c>
      <c r="I528" s="56">
        <v>390</v>
      </c>
      <c r="J528" s="56"/>
      <c r="K528" s="56"/>
      <c r="L528" s="56"/>
      <c r="M528" s="56"/>
      <c r="N528" s="145">
        <f t="shared" si="30"/>
        <v>590</v>
      </c>
      <c r="O528" s="56"/>
      <c r="P528" s="58">
        <f t="shared" si="29"/>
        <v>7854185.56</v>
      </c>
      <c r="Q528" s="59" t="s">
        <v>669</v>
      </c>
    </row>
    <row r="529" ht="20" customHeight="1" spans="1:20">
      <c r="B529" s="42">
        <v>4</v>
      </c>
      <c r="C529" s="42">
        <v>30</v>
      </c>
      <c r="D529" s="74"/>
      <c r="E529" s="54" t="s">
        <v>611</v>
      </c>
      <c r="F529" s="75" t="s">
        <v>1091</v>
      </c>
      <c r="G529" s="56"/>
      <c r="H529" s="56">
        <v>200</v>
      </c>
      <c r="I529" s="56">
        <v>304</v>
      </c>
      <c r="J529" s="56"/>
      <c r="K529" s="56"/>
      <c r="L529" s="56"/>
      <c r="M529" s="56"/>
      <c r="N529" s="145">
        <f t="shared" si="30"/>
        <v>504</v>
      </c>
      <c r="O529" s="56"/>
      <c r="P529" s="58">
        <f t="shared" si="29"/>
        <v>7854689.56</v>
      </c>
      <c r="Q529" s="59" t="s">
        <v>669</v>
      </c>
    </row>
    <row r="530" ht="20" customHeight="1" spans="1:20">
      <c r="B530" s="42">
        <v>4</v>
      </c>
      <c r="C530" s="42">
        <v>30</v>
      </c>
      <c r="D530" s="74"/>
      <c r="E530" s="74" t="s">
        <v>785</v>
      </c>
      <c r="F530" s="75" t="s">
        <v>1092</v>
      </c>
      <c r="G530" s="56"/>
      <c r="H530" s="56">
        <v>200</v>
      </c>
      <c r="I530" s="56">
        <v>94.8</v>
      </c>
      <c r="J530" s="56"/>
      <c r="K530" s="56"/>
      <c r="L530" s="56"/>
      <c r="M530" s="56"/>
      <c r="N530" s="145">
        <f t="shared" si="30"/>
        <v>294.8</v>
      </c>
      <c r="O530" s="56"/>
      <c r="P530" s="58">
        <f t="shared" si="29"/>
        <v>7854984.36</v>
      </c>
      <c r="Q530" s="59" t="s">
        <v>669</v>
      </c>
    </row>
    <row r="531" ht="20" customHeight="1" spans="1:20">
      <c r="B531" s="42">
        <v>4</v>
      </c>
      <c r="C531" s="42">
        <v>30</v>
      </c>
      <c r="D531" s="74"/>
      <c r="E531" s="74" t="s">
        <v>785</v>
      </c>
      <c r="F531" s="75" t="s">
        <v>1093</v>
      </c>
      <c r="G531" s="56"/>
      <c r="H531" s="56">
        <v>200</v>
      </c>
      <c r="I531" s="56">
        <v>84</v>
      </c>
      <c r="J531" s="56"/>
      <c r="K531" s="56"/>
      <c r="L531" s="56"/>
      <c r="M531" s="56"/>
      <c r="N531" s="145">
        <f t="shared" si="30"/>
        <v>284</v>
      </c>
      <c r="O531" s="56"/>
      <c r="P531" s="58">
        <f t="shared" si="29"/>
        <v>7855268.36</v>
      </c>
      <c r="Q531" s="59" t="s">
        <v>669</v>
      </c>
    </row>
    <row r="532" ht="20" customHeight="1" spans="1:20">
      <c r="B532" s="42">
        <v>4</v>
      </c>
      <c r="C532" s="42">
        <v>30</v>
      </c>
      <c r="D532" s="74"/>
      <c r="E532" s="54" t="s">
        <v>524</v>
      </c>
      <c r="F532" s="75" t="s">
        <v>1094</v>
      </c>
      <c r="G532" s="56">
        <v>2827</v>
      </c>
      <c r="H532" s="56"/>
      <c r="I532" s="56"/>
      <c r="J532" s="56"/>
      <c r="K532" s="56"/>
      <c r="L532" s="56"/>
      <c r="M532" s="56"/>
      <c r="N532" s="145">
        <f t="shared" si="30"/>
        <v>2827</v>
      </c>
      <c r="O532" s="56"/>
      <c r="P532" s="58">
        <f t="shared" si="29"/>
        <v>7858095.36</v>
      </c>
      <c r="Q532" s="59" t="s">
        <v>669</v>
      </c>
    </row>
    <row r="533" ht="20" customHeight="1" spans="1:20">
      <c r="B533" s="42">
        <v>4</v>
      </c>
      <c r="C533" s="42">
        <v>30</v>
      </c>
      <c r="D533" s="74"/>
      <c r="E533" s="74" t="s">
        <v>524</v>
      </c>
      <c r="F533" s="75" t="s">
        <v>1095</v>
      </c>
      <c r="G533" s="56"/>
      <c r="H533" s="56"/>
      <c r="I533" s="56">
        <v>173</v>
      </c>
      <c r="J533" s="56"/>
      <c r="K533" s="56"/>
      <c r="L533" s="56"/>
      <c r="M533" s="56"/>
      <c r="N533" s="145">
        <f t="shared" si="30"/>
        <v>173</v>
      </c>
      <c r="O533" s="56"/>
      <c r="P533" s="58">
        <f t="shared" si="29"/>
        <v>7858268.36</v>
      </c>
      <c r="Q533" s="59" t="s">
        <v>669</v>
      </c>
    </row>
    <row r="534" ht="20" customHeight="1" spans="1:20">
      <c r="A534" s="168"/>
      <c r="B534" s="68">
        <v>4</v>
      </c>
      <c r="C534" s="68">
        <v>30</v>
      </c>
      <c r="D534" s="74"/>
      <c r="E534" s="74" t="s">
        <v>524</v>
      </c>
      <c r="F534" s="75" t="s">
        <v>1096</v>
      </c>
      <c r="G534" s="56">
        <v>86.6</v>
      </c>
      <c r="H534" s="56"/>
      <c r="I534" s="56">
        <v>122.4</v>
      </c>
      <c r="J534" s="56"/>
      <c r="K534" s="56"/>
      <c r="L534" s="56"/>
      <c r="M534" s="56"/>
      <c r="N534" s="145">
        <f t="shared" si="30"/>
        <v>209</v>
      </c>
      <c r="O534" s="56"/>
      <c r="P534" s="58">
        <f t="shared" si="29"/>
        <v>7858477.36</v>
      </c>
      <c r="Q534" s="59" t="s">
        <v>669</v>
      </c>
      <c r="R534" s="3" t="s">
        <v>239</v>
      </c>
      <c r="S534" s="3">
        <f>SUM(N520:N534)+S519</f>
        <v>152582.94</v>
      </c>
    </row>
    <row r="535" ht="20" customHeight="1" spans="1:20">
      <c r="B535" s="42">
        <v>4</v>
      </c>
      <c r="C535" s="42">
        <v>30</v>
      </c>
      <c r="D535" s="74"/>
      <c r="E535" s="54" t="s">
        <v>642</v>
      </c>
      <c r="F535" s="75" t="s">
        <v>1097</v>
      </c>
      <c r="G535" s="145">
        <v>1600</v>
      </c>
      <c r="H535" s="145">
        <v>150</v>
      </c>
      <c r="I535" s="145">
        <v>44.4</v>
      </c>
      <c r="J535" s="56"/>
      <c r="K535" s="56"/>
      <c r="L535" s="56"/>
      <c r="M535" s="56">
        <v>2.68</v>
      </c>
      <c r="N535" s="56">
        <f t="shared" si="30"/>
        <v>1791.72</v>
      </c>
      <c r="O535" s="56"/>
      <c r="P535" s="58">
        <f t="shared" si="29"/>
        <v>7860269.08</v>
      </c>
      <c r="Q535" s="59" t="s">
        <v>669</v>
      </c>
    </row>
    <row r="536" ht="20" customHeight="1" spans="1:20">
      <c r="B536" s="42">
        <v>4</v>
      </c>
      <c r="C536" s="42">
        <v>30</v>
      </c>
      <c r="D536" s="74"/>
      <c r="E536" s="74" t="s">
        <v>640</v>
      </c>
      <c r="F536" s="75" t="s">
        <v>1098</v>
      </c>
      <c r="G536" s="56"/>
      <c r="H536" s="56">
        <v>150</v>
      </c>
      <c r="I536" s="56">
        <v>90</v>
      </c>
      <c r="J536" s="56"/>
      <c r="K536" s="56"/>
      <c r="L536" s="56"/>
      <c r="M536" s="56"/>
      <c r="N536" s="145">
        <f t="shared" si="30"/>
        <v>240</v>
      </c>
      <c r="O536" s="56"/>
      <c r="P536" s="58">
        <f t="shared" si="29"/>
        <v>7860509.08</v>
      </c>
      <c r="Q536" s="59" t="s">
        <v>669</v>
      </c>
    </row>
    <row r="537" ht="20" customHeight="1" spans="1:20">
      <c r="B537" s="42">
        <v>4</v>
      </c>
      <c r="C537" s="42">
        <v>30</v>
      </c>
      <c r="D537" s="74"/>
      <c r="E537" s="74" t="s">
        <v>543</v>
      </c>
      <c r="F537" s="75" t="s">
        <v>1099</v>
      </c>
      <c r="G537" s="56"/>
      <c r="H537" s="56">
        <v>150</v>
      </c>
      <c r="I537" s="56">
        <v>69.6</v>
      </c>
      <c r="J537" s="56"/>
      <c r="K537" s="56"/>
      <c r="L537" s="56"/>
      <c r="M537" s="56"/>
      <c r="N537" s="145">
        <f t="shared" si="30"/>
        <v>219.6</v>
      </c>
      <c r="O537" s="56"/>
      <c r="P537" s="58">
        <f t="shared" si="29"/>
        <v>7860728.68</v>
      </c>
      <c r="Q537" s="59" t="s">
        <v>669</v>
      </c>
    </row>
    <row r="538" ht="20" customHeight="1" spans="1:20">
      <c r="B538" s="42">
        <v>4</v>
      </c>
      <c r="C538" s="42">
        <v>30</v>
      </c>
      <c r="D538" s="74"/>
      <c r="E538" s="54" t="s">
        <v>543</v>
      </c>
      <c r="F538" s="75" t="s">
        <v>1100</v>
      </c>
      <c r="G538" s="56"/>
      <c r="H538" s="56">
        <v>150</v>
      </c>
      <c r="I538" s="56">
        <v>58.8</v>
      </c>
      <c r="J538" s="56"/>
      <c r="K538" s="56"/>
      <c r="L538" s="56"/>
      <c r="M538" s="56"/>
      <c r="N538" s="145">
        <f t="shared" si="30"/>
        <v>208.8</v>
      </c>
      <c r="O538" s="56"/>
      <c r="P538" s="58">
        <f t="shared" si="29"/>
        <v>7860937.48</v>
      </c>
      <c r="Q538" s="59" t="s">
        <v>669</v>
      </c>
    </row>
    <row r="539" ht="20" customHeight="1" spans="1:20">
      <c r="B539" s="42">
        <v>4</v>
      </c>
      <c r="C539" s="42">
        <v>30</v>
      </c>
      <c r="D539" s="74"/>
      <c r="E539" s="74" t="s">
        <v>543</v>
      </c>
      <c r="F539" s="75" t="s">
        <v>1101</v>
      </c>
      <c r="G539" s="56"/>
      <c r="H539" s="56">
        <v>150</v>
      </c>
      <c r="I539" s="56">
        <v>65</v>
      </c>
      <c r="J539" s="56"/>
      <c r="K539" s="56"/>
      <c r="L539" s="56"/>
      <c r="M539" s="56"/>
      <c r="N539" s="56">
        <f t="shared" si="30"/>
        <v>215</v>
      </c>
      <c r="O539" s="56"/>
      <c r="P539" s="58">
        <f t="shared" si="29"/>
        <v>7861152.48</v>
      </c>
      <c r="Q539" s="59" t="s">
        <v>669</v>
      </c>
      <c r="R539" s="3" t="s">
        <v>239</v>
      </c>
      <c r="S539" s="3">
        <f>SUM(N535:N539)+S534</f>
        <v>155258.06</v>
      </c>
    </row>
    <row r="540" ht="20" customHeight="1" spans="1:20">
      <c r="B540" s="68"/>
      <c r="C540" s="68"/>
      <c r="D540" s="74"/>
      <c r="E540" s="68"/>
      <c r="F540" s="70" t="s">
        <v>22</v>
      </c>
      <c r="G540" s="71">
        <f t="shared" ref="G540:O540" si="31">SUM(G385:G539)</f>
        <v>314353</v>
      </c>
      <c r="H540" s="71">
        <f t="shared" si="31"/>
        <v>14685</v>
      </c>
      <c r="I540" s="71">
        <f t="shared" si="31"/>
        <v>20836.48</v>
      </c>
      <c r="J540" s="71">
        <f t="shared" si="31"/>
        <v>38400</v>
      </c>
      <c r="K540" s="71">
        <f t="shared" si="31"/>
        <v>21475</v>
      </c>
      <c r="L540" s="71">
        <f t="shared" si="31"/>
        <v>0</v>
      </c>
      <c r="M540" s="65">
        <f t="shared" si="31"/>
        <v>238.03</v>
      </c>
      <c r="N540" s="71">
        <f t="shared" si="31"/>
        <v>616511.45</v>
      </c>
      <c r="O540" s="71">
        <f t="shared" si="31"/>
        <v>457367.47</v>
      </c>
      <c r="P540" s="71">
        <f>P384+N540-O540</f>
        <v>7859814.46</v>
      </c>
      <c r="Q540" s="71"/>
      <c r="R540" s="3">
        <f>P540-S539</f>
        <v>7704556.4</v>
      </c>
      <c r="T540" s="3">
        <f>N540-N474-N430</f>
        <v>521511.45</v>
      </c>
    </row>
    <row r="541" ht="20" customHeight="1" spans="1:20">
      <c r="B541" s="90">
        <v>5</v>
      </c>
      <c r="C541" s="90">
        <v>1</v>
      </c>
      <c r="D541" s="74"/>
      <c r="E541" s="86" t="s">
        <v>479</v>
      </c>
      <c r="F541" s="166" t="s">
        <v>1102</v>
      </c>
      <c r="G541" s="89">
        <v>7247</v>
      </c>
      <c r="H541" s="89"/>
      <c r="I541" s="89"/>
      <c r="J541" s="89"/>
      <c r="K541" s="89"/>
      <c r="L541" s="89"/>
      <c r="M541" s="89"/>
      <c r="N541" s="56">
        <f t="shared" ref="N541:N594" si="32">SUM(G541:L541)-M541</f>
        <v>7247</v>
      </c>
      <c r="O541" s="89"/>
      <c r="P541" s="61">
        <f t="shared" ref="P541:P548" si="33">P540+N541-O541</f>
        <v>7867061.46</v>
      </c>
      <c r="Q541" s="89"/>
    </row>
    <row r="542" ht="20" customHeight="1" spans="1:20">
      <c r="B542" s="90">
        <v>5</v>
      </c>
      <c r="C542" s="90">
        <v>2</v>
      </c>
      <c r="D542" s="74"/>
      <c r="E542" s="90" t="s">
        <v>967</v>
      </c>
      <c r="F542" s="166" t="s">
        <v>1103</v>
      </c>
      <c r="G542" s="89">
        <v>4800</v>
      </c>
      <c r="H542" s="89">
        <v>200</v>
      </c>
      <c r="I542" s="89"/>
      <c r="J542" s="89"/>
      <c r="K542" s="89"/>
      <c r="L542" s="89"/>
      <c r="M542" s="89"/>
      <c r="N542" s="56">
        <f t="shared" si="32"/>
        <v>5000</v>
      </c>
      <c r="O542" s="89"/>
      <c r="P542" s="61">
        <f t="shared" si="33"/>
        <v>7872061.46</v>
      </c>
      <c r="Q542" s="89"/>
    </row>
    <row r="543" ht="20" customHeight="1" spans="1:20">
      <c r="B543" s="90">
        <v>5</v>
      </c>
      <c r="C543" s="90">
        <v>3</v>
      </c>
      <c r="D543" s="74"/>
      <c r="E543" s="86" t="s">
        <v>497</v>
      </c>
      <c r="F543" s="166" t="s">
        <v>1104</v>
      </c>
      <c r="G543" s="89">
        <v>1300</v>
      </c>
      <c r="H543" s="89">
        <v>150</v>
      </c>
      <c r="I543" s="89">
        <v>43</v>
      </c>
      <c r="J543" s="89"/>
      <c r="K543" s="89"/>
      <c r="L543" s="89"/>
      <c r="M543" s="89"/>
      <c r="N543" s="56">
        <f t="shared" si="32"/>
        <v>1493</v>
      </c>
      <c r="O543" s="89"/>
      <c r="P543" s="61">
        <f t="shared" si="33"/>
        <v>7873554.46</v>
      </c>
      <c r="Q543" s="89"/>
    </row>
    <row r="544" ht="20" customHeight="1" spans="1:20">
      <c r="B544" s="42">
        <v>5</v>
      </c>
      <c r="C544" s="42">
        <v>5</v>
      </c>
      <c r="D544" s="74"/>
      <c r="E544" s="42"/>
      <c r="F544" s="45" t="s">
        <v>1105</v>
      </c>
      <c r="G544" s="56"/>
      <c r="H544" s="56"/>
      <c r="I544" s="56"/>
      <c r="J544" s="56"/>
      <c r="K544" s="56">
        <v>4430</v>
      </c>
      <c r="L544" s="56"/>
      <c r="M544" s="56">
        <v>9</v>
      </c>
      <c r="N544" s="56">
        <f t="shared" si="32"/>
        <v>4421</v>
      </c>
      <c r="O544" s="56"/>
      <c r="P544" s="61">
        <f t="shared" si="33"/>
        <v>7877975.46</v>
      </c>
      <c r="Q544" s="56"/>
    </row>
    <row r="545" ht="20" customHeight="1" spans="2:19">
      <c r="B545" s="42">
        <v>5</v>
      </c>
      <c r="C545" s="42">
        <v>5</v>
      </c>
      <c r="D545" s="74"/>
      <c r="E545" s="54" t="s">
        <v>790</v>
      </c>
      <c r="F545" s="45" t="s">
        <v>1106</v>
      </c>
      <c r="G545" s="56"/>
      <c r="H545" s="56">
        <v>150</v>
      </c>
      <c r="I545" s="56">
        <v>85</v>
      </c>
      <c r="J545" s="56"/>
      <c r="K545" s="56"/>
      <c r="L545" s="56"/>
      <c r="M545" s="56"/>
      <c r="N545" s="56">
        <f t="shared" si="32"/>
        <v>235</v>
      </c>
      <c r="O545" s="56"/>
      <c r="P545" s="58">
        <f t="shared" si="33"/>
        <v>7878210.46</v>
      </c>
      <c r="Q545" s="56"/>
    </row>
    <row r="546" ht="20" customHeight="1" spans="2:19">
      <c r="B546" s="42">
        <v>5</v>
      </c>
      <c r="C546" s="42">
        <v>5</v>
      </c>
      <c r="D546" s="74"/>
      <c r="E546" s="42" t="s">
        <v>965</v>
      </c>
      <c r="F546" s="45" t="s">
        <v>1107</v>
      </c>
      <c r="G546" s="56">
        <v>4000</v>
      </c>
      <c r="H546" s="56">
        <v>200</v>
      </c>
      <c r="I546" s="56">
        <v>150</v>
      </c>
      <c r="J546" s="56"/>
      <c r="K546" s="56"/>
      <c r="L546" s="56"/>
      <c r="M546" s="56"/>
      <c r="N546" s="56">
        <f t="shared" si="32"/>
        <v>4350</v>
      </c>
      <c r="O546" s="56"/>
      <c r="P546" s="58">
        <f t="shared" si="33"/>
        <v>7882560.46</v>
      </c>
      <c r="Q546" s="56"/>
      <c r="R546" s="3" t="s">
        <v>239</v>
      </c>
      <c r="S546" s="3">
        <f>SUM(N541:N546)+S539</f>
        <v>178004.06</v>
      </c>
    </row>
    <row r="547" ht="20" customHeight="1" spans="2:19">
      <c r="B547" s="42">
        <v>5</v>
      </c>
      <c r="C547" s="42">
        <v>7</v>
      </c>
      <c r="D547" s="74"/>
      <c r="E547" s="74" t="s">
        <v>581</v>
      </c>
      <c r="F547" s="45" t="s">
        <v>1053</v>
      </c>
      <c r="G547" s="56">
        <v>1500</v>
      </c>
      <c r="H547" s="56"/>
      <c r="I547" s="56"/>
      <c r="J547" s="56"/>
      <c r="K547" s="56"/>
      <c r="L547" s="56"/>
      <c r="M547" s="56"/>
      <c r="N547" s="56">
        <f t="shared" si="32"/>
        <v>1500</v>
      </c>
      <c r="O547" s="56"/>
      <c r="P547" s="58">
        <f t="shared" si="33"/>
        <v>7884060.46</v>
      </c>
      <c r="Q547" s="56"/>
    </row>
    <row r="548" ht="20" customHeight="1" spans="2:19">
      <c r="B548" s="42">
        <v>5</v>
      </c>
      <c r="C548" s="42">
        <v>8</v>
      </c>
      <c r="D548" s="74"/>
      <c r="E548" s="54" t="s">
        <v>1108</v>
      </c>
      <c r="F548" s="45" t="s">
        <v>1109</v>
      </c>
      <c r="G548" s="56"/>
      <c r="H548" s="56"/>
      <c r="I548" s="56">
        <v>94</v>
      </c>
      <c r="J548" s="56"/>
      <c r="K548" s="56"/>
      <c r="L548" s="56"/>
      <c r="M548" s="56"/>
      <c r="N548" s="56">
        <f t="shared" si="32"/>
        <v>94</v>
      </c>
      <c r="O548" s="56"/>
      <c r="P548" s="58">
        <f t="shared" si="33"/>
        <v>7884154.46</v>
      </c>
      <c r="Q548" s="56"/>
    </row>
    <row r="549" ht="20" customHeight="1" spans="2:19">
      <c r="B549" s="42">
        <v>5</v>
      </c>
      <c r="C549" s="42">
        <v>8</v>
      </c>
      <c r="D549" s="74"/>
      <c r="E549" s="74" t="s">
        <v>493</v>
      </c>
      <c r="F549" s="45" t="s">
        <v>1110</v>
      </c>
      <c r="G549" s="56">
        <v>7221</v>
      </c>
      <c r="H549" s="56">
        <v>200</v>
      </c>
      <c r="I549" s="56">
        <v>511</v>
      </c>
      <c r="J549" s="56"/>
      <c r="K549" s="56"/>
      <c r="L549" s="56"/>
      <c r="M549" s="56"/>
      <c r="N549" s="56">
        <f t="shared" si="32"/>
        <v>7932</v>
      </c>
      <c r="O549" s="56"/>
      <c r="P549" s="58">
        <f t="shared" ref="P549:P558" si="34">P546+N549-O549</f>
        <v>7890492.46</v>
      </c>
      <c r="Q549" s="56"/>
    </row>
    <row r="550" ht="20" customHeight="1" spans="2:19">
      <c r="B550" s="42">
        <v>5</v>
      </c>
      <c r="C550" s="42">
        <v>8</v>
      </c>
      <c r="D550" s="74"/>
      <c r="E550" s="74" t="s">
        <v>495</v>
      </c>
      <c r="F550" s="45" t="s">
        <v>1111</v>
      </c>
      <c r="G550" s="56">
        <v>6239</v>
      </c>
      <c r="H550" s="56">
        <v>200</v>
      </c>
      <c r="I550" s="56">
        <v>783</v>
      </c>
      <c r="J550" s="56"/>
      <c r="K550" s="56"/>
      <c r="L550" s="56"/>
      <c r="M550" s="56"/>
      <c r="N550" s="56">
        <f t="shared" si="32"/>
        <v>7222</v>
      </c>
      <c r="O550" s="56"/>
      <c r="P550" s="58">
        <f t="shared" si="34"/>
        <v>7891282.46</v>
      </c>
      <c r="Q550" s="56"/>
    </row>
    <row r="551" ht="20" customHeight="1" spans="2:19">
      <c r="B551" s="42">
        <v>5</v>
      </c>
      <c r="C551" s="42">
        <v>8</v>
      </c>
      <c r="D551" s="74"/>
      <c r="E551" s="54" t="s">
        <v>508</v>
      </c>
      <c r="F551" s="45" t="s">
        <v>1112</v>
      </c>
      <c r="G551" s="56">
        <v>6946</v>
      </c>
      <c r="H551" s="56">
        <v>200</v>
      </c>
      <c r="I551" s="56">
        <v>541</v>
      </c>
      <c r="J551" s="56"/>
      <c r="K551" s="56"/>
      <c r="L551" s="56"/>
      <c r="M551" s="56"/>
      <c r="N551" s="56">
        <f t="shared" si="32"/>
        <v>7687</v>
      </c>
      <c r="O551" s="56"/>
      <c r="P551" s="58">
        <f t="shared" si="34"/>
        <v>7891841.46</v>
      </c>
      <c r="Q551" s="56"/>
    </row>
    <row r="552" ht="20" customHeight="1" spans="2:19">
      <c r="B552" s="42">
        <v>5</v>
      </c>
      <c r="C552" s="42">
        <v>8</v>
      </c>
      <c r="D552" s="74"/>
      <c r="E552" s="74" t="s">
        <v>562</v>
      </c>
      <c r="F552" s="45" t="s">
        <v>1113</v>
      </c>
      <c r="G552" s="56"/>
      <c r="H552" s="56">
        <v>150</v>
      </c>
      <c r="I552" s="56">
        <v>85</v>
      </c>
      <c r="J552" s="56"/>
      <c r="K552" s="56"/>
      <c r="L552" s="56"/>
      <c r="M552" s="56"/>
      <c r="N552" s="56">
        <f t="shared" si="32"/>
        <v>235</v>
      </c>
      <c r="O552" s="56"/>
      <c r="P552" s="58">
        <f t="shared" si="34"/>
        <v>7890727.46</v>
      </c>
      <c r="Q552" s="56"/>
    </row>
    <row r="553" ht="20" customHeight="1" spans="2:19">
      <c r="B553" s="42">
        <v>5</v>
      </c>
      <c r="C553" s="42">
        <v>9</v>
      </c>
      <c r="D553" s="74"/>
      <c r="E553" s="74" t="s">
        <v>506</v>
      </c>
      <c r="F553" s="45" t="s">
        <v>1114</v>
      </c>
      <c r="G553" s="56">
        <v>7274</v>
      </c>
      <c r="H553" s="56">
        <v>200</v>
      </c>
      <c r="I553" s="56">
        <v>405</v>
      </c>
      <c r="J553" s="56"/>
      <c r="K553" s="56"/>
      <c r="L553" s="56"/>
      <c r="M553" s="56"/>
      <c r="N553" s="56">
        <f t="shared" si="32"/>
        <v>7879</v>
      </c>
      <c r="O553" s="56"/>
      <c r="P553" s="58">
        <f t="shared" si="34"/>
        <v>7899161.46</v>
      </c>
      <c r="Q553" s="56"/>
    </row>
    <row r="554" ht="20" customHeight="1" spans="2:19">
      <c r="B554" s="42">
        <v>5</v>
      </c>
      <c r="C554" s="42">
        <v>9</v>
      </c>
      <c r="D554" s="74"/>
      <c r="E554" s="54" t="s">
        <v>501</v>
      </c>
      <c r="F554" s="45" t="s">
        <v>1115</v>
      </c>
      <c r="G554" s="56">
        <v>1500</v>
      </c>
      <c r="H554" s="56">
        <v>150</v>
      </c>
      <c r="I554" s="56">
        <v>82</v>
      </c>
      <c r="J554" s="56"/>
      <c r="K554" s="56"/>
      <c r="L554" s="56"/>
      <c r="M554" s="56"/>
      <c r="N554" s="56">
        <f t="shared" si="32"/>
        <v>1732</v>
      </c>
      <c r="O554" s="56"/>
      <c r="P554" s="58">
        <f t="shared" si="34"/>
        <v>7893573.46</v>
      </c>
      <c r="Q554" s="56"/>
    </row>
    <row r="555" ht="20" customHeight="1" spans="2:19">
      <c r="B555" s="42">
        <v>5</v>
      </c>
      <c r="C555" s="42">
        <v>9</v>
      </c>
      <c r="D555" s="74"/>
      <c r="E555" s="74" t="s">
        <v>479</v>
      </c>
      <c r="F555" s="45" t="s">
        <v>1116</v>
      </c>
      <c r="G555" s="56"/>
      <c r="H555" s="56">
        <v>200</v>
      </c>
      <c r="I555" s="56">
        <v>574.6</v>
      </c>
      <c r="J555" s="56"/>
      <c r="K555" s="56"/>
      <c r="L555" s="56"/>
      <c r="M555" s="56"/>
      <c r="N555" s="56">
        <f t="shared" si="32"/>
        <v>774.6</v>
      </c>
      <c r="O555" s="56"/>
      <c r="P555" s="58">
        <f t="shared" si="34"/>
        <v>7891502.06</v>
      </c>
      <c r="Q555" s="56"/>
    </row>
    <row r="556" ht="20" customHeight="1" spans="2:19">
      <c r="B556" s="42">
        <v>5</v>
      </c>
      <c r="C556" s="42">
        <v>10</v>
      </c>
      <c r="D556" s="74"/>
      <c r="E556" s="74" t="s">
        <v>873</v>
      </c>
      <c r="F556" s="45" t="s">
        <v>1117</v>
      </c>
      <c r="G556" s="56">
        <v>4300</v>
      </c>
      <c r="H556" s="56">
        <v>200</v>
      </c>
      <c r="I556" s="56">
        <v>426</v>
      </c>
      <c r="J556" s="56"/>
      <c r="K556" s="56"/>
      <c r="L556" s="56"/>
      <c r="M556" s="56"/>
      <c r="N556" s="56">
        <f t="shared" si="32"/>
        <v>4926</v>
      </c>
      <c r="O556" s="56"/>
      <c r="P556" s="58">
        <f t="shared" si="34"/>
        <v>7904087.46</v>
      </c>
      <c r="Q556" s="56"/>
    </row>
    <row r="557" ht="20" customHeight="1" spans="2:19">
      <c r="B557" s="42">
        <v>5</v>
      </c>
      <c r="C557" s="42">
        <v>11</v>
      </c>
      <c r="D557" s="74"/>
      <c r="E557" s="54" t="s">
        <v>574</v>
      </c>
      <c r="F557" s="45" t="s">
        <v>1118</v>
      </c>
      <c r="G557" s="56">
        <v>7043</v>
      </c>
      <c r="H557" s="56">
        <v>200</v>
      </c>
      <c r="I557" s="56">
        <v>721</v>
      </c>
      <c r="J557" s="56"/>
      <c r="K557" s="56"/>
      <c r="L557" s="56"/>
      <c r="M557" s="56"/>
      <c r="N557" s="56">
        <f t="shared" si="32"/>
        <v>7964</v>
      </c>
      <c r="O557" s="56"/>
      <c r="P557" s="58">
        <f t="shared" si="34"/>
        <v>7901537.46</v>
      </c>
      <c r="Q557" s="56"/>
    </row>
    <row r="558" ht="20" customHeight="1" spans="2:19">
      <c r="B558" s="42">
        <v>5</v>
      </c>
      <c r="C558" s="42">
        <v>11</v>
      </c>
      <c r="D558" s="74"/>
      <c r="E558" s="42"/>
      <c r="F558" s="45" t="s">
        <v>1119</v>
      </c>
      <c r="G558" s="56"/>
      <c r="H558" s="56"/>
      <c r="I558" s="56"/>
      <c r="J558" s="56"/>
      <c r="K558" s="56">
        <v>6320</v>
      </c>
      <c r="L558" s="56"/>
      <c r="M558" s="56">
        <v>39.62</v>
      </c>
      <c r="N558" s="56">
        <f t="shared" si="32"/>
        <v>6280.38</v>
      </c>
      <c r="O558" s="56"/>
      <c r="P558" s="58">
        <f t="shared" si="34"/>
        <v>7897782.44</v>
      </c>
      <c r="Q558" s="59" t="s">
        <v>669</v>
      </c>
    </row>
    <row r="559" ht="20" customHeight="1" spans="2:19">
      <c r="B559" s="42">
        <v>5</v>
      </c>
      <c r="C559" s="42">
        <v>11</v>
      </c>
      <c r="D559" s="74"/>
      <c r="E559" s="54" t="s">
        <v>716</v>
      </c>
      <c r="F559" s="45" t="s">
        <v>1120</v>
      </c>
      <c r="G559" s="56">
        <v>5100</v>
      </c>
      <c r="H559" s="56"/>
      <c r="I559" s="56">
        <v>104</v>
      </c>
      <c r="J559" s="56"/>
      <c r="K559" s="56"/>
      <c r="L559" s="56"/>
      <c r="M559" s="56"/>
      <c r="N559" s="56">
        <f t="shared" si="32"/>
        <v>5204</v>
      </c>
      <c r="O559" s="56"/>
      <c r="P559" s="58">
        <f>P557+N559-O559</f>
        <v>7906741.46</v>
      </c>
      <c r="Q559" s="59" t="s">
        <v>669</v>
      </c>
    </row>
    <row r="560" ht="20" customHeight="1" spans="2:19">
      <c r="B560" s="42">
        <v>5</v>
      </c>
      <c r="C560" s="42">
        <v>11</v>
      </c>
      <c r="D560" s="74"/>
      <c r="E560" s="42" t="s">
        <v>716</v>
      </c>
      <c r="F560" s="45" t="s">
        <v>1121</v>
      </c>
      <c r="G560" s="56"/>
      <c r="H560" s="56"/>
      <c r="I560" s="56">
        <v>223</v>
      </c>
      <c r="J560" s="56"/>
      <c r="K560" s="56"/>
      <c r="L560" s="56"/>
      <c r="M560" s="56"/>
      <c r="N560" s="56">
        <f t="shared" si="32"/>
        <v>223</v>
      </c>
      <c r="O560" s="56"/>
      <c r="P560" s="58">
        <f>P558+N560-O560</f>
        <v>7898005.44</v>
      </c>
      <c r="Q560" s="59" t="s">
        <v>669</v>
      </c>
    </row>
    <row r="561" ht="20" customHeight="1" spans="2:17">
      <c r="B561" s="42">
        <v>5</v>
      </c>
      <c r="C561" s="42">
        <v>11</v>
      </c>
      <c r="D561" s="74"/>
      <c r="E561" s="42" t="s">
        <v>716</v>
      </c>
      <c r="F561" s="45" t="s">
        <v>1122</v>
      </c>
      <c r="G561" s="56"/>
      <c r="H561" s="56"/>
      <c r="I561" s="56">
        <v>206</v>
      </c>
      <c r="J561" s="56"/>
      <c r="K561" s="56"/>
      <c r="L561" s="56"/>
      <c r="M561" s="56"/>
      <c r="N561" s="56">
        <f t="shared" si="32"/>
        <v>206</v>
      </c>
      <c r="O561" s="56"/>
      <c r="P561" s="58">
        <f>P559+N561-O561</f>
        <v>7906947.46</v>
      </c>
      <c r="Q561" s="59" t="s">
        <v>669</v>
      </c>
    </row>
    <row r="562" ht="20" customHeight="1" spans="2:17">
      <c r="B562" s="42">
        <v>5</v>
      </c>
      <c r="C562" s="42">
        <v>11</v>
      </c>
      <c r="D562" s="74"/>
      <c r="E562" s="54" t="s">
        <v>566</v>
      </c>
      <c r="F562" s="45" t="s">
        <v>1123</v>
      </c>
      <c r="G562" s="56">
        <v>2400</v>
      </c>
      <c r="H562" s="56"/>
      <c r="I562" s="56">
        <v>124</v>
      </c>
      <c r="J562" s="56"/>
      <c r="K562" s="56"/>
      <c r="L562" s="56"/>
      <c r="M562" s="56"/>
      <c r="N562" s="56">
        <f t="shared" si="32"/>
        <v>2524</v>
      </c>
      <c r="O562" s="56"/>
      <c r="P562" s="58">
        <f t="shared" ref="P562:P573" si="35">P559+N562-O562</f>
        <v>7909265.46</v>
      </c>
      <c r="Q562" s="59" t="s">
        <v>669</v>
      </c>
    </row>
    <row r="563" ht="20" customHeight="1" spans="2:17">
      <c r="B563" s="42">
        <v>5</v>
      </c>
      <c r="C563" s="42">
        <v>11</v>
      </c>
      <c r="D563" s="74"/>
      <c r="E563" s="74" t="s">
        <v>558</v>
      </c>
      <c r="F563" s="45" t="s">
        <v>1124</v>
      </c>
      <c r="G563" s="56">
        <v>1400</v>
      </c>
      <c r="H563" s="56">
        <v>150</v>
      </c>
      <c r="I563" s="56">
        <v>76</v>
      </c>
      <c r="J563" s="56"/>
      <c r="K563" s="56"/>
      <c r="L563" s="56"/>
      <c r="M563" s="56"/>
      <c r="N563" s="56">
        <f t="shared" si="32"/>
        <v>1626</v>
      </c>
      <c r="O563" s="56"/>
      <c r="P563" s="58">
        <f t="shared" si="35"/>
        <v>7899631.44</v>
      </c>
      <c r="Q563" s="59" t="s">
        <v>669</v>
      </c>
    </row>
    <row r="564" ht="20" customHeight="1" spans="2:17">
      <c r="B564" s="42">
        <v>5</v>
      </c>
      <c r="C564" s="42">
        <v>11</v>
      </c>
      <c r="D564" s="74"/>
      <c r="E564" s="74" t="s">
        <v>881</v>
      </c>
      <c r="F564" s="45" t="s">
        <v>1125</v>
      </c>
      <c r="G564" s="56"/>
      <c r="H564" s="56"/>
      <c r="I564" s="56">
        <v>89</v>
      </c>
      <c r="J564" s="56"/>
      <c r="K564" s="56"/>
      <c r="L564" s="56"/>
      <c r="M564" s="56"/>
      <c r="N564" s="56">
        <f t="shared" si="32"/>
        <v>89</v>
      </c>
      <c r="O564" s="56"/>
      <c r="P564" s="58">
        <f t="shared" si="35"/>
        <v>7907036.46</v>
      </c>
      <c r="Q564" s="59" t="s">
        <v>669</v>
      </c>
    </row>
    <row r="565" ht="20" customHeight="1" spans="2:17">
      <c r="B565" s="42">
        <v>5</v>
      </c>
      <c r="C565" s="42">
        <v>11</v>
      </c>
      <c r="D565" s="74"/>
      <c r="E565" s="54" t="s">
        <v>535</v>
      </c>
      <c r="F565" s="45" t="s">
        <v>1126</v>
      </c>
      <c r="G565" s="56">
        <v>1400</v>
      </c>
      <c r="H565" s="56">
        <v>150</v>
      </c>
      <c r="I565" s="56">
        <v>217</v>
      </c>
      <c r="J565" s="56"/>
      <c r="K565" s="56"/>
      <c r="L565" s="56"/>
      <c r="M565" s="56"/>
      <c r="N565" s="56">
        <f t="shared" si="32"/>
        <v>1767</v>
      </c>
      <c r="O565" s="56"/>
      <c r="P565" s="58">
        <f t="shared" si="35"/>
        <v>7911032.46</v>
      </c>
      <c r="Q565" s="59" t="s">
        <v>669</v>
      </c>
    </row>
    <row r="566" ht="20" customHeight="1" spans="2:17">
      <c r="B566" s="42">
        <v>5</v>
      </c>
      <c r="C566" s="42">
        <v>11</v>
      </c>
      <c r="D566" s="74"/>
      <c r="E566" s="74" t="s">
        <v>537</v>
      </c>
      <c r="F566" s="45" t="s">
        <v>1127</v>
      </c>
      <c r="G566" s="56"/>
      <c r="H566" s="56">
        <v>150</v>
      </c>
      <c r="I566" s="56">
        <v>101</v>
      </c>
      <c r="J566" s="56"/>
      <c r="K566" s="56"/>
      <c r="L566" s="56"/>
      <c r="M566" s="56"/>
      <c r="N566" s="56">
        <f t="shared" si="32"/>
        <v>251</v>
      </c>
      <c r="O566" s="56"/>
      <c r="P566" s="58">
        <f t="shared" si="35"/>
        <v>7899882.44</v>
      </c>
      <c r="Q566" s="59" t="s">
        <v>669</v>
      </c>
    </row>
    <row r="567" ht="20" customHeight="1" spans="2:17">
      <c r="B567" s="42">
        <v>5</v>
      </c>
      <c r="C567" s="42">
        <v>11</v>
      </c>
      <c r="D567" s="74"/>
      <c r="E567" s="74" t="s">
        <v>602</v>
      </c>
      <c r="F567" s="45" t="s">
        <v>1128</v>
      </c>
      <c r="G567" s="56">
        <v>1350</v>
      </c>
      <c r="H567" s="56"/>
      <c r="I567" s="56">
        <v>96</v>
      </c>
      <c r="J567" s="56"/>
      <c r="K567" s="56"/>
      <c r="L567" s="56"/>
      <c r="M567" s="56"/>
      <c r="N567" s="56">
        <f t="shared" si="32"/>
        <v>1446</v>
      </c>
      <c r="O567" s="56"/>
      <c r="P567" s="58">
        <f t="shared" si="35"/>
        <v>7908482.46</v>
      </c>
      <c r="Q567" s="59" t="s">
        <v>669</v>
      </c>
    </row>
    <row r="568" ht="20" customHeight="1" spans="2:17">
      <c r="B568" s="42">
        <v>5</v>
      </c>
      <c r="C568" s="42">
        <v>11</v>
      </c>
      <c r="D568" s="74"/>
      <c r="E568" s="54" t="s">
        <v>539</v>
      </c>
      <c r="F568" s="45" t="s">
        <v>1129</v>
      </c>
      <c r="G568" s="56"/>
      <c r="H568" s="56">
        <v>150</v>
      </c>
      <c r="I568" s="56">
        <v>62</v>
      </c>
      <c r="J568" s="56"/>
      <c r="K568" s="56"/>
      <c r="L568" s="56"/>
      <c r="M568" s="56"/>
      <c r="N568" s="56">
        <f t="shared" si="32"/>
        <v>212</v>
      </c>
      <c r="O568" s="56"/>
      <c r="P568" s="58">
        <f t="shared" si="35"/>
        <v>7911244.46</v>
      </c>
      <c r="Q568" s="59" t="s">
        <v>669</v>
      </c>
    </row>
    <row r="569" ht="20" customHeight="1" spans="2:17">
      <c r="B569" s="42">
        <v>5</v>
      </c>
      <c r="C569" s="42">
        <v>11</v>
      </c>
      <c r="D569" s="74"/>
      <c r="E569" s="74" t="s">
        <v>548</v>
      </c>
      <c r="F569" s="45" t="s">
        <v>1130</v>
      </c>
      <c r="G569" s="56">
        <v>1700</v>
      </c>
      <c r="H569" s="56">
        <v>150</v>
      </c>
      <c r="I569" s="56">
        <v>104</v>
      </c>
      <c r="J569" s="56"/>
      <c r="K569" s="56"/>
      <c r="L569" s="56"/>
      <c r="M569" s="56"/>
      <c r="N569" s="56">
        <f t="shared" si="32"/>
        <v>1954</v>
      </c>
      <c r="O569" s="56"/>
      <c r="P569" s="58">
        <f t="shared" si="35"/>
        <v>7901836.44</v>
      </c>
      <c r="Q569" s="59" t="s">
        <v>669</v>
      </c>
    </row>
    <row r="570" ht="20" customHeight="1" spans="2:17">
      <c r="B570" s="42">
        <v>5</v>
      </c>
      <c r="C570" s="42">
        <v>11</v>
      </c>
      <c r="D570" s="74"/>
      <c r="E570" s="74" t="s">
        <v>531</v>
      </c>
      <c r="F570" s="45" t="s">
        <v>1131</v>
      </c>
      <c r="G570" s="56"/>
      <c r="H570" s="56">
        <v>150</v>
      </c>
      <c r="I570" s="56">
        <v>73</v>
      </c>
      <c r="J570" s="56"/>
      <c r="K570" s="56"/>
      <c r="L570" s="56"/>
      <c r="M570" s="56"/>
      <c r="N570" s="56">
        <f t="shared" si="32"/>
        <v>223</v>
      </c>
      <c r="O570" s="56"/>
      <c r="P570" s="58">
        <f t="shared" si="35"/>
        <v>7908705.46</v>
      </c>
      <c r="Q570" s="59" t="s">
        <v>669</v>
      </c>
    </row>
    <row r="571" ht="20" customHeight="1" spans="2:17">
      <c r="B571" s="42">
        <v>5</v>
      </c>
      <c r="C571" s="42">
        <v>11</v>
      </c>
      <c r="D571" s="74"/>
      <c r="E571" s="54" t="s">
        <v>545</v>
      </c>
      <c r="F571" s="45" t="s">
        <v>1132</v>
      </c>
      <c r="G571" s="56">
        <v>1500</v>
      </c>
      <c r="H571" s="56">
        <v>150</v>
      </c>
      <c r="I571" s="56">
        <v>98</v>
      </c>
      <c r="J571" s="56"/>
      <c r="K571" s="56"/>
      <c r="L571" s="56"/>
      <c r="M571" s="56"/>
      <c r="N571" s="56">
        <f t="shared" si="32"/>
        <v>1748</v>
      </c>
      <c r="O571" s="56"/>
      <c r="P571" s="58">
        <f t="shared" si="35"/>
        <v>7912992.46</v>
      </c>
      <c r="Q571" s="59" t="s">
        <v>669</v>
      </c>
    </row>
    <row r="572" ht="20" customHeight="1" spans="2:17">
      <c r="B572" s="42">
        <v>5</v>
      </c>
      <c r="C572" s="42">
        <v>11</v>
      </c>
      <c r="D572" s="74"/>
      <c r="E572" s="74" t="s">
        <v>1133</v>
      </c>
      <c r="F572" s="45" t="s">
        <v>1134</v>
      </c>
      <c r="G572" s="56"/>
      <c r="H572" s="56">
        <v>150</v>
      </c>
      <c r="I572" s="56">
        <v>92</v>
      </c>
      <c r="J572" s="56"/>
      <c r="K572" s="56"/>
      <c r="L572" s="56"/>
      <c r="M572" s="56"/>
      <c r="N572" s="56">
        <f t="shared" si="32"/>
        <v>242</v>
      </c>
      <c r="O572" s="56"/>
      <c r="P572" s="58">
        <f t="shared" si="35"/>
        <v>7902078.44</v>
      </c>
      <c r="Q572" s="59" t="s">
        <v>669</v>
      </c>
    </row>
    <row r="573" ht="20" customHeight="1" spans="2:17">
      <c r="B573" s="42">
        <v>5</v>
      </c>
      <c r="C573" s="42">
        <v>11</v>
      </c>
      <c r="D573" s="74"/>
      <c r="E573" s="74" t="s">
        <v>1133</v>
      </c>
      <c r="F573" s="45" t="s">
        <v>1135</v>
      </c>
      <c r="G573" s="56">
        <v>2000</v>
      </c>
      <c r="H573" s="56"/>
      <c r="I573" s="56"/>
      <c r="J573" s="56"/>
      <c r="K573" s="56"/>
      <c r="L573" s="56"/>
      <c r="M573" s="56"/>
      <c r="N573" s="56">
        <f t="shared" si="32"/>
        <v>2000</v>
      </c>
      <c r="O573" s="56"/>
      <c r="P573" s="58">
        <f t="shared" si="35"/>
        <v>7910705.46</v>
      </c>
      <c r="Q573" s="59" t="s">
        <v>669</v>
      </c>
    </row>
    <row r="574" ht="20" customHeight="1" spans="2:17">
      <c r="B574" s="42">
        <v>5</v>
      </c>
      <c r="C574" s="42">
        <v>11</v>
      </c>
      <c r="D574" s="74"/>
      <c r="E574" s="74" t="s">
        <v>564</v>
      </c>
      <c r="F574" s="45" t="s">
        <v>1136</v>
      </c>
      <c r="G574" s="56"/>
      <c r="H574" s="56"/>
      <c r="I574" s="56">
        <v>232</v>
      </c>
      <c r="J574" s="56"/>
      <c r="K574" s="56"/>
      <c r="L574" s="56"/>
      <c r="M574" s="56"/>
      <c r="N574" s="56">
        <f t="shared" si="32"/>
        <v>232</v>
      </c>
      <c r="O574" s="56"/>
      <c r="P574" s="58">
        <f>P570+N574-O574</f>
        <v>7908937.46</v>
      </c>
      <c r="Q574" s="59" t="s">
        <v>669</v>
      </c>
    </row>
    <row r="575" ht="20" customHeight="1" spans="2:17">
      <c r="B575" s="42">
        <v>5</v>
      </c>
      <c r="C575" s="42">
        <v>11</v>
      </c>
      <c r="D575" s="74"/>
      <c r="E575" s="54" t="s">
        <v>522</v>
      </c>
      <c r="F575" s="45" t="s">
        <v>1137</v>
      </c>
      <c r="G575" s="56">
        <v>1500</v>
      </c>
      <c r="H575" s="56">
        <v>150</v>
      </c>
      <c r="I575" s="56">
        <v>50</v>
      </c>
      <c r="J575" s="56"/>
      <c r="K575" s="56"/>
      <c r="L575" s="56"/>
      <c r="M575" s="56"/>
      <c r="N575" s="56">
        <f t="shared" si="32"/>
        <v>1700</v>
      </c>
      <c r="O575" s="56"/>
      <c r="P575" s="58">
        <f>P571+N575-O575</f>
        <v>7914692.46</v>
      </c>
      <c r="Q575" s="59" t="s">
        <v>669</v>
      </c>
    </row>
    <row r="576" ht="20" customHeight="1" spans="2:17">
      <c r="B576" s="42">
        <v>5</v>
      </c>
      <c r="C576" s="42">
        <v>11</v>
      </c>
      <c r="D576" s="74"/>
      <c r="E576" s="74" t="s">
        <v>543</v>
      </c>
      <c r="F576" s="45" t="s">
        <v>1138</v>
      </c>
      <c r="G576" s="56"/>
      <c r="H576" s="56"/>
      <c r="I576" s="56">
        <v>62</v>
      </c>
      <c r="J576" s="56"/>
      <c r="K576" s="56"/>
      <c r="L576" s="56"/>
      <c r="M576" s="56"/>
      <c r="N576" s="56">
        <f t="shared" si="32"/>
        <v>62</v>
      </c>
      <c r="O576" s="56"/>
      <c r="P576" s="58">
        <f>P572+N576-O576</f>
        <v>7902140.44</v>
      </c>
      <c r="Q576" s="59" t="s">
        <v>669</v>
      </c>
    </row>
    <row r="577" ht="20" customHeight="1" spans="2:21">
      <c r="B577" s="42">
        <v>5</v>
      </c>
      <c r="C577" s="42">
        <v>11</v>
      </c>
      <c r="D577" s="74"/>
      <c r="E577" s="74" t="s">
        <v>615</v>
      </c>
      <c r="F577" s="45" t="s">
        <v>1139</v>
      </c>
      <c r="G577" s="56"/>
      <c r="H577" s="56">
        <v>150</v>
      </c>
      <c r="I577" s="56">
        <v>31</v>
      </c>
      <c r="J577" s="56"/>
      <c r="K577" s="56"/>
      <c r="L577" s="56"/>
      <c r="M577" s="56"/>
      <c r="N577" s="56">
        <f t="shared" si="32"/>
        <v>181</v>
      </c>
      <c r="O577" s="56"/>
      <c r="P577" s="58">
        <f t="shared" ref="P577:P584" si="36">P574+N577-O577</f>
        <v>7909118.46</v>
      </c>
      <c r="Q577" s="59" t="s">
        <v>669</v>
      </c>
    </row>
    <row r="578" ht="20" customHeight="1" spans="2:21">
      <c r="B578" s="42">
        <v>5</v>
      </c>
      <c r="C578" s="42">
        <v>11</v>
      </c>
      <c r="D578" s="74"/>
      <c r="E578" s="54" t="s">
        <v>597</v>
      </c>
      <c r="F578" s="45" t="s">
        <v>1140</v>
      </c>
      <c r="G578" s="56">
        <v>1500</v>
      </c>
      <c r="H578" s="56">
        <v>150</v>
      </c>
      <c r="I578" s="56">
        <v>85</v>
      </c>
      <c r="J578" s="56"/>
      <c r="K578" s="56"/>
      <c r="L578" s="56"/>
      <c r="M578" s="56"/>
      <c r="N578" s="56">
        <f t="shared" si="32"/>
        <v>1735</v>
      </c>
      <c r="O578" s="56"/>
      <c r="P578" s="58">
        <f t="shared" si="36"/>
        <v>7916427.46</v>
      </c>
      <c r="Q578" s="59" t="s">
        <v>669</v>
      </c>
    </row>
    <row r="579" ht="20" customHeight="1" spans="2:21">
      <c r="B579" s="42">
        <v>5</v>
      </c>
      <c r="C579" s="42">
        <v>11</v>
      </c>
      <c r="D579" s="74"/>
      <c r="E579" s="74" t="s">
        <v>701</v>
      </c>
      <c r="F579" s="45" t="s">
        <v>1141</v>
      </c>
      <c r="G579" s="56"/>
      <c r="H579" s="56"/>
      <c r="I579" s="56">
        <v>80</v>
      </c>
      <c r="J579" s="56"/>
      <c r="K579" s="56"/>
      <c r="L579" s="56"/>
      <c r="M579" s="56"/>
      <c r="N579" s="56">
        <f t="shared" si="32"/>
        <v>80</v>
      </c>
      <c r="O579" s="56"/>
      <c r="P579" s="58">
        <f t="shared" si="36"/>
        <v>7902220.44</v>
      </c>
      <c r="Q579" s="59" t="s">
        <v>669</v>
      </c>
    </row>
    <row r="580" ht="20" customHeight="1" spans="2:21">
      <c r="B580" s="42">
        <v>5</v>
      </c>
      <c r="C580" s="42">
        <v>11</v>
      </c>
      <c r="D580" s="74"/>
      <c r="E580" s="74" t="s">
        <v>533</v>
      </c>
      <c r="F580" s="45" t="s">
        <v>1142</v>
      </c>
      <c r="G580" s="56"/>
      <c r="H580" s="56">
        <v>150</v>
      </c>
      <c r="I580" s="56">
        <v>50</v>
      </c>
      <c r="J580" s="56"/>
      <c r="K580" s="56"/>
      <c r="L580" s="56"/>
      <c r="M580" s="56"/>
      <c r="N580" s="56">
        <f t="shared" si="32"/>
        <v>200</v>
      </c>
      <c r="O580" s="56"/>
      <c r="P580" s="58">
        <f t="shared" si="36"/>
        <v>7909318.46</v>
      </c>
      <c r="Q580" s="59" t="s">
        <v>669</v>
      </c>
    </row>
    <row r="581" ht="20" customHeight="1" spans="2:21">
      <c r="B581" s="42">
        <v>5</v>
      </c>
      <c r="C581" s="42">
        <v>11</v>
      </c>
      <c r="D581" s="74"/>
      <c r="E581" s="54" t="s">
        <v>599</v>
      </c>
      <c r="F581" s="45" t="s">
        <v>1143</v>
      </c>
      <c r="G581" s="56"/>
      <c r="H581" s="56">
        <v>150</v>
      </c>
      <c r="I581" s="56">
        <v>139</v>
      </c>
      <c r="J581" s="56"/>
      <c r="K581" s="56"/>
      <c r="L581" s="56"/>
      <c r="M581" s="56"/>
      <c r="N581" s="56">
        <f t="shared" si="32"/>
        <v>289</v>
      </c>
      <c r="O581" s="56"/>
      <c r="P581" s="58">
        <f t="shared" si="36"/>
        <v>7916716.46</v>
      </c>
      <c r="Q581" s="59" t="s">
        <v>669</v>
      </c>
    </row>
    <row r="582" ht="20" customHeight="1" spans="2:21">
      <c r="B582" s="42">
        <v>5</v>
      </c>
      <c r="C582" s="42">
        <v>11</v>
      </c>
      <c r="D582" s="74"/>
      <c r="E582" s="42" t="s">
        <v>568</v>
      </c>
      <c r="F582" s="45" t="s">
        <v>1144</v>
      </c>
      <c r="G582" s="56">
        <v>2400</v>
      </c>
      <c r="H582" s="56"/>
      <c r="I582" s="56">
        <v>107</v>
      </c>
      <c r="J582" s="56"/>
      <c r="K582" s="56"/>
      <c r="L582" s="56"/>
      <c r="M582" s="56"/>
      <c r="N582" s="56">
        <f t="shared" si="32"/>
        <v>2507</v>
      </c>
      <c r="O582" s="56"/>
      <c r="P582" s="58">
        <f t="shared" si="36"/>
        <v>7904727.44</v>
      </c>
      <c r="Q582" s="59" t="s">
        <v>669</v>
      </c>
    </row>
    <row r="583" ht="20" customHeight="1" spans="2:21">
      <c r="B583" s="42">
        <v>5</v>
      </c>
      <c r="C583" s="42">
        <v>11</v>
      </c>
      <c r="D583" s="74"/>
      <c r="E583" s="74" t="s">
        <v>556</v>
      </c>
      <c r="F583" s="45" t="s">
        <v>1145</v>
      </c>
      <c r="G583" s="56">
        <v>2500</v>
      </c>
      <c r="H583" s="56">
        <v>150</v>
      </c>
      <c r="I583" s="56">
        <v>50</v>
      </c>
      <c r="J583" s="56"/>
      <c r="K583" s="56"/>
      <c r="L583" s="56"/>
      <c r="M583" s="56"/>
      <c r="N583" s="56">
        <f t="shared" si="32"/>
        <v>2700</v>
      </c>
      <c r="O583" s="56"/>
      <c r="P583" s="58">
        <f t="shared" si="36"/>
        <v>7912018.46</v>
      </c>
      <c r="Q583" s="59" t="s">
        <v>669</v>
      </c>
    </row>
    <row r="584" ht="20" customHeight="1" spans="2:21">
      <c r="B584" s="42">
        <v>5</v>
      </c>
      <c r="C584" s="42">
        <v>11</v>
      </c>
      <c r="D584" s="74"/>
      <c r="E584" s="54" t="s">
        <v>613</v>
      </c>
      <c r="F584" s="45" t="s">
        <v>1146</v>
      </c>
      <c r="G584" s="56">
        <v>3675</v>
      </c>
      <c r="H584" s="56"/>
      <c r="I584" s="56">
        <v>266</v>
      </c>
      <c r="J584" s="56"/>
      <c r="K584" s="56"/>
      <c r="L584" s="56"/>
      <c r="M584" s="56"/>
      <c r="N584" s="56">
        <f t="shared" si="32"/>
        <v>3941</v>
      </c>
      <c r="O584" s="56"/>
      <c r="P584" s="58">
        <f t="shared" si="36"/>
        <v>7920657.46</v>
      </c>
      <c r="Q584" s="59" t="s">
        <v>669</v>
      </c>
    </row>
    <row r="585" ht="20" customHeight="1" spans="2:21">
      <c r="B585" s="42">
        <v>5</v>
      </c>
      <c r="C585" s="42">
        <v>11</v>
      </c>
      <c r="D585" s="74" t="s">
        <v>103</v>
      </c>
      <c r="E585" s="42"/>
      <c r="F585" s="45" t="s">
        <v>808</v>
      </c>
      <c r="G585" s="56"/>
      <c r="H585" s="56"/>
      <c r="I585" s="56"/>
      <c r="J585" s="56"/>
      <c r="K585" s="56"/>
      <c r="L585" s="56"/>
      <c r="M585" s="56"/>
      <c r="N585" s="56">
        <f t="shared" si="32"/>
        <v>0</v>
      </c>
      <c r="O585" s="56">
        <v>50</v>
      </c>
      <c r="P585" s="58">
        <f t="shared" ref="P585:P648" si="37">P584+N585-O585</f>
        <v>7920607.46</v>
      </c>
      <c r="Q585" s="56"/>
    </row>
    <row r="586" ht="20" customHeight="1" spans="2:21">
      <c r="B586" s="42">
        <v>5</v>
      </c>
      <c r="C586" s="42">
        <v>11</v>
      </c>
      <c r="D586" s="74" t="s">
        <v>124</v>
      </c>
      <c r="E586" s="54" t="s">
        <v>486</v>
      </c>
      <c r="F586" s="45" t="s">
        <v>1147</v>
      </c>
      <c r="G586" s="56"/>
      <c r="H586" s="56"/>
      <c r="I586" s="56"/>
      <c r="J586" s="56"/>
      <c r="K586" s="56"/>
      <c r="L586" s="56"/>
      <c r="M586" s="56"/>
      <c r="N586" s="56">
        <f t="shared" si="32"/>
        <v>0</v>
      </c>
      <c r="O586" s="56">
        <v>5164.75</v>
      </c>
      <c r="P586" s="58">
        <f t="shared" si="37"/>
        <v>7915442.71</v>
      </c>
      <c r="Q586" s="56"/>
    </row>
    <row r="587" ht="20" customHeight="1" spans="2:21">
      <c r="B587" s="42">
        <v>5</v>
      </c>
      <c r="C587" s="42">
        <v>12</v>
      </c>
      <c r="D587" s="74"/>
      <c r="E587" s="74" t="s">
        <v>514</v>
      </c>
      <c r="F587" s="45" t="s">
        <v>1148</v>
      </c>
      <c r="G587" s="56">
        <v>7715</v>
      </c>
      <c r="H587" s="56">
        <v>200</v>
      </c>
      <c r="I587" s="56">
        <v>680</v>
      </c>
      <c r="J587" s="56"/>
      <c r="K587" s="56"/>
      <c r="L587" s="56"/>
      <c r="M587" s="56"/>
      <c r="N587" s="56">
        <f t="shared" si="32"/>
        <v>8595</v>
      </c>
      <c r="O587" s="56"/>
      <c r="P587" s="58">
        <f t="shared" si="37"/>
        <v>7924037.71</v>
      </c>
      <c r="Q587" s="56"/>
      <c r="R587" s="3" t="s">
        <v>239</v>
      </c>
      <c r="S587" s="3">
        <f>SUM(N547:N587)-O585-O586+S546</f>
        <v>268952.29</v>
      </c>
      <c r="T587" s="2"/>
      <c r="U587" s="2"/>
    </row>
    <row r="588" ht="20" customHeight="1" spans="2:21">
      <c r="B588" s="42">
        <v>5</v>
      </c>
      <c r="C588" s="42">
        <v>13</v>
      </c>
      <c r="D588" s="74"/>
      <c r="E588" s="42" t="s">
        <v>581</v>
      </c>
      <c r="F588" s="45" t="s">
        <v>1149</v>
      </c>
      <c r="G588" s="56">
        <v>277</v>
      </c>
      <c r="H588" s="56">
        <v>150</v>
      </c>
      <c r="I588" s="56">
        <v>73</v>
      </c>
      <c r="J588" s="56"/>
      <c r="K588" s="56"/>
      <c r="L588" s="56"/>
      <c r="M588" s="56"/>
      <c r="N588" s="56">
        <f t="shared" si="32"/>
        <v>500</v>
      </c>
      <c r="O588" s="56"/>
      <c r="P588" s="58">
        <f t="shared" si="37"/>
        <v>7924537.71</v>
      </c>
      <c r="Q588" s="56"/>
    </row>
    <row r="589" ht="20" customHeight="1" spans="2:21">
      <c r="B589" s="42">
        <v>5</v>
      </c>
      <c r="C589" s="42">
        <v>13</v>
      </c>
      <c r="D589" s="74"/>
      <c r="E589" s="54" t="s">
        <v>653</v>
      </c>
      <c r="F589" s="45" t="s">
        <v>1150</v>
      </c>
      <c r="G589" s="56">
        <v>8100</v>
      </c>
      <c r="H589" s="56">
        <v>200</v>
      </c>
      <c r="I589" s="56">
        <v>279</v>
      </c>
      <c r="J589" s="56"/>
      <c r="K589" s="56"/>
      <c r="L589" s="56"/>
      <c r="M589" s="56"/>
      <c r="N589" s="56">
        <f t="shared" si="32"/>
        <v>8579</v>
      </c>
      <c r="O589" s="56"/>
      <c r="P589" s="58">
        <f t="shared" si="37"/>
        <v>7933116.71</v>
      </c>
      <c r="Q589" s="56"/>
    </row>
    <row r="590" ht="20" customHeight="1" spans="2:21">
      <c r="B590" s="42">
        <v>5</v>
      </c>
      <c r="C590" s="42">
        <v>13</v>
      </c>
      <c r="D590" s="74"/>
      <c r="E590" s="42" t="s">
        <v>579</v>
      </c>
      <c r="F590" s="45" t="s">
        <v>1151</v>
      </c>
      <c r="G590" s="56">
        <v>5959</v>
      </c>
      <c r="H590" s="56">
        <v>200</v>
      </c>
      <c r="I590" s="56">
        <v>2543</v>
      </c>
      <c r="J590" s="56"/>
      <c r="K590" s="56"/>
      <c r="L590" s="56"/>
      <c r="M590" s="56"/>
      <c r="N590" s="56">
        <f t="shared" si="32"/>
        <v>8702</v>
      </c>
      <c r="O590" s="56"/>
      <c r="P590" s="58">
        <f t="shared" si="37"/>
        <v>7941818.71</v>
      </c>
      <c r="Q590" s="56"/>
    </row>
    <row r="591" ht="20" customHeight="1" spans="2:21">
      <c r="B591" s="42">
        <v>5</v>
      </c>
      <c r="C591" s="42">
        <v>13</v>
      </c>
      <c r="D591" s="74"/>
      <c r="E591" s="74" t="s">
        <v>560</v>
      </c>
      <c r="F591" s="45" t="s">
        <v>1152</v>
      </c>
      <c r="G591" s="56">
        <v>2400</v>
      </c>
      <c r="H591" s="56">
        <v>150</v>
      </c>
      <c r="I591" s="56">
        <v>72</v>
      </c>
      <c r="J591" s="56"/>
      <c r="K591" s="56"/>
      <c r="L591" s="56"/>
      <c r="M591" s="56"/>
      <c r="N591" s="56">
        <f t="shared" si="32"/>
        <v>2622</v>
      </c>
      <c r="O591" s="56"/>
      <c r="P591" s="58">
        <f t="shared" si="37"/>
        <v>7944440.71</v>
      </c>
      <c r="Q591" s="56"/>
    </row>
    <row r="592" ht="20" customHeight="1" spans="2:21">
      <c r="B592" s="42">
        <v>5</v>
      </c>
      <c r="C592" s="42">
        <v>14</v>
      </c>
      <c r="D592" s="74"/>
      <c r="E592" s="54" t="s">
        <v>1153</v>
      </c>
      <c r="F592" s="45" t="s">
        <v>1154</v>
      </c>
      <c r="G592" s="56"/>
      <c r="H592" s="56"/>
      <c r="I592" s="56"/>
      <c r="J592" s="56">
        <v>5400</v>
      </c>
      <c r="K592" s="56"/>
      <c r="L592" s="56"/>
      <c r="M592" s="56"/>
      <c r="N592" s="56">
        <f t="shared" si="32"/>
        <v>5400</v>
      </c>
      <c r="O592" s="56"/>
      <c r="P592" s="58">
        <f t="shared" si="37"/>
        <v>7949840.71</v>
      </c>
      <c r="Q592" s="56"/>
    </row>
    <row r="593" ht="20" customHeight="1" spans="2:17">
      <c r="B593" s="42">
        <v>5</v>
      </c>
      <c r="C593" s="42">
        <v>14</v>
      </c>
      <c r="D593" s="74"/>
      <c r="E593" s="74" t="s">
        <v>1153</v>
      </c>
      <c r="F593" s="45" t="s">
        <v>1155</v>
      </c>
      <c r="G593" s="56">
        <v>1800</v>
      </c>
      <c r="H593" s="56"/>
      <c r="I593" s="56"/>
      <c r="J593" s="56"/>
      <c r="K593" s="56"/>
      <c r="L593" s="56"/>
      <c r="M593" s="56"/>
      <c r="N593" s="56">
        <f t="shared" si="32"/>
        <v>1800</v>
      </c>
      <c r="O593" s="56"/>
      <c r="P593" s="58">
        <f t="shared" si="37"/>
        <v>7951640.71</v>
      </c>
      <c r="Q593" s="56"/>
    </row>
    <row r="594" ht="20" customHeight="1" spans="2:17">
      <c r="B594" s="42">
        <v>5</v>
      </c>
      <c r="C594" s="42">
        <v>15</v>
      </c>
      <c r="D594" s="74"/>
      <c r="E594" s="74" t="s">
        <v>623</v>
      </c>
      <c r="F594" s="45" t="s">
        <v>1156</v>
      </c>
      <c r="G594" s="56">
        <v>5000</v>
      </c>
      <c r="H594" s="56">
        <v>150</v>
      </c>
      <c r="I594" s="56">
        <v>364</v>
      </c>
      <c r="J594" s="56"/>
      <c r="K594" s="56"/>
      <c r="L594" s="56"/>
      <c r="M594" s="56"/>
      <c r="N594" s="56">
        <f t="shared" si="32"/>
        <v>5514</v>
      </c>
      <c r="O594" s="56"/>
      <c r="P594" s="58">
        <f t="shared" si="37"/>
        <v>7957154.71</v>
      </c>
      <c r="Q594" s="56"/>
    </row>
    <row r="595" ht="20" customHeight="1" spans="2:17">
      <c r="B595" s="42">
        <v>5</v>
      </c>
      <c r="C595" s="42">
        <v>15</v>
      </c>
      <c r="D595" s="74" t="s">
        <v>69</v>
      </c>
      <c r="E595" s="42" t="s">
        <v>20</v>
      </c>
      <c r="F595" s="95" t="s">
        <v>280</v>
      </c>
      <c r="G595" s="56"/>
      <c r="H595" s="56"/>
      <c r="I595" s="56"/>
      <c r="J595" s="56"/>
      <c r="K595" s="56"/>
      <c r="L595" s="56"/>
      <c r="M595" s="56"/>
      <c r="N595" s="177">
        <v>25000</v>
      </c>
      <c r="O595" s="84">
        <v>25000</v>
      </c>
      <c r="P595" s="58">
        <f t="shared" si="37"/>
        <v>7957154.71</v>
      </c>
      <c r="Q595" s="56"/>
    </row>
    <row r="596" ht="20" customHeight="1" spans="2:17">
      <c r="B596" s="42">
        <v>5</v>
      </c>
      <c r="C596" s="42">
        <v>15</v>
      </c>
      <c r="D596" s="74" t="s">
        <v>92</v>
      </c>
      <c r="E596" s="74" t="s">
        <v>271</v>
      </c>
      <c r="F596" s="95" t="s">
        <v>1157</v>
      </c>
      <c r="G596" s="56"/>
      <c r="H596" s="56"/>
      <c r="I596" s="56"/>
      <c r="J596" s="56"/>
      <c r="K596" s="56"/>
      <c r="L596" s="56"/>
      <c r="M596" s="56"/>
      <c r="N596" s="56">
        <f t="shared" ref="N596:N628" si="38">SUM(G596:L596)-M596</f>
        <v>0</v>
      </c>
      <c r="O596" s="56">
        <v>33100</v>
      </c>
      <c r="P596" s="58">
        <f t="shared" si="37"/>
        <v>7924054.71</v>
      </c>
      <c r="Q596" s="56"/>
    </row>
    <row r="597" ht="20" customHeight="1" spans="2:17">
      <c r="B597" s="42">
        <v>5</v>
      </c>
      <c r="C597" s="42">
        <v>16</v>
      </c>
      <c r="D597" s="74"/>
      <c r="E597" s="74" t="s">
        <v>604</v>
      </c>
      <c r="F597" s="45" t="s">
        <v>1158</v>
      </c>
      <c r="G597" s="56">
        <v>7355</v>
      </c>
      <c r="H597" s="56">
        <v>200</v>
      </c>
      <c r="I597" s="56">
        <v>259</v>
      </c>
      <c r="J597" s="56"/>
      <c r="K597" s="56"/>
      <c r="L597" s="56"/>
      <c r="M597" s="56"/>
      <c r="N597" s="56">
        <f t="shared" si="38"/>
        <v>7814</v>
      </c>
      <c r="O597" s="56"/>
      <c r="P597" s="58">
        <f t="shared" si="37"/>
        <v>7931868.71</v>
      </c>
      <c r="Q597" s="56"/>
    </row>
    <row r="598" ht="20" customHeight="1" spans="2:17">
      <c r="B598" s="42">
        <v>5</v>
      </c>
      <c r="C598" s="42">
        <v>16</v>
      </c>
      <c r="D598" s="74"/>
      <c r="E598" s="54" t="s">
        <v>811</v>
      </c>
      <c r="F598" s="45" t="s">
        <v>1159</v>
      </c>
      <c r="G598" s="56">
        <v>1500</v>
      </c>
      <c r="H598" s="56"/>
      <c r="I598" s="56">
        <v>179</v>
      </c>
      <c r="J598" s="56"/>
      <c r="K598" s="56"/>
      <c r="L598" s="56"/>
      <c r="M598" s="56"/>
      <c r="N598" s="56">
        <f t="shared" si="38"/>
        <v>1679</v>
      </c>
      <c r="O598" s="56"/>
      <c r="P598" s="58">
        <f t="shared" si="37"/>
        <v>7933547.71</v>
      </c>
      <c r="Q598" s="56"/>
    </row>
    <row r="599" ht="20" customHeight="1" spans="2:17">
      <c r="B599" s="42">
        <v>5</v>
      </c>
      <c r="C599" s="42">
        <v>18</v>
      </c>
      <c r="D599" s="74"/>
      <c r="E599" s="74" t="s">
        <v>581</v>
      </c>
      <c r="F599" s="45" t="s">
        <v>1160</v>
      </c>
      <c r="G599" s="56">
        <v>1422</v>
      </c>
      <c r="H599" s="56"/>
      <c r="I599" s="56"/>
      <c r="J599" s="56"/>
      <c r="K599" s="56"/>
      <c r="L599" s="56"/>
      <c r="M599" s="56"/>
      <c r="N599" s="56">
        <f t="shared" si="38"/>
        <v>1422</v>
      </c>
      <c r="O599" s="56"/>
      <c r="P599" s="58">
        <f t="shared" si="37"/>
        <v>7934969.71</v>
      </c>
      <c r="Q599" s="56"/>
    </row>
    <row r="600" ht="20" customHeight="1" spans="2:17">
      <c r="B600" s="42">
        <v>5</v>
      </c>
      <c r="C600" s="42">
        <v>18</v>
      </c>
      <c r="D600" s="74"/>
      <c r="E600" s="74" t="s">
        <v>489</v>
      </c>
      <c r="F600" s="45" t="s">
        <v>1161</v>
      </c>
      <c r="G600" s="56">
        <v>5400</v>
      </c>
      <c r="H600" s="56"/>
      <c r="I600" s="56"/>
      <c r="J600" s="56"/>
      <c r="K600" s="56"/>
      <c r="L600" s="56"/>
      <c r="M600" s="56"/>
      <c r="N600" s="56">
        <f t="shared" si="38"/>
        <v>5400</v>
      </c>
      <c r="O600" s="56"/>
      <c r="P600" s="58">
        <f t="shared" si="37"/>
        <v>7940369.71</v>
      </c>
      <c r="Q600" s="56"/>
    </row>
    <row r="601" ht="20" customHeight="1" spans="2:17">
      <c r="B601" s="42">
        <v>5</v>
      </c>
      <c r="C601" s="42">
        <v>18</v>
      </c>
      <c r="D601" s="74"/>
      <c r="E601" s="54" t="s">
        <v>644</v>
      </c>
      <c r="F601" s="45" t="s">
        <v>1162</v>
      </c>
      <c r="G601" s="56">
        <v>1600</v>
      </c>
      <c r="H601" s="56">
        <v>150</v>
      </c>
      <c r="I601" s="56">
        <v>54</v>
      </c>
      <c r="J601" s="56"/>
      <c r="K601" s="56"/>
      <c r="L601" s="56"/>
      <c r="M601" s="56"/>
      <c r="N601" s="56">
        <f t="shared" si="38"/>
        <v>1804</v>
      </c>
      <c r="O601" s="56"/>
      <c r="P601" s="58">
        <f t="shared" si="37"/>
        <v>7942173.71</v>
      </c>
      <c r="Q601" s="56"/>
    </row>
    <row r="602" ht="20" customHeight="1" spans="2:17">
      <c r="B602" s="42">
        <v>5</v>
      </c>
      <c r="C602" s="42">
        <v>18</v>
      </c>
      <c r="D602" s="74"/>
      <c r="E602" s="54" t="s">
        <v>644</v>
      </c>
      <c r="F602" s="45" t="s">
        <v>1163</v>
      </c>
      <c r="G602" s="56">
        <v>1600</v>
      </c>
      <c r="H602" s="56">
        <v>150</v>
      </c>
      <c r="I602" s="56">
        <v>58</v>
      </c>
      <c r="J602" s="56"/>
      <c r="K602" s="56"/>
      <c r="L602" s="56"/>
      <c r="M602" s="56"/>
      <c r="N602" s="56">
        <f t="shared" si="38"/>
        <v>1808</v>
      </c>
      <c r="O602" s="56"/>
      <c r="P602" s="58">
        <f t="shared" si="37"/>
        <v>7943981.71</v>
      </c>
      <c r="Q602" s="56"/>
    </row>
    <row r="603" ht="20" customHeight="1" spans="2:17">
      <c r="B603" s="42">
        <v>5</v>
      </c>
      <c r="C603" s="42">
        <v>19</v>
      </c>
      <c r="D603" s="74"/>
      <c r="E603" s="74" t="s">
        <v>510</v>
      </c>
      <c r="F603" s="45" t="s">
        <v>1164</v>
      </c>
      <c r="G603" s="56">
        <v>1700</v>
      </c>
      <c r="H603" s="56">
        <v>150</v>
      </c>
      <c r="I603" s="56">
        <v>132</v>
      </c>
      <c r="J603" s="56"/>
      <c r="K603" s="56"/>
      <c r="L603" s="56"/>
      <c r="M603" s="56"/>
      <c r="N603" s="56">
        <f t="shared" si="38"/>
        <v>1982</v>
      </c>
      <c r="O603" s="56"/>
      <c r="P603" s="58">
        <f t="shared" si="37"/>
        <v>7945963.71</v>
      </c>
      <c r="Q603" s="56"/>
    </row>
    <row r="604" ht="20" customHeight="1" spans="2:17">
      <c r="B604" s="42">
        <v>5</v>
      </c>
      <c r="C604" s="42">
        <v>19</v>
      </c>
      <c r="D604" s="74"/>
      <c r="E604" s="54"/>
      <c r="F604" s="45" t="s">
        <v>1165</v>
      </c>
      <c r="G604" s="56"/>
      <c r="H604" s="56"/>
      <c r="I604" s="56"/>
      <c r="J604" s="56"/>
      <c r="K604" s="56">
        <v>4590</v>
      </c>
      <c r="L604" s="56"/>
      <c r="M604" s="56">
        <v>32.66</v>
      </c>
      <c r="N604" s="56">
        <f t="shared" si="38"/>
        <v>4557.34</v>
      </c>
      <c r="O604" s="56"/>
      <c r="P604" s="58">
        <f t="shared" si="37"/>
        <v>7950521.05</v>
      </c>
      <c r="Q604" s="59" t="s">
        <v>669</v>
      </c>
    </row>
    <row r="605" ht="20" customHeight="1" spans="2:17">
      <c r="B605" s="42">
        <v>5</v>
      </c>
      <c r="C605" s="42">
        <v>19</v>
      </c>
      <c r="D605" s="74"/>
      <c r="E605" s="54"/>
      <c r="F605" s="45" t="s">
        <v>1166</v>
      </c>
      <c r="G605" s="56"/>
      <c r="H605" s="56"/>
      <c r="I605" s="56"/>
      <c r="J605" s="56"/>
      <c r="K605" s="56">
        <v>600</v>
      </c>
      <c r="L605" s="56"/>
      <c r="M605" s="56"/>
      <c r="N605" s="56">
        <f t="shared" si="38"/>
        <v>600</v>
      </c>
      <c r="O605" s="56"/>
      <c r="P605" s="58">
        <f t="shared" si="37"/>
        <v>7951121.05</v>
      </c>
      <c r="Q605" s="59" t="s">
        <v>669</v>
      </c>
    </row>
    <row r="606" ht="20" customHeight="1" spans="2:17">
      <c r="B606" s="42">
        <v>5</v>
      </c>
      <c r="C606" s="42">
        <v>19</v>
      </c>
      <c r="D606" s="74"/>
      <c r="E606" s="42"/>
      <c r="F606" s="45" t="s">
        <v>1167</v>
      </c>
      <c r="G606" s="56"/>
      <c r="H606" s="56"/>
      <c r="I606" s="56"/>
      <c r="J606" s="56"/>
      <c r="K606" s="56">
        <v>690</v>
      </c>
      <c r="L606" s="56"/>
      <c r="M606" s="56"/>
      <c r="N606" s="56">
        <f t="shared" si="38"/>
        <v>690</v>
      </c>
      <c r="O606" s="56"/>
      <c r="P606" s="58">
        <f t="shared" si="37"/>
        <v>7951811.05</v>
      </c>
      <c r="Q606" s="59" t="s">
        <v>669</v>
      </c>
    </row>
    <row r="607" ht="20" customHeight="1" spans="2:17">
      <c r="B607" s="42">
        <v>5</v>
      </c>
      <c r="C607" s="42">
        <v>19</v>
      </c>
      <c r="D607" s="74"/>
      <c r="E607" s="74" t="s">
        <v>529</v>
      </c>
      <c r="F607" s="45" t="s">
        <v>1168</v>
      </c>
      <c r="G607" s="56">
        <v>3300</v>
      </c>
      <c r="H607" s="56">
        <v>150</v>
      </c>
      <c r="I607" s="56">
        <v>181</v>
      </c>
      <c r="J607" s="56"/>
      <c r="K607" s="56"/>
      <c r="L607" s="56"/>
      <c r="M607" s="56"/>
      <c r="N607" s="56">
        <f t="shared" si="38"/>
        <v>3631</v>
      </c>
      <c r="O607" s="56"/>
      <c r="P607" s="58">
        <f t="shared" si="37"/>
        <v>7955442.05</v>
      </c>
      <c r="Q607" s="59" t="s">
        <v>669</v>
      </c>
    </row>
    <row r="608" ht="20" customHeight="1" spans="2:17">
      <c r="B608" s="42">
        <v>5</v>
      </c>
      <c r="C608" s="42">
        <v>19</v>
      </c>
      <c r="D608" s="74"/>
      <c r="E608" s="74" t="s">
        <v>608</v>
      </c>
      <c r="F608" s="45" t="s">
        <v>1169</v>
      </c>
      <c r="G608" s="56">
        <v>1300</v>
      </c>
      <c r="H608" s="56">
        <v>150</v>
      </c>
      <c r="I608" s="56">
        <v>116</v>
      </c>
      <c r="J608" s="56"/>
      <c r="K608" s="56"/>
      <c r="L608" s="56"/>
      <c r="M608" s="56"/>
      <c r="N608" s="56">
        <f t="shared" si="38"/>
        <v>1566</v>
      </c>
      <c r="O608" s="56"/>
      <c r="P608" s="58">
        <f t="shared" si="37"/>
        <v>7957008.05</v>
      </c>
      <c r="Q608" s="59" t="s">
        <v>669</v>
      </c>
    </row>
    <row r="609" ht="20" customHeight="1" spans="2:17">
      <c r="B609" s="42">
        <v>5</v>
      </c>
      <c r="C609" s="42">
        <v>19</v>
      </c>
      <c r="D609" s="74"/>
      <c r="E609" s="54" t="s">
        <v>608</v>
      </c>
      <c r="F609" s="45" t="s">
        <v>1170</v>
      </c>
      <c r="G609" s="56">
        <v>400</v>
      </c>
      <c r="H609" s="56"/>
      <c r="I609" s="56"/>
      <c r="J609" s="56"/>
      <c r="K609" s="56"/>
      <c r="L609" s="56"/>
      <c r="M609" s="56"/>
      <c r="N609" s="56">
        <f t="shared" si="38"/>
        <v>400</v>
      </c>
      <c r="O609" s="56"/>
      <c r="P609" s="58">
        <f t="shared" si="37"/>
        <v>7957408.05</v>
      </c>
      <c r="Q609" s="59" t="s">
        <v>669</v>
      </c>
    </row>
    <row r="610" ht="20" customHeight="1" spans="2:17">
      <c r="B610" s="42">
        <v>5</v>
      </c>
      <c r="C610" s="42">
        <v>19</v>
      </c>
      <c r="D610" s="74"/>
      <c r="E610" s="74" t="s">
        <v>499</v>
      </c>
      <c r="F610" s="45" t="s">
        <v>1171</v>
      </c>
      <c r="G610" s="56"/>
      <c r="H610" s="56"/>
      <c r="I610" s="56">
        <v>62</v>
      </c>
      <c r="J610" s="56"/>
      <c r="K610" s="56"/>
      <c r="L610" s="56"/>
      <c r="M610" s="56"/>
      <c r="N610" s="56">
        <f t="shared" si="38"/>
        <v>62</v>
      </c>
      <c r="O610" s="56"/>
      <c r="P610" s="58">
        <f t="shared" si="37"/>
        <v>7957470.05</v>
      </c>
      <c r="Q610" s="59" t="s">
        <v>669</v>
      </c>
    </row>
    <row r="611" ht="20" customHeight="1" spans="2:17">
      <c r="B611" s="42">
        <v>5</v>
      </c>
      <c r="C611" s="42">
        <v>19</v>
      </c>
      <c r="D611" s="74"/>
      <c r="E611" s="74" t="s">
        <v>595</v>
      </c>
      <c r="F611" s="45" t="s">
        <v>1172</v>
      </c>
      <c r="G611" s="56"/>
      <c r="H611" s="56">
        <v>150</v>
      </c>
      <c r="I611" s="56">
        <v>80</v>
      </c>
      <c r="J611" s="56"/>
      <c r="K611" s="56"/>
      <c r="L611" s="56"/>
      <c r="M611" s="56"/>
      <c r="N611" s="56">
        <f t="shared" si="38"/>
        <v>230</v>
      </c>
      <c r="O611" s="56"/>
      <c r="P611" s="58">
        <f t="shared" si="37"/>
        <v>7957700.05</v>
      </c>
      <c r="Q611" s="59" t="s">
        <v>669</v>
      </c>
    </row>
    <row r="612" ht="20" customHeight="1" spans="2:17">
      <c r="B612" s="42">
        <v>5</v>
      </c>
      <c r="C612" s="42">
        <v>19</v>
      </c>
      <c r="D612" s="74"/>
      <c r="E612" s="54" t="s">
        <v>673</v>
      </c>
      <c r="F612" s="45" t="s">
        <v>1173</v>
      </c>
      <c r="G612" s="56">
        <v>2100</v>
      </c>
      <c r="H612" s="56">
        <v>150</v>
      </c>
      <c r="I612" s="56">
        <v>178</v>
      </c>
      <c r="J612" s="56"/>
      <c r="K612" s="56"/>
      <c r="L612" s="56"/>
      <c r="M612" s="56"/>
      <c r="N612" s="56">
        <f t="shared" si="38"/>
        <v>2428</v>
      </c>
      <c r="O612" s="56"/>
      <c r="P612" s="58">
        <f t="shared" si="37"/>
        <v>7960128.05</v>
      </c>
      <c r="Q612" s="59" t="s">
        <v>669</v>
      </c>
    </row>
    <row r="613" ht="20" customHeight="1" spans="2:17">
      <c r="B613" s="42">
        <v>5</v>
      </c>
      <c r="C613" s="42">
        <v>19</v>
      </c>
      <c r="D613" s="74"/>
      <c r="E613" s="54" t="s">
        <v>673</v>
      </c>
      <c r="F613" s="45" t="s">
        <v>1174</v>
      </c>
      <c r="G613" s="56">
        <v>550</v>
      </c>
      <c r="H613" s="56"/>
      <c r="I613" s="56"/>
      <c r="J613" s="56"/>
      <c r="K613" s="56"/>
      <c r="L613" s="56"/>
      <c r="M613" s="56"/>
      <c r="N613" s="56">
        <f t="shared" si="38"/>
        <v>550</v>
      </c>
      <c r="O613" s="56"/>
      <c r="P613" s="58">
        <f t="shared" si="37"/>
        <v>7960678.05</v>
      </c>
      <c r="Q613" s="59" t="s">
        <v>669</v>
      </c>
    </row>
    <row r="614" ht="20" customHeight="1" spans="2:17">
      <c r="B614" s="42">
        <v>5</v>
      </c>
      <c r="C614" s="42">
        <v>19</v>
      </c>
      <c r="D614" s="74"/>
      <c r="E614" s="74" t="s">
        <v>1175</v>
      </c>
      <c r="F614" s="45" t="s">
        <v>1176</v>
      </c>
      <c r="G614" s="56"/>
      <c r="H614" s="56"/>
      <c r="I614" s="56"/>
      <c r="J614" s="56">
        <v>7800</v>
      </c>
      <c r="K614" s="56"/>
      <c r="L614" s="56"/>
      <c r="M614" s="56"/>
      <c r="N614" s="56">
        <f t="shared" si="38"/>
        <v>7800</v>
      </c>
      <c r="O614" s="56"/>
      <c r="P614" s="58">
        <f t="shared" si="37"/>
        <v>7968478.05</v>
      </c>
      <c r="Q614" s="59" t="s">
        <v>669</v>
      </c>
    </row>
    <row r="615" ht="20" customHeight="1" spans="2:17">
      <c r="B615" s="42">
        <v>5</v>
      </c>
      <c r="C615" s="42">
        <v>19</v>
      </c>
      <c r="D615" s="74"/>
      <c r="E615" s="74" t="s">
        <v>1175</v>
      </c>
      <c r="F615" s="45" t="s">
        <v>1177</v>
      </c>
      <c r="G615" s="56">
        <v>2600</v>
      </c>
      <c r="H615" s="56"/>
      <c r="I615" s="56"/>
      <c r="J615" s="56"/>
      <c r="K615" s="56"/>
      <c r="L615" s="56"/>
      <c r="M615" s="56"/>
      <c r="N615" s="56">
        <f t="shared" si="38"/>
        <v>2600</v>
      </c>
      <c r="O615" s="56"/>
      <c r="P615" s="58">
        <f t="shared" si="37"/>
        <v>7971078.05</v>
      </c>
      <c r="Q615" s="59" t="s">
        <v>669</v>
      </c>
    </row>
    <row r="616" ht="20" customHeight="1" spans="2:17">
      <c r="B616" s="42">
        <v>5</v>
      </c>
      <c r="C616" s="42">
        <v>19</v>
      </c>
      <c r="D616" s="74"/>
      <c r="E616" s="74" t="s">
        <v>790</v>
      </c>
      <c r="F616" s="45" t="s">
        <v>1178</v>
      </c>
      <c r="G616" s="56"/>
      <c r="H616" s="56"/>
      <c r="I616" s="56">
        <v>54</v>
      </c>
      <c r="J616" s="56"/>
      <c r="K616" s="56"/>
      <c r="L616" s="56"/>
      <c r="M616" s="56"/>
      <c r="N616" s="56">
        <f t="shared" si="38"/>
        <v>54</v>
      </c>
      <c r="O616" s="56"/>
      <c r="P616" s="58">
        <f t="shared" si="37"/>
        <v>7971132.05</v>
      </c>
      <c r="Q616" s="59" t="s">
        <v>669</v>
      </c>
    </row>
    <row r="617" ht="20" customHeight="1" spans="2:17">
      <c r="B617" s="42">
        <v>5</v>
      </c>
      <c r="C617" s="42">
        <v>19</v>
      </c>
      <c r="D617" s="74"/>
      <c r="E617" s="54" t="s">
        <v>914</v>
      </c>
      <c r="F617" s="45" t="s">
        <v>1179</v>
      </c>
      <c r="G617" s="56"/>
      <c r="H617" s="56">
        <v>200</v>
      </c>
      <c r="I617" s="56">
        <v>125</v>
      </c>
      <c r="J617" s="56"/>
      <c r="K617" s="56"/>
      <c r="L617" s="56"/>
      <c r="M617" s="56"/>
      <c r="N617" s="56">
        <f t="shared" si="38"/>
        <v>325</v>
      </c>
      <c r="O617" s="56"/>
      <c r="P617" s="58">
        <f t="shared" si="37"/>
        <v>7971457.05</v>
      </c>
      <c r="Q617" s="59" t="s">
        <v>669</v>
      </c>
    </row>
    <row r="618" ht="20" customHeight="1" spans="2:17">
      <c r="B618" s="42">
        <v>5</v>
      </c>
      <c r="C618" s="42">
        <v>19</v>
      </c>
      <c r="D618" s="74"/>
      <c r="E618" s="74" t="s">
        <v>520</v>
      </c>
      <c r="F618" s="45" t="s">
        <v>1180</v>
      </c>
      <c r="G618" s="56"/>
      <c r="H618" s="56">
        <v>150</v>
      </c>
      <c r="I618" s="56">
        <v>52</v>
      </c>
      <c r="J618" s="56"/>
      <c r="K618" s="56"/>
      <c r="L618" s="56"/>
      <c r="M618" s="56"/>
      <c r="N618" s="56">
        <f t="shared" si="38"/>
        <v>202</v>
      </c>
      <c r="O618" s="56"/>
      <c r="P618" s="58">
        <f t="shared" si="37"/>
        <v>7971659.05</v>
      </c>
      <c r="Q618" s="59" t="s">
        <v>669</v>
      </c>
    </row>
    <row r="619" ht="20" customHeight="1" spans="2:17">
      <c r="B619" s="42">
        <v>5</v>
      </c>
      <c r="C619" s="42">
        <v>19</v>
      </c>
      <c r="D619" s="74"/>
      <c r="E619" s="74" t="s">
        <v>503</v>
      </c>
      <c r="F619" s="45" t="s">
        <v>1181</v>
      </c>
      <c r="G619" s="56">
        <v>1400</v>
      </c>
      <c r="H619" s="56">
        <v>150</v>
      </c>
      <c r="I619" s="56">
        <v>61</v>
      </c>
      <c r="J619" s="56"/>
      <c r="K619" s="56"/>
      <c r="L619" s="56"/>
      <c r="M619" s="56"/>
      <c r="N619" s="56">
        <f t="shared" si="38"/>
        <v>1611</v>
      </c>
      <c r="O619" s="56"/>
      <c r="P619" s="58">
        <f t="shared" si="37"/>
        <v>7973270.05</v>
      </c>
      <c r="Q619" s="59" t="s">
        <v>669</v>
      </c>
    </row>
    <row r="620" ht="20" customHeight="1" spans="2:17">
      <c r="B620" s="42">
        <v>5</v>
      </c>
      <c r="C620" s="42">
        <v>19</v>
      </c>
      <c r="D620" s="74"/>
      <c r="E620" s="54" t="s">
        <v>489</v>
      </c>
      <c r="F620" s="45" t="s">
        <v>1182</v>
      </c>
      <c r="G620" s="56"/>
      <c r="H620" s="56">
        <v>150</v>
      </c>
      <c r="I620" s="56">
        <v>108</v>
      </c>
      <c r="J620" s="56"/>
      <c r="K620" s="56"/>
      <c r="L620" s="56"/>
      <c r="M620" s="56"/>
      <c r="N620" s="56">
        <f t="shared" si="38"/>
        <v>258</v>
      </c>
      <c r="O620" s="56"/>
      <c r="P620" s="58">
        <f t="shared" si="37"/>
        <v>7973528.05</v>
      </c>
      <c r="Q620" s="59" t="s">
        <v>669</v>
      </c>
    </row>
    <row r="621" ht="20" customHeight="1" spans="2:17">
      <c r="B621" s="42">
        <v>5</v>
      </c>
      <c r="C621" s="42">
        <v>19</v>
      </c>
      <c r="D621" s="74"/>
      <c r="E621" s="74" t="s">
        <v>642</v>
      </c>
      <c r="F621" s="45" t="s">
        <v>1183</v>
      </c>
      <c r="G621" s="56">
        <v>1600</v>
      </c>
      <c r="H621" s="56">
        <v>150</v>
      </c>
      <c r="I621" s="56">
        <v>43</v>
      </c>
      <c r="J621" s="56"/>
      <c r="K621" s="56"/>
      <c r="L621" s="56"/>
      <c r="M621" s="56"/>
      <c r="N621" s="56">
        <f t="shared" si="38"/>
        <v>1793</v>
      </c>
      <c r="O621" s="56"/>
      <c r="P621" s="58">
        <f t="shared" si="37"/>
        <v>7975321.05</v>
      </c>
      <c r="Q621" s="59" t="s">
        <v>669</v>
      </c>
    </row>
    <row r="622" ht="20" customHeight="1" spans="2:17">
      <c r="B622" s="42">
        <v>5</v>
      </c>
      <c r="C622" s="42">
        <v>19</v>
      </c>
      <c r="D622" s="74"/>
      <c r="E622" s="74" t="s">
        <v>876</v>
      </c>
      <c r="F622" s="45" t="s">
        <v>1184</v>
      </c>
      <c r="G622" s="56">
        <v>1500</v>
      </c>
      <c r="H622" s="56"/>
      <c r="I622" s="56">
        <v>96</v>
      </c>
      <c r="J622" s="56"/>
      <c r="K622" s="56"/>
      <c r="L622" s="56"/>
      <c r="M622" s="56"/>
      <c r="N622" s="56">
        <f t="shared" si="38"/>
        <v>1596</v>
      </c>
      <c r="O622" s="56"/>
      <c r="P622" s="58">
        <f t="shared" si="37"/>
        <v>7976917.05</v>
      </c>
      <c r="Q622" s="59" t="s">
        <v>669</v>
      </c>
    </row>
    <row r="623" ht="20" customHeight="1" spans="2:17">
      <c r="B623" s="42">
        <v>5</v>
      </c>
      <c r="C623" s="42">
        <v>19</v>
      </c>
      <c r="D623" s="74"/>
      <c r="E623" s="54" t="s">
        <v>541</v>
      </c>
      <c r="F623" s="45" t="s">
        <v>1185</v>
      </c>
      <c r="G623" s="56"/>
      <c r="H623" s="56">
        <v>150</v>
      </c>
      <c r="I623" s="56">
        <v>196</v>
      </c>
      <c r="J623" s="56"/>
      <c r="K623" s="56"/>
      <c r="L623" s="56"/>
      <c r="M623" s="56"/>
      <c r="N623" s="56">
        <f t="shared" si="38"/>
        <v>346</v>
      </c>
      <c r="O623" s="56"/>
      <c r="P623" s="58">
        <f t="shared" si="37"/>
        <v>7977263.05</v>
      </c>
      <c r="Q623" s="59" t="s">
        <v>669</v>
      </c>
    </row>
    <row r="624" ht="20" customHeight="1" spans="2:17">
      <c r="B624" s="42">
        <v>5</v>
      </c>
      <c r="C624" s="42">
        <v>19</v>
      </c>
      <c r="D624" s="74"/>
      <c r="E624" s="74" t="s">
        <v>550</v>
      </c>
      <c r="F624" s="45" t="s">
        <v>1186</v>
      </c>
      <c r="G624" s="56"/>
      <c r="H624" s="56"/>
      <c r="I624" s="56">
        <v>121</v>
      </c>
      <c r="J624" s="56"/>
      <c r="K624" s="56"/>
      <c r="L624" s="56"/>
      <c r="M624" s="56"/>
      <c r="N624" s="56">
        <f t="shared" si="38"/>
        <v>121</v>
      </c>
      <c r="O624" s="56"/>
      <c r="P624" s="58">
        <f t="shared" si="37"/>
        <v>7977384.05</v>
      </c>
      <c r="Q624" s="59" t="s">
        <v>669</v>
      </c>
    </row>
    <row r="625" ht="20" customHeight="1" spans="2:19">
      <c r="B625" s="42">
        <v>5</v>
      </c>
      <c r="C625" s="42">
        <v>19</v>
      </c>
      <c r="D625" s="74"/>
      <c r="E625" s="74" t="s">
        <v>806</v>
      </c>
      <c r="F625" s="45" t="s">
        <v>1187</v>
      </c>
      <c r="G625" s="56"/>
      <c r="H625" s="56">
        <v>150</v>
      </c>
      <c r="I625" s="56">
        <v>540</v>
      </c>
      <c r="J625" s="56"/>
      <c r="K625" s="56"/>
      <c r="L625" s="56"/>
      <c r="M625" s="56"/>
      <c r="N625" s="56">
        <f t="shared" si="38"/>
        <v>690</v>
      </c>
      <c r="O625" s="56"/>
      <c r="P625" s="58">
        <f t="shared" si="37"/>
        <v>7978074.05</v>
      </c>
      <c r="Q625" s="59" t="s">
        <v>669</v>
      </c>
    </row>
    <row r="626" ht="20" customHeight="1" spans="2:19">
      <c r="B626" s="42">
        <v>5</v>
      </c>
      <c r="C626" s="42">
        <v>19</v>
      </c>
      <c r="D626" s="74"/>
      <c r="E626" s="54" t="s">
        <v>832</v>
      </c>
      <c r="F626" s="45" t="s">
        <v>1188</v>
      </c>
      <c r="G626" s="56"/>
      <c r="H626" s="56">
        <v>150</v>
      </c>
      <c r="I626" s="56">
        <v>83</v>
      </c>
      <c r="J626" s="56"/>
      <c r="K626" s="56"/>
      <c r="L626" s="56"/>
      <c r="M626" s="56"/>
      <c r="N626" s="56">
        <f t="shared" si="38"/>
        <v>233</v>
      </c>
      <c r="O626" s="56"/>
      <c r="P626" s="58">
        <f t="shared" si="37"/>
        <v>7978307.05</v>
      </c>
      <c r="Q626" s="59" t="s">
        <v>669</v>
      </c>
    </row>
    <row r="627" ht="20" customHeight="1" spans="2:19">
      <c r="B627" s="42">
        <v>5</v>
      </c>
      <c r="C627" s="42">
        <v>19</v>
      </c>
      <c r="D627" s="74"/>
      <c r="E627" s="74" t="s">
        <v>484</v>
      </c>
      <c r="F627" s="45" t="s">
        <v>1189</v>
      </c>
      <c r="G627" s="56"/>
      <c r="H627" s="56">
        <v>200</v>
      </c>
      <c r="I627" s="56">
        <v>118</v>
      </c>
      <c r="J627" s="56"/>
      <c r="K627" s="56"/>
      <c r="L627" s="56"/>
      <c r="M627" s="56"/>
      <c r="N627" s="56">
        <f t="shared" si="38"/>
        <v>318</v>
      </c>
      <c r="O627" s="56"/>
      <c r="P627" s="58">
        <f t="shared" si="37"/>
        <v>7978625.05</v>
      </c>
      <c r="Q627" s="59" t="s">
        <v>669</v>
      </c>
      <c r="S627" s="3">
        <f>SUM(N588:N594)+SUM(N596:N603)+SUM(N604:N627)-SUM(O595:O596)+S587</f>
        <v>298539.63</v>
      </c>
    </row>
    <row r="628" ht="20" customHeight="1" spans="2:19">
      <c r="B628" s="42">
        <v>5</v>
      </c>
      <c r="C628" s="42">
        <v>19</v>
      </c>
      <c r="D628" s="42"/>
      <c r="E628" s="42" t="s">
        <v>790</v>
      </c>
      <c r="F628" s="75" t="s">
        <v>1190</v>
      </c>
      <c r="G628" s="56">
        <v>9000</v>
      </c>
      <c r="H628" s="56"/>
      <c r="I628" s="56"/>
      <c r="J628" s="56"/>
      <c r="K628" s="56"/>
      <c r="L628" s="56"/>
      <c r="M628" s="56"/>
      <c r="N628" s="65">
        <f t="shared" si="38"/>
        <v>9000</v>
      </c>
      <c r="O628" s="56"/>
      <c r="P628" s="58">
        <f t="shared" si="37"/>
        <v>7987625.05</v>
      </c>
      <c r="Q628" s="56"/>
    </row>
    <row r="629" ht="20" customHeight="1" spans="2:19">
      <c r="B629" s="42">
        <v>5</v>
      </c>
      <c r="C629" s="42">
        <v>21</v>
      </c>
      <c r="D629" s="74" t="s">
        <v>106</v>
      </c>
      <c r="E629" s="42" t="s">
        <v>790</v>
      </c>
      <c r="F629" s="75" t="s">
        <v>1190</v>
      </c>
      <c r="G629" s="56"/>
      <c r="H629" s="56"/>
      <c r="I629" s="56"/>
      <c r="J629" s="56"/>
      <c r="K629" s="56"/>
      <c r="L629" s="56"/>
      <c r="M629" s="56"/>
      <c r="N629" s="76"/>
      <c r="O629" s="65">
        <v>9000</v>
      </c>
      <c r="P629" s="58">
        <f t="shared" si="37"/>
        <v>7978625.05</v>
      </c>
      <c r="Q629" s="56"/>
    </row>
    <row r="630" ht="20" customHeight="1" spans="2:19">
      <c r="B630" s="42">
        <v>5</v>
      </c>
      <c r="C630" s="42">
        <v>21</v>
      </c>
      <c r="D630" s="42"/>
      <c r="E630" s="54" t="s">
        <v>894</v>
      </c>
      <c r="F630" s="75" t="s">
        <v>1191</v>
      </c>
      <c r="G630" s="56">
        <v>2300</v>
      </c>
      <c r="H630" s="56">
        <v>150</v>
      </c>
      <c r="I630" s="56">
        <v>89</v>
      </c>
      <c r="J630" s="56"/>
      <c r="K630" s="56"/>
      <c r="L630" s="56"/>
      <c r="M630" s="56"/>
      <c r="N630" s="56">
        <f t="shared" ref="N630:N676" si="39">SUM(G630:L630)-M630</f>
        <v>2539</v>
      </c>
      <c r="O630" s="56"/>
      <c r="P630" s="58">
        <f t="shared" si="37"/>
        <v>7981164.05</v>
      </c>
      <c r="Q630" s="56"/>
    </row>
    <row r="631" ht="20" customHeight="1" spans="2:19">
      <c r="B631" s="42">
        <v>5</v>
      </c>
      <c r="C631" s="42">
        <v>22</v>
      </c>
      <c r="D631" s="42"/>
      <c r="E631" s="74" t="s">
        <v>806</v>
      </c>
      <c r="F631" s="75" t="s">
        <v>1192</v>
      </c>
      <c r="G631" s="56">
        <v>1500</v>
      </c>
      <c r="H631" s="56"/>
      <c r="I631" s="56"/>
      <c r="J631" s="56"/>
      <c r="K631" s="56"/>
      <c r="L631" s="56"/>
      <c r="M631" s="56">
        <v>28.55</v>
      </c>
      <c r="N631" s="56">
        <f t="shared" si="39"/>
        <v>1471.45</v>
      </c>
      <c r="O631" s="56"/>
      <c r="P631" s="58">
        <f t="shared" si="37"/>
        <v>7982635.5</v>
      </c>
      <c r="Q631" s="56"/>
    </row>
    <row r="632" ht="20" customHeight="1" spans="2:19">
      <c r="B632" s="42">
        <v>5</v>
      </c>
      <c r="C632" s="42">
        <v>22</v>
      </c>
      <c r="D632" s="42"/>
      <c r="E632" s="54" t="s">
        <v>642</v>
      </c>
      <c r="F632" s="75" t="s">
        <v>1193</v>
      </c>
      <c r="G632" s="56">
        <v>1600</v>
      </c>
      <c r="H632" s="56"/>
      <c r="I632" s="56">
        <v>44</v>
      </c>
      <c r="J632" s="56"/>
      <c r="K632" s="56"/>
      <c r="L632" s="56"/>
      <c r="M632" s="56"/>
      <c r="N632" s="56">
        <f t="shared" si="39"/>
        <v>1644</v>
      </c>
      <c r="O632" s="56"/>
      <c r="P632" s="58">
        <f t="shared" si="37"/>
        <v>7984279.5</v>
      </c>
      <c r="Q632" s="56"/>
    </row>
    <row r="633" ht="20" customHeight="1" spans="2:19">
      <c r="B633" s="42">
        <v>5</v>
      </c>
      <c r="C633" s="42">
        <v>22</v>
      </c>
      <c r="D633" s="42"/>
      <c r="E633" s="74" t="s">
        <v>520</v>
      </c>
      <c r="F633" s="75" t="s">
        <v>1194</v>
      </c>
      <c r="G633" s="56"/>
      <c r="H633" s="56">
        <v>150</v>
      </c>
      <c r="I633" s="56">
        <v>48</v>
      </c>
      <c r="J633" s="56"/>
      <c r="K633" s="56"/>
      <c r="L633" s="56"/>
      <c r="M633" s="56"/>
      <c r="N633" s="56">
        <f t="shared" si="39"/>
        <v>198</v>
      </c>
      <c r="O633" s="56"/>
      <c r="P633" s="58">
        <f t="shared" si="37"/>
        <v>7984477.5</v>
      </c>
      <c r="Q633" s="56"/>
    </row>
    <row r="634" ht="20" customHeight="1" spans="2:19">
      <c r="B634" s="42">
        <v>5</v>
      </c>
      <c r="C634" s="42">
        <v>22</v>
      </c>
      <c r="D634" s="42"/>
      <c r="E634" s="74" t="s">
        <v>1195</v>
      </c>
      <c r="F634" s="75" t="s">
        <v>1196</v>
      </c>
      <c r="G634" s="56"/>
      <c r="H634" s="56"/>
      <c r="I634" s="56"/>
      <c r="J634" s="56">
        <v>4500</v>
      </c>
      <c r="K634" s="56"/>
      <c r="L634" s="56"/>
      <c r="M634" s="56"/>
      <c r="N634" s="56">
        <f t="shared" si="39"/>
        <v>4500</v>
      </c>
      <c r="O634" s="56"/>
      <c r="P634" s="58">
        <f t="shared" si="37"/>
        <v>7988977.5</v>
      </c>
      <c r="Q634" s="56"/>
    </row>
    <row r="635" ht="20" customHeight="1" spans="2:19">
      <c r="B635" s="42">
        <v>5</v>
      </c>
      <c r="C635" s="42">
        <v>22</v>
      </c>
      <c r="D635" s="42"/>
      <c r="E635" s="74" t="s">
        <v>1195</v>
      </c>
      <c r="F635" s="75" t="s">
        <v>1197</v>
      </c>
      <c r="G635" s="56">
        <v>1500</v>
      </c>
      <c r="H635" s="56">
        <v>150</v>
      </c>
      <c r="I635" s="56">
        <v>148</v>
      </c>
      <c r="J635" s="56"/>
      <c r="K635" s="56"/>
      <c r="L635" s="56"/>
      <c r="M635" s="56"/>
      <c r="N635" s="56">
        <f t="shared" si="39"/>
        <v>1798</v>
      </c>
      <c r="O635" s="56"/>
      <c r="P635" s="58">
        <f t="shared" si="37"/>
        <v>7990775.5</v>
      </c>
      <c r="Q635" s="56"/>
    </row>
    <row r="636" ht="20" customHeight="1" spans="2:19">
      <c r="B636" s="42">
        <v>5</v>
      </c>
      <c r="C636" s="42">
        <v>22</v>
      </c>
      <c r="D636" s="42"/>
      <c r="E636" s="42" t="s">
        <v>785</v>
      </c>
      <c r="F636" s="75" t="s">
        <v>1198</v>
      </c>
      <c r="G636" s="56"/>
      <c r="H636" s="56">
        <v>200</v>
      </c>
      <c r="I636" s="56">
        <v>88</v>
      </c>
      <c r="J636" s="56"/>
      <c r="K636" s="56"/>
      <c r="L636" s="56"/>
      <c r="M636" s="56"/>
      <c r="N636" s="56">
        <f t="shared" si="39"/>
        <v>288</v>
      </c>
      <c r="O636" s="56"/>
      <c r="P636" s="58">
        <f t="shared" si="37"/>
        <v>7991063.5</v>
      </c>
      <c r="Q636" s="56"/>
    </row>
    <row r="637" ht="20" customHeight="1" spans="2:19">
      <c r="B637" s="42">
        <v>5</v>
      </c>
      <c r="C637" s="42">
        <v>22</v>
      </c>
      <c r="D637" s="42"/>
      <c r="E637" s="74" t="s">
        <v>905</v>
      </c>
      <c r="F637" s="75" t="s">
        <v>1199</v>
      </c>
      <c r="G637" s="56">
        <v>10200</v>
      </c>
      <c r="H637" s="56"/>
      <c r="I637" s="56"/>
      <c r="J637" s="56"/>
      <c r="K637" s="56"/>
      <c r="L637" s="56"/>
      <c r="M637" s="56"/>
      <c r="N637" s="56">
        <f t="shared" si="39"/>
        <v>10200</v>
      </c>
      <c r="O637" s="56"/>
      <c r="P637" s="58">
        <f t="shared" si="37"/>
        <v>8001263.5</v>
      </c>
      <c r="Q637" s="56"/>
    </row>
    <row r="638" ht="20" customHeight="1" spans="2:19">
      <c r="B638" s="42">
        <v>5</v>
      </c>
      <c r="C638" s="42">
        <v>22</v>
      </c>
      <c r="D638" s="42"/>
      <c r="E638" s="54" t="s">
        <v>905</v>
      </c>
      <c r="F638" s="75" t="s">
        <v>1200</v>
      </c>
      <c r="G638" s="56"/>
      <c r="H638" s="56">
        <v>150</v>
      </c>
      <c r="I638" s="56">
        <v>70</v>
      </c>
      <c r="J638" s="56"/>
      <c r="K638" s="56"/>
      <c r="L638" s="56"/>
      <c r="M638" s="56"/>
      <c r="N638" s="56">
        <f t="shared" si="39"/>
        <v>220</v>
      </c>
      <c r="O638" s="56"/>
      <c r="P638" s="58">
        <f t="shared" si="37"/>
        <v>8001483.5</v>
      </c>
      <c r="Q638" s="56"/>
    </row>
    <row r="639" ht="20" customHeight="1" spans="2:19">
      <c r="B639" s="42">
        <v>5</v>
      </c>
      <c r="C639" s="42">
        <v>22</v>
      </c>
      <c r="D639" s="42"/>
      <c r="E639" s="54" t="s">
        <v>905</v>
      </c>
      <c r="F639" s="75" t="s">
        <v>1201</v>
      </c>
      <c r="G639" s="56"/>
      <c r="H639" s="56">
        <v>150</v>
      </c>
      <c r="I639" s="56">
        <v>76</v>
      </c>
      <c r="J639" s="56"/>
      <c r="K639" s="56"/>
      <c r="L639" s="56"/>
      <c r="M639" s="56"/>
      <c r="N639" s="56">
        <f t="shared" si="39"/>
        <v>226</v>
      </c>
      <c r="O639" s="56"/>
      <c r="P639" s="58">
        <f t="shared" si="37"/>
        <v>8001709.5</v>
      </c>
      <c r="Q639" s="56"/>
    </row>
    <row r="640" ht="20" customHeight="1" spans="2:19">
      <c r="B640" s="42">
        <v>5</v>
      </c>
      <c r="C640" s="42">
        <v>22</v>
      </c>
      <c r="D640" s="42"/>
      <c r="E640" s="54" t="s">
        <v>524</v>
      </c>
      <c r="F640" s="75" t="s">
        <v>1202</v>
      </c>
      <c r="G640" s="56">
        <v>2813</v>
      </c>
      <c r="H640" s="56"/>
      <c r="I640" s="56"/>
      <c r="J640" s="56"/>
      <c r="K640" s="56"/>
      <c r="L640" s="56"/>
      <c r="M640" s="56"/>
      <c r="N640" s="56">
        <f t="shared" si="39"/>
        <v>2813</v>
      </c>
      <c r="O640" s="56"/>
      <c r="P640" s="58">
        <f t="shared" si="37"/>
        <v>8004522.5</v>
      </c>
      <c r="Q640" s="56"/>
    </row>
    <row r="641" ht="20" customHeight="1" spans="2:17">
      <c r="B641" s="42">
        <v>5</v>
      </c>
      <c r="C641" s="42">
        <v>22</v>
      </c>
      <c r="D641" s="42"/>
      <c r="E641" s="74" t="s">
        <v>524</v>
      </c>
      <c r="F641" s="75" t="s">
        <v>1203</v>
      </c>
      <c r="G641" s="56">
        <v>5075</v>
      </c>
      <c r="H641" s="56"/>
      <c r="I641" s="56"/>
      <c r="J641" s="56"/>
      <c r="K641" s="56"/>
      <c r="L641" s="56"/>
      <c r="M641" s="56"/>
      <c r="N641" s="56">
        <f t="shared" si="39"/>
        <v>5075</v>
      </c>
      <c r="O641" s="56"/>
      <c r="P641" s="58">
        <f t="shared" si="37"/>
        <v>8009597.5</v>
      </c>
      <c r="Q641" s="56"/>
    </row>
    <row r="642" ht="20" customHeight="1" spans="2:17">
      <c r="B642" s="42">
        <v>5</v>
      </c>
      <c r="C642" s="42">
        <v>22</v>
      </c>
      <c r="D642" s="42"/>
      <c r="E642" s="74" t="s">
        <v>524</v>
      </c>
      <c r="F642" s="75" t="s">
        <v>1204</v>
      </c>
      <c r="G642" s="56"/>
      <c r="H642" s="56"/>
      <c r="I642" s="56">
        <v>112</v>
      </c>
      <c r="J642" s="56"/>
      <c r="K642" s="56"/>
      <c r="L642" s="56"/>
      <c r="M642" s="56"/>
      <c r="N642" s="56">
        <f t="shared" si="39"/>
        <v>112</v>
      </c>
      <c r="O642" s="56"/>
      <c r="P642" s="58">
        <f t="shared" si="37"/>
        <v>8009709.5</v>
      </c>
      <c r="Q642" s="56"/>
    </row>
    <row r="643" ht="20" customHeight="1" spans="2:17">
      <c r="B643" s="42">
        <v>5</v>
      </c>
      <c r="C643" s="42">
        <v>22</v>
      </c>
      <c r="D643" s="74" t="s">
        <v>145</v>
      </c>
      <c r="E643" s="54" t="s">
        <v>251</v>
      </c>
      <c r="F643" s="75" t="s">
        <v>1205</v>
      </c>
      <c r="G643" s="56"/>
      <c r="H643" s="56"/>
      <c r="I643" s="56"/>
      <c r="J643" s="56"/>
      <c r="K643" s="56"/>
      <c r="L643" s="56"/>
      <c r="M643" s="56"/>
      <c r="N643" s="56">
        <f t="shared" si="39"/>
        <v>0</v>
      </c>
      <c r="O643" s="56">
        <v>130000</v>
      </c>
      <c r="P643" s="58">
        <f t="shared" si="37"/>
        <v>7879709.5</v>
      </c>
      <c r="Q643" s="56"/>
    </row>
    <row r="644" ht="24.75" spans="2:17">
      <c r="B644" s="42">
        <v>5</v>
      </c>
      <c r="C644" s="42">
        <v>22</v>
      </c>
      <c r="D644" s="74" t="s">
        <v>130</v>
      </c>
      <c r="E644" s="54" t="s">
        <v>251</v>
      </c>
      <c r="F644" s="77" t="s">
        <v>1206</v>
      </c>
      <c r="G644" s="56"/>
      <c r="H644" s="56"/>
      <c r="I644" s="56"/>
      <c r="J644" s="56"/>
      <c r="K644" s="56"/>
      <c r="L644" s="56"/>
      <c r="M644" s="56"/>
      <c r="N644" s="56">
        <f t="shared" si="39"/>
        <v>0</v>
      </c>
      <c r="O644" s="56">
        <v>3438.71</v>
      </c>
      <c r="P644" s="58">
        <f t="shared" si="37"/>
        <v>7876270.79</v>
      </c>
      <c r="Q644" s="56"/>
    </row>
    <row r="645" ht="20" customHeight="1" spans="2:17">
      <c r="B645" s="42">
        <v>5</v>
      </c>
      <c r="C645" s="42">
        <v>23</v>
      </c>
      <c r="D645" s="42"/>
      <c r="E645" s="74" t="s">
        <v>650</v>
      </c>
      <c r="F645" s="75" t="s">
        <v>1207</v>
      </c>
      <c r="G645" s="56">
        <v>6654</v>
      </c>
      <c r="H645" s="56">
        <v>200</v>
      </c>
      <c r="I645" s="56">
        <v>500</v>
      </c>
      <c r="J645" s="56"/>
      <c r="K645" s="56"/>
      <c r="L645" s="56"/>
      <c r="M645" s="56"/>
      <c r="N645" s="56">
        <f t="shared" si="39"/>
        <v>7354</v>
      </c>
      <c r="O645" s="56"/>
      <c r="P645" s="58">
        <f t="shared" si="37"/>
        <v>7883624.79</v>
      </c>
      <c r="Q645" s="56"/>
    </row>
    <row r="646" ht="20" customHeight="1" spans="2:17">
      <c r="B646" s="42">
        <v>5</v>
      </c>
      <c r="C646" s="42">
        <v>25</v>
      </c>
      <c r="D646" s="42"/>
      <c r="E646" s="42"/>
      <c r="F646" s="75" t="s">
        <v>1208</v>
      </c>
      <c r="G646" s="56"/>
      <c r="H646" s="56"/>
      <c r="I646" s="56"/>
      <c r="J646" s="56"/>
      <c r="K646" s="56">
        <v>3825</v>
      </c>
      <c r="L646" s="56"/>
      <c r="M646" s="56">
        <v>33.24</v>
      </c>
      <c r="N646" s="56">
        <f t="shared" si="39"/>
        <v>3791.76</v>
      </c>
      <c r="O646" s="56"/>
      <c r="P646" s="58">
        <f t="shared" si="37"/>
        <v>7887416.55</v>
      </c>
      <c r="Q646" s="56"/>
    </row>
    <row r="647" ht="20" customHeight="1" spans="2:17">
      <c r="B647" s="42">
        <v>5</v>
      </c>
      <c r="C647" s="42">
        <v>25</v>
      </c>
      <c r="D647" s="42"/>
      <c r="E647" s="74" t="s">
        <v>520</v>
      </c>
      <c r="F647" s="75" t="s">
        <v>1209</v>
      </c>
      <c r="G647" s="56">
        <v>8700</v>
      </c>
      <c r="H647" s="56"/>
      <c r="I647" s="56"/>
      <c r="J647" s="56"/>
      <c r="K647" s="56"/>
      <c r="L647" s="56"/>
      <c r="M647" s="56"/>
      <c r="N647" s="56">
        <f t="shared" si="39"/>
        <v>8700</v>
      </c>
      <c r="O647" s="56"/>
      <c r="P647" s="58">
        <f t="shared" si="37"/>
        <v>7896116.55</v>
      </c>
      <c r="Q647" s="56"/>
    </row>
    <row r="648" ht="20" customHeight="1" spans="2:17">
      <c r="B648" s="42">
        <v>5</v>
      </c>
      <c r="C648" s="42">
        <v>25</v>
      </c>
      <c r="D648" s="42"/>
      <c r="E648" s="54" t="s">
        <v>1210</v>
      </c>
      <c r="F648" s="75" t="s">
        <v>1211</v>
      </c>
      <c r="G648" s="56"/>
      <c r="H648" s="56"/>
      <c r="I648" s="56"/>
      <c r="J648" s="56">
        <v>4500</v>
      </c>
      <c r="K648" s="56"/>
      <c r="L648" s="56"/>
      <c r="M648" s="56"/>
      <c r="N648" s="56">
        <f t="shared" si="39"/>
        <v>4500</v>
      </c>
      <c r="O648" s="56"/>
      <c r="P648" s="58">
        <f t="shared" si="37"/>
        <v>7900616.55</v>
      </c>
      <c r="Q648" s="56"/>
    </row>
    <row r="649" ht="20" customHeight="1" spans="2:17">
      <c r="B649" s="42">
        <v>5</v>
      </c>
      <c r="C649" s="42">
        <v>25</v>
      </c>
      <c r="D649" s="42"/>
      <c r="E649" s="74" t="s">
        <v>1210</v>
      </c>
      <c r="F649" s="75" t="s">
        <v>1212</v>
      </c>
      <c r="G649" s="56">
        <v>1500</v>
      </c>
      <c r="H649" s="56"/>
      <c r="I649" s="56"/>
      <c r="J649" s="56"/>
      <c r="K649" s="56"/>
      <c r="L649" s="56"/>
      <c r="M649" s="56"/>
      <c r="N649" s="56">
        <f t="shared" si="39"/>
        <v>1500</v>
      </c>
      <c r="O649" s="56"/>
      <c r="P649" s="58">
        <f t="shared" ref="P649:P676" si="40">P648+N649-O649</f>
        <v>7902116.55</v>
      </c>
      <c r="Q649" s="56"/>
    </row>
    <row r="650" ht="20" customHeight="1" spans="2:17">
      <c r="B650" s="42">
        <v>5</v>
      </c>
      <c r="C650" s="42">
        <v>25</v>
      </c>
      <c r="D650" s="42"/>
      <c r="E650" s="74" t="s">
        <v>592</v>
      </c>
      <c r="F650" s="75" t="s">
        <v>1213</v>
      </c>
      <c r="G650" s="56">
        <v>2700</v>
      </c>
      <c r="H650" s="56">
        <v>200</v>
      </c>
      <c r="I650" s="56">
        <v>127</v>
      </c>
      <c r="J650" s="56"/>
      <c r="K650" s="56"/>
      <c r="L650" s="56"/>
      <c r="M650" s="56"/>
      <c r="N650" s="56">
        <f t="shared" si="39"/>
        <v>3027</v>
      </c>
      <c r="O650" s="56"/>
      <c r="P650" s="58">
        <f t="shared" si="40"/>
        <v>7905143.55</v>
      </c>
      <c r="Q650" s="56"/>
    </row>
    <row r="651" ht="20" customHeight="1" spans="2:17">
      <c r="B651" s="42">
        <v>5</v>
      </c>
      <c r="C651" s="42">
        <v>25</v>
      </c>
      <c r="D651" s="42"/>
      <c r="E651" s="54" t="s">
        <v>606</v>
      </c>
      <c r="F651" s="75" t="s">
        <v>1214</v>
      </c>
      <c r="G651" s="56">
        <v>10333</v>
      </c>
      <c r="H651" s="56">
        <v>600</v>
      </c>
      <c r="I651" s="56">
        <v>788</v>
      </c>
      <c r="J651" s="56"/>
      <c r="K651" s="56"/>
      <c r="L651" s="56"/>
      <c r="M651" s="56"/>
      <c r="N651" s="56">
        <f t="shared" si="39"/>
        <v>11721</v>
      </c>
      <c r="O651" s="56"/>
      <c r="P651" s="58">
        <f t="shared" si="40"/>
        <v>7916864.55</v>
      </c>
      <c r="Q651" s="56"/>
    </row>
    <row r="652" ht="20" customHeight="1" spans="2:17">
      <c r="B652" s="42">
        <v>5</v>
      </c>
      <c r="C652" s="42">
        <v>26</v>
      </c>
      <c r="D652" s="42"/>
      <c r="E652" s="74" t="s">
        <v>581</v>
      </c>
      <c r="F652" s="75" t="s">
        <v>1160</v>
      </c>
      <c r="G652" s="56">
        <v>1300</v>
      </c>
      <c r="H652" s="56"/>
      <c r="I652" s="56"/>
      <c r="J652" s="56"/>
      <c r="K652" s="56"/>
      <c r="L652" s="56"/>
      <c r="M652" s="56"/>
      <c r="N652" s="56">
        <f t="shared" si="39"/>
        <v>1300</v>
      </c>
      <c r="O652" s="56"/>
      <c r="P652" s="58">
        <f t="shared" si="40"/>
        <v>7918164.55</v>
      </c>
      <c r="Q652" s="56"/>
    </row>
    <row r="653" ht="20" customHeight="1" spans="2:17">
      <c r="B653" s="42">
        <v>5</v>
      </c>
      <c r="C653" s="42">
        <v>26</v>
      </c>
      <c r="D653" s="42"/>
      <c r="E653" s="74" t="s">
        <v>623</v>
      </c>
      <c r="F653" s="75" t="s">
        <v>1215</v>
      </c>
      <c r="G653" s="56">
        <v>5000</v>
      </c>
      <c r="H653" s="56"/>
      <c r="I653" s="56"/>
      <c r="J653" s="56"/>
      <c r="K653" s="56"/>
      <c r="L653" s="56"/>
      <c r="M653" s="56"/>
      <c r="N653" s="56">
        <f t="shared" si="39"/>
        <v>5000</v>
      </c>
      <c r="O653" s="56"/>
      <c r="P653" s="58">
        <f t="shared" si="40"/>
        <v>7923164.55</v>
      </c>
      <c r="Q653" s="56"/>
    </row>
    <row r="654" ht="20" customHeight="1" spans="2:17">
      <c r="B654" s="42">
        <v>5</v>
      </c>
      <c r="C654" s="42">
        <v>25</v>
      </c>
      <c r="D654" s="42"/>
      <c r="E654" s="54" t="s">
        <v>628</v>
      </c>
      <c r="F654" s="75" t="s">
        <v>1216</v>
      </c>
      <c r="G654" s="56">
        <v>6090</v>
      </c>
      <c r="H654" s="56">
        <v>200</v>
      </c>
      <c r="I654" s="56">
        <v>534</v>
      </c>
      <c r="J654" s="56"/>
      <c r="K654" s="56"/>
      <c r="L654" s="56"/>
      <c r="M654" s="56"/>
      <c r="N654" s="56">
        <f t="shared" si="39"/>
        <v>6824</v>
      </c>
      <c r="O654" s="56"/>
      <c r="P654" s="58">
        <f t="shared" si="40"/>
        <v>7929988.55</v>
      </c>
      <c r="Q654" s="56"/>
    </row>
    <row r="655" ht="20" customHeight="1" spans="2:17">
      <c r="B655" s="42">
        <v>5</v>
      </c>
      <c r="C655" s="42">
        <v>28</v>
      </c>
      <c r="D655" s="42"/>
      <c r="E655" s="42" t="s">
        <v>914</v>
      </c>
      <c r="F655" s="75" t="s">
        <v>1217</v>
      </c>
      <c r="G655" s="56">
        <v>5000</v>
      </c>
      <c r="H655" s="56"/>
      <c r="I655" s="56"/>
      <c r="J655" s="56"/>
      <c r="K655" s="56"/>
      <c r="L655" s="56"/>
      <c r="M655" s="56"/>
      <c r="N655" s="56">
        <f t="shared" si="39"/>
        <v>5000</v>
      </c>
      <c r="O655" s="56"/>
      <c r="P655" s="58">
        <f t="shared" si="40"/>
        <v>7934988.55</v>
      </c>
      <c r="Q655" s="56"/>
    </row>
    <row r="656" ht="20" customHeight="1" spans="2:17">
      <c r="B656" s="42">
        <v>5</v>
      </c>
      <c r="C656" s="42">
        <v>28</v>
      </c>
      <c r="D656" s="42" t="s">
        <v>124</v>
      </c>
      <c r="E656" s="42" t="s">
        <v>486</v>
      </c>
      <c r="F656" s="75" t="s">
        <v>1218</v>
      </c>
      <c r="G656" s="56"/>
      <c r="H656" s="56"/>
      <c r="I656" s="56"/>
      <c r="J656" s="56"/>
      <c r="K656" s="56"/>
      <c r="L656" s="56"/>
      <c r="M656" s="56"/>
      <c r="N656" s="56">
        <f t="shared" si="39"/>
        <v>0</v>
      </c>
      <c r="O656" s="56">
        <v>2519</v>
      </c>
      <c r="P656" s="58">
        <f t="shared" si="40"/>
        <v>7932469.55</v>
      </c>
      <c r="Q656" s="56"/>
    </row>
    <row r="657" ht="20" customHeight="1" spans="2:17">
      <c r="B657" s="42">
        <v>5</v>
      </c>
      <c r="C657" s="42">
        <v>28</v>
      </c>
      <c r="D657" s="42" t="s">
        <v>124</v>
      </c>
      <c r="E657" s="54" t="s">
        <v>486</v>
      </c>
      <c r="F657" s="75" t="s">
        <v>1219</v>
      </c>
      <c r="G657" s="56"/>
      <c r="H657" s="56"/>
      <c r="I657" s="56"/>
      <c r="J657" s="56"/>
      <c r="K657" s="56"/>
      <c r="L657" s="56"/>
      <c r="M657" s="56"/>
      <c r="N657" s="56">
        <f t="shared" si="39"/>
        <v>0</v>
      </c>
      <c r="O657" s="56">
        <v>9457.41</v>
      </c>
      <c r="P657" s="58">
        <f t="shared" si="40"/>
        <v>7923012.14</v>
      </c>
      <c r="Q657" s="56"/>
    </row>
    <row r="658" ht="20" customHeight="1" spans="2:17">
      <c r="B658" s="42">
        <v>5</v>
      </c>
      <c r="C658" s="42">
        <v>28</v>
      </c>
      <c r="D658" s="42" t="s">
        <v>129</v>
      </c>
      <c r="E658" s="42" t="s">
        <v>486</v>
      </c>
      <c r="F658" s="75" t="s">
        <v>1220</v>
      </c>
      <c r="G658" s="56"/>
      <c r="H658" s="56"/>
      <c r="I658" s="56"/>
      <c r="J658" s="56"/>
      <c r="K658" s="56"/>
      <c r="L658" s="56"/>
      <c r="M658" s="56"/>
      <c r="N658" s="56">
        <f t="shared" si="39"/>
        <v>0</v>
      </c>
      <c r="O658" s="56">
        <v>215.24</v>
      </c>
      <c r="P658" s="58">
        <f t="shared" si="40"/>
        <v>7922796.9</v>
      </c>
      <c r="Q658" s="56"/>
    </row>
    <row r="659" ht="20" customHeight="1" spans="2:17">
      <c r="B659" s="42">
        <v>5</v>
      </c>
      <c r="C659" s="42">
        <v>28</v>
      </c>
      <c r="D659" s="74" t="s">
        <v>100</v>
      </c>
      <c r="E659" s="42" t="s">
        <v>486</v>
      </c>
      <c r="F659" s="75" t="s">
        <v>1221</v>
      </c>
      <c r="G659" s="56"/>
      <c r="H659" s="56"/>
      <c r="I659" s="56"/>
      <c r="J659" s="56"/>
      <c r="K659" s="56"/>
      <c r="L659" s="56"/>
      <c r="M659" s="56"/>
      <c r="N659" s="56">
        <f t="shared" si="39"/>
        <v>0</v>
      </c>
      <c r="O659" s="56">
        <v>731.8</v>
      </c>
      <c r="P659" s="58">
        <f t="shared" si="40"/>
        <v>7922065.1</v>
      </c>
      <c r="Q659" s="56"/>
    </row>
    <row r="660" ht="20" customHeight="1" spans="2:17">
      <c r="B660" s="42">
        <v>5</v>
      </c>
      <c r="C660" s="42">
        <v>28</v>
      </c>
      <c r="D660" s="74" t="s">
        <v>92</v>
      </c>
      <c r="E660" s="54" t="s">
        <v>486</v>
      </c>
      <c r="F660" s="75" t="s">
        <v>1222</v>
      </c>
      <c r="G660" s="56"/>
      <c r="H660" s="56"/>
      <c r="I660" s="56"/>
      <c r="J660" s="56"/>
      <c r="K660" s="56"/>
      <c r="L660" s="56"/>
      <c r="M660" s="56"/>
      <c r="N660" s="56">
        <f t="shared" si="39"/>
        <v>0</v>
      </c>
      <c r="O660" s="56">
        <v>1000</v>
      </c>
      <c r="P660" s="58">
        <f t="shared" si="40"/>
        <v>7921065.1</v>
      </c>
      <c r="Q660" s="56"/>
    </row>
    <row r="661" ht="20" customHeight="1" spans="2:17">
      <c r="B661" s="42">
        <v>5</v>
      </c>
      <c r="C661" s="42">
        <v>28</v>
      </c>
      <c r="D661" s="74" t="s">
        <v>121</v>
      </c>
      <c r="E661" s="74" t="s">
        <v>764</v>
      </c>
      <c r="F661" s="75" t="s">
        <v>1223</v>
      </c>
      <c r="G661" s="56"/>
      <c r="H661" s="56"/>
      <c r="I661" s="56"/>
      <c r="J661" s="56"/>
      <c r="K661" s="56"/>
      <c r="L661" s="56"/>
      <c r="M661" s="56"/>
      <c r="N661" s="56">
        <f t="shared" si="39"/>
        <v>0</v>
      </c>
      <c r="O661" s="56">
        <v>130000</v>
      </c>
      <c r="P661" s="58">
        <f t="shared" si="40"/>
        <v>7791065.1</v>
      </c>
      <c r="Q661" s="56"/>
    </row>
    <row r="662" ht="20" customHeight="1" spans="2:17">
      <c r="B662" s="42">
        <v>5</v>
      </c>
      <c r="C662" s="42">
        <v>31</v>
      </c>
      <c r="D662" s="42"/>
      <c r="E662" s="42" t="s">
        <v>491</v>
      </c>
      <c r="F662" s="75" t="s">
        <v>1224</v>
      </c>
      <c r="G662" s="56">
        <v>16445</v>
      </c>
      <c r="H662" s="56"/>
      <c r="I662" s="56">
        <v>40</v>
      </c>
      <c r="J662" s="56"/>
      <c r="K662" s="56"/>
      <c r="L662" s="56"/>
      <c r="M662" s="56"/>
      <c r="N662" s="56">
        <f t="shared" si="39"/>
        <v>16485</v>
      </c>
      <c r="O662" s="56"/>
      <c r="P662" s="58">
        <f t="shared" si="40"/>
        <v>7807550.1</v>
      </c>
      <c r="Q662" s="56"/>
    </row>
    <row r="663" ht="20" customHeight="1" spans="2:17">
      <c r="B663" s="42">
        <v>5</v>
      </c>
      <c r="C663" s="42">
        <v>31</v>
      </c>
      <c r="D663" s="42"/>
      <c r="E663" s="54" t="s">
        <v>655</v>
      </c>
      <c r="F663" s="75" t="s">
        <v>1225</v>
      </c>
      <c r="G663" s="56">
        <v>1300</v>
      </c>
      <c r="H663" s="56"/>
      <c r="I663" s="56">
        <v>113</v>
      </c>
      <c r="J663" s="56"/>
      <c r="K663" s="56"/>
      <c r="L663" s="56"/>
      <c r="M663" s="56"/>
      <c r="N663" s="56">
        <f t="shared" si="39"/>
        <v>1413</v>
      </c>
      <c r="O663" s="56"/>
      <c r="P663" s="58">
        <f t="shared" si="40"/>
        <v>7808963.1</v>
      </c>
      <c r="Q663" s="56"/>
    </row>
    <row r="664" ht="20" customHeight="1" spans="2:17">
      <c r="B664" s="42">
        <v>5</v>
      </c>
      <c r="C664" s="42">
        <v>31</v>
      </c>
      <c r="D664" s="42"/>
      <c r="E664" s="74" t="s">
        <v>865</v>
      </c>
      <c r="F664" s="75" t="s">
        <v>1226</v>
      </c>
      <c r="G664" s="56"/>
      <c r="H664" s="56"/>
      <c r="I664" s="56">
        <v>131</v>
      </c>
      <c r="J664" s="56"/>
      <c r="K664" s="56"/>
      <c r="L664" s="56"/>
      <c r="M664" s="56">
        <v>37.7</v>
      </c>
      <c r="N664" s="55">
        <f t="shared" si="39"/>
        <v>93.3</v>
      </c>
      <c r="O664" s="56"/>
      <c r="P664" s="58">
        <f t="shared" si="40"/>
        <v>7809056.4</v>
      </c>
      <c r="Q664" s="56"/>
    </row>
    <row r="665" ht="20" customHeight="1" spans="2:17">
      <c r="B665" s="42">
        <v>5</v>
      </c>
      <c r="C665" s="42">
        <v>31</v>
      </c>
      <c r="D665" s="42"/>
      <c r="E665" s="74" t="s">
        <v>746</v>
      </c>
      <c r="F665" s="75" t="s">
        <v>1227</v>
      </c>
      <c r="G665" s="56">
        <v>1909</v>
      </c>
      <c r="H665" s="56">
        <v>150</v>
      </c>
      <c r="I665" s="56">
        <v>257</v>
      </c>
      <c r="J665" s="56"/>
      <c r="K665" s="56"/>
      <c r="L665" s="56"/>
      <c r="M665" s="56"/>
      <c r="N665" s="55">
        <f t="shared" si="39"/>
        <v>2316</v>
      </c>
      <c r="O665" s="56"/>
      <c r="P665" s="58">
        <f t="shared" si="40"/>
        <v>7811372.4</v>
      </c>
      <c r="Q665" s="56"/>
    </row>
    <row r="666" ht="20" customHeight="1" spans="2:17">
      <c r="B666" s="42">
        <v>5</v>
      </c>
      <c r="C666" s="42">
        <v>31</v>
      </c>
      <c r="D666" s="42"/>
      <c r="E666" s="42"/>
      <c r="F666" s="75" t="s">
        <v>1228</v>
      </c>
      <c r="G666" s="56"/>
      <c r="H666" s="56"/>
      <c r="I666" s="56"/>
      <c r="J666" s="56"/>
      <c r="K666" s="56">
        <v>4730</v>
      </c>
      <c r="L666" s="56"/>
      <c r="M666" s="56"/>
      <c r="N666" s="56">
        <f t="shared" si="39"/>
        <v>4730</v>
      </c>
      <c r="O666" s="56"/>
      <c r="P666" s="58">
        <f t="shared" si="40"/>
        <v>7816102.4</v>
      </c>
      <c r="Q666" s="56"/>
    </row>
    <row r="667" ht="20" customHeight="1" spans="2:17">
      <c r="B667" s="42">
        <v>5</v>
      </c>
      <c r="C667" s="42">
        <v>31</v>
      </c>
      <c r="D667" s="42"/>
      <c r="E667" s="54" t="s">
        <v>626</v>
      </c>
      <c r="F667" s="75" t="s">
        <v>1229</v>
      </c>
      <c r="G667" s="56">
        <v>1400</v>
      </c>
      <c r="H667" s="56">
        <v>150</v>
      </c>
      <c r="I667" s="56">
        <v>45.6</v>
      </c>
      <c r="J667" s="56"/>
      <c r="K667" s="56"/>
      <c r="L667" s="56"/>
      <c r="M667" s="56"/>
      <c r="N667" s="55">
        <f t="shared" si="39"/>
        <v>1595.6</v>
      </c>
      <c r="O667" s="56"/>
      <c r="P667" s="58">
        <f t="shared" si="40"/>
        <v>7817698</v>
      </c>
      <c r="Q667" s="56"/>
    </row>
    <row r="668" ht="20" customHeight="1" spans="2:17">
      <c r="B668" s="42">
        <v>5</v>
      </c>
      <c r="C668" s="42">
        <v>31</v>
      </c>
      <c r="D668" s="42"/>
      <c r="E668" s="74" t="s">
        <v>618</v>
      </c>
      <c r="F668" s="75" t="s">
        <v>1230</v>
      </c>
      <c r="G668" s="56">
        <v>7707</v>
      </c>
      <c r="H668" s="56">
        <v>200</v>
      </c>
      <c r="I668" s="56">
        <v>977</v>
      </c>
      <c r="J668" s="56"/>
      <c r="K668" s="56"/>
      <c r="L668" s="56"/>
      <c r="M668" s="56"/>
      <c r="N668" s="55">
        <f t="shared" si="39"/>
        <v>8884</v>
      </c>
      <c r="O668" s="56"/>
      <c r="P668" s="58">
        <f t="shared" si="40"/>
        <v>7826582</v>
      </c>
      <c r="Q668" s="56"/>
    </row>
    <row r="669" ht="20" customHeight="1" spans="2:17">
      <c r="B669" s="42">
        <v>5</v>
      </c>
      <c r="C669" s="42">
        <v>31</v>
      </c>
      <c r="D669" s="42"/>
      <c r="E669" s="74" t="s">
        <v>590</v>
      </c>
      <c r="F669" s="75" t="s">
        <v>1231</v>
      </c>
      <c r="G669" s="56">
        <v>1000</v>
      </c>
      <c r="H669" s="56"/>
      <c r="I669" s="56">
        <v>38</v>
      </c>
      <c r="J669" s="56"/>
      <c r="K669" s="56"/>
      <c r="L669" s="56"/>
      <c r="M669" s="56"/>
      <c r="N669" s="55">
        <f t="shared" si="39"/>
        <v>1038</v>
      </c>
      <c r="O669" s="56"/>
      <c r="P669" s="58">
        <f t="shared" si="40"/>
        <v>7827620</v>
      </c>
      <c r="Q669" s="56"/>
    </row>
    <row r="670" ht="20" customHeight="1" spans="2:17">
      <c r="B670" s="42">
        <v>5</v>
      </c>
      <c r="C670" s="42">
        <v>31</v>
      </c>
      <c r="D670" s="42"/>
      <c r="E670" s="74" t="s">
        <v>606</v>
      </c>
      <c r="F670" s="75" t="s">
        <v>1232</v>
      </c>
      <c r="G670" s="56">
        <v>10333</v>
      </c>
      <c r="H670" s="56">
        <v>600</v>
      </c>
      <c r="I670" s="56">
        <v>532</v>
      </c>
      <c r="J670" s="56"/>
      <c r="K670" s="56"/>
      <c r="L670" s="56"/>
      <c r="M670" s="56"/>
      <c r="N670" s="55">
        <f t="shared" si="39"/>
        <v>11465</v>
      </c>
      <c r="O670" s="56"/>
      <c r="P670" s="58">
        <f t="shared" si="40"/>
        <v>7839085</v>
      </c>
      <c r="Q670" s="56"/>
    </row>
    <row r="671" ht="20" customHeight="1" spans="2:17">
      <c r="B671" s="42">
        <v>5</v>
      </c>
      <c r="C671" s="42">
        <v>31</v>
      </c>
      <c r="D671" s="42"/>
      <c r="E671" s="74" t="s">
        <v>606</v>
      </c>
      <c r="F671" s="75" t="s">
        <v>1233</v>
      </c>
      <c r="G671" s="56">
        <v>10333</v>
      </c>
      <c r="H671" s="56">
        <v>600</v>
      </c>
      <c r="I671" s="56">
        <v>509</v>
      </c>
      <c r="J671" s="56"/>
      <c r="K671" s="56"/>
      <c r="L671" s="56"/>
      <c r="M671" s="56"/>
      <c r="N671" s="55">
        <f t="shared" si="39"/>
        <v>11442</v>
      </c>
      <c r="O671" s="56"/>
      <c r="P671" s="58">
        <f t="shared" si="40"/>
        <v>7850527</v>
      </c>
      <c r="Q671" s="56"/>
    </row>
    <row r="672" ht="20" customHeight="1" spans="2:17">
      <c r="B672" s="42">
        <v>5</v>
      </c>
      <c r="C672" s="42">
        <v>31</v>
      </c>
      <c r="D672" s="42"/>
      <c r="E672" s="54" t="s">
        <v>570</v>
      </c>
      <c r="F672" s="75" t="s">
        <v>1234</v>
      </c>
      <c r="G672" s="56">
        <v>1500</v>
      </c>
      <c r="H672" s="56">
        <v>150</v>
      </c>
      <c r="I672" s="56">
        <v>71</v>
      </c>
      <c r="J672" s="56"/>
      <c r="K672" s="56"/>
      <c r="L672" s="56"/>
      <c r="M672" s="56"/>
      <c r="N672" s="55">
        <f t="shared" si="39"/>
        <v>1721</v>
      </c>
      <c r="O672" s="56"/>
      <c r="P672" s="58">
        <f t="shared" si="40"/>
        <v>7852248</v>
      </c>
      <c r="Q672" s="56"/>
    </row>
    <row r="673" ht="20" customHeight="1" spans="2:19">
      <c r="B673" s="42">
        <v>5</v>
      </c>
      <c r="C673" s="42">
        <v>31</v>
      </c>
      <c r="D673" s="42"/>
      <c r="E673" s="74" t="s">
        <v>660</v>
      </c>
      <c r="F673" s="75" t="s">
        <v>1235</v>
      </c>
      <c r="G673" s="56">
        <v>2000</v>
      </c>
      <c r="H673" s="56">
        <v>150</v>
      </c>
      <c r="I673" s="56">
        <v>321</v>
      </c>
      <c r="J673" s="56"/>
      <c r="K673" s="56"/>
      <c r="L673" s="56"/>
      <c r="M673" s="56"/>
      <c r="N673" s="55">
        <f t="shared" si="39"/>
        <v>2471</v>
      </c>
      <c r="O673" s="56"/>
      <c r="P673" s="58">
        <f t="shared" si="40"/>
        <v>7854719</v>
      </c>
      <c r="Q673" s="56"/>
    </row>
    <row r="674" ht="20" customHeight="1" spans="2:19">
      <c r="B674" s="42">
        <v>5</v>
      </c>
      <c r="C674" s="42">
        <v>31</v>
      </c>
      <c r="D674" s="42"/>
      <c r="E674" s="74" t="s">
        <v>646</v>
      </c>
      <c r="F674" s="75" t="s">
        <v>1236</v>
      </c>
      <c r="G674" s="56"/>
      <c r="H674" s="56"/>
      <c r="I674" s="56">
        <v>467</v>
      </c>
      <c r="J674" s="56"/>
      <c r="K674" s="56"/>
      <c r="L674" s="56"/>
      <c r="M674" s="56"/>
      <c r="N674" s="55">
        <f t="shared" si="39"/>
        <v>467</v>
      </c>
      <c r="O674" s="56"/>
      <c r="P674" s="58">
        <f t="shared" si="40"/>
        <v>7855186</v>
      </c>
      <c r="Q674" s="56"/>
    </row>
    <row r="675" ht="20" customHeight="1" spans="2:19">
      <c r="B675" s="42">
        <v>5</v>
      </c>
      <c r="C675" s="42">
        <v>31</v>
      </c>
      <c r="D675" s="42"/>
      <c r="E675" s="54" t="s">
        <v>572</v>
      </c>
      <c r="F675" s="75" t="s">
        <v>1237</v>
      </c>
      <c r="G675" s="56">
        <v>200</v>
      </c>
      <c r="H675" s="56"/>
      <c r="I675" s="56">
        <v>281</v>
      </c>
      <c r="J675" s="56"/>
      <c r="K675" s="56"/>
      <c r="L675" s="56"/>
      <c r="M675" s="56"/>
      <c r="N675" s="55">
        <f t="shared" si="39"/>
        <v>481</v>
      </c>
      <c r="O675" s="56"/>
      <c r="P675" s="58">
        <f t="shared" si="40"/>
        <v>7855667</v>
      </c>
      <c r="Q675" s="56"/>
    </row>
    <row r="676" ht="20" customHeight="1" spans="2:19">
      <c r="B676" s="42">
        <v>5</v>
      </c>
      <c r="C676" s="42">
        <v>31</v>
      </c>
      <c r="D676" s="42"/>
      <c r="E676" s="54" t="s">
        <v>572</v>
      </c>
      <c r="F676" s="75" t="s">
        <v>1238</v>
      </c>
      <c r="G676" s="56">
        <v>1000</v>
      </c>
      <c r="H676" s="56"/>
      <c r="I676" s="56"/>
      <c r="J676" s="56"/>
      <c r="K676" s="56"/>
      <c r="L676" s="56"/>
      <c r="M676" s="56"/>
      <c r="N676" s="55">
        <f t="shared" si="39"/>
        <v>1000</v>
      </c>
      <c r="O676" s="56"/>
      <c r="P676" s="58">
        <f t="shared" si="40"/>
        <v>7856667</v>
      </c>
      <c r="Q676" s="56"/>
      <c r="R676" s="3" t="s">
        <v>239</v>
      </c>
      <c r="S676" s="3">
        <v>176581.58</v>
      </c>
    </row>
    <row r="677" ht="20" customHeight="1" spans="2:19">
      <c r="B677" s="68"/>
      <c r="C677" s="68"/>
      <c r="D677" s="173"/>
      <c r="E677" s="68"/>
      <c r="F677" s="70" t="s">
        <v>22</v>
      </c>
      <c r="G677" s="71">
        <f t="shared" ref="G677:O677" si="41">SUM(G541:G676)</f>
        <v>290765</v>
      </c>
      <c r="H677" s="71">
        <f t="shared" si="41"/>
        <v>12400</v>
      </c>
      <c r="I677" s="71">
        <f t="shared" si="41"/>
        <v>20631.2</v>
      </c>
      <c r="J677" s="71">
        <f t="shared" si="41"/>
        <v>22200</v>
      </c>
      <c r="K677" s="71">
        <f t="shared" si="41"/>
        <v>25185</v>
      </c>
      <c r="L677" s="71">
        <f t="shared" si="41"/>
        <v>0</v>
      </c>
      <c r="M677" s="71">
        <f t="shared" si="41"/>
        <v>180.77</v>
      </c>
      <c r="N677" s="71">
        <f t="shared" si="41"/>
        <v>396000.43</v>
      </c>
      <c r="O677" s="71">
        <f t="shared" si="41"/>
        <v>349676.91</v>
      </c>
      <c r="P677" s="71">
        <f>P540+N677-O677</f>
        <v>7906137.98</v>
      </c>
      <c r="Q677" s="71"/>
      <c r="R677" s="3">
        <f>P677-S676</f>
        <v>7729556.4</v>
      </c>
    </row>
    <row r="678" ht="20" customHeight="1" spans="2:19">
      <c r="B678" s="42">
        <v>6</v>
      </c>
      <c r="C678" s="42">
        <v>1</v>
      </c>
      <c r="D678" s="42"/>
      <c r="E678" s="74" t="s">
        <v>581</v>
      </c>
      <c r="F678" s="75" t="s">
        <v>1239</v>
      </c>
      <c r="G678" s="145">
        <v>1478</v>
      </c>
      <c r="H678" s="145">
        <v>150</v>
      </c>
      <c r="I678" s="145">
        <v>83</v>
      </c>
      <c r="J678" s="56"/>
      <c r="K678" s="56"/>
      <c r="L678" s="56"/>
      <c r="M678" s="56"/>
      <c r="N678" s="145">
        <f t="shared" ref="N678:N741" si="42">SUM(G678:L678)-M678</f>
        <v>1711</v>
      </c>
      <c r="O678" s="56"/>
      <c r="P678" s="58">
        <f t="shared" ref="P678:P741" si="43">P677+N678-O678</f>
        <v>7907848.98</v>
      </c>
      <c r="Q678" s="56"/>
    </row>
    <row r="679" ht="20" customHeight="1" spans="2:19">
      <c r="B679" s="42">
        <v>6</v>
      </c>
      <c r="C679" s="42">
        <v>1</v>
      </c>
      <c r="D679" s="42"/>
      <c r="E679" s="54" t="s">
        <v>479</v>
      </c>
      <c r="F679" s="75" t="s">
        <v>1240</v>
      </c>
      <c r="G679" s="145">
        <v>7247</v>
      </c>
      <c r="H679" s="56"/>
      <c r="I679" s="56"/>
      <c r="J679" s="56"/>
      <c r="K679" s="56"/>
      <c r="L679" s="56"/>
      <c r="M679" s="56"/>
      <c r="N679" s="145">
        <f t="shared" si="42"/>
        <v>7247</v>
      </c>
      <c r="O679" s="56"/>
      <c r="P679" s="58">
        <f t="shared" si="43"/>
        <v>7915095.98</v>
      </c>
      <c r="Q679" s="56"/>
    </row>
    <row r="680" ht="20" customHeight="1" spans="2:19">
      <c r="B680" s="42">
        <v>6</v>
      </c>
      <c r="C680" s="42">
        <v>2</v>
      </c>
      <c r="D680" s="42"/>
      <c r="E680" s="74" t="s">
        <v>657</v>
      </c>
      <c r="F680" s="75" t="s">
        <v>1241</v>
      </c>
      <c r="G680" s="145">
        <v>1800</v>
      </c>
      <c r="H680" s="145">
        <v>150</v>
      </c>
      <c r="I680" s="145">
        <v>205</v>
      </c>
      <c r="J680" s="56"/>
      <c r="K680" s="56"/>
      <c r="L680" s="56"/>
      <c r="M680" s="56"/>
      <c r="N680" s="55">
        <f t="shared" si="42"/>
        <v>2155</v>
      </c>
      <c r="O680" s="56"/>
      <c r="P680" s="58">
        <f t="shared" si="43"/>
        <v>7917250.98</v>
      </c>
      <c r="Q680" s="56"/>
    </row>
    <row r="681" ht="20" customHeight="1" spans="2:19">
      <c r="B681" s="42">
        <v>6</v>
      </c>
      <c r="C681" s="42">
        <v>2</v>
      </c>
      <c r="D681" s="42"/>
      <c r="E681" s="74" t="s">
        <v>657</v>
      </c>
      <c r="F681" s="75" t="s">
        <v>1242</v>
      </c>
      <c r="G681" s="145">
        <v>1800</v>
      </c>
      <c r="H681" s="145">
        <v>150</v>
      </c>
      <c r="I681" s="145">
        <v>204</v>
      </c>
      <c r="J681" s="56"/>
      <c r="K681" s="56"/>
      <c r="L681" s="56"/>
      <c r="M681" s="56"/>
      <c r="N681" s="55">
        <f t="shared" si="42"/>
        <v>2154</v>
      </c>
      <c r="O681" s="56"/>
      <c r="P681" s="58">
        <f t="shared" si="43"/>
        <v>7919404.98</v>
      </c>
      <c r="Q681" s="56"/>
    </row>
    <row r="682" ht="20" customHeight="1" spans="2:19">
      <c r="B682" s="42">
        <v>6</v>
      </c>
      <c r="C682" s="42">
        <v>3</v>
      </c>
      <c r="D682" s="42"/>
      <c r="E682" s="54" t="s">
        <v>493</v>
      </c>
      <c r="F682" s="75" t="s">
        <v>1243</v>
      </c>
      <c r="G682" s="145">
        <v>7221</v>
      </c>
      <c r="H682" s="145">
        <v>200</v>
      </c>
      <c r="I682" s="145">
        <v>536</v>
      </c>
      <c r="J682" s="56"/>
      <c r="K682" s="56"/>
      <c r="L682" s="56"/>
      <c r="M682" s="56"/>
      <c r="N682" s="55">
        <f t="shared" si="42"/>
        <v>7957</v>
      </c>
      <c r="O682" s="56"/>
      <c r="P682" s="58">
        <f t="shared" si="43"/>
        <v>7927361.98</v>
      </c>
      <c r="Q682" s="56"/>
    </row>
    <row r="683" ht="20" customHeight="1" spans="2:19">
      <c r="B683" s="42">
        <v>6</v>
      </c>
      <c r="C683" s="42">
        <v>3</v>
      </c>
      <c r="D683" s="42"/>
      <c r="E683" s="74" t="s">
        <v>508</v>
      </c>
      <c r="F683" s="75" t="s">
        <v>1244</v>
      </c>
      <c r="G683" s="145">
        <v>6946</v>
      </c>
      <c r="H683" s="145">
        <v>200</v>
      </c>
      <c r="I683" s="145">
        <v>751</v>
      </c>
      <c r="J683" s="56"/>
      <c r="K683" s="56"/>
      <c r="L683" s="56"/>
      <c r="M683" s="56"/>
      <c r="N683" s="55">
        <f t="shared" si="42"/>
        <v>7897</v>
      </c>
      <c r="O683" s="56"/>
      <c r="P683" s="58">
        <f t="shared" si="43"/>
        <v>7935258.98</v>
      </c>
      <c r="Q683" s="56"/>
    </row>
    <row r="684" ht="20" customHeight="1" spans="2:19">
      <c r="B684" s="42">
        <v>6</v>
      </c>
      <c r="C684" s="42">
        <v>3</v>
      </c>
      <c r="D684" s="42"/>
      <c r="E684" s="74" t="s">
        <v>785</v>
      </c>
      <c r="F684" s="75" t="s">
        <v>1245</v>
      </c>
      <c r="G684" s="145">
        <v>7000</v>
      </c>
      <c r="H684" s="56"/>
      <c r="I684" s="56"/>
      <c r="J684" s="56"/>
      <c r="K684" s="56"/>
      <c r="L684" s="56"/>
      <c r="M684" s="56">
        <v>58.64</v>
      </c>
      <c r="N684" s="56">
        <f t="shared" si="42"/>
        <v>6941.36</v>
      </c>
      <c r="O684" s="56"/>
      <c r="P684" s="58">
        <f t="shared" si="43"/>
        <v>7942200.34</v>
      </c>
      <c r="Q684" s="59" t="s">
        <v>669</v>
      </c>
    </row>
    <row r="685" ht="20" customHeight="1" spans="2:19">
      <c r="B685" s="42">
        <v>6</v>
      </c>
      <c r="C685" s="42">
        <v>3</v>
      </c>
      <c r="D685" s="42"/>
      <c r="E685" s="54" t="s">
        <v>1246</v>
      </c>
      <c r="F685" s="75" t="s">
        <v>1247</v>
      </c>
      <c r="G685" s="56"/>
      <c r="H685" s="56"/>
      <c r="I685" s="56"/>
      <c r="J685" s="145">
        <v>7500</v>
      </c>
      <c r="K685" s="56"/>
      <c r="L685" s="56"/>
      <c r="M685" s="56"/>
      <c r="N685" s="55">
        <f t="shared" si="42"/>
        <v>7500</v>
      </c>
      <c r="O685" s="56"/>
      <c r="P685" s="58">
        <f t="shared" si="43"/>
        <v>7949700.34</v>
      </c>
      <c r="Q685" s="59" t="s">
        <v>669</v>
      </c>
    </row>
    <row r="686" ht="20" customHeight="1" spans="2:19">
      <c r="B686" s="42">
        <v>6</v>
      </c>
      <c r="C686" s="42">
        <v>3</v>
      </c>
      <c r="D686" s="42"/>
      <c r="E686" s="74" t="s">
        <v>518</v>
      </c>
      <c r="F686" s="75" t="s">
        <v>1248</v>
      </c>
      <c r="G686" s="56"/>
      <c r="H686" s="145">
        <v>150</v>
      </c>
      <c r="I686" s="145">
        <v>88</v>
      </c>
      <c r="J686" s="56"/>
      <c r="K686" s="56"/>
      <c r="L686" s="56"/>
      <c r="M686" s="56"/>
      <c r="N686" s="55">
        <f t="shared" si="42"/>
        <v>238</v>
      </c>
      <c r="O686" s="56"/>
      <c r="P686" s="58">
        <f t="shared" si="43"/>
        <v>7949938.34</v>
      </c>
      <c r="Q686" s="59" t="s">
        <v>669</v>
      </c>
    </row>
    <row r="687" ht="20" customHeight="1" spans="2:19">
      <c r="B687" s="42">
        <v>6</v>
      </c>
      <c r="C687" s="42">
        <v>3</v>
      </c>
      <c r="D687" s="42"/>
      <c r="E687" s="74" t="s">
        <v>606</v>
      </c>
      <c r="F687" s="75" t="s">
        <v>1249</v>
      </c>
      <c r="G687" s="145">
        <v>7500</v>
      </c>
      <c r="H687" s="145">
        <v>450</v>
      </c>
      <c r="I687" s="145">
        <v>592</v>
      </c>
      <c r="J687" s="56"/>
      <c r="K687" s="56"/>
      <c r="L687" s="56"/>
      <c r="M687" s="56"/>
      <c r="N687" s="55">
        <f t="shared" si="42"/>
        <v>8542</v>
      </c>
      <c r="O687" s="56"/>
      <c r="P687" s="58">
        <f t="shared" si="43"/>
        <v>7958480.34</v>
      </c>
      <c r="Q687" s="59" t="s">
        <v>669</v>
      </c>
    </row>
    <row r="688" ht="20" customHeight="1" spans="2:19">
      <c r="B688" s="42">
        <v>6</v>
      </c>
      <c r="C688" s="42">
        <v>3</v>
      </c>
      <c r="D688" s="42"/>
      <c r="E688" s="54" t="s">
        <v>606</v>
      </c>
      <c r="F688" s="75" t="s">
        <v>1250</v>
      </c>
      <c r="G688" s="56"/>
      <c r="H688" s="56"/>
      <c r="I688" s="56"/>
      <c r="J688" s="145">
        <v>22500</v>
      </c>
      <c r="K688" s="56"/>
      <c r="L688" s="56"/>
      <c r="M688" s="56"/>
      <c r="N688" s="55">
        <f t="shared" si="42"/>
        <v>22500</v>
      </c>
      <c r="O688" s="56"/>
      <c r="P688" s="58">
        <f t="shared" si="43"/>
        <v>7980980.34</v>
      </c>
      <c r="Q688" s="59" t="s">
        <v>669</v>
      </c>
    </row>
    <row r="689" ht="20" customHeight="1" spans="2:19">
      <c r="B689" s="42">
        <v>6</v>
      </c>
      <c r="C689" s="42">
        <v>3</v>
      </c>
      <c r="D689" s="42"/>
      <c r="E689" s="74" t="s">
        <v>806</v>
      </c>
      <c r="F689" s="75" t="s">
        <v>1251</v>
      </c>
      <c r="G689" s="145">
        <v>1500</v>
      </c>
      <c r="H689" s="145">
        <v>150</v>
      </c>
      <c r="I689" s="145">
        <v>565</v>
      </c>
      <c r="J689" s="56"/>
      <c r="K689" s="56"/>
      <c r="L689" s="56"/>
      <c r="M689" s="56"/>
      <c r="N689" s="55">
        <f t="shared" si="42"/>
        <v>2215</v>
      </c>
      <c r="O689" s="56"/>
      <c r="P689" s="58">
        <f t="shared" si="43"/>
        <v>7983195.34</v>
      </c>
      <c r="Q689" s="59" t="s">
        <v>669</v>
      </c>
    </row>
    <row r="690" ht="20" customHeight="1" spans="2:19">
      <c r="B690" s="42">
        <v>6</v>
      </c>
      <c r="C690" s="42">
        <v>3</v>
      </c>
      <c r="D690" s="42"/>
      <c r="E690" s="74" t="s">
        <v>716</v>
      </c>
      <c r="F690" s="75" t="s">
        <v>1252</v>
      </c>
      <c r="G690" s="145">
        <v>5100</v>
      </c>
      <c r="H690" s="145"/>
      <c r="I690" s="145">
        <v>101</v>
      </c>
      <c r="J690" s="56"/>
      <c r="K690" s="56"/>
      <c r="L690" s="56"/>
      <c r="M690" s="56"/>
      <c r="N690" s="55">
        <f t="shared" si="42"/>
        <v>5201</v>
      </c>
      <c r="O690" s="56"/>
      <c r="P690" s="58">
        <f t="shared" si="43"/>
        <v>7988396.34</v>
      </c>
      <c r="Q690" s="59" t="s">
        <v>669</v>
      </c>
    </row>
    <row r="691" ht="20" customHeight="1" spans="2:19">
      <c r="B691" s="42">
        <v>6</v>
      </c>
      <c r="C691" s="42">
        <v>3</v>
      </c>
      <c r="D691" s="42"/>
      <c r="E691" s="74" t="s">
        <v>716</v>
      </c>
      <c r="F691" s="75" t="s">
        <v>1253</v>
      </c>
      <c r="G691" s="56"/>
      <c r="H691" s="56"/>
      <c r="I691" s="145">
        <v>188</v>
      </c>
      <c r="J691" s="56"/>
      <c r="K691" s="56"/>
      <c r="L691" s="56"/>
      <c r="M691" s="56"/>
      <c r="N691" s="55">
        <f t="shared" si="42"/>
        <v>188</v>
      </c>
      <c r="O691" s="56"/>
      <c r="P691" s="58">
        <f t="shared" si="43"/>
        <v>7988584.34</v>
      </c>
      <c r="Q691" s="59" t="s">
        <v>669</v>
      </c>
    </row>
    <row r="692" ht="20" customHeight="1" spans="2:19">
      <c r="B692" s="42">
        <v>6</v>
      </c>
      <c r="C692" s="42">
        <v>3</v>
      </c>
      <c r="D692" s="42"/>
      <c r="E692" s="74" t="s">
        <v>716</v>
      </c>
      <c r="F692" s="75" t="s">
        <v>1254</v>
      </c>
      <c r="G692" s="56"/>
      <c r="H692" s="145">
        <v>150</v>
      </c>
      <c r="I692" s="145">
        <v>119</v>
      </c>
      <c r="J692" s="56"/>
      <c r="K692" s="56"/>
      <c r="L692" s="56"/>
      <c r="M692" s="56"/>
      <c r="N692" s="55">
        <f t="shared" si="42"/>
        <v>269</v>
      </c>
      <c r="O692" s="56"/>
      <c r="P692" s="58">
        <f t="shared" si="43"/>
        <v>7988853.34</v>
      </c>
      <c r="Q692" s="59" t="s">
        <v>669</v>
      </c>
    </row>
    <row r="693" ht="20" customHeight="1" spans="2:19">
      <c r="B693" s="42">
        <v>6</v>
      </c>
      <c r="C693" s="42">
        <v>3</v>
      </c>
      <c r="D693" s="42"/>
      <c r="E693" s="74" t="s">
        <v>1210</v>
      </c>
      <c r="F693" s="75" t="s">
        <v>1255</v>
      </c>
      <c r="G693" s="56"/>
      <c r="H693" s="145">
        <v>150</v>
      </c>
      <c r="I693" s="145">
        <v>30</v>
      </c>
      <c r="J693" s="56"/>
      <c r="K693" s="56"/>
      <c r="L693" s="56"/>
      <c r="M693" s="56"/>
      <c r="N693" s="55">
        <f t="shared" si="42"/>
        <v>180</v>
      </c>
      <c r="O693" s="56"/>
      <c r="P693" s="58">
        <f t="shared" si="43"/>
        <v>7989033.34</v>
      </c>
      <c r="Q693" s="59" t="s">
        <v>669</v>
      </c>
    </row>
    <row r="694" ht="20" customHeight="1" spans="2:19">
      <c r="B694" s="42">
        <v>6</v>
      </c>
      <c r="C694" s="42">
        <v>3</v>
      </c>
      <c r="D694" s="42"/>
      <c r="E694" s="54" t="s">
        <v>550</v>
      </c>
      <c r="F694" s="75" t="s">
        <v>1256</v>
      </c>
      <c r="G694" s="56"/>
      <c r="H694" s="56"/>
      <c r="I694" s="145">
        <v>140</v>
      </c>
      <c r="J694" s="56"/>
      <c r="K694" s="56"/>
      <c r="L694" s="56"/>
      <c r="M694" s="56"/>
      <c r="N694" s="55">
        <f t="shared" si="42"/>
        <v>140</v>
      </c>
      <c r="O694" s="56"/>
      <c r="P694" s="58">
        <f t="shared" si="43"/>
        <v>7989173.34</v>
      </c>
      <c r="Q694" s="59" t="s">
        <v>669</v>
      </c>
    </row>
    <row r="695" ht="20" customHeight="1" spans="2:19">
      <c r="B695" s="42">
        <v>6</v>
      </c>
      <c r="C695" s="42">
        <v>3</v>
      </c>
      <c r="D695" s="42"/>
      <c r="E695" s="74" t="s">
        <v>1153</v>
      </c>
      <c r="F695" s="75" t="s">
        <v>1257</v>
      </c>
      <c r="G695" s="56"/>
      <c r="H695" s="145">
        <v>150</v>
      </c>
      <c r="I695" s="145">
        <v>30</v>
      </c>
      <c r="J695" s="56"/>
      <c r="K695" s="56"/>
      <c r="L695" s="56"/>
      <c r="M695" s="56"/>
      <c r="N695" s="55">
        <f t="shared" si="42"/>
        <v>180</v>
      </c>
      <c r="O695" s="56"/>
      <c r="P695" s="58">
        <f t="shared" si="43"/>
        <v>7989353.34</v>
      </c>
      <c r="Q695" s="59" t="s">
        <v>669</v>
      </c>
    </row>
    <row r="696" ht="20" customHeight="1" spans="2:19">
      <c r="B696" s="42">
        <v>6</v>
      </c>
      <c r="C696" s="42">
        <v>3</v>
      </c>
      <c r="D696" s="42"/>
      <c r="E696" s="42" t="s">
        <v>965</v>
      </c>
      <c r="F696" s="75" t="s">
        <v>1258</v>
      </c>
      <c r="G696" s="145">
        <v>4000</v>
      </c>
      <c r="H696" s="145">
        <v>200</v>
      </c>
      <c r="I696" s="145">
        <v>342</v>
      </c>
      <c r="J696" s="56"/>
      <c r="K696" s="56"/>
      <c r="L696" s="56"/>
      <c r="M696" s="56"/>
      <c r="N696" s="55">
        <f t="shared" si="42"/>
        <v>4542</v>
      </c>
      <c r="O696" s="56"/>
      <c r="P696" s="58">
        <f t="shared" si="43"/>
        <v>7993895.34</v>
      </c>
      <c r="Q696" s="59" t="s">
        <v>669</v>
      </c>
      <c r="R696" s="3" t="s">
        <v>239</v>
      </c>
      <c r="S696" s="3">
        <f>SUM(N678:N696)+S676</f>
        <v>264338.94</v>
      </c>
    </row>
    <row r="697" ht="20" customHeight="1" spans="2:19">
      <c r="B697" s="42">
        <v>6</v>
      </c>
      <c r="C697" s="42">
        <v>3</v>
      </c>
      <c r="D697" s="42"/>
      <c r="E697" s="54" t="s">
        <v>495</v>
      </c>
      <c r="F697" s="75" t="s">
        <v>1259</v>
      </c>
      <c r="G697" s="145">
        <v>6655</v>
      </c>
      <c r="H697" s="145">
        <v>200</v>
      </c>
      <c r="I697" s="145">
        <v>791</v>
      </c>
      <c r="J697" s="56"/>
      <c r="K697" s="56"/>
      <c r="L697" s="56"/>
      <c r="M697" s="56"/>
      <c r="N697" s="55">
        <f t="shared" si="42"/>
        <v>7646</v>
      </c>
      <c r="O697" s="56"/>
      <c r="P697" s="58">
        <f t="shared" si="43"/>
        <v>8001541.34</v>
      </c>
      <c r="Q697" s="56"/>
    </row>
    <row r="698" ht="20" customHeight="1" spans="2:19">
      <c r="B698" s="42">
        <v>6</v>
      </c>
      <c r="C698" s="42">
        <v>3</v>
      </c>
      <c r="D698" s="42"/>
      <c r="E698" s="74" t="s">
        <v>506</v>
      </c>
      <c r="F698" s="75" t="s">
        <v>1260</v>
      </c>
      <c r="G698" s="145">
        <v>7274</v>
      </c>
      <c r="H698" s="145">
        <v>200</v>
      </c>
      <c r="I698" s="145">
        <v>415</v>
      </c>
      <c r="J698" s="56"/>
      <c r="K698" s="56"/>
      <c r="L698" s="56"/>
      <c r="M698" s="56"/>
      <c r="N698" s="55">
        <f t="shared" si="42"/>
        <v>7889</v>
      </c>
      <c r="O698" s="56"/>
      <c r="P698" s="58">
        <f t="shared" si="43"/>
        <v>8009430.34</v>
      </c>
      <c r="Q698" s="56"/>
    </row>
    <row r="699" ht="20" customHeight="1" spans="2:19">
      <c r="B699" s="42">
        <v>6</v>
      </c>
      <c r="C699" s="42">
        <v>4</v>
      </c>
      <c r="D699" s="42"/>
      <c r="E699" s="74" t="s">
        <v>579</v>
      </c>
      <c r="F699" s="75" t="s">
        <v>1261</v>
      </c>
      <c r="G699" s="145">
        <v>5959</v>
      </c>
      <c r="H699" s="145">
        <v>200</v>
      </c>
      <c r="I699" s="145">
        <v>2399</v>
      </c>
      <c r="J699" s="56"/>
      <c r="K699" s="56"/>
      <c r="L699" s="56"/>
      <c r="M699" s="56"/>
      <c r="N699" s="55">
        <f t="shared" si="42"/>
        <v>8558</v>
      </c>
      <c r="O699" s="56"/>
      <c r="P699" s="58">
        <f t="shared" si="43"/>
        <v>8017988.34</v>
      </c>
      <c r="Q699" s="56"/>
    </row>
    <row r="700" ht="20" customHeight="1" spans="2:19">
      <c r="B700" s="42">
        <v>6</v>
      </c>
      <c r="C700" s="42">
        <v>4</v>
      </c>
      <c r="D700" s="42"/>
      <c r="E700" s="54" t="s">
        <v>967</v>
      </c>
      <c r="F700" s="75" t="s">
        <v>1262</v>
      </c>
      <c r="G700" s="145">
        <v>4800</v>
      </c>
      <c r="H700" s="145">
        <v>200</v>
      </c>
      <c r="I700" s="145">
        <v>535</v>
      </c>
      <c r="J700" s="56"/>
      <c r="K700" s="56"/>
      <c r="L700" s="56"/>
      <c r="M700" s="56"/>
      <c r="N700" s="55">
        <f t="shared" si="42"/>
        <v>5535</v>
      </c>
      <c r="O700" s="56"/>
      <c r="P700" s="58">
        <f t="shared" si="43"/>
        <v>8023523.34</v>
      </c>
      <c r="Q700" s="56"/>
    </row>
    <row r="701" ht="20" customHeight="1" spans="2:19">
      <c r="B701" s="42">
        <v>6</v>
      </c>
      <c r="C701" s="42">
        <v>5</v>
      </c>
      <c r="D701" s="42"/>
      <c r="E701" s="42" t="s">
        <v>486</v>
      </c>
      <c r="F701" s="75" t="s">
        <v>1263</v>
      </c>
      <c r="G701" s="56"/>
      <c r="H701" s="56"/>
      <c r="I701" s="56"/>
      <c r="J701" s="56"/>
      <c r="K701" s="56"/>
      <c r="L701" s="56"/>
      <c r="M701" s="56"/>
      <c r="N701" s="56">
        <f t="shared" si="42"/>
        <v>0</v>
      </c>
      <c r="O701" s="56">
        <v>8745.21</v>
      </c>
      <c r="P701" s="58">
        <f t="shared" si="43"/>
        <v>8014778.13</v>
      </c>
      <c r="Q701" s="56"/>
    </row>
    <row r="702" ht="20" customHeight="1" spans="2:19">
      <c r="B702" s="42">
        <v>6</v>
      </c>
      <c r="C702" s="42">
        <v>5</v>
      </c>
      <c r="D702" s="42"/>
      <c r="E702" s="42" t="s">
        <v>486</v>
      </c>
      <c r="F702" s="75" t="s">
        <v>1264</v>
      </c>
      <c r="G702" s="56"/>
      <c r="H702" s="56"/>
      <c r="I702" s="56"/>
      <c r="J702" s="56"/>
      <c r="K702" s="56"/>
      <c r="L702" s="56"/>
      <c r="M702" s="56"/>
      <c r="N702" s="56">
        <f t="shared" si="42"/>
        <v>0</v>
      </c>
      <c r="O702" s="56">
        <v>67.07</v>
      </c>
      <c r="P702" s="58">
        <f t="shared" si="43"/>
        <v>8014711.06</v>
      </c>
      <c r="Q702" s="56"/>
    </row>
    <row r="703" ht="20" customHeight="1" spans="2:19">
      <c r="B703" s="42">
        <v>6</v>
      </c>
      <c r="C703" s="42">
        <v>5</v>
      </c>
      <c r="D703" s="42"/>
      <c r="E703" s="54" t="s">
        <v>1265</v>
      </c>
      <c r="F703" s="75" t="s">
        <v>1266</v>
      </c>
      <c r="G703" s="56"/>
      <c r="H703" s="56"/>
      <c r="I703" s="56"/>
      <c r="J703" s="56"/>
      <c r="K703" s="56"/>
      <c r="L703" s="56"/>
      <c r="M703" s="56"/>
      <c r="N703" s="56">
        <f t="shared" si="42"/>
        <v>0</v>
      </c>
      <c r="O703" s="56">
        <v>30000</v>
      </c>
      <c r="P703" s="58">
        <f t="shared" si="43"/>
        <v>7984711.06</v>
      </c>
      <c r="Q703" s="56"/>
    </row>
    <row r="704" ht="20" customHeight="1" spans="2:19">
      <c r="B704" s="42">
        <v>6</v>
      </c>
      <c r="C704" s="42">
        <v>5</v>
      </c>
      <c r="D704" s="42"/>
      <c r="E704" s="42" t="s">
        <v>1267</v>
      </c>
      <c r="F704" s="75" t="s">
        <v>1268</v>
      </c>
      <c r="G704" s="56"/>
      <c r="H704" s="56"/>
      <c r="I704" s="56"/>
      <c r="J704" s="56"/>
      <c r="K704" s="56"/>
      <c r="L704" s="56"/>
      <c r="M704" s="56"/>
      <c r="N704" s="56">
        <f t="shared" si="42"/>
        <v>0</v>
      </c>
      <c r="O704" s="56">
        <v>7950</v>
      </c>
      <c r="P704" s="58">
        <f t="shared" si="43"/>
        <v>7976761.06</v>
      </c>
      <c r="Q704" s="56"/>
    </row>
    <row r="705" ht="20" customHeight="1" spans="2:17">
      <c r="B705" s="42">
        <v>6</v>
      </c>
      <c r="C705" s="42">
        <v>5</v>
      </c>
      <c r="D705" s="42"/>
      <c r="E705" s="74" t="s">
        <v>497</v>
      </c>
      <c r="F705" s="75" t="s">
        <v>1269</v>
      </c>
      <c r="G705" s="145">
        <v>1300</v>
      </c>
      <c r="H705" s="145">
        <v>150</v>
      </c>
      <c r="I705" s="145">
        <v>61</v>
      </c>
      <c r="J705" s="56"/>
      <c r="K705" s="56"/>
      <c r="L705" s="56"/>
      <c r="M705" s="56"/>
      <c r="N705" s="55">
        <f t="shared" si="42"/>
        <v>1511</v>
      </c>
      <c r="O705" s="56"/>
      <c r="P705" s="58">
        <f t="shared" si="43"/>
        <v>7978272.06</v>
      </c>
      <c r="Q705" s="56"/>
    </row>
    <row r="706" ht="20" customHeight="1" spans="2:17">
      <c r="B706" s="42">
        <v>6</v>
      </c>
      <c r="C706" s="42">
        <v>6</v>
      </c>
      <c r="D706" s="42"/>
      <c r="E706" s="54" t="s">
        <v>501</v>
      </c>
      <c r="F706" s="75" t="s">
        <v>1270</v>
      </c>
      <c r="G706" s="145">
        <v>1500</v>
      </c>
      <c r="H706" s="145">
        <v>150</v>
      </c>
      <c r="I706" s="145">
        <v>107</v>
      </c>
      <c r="J706" s="56"/>
      <c r="K706" s="56"/>
      <c r="L706" s="56"/>
      <c r="M706" s="56"/>
      <c r="N706" s="55">
        <f t="shared" si="42"/>
        <v>1757</v>
      </c>
      <c r="O706" s="56"/>
      <c r="P706" s="58">
        <f t="shared" si="43"/>
        <v>7980029.06</v>
      </c>
      <c r="Q706" s="56"/>
    </row>
    <row r="707" ht="20" customHeight="1" spans="2:17">
      <c r="B707" s="42">
        <v>6</v>
      </c>
      <c r="C707" s="42">
        <v>4</v>
      </c>
      <c r="D707" s="42"/>
      <c r="E707" s="74" t="s">
        <v>623</v>
      </c>
      <c r="F707" s="75" t="s">
        <v>1215</v>
      </c>
      <c r="G707" s="145">
        <v>5000</v>
      </c>
      <c r="H707" s="56"/>
      <c r="I707" s="56"/>
      <c r="J707" s="56"/>
      <c r="K707" s="56"/>
      <c r="L707" s="56"/>
      <c r="M707" s="56"/>
      <c r="N707" s="55">
        <f t="shared" si="42"/>
        <v>5000</v>
      </c>
      <c r="O707" s="56"/>
      <c r="P707" s="58">
        <f t="shared" si="43"/>
        <v>7985029.06</v>
      </c>
      <c r="Q707" s="56"/>
    </row>
    <row r="708" ht="20" customHeight="1" spans="2:17">
      <c r="B708" s="42">
        <v>6</v>
      </c>
      <c r="C708" s="42">
        <v>6</v>
      </c>
      <c r="D708" s="42"/>
      <c r="E708" s="74" t="s">
        <v>623</v>
      </c>
      <c r="F708" s="75" t="s">
        <v>1271</v>
      </c>
      <c r="G708" s="56"/>
      <c r="H708" s="145">
        <v>150</v>
      </c>
      <c r="I708" s="145">
        <v>360</v>
      </c>
      <c r="J708" s="56"/>
      <c r="K708" s="56"/>
      <c r="L708" s="56"/>
      <c r="M708" s="56"/>
      <c r="N708" s="55">
        <f t="shared" si="42"/>
        <v>510</v>
      </c>
      <c r="O708" s="56"/>
      <c r="P708" s="58">
        <f t="shared" si="43"/>
        <v>7985539.06</v>
      </c>
      <c r="Q708" s="56"/>
    </row>
    <row r="709" ht="20" customHeight="1" spans="2:17">
      <c r="B709" s="42">
        <v>6</v>
      </c>
      <c r="C709" s="42">
        <v>6</v>
      </c>
      <c r="D709" s="42"/>
      <c r="E709" s="54" t="s">
        <v>1133</v>
      </c>
      <c r="F709" s="75" t="s">
        <v>1272</v>
      </c>
      <c r="G709" s="145">
        <v>2000</v>
      </c>
      <c r="H709" s="56"/>
      <c r="I709" s="56"/>
      <c r="J709" s="56"/>
      <c r="K709" s="56"/>
      <c r="L709" s="56"/>
      <c r="M709" s="56"/>
      <c r="N709" s="55">
        <f t="shared" si="42"/>
        <v>2000</v>
      </c>
      <c r="O709" s="56"/>
      <c r="P709" s="58">
        <f t="shared" si="43"/>
        <v>7987539.06</v>
      </c>
      <c r="Q709" s="56"/>
    </row>
    <row r="710" ht="20" customHeight="1" spans="2:17">
      <c r="B710" s="42">
        <v>6</v>
      </c>
      <c r="C710" s="42">
        <v>6</v>
      </c>
      <c r="D710" s="42"/>
      <c r="E710" s="74" t="s">
        <v>560</v>
      </c>
      <c r="F710" s="75" t="s">
        <v>1273</v>
      </c>
      <c r="G710" s="145">
        <v>2400</v>
      </c>
      <c r="H710" s="145">
        <v>150</v>
      </c>
      <c r="I710" s="145">
        <v>90</v>
      </c>
      <c r="J710" s="56"/>
      <c r="K710" s="56"/>
      <c r="L710" s="56"/>
      <c r="M710" s="56"/>
      <c r="N710" s="55">
        <f t="shared" si="42"/>
        <v>2640</v>
      </c>
      <c r="O710" s="56"/>
      <c r="P710" s="58">
        <f t="shared" si="43"/>
        <v>7990179.06</v>
      </c>
      <c r="Q710" s="56"/>
    </row>
    <row r="711" ht="20" customHeight="1" spans="2:17">
      <c r="B711" s="42">
        <v>6</v>
      </c>
      <c r="C711" s="42">
        <v>6</v>
      </c>
      <c r="D711" s="42"/>
      <c r="E711" s="74" t="s">
        <v>599</v>
      </c>
      <c r="F711" s="75" t="s">
        <v>1274</v>
      </c>
      <c r="G711" s="145">
        <v>2000</v>
      </c>
      <c r="H711" s="145">
        <v>150</v>
      </c>
      <c r="I711" s="145">
        <v>163</v>
      </c>
      <c r="J711" s="56"/>
      <c r="K711" s="56"/>
      <c r="L711" s="56"/>
      <c r="M711" s="56"/>
      <c r="N711" s="55">
        <f t="shared" si="42"/>
        <v>2313</v>
      </c>
      <c r="O711" s="56"/>
      <c r="P711" s="58">
        <f t="shared" si="43"/>
        <v>7992492.06</v>
      </c>
      <c r="Q711" s="56"/>
    </row>
    <row r="712" ht="20" customHeight="1" spans="2:17">
      <c r="B712" s="42">
        <v>6</v>
      </c>
      <c r="C712" s="42">
        <v>7</v>
      </c>
      <c r="D712" s="42"/>
      <c r="E712" s="54" t="s">
        <v>757</v>
      </c>
      <c r="F712" s="75" t="s">
        <v>1275</v>
      </c>
      <c r="G712" s="56"/>
      <c r="H712" s="56"/>
      <c r="I712" s="145">
        <v>109</v>
      </c>
      <c r="J712" s="56"/>
      <c r="K712" s="56"/>
      <c r="L712" s="56"/>
      <c r="M712" s="56"/>
      <c r="N712" s="55">
        <f t="shared" si="42"/>
        <v>109</v>
      </c>
      <c r="O712" s="56"/>
      <c r="P712" s="58">
        <f t="shared" si="43"/>
        <v>7992601.06</v>
      </c>
      <c r="Q712" s="56"/>
    </row>
    <row r="713" ht="20" customHeight="1" spans="2:17">
      <c r="B713" s="42">
        <v>6</v>
      </c>
      <c r="C713" s="42">
        <v>8</v>
      </c>
      <c r="D713" s="42"/>
      <c r="E713" s="42"/>
      <c r="F713" s="75" t="s">
        <v>1276</v>
      </c>
      <c r="G713" s="56"/>
      <c r="H713" s="56"/>
      <c r="I713" s="56"/>
      <c r="J713" s="56"/>
      <c r="K713" s="145">
        <v>3910</v>
      </c>
      <c r="L713" s="56"/>
      <c r="M713" s="56">
        <v>38.38</v>
      </c>
      <c r="N713" s="56">
        <f t="shared" si="42"/>
        <v>3871.62</v>
      </c>
      <c r="O713" s="56"/>
      <c r="P713" s="58">
        <f t="shared" si="43"/>
        <v>7996472.68</v>
      </c>
      <c r="Q713" s="59" t="s">
        <v>669</v>
      </c>
    </row>
    <row r="714" ht="20" customHeight="1" spans="2:17">
      <c r="B714" s="42">
        <v>6</v>
      </c>
      <c r="C714" s="42">
        <v>8</v>
      </c>
      <c r="D714" s="42"/>
      <c r="E714" s="54" t="s">
        <v>524</v>
      </c>
      <c r="F714" s="75" t="s">
        <v>1277</v>
      </c>
      <c r="G714" s="145">
        <v>2900</v>
      </c>
      <c r="H714" s="145"/>
      <c r="I714" s="145">
        <v>192</v>
      </c>
      <c r="J714" s="56"/>
      <c r="K714" s="56"/>
      <c r="L714" s="56"/>
      <c r="M714" s="56"/>
      <c r="N714" s="55">
        <f t="shared" si="42"/>
        <v>3092</v>
      </c>
      <c r="O714" s="56"/>
      <c r="P714" s="58">
        <f t="shared" si="43"/>
        <v>7999564.68</v>
      </c>
      <c r="Q714" s="59" t="s">
        <v>669</v>
      </c>
    </row>
    <row r="715" ht="20" customHeight="1" spans="2:17">
      <c r="B715" s="42">
        <v>6</v>
      </c>
      <c r="C715" s="42">
        <v>8</v>
      </c>
      <c r="D715" s="42"/>
      <c r="E715" s="54" t="s">
        <v>524</v>
      </c>
      <c r="F715" s="75" t="s">
        <v>1278</v>
      </c>
      <c r="G715" s="56"/>
      <c r="H715" s="56"/>
      <c r="I715" s="145">
        <v>122</v>
      </c>
      <c r="J715" s="56"/>
      <c r="K715" s="56"/>
      <c r="L715" s="56"/>
      <c r="M715" s="56"/>
      <c r="N715" s="55">
        <f t="shared" si="42"/>
        <v>122</v>
      </c>
      <c r="O715" s="56"/>
      <c r="P715" s="58">
        <f t="shared" si="43"/>
        <v>7999686.68</v>
      </c>
      <c r="Q715" s="59" t="s">
        <v>669</v>
      </c>
    </row>
    <row r="716" ht="20" customHeight="1" spans="2:17">
      <c r="B716" s="42">
        <v>6</v>
      </c>
      <c r="C716" s="42">
        <v>8</v>
      </c>
      <c r="D716" s="42"/>
      <c r="E716" s="54" t="s">
        <v>524</v>
      </c>
      <c r="F716" s="75" t="s">
        <v>1279</v>
      </c>
      <c r="G716" s="145">
        <v>2900</v>
      </c>
      <c r="H716" s="145"/>
      <c r="I716" s="145">
        <v>239</v>
      </c>
      <c r="J716" s="56"/>
      <c r="K716" s="56"/>
      <c r="L716" s="56"/>
      <c r="M716" s="56"/>
      <c r="N716" s="55">
        <f t="shared" si="42"/>
        <v>3139</v>
      </c>
      <c r="O716" s="56"/>
      <c r="P716" s="58">
        <f t="shared" si="43"/>
        <v>8002825.68</v>
      </c>
      <c r="Q716" s="59" t="s">
        <v>669</v>
      </c>
    </row>
    <row r="717" ht="20" customHeight="1" spans="2:17">
      <c r="B717" s="42">
        <v>6</v>
      </c>
      <c r="C717" s="42">
        <v>8</v>
      </c>
      <c r="D717" s="42"/>
      <c r="E717" s="54" t="s">
        <v>524</v>
      </c>
      <c r="F717" s="75" t="s">
        <v>1280</v>
      </c>
      <c r="G717" s="56"/>
      <c r="H717" s="56"/>
      <c r="I717" s="145">
        <v>68</v>
      </c>
      <c r="J717" s="56"/>
      <c r="K717" s="56"/>
      <c r="L717" s="56"/>
      <c r="M717" s="56"/>
      <c r="N717" s="55">
        <f t="shared" si="42"/>
        <v>68</v>
      </c>
      <c r="O717" s="56"/>
      <c r="P717" s="58">
        <f t="shared" si="43"/>
        <v>8002893.68</v>
      </c>
      <c r="Q717" s="59" t="s">
        <v>669</v>
      </c>
    </row>
    <row r="718" ht="20" customHeight="1" spans="2:17">
      <c r="B718" s="42">
        <v>6</v>
      </c>
      <c r="C718" s="42">
        <v>8</v>
      </c>
      <c r="D718" s="42"/>
      <c r="E718" s="74" t="s">
        <v>626</v>
      </c>
      <c r="F718" s="75" t="s">
        <v>1281</v>
      </c>
      <c r="G718" s="56"/>
      <c r="H718" s="56"/>
      <c r="I718" s="145">
        <v>2.4</v>
      </c>
      <c r="J718" s="56"/>
      <c r="K718" s="56"/>
      <c r="L718" s="56"/>
      <c r="M718" s="56"/>
      <c r="N718" s="55">
        <f t="shared" si="42"/>
        <v>2.4</v>
      </c>
      <c r="O718" s="56"/>
      <c r="P718" s="58">
        <f t="shared" si="43"/>
        <v>8002896.08</v>
      </c>
      <c r="Q718" s="59" t="s">
        <v>669</v>
      </c>
    </row>
    <row r="719" ht="20" customHeight="1" spans="2:17">
      <c r="B719" s="42">
        <v>6</v>
      </c>
      <c r="C719" s="42">
        <v>8</v>
      </c>
      <c r="D719" s="42"/>
      <c r="E719" s="74" t="s">
        <v>1175</v>
      </c>
      <c r="F719" s="75" t="s">
        <v>1282</v>
      </c>
      <c r="G719" s="56"/>
      <c r="H719" s="145">
        <v>150</v>
      </c>
      <c r="I719" s="145">
        <v>30</v>
      </c>
      <c r="J719" s="56"/>
      <c r="K719" s="56"/>
      <c r="L719" s="56"/>
      <c r="M719" s="56"/>
      <c r="N719" s="55">
        <f t="shared" si="42"/>
        <v>180</v>
      </c>
      <c r="O719" s="56"/>
      <c r="P719" s="58">
        <f t="shared" si="43"/>
        <v>8003076.08</v>
      </c>
      <c r="Q719" s="59" t="s">
        <v>669</v>
      </c>
    </row>
    <row r="720" ht="20" customHeight="1" spans="2:17">
      <c r="B720" s="42">
        <v>6</v>
      </c>
      <c r="C720" s="42">
        <v>8</v>
      </c>
      <c r="D720" s="42"/>
      <c r="E720" s="74" t="s">
        <v>1175</v>
      </c>
      <c r="F720" s="75" t="s">
        <v>1283</v>
      </c>
      <c r="G720" s="145">
        <v>2600</v>
      </c>
      <c r="H720" s="145">
        <v>150</v>
      </c>
      <c r="I720" s="145">
        <v>168</v>
      </c>
      <c r="J720" s="56"/>
      <c r="K720" s="56"/>
      <c r="L720" s="56"/>
      <c r="M720" s="56"/>
      <c r="N720" s="55">
        <f t="shared" si="42"/>
        <v>2918</v>
      </c>
      <c r="O720" s="56"/>
      <c r="P720" s="58">
        <f t="shared" si="43"/>
        <v>8005994.08</v>
      </c>
      <c r="Q720" s="59" t="s">
        <v>669</v>
      </c>
    </row>
    <row r="721" ht="20" customHeight="1" spans="2:17">
      <c r="B721" s="42">
        <v>6</v>
      </c>
      <c r="C721" s="42">
        <v>8</v>
      </c>
      <c r="D721" s="42"/>
      <c r="E721" s="54" t="s">
        <v>568</v>
      </c>
      <c r="F721" s="75" t="s">
        <v>1284</v>
      </c>
      <c r="G721" s="145">
        <v>2400</v>
      </c>
      <c r="H721" s="145"/>
      <c r="I721" s="145">
        <v>130</v>
      </c>
      <c r="J721" s="56"/>
      <c r="K721" s="56"/>
      <c r="L721" s="56"/>
      <c r="M721" s="56"/>
      <c r="N721" s="55">
        <f t="shared" si="42"/>
        <v>2530</v>
      </c>
      <c r="O721" s="56"/>
      <c r="P721" s="58">
        <f t="shared" si="43"/>
        <v>8008524.08</v>
      </c>
      <c r="Q721" s="59" t="s">
        <v>669</v>
      </c>
    </row>
    <row r="722" ht="20" customHeight="1" spans="2:17">
      <c r="B722" s="42">
        <v>6</v>
      </c>
      <c r="C722" s="42">
        <v>8</v>
      </c>
      <c r="D722" s="42"/>
      <c r="E722" s="74" t="s">
        <v>701</v>
      </c>
      <c r="F722" s="75" t="s">
        <v>1285</v>
      </c>
      <c r="G722" s="56"/>
      <c r="H722" s="56"/>
      <c r="I722" s="145">
        <v>92</v>
      </c>
      <c r="J722" s="56"/>
      <c r="K722" s="56"/>
      <c r="L722" s="56"/>
      <c r="M722" s="56"/>
      <c r="N722" s="55">
        <f t="shared" si="42"/>
        <v>92</v>
      </c>
      <c r="O722" s="56"/>
      <c r="P722" s="58">
        <f t="shared" si="43"/>
        <v>8008616.08</v>
      </c>
      <c r="Q722" s="59" t="s">
        <v>669</v>
      </c>
    </row>
    <row r="723" ht="20" customHeight="1" spans="2:17">
      <c r="B723" s="42">
        <v>6</v>
      </c>
      <c r="C723" s="42">
        <v>8</v>
      </c>
      <c r="D723" s="42"/>
      <c r="E723" s="74" t="s">
        <v>543</v>
      </c>
      <c r="F723" s="75" t="s">
        <v>1286</v>
      </c>
      <c r="G723" s="56"/>
      <c r="H723" s="56"/>
      <c r="I723" s="145">
        <v>67</v>
      </c>
      <c r="J723" s="56"/>
      <c r="K723" s="56"/>
      <c r="L723" s="56"/>
      <c r="M723" s="56"/>
      <c r="N723" s="55">
        <f t="shared" si="42"/>
        <v>67</v>
      </c>
      <c r="O723" s="56"/>
      <c r="P723" s="58">
        <f t="shared" si="43"/>
        <v>8008683.08</v>
      </c>
      <c r="Q723" s="59" t="s">
        <v>669</v>
      </c>
    </row>
    <row r="724" ht="20" customHeight="1" spans="2:17">
      <c r="B724" s="42">
        <v>6</v>
      </c>
      <c r="C724" s="42">
        <v>8</v>
      </c>
      <c r="D724" s="42"/>
      <c r="E724" s="54" t="s">
        <v>531</v>
      </c>
      <c r="F724" s="75" t="s">
        <v>1287</v>
      </c>
      <c r="G724" s="56"/>
      <c r="H724" s="145">
        <v>150</v>
      </c>
      <c r="I724" s="145">
        <v>80</v>
      </c>
      <c r="J724" s="56"/>
      <c r="K724" s="56"/>
      <c r="L724" s="56"/>
      <c r="M724" s="56"/>
      <c r="N724" s="55">
        <f t="shared" si="42"/>
        <v>230</v>
      </c>
      <c r="O724" s="56"/>
      <c r="P724" s="58">
        <f t="shared" si="43"/>
        <v>8008913.08</v>
      </c>
      <c r="Q724" s="59" t="s">
        <v>669</v>
      </c>
    </row>
    <row r="725" ht="20" customHeight="1" spans="2:17">
      <c r="B725" s="42">
        <v>6</v>
      </c>
      <c r="C725" s="42">
        <v>8</v>
      </c>
      <c r="D725" s="42"/>
      <c r="E725" s="74" t="s">
        <v>728</v>
      </c>
      <c r="F725" s="75" t="s">
        <v>1288</v>
      </c>
      <c r="G725" s="145">
        <v>1900</v>
      </c>
      <c r="H725" s="145">
        <v>150</v>
      </c>
      <c r="I725" s="145">
        <v>146</v>
      </c>
      <c r="J725" s="56"/>
      <c r="K725" s="56"/>
      <c r="L725" s="56"/>
      <c r="M725" s="56"/>
      <c r="N725" s="55">
        <f t="shared" si="42"/>
        <v>2196</v>
      </c>
      <c r="O725" s="56"/>
      <c r="P725" s="58">
        <f t="shared" si="43"/>
        <v>8011109.08</v>
      </c>
      <c r="Q725" s="59" t="s">
        <v>669</v>
      </c>
    </row>
    <row r="726" ht="20" customHeight="1" spans="2:17">
      <c r="B726" s="42">
        <v>6</v>
      </c>
      <c r="C726" s="42">
        <v>8</v>
      </c>
      <c r="D726" s="42"/>
      <c r="E726" s="74" t="s">
        <v>522</v>
      </c>
      <c r="F726" s="75" t="s">
        <v>1289</v>
      </c>
      <c r="G726" s="145">
        <v>1500</v>
      </c>
      <c r="H726" s="145">
        <v>150</v>
      </c>
      <c r="I726" s="145">
        <v>53</v>
      </c>
      <c r="J726" s="56"/>
      <c r="K726" s="56"/>
      <c r="L726" s="56"/>
      <c r="M726" s="56"/>
      <c r="N726" s="55">
        <f t="shared" si="42"/>
        <v>1703</v>
      </c>
      <c r="O726" s="56"/>
      <c r="P726" s="58">
        <f t="shared" si="43"/>
        <v>8012812.08</v>
      </c>
      <c r="Q726" s="59" t="s">
        <v>669</v>
      </c>
    </row>
    <row r="727" ht="20" customHeight="1" spans="2:17">
      <c r="B727" s="42">
        <v>6</v>
      </c>
      <c r="C727" s="42">
        <v>8</v>
      </c>
      <c r="D727" s="42"/>
      <c r="E727" s="54" t="s">
        <v>1133</v>
      </c>
      <c r="F727" s="75" t="s">
        <v>1290</v>
      </c>
      <c r="G727" s="56"/>
      <c r="H727" s="145">
        <v>150</v>
      </c>
      <c r="I727" s="145">
        <v>80.2</v>
      </c>
      <c r="J727" s="56"/>
      <c r="K727" s="56"/>
      <c r="L727" s="56"/>
      <c r="M727" s="56"/>
      <c r="N727" s="55">
        <f t="shared" si="42"/>
        <v>230.2</v>
      </c>
      <c r="O727" s="56"/>
      <c r="P727" s="58">
        <f t="shared" si="43"/>
        <v>8013042.28</v>
      </c>
      <c r="Q727" s="59" t="s">
        <v>669</v>
      </c>
    </row>
    <row r="728" ht="20" customHeight="1" spans="2:17">
      <c r="B728" s="42">
        <v>6</v>
      </c>
      <c r="C728" s="42">
        <v>8</v>
      </c>
      <c r="D728" s="42"/>
      <c r="E728" s="74" t="s">
        <v>558</v>
      </c>
      <c r="F728" s="75" t="s">
        <v>1291</v>
      </c>
      <c r="G728" s="145">
        <v>1400</v>
      </c>
      <c r="H728" s="145">
        <v>150</v>
      </c>
      <c r="I728" s="145">
        <v>104</v>
      </c>
      <c r="J728" s="56"/>
      <c r="K728" s="56"/>
      <c r="L728" s="56"/>
      <c r="M728" s="56"/>
      <c r="N728" s="55">
        <f t="shared" si="42"/>
        <v>1654</v>
      </c>
      <c r="O728" s="56"/>
      <c r="P728" s="58">
        <f t="shared" si="43"/>
        <v>8014696.28</v>
      </c>
      <c r="Q728" s="59" t="s">
        <v>669</v>
      </c>
    </row>
    <row r="729" ht="20" customHeight="1" spans="2:17">
      <c r="B729" s="42">
        <v>6</v>
      </c>
      <c r="C729" s="42">
        <v>8</v>
      </c>
      <c r="D729" s="42"/>
      <c r="E729" s="74" t="s">
        <v>535</v>
      </c>
      <c r="F729" s="75" t="s">
        <v>1292</v>
      </c>
      <c r="G729" s="145">
        <v>1400</v>
      </c>
      <c r="H729" s="145">
        <v>150</v>
      </c>
      <c r="I729" s="145">
        <v>166</v>
      </c>
      <c r="J729" s="56"/>
      <c r="K729" s="56"/>
      <c r="L729" s="56"/>
      <c r="M729" s="56"/>
      <c r="N729" s="55">
        <f t="shared" si="42"/>
        <v>1716</v>
      </c>
      <c r="O729" s="56"/>
      <c r="P729" s="58">
        <f t="shared" si="43"/>
        <v>8016412.28</v>
      </c>
      <c r="Q729" s="59" t="s">
        <v>669</v>
      </c>
    </row>
    <row r="730" ht="20" customHeight="1" spans="2:17">
      <c r="B730" s="42">
        <v>6</v>
      </c>
      <c r="C730" s="42">
        <v>8</v>
      </c>
      <c r="D730" s="42"/>
      <c r="E730" s="54" t="s">
        <v>608</v>
      </c>
      <c r="F730" s="75" t="s">
        <v>1293</v>
      </c>
      <c r="G730" s="145">
        <v>1300</v>
      </c>
      <c r="H730" s="145">
        <v>150</v>
      </c>
      <c r="I730" s="145">
        <v>98</v>
      </c>
      <c r="J730" s="56"/>
      <c r="K730" s="56"/>
      <c r="L730" s="56"/>
      <c r="M730" s="56"/>
      <c r="N730" s="55">
        <f t="shared" si="42"/>
        <v>1548</v>
      </c>
      <c r="O730" s="56"/>
      <c r="P730" s="58">
        <f t="shared" si="43"/>
        <v>8017960.28</v>
      </c>
      <c r="Q730" s="59" t="s">
        <v>669</v>
      </c>
    </row>
    <row r="731" ht="20" customHeight="1" spans="2:17">
      <c r="B731" s="42">
        <v>6</v>
      </c>
      <c r="C731" s="42">
        <v>8</v>
      </c>
      <c r="D731" s="42"/>
      <c r="E731" s="74" t="s">
        <v>539</v>
      </c>
      <c r="F731" s="75" t="s">
        <v>1294</v>
      </c>
      <c r="G731" s="56"/>
      <c r="H731" s="145">
        <v>150</v>
      </c>
      <c r="I731" s="145">
        <v>65</v>
      </c>
      <c r="J731" s="56"/>
      <c r="K731" s="56"/>
      <c r="L731" s="56"/>
      <c r="M731" s="56"/>
      <c r="N731" s="55">
        <f t="shared" si="42"/>
        <v>215</v>
      </c>
      <c r="O731" s="56"/>
      <c r="P731" s="58">
        <f t="shared" si="43"/>
        <v>8018175.28</v>
      </c>
      <c r="Q731" s="59" t="s">
        <v>669</v>
      </c>
    </row>
    <row r="732" ht="20" customHeight="1" spans="2:17">
      <c r="B732" s="42">
        <v>6</v>
      </c>
      <c r="C732" s="42">
        <v>8</v>
      </c>
      <c r="D732" s="42"/>
      <c r="E732" s="74" t="s">
        <v>564</v>
      </c>
      <c r="F732" s="75" t="s">
        <v>1295</v>
      </c>
      <c r="G732" s="145">
        <v>236</v>
      </c>
      <c r="H732" s="56"/>
      <c r="I732" s="56"/>
      <c r="J732" s="56"/>
      <c r="K732" s="56"/>
      <c r="L732" s="56"/>
      <c r="M732" s="56"/>
      <c r="N732" s="55">
        <f t="shared" si="42"/>
        <v>236</v>
      </c>
      <c r="O732" s="56"/>
      <c r="P732" s="58">
        <f t="shared" si="43"/>
        <v>8018411.28</v>
      </c>
      <c r="Q732" s="59" t="s">
        <v>669</v>
      </c>
    </row>
    <row r="733" ht="20" customHeight="1" spans="2:17">
      <c r="B733" s="42">
        <v>6</v>
      </c>
      <c r="C733" s="42">
        <v>8</v>
      </c>
      <c r="D733" s="42"/>
      <c r="E733" s="54" t="s">
        <v>548</v>
      </c>
      <c r="F733" s="75" t="s">
        <v>1296</v>
      </c>
      <c r="G733" s="145">
        <v>1700</v>
      </c>
      <c r="H733" s="145">
        <v>150</v>
      </c>
      <c r="I733" s="145">
        <v>91</v>
      </c>
      <c r="J733" s="56"/>
      <c r="K733" s="56"/>
      <c r="L733" s="56"/>
      <c r="M733" s="56"/>
      <c r="N733" s="55">
        <f t="shared" si="42"/>
        <v>1941</v>
      </c>
      <c r="O733" s="56"/>
      <c r="P733" s="58">
        <f t="shared" si="43"/>
        <v>8020352.28</v>
      </c>
      <c r="Q733" s="59" t="s">
        <v>669</v>
      </c>
    </row>
    <row r="734" ht="20" customHeight="1" spans="2:17">
      <c r="B734" s="42">
        <v>6</v>
      </c>
      <c r="C734" s="42">
        <v>8</v>
      </c>
      <c r="D734" s="42"/>
      <c r="E734" s="74" t="s">
        <v>881</v>
      </c>
      <c r="F734" s="75" t="s">
        <v>1297</v>
      </c>
      <c r="G734" s="56"/>
      <c r="H734" s="56"/>
      <c r="I734" s="145">
        <v>95</v>
      </c>
      <c r="J734" s="56"/>
      <c r="K734" s="56"/>
      <c r="L734" s="56"/>
      <c r="M734" s="56"/>
      <c r="N734" s="55">
        <f t="shared" si="42"/>
        <v>95</v>
      </c>
      <c r="O734" s="56"/>
      <c r="P734" s="58">
        <f t="shared" si="43"/>
        <v>8020447.28</v>
      </c>
      <c r="Q734" s="59" t="s">
        <v>669</v>
      </c>
    </row>
    <row r="735" ht="20" customHeight="1" spans="2:17">
      <c r="B735" s="42">
        <v>6</v>
      </c>
      <c r="C735" s="42">
        <v>8</v>
      </c>
      <c r="D735" s="42"/>
      <c r="E735" s="74" t="s">
        <v>537</v>
      </c>
      <c r="F735" s="75" t="s">
        <v>1298</v>
      </c>
      <c r="G735" s="56"/>
      <c r="H735" s="145">
        <v>150</v>
      </c>
      <c r="I735" s="145">
        <v>113</v>
      </c>
      <c r="J735" s="56"/>
      <c r="K735" s="56"/>
      <c r="L735" s="56"/>
      <c r="M735" s="56"/>
      <c r="N735" s="55">
        <f t="shared" si="42"/>
        <v>263</v>
      </c>
      <c r="O735" s="56"/>
      <c r="P735" s="58">
        <f t="shared" si="43"/>
        <v>8020710.28</v>
      </c>
      <c r="Q735" s="59" t="s">
        <v>669</v>
      </c>
    </row>
    <row r="736" ht="20" customHeight="1" spans="2:17">
      <c r="B736" s="42">
        <v>6</v>
      </c>
      <c r="C736" s="42">
        <v>8</v>
      </c>
      <c r="D736" s="42"/>
      <c r="E736" s="54" t="s">
        <v>832</v>
      </c>
      <c r="F736" s="75" t="s">
        <v>1299</v>
      </c>
      <c r="G736" s="56"/>
      <c r="H736" s="145">
        <v>150</v>
      </c>
      <c r="I736" s="145">
        <v>113</v>
      </c>
      <c r="J736" s="56"/>
      <c r="K736" s="56"/>
      <c r="L736" s="56"/>
      <c r="M736" s="56"/>
      <c r="N736" s="55">
        <f t="shared" si="42"/>
        <v>263</v>
      </c>
      <c r="O736" s="56"/>
      <c r="P736" s="58">
        <f t="shared" si="43"/>
        <v>8020973.28</v>
      </c>
      <c r="Q736" s="59" t="s">
        <v>669</v>
      </c>
    </row>
    <row r="737" ht="20" customHeight="1" spans="2:17">
      <c r="B737" s="42">
        <v>6</v>
      </c>
      <c r="C737" s="42">
        <v>8</v>
      </c>
      <c r="D737" s="42"/>
      <c r="E737" s="74" t="s">
        <v>533</v>
      </c>
      <c r="F737" s="75" t="s">
        <v>1300</v>
      </c>
      <c r="G737" s="56"/>
      <c r="H737" s="145">
        <v>150</v>
      </c>
      <c r="I737" s="145">
        <v>48</v>
      </c>
      <c r="J737" s="56"/>
      <c r="K737" s="56"/>
      <c r="L737" s="56"/>
      <c r="M737" s="56"/>
      <c r="N737" s="55">
        <f t="shared" si="42"/>
        <v>198</v>
      </c>
      <c r="O737" s="56"/>
      <c r="P737" s="58">
        <f t="shared" si="43"/>
        <v>8021171.28</v>
      </c>
      <c r="Q737" s="59" t="s">
        <v>669</v>
      </c>
    </row>
    <row r="738" ht="20" customHeight="1" spans="2:17">
      <c r="B738" s="42">
        <v>6</v>
      </c>
      <c r="C738" s="42">
        <v>8</v>
      </c>
      <c r="D738" s="42"/>
      <c r="E738" s="74" t="s">
        <v>602</v>
      </c>
      <c r="F738" s="75" t="s">
        <v>1301</v>
      </c>
      <c r="G738" s="145">
        <v>1350</v>
      </c>
      <c r="H738" s="145"/>
      <c r="I738" s="145">
        <v>124</v>
      </c>
      <c r="J738" s="56"/>
      <c r="K738" s="56"/>
      <c r="L738" s="56"/>
      <c r="M738" s="56"/>
      <c r="N738" s="55">
        <f t="shared" si="42"/>
        <v>1474</v>
      </c>
      <c r="O738" s="56"/>
      <c r="P738" s="58">
        <f t="shared" si="43"/>
        <v>8022645.28</v>
      </c>
      <c r="Q738" s="59" t="s">
        <v>669</v>
      </c>
    </row>
    <row r="739" ht="20" customHeight="1" spans="2:17">
      <c r="B739" s="42">
        <v>6</v>
      </c>
      <c r="C739" s="42">
        <v>8</v>
      </c>
      <c r="D739" s="42"/>
      <c r="E739" s="54" t="s">
        <v>615</v>
      </c>
      <c r="F739" s="75" t="s">
        <v>1302</v>
      </c>
      <c r="G739" s="145"/>
      <c r="H739" s="145">
        <v>150</v>
      </c>
      <c r="I739" s="145">
        <v>38</v>
      </c>
      <c r="J739" s="56"/>
      <c r="K739" s="56"/>
      <c r="L739" s="56"/>
      <c r="M739" s="56"/>
      <c r="N739" s="55">
        <f t="shared" si="42"/>
        <v>188</v>
      </c>
      <c r="O739" s="56"/>
      <c r="P739" s="58">
        <f t="shared" si="43"/>
        <v>8022833.28</v>
      </c>
      <c r="Q739" s="59" t="s">
        <v>669</v>
      </c>
    </row>
    <row r="740" ht="20" customHeight="1" spans="2:17">
      <c r="B740" s="42">
        <v>6</v>
      </c>
      <c r="C740" s="42">
        <v>8</v>
      </c>
      <c r="D740" s="42"/>
      <c r="E740" s="74" t="s">
        <v>545</v>
      </c>
      <c r="F740" s="75" t="s">
        <v>1303</v>
      </c>
      <c r="G740" s="145">
        <v>1500</v>
      </c>
      <c r="H740" s="145">
        <v>150</v>
      </c>
      <c r="I740" s="145">
        <v>107</v>
      </c>
      <c r="J740" s="56"/>
      <c r="K740" s="56"/>
      <c r="L740" s="56"/>
      <c r="M740" s="56"/>
      <c r="N740" s="55">
        <f t="shared" si="42"/>
        <v>1757</v>
      </c>
      <c r="O740" s="56"/>
      <c r="P740" s="58">
        <f t="shared" si="43"/>
        <v>8024590.28</v>
      </c>
      <c r="Q740" s="59" t="s">
        <v>669</v>
      </c>
    </row>
    <row r="741" ht="20" customHeight="1" spans="2:17">
      <c r="B741" s="42">
        <v>6</v>
      </c>
      <c r="C741" s="42">
        <v>8</v>
      </c>
      <c r="D741" s="42"/>
      <c r="E741" s="74" t="s">
        <v>671</v>
      </c>
      <c r="F741" s="75" t="s">
        <v>1304</v>
      </c>
      <c r="G741" s="56"/>
      <c r="H741" s="145">
        <v>150</v>
      </c>
      <c r="I741" s="145">
        <v>203</v>
      </c>
      <c r="J741" s="56"/>
      <c r="K741" s="56"/>
      <c r="L741" s="56"/>
      <c r="M741" s="56"/>
      <c r="N741" s="55">
        <f t="shared" si="42"/>
        <v>353</v>
      </c>
      <c r="O741" s="56"/>
      <c r="P741" s="58">
        <f t="shared" si="43"/>
        <v>8024943.28</v>
      </c>
      <c r="Q741" s="59" t="s">
        <v>669</v>
      </c>
    </row>
    <row r="742" ht="20" customHeight="1" spans="2:17">
      <c r="B742" s="42">
        <v>6</v>
      </c>
      <c r="C742" s="42">
        <v>8</v>
      </c>
      <c r="D742" s="42"/>
      <c r="E742" s="74" t="s">
        <v>671</v>
      </c>
      <c r="F742" s="75" t="s">
        <v>1305</v>
      </c>
      <c r="G742" s="56"/>
      <c r="H742" s="145">
        <v>150</v>
      </c>
      <c r="I742" s="145">
        <v>206</v>
      </c>
      <c r="J742" s="56"/>
      <c r="K742" s="56"/>
      <c r="L742" s="56"/>
      <c r="M742" s="56"/>
      <c r="N742" s="55">
        <f t="shared" ref="N742:N756" si="44">SUM(G742:L742)-M742</f>
        <v>356</v>
      </c>
      <c r="O742" s="56"/>
      <c r="P742" s="58">
        <f t="shared" ref="P742:P782" si="45">P741+N742-O742</f>
        <v>8025299.28</v>
      </c>
      <c r="Q742" s="59" t="s">
        <v>669</v>
      </c>
    </row>
    <row r="743" ht="20" customHeight="1" spans="2:17">
      <c r="B743" s="42">
        <v>6</v>
      </c>
      <c r="C743" s="42">
        <v>8</v>
      </c>
      <c r="D743" s="42"/>
      <c r="E743" s="74" t="s">
        <v>671</v>
      </c>
      <c r="F743" s="75" t="s">
        <v>1306</v>
      </c>
      <c r="G743" s="56"/>
      <c r="H743" s="145">
        <v>150</v>
      </c>
      <c r="I743" s="145">
        <v>178</v>
      </c>
      <c r="J743" s="56"/>
      <c r="K743" s="56"/>
      <c r="L743" s="56"/>
      <c r="M743" s="56"/>
      <c r="N743" s="55">
        <f t="shared" si="44"/>
        <v>328</v>
      </c>
      <c r="O743" s="56"/>
      <c r="P743" s="58">
        <f t="shared" si="45"/>
        <v>8025627.28</v>
      </c>
      <c r="Q743" s="59" t="s">
        <v>669</v>
      </c>
    </row>
    <row r="744" ht="20" customHeight="1" spans="2:17">
      <c r="B744" s="42">
        <v>6</v>
      </c>
      <c r="C744" s="42">
        <v>8</v>
      </c>
      <c r="D744" s="42"/>
      <c r="E744" s="74" t="s">
        <v>671</v>
      </c>
      <c r="F744" s="75" t="s">
        <v>1307</v>
      </c>
      <c r="G744" s="56"/>
      <c r="H744" s="145">
        <v>150</v>
      </c>
      <c r="I744" s="145">
        <v>73</v>
      </c>
      <c r="J744" s="56"/>
      <c r="K744" s="56"/>
      <c r="L744" s="56"/>
      <c r="M744" s="56"/>
      <c r="N744" s="55">
        <f t="shared" si="44"/>
        <v>223</v>
      </c>
      <c r="O744" s="56"/>
      <c r="P744" s="58">
        <f t="shared" si="45"/>
        <v>8025850.28</v>
      </c>
      <c r="Q744" s="59" t="s">
        <v>669</v>
      </c>
    </row>
    <row r="745" ht="20" customHeight="1" spans="2:17">
      <c r="B745" s="42">
        <v>6</v>
      </c>
      <c r="C745" s="42">
        <v>8</v>
      </c>
      <c r="D745" s="42"/>
      <c r="E745" s="74" t="s">
        <v>671</v>
      </c>
      <c r="F745" s="75" t="s">
        <v>1308</v>
      </c>
      <c r="G745" s="56"/>
      <c r="H745" s="145">
        <v>150</v>
      </c>
      <c r="I745" s="145">
        <v>40</v>
      </c>
      <c r="J745" s="56"/>
      <c r="K745" s="56"/>
      <c r="L745" s="56"/>
      <c r="M745" s="56"/>
      <c r="N745" s="55">
        <f t="shared" si="44"/>
        <v>190</v>
      </c>
      <c r="O745" s="56"/>
      <c r="P745" s="58">
        <f t="shared" si="45"/>
        <v>8026040.28</v>
      </c>
      <c r="Q745" s="59" t="s">
        <v>669</v>
      </c>
    </row>
    <row r="746" ht="20" customHeight="1" spans="2:17">
      <c r="B746" s="42">
        <v>6</v>
      </c>
      <c r="C746" s="42">
        <v>8</v>
      </c>
      <c r="D746" s="42"/>
      <c r="E746" s="74" t="s">
        <v>671</v>
      </c>
      <c r="F746" s="75" t="s">
        <v>1309</v>
      </c>
      <c r="G746" s="56"/>
      <c r="H746" s="145">
        <v>150</v>
      </c>
      <c r="I746" s="145">
        <v>44.4</v>
      </c>
      <c r="J746" s="56"/>
      <c r="K746" s="56"/>
      <c r="L746" s="56"/>
      <c r="M746" s="56"/>
      <c r="N746" s="55">
        <f t="shared" si="44"/>
        <v>194.4</v>
      </c>
      <c r="O746" s="56"/>
      <c r="P746" s="58">
        <f t="shared" si="45"/>
        <v>8026234.68</v>
      </c>
      <c r="Q746" s="59" t="s">
        <v>669</v>
      </c>
    </row>
    <row r="747" ht="20" customHeight="1" spans="2:17">
      <c r="B747" s="42">
        <v>6</v>
      </c>
      <c r="C747" s="42">
        <v>8</v>
      </c>
      <c r="D747" s="42"/>
      <c r="E747" s="74" t="s">
        <v>671</v>
      </c>
      <c r="F747" s="75" t="s">
        <v>1310</v>
      </c>
      <c r="G747" s="56"/>
      <c r="H747" s="145">
        <v>150</v>
      </c>
      <c r="I747" s="145">
        <v>30</v>
      </c>
      <c r="J747" s="56"/>
      <c r="K747" s="56"/>
      <c r="L747" s="56"/>
      <c r="M747" s="56"/>
      <c r="N747" s="55">
        <f t="shared" si="44"/>
        <v>180</v>
      </c>
      <c r="O747" s="56"/>
      <c r="P747" s="58">
        <f t="shared" si="45"/>
        <v>8026414.68</v>
      </c>
      <c r="Q747" s="59" t="s">
        <v>669</v>
      </c>
    </row>
    <row r="748" ht="20" customHeight="1" spans="2:17">
      <c r="B748" s="42">
        <v>6</v>
      </c>
      <c r="C748" s="42">
        <v>8</v>
      </c>
      <c r="D748" s="42"/>
      <c r="E748" s="74" t="s">
        <v>671</v>
      </c>
      <c r="F748" s="75" t="s">
        <v>1311</v>
      </c>
      <c r="G748" s="56"/>
      <c r="H748" s="145">
        <v>150</v>
      </c>
      <c r="I748" s="145">
        <v>45.6</v>
      </c>
      <c r="J748" s="56"/>
      <c r="K748" s="56"/>
      <c r="L748" s="56"/>
      <c r="M748" s="56"/>
      <c r="N748" s="55">
        <f t="shared" si="44"/>
        <v>195.6</v>
      </c>
      <c r="O748" s="56"/>
      <c r="P748" s="58">
        <f t="shared" si="45"/>
        <v>8026610.28</v>
      </c>
      <c r="Q748" s="59" t="s">
        <v>669</v>
      </c>
    </row>
    <row r="749" ht="20" customHeight="1" spans="2:17">
      <c r="B749" s="42">
        <v>6</v>
      </c>
      <c r="C749" s="42">
        <v>8</v>
      </c>
      <c r="D749" s="42"/>
      <c r="E749" s="74" t="s">
        <v>671</v>
      </c>
      <c r="F749" s="75" t="s">
        <v>1312</v>
      </c>
      <c r="G749" s="56"/>
      <c r="H749" s="145">
        <v>150</v>
      </c>
      <c r="I749" s="145">
        <v>30</v>
      </c>
      <c r="J749" s="56"/>
      <c r="K749" s="56"/>
      <c r="L749" s="56"/>
      <c r="M749" s="56"/>
      <c r="N749" s="55">
        <f t="shared" si="44"/>
        <v>180</v>
      </c>
      <c r="O749" s="56"/>
      <c r="P749" s="58">
        <f t="shared" si="45"/>
        <v>8026790.28</v>
      </c>
      <c r="Q749" s="59" t="s">
        <v>669</v>
      </c>
    </row>
    <row r="750" ht="20" customHeight="1" spans="2:17">
      <c r="B750" s="42">
        <v>6</v>
      </c>
      <c r="C750" s="42">
        <v>8</v>
      </c>
      <c r="D750" s="42"/>
      <c r="E750" s="74" t="s">
        <v>671</v>
      </c>
      <c r="F750" s="75" t="s">
        <v>1313</v>
      </c>
      <c r="G750" s="56"/>
      <c r="H750" s="145">
        <v>150</v>
      </c>
      <c r="I750" s="145">
        <v>30</v>
      </c>
      <c r="J750" s="56"/>
      <c r="K750" s="56"/>
      <c r="L750" s="56"/>
      <c r="M750" s="56"/>
      <c r="N750" s="55">
        <f t="shared" si="44"/>
        <v>180</v>
      </c>
      <c r="O750" s="56"/>
      <c r="P750" s="58">
        <f t="shared" si="45"/>
        <v>8026970.28</v>
      </c>
      <c r="Q750" s="59" t="s">
        <v>669</v>
      </c>
    </row>
    <row r="751" ht="20" customHeight="1" spans="2:17">
      <c r="B751" s="42">
        <v>6</v>
      </c>
      <c r="C751" s="42">
        <v>8</v>
      </c>
      <c r="D751" s="42"/>
      <c r="E751" s="74" t="s">
        <v>671</v>
      </c>
      <c r="F751" s="75" t="s">
        <v>1314</v>
      </c>
      <c r="G751" s="56"/>
      <c r="H751" s="145">
        <v>150</v>
      </c>
      <c r="I751" s="145">
        <v>30</v>
      </c>
      <c r="J751" s="56"/>
      <c r="K751" s="56"/>
      <c r="L751" s="56"/>
      <c r="M751" s="56"/>
      <c r="N751" s="55">
        <f t="shared" si="44"/>
        <v>180</v>
      </c>
      <c r="O751" s="56"/>
      <c r="P751" s="58">
        <f t="shared" si="45"/>
        <v>8027150.28</v>
      </c>
      <c r="Q751" s="59" t="s">
        <v>669</v>
      </c>
    </row>
    <row r="752" ht="20" customHeight="1" spans="2:17">
      <c r="B752" s="42">
        <v>6</v>
      </c>
      <c r="C752" s="42">
        <v>8</v>
      </c>
      <c r="D752" s="42"/>
      <c r="E752" s="74" t="s">
        <v>671</v>
      </c>
      <c r="F752" s="75" t="s">
        <v>672</v>
      </c>
      <c r="G752" s="145">
        <v>3440</v>
      </c>
      <c r="H752" s="56"/>
      <c r="I752" s="56"/>
      <c r="J752" s="56"/>
      <c r="K752" s="56"/>
      <c r="L752" s="56"/>
      <c r="M752" s="56"/>
      <c r="N752" s="55">
        <f t="shared" si="44"/>
        <v>3440</v>
      </c>
      <c r="O752" s="56"/>
      <c r="P752" s="58">
        <f t="shared" si="45"/>
        <v>8030590.28</v>
      </c>
      <c r="Q752" s="59" t="s">
        <v>669</v>
      </c>
    </row>
    <row r="753" ht="20" customHeight="1" spans="2:19">
      <c r="B753" s="42">
        <v>6</v>
      </c>
      <c r="C753" s="42">
        <v>8</v>
      </c>
      <c r="D753" s="42"/>
      <c r="E753" s="42" t="s">
        <v>541</v>
      </c>
      <c r="F753" s="75" t="s">
        <v>1315</v>
      </c>
      <c r="G753" s="56"/>
      <c r="H753" s="145">
        <v>150</v>
      </c>
      <c r="I753" s="145">
        <v>244</v>
      </c>
      <c r="J753" s="56"/>
      <c r="K753" s="56"/>
      <c r="L753" s="56"/>
      <c r="M753" s="56"/>
      <c r="N753" s="55">
        <f t="shared" si="44"/>
        <v>394</v>
      </c>
      <c r="O753" s="56"/>
      <c r="P753" s="58">
        <f t="shared" si="45"/>
        <v>8030984.28</v>
      </c>
      <c r="Q753" s="59" t="s">
        <v>669</v>
      </c>
      <c r="R753" s="3" t="s">
        <v>239</v>
      </c>
      <c r="S753" s="3">
        <f>SUM(N697:N753)-SUM(O697:O753)+S696</f>
        <v>301427.88</v>
      </c>
    </row>
    <row r="754" ht="20" customHeight="1" spans="2:19">
      <c r="B754" s="42">
        <v>6</v>
      </c>
      <c r="C754" s="42">
        <v>8</v>
      </c>
      <c r="D754" s="74"/>
      <c r="E754" s="74" t="s">
        <v>562</v>
      </c>
      <c r="F754" s="75" t="s">
        <v>1316</v>
      </c>
      <c r="G754" s="56"/>
      <c r="H754" s="145">
        <v>150</v>
      </c>
      <c r="I754" s="145">
        <v>91</v>
      </c>
      <c r="J754" s="56"/>
      <c r="K754" s="56"/>
      <c r="L754" s="56"/>
      <c r="M754" s="56"/>
      <c r="N754" s="55">
        <f t="shared" si="44"/>
        <v>241</v>
      </c>
      <c r="O754" s="56"/>
      <c r="P754" s="58">
        <f t="shared" si="45"/>
        <v>8031225.28</v>
      </c>
      <c r="Q754" s="56"/>
    </row>
    <row r="755" ht="20" customHeight="1" spans="2:19">
      <c r="B755" s="42">
        <v>6</v>
      </c>
      <c r="C755" s="42">
        <v>8</v>
      </c>
      <c r="D755" s="74"/>
      <c r="E755" s="74" t="s">
        <v>873</v>
      </c>
      <c r="F755" s="75" t="s">
        <v>1317</v>
      </c>
      <c r="G755" s="145">
        <v>4300</v>
      </c>
      <c r="H755" s="145">
        <v>200</v>
      </c>
      <c r="I755" s="145">
        <v>649</v>
      </c>
      <c r="J755" s="56"/>
      <c r="K755" s="56"/>
      <c r="L755" s="56"/>
      <c r="M755" s="56"/>
      <c r="N755" s="55">
        <f t="shared" si="44"/>
        <v>5149</v>
      </c>
      <c r="O755" s="56"/>
      <c r="P755" s="58">
        <f t="shared" si="45"/>
        <v>8036374.28</v>
      </c>
      <c r="Q755" s="56"/>
    </row>
    <row r="756" ht="20" customHeight="1" spans="2:19">
      <c r="B756" s="42">
        <v>6</v>
      </c>
      <c r="C756" s="42">
        <v>10</v>
      </c>
      <c r="D756" s="74"/>
      <c r="E756" s="54" t="s">
        <v>510</v>
      </c>
      <c r="F756" s="75" t="s">
        <v>1318</v>
      </c>
      <c r="G756" s="145">
        <v>1700</v>
      </c>
      <c r="H756" s="145">
        <v>150</v>
      </c>
      <c r="I756" s="145">
        <v>114</v>
      </c>
      <c r="J756" s="56"/>
      <c r="K756" s="56"/>
      <c r="L756" s="56"/>
      <c r="M756" s="56"/>
      <c r="N756" s="55">
        <f t="shared" si="44"/>
        <v>1964</v>
      </c>
      <c r="O756" s="56"/>
      <c r="P756" s="58">
        <f t="shared" si="45"/>
        <v>8038338.28</v>
      </c>
      <c r="Q756" s="56"/>
    </row>
    <row r="757" ht="20" customHeight="1" spans="2:19">
      <c r="B757" s="42">
        <v>6</v>
      </c>
      <c r="C757" s="42">
        <v>11</v>
      </c>
      <c r="D757" s="74" t="s">
        <v>69</v>
      </c>
      <c r="E757" s="42" t="s">
        <v>20</v>
      </c>
      <c r="F757" s="75" t="s">
        <v>280</v>
      </c>
      <c r="G757" s="56"/>
      <c r="H757" s="56"/>
      <c r="I757" s="56"/>
      <c r="J757" s="56"/>
      <c r="K757" s="56"/>
      <c r="L757" s="56"/>
      <c r="M757" s="56"/>
      <c r="N757" s="176">
        <v>10000</v>
      </c>
      <c r="O757" s="84">
        <v>10000</v>
      </c>
      <c r="P757" s="58">
        <f t="shared" si="45"/>
        <v>8038338.28</v>
      </c>
      <c r="Q757" s="56"/>
    </row>
    <row r="758" ht="20" customHeight="1" spans="2:19">
      <c r="B758" s="42">
        <v>6</v>
      </c>
      <c r="C758" s="42">
        <v>13</v>
      </c>
      <c r="D758" s="74"/>
      <c r="E758" s="74" t="s">
        <v>514</v>
      </c>
      <c r="F758" s="75" t="s">
        <v>1319</v>
      </c>
      <c r="G758" s="145">
        <v>7715</v>
      </c>
      <c r="H758" s="145">
        <v>200</v>
      </c>
      <c r="I758" s="145">
        <v>607</v>
      </c>
      <c r="J758" s="56"/>
      <c r="K758" s="56"/>
      <c r="L758" s="56"/>
      <c r="M758" s="56"/>
      <c r="N758" s="55">
        <f t="shared" ref="N758:N766" si="46">SUM(G758:L758)-M758</f>
        <v>8522</v>
      </c>
      <c r="O758" s="56"/>
      <c r="P758" s="58">
        <f t="shared" si="45"/>
        <v>8046860.28</v>
      </c>
      <c r="Q758" s="56"/>
    </row>
    <row r="759" ht="20" customHeight="1" spans="2:19">
      <c r="B759" s="42">
        <v>6</v>
      </c>
      <c r="C759" s="42">
        <v>14</v>
      </c>
      <c r="D759" s="74"/>
      <c r="E759" s="54" t="s">
        <v>503</v>
      </c>
      <c r="F759" s="75" t="s">
        <v>1320</v>
      </c>
      <c r="G759" s="145">
        <v>1400</v>
      </c>
      <c r="H759" s="145">
        <v>150</v>
      </c>
      <c r="I759" s="145">
        <v>61</v>
      </c>
      <c r="J759" s="56"/>
      <c r="K759" s="56"/>
      <c r="L759" s="56"/>
      <c r="M759" s="56"/>
      <c r="N759" s="55">
        <f t="shared" si="46"/>
        <v>1611</v>
      </c>
      <c r="O759" s="56"/>
      <c r="P759" s="58">
        <f t="shared" si="45"/>
        <v>8048471.28</v>
      </c>
      <c r="Q759" s="56"/>
    </row>
    <row r="760" ht="20" customHeight="1" spans="2:19">
      <c r="B760" s="42">
        <v>6</v>
      </c>
      <c r="C760" s="42">
        <v>15</v>
      </c>
      <c r="D760" s="74"/>
      <c r="E760" s="42"/>
      <c r="F760" s="75" t="s">
        <v>1321</v>
      </c>
      <c r="G760" s="56"/>
      <c r="H760" s="56"/>
      <c r="I760" s="56"/>
      <c r="J760" s="56"/>
      <c r="K760" s="145">
        <v>3440</v>
      </c>
      <c r="L760" s="56"/>
      <c r="M760" s="56">
        <v>16.19</v>
      </c>
      <c r="N760" s="56">
        <f t="shared" si="46"/>
        <v>3423.81</v>
      </c>
      <c r="O760" s="56"/>
      <c r="P760" s="58">
        <f t="shared" si="45"/>
        <v>8051895.09</v>
      </c>
      <c r="Q760" s="59" t="s">
        <v>669</v>
      </c>
    </row>
    <row r="761" ht="20" customHeight="1" spans="2:19">
      <c r="B761" s="42">
        <v>6</v>
      </c>
      <c r="C761" s="42">
        <v>15</v>
      </c>
      <c r="D761" s="74"/>
      <c r="E761" s="74" t="s">
        <v>1133</v>
      </c>
      <c r="F761" s="75" t="s">
        <v>1322</v>
      </c>
      <c r="G761" s="56"/>
      <c r="H761" s="56"/>
      <c r="I761" s="145">
        <v>71.8</v>
      </c>
      <c r="J761" s="56"/>
      <c r="K761" s="56"/>
      <c r="L761" s="56"/>
      <c r="M761" s="56"/>
      <c r="N761" s="55">
        <f t="shared" si="46"/>
        <v>71.8</v>
      </c>
      <c r="O761" s="56"/>
      <c r="P761" s="58">
        <f t="shared" si="45"/>
        <v>8051966.89</v>
      </c>
      <c r="Q761" s="59" t="s">
        <v>669</v>
      </c>
    </row>
    <row r="762" ht="20" customHeight="1" spans="2:19">
      <c r="B762" s="42">
        <v>6</v>
      </c>
      <c r="C762" s="42">
        <v>15</v>
      </c>
      <c r="D762" s="74"/>
      <c r="E762" s="54" t="s">
        <v>876</v>
      </c>
      <c r="F762" s="75" t="s">
        <v>1323</v>
      </c>
      <c r="G762" s="145">
        <v>1500</v>
      </c>
      <c r="H762" s="145"/>
      <c r="I762" s="145">
        <v>98</v>
      </c>
      <c r="J762" s="56"/>
      <c r="K762" s="56"/>
      <c r="L762" s="56"/>
      <c r="M762" s="56"/>
      <c r="N762" s="55">
        <f t="shared" si="46"/>
        <v>1598</v>
      </c>
      <c r="O762" s="56"/>
      <c r="P762" s="58">
        <f t="shared" si="45"/>
        <v>8053564.89</v>
      </c>
      <c r="Q762" s="59" t="s">
        <v>669</v>
      </c>
    </row>
    <row r="763" ht="20" customHeight="1" spans="2:19">
      <c r="B763" s="42">
        <v>6</v>
      </c>
      <c r="C763" s="42">
        <v>15</v>
      </c>
      <c r="D763" s="74"/>
      <c r="E763" s="74" t="s">
        <v>785</v>
      </c>
      <c r="F763" s="75" t="s">
        <v>1324</v>
      </c>
      <c r="G763" s="145"/>
      <c r="H763" s="145">
        <v>200</v>
      </c>
      <c r="I763" s="145">
        <v>118</v>
      </c>
      <c r="J763" s="56"/>
      <c r="K763" s="56"/>
      <c r="L763" s="56"/>
      <c r="M763" s="56"/>
      <c r="N763" s="55">
        <f t="shared" si="46"/>
        <v>318</v>
      </c>
      <c r="O763" s="56"/>
      <c r="P763" s="58">
        <f t="shared" si="45"/>
        <v>8053882.89</v>
      </c>
      <c r="Q763" s="59" t="s">
        <v>669</v>
      </c>
    </row>
    <row r="764" ht="20" customHeight="1" spans="2:19">
      <c r="B764" s="42">
        <v>6</v>
      </c>
      <c r="C764" s="42">
        <v>15</v>
      </c>
      <c r="D764" s="74"/>
      <c r="E764" s="74" t="s">
        <v>574</v>
      </c>
      <c r="F764" s="75" t="s">
        <v>1325</v>
      </c>
      <c r="G764" s="145">
        <v>7043</v>
      </c>
      <c r="H764" s="145">
        <v>200</v>
      </c>
      <c r="I764" s="145">
        <v>725</v>
      </c>
      <c r="J764" s="56"/>
      <c r="K764" s="56"/>
      <c r="L764" s="56"/>
      <c r="M764" s="56"/>
      <c r="N764" s="55">
        <f t="shared" si="46"/>
        <v>7968</v>
      </c>
      <c r="O764" s="56"/>
      <c r="P764" s="58">
        <f t="shared" si="45"/>
        <v>8061850.89</v>
      </c>
      <c r="Q764" s="59" t="s">
        <v>669</v>
      </c>
    </row>
    <row r="765" ht="20" customHeight="1" spans="2:19">
      <c r="B765" s="42">
        <v>6</v>
      </c>
      <c r="C765" s="42">
        <v>15</v>
      </c>
      <c r="D765" s="74"/>
      <c r="E765" s="54" t="s">
        <v>556</v>
      </c>
      <c r="F765" s="75" t="s">
        <v>1326</v>
      </c>
      <c r="G765" s="145">
        <v>2500</v>
      </c>
      <c r="H765" s="145"/>
      <c r="I765" s="145">
        <v>60</v>
      </c>
      <c r="J765" s="56"/>
      <c r="K765" s="56"/>
      <c r="L765" s="56"/>
      <c r="M765" s="56"/>
      <c r="N765" s="55">
        <f t="shared" si="46"/>
        <v>2560</v>
      </c>
      <c r="O765" s="56"/>
      <c r="P765" s="58">
        <f t="shared" si="45"/>
        <v>8064410.89</v>
      </c>
      <c r="Q765" s="59" t="s">
        <v>669</v>
      </c>
    </row>
    <row r="766" ht="20" customHeight="1" spans="2:19">
      <c r="B766" s="42">
        <v>6</v>
      </c>
      <c r="C766" s="42">
        <v>15</v>
      </c>
      <c r="D766" s="74"/>
      <c r="E766" s="74" t="s">
        <v>518</v>
      </c>
      <c r="F766" s="75" t="s">
        <v>1327</v>
      </c>
      <c r="G766" s="56"/>
      <c r="H766" s="145">
        <v>150</v>
      </c>
      <c r="I766" s="145">
        <v>100</v>
      </c>
      <c r="J766" s="56"/>
      <c r="K766" s="56"/>
      <c r="L766" s="56"/>
      <c r="M766" s="56"/>
      <c r="N766" s="55">
        <f t="shared" si="46"/>
        <v>250</v>
      </c>
      <c r="O766" s="56"/>
      <c r="P766" s="58">
        <f t="shared" si="45"/>
        <v>8064660.89</v>
      </c>
      <c r="Q766" s="59" t="s">
        <v>669</v>
      </c>
    </row>
    <row r="767" ht="20" customHeight="1" spans="2:19">
      <c r="B767" s="42">
        <v>6</v>
      </c>
      <c r="C767" s="42">
        <v>15</v>
      </c>
      <c r="D767" s="74" t="s">
        <v>69</v>
      </c>
      <c r="E767" s="42" t="s">
        <v>20</v>
      </c>
      <c r="F767" s="75" t="s">
        <v>280</v>
      </c>
      <c r="G767" s="56"/>
      <c r="H767" s="56"/>
      <c r="I767" s="56"/>
      <c r="J767" s="56"/>
      <c r="K767" s="56"/>
      <c r="L767" s="56"/>
      <c r="M767" s="56"/>
      <c r="N767" s="176">
        <v>43000</v>
      </c>
      <c r="O767" s="84">
        <v>43000</v>
      </c>
      <c r="P767" s="58">
        <f t="shared" si="45"/>
        <v>8064660.89</v>
      </c>
      <c r="Q767" s="59"/>
    </row>
    <row r="768" ht="20" customHeight="1" spans="2:19">
      <c r="B768" s="42">
        <v>6</v>
      </c>
      <c r="C768" s="42">
        <v>15</v>
      </c>
      <c r="D768" s="74" t="s">
        <v>92</v>
      </c>
      <c r="E768" s="74" t="s">
        <v>271</v>
      </c>
      <c r="F768" s="75" t="s">
        <v>1328</v>
      </c>
      <c r="G768" s="56"/>
      <c r="H768" s="56"/>
      <c r="I768" s="56"/>
      <c r="J768" s="56"/>
      <c r="K768" s="56"/>
      <c r="L768" s="56"/>
      <c r="M768" s="56"/>
      <c r="N768" s="56">
        <f>SUM(G768:L768)-M768</f>
        <v>0</v>
      </c>
      <c r="O768" s="56">
        <v>33100</v>
      </c>
      <c r="P768" s="58">
        <f t="shared" si="45"/>
        <v>8031560.89</v>
      </c>
      <c r="Q768" s="59"/>
      <c r="R768" s="3" t="s">
        <v>239</v>
      </c>
      <c r="S768" s="3">
        <f>SUM(N754:N756)+SUM(N758:N766)-SUM(O754:O768)+S753</f>
        <v>249004.49</v>
      </c>
    </row>
    <row r="769" ht="20" customHeight="1" spans="2:19">
      <c r="B769" s="42">
        <v>6</v>
      </c>
      <c r="C769" s="42">
        <v>17</v>
      </c>
      <c r="D769" s="74"/>
      <c r="E769" s="74" t="s">
        <v>604</v>
      </c>
      <c r="F769" s="75" t="s">
        <v>1329</v>
      </c>
      <c r="G769" s="145">
        <v>7355</v>
      </c>
      <c r="H769" s="145">
        <v>200</v>
      </c>
      <c r="I769" s="145">
        <v>272</v>
      </c>
      <c r="J769" s="56"/>
      <c r="K769" s="56"/>
      <c r="L769" s="56"/>
      <c r="M769" s="56"/>
      <c r="N769" s="55">
        <f>SUM(G769:L769)-M769</f>
        <v>7827</v>
      </c>
      <c r="O769" s="56"/>
      <c r="P769" s="58">
        <f t="shared" si="45"/>
        <v>8039387.89</v>
      </c>
      <c r="Q769" s="59"/>
    </row>
    <row r="770" ht="20" customHeight="1" spans="2:19">
      <c r="B770" s="42">
        <v>6</v>
      </c>
      <c r="C770" s="42">
        <v>17</v>
      </c>
      <c r="D770" s="74"/>
      <c r="E770" s="74" t="s">
        <v>585</v>
      </c>
      <c r="F770" s="75" t="s">
        <v>1330</v>
      </c>
      <c r="G770" s="145">
        <v>3000</v>
      </c>
      <c r="H770" s="145"/>
      <c r="I770" s="145">
        <v>156</v>
      </c>
      <c r="J770" s="56"/>
      <c r="K770" s="56"/>
      <c r="L770" s="56"/>
      <c r="M770" s="56"/>
      <c r="N770" s="55">
        <f>SUM(G770:L770)-M770</f>
        <v>3156</v>
      </c>
      <c r="O770" s="56"/>
      <c r="P770" s="58">
        <f t="shared" si="45"/>
        <v>8042543.89</v>
      </c>
      <c r="Q770" s="59"/>
    </row>
    <row r="771" ht="20" customHeight="1" spans="2:19">
      <c r="B771" s="42">
        <v>6</v>
      </c>
      <c r="C771" s="42">
        <v>17</v>
      </c>
      <c r="D771" s="74"/>
      <c r="E771" s="54" t="s">
        <v>585</v>
      </c>
      <c r="F771" s="75" t="s">
        <v>1331</v>
      </c>
      <c r="G771" s="145">
        <v>3000</v>
      </c>
      <c r="H771" s="145">
        <v>150</v>
      </c>
      <c r="I771" s="145">
        <v>211</v>
      </c>
      <c r="J771" s="56"/>
      <c r="K771" s="56"/>
      <c r="L771" s="56"/>
      <c r="M771" s="56"/>
      <c r="N771" s="55">
        <f>SUM(G771:L771)-M771</f>
        <v>3361</v>
      </c>
      <c r="O771" s="56"/>
      <c r="P771" s="58">
        <f t="shared" si="45"/>
        <v>8045904.89</v>
      </c>
      <c r="Q771" s="59"/>
    </row>
    <row r="772" ht="20" customHeight="1" spans="2:19">
      <c r="B772" s="42">
        <v>6</v>
      </c>
      <c r="C772" s="42">
        <v>17</v>
      </c>
      <c r="D772" s="74" t="s">
        <v>69</v>
      </c>
      <c r="E772" s="42" t="s">
        <v>20</v>
      </c>
      <c r="F772" s="75" t="s">
        <v>280</v>
      </c>
      <c r="G772" s="56"/>
      <c r="H772" s="56"/>
      <c r="I772" s="56"/>
      <c r="J772" s="56"/>
      <c r="K772" s="56"/>
      <c r="L772" s="56"/>
      <c r="M772" s="56"/>
      <c r="N772" s="176">
        <v>10000</v>
      </c>
      <c r="O772" s="84">
        <v>10000</v>
      </c>
      <c r="P772" s="58">
        <f t="shared" si="45"/>
        <v>8045904.89</v>
      </c>
      <c r="Q772" s="59"/>
    </row>
    <row r="773" ht="20" customHeight="1" spans="2:19">
      <c r="B773" s="42">
        <v>6</v>
      </c>
      <c r="C773" s="42">
        <v>17</v>
      </c>
      <c r="D773" s="74" t="s">
        <v>124</v>
      </c>
      <c r="E773" s="74" t="s">
        <v>486</v>
      </c>
      <c r="F773" s="75" t="s">
        <v>1332</v>
      </c>
      <c r="G773" s="56"/>
      <c r="H773" s="56"/>
      <c r="I773" s="56"/>
      <c r="J773" s="56"/>
      <c r="K773" s="56"/>
      <c r="L773" s="56"/>
      <c r="M773" s="56"/>
      <c r="N773" s="63"/>
      <c r="O773" s="84">
        <v>2670.14</v>
      </c>
      <c r="P773" s="58">
        <f t="shared" si="45"/>
        <v>8043234.75</v>
      </c>
      <c r="Q773" s="59"/>
    </row>
    <row r="774" ht="20" customHeight="1" spans="2:19">
      <c r="B774" s="42">
        <v>6</v>
      </c>
      <c r="C774" s="42">
        <v>17</v>
      </c>
      <c r="D774" s="74" t="s">
        <v>121</v>
      </c>
      <c r="E774" s="74" t="s">
        <v>764</v>
      </c>
      <c r="F774" s="75" t="s">
        <v>1333</v>
      </c>
      <c r="G774" s="56"/>
      <c r="H774" s="56"/>
      <c r="I774" s="56"/>
      <c r="J774" s="56"/>
      <c r="K774" s="56"/>
      <c r="L774" s="56"/>
      <c r="M774" s="56"/>
      <c r="N774" s="56">
        <f t="shared" ref="N774:N782" si="47">SUM(G774:L774)-M774</f>
        <v>0</v>
      </c>
      <c r="O774" s="56">
        <v>130000</v>
      </c>
      <c r="P774" s="58">
        <f t="shared" si="45"/>
        <v>7913234.75</v>
      </c>
      <c r="Q774" s="59"/>
    </row>
    <row r="775" ht="20" customHeight="1" spans="2:19">
      <c r="B775" s="42">
        <v>6</v>
      </c>
      <c r="C775" s="42">
        <v>19</v>
      </c>
      <c r="D775" s="74"/>
      <c r="E775" s="74" t="s">
        <v>585</v>
      </c>
      <c r="F775" s="75" t="s">
        <v>1334</v>
      </c>
      <c r="G775" s="145">
        <v>3000</v>
      </c>
      <c r="H775" s="145"/>
      <c r="I775" s="145">
        <v>223</v>
      </c>
      <c r="J775" s="56"/>
      <c r="K775" s="56"/>
      <c r="L775" s="56"/>
      <c r="M775" s="56"/>
      <c r="N775" s="55">
        <f t="shared" si="47"/>
        <v>3223</v>
      </c>
      <c r="O775" s="56"/>
      <c r="P775" s="58">
        <f t="shared" si="45"/>
        <v>7916457.75</v>
      </c>
      <c r="Q775" s="59"/>
    </row>
    <row r="776" ht="20" customHeight="1" spans="2:19">
      <c r="B776" s="42">
        <v>6</v>
      </c>
      <c r="C776" s="42">
        <v>21</v>
      </c>
      <c r="D776" s="74"/>
      <c r="E776" s="74" t="s">
        <v>161</v>
      </c>
      <c r="F776" s="75" t="s">
        <v>898</v>
      </c>
      <c r="G776" s="56"/>
      <c r="H776" s="56"/>
      <c r="I776" s="56"/>
      <c r="J776" s="56"/>
      <c r="K776" s="56"/>
      <c r="L776" s="145">
        <v>24.19</v>
      </c>
      <c r="M776" s="56"/>
      <c r="N776" s="56">
        <f t="shared" si="47"/>
        <v>24.19</v>
      </c>
      <c r="O776" s="56"/>
      <c r="P776" s="58">
        <f t="shared" si="45"/>
        <v>7916481.94</v>
      </c>
      <c r="Q776" s="59"/>
    </row>
    <row r="777" ht="20" customHeight="1" spans="2:19">
      <c r="B777" s="42">
        <v>6</v>
      </c>
      <c r="C777" s="42">
        <v>22</v>
      </c>
      <c r="D777" s="74"/>
      <c r="E777" s="42"/>
      <c r="F777" s="75" t="s">
        <v>1335</v>
      </c>
      <c r="G777" s="56"/>
      <c r="H777" s="56"/>
      <c r="I777" s="56"/>
      <c r="J777" s="56"/>
      <c r="K777" s="145">
        <v>3505</v>
      </c>
      <c r="L777" s="56"/>
      <c r="M777" s="56">
        <v>15.71</v>
      </c>
      <c r="N777" s="56">
        <f t="shared" si="47"/>
        <v>3489.29</v>
      </c>
      <c r="O777" s="56"/>
      <c r="P777" s="58">
        <f t="shared" si="45"/>
        <v>7919971.23</v>
      </c>
      <c r="Q777" s="59" t="s">
        <v>669</v>
      </c>
    </row>
    <row r="778" ht="20" customHeight="1" spans="2:19">
      <c r="B778" s="42">
        <v>6</v>
      </c>
      <c r="C778" s="42">
        <v>22</v>
      </c>
      <c r="D778" s="74"/>
      <c r="E778" s="74" t="s">
        <v>669</v>
      </c>
      <c r="F778" s="75" t="s">
        <v>913</v>
      </c>
      <c r="G778" s="56"/>
      <c r="H778" s="56"/>
      <c r="I778" s="56"/>
      <c r="J778" s="56"/>
      <c r="K778" s="56"/>
      <c r="L778" s="145">
        <v>2.27</v>
      </c>
      <c r="M778" s="56"/>
      <c r="N778" s="56">
        <f t="shared" si="47"/>
        <v>2.27</v>
      </c>
      <c r="O778" s="56"/>
      <c r="P778" s="58">
        <f t="shared" si="45"/>
        <v>7919973.5</v>
      </c>
      <c r="Q778" s="59"/>
    </row>
    <row r="779" ht="20" customHeight="1" spans="2:19">
      <c r="B779" s="42">
        <v>6</v>
      </c>
      <c r="C779" s="42">
        <v>22</v>
      </c>
      <c r="D779" s="74"/>
      <c r="E779" s="54" t="s">
        <v>503</v>
      </c>
      <c r="F779" s="75" t="s">
        <v>1336</v>
      </c>
      <c r="G779" s="56"/>
      <c r="H779" s="56"/>
      <c r="I779" s="145">
        <v>9</v>
      </c>
      <c r="J779" s="56"/>
      <c r="K779" s="56"/>
      <c r="L779" s="56"/>
      <c r="M779" s="56"/>
      <c r="N779" s="55">
        <f t="shared" si="47"/>
        <v>9</v>
      </c>
      <c r="O779" s="56"/>
      <c r="P779" s="58">
        <f t="shared" si="45"/>
        <v>7919982.5</v>
      </c>
      <c r="Q779" s="59" t="s">
        <v>669</v>
      </c>
    </row>
    <row r="780" ht="20" customHeight="1" spans="2:19">
      <c r="B780" s="42">
        <v>6</v>
      </c>
      <c r="C780" s="42">
        <v>22</v>
      </c>
      <c r="D780" s="74"/>
      <c r="E780" s="74" t="s">
        <v>1246</v>
      </c>
      <c r="F780" s="75" t="s">
        <v>1337</v>
      </c>
      <c r="G780" s="145">
        <v>1784</v>
      </c>
      <c r="H780" s="56"/>
      <c r="I780" s="56"/>
      <c r="J780" s="56"/>
      <c r="K780" s="56"/>
      <c r="L780" s="56"/>
      <c r="M780" s="56"/>
      <c r="N780" s="55">
        <f t="shared" si="47"/>
        <v>1784</v>
      </c>
      <c r="O780" s="56"/>
      <c r="P780" s="58">
        <f t="shared" si="45"/>
        <v>7921766.5</v>
      </c>
      <c r="Q780" s="59" t="s">
        <v>669</v>
      </c>
    </row>
    <row r="781" ht="20" customHeight="1" spans="2:19">
      <c r="B781" s="42">
        <v>6</v>
      </c>
      <c r="C781" s="42">
        <v>22</v>
      </c>
      <c r="D781" s="74"/>
      <c r="E781" s="42" t="s">
        <v>618</v>
      </c>
      <c r="F781" s="75" t="s">
        <v>1338</v>
      </c>
      <c r="G781" s="145">
        <v>7707</v>
      </c>
      <c r="H781" s="145">
        <v>200</v>
      </c>
      <c r="I781" s="145">
        <v>903</v>
      </c>
      <c r="J781" s="56"/>
      <c r="K781" s="56"/>
      <c r="L781" s="56"/>
      <c r="M781" s="56"/>
      <c r="N781" s="55">
        <f t="shared" si="47"/>
        <v>8810</v>
      </c>
      <c r="O781" s="56"/>
      <c r="P781" s="58">
        <f t="shared" si="45"/>
        <v>7930576.5</v>
      </c>
      <c r="Q781" s="59" t="s">
        <v>669</v>
      </c>
    </row>
    <row r="782" ht="20" customHeight="1" spans="2:19">
      <c r="B782" s="42">
        <v>6</v>
      </c>
      <c r="C782" s="42">
        <v>22</v>
      </c>
      <c r="D782" s="74"/>
      <c r="E782" s="54" t="s">
        <v>1195</v>
      </c>
      <c r="F782" s="75" t="s">
        <v>1339</v>
      </c>
      <c r="G782" s="145">
        <v>1500</v>
      </c>
      <c r="H782" s="145">
        <v>119</v>
      </c>
      <c r="I782" s="56"/>
      <c r="J782" s="56"/>
      <c r="K782" s="56"/>
      <c r="L782" s="56"/>
      <c r="M782" s="56"/>
      <c r="N782" s="55">
        <f t="shared" si="47"/>
        <v>1619</v>
      </c>
      <c r="O782" s="56"/>
      <c r="P782" s="58">
        <f t="shared" si="45"/>
        <v>7932195.5</v>
      </c>
      <c r="Q782" s="56" t="s">
        <v>669</v>
      </c>
      <c r="R782" s="3" t="s">
        <v>239</v>
      </c>
      <c r="S782" s="3">
        <f>SUM(N769:N771)+SUM(N773:N782)-SUM(O769:O782)+S768</f>
        <v>139639.1</v>
      </c>
    </row>
    <row r="783" ht="20" customHeight="1" spans="2:19">
      <c r="B783" s="42">
        <v>6</v>
      </c>
      <c r="C783" s="42">
        <v>22</v>
      </c>
      <c r="D783" s="74" t="s">
        <v>69</v>
      </c>
      <c r="E783" s="42" t="s">
        <v>20</v>
      </c>
      <c r="F783" s="75" t="s">
        <v>280</v>
      </c>
      <c r="G783" s="56"/>
      <c r="H783" s="56"/>
      <c r="I783" s="56"/>
      <c r="J783" s="56"/>
      <c r="K783" s="56"/>
      <c r="L783" s="56"/>
      <c r="M783" s="56"/>
      <c r="N783" s="176">
        <v>10000</v>
      </c>
      <c r="O783" s="84">
        <v>10000</v>
      </c>
      <c r="P783" s="58"/>
      <c r="Q783" s="56"/>
    </row>
    <row r="784" ht="20" customHeight="1" spans="2:19">
      <c r="B784" s="42">
        <v>6</v>
      </c>
      <c r="C784" s="42">
        <v>23</v>
      </c>
      <c r="D784" s="74"/>
      <c r="E784" s="74" t="s">
        <v>673</v>
      </c>
      <c r="F784" s="75" t="s">
        <v>1340</v>
      </c>
      <c r="G784" s="56"/>
      <c r="H784" s="56"/>
      <c r="I784" s="56"/>
      <c r="J784" s="145">
        <v>6900</v>
      </c>
      <c r="K784" s="56"/>
      <c r="L784" s="56"/>
      <c r="M784" s="56"/>
      <c r="N784" s="55">
        <f>SUM(G784:L784)-M784</f>
        <v>6900</v>
      </c>
      <c r="O784" s="56"/>
      <c r="P784" s="58">
        <f>P782+N784-O784</f>
        <v>7939095.5</v>
      </c>
      <c r="Q784" s="56" t="s">
        <v>669</v>
      </c>
    </row>
    <row r="785" ht="36.75" spans="2:17">
      <c r="B785" s="42">
        <v>6</v>
      </c>
      <c r="C785" s="42">
        <v>23</v>
      </c>
      <c r="D785" s="74" t="s">
        <v>106</v>
      </c>
      <c r="E785" s="74" t="s">
        <v>673</v>
      </c>
      <c r="F785" s="178" t="s">
        <v>1341</v>
      </c>
      <c r="G785" s="56"/>
      <c r="H785" s="56"/>
      <c r="I785" s="56"/>
      <c r="J785" s="56"/>
      <c r="K785" s="56"/>
      <c r="L785" s="56"/>
      <c r="M785" s="56"/>
      <c r="N785" s="71">
        <v>8268</v>
      </c>
      <c r="O785" s="71">
        <v>8268</v>
      </c>
      <c r="P785" s="58">
        <f t="shared" ref="P785:P829" si="48">P784+N785-O785</f>
        <v>7939095.5</v>
      </c>
      <c r="Q785" s="119" t="s">
        <v>1342</v>
      </c>
    </row>
    <row r="786" ht="20" customHeight="1" spans="2:17">
      <c r="B786" s="42">
        <v>6</v>
      </c>
      <c r="C786" s="42">
        <v>24</v>
      </c>
      <c r="D786" s="74"/>
      <c r="E786" s="54" t="s">
        <v>653</v>
      </c>
      <c r="F786" s="75" t="s">
        <v>1343</v>
      </c>
      <c r="G786" s="145">
        <v>8100</v>
      </c>
      <c r="H786" s="145">
        <v>200</v>
      </c>
      <c r="I786" s="145">
        <v>383</v>
      </c>
      <c r="J786" s="56"/>
      <c r="K786" s="56"/>
      <c r="L786" s="56"/>
      <c r="M786" s="56"/>
      <c r="N786" s="55">
        <f t="shared" ref="N786:N811" si="49">SUM(G786:L786)-M786</f>
        <v>8683</v>
      </c>
      <c r="O786" s="56"/>
      <c r="P786" s="58">
        <f t="shared" si="48"/>
        <v>7947778.5</v>
      </c>
      <c r="Q786" s="56"/>
    </row>
    <row r="787" ht="20" customHeight="1" spans="2:17">
      <c r="B787" s="42">
        <v>6</v>
      </c>
      <c r="C787" s="42">
        <v>24</v>
      </c>
      <c r="D787" s="74"/>
      <c r="E787" s="74" t="s">
        <v>650</v>
      </c>
      <c r="F787" s="75" t="s">
        <v>1344</v>
      </c>
      <c r="G787" s="145">
        <v>6654</v>
      </c>
      <c r="H787" s="145">
        <v>200</v>
      </c>
      <c r="I787" s="145">
        <v>508</v>
      </c>
      <c r="J787" s="56"/>
      <c r="K787" s="56"/>
      <c r="L787" s="56"/>
      <c r="M787" s="56"/>
      <c r="N787" s="55">
        <f t="shared" si="49"/>
        <v>7362</v>
      </c>
      <c r="O787" s="56"/>
      <c r="P787" s="58">
        <f t="shared" si="48"/>
        <v>7955140.5</v>
      </c>
      <c r="Q787" s="56"/>
    </row>
    <row r="788" ht="20" customHeight="1" spans="2:17">
      <c r="B788" s="42">
        <v>6</v>
      </c>
      <c r="C788" s="42">
        <v>25</v>
      </c>
      <c r="D788" s="74"/>
      <c r="E788" s="74" t="s">
        <v>1108</v>
      </c>
      <c r="F788" s="75" t="s">
        <v>1345</v>
      </c>
      <c r="G788" s="56"/>
      <c r="H788" s="56"/>
      <c r="I788" s="56"/>
      <c r="J788" s="145">
        <v>4050</v>
      </c>
      <c r="K788" s="56"/>
      <c r="L788" s="56"/>
      <c r="M788" s="56"/>
      <c r="N788" s="55">
        <f t="shared" si="49"/>
        <v>4050</v>
      </c>
      <c r="O788" s="56"/>
      <c r="P788" s="58">
        <f t="shared" si="48"/>
        <v>7959190.5</v>
      </c>
      <c r="Q788" s="56"/>
    </row>
    <row r="789" ht="20" customHeight="1" spans="2:17">
      <c r="B789" s="42">
        <v>6</v>
      </c>
      <c r="C789" s="42">
        <v>27</v>
      </c>
      <c r="D789" s="74"/>
      <c r="E789" s="54" t="s">
        <v>628</v>
      </c>
      <c r="F789" s="75" t="s">
        <v>1346</v>
      </c>
      <c r="G789" s="145">
        <v>6090</v>
      </c>
      <c r="H789" s="145">
        <v>200</v>
      </c>
      <c r="I789" s="145">
        <v>557</v>
      </c>
      <c r="J789" s="56"/>
      <c r="K789" s="56"/>
      <c r="L789" s="56"/>
      <c r="M789" s="56"/>
      <c r="N789" s="55">
        <f t="shared" si="49"/>
        <v>6847</v>
      </c>
      <c r="O789" s="56"/>
      <c r="P789" s="58">
        <f t="shared" si="48"/>
        <v>7966037.5</v>
      </c>
      <c r="Q789" s="56"/>
    </row>
    <row r="790" ht="20" customHeight="1" spans="2:17">
      <c r="B790" s="42">
        <v>6</v>
      </c>
      <c r="C790" s="42">
        <v>28</v>
      </c>
      <c r="D790" s="74"/>
      <c r="E790" s="74" t="s">
        <v>655</v>
      </c>
      <c r="F790" s="75" t="s">
        <v>1347</v>
      </c>
      <c r="G790" s="145">
        <v>1300</v>
      </c>
      <c r="H790" s="145"/>
      <c r="I790" s="145">
        <v>115</v>
      </c>
      <c r="J790" s="56"/>
      <c r="K790" s="56"/>
      <c r="L790" s="56"/>
      <c r="M790" s="56"/>
      <c r="N790" s="55">
        <f t="shared" si="49"/>
        <v>1415</v>
      </c>
      <c r="O790" s="56"/>
      <c r="P790" s="58">
        <f t="shared" si="48"/>
        <v>7967452.5</v>
      </c>
      <c r="Q790" s="56"/>
    </row>
    <row r="791" ht="20" customHeight="1" spans="2:17">
      <c r="B791" s="42">
        <v>6</v>
      </c>
      <c r="C791" s="42">
        <v>29</v>
      </c>
      <c r="D791" s="74"/>
      <c r="E791" s="42"/>
      <c r="F791" s="75" t="s">
        <v>1348</v>
      </c>
      <c r="G791" s="56"/>
      <c r="H791" s="56"/>
      <c r="I791" s="56"/>
      <c r="J791" s="56"/>
      <c r="K791" s="145">
        <v>2190</v>
      </c>
      <c r="L791" s="56"/>
      <c r="M791" s="56">
        <v>16.1</v>
      </c>
      <c r="N791" s="56">
        <f t="shared" si="49"/>
        <v>2173.9</v>
      </c>
      <c r="O791" s="56"/>
      <c r="P791" s="58">
        <f t="shared" si="48"/>
        <v>7969626.4</v>
      </c>
      <c r="Q791" s="59" t="s">
        <v>669</v>
      </c>
    </row>
    <row r="792" ht="20" customHeight="1" spans="2:17">
      <c r="B792" s="42">
        <v>6</v>
      </c>
      <c r="C792" s="42">
        <v>29</v>
      </c>
      <c r="D792" s="74"/>
      <c r="E792" s="54" t="s">
        <v>572</v>
      </c>
      <c r="F792" s="75" t="s">
        <v>1238</v>
      </c>
      <c r="G792" s="145">
        <v>628</v>
      </c>
      <c r="H792" s="56"/>
      <c r="I792" s="56"/>
      <c r="J792" s="56"/>
      <c r="K792" s="56"/>
      <c r="L792" s="56"/>
      <c r="M792" s="56"/>
      <c r="N792" s="55">
        <f t="shared" si="49"/>
        <v>628</v>
      </c>
      <c r="O792" s="56"/>
      <c r="P792" s="58">
        <f t="shared" si="48"/>
        <v>7970254.4</v>
      </c>
      <c r="Q792" s="59" t="s">
        <v>669</v>
      </c>
    </row>
    <row r="793" ht="20" customHeight="1" spans="2:17">
      <c r="B793" s="42">
        <v>6</v>
      </c>
      <c r="C793" s="42">
        <v>29</v>
      </c>
      <c r="D793" s="74"/>
      <c r="E793" s="74" t="s">
        <v>626</v>
      </c>
      <c r="F793" s="75" t="s">
        <v>1349</v>
      </c>
      <c r="G793" s="145">
        <v>1400</v>
      </c>
      <c r="H793" s="145">
        <v>150</v>
      </c>
      <c r="I793" s="145">
        <v>55</v>
      </c>
      <c r="J793" s="56"/>
      <c r="K793" s="56"/>
      <c r="L793" s="56"/>
      <c r="M793" s="56"/>
      <c r="N793" s="55">
        <f t="shared" si="49"/>
        <v>1605</v>
      </c>
      <c r="O793" s="56"/>
      <c r="P793" s="58">
        <f t="shared" si="48"/>
        <v>7971859.4</v>
      </c>
      <c r="Q793" s="59" t="s">
        <v>669</v>
      </c>
    </row>
    <row r="794" ht="20" customHeight="1" spans="2:17">
      <c r="B794" s="42">
        <v>6</v>
      </c>
      <c r="C794" s="42">
        <v>29</v>
      </c>
      <c r="D794" s="74"/>
      <c r="E794" s="74" t="s">
        <v>905</v>
      </c>
      <c r="F794" s="75" t="s">
        <v>1350</v>
      </c>
      <c r="G794" s="56"/>
      <c r="H794" s="56"/>
      <c r="I794" s="145">
        <v>79</v>
      </c>
      <c r="J794" s="56"/>
      <c r="K794" s="56"/>
      <c r="L794" s="56"/>
      <c r="M794" s="56"/>
      <c r="N794" s="55">
        <f t="shared" si="49"/>
        <v>79</v>
      </c>
      <c r="O794" s="56"/>
      <c r="P794" s="58">
        <f t="shared" si="48"/>
        <v>7971938.4</v>
      </c>
      <c r="Q794" s="59" t="s">
        <v>669</v>
      </c>
    </row>
    <row r="795" ht="20" customHeight="1" spans="2:17">
      <c r="B795" s="42">
        <v>6</v>
      </c>
      <c r="C795" s="42">
        <v>29</v>
      </c>
      <c r="D795" s="74"/>
      <c r="E795" s="54" t="s">
        <v>570</v>
      </c>
      <c r="F795" s="75" t="s">
        <v>1351</v>
      </c>
      <c r="G795" s="145">
        <v>1500</v>
      </c>
      <c r="H795" s="145">
        <v>150</v>
      </c>
      <c r="I795" s="145">
        <v>72</v>
      </c>
      <c r="J795" s="56"/>
      <c r="K795" s="56"/>
      <c r="L795" s="56"/>
      <c r="M795" s="56"/>
      <c r="N795" s="55">
        <f t="shared" si="49"/>
        <v>1722</v>
      </c>
      <c r="O795" s="56"/>
      <c r="P795" s="58">
        <f t="shared" si="48"/>
        <v>7973660.4</v>
      </c>
      <c r="Q795" s="59" t="s">
        <v>669</v>
      </c>
    </row>
    <row r="796" ht="20" customHeight="1" spans="2:17">
      <c r="B796" s="42">
        <v>6</v>
      </c>
      <c r="C796" s="42">
        <v>29</v>
      </c>
      <c r="D796" s="74"/>
      <c r="E796" s="74" t="s">
        <v>529</v>
      </c>
      <c r="F796" s="75" t="s">
        <v>1352</v>
      </c>
      <c r="G796" s="145">
        <v>3300</v>
      </c>
      <c r="H796" s="145">
        <v>150</v>
      </c>
      <c r="I796" s="145">
        <v>172</v>
      </c>
      <c r="J796" s="56"/>
      <c r="K796" s="56"/>
      <c r="L796" s="56"/>
      <c r="M796" s="56"/>
      <c r="N796" s="55">
        <f t="shared" si="49"/>
        <v>3622</v>
      </c>
      <c r="O796" s="56"/>
      <c r="P796" s="58">
        <f t="shared" si="48"/>
        <v>7977282.4</v>
      </c>
      <c r="Q796" s="59" t="s">
        <v>669</v>
      </c>
    </row>
    <row r="797" ht="20" customHeight="1" spans="2:17">
      <c r="B797" s="42">
        <v>6</v>
      </c>
      <c r="C797" s="42">
        <v>29</v>
      </c>
      <c r="D797" s="74"/>
      <c r="E797" s="74" t="s">
        <v>613</v>
      </c>
      <c r="F797" s="75" t="s">
        <v>1353</v>
      </c>
      <c r="G797" s="145">
        <v>3675</v>
      </c>
      <c r="H797" s="145"/>
      <c r="I797" s="145">
        <v>247</v>
      </c>
      <c r="J797" s="56"/>
      <c r="K797" s="56"/>
      <c r="L797" s="56"/>
      <c r="M797" s="56"/>
      <c r="N797" s="55">
        <f t="shared" si="49"/>
        <v>3922</v>
      </c>
      <c r="O797" s="56"/>
      <c r="P797" s="58">
        <f t="shared" si="48"/>
        <v>7981204.4</v>
      </c>
      <c r="Q797" s="59" t="s">
        <v>669</v>
      </c>
    </row>
    <row r="798" ht="20" customHeight="1" spans="2:17">
      <c r="B798" s="42">
        <v>6</v>
      </c>
      <c r="C798" s="42">
        <v>29</v>
      </c>
      <c r="D798" s="74"/>
      <c r="E798" s="54" t="s">
        <v>520</v>
      </c>
      <c r="F798" s="75" t="s">
        <v>1354</v>
      </c>
      <c r="G798" s="56"/>
      <c r="H798" s="145">
        <v>150</v>
      </c>
      <c r="I798" s="145">
        <v>54</v>
      </c>
      <c r="J798" s="56"/>
      <c r="K798" s="56"/>
      <c r="L798" s="56"/>
      <c r="M798" s="56"/>
      <c r="N798" s="55">
        <f t="shared" si="49"/>
        <v>204</v>
      </c>
      <c r="O798" s="56"/>
      <c r="P798" s="58">
        <f t="shared" si="48"/>
        <v>7981408.4</v>
      </c>
      <c r="Q798" s="59" t="s">
        <v>669</v>
      </c>
    </row>
    <row r="799" ht="20" customHeight="1" spans="2:17">
      <c r="B799" s="42">
        <v>6</v>
      </c>
      <c r="C799" s="42">
        <v>29</v>
      </c>
      <c r="D799" s="74"/>
      <c r="E799" s="74" t="s">
        <v>642</v>
      </c>
      <c r="F799" s="75" t="s">
        <v>1355</v>
      </c>
      <c r="G799" s="145">
        <v>1600</v>
      </c>
      <c r="H799" s="145"/>
      <c r="I799" s="145">
        <v>43</v>
      </c>
      <c r="J799" s="56"/>
      <c r="K799" s="56"/>
      <c r="L799" s="56"/>
      <c r="M799" s="56"/>
      <c r="N799" s="55">
        <f t="shared" si="49"/>
        <v>1643</v>
      </c>
      <c r="O799" s="56"/>
      <c r="P799" s="58">
        <f t="shared" si="48"/>
        <v>7983051.4</v>
      </c>
      <c r="Q799" s="59" t="s">
        <v>669</v>
      </c>
    </row>
    <row r="800" ht="20" customHeight="1" spans="2:17">
      <c r="B800" s="42">
        <v>6</v>
      </c>
      <c r="C800" s="42">
        <v>29</v>
      </c>
      <c r="D800" s="74"/>
      <c r="E800" s="74" t="s">
        <v>489</v>
      </c>
      <c r="F800" s="75" t="s">
        <v>1356</v>
      </c>
      <c r="G800" s="56"/>
      <c r="H800" s="145">
        <v>150</v>
      </c>
      <c r="I800" s="145">
        <v>116</v>
      </c>
      <c r="J800" s="56"/>
      <c r="K800" s="56"/>
      <c r="L800" s="56"/>
      <c r="M800" s="56"/>
      <c r="N800" s="55">
        <f t="shared" si="49"/>
        <v>266</v>
      </c>
      <c r="O800" s="56"/>
      <c r="P800" s="58">
        <f t="shared" si="48"/>
        <v>7983317.4</v>
      </c>
      <c r="Q800" s="59" t="s">
        <v>669</v>
      </c>
    </row>
    <row r="801" ht="20" customHeight="1" spans="2:19">
      <c r="B801" s="42">
        <v>6</v>
      </c>
      <c r="C801" s="42">
        <v>29</v>
      </c>
      <c r="D801" s="74"/>
      <c r="E801" s="54" t="s">
        <v>595</v>
      </c>
      <c r="F801" s="75" t="s">
        <v>1357</v>
      </c>
      <c r="G801" s="56"/>
      <c r="H801" s="145">
        <v>150</v>
      </c>
      <c r="I801" s="145">
        <v>84</v>
      </c>
      <c r="J801" s="56"/>
      <c r="K801" s="56"/>
      <c r="L801" s="56"/>
      <c r="M801" s="56"/>
      <c r="N801" s="55">
        <f t="shared" si="49"/>
        <v>234</v>
      </c>
      <c r="O801" s="56"/>
      <c r="P801" s="58">
        <f t="shared" si="48"/>
        <v>7983551.4</v>
      </c>
      <c r="Q801" s="59" t="s">
        <v>669</v>
      </c>
      <c r="R801" s="3" t="s">
        <v>239</v>
      </c>
      <c r="S801" s="3">
        <f>SUM(N784:N801)-SUM(O783:O801)+S782</f>
        <v>180995</v>
      </c>
    </row>
    <row r="802" ht="20" customHeight="1" spans="2:19">
      <c r="B802" s="42">
        <v>6</v>
      </c>
      <c r="C802" s="42">
        <v>29</v>
      </c>
      <c r="D802" s="74"/>
      <c r="E802" s="54" t="s">
        <v>497</v>
      </c>
      <c r="F802" s="75" t="s">
        <v>1358</v>
      </c>
      <c r="G802" s="145">
        <v>1300</v>
      </c>
      <c r="H802" s="145">
        <v>150</v>
      </c>
      <c r="I802" s="145">
        <v>58</v>
      </c>
      <c r="J802" s="56"/>
      <c r="K802" s="56"/>
      <c r="L802" s="56"/>
      <c r="M802" s="56"/>
      <c r="N802" s="55">
        <f t="shared" si="49"/>
        <v>1508</v>
      </c>
      <c r="O802" s="56"/>
      <c r="P802" s="58">
        <f t="shared" si="48"/>
        <v>7985059.4</v>
      </c>
      <c r="Q802" s="59"/>
    </row>
    <row r="803" ht="20" customHeight="1" spans="2:19">
      <c r="B803" s="42">
        <v>6</v>
      </c>
      <c r="C803" s="42">
        <v>29</v>
      </c>
      <c r="D803" s="74" t="s">
        <v>103</v>
      </c>
      <c r="E803" s="42"/>
      <c r="F803" s="75" t="s">
        <v>1359</v>
      </c>
      <c r="G803" s="56"/>
      <c r="H803" s="56"/>
      <c r="I803" s="56"/>
      <c r="J803" s="56"/>
      <c r="K803" s="56"/>
      <c r="L803" s="56"/>
      <c r="M803" s="56"/>
      <c r="N803" s="56">
        <f t="shared" si="49"/>
        <v>0</v>
      </c>
      <c r="O803" s="56">
        <v>100</v>
      </c>
      <c r="P803" s="58">
        <f t="shared" si="48"/>
        <v>7984959.4</v>
      </c>
      <c r="Q803" s="56"/>
    </row>
    <row r="804" ht="24.75" spans="2:19">
      <c r="B804" s="42">
        <v>6</v>
      </c>
      <c r="C804" s="42">
        <v>29</v>
      </c>
      <c r="D804" s="74"/>
      <c r="E804" s="42" t="s">
        <v>894</v>
      </c>
      <c r="F804" s="77" t="s">
        <v>1360</v>
      </c>
      <c r="G804" s="56">
        <v>5800</v>
      </c>
      <c r="H804" s="56">
        <v>150</v>
      </c>
      <c r="I804" s="56">
        <v>90</v>
      </c>
      <c r="J804" s="56">
        <v>10500</v>
      </c>
      <c r="K804" s="56"/>
      <c r="L804" s="56"/>
      <c r="M804" s="56"/>
      <c r="N804" s="65">
        <f t="shared" si="49"/>
        <v>16540</v>
      </c>
      <c r="O804" s="71">
        <v>7500</v>
      </c>
      <c r="P804" s="58">
        <f t="shared" si="48"/>
        <v>7993999.4</v>
      </c>
      <c r="Q804" s="56"/>
    </row>
    <row r="805" ht="20" customHeight="1" spans="2:19">
      <c r="B805" s="42">
        <v>6</v>
      </c>
      <c r="C805" s="42">
        <v>30</v>
      </c>
      <c r="D805" s="74"/>
      <c r="E805" s="42" t="s">
        <v>491</v>
      </c>
      <c r="F805" s="75" t="s">
        <v>1361</v>
      </c>
      <c r="G805" s="145">
        <v>16445</v>
      </c>
      <c r="H805" s="145"/>
      <c r="I805" s="145">
        <v>50</v>
      </c>
      <c r="J805" s="56"/>
      <c r="K805" s="56"/>
      <c r="L805" s="56"/>
      <c r="M805" s="56"/>
      <c r="N805" s="55">
        <f t="shared" si="49"/>
        <v>16495</v>
      </c>
      <c r="O805" s="56"/>
      <c r="P805" s="58">
        <f t="shared" si="48"/>
        <v>8010494.4</v>
      </c>
      <c r="Q805" s="56"/>
    </row>
    <row r="806" ht="20" customHeight="1" spans="2:19">
      <c r="B806" s="42">
        <v>6</v>
      </c>
      <c r="C806" s="42">
        <v>30</v>
      </c>
      <c r="D806" s="74" t="s">
        <v>124</v>
      </c>
      <c r="E806" s="74" t="s">
        <v>486</v>
      </c>
      <c r="F806" s="75" t="s">
        <v>1362</v>
      </c>
      <c r="G806" s="56"/>
      <c r="H806" s="56"/>
      <c r="I806" s="56"/>
      <c r="J806" s="56"/>
      <c r="K806" s="56"/>
      <c r="L806" s="56"/>
      <c r="M806" s="56"/>
      <c r="N806" s="56">
        <f t="shared" si="49"/>
        <v>0</v>
      </c>
      <c r="O806" s="56">
        <v>11869.41</v>
      </c>
      <c r="P806" s="58">
        <f t="shared" si="48"/>
        <v>7998624.99</v>
      </c>
      <c r="Q806" s="56"/>
    </row>
    <row r="807" ht="20" customHeight="1" spans="2:19">
      <c r="B807" s="42">
        <v>6</v>
      </c>
      <c r="C807" s="42">
        <v>30</v>
      </c>
      <c r="D807" s="74" t="s">
        <v>104</v>
      </c>
      <c r="E807" s="74" t="s">
        <v>486</v>
      </c>
      <c r="F807" s="75" t="s">
        <v>1363</v>
      </c>
      <c r="G807" s="56"/>
      <c r="H807" s="56"/>
      <c r="I807" s="56"/>
      <c r="J807" s="56"/>
      <c r="K807" s="56"/>
      <c r="L807" s="56"/>
      <c r="M807" s="56"/>
      <c r="N807" s="56">
        <f t="shared" si="49"/>
        <v>0</v>
      </c>
      <c r="O807" s="56">
        <v>660</v>
      </c>
      <c r="P807" s="58">
        <f t="shared" si="48"/>
        <v>7997964.99</v>
      </c>
      <c r="Q807" s="56"/>
    </row>
    <row r="808" ht="20" customHeight="1" spans="2:19">
      <c r="B808" s="42">
        <v>6</v>
      </c>
      <c r="C808" s="42">
        <v>30</v>
      </c>
      <c r="D808" s="74" t="s">
        <v>100</v>
      </c>
      <c r="E808" s="74" t="s">
        <v>486</v>
      </c>
      <c r="F808" s="75" t="s">
        <v>1364</v>
      </c>
      <c r="G808" s="56"/>
      <c r="H808" s="56"/>
      <c r="I808" s="56"/>
      <c r="J808" s="56"/>
      <c r="K808" s="56"/>
      <c r="L808" s="56"/>
      <c r="M808" s="56"/>
      <c r="N808" s="56">
        <f t="shared" si="49"/>
        <v>0</v>
      </c>
      <c r="O808" s="56">
        <v>300</v>
      </c>
      <c r="P808" s="58">
        <f t="shared" si="48"/>
        <v>7997664.99</v>
      </c>
      <c r="Q808" s="56"/>
    </row>
    <row r="809" ht="20" customHeight="1" spans="2:19">
      <c r="B809" s="42">
        <v>6</v>
      </c>
      <c r="C809" s="42">
        <v>30</v>
      </c>
      <c r="D809" s="74" t="s">
        <v>129</v>
      </c>
      <c r="E809" s="74" t="s">
        <v>486</v>
      </c>
      <c r="F809" s="75" t="s">
        <v>1365</v>
      </c>
      <c r="G809" s="56"/>
      <c r="H809" s="56"/>
      <c r="I809" s="56"/>
      <c r="J809" s="56"/>
      <c r="K809" s="56"/>
      <c r="L809" s="56"/>
      <c r="M809" s="56"/>
      <c r="N809" s="56">
        <f t="shared" si="49"/>
        <v>0</v>
      </c>
      <c r="O809" s="56">
        <v>590.69</v>
      </c>
      <c r="P809" s="58">
        <f t="shared" si="48"/>
        <v>7997074.3</v>
      </c>
      <c r="Q809" s="56"/>
    </row>
    <row r="810" ht="20" customHeight="1" spans="2:19">
      <c r="B810" s="42">
        <v>6</v>
      </c>
      <c r="C810" s="42">
        <v>30</v>
      </c>
      <c r="D810" s="74" t="s">
        <v>106</v>
      </c>
      <c r="E810" s="54" t="s">
        <v>1108</v>
      </c>
      <c r="F810" s="75" t="s">
        <v>1366</v>
      </c>
      <c r="G810" s="56"/>
      <c r="H810" s="56"/>
      <c r="I810" s="56"/>
      <c r="J810" s="56"/>
      <c r="K810" s="56"/>
      <c r="L810" s="56"/>
      <c r="M810" s="56"/>
      <c r="N810" s="56">
        <f t="shared" si="49"/>
        <v>0</v>
      </c>
      <c r="O810" s="56">
        <v>5100</v>
      </c>
      <c r="P810" s="58">
        <f t="shared" si="48"/>
        <v>7991974.3</v>
      </c>
      <c r="Q810" s="56"/>
    </row>
    <row r="811" ht="20" customHeight="1" spans="2:19">
      <c r="B811" s="42">
        <v>6</v>
      </c>
      <c r="C811" s="42">
        <v>30</v>
      </c>
      <c r="D811" s="74" t="s">
        <v>106</v>
      </c>
      <c r="E811" s="42" t="s">
        <v>570</v>
      </c>
      <c r="F811" s="75" t="s">
        <v>1367</v>
      </c>
      <c r="G811" s="56"/>
      <c r="H811" s="56"/>
      <c r="I811" s="56"/>
      <c r="J811" s="56"/>
      <c r="K811" s="56"/>
      <c r="L811" s="56"/>
      <c r="M811" s="56"/>
      <c r="N811" s="56">
        <f t="shared" si="49"/>
        <v>0</v>
      </c>
      <c r="O811" s="56">
        <v>5355</v>
      </c>
      <c r="P811" s="58">
        <f t="shared" si="48"/>
        <v>7986619.3</v>
      </c>
      <c r="Q811" s="56"/>
    </row>
    <row r="812" ht="20" customHeight="1" spans="2:19">
      <c r="B812" s="42">
        <v>6</v>
      </c>
      <c r="C812" s="42">
        <v>30</v>
      </c>
      <c r="D812" s="74" t="s">
        <v>69</v>
      </c>
      <c r="E812" s="42" t="s">
        <v>20</v>
      </c>
      <c r="F812" s="75" t="s">
        <v>280</v>
      </c>
      <c r="G812" s="56"/>
      <c r="H812" s="56"/>
      <c r="I812" s="56"/>
      <c r="J812" s="56"/>
      <c r="K812" s="56"/>
      <c r="L812" s="56"/>
      <c r="M812" s="56"/>
      <c r="N812" s="176">
        <v>13000</v>
      </c>
      <c r="O812" s="84">
        <v>13000</v>
      </c>
      <c r="P812" s="58">
        <f t="shared" si="48"/>
        <v>7986619.3</v>
      </c>
      <c r="Q812" s="56"/>
    </row>
    <row r="813" ht="20" customHeight="1" spans="2:19">
      <c r="B813" s="42">
        <v>6</v>
      </c>
      <c r="C813" s="42">
        <v>30</v>
      </c>
      <c r="D813" s="74"/>
      <c r="E813" s="54" t="s">
        <v>648</v>
      </c>
      <c r="F813" s="75" t="s">
        <v>1368</v>
      </c>
      <c r="G813" s="145">
        <v>1500</v>
      </c>
      <c r="H813" s="145">
        <v>150</v>
      </c>
      <c r="I813" s="145">
        <v>84</v>
      </c>
      <c r="J813" s="56"/>
      <c r="K813" s="56"/>
      <c r="L813" s="56"/>
      <c r="M813" s="56">
        <v>21.28</v>
      </c>
      <c r="N813" s="56">
        <f t="shared" ref="N813:N829" si="50">SUM(G813:L813)-M813</f>
        <v>1712.72</v>
      </c>
      <c r="O813" s="56"/>
      <c r="P813" s="58">
        <f t="shared" si="48"/>
        <v>7988332.02</v>
      </c>
      <c r="Q813" s="59" t="s">
        <v>669</v>
      </c>
    </row>
    <row r="814" ht="14.25" spans="2:19">
      <c r="B814" s="42">
        <v>6</v>
      </c>
      <c r="C814" s="42">
        <v>30</v>
      </c>
      <c r="D814" s="74"/>
      <c r="E814" s="74" t="s">
        <v>914</v>
      </c>
      <c r="F814" s="77" t="s">
        <v>1369</v>
      </c>
      <c r="G814" s="145">
        <v>5120</v>
      </c>
      <c r="H814" s="145">
        <v>200</v>
      </c>
      <c r="I814" s="145">
        <v>128</v>
      </c>
      <c r="J814" s="56"/>
      <c r="K814" s="56"/>
      <c r="L814" s="56"/>
      <c r="M814" s="56"/>
      <c r="N814" s="55">
        <f t="shared" si="50"/>
        <v>5448</v>
      </c>
      <c r="O814" s="56"/>
      <c r="P814" s="58">
        <f t="shared" si="48"/>
        <v>7993780.02</v>
      </c>
      <c r="Q814" s="59" t="s">
        <v>669</v>
      </c>
    </row>
    <row r="815" ht="20" customHeight="1" spans="2:19">
      <c r="B815" s="42">
        <v>6</v>
      </c>
      <c r="C815" s="42">
        <v>30</v>
      </c>
      <c r="D815" s="74"/>
      <c r="E815" s="74" t="s">
        <v>648</v>
      </c>
      <c r="F815" s="75" t="s">
        <v>1370</v>
      </c>
      <c r="G815" s="145">
        <v>1500</v>
      </c>
      <c r="H815" s="145">
        <v>150</v>
      </c>
      <c r="I815" s="145">
        <v>109</v>
      </c>
      <c r="J815" s="56"/>
      <c r="K815" s="56"/>
      <c r="L815" s="56"/>
      <c r="M815" s="56"/>
      <c r="N815" s="55">
        <f t="shared" si="50"/>
        <v>1759</v>
      </c>
      <c r="O815" s="56"/>
      <c r="P815" s="58">
        <f t="shared" si="48"/>
        <v>7995539.02</v>
      </c>
      <c r="Q815" s="59" t="s">
        <v>669</v>
      </c>
    </row>
    <row r="816" ht="20" customHeight="1" spans="2:19">
      <c r="B816" s="42">
        <v>6</v>
      </c>
      <c r="C816" s="42">
        <v>30</v>
      </c>
      <c r="D816" s="74"/>
      <c r="E816" s="54" t="s">
        <v>590</v>
      </c>
      <c r="F816" s="75" t="s">
        <v>1371</v>
      </c>
      <c r="G816" s="145">
        <v>1000</v>
      </c>
      <c r="H816" s="145"/>
      <c r="I816" s="145">
        <v>60</v>
      </c>
      <c r="J816" s="56"/>
      <c r="K816" s="56"/>
      <c r="L816" s="56"/>
      <c r="M816" s="56"/>
      <c r="N816" s="55">
        <f t="shared" si="50"/>
        <v>1060</v>
      </c>
      <c r="O816" s="56"/>
      <c r="P816" s="58">
        <f t="shared" si="48"/>
        <v>7996599.02</v>
      </c>
      <c r="Q816" s="59" t="s">
        <v>669</v>
      </c>
    </row>
    <row r="817" ht="20" customHeight="1" spans="2:19">
      <c r="B817" s="42">
        <v>6</v>
      </c>
      <c r="C817" s="42">
        <v>30</v>
      </c>
      <c r="D817" s="74"/>
      <c r="E817" s="74" t="s">
        <v>728</v>
      </c>
      <c r="F817" s="75" t="s">
        <v>1372</v>
      </c>
      <c r="G817" s="145">
        <v>1900</v>
      </c>
      <c r="H817" s="145">
        <v>150</v>
      </c>
      <c r="I817" s="145">
        <v>156</v>
      </c>
      <c r="J817" s="56"/>
      <c r="K817" s="56"/>
      <c r="L817" s="56"/>
      <c r="M817" s="56"/>
      <c r="N817" s="55">
        <f t="shared" si="50"/>
        <v>2206</v>
      </c>
      <c r="O817" s="56"/>
      <c r="P817" s="58">
        <f t="shared" si="48"/>
        <v>7998805.02</v>
      </c>
      <c r="Q817" s="59" t="s">
        <v>669</v>
      </c>
    </row>
    <row r="818" ht="20" customHeight="1" spans="2:19">
      <c r="B818" s="42">
        <v>6</v>
      </c>
      <c r="C818" s="42">
        <v>30</v>
      </c>
      <c r="D818" s="74"/>
      <c r="E818" s="74" t="s">
        <v>597</v>
      </c>
      <c r="F818" s="75" t="s">
        <v>1373</v>
      </c>
      <c r="G818" s="145">
        <v>1500</v>
      </c>
      <c r="H818" s="145">
        <v>150</v>
      </c>
      <c r="I818" s="145">
        <v>83</v>
      </c>
      <c r="J818" s="56"/>
      <c r="K818" s="56"/>
      <c r="L818" s="56"/>
      <c r="M818" s="56"/>
      <c r="N818" s="55">
        <f t="shared" si="50"/>
        <v>1733</v>
      </c>
      <c r="O818" s="56"/>
      <c r="P818" s="58">
        <f t="shared" si="48"/>
        <v>8000538.02</v>
      </c>
      <c r="Q818" s="59" t="s">
        <v>669</v>
      </c>
    </row>
    <row r="819" ht="20" customHeight="1" spans="2:19">
      <c r="B819" s="42">
        <v>6</v>
      </c>
      <c r="C819" s="42">
        <v>30</v>
      </c>
      <c r="D819" s="74"/>
      <c r="E819" s="54" t="s">
        <v>660</v>
      </c>
      <c r="F819" s="75" t="s">
        <v>1374</v>
      </c>
      <c r="G819" s="145">
        <v>2000</v>
      </c>
      <c r="H819" s="145">
        <v>150</v>
      </c>
      <c r="I819" s="145">
        <v>204</v>
      </c>
      <c r="J819" s="56"/>
      <c r="K819" s="56"/>
      <c r="L819" s="56"/>
      <c r="M819" s="56"/>
      <c r="N819" s="55">
        <f t="shared" si="50"/>
        <v>2354</v>
      </c>
      <c r="O819" s="56"/>
      <c r="P819" s="58">
        <f t="shared" si="48"/>
        <v>8002892.02</v>
      </c>
      <c r="Q819" s="59" t="s">
        <v>669</v>
      </c>
    </row>
    <row r="820" ht="20" customHeight="1" spans="2:19">
      <c r="B820" s="42">
        <v>6</v>
      </c>
      <c r="C820" s="42">
        <v>30</v>
      </c>
      <c r="D820" s="74"/>
      <c r="E820" s="74" t="s">
        <v>499</v>
      </c>
      <c r="F820" s="75" t="s">
        <v>1375</v>
      </c>
      <c r="G820" s="56"/>
      <c r="H820" s="56"/>
      <c r="I820" s="145">
        <v>71</v>
      </c>
      <c r="J820" s="56"/>
      <c r="K820" s="56"/>
      <c r="L820" s="56"/>
      <c r="M820" s="56"/>
      <c r="N820" s="55">
        <f t="shared" si="50"/>
        <v>71</v>
      </c>
      <c r="O820" s="56"/>
      <c r="P820" s="58">
        <f t="shared" si="48"/>
        <v>8002963.02</v>
      </c>
      <c r="Q820" s="59" t="s">
        <v>669</v>
      </c>
    </row>
    <row r="821" ht="20" customHeight="1" spans="2:19">
      <c r="B821" s="42">
        <v>6</v>
      </c>
      <c r="C821" s="42">
        <v>30</v>
      </c>
      <c r="D821" s="74"/>
      <c r="E821" s="74" t="s">
        <v>484</v>
      </c>
      <c r="F821" s="75" t="s">
        <v>1376</v>
      </c>
      <c r="G821" s="56"/>
      <c r="H821" s="145">
        <v>200</v>
      </c>
      <c r="I821" s="145">
        <v>125</v>
      </c>
      <c r="J821" s="56"/>
      <c r="K821" s="56"/>
      <c r="L821" s="56"/>
      <c r="M821" s="56"/>
      <c r="N821" s="55">
        <f t="shared" si="50"/>
        <v>325</v>
      </c>
      <c r="O821" s="56"/>
      <c r="P821" s="58">
        <f t="shared" si="48"/>
        <v>8003288.02</v>
      </c>
      <c r="Q821" s="59" t="s">
        <v>669</v>
      </c>
    </row>
    <row r="822" ht="20" customHeight="1" spans="2:19">
      <c r="B822" s="42">
        <v>6</v>
      </c>
      <c r="C822" s="42">
        <v>30</v>
      </c>
      <c r="D822" s="74"/>
      <c r="E822" s="54" t="s">
        <v>646</v>
      </c>
      <c r="F822" s="75" t="s">
        <v>1377</v>
      </c>
      <c r="G822" s="56"/>
      <c r="H822" s="56"/>
      <c r="I822" s="145">
        <v>524</v>
      </c>
      <c r="J822" s="56"/>
      <c r="K822" s="56"/>
      <c r="L822" s="56"/>
      <c r="M822" s="56"/>
      <c r="N822" s="55">
        <f t="shared" si="50"/>
        <v>524</v>
      </c>
      <c r="O822" s="56"/>
      <c r="P822" s="58">
        <f t="shared" si="48"/>
        <v>8003812.02</v>
      </c>
      <c r="Q822" s="59" t="s">
        <v>669</v>
      </c>
    </row>
    <row r="823" ht="20" customHeight="1" spans="2:19">
      <c r="B823" s="42">
        <v>6</v>
      </c>
      <c r="C823" s="42">
        <v>30</v>
      </c>
      <c r="D823" s="74"/>
      <c r="E823" s="74" t="s">
        <v>611</v>
      </c>
      <c r="F823" s="75" t="s">
        <v>1378</v>
      </c>
      <c r="G823" s="56"/>
      <c r="H823" s="145">
        <v>200</v>
      </c>
      <c r="I823" s="145">
        <v>386</v>
      </c>
      <c r="J823" s="56"/>
      <c r="K823" s="56"/>
      <c r="L823" s="56"/>
      <c r="M823" s="56"/>
      <c r="N823" s="55">
        <f t="shared" si="50"/>
        <v>586</v>
      </c>
      <c r="O823" s="56"/>
      <c r="P823" s="58">
        <f t="shared" si="48"/>
        <v>8004398.02</v>
      </c>
      <c r="Q823" s="59" t="s">
        <v>669</v>
      </c>
    </row>
    <row r="824" ht="20" customHeight="1" spans="2:19">
      <c r="B824" s="42">
        <v>6</v>
      </c>
      <c r="C824" s="42">
        <v>30</v>
      </c>
      <c r="D824" s="74"/>
      <c r="E824" s="74" t="s">
        <v>611</v>
      </c>
      <c r="F824" s="75" t="s">
        <v>1379</v>
      </c>
      <c r="G824" s="56"/>
      <c r="H824" s="145">
        <v>200</v>
      </c>
      <c r="I824" s="145">
        <v>409</v>
      </c>
      <c r="J824" s="56"/>
      <c r="K824" s="56"/>
      <c r="L824" s="56"/>
      <c r="M824" s="56"/>
      <c r="N824" s="55">
        <f t="shared" si="50"/>
        <v>609</v>
      </c>
      <c r="O824" s="56"/>
      <c r="P824" s="58">
        <f t="shared" si="48"/>
        <v>8005007.02</v>
      </c>
      <c r="Q824" s="59" t="s">
        <v>669</v>
      </c>
    </row>
    <row r="825" ht="20" customHeight="1" spans="2:19">
      <c r="B825" s="42">
        <v>6</v>
      </c>
      <c r="C825" s="42">
        <v>30</v>
      </c>
      <c r="D825" s="74"/>
      <c r="E825" s="54" t="s">
        <v>626</v>
      </c>
      <c r="F825" s="75" t="s">
        <v>1380</v>
      </c>
      <c r="G825" s="56"/>
      <c r="H825" s="145">
        <v>150</v>
      </c>
      <c r="I825" s="145">
        <v>424</v>
      </c>
      <c r="J825" s="56"/>
      <c r="K825" s="56"/>
      <c r="L825" s="56"/>
      <c r="M825" s="56"/>
      <c r="N825" s="55">
        <f t="shared" si="50"/>
        <v>574</v>
      </c>
      <c r="O825" s="56"/>
      <c r="P825" s="58">
        <f t="shared" si="48"/>
        <v>8005581.02</v>
      </c>
      <c r="Q825" s="59" t="s">
        <v>669</v>
      </c>
    </row>
    <row r="826" ht="20" customHeight="1" spans="2:19">
      <c r="B826" s="42">
        <v>6</v>
      </c>
      <c r="C826" s="42">
        <v>30</v>
      </c>
      <c r="D826" s="74"/>
      <c r="E826" s="74" t="s">
        <v>626</v>
      </c>
      <c r="F826" s="75" t="s">
        <v>1381</v>
      </c>
      <c r="G826" s="56"/>
      <c r="H826" s="145">
        <v>150</v>
      </c>
      <c r="I826" s="145">
        <v>54</v>
      </c>
      <c r="J826" s="56"/>
      <c r="K826" s="56"/>
      <c r="L826" s="56"/>
      <c r="M826" s="56"/>
      <c r="N826" s="55">
        <f t="shared" si="50"/>
        <v>204</v>
      </c>
      <c r="O826" s="56"/>
      <c r="P826" s="58">
        <f t="shared" si="48"/>
        <v>8005785.02</v>
      </c>
      <c r="Q826" s="59" t="s">
        <v>669</v>
      </c>
    </row>
    <row r="827" ht="20" customHeight="1" spans="2:19">
      <c r="B827" s="42">
        <v>6</v>
      </c>
      <c r="C827" s="42">
        <v>30</v>
      </c>
      <c r="D827" s="74"/>
      <c r="E827" s="74" t="s">
        <v>626</v>
      </c>
      <c r="F827" s="75" t="s">
        <v>1382</v>
      </c>
      <c r="G827" s="56"/>
      <c r="H827" s="145">
        <v>150</v>
      </c>
      <c r="I827" s="145">
        <v>469</v>
      </c>
      <c r="J827" s="56"/>
      <c r="K827" s="56"/>
      <c r="L827" s="56"/>
      <c r="M827" s="56"/>
      <c r="N827" s="55">
        <f t="shared" si="50"/>
        <v>619</v>
      </c>
      <c r="O827" s="56"/>
      <c r="P827" s="58">
        <f t="shared" si="48"/>
        <v>8006404.02</v>
      </c>
      <c r="Q827" s="59" t="s">
        <v>669</v>
      </c>
    </row>
    <row r="828" ht="20" customHeight="1" spans="2:19">
      <c r="B828" s="42">
        <v>6</v>
      </c>
      <c r="C828" s="42">
        <v>30</v>
      </c>
      <c r="D828" s="74"/>
      <c r="E828" s="74" t="s">
        <v>626</v>
      </c>
      <c r="F828" s="75" t="s">
        <v>1383</v>
      </c>
      <c r="G828" s="56">
        <v>1500</v>
      </c>
      <c r="H828" s="56"/>
      <c r="I828" s="56"/>
      <c r="J828" s="56"/>
      <c r="K828" s="56"/>
      <c r="L828" s="56"/>
      <c r="M828" s="56"/>
      <c r="N828" s="55">
        <f t="shared" si="50"/>
        <v>1500</v>
      </c>
      <c r="O828" s="56"/>
      <c r="P828" s="58">
        <f t="shared" si="48"/>
        <v>8007904.02</v>
      </c>
      <c r="Q828" s="59" t="s">
        <v>669</v>
      </c>
    </row>
    <row r="829" ht="20" customHeight="1" spans="2:19">
      <c r="B829" s="42">
        <v>6</v>
      </c>
      <c r="C829" s="42">
        <v>30</v>
      </c>
      <c r="D829" s="74" t="s">
        <v>106</v>
      </c>
      <c r="E829" s="74" t="s">
        <v>626</v>
      </c>
      <c r="F829" s="75" t="s">
        <v>1384</v>
      </c>
      <c r="G829" s="56">
        <v>15000</v>
      </c>
      <c r="H829" s="56"/>
      <c r="I829" s="56"/>
      <c r="J829" s="56"/>
      <c r="K829" s="56"/>
      <c r="L829" s="56"/>
      <c r="M829" s="56"/>
      <c r="N829" s="71">
        <f t="shared" si="50"/>
        <v>15000</v>
      </c>
      <c r="O829" s="71">
        <v>15000</v>
      </c>
      <c r="P829" s="58">
        <f t="shared" si="48"/>
        <v>8007904.02</v>
      </c>
      <c r="Q829" s="56"/>
      <c r="R829" s="3" t="s">
        <v>239</v>
      </c>
      <c r="S829" s="3">
        <f>SUM(N802:N811)+SUM(N813:N829)-SUM(O802:O829)+S801</f>
        <v>192347.62</v>
      </c>
    </row>
    <row r="830" ht="20" customHeight="1" spans="2:19">
      <c r="B830" s="68"/>
      <c r="C830" s="68"/>
      <c r="D830" s="173"/>
      <c r="E830" s="68"/>
      <c r="F830" s="70" t="s">
        <v>22</v>
      </c>
      <c r="G830" s="71">
        <f t="shared" ref="G830:M830" si="51">SUM(G678:G829)</f>
        <v>259322</v>
      </c>
      <c r="H830" s="71">
        <f t="shared" si="51"/>
        <v>13869</v>
      </c>
      <c r="I830" s="71">
        <f t="shared" si="51"/>
        <v>23227.4</v>
      </c>
      <c r="J830" s="71">
        <f t="shared" si="51"/>
        <v>51450</v>
      </c>
      <c r="K830" s="71">
        <f t="shared" si="51"/>
        <v>13045</v>
      </c>
      <c r="L830" s="71">
        <f t="shared" si="51"/>
        <v>26.46</v>
      </c>
      <c r="M830" s="71">
        <f t="shared" si="51"/>
        <v>166.3</v>
      </c>
      <c r="N830" s="71">
        <f>SUM(N678:N829)-N829-N785</f>
        <v>431773.56</v>
      </c>
      <c r="O830" s="71">
        <f>SUM(O678:O829)-O829-O785</f>
        <v>330007.52</v>
      </c>
      <c r="P830" s="71">
        <f>P677+N830-O830</f>
        <v>8007904.02</v>
      </c>
      <c r="Q830" s="71"/>
      <c r="R830" s="3">
        <f>P830-S829</f>
        <v>7815556.4</v>
      </c>
    </row>
    <row r="831" ht="20" customHeight="1" spans="2:19">
      <c r="B831" s="42">
        <v>7</v>
      </c>
      <c r="C831" s="42">
        <v>1</v>
      </c>
      <c r="D831" s="74"/>
      <c r="E831" s="74" t="s">
        <v>479</v>
      </c>
      <c r="F831" s="75" t="s">
        <v>1385</v>
      </c>
      <c r="G831" s="56"/>
      <c r="H831" s="56">
        <v>200</v>
      </c>
      <c r="I831" s="56">
        <v>602</v>
      </c>
      <c r="J831" s="56"/>
      <c r="K831" s="56"/>
      <c r="L831" s="56"/>
      <c r="M831" s="56"/>
      <c r="N831" s="55">
        <f t="shared" ref="N831:N875" si="52">SUM(G831:L831)-M831</f>
        <v>802</v>
      </c>
      <c r="O831" s="56"/>
      <c r="P831" s="58">
        <f>P829+N831-O831</f>
        <v>8008706.02</v>
      </c>
      <c r="Q831" s="56"/>
    </row>
    <row r="832" ht="20" customHeight="1" spans="2:19">
      <c r="B832" s="42">
        <v>7</v>
      </c>
      <c r="C832" s="42">
        <v>2</v>
      </c>
      <c r="D832" s="74"/>
      <c r="E832" s="74" t="s">
        <v>583</v>
      </c>
      <c r="F832" s="75" t="s">
        <v>1386</v>
      </c>
      <c r="G832" s="56">
        <v>6708</v>
      </c>
      <c r="H832" s="56">
        <v>200</v>
      </c>
      <c r="I832" s="56">
        <v>132</v>
      </c>
      <c r="J832" s="56"/>
      <c r="K832" s="56"/>
      <c r="L832" s="56"/>
      <c r="M832" s="56"/>
      <c r="N832" s="55">
        <f t="shared" si="52"/>
        <v>7040</v>
      </c>
      <c r="O832" s="56"/>
      <c r="P832" s="58">
        <f>P831+N832-O832</f>
        <v>8015746.02</v>
      </c>
      <c r="Q832" s="56"/>
      <c r="R832" s="3">
        <f>N830-N812-N783-N772-N767-N757-M830</f>
        <v>345607.26</v>
      </c>
    </row>
    <row r="833" ht="20" customHeight="1" spans="2:17">
      <c r="B833" s="42">
        <v>7</v>
      </c>
      <c r="C833" s="42">
        <v>2</v>
      </c>
      <c r="D833" s="74"/>
      <c r="E833" s="54" t="s">
        <v>583</v>
      </c>
      <c r="F833" s="75" t="s">
        <v>1387</v>
      </c>
      <c r="G833" s="56">
        <v>6708</v>
      </c>
      <c r="H833" s="56">
        <v>200</v>
      </c>
      <c r="I833" s="56">
        <v>187</v>
      </c>
      <c r="J833" s="56"/>
      <c r="K833" s="56"/>
      <c r="L833" s="56"/>
      <c r="M833" s="56"/>
      <c r="N833" s="55">
        <f t="shared" si="52"/>
        <v>7095</v>
      </c>
      <c r="O833" s="56"/>
      <c r="P833" s="58">
        <f>P832+N833-O833</f>
        <v>8022841.02</v>
      </c>
      <c r="Q833" s="56"/>
    </row>
    <row r="834" ht="20" customHeight="1" spans="2:17">
      <c r="B834" s="42">
        <v>7</v>
      </c>
      <c r="C834" s="42">
        <v>2</v>
      </c>
      <c r="D834" s="74"/>
      <c r="E834" s="54" t="s">
        <v>28</v>
      </c>
      <c r="F834" s="75" t="s">
        <v>810</v>
      </c>
      <c r="G834" s="56"/>
      <c r="H834" s="56"/>
      <c r="I834" s="56"/>
      <c r="J834" s="56"/>
      <c r="K834" s="56"/>
      <c r="L834" s="56"/>
      <c r="M834" s="56"/>
      <c r="N834" s="55">
        <f t="shared" si="52"/>
        <v>0</v>
      </c>
      <c r="O834" s="56">
        <v>5.12</v>
      </c>
      <c r="P834" s="58">
        <f>P833+N834-O834</f>
        <v>8022835.9</v>
      </c>
      <c r="Q834" s="56"/>
    </row>
    <row r="835" ht="20" customHeight="1" spans="2:17">
      <c r="B835" s="42">
        <v>7</v>
      </c>
      <c r="C835" s="42">
        <v>2</v>
      </c>
      <c r="D835" s="74"/>
      <c r="E835" s="74" t="s">
        <v>479</v>
      </c>
      <c r="F835" s="75" t="s">
        <v>1388</v>
      </c>
      <c r="G835" s="56">
        <v>7247</v>
      </c>
      <c r="H835" s="56">
        <v>200</v>
      </c>
      <c r="I835" s="56">
        <v>1098</v>
      </c>
      <c r="J835" s="56"/>
      <c r="K835" s="56"/>
      <c r="L835" s="56"/>
      <c r="M835" s="56"/>
      <c r="N835" s="55">
        <f t="shared" si="52"/>
        <v>8545</v>
      </c>
      <c r="O835" s="56"/>
      <c r="P835" s="58">
        <f>P833+N835-O835</f>
        <v>8031386.02</v>
      </c>
      <c r="Q835" s="56"/>
    </row>
    <row r="836" ht="20" customHeight="1" spans="2:17">
      <c r="B836" s="42">
        <v>7</v>
      </c>
      <c r="C836" s="42">
        <v>2</v>
      </c>
      <c r="D836" s="74"/>
      <c r="E836" s="74" t="s">
        <v>493</v>
      </c>
      <c r="F836" s="75" t="s">
        <v>1389</v>
      </c>
      <c r="G836" s="56">
        <v>7221</v>
      </c>
      <c r="H836" s="56">
        <v>200</v>
      </c>
      <c r="I836" s="56">
        <v>681</v>
      </c>
      <c r="J836" s="56"/>
      <c r="K836" s="56"/>
      <c r="L836" s="56"/>
      <c r="M836" s="56"/>
      <c r="N836" s="55">
        <f t="shared" si="52"/>
        <v>8102</v>
      </c>
      <c r="O836" s="56"/>
      <c r="P836" s="58">
        <f t="shared" ref="P836:P859" si="53">P835+N836-O836</f>
        <v>8039488.02</v>
      </c>
      <c r="Q836" s="56"/>
    </row>
    <row r="837" ht="20" customHeight="1" spans="2:17">
      <c r="B837" s="42">
        <v>7</v>
      </c>
      <c r="C837" s="42">
        <v>2</v>
      </c>
      <c r="D837" s="74"/>
      <c r="E837" s="54" t="s">
        <v>508</v>
      </c>
      <c r="F837" s="75" t="s">
        <v>1390</v>
      </c>
      <c r="G837" s="56">
        <v>6946</v>
      </c>
      <c r="H837" s="56">
        <v>200</v>
      </c>
      <c r="I837" s="56">
        <v>1879</v>
      </c>
      <c r="J837" s="56"/>
      <c r="K837" s="56"/>
      <c r="L837" s="56"/>
      <c r="M837" s="56"/>
      <c r="N837" s="55">
        <f t="shared" si="52"/>
        <v>9025</v>
      </c>
      <c r="O837" s="56"/>
      <c r="P837" s="58">
        <f t="shared" si="53"/>
        <v>8048513.02</v>
      </c>
      <c r="Q837" s="56"/>
    </row>
    <row r="838" ht="20" customHeight="1" spans="2:17">
      <c r="B838" s="42">
        <v>7</v>
      </c>
      <c r="C838" s="42">
        <v>2</v>
      </c>
      <c r="D838" s="74"/>
      <c r="E838" s="74" t="s">
        <v>495</v>
      </c>
      <c r="F838" s="75" t="s">
        <v>1391</v>
      </c>
      <c r="G838" s="56">
        <v>6655</v>
      </c>
      <c r="H838" s="56">
        <v>200</v>
      </c>
      <c r="I838" s="56">
        <v>1002</v>
      </c>
      <c r="J838" s="56"/>
      <c r="K838" s="56"/>
      <c r="L838" s="56"/>
      <c r="M838" s="56"/>
      <c r="N838" s="55">
        <f t="shared" si="52"/>
        <v>7857</v>
      </c>
      <c r="O838" s="56"/>
      <c r="P838" s="58">
        <f t="shared" si="53"/>
        <v>8056370.02</v>
      </c>
      <c r="Q838" s="56"/>
    </row>
    <row r="839" ht="20" customHeight="1" spans="2:17">
      <c r="B839" s="42">
        <v>7</v>
      </c>
      <c r="C839" s="42">
        <v>2</v>
      </c>
      <c r="D839" s="74"/>
      <c r="E839" s="74" t="s">
        <v>506</v>
      </c>
      <c r="F839" s="75" t="s">
        <v>1392</v>
      </c>
      <c r="G839" s="56">
        <v>7274</v>
      </c>
      <c r="H839" s="56">
        <v>200</v>
      </c>
      <c r="I839" s="56">
        <v>646</v>
      </c>
      <c r="J839" s="56"/>
      <c r="K839" s="56"/>
      <c r="L839" s="56"/>
      <c r="M839" s="56"/>
      <c r="N839" s="55">
        <f t="shared" si="52"/>
        <v>8120</v>
      </c>
      <c r="O839" s="56"/>
      <c r="P839" s="58">
        <f t="shared" si="53"/>
        <v>8064490.02</v>
      </c>
      <c r="Q839" s="56"/>
    </row>
    <row r="840" ht="20" customHeight="1" spans="2:17">
      <c r="B840" s="42">
        <v>7</v>
      </c>
      <c r="C840" s="42">
        <v>4</v>
      </c>
      <c r="D840" s="74"/>
      <c r="E840" s="54" t="s">
        <v>811</v>
      </c>
      <c r="F840" s="75" t="s">
        <v>1393</v>
      </c>
      <c r="G840" s="56">
        <v>1500</v>
      </c>
      <c r="H840" s="56"/>
      <c r="I840" s="56">
        <v>172</v>
      </c>
      <c r="J840" s="56"/>
      <c r="K840" s="56"/>
      <c r="L840" s="56"/>
      <c r="M840" s="56"/>
      <c r="N840" s="55">
        <f t="shared" si="52"/>
        <v>1672</v>
      </c>
      <c r="O840" s="56"/>
      <c r="P840" s="58">
        <f t="shared" si="53"/>
        <v>8066162.02</v>
      </c>
      <c r="Q840" s="56"/>
    </row>
    <row r="841" ht="20" customHeight="1" spans="2:17">
      <c r="B841" s="42">
        <v>7</v>
      </c>
      <c r="C841" s="42">
        <v>4</v>
      </c>
      <c r="D841" s="74"/>
      <c r="E841" s="74" t="s">
        <v>967</v>
      </c>
      <c r="F841" s="75" t="s">
        <v>1394</v>
      </c>
      <c r="G841" s="56">
        <v>4800</v>
      </c>
      <c r="H841" s="56">
        <v>200</v>
      </c>
      <c r="I841" s="56">
        <v>1181</v>
      </c>
      <c r="J841" s="56"/>
      <c r="K841" s="56"/>
      <c r="L841" s="56"/>
      <c r="M841" s="56"/>
      <c r="N841" s="55">
        <f t="shared" si="52"/>
        <v>6181</v>
      </c>
      <c r="O841" s="56"/>
      <c r="P841" s="58">
        <f t="shared" si="53"/>
        <v>8072343.02</v>
      </c>
      <c r="Q841" s="56"/>
    </row>
    <row r="842" ht="20" customHeight="1" spans="2:17">
      <c r="B842" s="42">
        <v>7</v>
      </c>
      <c r="C842" s="42">
        <v>5</v>
      </c>
      <c r="D842" s="74"/>
      <c r="E842" s="74" t="s">
        <v>623</v>
      </c>
      <c r="F842" s="75" t="s">
        <v>1395</v>
      </c>
      <c r="G842" s="56"/>
      <c r="H842" s="56">
        <v>150</v>
      </c>
      <c r="I842" s="56">
        <v>444</v>
      </c>
      <c r="J842" s="56"/>
      <c r="K842" s="56"/>
      <c r="L842" s="56"/>
      <c r="M842" s="56"/>
      <c r="N842" s="55">
        <f t="shared" si="52"/>
        <v>594</v>
      </c>
      <c r="O842" s="56"/>
      <c r="P842" s="58">
        <f t="shared" si="53"/>
        <v>8072937.02</v>
      </c>
      <c r="Q842" s="56"/>
    </row>
    <row r="843" ht="20" customHeight="1" spans="2:17">
      <c r="B843" s="42">
        <v>7</v>
      </c>
      <c r="C843" s="42">
        <v>6</v>
      </c>
      <c r="D843" s="74"/>
      <c r="E843" s="54"/>
      <c r="F843" s="75" t="s">
        <v>1396</v>
      </c>
      <c r="G843" s="56"/>
      <c r="H843" s="56"/>
      <c r="I843" s="56"/>
      <c r="J843" s="56"/>
      <c r="K843" s="55">
        <v>5020</v>
      </c>
      <c r="L843" s="56"/>
      <c r="M843" s="56">
        <v>49.59</v>
      </c>
      <c r="N843" s="56">
        <f t="shared" si="52"/>
        <v>4970.41</v>
      </c>
      <c r="O843" s="56"/>
      <c r="P843" s="58">
        <f t="shared" si="53"/>
        <v>8077907.43</v>
      </c>
      <c r="Q843" s="59" t="s">
        <v>669</v>
      </c>
    </row>
    <row r="844" ht="20" customHeight="1" spans="2:17">
      <c r="B844" s="42">
        <v>7</v>
      </c>
      <c r="C844" s="42">
        <v>6</v>
      </c>
      <c r="D844" s="74"/>
      <c r="E844" s="42"/>
      <c r="F844" s="75" t="s">
        <v>1397</v>
      </c>
      <c r="G844" s="56"/>
      <c r="H844" s="56"/>
      <c r="I844" s="56"/>
      <c r="J844" s="56"/>
      <c r="K844" s="55">
        <v>1200</v>
      </c>
      <c r="L844" s="56"/>
      <c r="M844" s="56"/>
      <c r="N844" s="56">
        <f t="shared" si="52"/>
        <v>1200</v>
      </c>
      <c r="O844" s="56"/>
      <c r="P844" s="58">
        <f t="shared" si="53"/>
        <v>8079107.43</v>
      </c>
      <c r="Q844" s="59" t="s">
        <v>669</v>
      </c>
    </row>
    <row r="845" ht="20" customHeight="1" spans="2:17">
      <c r="B845" s="42">
        <v>7</v>
      </c>
      <c r="C845" s="42">
        <v>6</v>
      </c>
      <c r="D845" s="74"/>
      <c r="E845" s="74" t="s">
        <v>626</v>
      </c>
      <c r="F845" s="75" t="s">
        <v>1383</v>
      </c>
      <c r="G845" s="56">
        <v>4500</v>
      </c>
      <c r="H845" s="56"/>
      <c r="I845" s="56"/>
      <c r="J845" s="56"/>
      <c r="K845" s="56"/>
      <c r="L845" s="56"/>
      <c r="M845" s="56"/>
      <c r="N845" s="55">
        <f t="shared" si="52"/>
        <v>4500</v>
      </c>
      <c r="O845" s="56"/>
      <c r="P845" s="58">
        <f t="shared" si="53"/>
        <v>8083607.43</v>
      </c>
      <c r="Q845" s="59" t="s">
        <v>669</v>
      </c>
    </row>
    <row r="846" ht="20" customHeight="1" spans="2:17">
      <c r="B846" s="42">
        <v>7</v>
      </c>
      <c r="C846" s="42">
        <v>6</v>
      </c>
      <c r="D846" s="74"/>
      <c r="E846" s="54" t="s">
        <v>806</v>
      </c>
      <c r="F846" s="75" t="s">
        <v>1398</v>
      </c>
      <c r="G846" s="56">
        <v>1500</v>
      </c>
      <c r="H846" s="56">
        <v>150</v>
      </c>
      <c r="I846" s="56">
        <v>372</v>
      </c>
      <c r="J846" s="56"/>
      <c r="K846" s="56"/>
      <c r="L846" s="56"/>
      <c r="M846" s="56"/>
      <c r="N846" s="55">
        <f t="shared" si="52"/>
        <v>2022</v>
      </c>
      <c r="O846" s="56"/>
      <c r="P846" s="58">
        <f t="shared" si="53"/>
        <v>8085629.43</v>
      </c>
      <c r="Q846" s="59" t="s">
        <v>669</v>
      </c>
    </row>
    <row r="847" ht="20" customHeight="1" spans="2:17">
      <c r="B847" s="42">
        <v>7</v>
      </c>
      <c r="C847" s="42">
        <v>6</v>
      </c>
      <c r="D847" s="74"/>
      <c r="E847" s="74" t="s">
        <v>570</v>
      </c>
      <c r="F847" s="75" t="s">
        <v>1399</v>
      </c>
      <c r="G847" s="56"/>
      <c r="H847" s="56"/>
      <c r="I847" s="56">
        <v>79</v>
      </c>
      <c r="J847" s="56"/>
      <c r="K847" s="56"/>
      <c r="L847" s="56"/>
      <c r="M847" s="56"/>
      <c r="N847" s="55">
        <f t="shared" si="52"/>
        <v>79</v>
      </c>
      <c r="O847" s="56"/>
      <c r="P847" s="58">
        <f t="shared" si="53"/>
        <v>8085708.43</v>
      </c>
      <c r="Q847" s="59" t="s">
        <v>669</v>
      </c>
    </row>
    <row r="848" ht="20" customHeight="1" spans="2:17">
      <c r="B848" s="42">
        <v>7</v>
      </c>
      <c r="C848" s="42">
        <v>6</v>
      </c>
      <c r="D848" s="74"/>
      <c r="E848" s="74" t="s">
        <v>581</v>
      </c>
      <c r="F848" s="75" t="s">
        <v>1400</v>
      </c>
      <c r="G848" s="56">
        <v>4200</v>
      </c>
      <c r="H848" s="56">
        <v>150</v>
      </c>
      <c r="I848" s="56">
        <v>72</v>
      </c>
      <c r="J848" s="56"/>
      <c r="K848" s="56"/>
      <c r="L848" s="56"/>
      <c r="M848" s="56"/>
      <c r="N848" s="55">
        <f t="shared" si="52"/>
        <v>4422</v>
      </c>
      <c r="O848" s="56"/>
      <c r="P848" s="58">
        <f t="shared" si="53"/>
        <v>8090130.43</v>
      </c>
      <c r="Q848" s="59" t="s">
        <v>669</v>
      </c>
    </row>
    <row r="849" ht="20" customHeight="1" spans="2:18">
      <c r="B849" s="42">
        <v>7</v>
      </c>
      <c r="C849" s="42">
        <v>6</v>
      </c>
      <c r="D849" s="74"/>
      <c r="E849" s="54" t="s">
        <v>1246</v>
      </c>
      <c r="F849" s="75" t="s">
        <v>1401</v>
      </c>
      <c r="G849" s="56">
        <v>716</v>
      </c>
      <c r="H849" s="56"/>
      <c r="I849" s="56">
        <v>284</v>
      </c>
      <c r="J849" s="56"/>
      <c r="K849" s="56"/>
      <c r="L849" s="56"/>
      <c r="M849" s="56"/>
      <c r="N849" s="55">
        <f t="shared" si="52"/>
        <v>1000</v>
      </c>
      <c r="O849" s="56"/>
      <c r="P849" s="58">
        <f t="shared" si="53"/>
        <v>8091130.43</v>
      </c>
      <c r="Q849" s="59" t="s">
        <v>669</v>
      </c>
    </row>
    <row r="850" ht="20" customHeight="1" spans="2:18">
      <c r="B850" s="42">
        <v>7</v>
      </c>
      <c r="C850" s="42">
        <v>6</v>
      </c>
      <c r="D850" s="74"/>
      <c r="E850" s="42" t="s">
        <v>965</v>
      </c>
      <c r="F850" s="75" t="s">
        <v>1402</v>
      </c>
      <c r="G850" s="56">
        <v>4000</v>
      </c>
      <c r="H850" s="56">
        <v>200</v>
      </c>
      <c r="I850" s="56">
        <v>618</v>
      </c>
      <c r="J850" s="56"/>
      <c r="K850" s="56"/>
      <c r="L850" s="56"/>
      <c r="M850" s="56"/>
      <c r="N850" s="55">
        <f t="shared" si="52"/>
        <v>4818</v>
      </c>
      <c r="O850" s="56"/>
      <c r="P850" s="58">
        <f t="shared" si="53"/>
        <v>8095948.43</v>
      </c>
      <c r="Q850" s="59" t="s">
        <v>669</v>
      </c>
    </row>
    <row r="851" ht="20" customHeight="1" spans="2:18">
      <c r="B851" s="42">
        <v>7</v>
      </c>
      <c r="C851" s="42">
        <v>6</v>
      </c>
      <c r="D851" s="74"/>
      <c r="E851" s="74" t="s">
        <v>548</v>
      </c>
      <c r="F851" s="75" t="s">
        <v>1403</v>
      </c>
      <c r="G851" s="56">
        <v>1700</v>
      </c>
      <c r="H851" s="56">
        <v>150</v>
      </c>
      <c r="I851" s="56">
        <v>142</v>
      </c>
      <c r="J851" s="56"/>
      <c r="K851" s="56"/>
      <c r="L851" s="56"/>
      <c r="M851" s="56"/>
      <c r="N851" s="55">
        <f t="shared" si="52"/>
        <v>1992</v>
      </c>
      <c r="O851" s="56"/>
      <c r="P851" s="58">
        <f t="shared" si="53"/>
        <v>8097940.43</v>
      </c>
      <c r="Q851" s="59" t="s">
        <v>669</v>
      </c>
    </row>
    <row r="852" ht="20" customHeight="1" spans="2:18">
      <c r="B852" s="42">
        <v>7</v>
      </c>
      <c r="C852" s="42">
        <v>6</v>
      </c>
      <c r="D852" s="74"/>
      <c r="E852" s="54" t="s">
        <v>499</v>
      </c>
      <c r="F852" s="75" t="s">
        <v>1404</v>
      </c>
      <c r="G852" s="56"/>
      <c r="H852" s="56">
        <v>150</v>
      </c>
      <c r="I852" s="56">
        <v>60</v>
      </c>
      <c r="J852" s="56"/>
      <c r="K852" s="56"/>
      <c r="L852" s="56"/>
      <c r="M852" s="56"/>
      <c r="N852" s="55">
        <f t="shared" si="52"/>
        <v>210</v>
      </c>
      <c r="O852" s="56"/>
      <c r="P852" s="58">
        <f t="shared" si="53"/>
        <v>8098150.43</v>
      </c>
      <c r="Q852" s="59" t="s">
        <v>669</v>
      </c>
    </row>
    <row r="853" ht="20" customHeight="1" spans="2:18">
      <c r="B853" s="42">
        <v>7</v>
      </c>
      <c r="C853" s="42">
        <v>6</v>
      </c>
      <c r="D853" s="74"/>
      <c r="E853" s="74" t="s">
        <v>531</v>
      </c>
      <c r="F853" s="75" t="s">
        <v>1405</v>
      </c>
      <c r="G853" s="56"/>
      <c r="H853" s="56">
        <v>150</v>
      </c>
      <c r="I853" s="56">
        <v>82</v>
      </c>
      <c r="J853" s="56"/>
      <c r="K853" s="56"/>
      <c r="L853" s="56"/>
      <c r="M853" s="56"/>
      <c r="N853" s="55">
        <f t="shared" si="52"/>
        <v>232</v>
      </c>
      <c r="O853" s="56"/>
      <c r="P853" s="58">
        <f t="shared" si="53"/>
        <v>8098382.43</v>
      </c>
      <c r="Q853" s="59" t="s">
        <v>669</v>
      </c>
    </row>
    <row r="854" ht="20" customHeight="1" spans="2:18">
      <c r="B854" s="42">
        <v>7</v>
      </c>
      <c r="C854" s="42">
        <v>6</v>
      </c>
      <c r="D854" s="74"/>
      <c r="E854" s="54" t="s">
        <v>1175</v>
      </c>
      <c r="F854" s="75" t="s">
        <v>1406</v>
      </c>
      <c r="G854" s="56">
        <v>2600</v>
      </c>
      <c r="H854" s="56">
        <v>150</v>
      </c>
      <c r="I854" s="56">
        <v>403</v>
      </c>
      <c r="J854" s="56"/>
      <c r="K854" s="56"/>
      <c r="L854" s="56"/>
      <c r="M854" s="56"/>
      <c r="N854" s="55">
        <f t="shared" si="52"/>
        <v>3153</v>
      </c>
      <c r="O854" s="56"/>
      <c r="P854" s="58">
        <f t="shared" si="53"/>
        <v>8101535.43</v>
      </c>
      <c r="Q854" s="59" t="s">
        <v>669</v>
      </c>
    </row>
    <row r="855" ht="20" customHeight="1" spans="2:18">
      <c r="B855" s="42">
        <v>7</v>
      </c>
      <c r="C855" s="42">
        <v>6</v>
      </c>
      <c r="D855" s="74"/>
      <c r="E855" s="74" t="s">
        <v>592</v>
      </c>
      <c r="F855" s="75" t="s">
        <v>1407</v>
      </c>
      <c r="G855" s="56">
        <v>2700</v>
      </c>
      <c r="H855" s="56">
        <v>200</v>
      </c>
      <c r="I855" s="56">
        <v>131</v>
      </c>
      <c r="J855" s="56"/>
      <c r="K855" s="56"/>
      <c r="L855" s="56"/>
      <c r="M855" s="56"/>
      <c r="N855" s="55">
        <f t="shared" si="52"/>
        <v>3031</v>
      </c>
      <c r="O855" s="56"/>
      <c r="P855" s="58">
        <f t="shared" si="53"/>
        <v>8104566.43</v>
      </c>
      <c r="Q855" s="59" t="s">
        <v>669</v>
      </c>
    </row>
    <row r="856" ht="20" customHeight="1" spans="2:18">
      <c r="B856" s="42">
        <v>7</v>
      </c>
      <c r="C856" s="42">
        <v>6</v>
      </c>
      <c r="D856" s="74"/>
      <c r="E856" s="74" t="s">
        <v>583</v>
      </c>
      <c r="F856" s="75" t="s">
        <v>1408</v>
      </c>
      <c r="G856" s="56">
        <v>6708</v>
      </c>
      <c r="H856" s="56">
        <v>200</v>
      </c>
      <c r="I856" s="56">
        <v>191</v>
      </c>
      <c r="J856" s="56"/>
      <c r="K856" s="56"/>
      <c r="L856" s="56"/>
      <c r="M856" s="56"/>
      <c r="N856" s="55">
        <f t="shared" si="52"/>
        <v>7099</v>
      </c>
      <c r="O856" s="56"/>
      <c r="P856" s="58">
        <f t="shared" si="53"/>
        <v>8111665.43</v>
      </c>
      <c r="Q856" s="59" t="s">
        <v>669</v>
      </c>
    </row>
    <row r="857" ht="20" customHeight="1" spans="2:18">
      <c r="B857" s="42">
        <v>7</v>
      </c>
      <c r="C857" s="42">
        <v>6</v>
      </c>
      <c r="D857" s="74"/>
      <c r="E857" s="54" t="s">
        <v>564</v>
      </c>
      <c r="F857" s="75" t="s">
        <v>1409</v>
      </c>
      <c r="G857" s="56"/>
      <c r="H857" s="56"/>
      <c r="I857" s="56">
        <v>304</v>
      </c>
      <c r="J857" s="56"/>
      <c r="K857" s="56"/>
      <c r="L857" s="56"/>
      <c r="M857" s="56"/>
      <c r="N857" s="55">
        <f t="shared" si="52"/>
        <v>304</v>
      </c>
      <c r="O857" s="56"/>
      <c r="P857" s="58">
        <f t="shared" si="53"/>
        <v>8111969.43</v>
      </c>
      <c r="Q857" s="59" t="s">
        <v>669</v>
      </c>
    </row>
    <row r="858" ht="20" customHeight="1" spans="2:18">
      <c r="B858" s="42">
        <v>7</v>
      </c>
      <c r="C858" s="42">
        <v>6</v>
      </c>
      <c r="D858" s="74"/>
      <c r="E858" s="74" t="s">
        <v>550</v>
      </c>
      <c r="F858" s="75" t="s">
        <v>1410</v>
      </c>
      <c r="G858" s="56"/>
      <c r="H858" s="56"/>
      <c r="I858" s="56">
        <v>152</v>
      </c>
      <c r="J858" s="56"/>
      <c r="K858" s="56"/>
      <c r="L858" s="56"/>
      <c r="M858" s="56"/>
      <c r="N858" s="55">
        <f t="shared" si="52"/>
        <v>152</v>
      </c>
      <c r="O858" s="56"/>
      <c r="P858" s="58">
        <f t="shared" si="53"/>
        <v>8112121.43</v>
      </c>
      <c r="Q858" s="59" t="s">
        <v>669</v>
      </c>
    </row>
    <row r="859" ht="20" customHeight="1" spans="2:18">
      <c r="B859" s="42">
        <v>7</v>
      </c>
      <c r="C859" s="42">
        <v>6</v>
      </c>
      <c r="D859" s="74"/>
      <c r="E859" s="54" t="s">
        <v>1133</v>
      </c>
      <c r="F859" s="75" t="s">
        <v>1411</v>
      </c>
      <c r="G859" s="56"/>
      <c r="H859" s="56">
        <v>150</v>
      </c>
      <c r="I859" s="56">
        <v>202</v>
      </c>
      <c r="J859" s="56"/>
      <c r="K859" s="56"/>
      <c r="L859" s="56"/>
      <c r="M859" s="56"/>
      <c r="N859" s="55">
        <f t="shared" si="52"/>
        <v>352</v>
      </c>
      <c r="O859" s="56"/>
      <c r="P859" s="58">
        <f t="shared" si="53"/>
        <v>8112473.43</v>
      </c>
      <c r="Q859" s="59" t="s">
        <v>669</v>
      </c>
    </row>
    <row r="860" ht="20" customHeight="1" spans="2:18">
      <c r="B860" s="42">
        <v>7</v>
      </c>
      <c r="C860" s="42">
        <v>6</v>
      </c>
      <c r="D860" s="74"/>
      <c r="E860" s="42" t="s">
        <v>618</v>
      </c>
      <c r="F860" s="75" t="s">
        <v>1412</v>
      </c>
      <c r="G860" s="56">
        <v>7707</v>
      </c>
      <c r="H860" s="56">
        <v>200</v>
      </c>
      <c r="I860" s="56">
        <v>1070</v>
      </c>
      <c r="J860" s="56"/>
      <c r="K860" s="56"/>
      <c r="L860" s="56"/>
      <c r="M860" s="56"/>
      <c r="N860" s="55">
        <f t="shared" si="52"/>
        <v>8977</v>
      </c>
      <c r="O860" s="56"/>
      <c r="P860" s="58">
        <f>P865+N860-O860</f>
        <v>8122524.43</v>
      </c>
      <c r="Q860" s="59"/>
    </row>
    <row r="861" ht="24.75" spans="2:18">
      <c r="B861" s="42">
        <v>7</v>
      </c>
      <c r="C861" s="42">
        <v>6</v>
      </c>
      <c r="D861" s="74"/>
      <c r="E861" s="74" t="s">
        <v>667</v>
      </c>
      <c r="F861" s="77" t="s">
        <v>1413</v>
      </c>
      <c r="G861" s="56">
        <v>1900</v>
      </c>
      <c r="H861" s="56">
        <v>150</v>
      </c>
      <c r="I861" s="56">
        <v>126</v>
      </c>
      <c r="J861" s="56"/>
      <c r="K861" s="56"/>
      <c r="L861" s="56"/>
      <c r="M861" s="56"/>
      <c r="N861" s="71">
        <f t="shared" si="52"/>
        <v>2176</v>
      </c>
      <c r="O861" s="56"/>
      <c r="P861" s="58">
        <f>P859+N861-O861</f>
        <v>8114649.43</v>
      </c>
      <c r="Q861" s="59" t="s">
        <v>669</v>
      </c>
    </row>
    <row r="862" ht="24.75" spans="2:18">
      <c r="B862" s="42">
        <v>7</v>
      </c>
      <c r="C862" s="42">
        <v>6</v>
      </c>
      <c r="D862" s="74"/>
      <c r="E862" s="74" t="s">
        <v>667</v>
      </c>
      <c r="F862" s="77" t="s">
        <v>1414</v>
      </c>
      <c r="G862" s="56">
        <v>1900</v>
      </c>
      <c r="H862" s="56">
        <v>150</v>
      </c>
      <c r="I862" s="56">
        <v>158</v>
      </c>
      <c r="J862" s="56"/>
      <c r="K862" s="56"/>
      <c r="L862" s="56"/>
      <c r="M862" s="56"/>
      <c r="N862" s="71">
        <f t="shared" si="52"/>
        <v>2208</v>
      </c>
      <c r="O862" s="56"/>
      <c r="P862" s="58">
        <f t="shared" ref="P862:P883" si="54">P861+N862-O862</f>
        <v>8116857.43</v>
      </c>
      <c r="Q862" s="59" t="s">
        <v>669</v>
      </c>
    </row>
    <row r="863" ht="24.75" spans="2:18">
      <c r="B863" s="42">
        <v>7</v>
      </c>
      <c r="C863" s="42">
        <v>6</v>
      </c>
      <c r="D863" s="74"/>
      <c r="E863" s="54" t="s">
        <v>667</v>
      </c>
      <c r="F863" s="77" t="s">
        <v>1415</v>
      </c>
      <c r="G863" s="56">
        <v>1900</v>
      </c>
      <c r="H863" s="56">
        <v>150</v>
      </c>
      <c r="I863" s="56">
        <v>179</v>
      </c>
      <c r="J863" s="56"/>
      <c r="K863" s="56"/>
      <c r="L863" s="56"/>
      <c r="M863" s="56"/>
      <c r="N863" s="71">
        <f t="shared" si="52"/>
        <v>2229</v>
      </c>
      <c r="O863" s="56"/>
      <c r="P863" s="58">
        <f t="shared" si="54"/>
        <v>8119086.43</v>
      </c>
      <c r="Q863" s="59" t="s">
        <v>669</v>
      </c>
    </row>
    <row r="864" ht="24.75" spans="2:18">
      <c r="B864" s="42">
        <v>7</v>
      </c>
      <c r="C864" s="42">
        <v>6</v>
      </c>
      <c r="D864" s="74"/>
      <c r="E864" s="74" t="s">
        <v>667</v>
      </c>
      <c r="F864" s="77" t="s">
        <v>1416</v>
      </c>
      <c r="G864" s="56">
        <v>1900</v>
      </c>
      <c r="H864" s="56">
        <v>150</v>
      </c>
      <c r="I864" s="56">
        <v>169</v>
      </c>
      <c r="J864" s="56"/>
      <c r="K864" s="56"/>
      <c r="L864" s="56"/>
      <c r="M864" s="56"/>
      <c r="N864" s="71">
        <f t="shared" si="52"/>
        <v>2219</v>
      </c>
      <c r="O864" s="56"/>
      <c r="P864" s="58">
        <f t="shared" si="54"/>
        <v>8121305.43</v>
      </c>
      <c r="Q864" s="59" t="s">
        <v>669</v>
      </c>
      <c r="R864" s="3">
        <v>1074</v>
      </c>
    </row>
    <row r="865" ht="20" customHeight="1" spans="2:19">
      <c r="B865" s="42">
        <v>7</v>
      </c>
      <c r="C865" s="42">
        <v>6</v>
      </c>
      <c r="D865" s="74" t="s">
        <v>106</v>
      </c>
      <c r="E865" s="42" t="s">
        <v>667</v>
      </c>
      <c r="F865" s="75" t="s">
        <v>1417</v>
      </c>
      <c r="G865" s="56"/>
      <c r="H865" s="56"/>
      <c r="I865" s="56">
        <v>180</v>
      </c>
      <c r="J865" s="56"/>
      <c r="K865" s="56"/>
      <c r="L865" s="56"/>
      <c r="M865" s="56"/>
      <c r="N865" s="71">
        <f t="shared" si="52"/>
        <v>180</v>
      </c>
      <c r="O865" s="71">
        <v>7938</v>
      </c>
      <c r="P865" s="58">
        <f t="shared" si="54"/>
        <v>8113547.43</v>
      </c>
      <c r="Q865" s="59" t="s">
        <v>669</v>
      </c>
      <c r="R865" s="3" t="s">
        <v>239</v>
      </c>
      <c r="S865" s="3">
        <f>SUM(N831:N865)-O865-O834+S829</f>
        <v>306962.91</v>
      </c>
    </row>
    <row r="866" ht="20" customHeight="1" spans="2:19">
      <c r="B866" s="42">
        <v>7</v>
      </c>
      <c r="C866" s="42">
        <v>6</v>
      </c>
      <c r="D866" s="74"/>
      <c r="E866" s="74" t="s">
        <v>579</v>
      </c>
      <c r="F866" s="77" t="s">
        <v>1418</v>
      </c>
      <c r="G866" s="56">
        <v>5959</v>
      </c>
      <c r="H866" s="56">
        <v>200</v>
      </c>
      <c r="I866" s="56">
        <v>2694</v>
      </c>
      <c r="J866" s="56"/>
      <c r="K866" s="56"/>
      <c r="L866" s="56"/>
      <c r="M866" s="56"/>
      <c r="N866" s="76">
        <f t="shared" si="52"/>
        <v>8853</v>
      </c>
      <c r="O866" s="56"/>
      <c r="P866" s="58">
        <f t="shared" si="54"/>
        <v>8122400.43</v>
      </c>
      <c r="Q866" s="59"/>
    </row>
    <row r="867" ht="20" customHeight="1" spans="2:19">
      <c r="B867" s="42">
        <v>7</v>
      </c>
      <c r="C867" s="42">
        <v>7</v>
      </c>
      <c r="D867" s="74"/>
      <c r="E867" s="74" t="s">
        <v>510</v>
      </c>
      <c r="F867" s="77" t="s">
        <v>1419</v>
      </c>
      <c r="G867" s="56">
        <v>1700</v>
      </c>
      <c r="H867" s="56">
        <v>150</v>
      </c>
      <c r="I867" s="56">
        <v>152</v>
      </c>
      <c r="J867" s="56"/>
      <c r="K867" s="56"/>
      <c r="L867" s="56"/>
      <c r="M867" s="56"/>
      <c r="N867" s="76">
        <f t="shared" si="52"/>
        <v>2002</v>
      </c>
      <c r="O867" s="56"/>
      <c r="P867" s="58">
        <f t="shared" si="54"/>
        <v>8124402.43</v>
      </c>
      <c r="Q867" s="59"/>
    </row>
    <row r="868" ht="20" customHeight="1" spans="2:19">
      <c r="B868" s="42">
        <v>7</v>
      </c>
      <c r="C868" s="42">
        <v>8</v>
      </c>
      <c r="D868" s="74"/>
      <c r="E868" s="74" t="s">
        <v>501</v>
      </c>
      <c r="F868" s="77" t="s">
        <v>1420</v>
      </c>
      <c r="G868" s="56">
        <v>1500</v>
      </c>
      <c r="H868" s="56">
        <v>150</v>
      </c>
      <c r="I868" s="56">
        <v>161</v>
      </c>
      <c r="J868" s="56"/>
      <c r="K868" s="56"/>
      <c r="L868" s="56"/>
      <c r="M868" s="56"/>
      <c r="N868" s="76">
        <f t="shared" si="52"/>
        <v>1811</v>
      </c>
      <c r="O868" s="56"/>
      <c r="P868" s="58">
        <f t="shared" si="54"/>
        <v>8126213.43</v>
      </c>
      <c r="Q868" s="59"/>
    </row>
    <row r="869" ht="20" customHeight="1" spans="2:19">
      <c r="B869" s="42">
        <v>7</v>
      </c>
      <c r="C869" s="42">
        <v>8</v>
      </c>
      <c r="D869" s="74"/>
      <c r="E869" s="74" t="s">
        <v>562</v>
      </c>
      <c r="F869" s="77" t="s">
        <v>1421</v>
      </c>
      <c r="G869" s="56"/>
      <c r="H869" s="56">
        <v>150</v>
      </c>
      <c r="I869" s="56">
        <v>85</v>
      </c>
      <c r="J869" s="56"/>
      <c r="K869" s="56"/>
      <c r="L869" s="56"/>
      <c r="M869" s="56"/>
      <c r="N869" s="76">
        <f t="shared" si="52"/>
        <v>235</v>
      </c>
      <c r="O869" s="56"/>
      <c r="P869" s="58">
        <f t="shared" si="54"/>
        <v>8126448.43</v>
      </c>
      <c r="Q869" s="59"/>
    </row>
    <row r="870" ht="20" customHeight="1" spans="2:19">
      <c r="B870" s="42">
        <v>7</v>
      </c>
      <c r="C870" s="42">
        <v>8</v>
      </c>
      <c r="D870" s="74"/>
      <c r="E870" s="74" t="s">
        <v>657</v>
      </c>
      <c r="F870" s="77" t="s">
        <v>1422</v>
      </c>
      <c r="G870" s="56">
        <v>1800</v>
      </c>
      <c r="H870" s="56">
        <v>150</v>
      </c>
      <c r="I870" s="56">
        <v>286</v>
      </c>
      <c r="J870" s="56"/>
      <c r="K870" s="56"/>
      <c r="L870" s="56"/>
      <c r="M870" s="56"/>
      <c r="N870" s="76">
        <f t="shared" si="52"/>
        <v>2236</v>
      </c>
      <c r="O870" s="56"/>
      <c r="P870" s="58">
        <f t="shared" si="54"/>
        <v>8128684.43</v>
      </c>
      <c r="Q870" s="59"/>
    </row>
    <row r="871" ht="20" customHeight="1" spans="2:19">
      <c r="B871" s="42">
        <v>7</v>
      </c>
      <c r="C871" s="42">
        <v>8</v>
      </c>
      <c r="D871" s="74" t="s">
        <v>124</v>
      </c>
      <c r="E871" s="74" t="s">
        <v>486</v>
      </c>
      <c r="F871" s="75" t="s">
        <v>1423</v>
      </c>
      <c r="G871" s="56"/>
      <c r="H871" s="56"/>
      <c r="I871" s="56"/>
      <c r="J871" s="56"/>
      <c r="K871" s="56"/>
      <c r="L871" s="56"/>
      <c r="M871" s="56"/>
      <c r="N871" s="56">
        <f t="shared" si="52"/>
        <v>0</v>
      </c>
      <c r="O871" s="55">
        <v>8555.99</v>
      </c>
      <c r="P871" s="58">
        <f t="shared" si="54"/>
        <v>8120128.44</v>
      </c>
      <c r="Q871" s="56"/>
    </row>
    <row r="872" ht="20" customHeight="1" spans="2:19">
      <c r="B872" s="42">
        <v>7</v>
      </c>
      <c r="C872" s="42">
        <v>8</v>
      </c>
      <c r="D872" s="74" t="s">
        <v>129</v>
      </c>
      <c r="E872" s="54" t="s">
        <v>486</v>
      </c>
      <c r="F872" s="75" t="s">
        <v>1424</v>
      </c>
      <c r="G872" s="56"/>
      <c r="H872" s="56"/>
      <c r="I872" s="56"/>
      <c r="J872" s="56"/>
      <c r="K872" s="56"/>
      <c r="L872" s="56"/>
      <c r="M872" s="56"/>
      <c r="N872" s="56">
        <f t="shared" si="52"/>
        <v>0</v>
      </c>
      <c r="O872" s="55">
        <v>32</v>
      </c>
      <c r="P872" s="58">
        <f t="shared" si="54"/>
        <v>8120096.44</v>
      </c>
      <c r="Q872" s="56"/>
    </row>
    <row r="873" ht="20" customHeight="1" spans="2:19">
      <c r="B873" s="42">
        <v>7</v>
      </c>
      <c r="C873" s="42">
        <v>8</v>
      </c>
      <c r="D873" s="74" t="s">
        <v>123</v>
      </c>
      <c r="E873" s="74" t="s">
        <v>1039</v>
      </c>
      <c r="F873" s="75" t="s">
        <v>1425</v>
      </c>
      <c r="G873" s="56"/>
      <c r="H873" s="56"/>
      <c r="I873" s="56"/>
      <c r="J873" s="56"/>
      <c r="K873" s="56"/>
      <c r="L873" s="56"/>
      <c r="M873" s="56"/>
      <c r="N873" s="56">
        <f t="shared" si="52"/>
        <v>0</v>
      </c>
      <c r="O873" s="55">
        <v>16000</v>
      </c>
      <c r="P873" s="58">
        <f t="shared" si="54"/>
        <v>8104096.44</v>
      </c>
      <c r="Q873" s="56"/>
    </row>
    <row r="874" ht="20" customHeight="1" spans="2:19">
      <c r="B874" s="42">
        <v>7</v>
      </c>
      <c r="C874" s="42">
        <v>9</v>
      </c>
      <c r="D874" s="74"/>
      <c r="E874" s="54" t="s">
        <v>503</v>
      </c>
      <c r="F874" s="75" t="s">
        <v>1426</v>
      </c>
      <c r="G874" s="56">
        <v>1400</v>
      </c>
      <c r="H874" s="56">
        <v>150</v>
      </c>
      <c r="I874" s="56">
        <v>52</v>
      </c>
      <c r="J874" s="56"/>
      <c r="K874" s="56"/>
      <c r="L874" s="56"/>
      <c r="M874" s="56"/>
      <c r="N874" s="55">
        <f t="shared" si="52"/>
        <v>1602</v>
      </c>
      <c r="O874" s="56"/>
      <c r="P874" s="58">
        <f t="shared" si="54"/>
        <v>8105698.44</v>
      </c>
      <c r="Q874" s="56"/>
    </row>
    <row r="875" ht="20" customHeight="1" spans="2:19">
      <c r="B875" s="42">
        <v>7</v>
      </c>
      <c r="C875" s="42">
        <v>9</v>
      </c>
      <c r="D875" s="74"/>
      <c r="E875" s="74" t="s">
        <v>514</v>
      </c>
      <c r="F875" s="75" t="s">
        <v>1427</v>
      </c>
      <c r="G875" s="56">
        <v>7715</v>
      </c>
      <c r="H875" s="56">
        <v>200</v>
      </c>
      <c r="I875" s="56">
        <v>792</v>
      </c>
      <c r="J875" s="56"/>
      <c r="K875" s="56"/>
      <c r="L875" s="56"/>
      <c r="M875" s="56"/>
      <c r="N875" s="55">
        <f t="shared" si="52"/>
        <v>8707</v>
      </c>
      <c r="O875" s="56"/>
      <c r="P875" s="58">
        <f t="shared" si="54"/>
        <v>8114405.44</v>
      </c>
      <c r="Q875" s="56"/>
    </row>
    <row r="876" ht="20" customHeight="1" spans="2:19">
      <c r="B876" s="42">
        <v>7</v>
      </c>
      <c r="C876" s="42">
        <v>9</v>
      </c>
      <c r="D876" s="74" t="s">
        <v>69</v>
      </c>
      <c r="E876" s="42" t="s">
        <v>20</v>
      </c>
      <c r="F876" s="75" t="s">
        <v>280</v>
      </c>
      <c r="G876" s="56"/>
      <c r="H876" s="56"/>
      <c r="I876" s="56"/>
      <c r="J876" s="56"/>
      <c r="K876" s="56"/>
      <c r="L876" s="56"/>
      <c r="M876" s="56"/>
      <c r="N876" s="176">
        <v>40000</v>
      </c>
      <c r="O876" s="84">
        <v>40000</v>
      </c>
      <c r="P876" s="58">
        <f t="shared" si="54"/>
        <v>8114405.44</v>
      </c>
      <c r="Q876" s="56"/>
    </row>
    <row r="877" ht="20" customHeight="1" spans="2:19">
      <c r="B877" s="42">
        <v>7</v>
      </c>
      <c r="C877" s="42">
        <v>10</v>
      </c>
      <c r="D877" s="74"/>
      <c r="E877" s="54" t="s">
        <v>716</v>
      </c>
      <c r="F877" s="75" t="s">
        <v>1428</v>
      </c>
      <c r="G877" s="56">
        <v>5100</v>
      </c>
      <c r="H877" s="56"/>
      <c r="I877" s="56">
        <v>148</v>
      </c>
      <c r="J877" s="56"/>
      <c r="K877" s="56"/>
      <c r="L877" s="56"/>
      <c r="M877" s="56"/>
      <c r="N877" s="55">
        <f t="shared" ref="N877:N905" si="55">SUM(G877:L877)-M877</f>
        <v>5248</v>
      </c>
      <c r="O877" s="56"/>
      <c r="P877" s="58">
        <f t="shared" si="54"/>
        <v>8119653.44</v>
      </c>
      <c r="Q877" s="56"/>
    </row>
    <row r="878" ht="20" customHeight="1" spans="2:19">
      <c r="B878" s="42">
        <v>7</v>
      </c>
      <c r="C878" s="42">
        <v>10</v>
      </c>
      <c r="D878" s="74"/>
      <c r="E878" s="42" t="s">
        <v>716</v>
      </c>
      <c r="F878" s="75" t="s">
        <v>1429</v>
      </c>
      <c r="G878" s="56"/>
      <c r="H878" s="56"/>
      <c r="I878" s="56">
        <v>139</v>
      </c>
      <c r="J878" s="56"/>
      <c r="K878" s="56"/>
      <c r="L878" s="56"/>
      <c r="M878" s="56"/>
      <c r="N878" s="55">
        <f t="shared" si="55"/>
        <v>139</v>
      </c>
      <c r="O878" s="56"/>
      <c r="P878" s="58">
        <f t="shared" si="54"/>
        <v>8119792.44</v>
      </c>
      <c r="Q878" s="56"/>
    </row>
    <row r="879" ht="20" customHeight="1" spans="2:19">
      <c r="B879" s="42">
        <v>7</v>
      </c>
      <c r="C879" s="42">
        <v>10</v>
      </c>
      <c r="D879" s="74"/>
      <c r="E879" s="54" t="s">
        <v>716</v>
      </c>
      <c r="F879" s="75" t="s">
        <v>1430</v>
      </c>
      <c r="G879" s="56"/>
      <c r="H879" s="56">
        <v>150</v>
      </c>
      <c r="I879" s="56">
        <v>107</v>
      </c>
      <c r="J879" s="56"/>
      <c r="K879" s="56"/>
      <c r="L879" s="56"/>
      <c r="M879" s="56"/>
      <c r="N879" s="55">
        <f t="shared" si="55"/>
        <v>257</v>
      </c>
      <c r="O879" s="56"/>
      <c r="P879" s="58">
        <f t="shared" si="54"/>
        <v>8120049.44</v>
      </c>
      <c r="Q879" s="56"/>
    </row>
    <row r="880" ht="20" customHeight="1" spans="2:19">
      <c r="B880" s="42">
        <v>7</v>
      </c>
      <c r="C880" s="42">
        <v>11</v>
      </c>
      <c r="D880" s="74"/>
      <c r="E880" s="74" t="s">
        <v>673</v>
      </c>
      <c r="F880" s="75" t="s">
        <v>1431</v>
      </c>
      <c r="G880" s="56">
        <v>2300</v>
      </c>
      <c r="H880" s="56"/>
      <c r="I880" s="56">
        <v>250</v>
      </c>
      <c r="J880" s="56"/>
      <c r="K880" s="56"/>
      <c r="L880" s="56"/>
      <c r="M880" s="56"/>
      <c r="N880" s="55">
        <f t="shared" si="55"/>
        <v>2550</v>
      </c>
      <c r="O880" s="56"/>
      <c r="P880" s="58">
        <f t="shared" si="54"/>
        <v>8122599.44</v>
      </c>
      <c r="Q880" s="56"/>
    </row>
    <row r="881" ht="20" customHeight="1" spans="2:17">
      <c r="B881" s="42">
        <v>7</v>
      </c>
      <c r="C881" s="42">
        <v>11</v>
      </c>
      <c r="D881" s="74"/>
      <c r="E881" s="74" t="s">
        <v>1195</v>
      </c>
      <c r="F881" s="75" t="s">
        <v>1432</v>
      </c>
      <c r="G881" s="56">
        <v>1900</v>
      </c>
      <c r="H881" s="56"/>
      <c r="I881" s="56"/>
      <c r="J881" s="56">
        <v>5700</v>
      </c>
      <c r="K881" s="56"/>
      <c r="L881" s="56"/>
      <c r="M881" s="56"/>
      <c r="N881" s="55">
        <f t="shared" si="55"/>
        <v>7600</v>
      </c>
      <c r="O881" s="56"/>
      <c r="P881" s="58">
        <f t="shared" si="54"/>
        <v>8130199.44</v>
      </c>
      <c r="Q881" s="56"/>
    </row>
    <row r="882" ht="20" customHeight="1" spans="2:17">
      <c r="B882" s="42">
        <v>7</v>
      </c>
      <c r="C882" s="42">
        <v>11</v>
      </c>
      <c r="D882" s="74"/>
      <c r="E882" s="54" t="s">
        <v>894</v>
      </c>
      <c r="F882" s="75" t="s">
        <v>1382</v>
      </c>
      <c r="G882" s="56"/>
      <c r="H882" s="56">
        <v>150</v>
      </c>
      <c r="I882" s="56">
        <v>30</v>
      </c>
      <c r="J882" s="56"/>
      <c r="K882" s="56"/>
      <c r="L882" s="56"/>
      <c r="M882" s="56"/>
      <c r="N882" s="55">
        <f t="shared" si="55"/>
        <v>180</v>
      </c>
      <c r="O882" s="56"/>
      <c r="P882" s="58">
        <f t="shared" si="54"/>
        <v>8130379.44</v>
      </c>
      <c r="Q882" s="56"/>
    </row>
    <row r="883" ht="20" customHeight="1" spans="2:17">
      <c r="B883" s="42">
        <v>7</v>
      </c>
      <c r="C883" s="42">
        <v>11</v>
      </c>
      <c r="D883" s="74"/>
      <c r="E883" s="54" t="s">
        <v>894</v>
      </c>
      <c r="F883" s="75" t="s">
        <v>1433</v>
      </c>
      <c r="G883" s="56">
        <v>172</v>
      </c>
      <c r="H883" s="56"/>
      <c r="I883" s="56"/>
      <c r="J883" s="56"/>
      <c r="K883" s="56"/>
      <c r="L883" s="56"/>
      <c r="M883" s="56"/>
      <c r="N883" s="55">
        <f t="shared" si="55"/>
        <v>172</v>
      </c>
      <c r="O883" s="56"/>
      <c r="P883" s="58">
        <f t="shared" si="54"/>
        <v>8130551.44</v>
      </c>
      <c r="Q883" s="56"/>
    </row>
    <row r="884" ht="20" customHeight="1" spans="2:17">
      <c r="B884" s="42">
        <v>7</v>
      </c>
      <c r="C884" s="42">
        <v>11</v>
      </c>
      <c r="D884" s="74"/>
      <c r="E884" s="54" t="s">
        <v>894</v>
      </c>
      <c r="F884" s="75" t="s">
        <v>1434</v>
      </c>
      <c r="G884" s="56"/>
      <c r="H884" s="56"/>
      <c r="I884" s="56">
        <v>172</v>
      </c>
      <c r="J884" s="56"/>
      <c r="K884" s="56"/>
      <c r="L884" s="56"/>
      <c r="M884" s="56"/>
      <c r="N884" s="55">
        <f t="shared" si="55"/>
        <v>172</v>
      </c>
      <c r="O884" s="56"/>
      <c r="P884" s="58">
        <f>P882+N884-O884</f>
        <v>8130551.44</v>
      </c>
      <c r="Q884" s="56"/>
    </row>
    <row r="885" ht="20" customHeight="1" spans="2:17">
      <c r="B885" s="42">
        <v>7</v>
      </c>
      <c r="C885" s="42">
        <v>12</v>
      </c>
      <c r="D885" s="74"/>
      <c r="E885" s="54" t="s">
        <v>574</v>
      </c>
      <c r="F885" s="75" t="s">
        <v>1435</v>
      </c>
      <c r="G885" s="56">
        <v>7043</v>
      </c>
      <c r="H885" s="56">
        <v>200</v>
      </c>
      <c r="I885" s="56">
        <v>1065</v>
      </c>
      <c r="J885" s="56"/>
      <c r="K885" s="56"/>
      <c r="L885" s="56"/>
      <c r="M885" s="56"/>
      <c r="N885" s="55">
        <f t="shared" si="55"/>
        <v>8308</v>
      </c>
      <c r="O885" s="56"/>
      <c r="P885" s="58">
        <f t="shared" ref="P885:P926" si="56">P884+N885-O885</f>
        <v>8138859.44</v>
      </c>
      <c r="Q885" s="56"/>
    </row>
    <row r="886" ht="20" customHeight="1" spans="2:17">
      <c r="B886" s="42">
        <v>7</v>
      </c>
      <c r="C886" s="42">
        <v>12</v>
      </c>
      <c r="D886" s="74"/>
      <c r="E886" s="74" t="s">
        <v>613</v>
      </c>
      <c r="F886" s="75" t="s">
        <v>1436</v>
      </c>
      <c r="G886" s="56"/>
      <c r="H886" s="56"/>
      <c r="I886" s="56"/>
      <c r="J886" s="56">
        <v>9900</v>
      </c>
      <c r="K886" s="56"/>
      <c r="L886" s="56"/>
      <c r="M886" s="56"/>
      <c r="N886" s="55">
        <f t="shared" si="55"/>
        <v>9900</v>
      </c>
      <c r="O886" s="56"/>
      <c r="P886" s="58">
        <f t="shared" si="56"/>
        <v>8148759.44</v>
      </c>
      <c r="Q886" s="56"/>
    </row>
    <row r="887" ht="20" customHeight="1" spans="2:17">
      <c r="B887" s="42">
        <v>7</v>
      </c>
      <c r="C887" s="42">
        <v>13</v>
      </c>
      <c r="D887" s="74"/>
      <c r="E887" s="74" t="s">
        <v>560</v>
      </c>
      <c r="F887" s="75" t="s">
        <v>1437</v>
      </c>
      <c r="G887" s="56">
        <v>2400</v>
      </c>
      <c r="H887" s="56">
        <v>150</v>
      </c>
      <c r="I887" s="56">
        <v>108</v>
      </c>
      <c r="J887" s="56"/>
      <c r="K887" s="56"/>
      <c r="L887" s="56"/>
      <c r="M887" s="56"/>
      <c r="N887" s="55">
        <f t="shared" si="55"/>
        <v>2658</v>
      </c>
      <c r="O887" s="56"/>
      <c r="P887" s="58">
        <f t="shared" si="56"/>
        <v>8151417.44</v>
      </c>
      <c r="Q887" s="56"/>
    </row>
    <row r="888" ht="20" customHeight="1" spans="2:17">
      <c r="B888" s="42">
        <v>7</v>
      </c>
      <c r="C888" s="42">
        <v>13</v>
      </c>
      <c r="D888" s="74"/>
      <c r="E888" s="54"/>
      <c r="F888" s="75" t="s">
        <v>1438</v>
      </c>
      <c r="G888" s="56"/>
      <c r="H888" s="56"/>
      <c r="I888" s="56"/>
      <c r="J888" s="56"/>
      <c r="K888" s="55">
        <v>500</v>
      </c>
      <c r="L888" s="56"/>
      <c r="M888" s="56">
        <v>21.15</v>
      </c>
      <c r="N888" s="56">
        <f t="shared" si="55"/>
        <v>478.85</v>
      </c>
      <c r="O888" s="56"/>
      <c r="P888" s="58">
        <f t="shared" si="56"/>
        <v>8151896.29</v>
      </c>
      <c r="Q888" s="59" t="s">
        <v>669</v>
      </c>
    </row>
    <row r="889" ht="20" customHeight="1" spans="2:17">
      <c r="B889" s="42">
        <v>7</v>
      </c>
      <c r="C889" s="42">
        <v>13</v>
      </c>
      <c r="D889" s="74"/>
      <c r="E889" s="74" t="s">
        <v>566</v>
      </c>
      <c r="F889" s="75" t="s">
        <v>1439</v>
      </c>
      <c r="G889" s="56">
        <v>2400</v>
      </c>
      <c r="H889" s="56"/>
      <c r="I889" s="56">
        <v>112</v>
      </c>
      <c r="J889" s="56"/>
      <c r="K889" s="56"/>
      <c r="L889" s="56"/>
      <c r="M889" s="56"/>
      <c r="N889" s="55">
        <f t="shared" si="55"/>
        <v>2512</v>
      </c>
      <c r="O889" s="56"/>
      <c r="P889" s="58">
        <f t="shared" si="56"/>
        <v>8154408.29</v>
      </c>
      <c r="Q889" s="59" t="s">
        <v>669</v>
      </c>
    </row>
    <row r="890" ht="20" customHeight="1" spans="2:17">
      <c r="B890" s="42">
        <v>7</v>
      </c>
      <c r="C890" s="42">
        <v>13</v>
      </c>
      <c r="D890" s="74"/>
      <c r="E890" s="54" t="s">
        <v>558</v>
      </c>
      <c r="F890" s="75" t="s">
        <v>1440</v>
      </c>
      <c r="G890" s="56">
        <v>1400</v>
      </c>
      <c r="H890" s="56">
        <v>150</v>
      </c>
      <c r="I890" s="56">
        <v>112</v>
      </c>
      <c r="J890" s="56"/>
      <c r="K890" s="56"/>
      <c r="L890" s="56"/>
      <c r="M890" s="56"/>
      <c r="N890" s="55">
        <f t="shared" si="55"/>
        <v>1662</v>
      </c>
      <c r="O890" s="56"/>
      <c r="P890" s="58">
        <f t="shared" si="56"/>
        <v>8156070.29</v>
      </c>
      <c r="Q890" s="59" t="s">
        <v>669</v>
      </c>
    </row>
    <row r="891" ht="20" customHeight="1" spans="2:17">
      <c r="B891" s="42">
        <v>7</v>
      </c>
      <c r="C891" s="42">
        <v>13</v>
      </c>
      <c r="D891" s="74"/>
      <c r="E891" s="74" t="s">
        <v>535</v>
      </c>
      <c r="F891" s="75" t="s">
        <v>1441</v>
      </c>
      <c r="G891" s="56">
        <v>1400</v>
      </c>
      <c r="H891" s="56">
        <v>150</v>
      </c>
      <c r="I891" s="56">
        <v>132</v>
      </c>
      <c r="J891" s="56"/>
      <c r="K891" s="56"/>
      <c r="L891" s="56"/>
      <c r="M891" s="56"/>
      <c r="N891" s="55">
        <f t="shared" si="55"/>
        <v>1682</v>
      </c>
      <c r="O891" s="56"/>
      <c r="P891" s="58">
        <f t="shared" si="56"/>
        <v>8157752.29</v>
      </c>
      <c r="Q891" s="59" t="s">
        <v>669</v>
      </c>
    </row>
    <row r="892" ht="20" customHeight="1" spans="2:17">
      <c r="B892" s="42">
        <v>7</v>
      </c>
      <c r="C892" s="42">
        <v>13</v>
      </c>
      <c r="D892" s="74"/>
      <c r="E892" s="74" t="s">
        <v>608</v>
      </c>
      <c r="F892" s="75" t="s">
        <v>1442</v>
      </c>
      <c r="G892" s="56">
        <v>1300</v>
      </c>
      <c r="H892" s="56">
        <v>150</v>
      </c>
      <c r="I892" s="56">
        <v>138</v>
      </c>
      <c r="J892" s="56"/>
      <c r="K892" s="56"/>
      <c r="L892" s="56"/>
      <c r="M892" s="56"/>
      <c r="N892" s="55">
        <f t="shared" si="55"/>
        <v>1588</v>
      </c>
      <c r="O892" s="56"/>
      <c r="P892" s="58">
        <f t="shared" si="56"/>
        <v>8159340.29</v>
      </c>
      <c r="Q892" s="59" t="s">
        <v>669</v>
      </c>
    </row>
    <row r="893" ht="20" customHeight="1" spans="2:17">
      <c r="B893" s="42">
        <v>7</v>
      </c>
      <c r="C893" s="42">
        <v>13</v>
      </c>
      <c r="D893" s="74"/>
      <c r="E893" s="54" t="s">
        <v>537</v>
      </c>
      <c r="F893" s="75" t="s">
        <v>1443</v>
      </c>
      <c r="G893" s="56"/>
      <c r="H893" s="56">
        <v>150</v>
      </c>
      <c r="I893" s="56">
        <v>119</v>
      </c>
      <c r="J893" s="56"/>
      <c r="K893" s="56"/>
      <c r="L893" s="56"/>
      <c r="M893" s="56"/>
      <c r="N893" s="55">
        <f t="shared" si="55"/>
        <v>269</v>
      </c>
      <c r="O893" s="56"/>
      <c r="P893" s="58">
        <f t="shared" si="56"/>
        <v>8159609.29</v>
      </c>
      <c r="Q893" s="59" t="s">
        <v>669</v>
      </c>
    </row>
    <row r="894" ht="20" customHeight="1" spans="2:17">
      <c r="B894" s="42">
        <v>7</v>
      </c>
      <c r="C894" s="42">
        <v>13</v>
      </c>
      <c r="D894" s="74"/>
      <c r="E894" s="74" t="s">
        <v>602</v>
      </c>
      <c r="F894" s="75" t="s">
        <v>1444</v>
      </c>
      <c r="G894" s="56">
        <v>1350</v>
      </c>
      <c r="H894" s="56">
        <v>150</v>
      </c>
      <c r="I894" s="56">
        <v>214</v>
      </c>
      <c r="J894" s="56"/>
      <c r="K894" s="56"/>
      <c r="L894" s="56"/>
      <c r="M894" s="56"/>
      <c r="N894" s="55">
        <f t="shared" si="55"/>
        <v>1714</v>
      </c>
      <c r="O894" s="56"/>
      <c r="P894" s="58">
        <f t="shared" si="56"/>
        <v>8161323.29</v>
      </c>
      <c r="Q894" s="59" t="s">
        <v>669</v>
      </c>
    </row>
    <row r="895" ht="20" customHeight="1" spans="2:17">
      <c r="B895" s="42">
        <v>7</v>
      </c>
      <c r="C895" s="42">
        <v>13</v>
      </c>
      <c r="D895" s="74"/>
      <c r="E895" s="74" t="s">
        <v>615</v>
      </c>
      <c r="F895" s="75" t="s">
        <v>1445</v>
      </c>
      <c r="G895" s="56"/>
      <c r="H895" s="56">
        <v>150</v>
      </c>
      <c r="I895" s="56">
        <v>40</v>
      </c>
      <c r="J895" s="56"/>
      <c r="K895" s="56"/>
      <c r="L895" s="56"/>
      <c r="M895" s="56"/>
      <c r="N895" s="55">
        <f t="shared" si="55"/>
        <v>190</v>
      </c>
      <c r="O895" s="56"/>
      <c r="P895" s="58">
        <f t="shared" si="56"/>
        <v>8161513.29</v>
      </c>
      <c r="Q895" s="59" t="s">
        <v>669</v>
      </c>
    </row>
    <row r="896" ht="20" customHeight="1" spans="2:17">
      <c r="B896" s="42">
        <v>7</v>
      </c>
      <c r="C896" s="42">
        <v>13</v>
      </c>
      <c r="D896" s="74"/>
      <c r="E896" s="54" t="s">
        <v>545</v>
      </c>
      <c r="F896" s="75" t="s">
        <v>1446</v>
      </c>
      <c r="G896" s="56">
        <v>1500</v>
      </c>
      <c r="H896" s="56">
        <v>150</v>
      </c>
      <c r="I896" s="56">
        <v>149</v>
      </c>
      <c r="J896" s="56"/>
      <c r="K896" s="56"/>
      <c r="L896" s="56"/>
      <c r="M896" s="56"/>
      <c r="N896" s="55">
        <f t="shared" si="55"/>
        <v>1799</v>
      </c>
      <c r="O896" s="56"/>
      <c r="P896" s="58">
        <f t="shared" si="56"/>
        <v>8163312.29</v>
      </c>
      <c r="Q896" s="59" t="s">
        <v>669</v>
      </c>
    </row>
    <row r="897" ht="20" customHeight="1" spans="2:19">
      <c r="B897" s="42">
        <v>7</v>
      </c>
      <c r="C897" s="42">
        <v>13</v>
      </c>
      <c r="D897" s="74"/>
      <c r="E897" s="74" t="s">
        <v>881</v>
      </c>
      <c r="F897" s="75" t="s">
        <v>1447</v>
      </c>
      <c r="G897" s="56"/>
      <c r="H897" s="56"/>
      <c r="I897" s="56">
        <v>108</v>
      </c>
      <c r="J897" s="56"/>
      <c r="K897" s="56"/>
      <c r="L897" s="56"/>
      <c r="M897" s="56"/>
      <c r="N897" s="55">
        <f t="shared" si="55"/>
        <v>108</v>
      </c>
      <c r="O897" s="56"/>
      <c r="P897" s="58">
        <f t="shared" si="56"/>
        <v>8163420.29</v>
      </c>
      <c r="Q897" s="59" t="s">
        <v>669</v>
      </c>
    </row>
    <row r="898" ht="20" customHeight="1" spans="2:19">
      <c r="B898" s="42">
        <v>7</v>
      </c>
      <c r="C898" s="42">
        <v>13</v>
      </c>
      <c r="D898" s="74"/>
      <c r="E898" s="54" t="s">
        <v>701</v>
      </c>
      <c r="F898" s="75" t="s">
        <v>1448</v>
      </c>
      <c r="G898" s="56"/>
      <c r="H898" s="56"/>
      <c r="I898" s="56">
        <v>98</v>
      </c>
      <c r="J898" s="56"/>
      <c r="K898" s="56"/>
      <c r="L898" s="56"/>
      <c r="M898" s="56"/>
      <c r="N898" s="55">
        <f t="shared" si="55"/>
        <v>98</v>
      </c>
      <c r="O898" s="56"/>
      <c r="P898" s="58">
        <f t="shared" si="56"/>
        <v>8163518.29</v>
      </c>
      <c r="Q898" s="59" t="s">
        <v>669</v>
      </c>
    </row>
    <row r="899" ht="20" customHeight="1" spans="2:19">
      <c r="B899" s="42">
        <v>7</v>
      </c>
      <c r="C899" s="42">
        <v>13</v>
      </c>
      <c r="D899" s="74"/>
      <c r="E899" s="74" t="s">
        <v>541</v>
      </c>
      <c r="F899" s="75" t="s">
        <v>1449</v>
      </c>
      <c r="G899" s="56"/>
      <c r="H899" s="56">
        <v>150</v>
      </c>
      <c r="I899" s="56">
        <v>618</v>
      </c>
      <c r="J899" s="56"/>
      <c r="K899" s="56"/>
      <c r="L899" s="56"/>
      <c r="M899" s="56"/>
      <c r="N899" s="55">
        <f t="shared" si="55"/>
        <v>768</v>
      </c>
      <c r="O899" s="56"/>
      <c r="P899" s="58">
        <f t="shared" si="56"/>
        <v>8164286.29</v>
      </c>
      <c r="Q899" s="59" t="s">
        <v>669</v>
      </c>
    </row>
    <row r="900" ht="20" customHeight="1" spans="2:19">
      <c r="B900" s="42">
        <v>7</v>
      </c>
      <c r="C900" s="42">
        <v>13</v>
      </c>
      <c r="D900" s="74"/>
      <c r="E900" s="74" t="s">
        <v>599</v>
      </c>
      <c r="F900" s="75" t="s">
        <v>1450</v>
      </c>
      <c r="G900" s="56">
        <v>2000</v>
      </c>
      <c r="H900" s="56">
        <v>150</v>
      </c>
      <c r="I900" s="56">
        <v>322</v>
      </c>
      <c r="J900" s="56"/>
      <c r="K900" s="56"/>
      <c r="L900" s="56"/>
      <c r="M900" s="56"/>
      <c r="N900" s="55">
        <f t="shared" si="55"/>
        <v>2472</v>
      </c>
      <c r="O900" s="56"/>
      <c r="P900" s="58">
        <f t="shared" si="56"/>
        <v>8166758.29</v>
      </c>
      <c r="Q900" s="59" t="s">
        <v>669</v>
      </c>
    </row>
    <row r="901" ht="20" customHeight="1" spans="2:19">
      <c r="B901" s="42">
        <v>7</v>
      </c>
      <c r="C901" s="42">
        <v>13</v>
      </c>
      <c r="D901" s="74"/>
      <c r="E901" s="54" t="s">
        <v>568</v>
      </c>
      <c r="F901" s="75" t="s">
        <v>1451</v>
      </c>
      <c r="G901" s="56">
        <v>2400</v>
      </c>
      <c r="H901" s="56">
        <v>150</v>
      </c>
      <c r="I901" s="56">
        <v>149</v>
      </c>
      <c r="J901" s="56"/>
      <c r="K901" s="56"/>
      <c r="L901" s="56"/>
      <c r="M901" s="56"/>
      <c r="N901" s="55">
        <f t="shared" si="55"/>
        <v>2699</v>
      </c>
      <c r="O901" s="56"/>
      <c r="P901" s="58">
        <f t="shared" si="56"/>
        <v>8169457.29</v>
      </c>
      <c r="Q901" s="59" t="s">
        <v>669</v>
      </c>
    </row>
    <row r="902" ht="20" customHeight="1" spans="2:19">
      <c r="B902" s="42">
        <v>7</v>
      </c>
      <c r="C902" s="42">
        <v>13</v>
      </c>
      <c r="D902" s="74"/>
      <c r="E902" s="74" t="s">
        <v>556</v>
      </c>
      <c r="F902" s="75" t="s">
        <v>1452</v>
      </c>
      <c r="G902" s="56">
        <v>2500</v>
      </c>
      <c r="H902" s="56"/>
      <c r="I902" s="56">
        <v>79</v>
      </c>
      <c r="J902" s="56"/>
      <c r="K902" s="56"/>
      <c r="L902" s="56"/>
      <c r="M902" s="56"/>
      <c r="N902" s="55">
        <f t="shared" si="55"/>
        <v>2579</v>
      </c>
      <c r="O902" s="56"/>
      <c r="P902" s="58">
        <f t="shared" si="56"/>
        <v>8172036.29</v>
      </c>
      <c r="Q902" s="59" t="s">
        <v>669</v>
      </c>
    </row>
    <row r="903" ht="20" customHeight="1" spans="2:19">
      <c r="B903" s="42">
        <v>7</v>
      </c>
      <c r="C903" s="42">
        <v>13</v>
      </c>
      <c r="D903" s="74"/>
      <c r="E903" s="54" t="s">
        <v>595</v>
      </c>
      <c r="F903" s="75" t="s">
        <v>1453</v>
      </c>
      <c r="G903" s="56"/>
      <c r="H903" s="56">
        <v>150</v>
      </c>
      <c r="I903" s="56">
        <v>126</v>
      </c>
      <c r="J903" s="56"/>
      <c r="K903" s="56"/>
      <c r="L903" s="56"/>
      <c r="M903" s="56"/>
      <c r="N903" s="55">
        <f t="shared" si="55"/>
        <v>276</v>
      </c>
      <c r="O903" s="56"/>
      <c r="P903" s="58">
        <f t="shared" si="56"/>
        <v>8172312.29</v>
      </c>
      <c r="Q903" s="59" t="s">
        <v>669</v>
      </c>
    </row>
    <row r="904" ht="20" customHeight="1" spans="2:19">
      <c r="B904" s="42">
        <v>7</v>
      </c>
      <c r="C904" s="42">
        <v>13</v>
      </c>
      <c r="D904" s="74"/>
      <c r="E904" s="74" t="s">
        <v>832</v>
      </c>
      <c r="F904" s="75" t="s">
        <v>1454</v>
      </c>
      <c r="G904" s="56"/>
      <c r="H904" s="56">
        <v>150</v>
      </c>
      <c r="I904" s="56">
        <v>102</v>
      </c>
      <c r="J904" s="56"/>
      <c r="K904" s="56"/>
      <c r="L904" s="56"/>
      <c r="M904" s="56"/>
      <c r="N904" s="55">
        <f t="shared" si="55"/>
        <v>252</v>
      </c>
      <c r="O904" s="56"/>
      <c r="P904" s="58">
        <f t="shared" si="56"/>
        <v>8172564.29</v>
      </c>
      <c r="Q904" s="59" t="s">
        <v>669</v>
      </c>
      <c r="R904" s="3" t="s">
        <v>239</v>
      </c>
      <c r="S904" s="3">
        <f>SUM(N866:N875)+SUM(N877:N904)-SUM(O866:O904)+S865</f>
        <v>326151.77</v>
      </c>
    </row>
    <row r="905" ht="20" customHeight="1" spans="2:19">
      <c r="B905" s="42">
        <v>7</v>
      </c>
      <c r="C905" s="42">
        <v>14</v>
      </c>
      <c r="D905" s="74"/>
      <c r="E905" s="74" t="s">
        <v>604</v>
      </c>
      <c r="F905" s="75" t="s">
        <v>1455</v>
      </c>
      <c r="G905" s="56">
        <v>7355</v>
      </c>
      <c r="H905" s="56">
        <v>200</v>
      </c>
      <c r="I905" s="56">
        <v>312</v>
      </c>
      <c r="J905" s="56"/>
      <c r="K905" s="56"/>
      <c r="L905" s="56"/>
      <c r="M905" s="56"/>
      <c r="N905" s="55">
        <f t="shared" si="55"/>
        <v>7867</v>
      </c>
      <c r="O905" s="56"/>
      <c r="P905" s="58">
        <f t="shared" si="56"/>
        <v>8180431.29</v>
      </c>
      <c r="Q905" s="59"/>
    </row>
    <row r="906" ht="20" customHeight="1" spans="2:19">
      <c r="B906" s="42">
        <v>7</v>
      </c>
      <c r="C906" s="42">
        <v>15</v>
      </c>
      <c r="D906" s="74" t="s">
        <v>69</v>
      </c>
      <c r="E906" s="42" t="s">
        <v>20</v>
      </c>
      <c r="F906" s="75" t="s">
        <v>280</v>
      </c>
      <c r="G906" s="56"/>
      <c r="H906" s="56"/>
      <c r="I906" s="56"/>
      <c r="J906" s="56"/>
      <c r="K906" s="56"/>
      <c r="L906" s="56"/>
      <c r="M906" s="56"/>
      <c r="N906" s="176">
        <v>20000</v>
      </c>
      <c r="O906" s="84">
        <v>20000</v>
      </c>
      <c r="P906" s="58">
        <f t="shared" si="56"/>
        <v>8180431.29</v>
      </c>
      <c r="Q906" s="59"/>
    </row>
    <row r="907" ht="20" customHeight="1" spans="2:19">
      <c r="B907" s="42">
        <v>7</v>
      </c>
      <c r="C907" s="42">
        <v>15</v>
      </c>
      <c r="D907" s="74" t="s">
        <v>92</v>
      </c>
      <c r="E907" s="74" t="s">
        <v>271</v>
      </c>
      <c r="F907" s="75" t="s">
        <v>1456</v>
      </c>
      <c r="G907" s="56"/>
      <c r="H907" s="56"/>
      <c r="I907" s="56"/>
      <c r="J907" s="56"/>
      <c r="K907" s="56"/>
      <c r="L907" s="56"/>
      <c r="M907" s="56"/>
      <c r="N907" s="56">
        <f t="shared" ref="N907:N956" si="57">SUM(G907:L907)-M907</f>
        <v>0</v>
      </c>
      <c r="O907" s="55">
        <v>33100</v>
      </c>
      <c r="P907" s="58">
        <f t="shared" si="56"/>
        <v>8147331.29</v>
      </c>
      <c r="Q907" s="56"/>
    </row>
    <row r="908" ht="20" customHeight="1" spans="2:19">
      <c r="B908" s="42">
        <v>7</v>
      </c>
      <c r="C908" s="42">
        <v>16</v>
      </c>
      <c r="D908" s="74"/>
      <c r="E908" s="74" t="s">
        <v>562</v>
      </c>
      <c r="F908" s="75" t="s">
        <v>1457</v>
      </c>
      <c r="G908" s="56">
        <v>19200</v>
      </c>
      <c r="H908" s="56"/>
      <c r="I908" s="56"/>
      <c r="J908" s="56"/>
      <c r="K908" s="56"/>
      <c r="L908" s="56"/>
      <c r="M908" s="56"/>
      <c r="N908" s="55">
        <f t="shared" si="57"/>
        <v>19200</v>
      </c>
      <c r="O908" s="56"/>
      <c r="P908" s="58">
        <f t="shared" si="56"/>
        <v>8166531.29</v>
      </c>
      <c r="Q908" s="56"/>
    </row>
    <row r="909" ht="20" customHeight="1" spans="2:19">
      <c r="B909" s="42">
        <v>7</v>
      </c>
      <c r="C909" s="42">
        <v>17</v>
      </c>
      <c r="D909" s="74"/>
      <c r="E909" s="54" t="s">
        <v>518</v>
      </c>
      <c r="F909" s="75" t="s">
        <v>1458</v>
      </c>
      <c r="G909" s="56"/>
      <c r="H909" s="56">
        <v>150</v>
      </c>
      <c r="I909" s="56">
        <v>101</v>
      </c>
      <c r="J909" s="56"/>
      <c r="K909" s="56"/>
      <c r="L909" s="56"/>
      <c r="M909" s="56"/>
      <c r="N909" s="55">
        <f t="shared" si="57"/>
        <v>251</v>
      </c>
      <c r="O909" s="56"/>
      <c r="P909" s="58">
        <f t="shared" si="56"/>
        <v>8166782.29</v>
      </c>
      <c r="Q909" s="56"/>
    </row>
    <row r="910" ht="20" customHeight="1" spans="2:19">
      <c r="B910" s="42">
        <v>7</v>
      </c>
      <c r="C910" s="42">
        <v>17</v>
      </c>
      <c r="D910" s="74"/>
      <c r="E910" s="74" t="s">
        <v>653</v>
      </c>
      <c r="F910" s="75" t="s">
        <v>1459</v>
      </c>
      <c r="G910" s="56">
        <v>8100</v>
      </c>
      <c r="H910" s="56">
        <v>200</v>
      </c>
      <c r="I910" s="56">
        <v>415</v>
      </c>
      <c r="J910" s="56"/>
      <c r="K910" s="56"/>
      <c r="L910" s="56"/>
      <c r="M910" s="56"/>
      <c r="N910" s="55">
        <f t="shared" si="57"/>
        <v>8715</v>
      </c>
      <c r="O910" s="56"/>
      <c r="P910" s="58">
        <f t="shared" si="56"/>
        <v>8175497.29</v>
      </c>
      <c r="Q910" s="56"/>
    </row>
    <row r="911" ht="20" customHeight="1" spans="2:19">
      <c r="B911" s="42">
        <v>7</v>
      </c>
      <c r="C911" s="42">
        <v>20</v>
      </c>
      <c r="D911" s="74"/>
      <c r="E911" s="74" t="s">
        <v>650</v>
      </c>
      <c r="F911" s="75" t="s">
        <v>1460</v>
      </c>
      <c r="G911" s="56">
        <v>6654</v>
      </c>
      <c r="H911" s="56">
        <v>200</v>
      </c>
      <c r="I911" s="56">
        <v>808</v>
      </c>
      <c r="J911" s="56"/>
      <c r="K911" s="56"/>
      <c r="L911" s="56"/>
      <c r="M911" s="56"/>
      <c r="N911" s="55">
        <f t="shared" si="57"/>
        <v>7662</v>
      </c>
      <c r="O911" s="56"/>
      <c r="P911" s="58">
        <f t="shared" si="56"/>
        <v>8183159.29</v>
      </c>
      <c r="Q911" s="56"/>
    </row>
    <row r="912" ht="20" customHeight="1" spans="2:19">
      <c r="B912" s="42">
        <v>7</v>
      </c>
      <c r="C912" s="42">
        <v>21</v>
      </c>
      <c r="D912" s="74"/>
      <c r="E912" s="54" t="s">
        <v>757</v>
      </c>
      <c r="F912" s="75" t="s">
        <v>1461</v>
      </c>
      <c r="G912" s="56">
        <v>1350</v>
      </c>
      <c r="H912" s="56"/>
      <c r="I912" s="56">
        <v>218</v>
      </c>
      <c r="J912" s="56"/>
      <c r="K912" s="56"/>
      <c r="L912" s="56"/>
      <c r="M912" s="56"/>
      <c r="N912" s="55">
        <f t="shared" si="57"/>
        <v>1568</v>
      </c>
      <c r="O912" s="56"/>
      <c r="P912" s="58">
        <f t="shared" si="56"/>
        <v>8184727.29</v>
      </c>
      <c r="Q912" s="56"/>
    </row>
    <row r="913" ht="20" customHeight="1" spans="2:19">
      <c r="B913" s="42">
        <v>7</v>
      </c>
      <c r="C913" s="42">
        <v>21</v>
      </c>
      <c r="D913" s="74"/>
      <c r="E913" s="42"/>
      <c r="F913" s="75" t="s">
        <v>1462</v>
      </c>
      <c r="G913" s="56"/>
      <c r="H913" s="56"/>
      <c r="I913" s="56"/>
      <c r="J913" s="56"/>
      <c r="K913" s="55">
        <v>3340</v>
      </c>
      <c r="L913" s="56"/>
      <c r="M913" s="56">
        <v>17.69</v>
      </c>
      <c r="N913" s="56">
        <f t="shared" si="57"/>
        <v>3322.31</v>
      </c>
      <c r="O913" s="56"/>
      <c r="P913" s="58">
        <f t="shared" si="56"/>
        <v>8188049.6</v>
      </c>
      <c r="Q913" s="59" t="s">
        <v>669</v>
      </c>
    </row>
    <row r="914" ht="20" customHeight="1" spans="2:19">
      <c r="B914" s="42">
        <v>7</v>
      </c>
      <c r="C914" s="42">
        <v>21</v>
      </c>
      <c r="D914" s="74"/>
      <c r="E914" s="54" t="s">
        <v>489</v>
      </c>
      <c r="F914" s="75" t="s">
        <v>1463</v>
      </c>
      <c r="G914" s="56"/>
      <c r="H914" s="56">
        <v>150</v>
      </c>
      <c r="I914" s="56">
        <v>133</v>
      </c>
      <c r="J914" s="56"/>
      <c r="K914" s="56"/>
      <c r="L914" s="56"/>
      <c r="M914" s="56"/>
      <c r="N914" s="55">
        <f t="shared" si="57"/>
        <v>283</v>
      </c>
      <c r="O914" s="56"/>
      <c r="P914" s="58">
        <f t="shared" si="56"/>
        <v>8188332.6</v>
      </c>
      <c r="Q914" s="59" t="s">
        <v>669</v>
      </c>
    </row>
    <row r="915" ht="20" customHeight="1" spans="2:19">
      <c r="B915" s="42">
        <v>7</v>
      </c>
      <c r="C915" s="42">
        <v>21</v>
      </c>
      <c r="D915" s="74"/>
      <c r="E915" s="74" t="s">
        <v>566</v>
      </c>
      <c r="F915" s="75" t="s">
        <v>1464</v>
      </c>
      <c r="G915" s="56"/>
      <c r="H915" s="56"/>
      <c r="I915" s="56">
        <v>33</v>
      </c>
      <c r="J915" s="56"/>
      <c r="K915" s="56"/>
      <c r="L915" s="56"/>
      <c r="M915" s="56"/>
      <c r="N915" s="55">
        <f t="shared" si="57"/>
        <v>33</v>
      </c>
      <c r="O915" s="56"/>
      <c r="P915" s="58">
        <f t="shared" si="56"/>
        <v>8188365.6</v>
      </c>
      <c r="Q915" s="59" t="s">
        <v>669</v>
      </c>
    </row>
    <row r="916" ht="20" customHeight="1" spans="2:19">
      <c r="B916" s="42">
        <v>7</v>
      </c>
      <c r="C916" s="42">
        <v>21</v>
      </c>
      <c r="D916" s="74"/>
      <c r="E916" s="74" t="s">
        <v>484</v>
      </c>
      <c r="F916" s="75" t="s">
        <v>1465</v>
      </c>
      <c r="G916" s="56"/>
      <c r="H916" s="56">
        <v>200</v>
      </c>
      <c r="I916" s="56">
        <v>197</v>
      </c>
      <c r="J916" s="56"/>
      <c r="K916" s="56"/>
      <c r="L916" s="56"/>
      <c r="M916" s="56"/>
      <c r="N916" s="55">
        <f t="shared" si="57"/>
        <v>397</v>
      </c>
      <c r="O916" s="56"/>
      <c r="P916" s="58">
        <f t="shared" si="56"/>
        <v>8188762.6</v>
      </c>
      <c r="Q916" s="59" t="s">
        <v>669</v>
      </c>
    </row>
    <row r="917" ht="20" customHeight="1" spans="2:19">
      <c r="B917" s="42">
        <v>7</v>
      </c>
      <c r="C917" s="42">
        <v>21</v>
      </c>
      <c r="D917" s="74"/>
      <c r="E917" s="54" t="s">
        <v>520</v>
      </c>
      <c r="F917" s="75" t="s">
        <v>1466</v>
      </c>
      <c r="G917" s="56"/>
      <c r="H917" s="56">
        <v>150</v>
      </c>
      <c r="I917" s="56">
        <v>65</v>
      </c>
      <c r="J917" s="56"/>
      <c r="K917" s="56"/>
      <c r="L917" s="56"/>
      <c r="M917" s="56"/>
      <c r="N917" s="55">
        <f t="shared" si="57"/>
        <v>215</v>
      </c>
      <c r="O917" s="56"/>
      <c r="P917" s="58">
        <f t="shared" si="56"/>
        <v>8188977.6</v>
      </c>
      <c r="Q917" s="59" t="s">
        <v>669</v>
      </c>
    </row>
    <row r="918" ht="20" customHeight="1" spans="2:19">
      <c r="B918" s="42">
        <v>7</v>
      </c>
      <c r="C918" s="42">
        <v>21</v>
      </c>
      <c r="D918" s="74"/>
      <c r="E918" s="74" t="s">
        <v>533</v>
      </c>
      <c r="F918" s="75" t="s">
        <v>1467</v>
      </c>
      <c r="G918" s="56"/>
      <c r="H918" s="56">
        <v>150</v>
      </c>
      <c r="I918" s="56">
        <v>62</v>
      </c>
      <c r="J918" s="56"/>
      <c r="K918" s="56"/>
      <c r="L918" s="56"/>
      <c r="M918" s="56"/>
      <c r="N918" s="55">
        <f t="shared" si="57"/>
        <v>212</v>
      </c>
      <c r="O918" s="56"/>
      <c r="P918" s="58">
        <f t="shared" si="56"/>
        <v>8189189.6</v>
      </c>
      <c r="Q918" s="59" t="s">
        <v>669</v>
      </c>
    </row>
    <row r="919" ht="20" customHeight="1" spans="2:19">
      <c r="B919" s="42">
        <v>7</v>
      </c>
      <c r="C919" s="42">
        <v>21</v>
      </c>
      <c r="D919" s="74"/>
      <c r="E919" s="74" t="s">
        <v>606</v>
      </c>
      <c r="F919" s="75" t="s">
        <v>1468</v>
      </c>
      <c r="G919" s="56">
        <v>7500</v>
      </c>
      <c r="H919" s="56">
        <v>450</v>
      </c>
      <c r="I919" s="56">
        <v>844</v>
      </c>
      <c r="J919" s="56"/>
      <c r="K919" s="56"/>
      <c r="L919" s="56"/>
      <c r="M919" s="56"/>
      <c r="N919" s="55">
        <f t="shared" si="57"/>
        <v>8794</v>
      </c>
      <c r="O919" s="56"/>
      <c r="P919" s="58">
        <f t="shared" si="56"/>
        <v>8197983.6</v>
      </c>
      <c r="Q919" s="59" t="s">
        <v>669</v>
      </c>
    </row>
    <row r="920" ht="20" customHeight="1" spans="2:19">
      <c r="B920" s="42">
        <v>7</v>
      </c>
      <c r="C920" s="42">
        <v>21</v>
      </c>
      <c r="D920" s="74"/>
      <c r="E920" s="54" t="s">
        <v>581</v>
      </c>
      <c r="F920" s="75" t="s">
        <v>1469</v>
      </c>
      <c r="G920" s="56">
        <v>4200</v>
      </c>
      <c r="H920" s="56">
        <v>150</v>
      </c>
      <c r="I920" s="56">
        <v>85</v>
      </c>
      <c r="J920" s="56"/>
      <c r="K920" s="56"/>
      <c r="L920" s="56"/>
      <c r="M920" s="56"/>
      <c r="N920" s="55">
        <f t="shared" si="57"/>
        <v>4435</v>
      </c>
      <c r="O920" s="56"/>
      <c r="P920" s="58">
        <f t="shared" si="56"/>
        <v>8202418.6</v>
      </c>
      <c r="Q920" s="59" t="s">
        <v>669</v>
      </c>
    </row>
    <row r="921" ht="24.75" spans="2:19">
      <c r="B921" s="42">
        <v>7</v>
      </c>
      <c r="C921" s="42">
        <v>21</v>
      </c>
      <c r="D921" s="74"/>
      <c r="E921" s="74" t="s">
        <v>613</v>
      </c>
      <c r="F921" s="77" t="s">
        <v>1470</v>
      </c>
      <c r="G921" s="56">
        <v>3675</v>
      </c>
      <c r="H921" s="56"/>
      <c r="I921" s="56">
        <v>289</v>
      </c>
      <c r="J921" s="56"/>
      <c r="K921" s="56"/>
      <c r="L921" s="56"/>
      <c r="M921" s="56"/>
      <c r="N921" s="71">
        <f t="shared" si="57"/>
        <v>3964</v>
      </c>
      <c r="O921" s="56"/>
      <c r="P921" s="58">
        <f t="shared" si="56"/>
        <v>8206382.6</v>
      </c>
      <c r="Q921" s="59"/>
    </row>
    <row r="922" ht="21" customHeight="1" spans="2:19">
      <c r="B922" s="42">
        <v>7</v>
      </c>
      <c r="C922" s="42">
        <v>21</v>
      </c>
      <c r="D922" s="74" t="s">
        <v>106</v>
      </c>
      <c r="E922" s="74" t="s">
        <v>613</v>
      </c>
      <c r="F922" s="77" t="s">
        <v>1471</v>
      </c>
      <c r="G922" s="56">
        <v>3300</v>
      </c>
      <c r="H922" s="56"/>
      <c r="I922" s="56">
        <v>533</v>
      </c>
      <c r="J922" s="56"/>
      <c r="K922" s="56"/>
      <c r="L922" s="56"/>
      <c r="M922" s="56"/>
      <c r="N922" s="71">
        <f t="shared" si="57"/>
        <v>3833</v>
      </c>
      <c r="O922" s="71">
        <v>15000</v>
      </c>
      <c r="P922" s="58">
        <f t="shared" si="56"/>
        <v>8195215.6</v>
      </c>
      <c r="Q922" s="59"/>
      <c r="R922" s="127">
        <v>7203</v>
      </c>
    </row>
    <row r="923" ht="20" customHeight="1" spans="2:19">
      <c r="B923" s="42">
        <v>7</v>
      </c>
      <c r="C923" s="42">
        <v>21</v>
      </c>
      <c r="D923" s="74"/>
      <c r="E923" s="74" t="s">
        <v>486</v>
      </c>
      <c r="F923" s="75" t="s">
        <v>1472</v>
      </c>
      <c r="G923" s="56"/>
      <c r="H923" s="56"/>
      <c r="I923" s="56"/>
      <c r="J923" s="56"/>
      <c r="K923" s="56"/>
      <c r="L923" s="56"/>
      <c r="M923" s="56"/>
      <c r="N923" s="56">
        <f t="shared" si="57"/>
        <v>0</v>
      </c>
      <c r="O923" s="55">
        <v>2431.98</v>
      </c>
      <c r="P923" s="58">
        <f t="shared" si="56"/>
        <v>8192783.62</v>
      </c>
      <c r="Q923" s="59"/>
    </row>
    <row r="924" ht="20" customHeight="1" spans="2:19">
      <c r="B924" s="42">
        <v>7</v>
      </c>
      <c r="C924" s="42">
        <v>21</v>
      </c>
      <c r="D924" s="74"/>
      <c r="E924" s="74" t="s">
        <v>1195</v>
      </c>
      <c r="F924" s="75" t="s">
        <v>1473</v>
      </c>
      <c r="G924" s="56"/>
      <c r="H924" s="56"/>
      <c r="I924" s="56"/>
      <c r="J924" s="56"/>
      <c r="K924" s="56"/>
      <c r="L924" s="56"/>
      <c r="M924" s="56"/>
      <c r="N924" s="56">
        <f t="shared" si="57"/>
        <v>0</v>
      </c>
      <c r="O924" s="55">
        <v>4500</v>
      </c>
      <c r="P924" s="58">
        <f t="shared" si="56"/>
        <v>8188283.62</v>
      </c>
      <c r="Q924" s="56"/>
    </row>
    <row r="925" ht="20" customHeight="1" spans="2:19">
      <c r="B925" s="42">
        <v>7</v>
      </c>
      <c r="C925" s="42">
        <v>22</v>
      </c>
      <c r="D925" s="74"/>
      <c r="E925" s="54" t="s">
        <v>644</v>
      </c>
      <c r="F925" s="75" t="s">
        <v>1474</v>
      </c>
      <c r="G925" s="56">
        <v>1600</v>
      </c>
      <c r="H925" s="56">
        <v>150</v>
      </c>
      <c r="I925" s="56">
        <v>90</v>
      </c>
      <c r="J925" s="56"/>
      <c r="K925" s="56"/>
      <c r="L925" s="56"/>
      <c r="M925" s="56"/>
      <c r="N925" s="55">
        <f t="shared" si="57"/>
        <v>1840</v>
      </c>
      <c r="O925" s="56"/>
      <c r="P925" s="58">
        <f t="shared" si="56"/>
        <v>8190123.62</v>
      </c>
      <c r="Q925" s="56"/>
    </row>
    <row r="926" ht="20" customHeight="1" spans="2:19">
      <c r="B926" s="42">
        <v>7</v>
      </c>
      <c r="C926" s="42">
        <v>22</v>
      </c>
      <c r="D926" s="74"/>
      <c r="E926" s="54" t="s">
        <v>644</v>
      </c>
      <c r="F926" s="75" t="s">
        <v>1475</v>
      </c>
      <c r="G926" s="56">
        <v>1600</v>
      </c>
      <c r="H926" s="56">
        <v>150</v>
      </c>
      <c r="I926" s="56">
        <v>104</v>
      </c>
      <c r="J926" s="56"/>
      <c r="K926" s="56"/>
      <c r="L926" s="56"/>
      <c r="M926" s="56"/>
      <c r="N926" s="55">
        <f t="shared" si="57"/>
        <v>1854</v>
      </c>
      <c r="O926" s="56"/>
      <c r="P926" s="58">
        <f t="shared" si="56"/>
        <v>8191977.62</v>
      </c>
      <c r="Q926" s="56"/>
    </row>
    <row r="927" ht="20" customHeight="1" spans="2:19">
      <c r="B927" s="42">
        <v>7</v>
      </c>
      <c r="C927" s="42">
        <v>22</v>
      </c>
      <c r="D927" s="94" t="s">
        <v>121</v>
      </c>
      <c r="E927" s="94" t="s">
        <v>764</v>
      </c>
      <c r="F927" s="75" t="s">
        <v>1476</v>
      </c>
      <c r="G927" s="84"/>
      <c r="H927" s="84"/>
      <c r="I927" s="84"/>
      <c r="J927" s="84"/>
      <c r="K927" s="84"/>
      <c r="L927" s="84"/>
      <c r="M927" s="84"/>
      <c r="N927" s="84">
        <f t="shared" si="57"/>
        <v>0</v>
      </c>
      <c r="O927" s="55">
        <v>130000</v>
      </c>
      <c r="P927" s="58">
        <f>P925+N927-O927</f>
        <v>8060123.62</v>
      </c>
      <c r="Q927" s="56"/>
      <c r="R927" s="3" t="s">
        <v>239</v>
      </c>
      <c r="S927" s="3">
        <f>SUM(N905:N927)-N906-SUM(O905:O927)+S904</f>
        <v>195565.1</v>
      </c>
    </row>
    <row r="928" ht="20" customHeight="1" spans="2:19">
      <c r="B928" s="42">
        <v>7</v>
      </c>
      <c r="C928" s="42">
        <v>27</v>
      </c>
      <c r="D928" s="74"/>
      <c r="E928" s="54"/>
      <c r="F928" s="75" t="s">
        <v>1477</v>
      </c>
      <c r="G928" s="56"/>
      <c r="H928" s="56"/>
      <c r="I928" s="56"/>
      <c r="J928" s="56"/>
      <c r="K928" s="55">
        <v>3408</v>
      </c>
      <c r="L928" s="56"/>
      <c r="M928" s="56">
        <v>20.59</v>
      </c>
      <c r="N928" s="56">
        <f t="shared" si="57"/>
        <v>3387.41</v>
      </c>
      <c r="O928" s="56"/>
      <c r="P928" s="58">
        <f t="shared" ref="P928:P946" si="58">P927+N928-O928</f>
        <v>8063511.03</v>
      </c>
      <c r="Q928" s="59" t="s">
        <v>669</v>
      </c>
    </row>
    <row r="929" ht="20" customHeight="1" spans="2:19">
      <c r="B929" s="42">
        <v>7</v>
      </c>
      <c r="C929" s="42">
        <v>27</v>
      </c>
      <c r="D929" s="74"/>
      <c r="E929" s="74" t="s">
        <v>785</v>
      </c>
      <c r="F929" s="75" t="s">
        <v>1245</v>
      </c>
      <c r="G929" s="56">
        <v>4000</v>
      </c>
      <c r="H929" s="56"/>
      <c r="I929" s="56"/>
      <c r="J929" s="56"/>
      <c r="K929" s="56"/>
      <c r="L929" s="56"/>
      <c r="M929" s="56"/>
      <c r="N929" s="55">
        <f t="shared" si="57"/>
        <v>4000</v>
      </c>
      <c r="O929" s="56"/>
      <c r="P929" s="58">
        <f t="shared" si="58"/>
        <v>8067511.03</v>
      </c>
      <c r="Q929" s="59" t="s">
        <v>669</v>
      </c>
    </row>
    <row r="930" ht="20" customHeight="1" spans="2:19">
      <c r="B930" s="42">
        <v>7</v>
      </c>
      <c r="C930" s="42">
        <v>27</v>
      </c>
      <c r="D930" s="74"/>
      <c r="E930" s="74" t="s">
        <v>785</v>
      </c>
      <c r="F930" s="75" t="s">
        <v>1478</v>
      </c>
      <c r="G930" s="56"/>
      <c r="H930" s="56">
        <v>200</v>
      </c>
      <c r="I930" s="56">
        <v>131</v>
      </c>
      <c r="J930" s="56"/>
      <c r="K930" s="56"/>
      <c r="L930" s="56"/>
      <c r="M930" s="56"/>
      <c r="N930" s="55">
        <f t="shared" si="57"/>
        <v>331</v>
      </c>
      <c r="O930" s="56"/>
      <c r="P930" s="58">
        <f t="shared" si="58"/>
        <v>8067842.03</v>
      </c>
      <c r="Q930" s="59" t="s">
        <v>669</v>
      </c>
    </row>
    <row r="931" ht="20" customHeight="1" spans="2:19">
      <c r="B931" s="42">
        <v>7</v>
      </c>
      <c r="C931" s="42">
        <v>27</v>
      </c>
      <c r="D931" s="74"/>
      <c r="E931" s="54" t="s">
        <v>876</v>
      </c>
      <c r="F931" s="75" t="s">
        <v>1479</v>
      </c>
      <c r="G931" s="56">
        <v>1500</v>
      </c>
      <c r="H931" s="56"/>
      <c r="I931" s="56">
        <v>90</v>
      </c>
      <c r="J931" s="56"/>
      <c r="K931" s="56"/>
      <c r="L931" s="56"/>
      <c r="M931" s="56"/>
      <c r="N931" s="55">
        <f t="shared" si="57"/>
        <v>1590</v>
      </c>
      <c r="O931" s="56"/>
      <c r="P931" s="58">
        <f t="shared" si="58"/>
        <v>8069432.03</v>
      </c>
      <c r="Q931" s="59" t="s">
        <v>669</v>
      </c>
    </row>
    <row r="932" ht="20" customHeight="1" spans="2:19">
      <c r="B932" s="42">
        <v>7</v>
      </c>
      <c r="C932" s="42">
        <v>27</v>
      </c>
      <c r="D932" s="74"/>
      <c r="E932" s="74" t="s">
        <v>1195</v>
      </c>
      <c r="F932" s="75" t="s">
        <v>1480</v>
      </c>
      <c r="G932" s="56"/>
      <c r="H932" s="56"/>
      <c r="I932" s="56">
        <v>47</v>
      </c>
      <c r="J932" s="56"/>
      <c r="K932" s="56"/>
      <c r="L932" s="56"/>
      <c r="M932" s="56"/>
      <c r="N932" s="55">
        <f t="shared" si="57"/>
        <v>47</v>
      </c>
      <c r="O932" s="56"/>
      <c r="P932" s="58">
        <f t="shared" si="58"/>
        <v>8069479.03</v>
      </c>
      <c r="Q932" s="59" t="s">
        <v>669</v>
      </c>
    </row>
    <row r="933" ht="20" customHeight="1" spans="2:19">
      <c r="B933" s="42">
        <v>7</v>
      </c>
      <c r="C933" s="42">
        <v>27</v>
      </c>
      <c r="D933" s="74"/>
      <c r="E933" s="54" t="s">
        <v>1195</v>
      </c>
      <c r="F933" s="75" t="s">
        <v>1481</v>
      </c>
      <c r="G933" s="56"/>
      <c r="H933" s="56">
        <v>150</v>
      </c>
      <c r="I933" s="56">
        <v>30</v>
      </c>
      <c r="J933" s="56"/>
      <c r="K933" s="56"/>
      <c r="L933" s="56"/>
      <c r="M933" s="56"/>
      <c r="N933" s="55">
        <f t="shared" si="57"/>
        <v>180</v>
      </c>
      <c r="O933" s="56"/>
      <c r="P933" s="58">
        <f t="shared" si="58"/>
        <v>8069659.03</v>
      </c>
      <c r="Q933" s="59" t="s">
        <v>669</v>
      </c>
    </row>
    <row r="934" ht="20" customHeight="1" spans="2:19">
      <c r="B934" s="42">
        <v>7</v>
      </c>
      <c r="C934" s="42">
        <v>27</v>
      </c>
      <c r="D934" s="74"/>
      <c r="E934" s="74" t="s">
        <v>626</v>
      </c>
      <c r="F934" s="75" t="s">
        <v>1482</v>
      </c>
      <c r="G934" s="56">
        <v>1400</v>
      </c>
      <c r="H934" s="56">
        <v>150</v>
      </c>
      <c r="I934" s="56">
        <v>91</v>
      </c>
      <c r="J934" s="56"/>
      <c r="K934" s="56"/>
      <c r="L934" s="56"/>
      <c r="M934" s="56"/>
      <c r="N934" s="55">
        <f t="shared" si="57"/>
        <v>1641</v>
      </c>
      <c r="O934" s="56"/>
      <c r="P934" s="58">
        <f t="shared" si="58"/>
        <v>8071300.03</v>
      </c>
      <c r="Q934" s="59" t="s">
        <v>669</v>
      </c>
    </row>
    <row r="935" ht="20" customHeight="1" spans="2:19">
      <c r="B935" s="42">
        <v>7</v>
      </c>
      <c r="C935" s="42">
        <v>27</v>
      </c>
      <c r="D935" s="74"/>
      <c r="E935" s="74" t="s">
        <v>590</v>
      </c>
      <c r="F935" s="75" t="s">
        <v>1483</v>
      </c>
      <c r="G935" s="56">
        <v>1000</v>
      </c>
      <c r="H935" s="56"/>
      <c r="I935" s="56">
        <v>66</v>
      </c>
      <c r="J935" s="56"/>
      <c r="K935" s="56"/>
      <c r="L935" s="56"/>
      <c r="M935" s="56"/>
      <c r="N935" s="55">
        <f t="shared" si="57"/>
        <v>1066</v>
      </c>
      <c r="O935" s="56"/>
      <c r="P935" s="58">
        <f t="shared" si="58"/>
        <v>8072366.03</v>
      </c>
      <c r="Q935" s="59" t="s">
        <v>669</v>
      </c>
    </row>
    <row r="936" ht="20" customHeight="1" spans="2:19">
      <c r="B936" s="42">
        <v>7</v>
      </c>
      <c r="C936" s="42">
        <v>27</v>
      </c>
      <c r="D936" s="74"/>
      <c r="E936" s="54" t="s">
        <v>1210</v>
      </c>
      <c r="F936" s="75" t="s">
        <v>1484</v>
      </c>
      <c r="G936" s="56">
        <v>1500</v>
      </c>
      <c r="H936" s="56">
        <v>150</v>
      </c>
      <c r="I936" s="56">
        <v>65</v>
      </c>
      <c r="J936" s="56"/>
      <c r="K936" s="56"/>
      <c r="L936" s="56"/>
      <c r="M936" s="56"/>
      <c r="N936" s="55">
        <f t="shared" si="57"/>
        <v>1715</v>
      </c>
      <c r="O936" s="56"/>
      <c r="P936" s="58">
        <f t="shared" si="58"/>
        <v>8074081.03</v>
      </c>
      <c r="Q936" s="59" t="s">
        <v>669</v>
      </c>
    </row>
    <row r="937" ht="20" customHeight="1" spans="2:19">
      <c r="B937" s="42">
        <v>7</v>
      </c>
      <c r="C937" s="42">
        <v>27</v>
      </c>
      <c r="D937" s="74"/>
      <c r="E937" s="74" t="s">
        <v>597</v>
      </c>
      <c r="F937" s="75" t="s">
        <v>1485</v>
      </c>
      <c r="G937" s="56">
        <v>1500</v>
      </c>
      <c r="H937" s="56">
        <v>150</v>
      </c>
      <c r="I937" s="56">
        <v>97</v>
      </c>
      <c r="J937" s="56"/>
      <c r="K937" s="56"/>
      <c r="L937" s="56"/>
      <c r="M937" s="56"/>
      <c r="N937" s="55">
        <f t="shared" si="57"/>
        <v>1747</v>
      </c>
      <c r="O937" s="56"/>
      <c r="P937" s="58">
        <f t="shared" si="58"/>
        <v>8075828.03</v>
      </c>
      <c r="Q937" s="59" t="s">
        <v>669</v>
      </c>
    </row>
    <row r="938" ht="20" customHeight="1" spans="2:19">
      <c r="B938" s="42">
        <v>7</v>
      </c>
      <c r="C938" s="42">
        <v>27</v>
      </c>
      <c r="D938" s="74"/>
      <c r="E938" s="54" t="s">
        <v>592</v>
      </c>
      <c r="F938" s="75" t="s">
        <v>1486</v>
      </c>
      <c r="G938" s="56">
        <v>2700</v>
      </c>
      <c r="H938" s="56">
        <v>200</v>
      </c>
      <c r="I938" s="56">
        <v>229</v>
      </c>
      <c r="J938" s="56"/>
      <c r="K938" s="56"/>
      <c r="L938" s="56"/>
      <c r="M938" s="56"/>
      <c r="N938" s="55">
        <f t="shared" si="57"/>
        <v>3129</v>
      </c>
      <c r="O938" s="56"/>
      <c r="P938" s="58">
        <f t="shared" si="58"/>
        <v>8078957.03</v>
      </c>
      <c r="Q938" s="59" t="s">
        <v>669</v>
      </c>
    </row>
    <row r="939" ht="20" customHeight="1" spans="2:19">
      <c r="B939" s="42">
        <v>7</v>
      </c>
      <c r="C939" s="42">
        <v>27</v>
      </c>
      <c r="D939" s="74"/>
      <c r="E939" s="74" t="s">
        <v>648</v>
      </c>
      <c r="F939" s="75" t="s">
        <v>1487</v>
      </c>
      <c r="G939" s="56">
        <v>1500</v>
      </c>
      <c r="H939" s="56">
        <v>150</v>
      </c>
      <c r="I939" s="56">
        <v>103</v>
      </c>
      <c r="J939" s="56"/>
      <c r="K939" s="56"/>
      <c r="L939" s="56"/>
      <c r="M939" s="56"/>
      <c r="N939" s="55">
        <f t="shared" si="57"/>
        <v>1753</v>
      </c>
      <c r="O939" s="56"/>
      <c r="P939" s="58">
        <f t="shared" si="58"/>
        <v>8080710.03</v>
      </c>
      <c r="Q939" s="59" t="s">
        <v>669</v>
      </c>
    </row>
    <row r="940" ht="20" customHeight="1" spans="2:19">
      <c r="B940" s="42">
        <v>7</v>
      </c>
      <c r="C940" s="42">
        <v>27</v>
      </c>
      <c r="D940" s="74"/>
      <c r="E940" s="74" t="s">
        <v>486</v>
      </c>
      <c r="F940" s="75" t="s">
        <v>1488</v>
      </c>
      <c r="G940" s="56"/>
      <c r="H940" s="56"/>
      <c r="I940" s="56"/>
      <c r="J940" s="56"/>
      <c r="K940" s="56"/>
      <c r="L940" s="56"/>
      <c r="M940" s="56"/>
      <c r="N940" s="56">
        <f t="shared" si="57"/>
        <v>0</v>
      </c>
      <c r="O940" s="55">
        <v>17451.16</v>
      </c>
      <c r="P940" s="58">
        <f t="shared" si="58"/>
        <v>8063258.87</v>
      </c>
      <c r="Q940" s="59"/>
    </row>
    <row r="941" ht="20" customHeight="1" spans="2:19">
      <c r="B941" s="42">
        <v>7</v>
      </c>
      <c r="C941" s="42">
        <v>27</v>
      </c>
      <c r="D941" s="74"/>
      <c r="E941" s="74" t="s">
        <v>486</v>
      </c>
      <c r="F941" s="75" t="s">
        <v>1489</v>
      </c>
      <c r="G941" s="56"/>
      <c r="H941" s="56"/>
      <c r="I941" s="56"/>
      <c r="J941" s="56"/>
      <c r="K941" s="56"/>
      <c r="L941" s="56"/>
      <c r="M941" s="56"/>
      <c r="N941" s="56">
        <f t="shared" si="57"/>
        <v>0</v>
      </c>
      <c r="O941" s="55">
        <v>1000</v>
      </c>
      <c r="P941" s="58">
        <f t="shared" si="58"/>
        <v>8062258.87</v>
      </c>
      <c r="Q941" s="56"/>
    </row>
    <row r="942" ht="20" customHeight="1" spans="2:19">
      <c r="B942" s="42">
        <v>7</v>
      </c>
      <c r="C942" s="42">
        <v>27</v>
      </c>
      <c r="D942" s="74"/>
      <c r="E942" s="74" t="s">
        <v>539</v>
      </c>
      <c r="F942" s="75" t="s">
        <v>1490</v>
      </c>
      <c r="G942" s="56"/>
      <c r="H942" s="56"/>
      <c r="I942" s="56"/>
      <c r="J942" s="56"/>
      <c r="K942" s="56"/>
      <c r="L942" s="56"/>
      <c r="M942" s="56"/>
      <c r="N942" s="56">
        <f t="shared" si="57"/>
        <v>0</v>
      </c>
      <c r="O942" s="55">
        <v>11700</v>
      </c>
      <c r="P942" s="58">
        <f t="shared" si="58"/>
        <v>8050558.87</v>
      </c>
      <c r="Q942" s="56"/>
      <c r="R942" s="3" t="s">
        <v>239</v>
      </c>
      <c r="S942" s="179">
        <f>SUM(N928:N942)-SUM(O928:O942)+S927</f>
        <v>186000.35</v>
      </c>
    </row>
    <row r="943" ht="20" customHeight="1" spans="2:19">
      <c r="B943" s="42">
        <v>7</v>
      </c>
      <c r="C943" s="42">
        <v>27</v>
      </c>
      <c r="D943" s="74"/>
      <c r="E943" s="74" t="s">
        <v>628</v>
      </c>
      <c r="F943" s="75" t="s">
        <v>1491</v>
      </c>
      <c r="G943" s="56">
        <v>6090</v>
      </c>
      <c r="H943" s="56">
        <v>200</v>
      </c>
      <c r="I943" s="56">
        <v>686</v>
      </c>
      <c r="J943" s="56"/>
      <c r="K943" s="56"/>
      <c r="L943" s="56"/>
      <c r="M943" s="56"/>
      <c r="N943" s="55">
        <f t="shared" si="57"/>
        <v>6976</v>
      </c>
      <c r="O943" s="56"/>
      <c r="P943" s="58">
        <f t="shared" si="58"/>
        <v>8057534.87</v>
      </c>
      <c r="Q943" s="56"/>
    </row>
    <row r="944" ht="20" customHeight="1" spans="2:19">
      <c r="B944" s="42">
        <v>7</v>
      </c>
      <c r="C944" s="42">
        <v>27</v>
      </c>
      <c r="D944" s="74"/>
      <c r="E944" s="74" t="s">
        <v>572</v>
      </c>
      <c r="F944" s="75" t="s">
        <v>1492</v>
      </c>
      <c r="G944" s="56">
        <v>2200</v>
      </c>
      <c r="H944" s="56"/>
      <c r="I944" s="56">
        <v>451</v>
      </c>
      <c r="J944" s="56"/>
      <c r="K944" s="56"/>
      <c r="L944" s="56"/>
      <c r="M944" s="56"/>
      <c r="N944" s="55">
        <f t="shared" si="57"/>
        <v>2651</v>
      </c>
      <c r="O944" s="56"/>
      <c r="P944" s="58">
        <f t="shared" si="58"/>
        <v>8060185.87</v>
      </c>
      <c r="Q944" s="56"/>
    </row>
    <row r="945" ht="20" customHeight="1" spans="2:19">
      <c r="B945" s="42">
        <v>7</v>
      </c>
      <c r="C945" s="42">
        <v>27</v>
      </c>
      <c r="D945" s="74"/>
      <c r="E945" s="74" t="s">
        <v>572</v>
      </c>
      <c r="F945" s="75" t="s">
        <v>1493</v>
      </c>
      <c r="G945" s="56">
        <v>2200</v>
      </c>
      <c r="H945" s="56"/>
      <c r="I945" s="56">
        <v>637</v>
      </c>
      <c r="J945" s="56"/>
      <c r="K945" s="56"/>
      <c r="L945" s="56"/>
      <c r="M945" s="56"/>
      <c r="N945" s="55">
        <f t="shared" si="57"/>
        <v>2837</v>
      </c>
      <c r="O945" s="56"/>
      <c r="P945" s="58">
        <f t="shared" si="58"/>
        <v>8063022.87</v>
      </c>
      <c r="Q945" s="56"/>
    </row>
    <row r="946" ht="20" customHeight="1" spans="2:19">
      <c r="B946" s="42">
        <v>7</v>
      </c>
      <c r="C946" s="42">
        <v>27</v>
      </c>
      <c r="D946" s="74"/>
      <c r="E946" s="74" t="s">
        <v>572</v>
      </c>
      <c r="F946" s="75" t="s">
        <v>1494</v>
      </c>
      <c r="G946" s="56">
        <v>1112</v>
      </c>
      <c r="H946" s="56"/>
      <c r="I946" s="56"/>
      <c r="J946" s="56"/>
      <c r="K946" s="56"/>
      <c r="L946" s="56"/>
      <c r="M946" s="56"/>
      <c r="N946" s="55">
        <f t="shared" si="57"/>
        <v>1112</v>
      </c>
      <c r="O946" s="56"/>
      <c r="P946" s="58">
        <f t="shared" si="58"/>
        <v>8064134.87</v>
      </c>
      <c r="Q946" s="56"/>
    </row>
    <row r="947" ht="20" customHeight="1" spans="2:19">
      <c r="B947" s="42">
        <v>7</v>
      </c>
      <c r="C947" s="42">
        <v>28</v>
      </c>
      <c r="D947" s="74"/>
      <c r="E947" s="74" t="s">
        <v>585</v>
      </c>
      <c r="F947" s="75" t="s">
        <v>1495</v>
      </c>
      <c r="G947" s="56">
        <v>3000</v>
      </c>
      <c r="H947" s="56"/>
      <c r="I947" s="56">
        <v>270</v>
      </c>
      <c r="J947" s="56"/>
      <c r="K947" s="56"/>
      <c r="L947" s="56"/>
      <c r="M947" s="56"/>
      <c r="N947" s="55">
        <f t="shared" si="57"/>
        <v>3270</v>
      </c>
      <c r="O947" s="56"/>
      <c r="P947" s="58">
        <f>P945+N947-O947</f>
        <v>8066292.87</v>
      </c>
      <c r="Q947" s="56"/>
    </row>
    <row r="948" ht="20" customHeight="1" spans="2:19">
      <c r="B948" s="42">
        <v>7</v>
      </c>
      <c r="C948" s="42">
        <v>28</v>
      </c>
      <c r="D948" s="74"/>
      <c r="E948" s="74" t="s">
        <v>811</v>
      </c>
      <c r="F948" s="75" t="s">
        <v>1496</v>
      </c>
      <c r="G948" s="56">
        <v>1500</v>
      </c>
      <c r="H948" s="56"/>
      <c r="I948" s="56">
        <v>308</v>
      </c>
      <c r="J948" s="56"/>
      <c r="K948" s="56"/>
      <c r="L948" s="56"/>
      <c r="M948" s="56"/>
      <c r="N948" s="55">
        <f t="shared" si="57"/>
        <v>1808</v>
      </c>
      <c r="O948" s="56"/>
      <c r="P948" s="58">
        <f t="shared" ref="P948:P956" si="59">P947+N948-O948</f>
        <v>8068100.87</v>
      </c>
      <c r="Q948" s="56"/>
    </row>
    <row r="949" ht="20" customHeight="1" spans="2:19">
      <c r="B949" s="42">
        <v>7</v>
      </c>
      <c r="C949" s="42">
        <v>30</v>
      </c>
      <c r="D949" s="74"/>
      <c r="E949" s="74" t="s">
        <v>873</v>
      </c>
      <c r="F949" s="75" t="s">
        <v>1497</v>
      </c>
      <c r="G949" s="56">
        <v>4300</v>
      </c>
      <c r="H949" s="56"/>
      <c r="I949" s="56">
        <v>1147</v>
      </c>
      <c r="J949" s="56"/>
      <c r="K949" s="56"/>
      <c r="L949" s="56"/>
      <c r="M949" s="56"/>
      <c r="N949" s="55">
        <f t="shared" si="57"/>
        <v>5447</v>
      </c>
      <c r="O949" s="56"/>
      <c r="P949" s="58">
        <f t="shared" si="59"/>
        <v>8073547.87</v>
      </c>
      <c r="Q949" s="56"/>
    </row>
    <row r="950" ht="20" customHeight="1" spans="2:19">
      <c r="B950" s="42">
        <v>7</v>
      </c>
      <c r="C950" s="42">
        <v>31</v>
      </c>
      <c r="D950" s="74" t="s">
        <v>101</v>
      </c>
      <c r="E950" s="74" t="s">
        <v>486</v>
      </c>
      <c r="F950" s="75" t="s">
        <v>1498</v>
      </c>
      <c r="G950" s="56"/>
      <c r="H950" s="56"/>
      <c r="I950" s="56"/>
      <c r="J950" s="56"/>
      <c r="K950" s="56"/>
      <c r="L950" s="56"/>
      <c r="M950" s="56"/>
      <c r="N950" s="56">
        <f t="shared" si="57"/>
        <v>0</v>
      </c>
      <c r="O950" s="55">
        <v>347.2</v>
      </c>
      <c r="P950" s="58">
        <f t="shared" si="59"/>
        <v>8073200.67</v>
      </c>
      <c r="Q950" s="56"/>
    </row>
    <row r="951" ht="20" customHeight="1" spans="2:19">
      <c r="B951" s="42">
        <v>7</v>
      </c>
      <c r="C951" s="42">
        <v>31</v>
      </c>
      <c r="D951" s="74" t="s">
        <v>129</v>
      </c>
      <c r="E951" s="74" t="s">
        <v>486</v>
      </c>
      <c r="F951" s="75" t="s">
        <v>1499</v>
      </c>
      <c r="G951" s="56"/>
      <c r="H951" s="56"/>
      <c r="I951" s="56"/>
      <c r="J951" s="56"/>
      <c r="K951" s="56"/>
      <c r="L951" s="56"/>
      <c r="M951" s="56"/>
      <c r="N951" s="56">
        <f t="shared" si="57"/>
        <v>0</v>
      </c>
      <c r="O951" s="55">
        <v>630</v>
      </c>
      <c r="P951" s="58">
        <f t="shared" si="59"/>
        <v>8072570.67</v>
      </c>
      <c r="Q951" s="56"/>
    </row>
    <row r="952" ht="20" customHeight="1" spans="2:19">
      <c r="B952" s="42">
        <v>7</v>
      </c>
      <c r="C952" s="42">
        <v>31</v>
      </c>
      <c r="D952" s="74"/>
      <c r="E952" s="74" t="s">
        <v>655</v>
      </c>
      <c r="F952" s="75" t="s">
        <v>1500</v>
      </c>
      <c r="G952" s="56">
        <v>1300</v>
      </c>
      <c r="H952" s="56">
        <v>150</v>
      </c>
      <c r="I952" s="56">
        <v>229</v>
      </c>
      <c r="J952" s="56"/>
      <c r="K952" s="56"/>
      <c r="L952" s="56"/>
      <c r="M952" s="56"/>
      <c r="N952" s="55">
        <f t="shared" si="57"/>
        <v>1679</v>
      </c>
      <c r="O952" s="56"/>
      <c r="P952" s="58">
        <f t="shared" si="59"/>
        <v>8074249.67</v>
      </c>
      <c r="Q952" s="56"/>
    </row>
    <row r="953" ht="20" customHeight="1" spans="2:19">
      <c r="B953" s="42">
        <v>7</v>
      </c>
      <c r="C953" s="42">
        <v>31</v>
      </c>
      <c r="D953" s="74"/>
      <c r="E953" s="54" t="s">
        <v>581</v>
      </c>
      <c r="F953" s="75" t="s">
        <v>1501</v>
      </c>
      <c r="G953" s="55">
        <v>4200</v>
      </c>
      <c r="H953" s="55">
        <v>150</v>
      </c>
      <c r="I953" s="55">
        <v>113</v>
      </c>
      <c r="J953" s="56"/>
      <c r="K953" s="56"/>
      <c r="L953" s="56"/>
      <c r="M953" s="56">
        <v>10.65</v>
      </c>
      <c r="N953" s="56">
        <f t="shared" si="57"/>
        <v>4452.35</v>
      </c>
      <c r="O953" s="56"/>
      <c r="P953" s="58">
        <f t="shared" si="59"/>
        <v>8078702.02</v>
      </c>
      <c r="Q953" s="59" t="s">
        <v>669</v>
      </c>
    </row>
    <row r="954" ht="20" customHeight="1" spans="2:19">
      <c r="B954" s="42">
        <v>7</v>
      </c>
      <c r="C954" s="42">
        <v>31</v>
      </c>
      <c r="D954" s="74"/>
      <c r="E954" s="74" t="s">
        <v>660</v>
      </c>
      <c r="F954" s="75" t="s">
        <v>1502</v>
      </c>
      <c r="G954" s="56">
        <v>2000</v>
      </c>
      <c r="H954" s="56">
        <v>150</v>
      </c>
      <c r="I954" s="56">
        <v>221</v>
      </c>
      <c r="J954" s="56"/>
      <c r="K954" s="56"/>
      <c r="L954" s="56"/>
      <c r="M954" s="56"/>
      <c r="N954" s="55">
        <f t="shared" si="57"/>
        <v>2371</v>
      </c>
      <c r="O954" s="56"/>
      <c r="P954" s="58">
        <f t="shared" si="59"/>
        <v>8081073.02</v>
      </c>
      <c r="Q954" s="59" t="s">
        <v>669</v>
      </c>
    </row>
    <row r="955" ht="20" customHeight="1" spans="2:19">
      <c r="B955" s="42">
        <v>7</v>
      </c>
      <c r="C955" s="42">
        <v>31</v>
      </c>
      <c r="D955" s="74"/>
      <c r="E955" s="74" t="s">
        <v>646</v>
      </c>
      <c r="F955" s="75" t="s">
        <v>1503</v>
      </c>
      <c r="G955" s="56"/>
      <c r="H955" s="56"/>
      <c r="I955" s="56">
        <v>776</v>
      </c>
      <c r="J955" s="56"/>
      <c r="K955" s="56"/>
      <c r="L955" s="56"/>
      <c r="M955" s="56"/>
      <c r="N955" s="55">
        <f t="shared" si="57"/>
        <v>776</v>
      </c>
      <c r="O955" s="56"/>
      <c r="P955" s="58">
        <f t="shared" si="59"/>
        <v>8081849.02</v>
      </c>
      <c r="Q955" s="59" t="s">
        <v>669</v>
      </c>
    </row>
    <row r="956" ht="20" customHeight="1" spans="2:19">
      <c r="B956" s="42">
        <v>7</v>
      </c>
      <c r="C956" s="42">
        <v>31</v>
      </c>
      <c r="D956" s="74"/>
      <c r="E956" s="54" t="s">
        <v>1246</v>
      </c>
      <c r="F956" s="75" t="s">
        <v>1504</v>
      </c>
      <c r="G956" s="56">
        <v>2500</v>
      </c>
      <c r="H956" s="56"/>
      <c r="I956" s="56">
        <v>550</v>
      </c>
      <c r="J956" s="56"/>
      <c r="K956" s="56"/>
      <c r="L956" s="56"/>
      <c r="M956" s="56"/>
      <c r="N956" s="55">
        <f t="shared" si="57"/>
        <v>3050</v>
      </c>
      <c r="O956" s="56"/>
      <c r="P956" s="58">
        <f t="shared" si="59"/>
        <v>8084899.02</v>
      </c>
      <c r="Q956" s="59" t="s">
        <v>669</v>
      </c>
      <c r="R956" s="3" t="s">
        <v>239</v>
      </c>
      <c r="S956" s="179">
        <f>SUM(N943:N956)-SUM(O943:O956)+S942</f>
        <v>221452.5</v>
      </c>
    </row>
    <row r="957" ht="20" customHeight="1" spans="2:19">
      <c r="B957" s="68"/>
      <c r="C957" s="68"/>
      <c r="D957" s="173"/>
      <c r="E957" s="68"/>
      <c r="F957" s="70" t="s">
        <v>22</v>
      </c>
      <c r="G957" s="71">
        <f t="shared" ref="G957:O957" si="60">SUM(G831:G956)</f>
        <v>264265</v>
      </c>
      <c r="H957" s="71">
        <f t="shared" si="60"/>
        <v>12100</v>
      </c>
      <c r="I957" s="71">
        <f t="shared" si="60"/>
        <v>32483</v>
      </c>
      <c r="J957" s="71">
        <f t="shared" si="60"/>
        <v>15600</v>
      </c>
      <c r="K957" s="71">
        <f t="shared" si="60"/>
        <v>13468</v>
      </c>
      <c r="L957" s="71">
        <f t="shared" si="60"/>
        <v>0</v>
      </c>
      <c r="M957" s="65">
        <f t="shared" si="60"/>
        <v>119.67</v>
      </c>
      <c r="N957" s="71">
        <f t="shared" si="60"/>
        <v>397796.33</v>
      </c>
      <c r="O957" s="71">
        <f t="shared" si="60"/>
        <v>308691.45</v>
      </c>
      <c r="P957" s="71">
        <f>P830+N957-O957</f>
        <v>8097008.9</v>
      </c>
      <c r="Q957" s="71"/>
      <c r="R957" s="3">
        <f>P957-S956</f>
        <v>7875556.4</v>
      </c>
    </row>
    <row r="958" ht="20" customHeight="1" spans="2:19">
      <c r="B958" s="42">
        <v>8</v>
      </c>
      <c r="C958" s="42">
        <v>1</v>
      </c>
      <c r="D958" s="74"/>
      <c r="E958" s="74" t="s">
        <v>491</v>
      </c>
      <c r="F958" s="75" t="s">
        <v>1505</v>
      </c>
      <c r="G958" s="56">
        <v>16445</v>
      </c>
      <c r="H958" s="56"/>
      <c r="I958" s="56">
        <v>50</v>
      </c>
      <c r="J958" s="56"/>
      <c r="K958" s="56"/>
      <c r="L958" s="56"/>
      <c r="M958" s="56"/>
      <c r="N958" s="56">
        <f t="shared" ref="N958:N964" si="61">SUM(G958:L958)-M958</f>
        <v>16495</v>
      </c>
      <c r="O958" s="56"/>
      <c r="P958" s="58">
        <f>P957+N958-O958</f>
        <v>8113503.9</v>
      </c>
      <c r="Q958" s="56"/>
    </row>
    <row r="959" ht="20" customHeight="1" spans="2:19">
      <c r="B959" s="42">
        <v>8</v>
      </c>
      <c r="C959" s="42">
        <v>2</v>
      </c>
      <c r="D959" s="74"/>
      <c r="E959" s="54" t="s">
        <v>495</v>
      </c>
      <c r="F959" s="75" t="s">
        <v>1506</v>
      </c>
      <c r="G959" s="56">
        <v>6655</v>
      </c>
      <c r="H959" s="56"/>
      <c r="I959" s="56">
        <v>925</v>
      </c>
      <c r="J959" s="56"/>
      <c r="K959" s="56"/>
      <c r="L959" s="56"/>
      <c r="M959" s="56"/>
      <c r="N959" s="56">
        <f t="shared" si="61"/>
        <v>7580</v>
      </c>
      <c r="O959" s="56"/>
      <c r="P959" s="58">
        <f t="shared" ref="P959:P990" si="62">P958+N959-O959</f>
        <v>8121083.9</v>
      </c>
      <c r="Q959" s="56"/>
    </row>
    <row r="960" ht="20" customHeight="1" spans="2:19">
      <c r="B960" s="42">
        <v>8</v>
      </c>
      <c r="C960" s="42">
        <v>2</v>
      </c>
      <c r="D960" s="74"/>
      <c r="E960" s="74" t="s">
        <v>495</v>
      </c>
      <c r="F960" s="75" t="s">
        <v>1507</v>
      </c>
      <c r="G960" s="56">
        <v>77</v>
      </c>
      <c r="H960" s="56"/>
      <c r="I960" s="56"/>
      <c r="J960" s="56"/>
      <c r="K960" s="56"/>
      <c r="L960" s="56"/>
      <c r="M960" s="56"/>
      <c r="N960" s="56">
        <f t="shared" si="61"/>
        <v>77</v>
      </c>
      <c r="O960" s="56"/>
      <c r="P960" s="58">
        <f t="shared" si="62"/>
        <v>8121160.9</v>
      </c>
      <c r="Q960" s="56"/>
    </row>
    <row r="961" ht="20" customHeight="1" spans="2:19">
      <c r="B961" s="42">
        <v>8</v>
      </c>
      <c r="C961" s="42">
        <v>2</v>
      </c>
      <c r="D961" s="74"/>
      <c r="E961" s="74" t="s">
        <v>508</v>
      </c>
      <c r="F961" s="75" t="s">
        <v>1508</v>
      </c>
      <c r="G961" s="56">
        <v>6946</v>
      </c>
      <c r="H961" s="56"/>
      <c r="I961" s="56">
        <v>1576</v>
      </c>
      <c r="J961" s="56"/>
      <c r="K961" s="56"/>
      <c r="L961" s="56"/>
      <c r="M961" s="56"/>
      <c r="N961" s="56">
        <f t="shared" si="61"/>
        <v>8522</v>
      </c>
      <c r="O961" s="56"/>
      <c r="P961" s="58">
        <f t="shared" si="62"/>
        <v>8129682.9</v>
      </c>
      <c r="Q961" s="56"/>
    </row>
    <row r="962" ht="20" customHeight="1" spans="2:19">
      <c r="B962" s="42">
        <v>8</v>
      </c>
      <c r="C962" s="42">
        <v>3</v>
      </c>
      <c r="D962" s="74"/>
      <c r="E962" s="54"/>
      <c r="F962" s="75" t="s">
        <v>1509</v>
      </c>
      <c r="G962" s="56"/>
      <c r="H962" s="56"/>
      <c r="I962" s="56"/>
      <c r="J962" s="56"/>
      <c r="K962" s="56">
        <v>3980</v>
      </c>
      <c r="L962" s="56"/>
      <c r="M962" s="56">
        <v>9.88</v>
      </c>
      <c r="N962" s="56">
        <f t="shared" si="61"/>
        <v>3970.12</v>
      </c>
      <c r="O962" s="56"/>
      <c r="P962" s="58">
        <f t="shared" si="62"/>
        <v>8133653.02</v>
      </c>
      <c r="Q962" s="59" t="s">
        <v>669</v>
      </c>
    </row>
    <row r="963" ht="20" customHeight="1" spans="2:19">
      <c r="B963" s="42">
        <v>8</v>
      </c>
      <c r="C963" s="42">
        <v>3</v>
      </c>
      <c r="D963" s="74"/>
      <c r="E963" s="74" t="s">
        <v>529</v>
      </c>
      <c r="F963" s="75" t="s">
        <v>1510</v>
      </c>
      <c r="G963" s="56">
        <v>3300</v>
      </c>
      <c r="H963" s="56">
        <v>150</v>
      </c>
      <c r="I963" s="56">
        <v>514</v>
      </c>
      <c r="J963" s="56"/>
      <c r="K963" s="56"/>
      <c r="L963" s="56"/>
      <c r="M963" s="56"/>
      <c r="N963" s="56">
        <f t="shared" si="61"/>
        <v>3964</v>
      </c>
      <c r="O963" s="56"/>
      <c r="P963" s="58">
        <f t="shared" si="62"/>
        <v>8137617.02</v>
      </c>
      <c r="Q963" s="59" t="s">
        <v>669</v>
      </c>
    </row>
    <row r="964" ht="20" customHeight="1" spans="2:19">
      <c r="B964" s="42">
        <v>8</v>
      </c>
      <c r="C964" s="42">
        <v>3</v>
      </c>
      <c r="D964" s="74"/>
      <c r="E964" s="54" t="s">
        <v>806</v>
      </c>
      <c r="F964" s="75" t="s">
        <v>1511</v>
      </c>
      <c r="G964" s="56">
        <v>1500</v>
      </c>
      <c r="H964" s="56">
        <v>150</v>
      </c>
      <c r="I964" s="56">
        <v>296</v>
      </c>
      <c r="J964" s="56"/>
      <c r="K964" s="56"/>
      <c r="L964" s="56"/>
      <c r="M964" s="56"/>
      <c r="N964" s="56">
        <f t="shared" si="61"/>
        <v>1946</v>
      </c>
      <c r="O964" s="56"/>
      <c r="P964" s="58">
        <f t="shared" si="62"/>
        <v>8139563.02</v>
      </c>
      <c r="Q964" s="59" t="s">
        <v>669</v>
      </c>
      <c r="R964" s="3" t="s">
        <v>239</v>
      </c>
      <c r="S964" s="3">
        <f>SUM(N958:N964)+S956</f>
        <v>264006.62</v>
      </c>
    </row>
    <row r="965" ht="20" customHeight="1" spans="2:19">
      <c r="B965" s="42">
        <v>8</v>
      </c>
      <c r="C965" s="42">
        <v>5</v>
      </c>
      <c r="D965" s="74"/>
      <c r="E965" s="74" t="s">
        <v>497</v>
      </c>
      <c r="F965" s="75" t="s">
        <v>1512</v>
      </c>
      <c r="G965" s="56">
        <v>1300</v>
      </c>
      <c r="H965" s="56">
        <v>150</v>
      </c>
      <c r="I965" s="56">
        <v>114</v>
      </c>
      <c r="J965" s="56"/>
      <c r="K965" s="56"/>
      <c r="L965" s="56"/>
      <c r="M965" s="56"/>
      <c r="N965" s="56">
        <f t="shared" ref="N965:N970" si="63">SUM(G965:L965)-M965</f>
        <v>1564</v>
      </c>
      <c r="O965" s="56"/>
      <c r="P965" s="58">
        <f t="shared" si="62"/>
        <v>8141127.02</v>
      </c>
      <c r="Q965" s="59"/>
    </row>
    <row r="966" ht="20" customHeight="1" spans="2:19">
      <c r="B966" s="42">
        <v>8</v>
      </c>
      <c r="C966" s="42">
        <v>5</v>
      </c>
      <c r="D966" s="74"/>
      <c r="E966" s="74" t="s">
        <v>479</v>
      </c>
      <c r="F966" s="75" t="s">
        <v>1513</v>
      </c>
      <c r="G966" s="56">
        <v>7247</v>
      </c>
      <c r="H966" s="56"/>
      <c r="I966" s="56"/>
      <c r="J966" s="56"/>
      <c r="K966" s="56"/>
      <c r="L966" s="56"/>
      <c r="M966" s="56"/>
      <c r="N966" s="56">
        <f t="shared" si="63"/>
        <v>7247</v>
      </c>
      <c r="O966" s="56"/>
      <c r="P966" s="58">
        <f t="shared" si="62"/>
        <v>8148374.02</v>
      </c>
      <c r="Q966" s="56"/>
    </row>
    <row r="967" ht="20" customHeight="1" spans="2:19">
      <c r="B967" s="42">
        <v>8</v>
      </c>
      <c r="C967" s="42">
        <v>6</v>
      </c>
      <c r="D967" s="74"/>
      <c r="E967" s="54" t="s">
        <v>506</v>
      </c>
      <c r="F967" s="75" t="s">
        <v>1514</v>
      </c>
      <c r="G967" s="56">
        <v>7274</v>
      </c>
      <c r="H967" s="56"/>
      <c r="I967" s="56">
        <v>680</v>
      </c>
      <c r="J967" s="56"/>
      <c r="K967" s="56"/>
      <c r="L967" s="56"/>
      <c r="M967" s="56"/>
      <c r="N967" s="56">
        <f t="shared" si="63"/>
        <v>7954</v>
      </c>
      <c r="O967" s="56"/>
      <c r="P967" s="58">
        <f t="shared" si="62"/>
        <v>8156328.02</v>
      </c>
      <c r="Q967" s="56"/>
    </row>
    <row r="968" ht="20" customHeight="1" spans="2:19">
      <c r="B968" s="42">
        <v>8</v>
      </c>
      <c r="C968" s="42">
        <v>6</v>
      </c>
      <c r="D968" s="74"/>
      <c r="E968" s="74" t="s">
        <v>967</v>
      </c>
      <c r="F968" s="75" t="s">
        <v>1515</v>
      </c>
      <c r="G968" s="56">
        <v>4800</v>
      </c>
      <c r="H968" s="56"/>
      <c r="I968" s="56">
        <v>1109</v>
      </c>
      <c r="J968" s="56"/>
      <c r="K968" s="56"/>
      <c r="L968" s="56"/>
      <c r="M968" s="56"/>
      <c r="N968" s="56">
        <f t="shared" si="63"/>
        <v>5909</v>
      </c>
      <c r="O968" s="56"/>
      <c r="P968" s="58">
        <f t="shared" si="62"/>
        <v>8162237.02</v>
      </c>
      <c r="Q968" s="56"/>
    </row>
    <row r="969" ht="20" customHeight="1" spans="2:19">
      <c r="B969" s="42">
        <v>8</v>
      </c>
      <c r="C969" s="42">
        <v>7</v>
      </c>
      <c r="D969" s="74"/>
      <c r="E969" s="54" t="s">
        <v>550</v>
      </c>
      <c r="F969" s="75" t="s">
        <v>1516</v>
      </c>
      <c r="G969" s="56">
        <v>30000</v>
      </c>
      <c r="H969" s="56"/>
      <c r="I969" s="56"/>
      <c r="J969" s="56"/>
      <c r="K969" s="56"/>
      <c r="L969" s="56"/>
      <c r="M969" s="56"/>
      <c r="N969" s="56">
        <f t="shared" si="63"/>
        <v>30000</v>
      </c>
      <c r="O969" s="56"/>
      <c r="P969" s="58">
        <f t="shared" si="62"/>
        <v>8192237.02</v>
      </c>
      <c r="Q969" s="56"/>
    </row>
    <row r="970" ht="20" customHeight="1" spans="2:19">
      <c r="B970" s="42">
        <v>8</v>
      </c>
      <c r="C970" s="42">
        <v>7</v>
      </c>
      <c r="D970" s="74"/>
      <c r="E970" s="54" t="s">
        <v>550</v>
      </c>
      <c r="F970" s="75" t="s">
        <v>1517</v>
      </c>
      <c r="G970" s="56"/>
      <c r="H970" s="56"/>
      <c r="I970" s="56">
        <v>161</v>
      </c>
      <c r="J970" s="56"/>
      <c r="K970" s="56"/>
      <c r="L970" s="56"/>
      <c r="M970" s="56"/>
      <c r="N970" s="56">
        <f t="shared" si="63"/>
        <v>161</v>
      </c>
      <c r="O970" s="56"/>
      <c r="P970" s="58">
        <f t="shared" si="62"/>
        <v>8192398.02</v>
      </c>
      <c r="Q970" s="56"/>
    </row>
    <row r="971" ht="20" customHeight="1" spans="2:19">
      <c r="B971" s="42">
        <v>8</v>
      </c>
      <c r="C971" s="42">
        <v>9</v>
      </c>
      <c r="D971" s="74"/>
      <c r="E971" s="74" t="s">
        <v>673</v>
      </c>
      <c r="F971" s="75" t="s">
        <v>1518</v>
      </c>
      <c r="G971" s="56">
        <v>334</v>
      </c>
      <c r="H971" s="56"/>
      <c r="I971" s="56"/>
      <c r="J971" s="56"/>
      <c r="K971" s="56"/>
      <c r="L971" s="56"/>
      <c r="M971" s="56"/>
      <c r="N971" s="56">
        <f t="shared" ref="N971:N975" si="64">SUM(G971:L971)-M971</f>
        <v>334</v>
      </c>
      <c r="O971" s="56"/>
      <c r="P971" s="58">
        <f t="shared" si="62"/>
        <v>8192732.02</v>
      </c>
      <c r="Q971" s="56"/>
    </row>
    <row r="972" ht="20" customHeight="1" spans="2:19">
      <c r="B972" s="42">
        <v>8</v>
      </c>
      <c r="C972" s="42">
        <v>10</v>
      </c>
      <c r="D972" s="74"/>
      <c r="E972" s="54"/>
      <c r="F972" s="75" t="s">
        <v>1519</v>
      </c>
      <c r="G972" s="56"/>
      <c r="H972" s="56"/>
      <c r="I972" s="56"/>
      <c r="J972" s="56"/>
      <c r="K972" s="56">
        <v>2350</v>
      </c>
      <c r="L972" s="56"/>
      <c r="M972" s="56">
        <v>28.17</v>
      </c>
      <c r="N972" s="56">
        <f t="shared" si="64"/>
        <v>2321.83</v>
      </c>
      <c r="O972" s="56"/>
      <c r="P972" s="58">
        <f t="shared" si="62"/>
        <v>8195053.85</v>
      </c>
      <c r="Q972" s="56" t="s">
        <v>669</v>
      </c>
    </row>
    <row r="973" ht="20" customHeight="1" spans="2:19">
      <c r="B973" s="42">
        <v>8</v>
      </c>
      <c r="C973" s="42">
        <v>10</v>
      </c>
      <c r="D973" s="74"/>
      <c r="E973" s="74" t="s">
        <v>541</v>
      </c>
      <c r="F973" s="75" t="s">
        <v>1520</v>
      </c>
      <c r="G973" s="56"/>
      <c r="H973" s="56">
        <v>150</v>
      </c>
      <c r="I973" s="56">
        <v>575</v>
      </c>
      <c r="J973" s="56"/>
      <c r="K973" s="56"/>
      <c r="L973" s="56"/>
      <c r="M973" s="56"/>
      <c r="N973" s="56">
        <f t="shared" si="64"/>
        <v>725</v>
      </c>
      <c r="O973" s="56"/>
      <c r="P973" s="58">
        <f t="shared" si="62"/>
        <v>8195778.85</v>
      </c>
      <c r="Q973" s="56" t="s">
        <v>669</v>
      </c>
    </row>
    <row r="974" ht="20" customHeight="1" spans="2:19">
      <c r="B974" s="42">
        <v>8</v>
      </c>
      <c r="C974" s="42">
        <v>10</v>
      </c>
      <c r="D974" s="74"/>
      <c r="E974" s="74" t="s">
        <v>965</v>
      </c>
      <c r="F974" s="75" t="s">
        <v>1521</v>
      </c>
      <c r="G974" s="56">
        <v>4000</v>
      </c>
      <c r="H974" s="56"/>
      <c r="I974" s="56">
        <v>767</v>
      </c>
      <c r="J974" s="56"/>
      <c r="K974" s="56"/>
      <c r="L974" s="56"/>
      <c r="M974" s="56"/>
      <c r="N974" s="56">
        <f t="shared" si="64"/>
        <v>4767</v>
      </c>
      <c r="O974" s="56"/>
      <c r="P974" s="58">
        <f t="shared" si="62"/>
        <v>8200545.85</v>
      </c>
      <c r="Q974" s="56" t="s">
        <v>669</v>
      </c>
    </row>
    <row r="975" ht="20" customHeight="1" spans="2:19">
      <c r="B975" s="42">
        <v>8</v>
      </c>
      <c r="C975" s="42">
        <v>10</v>
      </c>
      <c r="D975" s="74"/>
      <c r="E975" s="74" t="s">
        <v>965</v>
      </c>
      <c r="F975" s="75" t="s">
        <v>1522</v>
      </c>
      <c r="G975" s="56">
        <v>51</v>
      </c>
      <c r="H975" s="56"/>
      <c r="I975" s="56"/>
      <c r="J975" s="56"/>
      <c r="K975" s="56"/>
      <c r="L975" s="56"/>
      <c r="M975" s="56"/>
      <c r="N975" s="56">
        <f t="shared" si="64"/>
        <v>51</v>
      </c>
      <c r="O975" s="56"/>
      <c r="P975" s="58">
        <f t="shared" si="62"/>
        <v>8200596.85</v>
      </c>
      <c r="Q975" s="56" t="s">
        <v>669</v>
      </c>
    </row>
    <row r="976" ht="20" customHeight="1" spans="2:19">
      <c r="B976" s="42">
        <v>8</v>
      </c>
      <c r="C976" s="42">
        <v>10</v>
      </c>
      <c r="D976" s="74"/>
      <c r="E976" s="74" t="s">
        <v>583</v>
      </c>
      <c r="F976" s="75" t="s">
        <v>1523</v>
      </c>
      <c r="G976" s="56">
        <v>6708</v>
      </c>
      <c r="H976" s="56">
        <v>200</v>
      </c>
      <c r="I976" s="56">
        <v>262</v>
      </c>
      <c r="J976" s="56"/>
      <c r="K976" s="56"/>
      <c r="L976" s="56"/>
      <c r="M976" s="56"/>
      <c r="N976" s="56">
        <f t="shared" ref="N976:N1021" si="65">SUM(G976:L976)-M976</f>
        <v>7170</v>
      </c>
      <c r="O976" s="56"/>
      <c r="P976" s="58">
        <f t="shared" si="62"/>
        <v>8207766.85</v>
      </c>
      <c r="Q976" s="56" t="s">
        <v>669</v>
      </c>
    </row>
    <row r="977" ht="20" customHeight="1" spans="2:19">
      <c r="B977" s="42">
        <v>8</v>
      </c>
      <c r="C977" s="42">
        <v>10</v>
      </c>
      <c r="D977" s="74"/>
      <c r="E977" s="54" t="s">
        <v>545</v>
      </c>
      <c r="F977" s="75" t="s">
        <v>1524</v>
      </c>
      <c r="G977" s="56">
        <v>1500</v>
      </c>
      <c r="H977" s="56">
        <v>150</v>
      </c>
      <c r="I977" s="56">
        <v>216</v>
      </c>
      <c r="J977" s="56"/>
      <c r="K977" s="56"/>
      <c r="L977" s="56"/>
      <c r="M977" s="56"/>
      <c r="N977" s="56">
        <f t="shared" si="65"/>
        <v>1866</v>
      </c>
      <c r="O977" s="56"/>
      <c r="P977" s="58">
        <f t="shared" si="62"/>
        <v>8209632.85</v>
      </c>
      <c r="Q977" s="56" t="s">
        <v>669</v>
      </c>
    </row>
    <row r="978" ht="20" customHeight="1" spans="2:19">
      <c r="B978" s="42">
        <v>8</v>
      </c>
      <c r="C978" s="42">
        <v>10</v>
      </c>
      <c r="D978" s="74"/>
      <c r="E978" s="74" t="s">
        <v>914</v>
      </c>
      <c r="F978" s="75" t="s">
        <v>1217</v>
      </c>
      <c r="G978" s="56">
        <v>5000</v>
      </c>
      <c r="H978" s="56"/>
      <c r="I978" s="56"/>
      <c r="J978" s="56"/>
      <c r="K978" s="56"/>
      <c r="L978" s="56"/>
      <c r="M978" s="56"/>
      <c r="N978" s="56">
        <f t="shared" si="65"/>
        <v>5000</v>
      </c>
      <c r="O978" s="56"/>
      <c r="P978" s="58">
        <f t="shared" si="62"/>
        <v>8214632.85</v>
      </c>
      <c r="Q978" s="56" t="s">
        <v>669</v>
      </c>
    </row>
    <row r="979" ht="20" customHeight="1" spans="2:19">
      <c r="B979" s="42">
        <v>8</v>
      </c>
      <c r="C979" s="42">
        <v>10</v>
      </c>
      <c r="D979" s="74"/>
      <c r="E979" s="54" t="s">
        <v>602</v>
      </c>
      <c r="F979" s="75" t="s">
        <v>1525</v>
      </c>
      <c r="G979" s="56">
        <v>1300</v>
      </c>
      <c r="H979" s="56">
        <v>150</v>
      </c>
      <c r="I979" s="56">
        <v>210</v>
      </c>
      <c r="J979" s="56"/>
      <c r="K979" s="56"/>
      <c r="L979" s="56"/>
      <c r="M979" s="56"/>
      <c r="N979" s="56">
        <f t="shared" si="65"/>
        <v>1660</v>
      </c>
      <c r="O979" s="56"/>
      <c r="P979" s="58">
        <f t="shared" si="62"/>
        <v>8216292.85</v>
      </c>
      <c r="Q979" s="56" t="s">
        <v>669</v>
      </c>
    </row>
    <row r="980" ht="20" customHeight="1" spans="2:19">
      <c r="B980" s="42">
        <v>8</v>
      </c>
      <c r="C980" s="42">
        <v>10</v>
      </c>
      <c r="D980" s="74"/>
      <c r="E980" s="74" t="s">
        <v>566</v>
      </c>
      <c r="F980" s="75" t="s">
        <v>1526</v>
      </c>
      <c r="G980" s="56">
        <v>2400</v>
      </c>
      <c r="H980" s="56"/>
      <c r="I980" s="56">
        <v>250</v>
      </c>
      <c r="J980" s="56"/>
      <c r="K980" s="56"/>
      <c r="L980" s="56"/>
      <c r="M980" s="56"/>
      <c r="N980" s="56">
        <f t="shared" si="65"/>
        <v>2650</v>
      </c>
      <c r="O980" s="56"/>
      <c r="P980" s="58">
        <f t="shared" si="62"/>
        <v>8218942.85</v>
      </c>
      <c r="Q980" s="56" t="s">
        <v>669</v>
      </c>
    </row>
    <row r="981" ht="20" customHeight="1" spans="2:19">
      <c r="B981" s="42">
        <v>8</v>
      </c>
      <c r="C981" s="42">
        <v>10</v>
      </c>
      <c r="D981" s="74"/>
      <c r="E981" s="74" t="s">
        <v>539</v>
      </c>
      <c r="F981" s="75" t="s">
        <v>1527</v>
      </c>
      <c r="G981" s="56"/>
      <c r="H981" s="56">
        <v>150</v>
      </c>
      <c r="I981" s="56">
        <v>71</v>
      </c>
      <c r="J981" s="56"/>
      <c r="K981" s="56"/>
      <c r="L981" s="56"/>
      <c r="M981" s="56"/>
      <c r="N981" s="56">
        <f t="shared" si="65"/>
        <v>221</v>
      </c>
      <c r="O981" s="56"/>
      <c r="P981" s="58">
        <f t="shared" si="62"/>
        <v>8219163.85</v>
      </c>
      <c r="Q981" s="56" t="s">
        <v>669</v>
      </c>
    </row>
    <row r="982" ht="20" customHeight="1" spans="2:19">
      <c r="B982" s="42">
        <v>8</v>
      </c>
      <c r="C982" s="42">
        <v>10</v>
      </c>
      <c r="D982" s="74"/>
      <c r="E982" s="54" t="s">
        <v>543</v>
      </c>
      <c r="F982" s="75" t="s">
        <v>1528</v>
      </c>
      <c r="G982" s="56"/>
      <c r="H982" s="56"/>
      <c r="I982" s="56">
        <v>71</v>
      </c>
      <c r="J982" s="56"/>
      <c r="K982" s="56"/>
      <c r="L982" s="56"/>
      <c r="M982" s="56"/>
      <c r="N982" s="56">
        <f t="shared" si="65"/>
        <v>71</v>
      </c>
      <c r="O982" s="56"/>
      <c r="P982" s="58">
        <f t="shared" si="62"/>
        <v>8219234.85</v>
      </c>
      <c r="Q982" s="56" t="s">
        <v>669</v>
      </c>
    </row>
    <row r="983" ht="20" customHeight="1" spans="2:19">
      <c r="B983" s="42">
        <v>8</v>
      </c>
      <c r="C983" s="42">
        <v>10</v>
      </c>
      <c r="D983" s="74"/>
      <c r="E983" s="74" t="s">
        <v>642</v>
      </c>
      <c r="F983" s="75" t="s">
        <v>1529</v>
      </c>
      <c r="G983" s="56">
        <v>1600</v>
      </c>
      <c r="H983" s="56"/>
      <c r="I983" s="56">
        <v>66</v>
      </c>
      <c r="J983" s="56"/>
      <c r="K983" s="56"/>
      <c r="L983" s="56"/>
      <c r="M983" s="56"/>
      <c r="N983" s="56">
        <f t="shared" si="65"/>
        <v>1666</v>
      </c>
      <c r="O983" s="56"/>
      <c r="P983" s="58">
        <f t="shared" si="62"/>
        <v>8220900.85</v>
      </c>
      <c r="Q983" s="56" t="s">
        <v>669</v>
      </c>
      <c r="R983" s="3" t="s">
        <v>239</v>
      </c>
      <c r="S983" s="3">
        <f>SUM(N965:N983)+S964</f>
        <v>345344.45</v>
      </c>
    </row>
    <row r="984" ht="20" customHeight="1" spans="2:19">
      <c r="B984" s="42">
        <v>8</v>
      </c>
      <c r="C984" s="42">
        <v>10</v>
      </c>
      <c r="D984" s="74"/>
      <c r="E984" s="54" t="s">
        <v>562</v>
      </c>
      <c r="F984" s="75" t="s">
        <v>1530</v>
      </c>
      <c r="G984" s="56"/>
      <c r="H984" s="56"/>
      <c r="I984" s="56">
        <v>126</v>
      </c>
      <c r="J984" s="56"/>
      <c r="K984" s="56"/>
      <c r="L984" s="56"/>
      <c r="M984" s="56"/>
      <c r="N984" s="56">
        <f t="shared" si="65"/>
        <v>126</v>
      </c>
      <c r="O984" s="56"/>
      <c r="P984" s="58">
        <f t="shared" si="62"/>
        <v>8221026.85</v>
      </c>
      <c r="Q984" s="56"/>
    </row>
    <row r="985" ht="20" customHeight="1" spans="2:19">
      <c r="B985" s="42">
        <v>8</v>
      </c>
      <c r="C985" s="42">
        <v>11</v>
      </c>
      <c r="D985" s="74"/>
      <c r="E985" s="74" t="s">
        <v>539</v>
      </c>
      <c r="F985" s="75" t="s">
        <v>1531</v>
      </c>
      <c r="G985" s="56">
        <v>27600</v>
      </c>
      <c r="H985" s="56">
        <v>150</v>
      </c>
      <c r="I985" s="56">
        <v>46</v>
      </c>
      <c r="J985" s="56"/>
      <c r="K985" s="56"/>
      <c r="L985" s="56"/>
      <c r="M985" s="56"/>
      <c r="N985" s="56">
        <f t="shared" si="65"/>
        <v>27796</v>
      </c>
      <c r="O985" s="56"/>
      <c r="P985" s="58">
        <f t="shared" si="62"/>
        <v>8248822.85</v>
      </c>
      <c r="Q985" s="56"/>
    </row>
    <row r="986" ht="20" customHeight="1" spans="2:19">
      <c r="B986" s="42">
        <v>8</v>
      </c>
      <c r="C986" s="42">
        <v>11</v>
      </c>
      <c r="D986" s="74" t="s">
        <v>69</v>
      </c>
      <c r="E986" s="42" t="s">
        <v>20</v>
      </c>
      <c r="F986" s="95" t="s">
        <v>280</v>
      </c>
      <c r="G986" s="56"/>
      <c r="H986" s="56"/>
      <c r="I986" s="56"/>
      <c r="J986" s="56"/>
      <c r="K986" s="56"/>
      <c r="L986" s="56"/>
      <c r="M986" s="56"/>
      <c r="N986" s="176">
        <v>10000</v>
      </c>
      <c r="O986" s="84">
        <v>10000</v>
      </c>
      <c r="P986" s="58">
        <f t="shared" si="62"/>
        <v>8248822.85</v>
      </c>
      <c r="Q986" s="56"/>
    </row>
    <row r="987" ht="20" customHeight="1" spans="2:19">
      <c r="B987" s="42">
        <v>8</v>
      </c>
      <c r="C987" s="42">
        <v>11</v>
      </c>
      <c r="D987" s="74"/>
      <c r="E987" s="54" t="s">
        <v>560</v>
      </c>
      <c r="F987" s="75" t="s">
        <v>1532</v>
      </c>
      <c r="G987" s="56">
        <v>2400</v>
      </c>
      <c r="H987" s="56">
        <v>150</v>
      </c>
      <c r="I987" s="56">
        <v>132</v>
      </c>
      <c r="J987" s="56"/>
      <c r="K987" s="56"/>
      <c r="L987" s="56"/>
      <c r="M987" s="56"/>
      <c r="N987" s="56">
        <f t="shared" si="65"/>
        <v>2682</v>
      </c>
      <c r="O987" s="56"/>
      <c r="P987" s="58">
        <f t="shared" si="62"/>
        <v>8251504.85</v>
      </c>
      <c r="Q987" s="56"/>
    </row>
    <row r="988" ht="20" customHeight="1" spans="2:19">
      <c r="B988" s="42">
        <v>8</v>
      </c>
      <c r="C988" s="42">
        <v>11</v>
      </c>
      <c r="D988" s="74"/>
      <c r="E988" s="74" t="s">
        <v>873</v>
      </c>
      <c r="F988" s="75" t="s">
        <v>1533</v>
      </c>
      <c r="G988" s="56">
        <v>4300</v>
      </c>
      <c r="H988" s="56"/>
      <c r="I988" s="56">
        <v>840</v>
      </c>
      <c r="J988" s="56"/>
      <c r="K988" s="56"/>
      <c r="L988" s="56"/>
      <c r="M988" s="56"/>
      <c r="N988" s="56">
        <f t="shared" si="65"/>
        <v>5140</v>
      </c>
      <c r="O988" s="56"/>
      <c r="P988" s="58">
        <f t="shared" si="62"/>
        <v>8256644.85</v>
      </c>
      <c r="Q988" s="56"/>
    </row>
    <row r="989" ht="20" customHeight="1" spans="2:19">
      <c r="B989" s="42">
        <v>8</v>
      </c>
      <c r="C989" s="42">
        <v>11</v>
      </c>
      <c r="D989" s="74"/>
      <c r="E989" s="54" t="s">
        <v>503</v>
      </c>
      <c r="F989" s="75" t="s">
        <v>1534</v>
      </c>
      <c r="G989" s="56">
        <v>1350</v>
      </c>
      <c r="H989" s="56">
        <v>150</v>
      </c>
      <c r="I989" s="56">
        <v>120</v>
      </c>
      <c r="J989" s="56"/>
      <c r="K989" s="56"/>
      <c r="L989" s="56"/>
      <c r="M989" s="56"/>
      <c r="N989" s="56">
        <f t="shared" si="65"/>
        <v>1620</v>
      </c>
      <c r="O989" s="56"/>
      <c r="P989" s="58">
        <f t="shared" si="62"/>
        <v>8258264.85</v>
      </c>
      <c r="Q989" s="56"/>
    </row>
    <row r="990" ht="20" customHeight="1" spans="2:19">
      <c r="B990" s="42">
        <v>8</v>
      </c>
      <c r="C990" s="42">
        <v>11</v>
      </c>
      <c r="D990" s="74"/>
      <c r="E990" s="74" t="s">
        <v>757</v>
      </c>
      <c r="F990" s="75" t="s">
        <v>1535</v>
      </c>
      <c r="G990" s="56">
        <v>1350</v>
      </c>
      <c r="H990" s="56"/>
      <c r="I990" s="56">
        <v>263</v>
      </c>
      <c r="J990" s="56"/>
      <c r="K990" s="56"/>
      <c r="L990" s="56"/>
      <c r="M990" s="56"/>
      <c r="N990" s="56">
        <f t="shared" si="65"/>
        <v>1613</v>
      </c>
      <c r="O990" s="56"/>
      <c r="P990" s="58">
        <f t="shared" si="62"/>
        <v>8259877.85</v>
      </c>
      <c r="Q990" s="56"/>
    </row>
    <row r="991" ht="20" customHeight="1" spans="2:19">
      <c r="B991" s="42">
        <v>8</v>
      </c>
      <c r="C991" s="42">
        <v>12</v>
      </c>
      <c r="D991" s="74"/>
      <c r="E991" s="74" t="s">
        <v>501</v>
      </c>
      <c r="F991" s="75" t="s">
        <v>1536</v>
      </c>
      <c r="G991" s="56">
        <v>1500</v>
      </c>
      <c r="H991" s="56">
        <v>150</v>
      </c>
      <c r="I991" s="56">
        <v>144</v>
      </c>
      <c r="J991" s="56"/>
      <c r="K991" s="56"/>
      <c r="L991" s="56"/>
      <c r="M991" s="56"/>
      <c r="N991" s="56">
        <f t="shared" si="65"/>
        <v>1794</v>
      </c>
      <c r="O991" s="56"/>
      <c r="P991" s="58">
        <f t="shared" ref="P991:P1022" si="66">P990+N991-O991</f>
        <v>8261671.85</v>
      </c>
      <c r="Q991" s="56"/>
    </row>
    <row r="992" ht="20" customHeight="1" spans="2:19">
      <c r="B992" s="42">
        <v>8</v>
      </c>
      <c r="C992" s="42">
        <v>12</v>
      </c>
      <c r="D992" s="74"/>
      <c r="E992" s="54" t="s">
        <v>716</v>
      </c>
      <c r="F992" s="75" t="s">
        <v>1537</v>
      </c>
      <c r="G992" s="56">
        <v>5100</v>
      </c>
      <c r="H992" s="56"/>
      <c r="I992" s="56">
        <v>236</v>
      </c>
      <c r="J992" s="56"/>
      <c r="K992" s="56"/>
      <c r="L992" s="56"/>
      <c r="M992" s="56"/>
      <c r="N992" s="56">
        <f t="shared" si="65"/>
        <v>5336</v>
      </c>
      <c r="O992" s="56"/>
      <c r="P992" s="58">
        <f t="shared" si="66"/>
        <v>8267007.85</v>
      </c>
      <c r="Q992" s="56"/>
    </row>
    <row r="993" ht="20" customHeight="1" spans="2:17">
      <c r="B993" s="42">
        <v>8</v>
      </c>
      <c r="C993" s="42">
        <v>12</v>
      </c>
      <c r="D993" s="74"/>
      <c r="E993" s="42" t="s">
        <v>716</v>
      </c>
      <c r="F993" s="75" t="s">
        <v>1538</v>
      </c>
      <c r="G993" s="56"/>
      <c r="H993" s="56"/>
      <c r="I993" s="56">
        <v>119</v>
      </c>
      <c r="J993" s="56"/>
      <c r="K993" s="56"/>
      <c r="L993" s="56"/>
      <c r="M993" s="56"/>
      <c r="N993" s="56">
        <f t="shared" si="65"/>
        <v>119</v>
      </c>
      <c r="O993" s="56"/>
      <c r="P993" s="58">
        <f t="shared" si="66"/>
        <v>8267126.85</v>
      </c>
      <c r="Q993" s="56"/>
    </row>
    <row r="994" ht="20" customHeight="1" spans="2:17">
      <c r="B994" s="42">
        <v>8</v>
      </c>
      <c r="C994" s="42">
        <v>12</v>
      </c>
      <c r="D994" s="74"/>
      <c r="E994" s="54" t="s">
        <v>716</v>
      </c>
      <c r="F994" s="75" t="s">
        <v>1539</v>
      </c>
      <c r="G994" s="56"/>
      <c r="H994" s="56">
        <v>150</v>
      </c>
      <c r="I994" s="56">
        <v>127</v>
      </c>
      <c r="J994" s="56"/>
      <c r="K994" s="56"/>
      <c r="L994" s="56"/>
      <c r="M994" s="56"/>
      <c r="N994" s="56">
        <f t="shared" si="65"/>
        <v>277</v>
      </c>
      <c r="O994" s="56"/>
      <c r="P994" s="58">
        <f t="shared" si="66"/>
        <v>8267403.85</v>
      </c>
      <c r="Q994" s="56"/>
    </row>
    <row r="995" ht="20" customHeight="1" spans="2:17">
      <c r="B995" s="42">
        <v>8</v>
      </c>
      <c r="C995" s="42">
        <v>12</v>
      </c>
      <c r="D995" s="74"/>
      <c r="E995" s="74" t="s">
        <v>564</v>
      </c>
      <c r="F995" s="75" t="s">
        <v>1540</v>
      </c>
      <c r="G995" s="56">
        <v>18000</v>
      </c>
      <c r="H995" s="56"/>
      <c r="I995" s="56">
        <v>334</v>
      </c>
      <c r="J995" s="56"/>
      <c r="K995" s="56"/>
      <c r="L995" s="56"/>
      <c r="M995" s="56"/>
      <c r="N995" s="56">
        <f t="shared" si="65"/>
        <v>18334</v>
      </c>
      <c r="O995" s="56"/>
      <c r="P995" s="58">
        <f t="shared" si="66"/>
        <v>8285737.85</v>
      </c>
      <c r="Q995" s="56"/>
    </row>
    <row r="996" ht="20" customHeight="1" spans="2:17">
      <c r="B996" s="42">
        <v>8</v>
      </c>
      <c r="C996" s="42">
        <v>12</v>
      </c>
      <c r="D996" s="74"/>
      <c r="E996" s="74" t="s">
        <v>623</v>
      </c>
      <c r="F996" s="75" t="s">
        <v>1541</v>
      </c>
      <c r="G996" s="56"/>
      <c r="H996" s="56">
        <v>150</v>
      </c>
      <c r="I996" s="56">
        <v>292</v>
      </c>
      <c r="J996" s="56"/>
      <c r="K996" s="56"/>
      <c r="L996" s="56"/>
      <c r="M996" s="56"/>
      <c r="N996" s="56">
        <f t="shared" si="65"/>
        <v>442</v>
      </c>
      <c r="O996" s="56"/>
      <c r="P996" s="58">
        <f t="shared" si="66"/>
        <v>8286179.85</v>
      </c>
      <c r="Q996" s="56"/>
    </row>
    <row r="997" ht="20" customHeight="1" spans="2:17">
      <c r="B997" s="42">
        <v>8</v>
      </c>
      <c r="C997" s="42">
        <v>12</v>
      </c>
      <c r="D997" s="74" t="s">
        <v>101</v>
      </c>
      <c r="E997" s="54"/>
      <c r="F997" s="45" t="s">
        <v>1542</v>
      </c>
      <c r="G997" s="56"/>
      <c r="H997" s="56"/>
      <c r="I997" s="56"/>
      <c r="J997" s="56"/>
      <c r="K997" s="56"/>
      <c r="L997" s="56"/>
      <c r="M997" s="56"/>
      <c r="N997" s="56">
        <f t="shared" si="65"/>
        <v>0</v>
      </c>
      <c r="O997" s="56">
        <v>1912</v>
      </c>
      <c r="P997" s="58">
        <f t="shared" si="66"/>
        <v>8284267.85</v>
      </c>
      <c r="Q997" s="56"/>
    </row>
    <row r="998" ht="20" customHeight="1" spans="2:17">
      <c r="B998" s="42">
        <v>8</v>
      </c>
      <c r="C998" s="42">
        <v>12</v>
      </c>
      <c r="D998" s="74" t="s">
        <v>124</v>
      </c>
      <c r="E998" s="42"/>
      <c r="F998" s="45" t="s">
        <v>1543</v>
      </c>
      <c r="G998" s="56"/>
      <c r="H998" s="56"/>
      <c r="I998" s="56"/>
      <c r="J998" s="56"/>
      <c r="K998" s="56"/>
      <c r="L998" s="56"/>
      <c r="M998" s="56"/>
      <c r="N998" s="56">
        <f t="shared" si="65"/>
        <v>0</v>
      </c>
      <c r="O998" s="56">
        <v>10493.47</v>
      </c>
      <c r="P998" s="58">
        <f t="shared" si="66"/>
        <v>8273774.38</v>
      </c>
      <c r="Q998" s="56"/>
    </row>
    <row r="999" ht="20" customHeight="1" spans="2:17">
      <c r="B999" s="42">
        <v>8</v>
      </c>
      <c r="C999" s="42">
        <v>12</v>
      </c>
      <c r="D999" s="74" t="s">
        <v>124</v>
      </c>
      <c r="E999" s="42"/>
      <c r="F999" s="45" t="s">
        <v>1544</v>
      </c>
      <c r="G999" s="56"/>
      <c r="H999" s="56"/>
      <c r="I999" s="56"/>
      <c r="J999" s="56"/>
      <c r="K999" s="56"/>
      <c r="L999" s="56"/>
      <c r="M999" s="56"/>
      <c r="N999" s="56">
        <f t="shared" si="65"/>
        <v>0</v>
      </c>
      <c r="O999" s="56">
        <v>2633.5</v>
      </c>
      <c r="P999" s="58">
        <f t="shared" si="66"/>
        <v>8271140.88</v>
      </c>
      <c r="Q999" s="56"/>
    </row>
    <row r="1000" ht="20" customHeight="1" spans="2:17">
      <c r="B1000" s="42">
        <v>8</v>
      </c>
      <c r="C1000" s="42">
        <v>12</v>
      </c>
      <c r="D1000" s="74" t="s">
        <v>100</v>
      </c>
      <c r="E1000" s="54"/>
      <c r="F1000" s="45" t="s">
        <v>1545</v>
      </c>
      <c r="G1000" s="56"/>
      <c r="H1000" s="56"/>
      <c r="I1000" s="56"/>
      <c r="J1000" s="56"/>
      <c r="K1000" s="56"/>
      <c r="L1000" s="56"/>
      <c r="M1000" s="56"/>
      <c r="N1000" s="56">
        <f t="shared" si="65"/>
        <v>0</v>
      </c>
      <c r="O1000" s="56">
        <v>128.79</v>
      </c>
      <c r="P1000" s="58">
        <f t="shared" si="66"/>
        <v>8271012.09</v>
      </c>
      <c r="Q1000" s="56"/>
    </row>
    <row r="1001" ht="20" customHeight="1" spans="2:17">
      <c r="B1001" s="42">
        <v>8</v>
      </c>
      <c r="C1001" s="42">
        <v>12</v>
      </c>
      <c r="D1001" s="74" t="s">
        <v>106</v>
      </c>
      <c r="E1001" s="42"/>
      <c r="F1001" s="45" t="s">
        <v>1546</v>
      </c>
      <c r="G1001" s="56"/>
      <c r="H1001" s="56"/>
      <c r="I1001" s="56"/>
      <c r="J1001" s="56"/>
      <c r="K1001" s="56"/>
      <c r="L1001" s="56"/>
      <c r="M1001" s="56"/>
      <c r="N1001" s="56">
        <f t="shared" si="65"/>
        <v>0</v>
      </c>
      <c r="O1001" s="56">
        <v>9000</v>
      </c>
      <c r="P1001" s="58">
        <f t="shared" si="66"/>
        <v>8262012.09</v>
      </c>
      <c r="Q1001" s="56"/>
    </row>
    <row r="1002" ht="20" customHeight="1" spans="2:17">
      <c r="B1002" s="42">
        <v>8</v>
      </c>
      <c r="C1002" s="42">
        <v>14</v>
      </c>
      <c r="D1002" s="74"/>
      <c r="E1002" s="54" t="s">
        <v>579</v>
      </c>
      <c r="F1002" s="75" t="s">
        <v>1547</v>
      </c>
      <c r="G1002" s="56">
        <v>5959</v>
      </c>
      <c r="H1002" s="56">
        <v>200</v>
      </c>
      <c r="I1002" s="56">
        <v>2156</v>
      </c>
      <c r="J1002" s="56"/>
      <c r="K1002" s="56"/>
      <c r="L1002" s="56"/>
      <c r="M1002" s="56"/>
      <c r="N1002" s="56">
        <f t="shared" si="65"/>
        <v>8315</v>
      </c>
      <c r="O1002" s="56"/>
      <c r="P1002" s="58">
        <f t="shared" si="66"/>
        <v>8270327.09</v>
      </c>
      <c r="Q1002" s="56"/>
    </row>
    <row r="1003" ht="20" customHeight="1" spans="2:17">
      <c r="B1003" s="42">
        <v>8</v>
      </c>
      <c r="C1003" s="42">
        <v>15</v>
      </c>
      <c r="D1003" s="74"/>
      <c r="E1003" s="74" t="s">
        <v>653</v>
      </c>
      <c r="F1003" s="75" t="s">
        <v>1548</v>
      </c>
      <c r="G1003" s="56">
        <v>8100</v>
      </c>
      <c r="H1003" s="56">
        <v>200</v>
      </c>
      <c r="I1003" s="56">
        <v>735</v>
      </c>
      <c r="J1003" s="56"/>
      <c r="K1003" s="56"/>
      <c r="L1003" s="56"/>
      <c r="M1003" s="56"/>
      <c r="N1003" s="56">
        <f t="shared" si="65"/>
        <v>9035</v>
      </c>
      <c r="O1003" s="56"/>
      <c r="P1003" s="58">
        <f t="shared" si="66"/>
        <v>8279362.09</v>
      </c>
      <c r="Q1003" s="56"/>
    </row>
    <row r="1004" ht="20" customHeight="1" spans="2:17">
      <c r="B1004" s="42">
        <v>8</v>
      </c>
      <c r="C1004" s="42">
        <v>16</v>
      </c>
      <c r="D1004" s="74"/>
      <c r="E1004" s="74" t="s">
        <v>510</v>
      </c>
      <c r="F1004" s="75" t="s">
        <v>1549</v>
      </c>
      <c r="G1004" s="56">
        <v>1700</v>
      </c>
      <c r="H1004" s="56">
        <v>150</v>
      </c>
      <c r="I1004" s="56">
        <v>194</v>
      </c>
      <c r="J1004" s="56"/>
      <c r="K1004" s="56"/>
      <c r="L1004" s="56"/>
      <c r="M1004" s="56"/>
      <c r="N1004" s="56">
        <f t="shared" si="65"/>
        <v>2044</v>
      </c>
      <c r="O1004" s="56"/>
      <c r="P1004" s="58">
        <f t="shared" si="66"/>
        <v>8281406.09</v>
      </c>
      <c r="Q1004" s="56"/>
    </row>
    <row r="1005" ht="20" customHeight="1" spans="2:17">
      <c r="B1005" s="42">
        <v>8</v>
      </c>
      <c r="C1005" s="42">
        <v>17</v>
      </c>
      <c r="D1005" s="74" t="s">
        <v>103</v>
      </c>
      <c r="E1005" s="42"/>
      <c r="F1005" s="45" t="s">
        <v>808</v>
      </c>
      <c r="G1005" s="56"/>
      <c r="H1005" s="56"/>
      <c r="I1005" s="56"/>
      <c r="J1005" s="56"/>
      <c r="K1005" s="56"/>
      <c r="L1005" s="56"/>
      <c r="M1005" s="56"/>
      <c r="N1005" s="56">
        <f t="shared" si="65"/>
        <v>0</v>
      </c>
      <c r="O1005" s="56">
        <v>50</v>
      </c>
      <c r="P1005" s="58">
        <f t="shared" si="66"/>
        <v>8281356.09</v>
      </c>
      <c r="Q1005" s="56"/>
    </row>
    <row r="1006" ht="20" customHeight="1" spans="2:17">
      <c r="B1006" s="42">
        <v>8</v>
      </c>
      <c r="C1006" s="42">
        <v>17</v>
      </c>
      <c r="D1006" s="74"/>
      <c r="E1006" s="42"/>
      <c r="F1006" s="75" t="s">
        <v>1550</v>
      </c>
      <c r="G1006" s="56"/>
      <c r="H1006" s="56"/>
      <c r="I1006" s="56"/>
      <c r="J1006" s="56"/>
      <c r="K1006" s="56">
        <v>3390</v>
      </c>
      <c r="L1006" s="56"/>
      <c r="M1006" s="56">
        <v>29.78</v>
      </c>
      <c r="N1006" s="56">
        <f t="shared" si="65"/>
        <v>3360.22</v>
      </c>
      <c r="O1006" s="56"/>
      <c r="P1006" s="58">
        <f t="shared" si="66"/>
        <v>8284716.31</v>
      </c>
      <c r="Q1006" s="59" t="s">
        <v>669</v>
      </c>
    </row>
    <row r="1007" ht="20" customHeight="1" spans="2:17">
      <c r="B1007" s="42">
        <v>8</v>
      </c>
      <c r="C1007" s="42">
        <v>17</v>
      </c>
      <c r="D1007" s="74"/>
      <c r="E1007" s="54" t="s">
        <v>1175</v>
      </c>
      <c r="F1007" s="75" t="s">
        <v>1551</v>
      </c>
      <c r="G1007" s="56">
        <v>2600</v>
      </c>
      <c r="H1007" s="56">
        <v>150</v>
      </c>
      <c r="I1007" s="56">
        <v>401</v>
      </c>
      <c r="J1007" s="56"/>
      <c r="K1007" s="56"/>
      <c r="L1007" s="56"/>
      <c r="M1007" s="56"/>
      <c r="N1007" s="56">
        <f t="shared" si="65"/>
        <v>3151</v>
      </c>
      <c r="O1007" s="56"/>
      <c r="P1007" s="58">
        <f t="shared" si="66"/>
        <v>8287867.31</v>
      </c>
      <c r="Q1007" s="59" t="s">
        <v>669</v>
      </c>
    </row>
    <row r="1008" ht="20" customHeight="1" spans="2:17">
      <c r="B1008" s="42">
        <v>8</v>
      </c>
      <c r="C1008" s="42">
        <v>17</v>
      </c>
      <c r="D1008" s="74"/>
      <c r="E1008" s="54" t="s">
        <v>597</v>
      </c>
      <c r="F1008" s="75" t="s">
        <v>1552</v>
      </c>
      <c r="G1008" s="56">
        <v>1500</v>
      </c>
      <c r="H1008" s="56">
        <v>150</v>
      </c>
      <c r="I1008" s="56">
        <v>116</v>
      </c>
      <c r="J1008" s="56"/>
      <c r="K1008" s="56"/>
      <c r="L1008" s="56"/>
      <c r="M1008" s="56"/>
      <c r="N1008" s="56">
        <f t="shared" ref="N1008:N1039" si="67">SUM(G1008:L1008)-M1008</f>
        <v>1766</v>
      </c>
      <c r="O1008" s="56"/>
      <c r="P1008" s="58">
        <f t="shared" si="66"/>
        <v>8289633.31</v>
      </c>
      <c r="Q1008" s="59" t="s">
        <v>669</v>
      </c>
    </row>
    <row r="1009" ht="20" customHeight="1" spans="2:19">
      <c r="B1009" s="42">
        <v>8</v>
      </c>
      <c r="C1009" s="42">
        <v>17</v>
      </c>
      <c r="D1009" s="74"/>
      <c r="E1009" s="54" t="s">
        <v>608</v>
      </c>
      <c r="F1009" s="75" t="s">
        <v>1553</v>
      </c>
      <c r="G1009" s="56">
        <v>1300</v>
      </c>
      <c r="H1009" s="56">
        <v>150</v>
      </c>
      <c r="I1009" s="56">
        <v>118</v>
      </c>
      <c r="J1009" s="56"/>
      <c r="K1009" s="56"/>
      <c r="L1009" s="56"/>
      <c r="M1009" s="56"/>
      <c r="N1009" s="56">
        <f t="shared" si="67"/>
        <v>1568</v>
      </c>
      <c r="O1009" s="56"/>
      <c r="P1009" s="58">
        <f t="shared" si="66"/>
        <v>8291201.31</v>
      </c>
      <c r="Q1009" s="59" t="s">
        <v>669</v>
      </c>
    </row>
    <row r="1010" ht="20" customHeight="1" spans="2:19">
      <c r="B1010" s="42">
        <v>8</v>
      </c>
      <c r="C1010" s="42">
        <v>17</v>
      </c>
      <c r="D1010" s="74"/>
      <c r="E1010" s="54" t="s">
        <v>556</v>
      </c>
      <c r="F1010" s="75" t="s">
        <v>1554</v>
      </c>
      <c r="G1010" s="56">
        <v>2500</v>
      </c>
      <c r="H1010" s="56"/>
      <c r="I1010" s="56">
        <v>74</v>
      </c>
      <c r="J1010" s="56"/>
      <c r="K1010" s="56"/>
      <c r="L1010" s="56"/>
      <c r="M1010" s="56"/>
      <c r="N1010" s="56">
        <f t="shared" si="67"/>
        <v>2574</v>
      </c>
      <c r="O1010" s="56"/>
      <c r="P1010" s="58">
        <f t="shared" si="66"/>
        <v>8293775.31</v>
      </c>
      <c r="Q1010" s="59" t="s">
        <v>669</v>
      </c>
    </row>
    <row r="1011" ht="20" customHeight="1" spans="2:19">
      <c r="B1011" s="42">
        <v>8</v>
      </c>
      <c r="C1011" s="42">
        <v>17</v>
      </c>
      <c r="D1011" s="74"/>
      <c r="E1011" s="54" t="s">
        <v>568</v>
      </c>
      <c r="F1011" s="75" t="s">
        <v>1555</v>
      </c>
      <c r="G1011" s="56">
        <v>1400</v>
      </c>
      <c r="H1011" s="56">
        <v>150</v>
      </c>
      <c r="I1011" s="56">
        <v>185</v>
      </c>
      <c r="J1011" s="56"/>
      <c r="K1011" s="56"/>
      <c r="L1011" s="56"/>
      <c r="M1011" s="56"/>
      <c r="N1011" s="56">
        <f t="shared" si="67"/>
        <v>1735</v>
      </c>
      <c r="O1011" s="56"/>
      <c r="P1011" s="58">
        <f t="shared" si="66"/>
        <v>8295510.31</v>
      </c>
      <c r="Q1011" s="59" t="s">
        <v>669</v>
      </c>
    </row>
    <row r="1012" ht="20" customHeight="1" spans="2:19">
      <c r="B1012" s="42">
        <v>8</v>
      </c>
      <c r="C1012" s="42">
        <v>17</v>
      </c>
      <c r="D1012" s="74"/>
      <c r="E1012" s="54" t="s">
        <v>581</v>
      </c>
      <c r="F1012" s="75" t="s">
        <v>1556</v>
      </c>
      <c r="G1012" s="56">
        <v>4200</v>
      </c>
      <c r="H1012" s="56">
        <v>150</v>
      </c>
      <c r="I1012" s="56">
        <v>509</v>
      </c>
      <c r="J1012" s="56"/>
      <c r="K1012" s="56"/>
      <c r="L1012" s="56"/>
      <c r="M1012" s="56"/>
      <c r="N1012" s="56">
        <f t="shared" si="67"/>
        <v>4859</v>
      </c>
      <c r="O1012" s="56"/>
      <c r="P1012" s="58">
        <f t="shared" si="66"/>
        <v>8300369.31</v>
      </c>
      <c r="Q1012" s="59" t="s">
        <v>669</v>
      </c>
    </row>
    <row r="1013" ht="20" customHeight="1" spans="2:19">
      <c r="B1013" s="42">
        <v>8</v>
      </c>
      <c r="C1013" s="42">
        <v>17</v>
      </c>
      <c r="D1013" s="173" t="s">
        <v>106</v>
      </c>
      <c r="E1013" s="70" t="s">
        <v>671</v>
      </c>
      <c r="F1013" s="180" t="s">
        <v>1557</v>
      </c>
      <c r="G1013" s="71">
        <v>5100</v>
      </c>
      <c r="H1013" s="71"/>
      <c r="I1013" s="71"/>
      <c r="J1013" s="71"/>
      <c r="K1013" s="71"/>
      <c r="L1013" s="71"/>
      <c r="M1013" s="71"/>
      <c r="N1013" s="71">
        <f t="shared" si="67"/>
        <v>5100</v>
      </c>
      <c r="O1013" s="71">
        <v>5100</v>
      </c>
      <c r="P1013" s="58">
        <f t="shared" si="66"/>
        <v>8300369.31</v>
      </c>
      <c r="Q1013" s="59" t="s">
        <v>669</v>
      </c>
    </row>
    <row r="1014" ht="20" customHeight="1" spans="2:19">
      <c r="B1014" s="42">
        <v>8</v>
      </c>
      <c r="C1014" s="42">
        <v>17</v>
      </c>
      <c r="D1014" s="74"/>
      <c r="E1014" s="54" t="s">
        <v>671</v>
      </c>
      <c r="F1014" s="75" t="s">
        <v>1558</v>
      </c>
      <c r="G1014" s="56">
        <v>1460</v>
      </c>
      <c r="H1014" s="56">
        <v>150</v>
      </c>
      <c r="I1014" s="56">
        <v>52</v>
      </c>
      <c r="J1014" s="56"/>
      <c r="K1014" s="56"/>
      <c r="L1014" s="56"/>
      <c r="M1014" s="56"/>
      <c r="N1014" s="56">
        <f t="shared" si="67"/>
        <v>1662</v>
      </c>
      <c r="O1014" s="56"/>
      <c r="P1014" s="58">
        <f t="shared" si="66"/>
        <v>8302031.31</v>
      </c>
      <c r="Q1014" s="59" t="s">
        <v>669</v>
      </c>
    </row>
    <row r="1015" ht="20" customHeight="1" spans="2:19">
      <c r="B1015" s="42">
        <v>8</v>
      </c>
      <c r="C1015" s="42">
        <v>17</v>
      </c>
      <c r="D1015" s="74"/>
      <c r="E1015" s="54" t="s">
        <v>599</v>
      </c>
      <c r="F1015" s="75" t="s">
        <v>1559</v>
      </c>
      <c r="G1015" s="56">
        <v>2000</v>
      </c>
      <c r="H1015" s="56">
        <v>150</v>
      </c>
      <c r="I1015" s="56">
        <v>259</v>
      </c>
      <c r="J1015" s="56"/>
      <c r="K1015" s="56"/>
      <c r="L1015" s="56"/>
      <c r="M1015" s="56"/>
      <c r="N1015" s="56">
        <f t="shared" si="67"/>
        <v>2409</v>
      </c>
      <c r="O1015" s="56"/>
      <c r="P1015" s="58">
        <f t="shared" si="66"/>
        <v>8304440.31</v>
      </c>
      <c r="Q1015" s="59" t="s">
        <v>669</v>
      </c>
    </row>
    <row r="1016" ht="20" customHeight="1" spans="2:19">
      <c r="B1016" s="42">
        <v>8</v>
      </c>
      <c r="C1016" s="42">
        <v>17</v>
      </c>
      <c r="D1016" s="74"/>
      <c r="E1016" s="54" t="s">
        <v>1560</v>
      </c>
      <c r="F1016" s="75" t="s">
        <v>1561</v>
      </c>
      <c r="G1016" s="56">
        <v>1800</v>
      </c>
      <c r="H1016" s="56">
        <v>150</v>
      </c>
      <c r="I1016" s="56">
        <v>217</v>
      </c>
      <c r="J1016" s="56"/>
      <c r="K1016" s="56"/>
      <c r="L1016" s="56"/>
      <c r="M1016" s="56"/>
      <c r="N1016" s="56">
        <f t="shared" si="67"/>
        <v>2167</v>
      </c>
      <c r="O1016" s="56"/>
      <c r="P1016" s="58">
        <f t="shared" si="66"/>
        <v>8306607.31</v>
      </c>
      <c r="Q1016" s="59" t="s">
        <v>669</v>
      </c>
    </row>
    <row r="1017" ht="20" customHeight="1" spans="2:19">
      <c r="B1017" s="42">
        <v>8</v>
      </c>
      <c r="C1017" s="42">
        <v>17</v>
      </c>
      <c r="D1017" s="74"/>
      <c r="E1017" s="54" t="s">
        <v>728</v>
      </c>
      <c r="F1017" s="75" t="s">
        <v>1562</v>
      </c>
      <c r="G1017" s="56">
        <v>1900</v>
      </c>
      <c r="H1017" s="56">
        <v>150</v>
      </c>
      <c r="I1017" s="56">
        <v>216</v>
      </c>
      <c r="J1017" s="56"/>
      <c r="K1017" s="56"/>
      <c r="L1017" s="56"/>
      <c r="M1017" s="56"/>
      <c r="N1017" s="56">
        <f t="shared" si="67"/>
        <v>2266</v>
      </c>
      <c r="O1017" s="56"/>
      <c r="P1017" s="58">
        <f t="shared" si="66"/>
        <v>8308873.31</v>
      </c>
      <c r="Q1017" s="59" t="s">
        <v>669</v>
      </c>
    </row>
    <row r="1018" ht="20" customHeight="1" spans="2:19">
      <c r="B1018" s="42">
        <v>8</v>
      </c>
      <c r="C1018" s="42">
        <v>17</v>
      </c>
      <c r="D1018" s="74"/>
      <c r="E1018" s="54" t="s">
        <v>914</v>
      </c>
      <c r="F1018" s="75" t="s">
        <v>1563</v>
      </c>
      <c r="G1018" s="56"/>
      <c r="H1018" s="56">
        <v>200</v>
      </c>
      <c r="I1018" s="56">
        <v>240</v>
      </c>
      <c r="J1018" s="56"/>
      <c r="K1018" s="56"/>
      <c r="L1018" s="56"/>
      <c r="M1018" s="56"/>
      <c r="N1018" s="56">
        <f t="shared" si="67"/>
        <v>440</v>
      </c>
      <c r="O1018" s="56"/>
      <c r="P1018" s="58">
        <f t="shared" si="66"/>
        <v>8309313.31</v>
      </c>
      <c r="Q1018" s="59" t="s">
        <v>669</v>
      </c>
    </row>
    <row r="1019" ht="20" customHeight="1" spans="2:19">
      <c r="B1019" s="42">
        <v>8</v>
      </c>
      <c r="C1019" s="42">
        <v>17</v>
      </c>
      <c r="D1019" s="74"/>
      <c r="E1019" s="54" t="s">
        <v>531</v>
      </c>
      <c r="F1019" s="75" t="s">
        <v>1564</v>
      </c>
      <c r="G1019" s="56"/>
      <c r="H1019" s="56">
        <v>150</v>
      </c>
      <c r="I1019" s="56">
        <v>98</v>
      </c>
      <c r="J1019" s="56"/>
      <c r="K1019" s="56"/>
      <c r="L1019" s="56"/>
      <c r="M1019" s="56"/>
      <c r="N1019" s="56">
        <f t="shared" si="67"/>
        <v>248</v>
      </c>
      <c r="O1019" s="56"/>
      <c r="P1019" s="58">
        <f t="shared" si="66"/>
        <v>8309561.31</v>
      </c>
      <c r="Q1019" s="59" t="s">
        <v>669</v>
      </c>
    </row>
    <row r="1020" ht="20" customHeight="1" spans="2:19">
      <c r="B1020" s="42">
        <v>8</v>
      </c>
      <c r="C1020" s="42">
        <v>17</v>
      </c>
      <c r="D1020" s="74"/>
      <c r="E1020" s="54" t="s">
        <v>876</v>
      </c>
      <c r="F1020" s="75" t="s">
        <v>1565</v>
      </c>
      <c r="G1020" s="56">
        <v>1500</v>
      </c>
      <c r="H1020" s="56"/>
      <c r="I1020" s="56">
        <v>73</v>
      </c>
      <c r="J1020" s="56"/>
      <c r="K1020" s="56"/>
      <c r="L1020" s="56"/>
      <c r="M1020" s="56"/>
      <c r="N1020" s="56">
        <f t="shared" si="67"/>
        <v>1573</v>
      </c>
      <c r="O1020" s="56"/>
      <c r="P1020" s="58">
        <f t="shared" si="66"/>
        <v>8311134.31</v>
      </c>
      <c r="Q1020" s="59" t="s">
        <v>669</v>
      </c>
      <c r="R1020" s="3" t="s">
        <v>239</v>
      </c>
      <c r="S1020" s="3">
        <f>SUM(N987:N1012)+SUM(N1014:N1020)+N985+N984+S983-SUM(O984:O1012)</f>
        <v>425577.91</v>
      </c>
    </row>
    <row r="1021" ht="20" customHeight="1" spans="2:19">
      <c r="B1021" s="42">
        <v>8</v>
      </c>
      <c r="C1021" s="42">
        <v>17</v>
      </c>
      <c r="D1021" s="74" t="s">
        <v>92</v>
      </c>
      <c r="E1021" s="74" t="s">
        <v>271</v>
      </c>
      <c r="F1021" s="95" t="s">
        <v>1566</v>
      </c>
      <c r="G1021" s="56"/>
      <c r="H1021" s="56"/>
      <c r="I1021" s="56"/>
      <c r="J1021" s="56"/>
      <c r="K1021" s="56"/>
      <c r="L1021" s="56"/>
      <c r="M1021" s="56"/>
      <c r="N1021" s="56">
        <f t="shared" si="67"/>
        <v>0</v>
      </c>
      <c r="O1021" s="56">
        <v>33100</v>
      </c>
      <c r="P1021" s="58">
        <f t="shared" si="66"/>
        <v>8278034.31</v>
      </c>
      <c r="Q1021" s="59"/>
    </row>
    <row r="1022" ht="20" customHeight="1" spans="2:19">
      <c r="B1022" s="42">
        <v>8</v>
      </c>
      <c r="C1022" s="42">
        <v>17</v>
      </c>
      <c r="D1022" s="74"/>
      <c r="E1022" s="54" t="s">
        <v>611</v>
      </c>
      <c r="F1022" s="75" t="s">
        <v>1567</v>
      </c>
      <c r="G1022" s="56">
        <v>19800</v>
      </c>
      <c r="H1022" s="56">
        <v>200</v>
      </c>
      <c r="I1022" s="56">
        <v>792</v>
      </c>
      <c r="J1022" s="56"/>
      <c r="K1022" s="56"/>
      <c r="L1022" s="56"/>
      <c r="M1022" s="56"/>
      <c r="N1022" s="56">
        <f t="shared" si="67"/>
        <v>20792</v>
      </c>
      <c r="O1022" s="56"/>
      <c r="P1022" s="58">
        <f t="shared" si="66"/>
        <v>8298826.31</v>
      </c>
      <c r="Q1022" s="59"/>
    </row>
    <row r="1023" ht="20" customHeight="1" spans="2:19">
      <c r="B1023" s="42">
        <v>8</v>
      </c>
      <c r="C1023" s="42">
        <v>24</v>
      </c>
      <c r="D1023" s="74"/>
      <c r="E1023" s="42"/>
      <c r="F1023" s="75" t="s">
        <v>1568</v>
      </c>
      <c r="G1023" s="56"/>
      <c r="H1023" s="56"/>
      <c r="I1023" s="56"/>
      <c r="J1023" s="56"/>
      <c r="K1023" s="56">
        <v>2940</v>
      </c>
      <c r="L1023" s="56"/>
      <c r="M1023" s="56">
        <v>25.43</v>
      </c>
      <c r="N1023" s="56">
        <f t="shared" si="67"/>
        <v>2914.57</v>
      </c>
      <c r="O1023" s="56"/>
      <c r="P1023" s="58">
        <f t="shared" ref="P1023:P1065" si="68">P1022+N1023-O1023</f>
        <v>8301740.88</v>
      </c>
      <c r="Q1023" s="59" t="s">
        <v>669</v>
      </c>
    </row>
    <row r="1024" ht="20" customHeight="1" spans="2:19">
      <c r="B1024" s="42">
        <v>8</v>
      </c>
      <c r="C1024" s="42">
        <v>24</v>
      </c>
      <c r="D1024" s="74"/>
      <c r="E1024" s="54" t="s">
        <v>524</v>
      </c>
      <c r="F1024" s="75" t="s">
        <v>1569</v>
      </c>
      <c r="G1024" s="56">
        <v>2900</v>
      </c>
      <c r="H1024" s="56"/>
      <c r="I1024" s="56">
        <v>379</v>
      </c>
      <c r="J1024" s="56"/>
      <c r="K1024" s="56"/>
      <c r="L1024" s="56"/>
      <c r="M1024" s="56"/>
      <c r="N1024" s="56">
        <f t="shared" si="67"/>
        <v>3279</v>
      </c>
      <c r="O1024" s="56"/>
      <c r="P1024" s="58">
        <f t="shared" si="68"/>
        <v>8305019.88</v>
      </c>
      <c r="Q1024" s="59" t="s">
        <v>669</v>
      </c>
    </row>
    <row r="1025" ht="20" customHeight="1" spans="2:19">
      <c r="B1025" s="42">
        <v>8</v>
      </c>
      <c r="C1025" s="42">
        <v>24</v>
      </c>
      <c r="D1025" s="74"/>
      <c r="E1025" s="54" t="s">
        <v>524</v>
      </c>
      <c r="F1025" s="75" t="s">
        <v>1570</v>
      </c>
      <c r="G1025" s="56">
        <v>2900</v>
      </c>
      <c r="H1025" s="56"/>
      <c r="I1025" s="56">
        <v>410</v>
      </c>
      <c r="J1025" s="56"/>
      <c r="K1025" s="56"/>
      <c r="L1025" s="56"/>
      <c r="M1025" s="56"/>
      <c r="N1025" s="56">
        <f t="shared" si="67"/>
        <v>3310</v>
      </c>
      <c r="O1025" s="56"/>
      <c r="P1025" s="58">
        <f t="shared" si="68"/>
        <v>8308329.88</v>
      </c>
      <c r="Q1025" s="59" t="s">
        <v>669</v>
      </c>
    </row>
    <row r="1026" ht="20" customHeight="1" spans="2:19">
      <c r="B1026" s="42">
        <v>8</v>
      </c>
      <c r="C1026" s="42">
        <v>24</v>
      </c>
      <c r="D1026" s="74"/>
      <c r="E1026" s="54" t="s">
        <v>524</v>
      </c>
      <c r="F1026" s="75" t="s">
        <v>1571</v>
      </c>
      <c r="G1026" s="56"/>
      <c r="H1026" s="56"/>
      <c r="I1026" s="56">
        <v>120</v>
      </c>
      <c r="J1026" s="56"/>
      <c r="K1026" s="56"/>
      <c r="L1026" s="56"/>
      <c r="M1026" s="56"/>
      <c r="N1026" s="56">
        <f t="shared" si="67"/>
        <v>120</v>
      </c>
      <c r="O1026" s="56"/>
      <c r="P1026" s="58">
        <f t="shared" si="68"/>
        <v>8308449.88</v>
      </c>
      <c r="Q1026" s="59" t="s">
        <v>669</v>
      </c>
    </row>
    <row r="1027" ht="20" customHeight="1" spans="2:19">
      <c r="B1027" s="42">
        <v>8</v>
      </c>
      <c r="C1027" s="42">
        <v>24</v>
      </c>
      <c r="D1027" s="74"/>
      <c r="E1027" s="54" t="s">
        <v>524</v>
      </c>
      <c r="F1027" s="75" t="s">
        <v>1572</v>
      </c>
      <c r="G1027" s="56">
        <v>5075</v>
      </c>
      <c r="H1027" s="56"/>
      <c r="I1027" s="56">
        <v>66</v>
      </c>
      <c r="J1027" s="56"/>
      <c r="K1027" s="56"/>
      <c r="L1027" s="56"/>
      <c r="M1027" s="56"/>
      <c r="N1027" s="56">
        <f t="shared" si="67"/>
        <v>5141</v>
      </c>
      <c r="O1027" s="56"/>
      <c r="P1027" s="58">
        <f t="shared" si="68"/>
        <v>8313590.88</v>
      </c>
      <c r="Q1027" s="59" t="s">
        <v>669</v>
      </c>
    </row>
    <row r="1028" ht="20" customHeight="1" spans="2:19">
      <c r="B1028" s="42">
        <v>8</v>
      </c>
      <c r="C1028" s="42">
        <v>24</v>
      </c>
      <c r="D1028" s="74"/>
      <c r="E1028" s="42" t="s">
        <v>865</v>
      </c>
      <c r="F1028" s="75" t="s">
        <v>1573</v>
      </c>
      <c r="G1028" s="56">
        <v>1700</v>
      </c>
      <c r="H1028" s="56">
        <v>150</v>
      </c>
      <c r="I1028" s="56">
        <v>148</v>
      </c>
      <c r="J1028" s="56"/>
      <c r="K1028" s="56"/>
      <c r="L1028" s="56"/>
      <c r="M1028" s="56"/>
      <c r="N1028" s="56">
        <f t="shared" si="67"/>
        <v>1998</v>
      </c>
      <c r="O1028" s="56"/>
      <c r="P1028" s="58">
        <f t="shared" si="68"/>
        <v>8315588.88</v>
      </c>
      <c r="Q1028" s="59" t="s">
        <v>669</v>
      </c>
    </row>
    <row r="1029" ht="20" customHeight="1" spans="2:19">
      <c r="B1029" s="42">
        <v>8</v>
      </c>
      <c r="C1029" s="42">
        <v>24</v>
      </c>
      <c r="D1029" s="74"/>
      <c r="E1029" s="54" t="s">
        <v>533</v>
      </c>
      <c r="F1029" s="75" t="s">
        <v>1574</v>
      </c>
      <c r="G1029" s="56">
        <v>1400</v>
      </c>
      <c r="H1029" s="56"/>
      <c r="I1029" s="56">
        <v>62</v>
      </c>
      <c r="J1029" s="56"/>
      <c r="K1029" s="56"/>
      <c r="L1029" s="56"/>
      <c r="M1029" s="56"/>
      <c r="N1029" s="56">
        <f t="shared" si="67"/>
        <v>1462</v>
      </c>
      <c r="O1029" s="56"/>
      <c r="P1029" s="58">
        <f t="shared" si="68"/>
        <v>8317050.88</v>
      </c>
      <c r="Q1029" s="59" t="s">
        <v>669</v>
      </c>
    </row>
    <row r="1030" ht="20" customHeight="1" spans="2:19">
      <c r="B1030" s="42">
        <v>8</v>
      </c>
      <c r="C1030" s="42">
        <v>24</v>
      </c>
      <c r="D1030" s="74"/>
      <c r="E1030" s="42" t="s">
        <v>595</v>
      </c>
      <c r="F1030" s="75" t="s">
        <v>1575</v>
      </c>
      <c r="G1030" s="56"/>
      <c r="H1030" s="56">
        <v>150</v>
      </c>
      <c r="I1030" s="56">
        <v>102</v>
      </c>
      <c r="J1030" s="56"/>
      <c r="K1030" s="56"/>
      <c r="L1030" s="56"/>
      <c r="M1030" s="56"/>
      <c r="N1030" s="56">
        <f t="shared" si="67"/>
        <v>252</v>
      </c>
      <c r="O1030" s="56"/>
      <c r="P1030" s="58">
        <f t="shared" si="68"/>
        <v>8317302.88</v>
      </c>
      <c r="Q1030" s="59" t="s">
        <v>669</v>
      </c>
    </row>
    <row r="1031" ht="20" customHeight="1" spans="2:19">
      <c r="B1031" s="42">
        <v>8</v>
      </c>
      <c r="C1031" s="42">
        <v>24</v>
      </c>
      <c r="D1031" s="74"/>
      <c r="E1031" s="54" t="s">
        <v>894</v>
      </c>
      <c r="F1031" s="75" t="s">
        <v>1576</v>
      </c>
      <c r="G1031" s="56">
        <v>3500</v>
      </c>
      <c r="H1031" s="56">
        <v>150</v>
      </c>
      <c r="I1031" s="56">
        <v>162</v>
      </c>
      <c r="J1031" s="56"/>
      <c r="K1031" s="56"/>
      <c r="L1031" s="56"/>
      <c r="M1031" s="56"/>
      <c r="N1031" s="56">
        <f t="shared" si="67"/>
        <v>3812</v>
      </c>
      <c r="O1031" s="56"/>
      <c r="P1031" s="58">
        <f t="shared" si="68"/>
        <v>8321114.88</v>
      </c>
      <c r="Q1031" s="59" t="s">
        <v>669</v>
      </c>
    </row>
    <row r="1032" ht="20" customHeight="1" spans="2:19">
      <c r="B1032" s="42">
        <v>8</v>
      </c>
      <c r="C1032" s="42">
        <v>24</v>
      </c>
      <c r="D1032" s="74"/>
      <c r="E1032" s="74" t="s">
        <v>701</v>
      </c>
      <c r="F1032" s="75" t="s">
        <v>1577</v>
      </c>
      <c r="G1032" s="56"/>
      <c r="H1032" s="56"/>
      <c r="I1032" s="56">
        <v>68</v>
      </c>
      <c r="J1032" s="56"/>
      <c r="K1032" s="56"/>
      <c r="L1032" s="56"/>
      <c r="M1032" s="56"/>
      <c r="N1032" s="56">
        <f t="shared" si="67"/>
        <v>68</v>
      </c>
      <c r="O1032" s="56"/>
      <c r="P1032" s="58">
        <f t="shared" si="68"/>
        <v>8321182.88</v>
      </c>
      <c r="Q1032" s="59" t="s">
        <v>669</v>
      </c>
    </row>
    <row r="1033" ht="20" customHeight="1" spans="2:19">
      <c r="B1033" s="42">
        <v>8</v>
      </c>
      <c r="C1033" s="42">
        <v>24</v>
      </c>
      <c r="D1033" s="74"/>
      <c r="E1033" s="42" t="s">
        <v>1133</v>
      </c>
      <c r="F1033" s="75" t="s">
        <v>1578</v>
      </c>
      <c r="G1033" s="56"/>
      <c r="H1033" s="56">
        <v>150</v>
      </c>
      <c r="I1033" s="56">
        <v>36</v>
      </c>
      <c r="J1033" s="56"/>
      <c r="K1033" s="56"/>
      <c r="L1033" s="56"/>
      <c r="M1033" s="56"/>
      <c r="N1033" s="56">
        <f t="shared" si="67"/>
        <v>186</v>
      </c>
      <c r="O1033" s="56"/>
      <c r="P1033" s="58">
        <f t="shared" si="68"/>
        <v>8321368.88</v>
      </c>
      <c r="Q1033" s="59" t="s">
        <v>669</v>
      </c>
    </row>
    <row r="1034" ht="20" customHeight="1" spans="2:19">
      <c r="B1034" s="42">
        <v>8</v>
      </c>
      <c r="C1034" s="42">
        <v>24</v>
      </c>
      <c r="D1034" s="74"/>
      <c r="E1034" s="54" t="s">
        <v>543</v>
      </c>
      <c r="F1034" s="75" t="s">
        <v>1579</v>
      </c>
      <c r="G1034" s="56">
        <v>1300</v>
      </c>
      <c r="H1034" s="56"/>
      <c r="I1034" s="56">
        <v>92</v>
      </c>
      <c r="J1034" s="56"/>
      <c r="K1034" s="56"/>
      <c r="L1034" s="56"/>
      <c r="M1034" s="56"/>
      <c r="N1034" s="56">
        <f t="shared" si="67"/>
        <v>1392</v>
      </c>
      <c r="O1034" s="56"/>
      <c r="P1034" s="58">
        <f t="shared" si="68"/>
        <v>8322760.88</v>
      </c>
      <c r="Q1034" s="59" t="s">
        <v>669</v>
      </c>
    </row>
    <row r="1035" ht="20" customHeight="1" spans="2:19">
      <c r="B1035" s="42">
        <v>8</v>
      </c>
      <c r="C1035" s="42">
        <v>24</v>
      </c>
      <c r="D1035" s="74"/>
      <c r="E1035" s="74" t="s">
        <v>1580</v>
      </c>
      <c r="F1035" s="75" t="s">
        <v>1196</v>
      </c>
      <c r="G1035" s="56"/>
      <c r="H1035" s="56"/>
      <c r="I1035" s="56"/>
      <c r="J1035" s="56">
        <v>1500</v>
      </c>
      <c r="K1035" s="56"/>
      <c r="L1035" s="56"/>
      <c r="M1035" s="56"/>
      <c r="N1035" s="56">
        <f t="shared" si="67"/>
        <v>1500</v>
      </c>
      <c r="O1035" s="56"/>
      <c r="P1035" s="58">
        <f t="shared" si="68"/>
        <v>8324260.88</v>
      </c>
      <c r="Q1035" s="59" t="s">
        <v>669</v>
      </c>
      <c r="R1035" s="3" t="s">
        <v>239</v>
      </c>
      <c r="S1035" s="3">
        <f>SUM(N1021:N1035)-O1021+S1020</f>
        <v>438704.48</v>
      </c>
    </row>
    <row r="1036" ht="20" customHeight="1" spans="2:19">
      <c r="B1036" s="42">
        <v>8</v>
      </c>
      <c r="C1036" s="42">
        <v>24</v>
      </c>
      <c r="D1036" s="74"/>
      <c r="E1036" s="74" t="s">
        <v>585</v>
      </c>
      <c r="F1036" s="95" t="s">
        <v>1581</v>
      </c>
      <c r="G1036" s="56">
        <v>3000</v>
      </c>
      <c r="H1036" s="56"/>
      <c r="I1036" s="56">
        <v>538</v>
      </c>
      <c r="J1036" s="56"/>
      <c r="K1036" s="56"/>
      <c r="L1036" s="56"/>
      <c r="M1036" s="56"/>
      <c r="N1036" s="56">
        <f t="shared" si="67"/>
        <v>3538</v>
      </c>
      <c r="O1036" s="56"/>
      <c r="P1036" s="58">
        <f t="shared" si="68"/>
        <v>8327798.88</v>
      </c>
      <c r="Q1036" s="59"/>
    </row>
    <row r="1037" ht="20" customHeight="1" spans="2:19">
      <c r="B1037" s="42">
        <v>8</v>
      </c>
      <c r="C1037" s="42">
        <v>24</v>
      </c>
      <c r="D1037" s="74" t="s">
        <v>129</v>
      </c>
      <c r="E1037" s="54" t="s">
        <v>486</v>
      </c>
      <c r="F1037" s="45" t="s">
        <v>1582</v>
      </c>
      <c r="G1037" s="56"/>
      <c r="H1037" s="56"/>
      <c r="I1037" s="56"/>
      <c r="J1037" s="56"/>
      <c r="K1037" s="56"/>
      <c r="L1037" s="56"/>
      <c r="M1037" s="56"/>
      <c r="N1037" s="56">
        <f t="shared" si="67"/>
        <v>0</v>
      </c>
      <c r="O1037" s="56">
        <v>3462</v>
      </c>
      <c r="P1037" s="58">
        <f t="shared" si="68"/>
        <v>8324336.88</v>
      </c>
      <c r="Q1037" s="59"/>
    </row>
    <row r="1038" ht="20" customHeight="1" spans="2:19">
      <c r="B1038" s="42">
        <v>8</v>
      </c>
      <c r="C1038" s="42">
        <v>24</v>
      </c>
      <c r="D1038" s="74" t="s">
        <v>101</v>
      </c>
      <c r="E1038" s="54" t="s">
        <v>486</v>
      </c>
      <c r="F1038" s="45" t="s">
        <v>1583</v>
      </c>
      <c r="G1038" s="56"/>
      <c r="H1038" s="56"/>
      <c r="I1038" s="56"/>
      <c r="J1038" s="56"/>
      <c r="K1038" s="56"/>
      <c r="L1038" s="56"/>
      <c r="M1038" s="56"/>
      <c r="N1038" s="56">
        <f t="shared" si="67"/>
        <v>0</v>
      </c>
      <c r="O1038" s="56">
        <v>190</v>
      </c>
      <c r="P1038" s="58">
        <f t="shared" si="68"/>
        <v>8324146.88</v>
      </c>
      <c r="Q1038" s="59"/>
    </row>
    <row r="1039" ht="20" customHeight="1" spans="2:19">
      <c r="B1039" s="42">
        <v>8</v>
      </c>
      <c r="C1039" s="42">
        <v>24</v>
      </c>
      <c r="D1039" s="74" t="s">
        <v>100</v>
      </c>
      <c r="E1039" s="54" t="s">
        <v>486</v>
      </c>
      <c r="F1039" s="45" t="s">
        <v>1584</v>
      </c>
      <c r="G1039" s="56"/>
      <c r="H1039" s="56"/>
      <c r="I1039" s="56"/>
      <c r="J1039" s="56"/>
      <c r="K1039" s="56"/>
      <c r="L1039" s="56"/>
      <c r="M1039" s="56"/>
      <c r="N1039" s="56">
        <f t="shared" si="67"/>
        <v>0</v>
      </c>
      <c r="O1039" s="56">
        <v>600</v>
      </c>
      <c r="P1039" s="58">
        <f t="shared" si="68"/>
        <v>8323546.88</v>
      </c>
      <c r="Q1039" s="59"/>
    </row>
    <row r="1040" ht="20" customHeight="1" spans="2:19">
      <c r="B1040" s="42">
        <v>8</v>
      </c>
      <c r="C1040" s="42">
        <v>27</v>
      </c>
      <c r="D1040" s="74" t="s">
        <v>69</v>
      </c>
      <c r="E1040" s="42" t="s">
        <v>20</v>
      </c>
      <c r="F1040" s="95" t="s">
        <v>280</v>
      </c>
      <c r="G1040" s="56"/>
      <c r="H1040" s="56"/>
      <c r="I1040" s="56"/>
      <c r="J1040" s="56"/>
      <c r="K1040" s="56"/>
      <c r="L1040" s="56"/>
      <c r="M1040" s="56"/>
      <c r="N1040" s="177">
        <v>90000</v>
      </c>
      <c r="O1040" s="84">
        <v>90000</v>
      </c>
      <c r="P1040" s="58">
        <f t="shared" si="68"/>
        <v>8323546.88</v>
      </c>
      <c r="Q1040" s="56"/>
    </row>
    <row r="1041" ht="20" customHeight="1" spans="2:17">
      <c r="B1041" s="42">
        <v>8</v>
      </c>
      <c r="C1041" s="42">
        <v>28</v>
      </c>
      <c r="D1041" s="94" t="s">
        <v>121</v>
      </c>
      <c r="E1041" s="94" t="s">
        <v>764</v>
      </c>
      <c r="F1041" s="157" t="s">
        <v>1585</v>
      </c>
      <c r="G1041" s="84"/>
      <c r="H1041" s="84"/>
      <c r="I1041" s="84"/>
      <c r="J1041" s="84"/>
      <c r="K1041" s="84"/>
      <c r="L1041" s="84"/>
      <c r="M1041" s="84"/>
      <c r="N1041" s="84">
        <f>SUM(G1041:L1041)-M1041</f>
        <v>0</v>
      </c>
      <c r="O1041" s="181">
        <v>130000</v>
      </c>
      <c r="P1041" s="58">
        <f t="shared" si="68"/>
        <v>8193546.88</v>
      </c>
      <c r="Q1041" s="59"/>
    </row>
    <row r="1042" ht="20" customHeight="1" spans="2:17">
      <c r="B1042" s="42">
        <v>8</v>
      </c>
      <c r="C1042" s="42">
        <v>28</v>
      </c>
      <c r="D1042" s="74" t="s">
        <v>124</v>
      </c>
      <c r="E1042" s="42"/>
      <c r="F1042" s="45" t="s">
        <v>1586</v>
      </c>
      <c r="G1042" s="56"/>
      <c r="H1042" s="56"/>
      <c r="I1042" s="56"/>
      <c r="J1042" s="56"/>
      <c r="K1042" s="56"/>
      <c r="L1042" s="56"/>
      <c r="M1042" s="56"/>
      <c r="N1042" s="56">
        <f t="shared" ref="N1042:N1073" si="69">SUM(G1042:L1042)-M1042</f>
        <v>0</v>
      </c>
      <c r="O1042" s="56">
        <v>17398.2</v>
      </c>
      <c r="P1042" s="58">
        <f t="shared" si="68"/>
        <v>8176148.68</v>
      </c>
      <c r="Q1042" s="59"/>
    </row>
    <row r="1043" ht="20" customHeight="1" spans="2:17">
      <c r="B1043" s="42">
        <v>8</v>
      </c>
      <c r="C1043" s="42">
        <v>28</v>
      </c>
      <c r="D1043" s="74"/>
      <c r="E1043" s="54" t="s">
        <v>623</v>
      </c>
      <c r="F1043" s="45" t="s">
        <v>1587</v>
      </c>
      <c r="G1043" s="56">
        <v>5000</v>
      </c>
      <c r="H1043" s="56"/>
      <c r="I1043" s="56"/>
      <c r="J1043" s="56"/>
      <c r="K1043" s="56"/>
      <c r="L1043" s="56"/>
      <c r="M1043" s="56"/>
      <c r="N1043" s="56">
        <f t="shared" si="69"/>
        <v>5000</v>
      </c>
      <c r="O1043" s="56"/>
      <c r="P1043" s="58">
        <f t="shared" si="68"/>
        <v>8181148.68</v>
      </c>
      <c r="Q1043" s="59"/>
    </row>
    <row r="1044" ht="20" customHeight="1" spans="2:17">
      <c r="B1044" s="42">
        <v>8</v>
      </c>
      <c r="C1044" s="42">
        <v>28</v>
      </c>
      <c r="D1044" s="74"/>
      <c r="E1044" s="54" t="s">
        <v>811</v>
      </c>
      <c r="F1044" s="45" t="s">
        <v>1588</v>
      </c>
      <c r="G1044" s="56">
        <v>1500</v>
      </c>
      <c r="H1044" s="56"/>
      <c r="I1044" s="56">
        <v>355</v>
      </c>
      <c r="J1044" s="56"/>
      <c r="K1044" s="56"/>
      <c r="L1044" s="56"/>
      <c r="M1044" s="56"/>
      <c r="N1044" s="56">
        <f t="shared" si="69"/>
        <v>1855</v>
      </c>
      <c r="O1044" s="56"/>
      <c r="P1044" s="58">
        <f t="shared" si="68"/>
        <v>8183003.68</v>
      </c>
      <c r="Q1044" s="59"/>
    </row>
    <row r="1045" ht="20" customHeight="1" spans="2:17">
      <c r="B1045" s="42">
        <v>8</v>
      </c>
      <c r="C1045" s="42">
        <v>30</v>
      </c>
      <c r="D1045" s="74"/>
      <c r="E1045" s="54" t="s">
        <v>493</v>
      </c>
      <c r="F1045" s="45" t="s">
        <v>1589</v>
      </c>
      <c r="G1045" s="56">
        <v>7221</v>
      </c>
      <c r="H1045" s="56"/>
      <c r="I1045" s="56">
        <v>598</v>
      </c>
      <c r="J1045" s="56"/>
      <c r="K1045" s="56"/>
      <c r="L1045" s="56"/>
      <c r="M1045" s="56"/>
      <c r="N1045" s="56">
        <f t="shared" si="69"/>
        <v>7819</v>
      </c>
      <c r="O1045" s="56"/>
      <c r="P1045" s="58">
        <f t="shared" si="68"/>
        <v>8190822.68</v>
      </c>
      <c r="Q1045" s="59"/>
    </row>
    <row r="1046" ht="20" customHeight="1" spans="2:17">
      <c r="B1046" s="42">
        <v>8</v>
      </c>
      <c r="C1046" s="42">
        <v>30</v>
      </c>
      <c r="D1046" s="74"/>
      <c r="E1046" s="54" t="s">
        <v>655</v>
      </c>
      <c r="F1046" s="45" t="s">
        <v>1590</v>
      </c>
      <c r="G1046" s="56">
        <v>1300</v>
      </c>
      <c r="H1046" s="56">
        <v>150</v>
      </c>
      <c r="I1046" s="56">
        <v>264</v>
      </c>
      <c r="J1046" s="56"/>
      <c r="K1046" s="56"/>
      <c r="L1046" s="56"/>
      <c r="M1046" s="56"/>
      <c r="N1046" s="56">
        <f t="shared" si="69"/>
        <v>1714</v>
      </c>
      <c r="O1046" s="56"/>
      <c r="P1046" s="58">
        <f t="shared" si="68"/>
        <v>8192536.68</v>
      </c>
      <c r="Q1046" s="59"/>
    </row>
    <row r="1047" ht="20" customHeight="1" spans="2:17">
      <c r="B1047" s="42">
        <v>8</v>
      </c>
      <c r="C1047" s="42">
        <v>30</v>
      </c>
      <c r="D1047" s="74"/>
      <c r="E1047" s="54" t="s">
        <v>491</v>
      </c>
      <c r="F1047" s="45" t="s">
        <v>1591</v>
      </c>
      <c r="G1047" s="56"/>
      <c r="H1047" s="56"/>
      <c r="I1047" s="56"/>
      <c r="J1047" s="56"/>
      <c r="K1047" s="56"/>
      <c r="L1047" s="56"/>
      <c r="M1047" s="56"/>
      <c r="N1047" s="56">
        <v>30000</v>
      </c>
      <c r="O1047" s="56"/>
      <c r="P1047" s="58">
        <f t="shared" si="68"/>
        <v>8222536.68</v>
      </c>
      <c r="Q1047" s="59"/>
    </row>
    <row r="1048" ht="20" customHeight="1" spans="2:17">
      <c r="B1048" s="42">
        <v>8</v>
      </c>
      <c r="C1048" s="42">
        <v>31</v>
      </c>
      <c r="D1048" s="74" t="s">
        <v>103</v>
      </c>
      <c r="E1048" s="42"/>
      <c r="F1048" s="45" t="s">
        <v>1359</v>
      </c>
      <c r="G1048" s="56"/>
      <c r="H1048" s="56"/>
      <c r="I1048" s="56"/>
      <c r="J1048" s="56"/>
      <c r="K1048" s="56"/>
      <c r="L1048" s="56"/>
      <c r="M1048" s="56"/>
      <c r="N1048" s="56">
        <f t="shared" si="69"/>
        <v>0</v>
      </c>
      <c r="O1048" s="56">
        <v>100</v>
      </c>
      <c r="P1048" s="58">
        <f t="shared" si="68"/>
        <v>8222436.68</v>
      </c>
      <c r="Q1048" s="59"/>
    </row>
    <row r="1049" ht="20" customHeight="1" spans="2:17">
      <c r="B1049" s="42">
        <v>8</v>
      </c>
      <c r="C1049" s="42">
        <v>31</v>
      </c>
      <c r="D1049" s="74"/>
      <c r="E1049" s="54"/>
      <c r="F1049" s="45" t="s">
        <v>1592</v>
      </c>
      <c r="G1049" s="56"/>
      <c r="H1049" s="56"/>
      <c r="I1049" s="56"/>
      <c r="J1049" s="56"/>
      <c r="K1049" s="56">
        <v>1520</v>
      </c>
      <c r="L1049" s="56"/>
      <c r="M1049" s="56">
        <v>72.11</v>
      </c>
      <c r="N1049" s="56">
        <f t="shared" si="69"/>
        <v>1447.89</v>
      </c>
      <c r="O1049" s="56"/>
      <c r="P1049" s="58">
        <f t="shared" si="68"/>
        <v>8223884.57</v>
      </c>
      <c r="Q1049" s="59" t="s">
        <v>669</v>
      </c>
    </row>
    <row r="1050" ht="20" customHeight="1" spans="2:17">
      <c r="B1050" s="42">
        <v>8</v>
      </c>
      <c r="C1050" s="42">
        <v>31</v>
      </c>
      <c r="D1050" s="74"/>
      <c r="E1050" s="54" t="s">
        <v>558</v>
      </c>
      <c r="F1050" s="45" t="s">
        <v>1593</v>
      </c>
      <c r="G1050" s="56">
        <v>1400</v>
      </c>
      <c r="H1050" s="56">
        <v>150</v>
      </c>
      <c r="I1050" s="56">
        <v>118</v>
      </c>
      <c r="J1050" s="56"/>
      <c r="K1050" s="56"/>
      <c r="L1050" s="56"/>
      <c r="M1050" s="56"/>
      <c r="N1050" s="56">
        <f t="shared" si="69"/>
        <v>1668</v>
      </c>
      <c r="O1050" s="56"/>
      <c r="P1050" s="58">
        <f t="shared" si="68"/>
        <v>8225552.57</v>
      </c>
      <c r="Q1050" s="59" t="s">
        <v>669</v>
      </c>
    </row>
    <row r="1051" ht="20" customHeight="1" spans="2:17">
      <c r="B1051" s="42">
        <v>8</v>
      </c>
      <c r="C1051" s="42">
        <v>31</v>
      </c>
      <c r="D1051" s="74"/>
      <c r="E1051" s="54" t="s">
        <v>1594</v>
      </c>
      <c r="F1051" s="45" t="s">
        <v>1595</v>
      </c>
      <c r="G1051" s="56"/>
      <c r="H1051" s="56"/>
      <c r="I1051" s="56"/>
      <c r="J1051" s="56">
        <v>9900</v>
      </c>
      <c r="K1051" s="56"/>
      <c r="L1051" s="56"/>
      <c r="M1051" s="56"/>
      <c r="N1051" s="56">
        <f t="shared" si="69"/>
        <v>9900</v>
      </c>
      <c r="O1051" s="56"/>
      <c r="P1051" s="58">
        <f t="shared" si="68"/>
        <v>8235452.57</v>
      </c>
      <c r="Q1051" s="59" t="s">
        <v>669</v>
      </c>
    </row>
    <row r="1052" ht="20" customHeight="1" spans="2:17">
      <c r="B1052" s="42">
        <v>8</v>
      </c>
      <c r="C1052" s="42">
        <v>31</v>
      </c>
      <c r="D1052" s="74"/>
      <c r="E1052" s="54" t="s">
        <v>905</v>
      </c>
      <c r="F1052" s="45" t="s">
        <v>1596</v>
      </c>
      <c r="G1052" s="56"/>
      <c r="H1052" s="56">
        <v>150</v>
      </c>
      <c r="I1052" s="56">
        <v>82</v>
      </c>
      <c r="J1052" s="56"/>
      <c r="K1052" s="56"/>
      <c r="L1052" s="56"/>
      <c r="M1052" s="56"/>
      <c r="N1052" s="56">
        <f t="shared" si="69"/>
        <v>232</v>
      </c>
      <c r="O1052" s="56"/>
      <c r="P1052" s="58">
        <f t="shared" si="68"/>
        <v>8235684.57</v>
      </c>
      <c r="Q1052" s="59" t="s">
        <v>669</v>
      </c>
    </row>
    <row r="1053" ht="20" customHeight="1" spans="2:17">
      <c r="B1053" s="42">
        <v>8</v>
      </c>
      <c r="C1053" s="42">
        <v>31</v>
      </c>
      <c r="D1053" s="74"/>
      <c r="E1053" s="74" t="s">
        <v>1210</v>
      </c>
      <c r="F1053" s="45" t="s">
        <v>1597</v>
      </c>
      <c r="G1053" s="56">
        <v>1500</v>
      </c>
      <c r="H1053" s="56">
        <v>150</v>
      </c>
      <c r="I1053" s="56">
        <v>64</v>
      </c>
      <c r="J1053" s="56"/>
      <c r="K1053" s="56"/>
      <c r="L1053" s="56"/>
      <c r="M1053" s="56"/>
      <c r="N1053" s="56">
        <f t="shared" si="69"/>
        <v>1714</v>
      </c>
      <c r="O1053" s="56"/>
      <c r="P1053" s="58">
        <f t="shared" si="68"/>
        <v>8237398.57</v>
      </c>
      <c r="Q1053" s="59" t="s">
        <v>669</v>
      </c>
    </row>
    <row r="1054" ht="20" customHeight="1" spans="2:17">
      <c r="B1054" s="42">
        <v>8</v>
      </c>
      <c r="C1054" s="42">
        <v>31</v>
      </c>
      <c r="D1054" s="74"/>
      <c r="E1054" s="54" t="s">
        <v>626</v>
      </c>
      <c r="F1054" s="45" t="s">
        <v>1598</v>
      </c>
      <c r="G1054" s="56">
        <v>1400</v>
      </c>
      <c r="H1054" s="56">
        <v>150</v>
      </c>
      <c r="I1054" s="56">
        <v>72</v>
      </c>
      <c r="J1054" s="56"/>
      <c r="K1054" s="56"/>
      <c r="L1054" s="56"/>
      <c r="M1054" s="56"/>
      <c r="N1054" s="56">
        <f t="shared" si="69"/>
        <v>1622</v>
      </c>
      <c r="O1054" s="56"/>
      <c r="P1054" s="58">
        <f t="shared" si="68"/>
        <v>8239020.57</v>
      </c>
      <c r="Q1054" s="59" t="s">
        <v>669</v>
      </c>
    </row>
    <row r="1055" ht="20" customHeight="1" spans="2:17">
      <c r="B1055" s="42">
        <v>8</v>
      </c>
      <c r="C1055" s="42">
        <v>31</v>
      </c>
      <c r="D1055" s="74"/>
      <c r="E1055" s="74" t="s">
        <v>646</v>
      </c>
      <c r="F1055" s="45" t="s">
        <v>1599</v>
      </c>
      <c r="G1055" s="56">
        <v>27600</v>
      </c>
      <c r="H1055" s="56">
        <v>200</v>
      </c>
      <c r="I1055" s="56">
        <v>774</v>
      </c>
      <c r="J1055" s="56"/>
      <c r="K1055" s="56"/>
      <c r="L1055" s="56"/>
      <c r="M1055" s="56"/>
      <c r="N1055" s="56">
        <f t="shared" si="69"/>
        <v>28574</v>
      </c>
      <c r="O1055" s="56"/>
      <c r="P1055" s="58">
        <f t="shared" si="68"/>
        <v>8267594.57</v>
      </c>
      <c r="Q1055" s="59" t="s">
        <v>669</v>
      </c>
    </row>
    <row r="1056" ht="20" customHeight="1" spans="2:17">
      <c r="B1056" s="42">
        <v>8</v>
      </c>
      <c r="C1056" s="42">
        <v>31</v>
      </c>
      <c r="D1056" s="74"/>
      <c r="E1056" s="54" t="s">
        <v>785</v>
      </c>
      <c r="F1056" s="45" t="s">
        <v>1245</v>
      </c>
      <c r="G1056" s="56">
        <v>3500</v>
      </c>
      <c r="H1056" s="56"/>
      <c r="I1056" s="56"/>
      <c r="J1056" s="56"/>
      <c r="K1056" s="56"/>
      <c r="L1056" s="56"/>
      <c r="M1056" s="56"/>
      <c r="N1056" s="56">
        <f t="shared" si="69"/>
        <v>3500</v>
      </c>
      <c r="O1056" s="56"/>
      <c r="P1056" s="58">
        <f t="shared" si="68"/>
        <v>8271094.57</v>
      </c>
      <c r="Q1056" s="59" t="s">
        <v>669</v>
      </c>
    </row>
    <row r="1057" ht="20" customHeight="1" spans="2:19">
      <c r="B1057" s="42">
        <v>8</v>
      </c>
      <c r="C1057" s="42">
        <v>31</v>
      </c>
      <c r="D1057" s="74"/>
      <c r="E1057" s="74" t="s">
        <v>484</v>
      </c>
      <c r="F1057" s="45" t="s">
        <v>1600</v>
      </c>
      <c r="G1057" s="56">
        <v>2500</v>
      </c>
      <c r="H1057" s="56"/>
      <c r="I1057" s="56">
        <v>251</v>
      </c>
      <c r="J1057" s="56"/>
      <c r="K1057" s="56"/>
      <c r="L1057" s="56"/>
      <c r="M1057" s="56"/>
      <c r="N1057" s="56">
        <f t="shared" si="69"/>
        <v>2751</v>
      </c>
      <c r="O1057" s="56"/>
      <c r="P1057" s="58">
        <f t="shared" si="68"/>
        <v>8273845.57</v>
      </c>
      <c r="Q1057" s="59" t="s">
        <v>669</v>
      </c>
    </row>
    <row r="1058" ht="20" customHeight="1" spans="2:19">
      <c r="B1058" s="42">
        <v>8</v>
      </c>
      <c r="C1058" s="42">
        <v>31</v>
      </c>
      <c r="D1058" s="74"/>
      <c r="E1058" s="74" t="s">
        <v>660</v>
      </c>
      <c r="F1058" s="45" t="s">
        <v>1601</v>
      </c>
      <c r="G1058" s="56">
        <v>2000</v>
      </c>
      <c r="H1058" s="56">
        <v>150</v>
      </c>
      <c r="I1058" s="56">
        <v>270</v>
      </c>
      <c r="J1058" s="56"/>
      <c r="K1058" s="56"/>
      <c r="L1058" s="56"/>
      <c r="M1058" s="56"/>
      <c r="N1058" s="56">
        <f t="shared" si="69"/>
        <v>2420</v>
      </c>
      <c r="O1058" s="56"/>
      <c r="P1058" s="58">
        <f t="shared" si="68"/>
        <v>8276265.57</v>
      </c>
      <c r="Q1058" s="59" t="s">
        <v>669</v>
      </c>
    </row>
    <row r="1059" ht="20" customHeight="1" spans="2:19">
      <c r="B1059" s="42">
        <v>8</v>
      </c>
      <c r="C1059" s="42">
        <v>31</v>
      </c>
      <c r="D1059" s="74"/>
      <c r="E1059" s="54" t="s">
        <v>574</v>
      </c>
      <c r="F1059" s="45" t="s">
        <v>1602</v>
      </c>
      <c r="G1059" s="56">
        <v>7043</v>
      </c>
      <c r="H1059" s="56"/>
      <c r="I1059" s="56">
        <v>916</v>
      </c>
      <c r="J1059" s="56"/>
      <c r="K1059" s="56"/>
      <c r="L1059" s="56"/>
      <c r="M1059" s="56"/>
      <c r="N1059" s="56">
        <f t="shared" si="69"/>
        <v>7959</v>
      </c>
      <c r="O1059" s="56"/>
      <c r="P1059" s="58">
        <f t="shared" si="68"/>
        <v>8284224.57</v>
      </c>
      <c r="Q1059" s="59" t="s">
        <v>669</v>
      </c>
    </row>
    <row r="1060" ht="20" customHeight="1" spans="2:19">
      <c r="B1060" s="42">
        <v>8</v>
      </c>
      <c r="C1060" s="42">
        <v>31</v>
      </c>
      <c r="D1060" s="74"/>
      <c r="E1060" s="74" t="s">
        <v>606</v>
      </c>
      <c r="F1060" s="45" t="s">
        <v>1603</v>
      </c>
      <c r="G1060" s="56">
        <v>7500</v>
      </c>
      <c r="H1060" s="56">
        <v>300</v>
      </c>
      <c r="I1060" s="56">
        <v>1061</v>
      </c>
      <c r="J1060" s="56"/>
      <c r="K1060" s="56"/>
      <c r="L1060" s="56"/>
      <c r="M1060" s="56"/>
      <c r="N1060" s="56">
        <f t="shared" si="69"/>
        <v>8861</v>
      </c>
      <c r="O1060" s="56"/>
      <c r="P1060" s="58">
        <f t="shared" si="68"/>
        <v>8293085.57</v>
      </c>
      <c r="Q1060" s="59" t="s">
        <v>669</v>
      </c>
    </row>
    <row r="1061" ht="20" customHeight="1" spans="2:19">
      <c r="B1061" s="42">
        <v>8</v>
      </c>
      <c r="C1061" s="42">
        <v>31</v>
      </c>
      <c r="D1061" s="74"/>
      <c r="E1061" s="54" t="s">
        <v>520</v>
      </c>
      <c r="F1061" s="45" t="s">
        <v>1604</v>
      </c>
      <c r="G1061" s="56">
        <v>1400</v>
      </c>
      <c r="H1061" s="56"/>
      <c r="I1061" s="56">
        <v>59</v>
      </c>
      <c r="J1061" s="56"/>
      <c r="K1061" s="56"/>
      <c r="L1061" s="56"/>
      <c r="M1061" s="56"/>
      <c r="N1061" s="56">
        <f t="shared" si="69"/>
        <v>1459</v>
      </c>
      <c r="O1061" s="56"/>
      <c r="P1061" s="58">
        <f t="shared" si="68"/>
        <v>8294544.57</v>
      </c>
      <c r="Q1061" s="59" t="s">
        <v>669</v>
      </c>
    </row>
    <row r="1062" ht="20" customHeight="1" spans="2:19">
      <c r="B1062" s="42">
        <v>8</v>
      </c>
      <c r="C1062" s="42">
        <v>31</v>
      </c>
      <c r="D1062" s="74"/>
      <c r="E1062" s="74" t="s">
        <v>479</v>
      </c>
      <c r="F1062" s="45" t="s">
        <v>1605</v>
      </c>
      <c r="G1062" s="56"/>
      <c r="H1062" s="56"/>
      <c r="I1062" s="56">
        <v>1113.4</v>
      </c>
      <c r="J1062" s="56"/>
      <c r="K1062" s="56"/>
      <c r="L1062" s="56"/>
      <c r="M1062" s="56"/>
      <c r="N1062" s="56">
        <f t="shared" si="69"/>
        <v>1113.4</v>
      </c>
      <c r="O1062" s="56"/>
      <c r="P1062" s="58">
        <f t="shared" si="68"/>
        <v>8295657.97</v>
      </c>
      <c r="Q1062" s="59"/>
    </row>
    <row r="1063" ht="20" customHeight="1" spans="2:19">
      <c r="B1063" s="42">
        <v>8</v>
      </c>
      <c r="C1063" s="42">
        <v>31</v>
      </c>
      <c r="D1063" s="74"/>
      <c r="E1063" s="74" t="s">
        <v>1195</v>
      </c>
      <c r="F1063" s="45" t="s">
        <v>1606</v>
      </c>
      <c r="G1063" s="56">
        <v>1900</v>
      </c>
      <c r="H1063" s="56">
        <v>150</v>
      </c>
      <c r="I1063" s="56">
        <v>181</v>
      </c>
      <c r="J1063" s="56"/>
      <c r="K1063" s="56"/>
      <c r="L1063" s="56"/>
      <c r="M1063" s="56">
        <v>6.63</v>
      </c>
      <c r="N1063" s="56">
        <f t="shared" si="69"/>
        <v>2224.37</v>
      </c>
      <c r="O1063" s="56"/>
      <c r="P1063" s="58">
        <f t="shared" si="68"/>
        <v>8297882.34</v>
      </c>
      <c r="Q1063" s="59" t="s">
        <v>669</v>
      </c>
    </row>
    <row r="1064" ht="20" customHeight="1" spans="2:19">
      <c r="B1064" s="42">
        <v>8</v>
      </c>
      <c r="C1064" s="42">
        <v>31</v>
      </c>
      <c r="D1064" s="74"/>
      <c r="E1064" s="54" t="s">
        <v>881</v>
      </c>
      <c r="F1064" s="45" t="s">
        <v>1607</v>
      </c>
      <c r="G1064" s="56"/>
      <c r="H1064" s="56"/>
      <c r="I1064" s="56">
        <v>131</v>
      </c>
      <c r="J1064" s="56"/>
      <c r="K1064" s="56"/>
      <c r="L1064" s="56"/>
      <c r="M1064" s="56"/>
      <c r="N1064" s="56">
        <f t="shared" si="69"/>
        <v>131</v>
      </c>
      <c r="O1064" s="56"/>
      <c r="P1064" s="58">
        <f t="shared" si="68"/>
        <v>8298013.34</v>
      </c>
      <c r="Q1064" s="59" t="s">
        <v>669</v>
      </c>
    </row>
    <row r="1065" ht="20" customHeight="1" spans="2:19">
      <c r="B1065" s="42">
        <v>8</v>
      </c>
      <c r="C1065" s="42">
        <v>31</v>
      </c>
      <c r="D1065" s="74"/>
      <c r="E1065" s="74" t="s">
        <v>581</v>
      </c>
      <c r="F1065" s="45" t="s">
        <v>1608</v>
      </c>
      <c r="G1065" s="56">
        <v>3600</v>
      </c>
      <c r="H1065" s="56">
        <v>150</v>
      </c>
      <c r="I1065" s="56">
        <v>523</v>
      </c>
      <c r="J1065" s="56"/>
      <c r="K1065" s="56"/>
      <c r="L1065" s="56"/>
      <c r="M1065" s="56"/>
      <c r="N1065" s="56">
        <f t="shared" si="69"/>
        <v>4273</v>
      </c>
      <c r="O1065" s="56"/>
      <c r="P1065" s="58">
        <f t="shared" si="68"/>
        <v>8302286.34</v>
      </c>
      <c r="Q1065" s="59" t="s">
        <v>669</v>
      </c>
      <c r="R1065" s="3" t="s">
        <v>239</v>
      </c>
      <c r="S1065" s="3">
        <f>SUM(N1036:N1039)+SUM(N1041:N1065)-SUM(O1036:O1065)+S1035</f>
        <v>326729.94</v>
      </c>
    </row>
    <row r="1066" ht="20" customHeight="1" spans="2:19">
      <c r="B1066" s="68"/>
      <c r="C1066" s="68"/>
      <c r="D1066" s="173"/>
      <c r="E1066" s="68"/>
      <c r="F1066" s="70" t="s">
        <v>22</v>
      </c>
      <c r="G1066" s="71">
        <f>SUM(G958:G1065)</f>
        <v>330995</v>
      </c>
      <c r="H1066" s="71">
        <f t="shared" ref="H1066:O1066" si="70">SUM(H958:H1065)</f>
        <v>6900</v>
      </c>
      <c r="I1066" s="71">
        <f t="shared" si="70"/>
        <v>26142.4</v>
      </c>
      <c r="J1066" s="71">
        <f t="shared" si="70"/>
        <v>11400</v>
      </c>
      <c r="K1066" s="71">
        <f t="shared" si="70"/>
        <v>14180</v>
      </c>
      <c r="L1066" s="71">
        <f t="shared" si="70"/>
        <v>0</v>
      </c>
      <c r="M1066" s="71">
        <f t="shared" si="70"/>
        <v>172</v>
      </c>
      <c r="N1066" s="71">
        <f t="shared" si="70"/>
        <v>519445.4</v>
      </c>
      <c r="O1066" s="71">
        <f t="shared" si="70"/>
        <v>314167.96</v>
      </c>
      <c r="P1066" s="71">
        <f>P957+N1066-O1066</f>
        <v>8302286.34</v>
      </c>
      <c r="Q1066" s="71"/>
      <c r="R1066" s="3">
        <f>P1066-S1065</f>
        <v>7975556.4</v>
      </c>
    </row>
    <row r="1067" ht="20" customHeight="1" spans="2:19">
      <c r="B1067" s="42">
        <v>9</v>
      </c>
      <c r="C1067" s="42">
        <v>1</v>
      </c>
      <c r="D1067" s="74"/>
      <c r="E1067" s="54" t="s">
        <v>495</v>
      </c>
      <c r="F1067" s="75" t="s">
        <v>1609</v>
      </c>
      <c r="G1067" s="56">
        <v>6655</v>
      </c>
      <c r="H1067" s="56"/>
      <c r="I1067" s="56">
        <v>1102</v>
      </c>
      <c r="J1067" s="56"/>
      <c r="K1067" s="56"/>
      <c r="L1067" s="56"/>
      <c r="M1067" s="56"/>
      <c r="N1067" s="56">
        <f t="shared" ref="N1067:N1074" si="71">SUM(G1067:L1067)-M1067</f>
        <v>7757</v>
      </c>
      <c r="O1067" s="56"/>
      <c r="P1067" s="58">
        <f>P1066+N1067-O1067</f>
        <v>8310043.34</v>
      </c>
      <c r="Q1067" s="59"/>
    </row>
    <row r="1068" ht="20" customHeight="1" spans="2:19">
      <c r="B1068" s="42">
        <v>9</v>
      </c>
      <c r="C1068" s="42">
        <v>1</v>
      </c>
      <c r="D1068" s="74"/>
      <c r="E1068" s="54" t="s">
        <v>479</v>
      </c>
      <c r="F1068" s="75" t="s">
        <v>1610</v>
      </c>
      <c r="G1068" s="56">
        <v>7247</v>
      </c>
      <c r="H1068" s="56"/>
      <c r="I1068" s="56">
        <v>1365.4</v>
      </c>
      <c r="J1068" s="56"/>
      <c r="K1068" s="56"/>
      <c r="L1068" s="56"/>
      <c r="M1068" s="56"/>
      <c r="N1068" s="56">
        <f t="shared" si="71"/>
        <v>8612.4</v>
      </c>
      <c r="O1068" s="56"/>
      <c r="P1068" s="58">
        <f t="shared" ref="P1068:P1099" si="72">P1067+N1068-O1068</f>
        <v>8318655.74</v>
      </c>
      <c r="Q1068" s="59"/>
    </row>
    <row r="1069" ht="20" customHeight="1" spans="2:19">
      <c r="B1069" s="42">
        <v>9</v>
      </c>
      <c r="C1069" s="42">
        <v>2</v>
      </c>
      <c r="D1069" s="74"/>
      <c r="E1069" s="54" t="s">
        <v>644</v>
      </c>
      <c r="F1069" s="75" t="s">
        <v>1611</v>
      </c>
      <c r="G1069" s="56">
        <v>1600</v>
      </c>
      <c r="H1069" s="56">
        <v>150</v>
      </c>
      <c r="I1069" s="56">
        <v>204</v>
      </c>
      <c r="J1069" s="56"/>
      <c r="K1069" s="56"/>
      <c r="L1069" s="56"/>
      <c r="M1069" s="56"/>
      <c r="N1069" s="56">
        <f t="shared" si="71"/>
        <v>1954</v>
      </c>
      <c r="O1069" s="56"/>
      <c r="P1069" s="58">
        <f t="shared" si="72"/>
        <v>8320609.74</v>
      </c>
      <c r="Q1069" s="59"/>
    </row>
    <row r="1070" ht="20" customHeight="1" spans="2:19">
      <c r="B1070" s="42">
        <v>9</v>
      </c>
      <c r="C1070" s="42">
        <v>2</v>
      </c>
      <c r="D1070" s="74"/>
      <c r="E1070" s="54" t="s">
        <v>644</v>
      </c>
      <c r="F1070" s="75" t="s">
        <v>1612</v>
      </c>
      <c r="G1070" s="56">
        <v>1600</v>
      </c>
      <c r="H1070" s="56">
        <v>150</v>
      </c>
      <c r="I1070" s="56">
        <v>224</v>
      </c>
      <c r="J1070" s="56"/>
      <c r="K1070" s="56"/>
      <c r="L1070" s="56"/>
      <c r="M1070" s="56"/>
      <c r="N1070" s="56">
        <f t="shared" si="71"/>
        <v>1974</v>
      </c>
      <c r="O1070" s="56"/>
      <c r="P1070" s="58">
        <f t="shared" si="72"/>
        <v>8322583.74</v>
      </c>
      <c r="Q1070" s="59"/>
    </row>
    <row r="1071" ht="20" customHeight="1" spans="2:19">
      <c r="B1071" s="42">
        <v>9</v>
      </c>
      <c r="C1071" s="42">
        <v>2</v>
      </c>
      <c r="D1071" s="74"/>
      <c r="E1071" s="54" t="s">
        <v>514</v>
      </c>
      <c r="F1071" s="75" t="s">
        <v>1613</v>
      </c>
      <c r="G1071" s="56">
        <v>7715</v>
      </c>
      <c r="H1071" s="56"/>
      <c r="I1071" s="56">
        <v>644</v>
      </c>
      <c r="J1071" s="56"/>
      <c r="K1071" s="56"/>
      <c r="L1071" s="56"/>
      <c r="M1071" s="56"/>
      <c r="N1071" s="56">
        <f t="shared" si="71"/>
        <v>8359</v>
      </c>
      <c r="O1071" s="56"/>
      <c r="P1071" s="58">
        <f t="shared" si="72"/>
        <v>8330942.74</v>
      </c>
      <c r="Q1071" s="59"/>
    </row>
    <row r="1072" ht="20" customHeight="1" spans="2:19">
      <c r="B1072" s="42">
        <v>9</v>
      </c>
      <c r="C1072" s="42">
        <v>2</v>
      </c>
      <c r="D1072" s="74"/>
      <c r="E1072" s="54" t="s">
        <v>604</v>
      </c>
      <c r="F1072" s="75" t="s">
        <v>1614</v>
      </c>
      <c r="G1072" s="56">
        <v>7355</v>
      </c>
      <c r="H1072" s="56"/>
      <c r="I1072" s="56">
        <v>258</v>
      </c>
      <c r="J1072" s="56"/>
      <c r="K1072" s="56"/>
      <c r="L1072" s="56"/>
      <c r="M1072" s="56"/>
      <c r="N1072" s="56">
        <f t="shared" si="71"/>
        <v>7613</v>
      </c>
      <c r="O1072" s="56"/>
      <c r="P1072" s="58">
        <f t="shared" si="72"/>
        <v>8338555.74</v>
      </c>
      <c r="Q1072" s="59"/>
    </row>
    <row r="1073" ht="20" customHeight="1" spans="2:17">
      <c r="B1073" s="42">
        <v>9</v>
      </c>
      <c r="C1073" s="42">
        <v>4</v>
      </c>
      <c r="D1073" s="74"/>
      <c r="E1073" s="54" t="s">
        <v>508</v>
      </c>
      <c r="F1073" s="75" t="s">
        <v>1615</v>
      </c>
      <c r="G1073" s="56">
        <v>6946</v>
      </c>
      <c r="H1073" s="56"/>
      <c r="I1073" s="56">
        <v>1698</v>
      </c>
      <c r="J1073" s="56"/>
      <c r="K1073" s="56"/>
      <c r="L1073" s="56"/>
      <c r="M1073" s="56"/>
      <c r="N1073" s="56">
        <f t="shared" si="71"/>
        <v>8644</v>
      </c>
      <c r="O1073" s="56"/>
      <c r="P1073" s="58">
        <f t="shared" si="72"/>
        <v>8347199.74</v>
      </c>
      <c r="Q1073" s="59"/>
    </row>
    <row r="1074" ht="20" customHeight="1" spans="2:17">
      <c r="B1074" s="42">
        <v>9</v>
      </c>
      <c r="C1074" s="42">
        <v>4</v>
      </c>
      <c r="D1074" s="74"/>
      <c r="E1074" s="54" t="s">
        <v>967</v>
      </c>
      <c r="F1074" s="75" t="s">
        <v>1616</v>
      </c>
      <c r="G1074" s="56">
        <v>4800</v>
      </c>
      <c r="H1074" s="56"/>
      <c r="I1074" s="56">
        <v>1229</v>
      </c>
      <c r="J1074" s="56"/>
      <c r="K1074" s="56"/>
      <c r="L1074" s="56"/>
      <c r="M1074" s="56"/>
      <c r="N1074" s="56">
        <f t="shared" si="71"/>
        <v>6029</v>
      </c>
      <c r="O1074" s="56"/>
      <c r="P1074" s="58">
        <f t="shared" si="72"/>
        <v>8353228.74</v>
      </c>
      <c r="Q1074" s="59"/>
    </row>
    <row r="1075" ht="20" customHeight="1" spans="2:17">
      <c r="B1075" s="42">
        <v>9</v>
      </c>
      <c r="C1075" s="42">
        <v>5</v>
      </c>
      <c r="D1075" s="74"/>
      <c r="E1075" s="54" t="s">
        <v>562</v>
      </c>
      <c r="F1075" s="75" t="s">
        <v>1617</v>
      </c>
      <c r="G1075" s="56"/>
      <c r="H1075" s="56"/>
      <c r="I1075" s="56">
        <v>216</v>
      </c>
      <c r="J1075" s="56"/>
      <c r="K1075" s="56"/>
      <c r="L1075" s="56"/>
      <c r="M1075" s="56"/>
      <c r="N1075" s="56">
        <f t="shared" ref="N1075:N1108" si="73">SUM(G1075:L1075)-M1075</f>
        <v>216</v>
      </c>
      <c r="O1075" s="56"/>
      <c r="P1075" s="58">
        <f t="shared" si="72"/>
        <v>8353444.74</v>
      </c>
      <c r="Q1075" s="59"/>
    </row>
    <row r="1076" ht="20" customHeight="1" spans="2:17">
      <c r="B1076" s="42">
        <v>9</v>
      </c>
      <c r="C1076" s="42">
        <v>6</v>
      </c>
      <c r="D1076" s="74"/>
      <c r="E1076" s="54" t="s">
        <v>628</v>
      </c>
      <c r="F1076" s="75" t="s">
        <v>1618</v>
      </c>
      <c r="G1076" s="56">
        <v>6090</v>
      </c>
      <c r="H1076" s="56"/>
      <c r="I1076" s="56">
        <v>604</v>
      </c>
      <c r="J1076" s="56"/>
      <c r="K1076" s="56"/>
      <c r="L1076" s="56"/>
      <c r="M1076" s="56"/>
      <c r="N1076" s="56">
        <f t="shared" si="73"/>
        <v>6694</v>
      </c>
      <c r="O1076" s="56"/>
      <c r="P1076" s="58">
        <f t="shared" si="72"/>
        <v>8360138.74</v>
      </c>
      <c r="Q1076" s="59"/>
    </row>
    <row r="1077" ht="20" customHeight="1" spans="2:17">
      <c r="B1077" s="42">
        <v>9</v>
      </c>
      <c r="C1077" s="42">
        <v>6</v>
      </c>
      <c r="D1077" s="74"/>
      <c r="E1077" s="54" t="s">
        <v>560</v>
      </c>
      <c r="F1077" s="75" t="s">
        <v>1619</v>
      </c>
      <c r="G1077" s="56">
        <v>2400</v>
      </c>
      <c r="H1077" s="56">
        <v>150</v>
      </c>
      <c r="I1077" s="56">
        <v>206</v>
      </c>
      <c r="J1077" s="56"/>
      <c r="K1077" s="56"/>
      <c r="L1077" s="56"/>
      <c r="M1077" s="56"/>
      <c r="N1077" s="56">
        <f t="shared" si="73"/>
        <v>2756</v>
      </c>
      <c r="O1077" s="56"/>
      <c r="P1077" s="58">
        <f t="shared" si="72"/>
        <v>8362894.74</v>
      </c>
      <c r="Q1077" s="59"/>
    </row>
    <row r="1078" ht="20" customHeight="1" spans="2:17">
      <c r="B1078" s="42">
        <v>9</v>
      </c>
      <c r="C1078" s="42">
        <v>6</v>
      </c>
      <c r="D1078" s="74"/>
      <c r="E1078" s="54" t="s">
        <v>497</v>
      </c>
      <c r="F1078" s="75" t="s">
        <v>1620</v>
      </c>
      <c r="G1078" s="56">
        <v>1300</v>
      </c>
      <c r="H1078" s="56">
        <v>150</v>
      </c>
      <c r="I1078" s="56">
        <v>164</v>
      </c>
      <c r="J1078" s="56"/>
      <c r="K1078" s="56"/>
      <c r="L1078" s="56"/>
      <c r="M1078" s="56"/>
      <c r="N1078" s="56">
        <f t="shared" si="73"/>
        <v>1614</v>
      </c>
      <c r="O1078" s="56"/>
      <c r="P1078" s="58">
        <f t="shared" si="72"/>
        <v>8364508.74</v>
      </c>
      <c r="Q1078" s="59"/>
    </row>
    <row r="1079" ht="20" customHeight="1" spans="2:17">
      <c r="B1079" s="42">
        <v>9</v>
      </c>
      <c r="C1079" s="42">
        <v>6</v>
      </c>
      <c r="D1079" s="74"/>
      <c r="E1079" s="54" t="s">
        <v>650</v>
      </c>
      <c r="F1079" s="75" t="s">
        <v>1621</v>
      </c>
      <c r="G1079" s="56">
        <v>6654</v>
      </c>
      <c r="H1079" s="56"/>
      <c r="I1079" s="56">
        <v>384</v>
      </c>
      <c r="J1079" s="56"/>
      <c r="K1079" s="56"/>
      <c r="L1079" s="56"/>
      <c r="M1079" s="56"/>
      <c r="N1079" s="56">
        <f t="shared" si="73"/>
        <v>7038</v>
      </c>
      <c r="O1079" s="56"/>
      <c r="P1079" s="58">
        <f t="shared" si="72"/>
        <v>8371546.74</v>
      </c>
      <c r="Q1079" s="59"/>
    </row>
    <row r="1080" ht="20" customHeight="1" spans="2:17">
      <c r="B1080" s="42">
        <v>9</v>
      </c>
      <c r="C1080" s="42">
        <v>7</v>
      </c>
      <c r="D1080" s="74"/>
      <c r="E1080" s="54"/>
      <c r="F1080" s="75" t="s">
        <v>1622</v>
      </c>
      <c r="G1080" s="56"/>
      <c r="H1080" s="56"/>
      <c r="I1080" s="56"/>
      <c r="J1080" s="56"/>
      <c r="K1080" s="56">
        <v>3510</v>
      </c>
      <c r="L1080" s="56"/>
      <c r="M1080" s="56">
        <v>50.76</v>
      </c>
      <c r="N1080" s="56">
        <f t="shared" si="73"/>
        <v>3459.24</v>
      </c>
      <c r="O1080" s="56"/>
      <c r="P1080" s="58">
        <f t="shared" si="72"/>
        <v>8375005.98</v>
      </c>
      <c r="Q1080" s="59" t="s">
        <v>669</v>
      </c>
    </row>
    <row r="1081" ht="20" customHeight="1" spans="2:17">
      <c r="B1081" s="42">
        <v>9</v>
      </c>
      <c r="C1081" s="42">
        <v>7</v>
      </c>
      <c r="D1081" s="74"/>
      <c r="E1081" s="54"/>
      <c r="F1081" s="75" t="s">
        <v>1623</v>
      </c>
      <c r="G1081" s="56"/>
      <c r="H1081" s="56"/>
      <c r="I1081" s="56"/>
      <c r="J1081" s="56"/>
      <c r="K1081" s="56">
        <v>1400</v>
      </c>
      <c r="L1081" s="56"/>
      <c r="M1081" s="56"/>
      <c r="N1081" s="56">
        <f t="shared" si="73"/>
        <v>1400</v>
      </c>
      <c r="O1081" s="56"/>
      <c r="P1081" s="58">
        <f t="shared" si="72"/>
        <v>8376405.98</v>
      </c>
      <c r="Q1081" s="59" t="s">
        <v>669</v>
      </c>
    </row>
    <row r="1082" ht="20" customHeight="1" spans="2:17">
      <c r="B1082" s="42">
        <v>9</v>
      </c>
      <c r="C1082" s="42">
        <v>7</v>
      </c>
      <c r="D1082" s="74"/>
      <c r="E1082" s="74" t="s">
        <v>806</v>
      </c>
      <c r="F1082" s="75" t="s">
        <v>1624</v>
      </c>
      <c r="G1082" s="56">
        <v>1500</v>
      </c>
      <c r="H1082" s="56">
        <v>150</v>
      </c>
      <c r="I1082" s="56">
        <v>467</v>
      </c>
      <c r="J1082" s="56"/>
      <c r="K1082" s="56"/>
      <c r="L1082" s="56"/>
      <c r="M1082" s="56"/>
      <c r="N1082" s="56">
        <f t="shared" si="73"/>
        <v>2117</v>
      </c>
      <c r="O1082" s="56"/>
      <c r="P1082" s="58">
        <f t="shared" si="72"/>
        <v>8378522.98</v>
      </c>
      <c r="Q1082" s="59" t="s">
        <v>669</v>
      </c>
    </row>
    <row r="1083" ht="20" customHeight="1" spans="2:17">
      <c r="B1083" s="42">
        <v>9</v>
      </c>
      <c r="C1083" s="42">
        <v>7</v>
      </c>
      <c r="D1083" s="74"/>
      <c r="E1083" s="54" t="s">
        <v>613</v>
      </c>
      <c r="F1083" s="75" t="s">
        <v>1625</v>
      </c>
      <c r="G1083" s="56">
        <v>3300</v>
      </c>
      <c r="H1083" s="56"/>
      <c r="I1083" s="56">
        <v>730</v>
      </c>
      <c r="J1083" s="56"/>
      <c r="K1083" s="56"/>
      <c r="L1083" s="56"/>
      <c r="M1083" s="56"/>
      <c r="N1083" s="56">
        <f t="shared" si="73"/>
        <v>4030</v>
      </c>
      <c r="O1083" s="56"/>
      <c r="P1083" s="58">
        <f t="shared" si="72"/>
        <v>8382552.98</v>
      </c>
      <c r="Q1083" s="59" t="s">
        <v>669</v>
      </c>
    </row>
    <row r="1084" ht="20" customHeight="1" spans="2:17">
      <c r="B1084" s="42">
        <v>9</v>
      </c>
      <c r="C1084" s="42">
        <v>7</v>
      </c>
      <c r="D1084" s="74"/>
      <c r="E1084" s="74" t="s">
        <v>592</v>
      </c>
      <c r="F1084" s="75" t="s">
        <v>1626</v>
      </c>
      <c r="G1084" s="56">
        <v>2700</v>
      </c>
      <c r="H1084" s="56">
        <v>200</v>
      </c>
      <c r="I1084" s="56">
        <v>308</v>
      </c>
      <c r="J1084" s="56"/>
      <c r="K1084" s="56"/>
      <c r="L1084" s="56"/>
      <c r="M1084" s="56"/>
      <c r="N1084" s="56">
        <f t="shared" si="73"/>
        <v>3208</v>
      </c>
      <c r="O1084" s="56"/>
      <c r="P1084" s="58">
        <f t="shared" si="72"/>
        <v>8385760.98</v>
      </c>
      <c r="Q1084" s="59" t="s">
        <v>669</v>
      </c>
    </row>
    <row r="1085" ht="20" customHeight="1" spans="2:17">
      <c r="B1085" s="42">
        <v>9</v>
      </c>
      <c r="C1085" s="42">
        <v>7</v>
      </c>
      <c r="D1085" s="74"/>
      <c r="E1085" s="54" t="s">
        <v>914</v>
      </c>
      <c r="F1085" s="75" t="s">
        <v>1627</v>
      </c>
      <c r="G1085" s="56"/>
      <c r="H1085" s="56">
        <v>200</v>
      </c>
      <c r="I1085" s="56">
        <v>342</v>
      </c>
      <c r="J1085" s="56"/>
      <c r="K1085" s="56"/>
      <c r="L1085" s="56"/>
      <c r="M1085" s="56"/>
      <c r="N1085" s="56">
        <f t="shared" si="73"/>
        <v>542</v>
      </c>
      <c r="O1085" s="56"/>
      <c r="P1085" s="58">
        <f t="shared" si="72"/>
        <v>8386302.98</v>
      </c>
      <c r="Q1085" s="59" t="s">
        <v>669</v>
      </c>
    </row>
    <row r="1086" ht="20" customHeight="1" spans="2:17">
      <c r="B1086" s="42">
        <v>9</v>
      </c>
      <c r="C1086" s="42">
        <v>7</v>
      </c>
      <c r="D1086" s="74"/>
      <c r="E1086" s="74" t="s">
        <v>1246</v>
      </c>
      <c r="F1086" s="75" t="s">
        <v>1628</v>
      </c>
      <c r="G1086" s="56">
        <v>1826</v>
      </c>
      <c r="H1086" s="56"/>
      <c r="I1086" s="56"/>
      <c r="J1086" s="56"/>
      <c r="K1086" s="56"/>
      <c r="L1086" s="56"/>
      <c r="M1086" s="56"/>
      <c r="N1086" s="56">
        <f t="shared" si="73"/>
        <v>1826</v>
      </c>
      <c r="O1086" s="56"/>
      <c r="P1086" s="58">
        <f t="shared" si="72"/>
        <v>8388128.98</v>
      </c>
      <c r="Q1086" s="59" t="s">
        <v>669</v>
      </c>
    </row>
    <row r="1087" ht="20" customHeight="1" spans="2:17">
      <c r="B1087" s="42">
        <v>9</v>
      </c>
      <c r="C1087" s="42">
        <v>7</v>
      </c>
      <c r="D1087" s="74"/>
      <c r="E1087" s="74" t="s">
        <v>785</v>
      </c>
      <c r="F1087" s="75" t="s">
        <v>1629</v>
      </c>
      <c r="G1087" s="56">
        <v>5300</v>
      </c>
      <c r="H1087" s="56">
        <v>200</v>
      </c>
      <c r="I1087" s="56">
        <v>418</v>
      </c>
      <c r="J1087" s="56"/>
      <c r="K1087" s="56"/>
      <c r="L1087" s="56"/>
      <c r="M1087" s="56"/>
      <c r="N1087" s="56">
        <f t="shared" si="73"/>
        <v>5918</v>
      </c>
      <c r="O1087" s="56"/>
      <c r="P1087" s="58">
        <f t="shared" si="72"/>
        <v>8394046.98</v>
      </c>
      <c r="Q1087" s="59" t="s">
        <v>669</v>
      </c>
    </row>
    <row r="1088" ht="20" customHeight="1" spans="2:17">
      <c r="B1088" s="42">
        <v>9</v>
      </c>
      <c r="C1088" s="42">
        <v>7</v>
      </c>
      <c r="D1088" s="74"/>
      <c r="E1088" s="54" t="s">
        <v>865</v>
      </c>
      <c r="F1088" s="75" t="s">
        <v>1630</v>
      </c>
      <c r="G1088" s="56">
        <v>1700</v>
      </c>
      <c r="H1088" s="56">
        <v>150</v>
      </c>
      <c r="I1088" s="56">
        <v>343</v>
      </c>
      <c r="J1088" s="56"/>
      <c r="K1088" s="56"/>
      <c r="L1088" s="56"/>
      <c r="M1088" s="56"/>
      <c r="N1088" s="56">
        <f t="shared" si="73"/>
        <v>2193</v>
      </c>
      <c r="O1088" s="56"/>
      <c r="P1088" s="58">
        <f t="shared" si="72"/>
        <v>8396239.98</v>
      </c>
      <c r="Q1088" s="59" t="s">
        <v>669</v>
      </c>
    </row>
    <row r="1089" ht="20" customHeight="1" spans="2:19">
      <c r="B1089" s="42">
        <v>9</v>
      </c>
      <c r="C1089" s="42">
        <v>7</v>
      </c>
      <c r="D1089" s="74"/>
      <c r="E1089" s="74" t="s">
        <v>618</v>
      </c>
      <c r="F1089" s="75" t="s">
        <v>1631</v>
      </c>
      <c r="G1089" s="56">
        <v>7707</v>
      </c>
      <c r="H1089" s="56"/>
      <c r="I1089" s="56">
        <v>743</v>
      </c>
      <c r="J1089" s="56"/>
      <c r="K1089" s="56"/>
      <c r="L1089" s="56"/>
      <c r="M1089" s="56"/>
      <c r="N1089" s="56">
        <f t="shared" si="73"/>
        <v>8450</v>
      </c>
      <c r="O1089" s="56"/>
      <c r="P1089" s="58">
        <f t="shared" si="72"/>
        <v>8404689.98</v>
      </c>
      <c r="Q1089" s="59" t="s">
        <v>669</v>
      </c>
    </row>
    <row r="1090" ht="20" customHeight="1" spans="2:19">
      <c r="B1090" s="42">
        <v>9</v>
      </c>
      <c r="C1090" s="42">
        <v>7</v>
      </c>
      <c r="D1090" s="74"/>
      <c r="E1090" s="182" t="s">
        <v>518</v>
      </c>
      <c r="F1090" s="88" t="s">
        <v>1632</v>
      </c>
      <c r="G1090" s="56"/>
      <c r="H1090" s="56"/>
      <c r="I1090" s="56">
        <v>216</v>
      </c>
      <c r="J1090" s="56"/>
      <c r="K1090" s="56"/>
      <c r="L1090" s="56"/>
      <c r="M1090" s="56"/>
      <c r="N1090" s="56">
        <f t="shared" si="73"/>
        <v>216</v>
      </c>
      <c r="O1090" s="56"/>
      <c r="P1090" s="58">
        <f t="shared" si="72"/>
        <v>8404905.98</v>
      </c>
      <c r="Q1090" s="59" t="s">
        <v>669</v>
      </c>
    </row>
    <row r="1091" ht="20" customHeight="1" spans="2:19">
      <c r="B1091" s="42">
        <v>9</v>
      </c>
      <c r="C1091" s="42">
        <v>7</v>
      </c>
      <c r="D1091" s="74"/>
      <c r="E1091" s="74" t="s">
        <v>550</v>
      </c>
      <c r="F1091" s="75" t="s">
        <v>1633</v>
      </c>
      <c r="G1091" s="56"/>
      <c r="H1091" s="56"/>
      <c r="I1091" s="56">
        <v>155</v>
      </c>
      <c r="J1091" s="56"/>
      <c r="K1091" s="56"/>
      <c r="L1091" s="56"/>
      <c r="M1091" s="56"/>
      <c r="N1091" s="56">
        <f t="shared" si="73"/>
        <v>155</v>
      </c>
      <c r="O1091" s="56"/>
      <c r="P1091" s="58">
        <f t="shared" si="72"/>
        <v>8405060.98</v>
      </c>
      <c r="Q1091" s="59" t="s">
        <v>669</v>
      </c>
    </row>
    <row r="1092" ht="20" customHeight="1" spans="2:19">
      <c r="B1092" s="42">
        <v>9</v>
      </c>
      <c r="C1092" s="42">
        <v>7</v>
      </c>
      <c r="D1092" s="74"/>
      <c r="E1092" s="74" t="s">
        <v>1175</v>
      </c>
      <c r="F1092" s="75" t="s">
        <v>1634</v>
      </c>
      <c r="G1092" s="56">
        <v>2600</v>
      </c>
      <c r="H1092" s="56">
        <v>150</v>
      </c>
      <c r="I1092" s="56">
        <v>299</v>
      </c>
      <c r="J1092" s="56"/>
      <c r="K1092" s="56"/>
      <c r="L1092" s="56"/>
      <c r="M1092" s="56"/>
      <c r="N1092" s="56">
        <f t="shared" si="73"/>
        <v>3049</v>
      </c>
      <c r="O1092" s="56"/>
      <c r="P1092" s="58">
        <f t="shared" si="72"/>
        <v>8408109.98</v>
      </c>
      <c r="Q1092" s="59" t="s">
        <v>669</v>
      </c>
    </row>
    <row r="1093" ht="20" customHeight="1" spans="2:19">
      <c r="B1093" s="42">
        <v>9</v>
      </c>
      <c r="C1093" s="42">
        <v>7</v>
      </c>
      <c r="D1093" s="74"/>
      <c r="E1093" s="74" t="s">
        <v>611</v>
      </c>
      <c r="F1093" s="75" t="s">
        <v>1635</v>
      </c>
      <c r="G1093" s="56"/>
      <c r="H1093" s="56">
        <v>200</v>
      </c>
      <c r="I1093" s="56">
        <v>676</v>
      </c>
      <c r="J1093" s="56"/>
      <c r="K1093" s="56"/>
      <c r="L1093" s="56"/>
      <c r="M1093" s="56"/>
      <c r="N1093" s="56">
        <f t="shared" si="73"/>
        <v>876</v>
      </c>
      <c r="O1093" s="56"/>
      <c r="P1093" s="58">
        <f t="shared" si="72"/>
        <v>8408985.98</v>
      </c>
      <c r="Q1093" s="59" t="s">
        <v>669</v>
      </c>
    </row>
    <row r="1094" ht="20" customHeight="1" spans="2:19">
      <c r="B1094" s="42">
        <v>9</v>
      </c>
      <c r="C1094" s="42">
        <v>7</v>
      </c>
      <c r="D1094" s="74"/>
      <c r="E1094" s="54" t="s">
        <v>873</v>
      </c>
      <c r="F1094" s="75" t="s">
        <v>1636</v>
      </c>
      <c r="G1094" s="56">
        <v>4300</v>
      </c>
      <c r="H1094" s="56"/>
      <c r="I1094" s="56">
        <v>890</v>
      </c>
      <c r="J1094" s="56"/>
      <c r="K1094" s="56"/>
      <c r="L1094" s="56"/>
      <c r="M1094" s="56"/>
      <c r="N1094" s="56">
        <f t="shared" si="73"/>
        <v>5190</v>
      </c>
      <c r="O1094" s="56"/>
      <c r="P1094" s="58">
        <f t="shared" si="72"/>
        <v>8414175.98</v>
      </c>
      <c r="Q1094" s="59" t="s">
        <v>669</v>
      </c>
    </row>
    <row r="1095" ht="20" customHeight="1" spans="2:19">
      <c r="B1095" s="42">
        <v>9</v>
      </c>
      <c r="C1095" s="42">
        <v>7</v>
      </c>
      <c r="D1095" s="74"/>
      <c r="E1095" s="74" t="s">
        <v>564</v>
      </c>
      <c r="F1095" s="75" t="s">
        <v>1637</v>
      </c>
      <c r="G1095" s="56"/>
      <c r="H1095" s="56"/>
      <c r="I1095" s="56">
        <v>464</v>
      </c>
      <c r="J1095" s="56"/>
      <c r="K1095" s="56"/>
      <c r="L1095" s="56"/>
      <c r="M1095" s="56"/>
      <c r="N1095" s="56">
        <f t="shared" si="73"/>
        <v>464</v>
      </c>
      <c r="O1095" s="56"/>
      <c r="P1095" s="58">
        <f t="shared" si="72"/>
        <v>8414639.98</v>
      </c>
      <c r="Q1095" s="59" t="s">
        <v>669</v>
      </c>
    </row>
    <row r="1096" ht="20" customHeight="1" spans="2:19">
      <c r="B1096" s="42">
        <v>9</v>
      </c>
      <c r="C1096" s="42">
        <v>7</v>
      </c>
      <c r="D1096" s="74"/>
      <c r="E1096" s="54" t="s">
        <v>556</v>
      </c>
      <c r="F1096" s="75" t="s">
        <v>1638</v>
      </c>
      <c r="G1096" s="56">
        <v>2500</v>
      </c>
      <c r="H1096" s="56"/>
      <c r="I1096" s="56">
        <v>70</v>
      </c>
      <c r="J1096" s="56"/>
      <c r="K1096" s="56"/>
      <c r="L1096" s="56"/>
      <c r="M1096" s="56"/>
      <c r="N1096" s="56">
        <f t="shared" si="73"/>
        <v>2570</v>
      </c>
      <c r="O1096" s="56"/>
      <c r="P1096" s="58">
        <f t="shared" si="72"/>
        <v>8417209.98</v>
      </c>
      <c r="Q1096" s="59" t="s">
        <v>669</v>
      </c>
    </row>
    <row r="1097" ht="20" customHeight="1" spans="2:19">
      <c r="B1097" s="42">
        <v>9</v>
      </c>
      <c r="C1097" s="42">
        <v>7</v>
      </c>
      <c r="D1097" s="74"/>
      <c r="E1097" s="54" t="s">
        <v>1639</v>
      </c>
      <c r="F1097" s="75" t="s">
        <v>1640</v>
      </c>
      <c r="G1097" s="56"/>
      <c r="H1097" s="56"/>
      <c r="I1097" s="56"/>
      <c r="J1097" s="56">
        <v>5100</v>
      </c>
      <c r="K1097" s="56"/>
      <c r="L1097" s="56"/>
      <c r="M1097" s="56"/>
      <c r="N1097" s="56">
        <f t="shared" si="73"/>
        <v>5100</v>
      </c>
      <c r="O1097" s="56"/>
      <c r="P1097" s="58">
        <f t="shared" si="72"/>
        <v>8422309.98</v>
      </c>
      <c r="Q1097" s="59" t="s">
        <v>669</v>
      </c>
      <c r="R1097" s="3" t="s">
        <v>239</v>
      </c>
      <c r="S1097" s="3">
        <f>SUM(N1067:N1097)+S1065</f>
        <v>446753.58</v>
      </c>
    </row>
    <row r="1098" ht="20" customHeight="1" spans="2:19">
      <c r="B1098" s="42">
        <v>9</v>
      </c>
      <c r="C1098" s="42">
        <v>7</v>
      </c>
      <c r="D1098" s="74"/>
      <c r="E1098" s="74" t="s">
        <v>501</v>
      </c>
      <c r="F1098" s="75" t="s">
        <v>1641</v>
      </c>
      <c r="G1098" s="56">
        <v>1500</v>
      </c>
      <c r="H1098" s="56">
        <v>150</v>
      </c>
      <c r="I1098" s="56">
        <v>170</v>
      </c>
      <c r="J1098" s="56"/>
      <c r="K1098" s="56"/>
      <c r="L1098" s="56"/>
      <c r="M1098" s="56"/>
      <c r="N1098" s="56">
        <f t="shared" si="73"/>
        <v>1820</v>
      </c>
      <c r="O1098" s="56"/>
      <c r="P1098" s="58">
        <f t="shared" si="72"/>
        <v>8424129.98</v>
      </c>
      <c r="Q1098" s="59"/>
    </row>
    <row r="1099" ht="20" customHeight="1" spans="2:19">
      <c r="B1099" s="42">
        <v>9</v>
      </c>
      <c r="C1099" s="42">
        <v>7</v>
      </c>
      <c r="D1099" s="74"/>
      <c r="E1099" s="54" t="s">
        <v>623</v>
      </c>
      <c r="F1099" s="75" t="s">
        <v>1642</v>
      </c>
      <c r="G1099" s="56">
        <v>5000</v>
      </c>
      <c r="H1099" s="56">
        <v>150</v>
      </c>
      <c r="I1099" s="56">
        <v>334</v>
      </c>
      <c r="J1099" s="56"/>
      <c r="K1099" s="56"/>
      <c r="L1099" s="56"/>
      <c r="M1099" s="56"/>
      <c r="N1099" s="56">
        <f t="shared" si="73"/>
        <v>5484</v>
      </c>
      <c r="O1099" s="56"/>
      <c r="P1099" s="58">
        <f t="shared" si="72"/>
        <v>8429613.98</v>
      </c>
      <c r="Q1099" s="59"/>
    </row>
    <row r="1100" ht="20" customHeight="1" spans="2:19">
      <c r="B1100" s="42">
        <v>9</v>
      </c>
      <c r="C1100" s="42">
        <v>8</v>
      </c>
      <c r="D1100" s="74"/>
      <c r="E1100" s="54" t="s">
        <v>579</v>
      </c>
      <c r="F1100" s="75" t="s">
        <v>1643</v>
      </c>
      <c r="G1100" s="56">
        <v>5959</v>
      </c>
      <c r="H1100" s="56">
        <v>200</v>
      </c>
      <c r="I1100" s="56">
        <v>2150</v>
      </c>
      <c r="J1100" s="56"/>
      <c r="K1100" s="56"/>
      <c r="L1100" s="56"/>
      <c r="M1100" s="56"/>
      <c r="N1100" s="56">
        <f t="shared" si="73"/>
        <v>8309</v>
      </c>
      <c r="O1100" s="56"/>
      <c r="P1100" s="58">
        <f t="shared" ref="P1100:P1131" si="74">P1099+N1100-O1100</f>
        <v>8437922.98</v>
      </c>
      <c r="Q1100" s="59"/>
    </row>
    <row r="1101" ht="20" customHeight="1" spans="2:19">
      <c r="B1101" s="42">
        <v>9</v>
      </c>
      <c r="C1101" s="42">
        <v>9</v>
      </c>
      <c r="D1101" s="74"/>
      <c r="E1101" s="54" t="s">
        <v>486</v>
      </c>
      <c r="F1101" s="45" t="s">
        <v>1644</v>
      </c>
      <c r="G1101" s="56"/>
      <c r="H1101" s="56"/>
      <c r="I1101" s="56"/>
      <c r="J1101" s="56"/>
      <c r="K1101" s="56"/>
      <c r="L1101" s="56"/>
      <c r="M1101" s="56"/>
      <c r="N1101" s="56">
        <f t="shared" si="73"/>
        <v>0</v>
      </c>
      <c r="O1101" s="56">
        <v>9550.86</v>
      </c>
      <c r="P1101" s="58">
        <f t="shared" si="74"/>
        <v>8428372.12</v>
      </c>
      <c r="Q1101" s="59"/>
    </row>
    <row r="1102" ht="20" customHeight="1" spans="2:19">
      <c r="B1102" s="42">
        <v>9</v>
      </c>
      <c r="C1102" s="42">
        <v>9</v>
      </c>
      <c r="D1102" s="74"/>
      <c r="E1102" s="54" t="s">
        <v>537</v>
      </c>
      <c r="F1102" s="75" t="s">
        <v>1645</v>
      </c>
      <c r="G1102" s="56">
        <v>16200</v>
      </c>
      <c r="H1102" s="56"/>
      <c r="I1102" s="56">
        <v>338</v>
      </c>
      <c r="J1102" s="56"/>
      <c r="K1102" s="56"/>
      <c r="L1102" s="56"/>
      <c r="M1102" s="56"/>
      <c r="N1102" s="56">
        <f t="shared" si="73"/>
        <v>16538</v>
      </c>
      <c r="O1102" s="56"/>
      <c r="P1102" s="58">
        <f t="shared" si="74"/>
        <v>8444910.12</v>
      </c>
      <c r="Q1102" s="59"/>
    </row>
    <row r="1103" ht="20" customHeight="1" spans="2:19">
      <c r="B1103" s="42">
        <v>9</v>
      </c>
      <c r="C1103" s="42">
        <v>10</v>
      </c>
      <c r="D1103" s="74"/>
      <c r="E1103" s="54" t="s">
        <v>716</v>
      </c>
      <c r="F1103" s="75" t="s">
        <v>1646</v>
      </c>
      <c r="G1103" s="56">
        <v>5100</v>
      </c>
      <c r="H1103" s="56"/>
      <c r="I1103" s="56">
        <v>264</v>
      </c>
      <c r="J1103" s="56"/>
      <c r="K1103" s="56"/>
      <c r="L1103" s="56"/>
      <c r="M1103" s="56"/>
      <c r="N1103" s="56">
        <f t="shared" si="73"/>
        <v>5364</v>
      </c>
      <c r="O1103" s="56"/>
      <c r="P1103" s="58">
        <f t="shared" si="74"/>
        <v>8450274.12</v>
      </c>
      <c r="Q1103" s="59"/>
    </row>
    <row r="1104" ht="20" customHeight="1" spans="2:19">
      <c r="B1104" s="42">
        <v>9</v>
      </c>
      <c r="C1104" s="42">
        <v>10</v>
      </c>
      <c r="D1104" s="74"/>
      <c r="E1104" s="54" t="s">
        <v>716</v>
      </c>
      <c r="F1104" s="75" t="s">
        <v>1647</v>
      </c>
      <c r="G1104" s="56"/>
      <c r="H1104" s="56"/>
      <c r="I1104" s="56">
        <v>163</v>
      </c>
      <c r="J1104" s="56"/>
      <c r="K1104" s="56"/>
      <c r="L1104" s="56"/>
      <c r="M1104" s="56"/>
      <c r="N1104" s="56">
        <f t="shared" si="73"/>
        <v>163</v>
      </c>
      <c r="O1104" s="56"/>
      <c r="P1104" s="58">
        <f t="shared" si="74"/>
        <v>8450437.12</v>
      </c>
      <c r="Q1104" s="59"/>
    </row>
    <row r="1105" ht="20" customHeight="1" spans="2:17">
      <c r="B1105" s="42">
        <v>9</v>
      </c>
      <c r="C1105" s="42">
        <v>10</v>
      </c>
      <c r="D1105" s="74"/>
      <c r="E1105" s="54" t="s">
        <v>716</v>
      </c>
      <c r="F1105" s="75" t="s">
        <v>1648</v>
      </c>
      <c r="G1105" s="56"/>
      <c r="H1105" s="56">
        <v>150</v>
      </c>
      <c r="I1105" s="56">
        <v>250</v>
      </c>
      <c r="J1105" s="56"/>
      <c r="K1105" s="56"/>
      <c r="L1105" s="56"/>
      <c r="M1105" s="56"/>
      <c r="N1105" s="56">
        <f t="shared" si="73"/>
        <v>400</v>
      </c>
      <c r="O1105" s="56"/>
      <c r="P1105" s="58">
        <f t="shared" si="74"/>
        <v>8450837.12</v>
      </c>
      <c r="Q1105" s="59"/>
    </row>
    <row r="1106" ht="20" customHeight="1" spans="2:17">
      <c r="B1106" s="42">
        <v>9</v>
      </c>
      <c r="C1106" s="42">
        <v>10</v>
      </c>
      <c r="D1106" s="74" t="s">
        <v>69</v>
      </c>
      <c r="E1106" s="42" t="s">
        <v>20</v>
      </c>
      <c r="F1106" s="95" t="s">
        <v>280</v>
      </c>
      <c r="G1106" s="56"/>
      <c r="H1106" s="56"/>
      <c r="I1106" s="56"/>
      <c r="J1106" s="56"/>
      <c r="K1106" s="56"/>
      <c r="L1106" s="56"/>
      <c r="M1106" s="56"/>
      <c r="N1106" s="177">
        <v>30000</v>
      </c>
      <c r="O1106" s="84">
        <v>30000</v>
      </c>
      <c r="P1106" s="58">
        <f t="shared" si="74"/>
        <v>8450837.12</v>
      </c>
      <c r="Q1106" s="59"/>
    </row>
    <row r="1107" ht="20" customHeight="1" spans="2:17">
      <c r="B1107" s="42">
        <v>9</v>
      </c>
      <c r="C1107" s="42">
        <v>14</v>
      </c>
      <c r="D1107" s="74"/>
      <c r="E1107" s="54" t="s">
        <v>1649</v>
      </c>
      <c r="F1107" s="75" t="s">
        <v>1650</v>
      </c>
      <c r="G1107" s="56"/>
      <c r="H1107" s="56"/>
      <c r="I1107" s="56"/>
      <c r="J1107" s="56">
        <v>20124</v>
      </c>
      <c r="K1107" s="56"/>
      <c r="L1107" s="56"/>
      <c r="M1107" s="56"/>
      <c r="N1107" s="56">
        <f t="shared" si="73"/>
        <v>20124</v>
      </c>
      <c r="O1107" s="56"/>
      <c r="P1107" s="58">
        <f t="shared" si="74"/>
        <v>8470961.12</v>
      </c>
      <c r="Q1107" s="59"/>
    </row>
    <row r="1108" ht="20" customHeight="1" spans="2:17">
      <c r="B1108" s="42">
        <v>9</v>
      </c>
      <c r="C1108" s="42">
        <v>14</v>
      </c>
      <c r="D1108" s="74"/>
      <c r="E1108" s="54"/>
      <c r="F1108" s="75" t="s">
        <v>1651</v>
      </c>
      <c r="G1108" s="56"/>
      <c r="H1108" s="56"/>
      <c r="I1108" s="56"/>
      <c r="J1108" s="56"/>
      <c r="K1108" s="56">
        <v>3330</v>
      </c>
      <c r="L1108" s="56"/>
      <c r="M1108" s="56">
        <v>48.69</v>
      </c>
      <c r="N1108" s="56">
        <f t="shared" si="73"/>
        <v>3281.31</v>
      </c>
      <c r="O1108" s="56"/>
      <c r="P1108" s="58">
        <f t="shared" si="74"/>
        <v>8474242.43</v>
      </c>
      <c r="Q1108" s="59" t="s">
        <v>669</v>
      </c>
    </row>
    <row r="1109" ht="20" customHeight="1" spans="2:17">
      <c r="B1109" s="42">
        <v>9</v>
      </c>
      <c r="C1109" s="42">
        <v>14</v>
      </c>
      <c r="D1109" s="74"/>
      <c r="E1109" s="54" t="s">
        <v>597</v>
      </c>
      <c r="F1109" s="75" t="s">
        <v>1652</v>
      </c>
      <c r="G1109" s="56">
        <v>1500</v>
      </c>
      <c r="H1109" s="56">
        <v>150</v>
      </c>
      <c r="I1109" s="56">
        <v>136</v>
      </c>
      <c r="J1109" s="56"/>
      <c r="K1109" s="56"/>
      <c r="L1109" s="56"/>
      <c r="M1109" s="56"/>
      <c r="N1109" s="56">
        <f t="shared" ref="N1109:N1156" si="75">SUM(G1109:L1109)-M1109</f>
        <v>1786</v>
      </c>
      <c r="O1109" s="56"/>
      <c r="P1109" s="58">
        <f t="shared" si="74"/>
        <v>8476028.43</v>
      </c>
      <c r="Q1109" s="59" t="s">
        <v>669</v>
      </c>
    </row>
    <row r="1110" ht="20" customHeight="1" spans="2:17">
      <c r="B1110" s="42">
        <v>9</v>
      </c>
      <c r="C1110" s="42">
        <v>14</v>
      </c>
      <c r="D1110" s="74"/>
      <c r="E1110" s="54" t="s">
        <v>545</v>
      </c>
      <c r="F1110" s="75" t="s">
        <v>1653</v>
      </c>
      <c r="G1110" s="56">
        <v>1500</v>
      </c>
      <c r="H1110" s="56">
        <v>150</v>
      </c>
      <c r="I1110" s="56">
        <v>211</v>
      </c>
      <c r="J1110" s="56"/>
      <c r="K1110" s="56"/>
      <c r="L1110" s="56"/>
      <c r="M1110" s="56"/>
      <c r="N1110" s="56">
        <f t="shared" si="75"/>
        <v>1861</v>
      </c>
      <c r="O1110" s="56"/>
      <c r="P1110" s="58">
        <f t="shared" si="74"/>
        <v>8477889.43</v>
      </c>
      <c r="Q1110" s="59" t="s">
        <v>669</v>
      </c>
    </row>
    <row r="1111" ht="20" customHeight="1" spans="2:17">
      <c r="B1111" s="42">
        <v>9</v>
      </c>
      <c r="C1111" s="42">
        <v>14</v>
      </c>
      <c r="D1111" s="74"/>
      <c r="E1111" s="54" t="s">
        <v>608</v>
      </c>
      <c r="F1111" s="75" t="s">
        <v>1654</v>
      </c>
      <c r="G1111" s="56">
        <v>1300</v>
      </c>
      <c r="H1111" s="56">
        <v>150</v>
      </c>
      <c r="I1111" s="56">
        <v>124</v>
      </c>
      <c r="J1111" s="56"/>
      <c r="K1111" s="56"/>
      <c r="L1111" s="56"/>
      <c r="M1111" s="56"/>
      <c r="N1111" s="56">
        <f t="shared" si="75"/>
        <v>1574</v>
      </c>
      <c r="O1111" s="56"/>
      <c r="P1111" s="58">
        <f t="shared" si="74"/>
        <v>8479463.43</v>
      </c>
      <c r="Q1111" s="59" t="s">
        <v>669</v>
      </c>
    </row>
    <row r="1112" ht="20" customHeight="1" spans="2:17">
      <c r="B1112" s="42">
        <v>9</v>
      </c>
      <c r="C1112" s="42">
        <v>14</v>
      </c>
      <c r="D1112" s="74"/>
      <c r="E1112" s="74" t="s">
        <v>558</v>
      </c>
      <c r="F1112" s="75" t="s">
        <v>1655</v>
      </c>
      <c r="G1112" s="56">
        <v>1400</v>
      </c>
      <c r="H1112" s="56">
        <v>150</v>
      </c>
      <c r="I1112" s="56">
        <v>289</v>
      </c>
      <c r="J1112" s="56"/>
      <c r="K1112" s="56"/>
      <c r="L1112" s="56"/>
      <c r="M1112" s="56"/>
      <c r="N1112" s="56">
        <f t="shared" si="75"/>
        <v>1839</v>
      </c>
      <c r="O1112" s="56"/>
      <c r="P1112" s="58">
        <f t="shared" si="74"/>
        <v>8481302.43</v>
      </c>
      <c r="Q1112" s="59" t="s">
        <v>669</v>
      </c>
    </row>
    <row r="1113" ht="20" customHeight="1" spans="2:17">
      <c r="B1113" s="42">
        <v>9</v>
      </c>
      <c r="C1113" s="42">
        <v>14</v>
      </c>
      <c r="D1113" s="74"/>
      <c r="E1113" s="54" t="s">
        <v>543</v>
      </c>
      <c r="F1113" s="75" t="s">
        <v>1656</v>
      </c>
      <c r="G1113" s="56">
        <v>1300</v>
      </c>
      <c r="H1113" s="56"/>
      <c r="I1113" s="56">
        <v>107</v>
      </c>
      <c r="J1113" s="56"/>
      <c r="K1113" s="56"/>
      <c r="L1113" s="56"/>
      <c r="M1113" s="56"/>
      <c r="N1113" s="56">
        <f t="shared" si="75"/>
        <v>1407</v>
      </c>
      <c r="O1113" s="56"/>
      <c r="P1113" s="58">
        <f t="shared" si="74"/>
        <v>8482709.43</v>
      </c>
      <c r="Q1113" s="59" t="s">
        <v>669</v>
      </c>
    </row>
    <row r="1114" ht="20" customHeight="1" spans="2:17">
      <c r="B1114" s="42">
        <v>9</v>
      </c>
      <c r="C1114" s="42">
        <v>14</v>
      </c>
      <c r="D1114" s="74"/>
      <c r="E1114" s="74" t="s">
        <v>503</v>
      </c>
      <c r="F1114" s="75" t="s">
        <v>1657</v>
      </c>
      <c r="G1114" s="56">
        <v>1350</v>
      </c>
      <c r="H1114" s="56">
        <v>150</v>
      </c>
      <c r="I1114" s="56">
        <v>84</v>
      </c>
      <c r="J1114" s="56"/>
      <c r="K1114" s="56"/>
      <c r="L1114" s="56"/>
      <c r="M1114" s="56"/>
      <c r="N1114" s="56">
        <f t="shared" si="75"/>
        <v>1584</v>
      </c>
      <c r="O1114" s="56"/>
      <c r="P1114" s="58">
        <f t="shared" si="74"/>
        <v>8484293.43</v>
      </c>
      <c r="Q1114" s="59" t="s">
        <v>669</v>
      </c>
    </row>
    <row r="1115" ht="20" customHeight="1" spans="2:17">
      <c r="B1115" s="42">
        <v>9</v>
      </c>
      <c r="C1115" s="42">
        <v>14</v>
      </c>
      <c r="D1115" s="74"/>
      <c r="E1115" s="54" t="s">
        <v>568</v>
      </c>
      <c r="F1115" s="75" t="s">
        <v>1658</v>
      </c>
      <c r="G1115" s="56">
        <v>1400</v>
      </c>
      <c r="H1115" s="56"/>
      <c r="I1115" s="56">
        <v>192</v>
      </c>
      <c r="J1115" s="56"/>
      <c r="K1115" s="56"/>
      <c r="L1115" s="56"/>
      <c r="M1115" s="56"/>
      <c r="N1115" s="56">
        <f t="shared" si="75"/>
        <v>1592</v>
      </c>
      <c r="O1115" s="56"/>
      <c r="P1115" s="58">
        <f t="shared" si="74"/>
        <v>8485885.43</v>
      </c>
      <c r="Q1115" s="59" t="s">
        <v>669</v>
      </c>
    </row>
    <row r="1116" ht="20" customHeight="1" spans="2:17">
      <c r="B1116" s="42">
        <v>9</v>
      </c>
      <c r="C1116" s="42">
        <v>14</v>
      </c>
      <c r="D1116" s="74"/>
      <c r="E1116" s="74" t="s">
        <v>539</v>
      </c>
      <c r="F1116" s="75" t="s">
        <v>1659</v>
      </c>
      <c r="G1116" s="56"/>
      <c r="H1116" s="56">
        <v>150</v>
      </c>
      <c r="I1116" s="56">
        <v>54</v>
      </c>
      <c r="J1116" s="56"/>
      <c r="K1116" s="56"/>
      <c r="L1116" s="56"/>
      <c r="M1116" s="56"/>
      <c r="N1116" s="56">
        <f t="shared" si="75"/>
        <v>204</v>
      </c>
      <c r="O1116" s="56"/>
      <c r="P1116" s="58">
        <f t="shared" si="74"/>
        <v>8486089.43</v>
      </c>
      <c r="Q1116" s="59" t="s">
        <v>669</v>
      </c>
    </row>
    <row r="1117" ht="20" customHeight="1" spans="2:17">
      <c r="B1117" s="42">
        <v>9</v>
      </c>
      <c r="C1117" s="42">
        <v>14</v>
      </c>
      <c r="D1117" s="74"/>
      <c r="E1117" s="74" t="s">
        <v>1246</v>
      </c>
      <c r="F1117" s="75" t="s">
        <v>1660</v>
      </c>
      <c r="G1117" s="56">
        <v>674</v>
      </c>
      <c r="H1117" s="56"/>
      <c r="I1117" s="56">
        <v>526</v>
      </c>
      <c r="J1117" s="56"/>
      <c r="K1117" s="56"/>
      <c r="L1117" s="56"/>
      <c r="M1117" s="56"/>
      <c r="N1117" s="56">
        <f t="shared" si="75"/>
        <v>1200</v>
      </c>
      <c r="O1117" s="56"/>
      <c r="P1117" s="58">
        <f t="shared" si="74"/>
        <v>8487289.43</v>
      </c>
      <c r="Q1117" s="59" t="s">
        <v>669</v>
      </c>
    </row>
    <row r="1118" ht="20" customHeight="1" spans="2:17">
      <c r="B1118" s="42">
        <v>9</v>
      </c>
      <c r="C1118" s="42">
        <v>14</v>
      </c>
      <c r="D1118" s="74"/>
      <c r="E1118" s="54" t="s">
        <v>566</v>
      </c>
      <c r="F1118" s="75" t="s">
        <v>1661</v>
      </c>
      <c r="G1118" s="56">
        <v>2400</v>
      </c>
      <c r="H1118" s="56"/>
      <c r="I1118" s="56">
        <v>244</v>
      </c>
      <c r="J1118" s="56"/>
      <c r="K1118" s="56"/>
      <c r="L1118" s="56"/>
      <c r="M1118" s="56"/>
      <c r="N1118" s="56">
        <f t="shared" si="75"/>
        <v>2644</v>
      </c>
      <c r="O1118" s="56"/>
      <c r="P1118" s="58">
        <f t="shared" si="74"/>
        <v>8489933.43</v>
      </c>
      <c r="Q1118" s="59" t="s">
        <v>669</v>
      </c>
    </row>
    <row r="1119" ht="20" customHeight="1" spans="2:17">
      <c r="B1119" s="42">
        <v>9</v>
      </c>
      <c r="C1119" s="42">
        <v>14</v>
      </c>
      <c r="D1119" s="74"/>
      <c r="E1119" s="74" t="s">
        <v>1560</v>
      </c>
      <c r="F1119" s="75" t="s">
        <v>1662</v>
      </c>
      <c r="G1119" s="56">
        <v>1800</v>
      </c>
      <c r="H1119" s="56">
        <v>150</v>
      </c>
      <c r="I1119" s="56">
        <v>601</v>
      </c>
      <c r="J1119" s="56"/>
      <c r="K1119" s="56"/>
      <c r="L1119" s="56"/>
      <c r="M1119" s="56"/>
      <c r="N1119" s="56">
        <f t="shared" si="75"/>
        <v>2551</v>
      </c>
      <c r="O1119" s="56"/>
      <c r="P1119" s="58">
        <f t="shared" si="74"/>
        <v>8492484.43</v>
      </c>
      <c r="Q1119" s="59" t="s">
        <v>669</v>
      </c>
    </row>
    <row r="1120" ht="20" customHeight="1" spans="2:17">
      <c r="B1120" s="42">
        <v>9</v>
      </c>
      <c r="C1120" s="42">
        <v>14</v>
      </c>
      <c r="D1120" s="74"/>
      <c r="E1120" s="54" t="s">
        <v>599</v>
      </c>
      <c r="F1120" s="75" t="s">
        <v>1663</v>
      </c>
      <c r="G1120" s="56">
        <v>2000</v>
      </c>
      <c r="H1120" s="56">
        <v>150</v>
      </c>
      <c r="I1120" s="56">
        <v>128</v>
      </c>
      <c r="J1120" s="56"/>
      <c r="K1120" s="56"/>
      <c r="L1120" s="56"/>
      <c r="M1120" s="56"/>
      <c r="N1120" s="56">
        <f t="shared" si="75"/>
        <v>2278</v>
      </c>
      <c r="O1120" s="56"/>
      <c r="P1120" s="58">
        <f t="shared" si="74"/>
        <v>8494762.43</v>
      </c>
      <c r="Q1120" s="59" t="s">
        <v>669</v>
      </c>
    </row>
    <row r="1121" ht="20" customHeight="1" spans="2:19">
      <c r="B1121" s="42">
        <v>9</v>
      </c>
      <c r="C1121" s="42">
        <v>14</v>
      </c>
      <c r="D1121" s="74"/>
      <c r="E1121" s="74" t="s">
        <v>602</v>
      </c>
      <c r="F1121" s="75" t="s">
        <v>1664</v>
      </c>
      <c r="G1121" s="56">
        <v>1300</v>
      </c>
      <c r="H1121" s="56"/>
      <c r="I1121" s="56">
        <v>217</v>
      </c>
      <c r="J1121" s="56"/>
      <c r="K1121" s="56"/>
      <c r="L1121" s="56"/>
      <c r="M1121" s="56"/>
      <c r="N1121" s="56">
        <f t="shared" si="75"/>
        <v>1517</v>
      </c>
      <c r="O1121" s="56"/>
      <c r="P1121" s="58">
        <f t="shared" si="74"/>
        <v>8496279.43</v>
      </c>
      <c r="Q1121" s="59" t="s">
        <v>669</v>
      </c>
    </row>
    <row r="1122" ht="20" customHeight="1" spans="2:19">
      <c r="B1122" s="42">
        <v>9</v>
      </c>
      <c r="C1122" s="42">
        <v>14</v>
      </c>
      <c r="D1122" s="74"/>
      <c r="E1122" s="74" t="s">
        <v>642</v>
      </c>
      <c r="F1122" s="75" t="s">
        <v>1665</v>
      </c>
      <c r="G1122" s="56">
        <v>1600</v>
      </c>
      <c r="H1122" s="56"/>
      <c r="I1122" s="56">
        <v>67</v>
      </c>
      <c r="J1122" s="56"/>
      <c r="K1122" s="56"/>
      <c r="L1122" s="56"/>
      <c r="M1122" s="56"/>
      <c r="N1122" s="56">
        <f t="shared" si="75"/>
        <v>1667</v>
      </c>
      <c r="O1122" s="56"/>
      <c r="P1122" s="58">
        <f t="shared" si="74"/>
        <v>8497946.43</v>
      </c>
      <c r="Q1122" s="59" t="s">
        <v>669</v>
      </c>
    </row>
    <row r="1123" ht="20" customHeight="1" spans="2:19">
      <c r="B1123" s="42">
        <v>9</v>
      </c>
      <c r="C1123" s="42">
        <v>14</v>
      </c>
      <c r="D1123" s="74"/>
      <c r="E1123" s="54" t="s">
        <v>531</v>
      </c>
      <c r="F1123" s="75" t="s">
        <v>1666</v>
      </c>
      <c r="G1123" s="56"/>
      <c r="H1123" s="56"/>
      <c r="I1123" s="56">
        <v>149</v>
      </c>
      <c r="J1123" s="56"/>
      <c r="K1123" s="56"/>
      <c r="L1123" s="56"/>
      <c r="M1123" s="56"/>
      <c r="N1123" s="56">
        <f t="shared" si="75"/>
        <v>149</v>
      </c>
      <c r="O1123" s="56"/>
      <c r="P1123" s="58">
        <f t="shared" si="74"/>
        <v>8498095.43</v>
      </c>
      <c r="Q1123" s="59" t="s">
        <v>669</v>
      </c>
    </row>
    <row r="1124" ht="20" customHeight="1" spans="2:19">
      <c r="B1124" s="42">
        <v>9</v>
      </c>
      <c r="C1124" s="42">
        <v>14</v>
      </c>
      <c r="D1124" s="74"/>
      <c r="E1124" s="74" t="s">
        <v>701</v>
      </c>
      <c r="F1124" s="75" t="s">
        <v>1667</v>
      </c>
      <c r="G1124" s="56"/>
      <c r="H1124" s="56">
        <v>150</v>
      </c>
      <c r="I1124" s="56">
        <v>85</v>
      </c>
      <c r="J1124" s="56"/>
      <c r="K1124" s="56"/>
      <c r="L1124" s="56"/>
      <c r="M1124" s="56"/>
      <c r="N1124" s="56">
        <f t="shared" si="75"/>
        <v>235</v>
      </c>
      <c r="O1124" s="56"/>
      <c r="P1124" s="58">
        <f t="shared" si="74"/>
        <v>8498330.43</v>
      </c>
      <c r="Q1124" s="59" t="s">
        <v>669</v>
      </c>
    </row>
    <row r="1125" ht="20" customHeight="1" spans="2:19">
      <c r="B1125" s="42">
        <v>9</v>
      </c>
      <c r="C1125" s="42">
        <v>14</v>
      </c>
      <c r="D1125" s="74"/>
      <c r="E1125" s="54" t="s">
        <v>595</v>
      </c>
      <c r="F1125" s="75" t="s">
        <v>1668</v>
      </c>
      <c r="G1125" s="56"/>
      <c r="H1125" s="56">
        <v>150</v>
      </c>
      <c r="I1125" s="56">
        <v>120</v>
      </c>
      <c r="J1125" s="56"/>
      <c r="K1125" s="56"/>
      <c r="L1125" s="56"/>
      <c r="M1125" s="56"/>
      <c r="N1125" s="56">
        <f t="shared" si="75"/>
        <v>270</v>
      </c>
      <c r="O1125" s="56"/>
      <c r="P1125" s="58">
        <f t="shared" si="74"/>
        <v>8498600.43</v>
      </c>
      <c r="Q1125" s="59" t="s">
        <v>669</v>
      </c>
    </row>
    <row r="1126" ht="20" customHeight="1" spans="2:19">
      <c r="B1126" s="42">
        <v>9</v>
      </c>
      <c r="C1126" s="42">
        <v>14</v>
      </c>
      <c r="D1126" s="74"/>
      <c r="E1126" s="54" t="s">
        <v>1133</v>
      </c>
      <c r="F1126" s="75" t="s">
        <v>1669</v>
      </c>
      <c r="G1126" s="56"/>
      <c r="H1126" s="56">
        <v>150</v>
      </c>
      <c r="I1126" s="56">
        <v>37</v>
      </c>
      <c r="J1126" s="56"/>
      <c r="K1126" s="56"/>
      <c r="L1126" s="56"/>
      <c r="M1126" s="56"/>
      <c r="N1126" s="56">
        <f t="shared" si="75"/>
        <v>187</v>
      </c>
      <c r="O1126" s="56"/>
      <c r="P1126" s="58">
        <f t="shared" si="74"/>
        <v>8498787.43</v>
      </c>
      <c r="Q1126" s="59" t="s">
        <v>669</v>
      </c>
    </row>
    <row r="1127" ht="20" customHeight="1" spans="2:19">
      <c r="B1127" s="42">
        <v>9</v>
      </c>
      <c r="C1127" s="42">
        <v>14</v>
      </c>
      <c r="D1127" s="74"/>
      <c r="E1127" s="54" t="s">
        <v>876</v>
      </c>
      <c r="F1127" s="75" t="s">
        <v>1670</v>
      </c>
      <c r="G1127" s="56">
        <v>1500</v>
      </c>
      <c r="H1127" s="56"/>
      <c r="I1127" s="56">
        <v>140</v>
      </c>
      <c r="J1127" s="56"/>
      <c r="K1127" s="56"/>
      <c r="L1127" s="56"/>
      <c r="M1127" s="56"/>
      <c r="N1127" s="56">
        <f t="shared" si="75"/>
        <v>1640</v>
      </c>
      <c r="O1127" s="56"/>
      <c r="P1127" s="58">
        <f t="shared" si="74"/>
        <v>8500427.43</v>
      </c>
      <c r="Q1127" s="59" t="s">
        <v>669</v>
      </c>
    </row>
    <row r="1128" ht="20" customHeight="1" spans="2:19">
      <c r="B1128" s="42">
        <v>9</v>
      </c>
      <c r="C1128" s="42">
        <v>14</v>
      </c>
      <c r="D1128" s="74"/>
      <c r="E1128" s="54" t="s">
        <v>642</v>
      </c>
      <c r="F1128" s="75" t="s">
        <v>1671</v>
      </c>
      <c r="G1128" s="56">
        <v>1600</v>
      </c>
      <c r="H1128" s="56">
        <v>150</v>
      </c>
      <c r="I1128" s="56">
        <v>77</v>
      </c>
      <c r="J1128" s="56"/>
      <c r="K1128" s="56"/>
      <c r="L1128" s="56"/>
      <c r="M1128" s="56"/>
      <c r="N1128" s="56">
        <f t="shared" si="75"/>
        <v>1827</v>
      </c>
      <c r="O1128" s="56"/>
      <c r="P1128" s="58">
        <f t="shared" si="74"/>
        <v>8502254.43</v>
      </c>
      <c r="Q1128" s="59" t="s">
        <v>669</v>
      </c>
    </row>
    <row r="1129" ht="20" customHeight="1" spans="2:19">
      <c r="B1129" s="42">
        <v>9</v>
      </c>
      <c r="C1129" s="42">
        <v>14</v>
      </c>
      <c r="D1129" s="74"/>
      <c r="E1129" s="54" t="s">
        <v>524</v>
      </c>
      <c r="F1129" s="75" t="s">
        <v>1672</v>
      </c>
      <c r="G1129" s="56">
        <v>2900</v>
      </c>
      <c r="H1129" s="56"/>
      <c r="I1129" s="56">
        <v>464</v>
      </c>
      <c r="J1129" s="56"/>
      <c r="K1129" s="56"/>
      <c r="L1129" s="56"/>
      <c r="M1129" s="56"/>
      <c r="N1129" s="56">
        <f t="shared" si="75"/>
        <v>3364</v>
      </c>
      <c r="O1129" s="56"/>
      <c r="P1129" s="58">
        <f t="shared" si="74"/>
        <v>8505618.43</v>
      </c>
      <c r="Q1129" s="59" t="s">
        <v>669</v>
      </c>
    </row>
    <row r="1130" ht="20" customHeight="1" spans="2:19">
      <c r="B1130" s="42">
        <v>9</v>
      </c>
      <c r="C1130" s="42">
        <v>14</v>
      </c>
      <c r="D1130" s="74"/>
      <c r="E1130" s="54" t="s">
        <v>524</v>
      </c>
      <c r="F1130" s="75" t="s">
        <v>1673</v>
      </c>
      <c r="G1130" s="56"/>
      <c r="H1130" s="56"/>
      <c r="I1130" s="56">
        <v>122</v>
      </c>
      <c r="J1130" s="56"/>
      <c r="K1130" s="56"/>
      <c r="L1130" s="56"/>
      <c r="M1130" s="56"/>
      <c r="N1130" s="56">
        <f t="shared" si="75"/>
        <v>122</v>
      </c>
      <c r="O1130" s="56"/>
      <c r="P1130" s="58">
        <f t="shared" si="74"/>
        <v>8505740.43</v>
      </c>
      <c r="Q1130" s="59" t="s">
        <v>669</v>
      </c>
    </row>
    <row r="1131" ht="20" customHeight="1" spans="2:19">
      <c r="B1131" s="42">
        <v>9</v>
      </c>
      <c r="C1131" s="42">
        <v>14</v>
      </c>
      <c r="D1131" s="74"/>
      <c r="E1131" s="54" t="s">
        <v>583</v>
      </c>
      <c r="F1131" s="75" t="s">
        <v>1674</v>
      </c>
      <c r="G1131" s="56">
        <v>6708</v>
      </c>
      <c r="H1131" s="56"/>
      <c r="I1131" s="56">
        <v>238</v>
      </c>
      <c r="J1131" s="56"/>
      <c r="K1131" s="56"/>
      <c r="L1131" s="56"/>
      <c r="M1131" s="56"/>
      <c r="N1131" s="56">
        <f t="shared" si="75"/>
        <v>6946</v>
      </c>
      <c r="O1131" s="56"/>
      <c r="P1131" s="58">
        <f t="shared" si="74"/>
        <v>8512686.43</v>
      </c>
      <c r="Q1131" s="59" t="s">
        <v>669</v>
      </c>
    </row>
    <row r="1132" ht="20" customHeight="1" spans="2:19">
      <c r="B1132" s="42">
        <v>9</v>
      </c>
      <c r="C1132" s="42">
        <v>14</v>
      </c>
      <c r="D1132" s="74"/>
      <c r="E1132" s="54" t="s">
        <v>583</v>
      </c>
      <c r="F1132" s="75" t="s">
        <v>1675</v>
      </c>
      <c r="G1132" s="56">
        <v>6708</v>
      </c>
      <c r="H1132" s="56"/>
      <c r="I1132" s="56">
        <v>261</v>
      </c>
      <c r="J1132" s="56"/>
      <c r="K1132" s="56"/>
      <c r="L1132" s="56"/>
      <c r="M1132" s="56"/>
      <c r="N1132" s="56">
        <f t="shared" si="75"/>
        <v>6969</v>
      </c>
      <c r="O1132" s="56"/>
      <c r="P1132" s="58">
        <f t="shared" ref="P1132:P1163" si="76">P1131+N1132-O1132</f>
        <v>8519655.43</v>
      </c>
      <c r="Q1132" s="59" t="s">
        <v>669</v>
      </c>
      <c r="R1132" s="3" t="s">
        <v>239</v>
      </c>
      <c r="S1132" s="3">
        <f>SUM(N1098:N1105)+SUM(N1107:N1132)-SUM(O1098:O1132)+S1097</f>
        <v>514099.03</v>
      </c>
    </row>
    <row r="1133" ht="20" customHeight="1" spans="2:19">
      <c r="B1133" s="42">
        <v>9</v>
      </c>
      <c r="C1133" s="42">
        <v>14</v>
      </c>
      <c r="D1133" s="74"/>
      <c r="E1133" s="54" t="s">
        <v>486</v>
      </c>
      <c r="F1133" s="45" t="s">
        <v>1676</v>
      </c>
      <c r="G1133" s="56"/>
      <c r="H1133" s="56"/>
      <c r="I1133" s="56"/>
      <c r="J1133" s="56"/>
      <c r="K1133" s="56"/>
      <c r="L1133" s="56"/>
      <c r="M1133" s="56"/>
      <c r="N1133" s="56">
        <f t="shared" si="75"/>
        <v>0</v>
      </c>
      <c r="O1133" s="56">
        <v>2615.18</v>
      </c>
      <c r="P1133" s="58">
        <f t="shared" si="76"/>
        <v>8517040.25</v>
      </c>
      <c r="Q1133" s="59"/>
    </row>
    <row r="1134" ht="20" customHeight="1" spans="2:19">
      <c r="B1134" s="42">
        <v>9</v>
      </c>
      <c r="C1134" s="42">
        <v>14</v>
      </c>
      <c r="D1134" s="74"/>
      <c r="E1134" s="54" t="s">
        <v>486</v>
      </c>
      <c r="F1134" s="45" t="s">
        <v>1677</v>
      </c>
      <c r="G1134" s="56"/>
      <c r="H1134" s="56"/>
      <c r="I1134" s="56"/>
      <c r="J1134" s="56"/>
      <c r="K1134" s="56"/>
      <c r="L1134" s="56"/>
      <c r="M1134" s="56"/>
      <c r="N1134" s="56">
        <f t="shared" si="75"/>
        <v>0</v>
      </c>
      <c r="O1134" s="56">
        <v>800</v>
      </c>
      <c r="P1134" s="58">
        <f t="shared" si="76"/>
        <v>8516240.25</v>
      </c>
      <c r="Q1134" s="59"/>
    </row>
    <row r="1135" ht="20" customHeight="1" spans="2:19">
      <c r="B1135" s="42">
        <v>9</v>
      </c>
      <c r="C1135" s="42">
        <v>14</v>
      </c>
      <c r="D1135" s="74"/>
      <c r="E1135" s="54" t="s">
        <v>486</v>
      </c>
      <c r="F1135" s="45" t="s">
        <v>1678</v>
      </c>
      <c r="G1135" s="56"/>
      <c r="H1135" s="56"/>
      <c r="I1135" s="56"/>
      <c r="J1135" s="56"/>
      <c r="K1135" s="56"/>
      <c r="L1135" s="56"/>
      <c r="M1135" s="56"/>
      <c r="N1135" s="56">
        <f t="shared" si="75"/>
        <v>0</v>
      </c>
      <c r="O1135" s="56">
        <v>1709.5</v>
      </c>
      <c r="P1135" s="58">
        <f t="shared" si="76"/>
        <v>8514530.75</v>
      </c>
      <c r="Q1135" s="59"/>
    </row>
    <row r="1136" ht="48.75" spans="2:19">
      <c r="B1136" s="42">
        <v>9</v>
      </c>
      <c r="C1136" s="42">
        <v>14</v>
      </c>
      <c r="D1136" s="74"/>
      <c r="E1136" s="54" t="s">
        <v>522</v>
      </c>
      <c r="F1136" s="178" t="s">
        <v>1679</v>
      </c>
      <c r="G1136" s="56">
        <v>3000</v>
      </c>
      <c r="H1136" s="56">
        <v>300</v>
      </c>
      <c r="I1136" s="56">
        <v>207</v>
      </c>
      <c r="J1136" s="56"/>
      <c r="K1136" s="56"/>
      <c r="L1136" s="56"/>
      <c r="M1136" s="56"/>
      <c r="N1136" s="71">
        <f t="shared" si="75"/>
        <v>3507</v>
      </c>
      <c r="O1136" s="71">
        <v>5700</v>
      </c>
      <c r="P1136" s="58">
        <f t="shared" si="76"/>
        <v>8512337.75</v>
      </c>
      <c r="Q1136" s="59"/>
    </row>
    <row r="1137" ht="20" customHeight="1" spans="2:17">
      <c r="B1137" s="42">
        <v>9</v>
      </c>
      <c r="C1137" s="42">
        <v>15</v>
      </c>
      <c r="D1137" s="74" t="s">
        <v>92</v>
      </c>
      <c r="E1137" s="74" t="s">
        <v>271</v>
      </c>
      <c r="F1137" s="95" t="s">
        <v>1680</v>
      </c>
      <c r="G1137" s="56"/>
      <c r="H1137" s="56"/>
      <c r="I1137" s="56"/>
      <c r="J1137" s="56"/>
      <c r="K1137" s="56"/>
      <c r="L1137" s="56"/>
      <c r="M1137" s="56"/>
      <c r="N1137" s="56">
        <f t="shared" si="75"/>
        <v>0</v>
      </c>
      <c r="O1137" s="56">
        <v>33420</v>
      </c>
      <c r="P1137" s="58">
        <f t="shared" si="76"/>
        <v>8478917.75</v>
      </c>
      <c r="Q1137" s="59"/>
    </row>
    <row r="1138" ht="20" customHeight="1" spans="2:17">
      <c r="B1138" s="42">
        <v>9</v>
      </c>
      <c r="C1138" s="42">
        <v>15</v>
      </c>
      <c r="D1138" s="74"/>
      <c r="E1138" s="54" t="s">
        <v>657</v>
      </c>
      <c r="F1138" s="75" t="s">
        <v>1681</v>
      </c>
      <c r="G1138" s="56">
        <v>1800</v>
      </c>
      <c r="H1138" s="56">
        <v>150</v>
      </c>
      <c r="I1138" s="56">
        <v>384</v>
      </c>
      <c r="J1138" s="56"/>
      <c r="K1138" s="56"/>
      <c r="L1138" s="56"/>
      <c r="M1138" s="56"/>
      <c r="N1138" s="56">
        <f t="shared" si="75"/>
        <v>2334</v>
      </c>
      <c r="O1138" s="56"/>
      <c r="P1138" s="58">
        <f t="shared" si="76"/>
        <v>8481251.75</v>
      </c>
      <c r="Q1138" s="59"/>
    </row>
    <row r="1139" ht="20" customHeight="1" spans="2:17">
      <c r="B1139" s="42">
        <v>9</v>
      </c>
      <c r="C1139" s="42">
        <v>20</v>
      </c>
      <c r="D1139" s="74"/>
      <c r="E1139" s="54" t="s">
        <v>510</v>
      </c>
      <c r="F1139" s="75" t="s">
        <v>1682</v>
      </c>
      <c r="G1139" s="56">
        <v>1700</v>
      </c>
      <c r="H1139" s="56">
        <v>150</v>
      </c>
      <c r="I1139" s="56">
        <v>275</v>
      </c>
      <c r="J1139" s="56"/>
      <c r="K1139" s="56"/>
      <c r="L1139" s="56"/>
      <c r="M1139" s="56"/>
      <c r="N1139" s="56">
        <f t="shared" si="75"/>
        <v>2125</v>
      </c>
      <c r="O1139" s="56"/>
      <c r="P1139" s="58">
        <f t="shared" si="76"/>
        <v>8483376.75</v>
      </c>
      <c r="Q1139" s="59"/>
    </row>
    <row r="1140" ht="20" customHeight="1" spans="2:17">
      <c r="B1140" s="42">
        <v>9</v>
      </c>
      <c r="C1140" s="42">
        <v>21</v>
      </c>
      <c r="D1140" s="74"/>
      <c r="E1140" s="74" t="s">
        <v>161</v>
      </c>
      <c r="F1140" s="75" t="s">
        <v>898</v>
      </c>
      <c r="G1140" s="56"/>
      <c r="H1140" s="56"/>
      <c r="I1140" s="56"/>
      <c r="J1140" s="56"/>
      <c r="K1140" s="56"/>
      <c r="L1140" s="56">
        <v>24.25</v>
      </c>
      <c r="M1140" s="56"/>
      <c r="N1140" s="56">
        <f t="shared" si="75"/>
        <v>24.25</v>
      </c>
      <c r="O1140" s="56"/>
      <c r="P1140" s="58">
        <f t="shared" si="76"/>
        <v>8483401</v>
      </c>
      <c r="Q1140" s="59"/>
    </row>
    <row r="1141" ht="20" customHeight="1" spans="2:17">
      <c r="B1141" s="42">
        <v>9</v>
      </c>
      <c r="C1141" s="42">
        <v>21</v>
      </c>
      <c r="D1141" s="74"/>
      <c r="E1141" s="54"/>
      <c r="F1141" s="75" t="s">
        <v>1683</v>
      </c>
      <c r="G1141" s="56"/>
      <c r="H1141" s="56"/>
      <c r="I1141" s="56"/>
      <c r="J1141" s="56"/>
      <c r="K1141" s="56">
        <v>3130</v>
      </c>
      <c r="L1141" s="56"/>
      <c r="M1141" s="56">
        <v>22.19</v>
      </c>
      <c r="N1141" s="56">
        <f t="shared" si="75"/>
        <v>3107.81</v>
      </c>
      <c r="O1141" s="56"/>
      <c r="P1141" s="58">
        <f t="shared" si="76"/>
        <v>8486508.81</v>
      </c>
      <c r="Q1141" s="59" t="s">
        <v>669</v>
      </c>
    </row>
    <row r="1142" ht="20" customHeight="1" spans="2:17">
      <c r="B1142" s="42">
        <v>9</v>
      </c>
      <c r="C1142" s="42">
        <v>21</v>
      </c>
      <c r="D1142" s="74"/>
      <c r="E1142" s="42"/>
      <c r="F1142" s="75" t="s">
        <v>1684</v>
      </c>
      <c r="G1142" s="56"/>
      <c r="H1142" s="56"/>
      <c r="I1142" s="56"/>
      <c r="J1142" s="56"/>
      <c r="K1142" s="56">
        <v>700</v>
      </c>
      <c r="L1142" s="56"/>
      <c r="M1142" s="56"/>
      <c r="N1142" s="56">
        <f t="shared" si="75"/>
        <v>700</v>
      </c>
      <c r="O1142" s="56"/>
      <c r="P1142" s="58">
        <f t="shared" si="76"/>
        <v>8487208.81</v>
      </c>
      <c r="Q1142" s="59" t="s">
        <v>669</v>
      </c>
    </row>
    <row r="1143" ht="20" customHeight="1" spans="2:17">
      <c r="B1143" s="42">
        <v>9</v>
      </c>
      <c r="C1143" s="42">
        <v>21</v>
      </c>
      <c r="D1143" s="74"/>
      <c r="E1143" s="54" t="s">
        <v>905</v>
      </c>
      <c r="F1143" s="75" t="s">
        <v>1685</v>
      </c>
      <c r="G1143" s="56"/>
      <c r="H1143" s="56">
        <v>150</v>
      </c>
      <c r="I1143" s="56">
        <v>73</v>
      </c>
      <c r="J1143" s="56"/>
      <c r="K1143" s="56"/>
      <c r="L1143" s="56"/>
      <c r="M1143" s="56"/>
      <c r="N1143" s="56">
        <f t="shared" si="75"/>
        <v>223</v>
      </c>
      <c r="O1143" s="56"/>
      <c r="P1143" s="58">
        <f t="shared" si="76"/>
        <v>8487431.81</v>
      </c>
      <c r="Q1143" s="59" t="s">
        <v>669</v>
      </c>
    </row>
    <row r="1144" ht="20" customHeight="1" spans="2:17">
      <c r="B1144" s="42">
        <v>9</v>
      </c>
      <c r="C1144" s="42">
        <v>21</v>
      </c>
      <c r="D1144" s="74"/>
      <c r="E1144" s="42" t="s">
        <v>905</v>
      </c>
      <c r="F1144" s="75" t="s">
        <v>1686</v>
      </c>
      <c r="G1144" s="56"/>
      <c r="H1144" s="56"/>
      <c r="I1144" s="56">
        <v>76</v>
      </c>
      <c r="J1144" s="56"/>
      <c r="K1144" s="56"/>
      <c r="L1144" s="56"/>
      <c r="M1144" s="56"/>
      <c r="N1144" s="56">
        <f t="shared" si="75"/>
        <v>76</v>
      </c>
      <c r="O1144" s="56"/>
      <c r="P1144" s="58">
        <f t="shared" si="76"/>
        <v>8487507.81</v>
      </c>
      <c r="Q1144" s="59" t="s">
        <v>669</v>
      </c>
    </row>
    <row r="1145" ht="20" customHeight="1" spans="2:17">
      <c r="B1145" s="42">
        <v>9</v>
      </c>
      <c r="C1145" s="42">
        <v>21</v>
      </c>
      <c r="D1145" s="74"/>
      <c r="E1145" s="74" t="s">
        <v>660</v>
      </c>
      <c r="F1145" s="75" t="s">
        <v>1687</v>
      </c>
      <c r="G1145" s="56">
        <v>2000</v>
      </c>
      <c r="H1145" s="56">
        <v>150</v>
      </c>
      <c r="I1145" s="56">
        <v>344</v>
      </c>
      <c r="J1145" s="56"/>
      <c r="K1145" s="56"/>
      <c r="L1145" s="56"/>
      <c r="M1145" s="56"/>
      <c r="N1145" s="56">
        <f t="shared" si="75"/>
        <v>2494</v>
      </c>
      <c r="O1145" s="56"/>
      <c r="P1145" s="58">
        <f t="shared" si="76"/>
        <v>8490001.81</v>
      </c>
      <c r="Q1145" s="59" t="s">
        <v>669</v>
      </c>
    </row>
    <row r="1146" ht="20" customHeight="1" spans="2:17">
      <c r="B1146" s="42">
        <v>9</v>
      </c>
      <c r="C1146" s="42">
        <v>21</v>
      </c>
      <c r="D1146" s="74"/>
      <c r="E1146" s="54" t="s">
        <v>1210</v>
      </c>
      <c r="F1146" s="75" t="s">
        <v>1688</v>
      </c>
      <c r="G1146" s="56">
        <v>1500</v>
      </c>
      <c r="H1146" s="56">
        <v>150</v>
      </c>
      <c r="I1146" s="56">
        <v>48</v>
      </c>
      <c r="J1146" s="56"/>
      <c r="K1146" s="56"/>
      <c r="L1146" s="56"/>
      <c r="M1146" s="56"/>
      <c r="N1146" s="56">
        <f t="shared" si="75"/>
        <v>1698</v>
      </c>
      <c r="O1146" s="56"/>
      <c r="P1146" s="58">
        <f t="shared" si="76"/>
        <v>8491699.81</v>
      </c>
      <c r="Q1146" s="59" t="s">
        <v>669</v>
      </c>
    </row>
    <row r="1147" ht="20" customHeight="1" spans="2:17">
      <c r="B1147" s="42">
        <v>9</v>
      </c>
      <c r="C1147" s="42">
        <v>21</v>
      </c>
      <c r="D1147" s="74"/>
      <c r="E1147" s="74" t="s">
        <v>1580</v>
      </c>
      <c r="F1147" s="75" t="s">
        <v>1689</v>
      </c>
      <c r="G1147" s="56">
        <v>1500</v>
      </c>
      <c r="H1147" s="56"/>
      <c r="I1147" s="56">
        <v>95</v>
      </c>
      <c r="J1147" s="56"/>
      <c r="K1147" s="56"/>
      <c r="L1147" s="56"/>
      <c r="M1147" s="56"/>
      <c r="N1147" s="56">
        <f t="shared" si="75"/>
        <v>1595</v>
      </c>
      <c r="O1147" s="56"/>
      <c r="P1147" s="58">
        <f t="shared" si="76"/>
        <v>8493294.81</v>
      </c>
      <c r="Q1147" s="59" t="s">
        <v>669</v>
      </c>
    </row>
    <row r="1148" ht="20" customHeight="1" spans="2:17">
      <c r="B1148" s="42">
        <v>9</v>
      </c>
      <c r="C1148" s="42">
        <v>21</v>
      </c>
      <c r="D1148" s="74"/>
      <c r="E1148" s="54" t="s">
        <v>484</v>
      </c>
      <c r="F1148" s="75" t="s">
        <v>1690</v>
      </c>
      <c r="G1148" s="56">
        <v>2500</v>
      </c>
      <c r="H1148" s="56"/>
      <c r="I1148" s="56">
        <v>215</v>
      </c>
      <c r="J1148" s="56"/>
      <c r="K1148" s="56"/>
      <c r="L1148" s="56"/>
      <c r="M1148" s="56"/>
      <c r="N1148" s="56">
        <f t="shared" si="75"/>
        <v>2715</v>
      </c>
      <c r="O1148" s="56"/>
      <c r="P1148" s="58">
        <f t="shared" si="76"/>
        <v>8496009.81</v>
      </c>
      <c r="Q1148" s="59" t="s">
        <v>669</v>
      </c>
    </row>
    <row r="1149" ht="20" customHeight="1" spans="2:17">
      <c r="B1149" s="42">
        <v>9</v>
      </c>
      <c r="C1149" s="42">
        <v>21</v>
      </c>
      <c r="D1149" s="74"/>
      <c r="E1149" s="74" t="s">
        <v>865</v>
      </c>
      <c r="F1149" s="75" t="s">
        <v>1691</v>
      </c>
      <c r="G1149" s="56">
        <v>1700</v>
      </c>
      <c r="H1149" s="56"/>
      <c r="I1149" s="56">
        <v>481</v>
      </c>
      <c r="J1149" s="56"/>
      <c r="K1149" s="56"/>
      <c r="L1149" s="56"/>
      <c r="M1149" s="56"/>
      <c r="N1149" s="56">
        <f t="shared" si="75"/>
        <v>2181</v>
      </c>
      <c r="O1149" s="56"/>
      <c r="P1149" s="58">
        <f t="shared" si="76"/>
        <v>8498190.81</v>
      </c>
      <c r="Q1149" s="59" t="s">
        <v>669</v>
      </c>
    </row>
    <row r="1150" ht="20" customHeight="1" spans="2:17">
      <c r="B1150" s="42">
        <v>9</v>
      </c>
      <c r="C1150" s="42">
        <v>21</v>
      </c>
      <c r="D1150" s="74"/>
      <c r="E1150" s="74" t="s">
        <v>728</v>
      </c>
      <c r="F1150" s="75" t="s">
        <v>1692</v>
      </c>
      <c r="G1150" s="56">
        <v>1900</v>
      </c>
      <c r="H1150" s="56">
        <v>150</v>
      </c>
      <c r="I1150" s="56">
        <v>208</v>
      </c>
      <c r="J1150" s="56"/>
      <c r="K1150" s="56"/>
      <c r="L1150" s="56"/>
      <c r="M1150" s="56"/>
      <c r="N1150" s="56">
        <f t="shared" si="75"/>
        <v>2258</v>
      </c>
      <c r="O1150" s="56"/>
      <c r="P1150" s="58">
        <f t="shared" si="76"/>
        <v>8500448.81</v>
      </c>
      <c r="Q1150" s="59" t="s">
        <v>669</v>
      </c>
    </row>
    <row r="1151" ht="20" customHeight="1" spans="2:17">
      <c r="B1151" s="42">
        <v>9</v>
      </c>
      <c r="C1151" s="42">
        <v>21</v>
      </c>
      <c r="D1151" s="74"/>
      <c r="E1151" s="74" t="s">
        <v>728</v>
      </c>
      <c r="F1151" s="75" t="s">
        <v>1693</v>
      </c>
      <c r="G1151" s="56">
        <v>1900</v>
      </c>
      <c r="H1151" s="56">
        <v>150</v>
      </c>
      <c r="I1151" s="56">
        <v>143</v>
      </c>
      <c r="J1151" s="56"/>
      <c r="K1151" s="56"/>
      <c r="L1151" s="56"/>
      <c r="M1151" s="56"/>
      <c r="N1151" s="56">
        <f t="shared" si="75"/>
        <v>2193</v>
      </c>
      <c r="O1151" s="56"/>
      <c r="P1151" s="58">
        <f t="shared" si="76"/>
        <v>8502641.81</v>
      </c>
      <c r="Q1151" s="59" t="s">
        <v>669</v>
      </c>
    </row>
    <row r="1152" ht="20" customHeight="1" spans="2:17">
      <c r="B1152" s="42">
        <v>9</v>
      </c>
      <c r="C1152" s="42">
        <v>21</v>
      </c>
      <c r="D1152" s="74"/>
      <c r="E1152" s="74" t="s">
        <v>533</v>
      </c>
      <c r="F1152" s="75" t="s">
        <v>1694</v>
      </c>
      <c r="G1152" s="56">
        <v>1400</v>
      </c>
      <c r="H1152" s="56"/>
      <c r="I1152" s="56">
        <v>68</v>
      </c>
      <c r="J1152" s="56"/>
      <c r="K1152" s="56"/>
      <c r="L1152" s="56"/>
      <c r="M1152" s="56"/>
      <c r="N1152" s="56">
        <f t="shared" si="75"/>
        <v>1468</v>
      </c>
      <c r="O1152" s="56"/>
      <c r="P1152" s="58">
        <f t="shared" si="76"/>
        <v>8504109.81</v>
      </c>
      <c r="Q1152" s="59" t="s">
        <v>669</v>
      </c>
    </row>
    <row r="1153" ht="20" customHeight="1" spans="2:19">
      <c r="B1153" s="42">
        <v>9</v>
      </c>
      <c r="C1153" s="42">
        <v>21</v>
      </c>
      <c r="D1153" s="74"/>
      <c r="E1153" s="54" t="s">
        <v>520</v>
      </c>
      <c r="F1153" s="75" t="s">
        <v>1695</v>
      </c>
      <c r="G1153" s="56">
        <v>1400</v>
      </c>
      <c r="H1153" s="56"/>
      <c r="I1153" s="56">
        <v>78</v>
      </c>
      <c r="J1153" s="56"/>
      <c r="K1153" s="56"/>
      <c r="L1153" s="56"/>
      <c r="M1153" s="56"/>
      <c r="N1153" s="56">
        <f t="shared" si="75"/>
        <v>1478</v>
      </c>
      <c r="O1153" s="56"/>
      <c r="P1153" s="58">
        <f t="shared" si="76"/>
        <v>8505587.81</v>
      </c>
      <c r="Q1153" s="59" t="s">
        <v>669</v>
      </c>
    </row>
    <row r="1154" ht="20" customHeight="1" spans="2:19">
      <c r="B1154" s="42">
        <v>9</v>
      </c>
      <c r="C1154" s="42">
        <v>21</v>
      </c>
      <c r="D1154" s="94" t="s">
        <v>121</v>
      </c>
      <c r="E1154" s="94" t="s">
        <v>764</v>
      </c>
      <c r="F1154" s="157" t="s">
        <v>1585</v>
      </c>
      <c r="G1154" s="84"/>
      <c r="H1154" s="84"/>
      <c r="I1154" s="84"/>
      <c r="J1154" s="84"/>
      <c r="K1154" s="84"/>
      <c r="L1154" s="84"/>
      <c r="M1154" s="84"/>
      <c r="N1154" s="84">
        <f t="shared" si="75"/>
        <v>0</v>
      </c>
      <c r="O1154" s="181">
        <v>130000</v>
      </c>
      <c r="P1154" s="58">
        <f t="shared" si="76"/>
        <v>8375587.81</v>
      </c>
      <c r="Q1154" s="59"/>
      <c r="R1154" s="3" t="s">
        <v>239</v>
      </c>
      <c r="S1154" s="3">
        <f>SUM(N1133:N1154)-SUM(O1133:O1154)+S1132</f>
        <v>370031.41</v>
      </c>
    </row>
    <row r="1155" ht="20" customHeight="1" spans="2:19">
      <c r="B1155" s="42">
        <v>9</v>
      </c>
      <c r="C1155" s="42">
        <v>22</v>
      </c>
      <c r="D1155" s="74"/>
      <c r="E1155" s="54" t="s">
        <v>491</v>
      </c>
      <c r="F1155" s="45" t="s">
        <v>1696</v>
      </c>
      <c r="G1155" s="56">
        <v>16245</v>
      </c>
      <c r="H1155" s="56"/>
      <c r="I1155" s="56">
        <v>30</v>
      </c>
      <c r="J1155" s="56"/>
      <c r="K1155" s="56"/>
      <c r="L1155" s="56"/>
      <c r="M1155" s="56"/>
      <c r="N1155" s="56">
        <f t="shared" si="75"/>
        <v>16275</v>
      </c>
      <c r="O1155" s="56"/>
      <c r="P1155" s="58">
        <f t="shared" si="76"/>
        <v>8391862.81</v>
      </c>
      <c r="Q1155" s="59"/>
    </row>
    <row r="1156" ht="20" customHeight="1" spans="2:19">
      <c r="B1156" s="42">
        <v>9</v>
      </c>
      <c r="C1156" s="42">
        <v>26</v>
      </c>
      <c r="D1156" s="74"/>
      <c r="E1156" s="54" t="s">
        <v>506</v>
      </c>
      <c r="F1156" s="45" t="s">
        <v>1697</v>
      </c>
      <c r="G1156" s="56">
        <v>7274</v>
      </c>
      <c r="H1156" s="56"/>
      <c r="I1156" s="56">
        <v>730</v>
      </c>
      <c r="J1156" s="56"/>
      <c r="K1156" s="56"/>
      <c r="L1156" s="56"/>
      <c r="M1156" s="56"/>
      <c r="N1156" s="56">
        <f t="shared" si="75"/>
        <v>8004</v>
      </c>
      <c r="O1156" s="56"/>
      <c r="P1156" s="58">
        <f t="shared" si="76"/>
        <v>8399866.81</v>
      </c>
      <c r="Q1156" s="59"/>
    </row>
    <row r="1157" ht="20" customHeight="1" spans="2:19">
      <c r="B1157" s="42">
        <v>9</v>
      </c>
      <c r="C1157" s="42">
        <v>28</v>
      </c>
      <c r="D1157" s="74"/>
      <c r="E1157" s="54" t="s">
        <v>239</v>
      </c>
      <c r="F1157" s="45" t="s">
        <v>913</v>
      </c>
      <c r="G1157" s="56"/>
      <c r="H1157" s="56"/>
      <c r="I1157" s="56"/>
      <c r="J1157" s="56"/>
      <c r="K1157" s="56"/>
      <c r="L1157" s="56">
        <v>2.04</v>
      </c>
      <c r="M1157" s="56"/>
      <c r="N1157" s="56">
        <f t="shared" ref="N1157:N1164" si="77">SUM(G1157:L1157)-M1157</f>
        <v>2.04</v>
      </c>
      <c r="O1157" s="56"/>
      <c r="P1157" s="58">
        <f t="shared" si="76"/>
        <v>8399868.85</v>
      </c>
      <c r="Q1157" s="59" t="s">
        <v>669</v>
      </c>
    </row>
    <row r="1158" ht="20" customHeight="1" spans="2:19">
      <c r="B1158" s="42">
        <v>9</v>
      </c>
      <c r="C1158" s="42">
        <v>28</v>
      </c>
      <c r="D1158" s="74"/>
      <c r="E1158" s="54"/>
      <c r="F1158" s="45" t="s">
        <v>1698</v>
      </c>
      <c r="G1158" s="56"/>
      <c r="H1158" s="56"/>
      <c r="I1158" s="56"/>
      <c r="J1158" s="56"/>
      <c r="K1158" s="56">
        <v>2440</v>
      </c>
      <c r="L1158" s="56"/>
      <c r="M1158" s="56">
        <v>14</v>
      </c>
      <c r="N1158" s="56">
        <f t="shared" si="77"/>
        <v>2426</v>
      </c>
      <c r="O1158" s="56"/>
      <c r="P1158" s="58">
        <f t="shared" si="76"/>
        <v>8402294.85</v>
      </c>
      <c r="Q1158" s="59" t="s">
        <v>669</v>
      </c>
    </row>
    <row r="1159" ht="20" customHeight="1" spans="2:19">
      <c r="B1159" s="42">
        <v>9</v>
      </c>
      <c r="C1159" s="42">
        <v>28</v>
      </c>
      <c r="D1159" s="74"/>
      <c r="E1159" s="54" t="s">
        <v>626</v>
      </c>
      <c r="F1159" s="45" t="s">
        <v>1699</v>
      </c>
      <c r="G1159" s="56">
        <v>1400</v>
      </c>
      <c r="H1159" s="56">
        <v>150</v>
      </c>
      <c r="I1159" s="56">
        <v>82</v>
      </c>
      <c r="J1159" s="56"/>
      <c r="K1159" s="56"/>
      <c r="L1159" s="56"/>
      <c r="M1159" s="56"/>
      <c r="N1159" s="56">
        <f t="shared" si="77"/>
        <v>1632</v>
      </c>
      <c r="O1159" s="56"/>
      <c r="P1159" s="58">
        <f t="shared" si="76"/>
        <v>8403926.85</v>
      </c>
      <c r="Q1159" s="59" t="s">
        <v>669</v>
      </c>
    </row>
    <row r="1160" ht="20" customHeight="1" spans="2:19">
      <c r="B1160" s="42">
        <v>9</v>
      </c>
      <c r="C1160" s="42">
        <v>28</v>
      </c>
      <c r="D1160" s="74"/>
      <c r="E1160" s="54" t="s">
        <v>648</v>
      </c>
      <c r="F1160" s="45" t="s">
        <v>1700</v>
      </c>
      <c r="G1160" s="56">
        <v>1500</v>
      </c>
      <c r="H1160" s="56"/>
      <c r="I1160" s="56">
        <v>220</v>
      </c>
      <c r="J1160" s="56"/>
      <c r="K1160" s="56"/>
      <c r="L1160" s="56"/>
      <c r="M1160" s="56"/>
      <c r="N1160" s="56">
        <f t="shared" si="77"/>
        <v>1720</v>
      </c>
      <c r="O1160" s="56"/>
      <c r="P1160" s="58">
        <f t="shared" si="76"/>
        <v>8405646.85</v>
      </c>
      <c r="Q1160" s="59" t="s">
        <v>669</v>
      </c>
    </row>
    <row r="1161" ht="20" customHeight="1" spans="2:19">
      <c r="B1161" s="42">
        <v>9</v>
      </c>
      <c r="C1161" s="42">
        <v>28</v>
      </c>
      <c r="D1161" s="74"/>
      <c r="E1161" s="54" t="s">
        <v>1701</v>
      </c>
      <c r="F1161" s="45" t="s">
        <v>1702</v>
      </c>
      <c r="G1161" s="56">
        <v>1308</v>
      </c>
      <c r="H1161" s="56"/>
      <c r="I1161" s="56">
        <v>304</v>
      </c>
      <c r="J1161" s="56"/>
      <c r="K1161" s="56"/>
      <c r="L1161" s="56"/>
      <c r="M1161" s="56"/>
      <c r="N1161" s="56">
        <f t="shared" si="77"/>
        <v>1612</v>
      </c>
      <c r="O1161" s="56"/>
      <c r="P1161" s="58">
        <f t="shared" si="76"/>
        <v>8407258.85</v>
      </c>
      <c r="Q1161" s="59" t="s">
        <v>669</v>
      </c>
    </row>
    <row r="1162" ht="20" customHeight="1" spans="2:19">
      <c r="B1162" s="42">
        <v>9</v>
      </c>
      <c r="C1162" s="42">
        <v>28</v>
      </c>
      <c r="D1162" s="74"/>
      <c r="E1162" s="54" t="s">
        <v>1639</v>
      </c>
      <c r="F1162" s="45" t="s">
        <v>1703</v>
      </c>
      <c r="G1162" s="56">
        <v>1700</v>
      </c>
      <c r="H1162" s="56"/>
      <c r="I1162" s="56"/>
      <c r="J1162" s="56"/>
      <c r="K1162" s="56"/>
      <c r="L1162" s="56"/>
      <c r="M1162" s="56"/>
      <c r="N1162" s="56">
        <f t="shared" si="77"/>
        <v>1700</v>
      </c>
      <c r="O1162" s="56"/>
      <c r="P1162" s="58">
        <f t="shared" si="76"/>
        <v>8408958.85</v>
      </c>
      <c r="Q1162" s="59" t="s">
        <v>669</v>
      </c>
    </row>
    <row r="1163" ht="20" customHeight="1" spans="2:19">
      <c r="B1163" s="42">
        <v>9</v>
      </c>
      <c r="C1163" s="42">
        <v>28</v>
      </c>
      <c r="D1163" s="74"/>
      <c r="E1163" s="54" t="s">
        <v>965</v>
      </c>
      <c r="F1163" s="45" t="s">
        <v>1704</v>
      </c>
      <c r="G1163" s="56">
        <v>3949</v>
      </c>
      <c r="H1163" s="56"/>
      <c r="I1163" s="56">
        <v>956</v>
      </c>
      <c r="J1163" s="56"/>
      <c r="K1163" s="56"/>
      <c r="L1163" s="56"/>
      <c r="M1163" s="56"/>
      <c r="N1163" s="56">
        <f t="shared" si="77"/>
        <v>4905</v>
      </c>
      <c r="O1163" s="56"/>
      <c r="P1163" s="58">
        <f t="shared" si="76"/>
        <v>8413863.85</v>
      </c>
      <c r="Q1163" s="59" t="s">
        <v>669</v>
      </c>
      <c r="R1163" s="3" t="s">
        <v>239</v>
      </c>
      <c r="S1163" s="3">
        <f>SUM(N1155:N1163)+S1154</f>
        <v>408307.45</v>
      </c>
    </row>
    <row r="1164" ht="20" customHeight="1" spans="2:19">
      <c r="B1164" s="42">
        <v>9</v>
      </c>
      <c r="C1164" s="42">
        <v>28</v>
      </c>
      <c r="D1164" s="74"/>
      <c r="E1164" s="54" t="s">
        <v>489</v>
      </c>
      <c r="F1164" s="45" t="s">
        <v>1705</v>
      </c>
      <c r="G1164" s="56"/>
      <c r="H1164" s="56"/>
      <c r="I1164" s="56">
        <v>269</v>
      </c>
      <c r="J1164" s="56"/>
      <c r="K1164" s="56"/>
      <c r="L1164" s="56"/>
      <c r="M1164" s="56"/>
      <c r="N1164" s="56">
        <f t="shared" ref="N1164:N1187" si="78">SUM(G1164:L1164)-M1164</f>
        <v>269</v>
      </c>
      <c r="O1164" s="56"/>
      <c r="P1164" s="58">
        <f t="shared" ref="P1164:P1186" si="79">P1163+N1164-O1164</f>
        <v>8414132.85</v>
      </c>
      <c r="Q1164" s="59"/>
    </row>
    <row r="1165" ht="20" customHeight="1" spans="2:19">
      <c r="B1165" s="42">
        <v>9</v>
      </c>
      <c r="C1165" s="42">
        <v>28</v>
      </c>
      <c r="D1165" s="74"/>
      <c r="E1165" s="54" t="s">
        <v>489</v>
      </c>
      <c r="F1165" s="45" t="s">
        <v>1706</v>
      </c>
      <c r="G1165" s="56">
        <v>5400</v>
      </c>
      <c r="H1165" s="56">
        <v>150</v>
      </c>
      <c r="I1165" s="56">
        <v>140</v>
      </c>
      <c r="J1165" s="56"/>
      <c r="K1165" s="56"/>
      <c r="L1165" s="56"/>
      <c r="M1165" s="56"/>
      <c r="N1165" s="56">
        <f t="shared" si="78"/>
        <v>5690</v>
      </c>
      <c r="O1165" s="56"/>
      <c r="P1165" s="58">
        <f t="shared" si="79"/>
        <v>8419822.85</v>
      </c>
      <c r="Q1165" s="59"/>
    </row>
    <row r="1166" ht="20" customHeight="1" spans="2:19">
      <c r="B1166" s="42">
        <v>9</v>
      </c>
      <c r="C1166" s="42">
        <v>28</v>
      </c>
      <c r="D1166" s="74"/>
      <c r="E1166" s="54" t="s">
        <v>489</v>
      </c>
      <c r="F1166" s="45" t="s">
        <v>1707</v>
      </c>
      <c r="G1166" s="56"/>
      <c r="H1166" s="56">
        <v>150</v>
      </c>
      <c r="I1166" s="56">
        <v>134</v>
      </c>
      <c r="J1166" s="56"/>
      <c r="K1166" s="56"/>
      <c r="L1166" s="56"/>
      <c r="M1166" s="56"/>
      <c r="N1166" s="56">
        <f t="shared" si="78"/>
        <v>284</v>
      </c>
      <c r="O1166" s="56"/>
      <c r="P1166" s="58">
        <f t="shared" si="79"/>
        <v>8420106.85</v>
      </c>
      <c r="Q1166" s="59"/>
    </row>
    <row r="1167" ht="20" customHeight="1" spans="2:19">
      <c r="B1167" s="42">
        <v>9</v>
      </c>
      <c r="C1167" s="42">
        <v>28</v>
      </c>
      <c r="D1167" s="74" t="s">
        <v>69</v>
      </c>
      <c r="E1167" s="42" t="s">
        <v>20</v>
      </c>
      <c r="F1167" s="95" t="s">
        <v>280</v>
      </c>
      <c r="G1167" s="56"/>
      <c r="H1167" s="56"/>
      <c r="I1167" s="56"/>
      <c r="J1167" s="56"/>
      <c r="K1167" s="56"/>
      <c r="L1167" s="56"/>
      <c r="M1167" s="56"/>
      <c r="N1167" s="177">
        <v>100000</v>
      </c>
      <c r="O1167" s="84">
        <v>100000</v>
      </c>
      <c r="P1167" s="58">
        <f t="shared" si="79"/>
        <v>8420106.85</v>
      </c>
      <c r="Q1167" s="59"/>
    </row>
    <row r="1168" ht="20" customHeight="1" spans="2:19">
      <c r="B1168" s="42">
        <v>9</v>
      </c>
      <c r="C1168" s="42">
        <v>28</v>
      </c>
      <c r="D1168" s="74"/>
      <c r="E1168" s="54" t="s">
        <v>486</v>
      </c>
      <c r="F1168" s="45" t="s">
        <v>1708</v>
      </c>
      <c r="G1168" s="56"/>
      <c r="H1168" s="56"/>
      <c r="I1168" s="56"/>
      <c r="J1168" s="56"/>
      <c r="K1168" s="56"/>
      <c r="L1168" s="56"/>
      <c r="M1168" s="56"/>
      <c r="N1168" s="56">
        <f t="shared" si="78"/>
        <v>0</v>
      </c>
      <c r="O1168" s="56">
        <v>12203.1</v>
      </c>
      <c r="P1168" s="58">
        <f t="shared" si="79"/>
        <v>8407903.75</v>
      </c>
      <c r="Q1168" s="59"/>
    </row>
    <row r="1169" ht="20" customHeight="1" spans="2:17">
      <c r="B1169" s="42">
        <v>9</v>
      </c>
      <c r="C1169" s="42">
        <v>28</v>
      </c>
      <c r="D1169" s="74"/>
      <c r="E1169" s="54" t="s">
        <v>486</v>
      </c>
      <c r="F1169" s="45" t="s">
        <v>1709</v>
      </c>
      <c r="G1169" s="56"/>
      <c r="H1169" s="56"/>
      <c r="I1169" s="56"/>
      <c r="J1169" s="56"/>
      <c r="K1169" s="56"/>
      <c r="L1169" s="56"/>
      <c r="M1169" s="56"/>
      <c r="N1169" s="56">
        <f t="shared" si="78"/>
        <v>0</v>
      </c>
      <c r="O1169" s="56">
        <v>300</v>
      </c>
      <c r="P1169" s="58">
        <f t="shared" si="79"/>
        <v>8407603.75</v>
      </c>
      <c r="Q1169" s="59"/>
    </row>
    <row r="1170" ht="20" customHeight="1" spans="2:17">
      <c r="B1170" s="42">
        <v>9</v>
      </c>
      <c r="C1170" s="42">
        <v>28</v>
      </c>
      <c r="D1170" s="74"/>
      <c r="E1170" s="54" t="s">
        <v>486</v>
      </c>
      <c r="F1170" s="45" t="s">
        <v>1710</v>
      </c>
      <c r="G1170" s="56"/>
      <c r="H1170" s="56"/>
      <c r="I1170" s="56"/>
      <c r="J1170" s="56"/>
      <c r="K1170" s="56"/>
      <c r="L1170" s="56"/>
      <c r="M1170" s="56"/>
      <c r="N1170" s="56">
        <f t="shared" si="78"/>
        <v>0</v>
      </c>
      <c r="O1170" s="56">
        <v>1000</v>
      </c>
      <c r="P1170" s="58">
        <f t="shared" si="79"/>
        <v>8406603.75</v>
      </c>
      <c r="Q1170" s="59"/>
    </row>
    <row r="1171" ht="20" customHeight="1" spans="2:17">
      <c r="B1171" s="42">
        <v>9</v>
      </c>
      <c r="C1171" s="42">
        <v>28</v>
      </c>
      <c r="D1171" s="74"/>
      <c r="E1171" s="54" t="s">
        <v>583</v>
      </c>
      <c r="F1171" s="45" t="s">
        <v>1711</v>
      </c>
      <c r="G1171" s="56"/>
      <c r="H1171" s="56"/>
      <c r="I1171" s="56"/>
      <c r="J1171" s="56"/>
      <c r="K1171" s="56"/>
      <c r="L1171" s="56"/>
      <c r="M1171" s="56"/>
      <c r="N1171" s="56">
        <f t="shared" si="78"/>
        <v>0</v>
      </c>
      <c r="O1171" s="56">
        <v>19167</v>
      </c>
      <c r="P1171" s="58">
        <f t="shared" si="79"/>
        <v>8387436.75</v>
      </c>
      <c r="Q1171" s="59"/>
    </row>
    <row r="1172" ht="20" customHeight="1" spans="2:17">
      <c r="B1172" s="42">
        <v>9</v>
      </c>
      <c r="C1172" s="42">
        <v>30</v>
      </c>
      <c r="D1172" s="74"/>
      <c r="E1172" s="54" t="s">
        <v>1649</v>
      </c>
      <c r="F1172" s="45" t="s">
        <v>1712</v>
      </c>
      <c r="G1172" s="56">
        <v>6708</v>
      </c>
      <c r="H1172" s="56"/>
      <c r="I1172" s="56"/>
      <c r="J1172" s="56"/>
      <c r="K1172" s="56"/>
      <c r="L1172" s="56"/>
      <c r="M1172" s="56"/>
      <c r="N1172" s="56">
        <f t="shared" si="78"/>
        <v>6708</v>
      </c>
      <c r="O1172" s="56"/>
      <c r="P1172" s="58">
        <f t="shared" si="79"/>
        <v>8394144.75</v>
      </c>
      <c r="Q1172" s="59"/>
    </row>
    <row r="1173" ht="20" customHeight="1" spans="2:17">
      <c r="B1173" s="42">
        <v>9</v>
      </c>
      <c r="C1173" s="42">
        <v>30</v>
      </c>
      <c r="D1173" s="74"/>
      <c r="E1173" s="54" t="s">
        <v>574</v>
      </c>
      <c r="F1173" s="45" t="s">
        <v>1713</v>
      </c>
      <c r="G1173" s="56">
        <v>7043</v>
      </c>
      <c r="H1173" s="56"/>
      <c r="I1173" s="56">
        <v>952</v>
      </c>
      <c r="J1173" s="56"/>
      <c r="K1173" s="56"/>
      <c r="L1173" s="56"/>
      <c r="M1173" s="56"/>
      <c r="N1173" s="56">
        <f t="shared" si="78"/>
        <v>7995</v>
      </c>
      <c r="O1173" s="56"/>
      <c r="P1173" s="58">
        <f t="shared" si="79"/>
        <v>8402139.75</v>
      </c>
      <c r="Q1173" s="59"/>
    </row>
    <row r="1174" ht="20" customHeight="1" spans="2:17">
      <c r="B1174" s="42">
        <v>9</v>
      </c>
      <c r="C1174" s="42">
        <v>30</v>
      </c>
      <c r="D1174" s="74"/>
      <c r="E1174" s="54" t="s">
        <v>653</v>
      </c>
      <c r="F1174" s="45" t="s">
        <v>1714</v>
      </c>
      <c r="G1174" s="56">
        <v>8100</v>
      </c>
      <c r="H1174" s="56"/>
      <c r="I1174" s="56">
        <v>945</v>
      </c>
      <c r="J1174" s="56"/>
      <c r="K1174" s="56"/>
      <c r="L1174" s="56"/>
      <c r="M1174" s="56"/>
      <c r="N1174" s="56">
        <f t="shared" si="78"/>
        <v>9045</v>
      </c>
      <c r="O1174" s="56"/>
      <c r="P1174" s="58">
        <f t="shared" si="79"/>
        <v>8411184.75</v>
      </c>
      <c r="Q1174" s="59"/>
    </row>
    <row r="1175" ht="20" customHeight="1" spans="2:17">
      <c r="B1175" s="42">
        <v>9</v>
      </c>
      <c r="C1175" s="42">
        <v>30</v>
      </c>
      <c r="D1175" s="74"/>
      <c r="E1175" s="74" t="s">
        <v>655</v>
      </c>
      <c r="F1175" s="45" t="s">
        <v>1715</v>
      </c>
      <c r="G1175" s="56">
        <v>1300</v>
      </c>
      <c r="H1175" s="56"/>
      <c r="I1175" s="56">
        <v>332</v>
      </c>
      <c r="J1175" s="56"/>
      <c r="K1175" s="56"/>
      <c r="L1175" s="56"/>
      <c r="M1175" s="56"/>
      <c r="N1175" s="56">
        <f t="shared" si="78"/>
        <v>1632</v>
      </c>
      <c r="O1175" s="56"/>
      <c r="P1175" s="58">
        <f t="shared" si="79"/>
        <v>8412816.75</v>
      </c>
      <c r="Q1175" s="59"/>
    </row>
    <row r="1176" ht="20" customHeight="1" spans="2:17">
      <c r="B1176" s="42">
        <v>9</v>
      </c>
      <c r="C1176" s="42">
        <v>28</v>
      </c>
      <c r="D1176" s="74" t="s">
        <v>69</v>
      </c>
      <c r="E1176" s="42" t="s">
        <v>20</v>
      </c>
      <c r="F1176" s="95" t="s">
        <v>280</v>
      </c>
      <c r="G1176" s="56"/>
      <c r="H1176" s="56"/>
      <c r="I1176" s="56"/>
      <c r="J1176" s="56"/>
      <c r="K1176" s="56"/>
      <c r="L1176" s="56"/>
      <c r="M1176" s="56"/>
      <c r="N1176" s="177">
        <v>21000</v>
      </c>
      <c r="O1176" s="84">
        <v>21000</v>
      </c>
      <c r="P1176" s="58">
        <f t="shared" si="79"/>
        <v>8412816.75</v>
      </c>
      <c r="Q1176" s="59"/>
    </row>
    <row r="1177" ht="20" customHeight="1" spans="2:17">
      <c r="B1177" s="42">
        <v>9</v>
      </c>
      <c r="C1177" s="42">
        <v>30</v>
      </c>
      <c r="D1177" s="74"/>
      <c r="E1177" s="54" t="s">
        <v>965</v>
      </c>
      <c r="F1177" s="45" t="s">
        <v>1716</v>
      </c>
      <c r="G1177" s="56"/>
      <c r="H1177" s="56"/>
      <c r="I1177" s="56">
        <v>4</v>
      </c>
      <c r="J1177" s="56"/>
      <c r="K1177" s="56"/>
      <c r="L1177" s="56"/>
      <c r="M1177" s="56"/>
      <c r="N1177" s="56">
        <f t="shared" ref="N1177:N1186" si="80">SUM(G1177:L1177)-M1177</f>
        <v>4</v>
      </c>
      <c r="O1177" s="56"/>
      <c r="P1177" s="58">
        <f t="shared" si="79"/>
        <v>8412820.75</v>
      </c>
      <c r="Q1177" s="59" t="s">
        <v>669</v>
      </c>
    </row>
    <row r="1178" ht="20" customHeight="1" spans="2:17">
      <c r="B1178" s="42">
        <v>9</v>
      </c>
      <c r="C1178" s="42">
        <v>30</v>
      </c>
      <c r="D1178" s="74"/>
      <c r="E1178" s="74" t="s">
        <v>785</v>
      </c>
      <c r="F1178" s="45" t="s">
        <v>1717</v>
      </c>
      <c r="G1178" s="56">
        <v>200</v>
      </c>
      <c r="H1178" s="56"/>
      <c r="I1178" s="56">
        <v>533</v>
      </c>
      <c r="J1178" s="56"/>
      <c r="K1178" s="56"/>
      <c r="L1178" s="56"/>
      <c r="M1178" s="56">
        <v>25.2</v>
      </c>
      <c r="N1178" s="56">
        <f t="shared" si="80"/>
        <v>707.8</v>
      </c>
      <c r="O1178" s="56"/>
      <c r="P1178" s="58">
        <f t="shared" si="79"/>
        <v>8413528.55</v>
      </c>
      <c r="Q1178" s="59" t="s">
        <v>669</v>
      </c>
    </row>
    <row r="1179" ht="20" customHeight="1" spans="2:17">
      <c r="B1179" s="42">
        <v>9</v>
      </c>
      <c r="C1179" s="42">
        <v>30</v>
      </c>
      <c r="D1179" s="74"/>
      <c r="E1179" s="54" t="s">
        <v>615</v>
      </c>
      <c r="F1179" s="45" t="s">
        <v>1718</v>
      </c>
      <c r="G1179" s="56">
        <v>6200</v>
      </c>
      <c r="H1179" s="56">
        <v>150</v>
      </c>
      <c r="I1179" s="56">
        <v>35</v>
      </c>
      <c r="J1179" s="56"/>
      <c r="K1179" s="56"/>
      <c r="L1179" s="56"/>
      <c r="M1179" s="56"/>
      <c r="N1179" s="56">
        <f t="shared" si="80"/>
        <v>6385</v>
      </c>
      <c r="O1179" s="56"/>
      <c r="P1179" s="58">
        <f t="shared" si="79"/>
        <v>8419913.55</v>
      </c>
      <c r="Q1179" s="59" t="s">
        <v>669</v>
      </c>
    </row>
    <row r="1180" ht="20" customHeight="1" spans="2:17">
      <c r="B1180" s="42">
        <v>9</v>
      </c>
      <c r="C1180" s="42">
        <v>30</v>
      </c>
      <c r="D1180" s="74"/>
      <c r="E1180" s="74" t="s">
        <v>615</v>
      </c>
      <c r="F1180" s="45" t="s">
        <v>1719</v>
      </c>
      <c r="G1180" s="56"/>
      <c r="H1180" s="56"/>
      <c r="I1180" s="56">
        <v>36</v>
      </c>
      <c r="J1180" s="56"/>
      <c r="K1180" s="56"/>
      <c r="L1180" s="56"/>
      <c r="M1180" s="56"/>
      <c r="N1180" s="56">
        <f t="shared" si="80"/>
        <v>36</v>
      </c>
      <c r="O1180" s="56"/>
      <c r="P1180" s="58">
        <f t="shared" si="79"/>
        <v>8419949.55</v>
      </c>
      <c r="Q1180" s="59" t="s">
        <v>669</v>
      </c>
    </row>
    <row r="1181" ht="20" customHeight="1" spans="2:17">
      <c r="B1181" s="42">
        <v>9</v>
      </c>
      <c r="C1181" s="42">
        <v>30</v>
      </c>
      <c r="D1181" s="74"/>
      <c r="E1181" s="74" t="s">
        <v>646</v>
      </c>
      <c r="F1181" s="45" t="s">
        <v>1720</v>
      </c>
      <c r="G1181" s="56"/>
      <c r="H1181" s="56">
        <v>200</v>
      </c>
      <c r="I1181" s="56">
        <v>815</v>
      </c>
      <c r="J1181" s="56"/>
      <c r="K1181" s="56"/>
      <c r="L1181" s="56"/>
      <c r="M1181" s="56"/>
      <c r="N1181" s="56">
        <f t="shared" si="80"/>
        <v>1015</v>
      </c>
      <c r="O1181" s="56"/>
      <c r="P1181" s="58">
        <f t="shared" si="79"/>
        <v>8420964.55</v>
      </c>
      <c r="Q1181" s="59" t="s">
        <v>669</v>
      </c>
    </row>
    <row r="1182" ht="20" customHeight="1" spans="2:17">
      <c r="B1182" s="42">
        <v>9</v>
      </c>
      <c r="C1182" s="42">
        <v>30</v>
      </c>
      <c r="D1182" s="74"/>
      <c r="E1182" s="54" t="s">
        <v>644</v>
      </c>
      <c r="F1182" s="45" t="s">
        <v>1721</v>
      </c>
      <c r="G1182" s="56">
        <v>1600</v>
      </c>
      <c r="H1182" s="56">
        <v>150</v>
      </c>
      <c r="I1182" s="56">
        <v>250</v>
      </c>
      <c r="J1182" s="56"/>
      <c r="K1182" s="56"/>
      <c r="L1182" s="56"/>
      <c r="M1182" s="56"/>
      <c r="N1182" s="56">
        <f t="shared" si="80"/>
        <v>2000</v>
      </c>
      <c r="O1182" s="56"/>
      <c r="P1182" s="58">
        <f t="shared" si="79"/>
        <v>8422964.55</v>
      </c>
      <c r="Q1182" s="59" t="s">
        <v>669</v>
      </c>
    </row>
    <row r="1183" ht="20" customHeight="1" spans="2:17">
      <c r="B1183" s="42">
        <v>9</v>
      </c>
      <c r="C1183" s="42">
        <v>30</v>
      </c>
      <c r="D1183" s="74"/>
      <c r="E1183" s="74" t="s">
        <v>1195</v>
      </c>
      <c r="F1183" s="45" t="s">
        <v>1722</v>
      </c>
      <c r="G1183" s="56">
        <v>1900</v>
      </c>
      <c r="H1183" s="56">
        <v>150</v>
      </c>
      <c r="I1183" s="56">
        <v>239</v>
      </c>
      <c r="J1183" s="56"/>
      <c r="K1183" s="56"/>
      <c r="L1183" s="56"/>
      <c r="M1183" s="56"/>
      <c r="N1183" s="56">
        <f t="shared" si="80"/>
        <v>2289</v>
      </c>
      <c r="O1183" s="56"/>
      <c r="P1183" s="58">
        <f t="shared" si="79"/>
        <v>8425253.55</v>
      </c>
      <c r="Q1183" s="59" t="s">
        <v>669</v>
      </c>
    </row>
    <row r="1184" ht="20" customHeight="1" spans="2:17">
      <c r="B1184" s="42">
        <v>9</v>
      </c>
      <c r="C1184" s="42">
        <v>30</v>
      </c>
      <c r="D1184" s="74"/>
      <c r="E1184" s="54" t="s">
        <v>590</v>
      </c>
      <c r="F1184" s="45" t="s">
        <v>1723</v>
      </c>
      <c r="G1184" s="56">
        <v>1000</v>
      </c>
      <c r="H1184" s="56">
        <v>150</v>
      </c>
      <c r="I1184" s="56">
        <v>71</v>
      </c>
      <c r="J1184" s="56"/>
      <c r="K1184" s="56"/>
      <c r="L1184" s="56"/>
      <c r="M1184" s="56"/>
      <c r="N1184" s="56">
        <f t="shared" si="80"/>
        <v>1221</v>
      </c>
      <c r="O1184" s="56"/>
      <c r="P1184" s="58">
        <f t="shared" si="79"/>
        <v>8426474.55</v>
      </c>
      <c r="Q1184" s="59" t="s">
        <v>669</v>
      </c>
    </row>
    <row r="1185" ht="20" customHeight="1" spans="2:19">
      <c r="B1185" s="42">
        <v>9</v>
      </c>
      <c r="C1185" s="42">
        <v>30</v>
      </c>
      <c r="D1185" s="74"/>
      <c r="E1185" s="74" t="s">
        <v>606</v>
      </c>
      <c r="F1185" s="45" t="s">
        <v>1724</v>
      </c>
      <c r="G1185" s="56">
        <v>7500</v>
      </c>
      <c r="H1185" s="56">
        <v>300</v>
      </c>
      <c r="I1185" s="56">
        <v>1236</v>
      </c>
      <c r="J1185" s="56"/>
      <c r="K1185" s="56"/>
      <c r="L1185" s="56"/>
      <c r="M1185" s="56"/>
      <c r="N1185" s="56">
        <f t="shared" si="80"/>
        <v>9036</v>
      </c>
      <c r="O1185" s="56"/>
      <c r="P1185" s="58">
        <f t="shared" si="79"/>
        <v>8435510.55</v>
      </c>
      <c r="Q1185" s="59" t="s">
        <v>669</v>
      </c>
    </row>
    <row r="1186" ht="20" customHeight="1" spans="2:19">
      <c r="B1186" s="42">
        <v>9</v>
      </c>
      <c r="C1186" s="42">
        <v>30</v>
      </c>
      <c r="D1186" s="74"/>
      <c r="E1186" s="74" t="s">
        <v>660</v>
      </c>
      <c r="F1186" s="45" t="s">
        <v>1725</v>
      </c>
      <c r="G1186" s="56">
        <v>2000</v>
      </c>
      <c r="H1186" s="56">
        <v>150</v>
      </c>
      <c r="I1186" s="56">
        <v>455</v>
      </c>
      <c r="J1186" s="56"/>
      <c r="K1186" s="56"/>
      <c r="L1186" s="56"/>
      <c r="M1186" s="56"/>
      <c r="N1186" s="56">
        <f t="shared" si="80"/>
        <v>2605</v>
      </c>
      <c r="O1186" s="56"/>
      <c r="P1186" s="58">
        <f t="shared" si="79"/>
        <v>8438115.55</v>
      </c>
      <c r="Q1186" s="59" t="s">
        <v>669</v>
      </c>
      <c r="R1186" s="3" t="s">
        <v>239</v>
      </c>
      <c r="S1186" s="3">
        <f>SUM(N1164:N1166)+SUM(N1168:N1175)+SUM(N1177:N1186)-SUM(O1164:O1186)+S1163</f>
        <v>311559.15</v>
      </c>
    </row>
    <row r="1187" ht="20" customHeight="1" spans="2:19">
      <c r="B1187" s="68"/>
      <c r="C1187" s="68"/>
      <c r="D1187" s="173"/>
      <c r="E1187" s="68"/>
      <c r="F1187" s="70" t="s">
        <v>22</v>
      </c>
      <c r="G1187" s="71">
        <f>SUM(G1067:G1186)</f>
        <v>271121</v>
      </c>
      <c r="H1187" s="71">
        <f t="shared" ref="H1187:O1187" si="81">SUM(H1067:H1186)</f>
        <v>7350</v>
      </c>
      <c r="I1187" s="71">
        <f t="shared" si="81"/>
        <v>34224.4</v>
      </c>
      <c r="J1187" s="71">
        <f t="shared" si="81"/>
        <v>25224</v>
      </c>
      <c r="K1187" s="71">
        <f t="shared" si="81"/>
        <v>14510</v>
      </c>
      <c r="L1187" s="71">
        <f t="shared" si="81"/>
        <v>26.29</v>
      </c>
      <c r="M1187" s="71">
        <f t="shared" si="81"/>
        <v>160.84</v>
      </c>
      <c r="N1187" s="71">
        <f t="shared" si="81"/>
        <v>503294.85</v>
      </c>
      <c r="O1187" s="71">
        <f t="shared" si="81"/>
        <v>367465.64</v>
      </c>
      <c r="P1187" s="71">
        <f>P1066+N1187-O1187</f>
        <v>8438115.55</v>
      </c>
      <c r="Q1187" s="71"/>
      <c r="R1187" s="3">
        <f>P1187-S1186</f>
        <v>8126556.4</v>
      </c>
    </row>
    <row r="1188" ht="20" customHeight="1" spans="2:19">
      <c r="B1188" s="42">
        <v>10</v>
      </c>
      <c r="C1188" s="42">
        <v>1</v>
      </c>
      <c r="D1188" s="74"/>
      <c r="E1188" s="54" t="s">
        <v>757</v>
      </c>
      <c r="F1188" s="45" t="s">
        <v>1726</v>
      </c>
      <c r="G1188" s="56">
        <v>1350</v>
      </c>
      <c r="H1188" s="56"/>
      <c r="I1188" s="56">
        <v>236</v>
      </c>
      <c r="J1188" s="56"/>
      <c r="K1188" s="56"/>
      <c r="L1188" s="56"/>
      <c r="M1188" s="56"/>
      <c r="N1188" s="56">
        <f t="shared" ref="N1188:N1193" si="82">SUM(G1188:L1188)-M1188</f>
        <v>1586</v>
      </c>
      <c r="O1188" s="56"/>
      <c r="P1188" s="58">
        <f t="shared" ref="P1188:P1193" si="83">P1187+N1188-O1188</f>
        <v>8439701.55</v>
      </c>
      <c r="Q1188" s="59"/>
    </row>
    <row r="1189" ht="20" customHeight="1" spans="2:19">
      <c r="B1189" s="42">
        <v>10</v>
      </c>
      <c r="C1189" s="42">
        <v>1</v>
      </c>
      <c r="D1189" s="74"/>
      <c r="E1189" s="74" t="s">
        <v>894</v>
      </c>
      <c r="F1189" s="45" t="s">
        <v>1727</v>
      </c>
      <c r="G1189" s="56">
        <v>3500</v>
      </c>
      <c r="H1189" s="56">
        <v>150</v>
      </c>
      <c r="I1189" s="56">
        <v>199</v>
      </c>
      <c r="J1189" s="56"/>
      <c r="K1189" s="56"/>
      <c r="L1189" s="56"/>
      <c r="M1189" s="56"/>
      <c r="N1189" s="56">
        <f t="shared" si="82"/>
        <v>3849</v>
      </c>
      <c r="O1189" s="56"/>
      <c r="P1189" s="58">
        <f t="shared" si="83"/>
        <v>8443550.55</v>
      </c>
      <c r="Q1189" s="59"/>
    </row>
    <row r="1190" ht="20" customHeight="1" spans="2:19">
      <c r="B1190" s="42">
        <v>10</v>
      </c>
      <c r="C1190" s="42">
        <v>2</v>
      </c>
      <c r="D1190" s="74"/>
      <c r="E1190" s="54" t="s">
        <v>499</v>
      </c>
      <c r="F1190" s="45" t="s">
        <v>1728</v>
      </c>
      <c r="G1190" s="56">
        <v>10200</v>
      </c>
      <c r="H1190" s="56"/>
      <c r="I1190" s="56">
        <v>125</v>
      </c>
      <c r="J1190" s="56"/>
      <c r="K1190" s="56"/>
      <c r="L1190" s="56"/>
      <c r="M1190" s="56"/>
      <c r="N1190" s="56">
        <f t="shared" si="82"/>
        <v>10325</v>
      </c>
      <c r="O1190" s="56"/>
      <c r="P1190" s="58">
        <f t="shared" si="83"/>
        <v>8453875.55</v>
      </c>
      <c r="Q1190" s="59"/>
    </row>
    <row r="1191" ht="20" customHeight="1" spans="2:19">
      <c r="B1191" s="42">
        <v>10</v>
      </c>
      <c r="C1191" s="42">
        <v>2</v>
      </c>
      <c r="D1191" s="74"/>
      <c r="E1191" s="54" t="s">
        <v>499</v>
      </c>
      <c r="F1191" s="45" t="s">
        <v>1729</v>
      </c>
      <c r="G1191" s="56"/>
      <c r="H1191" s="56"/>
      <c r="I1191" s="56">
        <v>139</v>
      </c>
      <c r="J1191" s="56"/>
      <c r="K1191" s="56"/>
      <c r="L1191" s="56"/>
      <c r="M1191" s="56"/>
      <c r="N1191" s="56">
        <f t="shared" si="82"/>
        <v>139</v>
      </c>
      <c r="O1191" s="56"/>
      <c r="P1191" s="58">
        <f t="shared" si="83"/>
        <v>8454014.55</v>
      </c>
      <c r="Q1191" s="59"/>
    </row>
    <row r="1192" ht="20" customHeight="1" spans="2:19">
      <c r="B1192" s="42">
        <v>10</v>
      </c>
      <c r="C1192" s="42">
        <v>2</v>
      </c>
      <c r="D1192" s="74"/>
      <c r="E1192" s="54" t="s">
        <v>493</v>
      </c>
      <c r="F1192" s="45" t="s">
        <v>1730</v>
      </c>
      <c r="G1192" s="56">
        <v>7221</v>
      </c>
      <c r="H1192" s="56"/>
      <c r="I1192" s="56">
        <v>609</v>
      </c>
      <c r="J1192" s="56"/>
      <c r="K1192" s="56"/>
      <c r="L1192" s="56"/>
      <c r="M1192" s="56"/>
      <c r="N1192" s="56">
        <f t="shared" si="82"/>
        <v>7830</v>
      </c>
      <c r="O1192" s="56"/>
      <c r="P1192" s="58">
        <f t="shared" si="83"/>
        <v>8461844.55</v>
      </c>
      <c r="Q1192" s="59"/>
    </row>
    <row r="1193" ht="20" customHeight="1" spans="2:19">
      <c r="B1193" s="42">
        <v>10</v>
      </c>
      <c r="C1193" s="42">
        <v>2</v>
      </c>
      <c r="D1193" s="74"/>
      <c r="E1193" s="54" t="s">
        <v>493</v>
      </c>
      <c r="F1193" s="45" t="s">
        <v>1731</v>
      </c>
      <c r="G1193" s="56">
        <v>7221</v>
      </c>
      <c r="H1193" s="56"/>
      <c r="I1193" s="56">
        <v>648</v>
      </c>
      <c r="J1193" s="56"/>
      <c r="K1193" s="56"/>
      <c r="L1193" s="56"/>
      <c r="M1193" s="56"/>
      <c r="N1193" s="56">
        <f t="shared" si="82"/>
        <v>7869</v>
      </c>
      <c r="O1193" s="56"/>
      <c r="P1193" s="58">
        <f t="shared" si="83"/>
        <v>8469713.55</v>
      </c>
      <c r="Q1193" s="59"/>
    </row>
    <row r="1194" ht="20" customHeight="1" spans="2:19">
      <c r="B1194" s="42">
        <v>10</v>
      </c>
      <c r="C1194" s="42">
        <v>2</v>
      </c>
      <c r="D1194" s="74"/>
      <c r="E1194" s="54" t="s">
        <v>495</v>
      </c>
      <c r="F1194" s="45" t="s">
        <v>1732</v>
      </c>
      <c r="G1194" s="56">
        <v>6655</v>
      </c>
      <c r="H1194" s="56"/>
      <c r="I1194" s="56">
        <v>1122</v>
      </c>
      <c r="J1194" s="56"/>
      <c r="K1194" s="56"/>
      <c r="L1194" s="56"/>
      <c r="M1194" s="56"/>
      <c r="N1194" s="56">
        <f t="shared" ref="N1194:N1225" si="84">SUM(G1194:L1194)-M1194</f>
        <v>7777</v>
      </c>
      <c r="O1194" s="56"/>
      <c r="P1194" s="58">
        <f>P1192+N1194-O1194</f>
        <v>8469621.55</v>
      </c>
      <c r="Q1194" s="59"/>
    </row>
    <row r="1195" ht="20" customHeight="1" spans="2:19">
      <c r="B1195" s="42">
        <v>10</v>
      </c>
      <c r="C1195" s="42">
        <v>2</v>
      </c>
      <c r="D1195" s="74"/>
      <c r="E1195" s="54" t="s">
        <v>1649</v>
      </c>
      <c r="F1195" s="45" t="s">
        <v>1733</v>
      </c>
      <c r="G1195" s="56"/>
      <c r="H1195" s="56"/>
      <c r="I1195" s="56">
        <v>350</v>
      </c>
      <c r="J1195" s="56"/>
      <c r="K1195" s="56"/>
      <c r="L1195" s="56"/>
      <c r="M1195" s="56"/>
      <c r="N1195" s="56">
        <f t="shared" si="84"/>
        <v>350</v>
      </c>
      <c r="O1195" s="56"/>
      <c r="P1195" s="58">
        <f>P1194+N1195-O1195</f>
        <v>8469971.55</v>
      </c>
      <c r="Q1195" s="59"/>
    </row>
    <row r="1196" ht="20" customHeight="1" spans="2:19">
      <c r="B1196" s="42">
        <v>10</v>
      </c>
      <c r="C1196" s="42">
        <v>4</v>
      </c>
      <c r="D1196" s="74"/>
      <c r="E1196" s="54" t="s">
        <v>479</v>
      </c>
      <c r="F1196" s="45" t="s">
        <v>1734</v>
      </c>
      <c r="G1196" s="56">
        <v>7247</v>
      </c>
      <c r="H1196" s="56"/>
      <c r="I1196" s="56"/>
      <c r="J1196" s="56"/>
      <c r="K1196" s="56"/>
      <c r="L1196" s="56"/>
      <c r="M1196" s="56"/>
      <c r="N1196" s="56">
        <f t="shared" si="84"/>
        <v>7247</v>
      </c>
      <c r="O1196" s="56"/>
      <c r="P1196" s="58">
        <f>P1195+N1196-O1196</f>
        <v>8477218.55</v>
      </c>
      <c r="Q1196" s="59"/>
    </row>
    <row r="1197" ht="20" customHeight="1" spans="2:19">
      <c r="B1197" s="42">
        <v>10</v>
      </c>
      <c r="C1197" s="42">
        <v>4</v>
      </c>
      <c r="D1197" s="74"/>
      <c r="E1197" s="54" t="s">
        <v>497</v>
      </c>
      <c r="F1197" s="45" t="s">
        <v>1735</v>
      </c>
      <c r="G1197" s="56">
        <v>1300</v>
      </c>
      <c r="H1197" s="56">
        <v>150</v>
      </c>
      <c r="I1197" s="56">
        <v>157</v>
      </c>
      <c r="J1197" s="56"/>
      <c r="K1197" s="56"/>
      <c r="L1197" s="56"/>
      <c r="M1197" s="56"/>
      <c r="N1197" s="56">
        <f t="shared" si="84"/>
        <v>1607</v>
      </c>
      <c r="O1197" s="56"/>
      <c r="P1197" s="58">
        <f t="shared" ref="P1194:P1222" si="85">P1196+N1197-O1197</f>
        <v>8478825.55</v>
      </c>
      <c r="Q1197" s="59"/>
    </row>
    <row r="1198" ht="20" customHeight="1" spans="2:19">
      <c r="B1198" s="42">
        <v>10</v>
      </c>
      <c r="C1198" s="42">
        <v>5</v>
      </c>
      <c r="D1198" s="74"/>
      <c r="E1198" s="54" t="s">
        <v>967</v>
      </c>
      <c r="F1198" s="45" t="s">
        <v>1736</v>
      </c>
      <c r="G1198" s="56">
        <v>4800</v>
      </c>
      <c r="H1198" s="56"/>
      <c r="I1198" s="56">
        <v>1179</v>
      </c>
      <c r="J1198" s="56"/>
      <c r="K1198" s="56"/>
      <c r="L1198" s="56"/>
      <c r="M1198" s="56"/>
      <c r="N1198" s="56">
        <f t="shared" si="84"/>
        <v>5979</v>
      </c>
      <c r="O1198" s="56"/>
      <c r="P1198" s="58">
        <f t="shared" si="85"/>
        <v>8484804.55</v>
      </c>
      <c r="Q1198" s="59"/>
    </row>
    <row r="1199" ht="20" customHeight="1" spans="2:19">
      <c r="B1199" s="42">
        <v>10</v>
      </c>
      <c r="C1199" s="42">
        <v>6</v>
      </c>
      <c r="D1199" s="74"/>
      <c r="E1199" s="54" t="s">
        <v>579</v>
      </c>
      <c r="F1199" s="45" t="s">
        <v>1737</v>
      </c>
      <c r="G1199" s="56">
        <v>5959</v>
      </c>
      <c r="H1199" s="56">
        <v>200</v>
      </c>
      <c r="I1199" s="56">
        <v>2444</v>
      </c>
      <c r="J1199" s="56"/>
      <c r="K1199" s="56"/>
      <c r="L1199" s="56"/>
      <c r="M1199" s="56"/>
      <c r="N1199" s="56">
        <f t="shared" si="84"/>
        <v>8603</v>
      </c>
      <c r="O1199" s="56"/>
      <c r="P1199" s="58">
        <f t="shared" si="85"/>
        <v>8493407.55</v>
      </c>
      <c r="Q1199" s="59"/>
    </row>
    <row r="1200" ht="20" customHeight="1" spans="2:19">
      <c r="B1200" s="42">
        <v>10</v>
      </c>
      <c r="C1200" s="42">
        <v>6</v>
      </c>
      <c r="D1200" s="74"/>
      <c r="E1200" s="54" t="s">
        <v>628</v>
      </c>
      <c r="F1200" s="45" t="s">
        <v>1738</v>
      </c>
      <c r="G1200" s="56">
        <v>6090</v>
      </c>
      <c r="H1200" s="56"/>
      <c r="I1200" s="56">
        <v>505</v>
      </c>
      <c r="J1200" s="56"/>
      <c r="K1200" s="56"/>
      <c r="L1200" s="56"/>
      <c r="M1200" s="56"/>
      <c r="N1200" s="56">
        <f t="shared" si="84"/>
        <v>6595</v>
      </c>
      <c r="O1200" s="56"/>
      <c r="P1200" s="58">
        <f t="shared" si="85"/>
        <v>8500002.55</v>
      </c>
      <c r="Q1200" s="59"/>
    </row>
    <row r="1201" ht="20" customHeight="1" spans="2:19">
      <c r="B1201" s="42">
        <v>10</v>
      </c>
      <c r="C1201" s="42">
        <v>6</v>
      </c>
      <c r="D1201" s="74"/>
      <c r="E1201" s="54" t="s">
        <v>585</v>
      </c>
      <c r="F1201" s="45" t="s">
        <v>1739</v>
      </c>
      <c r="G1201" s="56">
        <v>2600</v>
      </c>
      <c r="H1201" s="56">
        <v>150</v>
      </c>
      <c r="I1201" s="56">
        <v>313</v>
      </c>
      <c r="J1201" s="56"/>
      <c r="K1201" s="56"/>
      <c r="L1201" s="56"/>
      <c r="M1201" s="56"/>
      <c r="N1201" s="56">
        <f t="shared" si="84"/>
        <v>3063</v>
      </c>
      <c r="O1201" s="56"/>
      <c r="P1201" s="58">
        <f t="shared" si="85"/>
        <v>8503065.55</v>
      </c>
      <c r="Q1201" s="59"/>
    </row>
    <row r="1202" ht="20" customHeight="1" spans="2:19">
      <c r="B1202" s="42">
        <v>10</v>
      </c>
      <c r="C1202" s="42">
        <v>7</v>
      </c>
      <c r="D1202" s="74"/>
      <c r="E1202" s="54" t="s">
        <v>514</v>
      </c>
      <c r="F1202" s="45" t="s">
        <v>1740</v>
      </c>
      <c r="G1202" s="56">
        <v>7715</v>
      </c>
      <c r="H1202" s="56"/>
      <c r="I1202" s="56">
        <v>712</v>
      </c>
      <c r="J1202" s="56"/>
      <c r="K1202" s="56"/>
      <c r="L1202" s="56"/>
      <c r="M1202" s="56"/>
      <c r="N1202" s="56">
        <f t="shared" si="84"/>
        <v>8427</v>
      </c>
      <c r="O1202" s="56"/>
      <c r="P1202" s="58">
        <f t="shared" si="85"/>
        <v>8511492.55</v>
      </c>
      <c r="Q1202" s="59"/>
    </row>
    <row r="1203" ht="20" customHeight="1" spans="2:19">
      <c r="B1203" s="42">
        <v>10</v>
      </c>
      <c r="C1203" s="42">
        <v>8</v>
      </c>
      <c r="D1203" s="74"/>
      <c r="E1203" s="54"/>
      <c r="F1203" s="45" t="s">
        <v>1359</v>
      </c>
      <c r="G1203" s="56"/>
      <c r="H1203" s="56"/>
      <c r="I1203" s="56"/>
      <c r="J1203" s="56"/>
      <c r="K1203" s="56"/>
      <c r="L1203" s="56"/>
      <c r="M1203" s="56"/>
      <c r="N1203" s="56">
        <f t="shared" si="84"/>
        <v>0</v>
      </c>
      <c r="O1203" s="56">
        <v>50</v>
      </c>
      <c r="P1203" s="58">
        <f t="shared" si="85"/>
        <v>8511442.55</v>
      </c>
      <c r="Q1203" s="59"/>
    </row>
    <row r="1204" ht="20" customHeight="1" spans="2:19">
      <c r="B1204" s="42">
        <v>10</v>
      </c>
      <c r="C1204" s="42">
        <v>8</v>
      </c>
      <c r="D1204" s="74"/>
      <c r="E1204" s="54"/>
      <c r="F1204" s="45" t="s">
        <v>1741</v>
      </c>
      <c r="G1204" s="56"/>
      <c r="H1204" s="56"/>
      <c r="I1204" s="56"/>
      <c r="J1204" s="56"/>
      <c r="K1204" s="56">
        <v>3410</v>
      </c>
      <c r="L1204" s="56"/>
      <c r="M1204" s="56">
        <v>36.93</v>
      </c>
      <c r="N1204" s="56">
        <f t="shared" si="84"/>
        <v>3373.07</v>
      </c>
      <c r="O1204" s="56"/>
      <c r="P1204" s="58">
        <f t="shared" si="85"/>
        <v>8514815.62</v>
      </c>
      <c r="Q1204" s="59" t="s">
        <v>669</v>
      </c>
    </row>
    <row r="1205" ht="20" customHeight="1" spans="2:19">
      <c r="B1205" s="42">
        <v>10</v>
      </c>
      <c r="C1205" s="42">
        <v>8</v>
      </c>
      <c r="D1205" s="74"/>
      <c r="E1205" s="54" t="s">
        <v>618</v>
      </c>
      <c r="F1205" s="45" t="s">
        <v>1742</v>
      </c>
      <c r="G1205" s="56">
        <v>7707</v>
      </c>
      <c r="H1205" s="56"/>
      <c r="I1205" s="56">
        <v>887</v>
      </c>
      <c r="J1205" s="56"/>
      <c r="K1205" s="56"/>
      <c r="L1205" s="56"/>
      <c r="M1205" s="56"/>
      <c r="N1205" s="56">
        <f t="shared" si="84"/>
        <v>8594</v>
      </c>
      <c r="O1205" s="56"/>
      <c r="P1205" s="58">
        <f t="shared" si="85"/>
        <v>8523409.62</v>
      </c>
      <c r="Q1205" s="59" t="s">
        <v>669</v>
      </c>
    </row>
    <row r="1206" ht="20" customHeight="1" spans="2:19">
      <c r="B1206" s="42">
        <v>10</v>
      </c>
      <c r="C1206" s="42">
        <v>8</v>
      </c>
      <c r="D1206" s="74"/>
      <c r="E1206" s="54" t="s">
        <v>581</v>
      </c>
      <c r="F1206" s="45" t="s">
        <v>1743</v>
      </c>
      <c r="G1206" s="56">
        <v>3600</v>
      </c>
      <c r="H1206" s="56">
        <v>150</v>
      </c>
      <c r="I1206" s="56">
        <v>796</v>
      </c>
      <c r="J1206" s="56"/>
      <c r="K1206" s="56"/>
      <c r="L1206" s="56"/>
      <c r="M1206" s="56"/>
      <c r="N1206" s="56">
        <f t="shared" si="84"/>
        <v>4546</v>
      </c>
      <c r="O1206" s="56"/>
      <c r="P1206" s="58">
        <f t="shared" si="85"/>
        <v>8527955.62</v>
      </c>
      <c r="Q1206" s="59" t="s">
        <v>669</v>
      </c>
    </row>
    <row r="1207" ht="20" customHeight="1" spans="2:19">
      <c r="B1207" s="42">
        <v>10</v>
      </c>
      <c r="C1207" s="42">
        <v>8</v>
      </c>
      <c r="D1207" s="74"/>
      <c r="E1207" s="54" t="s">
        <v>1175</v>
      </c>
      <c r="F1207" s="45" t="s">
        <v>1744</v>
      </c>
      <c r="G1207" s="56">
        <v>2600</v>
      </c>
      <c r="H1207" s="56">
        <v>150</v>
      </c>
      <c r="I1207" s="56">
        <v>277</v>
      </c>
      <c r="J1207" s="56"/>
      <c r="K1207" s="56"/>
      <c r="L1207" s="56"/>
      <c r="M1207" s="56"/>
      <c r="N1207" s="56">
        <f t="shared" si="84"/>
        <v>3027</v>
      </c>
      <c r="O1207" s="56"/>
      <c r="P1207" s="58">
        <f t="shared" si="85"/>
        <v>8530982.62</v>
      </c>
      <c r="Q1207" s="59" t="s">
        <v>669</v>
      </c>
    </row>
    <row r="1208" ht="20" customHeight="1" spans="2:19">
      <c r="B1208" s="42">
        <v>10</v>
      </c>
      <c r="C1208" s="42">
        <v>8</v>
      </c>
      <c r="D1208" s="74"/>
      <c r="E1208" s="54" t="s">
        <v>806</v>
      </c>
      <c r="F1208" s="45" t="s">
        <v>1745</v>
      </c>
      <c r="G1208" s="56">
        <v>1500</v>
      </c>
      <c r="H1208" s="56">
        <v>150</v>
      </c>
      <c r="I1208" s="56">
        <v>344</v>
      </c>
      <c r="J1208" s="56"/>
      <c r="K1208" s="56"/>
      <c r="L1208" s="56"/>
      <c r="M1208" s="56"/>
      <c r="N1208" s="56">
        <f t="shared" si="84"/>
        <v>1994</v>
      </c>
      <c r="O1208" s="56"/>
      <c r="P1208" s="58">
        <f t="shared" si="85"/>
        <v>8532976.62</v>
      </c>
      <c r="Q1208" s="59" t="s">
        <v>669</v>
      </c>
    </row>
    <row r="1209" ht="20" customHeight="1" spans="2:19">
      <c r="B1209" s="42">
        <v>10</v>
      </c>
      <c r="C1209" s="42">
        <v>8</v>
      </c>
      <c r="D1209" s="74"/>
      <c r="E1209" s="54" t="s">
        <v>592</v>
      </c>
      <c r="F1209" s="45" t="s">
        <v>1746</v>
      </c>
      <c r="G1209" s="56">
        <v>2673</v>
      </c>
      <c r="H1209" s="56">
        <v>200</v>
      </c>
      <c r="I1209" s="56">
        <v>335</v>
      </c>
      <c r="J1209" s="56"/>
      <c r="K1209" s="56"/>
      <c r="L1209" s="56"/>
      <c r="M1209" s="56"/>
      <c r="N1209" s="56">
        <f t="shared" si="84"/>
        <v>3208</v>
      </c>
      <c r="O1209" s="56"/>
      <c r="P1209" s="58">
        <f t="shared" si="85"/>
        <v>8536184.62</v>
      </c>
      <c r="Q1209" s="59" t="s">
        <v>669</v>
      </c>
    </row>
    <row r="1210" ht="20" customHeight="1" spans="2:19">
      <c r="B1210" s="42">
        <v>10</v>
      </c>
      <c r="C1210" s="42">
        <v>8</v>
      </c>
      <c r="D1210" s="74"/>
      <c r="E1210" s="54" t="s">
        <v>550</v>
      </c>
      <c r="F1210" s="45" t="s">
        <v>1747</v>
      </c>
      <c r="G1210" s="56"/>
      <c r="H1210" s="56"/>
      <c r="I1210" s="56">
        <v>138</v>
      </c>
      <c r="J1210" s="56"/>
      <c r="K1210" s="56"/>
      <c r="L1210" s="56"/>
      <c r="M1210" s="56"/>
      <c r="N1210" s="56">
        <f t="shared" si="84"/>
        <v>138</v>
      </c>
      <c r="O1210" s="56"/>
      <c r="P1210" s="58">
        <f t="shared" si="85"/>
        <v>8536322.62</v>
      </c>
      <c r="Q1210" s="59" t="s">
        <v>669</v>
      </c>
    </row>
    <row r="1211" ht="20" customHeight="1" spans="2:19">
      <c r="B1211" s="42">
        <v>10</v>
      </c>
      <c r="C1211" s="42">
        <v>8</v>
      </c>
      <c r="D1211" s="74"/>
      <c r="E1211" s="54" t="s">
        <v>568</v>
      </c>
      <c r="F1211" s="45" t="s">
        <v>1748</v>
      </c>
      <c r="G1211" s="56">
        <v>2400</v>
      </c>
      <c r="H1211" s="56"/>
      <c r="I1211" s="56">
        <v>138</v>
      </c>
      <c r="J1211" s="56"/>
      <c r="K1211" s="56"/>
      <c r="L1211" s="56"/>
      <c r="M1211" s="56"/>
      <c r="N1211" s="56">
        <f t="shared" si="84"/>
        <v>2538</v>
      </c>
      <c r="O1211" s="56"/>
      <c r="P1211" s="58">
        <f t="shared" si="85"/>
        <v>8538860.62</v>
      </c>
      <c r="Q1211" s="59" t="s">
        <v>669</v>
      </c>
    </row>
    <row r="1212" ht="20" customHeight="1" spans="2:19">
      <c r="B1212" s="42">
        <v>10</v>
      </c>
      <c r="C1212" s="42">
        <v>8</v>
      </c>
      <c r="D1212" s="74"/>
      <c r="E1212" s="54" t="s">
        <v>1246</v>
      </c>
      <c r="F1212" s="45" t="s">
        <v>1749</v>
      </c>
      <c r="G1212" s="56">
        <v>2500</v>
      </c>
      <c r="H1212" s="56"/>
      <c r="I1212" s="56">
        <v>569</v>
      </c>
      <c r="J1212" s="56"/>
      <c r="K1212" s="56"/>
      <c r="L1212" s="56"/>
      <c r="M1212" s="56"/>
      <c r="N1212" s="56">
        <f t="shared" si="84"/>
        <v>3069</v>
      </c>
      <c r="O1212" s="56"/>
      <c r="P1212" s="58">
        <f t="shared" si="85"/>
        <v>8541929.62</v>
      </c>
      <c r="Q1212" s="59" t="s">
        <v>669</v>
      </c>
    </row>
    <row r="1213" ht="20" customHeight="1" spans="2:19">
      <c r="B1213" s="42">
        <v>10</v>
      </c>
      <c r="C1213" s="42">
        <v>8</v>
      </c>
      <c r="D1213" s="74"/>
      <c r="E1213" s="54" t="s">
        <v>873</v>
      </c>
      <c r="F1213" s="45" t="s">
        <v>1750</v>
      </c>
      <c r="G1213" s="56">
        <v>4300</v>
      </c>
      <c r="H1213" s="56">
        <v>200</v>
      </c>
      <c r="I1213" s="56">
        <v>946</v>
      </c>
      <c r="J1213" s="56"/>
      <c r="K1213" s="56"/>
      <c r="L1213" s="56"/>
      <c r="M1213" s="56"/>
      <c r="N1213" s="56">
        <f t="shared" si="84"/>
        <v>5446</v>
      </c>
      <c r="O1213" s="56"/>
      <c r="P1213" s="58">
        <f t="shared" si="85"/>
        <v>8547375.62</v>
      </c>
      <c r="Q1213" s="59" t="s">
        <v>669</v>
      </c>
    </row>
    <row r="1214" ht="20" customHeight="1" spans="2:19">
      <c r="B1214" s="42">
        <v>10</v>
      </c>
      <c r="C1214" s="42">
        <v>8</v>
      </c>
      <c r="D1214" s="74"/>
      <c r="E1214" s="54" t="s">
        <v>572</v>
      </c>
      <c r="F1214" s="45" t="s">
        <v>1494</v>
      </c>
      <c r="G1214" s="56">
        <v>1000</v>
      </c>
      <c r="H1214" s="56"/>
      <c r="I1214" s="56"/>
      <c r="J1214" s="56"/>
      <c r="K1214" s="56"/>
      <c r="L1214" s="56"/>
      <c r="M1214" s="56"/>
      <c r="N1214" s="56">
        <f t="shared" si="84"/>
        <v>1000</v>
      </c>
      <c r="O1214" s="56"/>
      <c r="P1214" s="58">
        <f t="shared" si="85"/>
        <v>8548375.62</v>
      </c>
      <c r="Q1214" s="59" t="s">
        <v>669</v>
      </c>
      <c r="R1214" s="3" t="s">
        <v>239</v>
      </c>
      <c r="S1214" s="3">
        <f>SUM(N1188:N1214)-O1203+S1186</f>
        <v>429688.22</v>
      </c>
    </row>
    <row r="1215" ht="20" customHeight="1" spans="2:19">
      <c r="B1215" s="42">
        <v>10</v>
      </c>
      <c r="C1215" s="42">
        <v>8</v>
      </c>
      <c r="D1215" s="74"/>
      <c r="E1215" s="54" t="s">
        <v>657</v>
      </c>
      <c r="F1215" s="45" t="s">
        <v>1751</v>
      </c>
      <c r="G1215" s="56">
        <v>1800</v>
      </c>
      <c r="H1215" s="56">
        <v>150</v>
      </c>
      <c r="I1215" s="56">
        <v>408</v>
      </c>
      <c r="J1215" s="56"/>
      <c r="K1215" s="56"/>
      <c r="L1215" s="56"/>
      <c r="M1215" s="56"/>
      <c r="N1215" s="56">
        <f t="shared" si="84"/>
        <v>2358</v>
      </c>
      <c r="O1215" s="56"/>
      <c r="P1215" s="58">
        <f t="shared" si="85"/>
        <v>8550733.62</v>
      </c>
      <c r="Q1215" s="59" t="s">
        <v>669</v>
      </c>
    </row>
    <row r="1216" ht="20" customHeight="1" spans="2:19">
      <c r="B1216" s="42">
        <v>10</v>
      </c>
      <c r="C1216" s="42">
        <v>8</v>
      </c>
      <c r="D1216" s="74"/>
      <c r="E1216" s="54" t="s">
        <v>562</v>
      </c>
      <c r="F1216" s="45" t="s">
        <v>1752</v>
      </c>
      <c r="G1216" s="56"/>
      <c r="H1216" s="56"/>
      <c r="I1216" s="56">
        <v>94</v>
      </c>
      <c r="J1216" s="56"/>
      <c r="K1216" s="56"/>
      <c r="L1216" s="56"/>
      <c r="M1216" s="56"/>
      <c r="N1216" s="56">
        <f t="shared" si="84"/>
        <v>94</v>
      </c>
      <c r="O1216" s="56"/>
      <c r="P1216" s="58">
        <f t="shared" si="85"/>
        <v>8550827.62</v>
      </c>
      <c r="Q1216" s="59" t="s">
        <v>669</v>
      </c>
    </row>
    <row r="1217" ht="20" customHeight="1" spans="2:19">
      <c r="B1217" s="68">
        <v>10</v>
      </c>
      <c r="C1217" s="68">
        <v>9</v>
      </c>
      <c r="D1217" s="173"/>
      <c r="E1217" s="70" t="s">
        <v>529</v>
      </c>
      <c r="F1217" s="114" t="s">
        <v>1753</v>
      </c>
      <c r="G1217" s="71">
        <v>3300</v>
      </c>
      <c r="H1217" s="71">
        <v>150</v>
      </c>
      <c r="I1217" s="71">
        <v>602</v>
      </c>
      <c r="J1217" s="71"/>
      <c r="K1217" s="71"/>
      <c r="L1217" s="71"/>
      <c r="M1217" s="71"/>
      <c r="N1217" s="71">
        <f t="shared" si="84"/>
        <v>4052</v>
      </c>
      <c r="O1217" s="71"/>
      <c r="P1217" s="72">
        <f>P1216-O1217</f>
        <v>8550827.62</v>
      </c>
      <c r="Q1217" s="119" t="s">
        <v>1342</v>
      </c>
    </row>
    <row r="1218" ht="20" customHeight="1" spans="2:19">
      <c r="B1218" s="68">
        <v>10</v>
      </c>
      <c r="C1218" s="68">
        <v>9</v>
      </c>
      <c r="D1218" s="173"/>
      <c r="E1218" s="70" t="s">
        <v>529</v>
      </c>
      <c r="F1218" s="114" t="s">
        <v>1754</v>
      </c>
      <c r="G1218" s="71">
        <v>3300</v>
      </c>
      <c r="H1218" s="71">
        <v>150</v>
      </c>
      <c r="I1218" s="71">
        <v>631</v>
      </c>
      <c r="J1218" s="71"/>
      <c r="K1218" s="71"/>
      <c r="L1218" s="71"/>
      <c r="M1218" s="71"/>
      <c r="N1218" s="71">
        <f t="shared" si="84"/>
        <v>4081</v>
      </c>
      <c r="O1218" s="71"/>
      <c r="P1218" s="72">
        <f>P1217-O1218</f>
        <v>8550827.62</v>
      </c>
      <c r="Q1218" s="119" t="s">
        <v>1342</v>
      </c>
    </row>
    <row r="1219" ht="20" customHeight="1" spans="2:19">
      <c r="B1219" s="68">
        <v>10</v>
      </c>
      <c r="C1219" s="68">
        <v>9</v>
      </c>
      <c r="D1219" s="173"/>
      <c r="E1219" s="70" t="s">
        <v>529</v>
      </c>
      <c r="F1219" s="114" t="s">
        <v>1755</v>
      </c>
      <c r="G1219" s="71"/>
      <c r="H1219" s="71"/>
      <c r="I1219" s="71">
        <v>526</v>
      </c>
      <c r="J1219" s="71"/>
      <c r="K1219" s="71"/>
      <c r="L1219" s="71"/>
      <c r="M1219" s="71"/>
      <c r="N1219" s="71">
        <f t="shared" si="84"/>
        <v>526</v>
      </c>
      <c r="O1219" s="71"/>
      <c r="P1219" s="72">
        <f>P1218-O1219</f>
        <v>8550827.62</v>
      </c>
      <c r="Q1219" s="119" t="s">
        <v>1342</v>
      </c>
    </row>
    <row r="1220" ht="20" customHeight="1" spans="2:19">
      <c r="B1220" s="68">
        <v>10</v>
      </c>
      <c r="C1220" s="68">
        <v>9</v>
      </c>
      <c r="D1220" s="173"/>
      <c r="E1220" s="70" t="s">
        <v>529</v>
      </c>
      <c r="F1220" s="114" t="s">
        <v>1756</v>
      </c>
      <c r="G1220" s="71"/>
      <c r="H1220" s="71"/>
      <c r="I1220" s="71"/>
      <c r="J1220" s="71"/>
      <c r="K1220" s="71"/>
      <c r="L1220" s="71"/>
      <c r="M1220" s="71"/>
      <c r="N1220" s="71">
        <f t="shared" si="84"/>
        <v>0</v>
      </c>
      <c r="O1220" s="71">
        <v>3041</v>
      </c>
      <c r="P1220" s="72">
        <f t="shared" ref="P1220:P1225" si="86">P1219+N1220-O1220</f>
        <v>8547786.62</v>
      </c>
      <c r="Q1220" s="119" t="s">
        <v>1757</v>
      </c>
    </row>
    <row r="1221" ht="20" customHeight="1" spans="2:19">
      <c r="B1221" s="42">
        <v>10</v>
      </c>
      <c r="C1221" s="42">
        <v>9</v>
      </c>
      <c r="D1221" s="74"/>
      <c r="E1221" s="54" t="s">
        <v>486</v>
      </c>
      <c r="F1221" s="45" t="s">
        <v>1758</v>
      </c>
      <c r="G1221" s="56"/>
      <c r="H1221" s="56"/>
      <c r="I1221" s="56"/>
      <c r="J1221" s="56"/>
      <c r="K1221" s="56"/>
      <c r="L1221" s="56"/>
      <c r="M1221" s="56"/>
      <c r="N1221" s="56">
        <f t="shared" si="84"/>
        <v>0</v>
      </c>
      <c r="O1221" s="56">
        <v>8162.58</v>
      </c>
      <c r="P1221" s="58">
        <f t="shared" si="86"/>
        <v>8539624.04</v>
      </c>
      <c r="Q1221" s="59"/>
    </row>
    <row r="1222" ht="20" customHeight="1" spans="2:19">
      <c r="B1222" s="42">
        <v>10</v>
      </c>
      <c r="C1222" s="42">
        <v>9</v>
      </c>
      <c r="D1222" s="74"/>
      <c r="E1222" s="54" t="s">
        <v>1039</v>
      </c>
      <c r="F1222" s="45" t="s">
        <v>1759</v>
      </c>
      <c r="G1222" s="56"/>
      <c r="H1222" s="56"/>
      <c r="I1222" s="56"/>
      <c r="J1222" s="56"/>
      <c r="K1222" s="56"/>
      <c r="L1222" s="56"/>
      <c r="M1222" s="56"/>
      <c r="N1222" s="56">
        <f t="shared" si="84"/>
        <v>0</v>
      </c>
      <c r="O1222" s="56">
        <v>16000</v>
      </c>
      <c r="P1222" s="58">
        <f t="shared" si="86"/>
        <v>8523624.04</v>
      </c>
      <c r="Q1222" s="59"/>
    </row>
    <row r="1223" ht="20" customHeight="1" spans="2:19">
      <c r="B1223" s="42">
        <v>10</v>
      </c>
      <c r="C1223" s="42">
        <v>9</v>
      </c>
      <c r="D1223" s="74"/>
      <c r="E1223" s="54" t="s">
        <v>486</v>
      </c>
      <c r="F1223" s="45" t="s">
        <v>1760</v>
      </c>
      <c r="G1223" s="56"/>
      <c r="H1223" s="56"/>
      <c r="I1223" s="56"/>
      <c r="J1223" s="56"/>
      <c r="K1223" s="56"/>
      <c r="L1223" s="56"/>
      <c r="M1223" s="56"/>
      <c r="N1223" s="56">
        <f t="shared" si="84"/>
        <v>0</v>
      </c>
      <c r="O1223" s="56">
        <v>800</v>
      </c>
      <c r="P1223" s="58">
        <f t="shared" si="86"/>
        <v>8522824.04</v>
      </c>
      <c r="Q1223" s="59"/>
    </row>
    <row r="1224" ht="20" customHeight="1" spans="2:19">
      <c r="B1224" s="42">
        <v>10</v>
      </c>
      <c r="C1224" s="42">
        <v>9</v>
      </c>
      <c r="D1224" s="74"/>
      <c r="E1224" s="54" t="s">
        <v>832</v>
      </c>
      <c r="F1224" s="45" t="s">
        <v>1761</v>
      </c>
      <c r="G1224" s="56">
        <v>2100</v>
      </c>
      <c r="H1224" s="56"/>
      <c r="I1224" s="56">
        <v>113</v>
      </c>
      <c r="J1224" s="56"/>
      <c r="K1224" s="56"/>
      <c r="L1224" s="56"/>
      <c r="M1224" s="56"/>
      <c r="N1224" s="56">
        <f t="shared" si="84"/>
        <v>2213</v>
      </c>
      <c r="O1224" s="56"/>
      <c r="P1224" s="58">
        <f t="shared" si="86"/>
        <v>8525037.04</v>
      </c>
      <c r="Q1224" s="59"/>
    </row>
    <row r="1225" ht="20" customHeight="1" spans="2:19">
      <c r="B1225" s="42">
        <v>10</v>
      </c>
      <c r="C1225" s="42">
        <v>9</v>
      </c>
      <c r="D1225" s="74"/>
      <c r="E1225" s="54" t="s">
        <v>832</v>
      </c>
      <c r="F1225" s="45" t="s">
        <v>1762</v>
      </c>
      <c r="G1225" s="56">
        <v>2100</v>
      </c>
      <c r="H1225" s="56"/>
      <c r="I1225" s="56">
        <v>78</v>
      </c>
      <c r="J1225" s="56"/>
      <c r="K1225" s="56"/>
      <c r="L1225" s="56"/>
      <c r="M1225" s="56"/>
      <c r="N1225" s="56">
        <f t="shared" si="84"/>
        <v>2178</v>
      </c>
      <c r="O1225" s="56"/>
      <c r="P1225" s="58">
        <f t="shared" si="86"/>
        <v>8527215.04</v>
      </c>
      <c r="Q1225" s="59"/>
    </row>
    <row r="1226" ht="20" customHeight="1" spans="2:19">
      <c r="B1226" s="42">
        <v>10</v>
      </c>
      <c r="C1226" s="42">
        <v>9</v>
      </c>
      <c r="D1226" s="74"/>
      <c r="E1226" s="54" t="s">
        <v>811</v>
      </c>
      <c r="F1226" s="45" t="s">
        <v>1763</v>
      </c>
      <c r="G1226" s="56">
        <v>1500</v>
      </c>
      <c r="H1226" s="56"/>
      <c r="I1226" s="56">
        <v>512</v>
      </c>
      <c r="J1226" s="56"/>
      <c r="K1226" s="56"/>
      <c r="L1226" s="56"/>
      <c r="M1226" s="56"/>
      <c r="N1226" s="56">
        <f t="shared" ref="N1226:N1257" si="87">SUM(G1226:L1226)-M1226</f>
        <v>2012</v>
      </c>
      <c r="O1226" s="56"/>
      <c r="P1226" s="58">
        <f t="shared" ref="P1226:P1257" si="88">P1225+N1226-O1226</f>
        <v>8529227.04</v>
      </c>
      <c r="Q1226" s="59"/>
      <c r="S1226" s="3">
        <f>SUM(N1221:N1226)+N1215+N1216-SUM(O1220:O1226)+S1214</f>
        <v>410539.64</v>
      </c>
    </row>
    <row r="1227" ht="20" customHeight="1" spans="2:19">
      <c r="B1227" s="42">
        <v>10</v>
      </c>
      <c r="C1227" s="42"/>
      <c r="D1227" s="74"/>
      <c r="E1227" s="54"/>
      <c r="F1227" s="45"/>
      <c r="G1227" s="56"/>
      <c r="H1227" s="56"/>
      <c r="I1227" s="56"/>
      <c r="J1227" s="56"/>
      <c r="K1227" s="56"/>
      <c r="L1227" s="56"/>
      <c r="M1227" s="56"/>
      <c r="N1227" s="56">
        <f t="shared" si="87"/>
        <v>0</v>
      </c>
      <c r="O1227" s="56"/>
      <c r="P1227" s="58">
        <f t="shared" si="88"/>
        <v>8529227.04</v>
      </c>
      <c r="Q1227" s="59"/>
    </row>
    <row r="1228" ht="20" customHeight="1" spans="2:19">
      <c r="B1228" s="42">
        <v>10</v>
      </c>
      <c r="C1228" s="42"/>
      <c r="D1228" s="74"/>
      <c r="E1228" s="54"/>
      <c r="F1228" s="45"/>
      <c r="G1228" s="56"/>
      <c r="H1228" s="56"/>
      <c r="I1228" s="56"/>
      <c r="J1228" s="56"/>
      <c r="K1228" s="56"/>
      <c r="L1228" s="56"/>
      <c r="M1228" s="56"/>
      <c r="N1228" s="56">
        <f t="shared" si="87"/>
        <v>0</v>
      </c>
      <c r="O1228" s="56"/>
      <c r="P1228" s="58">
        <f t="shared" si="88"/>
        <v>8529227.04</v>
      </c>
      <c r="Q1228" s="59"/>
    </row>
    <row r="1229" ht="20" customHeight="1" spans="2:19">
      <c r="B1229" s="42">
        <v>10</v>
      </c>
      <c r="C1229" s="42"/>
      <c r="D1229" s="74"/>
      <c r="E1229" s="54"/>
      <c r="F1229" s="45"/>
      <c r="G1229" s="56"/>
      <c r="H1229" s="56"/>
      <c r="I1229" s="56"/>
      <c r="J1229" s="56"/>
      <c r="K1229" s="56"/>
      <c r="L1229" s="56"/>
      <c r="M1229" s="56"/>
      <c r="N1229" s="56">
        <f t="shared" si="87"/>
        <v>0</v>
      </c>
      <c r="O1229" s="56"/>
      <c r="P1229" s="58">
        <f t="shared" si="88"/>
        <v>8529227.04</v>
      </c>
      <c r="Q1229" s="59"/>
    </row>
    <row r="1230" ht="20" customHeight="1" spans="2:19">
      <c r="B1230" s="42">
        <v>10</v>
      </c>
      <c r="C1230" s="42"/>
      <c r="D1230" s="74"/>
      <c r="E1230" s="54"/>
      <c r="F1230" s="45"/>
      <c r="G1230" s="56"/>
      <c r="H1230" s="56"/>
      <c r="I1230" s="56"/>
      <c r="J1230" s="56"/>
      <c r="K1230" s="56"/>
      <c r="L1230" s="56"/>
      <c r="M1230" s="56"/>
      <c r="N1230" s="56">
        <f t="shared" si="87"/>
        <v>0</v>
      </c>
      <c r="O1230" s="56"/>
      <c r="P1230" s="58">
        <f t="shared" si="88"/>
        <v>8529227.04</v>
      </c>
      <c r="Q1230" s="59"/>
    </row>
    <row r="1231" ht="20" customHeight="1" spans="2:19">
      <c r="B1231" s="42">
        <v>10</v>
      </c>
      <c r="C1231" s="42"/>
      <c r="D1231" s="74"/>
      <c r="E1231" s="54"/>
      <c r="F1231" s="45"/>
      <c r="G1231" s="56"/>
      <c r="H1231" s="56"/>
      <c r="I1231" s="56"/>
      <c r="J1231" s="56"/>
      <c r="K1231" s="56"/>
      <c r="L1231" s="56"/>
      <c r="M1231" s="56"/>
      <c r="N1231" s="56">
        <f t="shared" si="87"/>
        <v>0</v>
      </c>
      <c r="O1231" s="56"/>
      <c r="P1231" s="58">
        <f t="shared" si="88"/>
        <v>8529227.04</v>
      </c>
      <c r="Q1231" s="59"/>
    </row>
    <row r="1232" ht="20" customHeight="1" spans="2:19">
      <c r="B1232" s="42">
        <v>10</v>
      </c>
      <c r="C1232" s="42"/>
      <c r="D1232" s="74"/>
      <c r="E1232" s="54"/>
      <c r="F1232" s="45"/>
      <c r="G1232" s="56"/>
      <c r="H1232" s="56"/>
      <c r="I1232" s="56"/>
      <c r="J1232" s="56"/>
      <c r="K1232" s="56"/>
      <c r="L1232" s="56"/>
      <c r="M1232" s="56"/>
      <c r="N1232" s="56">
        <f t="shared" si="87"/>
        <v>0</v>
      </c>
      <c r="O1232" s="56"/>
      <c r="P1232" s="58">
        <f t="shared" si="88"/>
        <v>8529227.04</v>
      </c>
      <c r="Q1232" s="59"/>
    </row>
    <row r="1233" ht="20" customHeight="1" spans="2:17">
      <c r="B1233" s="42">
        <v>10</v>
      </c>
      <c r="C1233" s="42"/>
      <c r="D1233" s="74"/>
      <c r="E1233" s="54"/>
      <c r="F1233" s="45"/>
      <c r="G1233" s="56"/>
      <c r="H1233" s="56"/>
      <c r="I1233" s="56"/>
      <c r="J1233" s="56"/>
      <c r="K1233" s="56"/>
      <c r="L1233" s="56"/>
      <c r="M1233" s="56"/>
      <c r="N1233" s="56">
        <f t="shared" si="87"/>
        <v>0</v>
      </c>
      <c r="O1233" s="56"/>
      <c r="P1233" s="58">
        <f t="shared" si="88"/>
        <v>8529227.04</v>
      </c>
      <c r="Q1233" s="59"/>
    </row>
    <row r="1234" ht="20" customHeight="1" spans="2:17">
      <c r="B1234" s="42">
        <v>10</v>
      </c>
      <c r="C1234" s="42"/>
      <c r="D1234" s="74"/>
      <c r="E1234" s="54"/>
      <c r="F1234" s="45"/>
      <c r="G1234" s="56"/>
      <c r="H1234" s="56"/>
      <c r="I1234" s="56"/>
      <c r="J1234" s="56"/>
      <c r="K1234" s="56"/>
      <c r="L1234" s="56"/>
      <c r="M1234" s="56"/>
      <c r="N1234" s="56">
        <f t="shared" si="87"/>
        <v>0</v>
      </c>
      <c r="O1234" s="56"/>
      <c r="P1234" s="58">
        <f t="shared" si="88"/>
        <v>8529227.04</v>
      </c>
      <c r="Q1234" s="59"/>
    </row>
    <row r="1235" ht="20" customHeight="1" spans="2:17">
      <c r="B1235" s="42">
        <v>10</v>
      </c>
      <c r="C1235" s="42"/>
      <c r="D1235" s="74"/>
      <c r="E1235" s="54"/>
      <c r="F1235" s="45"/>
      <c r="G1235" s="56"/>
      <c r="H1235" s="56"/>
      <c r="I1235" s="56"/>
      <c r="J1235" s="56"/>
      <c r="K1235" s="56"/>
      <c r="L1235" s="56"/>
      <c r="M1235" s="56"/>
      <c r="N1235" s="56">
        <f t="shared" si="87"/>
        <v>0</v>
      </c>
      <c r="O1235" s="56"/>
      <c r="P1235" s="58">
        <f t="shared" si="88"/>
        <v>8529227.04</v>
      </c>
      <c r="Q1235" s="59"/>
    </row>
    <row r="1236" ht="20" customHeight="1" spans="2:17">
      <c r="B1236" s="42">
        <v>10</v>
      </c>
      <c r="C1236" s="42"/>
      <c r="D1236" s="74"/>
      <c r="E1236" s="54"/>
      <c r="F1236" s="45"/>
      <c r="G1236" s="56"/>
      <c r="H1236" s="56"/>
      <c r="I1236" s="56"/>
      <c r="J1236" s="56"/>
      <c r="K1236" s="56"/>
      <c r="L1236" s="56"/>
      <c r="M1236" s="56"/>
      <c r="N1236" s="56">
        <f t="shared" si="87"/>
        <v>0</v>
      </c>
      <c r="O1236" s="56"/>
      <c r="P1236" s="58">
        <f t="shared" si="88"/>
        <v>8529227.04</v>
      </c>
      <c r="Q1236" s="59"/>
    </row>
    <row r="1237" ht="20" customHeight="1" spans="2:17">
      <c r="B1237" s="42">
        <v>10</v>
      </c>
      <c r="C1237" s="42"/>
      <c r="D1237" s="74"/>
      <c r="E1237" s="54"/>
      <c r="F1237" s="45"/>
      <c r="G1237" s="56"/>
      <c r="H1237" s="56"/>
      <c r="I1237" s="56"/>
      <c r="J1237" s="56"/>
      <c r="K1237" s="56"/>
      <c r="L1237" s="56"/>
      <c r="M1237" s="56"/>
      <c r="N1237" s="56">
        <f t="shared" si="87"/>
        <v>0</v>
      </c>
      <c r="O1237" s="56"/>
      <c r="P1237" s="58">
        <f t="shared" si="88"/>
        <v>8529227.04</v>
      </c>
      <c r="Q1237" s="59"/>
    </row>
    <row r="1238" ht="20" customHeight="1" spans="2:17">
      <c r="B1238" s="42">
        <v>10</v>
      </c>
      <c r="C1238" s="42"/>
      <c r="D1238" s="74"/>
      <c r="E1238" s="54"/>
      <c r="F1238" s="45"/>
      <c r="G1238" s="56"/>
      <c r="H1238" s="56"/>
      <c r="I1238" s="56"/>
      <c r="J1238" s="56"/>
      <c r="K1238" s="56"/>
      <c r="L1238" s="56"/>
      <c r="M1238" s="56"/>
      <c r="N1238" s="56">
        <f t="shared" si="87"/>
        <v>0</v>
      </c>
      <c r="O1238" s="56"/>
      <c r="P1238" s="58">
        <f t="shared" si="88"/>
        <v>8529227.04</v>
      </c>
      <c r="Q1238" s="59"/>
    </row>
    <row r="1239" ht="20" customHeight="1" spans="2:17">
      <c r="B1239" s="42">
        <v>10</v>
      </c>
      <c r="C1239" s="42"/>
      <c r="D1239" s="74"/>
      <c r="E1239" s="54"/>
      <c r="F1239" s="45"/>
      <c r="G1239" s="56"/>
      <c r="H1239" s="56"/>
      <c r="I1239" s="56"/>
      <c r="J1239" s="56"/>
      <c r="K1239" s="56"/>
      <c r="L1239" s="56"/>
      <c r="M1239" s="56"/>
      <c r="N1239" s="56">
        <f t="shared" si="87"/>
        <v>0</v>
      </c>
      <c r="O1239" s="56"/>
      <c r="P1239" s="58">
        <f t="shared" si="88"/>
        <v>8529227.04</v>
      </c>
      <c r="Q1239" s="59"/>
    </row>
    <row r="1240" ht="20" customHeight="1" spans="2:17">
      <c r="B1240" s="42"/>
      <c r="C1240" s="42"/>
      <c r="D1240" s="74"/>
      <c r="E1240" s="54"/>
      <c r="F1240" s="45"/>
      <c r="G1240" s="56"/>
      <c r="H1240" s="56"/>
      <c r="I1240" s="56"/>
      <c r="J1240" s="56"/>
      <c r="K1240" s="56"/>
      <c r="L1240" s="56"/>
      <c r="M1240" s="56"/>
      <c r="N1240" s="56">
        <f t="shared" si="87"/>
        <v>0</v>
      </c>
      <c r="O1240" s="56"/>
      <c r="P1240" s="58">
        <f t="shared" si="88"/>
        <v>8529227.04</v>
      </c>
      <c r="Q1240" s="59"/>
    </row>
    <row r="1241" ht="20" customHeight="1" spans="2:17">
      <c r="B1241" s="42"/>
      <c r="C1241" s="42"/>
      <c r="D1241" s="74"/>
      <c r="E1241" s="54"/>
      <c r="F1241" s="45"/>
      <c r="G1241" s="56"/>
      <c r="H1241" s="56"/>
      <c r="I1241" s="56"/>
      <c r="J1241" s="56"/>
      <c r="K1241" s="56"/>
      <c r="L1241" s="56"/>
      <c r="M1241" s="56"/>
      <c r="N1241" s="56">
        <f t="shared" si="87"/>
        <v>0</v>
      </c>
      <c r="O1241" s="56"/>
      <c r="P1241" s="58">
        <f t="shared" si="88"/>
        <v>8529227.04</v>
      </c>
      <c r="Q1241" s="59"/>
    </row>
    <row r="1242" ht="20" customHeight="1" spans="2:17">
      <c r="B1242" s="42"/>
      <c r="C1242" s="42"/>
      <c r="D1242" s="74"/>
      <c r="E1242" s="54"/>
      <c r="F1242" s="45"/>
      <c r="G1242" s="56"/>
      <c r="H1242" s="56"/>
      <c r="I1242" s="56"/>
      <c r="J1242" s="56"/>
      <c r="K1242" s="56"/>
      <c r="L1242" s="56"/>
      <c r="M1242" s="56"/>
      <c r="N1242" s="56">
        <f t="shared" si="87"/>
        <v>0</v>
      </c>
      <c r="O1242" s="56"/>
      <c r="P1242" s="58">
        <f t="shared" si="88"/>
        <v>8529227.04</v>
      </c>
      <c r="Q1242" s="59"/>
    </row>
    <row r="1243" ht="20" customHeight="1" spans="2:17">
      <c r="B1243" s="42"/>
      <c r="C1243" s="42"/>
      <c r="D1243" s="74"/>
      <c r="E1243" s="54"/>
      <c r="F1243" s="45"/>
      <c r="G1243" s="56"/>
      <c r="H1243" s="56"/>
      <c r="I1243" s="56"/>
      <c r="J1243" s="56"/>
      <c r="K1243" s="56"/>
      <c r="L1243" s="56"/>
      <c r="M1243" s="56"/>
      <c r="N1243" s="56">
        <f t="shared" si="87"/>
        <v>0</v>
      </c>
      <c r="O1243" s="56"/>
      <c r="P1243" s="58">
        <f t="shared" si="88"/>
        <v>8529227.04</v>
      </c>
      <c r="Q1243" s="59"/>
    </row>
    <row r="1244" ht="20" customHeight="1" spans="2:17">
      <c r="B1244" s="42"/>
      <c r="C1244" s="42"/>
      <c r="D1244" s="74"/>
      <c r="E1244" s="54"/>
      <c r="F1244" s="45"/>
      <c r="G1244" s="56"/>
      <c r="H1244" s="56"/>
      <c r="I1244" s="56"/>
      <c r="J1244" s="56"/>
      <c r="K1244" s="56"/>
      <c r="L1244" s="56"/>
      <c r="M1244" s="56"/>
      <c r="N1244" s="56">
        <f t="shared" si="87"/>
        <v>0</v>
      </c>
      <c r="O1244" s="56"/>
      <c r="P1244" s="58">
        <f t="shared" si="88"/>
        <v>8529227.04</v>
      </c>
      <c r="Q1244" s="59"/>
    </row>
    <row r="1245" ht="20" customHeight="1" spans="2:17">
      <c r="B1245" s="42"/>
      <c r="C1245" s="42"/>
      <c r="D1245" s="74"/>
      <c r="E1245" s="54"/>
      <c r="F1245" s="45"/>
      <c r="G1245" s="56"/>
      <c r="H1245" s="56"/>
      <c r="I1245" s="56"/>
      <c r="J1245" s="56"/>
      <c r="K1245" s="56"/>
      <c r="L1245" s="56"/>
      <c r="M1245" s="56"/>
      <c r="N1245" s="56">
        <f t="shared" si="87"/>
        <v>0</v>
      </c>
      <c r="O1245" s="56"/>
      <c r="P1245" s="58">
        <f t="shared" si="88"/>
        <v>8529227.04</v>
      </c>
      <c r="Q1245" s="59"/>
    </row>
    <row r="1246" ht="20" customHeight="1" spans="2:17">
      <c r="B1246" s="42"/>
      <c r="C1246" s="42"/>
      <c r="D1246" s="74"/>
      <c r="E1246" s="54"/>
      <c r="F1246" s="45"/>
      <c r="G1246" s="56"/>
      <c r="H1246" s="56"/>
      <c r="I1246" s="56"/>
      <c r="J1246" s="56"/>
      <c r="K1246" s="56"/>
      <c r="L1246" s="56"/>
      <c r="M1246" s="56"/>
      <c r="N1246" s="56">
        <f t="shared" si="87"/>
        <v>0</v>
      </c>
      <c r="O1246" s="56"/>
      <c r="P1246" s="58">
        <f t="shared" si="88"/>
        <v>8529227.04</v>
      </c>
      <c r="Q1246" s="59"/>
    </row>
    <row r="1247" ht="20" customHeight="1" spans="2:17">
      <c r="B1247" s="42"/>
      <c r="C1247" s="42"/>
      <c r="D1247" s="74"/>
      <c r="E1247" s="54"/>
      <c r="F1247" s="45"/>
      <c r="G1247" s="56"/>
      <c r="H1247" s="56"/>
      <c r="I1247" s="56"/>
      <c r="J1247" s="56"/>
      <c r="K1247" s="56"/>
      <c r="L1247" s="56"/>
      <c r="M1247" s="56"/>
      <c r="N1247" s="56">
        <f t="shared" si="87"/>
        <v>0</v>
      </c>
      <c r="O1247" s="56"/>
      <c r="P1247" s="58">
        <f t="shared" si="88"/>
        <v>8529227.04</v>
      </c>
      <c r="Q1247" s="59"/>
    </row>
    <row r="1248" ht="20" customHeight="1" spans="2:17">
      <c r="B1248" s="42"/>
      <c r="C1248" s="42"/>
      <c r="D1248" s="74"/>
      <c r="E1248" s="54"/>
      <c r="F1248" s="45"/>
      <c r="G1248" s="56"/>
      <c r="H1248" s="56"/>
      <c r="I1248" s="56"/>
      <c r="J1248" s="56"/>
      <c r="K1248" s="56"/>
      <c r="L1248" s="56"/>
      <c r="M1248" s="56"/>
      <c r="N1248" s="56">
        <f t="shared" si="87"/>
        <v>0</v>
      </c>
      <c r="O1248" s="56"/>
      <c r="P1248" s="58">
        <f t="shared" si="88"/>
        <v>8529227.04</v>
      </c>
      <c r="Q1248" s="59"/>
    </row>
    <row r="1249" ht="20" customHeight="1" spans="2:17">
      <c r="B1249" s="42"/>
      <c r="C1249" s="42"/>
      <c r="D1249" s="74"/>
      <c r="E1249" s="54"/>
      <c r="F1249" s="45"/>
      <c r="G1249" s="56"/>
      <c r="H1249" s="56"/>
      <c r="I1249" s="56"/>
      <c r="J1249" s="56"/>
      <c r="K1249" s="56"/>
      <c r="L1249" s="56"/>
      <c r="M1249" s="56"/>
      <c r="N1249" s="56">
        <f t="shared" si="87"/>
        <v>0</v>
      </c>
      <c r="O1249" s="56"/>
      <c r="P1249" s="58">
        <f t="shared" si="88"/>
        <v>8529227.04</v>
      </c>
      <c r="Q1249" s="59"/>
    </row>
    <row r="1250" ht="20" customHeight="1" spans="2:17">
      <c r="B1250" s="42"/>
      <c r="C1250" s="42"/>
      <c r="D1250" s="74"/>
      <c r="E1250" s="54"/>
      <c r="F1250" s="45"/>
      <c r="G1250" s="56"/>
      <c r="H1250" s="56"/>
      <c r="I1250" s="56"/>
      <c r="J1250" s="56"/>
      <c r="K1250" s="56"/>
      <c r="L1250" s="56"/>
      <c r="M1250" s="56"/>
      <c r="N1250" s="56">
        <f t="shared" si="87"/>
        <v>0</v>
      </c>
      <c r="O1250" s="56"/>
      <c r="P1250" s="58">
        <f t="shared" si="88"/>
        <v>8529227.04</v>
      </c>
      <c r="Q1250" s="59"/>
    </row>
    <row r="1251" ht="20" customHeight="1" spans="2:17">
      <c r="B1251" s="42"/>
      <c r="C1251" s="42"/>
      <c r="D1251" s="74"/>
      <c r="E1251" s="54"/>
      <c r="F1251" s="45"/>
      <c r="G1251" s="56"/>
      <c r="H1251" s="56"/>
      <c r="I1251" s="56"/>
      <c r="J1251" s="56"/>
      <c r="K1251" s="56"/>
      <c r="L1251" s="56"/>
      <c r="M1251" s="56"/>
      <c r="N1251" s="56">
        <f t="shared" si="87"/>
        <v>0</v>
      </c>
      <c r="O1251" s="56"/>
      <c r="P1251" s="58">
        <f t="shared" si="88"/>
        <v>8529227.04</v>
      </c>
      <c r="Q1251" s="59"/>
    </row>
    <row r="1252" ht="20" customHeight="1" spans="2:17">
      <c r="B1252" s="42"/>
      <c r="C1252" s="42"/>
      <c r="D1252" s="74"/>
      <c r="E1252" s="54"/>
      <c r="F1252" s="45"/>
      <c r="G1252" s="56"/>
      <c r="H1252" s="56"/>
      <c r="I1252" s="56"/>
      <c r="J1252" s="56"/>
      <c r="K1252" s="56"/>
      <c r="L1252" s="56"/>
      <c r="M1252" s="56"/>
      <c r="N1252" s="56">
        <f t="shared" si="87"/>
        <v>0</v>
      </c>
      <c r="O1252" s="56"/>
      <c r="P1252" s="58">
        <f t="shared" si="88"/>
        <v>8529227.04</v>
      </c>
      <c r="Q1252" s="59"/>
    </row>
    <row r="1253" ht="20" customHeight="1" spans="2:17">
      <c r="B1253" s="42"/>
      <c r="C1253" s="42"/>
      <c r="D1253" s="74"/>
      <c r="E1253" s="54"/>
      <c r="F1253" s="45"/>
      <c r="G1253" s="56"/>
      <c r="H1253" s="56"/>
      <c r="I1253" s="56"/>
      <c r="J1253" s="56"/>
      <c r="K1253" s="56"/>
      <c r="L1253" s="56"/>
      <c r="M1253" s="56"/>
      <c r="N1253" s="56">
        <f t="shared" si="87"/>
        <v>0</v>
      </c>
      <c r="O1253" s="56"/>
      <c r="P1253" s="58">
        <f t="shared" si="88"/>
        <v>8529227.04</v>
      </c>
      <c r="Q1253" s="59"/>
    </row>
    <row r="1254" ht="20" customHeight="1" spans="2:17">
      <c r="B1254" s="42"/>
      <c r="C1254" s="42"/>
      <c r="D1254" s="74"/>
      <c r="E1254" s="54"/>
      <c r="F1254" s="45"/>
      <c r="G1254" s="56"/>
      <c r="H1254" s="56"/>
      <c r="I1254" s="56"/>
      <c r="J1254" s="56"/>
      <c r="K1254" s="56"/>
      <c r="L1254" s="56"/>
      <c r="M1254" s="56"/>
      <c r="N1254" s="56">
        <f t="shared" si="87"/>
        <v>0</v>
      </c>
      <c r="O1254" s="56"/>
      <c r="P1254" s="58">
        <f t="shared" si="88"/>
        <v>8529227.04</v>
      </c>
      <c r="Q1254" s="59"/>
    </row>
    <row r="1255" ht="20" customHeight="1" spans="2:17">
      <c r="B1255" s="42"/>
      <c r="C1255" s="42"/>
      <c r="D1255" s="74"/>
      <c r="E1255" s="54"/>
      <c r="F1255" s="45"/>
      <c r="G1255" s="56"/>
      <c r="H1255" s="56"/>
      <c r="I1255" s="56"/>
      <c r="J1255" s="56"/>
      <c r="K1255" s="56"/>
      <c r="L1255" s="56"/>
      <c r="M1255" s="56"/>
      <c r="N1255" s="56">
        <f t="shared" si="87"/>
        <v>0</v>
      </c>
      <c r="O1255" s="56"/>
      <c r="P1255" s="58">
        <f t="shared" si="88"/>
        <v>8529227.04</v>
      </c>
      <c r="Q1255" s="59"/>
    </row>
    <row r="1256" ht="20" customHeight="1" spans="2:17">
      <c r="B1256" s="42"/>
      <c r="C1256" s="42"/>
      <c r="D1256" s="74"/>
      <c r="E1256" s="54"/>
      <c r="F1256" s="45"/>
      <c r="G1256" s="56"/>
      <c r="H1256" s="56"/>
      <c r="I1256" s="56"/>
      <c r="J1256" s="56"/>
      <c r="K1256" s="56"/>
      <c r="L1256" s="56"/>
      <c r="M1256" s="56"/>
      <c r="N1256" s="56">
        <f t="shared" si="87"/>
        <v>0</v>
      </c>
      <c r="O1256" s="56"/>
      <c r="P1256" s="58">
        <f t="shared" si="88"/>
        <v>8529227.04</v>
      </c>
      <c r="Q1256" s="59"/>
    </row>
    <row r="1257" ht="20" customHeight="1" spans="2:17">
      <c r="B1257" s="42"/>
      <c r="C1257" s="42"/>
      <c r="D1257" s="74"/>
      <c r="E1257" s="54"/>
      <c r="F1257" s="45"/>
      <c r="G1257" s="56"/>
      <c r="H1257" s="56"/>
      <c r="I1257" s="56"/>
      <c r="J1257" s="56"/>
      <c r="K1257" s="56"/>
      <c r="L1257" s="56"/>
      <c r="M1257" s="56"/>
      <c r="N1257" s="56">
        <f t="shared" si="87"/>
        <v>0</v>
      </c>
      <c r="O1257" s="56"/>
      <c r="P1257" s="58">
        <f t="shared" si="88"/>
        <v>8529227.04</v>
      </c>
      <c r="Q1257" s="59"/>
    </row>
    <row r="1258" ht="20" customHeight="1" spans="2:17">
      <c r="B1258" s="42"/>
      <c r="C1258" s="42"/>
      <c r="D1258" s="74"/>
      <c r="E1258" s="54"/>
      <c r="F1258" s="45"/>
      <c r="G1258" s="56"/>
      <c r="H1258" s="56"/>
      <c r="I1258" s="56"/>
      <c r="J1258" s="56"/>
      <c r="K1258" s="56"/>
      <c r="L1258" s="56"/>
      <c r="M1258" s="56"/>
      <c r="N1258" s="56">
        <f t="shared" ref="N1258:N1284" si="89">SUM(G1258:L1258)-M1258</f>
        <v>0</v>
      </c>
      <c r="O1258" s="56"/>
      <c r="P1258" s="58">
        <f t="shared" ref="P1258:P1284" si="90">P1257+N1258-O1258</f>
        <v>8529227.04</v>
      </c>
      <c r="Q1258" s="59"/>
    </row>
    <row r="1259" ht="20" customHeight="1" spans="2:17">
      <c r="B1259" s="42"/>
      <c r="C1259" s="42"/>
      <c r="D1259" s="74"/>
      <c r="E1259" s="54"/>
      <c r="F1259" s="45"/>
      <c r="G1259" s="56"/>
      <c r="H1259" s="56"/>
      <c r="I1259" s="56"/>
      <c r="J1259" s="56"/>
      <c r="K1259" s="56"/>
      <c r="L1259" s="56"/>
      <c r="M1259" s="56"/>
      <c r="N1259" s="56">
        <f t="shared" si="89"/>
        <v>0</v>
      </c>
      <c r="O1259" s="56"/>
      <c r="P1259" s="58">
        <f t="shared" si="90"/>
        <v>8529227.04</v>
      </c>
      <c r="Q1259" s="59"/>
    </row>
    <row r="1260" ht="20" customHeight="1" spans="2:17">
      <c r="B1260" s="42"/>
      <c r="C1260" s="42"/>
      <c r="D1260" s="74"/>
      <c r="E1260" s="54"/>
      <c r="F1260" s="45"/>
      <c r="G1260" s="56"/>
      <c r="H1260" s="56"/>
      <c r="I1260" s="56"/>
      <c r="J1260" s="56"/>
      <c r="K1260" s="56"/>
      <c r="L1260" s="56"/>
      <c r="M1260" s="56"/>
      <c r="N1260" s="56">
        <f t="shared" si="89"/>
        <v>0</v>
      </c>
      <c r="O1260" s="56"/>
      <c r="P1260" s="58">
        <f t="shared" si="90"/>
        <v>8529227.04</v>
      </c>
      <c r="Q1260" s="59"/>
    </row>
    <row r="1261" ht="20" customHeight="1" spans="2:17">
      <c r="B1261" s="42"/>
      <c r="C1261" s="42"/>
      <c r="D1261" s="74"/>
      <c r="E1261" s="54"/>
      <c r="F1261" s="45"/>
      <c r="G1261" s="56"/>
      <c r="H1261" s="56"/>
      <c r="I1261" s="56"/>
      <c r="J1261" s="56"/>
      <c r="K1261" s="56"/>
      <c r="L1261" s="56"/>
      <c r="M1261" s="56"/>
      <c r="N1261" s="56">
        <f t="shared" si="89"/>
        <v>0</v>
      </c>
      <c r="O1261" s="56"/>
      <c r="P1261" s="58">
        <f t="shared" si="90"/>
        <v>8529227.04</v>
      </c>
      <c r="Q1261" s="59"/>
    </row>
    <row r="1262" ht="20" customHeight="1" spans="2:17">
      <c r="B1262" s="42"/>
      <c r="C1262" s="42"/>
      <c r="D1262" s="74"/>
      <c r="E1262" s="54"/>
      <c r="F1262" s="45"/>
      <c r="G1262" s="56"/>
      <c r="H1262" s="56"/>
      <c r="I1262" s="56"/>
      <c r="J1262" s="56"/>
      <c r="K1262" s="56"/>
      <c r="L1262" s="56"/>
      <c r="M1262" s="56"/>
      <c r="N1262" s="56">
        <f t="shared" si="89"/>
        <v>0</v>
      </c>
      <c r="O1262" s="56"/>
      <c r="P1262" s="58">
        <f t="shared" si="90"/>
        <v>8529227.04</v>
      </c>
      <c r="Q1262" s="59"/>
    </row>
    <row r="1263" ht="20" customHeight="1" spans="2:17">
      <c r="B1263" s="42"/>
      <c r="C1263" s="42"/>
      <c r="D1263" s="74"/>
      <c r="E1263" s="54"/>
      <c r="F1263" s="45"/>
      <c r="G1263" s="56"/>
      <c r="H1263" s="56"/>
      <c r="I1263" s="56"/>
      <c r="J1263" s="56"/>
      <c r="K1263" s="56"/>
      <c r="L1263" s="56"/>
      <c r="M1263" s="56"/>
      <c r="N1263" s="56">
        <f t="shared" si="89"/>
        <v>0</v>
      </c>
      <c r="O1263" s="56"/>
      <c r="P1263" s="58">
        <f t="shared" si="90"/>
        <v>8529227.04</v>
      </c>
      <c r="Q1263" s="59"/>
    </row>
    <row r="1264" ht="20" customHeight="1" spans="2:17">
      <c r="B1264" s="42"/>
      <c r="C1264" s="42"/>
      <c r="D1264" s="74"/>
      <c r="E1264" s="54"/>
      <c r="F1264" s="45"/>
      <c r="G1264" s="56"/>
      <c r="H1264" s="56"/>
      <c r="I1264" s="56"/>
      <c r="J1264" s="56"/>
      <c r="K1264" s="56"/>
      <c r="L1264" s="56"/>
      <c r="M1264" s="56"/>
      <c r="N1264" s="56">
        <f t="shared" si="89"/>
        <v>0</v>
      </c>
      <c r="O1264" s="56"/>
      <c r="P1264" s="58">
        <f t="shared" si="90"/>
        <v>8529227.04</v>
      </c>
      <c r="Q1264" s="59"/>
    </row>
    <row r="1265" ht="20" customHeight="1" spans="2:17">
      <c r="B1265" s="42"/>
      <c r="C1265" s="42"/>
      <c r="D1265" s="74"/>
      <c r="E1265" s="54"/>
      <c r="F1265" s="45"/>
      <c r="G1265" s="56"/>
      <c r="H1265" s="56"/>
      <c r="I1265" s="56"/>
      <c r="J1265" s="56"/>
      <c r="K1265" s="56"/>
      <c r="L1265" s="56"/>
      <c r="M1265" s="56"/>
      <c r="N1265" s="56">
        <f t="shared" si="89"/>
        <v>0</v>
      </c>
      <c r="O1265" s="56"/>
      <c r="P1265" s="58">
        <f t="shared" si="90"/>
        <v>8529227.04</v>
      </c>
      <c r="Q1265" s="59"/>
    </row>
    <row r="1266" ht="20" customHeight="1" spans="2:17">
      <c r="B1266" s="42"/>
      <c r="C1266" s="42"/>
      <c r="D1266" s="74"/>
      <c r="E1266" s="54"/>
      <c r="F1266" s="45"/>
      <c r="G1266" s="56"/>
      <c r="H1266" s="56"/>
      <c r="I1266" s="56"/>
      <c r="J1266" s="56"/>
      <c r="K1266" s="56"/>
      <c r="L1266" s="56"/>
      <c r="M1266" s="56"/>
      <c r="N1266" s="56">
        <f t="shared" si="89"/>
        <v>0</v>
      </c>
      <c r="O1266" s="56"/>
      <c r="P1266" s="58">
        <f t="shared" si="90"/>
        <v>8529227.04</v>
      </c>
      <c r="Q1266" s="59"/>
    </row>
    <row r="1267" ht="20" customHeight="1" spans="2:17">
      <c r="B1267" s="42"/>
      <c r="C1267" s="42"/>
      <c r="D1267" s="74"/>
      <c r="E1267" s="54"/>
      <c r="F1267" s="45"/>
      <c r="G1267" s="56"/>
      <c r="H1267" s="56"/>
      <c r="I1267" s="56"/>
      <c r="J1267" s="56"/>
      <c r="K1267" s="56"/>
      <c r="L1267" s="56"/>
      <c r="M1267" s="56"/>
      <c r="N1267" s="56">
        <f t="shared" si="89"/>
        <v>0</v>
      </c>
      <c r="O1267" s="56"/>
      <c r="P1267" s="58">
        <f t="shared" si="90"/>
        <v>8529227.04</v>
      </c>
      <c r="Q1267" s="59"/>
    </row>
    <row r="1268" ht="20" customHeight="1" spans="2:17">
      <c r="B1268" s="42"/>
      <c r="C1268" s="42"/>
      <c r="D1268" s="74"/>
      <c r="E1268" s="54"/>
      <c r="F1268" s="45"/>
      <c r="G1268" s="56"/>
      <c r="H1268" s="56"/>
      <c r="I1268" s="56"/>
      <c r="J1268" s="56"/>
      <c r="K1268" s="56"/>
      <c r="L1268" s="56"/>
      <c r="M1268" s="56"/>
      <c r="N1268" s="56">
        <f t="shared" si="89"/>
        <v>0</v>
      </c>
      <c r="O1268" s="56"/>
      <c r="P1268" s="58">
        <f t="shared" si="90"/>
        <v>8529227.04</v>
      </c>
      <c r="Q1268" s="59"/>
    </row>
    <row r="1269" ht="20" customHeight="1" spans="2:17">
      <c r="B1269" s="42"/>
      <c r="C1269" s="42"/>
      <c r="D1269" s="74"/>
      <c r="E1269" s="54"/>
      <c r="F1269" s="45"/>
      <c r="G1269" s="56"/>
      <c r="H1269" s="56"/>
      <c r="I1269" s="56"/>
      <c r="J1269" s="56"/>
      <c r="K1269" s="56"/>
      <c r="L1269" s="56"/>
      <c r="M1269" s="56"/>
      <c r="N1269" s="56">
        <f t="shared" si="89"/>
        <v>0</v>
      </c>
      <c r="O1269" s="56"/>
      <c r="P1269" s="58">
        <f t="shared" si="90"/>
        <v>8529227.04</v>
      </c>
      <c r="Q1269" s="59"/>
    </row>
    <row r="1270" ht="20" customHeight="1" spans="2:17">
      <c r="B1270" s="42"/>
      <c r="C1270" s="42"/>
      <c r="D1270" s="74"/>
      <c r="E1270" s="54"/>
      <c r="F1270" s="45"/>
      <c r="G1270" s="56"/>
      <c r="H1270" s="56"/>
      <c r="I1270" s="56"/>
      <c r="J1270" s="56"/>
      <c r="K1270" s="56"/>
      <c r="L1270" s="56"/>
      <c r="M1270" s="56"/>
      <c r="N1270" s="56">
        <f t="shared" si="89"/>
        <v>0</v>
      </c>
      <c r="O1270" s="56"/>
      <c r="P1270" s="58">
        <f t="shared" si="90"/>
        <v>8529227.04</v>
      </c>
      <c r="Q1270" s="59"/>
    </row>
    <row r="1271" ht="20" customHeight="1" spans="2:17">
      <c r="B1271" s="42"/>
      <c r="C1271" s="42"/>
      <c r="D1271" s="74"/>
      <c r="E1271" s="54"/>
      <c r="F1271" s="45"/>
      <c r="G1271" s="56"/>
      <c r="H1271" s="56"/>
      <c r="I1271" s="56"/>
      <c r="J1271" s="56"/>
      <c r="K1271" s="56"/>
      <c r="L1271" s="56"/>
      <c r="M1271" s="56"/>
      <c r="N1271" s="56">
        <f t="shared" si="89"/>
        <v>0</v>
      </c>
      <c r="O1271" s="56"/>
      <c r="P1271" s="58">
        <f t="shared" si="90"/>
        <v>8529227.04</v>
      </c>
      <c r="Q1271" s="59"/>
    </row>
    <row r="1272" ht="20" customHeight="1" spans="2:17">
      <c r="B1272" s="42"/>
      <c r="C1272" s="42"/>
      <c r="D1272" s="74"/>
      <c r="E1272" s="54"/>
      <c r="F1272" s="45"/>
      <c r="G1272" s="56"/>
      <c r="H1272" s="56"/>
      <c r="I1272" s="56"/>
      <c r="J1272" s="56"/>
      <c r="K1272" s="56"/>
      <c r="L1272" s="56"/>
      <c r="M1272" s="56"/>
      <c r="N1272" s="56">
        <f t="shared" si="89"/>
        <v>0</v>
      </c>
      <c r="O1272" s="56"/>
      <c r="P1272" s="58">
        <f t="shared" si="90"/>
        <v>8529227.04</v>
      </c>
      <c r="Q1272" s="59"/>
    </row>
    <row r="1273" ht="20" customHeight="1" spans="2:17">
      <c r="B1273" s="42"/>
      <c r="C1273" s="42"/>
      <c r="D1273" s="74"/>
      <c r="E1273" s="54"/>
      <c r="F1273" s="45"/>
      <c r="G1273" s="56"/>
      <c r="H1273" s="56"/>
      <c r="I1273" s="56"/>
      <c r="J1273" s="56"/>
      <c r="K1273" s="56"/>
      <c r="L1273" s="56"/>
      <c r="M1273" s="56"/>
      <c r="N1273" s="56">
        <f t="shared" si="89"/>
        <v>0</v>
      </c>
      <c r="O1273" s="56"/>
      <c r="P1273" s="58">
        <f t="shared" si="90"/>
        <v>8529227.04</v>
      </c>
      <c r="Q1273" s="59"/>
    </row>
    <row r="1274" ht="20" customHeight="1" spans="2:17">
      <c r="B1274" s="42"/>
      <c r="C1274" s="42"/>
      <c r="D1274" s="74"/>
      <c r="E1274" s="54"/>
      <c r="F1274" s="45"/>
      <c r="G1274" s="56"/>
      <c r="H1274" s="56"/>
      <c r="I1274" s="56"/>
      <c r="J1274" s="56"/>
      <c r="K1274" s="56"/>
      <c r="L1274" s="56"/>
      <c r="M1274" s="56"/>
      <c r="N1274" s="56">
        <f t="shared" si="89"/>
        <v>0</v>
      </c>
      <c r="O1274" s="56"/>
      <c r="P1274" s="58">
        <f t="shared" si="90"/>
        <v>8529227.04</v>
      </c>
      <c r="Q1274" s="59"/>
    </row>
    <row r="1275" ht="20" customHeight="1" spans="2:17">
      <c r="B1275" s="42"/>
      <c r="C1275" s="42"/>
      <c r="D1275" s="74"/>
      <c r="E1275" s="54"/>
      <c r="F1275" s="45"/>
      <c r="G1275" s="56"/>
      <c r="H1275" s="56"/>
      <c r="I1275" s="56"/>
      <c r="J1275" s="56"/>
      <c r="K1275" s="56"/>
      <c r="L1275" s="56"/>
      <c r="M1275" s="56"/>
      <c r="N1275" s="56">
        <f t="shared" si="89"/>
        <v>0</v>
      </c>
      <c r="O1275" s="56"/>
      <c r="P1275" s="58">
        <f t="shared" si="90"/>
        <v>8529227.04</v>
      </c>
      <c r="Q1275" s="59"/>
    </row>
    <row r="1276" ht="20" customHeight="1" spans="2:17">
      <c r="B1276" s="42"/>
      <c r="C1276" s="42"/>
      <c r="D1276" s="74"/>
      <c r="E1276" s="54"/>
      <c r="F1276" s="45"/>
      <c r="G1276" s="56"/>
      <c r="H1276" s="56"/>
      <c r="I1276" s="56"/>
      <c r="J1276" s="56"/>
      <c r="K1276" s="56"/>
      <c r="L1276" s="56"/>
      <c r="M1276" s="56"/>
      <c r="N1276" s="56">
        <f t="shared" si="89"/>
        <v>0</v>
      </c>
      <c r="O1276" s="56"/>
      <c r="P1276" s="58">
        <f t="shared" si="90"/>
        <v>8529227.04</v>
      </c>
      <c r="Q1276" s="59"/>
    </row>
    <row r="1277" ht="20" customHeight="1" spans="2:17">
      <c r="B1277" s="42"/>
      <c r="C1277" s="42"/>
      <c r="D1277" s="74"/>
      <c r="E1277" s="54"/>
      <c r="F1277" s="45"/>
      <c r="G1277" s="56"/>
      <c r="H1277" s="56"/>
      <c r="I1277" s="56"/>
      <c r="J1277" s="56"/>
      <c r="K1277" s="56"/>
      <c r="L1277" s="56"/>
      <c r="M1277" s="56"/>
      <c r="N1277" s="56">
        <f t="shared" si="89"/>
        <v>0</v>
      </c>
      <c r="O1277" s="56"/>
      <c r="P1277" s="58">
        <f t="shared" si="90"/>
        <v>8529227.04</v>
      </c>
      <c r="Q1277" s="59"/>
    </row>
    <row r="1278" ht="20" customHeight="1" spans="2:17">
      <c r="B1278" s="42"/>
      <c r="C1278" s="42"/>
      <c r="D1278" s="74"/>
      <c r="E1278" s="54"/>
      <c r="F1278" s="45"/>
      <c r="G1278" s="56"/>
      <c r="H1278" s="56"/>
      <c r="I1278" s="56"/>
      <c r="J1278" s="56"/>
      <c r="K1278" s="56"/>
      <c r="L1278" s="56"/>
      <c r="M1278" s="56"/>
      <c r="N1278" s="56">
        <f t="shared" si="89"/>
        <v>0</v>
      </c>
      <c r="O1278" s="56"/>
      <c r="P1278" s="58">
        <f t="shared" si="90"/>
        <v>8529227.04</v>
      </c>
      <c r="Q1278" s="59"/>
    </row>
    <row r="1279" ht="20" customHeight="1" spans="2:17">
      <c r="B1279" s="42"/>
      <c r="C1279" s="42"/>
      <c r="D1279" s="74"/>
      <c r="E1279" s="54"/>
      <c r="F1279" s="45"/>
      <c r="G1279" s="56"/>
      <c r="H1279" s="56"/>
      <c r="I1279" s="56"/>
      <c r="J1279" s="56"/>
      <c r="K1279" s="56"/>
      <c r="L1279" s="56"/>
      <c r="M1279" s="56"/>
      <c r="N1279" s="56">
        <f t="shared" si="89"/>
        <v>0</v>
      </c>
      <c r="O1279" s="56"/>
      <c r="P1279" s="58">
        <f t="shared" si="90"/>
        <v>8529227.04</v>
      </c>
      <c r="Q1279" s="59"/>
    </row>
    <row r="1280" ht="20" customHeight="1" spans="2:17">
      <c r="B1280" s="42"/>
      <c r="C1280" s="42"/>
      <c r="D1280" s="74"/>
      <c r="E1280" s="54"/>
      <c r="F1280" s="45"/>
      <c r="G1280" s="56"/>
      <c r="H1280" s="56"/>
      <c r="I1280" s="56"/>
      <c r="J1280" s="56"/>
      <c r="K1280" s="56"/>
      <c r="L1280" s="56"/>
      <c r="M1280" s="56"/>
      <c r="N1280" s="56">
        <f t="shared" si="89"/>
        <v>0</v>
      </c>
      <c r="O1280" s="56"/>
      <c r="P1280" s="58">
        <f t="shared" si="90"/>
        <v>8529227.04</v>
      </c>
      <c r="Q1280" s="59"/>
    </row>
    <row r="1281" ht="20" customHeight="1" spans="2:17">
      <c r="B1281" s="42"/>
      <c r="C1281" s="42"/>
      <c r="D1281" s="74"/>
      <c r="E1281" s="54"/>
      <c r="F1281" s="45"/>
      <c r="G1281" s="56"/>
      <c r="H1281" s="56"/>
      <c r="I1281" s="56"/>
      <c r="J1281" s="56"/>
      <c r="K1281" s="56"/>
      <c r="L1281" s="56"/>
      <c r="M1281" s="56"/>
      <c r="N1281" s="56">
        <f t="shared" si="89"/>
        <v>0</v>
      </c>
      <c r="O1281" s="56"/>
      <c r="P1281" s="58">
        <f t="shared" si="90"/>
        <v>8529227.04</v>
      </c>
      <c r="Q1281" s="59"/>
    </row>
    <row r="1282" ht="20" customHeight="1" spans="2:17">
      <c r="B1282" s="42"/>
      <c r="C1282" s="42"/>
      <c r="D1282" s="74"/>
      <c r="E1282" s="54"/>
      <c r="F1282" s="45"/>
      <c r="G1282" s="56"/>
      <c r="H1282" s="56"/>
      <c r="I1282" s="56"/>
      <c r="J1282" s="56"/>
      <c r="K1282" s="56"/>
      <c r="L1282" s="56"/>
      <c r="M1282" s="56"/>
      <c r="N1282" s="56">
        <f t="shared" si="89"/>
        <v>0</v>
      </c>
      <c r="O1282" s="56"/>
      <c r="P1282" s="58">
        <f t="shared" si="90"/>
        <v>8529227.04</v>
      </c>
      <c r="Q1282" s="59"/>
    </row>
    <row r="1283" ht="20" customHeight="1" spans="2:17">
      <c r="B1283" s="42"/>
      <c r="C1283" s="42"/>
      <c r="D1283" s="74"/>
      <c r="E1283" s="54"/>
      <c r="F1283" s="45"/>
      <c r="G1283" s="56"/>
      <c r="H1283" s="56"/>
      <c r="I1283" s="56"/>
      <c r="J1283" s="56"/>
      <c r="K1283" s="56"/>
      <c r="L1283" s="56"/>
      <c r="M1283" s="56"/>
      <c r="N1283" s="56">
        <f t="shared" si="89"/>
        <v>0</v>
      </c>
      <c r="O1283" s="56"/>
      <c r="P1283" s="58">
        <f t="shared" si="90"/>
        <v>8529227.04</v>
      </c>
      <c r="Q1283" s="59"/>
    </row>
    <row r="1284" ht="20" customHeight="1" spans="2:17">
      <c r="B1284" s="42"/>
      <c r="C1284" s="42"/>
      <c r="D1284" s="74"/>
      <c r="E1284" s="54"/>
      <c r="F1284" s="45"/>
      <c r="G1284" s="56"/>
      <c r="H1284" s="56"/>
      <c r="I1284" s="56"/>
      <c r="J1284" s="56"/>
      <c r="K1284" s="56"/>
      <c r="L1284" s="56"/>
      <c r="M1284" s="56"/>
      <c r="N1284" s="56">
        <f t="shared" si="89"/>
        <v>0</v>
      </c>
      <c r="O1284" s="56"/>
      <c r="P1284" s="58">
        <f t="shared" si="90"/>
        <v>8529227.04</v>
      </c>
      <c r="Q1284" s="59"/>
    </row>
  </sheetData>
  <autoFilter xmlns:etc="http://www.wps.cn/officeDocument/2017/etCustomData" ref="A4:W1284" etc:filterBottomFollowUsedRange="0">
    <extLst/>
  </autoFilter>
  <mergeCells count="4">
    <mergeCell ref="B1:Q1"/>
    <mergeCell ref="G3:N3"/>
    <mergeCell ref="O3:O4"/>
    <mergeCell ref="P3:P4"/>
  </mergeCells>
  <dataValidations count="1">
    <dataValidation type="list" allowBlank="1" showInputMessage="1" showErrorMessage="1" sqref="D5:D677 D754:D1284">
      <formula1>付费项!$B$2:$B$76</formula1>
    </dataValidation>
  </dataValidations>
  <pageMargins left="0.7" right="0.7" top="0.75" bottom="0.75" header="0.3" footer="0.3"/>
  <pageSetup paperSize="9" orientation="portrait"/>
  <headerFooter/>
  <ignoredErrors>
    <ignoredError sqref="N204" formula="1"/>
    <ignoredError sqref="S519" formulaRange="1"/>
    <ignoredError sqref="D123" listDataValidation="1"/>
  </ignoredError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FF0000"/>
  </sheetPr>
  <dimension ref="A1:W280"/>
  <sheetViews>
    <sheetView zoomScale="90" zoomScaleNormal="90" topLeftCell="A3" workbookViewId="0">
      <pane xSplit="6" ySplit="3" topLeftCell="G40" activePane="bottomRight" state="frozen"/>
      <selection/>
      <selection pane="topRight"/>
      <selection pane="bottomLeft"/>
      <selection pane="bottomRight" activeCell="I61" sqref="I61"/>
    </sheetView>
  </sheetViews>
  <sheetFormatPr defaultColWidth="9" defaultRowHeight="13.5"/>
  <cols>
    <col min="1" max="1" width="6.26666666666667" style="3" customWidth="1"/>
    <col min="2" max="3" width="4.725" style="3" customWidth="1"/>
    <col min="4" max="4" width="9" style="3" customWidth="1"/>
    <col min="5" max="5" width="11.0916666666667" style="3" customWidth="1"/>
    <col min="6" max="6" width="33.3666666666667" style="3" customWidth="1"/>
    <col min="7" max="7" width="13.3666666666667" style="3" customWidth="1"/>
    <col min="8" max="8" width="12.725" style="3" customWidth="1"/>
    <col min="9" max="9" width="12.45" style="3" customWidth="1"/>
    <col min="10" max="13" width="9.725" style="3" customWidth="1"/>
    <col min="14" max="14" width="13.1833333333333" style="3" customWidth="1"/>
    <col min="15" max="15" width="10.6333333333333" style="3" customWidth="1"/>
    <col min="16" max="16" width="12.725" style="3" customWidth="1"/>
    <col min="17" max="17" width="13.6333333333333" style="3" customWidth="1"/>
    <col min="18" max="18" width="10.725" style="3" customWidth="1"/>
    <col min="19" max="19" width="12.6333333333333" style="3" customWidth="1"/>
    <col min="20" max="20" width="10.375" style="3"/>
    <col min="21" max="16384" width="9" style="3"/>
  </cols>
  <sheetData>
    <row r="1" ht="24.75" spans="1:23">
      <c r="A1" s="46" t="str">
        <f>HYPERLINK("#目录!a1","返回目录")</f>
        <v>返回目录</v>
      </c>
      <c r="B1" s="47" t="s">
        <v>473</v>
      </c>
      <c r="C1" s="47"/>
      <c r="D1" s="47"/>
      <c r="E1" s="47"/>
      <c r="F1" s="47"/>
      <c r="G1" s="47"/>
      <c r="H1" s="47"/>
      <c r="I1" s="47"/>
      <c r="J1" s="47"/>
      <c r="K1" s="47"/>
      <c r="L1" s="47"/>
      <c r="M1" s="47"/>
      <c r="N1" s="47"/>
      <c r="O1" s="47"/>
      <c r="P1" s="47"/>
      <c r="Q1" s="47"/>
      <c r="R1" s="6"/>
      <c r="S1" s="6"/>
      <c r="T1" s="6"/>
      <c r="U1" s="6"/>
      <c r="V1" s="6"/>
      <c r="W1" s="6"/>
    </row>
    <row r="2" ht="9" customHeight="1" spans="1:23">
      <c r="B2" s="48"/>
      <c r="C2" s="48"/>
      <c r="D2" s="48"/>
      <c r="E2" s="48"/>
      <c r="F2" s="48"/>
      <c r="G2" s="48"/>
      <c r="H2" s="48"/>
      <c r="I2" s="48"/>
      <c r="J2" s="48"/>
      <c r="K2" s="48"/>
      <c r="L2" s="48"/>
      <c r="M2" s="48"/>
      <c r="N2" s="48"/>
      <c r="O2" s="48"/>
      <c r="P2" s="48"/>
      <c r="Q2" s="48"/>
      <c r="R2" s="6"/>
      <c r="S2" s="6"/>
      <c r="T2" s="6"/>
      <c r="U2" s="6"/>
      <c r="V2" s="6"/>
      <c r="W2" s="6"/>
    </row>
    <row r="3" ht="21" customHeight="1" spans="1:23">
      <c r="A3" s="46" t="str">
        <f>HYPERLINK("#目录!a1","返回目录")</f>
        <v>返回目录</v>
      </c>
      <c r="B3" s="49"/>
      <c r="C3" s="49"/>
      <c r="D3" s="49"/>
      <c r="E3" s="49"/>
      <c r="F3" s="49"/>
      <c r="G3" s="50" t="s">
        <v>11</v>
      </c>
      <c r="H3" s="51"/>
      <c r="I3" s="51"/>
      <c r="J3" s="51"/>
      <c r="K3" s="51"/>
      <c r="L3" s="51"/>
      <c r="M3" s="51"/>
      <c r="N3" s="52"/>
      <c r="O3" s="49" t="s">
        <v>12</v>
      </c>
      <c r="P3" s="49" t="s">
        <v>13</v>
      </c>
      <c r="Q3" s="49"/>
    </row>
    <row r="4" ht="21" customHeight="1" spans="1:23">
      <c r="B4" s="49" t="s">
        <v>6</v>
      </c>
      <c r="C4" s="49" t="s">
        <v>7</v>
      </c>
      <c r="D4" s="49" t="s">
        <v>8</v>
      </c>
      <c r="E4" s="49" t="s">
        <v>9</v>
      </c>
      <c r="F4" s="49" t="s">
        <v>10</v>
      </c>
      <c r="G4" s="49" t="s">
        <v>474</v>
      </c>
      <c r="H4" s="49" t="s">
        <v>475</v>
      </c>
      <c r="I4" s="49" t="s">
        <v>124</v>
      </c>
      <c r="J4" s="49" t="s">
        <v>68</v>
      </c>
      <c r="K4" s="49" t="s">
        <v>476</v>
      </c>
      <c r="L4" s="49" t="s">
        <v>477</v>
      </c>
      <c r="M4" s="49" t="s">
        <v>478</v>
      </c>
      <c r="N4" s="49" t="s">
        <v>11</v>
      </c>
      <c r="O4" s="53"/>
      <c r="P4" s="53"/>
      <c r="Q4" s="49" t="s">
        <v>14</v>
      </c>
    </row>
    <row r="5" ht="20" customHeight="1" spans="1:23">
      <c r="B5" s="42"/>
      <c r="C5" s="42"/>
      <c r="D5" s="74"/>
      <c r="E5" s="42"/>
      <c r="F5" s="54" t="s">
        <v>15</v>
      </c>
      <c r="G5" s="56"/>
      <c r="H5" s="56"/>
      <c r="I5" s="56"/>
      <c r="J5" s="56"/>
      <c r="K5" s="56"/>
      <c r="L5" s="56"/>
      <c r="M5" s="56"/>
      <c r="N5" s="56">
        <f t="shared" ref="N5:N16" si="0">SUM(G5:L5)-M5</f>
        <v>0</v>
      </c>
      <c r="O5" s="56"/>
      <c r="P5" s="58">
        <v>0</v>
      </c>
      <c r="Q5" s="59"/>
      <c r="R5" s="79"/>
    </row>
    <row r="6" ht="20" customHeight="1" spans="1:23">
      <c r="B6" s="42">
        <v>5</v>
      </c>
      <c r="C6" s="42">
        <v>11</v>
      </c>
      <c r="D6" s="74"/>
      <c r="E6" s="42"/>
      <c r="F6" s="45" t="s">
        <v>1764</v>
      </c>
      <c r="G6" s="56"/>
      <c r="H6" s="56"/>
      <c r="I6" s="56"/>
      <c r="J6" s="56"/>
      <c r="K6" s="56">
        <v>740</v>
      </c>
      <c r="L6" s="56"/>
      <c r="M6" s="56"/>
      <c r="N6" s="89">
        <f t="shared" si="0"/>
        <v>740</v>
      </c>
      <c r="O6" s="56"/>
      <c r="P6" s="58">
        <f t="shared" ref="P6:P16" si="1">P5+N6-O6</f>
        <v>740</v>
      </c>
      <c r="Q6" s="59"/>
    </row>
    <row r="7" ht="20" customHeight="1" spans="1:23">
      <c r="B7" s="42">
        <v>5</v>
      </c>
      <c r="C7" s="42">
        <v>11</v>
      </c>
      <c r="D7" s="74"/>
      <c r="E7" s="42" t="s">
        <v>554</v>
      </c>
      <c r="F7" s="45" t="s">
        <v>1765</v>
      </c>
      <c r="G7" s="56"/>
      <c r="H7" s="56">
        <v>150</v>
      </c>
      <c r="I7" s="56">
        <v>170</v>
      </c>
      <c r="J7" s="56"/>
      <c r="K7" s="56"/>
      <c r="L7" s="56"/>
      <c r="M7" s="56"/>
      <c r="N7" s="89">
        <f t="shared" si="0"/>
        <v>320</v>
      </c>
      <c r="O7" s="56"/>
      <c r="P7" s="58">
        <f t="shared" si="1"/>
        <v>1060</v>
      </c>
      <c r="Q7" s="59"/>
    </row>
    <row r="8" ht="20" customHeight="1" spans="1:23">
      <c r="B8" s="42">
        <v>5</v>
      </c>
      <c r="C8" s="42">
        <v>19</v>
      </c>
      <c r="D8" s="74"/>
      <c r="E8" s="42"/>
      <c r="F8" s="45" t="s">
        <v>1766</v>
      </c>
      <c r="G8" s="56"/>
      <c r="H8" s="56"/>
      <c r="I8" s="56"/>
      <c r="J8" s="56"/>
      <c r="K8" s="56">
        <v>1110</v>
      </c>
      <c r="L8" s="56"/>
      <c r="M8" s="56"/>
      <c r="N8" s="63">
        <f t="shared" si="0"/>
        <v>1110</v>
      </c>
      <c r="O8" s="56"/>
      <c r="P8" s="58">
        <f t="shared" si="1"/>
        <v>2170</v>
      </c>
      <c r="Q8" s="59"/>
      <c r="T8" s="2"/>
      <c r="U8" s="2"/>
    </row>
    <row r="9" ht="20" customHeight="1" spans="1:23">
      <c r="B9" s="42">
        <v>5</v>
      </c>
      <c r="C9" s="42">
        <v>22</v>
      </c>
      <c r="D9" s="42"/>
      <c r="E9" s="74" t="s">
        <v>572</v>
      </c>
      <c r="F9" s="75" t="s">
        <v>1767</v>
      </c>
      <c r="G9" s="56">
        <v>2000</v>
      </c>
      <c r="H9" s="56"/>
      <c r="I9" s="56"/>
      <c r="J9" s="56"/>
      <c r="K9" s="56"/>
      <c r="L9" s="56"/>
      <c r="M9" s="56"/>
      <c r="N9" s="63">
        <f t="shared" si="0"/>
        <v>2000</v>
      </c>
      <c r="O9" s="56"/>
      <c r="P9" s="58">
        <f t="shared" si="1"/>
        <v>4170</v>
      </c>
      <c r="Q9" s="56"/>
    </row>
    <row r="10" ht="20" customHeight="1" spans="1:23">
      <c r="B10" s="42">
        <v>5</v>
      </c>
      <c r="C10" s="42">
        <v>25</v>
      </c>
      <c r="D10" s="42"/>
      <c r="E10" s="54"/>
      <c r="F10" s="75" t="s">
        <v>1768</v>
      </c>
      <c r="G10" s="56"/>
      <c r="H10" s="56"/>
      <c r="I10" s="56"/>
      <c r="J10" s="56"/>
      <c r="K10" s="56">
        <v>550</v>
      </c>
      <c r="L10" s="56"/>
      <c r="M10" s="56"/>
      <c r="N10" s="89">
        <f t="shared" si="0"/>
        <v>550</v>
      </c>
      <c r="O10" s="56"/>
      <c r="P10" s="58">
        <f t="shared" si="1"/>
        <v>4720</v>
      </c>
      <c r="Q10" s="56"/>
    </row>
    <row r="11" ht="20" customHeight="1" spans="1:23">
      <c r="B11" s="42">
        <v>5</v>
      </c>
      <c r="C11" s="42">
        <v>31</v>
      </c>
      <c r="D11" s="42"/>
      <c r="E11" s="42"/>
      <c r="F11" s="75" t="s">
        <v>1769</v>
      </c>
      <c r="G11" s="56"/>
      <c r="H11" s="56"/>
      <c r="I11" s="56"/>
      <c r="J11" s="56"/>
      <c r="K11" s="56">
        <v>1680</v>
      </c>
      <c r="L11" s="56"/>
      <c r="M11" s="56"/>
      <c r="N11" s="89">
        <f t="shared" si="0"/>
        <v>1680</v>
      </c>
      <c r="O11" s="56"/>
      <c r="P11" s="58">
        <f t="shared" si="1"/>
        <v>6400</v>
      </c>
      <c r="Q11" s="56"/>
    </row>
    <row r="12" ht="20" customHeight="1" spans="1:23">
      <c r="B12" s="42">
        <v>5</v>
      </c>
      <c r="C12" s="42">
        <v>31</v>
      </c>
      <c r="D12" s="42"/>
      <c r="E12" s="74" t="s">
        <v>746</v>
      </c>
      <c r="F12" s="75" t="s">
        <v>1770</v>
      </c>
      <c r="G12" s="56">
        <v>2373</v>
      </c>
      <c r="H12" s="56"/>
      <c r="I12" s="56"/>
      <c r="J12" s="56"/>
      <c r="K12" s="56"/>
      <c r="L12" s="56"/>
      <c r="M12" s="56"/>
      <c r="N12" s="89">
        <f t="shared" si="0"/>
        <v>2373</v>
      </c>
      <c r="O12" s="56"/>
      <c r="P12" s="58">
        <f t="shared" si="1"/>
        <v>8773</v>
      </c>
      <c r="Q12" s="56"/>
    </row>
    <row r="13" ht="20" customHeight="1" spans="1:23">
      <c r="B13" s="42">
        <v>5</v>
      </c>
      <c r="C13" s="42">
        <v>31</v>
      </c>
      <c r="D13" s="42"/>
      <c r="E13" s="74" t="s">
        <v>746</v>
      </c>
      <c r="F13" s="75" t="s">
        <v>1771</v>
      </c>
      <c r="G13" s="56">
        <v>2500</v>
      </c>
      <c r="H13" s="56">
        <v>150</v>
      </c>
      <c r="I13" s="56">
        <v>186</v>
      </c>
      <c r="J13" s="56"/>
      <c r="K13" s="56"/>
      <c r="L13" s="56"/>
      <c r="M13" s="56"/>
      <c r="N13" s="89">
        <f t="shared" si="0"/>
        <v>2836</v>
      </c>
      <c r="O13" s="56"/>
      <c r="P13" s="58">
        <f t="shared" si="1"/>
        <v>11609</v>
      </c>
      <c r="Q13" s="56"/>
    </row>
    <row r="14" ht="20" customHeight="1" spans="1:23">
      <c r="B14" s="42">
        <v>5</v>
      </c>
      <c r="C14" s="42">
        <v>31</v>
      </c>
      <c r="D14" s="42"/>
      <c r="E14" s="74" t="s">
        <v>746</v>
      </c>
      <c r="F14" s="75" t="s">
        <v>1772</v>
      </c>
      <c r="G14" s="56">
        <v>591</v>
      </c>
      <c r="H14" s="56"/>
      <c r="I14" s="56"/>
      <c r="J14" s="56"/>
      <c r="K14" s="56"/>
      <c r="L14" s="56"/>
      <c r="M14" s="56"/>
      <c r="N14" s="89">
        <f t="shared" si="0"/>
        <v>591</v>
      </c>
      <c r="O14" s="56"/>
      <c r="P14" s="58">
        <f t="shared" si="1"/>
        <v>12200</v>
      </c>
      <c r="Q14" s="56"/>
    </row>
    <row r="15" ht="20" customHeight="1" spans="1:23">
      <c r="B15" s="42">
        <v>5</v>
      </c>
      <c r="C15" s="42">
        <v>31</v>
      </c>
      <c r="D15" s="42"/>
      <c r="E15" s="74" t="s">
        <v>865</v>
      </c>
      <c r="F15" s="75" t="s">
        <v>1773</v>
      </c>
      <c r="G15" s="56">
        <v>1700</v>
      </c>
      <c r="H15" s="56">
        <v>150</v>
      </c>
      <c r="I15" s="56">
        <v>274</v>
      </c>
      <c r="J15" s="56"/>
      <c r="K15" s="56"/>
      <c r="L15" s="56"/>
      <c r="M15" s="56"/>
      <c r="N15" s="89">
        <f t="shared" si="0"/>
        <v>2124</v>
      </c>
      <c r="O15" s="56"/>
      <c r="P15" s="58">
        <f t="shared" si="1"/>
        <v>14324</v>
      </c>
      <c r="Q15" s="56"/>
    </row>
    <row r="16" ht="20" customHeight="1" spans="1:23">
      <c r="B16" s="42">
        <v>5</v>
      </c>
      <c r="C16" s="42">
        <v>31</v>
      </c>
      <c r="D16" s="42"/>
      <c r="E16" s="74" t="s">
        <v>865</v>
      </c>
      <c r="F16" s="75" t="s">
        <v>1774</v>
      </c>
      <c r="G16" s="56">
        <v>1700</v>
      </c>
      <c r="H16" s="56">
        <v>150</v>
      </c>
      <c r="I16" s="56">
        <v>26</v>
      </c>
      <c r="J16" s="56"/>
      <c r="K16" s="56"/>
      <c r="L16" s="56"/>
      <c r="M16" s="56"/>
      <c r="N16" s="89">
        <f t="shared" si="0"/>
        <v>1876</v>
      </c>
      <c r="O16" s="56"/>
      <c r="P16" s="58">
        <f t="shared" si="1"/>
        <v>16200</v>
      </c>
      <c r="Q16" s="56"/>
    </row>
    <row r="17" s="3" customFormat="1" ht="20" customHeight="1" spans="2:17">
      <c r="B17" s="68"/>
      <c r="C17" s="68"/>
      <c r="D17" s="74"/>
      <c r="E17" s="68"/>
      <c r="F17" s="70" t="s">
        <v>22</v>
      </c>
      <c r="G17" s="71">
        <f t="shared" ref="G17:O17" si="2">SUM(G6:G16)</f>
        <v>10864</v>
      </c>
      <c r="H17" s="71">
        <f t="shared" si="2"/>
        <v>600</v>
      </c>
      <c r="I17" s="71">
        <f t="shared" si="2"/>
        <v>656</v>
      </c>
      <c r="J17" s="71">
        <f t="shared" si="2"/>
        <v>0</v>
      </c>
      <c r="K17" s="71">
        <f t="shared" si="2"/>
        <v>4080</v>
      </c>
      <c r="L17" s="71">
        <f t="shared" si="2"/>
        <v>0</v>
      </c>
      <c r="M17" s="71">
        <f t="shared" si="2"/>
        <v>0</v>
      </c>
      <c r="N17" s="71">
        <f t="shared" si="2"/>
        <v>16200</v>
      </c>
      <c r="O17" s="71">
        <f t="shared" si="2"/>
        <v>0</v>
      </c>
      <c r="P17" s="71">
        <f>P5+N17-O17</f>
        <v>16200</v>
      </c>
      <c r="Q17" s="71"/>
    </row>
    <row r="18" ht="20" customHeight="1" spans="2:17">
      <c r="B18" s="42">
        <v>6</v>
      </c>
      <c r="C18" s="42">
        <v>8</v>
      </c>
      <c r="D18" s="42"/>
      <c r="E18" s="42"/>
      <c r="F18" s="75" t="s">
        <v>1775</v>
      </c>
      <c r="G18" s="56"/>
      <c r="H18" s="56"/>
      <c r="I18" s="56"/>
      <c r="J18" s="56"/>
      <c r="K18" s="56">
        <v>660</v>
      </c>
      <c r="L18" s="56"/>
      <c r="M18" s="56"/>
      <c r="N18" s="56">
        <f t="shared" ref="N18:N23" si="3">SUM(G18:L18)-M18</f>
        <v>660</v>
      </c>
      <c r="O18" s="56"/>
      <c r="P18" s="58">
        <f t="shared" ref="P18:P23" si="4">P17+N18-O18</f>
        <v>16860</v>
      </c>
      <c r="Q18" s="56"/>
    </row>
    <row r="19" ht="20" customHeight="1" spans="2:17">
      <c r="B19" s="42">
        <v>6</v>
      </c>
      <c r="C19" s="42">
        <v>13</v>
      </c>
      <c r="D19" s="74"/>
      <c r="E19" s="54" t="s">
        <v>566</v>
      </c>
      <c r="F19" s="75" t="s">
        <v>1776</v>
      </c>
      <c r="G19" s="56">
        <v>2400</v>
      </c>
      <c r="H19" s="56"/>
      <c r="I19" s="56">
        <v>112</v>
      </c>
      <c r="J19" s="56"/>
      <c r="K19" s="56"/>
      <c r="L19" s="56"/>
      <c r="M19" s="56"/>
      <c r="N19" s="56">
        <f t="shared" si="3"/>
        <v>2512</v>
      </c>
      <c r="O19" s="56"/>
      <c r="P19" s="58">
        <f t="shared" si="4"/>
        <v>19372</v>
      </c>
      <c r="Q19" s="56"/>
    </row>
    <row r="20" ht="20" customHeight="1" spans="2:17">
      <c r="B20" s="42">
        <v>6</v>
      </c>
      <c r="C20" s="42">
        <v>15</v>
      </c>
      <c r="D20" s="74"/>
      <c r="E20" s="42"/>
      <c r="F20" s="75" t="s">
        <v>1777</v>
      </c>
      <c r="G20" s="56"/>
      <c r="H20" s="56"/>
      <c r="I20" s="56"/>
      <c r="J20" s="56"/>
      <c r="K20" s="56">
        <v>640</v>
      </c>
      <c r="L20" s="56"/>
      <c r="M20" s="56"/>
      <c r="N20" s="56">
        <f t="shared" si="3"/>
        <v>640</v>
      </c>
      <c r="O20" s="56"/>
      <c r="P20" s="58">
        <f t="shared" si="4"/>
        <v>20012</v>
      </c>
      <c r="Q20" s="56"/>
    </row>
    <row r="21" ht="20" customHeight="1" spans="2:17">
      <c r="B21" s="42">
        <v>6</v>
      </c>
      <c r="C21" s="42">
        <v>22</v>
      </c>
      <c r="D21" s="74"/>
      <c r="E21" s="42"/>
      <c r="F21" s="75" t="s">
        <v>1778</v>
      </c>
      <c r="G21" s="56"/>
      <c r="H21" s="56"/>
      <c r="I21" s="56"/>
      <c r="J21" s="56"/>
      <c r="K21" s="56">
        <v>200</v>
      </c>
      <c r="L21" s="56"/>
      <c r="M21" s="56"/>
      <c r="N21" s="56">
        <f t="shared" si="3"/>
        <v>200</v>
      </c>
      <c r="O21" s="56"/>
      <c r="P21" s="58">
        <f t="shared" si="4"/>
        <v>20212</v>
      </c>
      <c r="Q21" s="56"/>
    </row>
    <row r="22" ht="20" customHeight="1" spans="2:17">
      <c r="B22" s="42">
        <v>6</v>
      </c>
      <c r="C22" s="42">
        <v>29</v>
      </c>
      <c r="D22" s="74"/>
      <c r="E22" s="54" t="s">
        <v>554</v>
      </c>
      <c r="F22" s="75" t="s">
        <v>1779</v>
      </c>
      <c r="G22" s="56"/>
      <c r="H22" s="56">
        <v>150</v>
      </c>
      <c r="I22" s="56">
        <v>192</v>
      </c>
      <c r="J22" s="56"/>
      <c r="K22" s="56"/>
      <c r="L22" s="56"/>
      <c r="M22" s="56"/>
      <c r="N22" s="56">
        <f t="shared" si="3"/>
        <v>342</v>
      </c>
      <c r="O22" s="56"/>
      <c r="P22" s="58">
        <f t="shared" si="4"/>
        <v>20554</v>
      </c>
      <c r="Q22" s="56"/>
    </row>
    <row r="23" ht="20" customHeight="1" spans="2:17">
      <c r="B23" s="42">
        <v>6</v>
      </c>
      <c r="C23" s="42">
        <v>29</v>
      </c>
      <c r="D23" s="74"/>
      <c r="E23" s="74" t="s">
        <v>1133</v>
      </c>
      <c r="F23" s="75" t="s">
        <v>1780</v>
      </c>
      <c r="G23" s="56">
        <v>2000</v>
      </c>
      <c r="H23" s="56"/>
      <c r="I23" s="56"/>
      <c r="J23" s="56"/>
      <c r="K23" s="56"/>
      <c r="L23" s="56"/>
      <c r="M23" s="56"/>
      <c r="N23" s="56">
        <f t="shared" si="3"/>
        <v>2000</v>
      </c>
      <c r="O23" s="56"/>
      <c r="P23" s="58">
        <f t="shared" si="4"/>
        <v>22554</v>
      </c>
      <c r="Q23" s="56"/>
    </row>
    <row r="24" s="3" customFormat="1" ht="20" customHeight="1" spans="2:17">
      <c r="B24" s="68"/>
      <c r="C24" s="68"/>
      <c r="D24" s="74"/>
      <c r="E24" s="68"/>
      <c r="F24" s="70" t="s">
        <v>22</v>
      </c>
      <c r="G24" s="71">
        <f t="shared" ref="G24:O24" si="5">SUM(G18:G23)</f>
        <v>4400</v>
      </c>
      <c r="H24" s="71">
        <f t="shared" si="5"/>
        <v>150</v>
      </c>
      <c r="I24" s="71">
        <f t="shared" si="5"/>
        <v>304</v>
      </c>
      <c r="J24" s="71">
        <f t="shared" si="5"/>
        <v>0</v>
      </c>
      <c r="K24" s="71">
        <f t="shared" si="5"/>
        <v>1500</v>
      </c>
      <c r="L24" s="71">
        <f t="shared" si="5"/>
        <v>0</v>
      </c>
      <c r="M24" s="71">
        <f t="shared" si="5"/>
        <v>0</v>
      </c>
      <c r="N24" s="71">
        <f t="shared" si="5"/>
        <v>6354</v>
      </c>
      <c r="O24" s="71">
        <f t="shared" si="5"/>
        <v>0</v>
      </c>
      <c r="P24" s="71">
        <f>P17+N24-O24</f>
        <v>22554</v>
      </c>
      <c r="Q24" s="71"/>
    </row>
    <row r="25" ht="20" customHeight="1" spans="2:17">
      <c r="B25" s="42">
        <v>7</v>
      </c>
      <c r="C25" s="42">
        <v>3</v>
      </c>
      <c r="D25" s="74"/>
      <c r="E25" s="74" t="s">
        <v>572</v>
      </c>
      <c r="F25" s="75" t="s">
        <v>1781</v>
      </c>
      <c r="G25" s="56">
        <v>572</v>
      </c>
      <c r="H25" s="56"/>
      <c r="I25" s="56">
        <v>428</v>
      </c>
      <c r="J25" s="56"/>
      <c r="K25" s="56"/>
      <c r="L25" s="56"/>
      <c r="M25" s="56"/>
      <c r="N25" s="56">
        <f t="shared" ref="N25:N30" si="6">SUM(G25:L25)-M25</f>
        <v>1000</v>
      </c>
      <c r="O25" s="56"/>
      <c r="P25" s="58">
        <f>P23+N25-O25</f>
        <v>23554</v>
      </c>
      <c r="Q25" s="56"/>
    </row>
    <row r="26" ht="20" customHeight="1" spans="2:17">
      <c r="B26" s="42">
        <v>7</v>
      </c>
      <c r="C26" s="42">
        <v>5</v>
      </c>
      <c r="D26" s="74"/>
      <c r="E26" s="54"/>
      <c r="F26" s="75" t="s">
        <v>1782</v>
      </c>
      <c r="G26" s="56"/>
      <c r="H26" s="56"/>
      <c r="I26" s="56"/>
      <c r="J26" s="56"/>
      <c r="K26" s="56">
        <v>345</v>
      </c>
      <c r="L26" s="56"/>
      <c r="M26" s="56"/>
      <c r="N26" s="56">
        <f t="shared" si="6"/>
        <v>345</v>
      </c>
      <c r="O26" s="56"/>
      <c r="P26" s="58">
        <f>P25+N26-O26</f>
        <v>23899</v>
      </c>
      <c r="Q26" s="56"/>
    </row>
    <row r="27" ht="20" customHeight="1" spans="2:17">
      <c r="B27" s="42">
        <v>7</v>
      </c>
      <c r="C27" s="42">
        <v>16</v>
      </c>
      <c r="D27" s="74"/>
      <c r="E27" s="42" t="s">
        <v>554</v>
      </c>
      <c r="F27" s="75" t="s">
        <v>1783</v>
      </c>
      <c r="G27" s="56"/>
      <c r="H27" s="56">
        <v>150</v>
      </c>
      <c r="I27" s="56">
        <v>107</v>
      </c>
      <c r="J27" s="56"/>
      <c r="K27" s="56"/>
      <c r="L27" s="56"/>
      <c r="M27" s="56"/>
      <c r="N27" s="56">
        <f t="shared" si="6"/>
        <v>257</v>
      </c>
      <c r="O27" s="56"/>
      <c r="P27" s="58">
        <f>P26+N27-O27</f>
        <v>24156</v>
      </c>
      <c r="Q27" s="56"/>
    </row>
    <row r="28" ht="20" customHeight="1" spans="2:17">
      <c r="B28" s="42">
        <v>7</v>
      </c>
      <c r="C28" s="42">
        <v>18</v>
      </c>
      <c r="D28" s="74"/>
      <c r="E28" s="74" t="s">
        <v>539</v>
      </c>
      <c r="F28" s="75" t="s">
        <v>1784</v>
      </c>
      <c r="G28" s="56"/>
      <c r="H28" s="56"/>
      <c r="J28" s="56">
        <v>6900</v>
      </c>
      <c r="K28" s="56"/>
      <c r="L28" s="56"/>
      <c r="M28" s="56"/>
      <c r="N28" s="56">
        <f t="shared" si="6"/>
        <v>6900</v>
      </c>
      <c r="O28" s="56"/>
      <c r="P28" s="58">
        <f>P27+N28-O28</f>
        <v>31056</v>
      </c>
      <c r="Q28" s="56"/>
    </row>
    <row r="29" ht="20" customHeight="1" spans="2:17">
      <c r="B29" s="42">
        <v>7</v>
      </c>
      <c r="C29" s="42">
        <v>21</v>
      </c>
      <c r="D29" s="74"/>
      <c r="E29" s="54"/>
      <c r="F29" s="75" t="s">
        <v>1462</v>
      </c>
      <c r="G29" s="56"/>
      <c r="H29" s="56"/>
      <c r="I29" s="56"/>
      <c r="J29" s="56"/>
      <c r="K29" s="56">
        <v>310</v>
      </c>
      <c r="L29" s="56"/>
      <c r="M29" s="56"/>
      <c r="N29" s="56">
        <f t="shared" si="6"/>
        <v>310</v>
      </c>
      <c r="O29" s="56"/>
      <c r="P29" s="58">
        <f>P28+N29-O29</f>
        <v>31366</v>
      </c>
      <c r="Q29" s="59"/>
    </row>
    <row r="30" ht="20" customHeight="1" spans="2:17">
      <c r="B30" s="42">
        <v>7</v>
      </c>
      <c r="C30" s="42">
        <v>27</v>
      </c>
      <c r="D30" s="74"/>
      <c r="E30" s="42"/>
      <c r="F30" s="75" t="s">
        <v>1477</v>
      </c>
      <c r="G30" s="56"/>
      <c r="H30" s="56"/>
      <c r="I30" s="56"/>
      <c r="J30" s="56"/>
      <c r="K30" s="89">
        <v>190</v>
      </c>
      <c r="L30" s="56"/>
      <c r="M30" s="56"/>
      <c r="N30" s="56">
        <f t="shared" si="6"/>
        <v>190</v>
      </c>
      <c r="O30" s="56"/>
      <c r="P30" s="58">
        <f>P29+N30-O30</f>
        <v>31556</v>
      </c>
      <c r="Q30" s="59"/>
    </row>
    <row r="31" s="3" customFormat="1" ht="20" customHeight="1" spans="2:17">
      <c r="B31" s="68"/>
      <c r="C31" s="68"/>
      <c r="D31" s="74"/>
      <c r="E31" s="68"/>
      <c r="F31" s="70" t="s">
        <v>22</v>
      </c>
      <c r="G31" s="71">
        <f t="shared" ref="G31:O31" si="7">SUM(G25:G30)</f>
        <v>572</v>
      </c>
      <c r="H31" s="71">
        <f t="shared" si="7"/>
        <v>150</v>
      </c>
      <c r="I31" s="71">
        <f t="shared" si="7"/>
        <v>535</v>
      </c>
      <c r="J31" s="71">
        <f t="shared" si="7"/>
        <v>6900</v>
      </c>
      <c r="K31" s="71">
        <f t="shared" si="7"/>
        <v>845</v>
      </c>
      <c r="L31" s="71">
        <f t="shared" si="7"/>
        <v>0</v>
      </c>
      <c r="M31" s="71">
        <f t="shared" si="7"/>
        <v>0</v>
      </c>
      <c r="N31" s="71">
        <f t="shared" si="7"/>
        <v>9002</v>
      </c>
      <c r="O31" s="71">
        <f t="shared" si="7"/>
        <v>0</v>
      </c>
      <c r="P31" s="71">
        <f>P24+N31-O31</f>
        <v>31556</v>
      </c>
      <c r="Q31" s="71"/>
    </row>
    <row r="32" ht="20" customHeight="1" spans="2:17">
      <c r="B32" s="42">
        <v>8</v>
      </c>
      <c r="C32" s="42">
        <v>3</v>
      </c>
      <c r="D32" s="74"/>
      <c r="E32" s="42"/>
      <c r="F32" s="95" t="s">
        <v>1785</v>
      </c>
      <c r="G32" s="56"/>
      <c r="H32" s="56"/>
      <c r="I32" s="56"/>
      <c r="J32" s="56"/>
      <c r="K32" s="63">
        <v>170</v>
      </c>
      <c r="L32" s="56"/>
      <c r="M32" s="56"/>
      <c r="N32" s="56">
        <f t="shared" ref="N32:N41" si="8">SUM(G32:L32)-M32</f>
        <v>170</v>
      </c>
      <c r="O32" s="56"/>
      <c r="P32" s="58">
        <f>P31+N32-O32</f>
        <v>31726</v>
      </c>
      <c r="Q32" s="59"/>
    </row>
    <row r="33" ht="20" customHeight="1" spans="2:17">
      <c r="B33" s="42">
        <v>8</v>
      </c>
      <c r="C33" s="42">
        <v>10</v>
      </c>
      <c r="D33" s="74"/>
      <c r="E33" s="54"/>
      <c r="F33" s="95" t="s">
        <v>1786</v>
      </c>
      <c r="G33" s="56"/>
      <c r="H33" s="56"/>
      <c r="I33" s="56"/>
      <c r="J33" s="56"/>
      <c r="K33" s="56">
        <v>220</v>
      </c>
      <c r="L33" s="56"/>
      <c r="M33" s="56"/>
      <c r="N33" s="56">
        <f t="shared" si="8"/>
        <v>220</v>
      </c>
      <c r="O33" s="56"/>
      <c r="P33" s="58">
        <f t="shared" ref="P33:P41" si="9">P32+N33-O33</f>
        <v>31946</v>
      </c>
      <c r="Q33" s="59"/>
    </row>
    <row r="34" ht="20" customHeight="1" spans="2:17">
      <c r="B34" s="42">
        <v>8</v>
      </c>
      <c r="C34" s="42">
        <v>10</v>
      </c>
      <c r="D34" s="74"/>
      <c r="E34" s="74" t="s">
        <v>1153</v>
      </c>
      <c r="F34" s="45" t="s">
        <v>1787</v>
      </c>
      <c r="G34" s="56">
        <v>1800</v>
      </c>
      <c r="H34" s="56"/>
      <c r="I34" s="56">
        <v>52</v>
      </c>
      <c r="J34" s="56"/>
      <c r="K34" s="56"/>
      <c r="L34" s="56"/>
      <c r="M34" s="56"/>
      <c r="N34" s="56">
        <f t="shared" si="8"/>
        <v>1852</v>
      </c>
      <c r="O34" s="56"/>
      <c r="P34" s="58">
        <f t="shared" si="9"/>
        <v>33798</v>
      </c>
      <c r="Q34" s="59"/>
    </row>
    <row r="35" ht="20" customHeight="1" spans="2:17">
      <c r="B35" s="42">
        <v>8</v>
      </c>
      <c r="C35" s="42">
        <v>10</v>
      </c>
      <c r="D35" s="74"/>
      <c r="E35" s="74" t="s">
        <v>535</v>
      </c>
      <c r="F35" s="45" t="s">
        <v>1788</v>
      </c>
      <c r="G35" s="56">
        <v>1400</v>
      </c>
      <c r="H35" s="56">
        <v>150</v>
      </c>
      <c r="I35" s="56">
        <v>121</v>
      </c>
      <c r="J35" s="56"/>
      <c r="K35" s="56"/>
      <c r="L35" s="56"/>
      <c r="M35" s="56"/>
      <c r="N35" s="56">
        <f t="shared" si="8"/>
        <v>1671</v>
      </c>
      <c r="O35" s="56"/>
      <c r="P35" s="58">
        <f t="shared" si="9"/>
        <v>35469</v>
      </c>
      <c r="Q35" s="59"/>
    </row>
    <row r="36" ht="20" customHeight="1" spans="2:17">
      <c r="B36" s="42">
        <v>8</v>
      </c>
      <c r="C36" s="42">
        <v>10</v>
      </c>
      <c r="D36" s="74"/>
      <c r="E36" s="54" t="s">
        <v>568</v>
      </c>
      <c r="F36" s="45" t="s">
        <v>1789</v>
      </c>
      <c r="G36" s="56">
        <v>1000</v>
      </c>
      <c r="H36" s="56"/>
      <c r="I36" s="56"/>
      <c r="J36" s="56"/>
      <c r="K36" s="56"/>
      <c r="L36" s="56"/>
      <c r="M36" s="56"/>
      <c r="N36" s="56">
        <f t="shared" si="8"/>
        <v>1000</v>
      </c>
      <c r="O36" s="56"/>
      <c r="P36" s="58">
        <f t="shared" si="9"/>
        <v>36469</v>
      </c>
      <c r="Q36" s="59"/>
    </row>
    <row r="37" ht="20" customHeight="1" spans="2:17">
      <c r="B37" s="42">
        <v>8</v>
      </c>
      <c r="C37" s="42">
        <v>10</v>
      </c>
      <c r="D37" s="74"/>
      <c r="E37" s="74" t="s">
        <v>881</v>
      </c>
      <c r="F37" s="45" t="s">
        <v>1790</v>
      </c>
      <c r="G37" s="56">
        <v>4050</v>
      </c>
      <c r="H37" s="56"/>
      <c r="I37" s="56"/>
      <c r="J37" s="56"/>
      <c r="K37" s="56"/>
      <c r="L37" s="56"/>
      <c r="M37" s="56"/>
      <c r="N37" s="56">
        <f t="shared" si="8"/>
        <v>4050</v>
      </c>
      <c r="O37" s="56"/>
      <c r="P37" s="58">
        <f t="shared" si="9"/>
        <v>40519</v>
      </c>
      <c r="Q37" s="59"/>
    </row>
    <row r="38" ht="20" customHeight="1" spans="2:17">
      <c r="B38" s="42">
        <v>8</v>
      </c>
      <c r="C38" s="42">
        <v>15</v>
      </c>
      <c r="D38" s="74"/>
      <c r="E38" s="74"/>
      <c r="F38" s="45" t="s">
        <v>1791</v>
      </c>
      <c r="G38" s="56"/>
      <c r="H38" s="56"/>
      <c r="I38" s="56"/>
      <c r="J38" s="56"/>
      <c r="K38" s="89">
        <v>310</v>
      </c>
      <c r="L38" s="56"/>
      <c r="M38" s="56"/>
      <c r="N38" s="56">
        <f t="shared" si="8"/>
        <v>310</v>
      </c>
      <c r="O38" s="56"/>
      <c r="P38" s="58">
        <f t="shared" si="9"/>
        <v>40829</v>
      </c>
      <c r="Q38" s="59"/>
    </row>
    <row r="39" ht="20" customHeight="1" spans="2:17">
      <c r="B39" s="42">
        <v>8</v>
      </c>
      <c r="C39" s="42">
        <v>18</v>
      </c>
      <c r="D39" s="74"/>
      <c r="E39" s="54" t="s">
        <v>554</v>
      </c>
      <c r="F39" s="45" t="s">
        <v>1792</v>
      </c>
      <c r="G39" s="56"/>
      <c r="H39" s="56">
        <v>150</v>
      </c>
      <c r="I39" s="56">
        <v>354</v>
      </c>
      <c r="J39" s="56"/>
      <c r="K39" s="56"/>
      <c r="L39" s="56"/>
      <c r="M39" s="56"/>
      <c r="N39" s="56">
        <f t="shared" si="8"/>
        <v>504</v>
      </c>
      <c r="O39" s="56"/>
      <c r="P39" s="58">
        <f t="shared" si="9"/>
        <v>41333</v>
      </c>
      <c r="Q39" s="59"/>
    </row>
    <row r="40" ht="20" customHeight="1" spans="2:17">
      <c r="B40" s="42">
        <v>8</v>
      </c>
      <c r="C40" s="42">
        <v>22</v>
      </c>
      <c r="D40" s="74"/>
      <c r="E40" s="42"/>
      <c r="F40" s="45" t="s">
        <v>1793</v>
      </c>
      <c r="G40" s="56"/>
      <c r="H40" s="56"/>
      <c r="I40" s="56"/>
      <c r="J40" s="56"/>
      <c r="K40" s="63">
        <v>120</v>
      </c>
      <c r="L40" s="56"/>
      <c r="M40" s="56"/>
      <c r="N40" s="56">
        <f t="shared" si="8"/>
        <v>120</v>
      </c>
      <c r="O40" s="56"/>
      <c r="P40" s="58">
        <f t="shared" si="9"/>
        <v>41453</v>
      </c>
      <c r="Q40" s="56"/>
    </row>
    <row r="41" ht="20" customHeight="1" spans="2:17">
      <c r="B41" s="42">
        <v>8</v>
      </c>
      <c r="C41" s="42">
        <v>31</v>
      </c>
      <c r="D41" s="74"/>
      <c r="E41" s="42"/>
      <c r="F41" s="45" t="s">
        <v>1794</v>
      </c>
      <c r="G41" s="56"/>
      <c r="H41" s="56"/>
      <c r="I41" s="56"/>
      <c r="J41" s="56"/>
      <c r="K41" s="56">
        <v>110</v>
      </c>
      <c r="L41" s="56"/>
      <c r="M41" s="56"/>
      <c r="N41" s="56">
        <f t="shared" si="8"/>
        <v>110</v>
      </c>
      <c r="O41" s="56"/>
      <c r="P41" s="58">
        <f t="shared" si="9"/>
        <v>41563</v>
      </c>
      <c r="Q41" s="56"/>
    </row>
    <row r="42" s="3" customFormat="1" ht="20" customHeight="1" spans="2:17">
      <c r="B42" s="68"/>
      <c r="C42" s="68"/>
      <c r="D42" s="74"/>
      <c r="E42" s="68"/>
      <c r="F42" s="70" t="s">
        <v>22</v>
      </c>
      <c r="G42" s="71">
        <f>SUM(G32:G41)</f>
        <v>8250</v>
      </c>
      <c r="H42" s="71">
        <f t="shared" ref="H42:O42" si="10">SUM(H32:H41)</f>
        <v>300</v>
      </c>
      <c r="I42" s="71">
        <f t="shared" si="10"/>
        <v>527</v>
      </c>
      <c r="J42" s="71">
        <f t="shared" si="10"/>
        <v>0</v>
      </c>
      <c r="K42" s="71">
        <f t="shared" si="10"/>
        <v>930</v>
      </c>
      <c r="L42" s="71">
        <f t="shared" si="10"/>
        <v>0</v>
      </c>
      <c r="M42" s="71">
        <f t="shared" si="10"/>
        <v>0</v>
      </c>
      <c r="N42" s="71">
        <f t="shared" si="10"/>
        <v>10007</v>
      </c>
      <c r="O42" s="71">
        <f t="shared" si="10"/>
        <v>0</v>
      </c>
      <c r="P42" s="71">
        <f>P31+N42-O42</f>
        <v>41563</v>
      </c>
      <c r="Q42" s="71"/>
    </row>
    <row r="43" ht="20" customHeight="1" spans="2:17">
      <c r="B43" s="42">
        <v>9</v>
      </c>
      <c r="C43" s="42">
        <v>7</v>
      </c>
      <c r="D43" s="74"/>
      <c r="E43" s="54"/>
      <c r="F43" s="45" t="s">
        <v>1795</v>
      </c>
      <c r="G43" s="56"/>
      <c r="H43" s="56"/>
      <c r="I43" s="56"/>
      <c r="J43" s="56"/>
      <c r="K43" s="56">
        <v>600</v>
      </c>
      <c r="L43" s="56"/>
      <c r="M43" s="56"/>
      <c r="N43" s="56">
        <f t="shared" ref="N43:N51" si="11">SUM(G43:L43)-M43</f>
        <v>600</v>
      </c>
      <c r="O43" s="56"/>
      <c r="P43" s="58">
        <f>P41+N43-O43</f>
        <v>42163</v>
      </c>
      <c r="Q43" s="56"/>
    </row>
    <row r="44" ht="20" customHeight="1" spans="2:17">
      <c r="B44" s="42">
        <v>9</v>
      </c>
      <c r="C44" s="42">
        <v>10</v>
      </c>
      <c r="D44" s="74"/>
      <c r="E44" s="74" t="s">
        <v>554</v>
      </c>
      <c r="F44" s="45" t="s">
        <v>1796</v>
      </c>
      <c r="G44" s="56">
        <v>18000</v>
      </c>
      <c r="H44" s="56"/>
      <c r="I44" s="56"/>
      <c r="J44" s="56"/>
      <c r="K44" s="56"/>
      <c r="L44" s="56"/>
      <c r="M44" s="56"/>
      <c r="N44" s="56">
        <f t="shared" si="11"/>
        <v>18000</v>
      </c>
      <c r="O44" s="56"/>
      <c r="P44" s="58">
        <f t="shared" ref="P44:P51" si="12">P43+N44-O44</f>
        <v>60163</v>
      </c>
      <c r="Q44" s="56"/>
    </row>
    <row r="45" ht="20" customHeight="1" spans="2:17">
      <c r="B45" s="42">
        <v>9</v>
      </c>
      <c r="C45" s="42">
        <v>10</v>
      </c>
      <c r="D45" s="74"/>
      <c r="E45" s="74" t="s">
        <v>518</v>
      </c>
      <c r="F45" s="45" t="s">
        <v>1797</v>
      </c>
      <c r="G45" s="56">
        <v>9000</v>
      </c>
      <c r="H45" s="56"/>
      <c r="I45" s="56"/>
      <c r="J45" s="56"/>
      <c r="K45" s="56"/>
      <c r="L45" s="56"/>
      <c r="M45" s="56"/>
      <c r="N45" s="56">
        <f t="shared" si="11"/>
        <v>9000</v>
      </c>
      <c r="O45" s="56"/>
      <c r="P45" s="58">
        <f t="shared" si="12"/>
        <v>69163</v>
      </c>
      <c r="Q45" s="56"/>
    </row>
    <row r="46" ht="20" customHeight="1" spans="2:17">
      <c r="B46" s="42">
        <v>9</v>
      </c>
      <c r="C46" s="42">
        <v>10</v>
      </c>
      <c r="D46" s="74"/>
      <c r="E46" s="54" t="s">
        <v>568</v>
      </c>
      <c r="F46" s="45" t="s">
        <v>1798</v>
      </c>
      <c r="G46" s="56">
        <v>1000</v>
      </c>
      <c r="H46" s="56"/>
      <c r="I46" s="56"/>
      <c r="J46" s="56"/>
      <c r="K46" s="56"/>
      <c r="L46" s="56"/>
      <c r="M46" s="56"/>
      <c r="N46" s="56">
        <f t="shared" si="11"/>
        <v>1000</v>
      </c>
      <c r="O46" s="56"/>
      <c r="P46" s="58">
        <f t="shared" si="12"/>
        <v>70163</v>
      </c>
      <c r="Q46" s="56"/>
    </row>
    <row r="47" ht="20" customHeight="1" spans="2:17">
      <c r="B47" s="42">
        <v>9</v>
      </c>
      <c r="C47" s="42">
        <v>10</v>
      </c>
      <c r="D47" s="74"/>
      <c r="E47" s="74" t="s">
        <v>535</v>
      </c>
      <c r="F47" s="45" t="s">
        <v>1799</v>
      </c>
      <c r="G47" s="56">
        <v>1400</v>
      </c>
      <c r="H47" s="56">
        <v>150</v>
      </c>
      <c r="I47" s="56">
        <v>125</v>
      </c>
      <c r="J47" s="56"/>
      <c r="K47" s="56"/>
      <c r="L47" s="56"/>
      <c r="M47" s="56"/>
      <c r="N47" s="56">
        <f t="shared" si="11"/>
        <v>1675</v>
      </c>
      <c r="O47" s="56"/>
      <c r="P47" s="58">
        <f t="shared" si="12"/>
        <v>71838</v>
      </c>
      <c r="Q47" s="56"/>
    </row>
    <row r="48" ht="20" customHeight="1" spans="2:17">
      <c r="B48" s="42">
        <v>9</v>
      </c>
      <c r="C48" s="42">
        <v>14</v>
      </c>
      <c r="D48" s="74"/>
      <c r="E48" s="74" t="s">
        <v>554</v>
      </c>
      <c r="F48" s="45" t="s">
        <v>1800</v>
      </c>
      <c r="G48" s="56"/>
      <c r="H48" s="56">
        <v>150</v>
      </c>
      <c r="I48" s="56">
        <v>455</v>
      </c>
      <c r="J48" s="56"/>
      <c r="K48" s="56"/>
      <c r="L48" s="56"/>
      <c r="M48" s="56"/>
      <c r="N48" s="56">
        <f t="shared" si="11"/>
        <v>605</v>
      </c>
      <c r="O48" s="56"/>
      <c r="P48" s="58">
        <f t="shared" si="12"/>
        <v>72443</v>
      </c>
      <c r="Q48" s="56"/>
    </row>
    <row r="49" ht="20" customHeight="1" spans="2:17">
      <c r="B49" s="42">
        <v>9</v>
      </c>
      <c r="C49" s="42">
        <v>14</v>
      </c>
      <c r="D49" s="74"/>
      <c r="E49" s="54"/>
      <c r="F49" s="45" t="s">
        <v>1801</v>
      </c>
      <c r="G49" s="56"/>
      <c r="H49" s="56"/>
      <c r="I49" s="56"/>
      <c r="J49" s="56"/>
      <c r="K49" s="56">
        <v>60</v>
      </c>
      <c r="L49" s="56"/>
      <c r="M49" s="56"/>
      <c r="N49" s="56">
        <f t="shared" si="11"/>
        <v>60</v>
      </c>
      <c r="O49" s="56"/>
      <c r="P49" s="58">
        <f t="shared" si="12"/>
        <v>72503</v>
      </c>
      <c r="Q49" s="56"/>
    </row>
    <row r="50" ht="20" customHeight="1" spans="2:17">
      <c r="B50" s="42">
        <v>9</v>
      </c>
      <c r="C50" s="42">
        <v>21</v>
      </c>
      <c r="D50" s="74"/>
      <c r="E50" s="42"/>
      <c r="F50" s="45" t="s">
        <v>1802</v>
      </c>
      <c r="G50" s="56"/>
      <c r="H50" s="56"/>
      <c r="I50" s="56"/>
      <c r="J50" s="56"/>
      <c r="K50" s="56">
        <v>380</v>
      </c>
      <c r="L50" s="56"/>
      <c r="M50" s="56"/>
      <c r="N50" s="56">
        <f t="shared" si="11"/>
        <v>380</v>
      </c>
      <c r="O50" s="56"/>
      <c r="P50" s="58">
        <f t="shared" si="12"/>
        <v>72883</v>
      </c>
      <c r="Q50" s="56"/>
    </row>
    <row r="51" ht="20" customHeight="1" spans="2:17">
      <c r="B51" s="42">
        <v>9</v>
      </c>
      <c r="C51" s="42"/>
      <c r="D51" s="74"/>
      <c r="E51" s="42"/>
      <c r="F51" s="45" t="s">
        <v>1803</v>
      </c>
      <c r="G51" s="56"/>
      <c r="H51" s="56"/>
      <c r="I51" s="56"/>
      <c r="J51" s="56"/>
      <c r="K51" s="56">
        <v>280</v>
      </c>
      <c r="L51" s="56"/>
      <c r="M51" s="56"/>
      <c r="N51" s="56">
        <f t="shared" si="11"/>
        <v>280</v>
      </c>
      <c r="O51" s="56"/>
      <c r="P51" s="58">
        <f t="shared" si="12"/>
        <v>73163</v>
      </c>
      <c r="Q51" s="56"/>
    </row>
    <row r="52" s="3" customFormat="1" ht="20" customHeight="1" spans="2:17">
      <c r="B52" s="68"/>
      <c r="C52" s="68"/>
      <c r="D52" s="74"/>
      <c r="E52" s="68"/>
      <c r="F52" s="70" t="s">
        <v>22</v>
      </c>
      <c r="G52" s="71">
        <f t="shared" ref="G52:O52" si="13">SUM(G42:G51)</f>
        <v>37650</v>
      </c>
      <c r="H52" s="71">
        <f t="shared" si="13"/>
        <v>600</v>
      </c>
      <c r="I52" s="71">
        <f t="shared" si="13"/>
        <v>1107</v>
      </c>
      <c r="J52" s="71">
        <f t="shared" si="13"/>
        <v>0</v>
      </c>
      <c r="K52" s="71">
        <f t="shared" si="13"/>
        <v>2250</v>
      </c>
      <c r="L52" s="71">
        <f t="shared" si="13"/>
        <v>0</v>
      </c>
      <c r="M52" s="71">
        <f t="shared" si="13"/>
        <v>0</v>
      </c>
      <c r="N52" s="71">
        <f t="shared" si="13"/>
        <v>41607</v>
      </c>
      <c r="O52" s="71">
        <f t="shared" si="13"/>
        <v>0</v>
      </c>
      <c r="P52" s="71">
        <f>P41+N52-O52</f>
        <v>83170</v>
      </c>
      <c r="Q52" s="71"/>
    </row>
    <row r="53" ht="20" customHeight="1" spans="2:17">
      <c r="B53" s="42">
        <v>10</v>
      </c>
      <c r="C53" s="42">
        <v>8</v>
      </c>
      <c r="D53" s="74"/>
      <c r="E53" s="54"/>
      <c r="F53" s="45" t="s">
        <v>1804</v>
      </c>
      <c r="G53" s="56"/>
      <c r="H53" s="56"/>
      <c r="I53" s="56"/>
      <c r="J53" s="56"/>
      <c r="K53" s="134">
        <v>230</v>
      </c>
      <c r="L53" s="56"/>
      <c r="M53" s="56"/>
      <c r="N53" s="56">
        <f t="shared" ref="N53:N70" si="14">SUM(G53:L53)-M53</f>
        <v>230</v>
      </c>
      <c r="O53" s="56"/>
      <c r="P53" s="58">
        <f>P51+N53-O53</f>
        <v>73393</v>
      </c>
      <c r="Q53" s="56"/>
    </row>
    <row r="54" ht="20" customHeight="1" spans="2:17">
      <c r="B54" s="42">
        <v>10</v>
      </c>
      <c r="C54" s="42"/>
      <c r="D54" s="74"/>
      <c r="E54" s="42"/>
      <c r="F54" s="45"/>
      <c r="G54" s="56"/>
      <c r="H54" s="56"/>
      <c r="I54" s="56"/>
      <c r="J54" s="56"/>
      <c r="K54" s="56"/>
      <c r="L54" s="56"/>
      <c r="M54" s="56"/>
      <c r="N54" s="56">
        <f t="shared" si="14"/>
        <v>0</v>
      </c>
      <c r="O54" s="56"/>
      <c r="P54" s="58">
        <f t="shared" ref="P53:P70" si="15">P53+N54-O54</f>
        <v>73393</v>
      </c>
      <c r="Q54" s="56"/>
    </row>
    <row r="55" ht="20" customHeight="1" spans="2:17">
      <c r="B55" s="42">
        <v>10</v>
      </c>
      <c r="C55" s="42"/>
      <c r="D55" s="74"/>
      <c r="E55" s="42"/>
      <c r="F55" s="45"/>
      <c r="G55" s="56"/>
      <c r="H55" s="56"/>
      <c r="I55" s="56"/>
      <c r="J55" s="56"/>
      <c r="K55" s="56"/>
      <c r="L55" s="56"/>
      <c r="M55" s="56"/>
      <c r="N55" s="56">
        <f t="shared" si="14"/>
        <v>0</v>
      </c>
      <c r="O55" s="56"/>
      <c r="P55" s="58">
        <f t="shared" si="15"/>
        <v>73393</v>
      </c>
      <c r="Q55" s="56"/>
    </row>
    <row r="56" ht="20" customHeight="1" spans="2:17">
      <c r="B56" s="42">
        <v>10</v>
      </c>
      <c r="C56" s="42"/>
      <c r="D56" s="74"/>
      <c r="E56" s="54"/>
      <c r="F56" s="45"/>
      <c r="G56" s="56"/>
      <c r="H56" s="56"/>
      <c r="I56" s="56"/>
      <c r="J56" s="56"/>
      <c r="K56" s="56"/>
      <c r="L56" s="56"/>
      <c r="M56" s="56"/>
      <c r="N56" s="56">
        <f t="shared" si="14"/>
        <v>0</v>
      </c>
      <c r="O56" s="56"/>
      <c r="P56" s="58">
        <f t="shared" si="15"/>
        <v>73393</v>
      </c>
      <c r="Q56" s="56"/>
    </row>
    <row r="57" ht="20" customHeight="1" spans="2:17">
      <c r="B57" s="42">
        <v>10</v>
      </c>
      <c r="C57" s="42"/>
      <c r="D57" s="74"/>
      <c r="E57" s="42"/>
      <c r="F57" s="45"/>
      <c r="G57" s="56"/>
      <c r="H57" s="56"/>
      <c r="I57" s="56"/>
      <c r="J57" s="56"/>
      <c r="K57" s="56"/>
      <c r="L57" s="56"/>
      <c r="M57" s="56"/>
      <c r="N57" s="56">
        <f t="shared" si="14"/>
        <v>0</v>
      </c>
      <c r="O57" s="56"/>
      <c r="P57" s="58">
        <f t="shared" si="15"/>
        <v>73393</v>
      </c>
      <c r="Q57" s="56"/>
    </row>
    <row r="58" ht="20" customHeight="1" spans="2:17">
      <c r="B58" s="42">
        <v>10</v>
      </c>
      <c r="C58" s="42"/>
      <c r="D58" s="74"/>
      <c r="E58" s="42"/>
      <c r="F58" s="45"/>
      <c r="G58" s="56"/>
      <c r="H58" s="56"/>
      <c r="I58" s="56"/>
      <c r="J58" s="56"/>
      <c r="K58" s="56"/>
      <c r="L58" s="56"/>
      <c r="M58" s="56"/>
      <c r="N58" s="56">
        <f t="shared" si="14"/>
        <v>0</v>
      </c>
      <c r="O58" s="56"/>
      <c r="P58" s="58">
        <f t="shared" si="15"/>
        <v>73393</v>
      </c>
      <c r="Q58" s="56"/>
    </row>
    <row r="59" ht="20" customHeight="1" spans="2:17">
      <c r="B59" s="42"/>
      <c r="C59" s="42"/>
      <c r="D59" s="74"/>
      <c r="E59" s="54"/>
      <c r="F59" s="45"/>
      <c r="G59" s="56"/>
      <c r="H59" s="56"/>
      <c r="I59" s="56"/>
      <c r="J59" s="56"/>
      <c r="K59" s="56"/>
      <c r="L59" s="56"/>
      <c r="M59" s="56"/>
      <c r="N59" s="56">
        <f t="shared" si="14"/>
        <v>0</v>
      </c>
      <c r="O59" s="56"/>
      <c r="P59" s="58">
        <f t="shared" si="15"/>
        <v>73393</v>
      </c>
      <c r="Q59" s="56"/>
    </row>
    <row r="60" ht="20" customHeight="1" spans="2:17">
      <c r="B60" s="42"/>
      <c r="C60" s="42"/>
      <c r="D60" s="74"/>
      <c r="E60" s="42"/>
      <c r="F60" s="45"/>
      <c r="G60" s="56"/>
      <c r="H60" s="56"/>
      <c r="I60" s="56"/>
      <c r="J60" s="56"/>
      <c r="K60" s="56"/>
      <c r="L60" s="56"/>
      <c r="M60" s="56"/>
      <c r="N60" s="56">
        <f t="shared" si="14"/>
        <v>0</v>
      </c>
      <c r="O60" s="56"/>
      <c r="P60" s="58">
        <f t="shared" si="15"/>
        <v>73393</v>
      </c>
      <c r="Q60" s="56"/>
    </row>
    <row r="61" ht="20" customHeight="1" spans="2:17">
      <c r="B61" s="42"/>
      <c r="C61" s="42"/>
      <c r="D61" s="74"/>
      <c r="E61" s="42"/>
      <c r="F61" s="45"/>
      <c r="G61" s="56"/>
      <c r="H61" s="56"/>
      <c r="I61" s="56"/>
      <c r="J61" s="56"/>
      <c r="K61" s="56"/>
      <c r="L61" s="56"/>
      <c r="M61" s="56"/>
      <c r="N61" s="56">
        <f t="shared" si="14"/>
        <v>0</v>
      </c>
      <c r="O61" s="56"/>
      <c r="P61" s="58">
        <f t="shared" si="15"/>
        <v>73393</v>
      </c>
      <c r="Q61" s="56"/>
    </row>
    <row r="62" ht="20" customHeight="1" spans="2:17">
      <c r="B62" s="42"/>
      <c r="C62" s="42"/>
      <c r="D62" s="74"/>
      <c r="E62" s="54"/>
      <c r="F62" s="45"/>
      <c r="G62" s="56"/>
      <c r="H62" s="56"/>
      <c r="I62" s="56"/>
      <c r="J62" s="56"/>
      <c r="K62" s="56"/>
      <c r="L62" s="56"/>
      <c r="M62" s="56"/>
      <c r="N62" s="56">
        <f t="shared" si="14"/>
        <v>0</v>
      </c>
      <c r="O62" s="56"/>
      <c r="P62" s="58">
        <f t="shared" si="15"/>
        <v>73393</v>
      </c>
      <c r="Q62" s="56"/>
    </row>
    <row r="63" ht="20" customHeight="1" spans="2:17">
      <c r="B63" s="42"/>
      <c r="C63" s="42"/>
      <c r="D63" s="74"/>
      <c r="E63" s="42"/>
      <c r="F63" s="45"/>
      <c r="G63" s="56"/>
      <c r="H63" s="56"/>
      <c r="I63" s="56"/>
      <c r="J63" s="56"/>
      <c r="K63" s="56"/>
      <c r="L63" s="56"/>
      <c r="M63" s="56"/>
      <c r="N63" s="56">
        <f t="shared" si="14"/>
        <v>0</v>
      </c>
      <c r="O63" s="56"/>
      <c r="P63" s="58">
        <f t="shared" si="15"/>
        <v>73393</v>
      </c>
      <c r="Q63" s="56"/>
    </row>
    <row r="64" ht="20" customHeight="1" spans="2:17">
      <c r="B64" s="42"/>
      <c r="C64" s="42"/>
      <c r="D64" s="74"/>
      <c r="E64" s="42"/>
      <c r="F64" s="45"/>
      <c r="G64" s="56"/>
      <c r="H64" s="56"/>
      <c r="I64" s="56"/>
      <c r="J64" s="56"/>
      <c r="K64" s="56"/>
      <c r="L64" s="56"/>
      <c r="M64" s="56"/>
      <c r="N64" s="56">
        <f t="shared" si="14"/>
        <v>0</v>
      </c>
      <c r="O64" s="56"/>
      <c r="P64" s="58">
        <f t="shared" si="15"/>
        <v>73393</v>
      </c>
      <c r="Q64" s="56"/>
    </row>
    <row r="65" ht="20" customHeight="1" spans="2:17">
      <c r="B65" s="42"/>
      <c r="C65" s="42"/>
      <c r="D65" s="74"/>
      <c r="E65" s="54"/>
      <c r="F65" s="45"/>
      <c r="G65" s="56"/>
      <c r="H65" s="56"/>
      <c r="I65" s="56"/>
      <c r="J65" s="56"/>
      <c r="K65" s="56"/>
      <c r="L65" s="56"/>
      <c r="M65" s="56"/>
      <c r="N65" s="56">
        <f t="shared" si="14"/>
        <v>0</v>
      </c>
      <c r="O65" s="56"/>
      <c r="P65" s="58">
        <f t="shared" si="15"/>
        <v>73393</v>
      </c>
      <c r="Q65" s="56"/>
    </row>
    <row r="66" ht="20" customHeight="1" spans="2:17">
      <c r="B66" s="42"/>
      <c r="C66" s="42"/>
      <c r="D66" s="74"/>
      <c r="E66" s="42"/>
      <c r="F66" s="45"/>
      <c r="G66" s="56"/>
      <c r="H66" s="56"/>
      <c r="I66" s="56"/>
      <c r="J66" s="56"/>
      <c r="K66" s="56"/>
      <c r="L66" s="56"/>
      <c r="M66" s="56"/>
      <c r="N66" s="56">
        <f t="shared" si="14"/>
        <v>0</v>
      </c>
      <c r="O66" s="56"/>
      <c r="P66" s="58">
        <f t="shared" si="15"/>
        <v>73393</v>
      </c>
      <c r="Q66" s="56"/>
    </row>
    <row r="67" ht="20" customHeight="1" spans="2:17">
      <c r="B67" s="42"/>
      <c r="C67" s="42"/>
      <c r="D67" s="74"/>
      <c r="E67" s="42"/>
      <c r="F67" s="45"/>
      <c r="G67" s="56"/>
      <c r="H67" s="56"/>
      <c r="I67" s="56"/>
      <c r="J67" s="56"/>
      <c r="K67" s="56"/>
      <c r="L67" s="56"/>
      <c r="M67" s="56"/>
      <c r="N67" s="56">
        <f t="shared" si="14"/>
        <v>0</v>
      </c>
      <c r="O67" s="56"/>
      <c r="P67" s="58">
        <f t="shared" si="15"/>
        <v>73393</v>
      </c>
      <c r="Q67" s="56"/>
    </row>
    <row r="68" ht="20" customHeight="1" spans="2:17">
      <c r="B68" s="42"/>
      <c r="C68" s="42"/>
      <c r="D68" s="74"/>
      <c r="E68" s="54"/>
      <c r="F68" s="45"/>
      <c r="G68" s="56"/>
      <c r="H68" s="56"/>
      <c r="I68" s="56"/>
      <c r="J68" s="56"/>
      <c r="K68" s="56"/>
      <c r="L68" s="56"/>
      <c r="M68" s="56"/>
      <c r="N68" s="56">
        <f t="shared" si="14"/>
        <v>0</v>
      </c>
      <c r="O68" s="56"/>
      <c r="P68" s="58">
        <f t="shared" si="15"/>
        <v>73393</v>
      </c>
      <c r="Q68" s="56"/>
    </row>
    <row r="69" ht="20" customHeight="1" spans="2:17">
      <c r="B69" s="42"/>
      <c r="C69" s="42"/>
      <c r="D69" s="74"/>
      <c r="E69" s="42"/>
      <c r="F69" s="45"/>
      <c r="G69" s="56"/>
      <c r="H69" s="56"/>
      <c r="I69" s="56"/>
      <c r="J69" s="56"/>
      <c r="K69" s="56"/>
      <c r="L69" s="56"/>
      <c r="M69" s="56"/>
      <c r="N69" s="56">
        <f t="shared" si="14"/>
        <v>0</v>
      </c>
      <c r="O69" s="56"/>
      <c r="P69" s="58">
        <f t="shared" si="15"/>
        <v>73393</v>
      </c>
      <c r="Q69" s="56"/>
    </row>
    <row r="70" ht="20" customHeight="1" spans="2:17">
      <c r="B70" s="42"/>
      <c r="C70" s="42"/>
      <c r="D70" s="74"/>
      <c r="E70" s="42"/>
      <c r="F70" s="45"/>
      <c r="G70" s="56"/>
      <c r="H70" s="56"/>
      <c r="I70" s="56"/>
      <c r="J70" s="56"/>
      <c r="K70" s="56"/>
      <c r="L70" s="56"/>
      <c r="M70" s="56"/>
      <c r="N70" s="56">
        <f t="shared" si="14"/>
        <v>0</v>
      </c>
      <c r="O70" s="56"/>
      <c r="P70" s="58">
        <f t="shared" si="15"/>
        <v>73393</v>
      </c>
      <c r="Q70" s="56"/>
    </row>
    <row r="71" ht="20" customHeight="1" spans="2:17">
      <c r="B71" s="42"/>
      <c r="C71" s="42"/>
      <c r="D71" s="74"/>
      <c r="E71" s="54"/>
      <c r="F71" s="45"/>
      <c r="G71" s="56"/>
      <c r="H71" s="56"/>
      <c r="I71" s="56"/>
      <c r="J71" s="56"/>
      <c r="K71" s="56"/>
      <c r="L71" s="56"/>
      <c r="M71" s="56"/>
      <c r="N71" s="56"/>
      <c r="O71" s="56"/>
      <c r="P71" s="58"/>
      <c r="Q71" s="56"/>
    </row>
    <row r="72" ht="20" customHeight="1" spans="2:17">
      <c r="B72" s="42"/>
      <c r="C72" s="42"/>
      <c r="D72" s="74"/>
      <c r="E72" s="42"/>
      <c r="F72" s="45"/>
      <c r="G72" s="56"/>
      <c r="H72" s="56"/>
      <c r="I72" s="56"/>
      <c r="J72" s="56"/>
      <c r="K72" s="56"/>
      <c r="L72" s="56"/>
      <c r="M72" s="56"/>
      <c r="N72" s="56"/>
      <c r="O72" s="56"/>
      <c r="P72" s="58"/>
      <c r="Q72" s="56"/>
    </row>
    <row r="73" ht="20" customHeight="1" spans="2:17">
      <c r="B73" s="42"/>
      <c r="C73" s="42"/>
      <c r="D73" s="74"/>
      <c r="E73" s="42"/>
      <c r="F73" s="45"/>
      <c r="G73" s="56"/>
      <c r="H73" s="56"/>
      <c r="I73" s="56"/>
      <c r="J73" s="56"/>
      <c r="K73" s="56"/>
      <c r="L73" s="56"/>
      <c r="M73" s="56"/>
      <c r="N73" s="56"/>
      <c r="O73" s="56"/>
      <c r="P73" s="58"/>
      <c r="Q73" s="56"/>
    </row>
    <row r="74" ht="20" customHeight="1" spans="2:17">
      <c r="B74" s="42"/>
      <c r="C74" s="42"/>
      <c r="D74" s="74"/>
      <c r="E74" s="54"/>
      <c r="F74" s="45"/>
      <c r="G74" s="56"/>
      <c r="H74" s="56"/>
      <c r="I74" s="56"/>
      <c r="J74" s="56"/>
      <c r="K74" s="56"/>
      <c r="L74" s="56"/>
      <c r="M74" s="56"/>
      <c r="N74" s="56"/>
      <c r="O74" s="56"/>
      <c r="P74" s="58"/>
      <c r="Q74" s="56"/>
    </row>
    <row r="75" ht="20" customHeight="1" spans="2:17">
      <c r="B75" s="42"/>
      <c r="C75" s="42"/>
      <c r="D75" s="74"/>
      <c r="E75" s="42"/>
      <c r="F75" s="45"/>
      <c r="G75" s="56"/>
      <c r="H75" s="56"/>
      <c r="I75" s="56"/>
      <c r="J75" s="56"/>
      <c r="K75" s="56"/>
      <c r="L75" s="56"/>
      <c r="M75" s="56"/>
      <c r="N75" s="56"/>
      <c r="O75" s="56"/>
      <c r="P75" s="58"/>
      <c r="Q75" s="56"/>
    </row>
    <row r="76" ht="20" customHeight="1" spans="2:17">
      <c r="B76" s="42"/>
      <c r="C76" s="42"/>
      <c r="D76" s="74"/>
      <c r="E76" s="42"/>
      <c r="F76" s="45"/>
      <c r="G76" s="56"/>
      <c r="H76" s="56"/>
      <c r="I76" s="56"/>
      <c r="J76" s="56"/>
      <c r="K76" s="56"/>
      <c r="L76" s="56"/>
      <c r="M76" s="56"/>
      <c r="N76" s="56"/>
      <c r="O76" s="56"/>
      <c r="P76" s="58"/>
      <c r="Q76" s="56"/>
    </row>
    <row r="77" ht="20" customHeight="1" spans="2:17">
      <c r="B77" s="42"/>
      <c r="C77" s="42"/>
      <c r="D77" s="74"/>
      <c r="E77" s="54"/>
      <c r="F77" s="45"/>
      <c r="G77" s="56"/>
      <c r="H77" s="56"/>
      <c r="I77" s="56"/>
      <c r="J77" s="56"/>
      <c r="K77" s="56"/>
      <c r="L77" s="56"/>
      <c r="M77" s="56"/>
      <c r="N77" s="56"/>
      <c r="O77" s="56"/>
      <c r="P77" s="58"/>
      <c r="Q77" s="56"/>
    </row>
    <row r="78" ht="20" customHeight="1" spans="2:17">
      <c r="B78" s="42"/>
      <c r="C78" s="42"/>
      <c r="D78" s="74"/>
      <c r="E78" s="42"/>
      <c r="F78" s="45"/>
      <c r="G78" s="56"/>
      <c r="H78" s="56"/>
      <c r="I78" s="56"/>
      <c r="J78" s="56"/>
      <c r="K78" s="56"/>
      <c r="L78" s="56"/>
      <c r="M78" s="56"/>
      <c r="N78" s="56"/>
      <c r="O78" s="56"/>
      <c r="P78" s="58"/>
      <c r="Q78" s="56"/>
    </row>
    <row r="79" ht="20" customHeight="1" spans="2:17">
      <c r="B79" s="42"/>
      <c r="C79" s="42"/>
      <c r="D79" s="74"/>
      <c r="E79" s="42"/>
      <c r="F79" s="45"/>
      <c r="G79" s="56"/>
      <c r="H79" s="56"/>
      <c r="I79" s="56"/>
      <c r="J79" s="56"/>
      <c r="K79" s="56"/>
      <c r="L79" s="56"/>
      <c r="M79" s="56"/>
      <c r="N79" s="56"/>
      <c r="O79" s="56"/>
      <c r="P79" s="58"/>
      <c r="Q79" s="56"/>
    </row>
    <row r="80" ht="20" customHeight="1" spans="2:17">
      <c r="B80" s="42"/>
      <c r="C80" s="42"/>
      <c r="D80" s="74"/>
      <c r="E80" s="54"/>
      <c r="F80" s="45"/>
      <c r="G80" s="56"/>
      <c r="H80" s="56"/>
      <c r="I80" s="56"/>
      <c r="J80" s="56"/>
      <c r="K80" s="56"/>
      <c r="L80" s="56"/>
      <c r="M80" s="56"/>
      <c r="N80" s="56"/>
      <c r="O80" s="56"/>
      <c r="P80" s="58"/>
      <c r="Q80" s="56"/>
    </row>
    <row r="81" ht="20" customHeight="1" spans="2:17">
      <c r="B81" s="42"/>
      <c r="C81" s="42"/>
      <c r="D81" s="74"/>
      <c r="E81" s="42"/>
      <c r="F81" s="45"/>
      <c r="G81" s="56"/>
      <c r="H81" s="56"/>
      <c r="I81" s="56"/>
      <c r="J81" s="56"/>
      <c r="K81" s="56"/>
      <c r="L81" s="56"/>
      <c r="M81" s="56"/>
      <c r="N81" s="56"/>
      <c r="O81" s="56"/>
      <c r="P81" s="58"/>
      <c r="Q81" s="56"/>
    </row>
    <row r="82" ht="20" customHeight="1" spans="2:17">
      <c r="B82" s="42"/>
      <c r="C82" s="42"/>
      <c r="D82" s="74"/>
      <c r="E82" s="42"/>
      <c r="F82" s="45"/>
      <c r="G82" s="56"/>
      <c r="H82" s="56"/>
      <c r="I82" s="56"/>
      <c r="J82" s="56"/>
      <c r="K82" s="56"/>
      <c r="L82" s="56"/>
      <c r="M82" s="56"/>
      <c r="N82" s="56"/>
      <c r="O82" s="56"/>
      <c r="P82" s="58"/>
      <c r="Q82" s="56"/>
    </row>
    <row r="83" ht="20" customHeight="1" spans="2:17">
      <c r="B83" s="42"/>
      <c r="C83" s="42"/>
      <c r="D83" s="74"/>
      <c r="E83" s="54"/>
      <c r="F83" s="45"/>
      <c r="G83" s="56"/>
      <c r="H83" s="56"/>
      <c r="I83" s="56"/>
      <c r="J83" s="56"/>
      <c r="K83" s="56"/>
      <c r="L83" s="56"/>
      <c r="M83" s="56"/>
      <c r="N83" s="56"/>
      <c r="O83" s="56"/>
      <c r="P83" s="58"/>
      <c r="Q83" s="56"/>
    </row>
    <row r="84" ht="20" customHeight="1" spans="2:17">
      <c r="B84" s="42"/>
      <c r="C84" s="42"/>
      <c r="D84" s="74"/>
      <c r="E84" s="42"/>
      <c r="F84" s="45"/>
      <c r="G84" s="56"/>
      <c r="H84" s="56"/>
      <c r="I84" s="56"/>
      <c r="J84" s="56"/>
      <c r="K84" s="56"/>
      <c r="L84" s="56"/>
      <c r="M84" s="56"/>
      <c r="N84" s="56"/>
      <c r="O84" s="56"/>
      <c r="P84" s="58"/>
      <c r="Q84" s="56"/>
    </row>
    <row r="85" ht="20" customHeight="1" spans="2:17">
      <c r="B85" s="42"/>
      <c r="C85" s="42"/>
      <c r="D85" s="74"/>
      <c r="E85" s="42"/>
      <c r="F85" s="45"/>
      <c r="G85" s="56"/>
      <c r="H85" s="56"/>
      <c r="I85" s="56"/>
      <c r="J85" s="56"/>
      <c r="K85" s="56"/>
      <c r="L85" s="56"/>
      <c r="M85" s="56"/>
      <c r="N85" s="56"/>
      <c r="O85" s="56"/>
      <c r="P85" s="58"/>
      <c r="Q85" s="56"/>
    </row>
    <row r="86" ht="20" customHeight="1" spans="2:17">
      <c r="B86" s="42"/>
      <c r="C86" s="42"/>
      <c r="D86" s="74"/>
      <c r="E86" s="54"/>
      <c r="F86" s="45"/>
      <c r="G86" s="56"/>
      <c r="H86" s="56"/>
      <c r="I86" s="56"/>
      <c r="J86" s="56"/>
      <c r="K86" s="56"/>
      <c r="L86" s="56"/>
      <c r="M86" s="56"/>
      <c r="N86" s="56"/>
      <c r="O86" s="56"/>
      <c r="P86" s="58"/>
      <c r="Q86" s="56"/>
    </row>
    <row r="87" ht="20" customHeight="1" spans="2:17">
      <c r="B87" s="42"/>
      <c r="C87" s="42"/>
      <c r="D87" s="74"/>
      <c r="E87" s="42"/>
      <c r="F87" s="45"/>
      <c r="G87" s="56"/>
      <c r="H87" s="56"/>
      <c r="I87" s="56"/>
      <c r="J87" s="56"/>
      <c r="K87" s="56"/>
      <c r="L87" s="56"/>
      <c r="M87" s="56"/>
      <c r="N87" s="56"/>
      <c r="O87" s="56"/>
      <c r="P87" s="58"/>
      <c r="Q87" s="56"/>
    </row>
    <row r="88" ht="20" customHeight="1" spans="2:17">
      <c r="B88" s="42"/>
      <c r="C88" s="42"/>
      <c r="D88" s="74"/>
      <c r="E88" s="42"/>
      <c r="F88" s="45"/>
      <c r="G88" s="56"/>
      <c r="H88" s="56"/>
      <c r="I88" s="56"/>
      <c r="J88" s="56"/>
      <c r="K88" s="56"/>
      <c r="L88" s="56"/>
      <c r="M88" s="56"/>
      <c r="N88" s="56"/>
      <c r="O88" s="56"/>
      <c r="P88" s="58"/>
      <c r="Q88" s="56"/>
    </row>
    <row r="89" ht="20" customHeight="1" spans="2:17">
      <c r="B89" s="42"/>
      <c r="C89" s="42"/>
      <c r="D89" s="74"/>
      <c r="E89" s="54"/>
      <c r="F89" s="45"/>
      <c r="G89" s="56"/>
      <c r="H89" s="56"/>
      <c r="I89" s="56"/>
      <c r="J89" s="56"/>
      <c r="K89" s="56"/>
      <c r="L89" s="56"/>
      <c r="M89" s="56"/>
      <c r="N89" s="56"/>
      <c r="O89" s="56"/>
      <c r="P89" s="58"/>
      <c r="Q89" s="56"/>
    </row>
    <row r="90" ht="20" customHeight="1" spans="2:17">
      <c r="B90" s="42"/>
      <c r="C90" s="42"/>
      <c r="D90" s="74"/>
      <c r="E90" s="42"/>
      <c r="F90" s="45"/>
      <c r="G90" s="56"/>
      <c r="H90" s="56"/>
      <c r="I90" s="56"/>
      <c r="J90" s="56"/>
      <c r="K90" s="56"/>
      <c r="L90" s="56"/>
      <c r="M90" s="56"/>
      <c r="N90" s="56"/>
      <c r="O90" s="56"/>
      <c r="P90" s="58"/>
      <c r="Q90" s="56"/>
    </row>
    <row r="91" ht="20" customHeight="1" spans="2:17">
      <c r="B91" s="42"/>
      <c r="C91" s="42"/>
      <c r="D91" s="74"/>
      <c r="E91" s="42"/>
      <c r="F91" s="45"/>
      <c r="G91" s="56"/>
      <c r="H91" s="56"/>
      <c r="I91" s="56"/>
      <c r="J91" s="56"/>
      <c r="K91" s="56"/>
      <c r="L91" s="56"/>
      <c r="M91" s="56"/>
      <c r="N91" s="56"/>
      <c r="O91" s="56"/>
      <c r="P91" s="58"/>
      <c r="Q91" s="56"/>
    </row>
    <row r="92" ht="20" customHeight="1" spans="2:17">
      <c r="B92" s="42"/>
      <c r="C92" s="42"/>
      <c r="D92" s="74"/>
      <c r="E92" s="54"/>
      <c r="F92" s="45"/>
      <c r="G92" s="56"/>
      <c r="H92" s="56"/>
      <c r="I92" s="56"/>
      <c r="J92" s="56"/>
      <c r="K92" s="56"/>
      <c r="L92" s="56"/>
      <c r="M92" s="56"/>
      <c r="N92" s="56"/>
      <c r="O92" s="56"/>
      <c r="P92" s="58"/>
      <c r="Q92" s="56"/>
    </row>
    <row r="93" ht="20" customHeight="1" spans="2:17">
      <c r="B93" s="42"/>
      <c r="C93" s="42"/>
      <c r="D93" s="74"/>
      <c r="E93" s="42"/>
      <c r="F93" s="45"/>
      <c r="G93" s="56"/>
      <c r="H93" s="56"/>
      <c r="I93" s="56"/>
      <c r="J93" s="56"/>
      <c r="K93" s="56"/>
      <c r="L93" s="56"/>
      <c r="M93" s="56"/>
      <c r="N93" s="56"/>
      <c r="O93" s="56"/>
      <c r="P93" s="58"/>
      <c r="Q93" s="56"/>
    </row>
    <row r="94" ht="20" customHeight="1" spans="2:17">
      <c r="B94" s="42"/>
      <c r="C94" s="42"/>
      <c r="D94" s="74"/>
      <c r="E94" s="42"/>
      <c r="F94" s="45"/>
      <c r="G94" s="56"/>
      <c r="H94" s="56"/>
      <c r="I94" s="56"/>
      <c r="J94" s="56"/>
      <c r="K94" s="56"/>
      <c r="L94" s="56"/>
      <c r="M94" s="56"/>
      <c r="N94" s="56"/>
      <c r="O94" s="56"/>
      <c r="P94" s="58"/>
      <c r="Q94" s="56"/>
    </row>
    <row r="95" ht="20" customHeight="1" spans="2:17">
      <c r="B95" s="42"/>
      <c r="C95" s="42"/>
      <c r="D95" s="74"/>
      <c r="E95" s="54"/>
      <c r="F95" s="45"/>
      <c r="G95" s="56"/>
      <c r="H95" s="56"/>
      <c r="I95" s="56"/>
      <c r="J95" s="56"/>
      <c r="K95" s="56"/>
      <c r="L95" s="56"/>
      <c r="M95" s="56"/>
      <c r="N95" s="56"/>
      <c r="O95" s="56"/>
      <c r="P95" s="58"/>
      <c r="Q95" s="56"/>
    </row>
    <row r="96" ht="20" customHeight="1" spans="2:17">
      <c r="B96" s="42"/>
      <c r="C96" s="42"/>
      <c r="D96" s="74"/>
      <c r="E96" s="42"/>
      <c r="F96" s="45"/>
      <c r="G96" s="56"/>
      <c r="H96" s="56"/>
      <c r="I96" s="56"/>
      <c r="J96" s="56"/>
      <c r="K96" s="56"/>
      <c r="L96" s="56"/>
      <c r="M96" s="56"/>
      <c r="N96" s="56"/>
      <c r="O96" s="56"/>
      <c r="P96" s="58"/>
      <c r="Q96" s="56"/>
    </row>
    <row r="97" ht="20" customHeight="1" spans="2:17">
      <c r="B97" s="42"/>
      <c r="C97" s="42"/>
      <c r="D97" s="74"/>
      <c r="E97" s="42"/>
      <c r="F97" s="45"/>
      <c r="G97" s="56"/>
      <c r="H97" s="56"/>
      <c r="I97" s="56"/>
      <c r="J97" s="56"/>
      <c r="K97" s="56"/>
      <c r="L97" s="56"/>
      <c r="M97" s="56"/>
      <c r="N97" s="56"/>
      <c r="O97" s="56"/>
      <c r="P97" s="58"/>
      <c r="Q97" s="56"/>
    </row>
    <row r="98" ht="20" customHeight="1" spans="2:17">
      <c r="B98" s="42"/>
      <c r="C98" s="42"/>
      <c r="D98" s="74"/>
      <c r="E98" s="54"/>
      <c r="F98" s="45"/>
      <c r="G98" s="56"/>
      <c r="H98" s="56"/>
      <c r="I98" s="56"/>
      <c r="J98" s="56"/>
      <c r="K98" s="56"/>
      <c r="L98" s="56"/>
      <c r="M98" s="56"/>
      <c r="N98" s="56"/>
      <c r="O98" s="56"/>
      <c r="P98" s="58"/>
      <c r="Q98" s="56"/>
    </row>
    <row r="99" ht="20" customHeight="1" spans="2:17">
      <c r="B99" s="42"/>
      <c r="C99" s="42"/>
      <c r="D99" s="74"/>
      <c r="E99" s="42"/>
      <c r="F99" s="45"/>
      <c r="G99" s="56"/>
      <c r="H99" s="56"/>
      <c r="I99" s="56"/>
      <c r="J99" s="56"/>
      <c r="K99" s="56"/>
      <c r="L99" s="56"/>
      <c r="M99" s="56"/>
      <c r="N99" s="56"/>
      <c r="O99" s="56"/>
      <c r="P99" s="58"/>
      <c r="Q99" s="56"/>
    </row>
    <row r="100" ht="20" customHeight="1" spans="2:17">
      <c r="B100" s="42"/>
      <c r="C100" s="42"/>
      <c r="D100" s="74"/>
      <c r="E100" s="42"/>
      <c r="F100" s="45"/>
      <c r="G100" s="56"/>
      <c r="H100" s="56"/>
      <c r="I100" s="56"/>
      <c r="J100" s="56"/>
      <c r="K100" s="56"/>
      <c r="L100" s="56"/>
      <c r="M100" s="56"/>
      <c r="N100" s="56"/>
      <c r="O100" s="56"/>
      <c r="P100" s="58"/>
      <c r="Q100" s="56"/>
    </row>
    <row r="101" ht="20" customHeight="1" spans="2:17">
      <c r="B101" s="42"/>
      <c r="C101" s="42"/>
      <c r="D101" s="74"/>
      <c r="E101" s="54"/>
      <c r="F101" s="45"/>
      <c r="G101" s="56"/>
      <c r="H101" s="56"/>
      <c r="I101" s="56"/>
      <c r="J101" s="56"/>
      <c r="K101" s="56"/>
      <c r="L101" s="56"/>
      <c r="M101" s="56"/>
      <c r="N101" s="56"/>
      <c r="O101" s="56"/>
      <c r="P101" s="58"/>
      <c r="Q101" s="56"/>
    </row>
    <row r="102" ht="20" customHeight="1" spans="2:17">
      <c r="B102" s="42"/>
      <c r="C102" s="42"/>
      <c r="D102" s="74"/>
      <c r="E102" s="42"/>
      <c r="F102" s="45"/>
      <c r="G102" s="56"/>
      <c r="H102" s="56"/>
      <c r="I102" s="56"/>
      <c r="J102" s="56"/>
      <c r="K102" s="56"/>
      <c r="L102" s="56"/>
      <c r="M102" s="56"/>
      <c r="N102" s="56"/>
      <c r="O102" s="56"/>
      <c r="P102" s="58"/>
      <c r="Q102" s="56"/>
    </row>
    <row r="103" ht="20" customHeight="1" spans="2:17">
      <c r="B103" s="42"/>
      <c r="C103" s="42"/>
      <c r="D103" s="74"/>
      <c r="E103" s="42"/>
      <c r="F103" s="45"/>
      <c r="G103" s="56"/>
      <c r="H103" s="56"/>
      <c r="I103" s="56"/>
      <c r="J103" s="56"/>
      <c r="K103" s="56"/>
      <c r="L103" s="56"/>
      <c r="M103" s="56"/>
      <c r="N103" s="56"/>
      <c r="O103" s="56"/>
      <c r="P103" s="58"/>
      <c r="Q103" s="56"/>
    </row>
    <row r="104" ht="20" customHeight="1" spans="2:17">
      <c r="B104" s="42"/>
      <c r="C104" s="42"/>
      <c r="D104" s="74"/>
      <c r="E104" s="54"/>
      <c r="F104" s="45"/>
      <c r="G104" s="56"/>
      <c r="H104" s="56"/>
      <c r="I104" s="56"/>
      <c r="J104" s="56"/>
      <c r="K104" s="56"/>
      <c r="L104" s="56"/>
      <c r="M104" s="56"/>
      <c r="N104" s="56"/>
      <c r="O104" s="56"/>
      <c r="P104" s="58"/>
      <c r="Q104" s="56"/>
    </row>
    <row r="105" ht="20" customHeight="1" spans="2:17">
      <c r="B105" s="42"/>
      <c r="C105" s="42"/>
      <c r="D105" s="74"/>
      <c r="E105" s="42"/>
      <c r="F105" s="45"/>
      <c r="G105" s="56"/>
      <c r="H105" s="56"/>
      <c r="I105" s="56"/>
      <c r="J105" s="56"/>
      <c r="K105" s="56"/>
      <c r="L105" s="56"/>
      <c r="M105" s="56"/>
      <c r="N105" s="56"/>
      <c r="O105" s="56"/>
      <c r="P105" s="58"/>
      <c r="Q105" s="56"/>
    </row>
    <row r="106" ht="20" customHeight="1" spans="2:17">
      <c r="B106" s="42"/>
      <c r="C106" s="42"/>
      <c r="D106" s="74"/>
      <c r="E106" s="42"/>
      <c r="F106" s="45"/>
      <c r="G106" s="56"/>
      <c r="H106" s="56"/>
      <c r="I106" s="56"/>
      <c r="J106" s="56"/>
      <c r="K106" s="56"/>
      <c r="L106" s="56"/>
      <c r="M106" s="56"/>
      <c r="N106" s="56"/>
      <c r="O106" s="56"/>
      <c r="P106" s="58"/>
      <c r="Q106" s="56"/>
    </row>
    <row r="107" ht="20" customHeight="1" spans="2:17">
      <c r="B107" s="42"/>
      <c r="C107" s="42"/>
      <c r="D107" s="74"/>
      <c r="E107" s="54"/>
      <c r="F107" s="45"/>
      <c r="G107" s="56"/>
      <c r="H107" s="56"/>
      <c r="I107" s="56"/>
      <c r="J107" s="56"/>
      <c r="K107" s="56"/>
      <c r="L107" s="56"/>
      <c r="M107" s="56"/>
      <c r="N107" s="56"/>
      <c r="O107" s="56"/>
      <c r="P107" s="58"/>
      <c r="Q107" s="56"/>
    </row>
    <row r="108" ht="20" customHeight="1" spans="2:17">
      <c r="B108" s="42"/>
      <c r="C108" s="42"/>
      <c r="D108" s="74"/>
      <c r="E108" s="42"/>
      <c r="F108" s="45"/>
      <c r="G108" s="56"/>
      <c r="H108" s="56"/>
      <c r="I108" s="56"/>
      <c r="J108" s="56"/>
      <c r="K108" s="56"/>
      <c r="L108" s="56"/>
      <c r="M108" s="56"/>
      <c r="N108" s="56"/>
      <c r="O108" s="56"/>
      <c r="P108" s="58"/>
      <c r="Q108" s="56"/>
    </row>
    <row r="109" ht="20" customHeight="1" spans="2:17">
      <c r="B109" s="42"/>
      <c r="C109" s="42"/>
      <c r="D109" s="74"/>
      <c r="E109" s="42"/>
      <c r="F109" s="45"/>
      <c r="G109" s="56"/>
      <c r="H109" s="56"/>
      <c r="I109" s="56"/>
      <c r="J109" s="56"/>
      <c r="K109" s="56"/>
      <c r="L109" s="56"/>
      <c r="M109" s="56"/>
      <c r="N109" s="56"/>
      <c r="O109" s="56"/>
      <c r="P109" s="58"/>
      <c r="Q109" s="56"/>
    </row>
    <row r="110" ht="20" customHeight="1" spans="2:17">
      <c r="B110" s="42"/>
      <c r="C110" s="42"/>
      <c r="D110" s="74"/>
      <c r="E110" s="54"/>
      <c r="F110" s="45"/>
      <c r="G110" s="56"/>
      <c r="H110" s="56"/>
      <c r="I110" s="56"/>
      <c r="J110" s="56"/>
      <c r="K110" s="56"/>
      <c r="L110" s="56"/>
      <c r="M110" s="56"/>
      <c r="N110" s="56"/>
      <c r="O110" s="56"/>
      <c r="P110" s="58"/>
      <c r="Q110" s="56"/>
    </row>
    <row r="111" ht="20" customHeight="1" spans="2:17">
      <c r="B111" s="42"/>
      <c r="C111" s="42"/>
      <c r="D111" s="74"/>
      <c r="E111" s="42"/>
      <c r="F111" s="45"/>
      <c r="G111" s="56"/>
      <c r="H111" s="56"/>
      <c r="I111" s="56"/>
      <c r="J111" s="56"/>
      <c r="K111" s="56"/>
      <c r="L111" s="56"/>
      <c r="M111" s="56"/>
      <c r="N111" s="56"/>
      <c r="O111" s="56"/>
      <c r="P111" s="58"/>
      <c r="Q111" s="56"/>
    </row>
    <row r="112" ht="20" customHeight="1" spans="2:17">
      <c r="B112" s="42"/>
      <c r="C112" s="42"/>
      <c r="D112" s="74"/>
      <c r="E112" s="42"/>
      <c r="F112" s="45"/>
      <c r="G112" s="56"/>
      <c r="H112" s="56"/>
      <c r="I112" s="56"/>
      <c r="J112" s="56"/>
      <c r="K112" s="56"/>
      <c r="L112" s="56"/>
      <c r="M112" s="56"/>
      <c r="N112" s="56"/>
      <c r="O112" s="56"/>
      <c r="P112" s="58"/>
      <c r="Q112" s="56"/>
    </row>
    <row r="113" ht="20" customHeight="1" spans="2:17">
      <c r="B113" s="42"/>
      <c r="C113" s="42"/>
      <c r="D113" s="74"/>
      <c r="E113" s="54"/>
      <c r="F113" s="45"/>
      <c r="G113" s="56"/>
      <c r="H113" s="56"/>
      <c r="I113" s="56"/>
      <c r="J113" s="56"/>
      <c r="K113" s="56"/>
      <c r="L113" s="56"/>
      <c r="M113" s="56"/>
      <c r="N113" s="56"/>
      <c r="O113" s="56"/>
      <c r="P113" s="58"/>
      <c r="Q113" s="56"/>
    </row>
    <row r="114" ht="20" customHeight="1" spans="2:17">
      <c r="B114" s="42"/>
      <c r="C114" s="42"/>
      <c r="D114" s="74"/>
      <c r="E114" s="42"/>
      <c r="F114" s="45"/>
      <c r="G114" s="56"/>
      <c r="H114" s="56"/>
      <c r="I114" s="56"/>
      <c r="J114" s="56"/>
      <c r="K114" s="56"/>
      <c r="L114" s="56"/>
      <c r="M114" s="56"/>
      <c r="N114" s="56"/>
      <c r="O114" s="56"/>
      <c r="P114" s="58"/>
      <c r="Q114" s="56"/>
    </row>
    <row r="115" ht="20" customHeight="1" spans="2:17">
      <c r="B115" s="42"/>
      <c r="C115" s="42"/>
      <c r="D115" s="74"/>
      <c r="E115" s="42"/>
      <c r="F115" s="45"/>
      <c r="G115" s="56"/>
      <c r="H115" s="56"/>
      <c r="I115" s="56"/>
      <c r="J115" s="56"/>
      <c r="K115" s="56"/>
      <c r="L115" s="56"/>
      <c r="M115" s="56"/>
      <c r="N115" s="56"/>
      <c r="O115" s="56"/>
      <c r="P115" s="58"/>
      <c r="Q115" s="56"/>
    </row>
    <row r="116" ht="20" customHeight="1" spans="2:17">
      <c r="B116" s="42"/>
      <c r="C116" s="42"/>
      <c r="D116" s="74"/>
      <c r="E116" s="54"/>
      <c r="F116" s="45"/>
      <c r="G116" s="56"/>
      <c r="H116" s="56"/>
      <c r="I116" s="56"/>
      <c r="J116" s="56"/>
      <c r="K116" s="56"/>
      <c r="L116" s="56"/>
      <c r="M116" s="56"/>
      <c r="N116" s="56"/>
      <c r="O116" s="56"/>
      <c r="P116" s="58"/>
      <c r="Q116" s="56"/>
    </row>
    <row r="117" ht="20" customHeight="1" spans="2:17">
      <c r="B117" s="42"/>
      <c r="C117" s="42"/>
      <c r="D117" s="74"/>
      <c r="E117" s="42"/>
      <c r="F117" s="45"/>
      <c r="G117" s="56"/>
      <c r="H117" s="56"/>
      <c r="I117" s="56"/>
      <c r="J117" s="56"/>
      <c r="K117" s="56"/>
      <c r="L117" s="56"/>
      <c r="M117" s="56"/>
      <c r="N117" s="56"/>
      <c r="O117" s="56"/>
      <c r="P117" s="58"/>
      <c r="Q117" s="56"/>
    </row>
    <row r="118" ht="20" customHeight="1" spans="2:17">
      <c r="B118" s="42"/>
      <c r="C118" s="42"/>
      <c r="D118" s="74"/>
      <c r="E118" s="42"/>
      <c r="F118" s="45"/>
      <c r="G118" s="56"/>
      <c r="H118" s="56"/>
      <c r="I118" s="56"/>
      <c r="J118" s="56"/>
      <c r="K118" s="56"/>
      <c r="L118" s="56"/>
      <c r="M118" s="56"/>
      <c r="N118" s="56"/>
      <c r="O118" s="56"/>
      <c r="P118" s="58"/>
      <c r="Q118" s="56"/>
    </row>
    <row r="119" ht="20" customHeight="1" spans="2:17">
      <c r="B119" s="42"/>
      <c r="C119" s="42"/>
      <c r="D119" s="74"/>
      <c r="E119" s="54"/>
      <c r="F119" s="45"/>
      <c r="G119" s="56"/>
      <c r="H119" s="56"/>
      <c r="I119" s="56"/>
      <c r="J119" s="56"/>
      <c r="K119" s="56"/>
      <c r="L119" s="56"/>
      <c r="M119" s="56"/>
      <c r="N119" s="56"/>
      <c r="O119" s="56"/>
      <c r="P119" s="58"/>
      <c r="Q119" s="56"/>
    </row>
    <row r="120" ht="20" customHeight="1" spans="2:17">
      <c r="B120" s="42"/>
      <c r="C120" s="42"/>
      <c r="D120" s="74"/>
      <c r="E120" s="42"/>
      <c r="F120" s="45"/>
      <c r="G120" s="56"/>
      <c r="H120" s="56"/>
      <c r="I120" s="56"/>
      <c r="J120" s="56"/>
      <c r="K120" s="56"/>
      <c r="L120" s="56"/>
      <c r="M120" s="56"/>
      <c r="N120" s="56"/>
      <c r="O120" s="56"/>
      <c r="P120" s="58"/>
      <c r="Q120" s="56"/>
    </row>
    <row r="121" ht="20" customHeight="1" spans="2:17">
      <c r="B121" s="42"/>
      <c r="C121" s="42"/>
      <c r="D121" s="74"/>
      <c r="E121" s="42"/>
      <c r="F121" s="45"/>
      <c r="G121" s="56"/>
      <c r="H121" s="56"/>
      <c r="I121" s="56"/>
      <c r="J121" s="56"/>
      <c r="K121" s="56"/>
      <c r="L121" s="56"/>
      <c r="M121" s="56"/>
      <c r="N121" s="56"/>
      <c r="O121" s="56"/>
      <c r="P121" s="58"/>
      <c r="Q121" s="56"/>
    </row>
    <row r="122" ht="20" customHeight="1" spans="2:17">
      <c r="B122" s="42"/>
      <c r="C122" s="42"/>
      <c r="D122" s="74"/>
      <c r="E122" s="54"/>
      <c r="F122" s="45"/>
      <c r="G122" s="56"/>
      <c r="H122" s="56"/>
      <c r="I122" s="56"/>
      <c r="J122" s="56"/>
      <c r="K122" s="56"/>
      <c r="L122" s="56"/>
      <c r="M122" s="56"/>
      <c r="N122" s="56"/>
      <c r="O122" s="56"/>
      <c r="P122" s="58"/>
      <c r="Q122" s="56"/>
    </row>
    <row r="123" ht="20" customHeight="1" spans="2:17">
      <c r="B123" s="42"/>
      <c r="C123" s="42"/>
      <c r="D123" s="74"/>
      <c r="E123" s="42"/>
      <c r="F123" s="45"/>
      <c r="G123" s="56"/>
      <c r="H123" s="56"/>
      <c r="I123" s="56"/>
      <c r="J123" s="56"/>
      <c r="K123" s="56"/>
      <c r="L123" s="56"/>
      <c r="M123" s="56"/>
      <c r="N123" s="56"/>
      <c r="O123" s="56"/>
      <c r="P123" s="58"/>
      <c r="Q123" s="56"/>
    </row>
    <row r="124" ht="20" customHeight="1" spans="2:17">
      <c r="B124" s="42"/>
      <c r="C124" s="42"/>
      <c r="D124" s="74"/>
      <c r="E124" s="42"/>
      <c r="F124" s="45"/>
      <c r="G124" s="56"/>
      <c r="H124" s="56"/>
      <c r="I124" s="56"/>
      <c r="J124" s="56"/>
      <c r="K124" s="56"/>
      <c r="L124" s="56"/>
      <c r="M124" s="56"/>
      <c r="N124" s="56"/>
      <c r="O124" s="56"/>
      <c r="P124" s="58"/>
      <c r="Q124" s="56"/>
    </row>
    <row r="125" ht="20" customHeight="1" spans="2:17">
      <c r="B125" s="42"/>
      <c r="C125" s="42"/>
      <c r="D125" s="74"/>
      <c r="E125" s="54"/>
      <c r="F125" s="45"/>
      <c r="G125" s="56"/>
      <c r="H125" s="56"/>
      <c r="I125" s="56"/>
      <c r="J125" s="56"/>
      <c r="K125" s="56"/>
      <c r="L125" s="56"/>
      <c r="M125" s="56"/>
      <c r="N125" s="56"/>
      <c r="O125" s="56"/>
      <c r="P125" s="58"/>
      <c r="Q125" s="56"/>
    </row>
    <row r="126" ht="20" customHeight="1" spans="2:17">
      <c r="B126" s="42"/>
      <c r="C126" s="42"/>
      <c r="D126" s="74"/>
      <c r="E126" s="42"/>
      <c r="F126" s="45"/>
      <c r="G126" s="56"/>
      <c r="H126" s="56"/>
      <c r="I126" s="56"/>
      <c r="J126" s="56"/>
      <c r="K126" s="56"/>
      <c r="L126" s="56"/>
      <c r="M126" s="56"/>
      <c r="N126" s="56"/>
      <c r="O126" s="56"/>
      <c r="P126" s="58"/>
      <c r="Q126" s="56"/>
    </row>
    <row r="127" ht="20" customHeight="1" spans="2:17">
      <c r="B127" s="42"/>
      <c r="C127" s="42"/>
      <c r="D127" s="74"/>
      <c r="E127" s="42"/>
      <c r="F127" s="45"/>
      <c r="G127" s="56"/>
      <c r="H127" s="56"/>
      <c r="I127" s="56"/>
      <c r="J127" s="56"/>
      <c r="K127" s="56"/>
      <c r="L127" s="56"/>
      <c r="M127" s="56"/>
      <c r="N127" s="56"/>
      <c r="O127" s="56"/>
      <c r="P127" s="58"/>
      <c r="Q127" s="56"/>
    </row>
    <row r="128" ht="20" customHeight="1" spans="2:17">
      <c r="B128" s="42"/>
      <c r="C128" s="42"/>
      <c r="D128" s="74"/>
      <c r="E128" s="54"/>
      <c r="F128" s="45"/>
      <c r="G128" s="56"/>
      <c r="H128" s="56"/>
      <c r="I128" s="56"/>
      <c r="J128" s="56"/>
      <c r="K128" s="56"/>
      <c r="L128" s="56"/>
      <c r="M128" s="56"/>
      <c r="N128" s="56"/>
      <c r="O128" s="56"/>
      <c r="P128" s="58"/>
      <c r="Q128" s="56"/>
    </row>
    <row r="129" ht="20" customHeight="1" spans="2:17">
      <c r="B129" s="42"/>
      <c r="C129" s="42"/>
      <c r="D129" s="74"/>
      <c r="E129" s="42"/>
      <c r="F129" s="45"/>
      <c r="G129" s="56"/>
      <c r="H129" s="56"/>
      <c r="I129" s="56"/>
      <c r="J129" s="56"/>
      <c r="K129" s="56"/>
      <c r="L129" s="56"/>
      <c r="M129" s="56"/>
      <c r="N129" s="56"/>
      <c r="O129" s="56"/>
      <c r="P129" s="58"/>
      <c r="Q129" s="56"/>
    </row>
    <row r="130" ht="20" customHeight="1" spans="2:17">
      <c r="B130" s="42"/>
      <c r="C130" s="42"/>
      <c r="D130" s="74"/>
      <c r="E130" s="42"/>
      <c r="F130" s="45"/>
      <c r="G130" s="56"/>
      <c r="H130" s="56"/>
      <c r="I130" s="56"/>
      <c r="J130" s="56"/>
      <c r="K130" s="56"/>
      <c r="L130" s="56"/>
      <c r="M130" s="56"/>
      <c r="N130" s="56"/>
      <c r="O130" s="56"/>
      <c r="P130" s="58"/>
      <c r="Q130" s="56"/>
    </row>
    <row r="131" ht="20" customHeight="1" spans="2:17">
      <c r="B131" s="42"/>
      <c r="C131" s="42"/>
      <c r="D131" s="74"/>
      <c r="E131" s="54"/>
      <c r="F131" s="45"/>
      <c r="G131" s="56"/>
      <c r="H131" s="56"/>
      <c r="I131" s="56"/>
      <c r="J131" s="56"/>
      <c r="K131" s="56"/>
      <c r="L131" s="56"/>
      <c r="M131" s="56"/>
      <c r="N131" s="56"/>
      <c r="O131" s="56"/>
      <c r="P131" s="58"/>
      <c r="Q131" s="56"/>
    </row>
    <row r="132" ht="20" customHeight="1" spans="2:17">
      <c r="B132" s="42"/>
      <c r="C132" s="42"/>
      <c r="D132" s="74"/>
      <c r="E132" s="42"/>
      <c r="F132" s="45"/>
      <c r="G132" s="56"/>
      <c r="H132" s="56"/>
      <c r="I132" s="56"/>
      <c r="J132" s="56"/>
      <c r="K132" s="56"/>
      <c r="L132" s="56"/>
      <c r="M132" s="56"/>
      <c r="N132" s="56"/>
      <c r="O132" s="56"/>
      <c r="P132" s="58"/>
      <c r="Q132" s="56"/>
    </row>
    <row r="133" ht="20" customHeight="1" spans="2:17">
      <c r="B133" s="42"/>
      <c r="C133" s="42"/>
      <c r="D133" s="74"/>
      <c r="E133" s="42"/>
      <c r="F133" s="45"/>
      <c r="G133" s="56"/>
      <c r="H133" s="56"/>
      <c r="I133" s="56"/>
      <c r="J133" s="56"/>
      <c r="K133" s="56"/>
      <c r="L133" s="56"/>
      <c r="M133" s="56"/>
      <c r="N133" s="56"/>
      <c r="O133" s="56"/>
      <c r="P133" s="58"/>
      <c r="Q133" s="56"/>
    </row>
    <row r="134" ht="20" customHeight="1" spans="2:17">
      <c r="B134" s="42"/>
      <c r="C134" s="42"/>
      <c r="D134" s="74"/>
      <c r="E134" s="54"/>
      <c r="F134" s="45"/>
      <c r="G134" s="56"/>
      <c r="H134" s="56"/>
      <c r="I134" s="56"/>
      <c r="J134" s="56"/>
      <c r="K134" s="56"/>
      <c r="L134" s="56"/>
      <c r="M134" s="56"/>
      <c r="N134" s="56"/>
      <c r="O134" s="56"/>
      <c r="P134" s="58"/>
      <c r="Q134" s="56"/>
    </row>
    <row r="135" ht="20" customHeight="1" spans="2:17">
      <c r="B135" s="42"/>
      <c r="C135" s="42"/>
      <c r="D135" s="74"/>
      <c r="E135" s="42"/>
      <c r="F135" s="45"/>
      <c r="G135" s="56"/>
      <c r="H135" s="56"/>
      <c r="I135" s="56"/>
      <c r="J135" s="56"/>
      <c r="K135" s="56"/>
      <c r="L135" s="56"/>
      <c r="M135" s="56"/>
      <c r="N135" s="56"/>
      <c r="O135" s="56"/>
      <c r="P135" s="58"/>
      <c r="Q135" s="56"/>
    </row>
    <row r="136" ht="20" customHeight="1" spans="2:17">
      <c r="B136" s="42"/>
      <c r="C136" s="42"/>
      <c r="D136" s="74"/>
      <c r="E136" s="42"/>
      <c r="F136" s="45"/>
      <c r="G136" s="56"/>
      <c r="H136" s="56"/>
      <c r="I136" s="56"/>
      <c r="J136" s="56"/>
      <c r="K136" s="56"/>
      <c r="L136" s="56"/>
      <c r="M136" s="56"/>
      <c r="N136" s="56"/>
      <c r="O136" s="56"/>
      <c r="P136" s="58"/>
      <c r="Q136" s="56"/>
    </row>
    <row r="137" ht="20" customHeight="1" spans="2:17">
      <c r="B137" s="42"/>
      <c r="C137" s="42"/>
      <c r="D137" s="74"/>
      <c r="E137" s="54"/>
      <c r="F137" s="45"/>
      <c r="G137" s="56"/>
      <c r="H137" s="56"/>
      <c r="I137" s="56"/>
      <c r="J137" s="56"/>
      <c r="K137" s="56"/>
      <c r="L137" s="56"/>
      <c r="M137" s="56"/>
      <c r="N137" s="56"/>
      <c r="O137" s="56"/>
      <c r="P137" s="58"/>
      <c r="Q137" s="56"/>
    </row>
    <row r="138" ht="20" customHeight="1" spans="2:17">
      <c r="B138" s="42"/>
      <c r="C138" s="42"/>
      <c r="D138" s="74"/>
      <c r="E138" s="42"/>
      <c r="F138" s="45"/>
      <c r="G138" s="56"/>
      <c r="H138" s="56"/>
      <c r="I138" s="56"/>
      <c r="J138" s="56"/>
      <c r="K138" s="56"/>
      <c r="L138" s="56"/>
      <c r="M138" s="56"/>
      <c r="N138" s="56"/>
      <c r="O138" s="56"/>
      <c r="P138" s="58"/>
      <c r="Q138" s="56"/>
    </row>
    <row r="139" ht="20" customHeight="1" spans="2:17">
      <c r="B139" s="42"/>
      <c r="C139" s="42"/>
      <c r="D139" s="74"/>
      <c r="E139" s="42"/>
      <c r="F139" s="45"/>
      <c r="G139" s="56"/>
      <c r="H139" s="56"/>
      <c r="I139" s="56"/>
      <c r="J139" s="56"/>
      <c r="K139" s="56"/>
      <c r="L139" s="56"/>
      <c r="M139" s="56"/>
      <c r="N139" s="56"/>
      <c r="O139" s="56"/>
      <c r="P139" s="58"/>
      <c r="Q139" s="56"/>
    </row>
    <row r="140" ht="20" customHeight="1" spans="2:17">
      <c r="B140" s="42"/>
      <c r="C140" s="42"/>
      <c r="D140" s="74"/>
      <c r="E140" s="54"/>
      <c r="F140" s="45"/>
      <c r="G140" s="56"/>
      <c r="H140" s="56"/>
      <c r="I140" s="56"/>
      <c r="J140" s="56"/>
      <c r="K140" s="56"/>
      <c r="L140" s="56"/>
      <c r="M140" s="56"/>
      <c r="N140" s="56"/>
      <c r="O140" s="56"/>
      <c r="P140" s="58"/>
      <c r="Q140" s="56"/>
    </row>
    <row r="141" ht="20" customHeight="1" spans="2:17">
      <c r="B141" s="42"/>
      <c r="C141" s="42"/>
      <c r="D141" s="74"/>
      <c r="E141" s="42"/>
      <c r="F141" s="45"/>
      <c r="G141" s="56"/>
      <c r="H141" s="56"/>
      <c r="I141" s="56"/>
      <c r="J141" s="56"/>
      <c r="K141" s="56"/>
      <c r="L141" s="56"/>
      <c r="M141" s="56"/>
      <c r="N141" s="56"/>
      <c r="O141" s="56"/>
      <c r="P141" s="58"/>
      <c r="Q141" s="56"/>
    </row>
    <row r="142" ht="20" customHeight="1" spans="2:17">
      <c r="B142" s="42"/>
      <c r="C142" s="42"/>
      <c r="D142" s="74"/>
      <c r="E142" s="42"/>
      <c r="F142" s="45"/>
      <c r="G142" s="56"/>
      <c r="H142" s="56"/>
      <c r="I142" s="56"/>
      <c r="J142" s="56"/>
      <c r="K142" s="56"/>
      <c r="L142" s="56"/>
      <c r="M142" s="56"/>
      <c r="N142" s="56"/>
      <c r="O142" s="56"/>
      <c r="P142" s="58"/>
      <c r="Q142" s="56"/>
    </row>
    <row r="143" ht="20" customHeight="1" spans="2:17">
      <c r="B143" s="42"/>
      <c r="C143" s="42"/>
      <c r="D143" s="74"/>
      <c r="E143" s="54"/>
      <c r="F143" s="45"/>
      <c r="G143" s="56"/>
      <c r="H143" s="56"/>
      <c r="I143" s="56"/>
      <c r="J143" s="56"/>
      <c r="K143" s="56"/>
      <c r="L143" s="56"/>
      <c r="M143" s="56"/>
      <c r="N143" s="56"/>
      <c r="O143" s="56"/>
      <c r="P143" s="58"/>
      <c r="Q143" s="56"/>
    </row>
    <row r="144" ht="20" customHeight="1" spans="2:17">
      <c r="B144" s="42"/>
      <c r="C144" s="42"/>
      <c r="D144" s="74"/>
      <c r="E144" s="42"/>
      <c r="F144" s="45"/>
      <c r="G144" s="56"/>
      <c r="H144" s="56"/>
      <c r="I144" s="56"/>
      <c r="J144" s="56"/>
      <c r="K144" s="56"/>
      <c r="L144" s="56"/>
      <c r="M144" s="56"/>
      <c r="N144" s="56"/>
      <c r="O144" s="56"/>
      <c r="P144" s="58"/>
      <c r="Q144" s="56"/>
    </row>
    <row r="145" ht="20" customHeight="1" spans="2:17">
      <c r="B145" s="42"/>
      <c r="C145" s="42"/>
      <c r="D145" s="74"/>
      <c r="E145" s="42"/>
      <c r="F145" s="45"/>
      <c r="G145" s="56"/>
      <c r="H145" s="56"/>
      <c r="I145" s="56"/>
      <c r="J145" s="56"/>
      <c r="K145" s="56"/>
      <c r="L145" s="56"/>
      <c r="M145" s="56"/>
      <c r="N145" s="56"/>
      <c r="O145" s="56"/>
      <c r="P145" s="58"/>
      <c r="Q145" s="56"/>
    </row>
    <row r="146" ht="20" customHeight="1" spans="2:17">
      <c r="B146" s="42"/>
      <c r="C146" s="42"/>
      <c r="D146" s="74"/>
      <c r="E146" s="54"/>
      <c r="F146" s="45"/>
      <c r="G146" s="56"/>
      <c r="H146" s="56"/>
      <c r="I146" s="56"/>
      <c r="J146" s="56"/>
      <c r="K146" s="56"/>
      <c r="L146" s="56"/>
      <c r="M146" s="56"/>
      <c r="N146" s="56"/>
      <c r="O146" s="56"/>
      <c r="P146" s="58"/>
      <c r="Q146" s="56"/>
    </row>
    <row r="147" ht="20" customHeight="1" spans="2:17">
      <c r="B147" s="42"/>
      <c r="C147" s="42"/>
      <c r="D147" s="74"/>
      <c r="E147" s="42"/>
      <c r="F147" s="45"/>
      <c r="G147" s="56"/>
      <c r="H147" s="56"/>
      <c r="I147" s="56"/>
      <c r="J147" s="56"/>
      <c r="K147" s="56"/>
      <c r="L147" s="56"/>
      <c r="M147" s="56"/>
      <c r="N147" s="56"/>
      <c r="O147" s="56"/>
      <c r="P147" s="58"/>
      <c r="Q147" s="56"/>
    </row>
    <row r="148" ht="20" customHeight="1" spans="2:17">
      <c r="B148" s="42"/>
      <c r="C148" s="42"/>
      <c r="D148" s="74"/>
      <c r="E148" s="42"/>
      <c r="F148" s="45"/>
      <c r="G148" s="56"/>
      <c r="H148" s="56"/>
      <c r="I148" s="56"/>
      <c r="J148" s="56"/>
      <c r="K148" s="56"/>
      <c r="L148" s="56"/>
      <c r="M148" s="56"/>
      <c r="N148" s="56"/>
      <c r="O148" s="56"/>
      <c r="P148" s="58"/>
      <c r="Q148" s="56"/>
    </row>
    <row r="149" ht="20" customHeight="1" spans="2:17">
      <c r="B149" s="42"/>
      <c r="C149" s="42"/>
      <c r="D149" s="74"/>
      <c r="E149" s="54"/>
      <c r="F149" s="45"/>
      <c r="G149" s="56"/>
      <c r="H149" s="56"/>
      <c r="I149" s="56"/>
      <c r="J149" s="56"/>
      <c r="K149" s="56"/>
      <c r="L149" s="56"/>
      <c r="M149" s="56"/>
      <c r="N149" s="56"/>
      <c r="O149" s="56"/>
      <c r="P149" s="58"/>
      <c r="Q149" s="56"/>
    </row>
    <row r="150" ht="20" customHeight="1" spans="2:17">
      <c r="B150" s="42"/>
      <c r="C150" s="42"/>
      <c r="D150" s="74"/>
      <c r="E150" s="42"/>
      <c r="F150" s="45"/>
      <c r="G150" s="56"/>
      <c r="H150" s="56"/>
      <c r="I150" s="56"/>
      <c r="J150" s="56"/>
      <c r="K150" s="56"/>
      <c r="L150" s="56"/>
      <c r="M150" s="56"/>
      <c r="N150" s="56"/>
      <c r="O150" s="56"/>
      <c r="P150" s="58"/>
      <c r="Q150" s="56"/>
    </row>
    <row r="151" ht="20" customHeight="1" spans="2:17">
      <c r="B151" s="42"/>
      <c r="C151" s="42"/>
      <c r="D151" s="74"/>
      <c r="E151" s="42"/>
      <c r="F151" s="45"/>
      <c r="G151" s="56"/>
      <c r="H151" s="56"/>
      <c r="I151" s="56"/>
      <c r="J151" s="56"/>
      <c r="K151" s="56"/>
      <c r="L151" s="56"/>
      <c r="M151" s="56"/>
      <c r="N151" s="56"/>
      <c r="O151" s="56"/>
      <c r="P151" s="58"/>
      <c r="Q151" s="56"/>
    </row>
    <row r="152" ht="20" customHeight="1" spans="2:17">
      <c r="B152" s="42"/>
      <c r="C152" s="42"/>
      <c r="D152" s="74"/>
      <c r="E152" s="54"/>
      <c r="F152" s="45"/>
      <c r="G152" s="56"/>
      <c r="H152" s="56"/>
      <c r="I152" s="56"/>
      <c r="J152" s="56"/>
      <c r="K152" s="56"/>
      <c r="L152" s="56"/>
      <c r="M152" s="56"/>
      <c r="N152" s="56"/>
      <c r="O152" s="56"/>
      <c r="P152" s="58"/>
      <c r="Q152" s="56"/>
    </row>
    <row r="153" ht="20" customHeight="1" spans="2:17">
      <c r="B153" s="42"/>
      <c r="C153" s="42"/>
      <c r="D153" s="74"/>
      <c r="E153" s="42"/>
      <c r="F153" s="45"/>
      <c r="G153" s="56"/>
      <c r="H153" s="56"/>
      <c r="I153" s="56"/>
      <c r="J153" s="56"/>
      <c r="K153" s="56"/>
      <c r="L153" s="56"/>
      <c r="M153" s="56"/>
      <c r="N153" s="56"/>
      <c r="O153" s="56"/>
      <c r="P153" s="58"/>
      <c r="Q153" s="56"/>
    </row>
    <row r="154" ht="20" customHeight="1" spans="2:17">
      <c r="B154" s="42"/>
      <c r="C154" s="42"/>
      <c r="D154" s="74"/>
      <c r="E154" s="42"/>
      <c r="F154" s="45"/>
      <c r="G154" s="56"/>
      <c r="H154" s="56"/>
      <c r="I154" s="56"/>
      <c r="J154" s="56"/>
      <c r="K154" s="56"/>
      <c r="L154" s="56"/>
      <c r="M154" s="56"/>
      <c r="N154" s="56"/>
      <c r="O154" s="56"/>
      <c r="P154" s="58"/>
      <c r="Q154" s="56"/>
    </row>
    <row r="155" ht="20" customHeight="1" spans="2:17">
      <c r="B155" s="42"/>
      <c r="C155" s="42"/>
      <c r="D155" s="74"/>
      <c r="E155" s="54"/>
      <c r="F155" s="45"/>
      <c r="G155" s="56"/>
      <c r="H155" s="56"/>
      <c r="I155" s="56"/>
      <c r="J155" s="56"/>
      <c r="K155" s="56"/>
      <c r="L155" s="56"/>
      <c r="M155" s="56"/>
      <c r="N155" s="56"/>
      <c r="O155" s="56"/>
      <c r="P155" s="58"/>
      <c r="Q155" s="56"/>
    </row>
    <row r="156" ht="20" customHeight="1" spans="2:17">
      <c r="B156" s="42"/>
      <c r="C156" s="42"/>
      <c r="D156" s="74"/>
      <c r="E156" s="42"/>
      <c r="F156" s="45"/>
      <c r="G156" s="56"/>
      <c r="H156" s="56"/>
      <c r="I156" s="56"/>
      <c r="J156" s="56"/>
      <c r="K156" s="56"/>
      <c r="L156" s="56"/>
      <c r="M156" s="56"/>
      <c r="N156" s="56"/>
      <c r="O156" s="56"/>
      <c r="P156" s="58"/>
      <c r="Q156" s="56"/>
    </row>
    <row r="157" ht="20" customHeight="1" spans="2:17">
      <c r="B157" s="42"/>
      <c r="C157" s="42"/>
      <c r="D157" s="74"/>
      <c r="E157" s="42"/>
      <c r="F157" s="45"/>
      <c r="G157" s="56"/>
      <c r="H157" s="56"/>
      <c r="I157" s="56"/>
      <c r="J157" s="56"/>
      <c r="K157" s="56"/>
      <c r="L157" s="56"/>
      <c r="M157" s="56"/>
      <c r="N157" s="56"/>
      <c r="O157" s="56"/>
      <c r="P157" s="58"/>
      <c r="Q157" s="56"/>
    </row>
    <row r="158" ht="20" customHeight="1" spans="2:17">
      <c r="B158" s="42"/>
      <c r="C158" s="42"/>
      <c r="D158" s="74"/>
      <c r="E158" s="54"/>
      <c r="F158" s="45"/>
      <c r="G158" s="56"/>
      <c r="H158" s="56"/>
      <c r="I158" s="56"/>
      <c r="J158" s="56"/>
      <c r="K158" s="56"/>
      <c r="L158" s="56"/>
      <c r="M158" s="56"/>
      <c r="N158" s="56"/>
      <c r="O158" s="56"/>
      <c r="P158" s="58"/>
      <c r="Q158" s="56"/>
    </row>
    <row r="159" ht="20" customHeight="1" spans="2:17">
      <c r="B159" s="42"/>
      <c r="C159" s="42"/>
      <c r="D159" s="74"/>
      <c r="E159" s="42"/>
      <c r="F159" s="45"/>
      <c r="G159" s="56"/>
      <c r="H159" s="56"/>
      <c r="I159" s="56"/>
      <c r="J159" s="56"/>
      <c r="K159" s="56"/>
      <c r="L159" s="56"/>
      <c r="M159" s="56"/>
      <c r="N159" s="56"/>
      <c r="O159" s="56"/>
      <c r="P159" s="58"/>
      <c r="Q159" s="56"/>
    </row>
    <row r="160" ht="20" customHeight="1" spans="2:17">
      <c r="B160" s="42"/>
      <c r="C160" s="42"/>
      <c r="D160" s="74"/>
      <c r="E160" s="42"/>
      <c r="F160" s="45"/>
      <c r="G160" s="56"/>
      <c r="H160" s="56"/>
      <c r="I160" s="56"/>
      <c r="J160" s="56"/>
      <c r="K160" s="56"/>
      <c r="L160" s="56"/>
      <c r="M160" s="56"/>
      <c r="N160" s="56"/>
      <c r="O160" s="56"/>
      <c r="P160" s="58"/>
      <c r="Q160" s="56"/>
    </row>
    <row r="161" ht="20" customHeight="1" spans="2:17">
      <c r="B161" s="42"/>
      <c r="C161" s="42"/>
      <c r="D161" s="74"/>
      <c r="E161" s="54"/>
      <c r="F161" s="45"/>
      <c r="G161" s="56"/>
      <c r="H161" s="56"/>
      <c r="I161" s="56"/>
      <c r="J161" s="56"/>
      <c r="K161" s="56"/>
      <c r="L161" s="56"/>
      <c r="M161" s="56"/>
      <c r="N161" s="56"/>
      <c r="O161" s="56"/>
      <c r="P161" s="58"/>
      <c r="Q161" s="56"/>
    </row>
    <row r="162" ht="20" customHeight="1" spans="2:17">
      <c r="B162" s="42"/>
      <c r="C162" s="42"/>
      <c r="D162" s="74"/>
      <c r="E162" s="42"/>
      <c r="F162" s="45"/>
      <c r="G162" s="56"/>
      <c r="H162" s="56"/>
      <c r="I162" s="56"/>
      <c r="J162" s="56"/>
      <c r="K162" s="56"/>
      <c r="L162" s="56"/>
      <c r="M162" s="56"/>
      <c r="N162" s="56"/>
      <c r="O162" s="56"/>
      <c r="P162" s="58"/>
      <c r="Q162" s="56"/>
    </row>
    <row r="163" ht="20" customHeight="1" spans="2:17">
      <c r="B163" s="42"/>
      <c r="C163" s="42"/>
      <c r="D163" s="74"/>
      <c r="E163" s="42"/>
      <c r="F163" s="45"/>
      <c r="G163" s="56"/>
      <c r="H163" s="56"/>
      <c r="I163" s="56"/>
      <c r="J163" s="56"/>
      <c r="K163" s="56"/>
      <c r="L163" s="56"/>
      <c r="M163" s="56"/>
      <c r="N163" s="56"/>
      <c r="O163" s="56"/>
      <c r="P163" s="58"/>
      <c r="Q163" s="56"/>
    </row>
    <row r="164" ht="20" customHeight="1" spans="2:17">
      <c r="B164" s="42"/>
      <c r="C164" s="42"/>
      <c r="D164" s="74"/>
      <c r="E164" s="54"/>
      <c r="F164" s="45"/>
      <c r="G164" s="56"/>
      <c r="H164" s="56"/>
      <c r="I164" s="56"/>
      <c r="J164" s="56"/>
      <c r="K164" s="56"/>
      <c r="L164" s="56"/>
      <c r="M164" s="56"/>
      <c r="N164" s="56"/>
      <c r="O164" s="56"/>
      <c r="P164" s="58"/>
      <c r="Q164" s="56"/>
    </row>
    <row r="165" ht="20" customHeight="1" spans="2:17">
      <c r="B165" s="42"/>
      <c r="C165" s="42"/>
      <c r="D165" s="74"/>
      <c r="E165" s="42"/>
      <c r="F165" s="45"/>
      <c r="G165" s="56"/>
      <c r="H165" s="56"/>
      <c r="I165" s="56"/>
      <c r="J165" s="56"/>
      <c r="K165" s="56"/>
      <c r="L165" s="56"/>
      <c r="M165" s="56"/>
      <c r="N165" s="56"/>
      <c r="O165" s="56"/>
      <c r="P165" s="58"/>
      <c r="Q165" s="56"/>
    </row>
    <row r="166" ht="20" customHeight="1" spans="2:17">
      <c r="B166" s="42"/>
      <c r="C166" s="42"/>
      <c r="D166" s="74"/>
      <c r="E166" s="42"/>
      <c r="F166" s="45"/>
      <c r="G166" s="56"/>
      <c r="H166" s="56"/>
      <c r="I166" s="56"/>
      <c r="J166" s="56"/>
      <c r="K166" s="56"/>
      <c r="L166" s="56"/>
      <c r="M166" s="56"/>
      <c r="N166" s="56"/>
      <c r="O166" s="56"/>
      <c r="P166" s="58"/>
      <c r="Q166" s="56"/>
    </row>
    <row r="167" ht="20" customHeight="1" spans="2:17">
      <c r="B167" s="42"/>
      <c r="C167" s="42"/>
      <c r="D167" s="74"/>
      <c r="E167" s="54"/>
      <c r="F167" s="45"/>
      <c r="G167" s="56"/>
      <c r="H167" s="56"/>
      <c r="I167" s="56"/>
      <c r="J167" s="56"/>
      <c r="K167" s="56"/>
      <c r="L167" s="56"/>
      <c r="M167" s="56"/>
      <c r="N167" s="56"/>
      <c r="O167" s="56"/>
      <c r="P167" s="58"/>
      <c r="Q167" s="56"/>
    </row>
    <row r="168" ht="20" customHeight="1" spans="2:17">
      <c r="B168" s="42"/>
      <c r="C168" s="42"/>
      <c r="D168" s="74"/>
      <c r="E168" s="42"/>
      <c r="F168" s="45"/>
      <c r="G168" s="56"/>
      <c r="H168" s="56"/>
      <c r="I168" s="56"/>
      <c r="J168" s="56"/>
      <c r="K168" s="56"/>
      <c r="L168" s="56"/>
      <c r="M168" s="56"/>
      <c r="N168" s="56"/>
      <c r="O168" s="56"/>
      <c r="P168" s="58"/>
      <c r="Q168" s="56"/>
    </row>
    <row r="169" ht="20" customHeight="1" spans="2:17">
      <c r="B169" s="42"/>
      <c r="C169" s="42"/>
      <c r="D169" s="74"/>
      <c r="E169" s="42"/>
      <c r="F169" s="45"/>
      <c r="G169" s="56"/>
      <c r="H169" s="56"/>
      <c r="I169" s="56"/>
      <c r="J169" s="56"/>
      <c r="K169" s="56"/>
      <c r="L169" s="56"/>
      <c r="M169" s="56"/>
      <c r="N169" s="56"/>
      <c r="O169" s="56"/>
      <c r="P169" s="58"/>
      <c r="Q169" s="56"/>
    </row>
    <row r="170" ht="20" customHeight="1" spans="2:17">
      <c r="B170" s="42"/>
      <c r="C170" s="42"/>
      <c r="D170" s="74"/>
      <c r="E170" s="54"/>
      <c r="F170" s="45"/>
      <c r="G170" s="56"/>
      <c r="H170" s="56"/>
      <c r="I170" s="56"/>
      <c r="J170" s="56"/>
      <c r="K170" s="56"/>
      <c r="L170" s="56"/>
      <c r="M170" s="56"/>
      <c r="N170" s="56"/>
      <c r="O170" s="56"/>
      <c r="P170" s="58"/>
      <c r="Q170" s="56"/>
    </row>
    <row r="171" ht="20" customHeight="1" spans="2:17">
      <c r="B171" s="42"/>
      <c r="C171" s="42"/>
      <c r="D171" s="74"/>
      <c r="E171" s="42"/>
      <c r="F171" s="45"/>
      <c r="G171" s="56"/>
      <c r="H171" s="56"/>
      <c r="I171" s="56"/>
      <c r="J171" s="56"/>
      <c r="K171" s="56"/>
      <c r="L171" s="56"/>
      <c r="M171" s="56"/>
      <c r="N171" s="56"/>
      <c r="O171" s="56"/>
      <c r="P171" s="58"/>
      <c r="Q171" s="56"/>
    </row>
    <row r="172" ht="20" customHeight="1" spans="2:17">
      <c r="B172" s="42"/>
      <c r="C172" s="42"/>
      <c r="D172" s="74"/>
      <c r="E172" s="42"/>
      <c r="F172" s="45"/>
      <c r="G172" s="56"/>
      <c r="H172" s="56"/>
      <c r="I172" s="56"/>
      <c r="J172" s="56"/>
      <c r="K172" s="56"/>
      <c r="L172" s="56"/>
      <c r="M172" s="56"/>
      <c r="N172" s="56"/>
      <c r="O172" s="56"/>
      <c r="P172" s="58"/>
      <c r="Q172" s="56"/>
    </row>
    <row r="173" ht="20" customHeight="1" spans="2:17">
      <c r="B173" s="42"/>
      <c r="C173" s="42"/>
      <c r="D173" s="74"/>
      <c r="E173" s="54"/>
      <c r="F173" s="45"/>
      <c r="G173" s="56"/>
      <c r="H173" s="56"/>
      <c r="I173" s="56"/>
      <c r="J173" s="56"/>
      <c r="K173" s="56"/>
      <c r="L173" s="56"/>
      <c r="M173" s="56"/>
      <c r="N173" s="56"/>
      <c r="O173" s="56"/>
      <c r="P173" s="58"/>
      <c r="Q173" s="56"/>
    </row>
    <row r="174" ht="20" customHeight="1" spans="2:17">
      <c r="B174" s="42"/>
      <c r="C174" s="42"/>
      <c r="D174" s="74"/>
      <c r="E174" s="42"/>
      <c r="F174" s="45"/>
      <c r="G174" s="56"/>
      <c r="H174" s="56"/>
      <c r="I174" s="56"/>
      <c r="J174" s="56"/>
      <c r="K174" s="56"/>
      <c r="L174" s="56"/>
      <c r="M174" s="56"/>
      <c r="N174" s="56"/>
      <c r="O174" s="56"/>
      <c r="P174" s="58"/>
      <c r="Q174" s="56"/>
    </row>
    <row r="175" ht="20" customHeight="1" spans="2:17">
      <c r="B175" s="42"/>
      <c r="C175" s="42"/>
      <c r="D175" s="74"/>
      <c r="E175" s="42"/>
      <c r="F175" s="45"/>
      <c r="G175" s="56"/>
      <c r="H175" s="56"/>
      <c r="I175" s="56"/>
      <c r="J175" s="56"/>
      <c r="K175" s="56"/>
      <c r="L175" s="56"/>
      <c r="M175" s="56"/>
      <c r="N175" s="56"/>
      <c r="O175" s="56"/>
      <c r="P175" s="58"/>
      <c r="Q175" s="56"/>
    </row>
    <row r="176" ht="20" customHeight="1" spans="2:17">
      <c r="B176" s="42"/>
      <c r="C176" s="42"/>
      <c r="D176" s="74"/>
      <c r="E176" s="54"/>
      <c r="F176" s="45"/>
      <c r="G176" s="56"/>
      <c r="H176" s="56"/>
      <c r="I176" s="56"/>
      <c r="J176" s="56"/>
      <c r="K176" s="56"/>
      <c r="L176" s="56"/>
      <c r="M176" s="56"/>
      <c r="N176" s="56"/>
      <c r="O176" s="56"/>
      <c r="P176" s="58"/>
      <c r="Q176" s="56"/>
    </row>
    <row r="177" ht="20" customHeight="1" spans="2:17">
      <c r="B177" s="42"/>
      <c r="C177" s="42"/>
      <c r="D177" s="74"/>
      <c r="E177" s="42"/>
      <c r="F177" s="45"/>
      <c r="G177" s="56"/>
      <c r="H177" s="56"/>
      <c r="I177" s="56"/>
      <c r="J177" s="56"/>
      <c r="K177" s="56"/>
      <c r="L177" s="56"/>
      <c r="M177" s="56"/>
      <c r="N177" s="56"/>
      <c r="O177" s="56"/>
      <c r="P177" s="58"/>
      <c r="Q177" s="56"/>
    </row>
    <row r="178" ht="20" customHeight="1" spans="2:17">
      <c r="B178" s="42"/>
      <c r="C178" s="42"/>
      <c r="D178" s="74"/>
      <c r="E178" s="42"/>
      <c r="F178" s="45"/>
      <c r="G178" s="56"/>
      <c r="H178" s="56"/>
      <c r="I178" s="56"/>
      <c r="J178" s="56"/>
      <c r="K178" s="56"/>
      <c r="L178" s="56"/>
      <c r="M178" s="56"/>
      <c r="N178" s="56"/>
      <c r="O178" s="56"/>
      <c r="P178" s="58"/>
      <c r="Q178" s="56"/>
    </row>
    <row r="179" ht="20" customHeight="1" spans="2:17">
      <c r="B179" s="42"/>
      <c r="C179" s="42"/>
      <c r="D179" s="74"/>
      <c r="E179" s="54"/>
      <c r="F179" s="45"/>
      <c r="G179" s="56"/>
      <c r="H179" s="56"/>
      <c r="I179" s="56"/>
      <c r="J179" s="56"/>
      <c r="K179" s="56"/>
      <c r="L179" s="56"/>
      <c r="M179" s="56"/>
      <c r="N179" s="56"/>
      <c r="O179" s="56"/>
      <c r="P179" s="58"/>
      <c r="Q179" s="56"/>
    </row>
    <row r="180" ht="20" customHeight="1" spans="2:17">
      <c r="B180" s="42"/>
      <c r="C180" s="42"/>
      <c r="D180" s="74"/>
      <c r="E180" s="42"/>
      <c r="F180" s="45"/>
      <c r="G180" s="56"/>
      <c r="H180" s="56"/>
      <c r="I180" s="56"/>
      <c r="J180" s="56"/>
      <c r="K180" s="56"/>
      <c r="L180" s="56"/>
      <c r="M180" s="56"/>
      <c r="N180" s="56"/>
      <c r="O180" s="56"/>
      <c r="P180" s="58"/>
      <c r="Q180" s="56"/>
    </row>
    <row r="181" ht="20" customHeight="1" spans="2:17">
      <c r="B181" s="42"/>
      <c r="C181" s="42"/>
      <c r="D181" s="74"/>
      <c r="E181" s="42"/>
      <c r="F181" s="45"/>
      <c r="G181" s="56"/>
      <c r="H181" s="56"/>
      <c r="I181" s="56"/>
      <c r="J181" s="56"/>
      <c r="K181" s="56"/>
      <c r="L181" s="56"/>
      <c r="M181" s="56"/>
      <c r="N181" s="56"/>
      <c r="O181" s="56"/>
      <c r="P181" s="58"/>
      <c r="Q181" s="56"/>
    </row>
    <row r="182" ht="20" customHeight="1" spans="2:17">
      <c r="B182" s="42"/>
      <c r="C182" s="42"/>
      <c r="D182" s="74"/>
      <c r="E182" s="54"/>
      <c r="F182" s="45"/>
      <c r="G182" s="56"/>
      <c r="H182" s="56"/>
      <c r="I182" s="56"/>
      <c r="J182" s="56"/>
      <c r="K182" s="56"/>
      <c r="L182" s="56"/>
      <c r="M182" s="56"/>
      <c r="N182" s="56"/>
      <c r="O182" s="56"/>
      <c r="P182" s="58"/>
      <c r="Q182" s="56"/>
    </row>
    <row r="183" ht="20" customHeight="1" spans="2:17">
      <c r="B183" s="42"/>
      <c r="C183" s="42"/>
      <c r="D183" s="74"/>
      <c r="E183" s="42"/>
      <c r="F183" s="45"/>
      <c r="G183" s="56"/>
      <c r="H183" s="56"/>
      <c r="I183" s="56"/>
      <c r="J183" s="56"/>
      <c r="K183" s="56"/>
      <c r="L183" s="56"/>
      <c r="M183" s="56"/>
      <c r="N183" s="56"/>
      <c r="O183" s="56"/>
      <c r="P183" s="58"/>
      <c r="Q183" s="56"/>
    </row>
    <row r="184" ht="20" customHeight="1" spans="2:17">
      <c r="B184" s="42"/>
      <c r="C184" s="42"/>
      <c r="D184" s="74"/>
      <c r="E184" s="42"/>
      <c r="F184" s="45"/>
      <c r="G184" s="56"/>
      <c r="H184" s="56"/>
      <c r="I184" s="56"/>
      <c r="J184" s="56"/>
      <c r="K184" s="56"/>
      <c r="L184" s="56"/>
      <c r="M184" s="56"/>
      <c r="N184" s="56"/>
      <c r="O184" s="56"/>
      <c r="P184" s="58"/>
      <c r="Q184" s="56"/>
    </row>
    <row r="185" ht="20" customHeight="1" spans="2:17">
      <c r="B185" s="42"/>
      <c r="C185" s="42"/>
      <c r="D185" s="74"/>
      <c r="E185" s="54"/>
      <c r="F185" s="45"/>
      <c r="G185" s="56"/>
      <c r="H185" s="56"/>
      <c r="I185" s="56"/>
      <c r="J185" s="56"/>
      <c r="K185" s="56"/>
      <c r="L185" s="56"/>
      <c r="M185" s="56"/>
      <c r="N185" s="56"/>
      <c r="O185" s="56"/>
      <c r="P185" s="58"/>
      <c r="Q185" s="56"/>
    </row>
    <row r="186" ht="20" customHeight="1" spans="2:17">
      <c r="B186" s="42"/>
      <c r="C186" s="42"/>
      <c r="D186" s="74"/>
      <c r="E186" s="42"/>
      <c r="F186" s="45"/>
      <c r="G186" s="56"/>
      <c r="H186" s="56"/>
      <c r="I186" s="56"/>
      <c r="J186" s="56"/>
      <c r="K186" s="56"/>
      <c r="L186" s="56"/>
      <c r="M186" s="56"/>
      <c r="N186" s="56"/>
      <c r="O186" s="56"/>
      <c r="P186" s="58"/>
      <c r="Q186" s="56"/>
    </row>
    <row r="275" spans="7:14">
      <c r="G275" s="3" t="e">
        <f>SUBTOTAL(9,#REF!)</f>
        <v>#REF!</v>
      </c>
      <c r="H275" s="3" t="e">
        <f>SUBTOTAL(9,#REF!)</f>
        <v>#REF!</v>
      </c>
      <c r="I275" s="3" t="e">
        <f>SUBTOTAL(9,#REF!)</f>
        <v>#REF!</v>
      </c>
      <c r="J275" s="3" t="e">
        <f>SUBTOTAL(9,#REF!)</f>
        <v>#REF!</v>
      </c>
      <c r="K275" s="3" t="e">
        <f>SUBTOTAL(9,#REF!)</f>
        <v>#REF!</v>
      </c>
      <c r="L275" s="3" t="e">
        <f>SUBTOTAL(9,#REF!)</f>
        <v>#REF!</v>
      </c>
      <c r="M275" s="3" t="e">
        <f>SUBTOTAL(9,#REF!)</f>
        <v>#REF!</v>
      </c>
      <c r="N275" s="3" t="e">
        <f>SUBTOTAL(9,#REF!)</f>
        <v>#REF!</v>
      </c>
    </row>
    <row r="276" spans="7:14">
      <c r="H276" s="3">
        <v>150</v>
      </c>
    </row>
    <row r="277" spans="7:14">
      <c r="K277" s="3" t="e">
        <f>#REF!+#REF!+#REF!</f>
        <v>#REF!</v>
      </c>
    </row>
    <row r="278" spans="7:14">
      <c r="K278" s="3" t="e">
        <f>K275-K277</f>
        <v>#REF!</v>
      </c>
    </row>
    <row r="279" spans="7:14">
      <c r="K279" s="3">
        <v>1078.33</v>
      </c>
    </row>
    <row r="280" spans="7:14">
      <c r="H280" s="168" t="e">
        <f>H275+H276</f>
        <v>#REF!</v>
      </c>
      <c r="K280" s="168" t="e">
        <f>K278+K279</f>
        <v>#REF!</v>
      </c>
    </row>
  </sheetData>
  <autoFilter xmlns:etc="http://www.wps.cn/officeDocument/2017/etCustomData" ref="A4:W280" etc:filterBottomFollowUsedRange="0">
    <extLst/>
  </autoFilter>
  <mergeCells count="4">
    <mergeCell ref="B1:Q1"/>
    <mergeCell ref="G3:N3"/>
    <mergeCell ref="O3:O4"/>
    <mergeCell ref="P3:P4"/>
  </mergeCells>
  <dataValidations count="1">
    <dataValidation type="list" allowBlank="1" showInputMessage="1" showErrorMessage="1" sqref="D17 D5:D8 D19:D186">
      <formula1>付费项!$B$2:$B$76</formula1>
    </dataValidation>
  </dataValidations>
  <pageMargins left="0.7" right="0.7" top="0.75" bottom="0.75" header="0.3" footer="0.3"/>
  <pageSetup paperSize="9" orientation="portrait"/>
  <headerFooter/>
  <ignoredErrors>
    <ignoredError sqref="P17" formula="1"/>
  </ignoredError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15"/>
  <dimension ref="A1:P329"/>
  <sheetViews>
    <sheetView workbookViewId="0">
      <pane xSplit="3" ySplit="4" topLeftCell="D277" activePane="bottomRight" state="frozen"/>
      <selection/>
      <selection pane="topRight"/>
      <selection pane="bottomLeft"/>
      <selection pane="bottomRight" activeCell="E293" sqref="E293"/>
    </sheetView>
  </sheetViews>
  <sheetFormatPr defaultColWidth="9" defaultRowHeight="13.5"/>
  <cols>
    <col min="1" max="1" width="8.725" style="3" customWidth="1"/>
    <col min="2" max="3" width="4.725" style="3" customWidth="1"/>
    <col min="4" max="4" width="12.5416666666667" style="3" customWidth="1"/>
    <col min="5" max="5" width="29.3666666666667" style="3" customWidth="1"/>
    <col min="6" max="6" width="46.45" style="3" customWidth="1"/>
    <col min="7" max="7" width="14.725" style="3" customWidth="1"/>
    <col min="8" max="8" width="14.5416666666667" style="3" customWidth="1"/>
    <col min="9" max="9" width="16.1833333333333" style="3" customWidth="1"/>
    <col min="10" max="10" width="19.6333333333333" style="3" customWidth="1"/>
    <col min="11" max="11" width="9.26666666666667" style="3" customWidth="1"/>
    <col min="12" max="12" width="13.5083333333333" style="3" customWidth="1"/>
    <col min="13" max="16384" width="9" style="3"/>
  </cols>
  <sheetData>
    <row r="1" ht="24.75" spans="1:16">
      <c r="A1" s="46" t="str">
        <f>HYPERLINK("#目录!a1","返回目录")</f>
        <v>返回目录</v>
      </c>
      <c r="B1" s="47" t="s">
        <v>5</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4588.64</v>
      </c>
      <c r="J4" s="56"/>
    </row>
    <row r="5" ht="20" customHeight="1" spans="1:16">
      <c r="B5" s="42">
        <v>1</v>
      </c>
      <c r="C5" s="42">
        <v>2</v>
      </c>
      <c r="D5" s="74" t="s">
        <v>124</v>
      </c>
      <c r="E5" s="117" t="s">
        <v>1805</v>
      </c>
      <c r="F5" s="75" t="s">
        <v>1806</v>
      </c>
      <c r="G5" s="55"/>
      <c r="H5" s="55">
        <v>27.49</v>
      </c>
      <c r="I5" s="58">
        <f t="shared" ref="I5:I27" si="0">I4+G5-H5</f>
        <v>4561.15</v>
      </c>
      <c r="J5" s="56"/>
    </row>
    <row r="6" ht="20" customHeight="1" spans="1:16">
      <c r="B6" s="42">
        <v>1</v>
      </c>
      <c r="C6" s="42">
        <v>5</v>
      </c>
      <c r="D6" s="74" t="s">
        <v>85</v>
      </c>
      <c r="E6" s="117" t="s">
        <v>1807</v>
      </c>
      <c r="F6" s="75" t="s">
        <v>1808</v>
      </c>
      <c r="G6" s="55">
        <v>200000</v>
      </c>
      <c r="H6" s="56"/>
      <c r="I6" s="58">
        <f t="shared" si="0"/>
        <v>204561.15</v>
      </c>
      <c r="J6" s="56"/>
    </row>
    <row r="7" ht="20" customHeight="1" spans="1:16">
      <c r="B7" s="42">
        <v>1</v>
      </c>
      <c r="C7" s="42">
        <v>5</v>
      </c>
      <c r="D7" s="74" t="s">
        <v>132</v>
      </c>
      <c r="E7" s="117" t="s">
        <v>1809</v>
      </c>
      <c r="F7" s="75" t="s">
        <v>1810</v>
      </c>
      <c r="G7" s="55"/>
      <c r="H7" s="55">
        <v>200000</v>
      </c>
      <c r="I7" s="58">
        <f t="shared" si="0"/>
        <v>4561.14999999999</v>
      </c>
      <c r="J7" s="56"/>
    </row>
    <row r="8" ht="20" customHeight="1" spans="1:16">
      <c r="B8" s="42">
        <v>1</v>
      </c>
      <c r="C8" s="42">
        <v>11</v>
      </c>
      <c r="D8" s="42" t="s">
        <v>16</v>
      </c>
      <c r="E8" s="117" t="s">
        <v>1811</v>
      </c>
      <c r="F8" s="75" t="s">
        <v>19</v>
      </c>
      <c r="G8" s="56"/>
      <c r="H8" s="55">
        <v>60</v>
      </c>
      <c r="I8" s="58">
        <f t="shared" si="0"/>
        <v>4501.14999999999</v>
      </c>
      <c r="J8" s="56"/>
    </row>
    <row r="9" ht="20" customHeight="1" spans="1:16">
      <c r="B9" s="42">
        <v>1</v>
      </c>
      <c r="C9" s="42">
        <v>12</v>
      </c>
      <c r="D9" s="74" t="s">
        <v>119</v>
      </c>
      <c r="E9" s="117" t="s">
        <v>213</v>
      </c>
      <c r="F9" s="75" t="s">
        <v>1812</v>
      </c>
      <c r="G9" s="55"/>
      <c r="H9" s="55">
        <v>15.77</v>
      </c>
      <c r="I9" s="58">
        <f t="shared" si="0"/>
        <v>4485.37999999999</v>
      </c>
      <c r="J9" s="56"/>
    </row>
    <row r="10" ht="20" customHeight="1" spans="1:16">
      <c r="B10" s="42">
        <v>1</v>
      </c>
      <c r="C10" s="42">
        <v>12</v>
      </c>
      <c r="D10" s="74" t="s">
        <v>119</v>
      </c>
      <c r="E10" s="117" t="s">
        <v>213</v>
      </c>
      <c r="F10" s="75" t="s">
        <v>1813</v>
      </c>
      <c r="G10" s="55"/>
      <c r="H10" s="55">
        <v>3061.18</v>
      </c>
      <c r="I10" s="58">
        <f t="shared" si="0"/>
        <v>1424.19999999999</v>
      </c>
      <c r="J10" s="56"/>
    </row>
    <row r="11" ht="20" customHeight="1" spans="1:16">
      <c r="B11" s="42">
        <v>1</v>
      </c>
      <c r="C11" s="42">
        <v>12</v>
      </c>
      <c r="D11" s="74" t="s">
        <v>119</v>
      </c>
      <c r="E11" s="117" t="s">
        <v>213</v>
      </c>
      <c r="F11" s="75" t="s">
        <v>1814</v>
      </c>
      <c r="G11" s="55"/>
      <c r="H11" s="55">
        <v>107.14</v>
      </c>
      <c r="I11" s="58">
        <f t="shared" si="0"/>
        <v>1317.05999999999</v>
      </c>
      <c r="J11" s="56"/>
    </row>
    <row r="12" ht="20" customHeight="1" spans="1:16">
      <c r="B12" s="42">
        <v>1</v>
      </c>
      <c r="C12" s="42">
        <v>12</v>
      </c>
      <c r="D12" s="74" t="s">
        <v>119</v>
      </c>
      <c r="E12" s="117" t="s">
        <v>213</v>
      </c>
      <c r="F12" s="75" t="s">
        <v>1815</v>
      </c>
      <c r="G12" s="55"/>
      <c r="H12" s="55">
        <v>45.92</v>
      </c>
      <c r="I12" s="58">
        <f t="shared" si="0"/>
        <v>1271.13999999999</v>
      </c>
      <c r="J12" s="56"/>
    </row>
    <row r="13" ht="20" customHeight="1" spans="1:16">
      <c r="B13" s="42">
        <v>1</v>
      </c>
      <c r="C13" s="42">
        <v>12</v>
      </c>
      <c r="D13" s="74" t="s">
        <v>119</v>
      </c>
      <c r="E13" s="117" t="s">
        <v>213</v>
      </c>
      <c r="F13" s="75" t="s">
        <v>1816</v>
      </c>
      <c r="G13" s="55"/>
      <c r="H13" s="55">
        <v>30.61</v>
      </c>
      <c r="I13" s="58">
        <f t="shared" si="0"/>
        <v>1240.52999999999</v>
      </c>
      <c r="J13" s="56"/>
    </row>
    <row r="14" ht="20" customHeight="1" spans="1:16">
      <c r="B14" s="42">
        <v>1</v>
      </c>
      <c r="C14" s="42">
        <v>12</v>
      </c>
      <c r="D14" s="74" t="s">
        <v>119</v>
      </c>
      <c r="E14" s="117" t="s">
        <v>213</v>
      </c>
      <c r="F14" s="75" t="s">
        <v>1817</v>
      </c>
      <c r="G14" s="55"/>
      <c r="H14" s="55">
        <v>45.92</v>
      </c>
      <c r="I14" s="58">
        <f t="shared" si="0"/>
        <v>1194.60999999999</v>
      </c>
      <c r="J14" s="56"/>
    </row>
    <row r="15" ht="20" customHeight="1" spans="1:16">
      <c r="B15" s="42">
        <v>1</v>
      </c>
      <c r="C15" s="42">
        <v>12</v>
      </c>
      <c r="D15" s="42" t="s">
        <v>71</v>
      </c>
      <c r="E15" s="117" t="s">
        <v>1818</v>
      </c>
      <c r="F15" s="75" t="s">
        <v>1819</v>
      </c>
      <c r="G15" s="55">
        <v>350</v>
      </c>
      <c r="H15" s="56"/>
      <c r="I15" s="58">
        <f t="shared" si="0"/>
        <v>1544.60999999999</v>
      </c>
      <c r="J15" s="56"/>
    </row>
    <row r="16" ht="20" customHeight="1" spans="1:16">
      <c r="B16" s="42">
        <v>1</v>
      </c>
      <c r="C16" s="42">
        <v>14</v>
      </c>
      <c r="D16" s="42" t="s">
        <v>85</v>
      </c>
      <c r="E16" s="117" t="s">
        <v>251</v>
      </c>
      <c r="F16" s="75" t="s">
        <v>1820</v>
      </c>
      <c r="G16" s="55">
        <v>130000</v>
      </c>
      <c r="H16" s="56"/>
      <c r="I16" s="58">
        <f t="shared" si="0"/>
        <v>131544.61</v>
      </c>
      <c r="J16" s="56"/>
    </row>
    <row r="17" ht="20" customHeight="1" spans="2:11">
      <c r="B17" s="42">
        <v>1</v>
      </c>
      <c r="C17" s="42">
        <v>15</v>
      </c>
      <c r="D17" s="74" t="s">
        <v>93</v>
      </c>
      <c r="E17" s="117" t="s">
        <v>420</v>
      </c>
      <c r="F17" s="75" t="s">
        <v>1821</v>
      </c>
      <c r="G17" s="55"/>
      <c r="H17" s="55">
        <v>3984</v>
      </c>
      <c r="I17" s="58">
        <f t="shared" si="0"/>
        <v>127560.61</v>
      </c>
      <c r="J17" s="56"/>
    </row>
    <row r="18" ht="20" customHeight="1" spans="2:11">
      <c r="B18" s="42">
        <v>1</v>
      </c>
      <c r="C18" s="42">
        <v>15</v>
      </c>
      <c r="D18" s="42" t="s">
        <v>102</v>
      </c>
      <c r="E18" s="117" t="s">
        <v>178</v>
      </c>
      <c r="F18" s="75" t="s">
        <v>179</v>
      </c>
      <c r="G18" s="56"/>
      <c r="H18" s="55">
        <v>16.2</v>
      </c>
      <c r="I18" s="58">
        <f t="shared" si="0"/>
        <v>127544.41</v>
      </c>
      <c r="J18" s="56"/>
    </row>
    <row r="19" ht="20" customHeight="1" spans="2:11">
      <c r="B19" s="42">
        <v>1</v>
      </c>
      <c r="C19" s="42">
        <v>15</v>
      </c>
      <c r="D19" s="74" t="s">
        <v>69</v>
      </c>
      <c r="E19" s="117" t="s">
        <v>1807</v>
      </c>
      <c r="F19" s="75" t="s">
        <v>1822</v>
      </c>
      <c r="G19" s="55"/>
      <c r="H19" s="55">
        <v>60000</v>
      </c>
      <c r="I19" s="58">
        <f t="shared" si="0"/>
        <v>67544.41</v>
      </c>
      <c r="J19" s="56"/>
    </row>
    <row r="20" ht="20" customHeight="1" spans="2:11">
      <c r="B20" s="42">
        <v>1</v>
      </c>
      <c r="C20" s="42">
        <v>15</v>
      </c>
      <c r="D20" s="74" t="s">
        <v>92</v>
      </c>
      <c r="E20" s="117" t="s">
        <v>1823</v>
      </c>
      <c r="F20" s="75" t="s">
        <v>1824</v>
      </c>
      <c r="G20" s="55"/>
      <c r="H20" s="55">
        <v>57531.85</v>
      </c>
      <c r="I20" s="58">
        <f t="shared" si="0"/>
        <v>10012.56</v>
      </c>
      <c r="J20" s="56"/>
    </row>
    <row r="21" ht="20" customHeight="1" spans="2:11">
      <c r="B21" s="42">
        <v>1</v>
      </c>
      <c r="C21" s="42">
        <v>15</v>
      </c>
      <c r="D21" s="42" t="s">
        <v>16</v>
      </c>
      <c r="E21" s="117" t="s">
        <v>1811</v>
      </c>
      <c r="F21" s="75" t="s">
        <v>237</v>
      </c>
      <c r="G21" s="55"/>
      <c r="H21" s="55">
        <v>8</v>
      </c>
      <c r="I21" s="58">
        <f t="shared" si="0"/>
        <v>10004.56</v>
      </c>
      <c r="J21" s="56"/>
    </row>
    <row r="22" ht="20" customHeight="1" spans="2:11">
      <c r="B22" s="42">
        <v>1</v>
      </c>
      <c r="C22" s="42">
        <v>20</v>
      </c>
      <c r="D22" s="42" t="s">
        <v>71</v>
      </c>
      <c r="E22" s="117" t="s">
        <v>1825</v>
      </c>
      <c r="F22" s="75" t="s">
        <v>1826</v>
      </c>
      <c r="G22" s="55">
        <v>600</v>
      </c>
      <c r="H22" s="56"/>
      <c r="I22" s="58">
        <f t="shared" si="0"/>
        <v>10604.56</v>
      </c>
      <c r="J22" s="56"/>
    </row>
    <row r="23" ht="20" customHeight="1" spans="2:11">
      <c r="B23" s="42">
        <v>1</v>
      </c>
      <c r="C23" s="42">
        <v>23</v>
      </c>
      <c r="D23" s="74" t="s">
        <v>79</v>
      </c>
      <c r="E23" s="75" t="s">
        <v>1827</v>
      </c>
      <c r="F23" s="75" t="s">
        <v>1828</v>
      </c>
      <c r="G23" s="55">
        <v>16966.32</v>
      </c>
      <c r="H23" s="56"/>
      <c r="I23" s="58">
        <f t="shared" si="0"/>
        <v>27570.88</v>
      </c>
      <c r="J23" s="56"/>
      <c r="K23" s="3" t="s">
        <v>1829</v>
      </c>
    </row>
    <row r="24" ht="60.75" spans="2:11">
      <c r="B24" s="42">
        <v>1</v>
      </c>
      <c r="C24" s="42">
        <v>26</v>
      </c>
      <c r="D24" s="74" t="s">
        <v>93</v>
      </c>
      <c r="E24" s="117" t="s">
        <v>1830</v>
      </c>
      <c r="F24" s="77" t="s">
        <v>1831</v>
      </c>
      <c r="G24" s="55"/>
      <c r="H24" s="55">
        <v>14825.43</v>
      </c>
      <c r="I24" s="58">
        <f t="shared" si="0"/>
        <v>12745.45</v>
      </c>
      <c r="J24" s="56"/>
    </row>
    <row r="25" ht="20" customHeight="1" spans="2:11">
      <c r="B25" s="42">
        <v>1</v>
      </c>
      <c r="C25" s="42">
        <v>26</v>
      </c>
      <c r="D25" s="42" t="s">
        <v>71</v>
      </c>
      <c r="E25" s="44" t="s">
        <v>1832</v>
      </c>
      <c r="F25" s="75" t="s">
        <v>1833</v>
      </c>
      <c r="G25" s="55">
        <v>600</v>
      </c>
      <c r="H25" s="56"/>
      <c r="I25" s="58">
        <f t="shared" si="0"/>
        <v>13345.45</v>
      </c>
      <c r="J25" s="56"/>
    </row>
    <row r="26" ht="20" customHeight="1" spans="2:11">
      <c r="B26" s="42">
        <v>1</v>
      </c>
      <c r="C26" s="42">
        <v>28</v>
      </c>
      <c r="D26" s="42" t="s">
        <v>85</v>
      </c>
      <c r="E26" s="117" t="s">
        <v>1807</v>
      </c>
      <c r="F26" s="75" t="s">
        <v>1808</v>
      </c>
      <c r="G26" s="55">
        <v>108670</v>
      </c>
      <c r="H26" s="56"/>
      <c r="I26" s="58">
        <f t="shared" si="0"/>
        <v>122015.45</v>
      </c>
      <c r="J26" s="56"/>
    </row>
    <row r="27" ht="20" customHeight="1" spans="2:11">
      <c r="B27" s="42">
        <v>1</v>
      </c>
      <c r="C27" s="42">
        <v>28</v>
      </c>
      <c r="D27" s="42" t="s">
        <v>132</v>
      </c>
      <c r="E27" s="117" t="s">
        <v>1809</v>
      </c>
      <c r="F27" s="75" t="s">
        <v>1810</v>
      </c>
      <c r="G27" s="55"/>
      <c r="H27" s="55">
        <v>108670</v>
      </c>
      <c r="I27" s="58">
        <f t="shared" si="0"/>
        <v>13345.45</v>
      </c>
      <c r="J27" s="56"/>
    </row>
    <row r="28" ht="20" customHeight="1" spans="2:11">
      <c r="B28" s="68"/>
      <c r="C28" s="68"/>
      <c r="D28" s="68"/>
      <c r="E28" s="130"/>
      <c r="F28" s="70" t="s">
        <v>22</v>
      </c>
      <c r="G28" s="71">
        <f>SUM(G5:G27)</f>
        <v>457186.32</v>
      </c>
      <c r="H28" s="71">
        <f>SUM(H5:H27)</f>
        <v>448429.51</v>
      </c>
      <c r="I28" s="72">
        <f>I4+G28-H28</f>
        <v>13345.4500000001</v>
      </c>
      <c r="J28" s="71"/>
    </row>
    <row r="29" ht="20" customHeight="1" spans="2:11">
      <c r="B29" s="42">
        <v>2</v>
      </c>
      <c r="C29" s="42">
        <v>2</v>
      </c>
      <c r="D29" s="74" t="s">
        <v>124</v>
      </c>
      <c r="E29" s="117" t="s">
        <v>1805</v>
      </c>
      <c r="F29" s="75" t="s">
        <v>1834</v>
      </c>
      <c r="G29" s="56"/>
      <c r="H29" s="55">
        <v>28.91</v>
      </c>
      <c r="I29" s="58">
        <f t="shared" ref="I29:I58" si="1">I28+G29-H29</f>
        <v>13316.5400000001</v>
      </c>
      <c r="J29" s="56"/>
    </row>
    <row r="30" ht="20" customHeight="1" spans="2:11">
      <c r="B30" s="42">
        <v>2</v>
      </c>
      <c r="C30" s="42">
        <v>4</v>
      </c>
      <c r="D30" s="74" t="s">
        <v>69</v>
      </c>
      <c r="E30" s="44" t="s">
        <v>251</v>
      </c>
      <c r="F30" s="77" t="s">
        <v>1835</v>
      </c>
      <c r="G30" s="108">
        <v>50000</v>
      </c>
      <c r="H30" s="56"/>
      <c r="I30" s="58">
        <f t="shared" si="1"/>
        <v>63316.5400000001</v>
      </c>
      <c r="J30" s="56"/>
    </row>
    <row r="31" ht="42" customHeight="1" spans="2:11">
      <c r="B31" s="42">
        <v>2</v>
      </c>
      <c r="C31" s="42">
        <v>5</v>
      </c>
      <c r="D31" s="42" t="s">
        <v>86</v>
      </c>
      <c r="E31" s="44" t="s">
        <v>1836</v>
      </c>
      <c r="F31" s="77" t="s">
        <v>1837</v>
      </c>
      <c r="G31" s="108">
        <v>45000</v>
      </c>
      <c r="H31" s="56"/>
      <c r="I31" s="58">
        <f t="shared" si="1"/>
        <v>108316.54</v>
      </c>
      <c r="J31" s="56"/>
    </row>
    <row r="32" ht="20" customHeight="1" spans="2:11">
      <c r="B32" s="42">
        <v>2</v>
      </c>
      <c r="C32" s="42">
        <v>5</v>
      </c>
      <c r="D32" s="42" t="s">
        <v>132</v>
      </c>
      <c r="E32" s="117" t="s">
        <v>1809</v>
      </c>
      <c r="F32" s="75" t="s">
        <v>1810</v>
      </c>
      <c r="G32" s="55"/>
      <c r="H32" s="55">
        <v>106838.3</v>
      </c>
      <c r="I32" s="58">
        <f t="shared" si="1"/>
        <v>1478.24000000006</v>
      </c>
      <c r="J32" s="56"/>
    </row>
    <row r="33" ht="20" customHeight="1" spans="2:13">
      <c r="B33" s="42">
        <v>2</v>
      </c>
      <c r="C33" s="42">
        <v>9</v>
      </c>
      <c r="D33" s="74" t="s">
        <v>119</v>
      </c>
      <c r="E33" s="117" t="s">
        <v>213</v>
      </c>
      <c r="F33" s="75" t="s">
        <v>1812</v>
      </c>
      <c r="G33" s="55"/>
      <c r="H33" s="55">
        <v>20.46</v>
      </c>
      <c r="I33" s="58">
        <f t="shared" si="1"/>
        <v>1457.78000000006</v>
      </c>
      <c r="J33" s="56"/>
    </row>
    <row r="34" ht="20" customHeight="1" spans="2:13">
      <c r="B34" s="42">
        <v>2</v>
      </c>
      <c r="C34" s="42">
        <v>9</v>
      </c>
      <c r="D34" s="74" t="s">
        <v>69</v>
      </c>
      <c r="E34" s="45" t="s">
        <v>1838</v>
      </c>
      <c r="F34" s="75" t="s">
        <v>1839</v>
      </c>
      <c r="G34" s="108">
        <v>5500</v>
      </c>
      <c r="H34" s="56"/>
      <c r="I34" s="58">
        <f t="shared" si="1"/>
        <v>6957.78000000006</v>
      </c>
      <c r="J34" s="56"/>
    </row>
    <row r="35" ht="20" customHeight="1" spans="2:13">
      <c r="B35" s="42">
        <v>2</v>
      </c>
      <c r="C35" s="42">
        <v>9</v>
      </c>
      <c r="D35" s="74" t="s">
        <v>106</v>
      </c>
      <c r="E35" s="44" t="s">
        <v>1840</v>
      </c>
      <c r="F35" s="75" t="s">
        <v>1841</v>
      </c>
      <c r="G35" s="56"/>
      <c r="H35" s="55">
        <v>1000</v>
      </c>
      <c r="I35" s="58">
        <f t="shared" si="1"/>
        <v>5957.78000000006</v>
      </c>
      <c r="J35" s="56"/>
    </row>
    <row r="36" ht="20" customHeight="1" spans="2:13">
      <c r="B36" s="42">
        <v>2</v>
      </c>
      <c r="C36" s="42">
        <v>9</v>
      </c>
      <c r="D36" s="42" t="s">
        <v>16</v>
      </c>
      <c r="E36" s="117" t="s">
        <v>1811</v>
      </c>
      <c r="F36" s="75" t="s">
        <v>237</v>
      </c>
      <c r="G36" s="56"/>
      <c r="H36" s="55">
        <v>4</v>
      </c>
      <c r="I36" s="58">
        <f t="shared" si="1"/>
        <v>5953.78000000006</v>
      </c>
      <c r="J36" s="56"/>
    </row>
    <row r="37" ht="20" customHeight="1" spans="2:13">
      <c r="B37" s="42">
        <v>2</v>
      </c>
      <c r="C37" s="42">
        <v>9</v>
      </c>
      <c r="D37" s="42" t="s">
        <v>71</v>
      </c>
      <c r="E37" s="93" t="s">
        <v>1842</v>
      </c>
      <c r="F37" s="75" t="s">
        <v>1833</v>
      </c>
      <c r="G37" s="108">
        <v>7200</v>
      </c>
      <c r="H37" s="56"/>
      <c r="I37" s="58">
        <f t="shared" si="1"/>
        <v>13153.7800000001</v>
      </c>
      <c r="J37" s="56"/>
    </row>
    <row r="38" ht="20" customHeight="1" spans="2:13">
      <c r="B38" s="42">
        <v>2</v>
      </c>
      <c r="C38" s="42">
        <v>13</v>
      </c>
      <c r="D38" s="42" t="s">
        <v>86</v>
      </c>
      <c r="E38" s="44" t="s">
        <v>1836</v>
      </c>
      <c r="F38" s="75" t="s">
        <v>1843</v>
      </c>
      <c r="G38" s="108">
        <v>80000</v>
      </c>
      <c r="H38" s="56"/>
      <c r="I38" s="58">
        <f t="shared" si="1"/>
        <v>93153.7800000001</v>
      </c>
      <c r="J38" s="56"/>
    </row>
    <row r="39" ht="20" customHeight="1" spans="2:13">
      <c r="B39" s="42">
        <v>2</v>
      </c>
      <c r="C39" s="42">
        <v>13</v>
      </c>
      <c r="D39" s="74" t="s">
        <v>69</v>
      </c>
      <c r="E39" s="117" t="s">
        <v>1807</v>
      </c>
      <c r="F39" s="75" t="s">
        <v>1844</v>
      </c>
      <c r="G39" s="56"/>
      <c r="H39" s="55">
        <v>10000</v>
      </c>
      <c r="I39" s="58">
        <f t="shared" si="1"/>
        <v>83153.7800000001</v>
      </c>
      <c r="J39" s="56"/>
    </row>
    <row r="40" ht="20" customHeight="1" spans="2:13">
      <c r="B40" s="42">
        <v>2</v>
      </c>
      <c r="C40" s="42">
        <v>13</v>
      </c>
      <c r="D40" s="74" t="s">
        <v>92</v>
      </c>
      <c r="E40" s="117" t="s">
        <v>1823</v>
      </c>
      <c r="F40" s="75" t="s">
        <v>1845</v>
      </c>
      <c r="G40" s="56"/>
      <c r="H40" s="55">
        <v>73651.08</v>
      </c>
      <c r="I40" s="58">
        <f t="shared" si="1"/>
        <v>9502.70000000006</v>
      </c>
      <c r="J40" s="56"/>
    </row>
    <row r="41" ht="20" customHeight="1" spans="2:13">
      <c r="B41" s="42">
        <v>2</v>
      </c>
      <c r="C41" s="42">
        <v>13</v>
      </c>
      <c r="D41" s="42" t="s">
        <v>16</v>
      </c>
      <c r="E41" s="117" t="s">
        <v>1811</v>
      </c>
      <c r="F41" s="75" t="s">
        <v>237</v>
      </c>
      <c r="G41" s="56"/>
      <c r="H41" s="55">
        <v>8</v>
      </c>
      <c r="I41" s="58">
        <f t="shared" si="1"/>
        <v>9494.70000000006</v>
      </c>
      <c r="J41" s="56"/>
    </row>
    <row r="42" ht="20" customHeight="1" spans="2:13">
      <c r="B42" s="42">
        <v>2</v>
      </c>
      <c r="C42" s="42">
        <v>14</v>
      </c>
      <c r="D42" s="74" t="s">
        <v>86</v>
      </c>
      <c r="E42" s="45" t="s">
        <v>1846</v>
      </c>
      <c r="F42" s="75" t="s">
        <v>1847</v>
      </c>
      <c r="G42" s="55">
        <v>55000</v>
      </c>
      <c r="H42" s="56"/>
      <c r="I42" s="58">
        <f t="shared" si="1"/>
        <v>64494.7000000001</v>
      </c>
      <c r="J42" s="56"/>
    </row>
    <row r="43" ht="20" customHeight="1" spans="2:13">
      <c r="B43" s="42">
        <v>2</v>
      </c>
      <c r="C43" s="42">
        <v>14</v>
      </c>
      <c r="D43" s="42" t="s">
        <v>134</v>
      </c>
      <c r="E43" s="44" t="s">
        <v>1848</v>
      </c>
      <c r="F43" s="75" t="s">
        <v>1849</v>
      </c>
      <c r="G43" s="55"/>
      <c r="H43" s="55">
        <v>20000</v>
      </c>
      <c r="I43" s="58">
        <f t="shared" si="1"/>
        <v>44494.7000000001</v>
      </c>
      <c r="J43" s="59" t="s">
        <v>1850</v>
      </c>
      <c r="M43" s="3" t="s">
        <v>1851</v>
      </c>
    </row>
    <row r="44" ht="20" customHeight="1" spans="2:13">
      <c r="B44" s="42">
        <v>2</v>
      </c>
      <c r="C44" s="42">
        <v>14</v>
      </c>
      <c r="D44" s="42" t="s">
        <v>16</v>
      </c>
      <c r="E44" s="117" t="s">
        <v>1811</v>
      </c>
      <c r="F44" s="75" t="s">
        <v>237</v>
      </c>
      <c r="G44" s="56"/>
      <c r="H44" s="55">
        <v>8</v>
      </c>
      <c r="I44" s="58">
        <f t="shared" si="1"/>
        <v>44486.7000000001</v>
      </c>
      <c r="J44" s="56"/>
    </row>
    <row r="45" ht="20" customHeight="1" spans="2:13">
      <c r="B45" s="42">
        <v>2</v>
      </c>
      <c r="C45" s="42">
        <v>14</v>
      </c>
      <c r="D45" s="74" t="s">
        <v>86</v>
      </c>
      <c r="E45" s="44" t="s">
        <v>251</v>
      </c>
      <c r="F45" s="75" t="s">
        <v>1852</v>
      </c>
      <c r="G45" s="108">
        <v>26000</v>
      </c>
      <c r="H45" s="56"/>
      <c r="I45" s="58">
        <f t="shared" si="1"/>
        <v>70486.7000000001</v>
      </c>
      <c r="J45" s="56"/>
    </row>
    <row r="46" ht="20" customHeight="1" spans="2:13">
      <c r="B46" s="42">
        <v>2</v>
      </c>
      <c r="C46" s="42">
        <v>14</v>
      </c>
      <c r="D46" s="74" t="s">
        <v>69</v>
      </c>
      <c r="E46" s="44" t="s">
        <v>251</v>
      </c>
      <c r="F46" s="77" t="s">
        <v>1835</v>
      </c>
      <c r="G46" s="108">
        <v>45000</v>
      </c>
      <c r="H46" s="56"/>
      <c r="I46" s="58">
        <f t="shared" si="1"/>
        <v>115486.7</v>
      </c>
      <c r="J46" s="56"/>
    </row>
    <row r="47" ht="20" customHeight="1" spans="2:13">
      <c r="B47" s="42">
        <v>2</v>
      </c>
      <c r="C47" s="42">
        <v>14</v>
      </c>
      <c r="D47" s="42" t="s">
        <v>132</v>
      </c>
      <c r="E47" s="117" t="s">
        <v>1809</v>
      </c>
      <c r="F47" s="75" t="s">
        <v>1810</v>
      </c>
      <c r="G47" s="55"/>
      <c r="H47" s="55">
        <v>106838.3</v>
      </c>
      <c r="I47" s="58">
        <f t="shared" si="1"/>
        <v>8648.40000000005</v>
      </c>
      <c r="J47" s="56"/>
    </row>
    <row r="48" ht="20" customHeight="1" spans="2:13">
      <c r="B48" s="42">
        <v>2</v>
      </c>
      <c r="C48" s="42">
        <v>15</v>
      </c>
      <c r="D48" s="74" t="s">
        <v>93</v>
      </c>
      <c r="E48" s="117" t="s">
        <v>420</v>
      </c>
      <c r="F48" s="75" t="s">
        <v>1853</v>
      </c>
      <c r="G48" s="56"/>
      <c r="H48" s="55">
        <v>5664</v>
      </c>
      <c r="I48" s="58">
        <f t="shared" si="1"/>
        <v>2984.40000000005</v>
      </c>
      <c r="J48" s="56"/>
    </row>
    <row r="49" ht="20" customHeight="1" spans="2:10">
      <c r="B49" s="42">
        <v>2</v>
      </c>
      <c r="C49" s="42">
        <v>15</v>
      </c>
      <c r="D49" s="42" t="s">
        <v>70</v>
      </c>
      <c r="E49" s="44" t="s">
        <v>1854</v>
      </c>
      <c r="F49" s="75" t="s">
        <v>1855</v>
      </c>
      <c r="G49" s="108">
        <v>6000</v>
      </c>
      <c r="H49" s="56"/>
      <c r="I49" s="58">
        <f t="shared" si="1"/>
        <v>8984.40000000005</v>
      </c>
      <c r="J49" s="56"/>
    </row>
    <row r="50" ht="20" customHeight="1" spans="2:10">
      <c r="B50" s="42">
        <v>2</v>
      </c>
      <c r="C50" s="42">
        <v>15</v>
      </c>
      <c r="D50" s="74" t="s">
        <v>72</v>
      </c>
      <c r="E50" s="45" t="s">
        <v>1854</v>
      </c>
      <c r="F50" s="75" t="s">
        <v>1856</v>
      </c>
      <c r="G50" s="108">
        <v>1000</v>
      </c>
      <c r="H50" s="56"/>
      <c r="I50" s="58">
        <f t="shared" si="1"/>
        <v>9984.40000000005</v>
      </c>
      <c r="J50" s="56"/>
    </row>
    <row r="51" ht="20" customHeight="1" spans="2:10">
      <c r="B51" s="42">
        <v>2</v>
      </c>
      <c r="C51" s="42">
        <v>15</v>
      </c>
      <c r="D51" s="74" t="s">
        <v>79</v>
      </c>
      <c r="E51" s="117" t="s">
        <v>1854</v>
      </c>
      <c r="F51" s="75" t="s">
        <v>1857</v>
      </c>
      <c r="G51" s="108">
        <v>837.9</v>
      </c>
      <c r="H51" s="56"/>
      <c r="I51" s="58">
        <f t="shared" si="1"/>
        <v>10822.3000000001</v>
      </c>
      <c r="J51" s="56"/>
    </row>
    <row r="52" ht="20" customHeight="1" spans="2:10">
      <c r="B52" s="42">
        <v>2</v>
      </c>
      <c r="C52" s="42">
        <v>23</v>
      </c>
      <c r="D52" s="42" t="s">
        <v>71</v>
      </c>
      <c r="E52" s="117" t="s">
        <v>1818</v>
      </c>
      <c r="F52" s="75" t="s">
        <v>1819</v>
      </c>
      <c r="G52" s="108">
        <v>350</v>
      </c>
      <c r="H52" s="56"/>
      <c r="I52" s="58">
        <f t="shared" si="1"/>
        <v>11172.3000000001</v>
      </c>
      <c r="J52" s="56"/>
    </row>
    <row r="53" ht="20" customHeight="1" spans="2:10">
      <c r="B53" s="42">
        <v>2</v>
      </c>
      <c r="C53" s="42">
        <v>25</v>
      </c>
      <c r="D53" s="42" t="s">
        <v>86</v>
      </c>
      <c r="E53" s="44" t="s">
        <v>251</v>
      </c>
      <c r="F53" s="75" t="s">
        <v>1858</v>
      </c>
      <c r="G53" s="55">
        <v>5000</v>
      </c>
      <c r="H53" s="56"/>
      <c r="I53" s="58">
        <f t="shared" si="1"/>
        <v>16172.3000000001</v>
      </c>
      <c r="J53" s="56"/>
    </row>
    <row r="54" ht="20" customHeight="1" spans="2:10">
      <c r="B54" s="42">
        <v>2</v>
      </c>
      <c r="C54" s="42">
        <v>27</v>
      </c>
      <c r="D54" s="74" t="s">
        <v>88</v>
      </c>
      <c r="E54" s="44" t="s">
        <v>251</v>
      </c>
      <c r="F54" s="146" t="s">
        <v>1859</v>
      </c>
      <c r="G54" s="108">
        <v>22231</v>
      </c>
      <c r="H54" s="56"/>
      <c r="I54" s="58">
        <f t="shared" si="1"/>
        <v>38403.3000000001</v>
      </c>
      <c r="J54" s="56"/>
    </row>
    <row r="55" ht="60.75" spans="2:10">
      <c r="B55" s="42">
        <v>2</v>
      </c>
      <c r="C55" s="42">
        <v>27</v>
      </c>
      <c r="D55" s="74" t="s">
        <v>93</v>
      </c>
      <c r="E55" s="117" t="s">
        <v>1830</v>
      </c>
      <c r="F55" s="77" t="s">
        <v>1860</v>
      </c>
      <c r="G55" s="56"/>
      <c r="H55" s="55">
        <v>16842.23</v>
      </c>
      <c r="I55" s="58">
        <f t="shared" si="1"/>
        <v>21561.0700000001</v>
      </c>
      <c r="J55" s="56"/>
    </row>
    <row r="56" ht="20" customHeight="1" spans="2:10">
      <c r="B56" s="42">
        <v>2</v>
      </c>
      <c r="C56" s="42">
        <v>27</v>
      </c>
      <c r="D56" s="74" t="s">
        <v>92</v>
      </c>
      <c r="E56" s="44" t="s">
        <v>271</v>
      </c>
      <c r="F56" s="75" t="s">
        <v>1861</v>
      </c>
      <c r="G56" s="56"/>
      <c r="H56" s="55">
        <v>18030.67</v>
      </c>
      <c r="I56" s="58">
        <f t="shared" si="1"/>
        <v>3530.40000000006</v>
      </c>
      <c r="J56" s="56"/>
    </row>
    <row r="57" ht="20" customHeight="1" spans="2:10">
      <c r="B57" s="42">
        <v>2</v>
      </c>
      <c r="C57" s="42">
        <v>27</v>
      </c>
      <c r="D57" s="42" t="s">
        <v>16</v>
      </c>
      <c r="E57" s="117" t="s">
        <v>1811</v>
      </c>
      <c r="F57" s="75" t="s">
        <v>237</v>
      </c>
      <c r="G57" s="56"/>
      <c r="H57" s="55">
        <v>8</v>
      </c>
      <c r="I57" s="58">
        <f t="shared" si="1"/>
        <v>3522.40000000006</v>
      </c>
      <c r="J57" s="56"/>
    </row>
    <row r="58" ht="20" customHeight="1" spans="2:10">
      <c r="B58" s="42">
        <v>2</v>
      </c>
      <c r="C58" s="42">
        <v>28</v>
      </c>
      <c r="D58" s="42" t="s">
        <v>71</v>
      </c>
      <c r="E58" s="45" t="s">
        <v>1862</v>
      </c>
      <c r="F58" s="75" t="s">
        <v>116</v>
      </c>
      <c r="G58" s="108">
        <v>600</v>
      </c>
      <c r="H58" s="56"/>
      <c r="I58" s="58">
        <f t="shared" si="1"/>
        <v>4122.40000000006</v>
      </c>
      <c r="J58" s="59"/>
    </row>
    <row r="59" ht="20" customHeight="1" spans="2:10">
      <c r="B59" s="68"/>
      <c r="C59" s="68"/>
      <c r="D59" s="68"/>
      <c r="E59" s="130"/>
      <c r="F59" s="70" t="s">
        <v>22</v>
      </c>
      <c r="G59" s="71">
        <f>SUM(G29:G58)</f>
        <v>349718.9</v>
      </c>
      <c r="H59" s="71">
        <f>SUM(H29:H58)</f>
        <v>358941.95</v>
      </c>
      <c r="I59" s="72">
        <f>I28+G59-H59</f>
        <v>4122.40000000014</v>
      </c>
      <c r="J59" s="71"/>
    </row>
    <row r="60" ht="20" customHeight="1" spans="2:10">
      <c r="B60" s="42">
        <v>3</v>
      </c>
      <c r="C60" s="42">
        <v>2</v>
      </c>
      <c r="D60" s="74" t="s">
        <v>69</v>
      </c>
      <c r="E60" s="44" t="s">
        <v>251</v>
      </c>
      <c r="F60" s="75" t="s">
        <v>1863</v>
      </c>
      <c r="G60" s="55">
        <v>5000</v>
      </c>
      <c r="H60" s="55"/>
      <c r="I60" s="58">
        <f t="shared" ref="I60:I80" si="2">I59+G60-H60</f>
        <v>9122.40000000014</v>
      </c>
      <c r="J60" s="56"/>
    </row>
    <row r="61" ht="20" customHeight="1" spans="2:10">
      <c r="B61" s="42">
        <v>3</v>
      </c>
      <c r="C61" s="42">
        <v>2</v>
      </c>
      <c r="D61" s="74" t="s">
        <v>145</v>
      </c>
      <c r="E61" s="44" t="s">
        <v>251</v>
      </c>
      <c r="F61" s="75" t="s">
        <v>1864</v>
      </c>
      <c r="G61" s="55"/>
      <c r="H61" s="55">
        <v>5000</v>
      </c>
      <c r="I61" s="58">
        <f t="shared" si="2"/>
        <v>4122.40000000014</v>
      </c>
      <c r="J61" s="56"/>
    </row>
    <row r="62" ht="20" customHeight="1" spans="2:10">
      <c r="B62" s="42">
        <v>3</v>
      </c>
      <c r="C62" s="42">
        <v>9</v>
      </c>
      <c r="D62" s="74" t="s">
        <v>119</v>
      </c>
      <c r="E62" s="117" t="s">
        <v>213</v>
      </c>
      <c r="F62" s="75" t="s">
        <v>1812</v>
      </c>
      <c r="G62" s="55"/>
      <c r="H62" s="55">
        <v>539.8</v>
      </c>
      <c r="I62" s="58">
        <f t="shared" si="2"/>
        <v>3582.60000000014</v>
      </c>
      <c r="J62" s="56"/>
    </row>
    <row r="63" ht="20" customHeight="1" spans="2:10">
      <c r="B63" s="42">
        <v>3</v>
      </c>
      <c r="C63" s="42">
        <v>16</v>
      </c>
      <c r="D63" s="74" t="s">
        <v>69</v>
      </c>
      <c r="E63" s="44" t="s">
        <v>251</v>
      </c>
      <c r="F63" s="75" t="s">
        <v>1863</v>
      </c>
      <c r="G63" s="55">
        <v>50000</v>
      </c>
      <c r="H63" s="56"/>
      <c r="I63" s="58">
        <f t="shared" si="2"/>
        <v>53582.6000000001</v>
      </c>
      <c r="J63" s="56"/>
    </row>
    <row r="64" ht="20" customHeight="1" spans="2:10">
      <c r="B64" s="42">
        <v>3</v>
      </c>
      <c r="C64" s="42">
        <v>16</v>
      </c>
      <c r="D64" s="74" t="s">
        <v>93</v>
      </c>
      <c r="E64" s="117" t="s">
        <v>420</v>
      </c>
      <c r="F64" s="75" t="s">
        <v>1865</v>
      </c>
      <c r="G64" s="84"/>
      <c r="H64" s="55">
        <v>5664</v>
      </c>
      <c r="I64" s="58">
        <f t="shared" si="2"/>
        <v>47918.6000000001</v>
      </c>
      <c r="J64" s="56"/>
    </row>
    <row r="65" ht="20" customHeight="1" spans="2:13">
      <c r="B65" s="42">
        <v>3</v>
      </c>
      <c r="C65" s="42">
        <v>16</v>
      </c>
      <c r="D65" s="74" t="s">
        <v>69</v>
      </c>
      <c r="E65" s="44" t="s">
        <v>1836</v>
      </c>
      <c r="F65" s="75" t="s">
        <v>1866</v>
      </c>
      <c r="G65" s="55">
        <v>17000</v>
      </c>
      <c r="H65" s="56"/>
      <c r="I65" s="58">
        <f t="shared" si="2"/>
        <v>64918.6000000001</v>
      </c>
      <c r="J65" s="56"/>
    </row>
    <row r="66" ht="20" customHeight="1" spans="2:13">
      <c r="B66" s="42">
        <v>3</v>
      </c>
      <c r="C66" s="42">
        <v>16</v>
      </c>
      <c r="D66" s="42" t="s">
        <v>88</v>
      </c>
      <c r="E66" s="44" t="s">
        <v>251</v>
      </c>
      <c r="F66" s="146" t="s">
        <v>1867</v>
      </c>
      <c r="G66" s="55">
        <v>20265</v>
      </c>
      <c r="H66" s="56"/>
      <c r="I66" s="58">
        <f t="shared" si="2"/>
        <v>85183.6000000001</v>
      </c>
      <c r="J66" s="56"/>
    </row>
    <row r="67" ht="20" customHeight="1" spans="2:13">
      <c r="B67" s="42">
        <v>3</v>
      </c>
      <c r="C67" s="42">
        <v>16</v>
      </c>
      <c r="D67" s="74" t="s">
        <v>69</v>
      </c>
      <c r="E67" s="117" t="s">
        <v>1807</v>
      </c>
      <c r="F67" s="75" t="s">
        <v>1844</v>
      </c>
      <c r="G67" s="84"/>
      <c r="H67" s="55">
        <v>3000</v>
      </c>
      <c r="I67" s="58">
        <f t="shared" si="2"/>
        <v>82183.6000000001</v>
      </c>
      <c r="J67" s="56"/>
    </row>
    <row r="68" ht="20" customHeight="1" spans="2:13">
      <c r="B68" s="42">
        <v>3</v>
      </c>
      <c r="C68" s="42">
        <v>16</v>
      </c>
      <c r="D68" s="74" t="s">
        <v>92</v>
      </c>
      <c r="E68" s="117" t="s">
        <v>1823</v>
      </c>
      <c r="F68" s="75" t="s">
        <v>1868</v>
      </c>
      <c r="G68" s="56"/>
      <c r="H68" s="55">
        <v>66362.32</v>
      </c>
      <c r="I68" s="58">
        <f t="shared" si="2"/>
        <v>15821.2800000001</v>
      </c>
      <c r="J68" s="56"/>
    </row>
    <row r="69" ht="20" customHeight="1" spans="2:13">
      <c r="B69" s="42">
        <v>3</v>
      </c>
      <c r="C69" s="42">
        <v>16</v>
      </c>
      <c r="D69" s="42" t="s">
        <v>16</v>
      </c>
      <c r="E69" s="95" t="s">
        <v>1811</v>
      </c>
      <c r="F69" s="75" t="s">
        <v>237</v>
      </c>
      <c r="G69" s="84"/>
      <c r="H69" s="55">
        <v>16</v>
      </c>
      <c r="I69" s="58">
        <f t="shared" si="2"/>
        <v>15805.2800000001</v>
      </c>
      <c r="J69" s="56"/>
    </row>
    <row r="70" ht="20" customHeight="1" spans="2:13">
      <c r="B70" s="42">
        <v>3</v>
      </c>
      <c r="C70" s="42">
        <v>18</v>
      </c>
      <c r="D70" s="42" t="s">
        <v>86</v>
      </c>
      <c r="E70" s="44" t="s">
        <v>1836</v>
      </c>
      <c r="F70" s="75" t="s">
        <v>1869</v>
      </c>
      <c r="G70" s="55">
        <v>50000</v>
      </c>
      <c r="H70" s="56"/>
      <c r="I70" s="58">
        <f t="shared" si="2"/>
        <v>65805.2800000001</v>
      </c>
      <c r="J70" s="56"/>
    </row>
    <row r="71" ht="20" customHeight="1" spans="2:13">
      <c r="B71" s="42">
        <v>3</v>
      </c>
      <c r="C71" s="42">
        <v>18</v>
      </c>
      <c r="D71" s="42" t="s">
        <v>132</v>
      </c>
      <c r="E71" s="117" t="s">
        <v>1809</v>
      </c>
      <c r="F71" s="75" t="s">
        <v>1810</v>
      </c>
      <c r="G71" s="56"/>
      <c r="H71" s="55">
        <v>50000</v>
      </c>
      <c r="I71" s="58">
        <f t="shared" si="2"/>
        <v>15805.2800000001</v>
      </c>
      <c r="J71" s="56"/>
    </row>
    <row r="72" ht="20" customHeight="1" spans="2:13">
      <c r="B72" s="42">
        <v>3</v>
      </c>
      <c r="C72" s="42">
        <v>21</v>
      </c>
      <c r="D72" s="42" t="s">
        <v>29</v>
      </c>
      <c r="E72" s="95" t="s">
        <v>1811</v>
      </c>
      <c r="F72" s="75" t="s">
        <v>29</v>
      </c>
      <c r="G72" s="55">
        <v>1.42</v>
      </c>
      <c r="H72" s="56"/>
      <c r="I72" s="58">
        <f t="shared" si="2"/>
        <v>15806.7000000001</v>
      </c>
      <c r="J72" s="56"/>
    </row>
    <row r="73" ht="20" customHeight="1" spans="2:13">
      <c r="B73" s="42">
        <v>3</v>
      </c>
      <c r="C73" s="42">
        <v>26</v>
      </c>
      <c r="D73" s="42" t="s">
        <v>71</v>
      </c>
      <c r="E73" s="95" t="s">
        <v>1818</v>
      </c>
      <c r="F73" s="75" t="s">
        <v>1819</v>
      </c>
      <c r="G73" s="55">
        <v>350</v>
      </c>
      <c r="H73" s="56"/>
      <c r="I73" s="58">
        <f t="shared" si="2"/>
        <v>16156.7000000001</v>
      </c>
      <c r="J73" s="56"/>
    </row>
    <row r="74" ht="20" customHeight="1" spans="2:13">
      <c r="B74" s="42">
        <v>3</v>
      </c>
      <c r="C74" s="42">
        <v>26</v>
      </c>
      <c r="D74" s="42" t="s">
        <v>70</v>
      </c>
      <c r="E74" s="44" t="s">
        <v>1854</v>
      </c>
      <c r="F74" s="75" t="s">
        <v>1870</v>
      </c>
      <c r="G74" s="55">
        <v>6000</v>
      </c>
      <c r="H74" s="56"/>
      <c r="I74" s="58">
        <f t="shared" si="2"/>
        <v>22156.7000000001</v>
      </c>
      <c r="J74" s="56"/>
    </row>
    <row r="75" ht="20" customHeight="1" spans="2:13">
      <c r="B75" s="42">
        <v>3</v>
      </c>
      <c r="C75" s="42">
        <v>26</v>
      </c>
      <c r="D75" s="42" t="s">
        <v>72</v>
      </c>
      <c r="E75" s="45" t="s">
        <v>1854</v>
      </c>
      <c r="F75" s="75" t="s">
        <v>1871</v>
      </c>
      <c r="G75" s="55">
        <v>1000</v>
      </c>
      <c r="H75" s="56"/>
      <c r="I75" s="58">
        <f t="shared" si="2"/>
        <v>23156.7000000001</v>
      </c>
      <c r="J75" s="56"/>
    </row>
    <row r="76" ht="20" customHeight="1" spans="2:13">
      <c r="B76" s="42">
        <v>3</v>
      </c>
      <c r="C76" s="42">
        <v>26</v>
      </c>
      <c r="D76" s="74" t="s">
        <v>79</v>
      </c>
      <c r="E76" s="117" t="s">
        <v>1854</v>
      </c>
      <c r="F76" s="75" t="s">
        <v>1872</v>
      </c>
      <c r="G76" s="55">
        <v>786.1</v>
      </c>
      <c r="H76" s="56"/>
      <c r="I76" s="58">
        <f t="shared" si="2"/>
        <v>23942.8000000001</v>
      </c>
      <c r="J76" s="56"/>
    </row>
    <row r="77" ht="60.75" spans="2:13">
      <c r="B77" s="42">
        <v>3</v>
      </c>
      <c r="C77" s="42">
        <v>30</v>
      </c>
      <c r="D77" s="74" t="s">
        <v>93</v>
      </c>
      <c r="E77" s="117" t="s">
        <v>1830</v>
      </c>
      <c r="F77" s="77" t="s">
        <v>1873</v>
      </c>
      <c r="G77" s="84"/>
      <c r="H77" s="55">
        <v>16532.02</v>
      </c>
      <c r="I77" s="58">
        <f t="shared" si="2"/>
        <v>7410.78000000013</v>
      </c>
      <c r="J77" s="56"/>
    </row>
    <row r="78" ht="20" customHeight="1" spans="2:13">
      <c r="B78" s="42">
        <v>3</v>
      </c>
      <c r="C78" s="42">
        <v>31</v>
      </c>
      <c r="D78" s="42" t="s">
        <v>86</v>
      </c>
      <c r="E78" s="44" t="s">
        <v>1874</v>
      </c>
      <c r="F78" s="75" t="s">
        <v>1875</v>
      </c>
      <c r="G78" s="55">
        <v>350000</v>
      </c>
      <c r="H78" s="56"/>
      <c r="I78" s="58">
        <f t="shared" si="2"/>
        <v>357410.78</v>
      </c>
      <c r="J78" s="161" t="s">
        <v>1876</v>
      </c>
    </row>
    <row r="79" ht="84.75" spans="2:13">
      <c r="B79" s="42">
        <v>3</v>
      </c>
      <c r="C79" s="42">
        <v>31</v>
      </c>
      <c r="D79" s="74" t="s">
        <v>135</v>
      </c>
      <c r="E79" s="44" t="s">
        <v>1877</v>
      </c>
      <c r="F79" s="77" t="s">
        <v>1878</v>
      </c>
      <c r="G79" s="56"/>
      <c r="H79" s="55">
        <v>350000</v>
      </c>
      <c r="I79" s="58">
        <f t="shared" si="2"/>
        <v>7410.78000000014</v>
      </c>
      <c r="J79" s="59" t="s">
        <v>1850</v>
      </c>
      <c r="M79" s="3" t="s">
        <v>1851</v>
      </c>
    </row>
    <row r="80" ht="20" customHeight="1" spans="2:13">
      <c r="B80" s="42">
        <v>3</v>
      </c>
      <c r="C80" s="42">
        <v>31</v>
      </c>
      <c r="D80" s="42" t="s">
        <v>16</v>
      </c>
      <c r="E80" s="95" t="s">
        <v>1811</v>
      </c>
      <c r="F80" s="75" t="s">
        <v>237</v>
      </c>
      <c r="G80" s="84"/>
      <c r="H80" s="55">
        <v>12</v>
      </c>
      <c r="I80" s="58">
        <f t="shared" si="2"/>
        <v>7398.78000000014</v>
      </c>
      <c r="J80" s="56"/>
    </row>
    <row r="81" ht="20" customHeight="1" spans="2:10">
      <c r="B81" s="68"/>
      <c r="C81" s="68"/>
      <c r="D81" s="68"/>
      <c r="E81" s="130"/>
      <c r="F81" s="70" t="s">
        <v>22</v>
      </c>
      <c r="G81" s="71">
        <f>SUM(G60:G80)</f>
        <v>500402.52</v>
      </c>
      <c r="H81" s="71">
        <f>SUM(H60:H80)</f>
        <v>497126.14</v>
      </c>
      <c r="I81" s="72">
        <f>I59+G81-H81</f>
        <v>7398.78000000014</v>
      </c>
      <c r="J81" s="71"/>
    </row>
    <row r="82" ht="20" customHeight="1" spans="2:10">
      <c r="B82" s="42">
        <v>4</v>
      </c>
      <c r="C82" s="42">
        <v>2</v>
      </c>
      <c r="D82" s="42" t="s">
        <v>75</v>
      </c>
      <c r="E82" s="44" t="s">
        <v>1879</v>
      </c>
      <c r="F82" s="77" t="s">
        <v>1880</v>
      </c>
      <c r="G82" s="55">
        <v>144.7</v>
      </c>
      <c r="H82" s="56"/>
      <c r="I82" s="58">
        <f>I80+G82-H82</f>
        <v>7543.48000000014</v>
      </c>
      <c r="J82" s="56"/>
    </row>
    <row r="83" ht="20" customHeight="1" spans="2:10">
      <c r="B83" s="42">
        <v>4</v>
      </c>
      <c r="C83" s="42">
        <v>7</v>
      </c>
      <c r="D83" s="42" t="s">
        <v>71</v>
      </c>
      <c r="E83" s="45" t="s">
        <v>1862</v>
      </c>
      <c r="F83" s="75" t="s">
        <v>116</v>
      </c>
      <c r="G83" s="55">
        <v>600</v>
      </c>
      <c r="H83" s="56"/>
      <c r="I83" s="58">
        <f t="shared" ref="I83:I126" si="3">I82+G83-H83</f>
        <v>8143.48000000014</v>
      </c>
      <c r="J83" s="56"/>
    </row>
    <row r="84" ht="20" customHeight="1" spans="2:10">
      <c r="B84" s="42">
        <v>4</v>
      </c>
      <c r="C84" s="42">
        <v>8</v>
      </c>
      <c r="D84" s="74" t="s">
        <v>119</v>
      </c>
      <c r="E84" s="117" t="s">
        <v>213</v>
      </c>
      <c r="F84" s="75" t="s">
        <v>1881</v>
      </c>
      <c r="G84" s="56"/>
      <c r="H84" s="55">
        <v>11.76</v>
      </c>
      <c r="I84" s="58">
        <f t="shared" si="3"/>
        <v>8131.72000000014</v>
      </c>
      <c r="J84" s="56"/>
    </row>
    <row r="85" ht="20" customHeight="1" spans="2:10">
      <c r="B85" s="42">
        <v>4</v>
      </c>
      <c r="C85" s="42">
        <v>8</v>
      </c>
      <c r="D85" s="74" t="s">
        <v>119</v>
      </c>
      <c r="E85" s="117" t="s">
        <v>213</v>
      </c>
      <c r="F85" s="75" t="s">
        <v>1812</v>
      </c>
      <c r="G85" s="56"/>
      <c r="H85" s="55">
        <v>17.8</v>
      </c>
      <c r="I85" s="58">
        <f t="shared" si="3"/>
        <v>8113.92000000014</v>
      </c>
      <c r="J85" s="56"/>
    </row>
    <row r="86" ht="20" customHeight="1" spans="2:10">
      <c r="B86" s="42">
        <v>4</v>
      </c>
      <c r="C86" s="42">
        <v>9</v>
      </c>
      <c r="D86" s="42" t="s">
        <v>70</v>
      </c>
      <c r="E86" s="44" t="s">
        <v>1854</v>
      </c>
      <c r="F86" s="75" t="s">
        <v>1882</v>
      </c>
      <c r="G86" s="55">
        <v>6000</v>
      </c>
      <c r="H86" s="56"/>
      <c r="I86" s="58">
        <f t="shared" si="3"/>
        <v>14113.9200000001</v>
      </c>
      <c r="J86" s="56"/>
    </row>
    <row r="87" ht="20" customHeight="1" spans="2:10">
      <c r="B87" s="42">
        <v>4</v>
      </c>
      <c r="C87" s="42">
        <v>9</v>
      </c>
      <c r="D87" s="42" t="s">
        <v>72</v>
      </c>
      <c r="E87" s="45" t="s">
        <v>1854</v>
      </c>
      <c r="F87" s="75" t="s">
        <v>1883</v>
      </c>
      <c r="G87" s="55">
        <v>1000</v>
      </c>
      <c r="H87" s="56"/>
      <c r="I87" s="58">
        <f t="shared" si="3"/>
        <v>15113.9200000001</v>
      </c>
      <c r="J87" s="56"/>
    </row>
    <row r="88" ht="20" customHeight="1" spans="2:10">
      <c r="B88" s="42">
        <v>4</v>
      </c>
      <c r="C88" s="42">
        <v>9</v>
      </c>
      <c r="D88" s="74" t="s">
        <v>79</v>
      </c>
      <c r="E88" s="44" t="s">
        <v>1854</v>
      </c>
      <c r="F88" s="75" t="s">
        <v>1884</v>
      </c>
      <c r="G88" s="55">
        <v>1170.05</v>
      </c>
      <c r="H88" s="56"/>
      <c r="I88" s="58">
        <f t="shared" si="3"/>
        <v>16283.9700000001</v>
      </c>
      <c r="J88" s="56"/>
    </row>
    <row r="89" ht="20" customHeight="1" spans="2:10">
      <c r="B89" s="42">
        <v>4</v>
      </c>
      <c r="C89" s="42">
        <v>9</v>
      </c>
      <c r="D89" s="42"/>
      <c r="E89" s="44" t="s">
        <v>1885</v>
      </c>
      <c r="F89" s="77" t="s">
        <v>1886</v>
      </c>
      <c r="G89" s="55">
        <v>225103</v>
      </c>
      <c r="H89" s="55"/>
      <c r="I89" s="58">
        <f t="shared" si="3"/>
        <v>241386.97</v>
      </c>
      <c r="J89" s="56"/>
    </row>
    <row r="90" ht="20" customHeight="1" spans="2:10">
      <c r="B90" s="42">
        <v>4</v>
      </c>
      <c r="C90" s="42">
        <v>10</v>
      </c>
      <c r="D90" s="42"/>
      <c r="E90" s="44" t="s">
        <v>1885</v>
      </c>
      <c r="F90" s="77" t="s">
        <v>1887</v>
      </c>
      <c r="G90" s="55"/>
      <c r="H90" s="55">
        <v>225103</v>
      </c>
      <c r="I90" s="58">
        <f t="shared" si="3"/>
        <v>16283.9700000001</v>
      </c>
      <c r="J90" s="56"/>
    </row>
    <row r="91" ht="20" customHeight="1" spans="2:10">
      <c r="B91" s="42">
        <v>4</v>
      </c>
      <c r="C91" s="42">
        <v>10</v>
      </c>
      <c r="D91" s="74" t="s">
        <v>79</v>
      </c>
      <c r="E91" s="75" t="s">
        <v>1827</v>
      </c>
      <c r="F91" s="75" t="s">
        <v>1888</v>
      </c>
      <c r="G91" s="55">
        <v>18126.5</v>
      </c>
      <c r="H91" s="56"/>
      <c r="I91" s="58">
        <f t="shared" si="3"/>
        <v>34410.4700000001</v>
      </c>
      <c r="J91" s="56"/>
    </row>
    <row r="92" ht="20" customHeight="1" spans="2:10">
      <c r="B92" s="42">
        <v>4</v>
      </c>
      <c r="C92" s="42">
        <v>10</v>
      </c>
      <c r="D92" s="74" t="s">
        <v>79</v>
      </c>
      <c r="E92" s="44" t="s">
        <v>1827</v>
      </c>
      <c r="F92" s="75" t="s">
        <v>1889</v>
      </c>
      <c r="G92" s="55">
        <v>17901.68</v>
      </c>
      <c r="H92" s="56"/>
      <c r="I92" s="58">
        <f t="shared" si="3"/>
        <v>52312.1500000001</v>
      </c>
      <c r="J92" s="56"/>
    </row>
    <row r="93" ht="20" customHeight="1" spans="2:10">
      <c r="B93" s="42">
        <v>4</v>
      </c>
      <c r="C93" s="42">
        <v>10</v>
      </c>
      <c r="D93" s="42" t="s">
        <v>70</v>
      </c>
      <c r="E93" s="44" t="s">
        <v>1827</v>
      </c>
      <c r="F93" s="75" t="s">
        <v>1890</v>
      </c>
      <c r="G93" s="55">
        <v>31900</v>
      </c>
      <c r="H93" s="56"/>
      <c r="I93" s="58">
        <f t="shared" si="3"/>
        <v>84212.1500000001</v>
      </c>
      <c r="J93" s="56"/>
    </row>
    <row r="94" ht="20" customHeight="1" spans="2:10">
      <c r="B94" s="42">
        <v>4</v>
      </c>
      <c r="C94" s="42">
        <v>10</v>
      </c>
      <c r="D94" s="74" t="s">
        <v>79</v>
      </c>
      <c r="E94" s="44" t="s">
        <v>1827</v>
      </c>
      <c r="F94" s="75" t="s">
        <v>1891</v>
      </c>
      <c r="G94" s="55">
        <v>8732.32</v>
      </c>
      <c r="H94" s="56"/>
      <c r="I94" s="58">
        <f t="shared" si="3"/>
        <v>92944.4700000001</v>
      </c>
      <c r="J94" s="56"/>
    </row>
    <row r="95" ht="20" customHeight="1" spans="2:10">
      <c r="B95" s="42">
        <v>4</v>
      </c>
      <c r="C95" s="42">
        <v>10</v>
      </c>
      <c r="D95" s="42" t="s">
        <v>70</v>
      </c>
      <c r="E95" s="44" t="s">
        <v>1827</v>
      </c>
      <c r="F95" s="75" t="s">
        <v>1892</v>
      </c>
      <c r="G95" s="55">
        <v>31900</v>
      </c>
      <c r="H95" s="56"/>
      <c r="I95" s="58">
        <f t="shared" si="3"/>
        <v>124844.47</v>
      </c>
      <c r="J95" s="56"/>
    </row>
    <row r="96" ht="20" customHeight="1" spans="2:10">
      <c r="B96" s="42">
        <v>4</v>
      </c>
      <c r="C96" s="42">
        <v>10</v>
      </c>
      <c r="D96" s="74" t="s">
        <v>79</v>
      </c>
      <c r="E96" s="44" t="s">
        <v>1827</v>
      </c>
      <c r="F96" s="75" t="s">
        <v>1893</v>
      </c>
      <c r="G96" s="55">
        <v>4315.5</v>
      </c>
      <c r="H96" s="56"/>
      <c r="I96" s="58">
        <f t="shared" si="3"/>
        <v>129159.97</v>
      </c>
      <c r="J96" s="56"/>
    </row>
    <row r="97" ht="20" customHeight="1" spans="2:13">
      <c r="B97" s="42">
        <v>4</v>
      </c>
      <c r="C97" s="42">
        <v>10</v>
      </c>
      <c r="D97" s="42" t="s">
        <v>70</v>
      </c>
      <c r="E97" s="44" t="s">
        <v>1827</v>
      </c>
      <c r="F97" s="75" t="s">
        <v>1894</v>
      </c>
      <c r="G97" s="55">
        <v>31900</v>
      </c>
      <c r="H97" s="56"/>
      <c r="I97" s="58">
        <f t="shared" si="3"/>
        <v>161059.97</v>
      </c>
      <c r="J97" s="56"/>
    </row>
    <row r="98" ht="20" customHeight="1" spans="2:13">
      <c r="B98" s="42">
        <v>4</v>
      </c>
      <c r="C98" s="42">
        <v>10</v>
      </c>
      <c r="D98" s="74" t="s">
        <v>79</v>
      </c>
      <c r="E98" s="44" t="s">
        <v>1827</v>
      </c>
      <c r="F98" s="75" t="s">
        <v>1895</v>
      </c>
      <c r="G98" s="55">
        <v>3724</v>
      </c>
      <c r="H98" s="56"/>
      <c r="I98" s="58">
        <f t="shared" si="3"/>
        <v>164783.97</v>
      </c>
      <c r="J98" s="56"/>
    </row>
    <row r="99" ht="20" customHeight="1" spans="2:13">
      <c r="B99" s="42">
        <v>4</v>
      </c>
      <c r="C99" s="42">
        <v>10</v>
      </c>
      <c r="D99" s="42" t="s">
        <v>70</v>
      </c>
      <c r="E99" s="44" t="s">
        <v>1827</v>
      </c>
      <c r="F99" s="75" t="s">
        <v>1896</v>
      </c>
      <c r="G99" s="55">
        <v>31900</v>
      </c>
      <c r="H99" s="56"/>
      <c r="I99" s="58">
        <f t="shared" si="3"/>
        <v>196683.97</v>
      </c>
      <c r="J99" s="56"/>
    </row>
    <row r="100" ht="20" customHeight="1" spans="2:13">
      <c r="B100" s="42">
        <v>4</v>
      </c>
      <c r="C100" s="42">
        <v>10</v>
      </c>
      <c r="D100" s="74" t="s">
        <v>79</v>
      </c>
      <c r="E100" s="44" t="s">
        <v>1827</v>
      </c>
      <c r="F100" s="75" t="s">
        <v>1897</v>
      </c>
      <c r="G100" s="55">
        <v>4131.89</v>
      </c>
      <c r="H100" s="56"/>
      <c r="I100" s="58">
        <f t="shared" si="3"/>
        <v>200815.86</v>
      </c>
      <c r="J100" s="56"/>
    </row>
    <row r="101" ht="20" customHeight="1" spans="2:13">
      <c r="B101" s="42">
        <v>4</v>
      </c>
      <c r="C101" s="42">
        <v>10</v>
      </c>
      <c r="D101" s="42" t="s">
        <v>70</v>
      </c>
      <c r="E101" s="44" t="s">
        <v>1827</v>
      </c>
      <c r="F101" s="75" t="s">
        <v>1898</v>
      </c>
      <c r="G101" s="55">
        <v>31900</v>
      </c>
      <c r="H101" s="56"/>
      <c r="I101" s="58">
        <f t="shared" si="3"/>
        <v>232715.86</v>
      </c>
      <c r="J101" s="56"/>
    </row>
    <row r="102" ht="20" customHeight="1" spans="2:13">
      <c r="B102" s="42">
        <v>4</v>
      </c>
      <c r="C102" s="42">
        <v>10</v>
      </c>
      <c r="D102" s="74" t="s">
        <v>79</v>
      </c>
      <c r="E102" s="44" t="s">
        <v>1827</v>
      </c>
      <c r="F102" s="75" t="s">
        <v>1899</v>
      </c>
      <c r="G102" s="55">
        <v>3767.82</v>
      </c>
      <c r="H102" s="56"/>
      <c r="I102" s="58">
        <f t="shared" si="3"/>
        <v>236483.68</v>
      </c>
      <c r="J102" s="56"/>
    </row>
    <row r="103" ht="20" customHeight="1" spans="2:13">
      <c r="B103" s="42">
        <v>4</v>
      </c>
      <c r="C103" s="42">
        <v>10</v>
      </c>
      <c r="D103" s="74" t="s">
        <v>79</v>
      </c>
      <c r="E103" s="44" t="s">
        <v>1827</v>
      </c>
      <c r="F103" s="75" t="s">
        <v>1900</v>
      </c>
      <c r="G103" s="55">
        <v>4903.29</v>
      </c>
      <c r="H103" s="56"/>
      <c r="I103" s="58">
        <f t="shared" si="3"/>
        <v>241386.97</v>
      </c>
      <c r="J103" s="56"/>
    </row>
    <row r="104" ht="20" customHeight="1" spans="2:13">
      <c r="B104" s="42">
        <v>4</v>
      </c>
      <c r="C104" s="42">
        <v>14</v>
      </c>
      <c r="D104" s="74" t="s">
        <v>145</v>
      </c>
      <c r="E104" s="45" t="s">
        <v>1846</v>
      </c>
      <c r="F104" s="75" t="s">
        <v>1901</v>
      </c>
      <c r="G104" s="55"/>
      <c r="H104" s="55">
        <v>10000</v>
      </c>
      <c r="I104" s="58">
        <f t="shared" si="3"/>
        <v>231386.97</v>
      </c>
      <c r="J104" s="56"/>
    </row>
    <row r="105" ht="20" customHeight="1" spans="2:13">
      <c r="B105" s="42">
        <v>4</v>
      </c>
      <c r="C105" s="42">
        <v>14</v>
      </c>
      <c r="D105" s="42" t="s">
        <v>74</v>
      </c>
      <c r="E105" s="45" t="s">
        <v>1902</v>
      </c>
      <c r="F105" s="75" t="s">
        <v>1903</v>
      </c>
      <c r="G105" s="55">
        <v>4800</v>
      </c>
      <c r="H105" s="56"/>
      <c r="I105" s="58">
        <f t="shared" si="3"/>
        <v>236186.97</v>
      </c>
      <c r="J105" s="56"/>
    </row>
    <row r="106" ht="84.75" spans="2:13">
      <c r="B106" s="42">
        <v>4</v>
      </c>
      <c r="C106" s="42">
        <v>14</v>
      </c>
      <c r="D106" s="74" t="s">
        <v>135</v>
      </c>
      <c r="E106" s="44" t="s">
        <v>1877</v>
      </c>
      <c r="F106" s="77" t="s">
        <v>1904</v>
      </c>
      <c r="G106" s="56"/>
      <c r="H106" s="55">
        <v>150000</v>
      </c>
      <c r="I106" s="58">
        <f t="shared" si="3"/>
        <v>86186.9700000002</v>
      </c>
      <c r="J106" s="59" t="s">
        <v>1850</v>
      </c>
      <c r="M106" s="3" t="s">
        <v>1851</v>
      </c>
    </row>
    <row r="107" ht="20" customHeight="1" spans="2:13">
      <c r="B107" s="42">
        <v>4</v>
      </c>
      <c r="C107" s="42">
        <v>14</v>
      </c>
      <c r="D107" s="42" t="s">
        <v>16</v>
      </c>
      <c r="E107" s="95" t="s">
        <v>1811</v>
      </c>
      <c r="F107" s="75" t="s">
        <v>237</v>
      </c>
      <c r="G107" s="84"/>
      <c r="H107" s="55">
        <v>12</v>
      </c>
      <c r="I107" s="58">
        <f t="shared" si="3"/>
        <v>86174.9700000002</v>
      </c>
      <c r="J107" s="56"/>
    </row>
    <row r="108" ht="20" customHeight="1" spans="2:13">
      <c r="B108" s="42">
        <v>4</v>
      </c>
      <c r="C108" s="42">
        <v>15</v>
      </c>
      <c r="D108" s="74" t="s">
        <v>93</v>
      </c>
      <c r="E108" s="117" t="s">
        <v>420</v>
      </c>
      <c r="F108" s="75" t="s">
        <v>1905</v>
      </c>
      <c r="G108" s="84"/>
      <c r="H108" s="55">
        <v>5664</v>
      </c>
      <c r="I108" s="58">
        <f t="shared" si="3"/>
        <v>80510.9700000002</v>
      </c>
      <c r="J108" s="56"/>
    </row>
    <row r="109" ht="24.75" spans="2:13">
      <c r="B109" s="42">
        <v>4</v>
      </c>
      <c r="C109" s="42">
        <v>15</v>
      </c>
      <c r="D109" s="42" t="s">
        <v>140</v>
      </c>
      <c r="E109" s="117" t="s">
        <v>1906</v>
      </c>
      <c r="F109" s="77" t="s">
        <v>1907</v>
      </c>
      <c r="G109" s="84"/>
      <c r="H109" s="55">
        <v>9600</v>
      </c>
      <c r="I109" s="58">
        <f t="shared" si="3"/>
        <v>70910.9700000002</v>
      </c>
      <c r="J109" s="56"/>
    </row>
    <row r="110" ht="20" customHeight="1" spans="2:13">
      <c r="B110" s="42">
        <v>4</v>
      </c>
      <c r="C110" s="42">
        <v>15</v>
      </c>
      <c r="D110" s="42" t="s">
        <v>16</v>
      </c>
      <c r="E110" s="95" t="s">
        <v>1811</v>
      </c>
      <c r="F110" s="75" t="s">
        <v>237</v>
      </c>
      <c r="G110" s="84"/>
      <c r="H110" s="55">
        <v>4</v>
      </c>
      <c r="I110" s="58">
        <f t="shared" si="3"/>
        <v>70906.9700000002</v>
      </c>
      <c r="J110" s="56"/>
    </row>
    <row r="111" ht="20" customHeight="1" spans="2:13">
      <c r="B111" s="42">
        <v>4</v>
      </c>
      <c r="C111" s="42">
        <v>15</v>
      </c>
      <c r="D111" s="42" t="s">
        <v>134</v>
      </c>
      <c r="E111" s="162" t="s">
        <v>1908</v>
      </c>
      <c r="F111" s="75" t="s">
        <v>1909</v>
      </c>
      <c r="G111" s="56"/>
      <c r="H111" s="55">
        <v>2031</v>
      </c>
      <c r="I111" s="58">
        <f t="shared" si="3"/>
        <v>68875.9700000002</v>
      </c>
      <c r="J111" s="56"/>
    </row>
    <row r="112" ht="20" customHeight="1" spans="2:13">
      <c r="B112" s="42">
        <v>4</v>
      </c>
      <c r="C112" s="42">
        <v>15</v>
      </c>
      <c r="D112" s="74" t="s">
        <v>92</v>
      </c>
      <c r="E112" s="117" t="s">
        <v>1823</v>
      </c>
      <c r="F112" s="75" t="s">
        <v>1910</v>
      </c>
      <c r="G112" s="56"/>
      <c r="H112" s="55">
        <v>61145.94</v>
      </c>
      <c r="I112" s="58">
        <f t="shared" si="3"/>
        <v>7730.03000000017</v>
      </c>
      <c r="J112" s="56"/>
    </row>
    <row r="113" ht="20" customHeight="1" spans="2:13">
      <c r="B113" s="42">
        <v>4</v>
      </c>
      <c r="C113" s="42">
        <v>15</v>
      </c>
      <c r="D113" s="42" t="s">
        <v>16</v>
      </c>
      <c r="E113" s="95" t="s">
        <v>1811</v>
      </c>
      <c r="F113" s="75" t="s">
        <v>237</v>
      </c>
      <c r="G113" s="84"/>
      <c r="H113" s="55">
        <v>8</v>
      </c>
      <c r="I113" s="58">
        <f t="shared" si="3"/>
        <v>7722.03000000017</v>
      </c>
      <c r="J113" s="56"/>
    </row>
    <row r="114" ht="20" customHeight="1" spans="2:13">
      <c r="B114" s="42">
        <v>4</v>
      </c>
      <c r="C114" s="42">
        <v>15</v>
      </c>
      <c r="D114" s="42" t="s">
        <v>88</v>
      </c>
      <c r="E114" s="44" t="s">
        <v>251</v>
      </c>
      <c r="F114" s="75" t="s">
        <v>1911</v>
      </c>
      <c r="G114" s="55">
        <v>19844.24</v>
      </c>
      <c r="H114" s="56"/>
      <c r="I114" s="58">
        <f t="shared" si="3"/>
        <v>27566.2700000002</v>
      </c>
      <c r="J114" s="56"/>
    </row>
    <row r="115" ht="20" customHeight="1" spans="2:13">
      <c r="B115" s="42">
        <v>4</v>
      </c>
      <c r="C115" s="42">
        <v>16</v>
      </c>
      <c r="D115" s="42" t="s">
        <v>85</v>
      </c>
      <c r="E115" s="44" t="s">
        <v>251</v>
      </c>
      <c r="F115" s="75" t="s">
        <v>1912</v>
      </c>
      <c r="G115" s="55">
        <v>200000</v>
      </c>
      <c r="H115" s="56"/>
      <c r="I115" s="58">
        <f t="shared" si="3"/>
        <v>227566.27</v>
      </c>
      <c r="J115" s="56"/>
    </row>
    <row r="116" ht="20" customHeight="1" spans="2:13">
      <c r="B116" s="42">
        <v>4</v>
      </c>
      <c r="C116" s="42">
        <v>16</v>
      </c>
      <c r="D116" s="74" t="s">
        <v>136</v>
      </c>
      <c r="E116" s="162" t="s">
        <v>1848</v>
      </c>
      <c r="F116" s="75" t="s">
        <v>1913</v>
      </c>
      <c r="G116" s="56"/>
      <c r="H116" s="55">
        <v>200000</v>
      </c>
      <c r="I116" s="58">
        <f t="shared" si="3"/>
        <v>27566.2700000002</v>
      </c>
      <c r="J116" s="59" t="s">
        <v>1850</v>
      </c>
      <c r="M116" s="3" t="s">
        <v>1851</v>
      </c>
    </row>
    <row r="117" ht="20" customHeight="1" spans="2:13">
      <c r="B117" s="42">
        <v>4</v>
      </c>
      <c r="C117" s="42">
        <v>16</v>
      </c>
      <c r="D117" s="42" t="s">
        <v>16</v>
      </c>
      <c r="E117" s="95" t="s">
        <v>1811</v>
      </c>
      <c r="F117" s="75" t="s">
        <v>237</v>
      </c>
      <c r="G117" s="84"/>
      <c r="H117" s="55">
        <v>12</v>
      </c>
      <c r="I117" s="58">
        <f t="shared" si="3"/>
        <v>27554.2700000002</v>
      </c>
      <c r="J117" s="56"/>
    </row>
    <row r="118" ht="20" customHeight="1" spans="2:13">
      <c r="B118" s="42">
        <v>4</v>
      </c>
      <c r="C118" s="42">
        <v>16</v>
      </c>
      <c r="D118" s="74" t="s">
        <v>69</v>
      </c>
      <c r="E118" s="95" t="s">
        <v>1807</v>
      </c>
      <c r="F118" s="75" t="s">
        <v>1914</v>
      </c>
      <c r="G118" s="84"/>
      <c r="H118" s="55">
        <v>15000</v>
      </c>
      <c r="I118" s="58">
        <f t="shared" si="3"/>
        <v>12554.2700000002</v>
      </c>
      <c r="J118" s="56"/>
    </row>
    <row r="119" ht="20" customHeight="1" spans="2:13">
      <c r="B119" s="42">
        <v>4</v>
      </c>
      <c r="C119" s="42">
        <v>17</v>
      </c>
      <c r="D119" s="42" t="s">
        <v>85</v>
      </c>
      <c r="E119" s="44" t="s">
        <v>251</v>
      </c>
      <c r="F119" s="75" t="s">
        <v>1915</v>
      </c>
      <c r="G119" s="55">
        <v>55000</v>
      </c>
      <c r="H119" s="56"/>
      <c r="I119" s="58">
        <f t="shared" si="3"/>
        <v>67554.2700000002</v>
      </c>
      <c r="J119" s="56"/>
    </row>
    <row r="120" ht="20" customHeight="1" spans="2:13">
      <c r="B120" s="42">
        <v>4</v>
      </c>
      <c r="C120" s="42">
        <v>21</v>
      </c>
      <c r="D120" s="74" t="s">
        <v>145</v>
      </c>
      <c r="E120" s="45" t="s">
        <v>1846</v>
      </c>
      <c r="F120" s="75" t="s">
        <v>1901</v>
      </c>
      <c r="G120" s="56"/>
      <c r="H120" s="55">
        <v>45000</v>
      </c>
      <c r="I120" s="58">
        <f t="shared" si="3"/>
        <v>22554.2700000002</v>
      </c>
      <c r="J120" s="56"/>
    </row>
    <row r="121" ht="60.75" spans="2:13">
      <c r="B121" s="42">
        <v>4</v>
      </c>
      <c r="C121" s="42">
        <v>22</v>
      </c>
      <c r="D121" s="74" t="s">
        <v>93</v>
      </c>
      <c r="E121" s="117" t="s">
        <v>1830</v>
      </c>
      <c r="F121" s="77" t="s">
        <v>1916</v>
      </c>
      <c r="G121" s="56"/>
      <c r="H121" s="55">
        <v>15018.24</v>
      </c>
      <c r="I121" s="58">
        <f t="shared" si="3"/>
        <v>7536.03000000016</v>
      </c>
      <c r="J121" s="56"/>
    </row>
    <row r="122" ht="20" customHeight="1" spans="2:13">
      <c r="B122" s="42">
        <v>4</v>
      </c>
      <c r="C122" s="42">
        <v>27</v>
      </c>
      <c r="D122" s="42" t="s">
        <v>70</v>
      </c>
      <c r="E122" s="163" t="s">
        <v>1885</v>
      </c>
      <c r="F122" s="164" t="s">
        <v>1917</v>
      </c>
      <c r="G122" s="55">
        <v>30300</v>
      </c>
      <c r="H122" s="56"/>
      <c r="I122" s="58">
        <f t="shared" si="3"/>
        <v>37836.0300000002</v>
      </c>
      <c r="J122" s="56"/>
      <c r="K122" s="3" t="s">
        <v>1850</v>
      </c>
    </row>
    <row r="123" ht="20" customHeight="1" spans="2:13">
      <c r="B123" s="42">
        <v>4</v>
      </c>
      <c r="C123" s="42">
        <v>27</v>
      </c>
      <c r="D123" s="74" t="s">
        <v>96</v>
      </c>
      <c r="E123" s="117" t="s">
        <v>178</v>
      </c>
      <c r="F123" s="75" t="s">
        <v>1918</v>
      </c>
      <c r="G123" s="56"/>
      <c r="H123" s="55">
        <v>3036.44</v>
      </c>
      <c r="I123" s="58">
        <f t="shared" si="3"/>
        <v>34799.5900000002</v>
      </c>
      <c r="J123" s="56"/>
    </row>
    <row r="124" ht="20" customHeight="1" spans="2:13">
      <c r="B124" s="42">
        <v>4</v>
      </c>
      <c r="C124" s="42">
        <v>27</v>
      </c>
      <c r="D124" s="42" t="s">
        <v>97</v>
      </c>
      <c r="E124" s="117" t="s">
        <v>178</v>
      </c>
      <c r="F124" s="75" t="s">
        <v>1919</v>
      </c>
      <c r="G124" s="55"/>
      <c r="H124" s="55">
        <v>2760</v>
      </c>
      <c r="I124" s="58">
        <f t="shared" si="3"/>
        <v>32039.5900000002</v>
      </c>
      <c r="J124" s="56"/>
    </row>
    <row r="125" ht="20" customHeight="1" spans="2:13">
      <c r="B125" s="42">
        <v>4</v>
      </c>
      <c r="C125" s="42">
        <v>27</v>
      </c>
      <c r="D125" s="42" t="s">
        <v>74</v>
      </c>
      <c r="E125" s="45" t="s">
        <v>1902</v>
      </c>
      <c r="F125" s="75" t="s">
        <v>1920</v>
      </c>
      <c r="G125" s="55">
        <v>72000</v>
      </c>
      <c r="H125" s="56"/>
      <c r="I125" s="58">
        <f t="shared" si="3"/>
        <v>104039.59</v>
      </c>
      <c r="J125" s="56"/>
    </row>
    <row r="126" ht="20" customHeight="1" spans="2:13">
      <c r="B126" s="42">
        <v>4</v>
      </c>
      <c r="C126" s="42">
        <v>30</v>
      </c>
      <c r="D126" s="42" t="s">
        <v>74</v>
      </c>
      <c r="E126" s="45" t="s">
        <v>1902</v>
      </c>
      <c r="F126" s="75" t="s">
        <v>1921</v>
      </c>
      <c r="G126" s="55">
        <v>14400</v>
      </c>
      <c r="H126" s="56"/>
      <c r="I126" s="58">
        <f t="shared" si="3"/>
        <v>118439.59</v>
      </c>
      <c r="J126" s="56"/>
    </row>
    <row r="127" ht="20" customHeight="1" spans="2:13">
      <c r="B127" s="68"/>
      <c r="C127" s="68"/>
      <c r="D127" s="68"/>
      <c r="E127" s="130"/>
      <c r="F127" s="70" t="s">
        <v>22</v>
      </c>
      <c r="G127" s="71">
        <f>SUM(G82:G126)</f>
        <v>855464.99</v>
      </c>
      <c r="H127" s="71">
        <f>SUM(H82:H126)</f>
        <v>744424.18</v>
      </c>
      <c r="I127" s="72">
        <f>I81+G127-H127</f>
        <v>118439.59</v>
      </c>
      <c r="J127" s="71"/>
      <c r="L127" s="165">
        <f>G127-G89</f>
        <v>630361.99</v>
      </c>
    </row>
    <row r="128" ht="20" customHeight="1" spans="2:13">
      <c r="B128" s="42">
        <v>5</v>
      </c>
      <c r="C128" s="42">
        <v>6</v>
      </c>
      <c r="D128" s="42" t="s">
        <v>85</v>
      </c>
      <c r="E128" s="44" t="s">
        <v>251</v>
      </c>
      <c r="F128" s="75" t="s">
        <v>1912</v>
      </c>
      <c r="G128" s="55">
        <v>300000</v>
      </c>
      <c r="H128" s="56"/>
      <c r="I128" s="58">
        <f>I126+G128-H128</f>
        <v>418439.59</v>
      </c>
      <c r="J128" s="56"/>
    </row>
    <row r="129" ht="20" customHeight="1" spans="2:13">
      <c r="B129" s="42">
        <v>5</v>
      </c>
      <c r="C129" s="42">
        <v>6</v>
      </c>
      <c r="D129" s="42" t="s">
        <v>141</v>
      </c>
      <c r="E129" s="45" t="s">
        <v>1922</v>
      </c>
      <c r="F129" s="77" t="s">
        <v>1923</v>
      </c>
      <c r="G129" s="56"/>
      <c r="H129" s="55">
        <v>30300</v>
      </c>
      <c r="I129" s="58">
        <f t="shared" ref="I129:I163" si="4">I128+G129-H129</f>
        <v>388139.59</v>
      </c>
      <c r="J129" s="56"/>
    </row>
    <row r="130" ht="20" customHeight="1" spans="2:13">
      <c r="B130" s="42">
        <v>5</v>
      </c>
      <c r="C130" s="42">
        <v>6</v>
      </c>
      <c r="D130" s="42" t="s">
        <v>136</v>
      </c>
      <c r="E130" s="44" t="s">
        <v>1848</v>
      </c>
      <c r="F130" s="75" t="s">
        <v>1913</v>
      </c>
      <c r="G130" s="56"/>
      <c r="H130" s="55">
        <v>200000</v>
      </c>
      <c r="I130" s="58">
        <f t="shared" si="4"/>
        <v>188139.59</v>
      </c>
      <c r="J130" s="59" t="s">
        <v>1850</v>
      </c>
      <c r="M130" s="3" t="s">
        <v>1851</v>
      </c>
    </row>
    <row r="131" ht="20" customHeight="1" spans="2:13">
      <c r="B131" s="42">
        <v>5</v>
      </c>
      <c r="C131" s="42">
        <v>6</v>
      </c>
      <c r="D131" s="42" t="s">
        <v>16</v>
      </c>
      <c r="E131" s="95" t="s">
        <v>1811</v>
      </c>
      <c r="F131" s="75" t="s">
        <v>237</v>
      </c>
      <c r="G131" s="84"/>
      <c r="H131" s="55">
        <v>12</v>
      </c>
      <c r="I131" s="58">
        <f t="shared" si="4"/>
        <v>188127.59</v>
      </c>
      <c r="J131" s="56"/>
    </row>
    <row r="132" ht="20" customHeight="1" spans="2:13">
      <c r="B132" s="42">
        <v>5</v>
      </c>
      <c r="C132" s="42">
        <v>6</v>
      </c>
      <c r="D132" s="42" t="s">
        <v>71</v>
      </c>
      <c r="E132" s="95" t="s">
        <v>1818</v>
      </c>
      <c r="F132" s="75" t="s">
        <v>1819</v>
      </c>
      <c r="G132" s="55">
        <v>350</v>
      </c>
      <c r="H132" s="56"/>
      <c r="I132" s="58">
        <f t="shared" si="4"/>
        <v>188477.59</v>
      </c>
      <c r="J132" s="56"/>
    </row>
    <row r="133" ht="20" customHeight="1" spans="2:13">
      <c r="B133" s="42">
        <v>5</v>
      </c>
      <c r="C133" s="42">
        <v>8</v>
      </c>
      <c r="D133" s="42" t="s">
        <v>73</v>
      </c>
      <c r="E133" s="44" t="s">
        <v>1924</v>
      </c>
      <c r="F133" s="75" t="s">
        <v>1925</v>
      </c>
      <c r="G133" s="55">
        <v>118449.07</v>
      </c>
      <c r="H133" s="56"/>
      <c r="I133" s="58">
        <f t="shared" si="4"/>
        <v>306926.66</v>
      </c>
      <c r="J133" s="56"/>
    </row>
    <row r="134" ht="20" customHeight="1" spans="2:13">
      <c r="B134" s="42">
        <v>5</v>
      </c>
      <c r="C134" s="42">
        <v>9</v>
      </c>
      <c r="D134" s="42" t="s">
        <v>135</v>
      </c>
      <c r="E134" s="117" t="s">
        <v>1877</v>
      </c>
      <c r="F134" s="75" t="s">
        <v>1926</v>
      </c>
      <c r="G134" s="56"/>
      <c r="H134" s="55">
        <v>150000</v>
      </c>
      <c r="I134" s="58">
        <f t="shared" si="4"/>
        <v>156926.66</v>
      </c>
      <c r="J134" s="59" t="s">
        <v>1850</v>
      </c>
      <c r="M134" s="3" t="s">
        <v>1851</v>
      </c>
    </row>
    <row r="135" ht="20" customHeight="1" spans="2:13">
      <c r="B135" s="42">
        <v>5</v>
      </c>
      <c r="C135" s="42">
        <v>9</v>
      </c>
      <c r="D135" s="42" t="s">
        <v>16</v>
      </c>
      <c r="E135" s="95" t="s">
        <v>1811</v>
      </c>
      <c r="F135" s="75" t="s">
        <v>237</v>
      </c>
      <c r="G135" s="84"/>
      <c r="H135" s="55">
        <v>12</v>
      </c>
      <c r="I135" s="58">
        <f t="shared" si="4"/>
        <v>156914.66</v>
      </c>
      <c r="J135" s="56"/>
    </row>
    <row r="136" ht="20" customHeight="1" spans="2:13">
      <c r="B136" s="42">
        <v>5</v>
      </c>
      <c r="C136" s="42">
        <v>9</v>
      </c>
      <c r="D136" s="42" t="s">
        <v>141</v>
      </c>
      <c r="E136" s="162" t="s">
        <v>1924</v>
      </c>
      <c r="F136" s="77" t="s">
        <v>1927</v>
      </c>
      <c r="G136" s="56"/>
      <c r="H136" s="55">
        <v>91600</v>
      </c>
      <c r="I136" s="58">
        <f t="shared" si="4"/>
        <v>65314.6600000002</v>
      </c>
      <c r="J136" s="56"/>
    </row>
    <row r="137" ht="20" customHeight="1" spans="2:13">
      <c r="B137" s="42">
        <v>5</v>
      </c>
      <c r="C137" s="42">
        <v>9</v>
      </c>
      <c r="D137" s="42" t="s">
        <v>141</v>
      </c>
      <c r="E137" s="162" t="s">
        <v>1924</v>
      </c>
      <c r="F137" s="77" t="s">
        <v>1928</v>
      </c>
      <c r="G137" s="56"/>
      <c r="H137" s="55">
        <v>43900</v>
      </c>
      <c r="I137" s="58">
        <f t="shared" si="4"/>
        <v>21414.6600000002</v>
      </c>
      <c r="J137" s="56"/>
    </row>
    <row r="138" ht="20" customHeight="1" spans="2:13">
      <c r="B138" s="42">
        <v>5</v>
      </c>
      <c r="C138" s="42">
        <v>9</v>
      </c>
      <c r="D138" s="42" t="s">
        <v>85</v>
      </c>
      <c r="E138" s="44" t="s">
        <v>239</v>
      </c>
      <c r="F138" s="75" t="s">
        <v>1929</v>
      </c>
      <c r="G138" s="55">
        <v>150000</v>
      </c>
      <c r="H138" s="56"/>
      <c r="I138" s="58">
        <f t="shared" si="4"/>
        <v>171414.66</v>
      </c>
      <c r="J138" s="56"/>
    </row>
    <row r="139" ht="20" customHeight="1" spans="2:13">
      <c r="B139" s="42">
        <v>5</v>
      </c>
      <c r="C139" s="42">
        <v>11</v>
      </c>
      <c r="D139" s="42" t="s">
        <v>141</v>
      </c>
      <c r="E139" s="162" t="s">
        <v>1924</v>
      </c>
      <c r="F139" s="77" t="s">
        <v>1930</v>
      </c>
      <c r="G139" s="56"/>
      <c r="H139" s="55">
        <v>91600</v>
      </c>
      <c r="I139" s="58">
        <f t="shared" si="4"/>
        <v>79814.6600000002</v>
      </c>
      <c r="J139" s="56"/>
      <c r="M139" s="3" t="s">
        <v>1851</v>
      </c>
    </row>
    <row r="140" ht="20" customHeight="1" spans="2:13">
      <c r="B140" s="42">
        <v>5</v>
      </c>
      <c r="C140" s="42">
        <v>11</v>
      </c>
      <c r="D140" s="42" t="s">
        <v>141</v>
      </c>
      <c r="E140" s="162" t="s">
        <v>1924</v>
      </c>
      <c r="F140" s="77" t="s">
        <v>1931</v>
      </c>
      <c r="G140" s="56"/>
      <c r="H140" s="55">
        <v>43900</v>
      </c>
      <c r="I140" s="58">
        <f t="shared" si="4"/>
        <v>35914.6600000002</v>
      </c>
      <c r="J140" s="56"/>
      <c r="M140" s="3" t="s">
        <v>1851</v>
      </c>
    </row>
    <row r="141" ht="20" customHeight="1" spans="2:13">
      <c r="B141" s="42">
        <v>5</v>
      </c>
      <c r="C141" s="42">
        <v>11</v>
      </c>
      <c r="D141" s="74" t="s">
        <v>119</v>
      </c>
      <c r="E141" s="117" t="s">
        <v>213</v>
      </c>
      <c r="F141" s="75" t="s">
        <v>1812</v>
      </c>
      <c r="G141" s="56"/>
      <c r="H141" s="55">
        <v>17.8</v>
      </c>
      <c r="I141" s="58">
        <f t="shared" si="4"/>
        <v>35896.8600000002</v>
      </c>
      <c r="J141" s="56"/>
    </row>
    <row r="142" ht="28" customHeight="1" spans="2:13">
      <c r="B142" s="42">
        <v>5</v>
      </c>
      <c r="C142" s="42">
        <v>11</v>
      </c>
      <c r="D142" s="42" t="s">
        <v>74</v>
      </c>
      <c r="E142" s="117" t="s">
        <v>1902</v>
      </c>
      <c r="F142" s="77" t="s">
        <v>1932</v>
      </c>
      <c r="G142" s="55">
        <v>12000</v>
      </c>
      <c r="H142" s="56"/>
      <c r="I142" s="58">
        <f t="shared" si="4"/>
        <v>47896.8600000002</v>
      </c>
      <c r="J142" s="56"/>
    </row>
    <row r="143" ht="20" customHeight="1" spans="2:13">
      <c r="B143" s="42">
        <v>5</v>
      </c>
      <c r="C143" s="42">
        <v>11</v>
      </c>
      <c r="D143" s="42" t="s">
        <v>74</v>
      </c>
      <c r="E143" s="117" t="s">
        <v>1902</v>
      </c>
      <c r="F143" s="75" t="s">
        <v>1933</v>
      </c>
      <c r="G143" s="55">
        <v>2400</v>
      </c>
      <c r="H143" s="56"/>
      <c r="I143" s="58">
        <f t="shared" si="4"/>
        <v>50296.8600000002</v>
      </c>
      <c r="J143" s="56"/>
    </row>
    <row r="144" ht="20" customHeight="1" spans="2:13">
      <c r="B144" s="42">
        <v>5</v>
      </c>
      <c r="C144" s="42">
        <v>11</v>
      </c>
      <c r="D144" s="42" t="s">
        <v>74</v>
      </c>
      <c r="E144" s="117" t="s">
        <v>1902</v>
      </c>
      <c r="F144" s="77" t="s">
        <v>1934</v>
      </c>
      <c r="G144" s="55">
        <v>2400</v>
      </c>
      <c r="H144" s="56"/>
      <c r="I144" s="58">
        <f t="shared" si="4"/>
        <v>52696.8600000002</v>
      </c>
      <c r="J144" s="56"/>
    </row>
    <row r="145" ht="24.75" spans="2:13">
      <c r="B145" s="42">
        <v>5</v>
      </c>
      <c r="C145" s="42">
        <v>11</v>
      </c>
      <c r="D145" s="42" t="s">
        <v>140</v>
      </c>
      <c r="E145" s="117" t="s">
        <v>1906</v>
      </c>
      <c r="F145" s="77" t="s">
        <v>1935</v>
      </c>
      <c r="G145" s="55"/>
      <c r="H145" s="55">
        <v>33600</v>
      </c>
      <c r="I145" s="58">
        <f t="shared" si="4"/>
        <v>19096.8600000002</v>
      </c>
      <c r="J145" s="56"/>
    </row>
    <row r="146" ht="20" customHeight="1" spans="2:13">
      <c r="B146" s="42">
        <v>5</v>
      </c>
      <c r="C146" s="42">
        <v>11</v>
      </c>
      <c r="D146" s="42" t="s">
        <v>16</v>
      </c>
      <c r="E146" s="95" t="s">
        <v>1811</v>
      </c>
      <c r="F146" s="75" t="s">
        <v>237</v>
      </c>
      <c r="G146" s="84"/>
      <c r="H146" s="55">
        <v>8</v>
      </c>
      <c r="I146" s="58">
        <f t="shared" si="4"/>
        <v>19088.8600000002</v>
      </c>
      <c r="J146" s="56"/>
    </row>
    <row r="147" ht="20" customHeight="1" spans="2:13">
      <c r="B147" s="42">
        <v>5</v>
      </c>
      <c r="C147" s="42">
        <v>15</v>
      </c>
      <c r="D147" s="74" t="s">
        <v>93</v>
      </c>
      <c r="E147" s="117" t="s">
        <v>420</v>
      </c>
      <c r="F147" s="75" t="s">
        <v>1936</v>
      </c>
      <c r="G147" s="84"/>
      <c r="H147" s="55">
        <v>5664</v>
      </c>
      <c r="I147" s="58">
        <f t="shared" si="4"/>
        <v>13424.8600000002</v>
      </c>
      <c r="J147" s="56"/>
    </row>
    <row r="148" ht="20" customHeight="1" spans="2:13">
      <c r="B148" s="42">
        <v>5</v>
      </c>
      <c r="C148" s="42">
        <v>15</v>
      </c>
      <c r="D148" s="42" t="s">
        <v>85</v>
      </c>
      <c r="E148" s="44" t="s">
        <v>251</v>
      </c>
      <c r="F148" s="75" t="s">
        <v>1937</v>
      </c>
      <c r="G148" s="55">
        <v>50000</v>
      </c>
      <c r="H148" s="56"/>
      <c r="I148" s="58">
        <f t="shared" si="4"/>
        <v>63424.8600000002</v>
      </c>
      <c r="J148" s="56"/>
    </row>
    <row r="149" ht="20" customHeight="1" spans="2:13">
      <c r="B149" s="42">
        <v>5</v>
      </c>
      <c r="C149" s="42">
        <v>15</v>
      </c>
      <c r="D149" s="42" t="s">
        <v>88</v>
      </c>
      <c r="E149" s="44" t="s">
        <v>251</v>
      </c>
      <c r="F149" s="75" t="s">
        <v>1938</v>
      </c>
      <c r="G149" s="55">
        <v>19844.24</v>
      </c>
      <c r="H149" s="56"/>
      <c r="I149" s="58">
        <f t="shared" si="4"/>
        <v>83269.1000000002</v>
      </c>
      <c r="J149" s="56"/>
    </row>
    <row r="150" ht="20" customHeight="1" spans="2:13">
      <c r="B150" s="42">
        <v>5</v>
      </c>
      <c r="C150" s="42">
        <v>15</v>
      </c>
      <c r="D150" s="74" t="s">
        <v>69</v>
      </c>
      <c r="E150" s="95" t="s">
        <v>1807</v>
      </c>
      <c r="F150" s="75" t="s">
        <v>1914</v>
      </c>
      <c r="G150" s="55"/>
      <c r="H150" s="55">
        <v>16000</v>
      </c>
      <c r="I150" s="58">
        <f t="shared" si="4"/>
        <v>67269.1000000002</v>
      </c>
      <c r="J150" s="56"/>
    </row>
    <row r="151" ht="20" customHeight="1" spans="2:13">
      <c r="B151" s="42">
        <v>5</v>
      </c>
      <c r="C151" s="42">
        <v>15</v>
      </c>
      <c r="D151" s="74" t="s">
        <v>92</v>
      </c>
      <c r="E151" s="95" t="s">
        <v>1823</v>
      </c>
      <c r="F151" s="75" t="s">
        <v>1939</v>
      </c>
      <c r="G151" s="56"/>
      <c r="H151" s="55">
        <v>59293.95</v>
      </c>
      <c r="I151" s="58">
        <f t="shared" si="4"/>
        <v>7975.15000000021</v>
      </c>
      <c r="J151" s="56"/>
    </row>
    <row r="152" ht="20" customHeight="1" spans="2:13">
      <c r="B152" s="42">
        <v>5</v>
      </c>
      <c r="C152" s="42">
        <v>15</v>
      </c>
      <c r="D152" s="42" t="s">
        <v>16</v>
      </c>
      <c r="E152" s="95" t="s">
        <v>1811</v>
      </c>
      <c r="F152" s="75" t="s">
        <v>237</v>
      </c>
      <c r="G152" s="84"/>
      <c r="H152" s="55">
        <v>8</v>
      </c>
      <c r="I152" s="58">
        <f t="shared" si="4"/>
        <v>7967.15000000021</v>
      </c>
      <c r="J152" s="56"/>
    </row>
    <row r="153" ht="20" customHeight="1" spans="2:13">
      <c r="B153" s="42">
        <v>5</v>
      </c>
      <c r="C153" s="42">
        <v>18</v>
      </c>
      <c r="D153" s="42" t="s">
        <v>85</v>
      </c>
      <c r="E153" s="44" t="s">
        <v>239</v>
      </c>
      <c r="F153" s="75" t="s">
        <v>1940</v>
      </c>
      <c r="G153" s="55">
        <v>150000</v>
      </c>
      <c r="H153" s="56"/>
      <c r="I153" s="58">
        <f t="shared" si="4"/>
        <v>157967.15</v>
      </c>
      <c r="J153" s="56"/>
    </row>
    <row r="154" ht="20" customHeight="1" spans="2:13">
      <c r="B154" s="42">
        <v>5</v>
      </c>
      <c r="C154" s="42">
        <v>18</v>
      </c>
      <c r="D154" s="42" t="s">
        <v>86</v>
      </c>
      <c r="E154" s="117" t="s">
        <v>1809</v>
      </c>
      <c r="F154" s="75" t="s">
        <v>1941</v>
      </c>
      <c r="G154" s="55">
        <v>95000</v>
      </c>
      <c r="H154" s="56"/>
      <c r="I154" s="58">
        <f t="shared" si="4"/>
        <v>252967.15</v>
      </c>
      <c r="J154" s="56"/>
    </row>
    <row r="155" ht="20" customHeight="1" spans="2:13">
      <c r="B155" s="42">
        <v>5</v>
      </c>
      <c r="C155" s="42">
        <v>18</v>
      </c>
      <c r="D155" s="42" t="s">
        <v>136</v>
      </c>
      <c r="E155" s="44" t="s">
        <v>1848</v>
      </c>
      <c r="F155" s="75" t="s">
        <v>1913</v>
      </c>
      <c r="G155" s="56"/>
      <c r="H155" s="55">
        <v>200000</v>
      </c>
      <c r="I155" s="58">
        <f t="shared" si="4"/>
        <v>52967.15</v>
      </c>
      <c r="J155" s="59" t="s">
        <v>1850</v>
      </c>
      <c r="M155" s="3" t="s">
        <v>1851</v>
      </c>
    </row>
    <row r="156" ht="20" customHeight="1" spans="2:13">
      <c r="B156" s="42">
        <v>5</v>
      </c>
      <c r="C156" s="42">
        <v>18</v>
      </c>
      <c r="D156" s="42" t="s">
        <v>16</v>
      </c>
      <c r="E156" s="95" t="s">
        <v>1811</v>
      </c>
      <c r="F156" s="75" t="s">
        <v>237</v>
      </c>
      <c r="G156" s="84"/>
      <c r="H156" s="55">
        <v>12</v>
      </c>
      <c r="I156" s="58">
        <f t="shared" si="4"/>
        <v>52955.15</v>
      </c>
      <c r="J156" s="56"/>
    </row>
    <row r="157" ht="60.75" spans="2:13">
      <c r="B157" s="42">
        <v>5</v>
      </c>
      <c r="C157" s="42">
        <v>25</v>
      </c>
      <c r="D157" s="74" t="s">
        <v>93</v>
      </c>
      <c r="E157" s="117" t="s">
        <v>1830</v>
      </c>
      <c r="F157" s="77" t="s">
        <v>1942</v>
      </c>
      <c r="G157" s="55"/>
      <c r="H157" s="55">
        <v>15018.24</v>
      </c>
      <c r="I157" s="58">
        <f t="shared" si="4"/>
        <v>37936.91</v>
      </c>
      <c r="J157" s="56"/>
    </row>
    <row r="158" ht="20" customHeight="1" spans="2:13">
      <c r="B158" s="42">
        <v>5</v>
      </c>
      <c r="C158" s="42">
        <v>25</v>
      </c>
      <c r="D158" s="42" t="s">
        <v>70</v>
      </c>
      <c r="E158" s="95" t="s">
        <v>1854</v>
      </c>
      <c r="F158" s="75" t="s">
        <v>1943</v>
      </c>
      <c r="G158" s="55">
        <v>6000</v>
      </c>
      <c r="H158" s="56"/>
      <c r="I158" s="58">
        <f t="shared" si="4"/>
        <v>43936.91</v>
      </c>
      <c r="J158" s="56"/>
    </row>
    <row r="159" ht="20" customHeight="1" spans="2:13">
      <c r="B159" s="42">
        <v>5</v>
      </c>
      <c r="C159" s="42">
        <v>25</v>
      </c>
      <c r="D159" s="42" t="s">
        <v>72</v>
      </c>
      <c r="E159" s="95" t="s">
        <v>1854</v>
      </c>
      <c r="F159" s="75" t="s">
        <v>1944</v>
      </c>
      <c r="G159" s="55">
        <v>1000</v>
      </c>
      <c r="H159" s="56"/>
      <c r="I159" s="58">
        <f t="shared" si="4"/>
        <v>44936.91</v>
      </c>
      <c r="J159" s="56"/>
    </row>
    <row r="160" ht="20" customHeight="1" spans="2:13">
      <c r="B160" s="42">
        <v>5</v>
      </c>
      <c r="C160" s="42">
        <v>25</v>
      </c>
      <c r="D160" s="42" t="s">
        <v>79</v>
      </c>
      <c r="E160" s="95" t="s">
        <v>1854</v>
      </c>
      <c r="F160" s="75" t="s">
        <v>1945</v>
      </c>
      <c r="G160" s="55">
        <v>1148.7</v>
      </c>
      <c r="H160" s="56"/>
      <c r="I160" s="58">
        <f t="shared" si="4"/>
        <v>46085.61</v>
      </c>
      <c r="J160" s="56"/>
    </row>
    <row r="161" ht="20" customHeight="1" spans="2:13">
      <c r="B161" s="42">
        <v>5</v>
      </c>
      <c r="C161" s="42">
        <v>25</v>
      </c>
      <c r="D161" s="42" t="s">
        <v>70</v>
      </c>
      <c r="E161" s="95" t="s">
        <v>1854</v>
      </c>
      <c r="F161" s="75" t="s">
        <v>1946</v>
      </c>
      <c r="G161" s="55">
        <v>8000</v>
      </c>
      <c r="H161" s="56"/>
      <c r="I161" s="58">
        <f t="shared" si="4"/>
        <v>54085.61</v>
      </c>
      <c r="J161" s="56"/>
    </row>
    <row r="162" ht="20" customHeight="1" spans="2:13">
      <c r="B162" s="42">
        <v>5</v>
      </c>
      <c r="C162" s="42">
        <v>25</v>
      </c>
      <c r="D162" s="42" t="s">
        <v>72</v>
      </c>
      <c r="E162" s="95" t="s">
        <v>1854</v>
      </c>
      <c r="F162" s="75" t="s">
        <v>1947</v>
      </c>
      <c r="G162" s="55">
        <v>1000</v>
      </c>
      <c r="H162" s="56"/>
      <c r="I162" s="58">
        <f t="shared" si="4"/>
        <v>55085.61</v>
      </c>
      <c r="J162" s="56"/>
    </row>
    <row r="163" ht="20" customHeight="1" spans="2:13">
      <c r="B163" s="42">
        <v>5</v>
      </c>
      <c r="C163" s="42">
        <v>25</v>
      </c>
      <c r="D163" s="42" t="s">
        <v>79</v>
      </c>
      <c r="E163" s="95" t="s">
        <v>1854</v>
      </c>
      <c r="F163" s="75" t="s">
        <v>1948</v>
      </c>
      <c r="G163" s="55">
        <v>1607.55</v>
      </c>
      <c r="H163" s="56"/>
      <c r="I163" s="58">
        <f t="shared" si="4"/>
        <v>56693.16</v>
      </c>
      <c r="J163" s="56"/>
    </row>
    <row r="164" ht="20" customHeight="1" spans="2:13">
      <c r="B164" s="68"/>
      <c r="C164" s="68"/>
      <c r="D164" s="68"/>
      <c r="E164" s="130"/>
      <c r="F164" s="70" t="s">
        <v>22</v>
      </c>
      <c r="G164" s="71">
        <f>SUM(G128:G163)</f>
        <v>919199.56</v>
      </c>
      <c r="H164" s="71">
        <f>SUM(H128:H163)</f>
        <v>980945.99</v>
      </c>
      <c r="I164" s="72">
        <f>I127+G164-H164</f>
        <v>56693.1600000003</v>
      </c>
      <c r="J164" s="71"/>
      <c r="L164" s="165"/>
    </row>
    <row r="165" ht="20" customHeight="1" spans="2:13">
      <c r="B165" s="90">
        <v>6</v>
      </c>
      <c r="C165" s="90">
        <v>4</v>
      </c>
      <c r="D165" s="42" t="s">
        <v>74</v>
      </c>
      <c r="E165" s="117" t="s">
        <v>1902</v>
      </c>
      <c r="F165" s="92" t="s">
        <v>1949</v>
      </c>
      <c r="G165" s="76">
        <v>2400</v>
      </c>
      <c r="H165" s="89"/>
      <c r="I165" s="61">
        <f t="shared" ref="I165:I193" si="5">I164+G165-H165</f>
        <v>59093.1600000003</v>
      </c>
      <c r="J165" s="89"/>
      <c r="L165" s="165"/>
    </row>
    <row r="166" ht="20" customHeight="1" spans="2:13">
      <c r="B166" s="90">
        <v>6</v>
      </c>
      <c r="C166" s="90">
        <v>4</v>
      </c>
      <c r="D166" s="42" t="s">
        <v>74</v>
      </c>
      <c r="E166" s="117" t="s">
        <v>1902</v>
      </c>
      <c r="F166" s="88" t="s">
        <v>1950</v>
      </c>
      <c r="G166" s="76">
        <v>2400</v>
      </c>
      <c r="H166" s="89"/>
      <c r="I166" s="61">
        <f t="shared" si="5"/>
        <v>61493.1600000003</v>
      </c>
      <c r="J166" s="89"/>
      <c r="L166" s="165"/>
    </row>
    <row r="167" ht="20" customHeight="1" spans="2:13">
      <c r="B167" s="90">
        <v>6</v>
      </c>
      <c r="C167" s="90">
        <v>5</v>
      </c>
      <c r="D167" s="42" t="s">
        <v>86</v>
      </c>
      <c r="E167" s="117" t="s">
        <v>1809</v>
      </c>
      <c r="F167" s="75" t="s">
        <v>1951</v>
      </c>
      <c r="G167" s="76">
        <v>150000</v>
      </c>
      <c r="H167" s="89"/>
      <c r="I167" s="61">
        <f t="shared" si="5"/>
        <v>211493.16</v>
      </c>
      <c r="J167" s="89"/>
      <c r="L167" s="165"/>
    </row>
    <row r="168" ht="20" customHeight="1" spans="2:13">
      <c r="B168" s="90">
        <v>6</v>
      </c>
      <c r="C168" s="90">
        <v>5</v>
      </c>
      <c r="D168" s="86" t="s">
        <v>69</v>
      </c>
      <c r="E168" s="91" t="s">
        <v>251</v>
      </c>
      <c r="F168" s="166" t="s">
        <v>1952</v>
      </c>
      <c r="G168" s="89"/>
      <c r="H168" s="89">
        <v>30000</v>
      </c>
      <c r="I168" s="61">
        <f t="shared" si="5"/>
        <v>181493.16</v>
      </c>
      <c r="J168" s="89"/>
      <c r="L168" s="165"/>
    </row>
    <row r="169" ht="20" customHeight="1" spans="2:13">
      <c r="B169" s="90">
        <v>6</v>
      </c>
      <c r="C169" s="90">
        <v>5</v>
      </c>
      <c r="D169" s="90" t="s">
        <v>136</v>
      </c>
      <c r="E169" s="128" t="s">
        <v>1848</v>
      </c>
      <c r="F169" s="166" t="s">
        <v>1913</v>
      </c>
      <c r="G169" s="89"/>
      <c r="H169" s="89">
        <v>150000</v>
      </c>
      <c r="I169" s="61">
        <f t="shared" si="5"/>
        <v>31493.1600000003</v>
      </c>
      <c r="J169" s="105" t="s">
        <v>1850</v>
      </c>
      <c r="L169" s="165"/>
      <c r="M169" s="3" t="s">
        <v>1851</v>
      </c>
    </row>
    <row r="170" ht="20" customHeight="1" spans="2:13">
      <c r="B170" s="90">
        <v>6</v>
      </c>
      <c r="C170" s="90">
        <v>5</v>
      </c>
      <c r="D170" s="42" t="s">
        <v>16</v>
      </c>
      <c r="E170" s="95" t="s">
        <v>1811</v>
      </c>
      <c r="F170" s="95" t="s">
        <v>237</v>
      </c>
      <c r="G170" s="84"/>
      <c r="H170" s="84">
        <v>12</v>
      </c>
      <c r="I170" s="61">
        <f t="shared" si="5"/>
        <v>31481.1600000003</v>
      </c>
      <c r="J170" s="89"/>
      <c r="L170" s="165"/>
    </row>
    <row r="171" ht="20" customHeight="1" spans="2:13">
      <c r="B171" s="90">
        <v>6</v>
      </c>
      <c r="C171" s="90">
        <v>5</v>
      </c>
      <c r="D171" s="74" t="s">
        <v>119</v>
      </c>
      <c r="E171" s="117" t="s">
        <v>213</v>
      </c>
      <c r="F171" s="117" t="s">
        <v>1812</v>
      </c>
      <c r="G171" s="56"/>
      <c r="H171" s="56">
        <v>17.8</v>
      </c>
      <c r="I171" s="61">
        <f t="shared" si="5"/>
        <v>31463.3600000003</v>
      </c>
      <c r="J171" s="89"/>
      <c r="L171" s="165"/>
    </row>
    <row r="172" ht="20" customHeight="1" spans="2:13">
      <c r="B172" s="42">
        <v>6</v>
      </c>
      <c r="C172" s="42">
        <v>5</v>
      </c>
      <c r="D172" s="42" t="s">
        <v>74</v>
      </c>
      <c r="E172" s="117" t="s">
        <v>1902</v>
      </c>
      <c r="F172" s="77" t="s">
        <v>1953</v>
      </c>
      <c r="G172" s="55">
        <v>12000</v>
      </c>
      <c r="H172" s="56"/>
      <c r="I172" s="61">
        <f t="shared" si="5"/>
        <v>43463.3600000003</v>
      </c>
      <c r="J172" s="56"/>
    </row>
    <row r="173" ht="20" customHeight="1" spans="2:13">
      <c r="B173" s="42">
        <v>6</v>
      </c>
      <c r="C173" s="42">
        <v>8</v>
      </c>
      <c r="D173" s="42" t="s">
        <v>71</v>
      </c>
      <c r="E173" s="95" t="s">
        <v>1818</v>
      </c>
      <c r="F173" s="75" t="s">
        <v>1819</v>
      </c>
      <c r="G173" s="55">
        <v>350</v>
      </c>
      <c r="H173" s="56"/>
      <c r="I173" s="61">
        <f t="shared" si="5"/>
        <v>43813.3600000003</v>
      </c>
      <c r="J173" s="56"/>
    </row>
    <row r="174" ht="20" customHeight="1" spans="2:13">
      <c r="B174" s="42">
        <v>6</v>
      </c>
      <c r="C174" s="42">
        <v>9</v>
      </c>
      <c r="D174" s="42" t="s">
        <v>86</v>
      </c>
      <c r="E174" s="117" t="s">
        <v>1809</v>
      </c>
      <c r="F174" s="75" t="s">
        <v>1951</v>
      </c>
      <c r="G174" s="55">
        <v>50000</v>
      </c>
      <c r="H174" s="56"/>
      <c r="I174" s="61">
        <f t="shared" si="5"/>
        <v>93813.3600000003</v>
      </c>
      <c r="J174" s="56"/>
    </row>
    <row r="175" ht="20" customHeight="1" spans="2:13">
      <c r="B175" s="42">
        <v>6</v>
      </c>
      <c r="C175" s="42">
        <v>9</v>
      </c>
      <c r="D175" s="86" t="s">
        <v>69</v>
      </c>
      <c r="E175" s="91" t="s">
        <v>251</v>
      </c>
      <c r="F175" s="166" t="s">
        <v>1952</v>
      </c>
      <c r="G175" s="56"/>
      <c r="H175" s="56">
        <v>40000</v>
      </c>
      <c r="I175" s="61">
        <f t="shared" si="5"/>
        <v>53813.3600000003</v>
      </c>
      <c r="J175" s="56"/>
    </row>
    <row r="176" ht="20" customHeight="1" spans="2:13">
      <c r="B176" s="42">
        <v>6</v>
      </c>
      <c r="C176" s="42">
        <v>15</v>
      </c>
      <c r="D176" s="74" t="s">
        <v>93</v>
      </c>
      <c r="E176" s="117" t="s">
        <v>420</v>
      </c>
      <c r="F176" s="95" t="s">
        <v>1954</v>
      </c>
      <c r="G176" s="84"/>
      <c r="H176" s="84">
        <v>5664</v>
      </c>
      <c r="I176" s="61">
        <f t="shared" si="5"/>
        <v>48149.3600000003</v>
      </c>
      <c r="J176" s="56"/>
    </row>
    <row r="177" ht="20" customHeight="1" spans="2:13">
      <c r="B177" s="42">
        <v>6</v>
      </c>
      <c r="C177" s="42">
        <v>15</v>
      </c>
      <c r="D177" s="42" t="s">
        <v>88</v>
      </c>
      <c r="E177" s="44" t="s">
        <v>251</v>
      </c>
      <c r="F177" s="95" t="s">
        <v>1955</v>
      </c>
      <c r="G177" s="56">
        <v>19745.39</v>
      </c>
      <c r="H177" s="56"/>
      <c r="I177" s="58">
        <f t="shared" si="5"/>
        <v>67894.7500000003</v>
      </c>
      <c r="J177" s="56"/>
    </row>
    <row r="178" ht="20" customHeight="1" spans="2:13">
      <c r="B178" s="42">
        <v>6</v>
      </c>
      <c r="C178" s="42">
        <v>15</v>
      </c>
      <c r="D178" s="74" t="s">
        <v>92</v>
      </c>
      <c r="E178" s="95" t="s">
        <v>1823</v>
      </c>
      <c r="F178" s="95" t="s">
        <v>1956</v>
      </c>
      <c r="G178" s="56"/>
      <c r="H178" s="56">
        <v>26596.37</v>
      </c>
      <c r="I178" s="58">
        <f t="shared" si="5"/>
        <v>41298.3800000003</v>
      </c>
      <c r="J178" s="56"/>
    </row>
    <row r="179" ht="20" customHeight="1" spans="2:13">
      <c r="B179" s="42">
        <v>6</v>
      </c>
      <c r="C179" s="42">
        <v>15</v>
      </c>
      <c r="D179" s="74" t="s">
        <v>92</v>
      </c>
      <c r="E179" s="117" t="s">
        <v>1807</v>
      </c>
      <c r="F179" s="95" t="s">
        <v>1956</v>
      </c>
      <c r="G179" s="56"/>
      <c r="H179" s="56">
        <v>33186.75</v>
      </c>
      <c r="I179" s="58">
        <f t="shared" si="5"/>
        <v>8111.6300000003</v>
      </c>
      <c r="J179" s="56"/>
    </row>
    <row r="180" ht="20" customHeight="1" spans="2:13">
      <c r="B180" s="42">
        <v>6</v>
      </c>
      <c r="C180" s="42">
        <v>16</v>
      </c>
      <c r="D180" s="42" t="s">
        <v>86</v>
      </c>
      <c r="E180" s="117" t="s">
        <v>1807</v>
      </c>
      <c r="F180" s="45" t="s">
        <v>1957</v>
      </c>
      <c r="G180" s="56">
        <v>150000</v>
      </c>
      <c r="H180" s="56"/>
      <c r="I180" s="58">
        <f t="shared" si="5"/>
        <v>158111.63</v>
      </c>
      <c r="J180" s="56"/>
    </row>
    <row r="181" ht="20" customHeight="1" spans="2:13">
      <c r="B181" s="42">
        <v>6</v>
      </c>
      <c r="C181" s="42">
        <v>16</v>
      </c>
      <c r="D181" s="42" t="s">
        <v>135</v>
      </c>
      <c r="E181" s="117" t="s">
        <v>1877</v>
      </c>
      <c r="F181" s="45" t="s">
        <v>1926</v>
      </c>
      <c r="G181" s="56"/>
      <c r="H181" s="56">
        <v>150000</v>
      </c>
      <c r="I181" s="58">
        <f t="shared" si="5"/>
        <v>8111.63</v>
      </c>
      <c r="J181" s="59" t="s">
        <v>1850</v>
      </c>
      <c r="M181" s="3" t="s">
        <v>1851</v>
      </c>
    </row>
    <row r="182" ht="20" customHeight="1" spans="2:13">
      <c r="B182" s="42">
        <v>6</v>
      </c>
      <c r="C182" s="42">
        <v>21</v>
      </c>
      <c r="D182" s="42" t="s">
        <v>29</v>
      </c>
      <c r="E182" s="117" t="s">
        <v>1811</v>
      </c>
      <c r="F182" s="45" t="s">
        <v>29</v>
      </c>
      <c r="G182" s="56">
        <v>7.37</v>
      </c>
      <c r="H182" s="56"/>
      <c r="I182" s="58">
        <f t="shared" si="5"/>
        <v>8119</v>
      </c>
      <c r="J182" s="56"/>
    </row>
    <row r="183" ht="20" customHeight="1" spans="2:13">
      <c r="B183" s="42">
        <v>6</v>
      </c>
      <c r="C183" s="42">
        <v>22</v>
      </c>
      <c r="D183" s="74" t="s">
        <v>69</v>
      </c>
      <c r="E183" s="117" t="s">
        <v>1807</v>
      </c>
      <c r="F183" s="45" t="s">
        <v>1958</v>
      </c>
      <c r="G183" s="56">
        <v>10000</v>
      </c>
      <c r="H183" s="56"/>
      <c r="I183" s="58">
        <f t="shared" si="5"/>
        <v>18119</v>
      </c>
      <c r="J183" s="56"/>
    </row>
    <row r="184" ht="60.75" spans="2:13">
      <c r="B184" s="42">
        <v>6</v>
      </c>
      <c r="C184" s="42">
        <v>22</v>
      </c>
      <c r="D184" s="74" t="s">
        <v>93</v>
      </c>
      <c r="E184" s="117" t="s">
        <v>1830</v>
      </c>
      <c r="F184" s="137" t="s">
        <v>1959</v>
      </c>
      <c r="G184" s="84"/>
      <c r="H184" s="84">
        <v>15018.24</v>
      </c>
      <c r="I184" s="58">
        <f t="shared" si="5"/>
        <v>3100.76</v>
      </c>
      <c r="J184" s="56"/>
    </row>
    <row r="185" ht="20" customHeight="1" spans="2:13">
      <c r="B185" s="42">
        <v>6</v>
      </c>
      <c r="C185" s="42">
        <v>22</v>
      </c>
      <c r="D185" s="42" t="s">
        <v>71</v>
      </c>
      <c r="E185" s="45" t="s">
        <v>1960</v>
      </c>
      <c r="F185" s="75" t="s">
        <v>1833</v>
      </c>
      <c r="G185" s="55">
        <v>2100</v>
      </c>
      <c r="H185" s="56"/>
      <c r="I185" s="58">
        <f t="shared" si="5"/>
        <v>5200.76</v>
      </c>
      <c r="J185" s="56"/>
    </row>
    <row r="186" ht="20" customHeight="1" spans="2:13">
      <c r="B186" s="42">
        <v>6</v>
      </c>
      <c r="C186" s="42">
        <v>25</v>
      </c>
      <c r="D186" s="42" t="s">
        <v>71</v>
      </c>
      <c r="E186" s="44" t="s">
        <v>1961</v>
      </c>
      <c r="F186" s="75" t="s">
        <v>1833</v>
      </c>
      <c r="G186" s="55">
        <v>7200</v>
      </c>
      <c r="H186" s="56"/>
      <c r="I186" s="58">
        <f t="shared" si="5"/>
        <v>12400.76</v>
      </c>
      <c r="J186" s="56"/>
    </row>
    <row r="187" ht="20" customHeight="1" spans="2:13">
      <c r="B187" s="42">
        <v>6</v>
      </c>
      <c r="C187" s="42">
        <v>26</v>
      </c>
      <c r="D187" s="42" t="s">
        <v>71</v>
      </c>
      <c r="E187" s="44" t="s">
        <v>1862</v>
      </c>
      <c r="F187" s="75" t="s">
        <v>1833</v>
      </c>
      <c r="G187" s="55">
        <v>600</v>
      </c>
      <c r="H187" s="56"/>
      <c r="I187" s="58">
        <f t="shared" si="5"/>
        <v>13000.76</v>
      </c>
      <c r="J187" s="56"/>
    </row>
    <row r="188" ht="20" customHeight="1" spans="2:13">
      <c r="B188" s="42">
        <v>6</v>
      </c>
      <c r="C188" s="42">
        <v>29</v>
      </c>
      <c r="D188" s="42" t="s">
        <v>86</v>
      </c>
      <c r="E188" s="44" t="s">
        <v>1962</v>
      </c>
      <c r="F188" s="45" t="s">
        <v>1963</v>
      </c>
      <c r="G188" s="56">
        <v>200000</v>
      </c>
      <c r="H188" s="56"/>
      <c r="I188" s="58">
        <f t="shared" si="5"/>
        <v>213000.76</v>
      </c>
      <c r="J188" s="59" t="s">
        <v>1964</v>
      </c>
    </row>
    <row r="189" ht="20" customHeight="1" spans="2:13">
      <c r="B189" s="42">
        <v>6</v>
      </c>
      <c r="C189" s="42">
        <v>29</v>
      </c>
      <c r="D189" s="42" t="s">
        <v>86</v>
      </c>
      <c r="E189" s="44" t="s">
        <v>251</v>
      </c>
      <c r="F189" s="45" t="s">
        <v>1965</v>
      </c>
      <c r="G189" s="56">
        <v>100000</v>
      </c>
      <c r="H189" s="56"/>
      <c r="I189" s="58">
        <f t="shared" si="5"/>
        <v>313000.76</v>
      </c>
      <c r="J189" s="59" t="s">
        <v>1966</v>
      </c>
    </row>
    <row r="190" ht="20" customHeight="1" spans="2:13">
      <c r="B190" s="42">
        <v>6</v>
      </c>
      <c r="C190" s="42">
        <v>29</v>
      </c>
      <c r="D190" s="42" t="s">
        <v>132</v>
      </c>
      <c r="E190" s="117" t="s">
        <v>1809</v>
      </c>
      <c r="F190" s="75" t="s">
        <v>1810</v>
      </c>
      <c r="G190" s="55"/>
      <c r="H190" s="55">
        <v>10000</v>
      </c>
      <c r="I190" s="58">
        <f t="shared" si="5"/>
        <v>303000.76</v>
      </c>
      <c r="J190" s="56"/>
      <c r="M190" s="3" t="s">
        <v>1851</v>
      </c>
    </row>
    <row r="191" ht="20" customHeight="1" spans="2:13">
      <c r="B191" s="42">
        <v>6</v>
      </c>
      <c r="C191" s="42">
        <v>29</v>
      </c>
      <c r="D191" s="90" t="s">
        <v>136</v>
      </c>
      <c r="E191" s="128" t="s">
        <v>1848</v>
      </c>
      <c r="F191" s="166" t="s">
        <v>1913</v>
      </c>
      <c r="G191" s="56"/>
      <c r="H191" s="56">
        <v>162975.4</v>
      </c>
      <c r="I191" s="58">
        <f t="shared" si="5"/>
        <v>140025.36</v>
      </c>
      <c r="J191" s="56" t="s">
        <v>1850</v>
      </c>
      <c r="M191" s="3" t="s">
        <v>1851</v>
      </c>
    </row>
    <row r="192" ht="20" customHeight="1" spans="2:13">
      <c r="B192" s="42">
        <v>6</v>
      </c>
      <c r="C192" s="42">
        <v>30</v>
      </c>
      <c r="D192" s="42" t="s">
        <v>141</v>
      </c>
      <c r="E192" s="162" t="s">
        <v>1924</v>
      </c>
      <c r="F192" s="137" t="s">
        <v>1967</v>
      </c>
      <c r="G192" s="56"/>
      <c r="H192" s="56">
        <v>45800</v>
      </c>
      <c r="I192" s="58">
        <f t="shared" si="5"/>
        <v>94225.36</v>
      </c>
      <c r="J192" s="56"/>
      <c r="M192" s="3" t="s">
        <v>1851</v>
      </c>
    </row>
    <row r="193" ht="20" customHeight="1" spans="2:13">
      <c r="B193" s="42">
        <v>6</v>
      </c>
      <c r="C193" s="42">
        <v>30</v>
      </c>
      <c r="D193" s="42" t="s">
        <v>141</v>
      </c>
      <c r="E193" s="162" t="s">
        <v>1924</v>
      </c>
      <c r="F193" s="137" t="s">
        <v>1968</v>
      </c>
      <c r="G193" s="56"/>
      <c r="H193" s="56">
        <v>21950</v>
      </c>
      <c r="I193" s="58">
        <f t="shared" si="5"/>
        <v>72275.36</v>
      </c>
      <c r="J193" s="56"/>
      <c r="M193" s="3" t="s">
        <v>1851</v>
      </c>
    </row>
    <row r="194" ht="20" customHeight="1" spans="2:13">
      <c r="B194" s="68"/>
      <c r="C194" s="68"/>
      <c r="D194" s="68"/>
      <c r="E194" s="130"/>
      <c r="F194" s="70" t="s">
        <v>22</v>
      </c>
      <c r="G194" s="71">
        <f>SUM(G165:G193)</f>
        <v>706802.76</v>
      </c>
      <c r="H194" s="71">
        <f>SUM(H165:H193)</f>
        <v>691220.56</v>
      </c>
      <c r="I194" s="72">
        <f>I164+G194-H194</f>
        <v>72275.3600000003</v>
      </c>
      <c r="J194" s="71"/>
      <c r="L194" s="165"/>
    </row>
    <row r="195" ht="20" customHeight="1" spans="2:13">
      <c r="B195" s="42">
        <v>7</v>
      </c>
      <c r="C195" s="42">
        <v>2</v>
      </c>
      <c r="D195" s="42" t="s">
        <v>132</v>
      </c>
      <c r="E195" s="117" t="s">
        <v>1809</v>
      </c>
      <c r="F195" s="75" t="s">
        <v>1810</v>
      </c>
      <c r="G195" s="55"/>
      <c r="H195" s="55">
        <v>70000</v>
      </c>
      <c r="I195" s="58">
        <f>I193+G195-H195</f>
        <v>2275.36</v>
      </c>
      <c r="J195" s="56"/>
      <c r="M195" s="3" t="s">
        <v>1851</v>
      </c>
    </row>
    <row r="196" ht="20" customHeight="1" spans="2:13">
      <c r="B196" s="42">
        <v>7</v>
      </c>
      <c r="C196" s="42">
        <v>2</v>
      </c>
      <c r="D196" s="74" t="s">
        <v>119</v>
      </c>
      <c r="E196" s="117" t="s">
        <v>213</v>
      </c>
      <c r="F196" s="75" t="s">
        <v>1969</v>
      </c>
      <c r="G196" s="56"/>
      <c r="H196" s="55">
        <v>571.21</v>
      </c>
      <c r="I196" s="58">
        <f t="shared" ref="I196:I228" si="6">I195+G196-H196</f>
        <v>1704.15</v>
      </c>
      <c r="J196" s="56"/>
    </row>
    <row r="197" ht="20" customHeight="1" spans="2:13">
      <c r="B197" s="42">
        <v>7</v>
      </c>
      <c r="C197" s="42">
        <v>2</v>
      </c>
      <c r="D197" s="74" t="s">
        <v>119</v>
      </c>
      <c r="E197" s="117" t="s">
        <v>213</v>
      </c>
      <c r="F197" s="75" t="s">
        <v>1970</v>
      </c>
      <c r="G197" s="56"/>
      <c r="H197" s="55">
        <v>19.99</v>
      </c>
      <c r="I197" s="58">
        <f t="shared" si="6"/>
        <v>1684.16</v>
      </c>
      <c r="J197" s="56"/>
    </row>
    <row r="198" ht="20" customHeight="1" spans="2:13">
      <c r="B198" s="42">
        <v>7</v>
      </c>
      <c r="C198" s="42">
        <v>2</v>
      </c>
      <c r="D198" s="74" t="s">
        <v>119</v>
      </c>
      <c r="E198" s="117" t="s">
        <v>213</v>
      </c>
      <c r="F198" s="75" t="s">
        <v>1971</v>
      </c>
      <c r="G198" s="56"/>
      <c r="H198" s="55">
        <v>43.07</v>
      </c>
      <c r="I198" s="58">
        <f t="shared" si="6"/>
        <v>1641.09</v>
      </c>
      <c r="J198" s="56"/>
    </row>
    <row r="199" ht="20" customHeight="1" spans="2:13">
      <c r="B199" s="42">
        <v>7</v>
      </c>
      <c r="C199" s="42">
        <v>3</v>
      </c>
      <c r="D199" s="74" t="s">
        <v>119</v>
      </c>
      <c r="E199" s="117" t="s">
        <v>213</v>
      </c>
      <c r="F199" s="75" t="s">
        <v>1812</v>
      </c>
      <c r="G199" s="56"/>
      <c r="H199" s="55">
        <v>17.8</v>
      </c>
      <c r="I199" s="58">
        <f t="shared" si="6"/>
        <v>1623.29</v>
      </c>
      <c r="J199" s="56"/>
    </row>
    <row r="200" ht="20" customHeight="1" spans="2:13">
      <c r="B200" s="42">
        <v>7</v>
      </c>
      <c r="C200" s="42">
        <v>6</v>
      </c>
      <c r="D200" s="42" t="s">
        <v>86</v>
      </c>
      <c r="E200" s="44" t="s">
        <v>251</v>
      </c>
      <c r="F200" s="75" t="s">
        <v>1965</v>
      </c>
      <c r="G200" s="55">
        <v>100000</v>
      </c>
      <c r="H200" s="56"/>
      <c r="I200" s="58">
        <f t="shared" si="6"/>
        <v>101623.29</v>
      </c>
      <c r="J200" s="59" t="s">
        <v>1966</v>
      </c>
    </row>
    <row r="201" ht="20" customHeight="1" spans="2:13">
      <c r="B201" s="42">
        <v>7</v>
      </c>
      <c r="C201" s="42">
        <v>6</v>
      </c>
      <c r="D201" s="74" t="s">
        <v>93</v>
      </c>
      <c r="E201" s="117" t="s">
        <v>420</v>
      </c>
      <c r="F201" s="75" t="s">
        <v>1954</v>
      </c>
      <c r="G201" s="84"/>
      <c r="H201" s="55">
        <v>5664</v>
      </c>
      <c r="I201" s="58">
        <f t="shared" si="6"/>
        <v>95959.29</v>
      </c>
      <c r="J201" s="56"/>
    </row>
    <row r="202" ht="20" customHeight="1" spans="2:13">
      <c r="B202" s="42">
        <v>7</v>
      </c>
      <c r="C202" s="42">
        <v>6</v>
      </c>
      <c r="D202" s="42" t="s">
        <v>132</v>
      </c>
      <c r="E202" s="44" t="s">
        <v>1809</v>
      </c>
      <c r="F202" s="75" t="s">
        <v>1810</v>
      </c>
      <c r="G202" s="56"/>
      <c r="H202" s="55">
        <v>95000</v>
      </c>
      <c r="I202" s="58">
        <f t="shared" si="6"/>
        <v>959.289999999994</v>
      </c>
      <c r="J202" s="56"/>
    </row>
    <row r="203" ht="20" customHeight="1" spans="2:13">
      <c r="B203" s="42">
        <v>7</v>
      </c>
      <c r="C203" s="42">
        <v>7</v>
      </c>
      <c r="D203" s="42" t="s">
        <v>70</v>
      </c>
      <c r="E203" s="44" t="s">
        <v>1827</v>
      </c>
      <c r="F203" s="75" t="s">
        <v>1972</v>
      </c>
      <c r="G203" s="55">
        <v>31900</v>
      </c>
      <c r="H203" s="56"/>
      <c r="I203" s="58">
        <f t="shared" si="6"/>
        <v>32859.29</v>
      </c>
      <c r="J203" s="56"/>
      <c r="K203" s="3" t="s">
        <v>1850</v>
      </c>
    </row>
    <row r="204" ht="20" customHeight="1" spans="2:13">
      <c r="B204" s="42">
        <v>7</v>
      </c>
      <c r="C204" s="42">
        <v>9</v>
      </c>
      <c r="D204" s="42" t="s">
        <v>86</v>
      </c>
      <c r="E204" s="44" t="s">
        <v>1973</v>
      </c>
      <c r="F204" s="75" t="s">
        <v>1963</v>
      </c>
      <c r="G204" s="55">
        <v>100000</v>
      </c>
      <c r="H204" s="56"/>
      <c r="I204" s="58">
        <f t="shared" si="6"/>
        <v>132859.29</v>
      </c>
      <c r="J204" s="56" t="s">
        <v>1974</v>
      </c>
    </row>
    <row r="205" ht="20" customHeight="1" spans="2:13">
      <c r="B205" s="42">
        <v>7</v>
      </c>
      <c r="C205" s="42">
        <v>9</v>
      </c>
      <c r="D205" s="74" t="s">
        <v>69</v>
      </c>
      <c r="E205" s="44" t="s">
        <v>1975</v>
      </c>
      <c r="F205" s="75" t="s">
        <v>1976</v>
      </c>
      <c r="G205" s="56"/>
      <c r="H205" s="55">
        <v>100000</v>
      </c>
      <c r="I205" s="58">
        <f t="shared" si="6"/>
        <v>32859.29</v>
      </c>
      <c r="J205" s="56"/>
    </row>
    <row r="206" ht="20" customHeight="1" spans="2:13">
      <c r="B206" s="42">
        <v>7</v>
      </c>
      <c r="C206" s="42">
        <v>10</v>
      </c>
      <c r="D206" s="94" t="s">
        <v>71</v>
      </c>
      <c r="E206" s="95" t="s">
        <v>1818</v>
      </c>
      <c r="F206" s="75" t="s">
        <v>1819</v>
      </c>
      <c r="G206" s="55">
        <v>350</v>
      </c>
      <c r="H206" s="56"/>
      <c r="I206" s="58">
        <f t="shared" si="6"/>
        <v>33209.29</v>
      </c>
      <c r="J206" s="56"/>
    </row>
    <row r="207" ht="20" customHeight="1" spans="2:13">
      <c r="B207" s="42">
        <v>7</v>
      </c>
      <c r="C207" s="42">
        <v>10</v>
      </c>
      <c r="D207" s="42" t="s">
        <v>70</v>
      </c>
      <c r="E207" s="44" t="s">
        <v>1827</v>
      </c>
      <c r="F207" s="75" t="s">
        <v>1977</v>
      </c>
      <c r="G207" s="55">
        <v>31900</v>
      </c>
      <c r="H207" s="56"/>
      <c r="I207" s="58">
        <f t="shared" si="6"/>
        <v>65109.29</v>
      </c>
      <c r="J207" s="56"/>
      <c r="K207" s="3" t="s">
        <v>1850</v>
      </c>
    </row>
    <row r="208" ht="20" customHeight="1" spans="2:13">
      <c r="B208" s="42">
        <v>7</v>
      </c>
      <c r="C208" s="42">
        <v>10</v>
      </c>
      <c r="D208" s="74" t="s">
        <v>79</v>
      </c>
      <c r="E208" s="44" t="s">
        <v>1827</v>
      </c>
      <c r="F208" s="75" t="s">
        <v>1978</v>
      </c>
      <c r="G208" s="55">
        <v>5390</v>
      </c>
      <c r="H208" s="56"/>
      <c r="I208" s="58">
        <f t="shared" si="6"/>
        <v>70499.29</v>
      </c>
      <c r="J208" s="56"/>
      <c r="K208" s="3" t="s">
        <v>1850</v>
      </c>
    </row>
    <row r="209" ht="20" customHeight="1" spans="2:11">
      <c r="B209" s="42">
        <v>7</v>
      </c>
      <c r="C209" s="42">
        <v>13</v>
      </c>
      <c r="D209" s="42" t="s">
        <v>132</v>
      </c>
      <c r="E209" s="117" t="s">
        <v>1809</v>
      </c>
      <c r="F209" s="75" t="s">
        <v>1810</v>
      </c>
      <c r="G209" s="56"/>
      <c r="H209" s="55">
        <v>70000</v>
      </c>
      <c r="I209" s="58">
        <f t="shared" si="6"/>
        <v>499.289999999994</v>
      </c>
      <c r="J209" s="56"/>
    </row>
    <row r="210" ht="20" customHeight="1" spans="2:11">
      <c r="B210" s="42">
        <v>7</v>
      </c>
      <c r="C210" s="42">
        <v>14</v>
      </c>
      <c r="D210" s="86" t="s">
        <v>69</v>
      </c>
      <c r="E210" s="91" t="s">
        <v>251</v>
      </c>
      <c r="F210" s="88" t="s">
        <v>1979</v>
      </c>
      <c r="G210" s="55">
        <v>70000</v>
      </c>
      <c r="H210" s="56"/>
      <c r="I210" s="58">
        <f t="shared" si="6"/>
        <v>70499.29</v>
      </c>
      <c r="J210" s="56"/>
    </row>
    <row r="211" ht="20" customHeight="1" spans="2:11">
      <c r="B211" s="42">
        <v>7</v>
      </c>
      <c r="C211" s="42">
        <v>15</v>
      </c>
      <c r="D211" s="74" t="s">
        <v>69</v>
      </c>
      <c r="E211" s="44" t="s">
        <v>1809</v>
      </c>
      <c r="F211" s="75" t="s">
        <v>1980</v>
      </c>
      <c r="G211" s="56"/>
      <c r="H211" s="55">
        <v>2000</v>
      </c>
      <c r="I211" s="58">
        <f t="shared" si="6"/>
        <v>68499.29</v>
      </c>
      <c r="J211" s="56"/>
    </row>
    <row r="212" ht="20" customHeight="1" spans="2:11">
      <c r="B212" s="42">
        <v>7</v>
      </c>
      <c r="C212" s="42">
        <v>15</v>
      </c>
      <c r="D212" s="74" t="s">
        <v>92</v>
      </c>
      <c r="E212" s="95" t="s">
        <v>1823</v>
      </c>
      <c r="F212" s="75" t="s">
        <v>1981</v>
      </c>
      <c r="G212" s="56"/>
      <c r="H212" s="55">
        <v>26596.37</v>
      </c>
      <c r="I212" s="58">
        <f t="shared" si="6"/>
        <v>41902.92</v>
      </c>
      <c r="J212" s="56"/>
    </row>
    <row r="213" ht="20" customHeight="1" spans="2:11">
      <c r="B213" s="42">
        <v>7</v>
      </c>
      <c r="C213" s="42">
        <v>15</v>
      </c>
      <c r="D213" s="74" t="s">
        <v>92</v>
      </c>
      <c r="E213" s="117" t="s">
        <v>1807</v>
      </c>
      <c r="F213" s="75" t="s">
        <v>1981</v>
      </c>
      <c r="G213" s="56"/>
      <c r="H213" s="55">
        <v>33465.27</v>
      </c>
      <c r="I213" s="58">
        <f t="shared" si="6"/>
        <v>8437.65</v>
      </c>
      <c r="J213" s="56"/>
    </row>
    <row r="214" ht="20" customHeight="1" spans="2:11">
      <c r="B214" s="42">
        <v>7</v>
      </c>
      <c r="C214" s="42">
        <v>16</v>
      </c>
      <c r="D214" s="42" t="s">
        <v>70</v>
      </c>
      <c r="E214" s="95" t="s">
        <v>1854</v>
      </c>
      <c r="F214" s="75" t="s">
        <v>1982</v>
      </c>
      <c r="G214" s="55">
        <v>8000</v>
      </c>
      <c r="H214" s="56"/>
      <c r="I214" s="58">
        <f t="shared" si="6"/>
        <v>16437.65</v>
      </c>
      <c r="J214" s="56"/>
    </row>
    <row r="215" ht="20" customHeight="1" spans="2:11">
      <c r="B215" s="42">
        <v>7</v>
      </c>
      <c r="C215" s="42">
        <v>16</v>
      </c>
      <c r="D215" s="42" t="s">
        <v>72</v>
      </c>
      <c r="E215" s="95" t="s">
        <v>1854</v>
      </c>
      <c r="F215" s="75" t="s">
        <v>1983</v>
      </c>
      <c r="G215" s="55">
        <v>2000</v>
      </c>
      <c r="H215" s="56"/>
      <c r="I215" s="58">
        <f t="shared" si="6"/>
        <v>18437.65</v>
      </c>
      <c r="J215" s="56"/>
    </row>
    <row r="216" ht="20" customHeight="1" spans="2:11">
      <c r="B216" s="42">
        <v>7</v>
      </c>
      <c r="C216" s="42">
        <v>16</v>
      </c>
      <c r="D216" s="42" t="s">
        <v>79</v>
      </c>
      <c r="E216" s="95" t="s">
        <v>1854</v>
      </c>
      <c r="F216" s="75" t="s">
        <v>1984</v>
      </c>
      <c r="G216" s="55">
        <v>1261.4</v>
      </c>
      <c r="H216" s="56"/>
      <c r="I216" s="58">
        <f t="shared" si="6"/>
        <v>19699.05</v>
      </c>
      <c r="J216" s="56"/>
    </row>
    <row r="217" ht="20" customHeight="1" spans="2:11">
      <c r="B217" s="42">
        <v>7</v>
      </c>
      <c r="C217" s="42">
        <v>17</v>
      </c>
      <c r="D217" s="86" t="s">
        <v>69</v>
      </c>
      <c r="E217" s="91" t="s">
        <v>251</v>
      </c>
      <c r="F217" s="88" t="s">
        <v>1979</v>
      </c>
      <c r="G217" s="55">
        <v>71000</v>
      </c>
      <c r="H217" s="56"/>
      <c r="I217" s="58">
        <f t="shared" si="6"/>
        <v>90699.05</v>
      </c>
      <c r="J217" s="56"/>
    </row>
    <row r="218" ht="20" customHeight="1" spans="2:11">
      <c r="B218" s="42">
        <v>7</v>
      </c>
      <c r="C218" s="42">
        <v>17</v>
      </c>
      <c r="D218" s="74" t="s">
        <v>69</v>
      </c>
      <c r="E218" s="95" t="s">
        <v>1807</v>
      </c>
      <c r="F218" s="75" t="s">
        <v>1985</v>
      </c>
      <c r="G218" s="56"/>
      <c r="H218" s="55">
        <v>66000</v>
      </c>
      <c r="I218" s="58">
        <f t="shared" si="6"/>
        <v>24699.05</v>
      </c>
      <c r="J218" s="56"/>
    </row>
    <row r="219" ht="60.75" spans="2:11">
      <c r="B219" s="42">
        <v>7</v>
      </c>
      <c r="C219" s="42">
        <v>21</v>
      </c>
      <c r="D219" s="74" t="s">
        <v>93</v>
      </c>
      <c r="E219" s="117" t="s">
        <v>1830</v>
      </c>
      <c r="F219" s="77" t="s">
        <v>1986</v>
      </c>
      <c r="G219" s="84"/>
      <c r="H219" s="55">
        <v>15143.2</v>
      </c>
      <c r="I219" s="58">
        <f t="shared" si="6"/>
        <v>9555.85</v>
      </c>
      <c r="J219" s="56"/>
    </row>
    <row r="220" ht="20" customHeight="1" spans="2:11">
      <c r="B220" s="42">
        <v>7</v>
      </c>
      <c r="C220" s="42">
        <v>21</v>
      </c>
      <c r="D220" s="42" t="s">
        <v>70</v>
      </c>
      <c r="E220" s="44" t="s">
        <v>1827</v>
      </c>
      <c r="F220" s="75" t="s">
        <v>1987</v>
      </c>
      <c r="G220" s="55">
        <v>31900</v>
      </c>
      <c r="H220" s="56"/>
      <c r="I220" s="58">
        <f t="shared" si="6"/>
        <v>41455.85</v>
      </c>
      <c r="J220" s="56"/>
      <c r="K220" s="3" t="s">
        <v>1850</v>
      </c>
    </row>
    <row r="221" ht="20" customHeight="1" spans="2:11">
      <c r="B221" s="42">
        <v>7</v>
      </c>
      <c r="C221" s="42">
        <v>21</v>
      </c>
      <c r="D221" s="74" t="s">
        <v>79</v>
      </c>
      <c r="E221" s="44" t="s">
        <v>1827</v>
      </c>
      <c r="F221" s="75" t="s">
        <v>1988</v>
      </c>
      <c r="G221" s="55">
        <v>17391.5</v>
      </c>
      <c r="H221" s="56"/>
      <c r="I221" s="58">
        <f t="shared" si="6"/>
        <v>58847.35</v>
      </c>
      <c r="J221" s="56"/>
      <c r="K221" s="3" t="s">
        <v>1850</v>
      </c>
    </row>
    <row r="222" ht="20" customHeight="1" spans="2:11">
      <c r="B222" s="42">
        <v>7</v>
      </c>
      <c r="C222" s="42">
        <v>21</v>
      </c>
      <c r="D222" s="74" t="s">
        <v>69</v>
      </c>
      <c r="E222" s="44" t="s">
        <v>251</v>
      </c>
      <c r="F222" s="75" t="s">
        <v>1989</v>
      </c>
      <c r="G222" s="56"/>
      <c r="H222" s="55">
        <v>40000</v>
      </c>
      <c r="I222" s="58">
        <f t="shared" si="6"/>
        <v>18847.35</v>
      </c>
      <c r="J222" s="56"/>
    </row>
    <row r="223" ht="20" customHeight="1" spans="2:11">
      <c r="B223" s="42">
        <v>7</v>
      </c>
      <c r="C223" s="42">
        <v>22</v>
      </c>
      <c r="D223" s="42" t="s">
        <v>86</v>
      </c>
      <c r="E223" s="44" t="s">
        <v>251</v>
      </c>
      <c r="F223" s="75" t="s">
        <v>1858</v>
      </c>
      <c r="G223" s="55">
        <v>300000</v>
      </c>
      <c r="H223" s="56"/>
      <c r="I223" s="58">
        <f t="shared" si="6"/>
        <v>318847.35</v>
      </c>
      <c r="J223" s="59" t="s">
        <v>1990</v>
      </c>
    </row>
    <row r="224" ht="20" customHeight="1" spans="2:11">
      <c r="B224" s="42">
        <v>7</v>
      </c>
      <c r="C224" s="42">
        <v>23</v>
      </c>
      <c r="D224" s="74" t="s">
        <v>69</v>
      </c>
      <c r="E224" s="44" t="s">
        <v>1809</v>
      </c>
      <c r="F224" s="75" t="s">
        <v>1980</v>
      </c>
      <c r="G224" s="56"/>
      <c r="H224" s="55">
        <v>2000</v>
      </c>
      <c r="I224" s="58">
        <f t="shared" si="6"/>
        <v>316847.35</v>
      </c>
      <c r="J224" s="56"/>
    </row>
    <row r="225" ht="20" customHeight="1" spans="2:13">
      <c r="B225" s="42">
        <v>7</v>
      </c>
      <c r="C225" s="42">
        <v>27</v>
      </c>
      <c r="D225" s="42" t="s">
        <v>132</v>
      </c>
      <c r="E225" s="117" t="s">
        <v>1809</v>
      </c>
      <c r="F225" s="75" t="s">
        <v>1810</v>
      </c>
      <c r="G225" s="56"/>
      <c r="H225" s="55">
        <v>10000</v>
      </c>
      <c r="I225" s="58">
        <f t="shared" si="6"/>
        <v>306847.35</v>
      </c>
      <c r="J225" s="56"/>
    </row>
    <row r="226" ht="20" customHeight="1" spans="2:13">
      <c r="B226" s="42">
        <v>7</v>
      </c>
      <c r="C226" s="42">
        <v>27</v>
      </c>
      <c r="D226" s="90" t="s">
        <v>136</v>
      </c>
      <c r="E226" s="128" t="s">
        <v>1848</v>
      </c>
      <c r="F226" s="88" t="s">
        <v>1991</v>
      </c>
      <c r="G226" s="56"/>
      <c r="H226" s="55">
        <v>100000</v>
      </c>
      <c r="I226" s="58">
        <f t="shared" si="6"/>
        <v>206847.35</v>
      </c>
      <c r="J226" s="59" t="s">
        <v>1850</v>
      </c>
      <c r="M226" s="3" t="s">
        <v>1851</v>
      </c>
    </row>
    <row r="227" ht="20" customHeight="1" spans="2:13">
      <c r="B227" s="42">
        <v>7</v>
      </c>
      <c r="C227" s="42">
        <v>27</v>
      </c>
      <c r="D227" s="90" t="s">
        <v>136</v>
      </c>
      <c r="E227" s="44" t="s">
        <v>1992</v>
      </c>
      <c r="F227" s="75" t="s">
        <v>1993</v>
      </c>
      <c r="G227" s="56"/>
      <c r="H227" s="55">
        <v>10000</v>
      </c>
      <c r="I227" s="58">
        <f t="shared" si="6"/>
        <v>196847.35</v>
      </c>
      <c r="J227" s="56"/>
    </row>
    <row r="228" ht="20" customHeight="1" spans="2:13">
      <c r="B228" s="42">
        <v>7</v>
      </c>
      <c r="C228" s="42">
        <v>30</v>
      </c>
      <c r="D228" s="74" t="s">
        <v>69</v>
      </c>
      <c r="E228" s="44" t="s">
        <v>1809</v>
      </c>
      <c r="F228" s="75" t="s">
        <v>1980</v>
      </c>
      <c r="G228" s="56"/>
      <c r="H228" s="55">
        <v>50000</v>
      </c>
      <c r="I228" s="58">
        <f t="shared" si="6"/>
        <v>146847.35</v>
      </c>
      <c r="J228" s="56"/>
    </row>
    <row r="229" ht="20" customHeight="1" spans="2:13">
      <c r="B229" s="68"/>
      <c r="C229" s="68"/>
      <c r="D229" s="68"/>
      <c r="E229" s="130"/>
      <c r="F229" s="70" t="s">
        <v>22</v>
      </c>
      <c r="G229" s="71">
        <f>SUM(G195:G228)</f>
        <v>771092.9</v>
      </c>
      <c r="H229" s="71">
        <f>SUM(H195:H228)</f>
        <v>696520.91</v>
      </c>
      <c r="I229" s="72">
        <f>I194+G229-H229</f>
        <v>146847.35</v>
      </c>
      <c r="J229" s="71"/>
      <c r="L229" s="165"/>
    </row>
    <row r="230" ht="20" customHeight="1" spans="2:13">
      <c r="B230" s="42">
        <v>8</v>
      </c>
      <c r="C230" s="42">
        <v>3</v>
      </c>
      <c r="D230" s="42" t="s">
        <v>71</v>
      </c>
      <c r="E230" s="45" t="s">
        <v>1862</v>
      </c>
      <c r="F230" s="75" t="s">
        <v>116</v>
      </c>
      <c r="G230" s="55">
        <v>600</v>
      </c>
      <c r="H230" s="56"/>
      <c r="I230" s="58">
        <f>I229+G230-H230</f>
        <v>147447.35</v>
      </c>
      <c r="J230" s="56"/>
    </row>
    <row r="231" ht="24.75" spans="2:13">
      <c r="B231" s="42">
        <v>8</v>
      </c>
      <c r="C231" s="42">
        <v>3</v>
      </c>
      <c r="D231" s="42" t="s">
        <v>140</v>
      </c>
      <c r="E231" s="117" t="s">
        <v>1906</v>
      </c>
      <c r="F231" s="77" t="s">
        <v>1994</v>
      </c>
      <c r="G231" s="56"/>
      <c r="H231" s="55">
        <v>11200</v>
      </c>
      <c r="I231" s="58">
        <f t="shared" ref="I231:I260" si="7">I230+G231-H231</f>
        <v>136247.35</v>
      </c>
      <c r="J231" s="56"/>
    </row>
    <row r="232" ht="20" customHeight="1" spans="2:13">
      <c r="B232" s="42">
        <v>8</v>
      </c>
      <c r="C232" s="42">
        <v>3</v>
      </c>
      <c r="D232" s="42" t="s">
        <v>16</v>
      </c>
      <c r="E232" s="95" t="s">
        <v>1811</v>
      </c>
      <c r="F232" s="75" t="s">
        <v>237</v>
      </c>
      <c r="G232" s="56"/>
      <c r="H232" s="55">
        <v>8</v>
      </c>
      <c r="I232" s="58">
        <f t="shared" si="7"/>
        <v>136239.35</v>
      </c>
      <c r="J232" s="56"/>
    </row>
    <row r="233" ht="20" customHeight="1" spans="2:13">
      <c r="B233" s="42">
        <v>8</v>
      </c>
      <c r="C233" s="42">
        <v>4</v>
      </c>
      <c r="D233" s="74" t="s">
        <v>69</v>
      </c>
      <c r="E233" s="44" t="s">
        <v>1809</v>
      </c>
      <c r="F233" s="75" t="s">
        <v>1980</v>
      </c>
      <c r="G233" s="56"/>
      <c r="H233" s="55">
        <v>20000</v>
      </c>
      <c r="I233" s="58">
        <f t="shared" si="7"/>
        <v>116239.35</v>
      </c>
      <c r="J233" s="56"/>
    </row>
    <row r="234" ht="20" customHeight="1" spans="2:13">
      <c r="B234" s="42">
        <v>8</v>
      </c>
      <c r="C234" s="42">
        <v>4</v>
      </c>
      <c r="D234" s="74" t="s">
        <v>141</v>
      </c>
      <c r="E234" s="44" t="s">
        <v>1922</v>
      </c>
      <c r="F234" s="75" t="s">
        <v>1995</v>
      </c>
      <c r="G234" s="56"/>
      <c r="H234" s="55">
        <v>10100</v>
      </c>
      <c r="I234" s="58">
        <f t="shared" si="7"/>
        <v>106139.35</v>
      </c>
      <c r="J234" s="56"/>
    </row>
    <row r="235" ht="20" customHeight="1" spans="2:13">
      <c r="B235" s="42">
        <v>8</v>
      </c>
      <c r="C235" s="42">
        <v>5</v>
      </c>
      <c r="D235" s="94" t="s">
        <v>119</v>
      </c>
      <c r="E235" s="95" t="s">
        <v>213</v>
      </c>
      <c r="F235" s="75" t="s">
        <v>1812</v>
      </c>
      <c r="G235" s="55"/>
      <c r="H235" s="55">
        <v>17.8</v>
      </c>
      <c r="I235" s="58">
        <f t="shared" si="7"/>
        <v>106121.55</v>
      </c>
      <c r="J235" s="56"/>
    </row>
    <row r="236" ht="20" customHeight="1" spans="2:13">
      <c r="B236" s="42">
        <v>8</v>
      </c>
      <c r="C236" s="42">
        <v>5</v>
      </c>
      <c r="D236" s="74" t="s">
        <v>16</v>
      </c>
      <c r="E236" s="44" t="s">
        <v>1811</v>
      </c>
      <c r="F236" s="75" t="s">
        <v>1996</v>
      </c>
      <c r="G236" s="56"/>
      <c r="H236" s="55">
        <v>400</v>
      </c>
      <c r="I236" s="58">
        <f t="shared" si="7"/>
        <v>105721.55</v>
      </c>
      <c r="J236" s="56"/>
    </row>
    <row r="237" ht="20" customHeight="1" spans="2:13">
      <c r="B237" s="42">
        <v>8</v>
      </c>
      <c r="C237" s="42">
        <v>6</v>
      </c>
      <c r="D237" s="74" t="s">
        <v>69</v>
      </c>
      <c r="E237" s="44" t="s">
        <v>1809</v>
      </c>
      <c r="F237" s="75" t="s">
        <v>1980</v>
      </c>
      <c r="G237" s="56"/>
      <c r="H237" s="55">
        <v>10000</v>
      </c>
      <c r="I237" s="58">
        <f t="shared" si="7"/>
        <v>95721.55</v>
      </c>
      <c r="J237" s="56"/>
    </row>
    <row r="238" ht="20" customHeight="1" spans="2:13">
      <c r="B238" s="42">
        <v>8</v>
      </c>
      <c r="C238" s="42">
        <v>10</v>
      </c>
      <c r="D238" s="94" t="s">
        <v>71</v>
      </c>
      <c r="E238" s="95" t="s">
        <v>1818</v>
      </c>
      <c r="F238" s="75" t="s">
        <v>1819</v>
      </c>
      <c r="G238" s="55">
        <v>350</v>
      </c>
      <c r="H238" s="56"/>
      <c r="I238" s="58">
        <f t="shared" si="7"/>
        <v>96071.55</v>
      </c>
      <c r="J238" s="56"/>
    </row>
    <row r="239" ht="20" customHeight="1" spans="2:13">
      <c r="B239" s="42">
        <v>8</v>
      </c>
      <c r="C239" s="42">
        <v>12</v>
      </c>
      <c r="D239" s="74" t="s">
        <v>69</v>
      </c>
      <c r="E239" s="44" t="s">
        <v>1809</v>
      </c>
      <c r="F239" s="75" t="s">
        <v>1980</v>
      </c>
      <c r="G239" s="56"/>
      <c r="H239" s="55">
        <v>4800</v>
      </c>
      <c r="I239" s="58">
        <f t="shared" si="7"/>
        <v>91271.55</v>
      </c>
      <c r="J239" s="56"/>
    </row>
    <row r="240" ht="20" customHeight="1" spans="2:13">
      <c r="B240" s="42">
        <v>8</v>
      </c>
      <c r="C240" s="42">
        <v>14</v>
      </c>
      <c r="D240" s="42" t="s">
        <v>136</v>
      </c>
      <c r="E240" s="117" t="s">
        <v>1848</v>
      </c>
      <c r="F240" s="75" t="s">
        <v>1997</v>
      </c>
      <c r="G240" s="56"/>
      <c r="H240" s="55">
        <v>75939</v>
      </c>
      <c r="I240" s="58">
        <f t="shared" si="7"/>
        <v>15332.55</v>
      </c>
      <c r="J240" s="59" t="s">
        <v>1850</v>
      </c>
      <c r="M240" s="3" t="s">
        <v>1851</v>
      </c>
    </row>
    <row r="241" ht="20" customHeight="1" spans="2:10">
      <c r="B241" s="42">
        <v>8</v>
      </c>
      <c r="C241" s="42">
        <v>15</v>
      </c>
      <c r="D241" s="74" t="s">
        <v>93</v>
      </c>
      <c r="E241" s="117" t="s">
        <v>420</v>
      </c>
      <c r="F241" s="75" t="s">
        <v>1998</v>
      </c>
      <c r="G241" s="84"/>
      <c r="H241" s="55">
        <v>5664</v>
      </c>
      <c r="I241" s="58">
        <f t="shared" si="7"/>
        <v>9668.55</v>
      </c>
      <c r="J241" s="56"/>
    </row>
    <row r="242" ht="20" customHeight="1" spans="2:10">
      <c r="B242" s="42">
        <v>8</v>
      </c>
      <c r="C242" s="42">
        <v>17</v>
      </c>
      <c r="D242" s="74" t="s">
        <v>69</v>
      </c>
      <c r="E242" s="44" t="s">
        <v>251</v>
      </c>
      <c r="F242" s="75" t="s">
        <v>1999</v>
      </c>
      <c r="G242" s="55">
        <v>25000</v>
      </c>
      <c r="H242" s="56"/>
      <c r="I242" s="58">
        <f t="shared" si="7"/>
        <v>34668.55</v>
      </c>
      <c r="J242" s="56"/>
    </row>
    <row r="243" ht="20" customHeight="1" spans="2:10">
      <c r="B243" s="42">
        <v>8</v>
      </c>
      <c r="C243" s="42">
        <v>17</v>
      </c>
      <c r="D243" s="74" t="s">
        <v>69</v>
      </c>
      <c r="E243" s="44" t="s">
        <v>251</v>
      </c>
      <c r="F243" s="75" t="s">
        <v>1979</v>
      </c>
      <c r="G243" s="55">
        <v>30000</v>
      </c>
      <c r="H243" s="56"/>
      <c r="I243" s="58">
        <f t="shared" si="7"/>
        <v>64668.55</v>
      </c>
      <c r="J243" s="56"/>
    </row>
    <row r="244" ht="20" customHeight="1" spans="2:10">
      <c r="B244" s="42">
        <v>8</v>
      </c>
      <c r="C244" s="42">
        <v>17</v>
      </c>
      <c r="D244" s="42" t="s">
        <v>86</v>
      </c>
      <c r="E244" s="44" t="s">
        <v>1962</v>
      </c>
      <c r="F244" s="75" t="s">
        <v>2000</v>
      </c>
      <c r="G244" s="55">
        <v>100000</v>
      </c>
      <c r="H244" s="56"/>
      <c r="I244" s="58">
        <f t="shared" si="7"/>
        <v>164668.55</v>
      </c>
      <c r="J244" s="56"/>
    </row>
    <row r="245" ht="20" customHeight="1" spans="2:10">
      <c r="B245" s="42">
        <v>8</v>
      </c>
      <c r="C245" s="42">
        <v>17</v>
      </c>
      <c r="D245" s="74" t="s">
        <v>69</v>
      </c>
      <c r="E245" s="95" t="s">
        <v>1807</v>
      </c>
      <c r="F245" s="75" t="s">
        <v>1914</v>
      </c>
      <c r="G245" s="56"/>
      <c r="H245" s="55">
        <v>16000</v>
      </c>
      <c r="I245" s="58">
        <f t="shared" si="7"/>
        <v>148668.55</v>
      </c>
      <c r="J245" s="56"/>
    </row>
    <row r="246" ht="20" customHeight="1" spans="2:10">
      <c r="B246" s="42">
        <v>8</v>
      </c>
      <c r="C246" s="42">
        <v>17</v>
      </c>
      <c r="D246" s="74" t="s">
        <v>92</v>
      </c>
      <c r="E246" s="95" t="s">
        <v>1823</v>
      </c>
      <c r="F246" s="75" t="s">
        <v>2001</v>
      </c>
      <c r="G246" s="55"/>
      <c r="H246" s="55">
        <v>26481.77</v>
      </c>
      <c r="I246" s="58">
        <f t="shared" si="7"/>
        <v>122186.78</v>
      </c>
      <c r="J246" s="56"/>
    </row>
    <row r="247" ht="20" customHeight="1" spans="2:10">
      <c r="B247" s="42">
        <v>8</v>
      </c>
      <c r="C247" s="42">
        <v>17</v>
      </c>
      <c r="D247" s="74" t="s">
        <v>92</v>
      </c>
      <c r="E247" s="117" t="s">
        <v>1807</v>
      </c>
      <c r="F247" s="75" t="s">
        <v>2001</v>
      </c>
      <c r="G247" s="55"/>
      <c r="H247" s="55">
        <v>33196.51</v>
      </c>
      <c r="I247" s="58">
        <f t="shared" si="7"/>
        <v>88990.27</v>
      </c>
      <c r="J247" s="56"/>
    </row>
    <row r="248" ht="20" customHeight="1" spans="2:10">
      <c r="B248" s="42">
        <v>8</v>
      </c>
      <c r="C248" s="42">
        <v>18</v>
      </c>
      <c r="D248" s="42" t="s">
        <v>74</v>
      </c>
      <c r="E248" s="117" t="s">
        <v>1902</v>
      </c>
      <c r="F248" s="92" t="s">
        <v>2002</v>
      </c>
      <c r="G248" s="55">
        <v>4800</v>
      </c>
      <c r="H248" s="56"/>
      <c r="I248" s="58">
        <f t="shared" si="7"/>
        <v>93790.27</v>
      </c>
      <c r="J248" s="56"/>
    </row>
    <row r="249" ht="20" customHeight="1" spans="2:10">
      <c r="B249" s="42">
        <v>8</v>
      </c>
      <c r="C249" s="42">
        <v>18</v>
      </c>
      <c r="D249" s="42" t="s">
        <v>74</v>
      </c>
      <c r="E249" s="117" t="s">
        <v>1902</v>
      </c>
      <c r="F249" s="88" t="s">
        <v>2003</v>
      </c>
      <c r="G249" s="55">
        <v>4800</v>
      </c>
      <c r="H249" s="56"/>
      <c r="I249" s="58">
        <f t="shared" si="7"/>
        <v>98590.27</v>
      </c>
      <c r="J249" s="56"/>
    </row>
    <row r="250" ht="20" customHeight="1" spans="2:10">
      <c r="B250" s="42">
        <v>8</v>
      </c>
      <c r="C250" s="42">
        <v>18</v>
      </c>
      <c r="D250" s="42" t="s">
        <v>74</v>
      </c>
      <c r="E250" s="117" t="s">
        <v>1902</v>
      </c>
      <c r="F250" s="77" t="s">
        <v>2004</v>
      </c>
      <c r="G250" s="55">
        <v>24000</v>
      </c>
      <c r="H250" s="56"/>
      <c r="I250" s="58">
        <f t="shared" si="7"/>
        <v>122590.27</v>
      </c>
      <c r="J250" s="56"/>
    </row>
    <row r="251" ht="20" customHeight="1" spans="2:10">
      <c r="B251" s="42">
        <v>8</v>
      </c>
      <c r="C251" s="42">
        <v>19</v>
      </c>
      <c r="D251" s="74" t="s">
        <v>69</v>
      </c>
      <c r="E251" s="117" t="s">
        <v>251</v>
      </c>
      <c r="F251" s="75" t="s">
        <v>2005</v>
      </c>
      <c r="G251" s="56"/>
      <c r="H251" s="55">
        <v>40000</v>
      </c>
      <c r="I251" s="58">
        <f t="shared" si="7"/>
        <v>82590.27</v>
      </c>
      <c r="J251" s="56"/>
    </row>
    <row r="252" ht="20" customHeight="1" spans="2:10">
      <c r="B252" s="42">
        <v>8</v>
      </c>
      <c r="C252" s="42">
        <v>19</v>
      </c>
      <c r="D252" s="90" t="s">
        <v>136</v>
      </c>
      <c r="E252" s="44" t="s">
        <v>2006</v>
      </c>
      <c r="F252" s="75" t="s">
        <v>2007</v>
      </c>
      <c r="G252" s="56"/>
      <c r="H252" s="55">
        <v>10000</v>
      </c>
      <c r="I252" s="58">
        <f t="shared" si="7"/>
        <v>72590.27</v>
      </c>
      <c r="J252" s="56"/>
    </row>
    <row r="253" ht="60.75" spans="2:10">
      <c r="B253" s="42">
        <v>8</v>
      </c>
      <c r="C253" s="42">
        <v>21</v>
      </c>
      <c r="D253" s="74" t="s">
        <v>93</v>
      </c>
      <c r="E253" s="44" t="s">
        <v>2008</v>
      </c>
      <c r="F253" s="77" t="s">
        <v>2009</v>
      </c>
      <c r="G253" s="56"/>
      <c r="H253" s="55">
        <v>15194</v>
      </c>
      <c r="I253" s="58">
        <f t="shared" si="7"/>
        <v>57396.27</v>
      </c>
      <c r="J253" s="56"/>
    </row>
    <row r="254" ht="20" customHeight="1" spans="2:10">
      <c r="B254" s="42">
        <v>8</v>
      </c>
      <c r="C254" s="42">
        <v>21</v>
      </c>
      <c r="D254" s="74" t="s">
        <v>69</v>
      </c>
      <c r="E254" s="44" t="s">
        <v>1809</v>
      </c>
      <c r="F254" s="75" t="s">
        <v>1980</v>
      </c>
      <c r="G254" s="56"/>
      <c r="H254" s="55">
        <v>32600</v>
      </c>
      <c r="I254" s="58">
        <f t="shared" si="7"/>
        <v>24796.27</v>
      </c>
      <c r="J254" s="56"/>
    </row>
    <row r="255" ht="20" customHeight="1" spans="2:10">
      <c r="B255" s="42">
        <v>8</v>
      </c>
      <c r="C255" s="42">
        <v>24</v>
      </c>
      <c r="D255" s="74" t="s">
        <v>69</v>
      </c>
      <c r="E255" s="44" t="s">
        <v>1809</v>
      </c>
      <c r="F255" s="75" t="s">
        <v>1980</v>
      </c>
      <c r="G255" s="56"/>
      <c r="H255" s="55">
        <v>10000</v>
      </c>
      <c r="I255" s="58">
        <f t="shared" si="7"/>
        <v>14796.27</v>
      </c>
      <c r="J255" s="56"/>
    </row>
    <row r="256" ht="24.75" spans="2:10">
      <c r="B256" s="42">
        <v>8</v>
      </c>
      <c r="C256" s="42">
        <v>25</v>
      </c>
      <c r="D256" s="42" t="s">
        <v>140</v>
      </c>
      <c r="E256" s="117" t="s">
        <v>1906</v>
      </c>
      <c r="F256" s="77" t="s">
        <v>2010</v>
      </c>
      <c r="G256" s="56"/>
      <c r="H256" s="55">
        <v>11200</v>
      </c>
      <c r="I256" s="58">
        <f t="shared" si="7"/>
        <v>3596.26999999999</v>
      </c>
      <c r="J256" s="56"/>
    </row>
    <row r="257" ht="20" customHeight="1" spans="2:12">
      <c r="B257" s="42">
        <v>8</v>
      </c>
      <c r="C257" s="42">
        <v>25</v>
      </c>
      <c r="D257" s="42" t="s">
        <v>16</v>
      </c>
      <c r="E257" s="95" t="s">
        <v>1811</v>
      </c>
      <c r="F257" s="75" t="s">
        <v>237</v>
      </c>
      <c r="G257" s="56"/>
      <c r="H257" s="55">
        <v>8</v>
      </c>
      <c r="I257" s="58">
        <f t="shared" si="7"/>
        <v>3588.26999999999</v>
      </c>
      <c r="J257" s="56"/>
    </row>
    <row r="258" ht="20" customHeight="1" spans="2:12">
      <c r="B258" s="42">
        <v>8</v>
      </c>
      <c r="C258" s="42">
        <v>28</v>
      </c>
      <c r="D258" s="74" t="s">
        <v>69</v>
      </c>
      <c r="E258" s="44" t="s">
        <v>1809</v>
      </c>
      <c r="F258" s="75" t="s">
        <v>2011</v>
      </c>
      <c r="G258" s="55">
        <v>8000</v>
      </c>
      <c r="H258" s="56"/>
      <c r="I258" s="58">
        <f t="shared" si="7"/>
        <v>11588.27</v>
      </c>
      <c r="J258" s="56"/>
    </row>
    <row r="259" ht="24.75" spans="2:12">
      <c r="B259" s="42">
        <v>8</v>
      </c>
      <c r="C259" s="42">
        <v>28</v>
      </c>
      <c r="D259" s="42" t="s">
        <v>140</v>
      </c>
      <c r="E259" s="117" t="s">
        <v>1906</v>
      </c>
      <c r="F259" s="77" t="s">
        <v>2012</v>
      </c>
      <c r="G259" s="56"/>
      <c r="H259" s="55">
        <v>11200</v>
      </c>
      <c r="I259" s="58">
        <f t="shared" si="7"/>
        <v>388.26999999999</v>
      </c>
      <c r="J259" s="56"/>
    </row>
    <row r="260" ht="20" customHeight="1" spans="2:12">
      <c r="B260" s="42">
        <v>8</v>
      </c>
      <c r="C260" s="42">
        <v>28</v>
      </c>
      <c r="D260" s="42" t="s">
        <v>16</v>
      </c>
      <c r="E260" s="95" t="s">
        <v>1811</v>
      </c>
      <c r="F260" s="75" t="s">
        <v>237</v>
      </c>
      <c r="G260" s="56"/>
      <c r="H260" s="55">
        <v>8</v>
      </c>
      <c r="I260" s="58">
        <f t="shared" si="7"/>
        <v>380.26999999999</v>
      </c>
      <c r="J260" s="56"/>
    </row>
    <row r="261" ht="20" customHeight="1" spans="2:12">
      <c r="B261" s="68"/>
      <c r="C261" s="68"/>
      <c r="D261" s="68"/>
      <c r="E261" s="130"/>
      <c r="F261" s="70" t="s">
        <v>22</v>
      </c>
      <c r="G261" s="71">
        <f>SUM(G230:G260)</f>
        <v>197550</v>
      </c>
      <c r="H261" s="71">
        <f>SUM(H230:H260)</f>
        <v>344017.08</v>
      </c>
      <c r="I261" s="72">
        <f>I229+G261-H261</f>
        <v>380.270000000019</v>
      </c>
      <c r="J261" s="71"/>
      <c r="L261" s="165"/>
    </row>
    <row r="262" ht="20" customHeight="1" spans="2:12">
      <c r="B262" s="42">
        <v>9</v>
      </c>
      <c r="C262" s="42">
        <v>1</v>
      </c>
      <c r="D262" s="94" t="s">
        <v>119</v>
      </c>
      <c r="E262" s="95" t="s">
        <v>213</v>
      </c>
      <c r="F262" s="95" t="s">
        <v>1812</v>
      </c>
      <c r="G262" s="56"/>
      <c r="H262" s="55">
        <v>17.64</v>
      </c>
      <c r="I262" s="58">
        <f>I260+G262-H262</f>
        <v>362.62999999999</v>
      </c>
      <c r="J262" s="56"/>
    </row>
    <row r="263" ht="20" customHeight="1" spans="2:12">
      <c r="B263" s="42">
        <v>9</v>
      </c>
      <c r="C263" s="42">
        <v>10</v>
      </c>
      <c r="D263" s="42" t="s">
        <v>70</v>
      </c>
      <c r="E263" s="44" t="s">
        <v>1827</v>
      </c>
      <c r="F263" s="95" t="s">
        <v>2013</v>
      </c>
      <c r="G263" s="84">
        <v>31900</v>
      </c>
      <c r="H263" s="56"/>
      <c r="I263" s="58">
        <f t="shared" ref="I262:I298" si="8">I262+G263-H263</f>
        <v>32262.63</v>
      </c>
      <c r="J263" s="56"/>
      <c r="K263" s="3" t="s">
        <v>1850</v>
      </c>
    </row>
    <row r="264" ht="20" customHeight="1" spans="2:12">
      <c r="B264" s="42">
        <v>9</v>
      </c>
      <c r="C264" s="42">
        <v>10</v>
      </c>
      <c r="D264" s="94" t="s">
        <v>71</v>
      </c>
      <c r="E264" s="95" t="s">
        <v>1818</v>
      </c>
      <c r="F264" s="95" t="s">
        <v>1819</v>
      </c>
      <c r="G264" s="84">
        <v>350</v>
      </c>
      <c r="H264" s="56"/>
      <c r="I264" s="58">
        <f t="shared" si="8"/>
        <v>32612.63</v>
      </c>
      <c r="J264" s="56"/>
    </row>
    <row r="265" ht="20" customHeight="1" spans="2:12">
      <c r="B265" s="42">
        <v>9</v>
      </c>
      <c r="C265" s="42">
        <v>11</v>
      </c>
      <c r="D265" s="74" t="s">
        <v>69</v>
      </c>
      <c r="E265" s="117" t="s">
        <v>1809</v>
      </c>
      <c r="F265" s="117" t="s">
        <v>2011</v>
      </c>
      <c r="G265" s="56">
        <v>20000</v>
      </c>
      <c r="H265" s="56"/>
      <c r="I265" s="58">
        <f t="shared" si="8"/>
        <v>52612.63</v>
      </c>
      <c r="J265" s="56"/>
    </row>
    <row r="266" ht="20" customHeight="1" spans="2:12">
      <c r="B266" s="42">
        <v>9</v>
      </c>
      <c r="C266" s="42">
        <v>11</v>
      </c>
      <c r="D266" s="42" t="s">
        <v>141</v>
      </c>
      <c r="E266" s="162" t="s">
        <v>1924</v>
      </c>
      <c r="F266" s="137" t="s">
        <v>2014</v>
      </c>
      <c r="G266" s="56"/>
      <c r="H266" s="55">
        <v>45800</v>
      </c>
      <c r="I266" s="58">
        <f t="shared" si="8"/>
        <v>6812.62999999999</v>
      </c>
      <c r="J266" s="56"/>
    </row>
    <row r="267" ht="20" customHeight="1" spans="2:12">
      <c r="B267" s="42">
        <v>9</v>
      </c>
      <c r="C267" s="42">
        <v>15</v>
      </c>
      <c r="D267" s="74" t="s">
        <v>93</v>
      </c>
      <c r="E267" s="117" t="s">
        <v>420</v>
      </c>
      <c r="F267" s="95" t="s">
        <v>2015</v>
      </c>
      <c r="G267" s="84"/>
      <c r="H267" s="55">
        <v>5664</v>
      </c>
      <c r="I267" s="58">
        <f t="shared" si="8"/>
        <v>1148.62999999999</v>
      </c>
      <c r="J267" s="56"/>
    </row>
    <row r="268" ht="20" customHeight="1" spans="2:12">
      <c r="B268" s="42">
        <v>9</v>
      </c>
      <c r="C268" s="42">
        <v>15</v>
      </c>
      <c r="D268" s="94" t="s">
        <v>69</v>
      </c>
      <c r="E268" s="95" t="s">
        <v>251</v>
      </c>
      <c r="F268" s="95" t="s">
        <v>2016</v>
      </c>
      <c r="G268" s="84">
        <v>25000</v>
      </c>
      <c r="H268" s="56"/>
      <c r="I268" s="58">
        <f t="shared" si="8"/>
        <v>26148.63</v>
      </c>
      <c r="J268" s="56"/>
    </row>
    <row r="269" ht="20" customHeight="1" spans="2:12">
      <c r="B269" s="42">
        <v>9</v>
      </c>
      <c r="C269" s="42">
        <v>15</v>
      </c>
      <c r="D269" s="94" t="s">
        <v>69</v>
      </c>
      <c r="E269" s="95" t="s">
        <v>251</v>
      </c>
      <c r="F269" s="95" t="s">
        <v>1979</v>
      </c>
      <c r="G269" s="56">
        <v>41944.93</v>
      </c>
      <c r="H269" s="56"/>
      <c r="I269" s="58">
        <f t="shared" si="8"/>
        <v>68093.56</v>
      </c>
      <c r="J269" s="56"/>
    </row>
    <row r="270" ht="20" customHeight="1" spans="2:12">
      <c r="B270" s="42">
        <v>9</v>
      </c>
      <c r="C270" s="42">
        <v>15</v>
      </c>
      <c r="D270" s="74" t="s">
        <v>69</v>
      </c>
      <c r="E270" s="95" t="s">
        <v>1807</v>
      </c>
      <c r="F270" s="95" t="s">
        <v>1914</v>
      </c>
      <c r="G270" s="56"/>
      <c r="H270" s="55">
        <v>7000</v>
      </c>
      <c r="I270" s="58">
        <f t="shared" si="8"/>
        <v>61093.56</v>
      </c>
      <c r="J270" s="56"/>
    </row>
    <row r="271" ht="20" customHeight="1" spans="2:12">
      <c r="B271" s="42">
        <v>9</v>
      </c>
      <c r="C271" s="42">
        <v>15</v>
      </c>
      <c r="D271" s="94" t="s">
        <v>92</v>
      </c>
      <c r="E271" s="95" t="s">
        <v>1823</v>
      </c>
      <c r="F271" s="95" t="s">
        <v>2017</v>
      </c>
      <c r="G271" s="56"/>
      <c r="H271" s="55">
        <v>26481.77</v>
      </c>
      <c r="I271" s="58">
        <f t="shared" si="8"/>
        <v>34611.79</v>
      </c>
      <c r="J271" s="56"/>
    </row>
    <row r="272" ht="20" customHeight="1" spans="2:12">
      <c r="B272" s="42">
        <v>9</v>
      </c>
      <c r="C272" s="42">
        <v>15</v>
      </c>
      <c r="D272" s="94" t="s">
        <v>92</v>
      </c>
      <c r="E272" s="95" t="s">
        <v>1807</v>
      </c>
      <c r="F272" s="95" t="s">
        <v>2017</v>
      </c>
      <c r="G272" s="56"/>
      <c r="H272" s="55">
        <v>33154.35</v>
      </c>
      <c r="I272" s="58">
        <f t="shared" si="8"/>
        <v>1457.44</v>
      </c>
      <c r="J272" s="56"/>
    </row>
    <row r="273" ht="20" customHeight="1" spans="2:12">
      <c r="B273" s="42">
        <v>9</v>
      </c>
      <c r="C273" s="42">
        <v>18</v>
      </c>
      <c r="D273" s="94" t="s">
        <v>74</v>
      </c>
      <c r="E273" s="95" t="s">
        <v>1902</v>
      </c>
      <c r="F273" s="95" t="s">
        <v>2018</v>
      </c>
      <c r="G273" s="56">
        <v>4800</v>
      </c>
      <c r="H273" s="56"/>
      <c r="I273" s="58">
        <f t="shared" si="8"/>
        <v>6257.44</v>
      </c>
      <c r="J273" s="56"/>
    </row>
    <row r="274" ht="20" customHeight="1" spans="2:12">
      <c r="B274" s="42">
        <v>9</v>
      </c>
      <c r="C274" s="42">
        <v>18</v>
      </c>
      <c r="D274" s="42" t="s">
        <v>74</v>
      </c>
      <c r="E274" s="117" t="s">
        <v>1902</v>
      </c>
      <c r="F274" s="102" t="s">
        <v>2019</v>
      </c>
      <c r="G274" s="84">
        <v>4800</v>
      </c>
      <c r="H274" s="56"/>
      <c r="I274" s="58">
        <f t="shared" si="8"/>
        <v>11057.44</v>
      </c>
      <c r="J274" s="56"/>
    </row>
    <row r="275" ht="20" customHeight="1" spans="2:12">
      <c r="B275" s="42">
        <v>9</v>
      </c>
      <c r="C275" s="42">
        <v>18</v>
      </c>
      <c r="D275" s="42" t="s">
        <v>74</v>
      </c>
      <c r="E275" s="117" t="s">
        <v>1902</v>
      </c>
      <c r="F275" s="102" t="s">
        <v>2020</v>
      </c>
      <c r="G275" s="84">
        <v>24000</v>
      </c>
      <c r="H275" s="56"/>
      <c r="I275" s="58">
        <f t="shared" si="8"/>
        <v>35057.44</v>
      </c>
      <c r="J275" s="56"/>
    </row>
    <row r="276" ht="20" customHeight="1" spans="2:12">
      <c r="B276" s="42">
        <v>9</v>
      </c>
      <c r="C276" s="42">
        <v>18</v>
      </c>
      <c r="D276" s="74" t="s">
        <v>69</v>
      </c>
      <c r="E276" s="117" t="s">
        <v>1809</v>
      </c>
      <c r="F276" s="117" t="s">
        <v>2011</v>
      </c>
      <c r="G276" s="56">
        <v>29000</v>
      </c>
      <c r="H276" s="56"/>
      <c r="I276" s="58">
        <f t="shared" si="8"/>
        <v>64057.44</v>
      </c>
      <c r="J276" s="56"/>
    </row>
    <row r="277" ht="20" customHeight="1" spans="2:12">
      <c r="B277" s="42">
        <v>9</v>
      </c>
      <c r="C277" s="42">
        <v>18</v>
      </c>
      <c r="D277" s="94" t="s">
        <v>69</v>
      </c>
      <c r="E277" s="95" t="s">
        <v>251</v>
      </c>
      <c r="F277" s="45" t="s">
        <v>2021</v>
      </c>
      <c r="G277" s="56"/>
      <c r="H277" s="55">
        <v>45000</v>
      </c>
      <c r="I277" s="58">
        <f t="shared" si="8"/>
        <v>19057.44</v>
      </c>
      <c r="J277" s="56"/>
    </row>
    <row r="278" ht="60.75" spans="2:12">
      <c r="B278" s="42">
        <v>9</v>
      </c>
      <c r="C278" s="42">
        <v>20</v>
      </c>
      <c r="D278" s="74" t="s">
        <v>93</v>
      </c>
      <c r="E278" s="44" t="s">
        <v>2008</v>
      </c>
      <c r="F278" s="137" t="s">
        <v>2022</v>
      </c>
      <c r="G278" s="56"/>
      <c r="H278" s="55">
        <v>16192.28</v>
      </c>
      <c r="I278" s="58">
        <f t="shared" si="8"/>
        <v>2865.15999999999</v>
      </c>
      <c r="J278" s="56"/>
    </row>
    <row r="279" ht="20" customHeight="1" spans="2:12">
      <c r="B279" s="42">
        <v>9</v>
      </c>
      <c r="C279" s="42">
        <v>20</v>
      </c>
      <c r="D279" s="74" t="s">
        <v>69</v>
      </c>
      <c r="E279" s="117" t="s">
        <v>1809</v>
      </c>
      <c r="F279" s="117" t="s">
        <v>2011</v>
      </c>
      <c r="G279" s="56">
        <v>89000</v>
      </c>
      <c r="H279" s="56"/>
      <c r="I279" s="58">
        <f t="shared" si="8"/>
        <v>91865.16</v>
      </c>
      <c r="J279" s="56"/>
    </row>
    <row r="280" ht="20" customHeight="1" spans="2:12">
      <c r="B280" s="42">
        <v>9</v>
      </c>
      <c r="C280" s="42">
        <v>20</v>
      </c>
      <c r="D280" s="42" t="s">
        <v>141</v>
      </c>
      <c r="E280" s="162" t="s">
        <v>1924</v>
      </c>
      <c r="F280" s="137" t="s">
        <v>2023</v>
      </c>
      <c r="G280" s="56"/>
      <c r="H280" s="55">
        <v>91600</v>
      </c>
      <c r="I280" s="58">
        <f t="shared" si="8"/>
        <v>265.159999999989</v>
      </c>
      <c r="J280" s="56"/>
    </row>
    <row r="281" ht="20" customHeight="1" spans="2:12">
      <c r="B281" s="42">
        <v>9</v>
      </c>
      <c r="C281" s="42">
        <v>21</v>
      </c>
      <c r="D281" s="42" t="s">
        <v>29</v>
      </c>
      <c r="E281" s="117" t="s">
        <v>1811</v>
      </c>
      <c r="F281" s="45" t="s">
        <v>29</v>
      </c>
      <c r="G281" s="56">
        <v>7.02</v>
      </c>
      <c r="H281" s="56"/>
      <c r="I281" s="58">
        <f t="shared" si="8"/>
        <v>272.179999999989</v>
      </c>
      <c r="J281" s="56"/>
      <c r="K281" s="167"/>
    </row>
    <row r="282" ht="20" customHeight="1" spans="2:12">
      <c r="B282" s="42">
        <v>9</v>
      </c>
      <c r="C282" s="42">
        <v>28</v>
      </c>
      <c r="D282" s="94" t="s">
        <v>69</v>
      </c>
      <c r="E282" s="95" t="s">
        <v>251</v>
      </c>
      <c r="F282" s="45" t="s">
        <v>1979</v>
      </c>
      <c r="G282" s="56">
        <v>17700</v>
      </c>
      <c r="H282" s="56"/>
      <c r="I282" s="58">
        <f t="shared" si="8"/>
        <v>17972.18</v>
      </c>
      <c r="J282" s="56"/>
    </row>
    <row r="283" ht="20" customHeight="1" spans="2:12">
      <c r="B283" s="42">
        <v>9</v>
      </c>
      <c r="C283" s="42">
        <v>28</v>
      </c>
      <c r="D283" s="94" t="s">
        <v>69</v>
      </c>
      <c r="E283" s="117" t="s">
        <v>1807</v>
      </c>
      <c r="F283" s="45" t="s">
        <v>2024</v>
      </c>
      <c r="G283" s="56">
        <v>3900</v>
      </c>
      <c r="H283" s="56"/>
      <c r="I283" s="58">
        <f t="shared" si="8"/>
        <v>21872.18</v>
      </c>
      <c r="J283" s="56"/>
    </row>
    <row r="284" ht="20" customHeight="1" spans="2:12">
      <c r="B284" s="42">
        <v>9</v>
      </c>
      <c r="C284" s="42">
        <v>28</v>
      </c>
      <c r="D284" s="74" t="s">
        <v>69</v>
      </c>
      <c r="E284" s="117" t="s">
        <v>1809</v>
      </c>
      <c r="F284" s="117" t="s">
        <v>2011</v>
      </c>
      <c r="G284" s="56">
        <v>1000</v>
      </c>
      <c r="H284" s="56"/>
      <c r="I284" s="58">
        <f t="shared" si="8"/>
        <v>22872.18</v>
      </c>
      <c r="J284" s="56"/>
    </row>
    <row r="285" ht="24.75" spans="2:12">
      <c r="B285" s="42">
        <v>9</v>
      </c>
      <c r="C285" s="42">
        <v>28</v>
      </c>
      <c r="D285" s="42" t="s">
        <v>140</v>
      </c>
      <c r="E285" s="117" t="s">
        <v>1906</v>
      </c>
      <c r="F285" s="137" t="s">
        <v>2025</v>
      </c>
      <c r="G285" s="56"/>
      <c r="H285" s="55">
        <v>22400</v>
      </c>
      <c r="I285" s="58">
        <f t="shared" si="8"/>
        <v>472.179999999989</v>
      </c>
      <c r="J285" s="56"/>
    </row>
    <row r="286" ht="20" customHeight="1" spans="2:12">
      <c r="B286" s="42">
        <v>9</v>
      </c>
      <c r="C286" s="42">
        <v>28</v>
      </c>
      <c r="D286" s="94" t="s">
        <v>16</v>
      </c>
      <c r="E286" s="95" t="s">
        <v>1811</v>
      </c>
      <c r="F286" s="95" t="s">
        <v>237</v>
      </c>
      <c r="G286" s="84"/>
      <c r="H286" s="55">
        <v>8</v>
      </c>
      <c r="I286" s="58">
        <f t="shared" si="8"/>
        <v>464.179999999989</v>
      </c>
      <c r="J286" s="56"/>
    </row>
    <row r="287" ht="20" customHeight="1" spans="2:12">
      <c r="B287" s="68"/>
      <c r="C287" s="68"/>
      <c r="D287" s="68"/>
      <c r="E287" s="130"/>
      <c r="F287" s="70" t="s">
        <v>22</v>
      </c>
      <c r="G287" s="71">
        <f>SUM(G262:G286)</f>
        <v>293401.95</v>
      </c>
      <c r="H287" s="71">
        <f>SUM(H262:H286)</f>
        <v>293318.04</v>
      </c>
      <c r="I287" s="72">
        <f>I261+G287-H287</f>
        <v>464.179999999993</v>
      </c>
      <c r="J287" s="71"/>
      <c r="L287" s="165"/>
    </row>
    <row r="288" ht="20" customHeight="1" spans="2:12">
      <c r="B288" s="42"/>
      <c r="C288" s="42"/>
      <c r="D288" s="42"/>
      <c r="E288" s="45"/>
      <c r="F288" s="45"/>
      <c r="G288" s="56"/>
      <c r="H288" s="56"/>
      <c r="I288" s="58">
        <f t="shared" ref="I288:I299" si="9">I287+G288-H288</f>
        <v>464.179999999993</v>
      </c>
      <c r="J288" s="56"/>
    </row>
    <row r="289" ht="20" customHeight="1" spans="2:10">
      <c r="B289" s="42"/>
      <c r="C289" s="42"/>
      <c r="D289" s="42"/>
      <c r="E289" s="42"/>
      <c r="F289" s="45"/>
      <c r="G289" s="56"/>
      <c r="H289" s="56"/>
      <c r="I289" s="58">
        <f t="shared" si="9"/>
        <v>464.179999999993</v>
      </c>
      <c r="J289" s="56"/>
    </row>
    <row r="290" ht="20" customHeight="1" spans="2:10">
      <c r="B290" s="42"/>
      <c r="C290" s="42"/>
      <c r="D290" s="42"/>
      <c r="E290" s="117"/>
      <c r="F290" s="117"/>
      <c r="G290" s="56"/>
      <c r="H290" s="56"/>
      <c r="I290" s="58">
        <f t="shared" si="9"/>
        <v>464.179999999993</v>
      </c>
      <c r="J290" s="56"/>
    </row>
    <row r="291" ht="20" customHeight="1" spans="2:10">
      <c r="B291" s="42"/>
      <c r="C291" s="42"/>
      <c r="D291" s="42"/>
      <c r="E291" s="117"/>
      <c r="F291" s="45"/>
      <c r="G291" s="56"/>
      <c r="H291" s="56"/>
      <c r="I291" s="58">
        <f t="shared" si="9"/>
        <v>464.179999999993</v>
      </c>
      <c r="J291" s="56"/>
    </row>
    <row r="292" ht="20" customHeight="1" spans="2:10">
      <c r="B292" s="42"/>
      <c r="C292" s="42"/>
      <c r="D292" s="42"/>
      <c r="E292" s="117"/>
      <c r="F292" s="45"/>
      <c r="G292" s="56"/>
      <c r="H292" s="56"/>
      <c r="I292" s="58">
        <f t="shared" si="9"/>
        <v>464.179999999993</v>
      </c>
      <c r="J292" s="56"/>
    </row>
    <row r="293" ht="20" customHeight="1" spans="2:10">
      <c r="B293" s="42"/>
      <c r="C293" s="42"/>
      <c r="D293" s="42"/>
      <c r="E293" s="117"/>
      <c r="F293" s="45"/>
      <c r="G293" s="56"/>
      <c r="H293" s="56"/>
      <c r="I293" s="58">
        <f t="shared" si="9"/>
        <v>464.179999999993</v>
      </c>
      <c r="J293" s="56"/>
    </row>
    <row r="294" ht="20" customHeight="1" spans="2:10">
      <c r="B294" s="42"/>
      <c r="C294" s="42"/>
      <c r="D294" s="42"/>
      <c r="E294" s="117"/>
      <c r="F294" s="45"/>
      <c r="G294" s="56"/>
      <c r="H294" s="56"/>
      <c r="I294" s="58">
        <f t="shared" si="9"/>
        <v>464.179999999993</v>
      </c>
      <c r="J294" s="56"/>
    </row>
    <row r="295" ht="20" customHeight="1" spans="2:10">
      <c r="B295" s="42"/>
      <c r="C295" s="42"/>
      <c r="D295" s="42"/>
      <c r="E295" s="117"/>
      <c r="F295" s="45"/>
      <c r="G295" s="56"/>
      <c r="H295" s="56"/>
      <c r="I295" s="58">
        <f t="shared" si="9"/>
        <v>464.179999999993</v>
      </c>
      <c r="J295" s="56"/>
    </row>
    <row r="296" ht="20" customHeight="1" spans="2:10">
      <c r="B296" s="42"/>
      <c r="C296" s="42"/>
      <c r="D296" s="42"/>
      <c r="E296" s="45"/>
      <c r="F296" s="45"/>
      <c r="G296" s="56"/>
      <c r="H296" s="56"/>
      <c r="I296" s="58">
        <f t="shared" si="9"/>
        <v>464.179999999993</v>
      </c>
      <c r="J296" s="56"/>
    </row>
    <row r="297" ht="20" customHeight="1" spans="2:10">
      <c r="B297" s="42"/>
      <c r="C297" s="42"/>
      <c r="D297" s="42"/>
      <c r="E297" s="42"/>
      <c r="F297" s="45"/>
      <c r="G297" s="56"/>
      <c r="H297" s="56"/>
      <c r="I297" s="58">
        <f t="shared" si="9"/>
        <v>464.179999999993</v>
      </c>
      <c r="J297" s="56"/>
    </row>
    <row r="298" ht="20" customHeight="1" spans="2:10">
      <c r="B298" s="42"/>
      <c r="C298" s="42"/>
      <c r="D298" s="42"/>
      <c r="E298" s="117"/>
      <c r="F298" s="117"/>
      <c r="G298" s="56"/>
      <c r="H298" s="56"/>
      <c r="I298" s="58">
        <f t="shared" si="9"/>
        <v>464.179999999993</v>
      </c>
      <c r="J298" s="56"/>
    </row>
    <row r="299" ht="20" customHeight="1" spans="2:10">
      <c r="B299" s="42"/>
      <c r="C299" s="42"/>
      <c r="D299" s="42"/>
      <c r="E299" s="117"/>
      <c r="F299" s="45"/>
      <c r="G299" s="56"/>
      <c r="H299" s="56"/>
      <c r="I299" s="58">
        <f t="shared" si="9"/>
        <v>464.179999999993</v>
      </c>
      <c r="J299" s="56"/>
    </row>
    <row r="300" ht="20" customHeight="1" spans="2:10">
      <c r="B300" s="42"/>
      <c r="C300" s="42"/>
      <c r="D300" s="42"/>
      <c r="E300" s="117"/>
      <c r="F300" s="45"/>
      <c r="G300" s="56"/>
      <c r="H300" s="56"/>
      <c r="I300" s="58">
        <f t="shared" ref="I300:I329" si="10">I299+G300-H300</f>
        <v>464.179999999993</v>
      </c>
      <c r="J300" s="56"/>
    </row>
    <row r="301" ht="20" customHeight="1" spans="2:10">
      <c r="B301" s="42"/>
      <c r="C301" s="42"/>
      <c r="D301" s="42"/>
      <c r="E301" s="117"/>
      <c r="F301" s="45"/>
      <c r="G301" s="56"/>
      <c r="H301" s="56"/>
      <c r="I301" s="58">
        <f t="shared" si="10"/>
        <v>464.179999999993</v>
      </c>
      <c r="J301" s="56"/>
    </row>
    <row r="302" ht="20" customHeight="1" spans="2:10">
      <c r="B302" s="42"/>
      <c r="C302" s="42"/>
      <c r="D302" s="42"/>
      <c r="E302" s="117"/>
      <c r="F302" s="45"/>
      <c r="G302" s="56"/>
      <c r="H302" s="56"/>
      <c r="I302" s="58">
        <f t="shared" si="10"/>
        <v>464.179999999993</v>
      </c>
      <c r="J302" s="56"/>
    </row>
    <row r="303" ht="20" customHeight="1" spans="2:10">
      <c r="B303" s="42"/>
      <c r="C303" s="42"/>
      <c r="D303" s="42"/>
      <c r="E303" s="117"/>
      <c r="F303" s="45"/>
      <c r="G303" s="56"/>
      <c r="H303" s="56"/>
      <c r="I303" s="58">
        <f t="shared" si="10"/>
        <v>464.179999999993</v>
      </c>
      <c r="J303" s="56"/>
    </row>
    <row r="304" ht="20" customHeight="1" spans="2:10">
      <c r="B304" s="42"/>
      <c r="C304" s="42"/>
      <c r="D304" s="42"/>
      <c r="E304" s="45"/>
      <c r="F304" s="45"/>
      <c r="G304" s="56"/>
      <c r="H304" s="56"/>
      <c r="I304" s="58">
        <f t="shared" si="10"/>
        <v>464.179999999993</v>
      </c>
      <c r="J304" s="56"/>
    </row>
    <row r="305" ht="20" customHeight="1" spans="2:10">
      <c r="B305" s="42"/>
      <c r="C305" s="42"/>
      <c r="D305" s="42"/>
      <c r="E305" s="42"/>
      <c r="F305" s="45"/>
      <c r="G305" s="56"/>
      <c r="H305" s="56"/>
      <c r="I305" s="58">
        <f t="shared" si="10"/>
        <v>464.179999999993</v>
      </c>
      <c r="J305" s="56"/>
    </row>
    <row r="306" ht="20" customHeight="1" spans="2:10">
      <c r="B306" s="42"/>
      <c r="C306" s="42"/>
      <c r="D306" s="42"/>
      <c r="E306" s="117"/>
      <c r="F306" s="117"/>
      <c r="G306" s="56"/>
      <c r="H306" s="56"/>
      <c r="I306" s="58">
        <f t="shared" si="10"/>
        <v>464.179999999993</v>
      </c>
      <c r="J306" s="56"/>
    </row>
    <row r="307" ht="20" customHeight="1" spans="2:10">
      <c r="B307" s="42"/>
      <c r="C307" s="42"/>
      <c r="D307" s="42"/>
      <c r="E307" s="117"/>
      <c r="F307" s="45"/>
      <c r="G307" s="56"/>
      <c r="H307" s="56"/>
      <c r="I307" s="58">
        <f t="shared" si="10"/>
        <v>464.179999999993</v>
      </c>
      <c r="J307" s="56"/>
    </row>
    <row r="308" ht="20" customHeight="1" spans="2:10">
      <c r="B308" s="42"/>
      <c r="C308" s="42"/>
      <c r="D308" s="42"/>
      <c r="E308" s="117"/>
      <c r="F308" s="45"/>
      <c r="G308" s="56"/>
      <c r="H308" s="56"/>
      <c r="I308" s="58">
        <f t="shared" si="10"/>
        <v>464.179999999993</v>
      </c>
      <c r="J308" s="56"/>
    </row>
    <row r="309" ht="20" customHeight="1" spans="2:10">
      <c r="B309" s="42"/>
      <c r="C309" s="42"/>
      <c r="D309" s="42"/>
      <c r="E309" s="117"/>
      <c r="F309" s="45"/>
      <c r="G309" s="56"/>
      <c r="H309" s="56"/>
      <c r="I309" s="58">
        <f t="shared" si="10"/>
        <v>464.179999999993</v>
      </c>
      <c r="J309" s="56"/>
    </row>
    <row r="310" ht="20" customHeight="1" spans="2:10">
      <c r="B310" s="42"/>
      <c r="C310" s="42"/>
      <c r="D310" s="42"/>
      <c r="E310" s="117"/>
      <c r="F310" s="45"/>
      <c r="G310" s="56"/>
      <c r="H310" s="56"/>
      <c r="I310" s="58">
        <f t="shared" si="10"/>
        <v>464.179999999993</v>
      </c>
      <c r="J310" s="56"/>
    </row>
    <row r="311" ht="20" customHeight="1" spans="2:10">
      <c r="B311" s="42"/>
      <c r="C311" s="42"/>
      <c r="D311" s="42"/>
      <c r="E311" s="117"/>
      <c r="F311" s="45"/>
      <c r="G311" s="56"/>
      <c r="H311" s="56"/>
      <c r="I311" s="58">
        <f t="shared" si="10"/>
        <v>464.179999999993</v>
      </c>
      <c r="J311" s="56"/>
    </row>
    <row r="312" ht="20" customHeight="1" spans="2:10">
      <c r="B312" s="42"/>
      <c r="C312" s="42"/>
      <c r="D312" s="42"/>
      <c r="E312" s="45"/>
      <c r="F312" s="45"/>
      <c r="G312" s="56"/>
      <c r="H312" s="56"/>
      <c r="I312" s="58">
        <f t="shared" si="10"/>
        <v>464.179999999993</v>
      </c>
      <c r="J312" s="56"/>
    </row>
    <row r="313" ht="20" customHeight="1" spans="2:10">
      <c r="B313" s="42"/>
      <c r="C313" s="42"/>
      <c r="D313" s="42"/>
      <c r="E313" s="42"/>
      <c r="F313" s="45"/>
      <c r="G313" s="56"/>
      <c r="H313" s="56"/>
      <c r="I313" s="58">
        <f t="shared" si="10"/>
        <v>464.179999999993</v>
      </c>
      <c r="J313" s="56"/>
    </row>
    <row r="314" ht="20" customHeight="1" spans="2:10">
      <c r="B314" s="42"/>
      <c r="C314" s="42"/>
      <c r="D314" s="42"/>
      <c r="E314" s="117"/>
      <c r="F314" s="117"/>
      <c r="G314" s="56"/>
      <c r="H314" s="56"/>
      <c r="I314" s="58">
        <f t="shared" si="10"/>
        <v>464.179999999993</v>
      </c>
      <c r="J314" s="56"/>
    </row>
    <row r="315" ht="20" customHeight="1" spans="2:10">
      <c r="B315" s="42"/>
      <c r="C315" s="42"/>
      <c r="D315" s="42"/>
      <c r="E315" s="117"/>
      <c r="F315" s="45"/>
      <c r="G315" s="56"/>
      <c r="H315" s="56"/>
      <c r="I315" s="58">
        <f t="shared" si="10"/>
        <v>464.179999999993</v>
      </c>
      <c r="J315" s="56"/>
    </row>
    <row r="316" ht="20" customHeight="1" spans="2:10">
      <c r="B316" s="42"/>
      <c r="C316" s="42"/>
      <c r="D316" s="42"/>
      <c r="E316" s="117"/>
      <c r="F316" s="45"/>
      <c r="G316" s="56"/>
      <c r="H316" s="56"/>
      <c r="I316" s="58">
        <f t="shared" si="10"/>
        <v>464.179999999993</v>
      </c>
      <c r="J316" s="56"/>
    </row>
    <row r="317" ht="20" customHeight="1" spans="2:10">
      <c r="B317" s="42"/>
      <c r="C317" s="42"/>
      <c r="D317" s="42"/>
      <c r="E317" s="117"/>
      <c r="F317" s="45"/>
      <c r="G317" s="56"/>
      <c r="H317" s="56"/>
      <c r="I317" s="58">
        <f t="shared" si="10"/>
        <v>464.179999999993</v>
      </c>
      <c r="J317" s="56"/>
    </row>
    <row r="318" ht="20" customHeight="1" spans="2:10">
      <c r="B318" s="42"/>
      <c r="C318" s="42"/>
      <c r="D318" s="42"/>
      <c r="E318" s="117"/>
      <c r="F318" s="45"/>
      <c r="G318" s="56"/>
      <c r="H318" s="56"/>
      <c r="I318" s="58">
        <f t="shared" si="10"/>
        <v>464.179999999993</v>
      </c>
      <c r="J318" s="56"/>
    </row>
    <row r="319" ht="20" customHeight="1" spans="2:10">
      <c r="B319" s="42"/>
      <c r="C319" s="42"/>
      <c r="D319" s="42"/>
      <c r="E319" s="117"/>
      <c r="F319" s="45"/>
      <c r="G319" s="56"/>
      <c r="H319" s="56"/>
      <c r="I319" s="58">
        <f t="shared" si="10"/>
        <v>464.179999999993</v>
      </c>
      <c r="J319" s="56"/>
    </row>
    <row r="320" ht="20" customHeight="1" spans="2:10">
      <c r="B320" s="42"/>
      <c r="C320" s="42"/>
      <c r="D320" s="42"/>
      <c r="E320" s="45"/>
      <c r="F320" s="45"/>
      <c r="G320" s="56"/>
      <c r="H320" s="56"/>
      <c r="I320" s="58">
        <f t="shared" si="10"/>
        <v>464.179999999993</v>
      </c>
      <c r="J320" s="56"/>
    </row>
    <row r="321" ht="20" customHeight="1" spans="2:10">
      <c r="B321" s="42"/>
      <c r="C321" s="42"/>
      <c r="D321" s="42"/>
      <c r="E321" s="42"/>
      <c r="F321" s="45"/>
      <c r="G321" s="56"/>
      <c r="H321" s="56"/>
      <c r="I321" s="58">
        <f t="shared" si="10"/>
        <v>464.179999999993</v>
      </c>
      <c r="J321" s="56"/>
    </row>
    <row r="322" ht="20" customHeight="1" spans="2:10">
      <c r="B322" s="42"/>
      <c r="C322" s="42"/>
      <c r="D322" s="42"/>
      <c r="E322" s="117"/>
      <c r="F322" s="117"/>
      <c r="G322" s="56"/>
      <c r="H322" s="56"/>
      <c r="I322" s="58">
        <f t="shared" si="10"/>
        <v>464.179999999993</v>
      </c>
      <c r="J322" s="56"/>
    </row>
    <row r="323" ht="20" customHeight="1" spans="2:10">
      <c r="B323" s="42"/>
      <c r="C323" s="42"/>
      <c r="D323" s="42"/>
      <c r="E323" s="117"/>
      <c r="F323" s="45"/>
      <c r="G323" s="56"/>
      <c r="H323" s="56"/>
      <c r="I323" s="58">
        <f t="shared" si="10"/>
        <v>464.179999999993</v>
      </c>
      <c r="J323" s="56"/>
    </row>
    <row r="324" ht="20" customHeight="1" spans="2:10">
      <c r="B324" s="42"/>
      <c r="C324" s="42"/>
      <c r="D324" s="42"/>
      <c r="E324" s="117"/>
      <c r="F324" s="45"/>
      <c r="G324" s="56"/>
      <c r="H324" s="56"/>
      <c r="I324" s="58">
        <f t="shared" si="10"/>
        <v>464.179999999993</v>
      </c>
      <c r="J324" s="56"/>
    </row>
    <row r="325" ht="20" customHeight="1" spans="2:10">
      <c r="B325" s="42"/>
      <c r="C325" s="42"/>
      <c r="D325" s="42"/>
      <c r="E325" s="117"/>
      <c r="F325" s="45"/>
      <c r="G325" s="56"/>
      <c r="H325" s="56"/>
      <c r="I325" s="58">
        <f t="shared" si="10"/>
        <v>464.179999999993</v>
      </c>
      <c r="J325" s="56"/>
    </row>
    <row r="326" ht="20" customHeight="1" spans="2:10">
      <c r="B326" s="42"/>
      <c r="C326" s="42"/>
      <c r="D326" s="42"/>
      <c r="E326" s="117"/>
      <c r="F326" s="45"/>
      <c r="G326" s="56"/>
      <c r="H326" s="56"/>
      <c r="I326" s="58">
        <f t="shared" si="10"/>
        <v>464.179999999993</v>
      </c>
      <c r="J326" s="56"/>
    </row>
    <row r="327" ht="20" customHeight="1" spans="2:10">
      <c r="B327" s="42"/>
      <c r="C327" s="42"/>
      <c r="D327" s="42"/>
      <c r="E327" s="117"/>
      <c r="F327" s="45"/>
      <c r="G327" s="56"/>
      <c r="H327" s="56"/>
      <c r="I327" s="58">
        <f t="shared" si="10"/>
        <v>464.179999999993</v>
      </c>
      <c r="J327" s="56"/>
    </row>
    <row r="328" ht="20" customHeight="1" spans="2:10">
      <c r="B328" s="42"/>
      <c r="C328" s="42"/>
      <c r="D328" s="42"/>
      <c r="E328" s="45"/>
      <c r="F328" s="45"/>
      <c r="G328" s="56"/>
      <c r="H328" s="56"/>
      <c r="I328" s="58">
        <f t="shared" si="10"/>
        <v>464.179999999993</v>
      </c>
      <c r="J328" s="56"/>
    </row>
    <row r="329" ht="20" customHeight="1" spans="2:10">
      <c r="B329" s="42"/>
      <c r="C329" s="42"/>
      <c r="D329" s="42"/>
      <c r="E329" s="42"/>
      <c r="F329" s="45"/>
      <c r="G329" s="56"/>
      <c r="H329" s="56"/>
      <c r="I329" s="58">
        <f t="shared" si="10"/>
        <v>464.179999999993</v>
      </c>
      <c r="J329" s="56"/>
    </row>
  </sheetData>
  <autoFilter xmlns:etc="http://www.wps.cn/officeDocument/2017/etCustomData" ref="A3:P329" etc:filterBottomFollowUsedRange="0">
    <extLst/>
  </autoFilter>
  <mergeCells count="1">
    <mergeCell ref="B1:J1"/>
  </mergeCells>
  <conditionalFormatting sqref="E122">
    <cfRule type="expression" dxfId="1" priority="7">
      <formula>$B124&lt;&gt;""</formula>
    </cfRule>
  </conditionalFormatting>
  <conditionalFormatting sqref="E122:F122">
    <cfRule type="expression" dxfId="1" priority="1">
      <formula>$A122&lt;&gt;""</formula>
    </cfRule>
    <cfRule type="expression" dxfId="1" priority="2">
      <formula>$A121&lt;&gt;""</formula>
    </cfRule>
    <cfRule type="expression" dxfId="1" priority="3">
      <formula>$B123&lt;&gt;""</formula>
    </cfRule>
    <cfRule type="expression" dxfId="1" priority="4">
      <formula>$A123&lt;&gt;""</formula>
    </cfRule>
    <cfRule type="expression" dxfId="1" priority="5">
      <formula>$B122&lt;&gt;""</formula>
    </cfRule>
  </conditionalFormatting>
  <conditionalFormatting sqref="F122">
    <cfRule type="expression" dxfId="1" priority="6">
      <formula>$B125&lt;&gt;""</formula>
    </cfRule>
  </conditionalFormatting>
  <dataValidations count="2">
    <dataValidation type="list" allowBlank="1" showInputMessage="1" showErrorMessage="1" sqref="D1:D3 D330:D1048576">
      <formula1>付费项!$B$2:$B$68</formula1>
    </dataValidation>
    <dataValidation type="list" allowBlank="1" showInputMessage="1" showErrorMessage="1" sqref="D4:D156 D164:D183 D185:D213 D217:D218 D220:D252 D254:D277 D279:D329">
      <formula1>付费项!$B$2:$B$77</formula1>
    </dataValidation>
  </dataValidation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P73"/>
  <sheetViews>
    <sheetView topLeftCell="A13" workbookViewId="0">
      <selection activeCell="L35" sqref="L35"/>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2026</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30632.96</v>
      </c>
      <c r="J4" s="56"/>
    </row>
    <row r="5" ht="20" customHeight="1" spans="1:16">
      <c r="B5" s="42">
        <v>1</v>
      </c>
      <c r="C5" s="42">
        <v>2</v>
      </c>
      <c r="D5" s="74" t="s">
        <v>16</v>
      </c>
      <c r="E5" s="117" t="s">
        <v>2027</v>
      </c>
      <c r="F5" s="75" t="s">
        <v>2028</v>
      </c>
      <c r="G5" s="55"/>
      <c r="H5" s="55">
        <v>25</v>
      </c>
      <c r="I5" s="58">
        <f>I4+G5-H5</f>
        <v>30607.96</v>
      </c>
      <c r="J5" s="56"/>
    </row>
    <row r="6" ht="20" customHeight="1" spans="1:16">
      <c r="B6" s="68"/>
      <c r="C6" s="68"/>
      <c r="D6" s="68"/>
      <c r="E6" s="130"/>
      <c r="F6" s="70" t="s">
        <v>22</v>
      </c>
      <c r="G6" s="71">
        <f>SUM(G5)</f>
        <v>0</v>
      </c>
      <c r="H6" s="71">
        <f>SUM(H5)</f>
        <v>25</v>
      </c>
      <c r="I6" s="72">
        <f>I4+G6-H6</f>
        <v>30607.96</v>
      </c>
      <c r="J6" s="71"/>
    </row>
    <row r="7" ht="20" customHeight="1" spans="1:16">
      <c r="B7" s="42">
        <v>2</v>
      </c>
      <c r="C7" s="42">
        <v>2</v>
      </c>
      <c r="D7" s="42" t="s">
        <v>16</v>
      </c>
      <c r="E7" s="117" t="s">
        <v>2027</v>
      </c>
      <c r="F7" s="75" t="s">
        <v>2028</v>
      </c>
      <c r="G7" s="55"/>
      <c r="H7" s="55">
        <v>25</v>
      </c>
      <c r="I7" s="58">
        <f>I6+G7-H7</f>
        <v>30582.96</v>
      </c>
      <c r="J7" s="56"/>
    </row>
    <row r="8" ht="20" customHeight="1" spans="1:16">
      <c r="B8" s="68"/>
      <c r="C8" s="68"/>
      <c r="D8" s="68"/>
      <c r="E8" s="130"/>
      <c r="F8" s="70" t="s">
        <v>22</v>
      </c>
      <c r="G8" s="71">
        <f>SUM(G7)</f>
        <v>0</v>
      </c>
      <c r="H8" s="71">
        <f>SUM(H7)</f>
        <v>25</v>
      </c>
      <c r="I8" s="72">
        <f>I6+G8-H8</f>
        <v>30582.96</v>
      </c>
      <c r="J8" s="71"/>
    </row>
    <row r="9" ht="20" customHeight="1" spans="1:16">
      <c r="B9" s="42">
        <v>3</v>
      </c>
      <c r="C9" s="42">
        <v>2</v>
      </c>
      <c r="D9" s="42" t="s">
        <v>16</v>
      </c>
      <c r="E9" s="95" t="s">
        <v>2027</v>
      </c>
      <c r="F9" s="75" t="s">
        <v>2028</v>
      </c>
      <c r="G9" s="84"/>
      <c r="H9" s="55">
        <v>25</v>
      </c>
      <c r="I9" s="58">
        <f>I7+G9-H9</f>
        <v>30557.96</v>
      </c>
      <c r="J9" s="56"/>
    </row>
    <row r="10" ht="20" customHeight="1" spans="1:16">
      <c r="B10" s="42">
        <v>3</v>
      </c>
      <c r="C10" s="42">
        <v>21</v>
      </c>
      <c r="D10" s="42" t="s">
        <v>29</v>
      </c>
      <c r="E10" s="95" t="s">
        <v>2027</v>
      </c>
      <c r="F10" s="75" t="s">
        <v>29</v>
      </c>
      <c r="G10" s="55">
        <v>3.82</v>
      </c>
      <c r="H10" s="56"/>
      <c r="I10" s="58">
        <f>I9+G10-H10</f>
        <v>30561.78</v>
      </c>
      <c r="J10" s="56"/>
    </row>
    <row r="11" ht="20" customHeight="1" spans="1:16">
      <c r="B11" s="68"/>
      <c r="C11" s="68"/>
      <c r="D11" s="68"/>
      <c r="E11" s="130"/>
      <c r="F11" s="70" t="s">
        <v>22</v>
      </c>
      <c r="G11" s="71">
        <f>SUM(G9:G10)</f>
        <v>3.82</v>
      </c>
      <c r="H11" s="71">
        <f>SUM(H9:H10)</f>
        <v>25</v>
      </c>
      <c r="I11" s="72">
        <f>I8+G11-H11</f>
        <v>30561.78</v>
      </c>
      <c r="J11" s="71"/>
    </row>
    <row r="12" ht="20" customHeight="1" spans="1:16">
      <c r="B12" s="42">
        <v>4</v>
      </c>
      <c r="C12" s="42">
        <v>2</v>
      </c>
      <c r="D12" s="42" t="s">
        <v>16</v>
      </c>
      <c r="E12" s="95" t="s">
        <v>2027</v>
      </c>
      <c r="F12" s="75" t="s">
        <v>2028</v>
      </c>
      <c r="G12" s="84"/>
      <c r="H12" s="55">
        <v>25</v>
      </c>
      <c r="I12" s="58">
        <f>I10+G12-H12</f>
        <v>30536.78</v>
      </c>
      <c r="J12" s="56"/>
    </row>
    <row r="13" ht="20" customHeight="1" spans="1:16">
      <c r="B13" s="68"/>
      <c r="C13" s="68"/>
      <c r="D13" s="68"/>
      <c r="E13" s="130"/>
      <c r="F13" s="70" t="s">
        <v>22</v>
      </c>
      <c r="G13" s="71">
        <f>SUM(G12:G12)</f>
        <v>0</v>
      </c>
      <c r="H13" s="71">
        <f>SUM(H12:H12)</f>
        <v>25</v>
      </c>
      <c r="I13" s="72">
        <f>I10+G13-H13</f>
        <v>30536.78</v>
      </c>
      <c r="J13" s="71"/>
    </row>
    <row r="14" ht="20" customHeight="1" spans="1:16">
      <c r="B14" s="42">
        <v>5</v>
      </c>
      <c r="C14" s="42">
        <v>2</v>
      </c>
      <c r="D14" s="42" t="s">
        <v>16</v>
      </c>
      <c r="E14" s="95" t="s">
        <v>2027</v>
      </c>
      <c r="F14" s="75" t="s">
        <v>2028</v>
      </c>
      <c r="G14" s="84"/>
      <c r="H14" s="55">
        <v>25</v>
      </c>
      <c r="I14" s="58">
        <f>I12+G14-H14</f>
        <v>30511.78</v>
      </c>
      <c r="J14" s="56"/>
    </row>
    <row r="15" ht="20" customHeight="1" spans="1:16">
      <c r="B15" s="68"/>
      <c r="C15" s="68"/>
      <c r="D15" s="68"/>
      <c r="E15" s="130"/>
      <c r="F15" s="70" t="s">
        <v>22</v>
      </c>
      <c r="G15" s="71">
        <f>SUM(G14:G14)</f>
        <v>0</v>
      </c>
      <c r="H15" s="71">
        <f>SUM(H14:H14)</f>
        <v>25</v>
      </c>
      <c r="I15" s="72">
        <f>I12+G15-H15</f>
        <v>30511.78</v>
      </c>
      <c r="J15" s="71"/>
    </row>
    <row r="16" ht="20" customHeight="1" spans="1:16">
      <c r="B16" s="42">
        <v>6</v>
      </c>
      <c r="C16" s="42">
        <v>2</v>
      </c>
      <c r="D16" s="42" t="s">
        <v>16</v>
      </c>
      <c r="E16" s="95" t="s">
        <v>2027</v>
      </c>
      <c r="F16" s="75" t="s">
        <v>2028</v>
      </c>
      <c r="G16" s="84"/>
      <c r="H16" s="55">
        <v>25</v>
      </c>
      <c r="I16" s="58">
        <f>I15+G16-H16</f>
        <v>30486.78</v>
      </c>
      <c r="J16" s="56"/>
    </row>
    <row r="17" ht="20" customHeight="1" spans="2:10">
      <c r="B17" s="42">
        <v>6</v>
      </c>
      <c r="C17" s="42">
        <v>15</v>
      </c>
      <c r="D17" s="74" t="s">
        <v>69</v>
      </c>
      <c r="E17" s="117" t="s">
        <v>1807</v>
      </c>
      <c r="F17" s="45" t="s">
        <v>2029</v>
      </c>
      <c r="G17" s="56"/>
      <c r="H17" s="56">
        <v>17000</v>
      </c>
      <c r="I17" s="58">
        <f>I16+G17-H17</f>
        <v>13486.78</v>
      </c>
      <c r="J17" s="56"/>
    </row>
    <row r="18" ht="20" customHeight="1" spans="2:10">
      <c r="B18" s="42">
        <v>6</v>
      </c>
      <c r="C18" s="42">
        <v>21</v>
      </c>
      <c r="D18" s="42" t="s">
        <v>29</v>
      </c>
      <c r="E18" s="95" t="s">
        <v>2027</v>
      </c>
      <c r="F18" s="95" t="s">
        <v>29</v>
      </c>
      <c r="G18" s="56">
        <v>3.76</v>
      </c>
      <c r="H18" s="56"/>
      <c r="I18" s="58">
        <f>I17+G18-H18</f>
        <v>13490.54</v>
      </c>
      <c r="J18" s="56"/>
    </row>
    <row r="19" ht="20" customHeight="1" spans="2:10">
      <c r="B19" s="42">
        <v>6</v>
      </c>
      <c r="C19" s="42">
        <v>22</v>
      </c>
      <c r="D19" s="74" t="s">
        <v>69</v>
      </c>
      <c r="E19" s="117" t="s">
        <v>1807</v>
      </c>
      <c r="F19" s="45" t="s">
        <v>2030</v>
      </c>
      <c r="G19" s="56"/>
      <c r="H19" s="56">
        <v>10000</v>
      </c>
      <c r="I19" s="58">
        <f>I18+G19-H19</f>
        <v>3490.54</v>
      </c>
      <c r="J19" s="56"/>
    </row>
    <row r="20" ht="20" customHeight="1" spans="2:10">
      <c r="B20" s="68"/>
      <c r="C20" s="68"/>
      <c r="D20" s="68"/>
      <c r="E20" s="130"/>
      <c r="F20" s="70" t="s">
        <v>22</v>
      </c>
      <c r="G20" s="71">
        <f>SUM(G16:G19)</f>
        <v>3.76</v>
      </c>
      <c r="H20" s="71">
        <f>SUM(H16:H19)</f>
        <v>27025</v>
      </c>
      <c r="I20" s="72">
        <f>I15+G20-H20</f>
        <v>3490.54</v>
      </c>
      <c r="J20" s="71"/>
    </row>
    <row r="21" ht="20" customHeight="1" spans="2:10">
      <c r="B21" s="42">
        <v>7</v>
      </c>
      <c r="C21" s="42">
        <v>2</v>
      </c>
      <c r="D21" s="42" t="s">
        <v>16</v>
      </c>
      <c r="E21" s="95" t="s">
        <v>2027</v>
      </c>
      <c r="F21" s="75" t="s">
        <v>16</v>
      </c>
      <c r="G21" s="55"/>
      <c r="H21" s="55">
        <v>1.06</v>
      </c>
      <c r="I21" s="58">
        <f>I19+G21-H21</f>
        <v>3489.48</v>
      </c>
      <c r="J21" s="56"/>
    </row>
    <row r="22" ht="20" customHeight="1" spans="2:10">
      <c r="B22" s="42">
        <v>7</v>
      </c>
      <c r="C22" s="42">
        <v>2</v>
      </c>
      <c r="D22" s="42" t="s">
        <v>16</v>
      </c>
      <c r="E22" s="95" t="s">
        <v>2027</v>
      </c>
      <c r="F22" s="75" t="s">
        <v>2028</v>
      </c>
      <c r="G22" s="55"/>
      <c r="H22" s="55">
        <v>25</v>
      </c>
      <c r="I22" s="58">
        <f>I21+G22-H22</f>
        <v>3464.48</v>
      </c>
      <c r="J22" s="56"/>
    </row>
    <row r="23" ht="20" customHeight="1" spans="2:10">
      <c r="B23" s="68"/>
      <c r="C23" s="68"/>
      <c r="D23" s="68"/>
      <c r="E23" s="130"/>
      <c r="F23" s="70" t="s">
        <v>22</v>
      </c>
      <c r="G23" s="71">
        <f>SUM(G21:G22)</f>
        <v>0</v>
      </c>
      <c r="H23" s="71">
        <f>SUM(H21:H22)</f>
        <v>26.06</v>
      </c>
      <c r="I23" s="72">
        <f>I20+G23-H23</f>
        <v>3464.48</v>
      </c>
      <c r="J23" s="71"/>
    </row>
    <row r="24" ht="20" customHeight="1" spans="2:10">
      <c r="B24" s="42">
        <v>8</v>
      </c>
      <c r="C24" s="42">
        <v>2</v>
      </c>
      <c r="D24" s="42" t="s">
        <v>16</v>
      </c>
      <c r="E24" s="95" t="s">
        <v>2027</v>
      </c>
      <c r="F24" s="75" t="s">
        <v>2028</v>
      </c>
      <c r="G24" s="55"/>
      <c r="H24" s="55">
        <v>25</v>
      </c>
      <c r="I24" s="58">
        <f t="shared" ref="I24:I29" si="0">I22+G24-H24</f>
        <v>3439.48</v>
      </c>
      <c r="J24" s="56"/>
    </row>
    <row r="25" ht="20" customHeight="1" spans="2:10">
      <c r="B25" s="68"/>
      <c r="C25" s="68"/>
      <c r="D25" s="68"/>
      <c r="E25" s="130"/>
      <c r="F25" s="70" t="s">
        <v>22</v>
      </c>
      <c r="G25" s="71">
        <f>SUM(G23:G24)</f>
        <v>0</v>
      </c>
      <c r="H25" s="71">
        <f>SUM(H24:H24)</f>
        <v>25</v>
      </c>
      <c r="I25" s="72">
        <f t="shared" si="0"/>
        <v>3439.48</v>
      </c>
      <c r="J25" s="71"/>
    </row>
    <row r="26" ht="20" customHeight="1" spans="2:10">
      <c r="B26" s="42">
        <v>9</v>
      </c>
      <c r="C26" s="42">
        <v>2</v>
      </c>
      <c r="D26" s="94" t="s">
        <v>16</v>
      </c>
      <c r="E26" s="95" t="s">
        <v>2027</v>
      </c>
      <c r="F26" s="95" t="s">
        <v>2028</v>
      </c>
      <c r="G26" s="84"/>
      <c r="H26" s="84">
        <v>25</v>
      </c>
      <c r="I26" s="58">
        <f t="shared" si="0"/>
        <v>3414.48</v>
      </c>
      <c r="J26" s="56"/>
    </row>
    <row r="27" ht="20" customHeight="1" spans="2:10">
      <c r="B27" s="42">
        <v>9</v>
      </c>
      <c r="C27" s="42">
        <v>21</v>
      </c>
      <c r="D27" s="42" t="s">
        <v>29</v>
      </c>
      <c r="E27" s="95" t="s">
        <v>2027</v>
      </c>
      <c r="F27" s="95" t="s">
        <v>29</v>
      </c>
      <c r="G27" s="56">
        <v>0.45</v>
      </c>
      <c r="H27" s="56"/>
      <c r="I27" s="58">
        <f>I26+G27-H27</f>
        <v>3414.93</v>
      </c>
      <c r="J27" s="56"/>
    </row>
    <row r="28" ht="20" customHeight="1" spans="2:10">
      <c r="B28" s="42">
        <v>9</v>
      </c>
      <c r="C28" s="42">
        <v>30</v>
      </c>
      <c r="D28" s="74" t="s">
        <v>69</v>
      </c>
      <c r="E28" s="44" t="s">
        <v>1809</v>
      </c>
      <c r="F28" s="95" t="s">
        <v>1980</v>
      </c>
      <c r="G28" s="56"/>
      <c r="H28" s="56">
        <v>2500</v>
      </c>
      <c r="I28" s="58">
        <f>I27+G28-H28</f>
        <v>914.93</v>
      </c>
      <c r="J28" s="56"/>
    </row>
    <row r="29" ht="20" customHeight="1" spans="2:10">
      <c r="B29" s="68"/>
      <c r="C29" s="68"/>
      <c r="D29" s="68"/>
      <c r="E29" s="130"/>
      <c r="F29" s="70" t="s">
        <v>22</v>
      </c>
      <c r="G29" s="71">
        <f>SUM(G26:G28)</f>
        <v>0.45</v>
      </c>
      <c r="H29" s="71">
        <f>SUM(H26:H28)</f>
        <v>2525</v>
      </c>
      <c r="I29" s="72">
        <f>I25+G29-H29</f>
        <v>914.93</v>
      </c>
      <c r="J29" s="71"/>
    </row>
    <row r="30" ht="20" customHeight="1" spans="2:10">
      <c r="B30" s="42"/>
      <c r="C30" s="42"/>
      <c r="D30" s="42"/>
      <c r="E30" s="117"/>
      <c r="F30" s="45"/>
      <c r="G30" s="56"/>
      <c r="H30" s="56"/>
      <c r="I30" s="58">
        <f>I28+G30-H30</f>
        <v>914.93</v>
      </c>
      <c r="J30" s="56"/>
    </row>
    <row r="31" ht="20" customHeight="1" spans="2:10">
      <c r="B31" s="42"/>
      <c r="C31" s="42"/>
      <c r="D31" s="42"/>
      <c r="E31" s="117"/>
      <c r="F31" s="45"/>
      <c r="G31" s="56"/>
      <c r="H31" s="56"/>
      <c r="I31" s="58">
        <f t="shared" ref="I30:I73" si="1">I30+G31-H31</f>
        <v>914.93</v>
      </c>
      <c r="J31" s="56"/>
    </row>
    <row r="32" ht="20" customHeight="1" spans="2:10">
      <c r="B32" s="42"/>
      <c r="C32" s="42"/>
      <c r="D32" s="42"/>
      <c r="E32" s="117"/>
      <c r="F32" s="45"/>
      <c r="G32" s="56"/>
      <c r="H32" s="56"/>
      <c r="I32" s="58">
        <f t="shared" si="1"/>
        <v>914.93</v>
      </c>
      <c r="J32" s="56"/>
    </row>
    <row r="33" ht="20" customHeight="1" spans="2:10">
      <c r="B33" s="42"/>
      <c r="C33" s="42"/>
      <c r="D33" s="42"/>
      <c r="E33" s="42"/>
      <c r="F33" s="54"/>
      <c r="G33" s="56"/>
      <c r="H33" s="56"/>
      <c r="I33" s="58">
        <f t="shared" si="1"/>
        <v>914.93</v>
      </c>
      <c r="J33" s="56"/>
    </row>
    <row r="34" ht="20" customHeight="1" spans="2:10">
      <c r="B34" s="42"/>
      <c r="C34" s="42"/>
      <c r="D34" s="42"/>
      <c r="E34" s="42"/>
      <c r="F34" s="54"/>
      <c r="G34" s="56"/>
      <c r="H34" s="56"/>
      <c r="I34" s="58">
        <f t="shared" si="1"/>
        <v>914.93</v>
      </c>
      <c r="J34" s="56"/>
    </row>
    <row r="35" ht="20" customHeight="1" spans="2:10">
      <c r="B35" s="42"/>
      <c r="C35" s="42"/>
      <c r="D35" s="42"/>
      <c r="E35" s="54"/>
      <c r="F35" s="54"/>
      <c r="G35" s="56"/>
      <c r="H35" s="56"/>
      <c r="I35" s="58">
        <f t="shared" si="1"/>
        <v>914.93</v>
      </c>
      <c r="J35" s="56"/>
    </row>
    <row r="36" ht="20" customHeight="1" spans="2:10">
      <c r="B36" s="42"/>
      <c r="C36" s="42"/>
      <c r="D36" s="42"/>
      <c r="E36" s="42"/>
      <c r="F36" s="42"/>
      <c r="G36" s="56"/>
      <c r="H36" s="56"/>
      <c r="I36" s="58">
        <f t="shared" si="1"/>
        <v>914.93</v>
      </c>
      <c r="J36" s="56"/>
    </row>
    <row r="37" ht="20" customHeight="1" spans="2:10">
      <c r="B37" s="42"/>
      <c r="C37" s="42"/>
      <c r="D37" s="42"/>
      <c r="E37" s="42"/>
      <c r="F37" s="54"/>
      <c r="G37" s="56"/>
      <c r="H37" s="56"/>
      <c r="I37" s="58">
        <f t="shared" si="1"/>
        <v>914.93</v>
      </c>
      <c r="J37" s="56"/>
    </row>
    <row r="38" ht="20" customHeight="1" spans="2:10">
      <c r="B38" s="42"/>
      <c r="C38" s="42"/>
      <c r="D38" s="42"/>
      <c r="E38" s="42"/>
      <c r="F38" s="54"/>
      <c r="G38" s="56"/>
      <c r="H38" s="56"/>
      <c r="I38" s="58">
        <f t="shared" si="1"/>
        <v>914.93</v>
      </c>
      <c r="J38" s="56"/>
    </row>
    <row r="39" ht="20" customHeight="1" spans="2:10">
      <c r="B39" s="42"/>
      <c r="C39" s="42"/>
      <c r="D39" s="42"/>
      <c r="E39" s="42"/>
      <c r="F39" s="54"/>
      <c r="G39" s="56"/>
      <c r="H39" s="56"/>
      <c r="I39" s="58">
        <f t="shared" si="1"/>
        <v>914.93</v>
      </c>
      <c r="J39" s="56"/>
    </row>
    <row r="40" ht="20" customHeight="1" spans="2:10">
      <c r="B40" s="42"/>
      <c r="C40" s="42"/>
      <c r="D40" s="42"/>
      <c r="E40" s="42"/>
      <c r="F40" s="54"/>
      <c r="G40" s="56"/>
      <c r="H40" s="56"/>
      <c r="I40" s="58">
        <f t="shared" si="1"/>
        <v>914.93</v>
      </c>
      <c r="J40" s="56"/>
    </row>
    <row r="41" ht="20" customHeight="1" spans="2:10">
      <c r="B41" s="42"/>
      <c r="C41" s="42"/>
      <c r="D41" s="42"/>
      <c r="E41" s="42"/>
      <c r="F41" s="54"/>
      <c r="G41" s="56"/>
      <c r="H41" s="56"/>
      <c r="I41" s="58">
        <f t="shared" si="1"/>
        <v>914.93</v>
      </c>
      <c r="J41" s="56"/>
    </row>
    <row r="42" ht="20" customHeight="1" spans="2:10">
      <c r="B42" s="42"/>
      <c r="C42" s="42"/>
      <c r="D42" s="42"/>
      <c r="E42" s="54"/>
      <c r="F42" s="54"/>
      <c r="G42" s="56"/>
      <c r="H42" s="56"/>
      <c r="I42" s="58">
        <f t="shared" si="1"/>
        <v>914.93</v>
      </c>
      <c r="J42" s="56"/>
    </row>
    <row r="43" ht="20" customHeight="1" spans="2:10">
      <c r="B43" s="42"/>
      <c r="C43" s="42"/>
      <c r="D43" s="42"/>
      <c r="E43" s="42"/>
      <c r="F43" s="54"/>
      <c r="G43" s="56"/>
      <c r="H43" s="56"/>
      <c r="I43" s="58">
        <f t="shared" si="1"/>
        <v>914.93</v>
      </c>
      <c r="J43" s="56"/>
    </row>
    <row r="44" ht="20" customHeight="1" spans="2:10">
      <c r="B44" s="42"/>
      <c r="C44" s="42"/>
      <c r="D44" s="42"/>
      <c r="E44" s="42"/>
      <c r="F44" s="54"/>
      <c r="G44" s="56"/>
      <c r="H44" s="56"/>
      <c r="I44" s="58">
        <f t="shared" si="1"/>
        <v>914.93</v>
      </c>
      <c r="J44" s="56"/>
    </row>
    <row r="45" ht="20" customHeight="1" spans="2:10">
      <c r="B45" s="42"/>
      <c r="C45" s="42"/>
      <c r="D45" s="42"/>
      <c r="E45" s="42"/>
      <c r="F45" s="54"/>
      <c r="G45" s="56"/>
      <c r="H45" s="56"/>
      <c r="I45" s="58">
        <f t="shared" si="1"/>
        <v>914.93</v>
      </c>
      <c r="J45" s="56"/>
    </row>
    <row r="46" ht="20" customHeight="1" spans="2:10">
      <c r="B46" s="42"/>
      <c r="C46" s="42"/>
      <c r="D46" s="42"/>
      <c r="E46" s="42"/>
      <c r="F46" s="54"/>
      <c r="G46" s="56"/>
      <c r="H46" s="56"/>
      <c r="I46" s="58">
        <f t="shared" si="1"/>
        <v>914.93</v>
      </c>
      <c r="J46" s="56"/>
    </row>
    <row r="47" ht="20" customHeight="1" spans="2:10">
      <c r="B47" s="42"/>
      <c r="C47" s="42"/>
      <c r="D47" s="42"/>
      <c r="E47" s="42"/>
      <c r="F47" s="54"/>
      <c r="G47" s="56"/>
      <c r="H47" s="56"/>
      <c r="I47" s="58">
        <f t="shared" si="1"/>
        <v>914.93</v>
      </c>
      <c r="J47" s="56"/>
    </row>
    <row r="48" ht="20" customHeight="1" spans="2:10">
      <c r="B48" s="42"/>
      <c r="C48" s="42"/>
      <c r="D48" s="42"/>
      <c r="E48" s="42"/>
      <c r="F48" s="54"/>
      <c r="G48" s="56"/>
      <c r="H48" s="56"/>
      <c r="I48" s="58">
        <f t="shared" si="1"/>
        <v>914.93</v>
      </c>
      <c r="J48" s="56"/>
    </row>
    <row r="49" ht="20" customHeight="1" spans="2:10">
      <c r="B49" s="42"/>
      <c r="C49" s="42"/>
      <c r="D49" s="42"/>
      <c r="E49" s="42"/>
      <c r="F49" s="54"/>
      <c r="G49" s="56"/>
      <c r="H49" s="56"/>
      <c r="I49" s="58">
        <f t="shared" si="1"/>
        <v>914.93</v>
      </c>
      <c r="J49" s="56"/>
    </row>
    <row r="50" ht="20" customHeight="1" spans="2:10">
      <c r="B50" s="42"/>
      <c r="C50" s="42"/>
      <c r="D50" s="42"/>
      <c r="E50" s="54"/>
      <c r="F50" s="54"/>
      <c r="G50" s="56"/>
      <c r="H50" s="56"/>
      <c r="I50" s="58">
        <f t="shared" si="1"/>
        <v>914.93</v>
      </c>
      <c r="J50" s="56"/>
    </row>
    <row r="51" ht="20" customHeight="1" spans="2:10">
      <c r="B51" s="42"/>
      <c r="C51" s="42"/>
      <c r="D51" s="42"/>
      <c r="E51" s="42"/>
      <c r="F51" s="42"/>
      <c r="G51" s="56"/>
      <c r="H51" s="56"/>
      <c r="I51" s="58">
        <f t="shared" si="1"/>
        <v>914.93</v>
      </c>
      <c r="J51" s="56"/>
    </row>
    <row r="52" ht="20" customHeight="1" spans="2:10">
      <c r="B52" s="42"/>
      <c r="C52" s="42"/>
      <c r="D52" s="42"/>
      <c r="E52" s="42"/>
      <c r="F52" s="54"/>
      <c r="G52" s="56"/>
      <c r="H52" s="56"/>
      <c r="I52" s="58">
        <f t="shared" si="1"/>
        <v>914.93</v>
      </c>
      <c r="J52" s="56"/>
    </row>
    <row r="53" ht="20" customHeight="1" spans="2:10">
      <c r="B53" s="42"/>
      <c r="C53" s="42"/>
      <c r="D53" s="42"/>
      <c r="E53" s="42"/>
      <c r="F53" s="54"/>
      <c r="G53" s="56"/>
      <c r="H53" s="56"/>
      <c r="I53" s="58">
        <f t="shared" si="1"/>
        <v>914.93</v>
      </c>
      <c r="J53" s="56"/>
    </row>
    <row r="54" ht="20" customHeight="1" spans="2:10">
      <c r="B54" s="42"/>
      <c r="C54" s="42"/>
      <c r="D54" s="42"/>
      <c r="E54" s="42"/>
      <c r="F54" s="54"/>
      <c r="G54" s="56"/>
      <c r="H54" s="56"/>
      <c r="I54" s="58">
        <f t="shared" si="1"/>
        <v>914.93</v>
      </c>
      <c r="J54" s="56"/>
    </row>
    <row r="55" ht="20" customHeight="1" spans="2:10">
      <c r="B55" s="42"/>
      <c r="C55" s="42"/>
      <c r="D55" s="42"/>
      <c r="E55" s="42"/>
      <c r="F55" s="54"/>
      <c r="G55" s="56"/>
      <c r="H55" s="56"/>
      <c r="I55" s="58">
        <f t="shared" si="1"/>
        <v>914.93</v>
      </c>
      <c r="J55" s="56"/>
    </row>
    <row r="56" ht="20" customHeight="1" spans="2:10">
      <c r="B56" s="42"/>
      <c r="C56" s="42"/>
      <c r="D56" s="42"/>
      <c r="E56" s="42"/>
      <c r="F56" s="54"/>
      <c r="G56" s="56"/>
      <c r="H56" s="56"/>
      <c r="I56" s="58">
        <f t="shared" si="1"/>
        <v>914.93</v>
      </c>
      <c r="J56" s="56"/>
    </row>
    <row r="57" ht="20" customHeight="1" spans="2:10">
      <c r="B57" s="42"/>
      <c r="C57" s="42"/>
      <c r="D57" s="42"/>
      <c r="E57" s="54"/>
      <c r="F57" s="54"/>
      <c r="G57" s="56"/>
      <c r="H57" s="56"/>
      <c r="I57" s="58">
        <f t="shared" si="1"/>
        <v>914.93</v>
      </c>
      <c r="J57" s="56"/>
    </row>
    <row r="58" ht="20" customHeight="1" spans="2:10">
      <c r="B58" s="42"/>
      <c r="C58" s="42"/>
      <c r="D58" s="42"/>
      <c r="E58" s="42"/>
      <c r="F58" s="54"/>
      <c r="G58" s="56"/>
      <c r="H58" s="56"/>
      <c r="I58" s="58">
        <f t="shared" si="1"/>
        <v>914.93</v>
      </c>
      <c r="J58" s="56"/>
    </row>
    <row r="59" ht="20" customHeight="1" spans="2:10">
      <c r="B59" s="42"/>
      <c r="C59" s="42"/>
      <c r="D59" s="42"/>
      <c r="E59" s="42"/>
      <c r="F59" s="54"/>
      <c r="G59" s="56"/>
      <c r="H59" s="56"/>
      <c r="I59" s="58">
        <f t="shared" si="1"/>
        <v>914.93</v>
      </c>
      <c r="J59" s="56"/>
    </row>
    <row r="60" ht="20" customHeight="1" spans="2:10">
      <c r="B60" s="42"/>
      <c r="C60" s="42"/>
      <c r="D60" s="42"/>
      <c r="E60" s="42"/>
      <c r="F60" s="54"/>
      <c r="G60" s="56"/>
      <c r="H60" s="56"/>
      <c r="I60" s="58">
        <f t="shared" si="1"/>
        <v>914.93</v>
      </c>
      <c r="J60" s="56"/>
    </row>
    <row r="61" ht="20" customHeight="1" spans="2:10">
      <c r="B61" s="42"/>
      <c r="C61" s="42"/>
      <c r="D61" s="42"/>
      <c r="E61" s="42"/>
      <c r="F61" s="54"/>
      <c r="G61" s="56"/>
      <c r="H61" s="56"/>
      <c r="I61" s="58">
        <f t="shared" si="1"/>
        <v>914.93</v>
      </c>
      <c r="J61" s="56"/>
    </row>
    <row r="62" ht="20" customHeight="1" spans="2:10">
      <c r="B62" s="42"/>
      <c r="C62" s="42"/>
      <c r="D62" s="42"/>
      <c r="E62" s="42"/>
      <c r="F62" s="54"/>
      <c r="G62" s="56"/>
      <c r="H62" s="56"/>
      <c r="I62" s="58">
        <f t="shared" si="1"/>
        <v>914.93</v>
      </c>
      <c r="J62" s="56"/>
    </row>
    <row r="63" ht="20" customHeight="1" spans="2:10">
      <c r="B63" s="42"/>
      <c r="C63" s="42"/>
      <c r="D63" s="42"/>
      <c r="E63" s="42"/>
      <c r="F63" s="54"/>
      <c r="G63" s="56"/>
      <c r="H63" s="56"/>
      <c r="I63" s="58">
        <f t="shared" si="1"/>
        <v>914.93</v>
      </c>
      <c r="J63" s="56"/>
    </row>
    <row r="64" ht="20" customHeight="1" spans="2:10">
      <c r="B64" s="42"/>
      <c r="C64" s="42"/>
      <c r="D64" s="42"/>
      <c r="E64" s="42"/>
      <c r="F64" s="54"/>
      <c r="G64" s="56"/>
      <c r="H64" s="56"/>
      <c r="I64" s="58">
        <f t="shared" si="1"/>
        <v>914.93</v>
      </c>
      <c r="J64" s="56"/>
    </row>
    <row r="65" ht="20" customHeight="1" spans="2:10">
      <c r="B65" s="42"/>
      <c r="C65" s="42"/>
      <c r="D65" s="42"/>
      <c r="E65" s="54"/>
      <c r="F65" s="54"/>
      <c r="G65" s="56"/>
      <c r="H65" s="56"/>
      <c r="I65" s="58">
        <f t="shared" si="1"/>
        <v>914.93</v>
      </c>
      <c r="J65" s="56"/>
    </row>
    <row r="66" ht="20" customHeight="1" spans="2:10">
      <c r="B66" s="42"/>
      <c r="C66" s="42"/>
      <c r="D66" s="42"/>
      <c r="E66" s="42"/>
      <c r="F66" s="42"/>
      <c r="G66" s="56"/>
      <c r="H66" s="56"/>
      <c r="I66" s="58">
        <f t="shared" si="1"/>
        <v>914.93</v>
      </c>
      <c r="J66" s="56"/>
    </row>
    <row r="67" ht="20" customHeight="1" spans="2:10">
      <c r="B67" s="42"/>
      <c r="C67" s="42"/>
      <c r="D67" s="42"/>
      <c r="E67" s="42"/>
      <c r="F67" s="54"/>
      <c r="G67" s="56"/>
      <c r="H67" s="56"/>
      <c r="I67" s="58">
        <f t="shared" si="1"/>
        <v>914.93</v>
      </c>
      <c r="J67" s="56"/>
    </row>
    <row r="68" ht="20" customHeight="1" spans="2:10">
      <c r="B68" s="42"/>
      <c r="C68" s="42"/>
      <c r="D68" s="42"/>
      <c r="E68" s="42"/>
      <c r="F68" s="54"/>
      <c r="G68" s="56"/>
      <c r="H68" s="56"/>
      <c r="I68" s="58">
        <f t="shared" si="1"/>
        <v>914.93</v>
      </c>
      <c r="J68" s="56"/>
    </row>
    <row r="69" ht="20" customHeight="1" spans="2:10">
      <c r="B69" s="42"/>
      <c r="C69" s="42"/>
      <c r="D69" s="42"/>
      <c r="E69" s="42"/>
      <c r="F69" s="54"/>
      <c r="G69" s="56"/>
      <c r="H69" s="56"/>
      <c r="I69" s="58">
        <f t="shared" si="1"/>
        <v>914.93</v>
      </c>
      <c r="J69" s="56"/>
    </row>
    <row r="70" ht="20" customHeight="1" spans="2:10">
      <c r="B70" s="42"/>
      <c r="C70" s="42"/>
      <c r="D70" s="42"/>
      <c r="E70" s="42"/>
      <c r="F70" s="54"/>
      <c r="G70" s="56"/>
      <c r="H70" s="56"/>
      <c r="I70" s="58">
        <f t="shared" si="1"/>
        <v>914.93</v>
      </c>
      <c r="J70" s="56"/>
    </row>
    <row r="71" ht="20" customHeight="1" spans="2:10">
      <c r="B71" s="42"/>
      <c r="C71" s="42"/>
      <c r="D71" s="42"/>
      <c r="E71" s="42"/>
      <c r="F71" s="54"/>
      <c r="G71" s="56"/>
      <c r="H71" s="56"/>
      <c r="I71" s="58">
        <f t="shared" si="1"/>
        <v>914.93</v>
      </c>
      <c r="J71" s="56"/>
    </row>
    <row r="72" ht="20" customHeight="1" spans="2:10">
      <c r="B72" s="42"/>
      <c r="C72" s="42"/>
      <c r="D72" s="42"/>
      <c r="E72" s="54"/>
      <c r="F72" s="54"/>
      <c r="G72" s="56"/>
      <c r="H72" s="56"/>
      <c r="I72" s="58">
        <f t="shared" si="1"/>
        <v>914.93</v>
      </c>
      <c r="J72" s="56"/>
    </row>
    <row r="73" ht="20" customHeight="1" spans="2:10">
      <c r="B73" s="42"/>
      <c r="C73" s="42"/>
      <c r="D73" s="42"/>
      <c r="E73" s="42"/>
      <c r="F73" s="54"/>
      <c r="G73" s="56"/>
      <c r="H73" s="56"/>
      <c r="I73" s="58">
        <f t="shared" si="1"/>
        <v>914.93</v>
      </c>
      <c r="J73" s="56"/>
    </row>
  </sheetData>
  <mergeCells count="1">
    <mergeCell ref="B1:J1"/>
  </mergeCells>
  <dataValidations count="1">
    <dataValidation type="list" allowBlank="1" showInputMessage="1" showErrorMessage="1" sqref="D4:D45">
      <formula1>付费项!$B$2:$B$77</formula1>
    </dataValidation>
  </dataValidation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R199"/>
  <sheetViews>
    <sheetView workbookViewId="0">
      <pane xSplit="5" ySplit="4" topLeftCell="F57" activePane="bottomRight" state="frozen"/>
      <selection/>
      <selection pane="topRight"/>
      <selection pane="bottomLeft"/>
      <selection pane="bottomRight" activeCell="J71" sqref="J71"/>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8" width="11" style="3" customWidth="1"/>
    <col min="9" max="9" width="14.725" style="3" customWidth="1"/>
    <col min="10" max="10" width="14.5416666666667" style="3" customWidth="1"/>
    <col min="11" max="11" width="16.1833333333333" style="3" customWidth="1"/>
    <col min="12" max="12" width="19.6333333333333" style="3" customWidth="1"/>
    <col min="13" max="14" width="9.26666666666667" style="3" customWidth="1"/>
    <col min="15" max="16384" width="9" style="3"/>
  </cols>
  <sheetData>
    <row r="1" ht="24.75" spans="1:18">
      <c r="A1" s="46" t="str">
        <f>HYPERLINK("#目录!a1","返回目录")</f>
        <v>返回目录</v>
      </c>
      <c r="B1" s="47" t="s">
        <v>2031</v>
      </c>
      <c r="C1" s="47"/>
      <c r="D1" s="47"/>
      <c r="E1" s="47"/>
      <c r="F1" s="47"/>
      <c r="G1" s="47"/>
      <c r="H1" s="47"/>
      <c r="I1" s="47"/>
      <c r="J1" s="47"/>
      <c r="K1" s="47"/>
      <c r="L1" s="47"/>
      <c r="M1" s="6"/>
      <c r="N1" s="6"/>
      <c r="O1" s="6"/>
      <c r="P1" s="6"/>
      <c r="Q1" s="6"/>
      <c r="R1" s="6"/>
    </row>
    <row r="2" ht="9" customHeight="1" spans="1:18">
      <c r="B2" s="48"/>
      <c r="C2" s="48"/>
      <c r="D2" s="48"/>
      <c r="E2" s="48"/>
      <c r="F2" s="48"/>
      <c r="G2" s="48"/>
      <c r="H2" s="48"/>
      <c r="I2" s="48"/>
      <c r="J2" s="48"/>
      <c r="K2" s="48"/>
      <c r="L2" s="48"/>
      <c r="M2" s="6"/>
      <c r="N2" s="6"/>
      <c r="O2" s="6"/>
      <c r="P2" s="6"/>
      <c r="Q2" s="6"/>
      <c r="R2" s="6"/>
    </row>
    <row r="3" ht="21" customHeight="1" spans="1:18">
      <c r="B3" s="49" t="s">
        <v>6</v>
      </c>
      <c r="C3" s="49" t="s">
        <v>7</v>
      </c>
      <c r="D3" s="49" t="s">
        <v>8</v>
      </c>
      <c r="E3" s="49" t="s">
        <v>9</v>
      </c>
      <c r="F3" s="49" t="s">
        <v>10</v>
      </c>
      <c r="G3" s="49" t="s">
        <v>2032</v>
      </c>
      <c r="H3" s="49" t="s">
        <v>478</v>
      </c>
      <c r="I3" s="49" t="s">
        <v>11</v>
      </c>
      <c r="J3" s="49" t="s">
        <v>12</v>
      </c>
      <c r="K3" s="49" t="s">
        <v>13</v>
      </c>
      <c r="L3" s="49" t="s">
        <v>14</v>
      </c>
    </row>
    <row r="4" ht="20" customHeight="1" spans="1:18">
      <c r="B4" s="42"/>
      <c r="C4" s="42"/>
      <c r="D4" s="42"/>
      <c r="E4" s="42"/>
      <c r="F4" s="54" t="s">
        <v>15</v>
      </c>
      <c r="G4" s="54"/>
      <c r="H4" s="54"/>
      <c r="I4" s="56"/>
      <c r="J4" s="56"/>
      <c r="K4" s="58">
        <v>3219.26</v>
      </c>
      <c r="L4" s="56"/>
    </row>
    <row r="5" ht="20" customHeight="1" spans="1:18">
      <c r="B5" s="42">
        <v>1</v>
      </c>
      <c r="C5" s="42">
        <v>15</v>
      </c>
      <c r="D5" s="74" t="s">
        <v>69</v>
      </c>
      <c r="E5" s="117" t="s">
        <v>1807</v>
      </c>
      <c r="F5" s="75" t="s">
        <v>2033</v>
      </c>
      <c r="G5" s="75"/>
      <c r="H5" s="75"/>
      <c r="I5" s="55">
        <v>60000</v>
      </c>
      <c r="J5" s="56"/>
      <c r="K5" s="58">
        <f>K4+I5-J5</f>
        <v>63219.26</v>
      </c>
      <c r="L5" s="56"/>
    </row>
    <row r="6" ht="20" customHeight="1" spans="1:18">
      <c r="B6" s="42">
        <v>1</v>
      </c>
      <c r="C6" s="42">
        <v>21</v>
      </c>
      <c r="D6" s="42" t="s">
        <v>120</v>
      </c>
      <c r="E6" s="117" t="s">
        <v>1807</v>
      </c>
      <c r="F6" s="75" t="s">
        <v>120</v>
      </c>
      <c r="G6" s="75"/>
      <c r="H6" s="75"/>
      <c r="I6" s="55"/>
      <c r="J6" s="55">
        <v>9151.46</v>
      </c>
      <c r="K6" s="58">
        <f>K5+I6-J6</f>
        <v>54067.8</v>
      </c>
      <c r="L6" s="56"/>
    </row>
    <row r="7" ht="20" customHeight="1" spans="1:18">
      <c r="B7" s="42">
        <v>1</v>
      </c>
      <c r="C7" s="42">
        <v>21</v>
      </c>
      <c r="D7" s="42" t="s">
        <v>131</v>
      </c>
      <c r="E7" s="117" t="s">
        <v>1807</v>
      </c>
      <c r="F7" s="75" t="s">
        <v>2034</v>
      </c>
      <c r="G7" s="75"/>
      <c r="H7" s="75"/>
      <c r="I7" s="55"/>
      <c r="J7" s="55">
        <v>50000</v>
      </c>
      <c r="K7" s="58">
        <f>K6+I7-J7</f>
        <v>4067.8</v>
      </c>
      <c r="L7" s="56"/>
    </row>
    <row r="8" ht="20" customHeight="1" spans="1:18">
      <c r="B8" s="68"/>
      <c r="C8" s="68"/>
      <c r="D8" s="68"/>
      <c r="E8" s="130"/>
      <c r="F8" s="70" t="s">
        <v>22</v>
      </c>
      <c r="G8" s="70"/>
      <c r="H8" s="70"/>
      <c r="I8" s="71">
        <f>SUM(I5:I7)</f>
        <v>60000</v>
      </c>
      <c r="J8" s="71">
        <f>SUM(J5:J7)</f>
        <v>59151.46</v>
      </c>
      <c r="K8" s="72">
        <f>K4+I8-J8</f>
        <v>4067.8</v>
      </c>
      <c r="L8" s="71"/>
    </row>
    <row r="9" ht="20" customHeight="1" spans="1:18">
      <c r="B9" s="42">
        <v>2</v>
      </c>
      <c r="C9" s="42">
        <v>13</v>
      </c>
      <c r="D9" s="74" t="s">
        <v>69</v>
      </c>
      <c r="E9" s="117" t="s">
        <v>1807</v>
      </c>
      <c r="F9" s="75" t="s">
        <v>2035</v>
      </c>
      <c r="G9" s="75"/>
      <c r="H9" s="75"/>
      <c r="I9" s="55">
        <v>10000</v>
      </c>
      <c r="J9" s="56"/>
      <c r="K9" s="58">
        <f>K8+I9-J9</f>
        <v>14067.8</v>
      </c>
      <c r="L9" s="56"/>
    </row>
    <row r="10" ht="20" customHeight="1" spans="1:18">
      <c r="B10" s="42">
        <v>2</v>
      </c>
      <c r="C10" s="42">
        <v>21</v>
      </c>
      <c r="D10" s="42" t="s">
        <v>120</v>
      </c>
      <c r="E10" s="117" t="s">
        <v>1807</v>
      </c>
      <c r="F10" s="75" t="s">
        <v>120</v>
      </c>
      <c r="G10" s="75"/>
      <c r="H10" s="75"/>
      <c r="I10" s="55"/>
      <c r="J10" s="55">
        <v>8916.81</v>
      </c>
      <c r="K10" s="58">
        <f>K9+I10-J10</f>
        <v>5150.99</v>
      </c>
      <c r="L10" s="56"/>
    </row>
    <row r="11" ht="20" customHeight="1" spans="1:18">
      <c r="B11" s="68"/>
      <c r="C11" s="68"/>
      <c r="D11" s="68"/>
      <c r="E11" s="130"/>
      <c r="F11" s="70" t="s">
        <v>22</v>
      </c>
      <c r="G11" s="70"/>
      <c r="H11" s="70"/>
      <c r="I11" s="71">
        <f>SUM(I9:I10)</f>
        <v>10000</v>
      </c>
      <c r="J11" s="71">
        <f>SUM(J9:J10)</f>
        <v>8916.81</v>
      </c>
      <c r="K11" s="72">
        <f>K7+I11-J11</f>
        <v>5150.99</v>
      </c>
      <c r="L11" s="71"/>
    </row>
    <row r="12" ht="20" customHeight="1" spans="1:18">
      <c r="B12" s="42">
        <v>3</v>
      </c>
      <c r="C12" s="42">
        <v>16</v>
      </c>
      <c r="D12" s="74" t="s">
        <v>69</v>
      </c>
      <c r="E12" s="117" t="s">
        <v>1807</v>
      </c>
      <c r="F12" s="75" t="s">
        <v>2035</v>
      </c>
      <c r="G12" s="75"/>
      <c r="H12" s="75"/>
      <c r="I12" s="55">
        <v>3000</v>
      </c>
      <c r="J12" s="56"/>
      <c r="K12" s="58">
        <f>K10+I12-J12</f>
        <v>8150.99</v>
      </c>
      <c r="L12" s="56"/>
    </row>
    <row r="13" ht="20" customHeight="1" spans="1:18">
      <c r="B13" s="42">
        <v>3</v>
      </c>
      <c r="C13" s="42">
        <v>21</v>
      </c>
      <c r="D13" s="42" t="s">
        <v>29</v>
      </c>
      <c r="E13" s="45" t="s">
        <v>2036</v>
      </c>
      <c r="F13" s="75" t="s">
        <v>29</v>
      </c>
      <c r="G13" s="75"/>
      <c r="H13" s="75"/>
      <c r="I13" s="55">
        <v>1.15</v>
      </c>
      <c r="J13" s="56"/>
      <c r="K13" s="58">
        <f>K12+I13-J13</f>
        <v>8152.14</v>
      </c>
      <c r="L13" s="56"/>
    </row>
    <row r="14" ht="20" customHeight="1" spans="1:18">
      <c r="B14" s="42">
        <v>3</v>
      </c>
      <c r="C14" s="42">
        <v>21</v>
      </c>
      <c r="D14" s="42" t="s">
        <v>120</v>
      </c>
      <c r="E14" s="117" t="s">
        <v>1807</v>
      </c>
      <c r="F14" s="75" t="s">
        <v>120</v>
      </c>
      <c r="G14" s="75"/>
      <c r="H14" s="75"/>
      <c r="I14" s="55"/>
      <c r="J14" s="55">
        <v>8053.89</v>
      </c>
      <c r="K14" s="58">
        <f>K13+I14-J14</f>
        <v>98.2500000000027</v>
      </c>
      <c r="L14" s="56"/>
    </row>
    <row r="15" ht="20" customHeight="1" spans="1:18">
      <c r="B15" s="68"/>
      <c r="C15" s="68"/>
      <c r="D15" s="68"/>
      <c r="E15" s="130"/>
      <c r="F15" s="70" t="s">
        <v>22</v>
      </c>
      <c r="G15" s="70"/>
      <c r="H15" s="70"/>
      <c r="I15" s="71">
        <f>SUM(I12:I14)</f>
        <v>3001.15</v>
      </c>
      <c r="J15" s="71">
        <f>SUM(J12:J14)</f>
        <v>8053.89</v>
      </c>
      <c r="K15" s="72">
        <f>K11+I15-J15</f>
        <v>98.2500000000027</v>
      </c>
      <c r="L15" s="71"/>
    </row>
    <row r="16" ht="20" customHeight="1" spans="1:18">
      <c r="B16" s="42">
        <v>4</v>
      </c>
      <c r="C16" s="42">
        <v>8</v>
      </c>
      <c r="D16" s="42"/>
      <c r="E16" s="117" t="s">
        <v>2036</v>
      </c>
      <c r="F16" s="75" t="s">
        <v>2037</v>
      </c>
      <c r="G16" s="75"/>
      <c r="H16" s="75"/>
      <c r="I16" s="55">
        <v>1600000</v>
      </c>
      <c r="J16" s="55"/>
      <c r="K16" s="58">
        <f>K14+I16-J16</f>
        <v>1600098.25</v>
      </c>
      <c r="L16" s="56"/>
    </row>
    <row r="17" ht="20" customHeight="1" spans="2:12">
      <c r="B17" s="42">
        <v>4</v>
      </c>
      <c r="C17" s="42">
        <v>8</v>
      </c>
      <c r="D17" s="42"/>
      <c r="E17" s="44" t="s">
        <v>2038</v>
      </c>
      <c r="F17" s="75" t="s">
        <v>2039</v>
      </c>
      <c r="G17" s="75"/>
      <c r="H17" s="75"/>
      <c r="I17" s="55"/>
      <c r="J17" s="55">
        <v>1600000</v>
      </c>
      <c r="K17" s="58">
        <f>K16+I17-J17</f>
        <v>98.25</v>
      </c>
      <c r="L17" s="56"/>
    </row>
    <row r="18" ht="20" customHeight="1" spans="2:12">
      <c r="B18" s="42">
        <v>4</v>
      </c>
      <c r="C18" s="42">
        <v>16</v>
      </c>
      <c r="D18" s="74" t="s">
        <v>69</v>
      </c>
      <c r="E18" s="117" t="s">
        <v>1807</v>
      </c>
      <c r="F18" s="75" t="s">
        <v>2035</v>
      </c>
      <c r="G18" s="75"/>
      <c r="H18" s="75"/>
      <c r="I18" s="55">
        <v>15000</v>
      </c>
      <c r="J18" s="56"/>
      <c r="K18" s="58">
        <f>K17+I18-J18</f>
        <v>15098.25</v>
      </c>
      <c r="L18" s="56"/>
    </row>
    <row r="19" ht="20" customHeight="1" spans="2:12">
      <c r="B19" s="42">
        <v>4</v>
      </c>
      <c r="C19" s="42">
        <v>21</v>
      </c>
      <c r="D19" s="42" t="s">
        <v>120</v>
      </c>
      <c r="E19" s="117" t="s">
        <v>1807</v>
      </c>
      <c r="F19" s="75" t="s">
        <v>2040</v>
      </c>
      <c r="G19" s="75"/>
      <c r="H19" s="75"/>
      <c r="I19" s="56"/>
      <c r="J19" s="55">
        <v>8842.92</v>
      </c>
      <c r="K19" s="58">
        <f>K18+I19-J19</f>
        <v>6255.33</v>
      </c>
      <c r="L19" s="56"/>
    </row>
    <row r="20" ht="20" customHeight="1" spans="2:12">
      <c r="B20" s="42">
        <v>4</v>
      </c>
      <c r="C20" s="42">
        <v>21</v>
      </c>
      <c r="D20" s="42" t="s">
        <v>120</v>
      </c>
      <c r="E20" s="117" t="s">
        <v>1807</v>
      </c>
      <c r="F20" s="75" t="s">
        <v>2041</v>
      </c>
      <c r="G20" s="75"/>
      <c r="H20" s="75"/>
      <c r="I20" s="56"/>
      <c r="J20" s="55">
        <v>2975.56</v>
      </c>
      <c r="K20" s="58">
        <f>K19+I20-J20</f>
        <v>3279.77</v>
      </c>
      <c r="L20" s="56"/>
    </row>
    <row r="21" ht="20" customHeight="1" spans="2:12">
      <c r="B21" s="68"/>
      <c r="C21" s="68"/>
      <c r="D21" s="68"/>
      <c r="E21" s="130"/>
      <c r="F21" s="70" t="s">
        <v>22</v>
      </c>
      <c r="G21" s="70"/>
      <c r="H21" s="70"/>
      <c r="I21" s="71">
        <f>SUM(I16:I20)</f>
        <v>1615000</v>
      </c>
      <c r="J21" s="71">
        <f>SUM(J16:J20)</f>
        <v>1611818.48</v>
      </c>
      <c r="K21" s="72">
        <f>K17+I21-J21</f>
        <v>3279.77000000002</v>
      </c>
      <c r="L21" s="71"/>
    </row>
    <row r="22" ht="20" customHeight="1" spans="2:12">
      <c r="B22" s="42">
        <v>5</v>
      </c>
      <c r="C22" s="42">
        <v>15</v>
      </c>
      <c r="D22" s="74" t="s">
        <v>69</v>
      </c>
      <c r="E22" s="75" t="s">
        <v>1807</v>
      </c>
      <c r="F22" s="75" t="s">
        <v>2035</v>
      </c>
      <c r="G22" s="75"/>
      <c r="H22" s="75"/>
      <c r="I22" s="55">
        <v>16000</v>
      </c>
      <c r="J22" s="56"/>
      <c r="K22" s="58">
        <f>K20+I22-J22</f>
        <v>19279.77</v>
      </c>
      <c r="L22" s="56"/>
    </row>
    <row r="23" ht="20" customHeight="1" spans="2:12">
      <c r="B23" s="42">
        <v>5</v>
      </c>
      <c r="C23" s="42">
        <v>21</v>
      </c>
      <c r="D23" s="42" t="s">
        <v>120</v>
      </c>
      <c r="E23" s="117" t="s">
        <v>1807</v>
      </c>
      <c r="F23" s="75" t="s">
        <v>2040</v>
      </c>
      <c r="G23" s="75"/>
      <c r="H23" s="75"/>
      <c r="I23" s="84"/>
      <c r="J23" s="55">
        <v>8312.5</v>
      </c>
      <c r="K23" s="58">
        <f>K22+I23-J23</f>
        <v>10967.27</v>
      </c>
      <c r="L23" s="56"/>
    </row>
    <row r="24" ht="20" customHeight="1" spans="2:12">
      <c r="B24" s="42">
        <v>5</v>
      </c>
      <c r="C24" s="42">
        <v>21</v>
      </c>
      <c r="D24" s="42" t="s">
        <v>120</v>
      </c>
      <c r="E24" s="117" t="s">
        <v>1807</v>
      </c>
      <c r="F24" s="75" t="s">
        <v>2041</v>
      </c>
      <c r="G24" s="75"/>
      <c r="H24" s="75"/>
      <c r="I24" s="84"/>
      <c r="J24" s="55">
        <v>6866.67</v>
      </c>
      <c r="K24" s="58">
        <f>K23+I24-J24</f>
        <v>4100.6</v>
      </c>
      <c r="L24" s="56"/>
    </row>
    <row r="25" ht="20" customHeight="1" spans="2:12">
      <c r="B25" s="68"/>
      <c r="C25" s="68"/>
      <c r="D25" s="68"/>
      <c r="E25" s="130"/>
      <c r="F25" s="70" t="s">
        <v>22</v>
      </c>
      <c r="G25" s="70"/>
      <c r="H25" s="70"/>
      <c r="I25" s="71">
        <f>SUM(I22:I24)</f>
        <v>16000</v>
      </c>
      <c r="J25" s="71">
        <f>SUM(J22:J24)</f>
        <v>15179.17</v>
      </c>
      <c r="K25" s="72">
        <f>K21+I25-J25</f>
        <v>4100.60000000002</v>
      </c>
      <c r="L25" s="71"/>
    </row>
    <row r="26" ht="20" customHeight="1" spans="2:12">
      <c r="B26" s="42">
        <v>6</v>
      </c>
      <c r="C26" s="42">
        <v>15</v>
      </c>
      <c r="D26" s="74" t="s">
        <v>69</v>
      </c>
      <c r="E26" s="117" t="s">
        <v>1807</v>
      </c>
      <c r="F26" s="45" t="s">
        <v>2042</v>
      </c>
      <c r="G26" s="45"/>
      <c r="H26" s="45"/>
      <c r="I26" s="56">
        <v>17000</v>
      </c>
      <c r="J26" s="56"/>
      <c r="K26" s="58">
        <f>K24+I26-J26</f>
        <v>21100.6</v>
      </c>
      <c r="L26" s="56"/>
    </row>
    <row r="27" ht="20" customHeight="1" spans="2:12">
      <c r="B27" s="42">
        <v>6</v>
      </c>
      <c r="C27" s="42">
        <v>21</v>
      </c>
      <c r="D27" s="42" t="s">
        <v>29</v>
      </c>
      <c r="E27" s="45" t="s">
        <v>2036</v>
      </c>
      <c r="F27" s="95" t="s">
        <v>29</v>
      </c>
      <c r="G27" s="95"/>
      <c r="H27" s="95"/>
      <c r="I27" s="56">
        <v>0.7</v>
      </c>
      <c r="J27" s="56"/>
      <c r="K27" s="58">
        <f>K26+I27-J27</f>
        <v>21101.3</v>
      </c>
      <c r="L27" s="56"/>
    </row>
    <row r="28" ht="20" customHeight="1" spans="2:12">
      <c r="B28" s="42">
        <v>6</v>
      </c>
      <c r="C28" s="42">
        <v>21</v>
      </c>
      <c r="D28" s="42" t="s">
        <v>120</v>
      </c>
      <c r="E28" s="117" t="s">
        <v>1807</v>
      </c>
      <c r="F28" s="95" t="s">
        <v>2040</v>
      </c>
      <c r="G28" s="95"/>
      <c r="H28" s="95"/>
      <c r="I28" s="56"/>
      <c r="J28" s="56">
        <v>8589.58</v>
      </c>
      <c r="K28" s="58">
        <f>K27+I28-J28</f>
        <v>12511.72</v>
      </c>
      <c r="L28" s="56"/>
    </row>
    <row r="29" ht="20" customHeight="1" spans="2:12">
      <c r="B29" s="42">
        <v>6</v>
      </c>
      <c r="C29" s="42">
        <v>21</v>
      </c>
      <c r="D29" s="42" t="s">
        <v>120</v>
      </c>
      <c r="E29" s="117" t="s">
        <v>1807</v>
      </c>
      <c r="F29" s="95" t="s">
        <v>2041</v>
      </c>
      <c r="G29" s="95"/>
      <c r="H29" s="95"/>
      <c r="I29" s="56"/>
      <c r="J29" s="56">
        <v>7095.56</v>
      </c>
      <c r="K29" s="58">
        <f>K28+I29-J29</f>
        <v>5416.16</v>
      </c>
      <c r="L29" s="56"/>
    </row>
    <row r="30" ht="20" customHeight="1" spans="2:12">
      <c r="B30" s="68"/>
      <c r="C30" s="68"/>
      <c r="D30" s="68"/>
      <c r="E30" s="130"/>
      <c r="F30" s="70" t="s">
        <v>22</v>
      </c>
      <c r="G30" s="70"/>
      <c r="H30" s="70"/>
      <c r="I30" s="71">
        <f>SUM(I26:I29)</f>
        <v>17000.7</v>
      </c>
      <c r="J30" s="71">
        <f>SUM(J26:J29)</f>
        <v>15685.14</v>
      </c>
      <c r="K30" s="72">
        <f>K25+I30-J30</f>
        <v>5416.16000000002</v>
      </c>
      <c r="L30" s="71"/>
    </row>
    <row r="31" ht="20" customHeight="1" spans="2:12">
      <c r="B31" s="42">
        <v>7</v>
      </c>
      <c r="C31" s="42">
        <v>17</v>
      </c>
      <c r="D31" s="74" t="s">
        <v>69</v>
      </c>
      <c r="E31" s="117" t="s">
        <v>1807</v>
      </c>
      <c r="F31" s="75" t="s">
        <v>2043</v>
      </c>
      <c r="G31" s="75"/>
      <c r="H31" s="75"/>
      <c r="I31" s="55">
        <v>66000</v>
      </c>
      <c r="J31" s="56"/>
      <c r="K31" s="58">
        <f>K29+I31-J31</f>
        <v>71416.16</v>
      </c>
      <c r="L31" s="56"/>
    </row>
    <row r="32" ht="20" customHeight="1" spans="2:12">
      <c r="B32" s="42">
        <v>7</v>
      </c>
      <c r="C32" s="42">
        <v>21</v>
      </c>
      <c r="D32" s="42" t="s">
        <v>131</v>
      </c>
      <c r="E32" s="117" t="s">
        <v>1807</v>
      </c>
      <c r="F32" s="75" t="s">
        <v>2044</v>
      </c>
      <c r="G32" s="75"/>
      <c r="H32" s="75"/>
      <c r="I32" s="55"/>
      <c r="J32" s="55">
        <v>50000</v>
      </c>
      <c r="K32" s="58">
        <f>K31+I32-J32</f>
        <v>21416.16</v>
      </c>
      <c r="L32" s="56"/>
    </row>
    <row r="33" ht="20" customHeight="1" spans="2:12">
      <c r="B33" s="42">
        <v>7</v>
      </c>
      <c r="C33" s="42">
        <v>21</v>
      </c>
      <c r="D33" s="42" t="s">
        <v>120</v>
      </c>
      <c r="E33" s="117" t="s">
        <v>1807</v>
      </c>
      <c r="F33" s="75" t="s">
        <v>2040</v>
      </c>
      <c r="G33" s="75"/>
      <c r="H33" s="75"/>
      <c r="I33" s="55"/>
      <c r="J33" s="55">
        <v>8312.5</v>
      </c>
      <c r="K33" s="58">
        <f>K32+I33-J33</f>
        <v>13103.66</v>
      </c>
      <c r="L33" s="56"/>
    </row>
    <row r="34" ht="20" customHeight="1" spans="2:12">
      <c r="B34" s="42">
        <v>7</v>
      </c>
      <c r="C34" s="42">
        <v>21</v>
      </c>
      <c r="D34" s="42" t="s">
        <v>120</v>
      </c>
      <c r="E34" s="117" t="s">
        <v>1807</v>
      </c>
      <c r="F34" s="75" t="s">
        <v>2041</v>
      </c>
      <c r="G34" s="75"/>
      <c r="H34" s="75"/>
      <c r="I34" s="55"/>
      <c r="J34" s="55">
        <v>6866.67</v>
      </c>
      <c r="K34" s="58">
        <f>K33+I34-J34</f>
        <v>6236.99</v>
      </c>
      <c r="L34" s="56"/>
    </row>
    <row r="35" ht="20" customHeight="1" spans="2:12">
      <c r="B35" s="68"/>
      <c r="C35" s="68"/>
      <c r="D35" s="68"/>
      <c r="E35" s="130"/>
      <c r="F35" s="70" t="s">
        <v>22</v>
      </c>
      <c r="G35" s="70"/>
      <c r="H35" s="70"/>
      <c r="I35" s="71">
        <f>SUM(I31:I34)</f>
        <v>66000</v>
      </c>
      <c r="J35" s="71">
        <f>SUM(J31:J34)</f>
        <v>65179.17</v>
      </c>
      <c r="K35" s="72">
        <f>K30+I35-J35</f>
        <v>6236.99000000002</v>
      </c>
      <c r="L35" s="71"/>
    </row>
    <row r="36" ht="20" customHeight="1" spans="2:12">
      <c r="B36" s="42">
        <v>8</v>
      </c>
      <c r="C36" s="42">
        <v>17</v>
      </c>
      <c r="D36" s="74" t="s">
        <v>69</v>
      </c>
      <c r="E36" s="117" t="s">
        <v>1807</v>
      </c>
      <c r="F36" s="75" t="s">
        <v>2042</v>
      </c>
      <c r="G36" s="75"/>
      <c r="H36" s="75"/>
      <c r="I36" s="55">
        <v>16000</v>
      </c>
      <c r="J36" s="56"/>
      <c r="K36" s="58">
        <f>K34+I36-J36</f>
        <v>22236.99</v>
      </c>
      <c r="L36" s="56"/>
    </row>
    <row r="37" ht="20" customHeight="1" spans="2:12">
      <c r="B37" s="42">
        <v>8</v>
      </c>
      <c r="C37" s="42">
        <v>17</v>
      </c>
      <c r="D37" s="42"/>
      <c r="E37" s="44" t="s">
        <v>2045</v>
      </c>
      <c r="F37" s="75" t="s">
        <v>2046</v>
      </c>
      <c r="G37" s="45"/>
      <c r="H37" s="45"/>
      <c r="I37" s="55">
        <v>0.01</v>
      </c>
      <c r="J37" s="56"/>
      <c r="K37" s="58">
        <f t="shared" ref="K37:K50" si="0">K36+I37-J37</f>
        <v>22237</v>
      </c>
      <c r="L37" s="56"/>
    </row>
    <row r="38" ht="20" customHeight="1" spans="2:12">
      <c r="B38" s="42">
        <v>8</v>
      </c>
      <c r="C38" s="42">
        <v>21</v>
      </c>
      <c r="D38" s="42" t="s">
        <v>120</v>
      </c>
      <c r="E38" s="117" t="s">
        <v>1807</v>
      </c>
      <c r="F38" s="75" t="s">
        <v>2040</v>
      </c>
      <c r="G38" s="75"/>
      <c r="H38" s="75"/>
      <c r="I38" s="55"/>
      <c r="J38" s="55">
        <v>8363.54</v>
      </c>
      <c r="K38" s="58">
        <f t="shared" si="0"/>
        <v>13873.46</v>
      </c>
      <c r="L38" s="56"/>
    </row>
    <row r="39" ht="20" customHeight="1" spans="2:12">
      <c r="B39" s="42">
        <v>8</v>
      </c>
      <c r="C39" s="42">
        <v>21</v>
      </c>
      <c r="D39" s="42" t="s">
        <v>120</v>
      </c>
      <c r="E39" s="117" t="s">
        <v>1807</v>
      </c>
      <c r="F39" s="75" t="s">
        <v>2041</v>
      </c>
      <c r="G39" s="75"/>
      <c r="H39" s="75"/>
      <c r="I39" s="55"/>
      <c r="J39" s="55">
        <v>7095.56</v>
      </c>
      <c r="K39" s="58">
        <f t="shared" si="0"/>
        <v>6777.9</v>
      </c>
      <c r="L39" s="56"/>
    </row>
    <row r="40" ht="20" customHeight="1" spans="2:12">
      <c r="B40" s="42">
        <v>8</v>
      </c>
      <c r="C40" s="42">
        <v>23</v>
      </c>
      <c r="D40" s="42"/>
      <c r="E40" s="45" t="s">
        <v>2045</v>
      </c>
      <c r="F40" s="75" t="s">
        <v>2047</v>
      </c>
      <c r="G40" s="55">
        <v>40</v>
      </c>
      <c r="H40" s="55">
        <v>0.21</v>
      </c>
      <c r="I40" s="55">
        <f t="shared" ref="I40:I50" si="1">G40-H40</f>
        <v>39.79</v>
      </c>
      <c r="J40" s="56"/>
      <c r="K40" s="58">
        <f t="shared" si="0"/>
        <v>6817.69</v>
      </c>
      <c r="L40" s="56"/>
    </row>
    <row r="41" ht="20" customHeight="1" spans="2:12">
      <c r="B41" s="42">
        <v>8</v>
      </c>
      <c r="C41" s="42">
        <v>24</v>
      </c>
      <c r="D41" s="42"/>
      <c r="E41" s="45" t="s">
        <v>2045</v>
      </c>
      <c r="F41" s="75" t="s">
        <v>2048</v>
      </c>
      <c r="G41" s="55">
        <v>270</v>
      </c>
      <c r="H41" s="55">
        <v>1.44</v>
      </c>
      <c r="I41" s="55">
        <f t="shared" si="1"/>
        <v>268.56</v>
      </c>
      <c r="J41" s="56"/>
      <c r="K41" s="58">
        <f t="shared" si="0"/>
        <v>7086.25</v>
      </c>
      <c r="L41" s="56"/>
    </row>
    <row r="42" ht="20" customHeight="1" spans="2:12">
      <c r="B42" s="42">
        <v>8</v>
      </c>
      <c r="C42" s="42">
        <v>25</v>
      </c>
      <c r="D42" s="42"/>
      <c r="E42" s="45" t="s">
        <v>2045</v>
      </c>
      <c r="F42" s="75" t="s">
        <v>2049</v>
      </c>
      <c r="G42" s="55">
        <v>130</v>
      </c>
      <c r="H42" s="55">
        <v>0.69</v>
      </c>
      <c r="I42" s="55">
        <f t="shared" si="1"/>
        <v>129.31</v>
      </c>
      <c r="J42" s="56"/>
      <c r="K42" s="58">
        <f t="shared" si="0"/>
        <v>7215.56</v>
      </c>
      <c r="L42" s="56"/>
    </row>
    <row r="43" ht="20" customHeight="1" spans="2:12">
      <c r="B43" s="42">
        <v>8</v>
      </c>
      <c r="C43" s="42">
        <v>26</v>
      </c>
      <c r="D43" s="42"/>
      <c r="E43" s="45" t="s">
        <v>2045</v>
      </c>
      <c r="F43" s="75" t="s">
        <v>2050</v>
      </c>
      <c r="G43" s="55">
        <v>180</v>
      </c>
      <c r="H43" s="55">
        <v>0.95</v>
      </c>
      <c r="I43" s="55">
        <f t="shared" si="1"/>
        <v>179.05</v>
      </c>
      <c r="J43" s="56"/>
      <c r="K43" s="58">
        <f t="shared" si="0"/>
        <v>7394.61</v>
      </c>
      <c r="L43" s="56"/>
    </row>
    <row r="44" ht="20" customHeight="1" spans="2:12">
      <c r="B44" s="42">
        <v>8</v>
      </c>
      <c r="C44" s="42">
        <v>27</v>
      </c>
      <c r="D44" s="42"/>
      <c r="E44" s="45" t="s">
        <v>2045</v>
      </c>
      <c r="F44" s="75" t="s">
        <v>2051</v>
      </c>
      <c r="G44" s="55">
        <v>250</v>
      </c>
      <c r="H44" s="55">
        <v>1.32</v>
      </c>
      <c r="I44" s="55">
        <f t="shared" si="1"/>
        <v>248.68</v>
      </c>
      <c r="J44" s="56"/>
      <c r="K44" s="58">
        <f t="shared" si="0"/>
        <v>7643.29</v>
      </c>
      <c r="L44" s="56"/>
    </row>
    <row r="45" ht="20" customHeight="1" spans="2:12">
      <c r="B45" s="42">
        <v>8</v>
      </c>
      <c r="C45" s="42">
        <v>28</v>
      </c>
      <c r="D45" s="42"/>
      <c r="E45" s="45" t="s">
        <v>2045</v>
      </c>
      <c r="F45" s="75" t="s">
        <v>2052</v>
      </c>
      <c r="G45" s="55">
        <v>155</v>
      </c>
      <c r="H45" s="55">
        <v>0.82</v>
      </c>
      <c r="I45" s="55">
        <f t="shared" si="1"/>
        <v>154.18</v>
      </c>
      <c r="J45" s="56"/>
      <c r="K45" s="58">
        <f t="shared" si="0"/>
        <v>7797.47</v>
      </c>
      <c r="L45" s="56"/>
    </row>
    <row r="46" ht="20" customHeight="1" spans="2:12">
      <c r="B46" s="42">
        <v>8</v>
      </c>
      <c r="C46" s="42">
        <v>29</v>
      </c>
      <c r="D46" s="42"/>
      <c r="E46" s="45" t="s">
        <v>2045</v>
      </c>
      <c r="F46" s="75" t="s">
        <v>2053</v>
      </c>
      <c r="G46" s="55">
        <v>110</v>
      </c>
      <c r="H46" s="55">
        <v>0.58</v>
      </c>
      <c r="I46" s="55">
        <f t="shared" si="1"/>
        <v>109.42</v>
      </c>
      <c r="J46" s="56"/>
      <c r="K46" s="58">
        <f t="shared" si="0"/>
        <v>7906.89</v>
      </c>
      <c r="L46" s="56"/>
    </row>
    <row r="47" ht="20" customHeight="1" spans="2:12">
      <c r="B47" s="42">
        <v>8</v>
      </c>
      <c r="C47" s="42">
        <v>30</v>
      </c>
      <c r="D47" s="42"/>
      <c r="E47" s="45" t="s">
        <v>2045</v>
      </c>
      <c r="F47" s="75" t="s">
        <v>2054</v>
      </c>
      <c r="G47" s="55">
        <v>240</v>
      </c>
      <c r="H47" s="55">
        <v>1.27</v>
      </c>
      <c r="I47" s="55">
        <f t="shared" si="1"/>
        <v>238.73</v>
      </c>
      <c r="J47" s="56"/>
      <c r="K47" s="58">
        <f t="shared" si="0"/>
        <v>8145.62</v>
      </c>
      <c r="L47" s="56"/>
    </row>
    <row r="48" ht="20" customHeight="1" spans="2:12">
      <c r="B48" s="42">
        <v>8</v>
      </c>
      <c r="C48" s="42">
        <v>31</v>
      </c>
      <c r="D48" s="42"/>
      <c r="E48" s="45" t="s">
        <v>2045</v>
      </c>
      <c r="F48" s="75" t="s">
        <v>2055</v>
      </c>
      <c r="G48" s="55">
        <v>215</v>
      </c>
      <c r="H48" s="55">
        <v>1.13</v>
      </c>
      <c r="I48" s="55">
        <f t="shared" si="1"/>
        <v>213.87</v>
      </c>
      <c r="J48" s="56"/>
      <c r="K48" s="58">
        <f t="shared" si="0"/>
        <v>8359.49</v>
      </c>
      <c r="L48" s="56"/>
    </row>
    <row r="49" ht="20" customHeight="1" spans="2:12">
      <c r="B49" s="68"/>
      <c r="C49" s="68"/>
      <c r="D49" s="68"/>
      <c r="E49" s="130"/>
      <c r="F49" s="70" t="s">
        <v>22</v>
      </c>
      <c r="G49" s="71">
        <f>SUM(G36:G48)</f>
        <v>1590</v>
      </c>
      <c r="H49" s="71">
        <f>SUM(H36:H48)</f>
        <v>8.41</v>
      </c>
      <c r="I49" s="71">
        <f>SUM(I36:I48)</f>
        <v>17581.6</v>
      </c>
      <c r="J49" s="71">
        <f>SUM(J36:J48)</f>
        <v>15459.1</v>
      </c>
      <c r="K49" s="72">
        <f>K35+I49-J49</f>
        <v>8359.49000000002</v>
      </c>
      <c r="L49" s="71"/>
    </row>
    <row r="50" ht="20" customHeight="1" spans="2:12">
      <c r="B50" s="42">
        <v>9</v>
      </c>
      <c r="C50" s="42">
        <v>1</v>
      </c>
      <c r="D50" s="42"/>
      <c r="E50" s="45" t="s">
        <v>2045</v>
      </c>
      <c r="F50" s="45" t="s">
        <v>2056</v>
      </c>
      <c r="G50" s="56">
        <v>155</v>
      </c>
      <c r="H50" s="56">
        <v>0.81</v>
      </c>
      <c r="I50" s="56">
        <f>G50-H50</f>
        <v>154.19</v>
      </c>
      <c r="J50" s="56"/>
      <c r="K50" s="58">
        <f>K49+I50-J50</f>
        <v>8513.68000000002</v>
      </c>
      <c r="L50" s="56"/>
    </row>
    <row r="51" ht="20" customHeight="1" spans="2:12">
      <c r="B51" s="42">
        <v>9</v>
      </c>
      <c r="C51" s="42">
        <v>2</v>
      </c>
      <c r="D51" s="42"/>
      <c r="E51" s="45" t="s">
        <v>2045</v>
      </c>
      <c r="F51" s="45" t="s">
        <v>2057</v>
      </c>
      <c r="G51" s="56">
        <v>200</v>
      </c>
      <c r="H51" s="56">
        <v>1.05</v>
      </c>
      <c r="I51" s="56">
        <f>G51-H51</f>
        <v>198.95</v>
      </c>
      <c r="J51" s="56"/>
      <c r="K51" s="58">
        <f>K50+I51-J51</f>
        <v>8712.63000000002</v>
      </c>
      <c r="L51" s="56"/>
    </row>
    <row r="52" ht="20" customHeight="1" spans="2:12">
      <c r="B52" s="42">
        <v>9</v>
      </c>
      <c r="C52" s="42">
        <v>3</v>
      </c>
      <c r="D52" s="42"/>
      <c r="E52" s="45" t="s">
        <v>2045</v>
      </c>
      <c r="F52" s="45" t="s">
        <v>2058</v>
      </c>
      <c r="G52" s="56">
        <v>265</v>
      </c>
      <c r="H52" s="56">
        <v>1.43</v>
      </c>
      <c r="I52" s="56">
        <f t="shared" ref="I52:I72" si="2">G52-H52</f>
        <v>263.57</v>
      </c>
      <c r="J52" s="56"/>
      <c r="K52" s="58">
        <f>K51+I52-J52</f>
        <v>8976.20000000002</v>
      </c>
      <c r="L52" s="56"/>
    </row>
    <row r="53" ht="20" customHeight="1" spans="2:12">
      <c r="B53" s="42">
        <v>9</v>
      </c>
      <c r="C53" s="42">
        <v>4</v>
      </c>
      <c r="D53" s="42"/>
      <c r="E53" s="45" t="s">
        <v>2045</v>
      </c>
      <c r="F53" s="45" t="s">
        <v>2059</v>
      </c>
      <c r="G53" s="56">
        <v>385</v>
      </c>
      <c r="H53" s="56">
        <v>2.08</v>
      </c>
      <c r="I53" s="56">
        <f t="shared" si="2"/>
        <v>382.92</v>
      </c>
      <c r="J53" s="56"/>
      <c r="K53" s="58">
        <f t="shared" ref="K52:K85" si="3">K52+I53-J53</f>
        <v>9359.12000000002</v>
      </c>
      <c r="L53" s="56"/>
    </row>
    <row r="54" ht="20" customHeight="1" spans="2:12">
      <c r="B54" s="42">
        <v>9</v>
      </c>
      <c r="C54" s="42">
        <v>5</v>
      </c>
      <c r="D54" s="42"/>
      <c r="E54" s="45" t="s">
        <v>2045</v>
      </c>
      <c r="F54" s="45" t="s">
        <v>2060</v>
      </c>
      <c r="G54" s="56">
        <v>195</v>
      </c>
      <c r="H54" s="56">
        <v>1.04</v>
      </c>
      <c r="I54" s="56">
        <f t="shared" si="2"/>
        <v>193.96</v>
      </c>
      <c r="J54" s="56"/>
      <c r="K54" s="58">
        <f t="shared" si="3"/>
        <v>9553.08000000002</v>
      </c>
      <c r="L54" s="56"/>
    </row>
    <row r="55" ht="20" customHeight="1" spans="2:12">
      <c r="B55" s="42">
        <v>9</v>
      </c>
      <c r="C55" s="42">
        <v>6</v>
      </c>
      <c r="D55" s="42"/>
      <c r="E55" s="45" t="s">
        <v>2045</v>
      </c>
      <c r="F55" s="45" t="s">
        <v>2061</v>
      </c>
      <c r="G55" s="56">
        <v>215</v>
      </c>
      <c r="H55" s="56">
        <v>1.15</v>
      </c>
      <c r="I55" s="56">
        <f t="shared" si="2"/>
        <v>213.85</v>
      </c>
      <c r="J55" s="56"/>
      <c r="K55" s="58">
        <f t="shared" si="3"/>
        <v>9766.93000000002</v>
      </c>
      <c r="L55" s="56"/>
    </row>
    <row r="56" ht="20" customHeight="1" spans="2:12">
      <c r="B56" s="42">
        <v>9</v>
      </c>
      <c r="C56" s="42">
        <v>7</v>
      </c>
      <c r="D56" s="42"/>
      <c r="E56" s="45" t="s">
        <v>2045</v>
      </c>
      <c r="F56" s="45" t="s">
        <v>2062</v>
      </c>
      <c r="G56" s="56">
        <v>190</v>
      </c>
      <c r="H56" s="56">
        <v>1.01</v>
      </c>
      <c r="I56" s="56">
        <f t="shared" si="2"/>
        <v>188.99</v>
      </c>
      <c r="J56" s="56"/>
      <c r="K56" s="58">
        <f t="shared" si="3"/>
        <v>9955.92000000002</v>
      </c>
      <c r="L56" s="56"/>
    </row>
    <row r="57" ht="20" customHeight="1" spans="2:12">
      <c r="B57" s="42">
        <v>9</v>
      </c>
      <c r="C57" s="42">
        <v>8</v>
      </c>
      <c r="D57" s="42"/>
      <c r="E57" s="45" t="s">
        <v>2045</v>
      </c>
      <c r="F57" s="45" t="s">
        <v>2063</v>
      </c>
      <c r="G57" s="56">
        <v>115</v>
      </c>
      <c r="H57" s="56">
        <v>0.6</v>
      </c>
      <c r="I57" s="56">
        <f t="shared" si="2"/>
        <v>114.4</v>
      </c>
      <c r="J57" s="56"/>
      <c r="K57" s="58">
        <f t="shared" si="3"/>
        <v>10070.32</v>
      </c>
      <c r="L57" s="56"/>
    </row>
    <row r="58" ht="20" customHeight="1" spans="2:12">
      <c r="B58" s="42">
        <v>9</v>
      </c>
      <c r="C58" s="42">
        <v>9</v>
      </c>
      <c r="D58" s="42"/>
      <c r="E58" s="45" t="s">
        <v>2045</v>
      </c>
      <c r="F58" s="45" t="s">
        <v>2064</v>
      </c>
      <c r="G58" s="56">
        <v>295</v>
      </c>
      <c r="H58" s="56">
        <v>1.59</v>
      </c>
      <c r="I58" s="56">
        <f t="shared" si="2"/>
        <v>293.41</v>
      </c>
      <c r="J58" s="56"/>
      <c r="K58" s="58">
        <f t="shared" si="3"/>
        <v>10363.73</v>
      </c>
      <c r="L58" s="56"/>
    </row>
    <row r="59" ht="20" customHeight="1" spans="2:12">
      <c r="B59" s="42">
        <v>9</v>
      </c>
      <c r="C59" s="42">
        <v>10</v>
      </c>
      <c r="D59" s="42"/>
      <c r="E59" s="45" t="s">
        <v>2045</v>
      </c>
      <c r="F59" s="45" t="s">
        <v>2065</v>
      </c>
      <c r="G59" s="56">
        <v>160</v>
      </c>
      <c r="H59" s="56">
        <v>0.84</v>
      </c>
      <c r="I59" s="56">
        <f t="shared" si="2"/>
        <v>159.16</v>
      </c>
      <c r="J59" s="56"/>
      <c r="K59" s="58">
        <f t="shared" si="3"/>
        <v>10522.89</v>
      </c>
      <c r="L59" s="56"/>
    </row>
    <row r="60" ht="20" customHeight="1" spans="2:12">
      <c r="B60" s="42">
        <v>9</v>
      </c>
      <c r="C60" s="42">
        <v>11</v>
      </c>
      <c r="D60" s="42"/>
      <c r="E60" s="45" t="s">
        <v>2045</v>
      </c>
      <c r="F60" s="45" t="s">
        <v>2066</v>
      </c>
      <c r="G60" s="56">
        <v>130</v>
      </c>
      <c r="H60" s="56">
        <v>0.7</v>
      </c>
      <c r="I60" s="56">
        <f t="shared" si="2"/>
        <v>129.3</v>
      </c>
      <c r="J60" s="56"/>
      <c r="K60" s="58">
        <f t="shared" si="3"/>
        <v>10652.19</v>
      </c>
      <c r="L60" s="56"/>
    </row>
    <row r="61" ht="20" customHeight="1" spans="2:12">
      <c r="B61" s="42">
        <v>9</v>
      </c>
      <c r="C61" s="42">
        <v>12</v>
      </c>
      <c r="D61" s="42"/>
      <c r="E61" s="45" t="s">
        <v>2045</v>
      </c>
      <c r="F61" s="45" t="s">
        <v>2067</v>
      </c>
      <c r="G61" s="56">
        <v>15</v>
      </c>
      <c r="H61" s="56">
        <v>0.08</v>
      </c>
      <c r="I61" s="56">
        <f t="shared" si="2"/>
        <v>14.92</v>
      </c>
      <c r="J61" s="56"/>
      <c r="K61" s="58">
        <f t="shared" si="3"/>
        <v>10667.11</v>
      </c>
      <c r="L61" s="56"/>
    </row>
    <row r="62" ht="20" customHeight="1" spans="2:12">
      <c r="B62" s="42">
        <v>9</v>
      </c>
      <c r="C62" s="42">
        <v>13</v>
      </c>
      <c r="D62" s="42"/>
      <c r="E62" s="45" t="s">
        <v>2045</v>
      </c>
      <c r="F62" s="45" t="s">
        <v>2068</v>
      </c>
      <c r="G62" s="56">
        <v>215</v>
      </c>
      <c r="H62" s="56">
        <v>1.16</v>
      </c>
      <c r="I62" s="56">
        <f t="shared" si="2"/>
        <v>213.84</v>
      </c>
      <c r="J62" s="56"/>
      <c r="K62" s="58">
        <f t="shared" si="3"/>
        <v>10880.95</v>
      </c>
      <c r="L62" s="56"/>
    </row>
    <row r="63" ht="20" customHeight="1" spans="2:12">
      <c r="B63" s="42">
        <v>9</v>
      </c>
      <c r="C63" s="42">
        <v>14</v>
      </c>
      <c r="D63" s="42"/>
      <c r="E63" s="45" t="s">
        <v>2045</v>
      </c>
      <c r="F63" s="45" t="s">
        <v>2069</v>
      </c>
      <c r="G63" s="56">
        <v>105</v>
      </c>
      <c r="H63" s="56">
        <v>0.56</v>
      </c>
      <c r="I63" s="56">
        <f t="shared" si="2"/>
        <v>104.44</v>
      </c>
      <c r="J63" s="56"/>
      <c r="K63" s="58">
        <f t="shared" si="3"/>
        <v>10985.39</v>
      </c>
      <c r="L63" s="56"/>
    </row>
    <row r="64" ht="20" customHeight="1" spans="2:12">
      <c r="B64" s="42">
        <v>9</v>
      </c>
      <c r="C64" s="42">
        <v>15</v>
      </c>
      <c r="D64" s="42"/>
      <c r="E64" s="45" t="s">
        <v>2045</v>
      </c>
      <c r="F64" s="45" t="s">
        <v>2070</v>
      </c>
      <c r="G64" s="56">
        <v>215</v>
      </c>
      <c r="H64" s="56">
        <v>1.16</v>
      </c>
      <c r="I64" s="56">
        <f t="shared" si="2"/>
        <v>213.84</v>
      </c>
      <c r="J64" s="56"/>
      <c r="K64" s="58">
        <f t="shared" si="3"/>
        <v>11199.23</v>
      </c>
      <c r="L64" s="56"/>
    </row>
    <row r="65" ht="20" customHeight="1" spans="2:12">
      <c r="B65" s="42">
        <v>9</v>
      </c>
      <c r="C65" s="42">
        <v>15</v>
      </c>
      <c r="D65" s="94" t="s">
        <v>69</v>
      </c>
      <c r="E65" s="95" t="s">
        <v>1807</v>
      </c>
      <c r="F65" s="95" t="s">
        <v>2042</v>
      </c>
      <c r="G65" s="95"/>
      <c r="H65" s="95"/>
      <c r="I65" s="84">
        <v>7000</v>
      </c>
      <c r="J65" s="56"/>
      <c r="K65" s="58">
        <f t="shared" si="3"/>
        <v>18199.23</v>
      </c>
      <c r="L65" s="56"/>
    </row>
    <row r="66" ht="20" customHeight="1" spans="2:12">
      <c r="B66" s="42">
        <v>9</v>
      </c>
      <c r="C66" s="42">
        <v>16</v>
      </c>
      <c r="D66" s="42"/>
      <c r="E66" s="45" t="s">
        <v>2045</v>
      </c>
      <c r="F66" s="45" t="s">
        <v>2071</v>
      </c>
      <c r="G66" s="56">
        <v>220</v>
      </c>
      <c r="H66" s="56">
        <v>1.16</v>
      </c>
      <c r="I66" s="56">
        <f t="shared" ref="I66:I71" si="4">G66-H66</f>
        <v>218.84</v>
      </c>
      <c r="J66" s="56"/>
      <c r="K66" s="58">
        <f t="shared" si="3"/>
        <v>18418.07</v>
      </c>
      <c r="L66" s="56"/>
    </row>
    <row r="67" ht="20" customHeight="1" spans="2:12">
      <c r="B67" s="42">
        <v>9</v>
      </c>
      <c r="C67" s="42">
        <v>17</v>
      </c>
      <c r="D67" s="42"/>
      <c r="E67" s="45" t="s">
        <v>2045</v>
      </c>
      <c r="F67" s="45" t="s">
        <v>2072</v>
      </c>
      <c r="G67" s="56">
        <v>125</v>
      </c>
      <c r="H67" s="56">
        <v>0.66</v>
      </c>
      <c r="I67" s="56">
        <f t="shared" si="4"/>
        <v>124.34</v>
      </c>
      <c r="J67" s="56"/>
      <c r="K67" s="58">
        <f t="shared" si="3"/>
        <v>18542.41</v>
      </c>
      <c r="L67" s="56"/>
    </row>
    <row r="68" ht="20" customHeight="1" spans="2:12">
      <c r="B68" s="42">
        <v>9</v>
      </c>
      <c r="C68" s="42">
        <v>18</v>
      </c>
      <c r="D68" s="42"/>
      <c r="E68" s="45" t="s">
        <v>2045</v>
      </c>
      <c r="F68" s="45" t="s">
        <v>2073</v>
      </c>
      <c r="G68" s="56">
        <v>275</v>
      </c>
      <c r="H68" s="56">
        <v>1.45</v>
      </c>
      <c r="I68" s="56">
        <f t="shared" si="4"/>
        <v>273.55</v>
      </c>
      <c r="J68" s="56"/>
      <c r="K68" s="58">
        <f t="shared" si="3"/>
        <v>18815.96</v>
      </c>
      <c r="L68" s="56"/>
    </row>
    <row r="69" ht="20" customHeight="1" spans="2:12">
      <c r="B69" s="42">
        <v>9</v>
      </c>
      <c r="C69" s="42">
        <v>19</v>
      </c>
      <c r="D69" s="42"/>
      <c r="E69" s="45" t="s">
        <v>2045</v>
      </c>
      <c r="F69" s="45" t="s">
        <v>2074</v>
      </c>
      <c r="G69" s="56">
        <v>185</v>
      </c>
      <c r="H69" s="56">
        <v>0.98</v>
      </c>
      <c r="I69" s="56">
        <f t="shared" si="4"/>
        <v>184.02</v>
      </c>
      <c r="J69" s="56"/>
      <c r="K69" s="58">
        <f t="shared" si="3"/>
        <v>18999.98</v>
      </c>
      <c r="L69" s="56"/>
    </row>
    <row r="70" ht="20" customHeight="1" spans="2:12">
      <c r="B70" s="42">
        <v>9</v>
      </c>
      <c r="C70" s="42">
        <v>20</v>
      </c>
      <c r="D70" s="42"/>
      <c r="E70" s="45" t="s">
        <v>2045</v>
      </c>
      <c r="F70" s="45" t="s">
        <v>2075</v>
      </c>
      <c r="G70" s="56">
        <v>500</v>
      </c>
      <c r="H70" s="56">
        <v>2.68</v>
      </c>
      <c r="I70" s="56">
        <f t="shared" si="4"/>
        <v>497.32</v>
      </c>
      <c r="J70" s="56"/>
      <c r="K70" s="58">
        <f t="shared" si="3"/>
        <v>19497.3</v>
      </c>
      <c r="L70" s="56"/>
    </row>
    <row r="71" ht="20" customHeight="1" spans="2:12">
      <c r="B71" s="42">
        <v>9</v>
      </c>
      <c r="C71" s="42">
        <v>20</v>
      </c>
      <c r="D71" s="74" t="s">
        <v>69</v>
      </c>
      <c r="E71" s="44" t="s">
        <v>1809</v>
      </c>
      <c r="F71" s="95" t="s">
        <v>1980</v>
      </c>
      <c r="G71" s="56"/>
      <c r="H71" s="56"/>
      <c r="I71" s="56">
        <f t="shared" si="4"/>
        <v>0</v>
      </c>
      <c r="J71" s="56">
        <v>1500</v>
      </c>
      <c r="K71" s="58">
        <f t="shared" si="3"/>
        <v>17997.3</v>
      </c>
      <c r="L71" s="56"/>
    </row>
    <row r="72" ht="20" customHeight="1" spans="2:12">
      <c r="B72" s="42">
        <v>9</v>
      </c>
      <c r="C72" s="42">
        <v>21</v>
      </c>
      <c r="D72" s="42" t="s">
        <v>29</v>
      </c>
      <c r="E72" s="45" t="s">
        <v>2036</v>
      </c>
      <c r="F72" s="95" t="s">
        <v>29</v>
      </c>
      <c r="G72" s="56"/>
      <c r="H72" s="56"/>
      <c r="I72" s="56">
        <v>1.41</v>
      </c>
      <c r="J72" s="56"/>
      <c r="K72" s="58">
        <f t="shared" si="3"/>
        <v>17998.71</v>
      </c>
      <c r="L72" s="56"/>
    </row>
    <row r="73" ht="20" customHeight="1" spans="2:12">
      <c r="B73" s="42">
        <v>9</v>
      </c>
      <c r="C73" s="42">
        <v>21</v>
      </c>
      <c r="D73" s="94" t="s">
        <v>120</v>
      </c>
      <c r="E73" s="95" t="s">
        <v>1807</v>
      </c>
      <c r="F73" s="95" t="s">
        <v>2040</v>
      </c>
      <c r="G73" s="95"/>
      <c r="H73" s="95"/>
      <c r="I73" s="84"/>
      <c r="J73" s="84">
        <v>8363.54</v>
      </c>
      <c r="K73" s="58">
        <f t="shared" si="3"/>
        <v>9635.17</v>
      </c>
      <c r="L73" s="56"/>
    </row>
    <row r="74" ht="20" customHeight="1" spans="2:12">
      <c r="B74" s="42">
        <v>9</v>
      </c>
      <c r="C74" s="42">
        <v>21</v>
      </c>
      <c r="D74" s="94" t="s">
        <v>120</v>
      </c>
      <c r="E74" s="95" t="s">
        <v>1807</v>
      </c>
      <c r="F74" s="95" t="s">
        <v>2041</v>
      </c>
      <c r="G74" s="95"/>
      <c r="H74" s="95"/>
      <c r="I74" s="84"/>
      <c r="J74" s="84">
        <v>7095.56</v>
      </c>
      <c r="K74" s="58">
        <f t="shared" si="3"/>
        <v>2539.61</v>
      </c>
      <c r="L74" s="56"/>
    </row>
    <row r="75" ht="20" customHeight="1" spans="2:12">
      <c r="B75" s="42">
        <v>9</v>
      </c>
      <c r="C75" s="42">
        <v>21</v>
      </c>
      <c r="D75" s="42"/>
      <c r="E75" s="45" t="s">
        <v>2045</v>
      </c>
      <c r="F75" s="45" t="s">
        <v>2076</v>
      </c>
      <c r="G75" s="56">
        <v>120</v>
      </c>
      <c r="H75" s="56">
        <v>0.63</v>
      </c>
      <c r="I75" s="56">
        <f t="shared" ref="I75:I85" si="5">G75-H75</f>
        <v>119.37</v>
      </c>
      <c r="J75" s="56"/>
      <c r="K75" s="58">
        <f t="shared" si="3"/>
        <v>2658.98</v>
      </c>
      <c r="L75" s="56"/>
    </row>
    <row r="76" ht="20" customHeight="1" spans="2:12">
      <c r="B76" s="42">
        <v>9</v>
      </c>
      <c r="C76" s="42">
        <v>22</v>
      </c>
      <c r="D76" s="42"/>
      <c r="E76" s="45" t="s">
        <v>2045</v>
      </c>
      <c r="F76" s="45" t="s">
        <v>2077</v>
      </c>
      <c r="G76" s="56">
        <v>35</v>
      </c>
      <c r="H76" s="56">
        <v>0.18</v>
      </c>
      <c r="I76" s="56">
        <f t="shared" si="5"/>
        <v>34.82</v>
      </c>
      <c r="J76" s="56"/>
      <c r="K76" s="58">
        <f t="shared" si="3"/>
        <v>2693.8</v>
      </c>
      <c r="L76" s="56"/>
    </row>
    <row r="77" ht="20" customHeight="1" spans="2:12">
      <c r="B77" s="42">
        <v>9</v>
      </c>
      <c r="C77" s="42">
        <v>23</v>
      </c>
      <c r="D77" s="42"/>
      <c r="E77" s="45" t="s">
        <v>2045</v>
      </c>
      <c r="F77" s="45" t="s">
        <v>2078</v>
      </c>
      <c r="G77" s="56">
        <v>145</v>
      </c>
      <c r="H77" s="56">
        <v>0.77</v>
      </c>
      <c r="I77" s="56">
        <f t="shared" si="5"/>
        <v>144.23</v>
      </c>
      <c r="J77" s="56"/>
      <c r="K77" s="58">
        <f t="shared" si="3"/>
        <v>2838.03</v>
      </c>
      <c r="L77" s="56"/>
    </row>
    <row r="78" ht="20" customHeight="1" spans="2:12">
      <c r="B78" s="42">
        <v>9</v>
      </c>
      <c r="C78" s="42">
        <v>24</v>
      </c>
      <c r="D78" s="42"/>
      <c r="E78" s="45" t="s">
        <v>2045</v>
      </c>
      <c r="F78" s="45" t="s">
        <v>2079</v>
      </c>
      <c r="G78" s="56">
        <v>220</v>
      </c>
      <c r="H78" s="56">
        <v>1.18</v>
      </c>
      <c r="I78" s="56">
        <f t="shared" si="5"/>
        <v>218.82</v>
      </c>
      <c r="J78" s="56"/>
      <c r="K78" s="58">
        <f t="shared" si="3"/>
        <v>3056.85</v>
      </c>
      <c r="L78" s="56"/>
    </row>
    <row r="79" ht="20" customHeight="1" spans="2:12">
      <c r="B79" s="42">
        <v>9</v>
      </c>
      <c r="C79" s="42">
        <v>25</v>
      </c>
      <c r="D79" s="42"/>
      <c r="E79" s="45" t="s">
        <v>2045</v>
      </c>
      <c r="F79" s="45" t="s">
        <v>2080</v>
      </c>
      <c r="G79" s="56">
        <v>130</v>
      </c>
      <c r="H79" s="56">
        <v>0.69</v>
      </c>
      <c r="I79" s="56">
        <f t="shared" si="5"/>
        <v>129.31</v>
      </c>
      <c r="J79" s="56"/>
      <c r="K79" s="58">
        <f t="shared" si="3"/>
        <v>3186.16</v>
      </c>
      <c r="L79" s="56"/>
    </row>
    <row r="80" ht="20" customHeight="1" spans="2:12">
      <c r="B80" s="42">
        <v>9</v>
      </c>
      <c r="C80" s="42">
        <v>26</v>
      </c>
      <c r="D80" s="42"/>
      <c r="E80" s="45" t="s">
        <v>2045</v>
      </c>
      <c r="F80" s="45" t="s">
        <v>2081</v>
      </c>
      <c r="G80" s="56">
        <v>235</v>
      </c>
      <c r="H80" s="56">
        <v>1.26</v>
      </c>
      <c r="I80" s="56">
        <f t="shared" si="5"/>
        <v>233.74</v>
      </c>
      <c r="J80" s="56"/>
      <c r="K80" s="58">
        <f t="shared" si="3"/>
        <v>3419.9</v>
      </c>
      <c r="L80" s="56"/>
    </row>
    <row r="81" ht="20" customHeight="1" spans="2:12">
      <c r="B81" s="42">
        <v>9</v>
      </c>
      <c r="C81" s="42">
        <v>27</v>
      </c>
      <c r="D81" s="42"/>
      <c r="E81" s="45" t="s">
        <v>2045</v>
      </c>
      <c r="F81" s="45" t="s">
        <v>2082</v>
      </c>
      <c r="G81" s="56">
        <v>345</v>
      </c>
      <c r="H81" s="56">
        <v>1.84</v>
      </c>
      <c r="I81" s="56">
        <f t="shared" si="5"/>
        <v>343.16</v>
      </c>
      <c r="J81" s="56"/>
      <c r="K81" s="58">
        <f t="shared" si="3"/>
        <v>3763.06</v>
      </c>
      <c r="L81" s="56"/>
    </row>
    <row r="82" ht="20" customHeight="1" spans="2:12">
      <c r="B82" s="42">
        <v>9</v>
      </c>
      <c r="C82" s="42">
        <v>28</v>
      </c>
      <c r="D82" s="42"/>
      <c r="E82" s="45" t="s">
        <v>2045</v>
      </c>
      <c r="F82" s="45" t="s">
        <v>2083</v>
      </c>
      <c r="G82" s="56">
        <v>140</v>
      </c>
      <c r="H82" s="56">
        <v>0.74</v>
      </c>
      <c r="I82" s="56">
        <f t="shared" si="5"/>
        <v>139.26</v>
      </c>
      <c r="J82" s="56"/>
      <c r="K82" s="58">
        <f t="shared" si="3"/>
        <v>3902.32</v>
      </c>
      <c r="L82" s="56"/>
    </row>
    <row r="83" ht="20" customHeight="1" spans="2:12">
      <c r="B83" s="42">
        <v>9</v>
      </c>
      <c r="C83" s="42">
        <v>28</v>
      </c>
      <c r="D83" s="74" t="s">
        <v>69</v>
      </c>
      <c r="E83" s="44" t="s">
        <v>1809</v>
      </c>
      <c r="F83" s="95" t="s">
        <v>1980</v>
      </c>
      <c r="G83" s="56"/>
      <c r="H83" s="56"/>
      <c r="I83" s="56">
        <f t="shared" si="5"/>
        <v>0</v>
      </c>
      <c r="J83" s="55">
        <v>3900</v>
      </c>
      <c r="K83" s="58">
        <f t="shared" si="3"/>
        <v>2.31999999999789</v>
      </c>
      <c r="L83" s="56"/>
    </row>
    <row r="84" ht="20" customHeight="1" spans="2:12">
      <c r="B84" s="42">
        <v>9</v>
      </c>
      <c r="C84" s="42">
        <v>29</v>
      </c>
      <c r="D84" s="42"/>
      <c r="E84" s="45" t="s">
        <v>2045</v>
      </c>
      <c r="F84" s="45" t="s">
        <v>2084</v>
      </c>
      <c r="G84" s="56">
        <v>230</v>
      </c>
      <c r="H84" s="56">
        <v>1.25</v>
      </c>
      <c r="I84" s="56">
        <f t="shared" si="5"/>
        <v>228.75</v>
      </c>
      <c r="J84" s="56"/>
      <c r="K84" s="58">
        <f t="shared" si="3"/>
        <v>231.069999999998</v>
      </c>
      <c r="L84" s="56"/>
    </row>
    <row r="85" ht="20" customHeight="1" spans="2:12">
      <c r="B85" s="42">
        <v>9</v>
      </c>
      <c r="C85" s="42">
        <v>30</v>
      </c>
      <c r="D85" s="42"/>
      <c r="E85" s="45" t="s">
        <v>2045</v>
      </c>
      <c r="F85" s="45" t="s">
        <v>2085</v>
      </c>
      <c r="G85" s="56">
        <v>130</v>
      </c>
      <c r="H85" s="56">
        <v>0.69</v>
      </c>
      <c r="I85" s="56">
        <f t="shared" si="5"/>
        <v>129.31</v>
      </c>
      <c r="J85" s="56"/>
      <c r="K85" s="58">
        <f t="shared" si="3"/>
        <v>360.379999999998</v>
      </c>
      <c r="L85" s="56"/>
    </row>
    <row r="86" ht="20" customHeight="1" spans="2:12">
      <c r="B86" s="68"/>
      <c r="C86" s="68"/>
      <c r="D86" s="68"/>
      <c r="E86" s="130"/>
      <c r="F86" s="70" t="s">
        <v>22</v>
      </c>
      <c r="G86" s="71">
        <f>SUM(G50:G85)</f>
        <v>5890</v>
      </c>
      <c r="H86" s="71">
        <f>SUM(H50:H85)</f>
        <v>31.42</v>
      </c>
      <c r="I86" s="71">
        <f>SUM(I50:I85)</f>
        <v>12859.99</v>
      </c>
      <c r="J86" s="71">
        <f>SUM(J50:J85)</f>
        <v>20859.1</v>
      </c>
      <c r="K86" s="72">
        <f>K49+I86-J86</f>
        <v>360.380000000016</v>
      </c>
      <c r="L86" s="71"/>
    </row>
    <row r="87" ht="20" customHeight="1" spans="2:12">
      <c r="B87" s="42">
        <v>10</v>
      </c>
      <c r="C87" s="42">
        <v>1</v>
      </c>
      <c r="D87" s="42"/>
      <c r="E87" s="45" t="s">
        <v>2045</v>
      </c>
      <c r="F87" s="45" t="s">
        <v>2086</v>
      </c>
      <c r="G87" s="56">
        <v>125</v>
      </c>
      <c r="H87" s="56">
        <v>0.66</v>
      </c>
      <c r="I87" s="56">
        <f t="shared" ref="I87:I104" si="6">G87-H87</f>
        <v>124.34</v>
      </c>
      <c r="J87" s="56"/>
      <c r="K87" s="58">
        <f>K85+I87-J87</f>
        <v>484.719999999998</v>
      </c>
      <c r="L87" s="56"/>
    </row>
    <row r="88" ht="20" customHeight="1" spans="2:12">
      <c r="B88" s="42">
        <v>10</v>
      </c>
      <c r="C88" s="42">
        <v>2</v>
      </c>
      <c r="D88" s="42"/>
      <c r="E88" s="45" t="s">
        <v>2045</v>
      </c>
      <c r="F88" s="45" t="s">
        <v>2087</v>
      </c>
      <c r="G88" s="56">
        <v>195</v>
      </c>
      <c r="H88" s="56">
        <v>1.05</v>
      </c>
      <c r="I88" s="56">
        <f t="shared" si="6"/>
        <v>193.95</v>
      </c>
      <c r="J88" s="56"/>
      <c r="K88" s="58">
        <f t="shared" ref="K87:K104" si="7">K87+I88-J88</f>
        <v>678.669999999998</v>
      </c>
      <c r="L88" s="56"/>
    </row>
    <row r="89" ht="20" customHeight="1" spans="2:12">
      <c r="B89" s="42">
        <v>10</v>
      </c>
      <c r="C89" s="42">
        <v>3</v>
      </c>
      <c r="D89" s="42"/>
      <c r="E89" s="45" t="s">
        <v>2045</v>
      </c>
      <c r="F89" s="45" t="s">
        <v>2088</v>
      </c>
      <c r="G89" s="56">
        <v>380</v>
      </c>
      <c r="H89" s="56">
        <v>2.06</v>
      </c>
      <c r="I89" s="56">
        <f t="shared" si="6"/>
        <v>377.94</v>
      </c>
      <c r="J89" s="56"/>
      <c r="K89" s="58">
        <f t="shared" si="7"/>
        <v>1056.61</v>
      </c>
      <c r="L89" s="56"/>
    </row>
    <row r="90" ht="20" customHeight="1" spans="2:12">
      <c r="B90" s="42">
        <v>10</v>
      </c>
      <c r="C90" s="42">
        <v>4</v>
      </c>
      <c r="D90" s="42"/>
      <c r="E90" s="45" t="s">
        <v>2045</v>
      </c>
      <c r="F90" s="45" t="s">
        <v>2089</v>
      </c>
      <c r="G90" s="56">
        <v>190</v>
      </c>
      <c r="H90" s="56">
        <v>1.03</v>
      </c>
      <c r="I90" s="56">
        <f t="shared" si="6"/>
        <v>188.97</v>
      </c>
      <c r="J90" s="56"/>
      <c r="K90" s="58">
        <f t="shared" si="7"/>
        <v>1245.58</v>
      </c>
      <c r="L90" s="56"/>
    </row>
    <row r="91" ht="20" customHeight="1" spans="2:12">
      <c r="B91" s="42">
        <v>10</v>
      </c>
      <c r="C91" s="42">
        <v>5</v>
      </c>
      <c r="D91" s="42"/>
      <c r="E91" s="45" t="s">
        <v>2045</v>
      </c>
      <c r="F91" s="45" t="s">
        <v>2090</v>
      </c>
      <c r="G91" s="56">
        <v>290</v>
      </c>
      <c r="H91" s="56">
        <v>1.57</v>
      </c>
      <c r="I91" s="56">
        <f t="shared" si="6"/>
        <v>288.43</v>
      </c>
      <c r="J91" s="56"/>
      <c r="K91" s="58">
        <f t="shared" si="7"/>
        <v>1534.01</v>
      </c>
      <c r="L91" s="56"/>
    </row>
    <row r="92" ht="20" customHeight="1" spans="2:12">
      <c r="B92" s="42">
        <v>10</v>
      </c>
      <c r="C92" s="42">
        <v>6</v>
      </c>
      <c r="D92" s="42"/>
      <c r="E92" s="45" t="s">
        <v>2045</v>
      </c>
      <c r="F92" s="45" t="s">
        <v>2091</v>
      </c>
      <c r="G92" s="56">
        <v>190</v>
      </c>
      <c r="H92" s="56">
        <v>1.03</v>
      </c>
      <c r="I92" s="56">
        <f t="shared" si="6"/>
        <v>188.97</v>
      </c>
      <c r="J92" s="56"/>
      <c r="K92" s="58">
        <f t="shared" si="7"/>
        <v>1722.98</v>
      </c>
      <c r="L92" s="56"/>
    </row>
    <row r="93" ht="20" customHeight="1" spans="2:12">
      <c r="B93" s="42">
        <v>10</v>
      </c>
      <c r="C93" s="42">
        <v>7</v>
      </c>
      <c r="D93" s="42"/>
      <c r="E93" s="45" t="s">
        <v>2045</v>
      </c>
      <c r="F93" s="45" t="s">
        <v>2092</v>
      </c>
      <c r="G93" s="56">
        <v>160</v>
      </c>
      <c r="H93" s="56">
        <v>0.86</v>
      </c>
      <c r="I93" s="56">
        <f t="shared" si="6"/>
        <v>159.14</v>
      </c>
      <c r="J93" s="56"/>
      <c r="K93" s="58">
        <f t="shared" si="7"/>
        <v>1882.12</v>
      </c>
      <c r="L93" s="56"/>
    </row>
    <row r="94" ht="20" customHeight="1" spans="2:12">
      <c r="B94" s="42">
        <v>10</v>
      </c>
      <c r="C94" s="42">
        <v>8</v>
      </c>
      <c r="D94" s="42"/>
      <c r="E94" s="45" t="s">
        <v>2045</v>
      </c>
      <c r="F94" s="45" t="s">
        <v>2093</v>
      </c>
      <c r="G94" s="56">
        <v>200</v>
      </c>
      <c r="H94" s="56">
        <v>1.06</v>
      </c>
      <c r="I94" s="56">
        <f t="shared" si="6"/>
        <v>198.94</v>
      </c>
      <c r="J94" s="56"/>
      <c r="K94" s="58">
        <f t="shared" si="7"/>
        <v>2081.06</v>
      </c>
      <c r="L94" s="56"/>
    </row>
    <row r="95" ht="20" customHeight="1" spans="2:12">
      <c r="B95" s="42">
        <v>10</v>
      </c>
      <c r="C95" s="42"/>
      <c r="D95" s="42"/>
      <c r="E95" s="42"/>
      <c r="F95" s="54"/>
      <c r="G95" s="56"/>
      <c r="H95" s="56"/>
      <c r="I95" s="56">
        <f t="shared" si="6"/>
        <v>0</v>
      </c>
      <c r="J95" s="56"/>
      <c r="K95" s="58">
        <f t="shared" si="7"/>
        <v>2081.06</v>
      </c>
      <c r="L95" s="56"/>
    </row>
    <row r="96" ht="20" customHeight="1" spans="2:12">
      <c r="B96" s="42">
        <v>10</v>
      </c>
      <c r="C96" s="42"/>
      <c r="D96" s="42"/>
      <c r="E96" s="42"/>
      <c r="F96" s="54"/>
      <c r="G96" s="56"/>
      <c r="H96" s="56"/>
      <c r="I96" s="56">
        <f t="shared" si="6"/>
        <v>0</v>
      </c>
      <c r="J96" s="56"/>
      <c r="K96" s="58">
        <f t="shared" si="7"/>
        <v>2081.06</v>
      </c>
      <c r="L96" s="56"/>
    </row>
    <row r="97" ht="20" customHeight="1" spans="2:12">
      <c r="B97" s="42"/>
      <c r="C97" s="42"/>
      <c r="D97" s="42"/>
      <c r="E97" s="42"/>
      <c r="F97" s="54"/>
      <c r="G97" s="56"/>
      <c r="H97" s="56"/>
      <c r="I97" s="56">
        <f t="shared" si="6"/>
        <v>0</v>
      </c>
      <c r="J97" s="56"/>
      <c r="K97" s="58">
        <f t="shared" si="7"/>
        <v>2081.06</v>
      </c>
      <c r="L97" s="56"/>
    </row>
    <row r="98" ht="20" customHeight="1" spans="2:12">
      <c r="B98" s="42"/>
      <c r="C98" s="42"/>
      <c r="D98" s="42"/>
      <c r="E98" s="42"/>
      <c r="F98" s="54"/>
      <c r="G98" s="56"/>
      <c r="H98" s="56"/>
      <c r="I98" s="56">
        <f t="shared" si="6"/>
        <v>0</v>
      </c>
      <c r="J98" s="56"/>
      <c r="K98" s="58">
        <f t="shared" si="7"/>
        <v>2081.06</v>
      </c>
      <c r="L98" s="56"/>
    </row>
    <row r="99" ht="20" customHeight="1" spans="2:12">
      <c r="B99" s="42"/>
      <c r="C99" s="42"/>
      <c r="D99" s="42"/>
      <c r="E99" s="42"/>
      <c r="F99" s="54"/>
      <c r="G99" s="56"/>
      <c r="H99" s="56"/>
      <c r="I99" s="56">
        <f t="shared" si="6"/>
        <v>0</v>
      </c>
      <c r="J99" s="56"/>
      <c r="K99" s="58">
        <f t="shared" si="7"/>
        <v>2081.06</v>
      </c>
      <c r="L99" s="56"/>
    </row>
    <row r="100" ht="20" customHeight="1" spans="2:12">
      <c r="B100" s="42"/>
      <c r="C100" s="42"/>
      <c r="D100" s="42"/>
      <c r="E100" s="42"/>
      <c r="F100" s="54"/>
      <c r="G100" s="56"/>
      <c r="H100" s="56"/>
      <c r="I100" s="56">
        <f t="shared" si="6"/>
        <v>0</v>
      </c>
      <c r="J100" s="56"/>
      <c r="K100" s="58">
        <f t="shared" si="7"/>
        <v>2081.06</v>
      </c>
      <c r="L100" s="56"/>
    </row>
    <row r="101" ht="20" customHeight="1" spans="2:12">
      <c r="B101" s="42"/>
      <c r="C101" s="42"/>
      <c r="D101" s="42"/>
      <c r="E101" s="42"/>
      <c r="F101" s="54"/>
      <c r="G101" s="56"/>
      <c r="H101" s="56"/>
      <c r="I101" s="56">
        <f t="shared" si="6"/>
        <v>0</v>
      </c>
      <c r="J101" s="56"/>
      <c r="K101" s="58">
        <f t="shared" si="7"/>
        <v>2081.06</v>
      </c>
      <c r="L101" s="56"/>
    </row>
    <row r="102" ht="20" customHeight="1" spans="2:12">
      <c r="B102" s="42"/>
      <c r="C102" s="42"/>
      <c r="D102" s="42"/>
      <c r="E102" s="42"/>
      <c r="F102" s="54"/>
      <c r="G102" s="56"/>
      <c r="H102" s="56"/>
      <c r="I102" s="56">
        <f t="shared" si="6"/>
        <v>0</v>
      </c>
      <c r="J102" s="56"/>
      <c r="K102" s="58">
        <f t="shared" si="7"/>
        <v>2081.06</v>
      </c>
      <c r="L102" s="56"/>
    </row>
    <row r="103" ht="20" customHeight="1" spans="2:12">
      <c r="B103" s="42"/>
      <c r="C103" s="42"/>
      <c r="D103" s="42"/>
      <c r="E103" s="42"/>
      <c r="F103" s="54"/>
      <c r="G103" s="56"/>
      <c r="H103" s="56"/>
      <c r="I103" s="56">
        <f t="shared" si="6"/>
        <v>0</v>
      </c>
      <c r="J103" s="56"/>
      <c r="K103" s="58">
        <f t="shared" si="7"/>
        <v>2081.06</v>
      </c>
      <c r="L103" s="56"/>
    </row>
    <row r="104" ht="20" customHeight="1" spans="2:12">
      <c r="B104" s="42"/>
      <c r="C104" s="42"/>
      <c r="D104" s="42"/>
      <c r="E104" s="42"/>
      <c r="F104" s="54"/>
      <c r="G104" s="56"/>
      <c r="H104" s="56"/>
      <c r="I104" s="56">
        <f t="shared" si="6"/>
        <v>0</v>
      </c>
      <c r="J104" s="56"/>
      <c r="K104" s="58">
        <f t="shared" si="7"/>
        <v>2081.06</v>
      </c>
      <c r="L104" s="56"/>
    </row>
    <row r="105" ht="20" customHeight="1" spans="2:12">
      <c r="B105" s="42"/>
      <c r="C105" s="42"/>
      <c r="D105" s="42"/>
      <c r="E105" s="42"/>
      <c r="F105" s="54"/>
      <c r="G105" s="56"/>
      <c r="H105" s="56"/>
      <c r="I105" s="56">
        <f t="shared" ref="I105:I136" si="8">G105-H105</f>
        <v>0</v>
      </c>
      <c r="J105" s="56"/>
      <c r="K105" s="58">
        <f t="shared" ref="K105:K136" si="9">K104+I105-J105</f>
        <v>2081.06</v>
      </c>
      <c r="L105" s="56"/>
    </row>
    <row r="106" ht="20" customHeight="1" spans="2:12">
      <c r="B106" s="42"/>
      <c r="C106" s="42"/>
      <c r="D106" s="42"/>
      <c r="E106" s="42"/>
      <c r="F106" s="54"/>
      <c r="G106" s="56"/>
      <c r="H106" s="56"/>
      <c r="I106" s="56">
        <f t="shared" si="8"/>
        <v>0</v>
      </c>
      <c r="J106" s="56"/>
      <c r="K106" s="58">
        <f t="shared" si="9"/>
        <v>2081.06</v>
      </c>
      <c r="L106" s="56"/>
    </row>
    <row r="107" ht="20" customHeight="1" spans="2:12">
      <c r="B107" s="42"/>
      <c r="C107" s="42"/>
      <c r="D107" s="42"/>
      <c r="E107" s="42"/>
      <c r="F107" s="54"/>
      <c r="G107" s="56"/>
      <c r="H107" s="56"/>
      <c r="I107" s="56">
        <f t="shared" si="8"/>
        <v>0</v>
      </c>
      <c r="J107" s="56"/>
      <c r="K107" s="58">
        <f t="shared" si="9"/>
        <v>2081.06</v>
      </c>
      <c r="L107" s="56"/>
    </row>
    <row r="108" ht="20" customHeight="1" spans="2:12">
      <c r="B108" s="42"/>
      <c r="C108" s="42"/>
      <c r="D108" s="42"/>
      <c r="E108" s="42"/>
      <c r="F108" s="54"/>
      <c r="G108" s="56"/>
      <c r="H108" s="56"/>
      <c r="I108" s="56">
        <f t="shared" si="8"/>
        <v>0</v>
      </c>
      <c r="J108" s="56"/>
      <c r="K108" s="58">
        <f t="shared" si="9"/>
        <v>2081.06</v>
      </c>
      <c r="L108" s="56"/>
    </row>
    <row r="109" ht="20" customHeight="1" spans="2:12">
      <c r="B109" s="42"/>
      <c r="C109" s="42"/>
      <c r="D109" s="42"/>
      <c r="E109" s="42"/>
      <c r="F109" s="54"/>
      <c r="G109" s="56"/>
      <c r="H109" s="56"/>
      <c r="I109" s="56">
        <f t="shared" si="8"/>
        <v>0</v>
      </c>
      <c r="J109" s="56"/>
      <c r="K109" s="58">
        <f t="shared" si="9"/>
        <v>2081.06</v>
      </c>
      <c r="L109" s="56"/>
    </row>
    <row r="110" ht="20" customHeight="1" spans="2:12">
      <c r="B110" s="42"/>
      <c r="C110" s="42"/>
      <c r="D110" s="42"/>
      <c r="E110" s="42"/>
      <c r="F110" s="54"/>
      <c r="G110" s="56"/>
      <c r="H110" s="56"/>
      <c r="I110" s="56">
        <f t="shared" si="8"/>
        <v>0</v>
      </c>
      <c r="J110" s="56"/>
      <c r="K110" s="58">
        <f t="shared" si="9"/>
        <v>2081.06</v>
      </c>
      <c r="L110" s="56"/>
    </row>
    <row r="111" ht="20" customHeight="1" spans="2:12">
      <c r="B111" s="42"/>
      <c r="C111" s="42"/>
      <c r="D111" s="42"/>
      <c r="E111" s="42"/>
      <c r="F111" s="54"/>
      <c r="G111" s="56"/>
      <c r="H111" s="56"/>
      <c r="I111" s="56">
        <f t="shared" si="8"/>
        <v>0</v>
      </c>
      <c r="J111" s="56"/>
      <c r="K111" s="58">
        <f t="shared" si="9"/>
        <v>2081.06</v>
      </c>
      <c r="L111" s="56"/>
    </row>
    <row r="112" ht="20" customHeight="1" spans="2:12">
      <c r="B112" s="42"/>
      <c r="C112" s="42"/>
      <c r="D112" s="42"/>
      <c r="E112" s="42"/>
      <c r="F112" s="54"/>
      <c r="G112" s="56"/>
      <c r="H112" s="56"/>
      <c r="I112" s="56">
        <f t="shared" si="8"/>
        <v>0</v>
      </c>
      <c r="J112" s="56"/>
      <c r="K112" s="58">
        <f t="shared" si="9"/>
        <v>2081.06</v>
      </c>
      <c r="L112" s="56"/>
    </row>
    <row r="113" ht="20" customHeight="1" spans="2:12">
      <c r="B113" s="42"/>
      <c r="C113" s="42"/>
      <c r="D113" s="42"/>
      <c r="E113" s="42"/>
      <c r="F113" s="54"/>
      <c r="G113" s="56"/>
      <c r="H113" s="56"/>
      <c r="I113" s="56">
        <f t="shared" si="8"/>
        <v>0</v>
      </c>
      <c r="J113" s="56"/>
      <c r="K113" s="58">
        <f t="shared" si="9"/>
        <v>2081.06</v>
      </c>
      <c r="L113" s="56"/>
    </row>
    <row r="114" ht="20" customHeight="1" spans="2:12">
      <c r="B114" s="42"/>
      <c r="C114" s="42"/>
      <c r="D114" s="42"/>
      <c r="E114" s="42"/>
      <c r="F114" s="54"/>
      <c r="G114" s="56"/>
      <c r="H114" s="56"/>
      <c r="I114" s="56">
        <f t="shared" si="8"/>
        <v>0</v>
      </c>
      <c r="J114" s="56"/>
      <c r="K114" s="58">
        <f t="shared" si="9"/>
        <v>2081.06</v>
      </c>
      <c r="L114" s="56"/>
    </row>
    <row r="115" ht="20" customHeight="1" spans="2:12">
      <c r="B115" s="42"/>
      <c r="C115" s="42"/>
      <c r="D115" s="42"/>
      <c r="E115" s="42"/>
      <c r="F115" s="54"/>
      <c r="G115" s="56"/>
      <c r="H115" s="56"/>
      <c r="I115" s="56">
        <f t="shared" si="8"/>
        <v>0</v>
      </c>
      <c r="J115" s="56"/>
      <c r="K115" s="58">
        <f t="shared" si="9"/>
        <v>2081.06</v>
      </c>
      <c r="L115" s="56"/>
    </row>
    <row r="116" ht="20" customHeight="1" spans="2:12">
      <c r="B116" s="42"/>
      <c r="C116" s="42"/>
      <c r="D116" s="42"/>
      <c r="E116" s="42"/>
      <c r="F116" s="54"/>
      <c r="G116" s="56"/>
      <c r="H116" s="56"/>
      <c r="I116" s="56">
        <f t="shared" si="8"/>
        <v>0</v>
      </c>
      <c r="J116" s="56"/>
      <c r="K116" s="58">
        <f t="shared" si="9"/>
        <v>2081.06</v>
      </c>
      <c r="L116" s="56"/>
    </row>
    <row r="117" ht="20" customHeight="1" spans="2:12">
      <c r="B117" s="42"/>
      <c r="C117" s="42"/>
      <c r="D117" s="42"/>
      <c r="E117" s="42"/>
      <c r="F117" s="54"/>
      <c r="G117" s="56"/>
      <c r="H117" s="56"/>
      <c r="I117" s="56">
        <f t="shared" si="8"/>
        <v>0</v>
      </c>
      <c r="J117" s="56"/>
      <c r="K117" s="58">
        <f t="shared" si="9"/>
        <v>2081.06</v>
      </c>
      <c r="L117" s="56"/>
    </row>
    <row r="118" ht="20" customHeight="1" spans="2:12">
      <c r="B118" s="42"/>
      <c r="C118" s="42"/>
      <c r="D118" s="42"/>
      <c r="E118" s="42"/>
      <c r="F118" s="54"/>
      <c r="G118" s="56"/>
      <c r="H118" s="56"/>
      <c r="I118" s="56">
        <f t="shared" si="8"/>
        <v>0</v>
      </c>
      <c r="J118" s="56"/>
      <c r="K118" s="58">
        <f t="shared" si="9"/>
        <v>2081.06</v>
      </c>
      <c r="L118" s="56"/>
    </row>
    <row r="119" ht="20" customHeight="1" spans="2:12">
      <c r="B119" s="42"/>
      <c r="C119" s="42"/>
      <c r="D119" s="42"/>
      <c r="E119" s="42"/>
      <c r="F119" s="54"/>
      <c r="G119" s="56"/>
      <c r="H119" s="56"/>
      <c r="I119" s="56">
        <f t="shared" si="8"/>
        <v>0</v>
      </c>
      <c r="J119" s="56"/>
      <c r="K119" s="58">
        <f t="shared" si="9"/>
        <v>2081.06</v>
      </c>
      <c r="L119" s="56"/>
    </row>
    <row r="120" ht="20" customHeight="1" spans="2:12">
      <c r="B120" s="42"/>
      <c r="C120" s="42"/>
      <c r="D120" s="42"/>
      <c r="E120" s="42"/>
      <c r="F120" s="54"/>
      <c r="G120" s="56"/>
      <c r="H120" s="56"/>
      <c r="I120" s="56">
        <f t="shared" si="8"/>
        <v>0</v>
      </c>
      <c r="J120" s="56"/>
      <c r="K120" s="58">
        <f t="shared" si="9"/>
        <v>2081.06</v>
      </c>
      <c r="L120" s="56"/>
    </row>
    <row r="121" ht="20" customHeight="1" spans="2:12">
      <c r="B121" s="42"/>
      <c r="C121" s="42"/>
      <c r="D121" s="42"/>
      <c r="E121" s="42"/>
      <c r="F121" s="54"/>
      <c r="G121" s="56"/>
      <c r="H121" s="56"/>
      <c r="I121" s="56">
        <f t="shared" si="8"/>
        <v>0</v>
      </c>
      <c r="J121" s="56"/>
      <c r="K121" s="58">
        <f t="shared" si="9"/>
        <v>2081.06</v>
      </c>
      <c r="L121" s="56"/>
    </row>
    <row r="122" ht="20" customHeight="1" spans="2:12">
      <c r="B122" s="42"/>
      <c r="C122" s="42"/>
      <c r="D122" s="42"/>
      <c r="E122" s="42"/>
      <c r="F122" s="54"/>
      <c r="G122" s="56"/>
      <c r="H122" s="56"/>
      <c r="I122" s="56">
        <f t="shared" si="8"/>
        <v>0</v>
      </c>
      <c r="J122" s="56"/>
      <c r="K122" s="58">
        <f t="shared" si="9"/>
        <v>2081.06</v>
      </c>
      <c r="L122" s="56"/>
    </row>
    <row r="123" ht="20" customHeight="1" spans="2:12">
      <c r="B123" s="42"/>
      <c r="C123" s="42"/>
      <c r="D123" s="42"/>
      <c r="E123" s="42"/>
      <c r="F123" s="54"/>
      <c r="G123" s="56"/>
      <c r="H123" s="56"/>
      <c r="I123" s="56">
        <f t="shared" si="8"/>
        <v>0</v>
      </c>
      <c r="J123" s="56"/>
      <c r="K123" s="58">
        <f t="shared" si="9"/>
        <v>2081.06</v>
      </c>
      <c r="L123" s="56"/>
    </row>
    <row r="124" ht="20" customHeight="1" spans="2:12">
      <c r="B124" s="42"/>
      <c r="C124" s="42"/>
      <c r="D124" s="42"/>
      <c r="E124" s="42"/>
      <c r="F124" s="54"/>
      <c r="G124" s="56"/>
      <c r="H124" s="56"/>
      <c r="I124" s="56">
        <f t="shared" si="8"/>
        <v>0</v>
      </c>
      <c r="J124" s="56"/>
      <c r="K124" s="58">
        <f t="shared" si="9"/>
        <v>2081.06</v>
      </c>
      <c r="L124" s="56"/>
    </row>
    <row r="125" ht="20" customHeight="1" spans="2:12">
      <c r="B125" s="42"/>
      <c r="C125" s="42"/>
      <c r="D125" s="42"/>
      <c r="E125" s="42"/>
      <c r="F125" s="54"/>
      <c r="G125" s="56"/>
      <c r="H125" s="56"/>
      <c r="I125" s="56">
        <f t="shared" si="8"/>
        <v>0</v>
      </c>
      <c r="J125" s="56"/>
      <c r="K125" s="58">
        <f t="shared" si="9"/>
        <v>2081.06</v>
      </c>
      <c r="L125" s="56"/>
    </row>
    <row r="126" ht="20" customHeight="1" spans="2:12">
      <c r="B126" s="42"/>
      <c r="C126" s="42"/>
      <c r="D126" s="42"/>
      <c r="E126" s="42"/>
      <c r="F126" s="54"/>
      <c r="G126" s="56"/>
      <c r="H126" s="56"/>
      <c r="I126" s="56">
        <f t="shared" si="8"/>
        <v>0</v>
      </c>
      <c r="J126" s="56"/>
      <c r="K126" s="58">
        <f t="shared" si="9"/>
        <v>2081.06</v>
      </c>
      <c r="L126" s="56"/>
    </row>
    <row r="127" ht="20" customHeight="1" spans="2:12">
      <c r="B127" s="42"/>
      <c r="C127" s="42"/>
      <c r="D127" s="42"/>
      <c r="E127" s="42"/>
      <c r="F127" s="54"/>
      <c r="G127" s="56"/>
      <c r="H127" s="56"/>
      <c r="I127" s="56">
        <f t="shared" si="8"/>
        <v>0</v>
      </c>
      <c r="J127" s="56"/>
      <c r="K127" s="58">
        <f t="shared" si="9"/>
        <v>2081.06</v>
      </c>
      <c r="L127" s="56"/>
    </row>
    <row r="128" ht="20" customHeight="1" spans="2:12">
      <c r="B128" s="42"/>
      <c r="C128" s="42"/>
      <c r="D128" s="42"/>
      <c r="E128" s="42"/>
      <c r="F128" s="54"/>
      <c r="G128" s="56"/>
      <c r="H128" s="56"/>
      <c r="I128" s="56">
        <f t="shared" si="8"/>
        <v>0</v>
      </c>
      <c r="J128" s="56"/>
      <c r="K128" s="58">
        <f t="shared" si="9"/>
        <v>2081.06</v>
      </c>
      <c r="L128" s="56"/>
    </row>
    <row r="129" ht="20" customHeight="1" spans="2:12">
      <c r="B129" s="42"/>
      <c r="C129" s="42"/>
      <c r="D129" s="42"/>
      <c r="E129" s="42"/>
      <c r="F129" s="54"/>
      <c r="G129" s="56"/>
      <c r="H129" s="56"/>
      <c r="I129" s="56">
        <f t="shared" si="8"/>
        <v>0</v>
      </c>
      <c r="J129" s="56"/>
      <c r="K129" s="58">
        <f t="shared" si="9"/>
        <v>2081.06</v>
      </c>
      <c r="L129" s="56"/>
    </row>
    <row r="130" ht="20" customHeight="1" spans="2:12">
      <c r="B130" s="42"/>
      <c r="C130" s="42"/>
      <c r="D130" s="42"/>
      <c r="E130" s="42"/>
      <c r="F130" s="54"/>
      <c r="G130" s="56"/>
      <c r="H130" s="56"/>
      <c r="I130" s="56">
        <f t="shared" si="8"/>
        <v>0</v>
      </c>
      <c r="J130" s="56"/>
      <c r="K130" s="58">
        <f t="shared" si="9"/>
        <v>2081.06</v>
      </c>
      <c r="L130" s="56"/>
    </row>
    <row r="131" ht="20" customHeight="1" spans="2:12">
      <c r="B131" s="42"/>
      <c r="C131" s="42"/>
      <c r="D131" s="42"/>
      <c r="E131" s="42"/>
      <c r="F131" s="54"/>
      <c r="G131" s="56"/>
      <c r="H131" s="56"/>
      <c r="I131" s="56">
        <f t="shared" si="8"/>
        <v>0</v>
      </c>
      <c r="J131" s="56"/>
      <c r="K131" s="58">
        <f t="shared" si="9"/>
        <v>2081.06</v>
      </c>
      <c r="L131" s="56"/>
    </row>
    <row r="132" ht="20" customHeight="1" spans="2:12">
      <c r="B132" s="42"/>
      <c r="C132" s="42"/>
      <c r="D132" s="42"/>
      <c r="E132" s="42"/>
      <c r="F132" s="54"/>
      <c r="G132" s="56"/>
      <c r="H132" s="56"/>
      <c r="I132" s="56">
        <f t="shared" si="8"/>
        <v>0</v>
      </c>
      <c r="J132" s="56"/>
      <c r="K132" s="58">
        <f t="shared" si="9"/>
        <v>2081.06</v>
      </c>
      <c r="L132" s="56"/>
    </row>
    <row r="133" ht="20" customHeight="1" spans="2:12">
      <c r="B133" s="42"/>
      <c r="C133" s="42"/>
      <c r="D133" s="42"/>
      <c r="E133" s="42"/>
      <c r="F133" s="54"/>
      <c r="G133" s="56"/>
      <c r="H133" s="56"/>
      <c r="I133" s="56">
        <f t="shared" si="8"/>
        <v>0</v>
      </c>
      <c r="J133" s="56"/>
      <c r="K133" s="58">
        <f t="shared" si="9"/>
        <v>2081.06</v>
      </c>
      <c r="L133" s="56"/>
    </row>
    <row r="134" ht="20" customHeight="1" spans="2:12">
      <c r="B134" s="42"/>
      <c r="C134" s="42"/>
      <c r="D134" s="42"/>
      <c r="E134" s="42"/>
      <c r="F134" s="54"/>
      <c r="G134" s="56"/>
      <c r="H134" s="56"/>
      <c r="I134" s="56">
        <f t="shared" si="8"/>
        <v>0</v>
      </c>
      <c r="J134" s="56"/>
      <c r="K134" s="58">
        <f t="shared" si="9"/>
        <v>2081.06</v>
      </c>
      <c r="L134" s="56"/>
    </row>
    <row r="135" ht="20" customHeight="1" spans="2:12">
      <c r="B135" s="42"/>
      <c r="C135" s="42"/>
      <c r="D135" s="42"/>
      <c r="E135" s="42"/>
      <c r="F135" s="54"/>
      <c r="G135" s="56"/>
      <c r="H135" s="56"/>
      <c r="I135" s="56">
        <f t="shared" si="8"/>
        <v>0</v>
      </c>
      <c r="J135" s="56"/>
      <c r="K135" s="58">
        <f t="shared" si="9"/>
        <v>2081.06</v>
      </c>
      <c r="L135" s="56"/>
    </row>
    <row r="136" ht="20" customHeight="1" spans="2:12">
      <c r="B136" s="42"/>
      <c r="C136" s="42"/>
      <c r="D136" s="42"/>
      <c r="E136" s="42"/>
      <c r="F136" s="54"/>
      <c r="G136" s="56"/>
      <c r="H136" s="56"/>
      <c r="I136" s="56">
        <f t="shared" si="8"/>
        <v>0</v>
      </c>
      <c r="J136" s="56"/>
      <c r="K136" s="58">
        <f t="shared" si="9"/>
        <v>2081.06</v>
      </c>
      <c r="L136" s="56"/>
    </row>
    <row r="137" ht="20" customHeight="1" spans="2:12">
      <c r="B137" s="42"/>
      <c r="C137" s="42"/>
      <c r="D137" s="42"/>
      <c r="E137" s="42"/>
      <c r="F137" s="54"/>
      <c r="G137" s="56"/>
      <c r="H137" s="56"/>
      <c r="I137" s="56">
        <f t="shared" ref="I137:I168" si="10">G137-H137</f>
        <v>0</v>
      </c>
      <c r="J137" s="56"/>
      <c r="K137" s="58">
        <f t="shared" ref="K137:K168" si="11">K136+I137-J137</f>
        <v>2081.06</v>
      </c>
      <c r="L137" s="56"/>
    </row>
    <row r="138" ht="20" customHeight="1" spans="2:12">
      <c r="B138" s="42"/>
      <c r="C138" s="42"/>
      <c r="D138" s="42"/>
      <c r="E138" s="42"/>
      <c r="F138" s="54"/>
      <c r="G138" s="56"/>
      <c r="H138" s="56"/>
      <c r="I138" s="56">
        <f t="shared" si="10"/>
        <v>0</v>
      </c>
      <c r="J138" s="56"/>
      <c r="K138" s="58">
        <f t="shared" si="11"/>
        <v>2081.06</v>
      </c>
      <c r="L138" s="56"/>
    </row>
    <row r="139" ht="20" customHeight="1" spans="2:12">
      <c r="B139" s="42"/>
      <c r="C139" s="42"/>
      <c r="D139" s="42"/>
      <c r="E139" s="42"/>
      <c r="F139" s="54"/>
      <c r="G139" s="56"/>
      <c r="H139" s="56"/>
      <c r="I139" s="56">
        <f t="shared" si="10"/>
        <v>0</v>
      </c>
      <c r="J139" s="56"/>
      <c r="K139" s="58">
        <f t="shared" si="11"/>
        <v>2081.06</v>
      </c>
      <c r="L139" s="56"/>
    </row>
    <row r="140" ht="20" customHeight="1" spans="2:12">
      <c r="B140" s="42"/>
      <c r="C140" s="42"/>
      <c r="D140" s="42"/>
      <c r="E140" s="42"/>
      <c r="F140" s="54"/>
      <c r="G140" s="56"/>
      <c r="H140" s="56"/>
      <c r="I140" s="56">
        <f t="shared" si="10"/>
        <v>0</v>
      </c>
      <c r="J140" s="56"/>
      <c r="K140" s="58">
        <f t="shared" si="11"/>
        <v>2081.06</v>
      </c>
      <c r="L140" s="56"/>
    </row>
    <row r="141" ht="20" customHeight="1" spans="2:12">
      <c r="B141" s="42"/>
      <c r="C141" s="42"/>
      <c r="D141" s="42"/>
      <c r="E141" s="42"/>
      <c r="F141" s="54"/>
      <c r="G141" s="56"/>
      <c r="H141" s="56"/>
      <c r="I141" s="56">
        <f t="shared" si="10"/>
        <v>0</v>
      </c>
      <c r="J141" s="56"/>
      <c r="K141" s="58">
        <f t="shared" si="11"/>
        <v>2081.06</v>
      </c>
      <c r="L141" s="56"/>
    </row>
    <row r="142" ht="20" customHeight="1" spans="2:12">
      <c r="B142" s="42"/>
      <c r="C142" s="42"/>
      <c r="D142" s="42"/>
      <c r="E142" s="42"/>
      <c r="F142" s="54"/>
      <c r="G142" s="56"/>
      <c r="H142" s="56"/>
      <c r="I142" s="56">
        <f t="shared" si="10"/>
        <v>0</v>
      </c>
      <c r="J142" s="56"/>
      <c r="K142" s="58">
        <f t="shared" si="11"/>
        <v>2081.06</v>
      </c>
      <c r="L142" s="56"/>
    </row>
    <row r="143" ht="20" customHeight="1" spans="2:12">
      <c r="B143" s="42"/>
      <c r="C143" s="42"/>
      <c r="D143" s="42"/>
      <c r="E143" s="42"/>
      <c r="F143" s="54"/>
      <c r="G143" s="56"/>
      <c r="H143" s="56"/>
      <c r="I143" s="56">
        <f t="shared" si="10"/>
        <v>0</v>
      </c>
      <c r="J143" s="56"/>
      <c r="K143" s="58">
        <f t="shared" si="11"/>
        <v>2081.06</v>
      </c>
      <c r="L143" s="56"/>
    </row>
    <row r="144" ht="20" customHeight="1" spans="2:12">
      <c r="B144" s="42"/>
      <c r="C144" s="42"/>
      <c r="D144" s="42"/>
      <c r="E144" s="42"/>
      <c r="F144" s="54"/>
      <c r="G144" s="56"/>
      <c r="H144" s="56"/>
      <c r="I144" s="56">
        <f t="shared" si="10"/>
        <v>0</v>
      </c>
      <c r="J144" s="56"/>
      <c r="K144" s="58">
        <f t="shared" si="11"/>
        <v>2081.06</v>
      </c>
      <c r="L144" s="56"/>
    </row>
    <row r="145" ht="20" customHeight="1" spans="2:12">
      <c r="B145" s="42"/>
      <c r="C145" s="42"/>
      <c r="D145" s="42"/>
      <c r="E145" s="42"/>
      <c r="F145" s="54"/>
      <c r="G145" s="56"/>
      <c r="H145" s="56"/>
      <c r="I145" s="56">
        <f t="shared" si="10"/>
        <v>0</v>
      </c>
      <c r="J145" s="56"/>
      <c r="K145" s="58">
        <f t="shared" si="11"/>
        <v>2081.06</v>
      </c>
      <c r="L145" s="56"/>
    </row>
    <row r="146" ht="20" customHeight="1" spans="2:12">
      <c r="B146" s="42"/>
      <c r="C146" s="42"/>
      <c r="D146" s="42"/>
      <c r="E146" s="42"/>
      <c r="F146" s="54"/>
      <c r="G146" s="56"/>
      <c r="H146" s="56"/>
      <c r="I146" s="56">
        <f t="shared" si="10"/>
        <v>0</v>
      </c>
      <c r="J146" s="56"/>
      <c r="K146" s="58">
        <f t="shared" si="11"/>
        <v>2081.06</v>
      </c>
      <c r="L146" s="56"/>
    </row>
    <row r="147" ht="20" customHeight="1" spans="2:12">
      <c r="B147" s="42"/>
      <c r="C147" s="42"/>
      <c r="D147" s="42"/>
      <c r="E147" s="42"/>
      <c r="F147" s="54"/>
      <c r="G147" s="56"/>
      <c r="H147" s="56"/>
      <c r="I147" s="56">
        <f t="shared" si="10"/>
        <v>0</v>
      </c>
      <c r="J147" s="56"/>
      <c r="K147" s="58">
        <f t="shared" si="11"/>
        <v>2081.06</v>
      </c>
      <c r="L147" s="56"/>
    </row>
    <row r="148" ht="20" customHeight="1" spans="2:12">
      <c r="B148" s="42"/>
      <c r="C148" s="42"/>
      <c r="D148" s="42"/>
      <c r="E148" s="42"/>
      <c r="F148" s="54"/>
      <c r="G148" s="56"/>
      <c r="H148" s="56"/>
      <c r="I148" s="56">
        <f t="shared" si="10"/>
        <v>0</v>
      </c>
      <c r="J148" s="56"/>
      <c r="K148" s="58">
        <f t="shared" si="11"/>
        <v>2081.06</v>
      </c>
      <c r="L148" s="56"/>
    </row>
    <row r="149" ht="20" customHeight="1" spans="2:12">
      <c r="B149" s="42"/>
      <c r="C149" s="42"/>
      <c r="D149" s="42"/>
      <c r="E149" s="42"/>
      <c r="F149" s="54"/>
      <c r="G149" s="56"/>
      <c r="H149" s="56"/>
      <c r="I149" s="56">
        <f t="shared" si="10"/>
        <v>0</v>
      </c>
      <c r="J149" s="56"/>
      <c r="K149" s="58">
        <f t="shared" si="11"/>
        <v>2081.06</v>
      </c>
      <c r="L149" s="56"/>
    </row>
    <row r="150" ht="20" customHeight="1" spans="2:12">
      <c r="B150" s="42"/>
      <c r="C150" s="42"/>
      <c r="D150" s="42"/>
      <c r="E150" s="42"/>
      <c r="F150" s="54"/>
      <c r="G150" s="56"/>
      <c r="H150" s="56"/>
      <c r="I150" s="56">
        <f t="shared" si="10"/>
        <v>0</v>
      </c>
      <c r="J150" s="56"/>
      <c r="K150" s="58">
        <f t="shared" si="11"/>
        <v>2081.06</v>
      </c>
      <c r="L150" s="56"/>
    </row>
    <row r="151" ht="20" customHeight="1" spans="2:12">
      <c r="B151" s="42"/>
      <c r="C151" s="42"/>
      <c r="D151" s="42"/>
      <c r="E151" s="42"/>
      <c r="F151" s="54"/>
      <c r="G151" s="56"/>
      <c r="H151" s="56"/>
      <c r="I151" s="56">
        <f t="shared" si="10"/>
        <v>0</v>
      </c>
      <c r="J151" s="56"/>
      <c r="K151" s="58">
        <f t="shared" si="11"/>
        <v>2081.06</v>
      </c>
      <c r="L151" s="56"/>
    </row>
    <row r="152" ht="20" customHeight="1" spans="2:12">
      <c r="B152" s="42"/>
      <c r="C152" s="42"/>
      <c r="D152" s="42"/>
      <c r="E152" s="42"/>
      <c r="F152" s="54"/>
      <c r="G152" s="56"/>
      <c r="H152" s="56"/>
      <c r="I152" s="56">
        <f t="shared" si="10"/>
        <v>0</v>
      </c>
      <c r="J152" s="56"/>
      <c r="K152" s="58">
        <f t="shared" si="11"/>
        <v>2081.06</v>
      </c>
      <c r="L152" s="56"/>
    </row>
    <row r="153" ht="20" customHeight="1" spans="2:12">
      <c r="B153" s="42"/>
      <c r="C153" s="42"/>
      <c r="D153" s="42"/>
      <c r="E153" s="42"/>
      <c r="F153" s="54"/>
      <c r="G153" s="56"/>
      <c r="H153" s="56"/>
      <c r="I153" s="56">
        <f t="shared" si="10"/>
        <v>0</v>
      </c>
      <c r="J153" s="56"/>
      <c r="K153" s="58">
        <f t="shared" si="11"/>
        <v>2081.06</v>
      </c>
      <c r="L153" s="56"/>
    </row>
    <row r="154" ht="20" customHeight="1" spans="2:12">
      <c r="B154" s="42"/>
      <c r="C154" s="42"/>
      <c r="D154" s="42"/>
      <c r="E154" s="42"/>
      <c r="F154" s="54"/>
      <c r="G154" s="56"/>
      <c r="H154" s="56"/>
      <c r="I154" s="56">
        <f t="shared" si="10"/>
        <v>0</v>
      </c>
      <c r="J154" s="56"/>
      <c r="K154" s="58">
        <f t="shared" si="11"/>
        <v>2081.06</v>
      </c>
      <c r="L154" s="56"/>
    </row>
    <row r="155" ht="20" customHeight="1" spans="2:12">
      <c r="B155" s="42"/>
      <c r="C155" s="42"/>
      <c r="D155" s="42"/>
      <c r="E155" s="42"/>
      <c r="F155" s="54"/>
      <c r="G155" s="56"/>
      <c r="H155" s="56"/>
      <c r="I155" s="56">
        <f t="shared" si="10"/>
        <v>0</v>
      </c>
      <c r="J155" s="56"/>
      <c r="K155" s="58">
        <f t="shared" si="11"/>
        <v>2081.06</v>
      </c>
      <c r="L155" s="56"/>
    </row>
    <row r="156" ht="20" customHeight="1" spans="2:12">
      <c r="B156" s="42"/>
      <c r="C156" s="42"/>
      <c r="D156" s="42"/>
      <c r="E156" s="42"/>
      <c r="F156" s="54"/>
      <c r="G156" s="56"/>
      <c r="H156" s="56"/>
      <c r="I156" s="56">
        <f t="shared" si="10"/>
        <v>0</v>
      </c>
      <c r="J156" s="56"/>
      <c r="K156" s="58">
        <f t="shared" si="11"/>
        <v>2081.06</v>
      </c>
      <c r="L156" s="56"/>
    </row>
    <row r="157" ht="20" customHeight="1" spans="2:12">
      <c r="B157" s="42"/>
      <c r="C157" s="42"/>
      <c r="D157" s="42"/>
      <c r="E157" s="42"/>
      <c r="F157" s="54"/>
      <c r="G157" s="56"/>
      <c r="H157" s="56"/>
      <c r="I157" s="56">
        <f t="shared" si="10"/>
        <v>0</v>
      </c>
      <c r="J157" s="56"/>
      <c r="K157" s="58">
        <f t="shared" si="11"/>
        <v>2081.06</v>
      </c>
      <c r="L157" s="56"/>
    </row>
    <row r="158" ht="20" customHeight="1" spans="2:12">
      <c r="B158" s="42"/>
      <c r="C158" s="42"/>
      <c r="D158" s="42"/>
      <c r="E158" s="42"/>
      <c r="F158" s="54"/>
      <c r="G158" s="56"/>
      <c r="H158" s="56"/>
      <c r="I158" s="56">
        <f t="shared" si="10"/>
        <v>0</v>
      </c>
      <c r="J158" s="56"/>
      <c r="K158" s="58">
        <f t="shared" si="11"/>
        <v>2081.06</v>
      </c>
      <c r="L158" s="56"/>
    </row>
    <row r="159" ht="20" customHeight="1" spans="2:12">
      <c r="B159" s="42"/>
      <c r="C159" s="42"/>
      <c r="D159" s="42"/>
      <c r="E159" s="42"/>
      <c r="F159" s="54"/>
      <c r="G159" s="56"/>
      <c r="H159" s="56"/>
      <c r="I159" s="56">
        <f t="shared" si="10"/>
        <v>0</v>
      </c>
      <c r="J159" s="56"/>
      <c r="K159" s="58">
        <f t="shared" si="11"/>
        <v>2081.06</v>
      </c>
      <c r="L159" s="56"/>
    </row>
    <row r="160" ht="20" customHeight="1" spans="2:12">
      <c r="B160" s="42"/>
      <c r="C160" s="42"/>
      <c r="D160" s="42"/>
      <c r="E160" s="42"/>
      <c r="F160" s="54"/>
      <c r="G160" s="56"/>
      <c r="H160" s="56"/>
      <c r="I160" s="56">
        <f t="shared" si="10"/>
        <v>0</v>
      </c>
      <c r="J160" s="56"/>
      <c r="K160" s="58">
        <f t="shared" si="11"/>
        <v>2081.06</v>
      </c>
      <c r="L160" s="56"/>
    </row>
    <row r="161" ht="20" customHeight="1" spans="2:12">
      <c r="B161" s="42"/>
      <c r="C161" s="42"/>
      <c r="D161" s="42"/>
      <c r="E161" s="42"/>
      <c r="F161" s="54"/>
      <c r="G161" s="56"/>
      <c r="H161" s="56"/>
      <c r="I161" s="56">
        <f t="shared" si="10"/>
        <v>0</v>
      </c>
      <c r="J161" s="56"/>
      <c r="K161" s="58">
        <f t="shared" si="11"/>
        <v>2081.06</v>
      </c>
      <c r="L161" s="56"/>
    </row>
    <row r="162" ht="20" customHeight="1" spans="2:12">
      <c r="B162" s="42"/>
      <c r="C162" s="42"/>
      <c r="D162" s="42"/>
      <c r="E162" s="42"/>
      <c r="F162" s="54"/>
      <c r="G162" s="56"/>
      <c r="H162" s="56"/>
      <c r="I162" s="56">
        <f t="shared" si="10"/>
        <v>0</v>
      </c>
      <c r="J162" s="56"/>
      <c r="K162" s="58">
        <f t="shared" si="11"/>
        <v>2081.06</v>
      </c>
      <c r="L162" s="56"/>
    </row>
    <row r="163" ht="20" customHeight="1" spans="2:12">
      <c r="B163" s="42"/>
      <c r="C163" s="42"/>
      <c r="D163" s="42"/>
      <c r="E163" s="42"/>
      <c r="F163" s="54"/>
      <c r="G163" s="56"/>
      <c r="H163" s="56"/>
      <c r="I163" s="56">
        <f t="shared" si="10"/>
        <v>0</v>
      </c>
      <c r="J163" s="56"/>
      <c r="K163" s="58">
        <f t="shared" si="11"/>
        <v>2081.06</v>
      </c>
      <c r="L163" s="56"/>
    </row>
    <row r="164" ht="20" customHeight="1" spans="2:12">
      <c r="B164" s="42"/>
      <c r="C164" s="42"/>
      <c r="D164" s="42"/>
      <c r="E164" s="42"/>
      <c r="F164" s="54"/>
      <c r="G164" s="56"/>
      <c r="H164" s="56"/>
      <c r="I164" s="56">
        <f t="shared" si="10"/>
        <v>0</v>
      </c>
      <c r="J164" s="56"/>
      <c r="K164" s="58">
        <f t="shared" si="11"/>
        <v>2081.06</v>
      </c>
      <c r="L164" s="56"/>
    </row>
    <row r="165" ht="20" customHeight="1" spans="2:12">
      <c r="B165" s="42"/>
      <c r="C165" s="42"/>
      <c r="D165" s="42"/>
      <c r="E165" s="42"/>
      <c r="F165" s="54"/>
      <c r="G165" s="56"/>
      <c r="H165" s="56"/>
      <c r="I165" s="56">
        <f t="shared" si="10"/>
        <v>0</v>
      </c>
      <c r="J165" s="56"/>
      <c r="K165" s="58">
        <f t="shared" si="11"/>
        <v>2081.06</v>
      </c>
      <c r="L165" s="56"/>
    </row>
    <row r="166" ht="20" customHeight="1" spans="2:12">
      <c r="B166" s="42"/>
      <c r="C166" s="42"/>
      <c r="D166" s="42"/>
      <c r="E166" s="42"/>
      <c r="F166" s="54"/>
      <c r="G166" s="56"/>
      <c r="H166" s="56"/>
      <c r="I166" s="56">
        <f t="shared" si="10"/>
        <v>0</v>
      </c>
      <c r="J166" s="56"/>
      <c r="K166" s="58">
        <f t="shared" si="11"/>
        <v>2081.06</v>
      </c>
      <c r="L166" s="56"/>
    </row>
    <row r="167" ht="20" customHeight="1" spans="2:12">
      <c r="B167" s="42"/>
      <c r="C167" s="42"/>
      <c r="D167" s="42"/>
      <c r="E167" s="42"/>
      <c r="F167" s="54"/>
      <c r="G167" s="56"/>
      <c r="H167" s="56"/>
      <c r="I167" s="56">
        <f t="shared" si="10"/>
        <v>0</v>
      </c>
      <c r="J167" s="56"/>
      <c r="K167" s="58">
        <f t="shared" si="11"/>
        <v>2081.06</v>
      </c>
      <c r="L167" s="56"/>
    </row>
    <row r="168" ht="20" customHeight="1" spans="2:12">
      <c r="B168" s="42"/>
      <c r="C168" s="42"/>
      <c r="D168" s="42"/>
      <c r="E168" s="42"/>
      <c r="F168" s="54"/>
      <c r="G168" s="56"/>
      <c r="H168" s="56"/>
      <c r="I168" s="56">
        <f t="shared" si="10"/>
        <v>0</v>
      </c>
      <c r="J168" s="56"/>
      <c r="K168" s="58">
        <f t="shared" si="11"/>
        <v>2081.06</v>
      </c>
      <c r="L168" s="56"/>
    </row>
    <row r="169" ht="20" customHeight="1" spans="2:12">
      <c r="B169" s="42"/>
      <c r="C169" s="42"/>
      <c r="D169" s="42"/>
      <c r="E169" s="42"/>
      <c r="F169" s="54"/>
      <c r="G169" s="56"/>
      <c r="H169" s="56"/>
      <c r="I169" s="56">
        <f t="shared" ref="I169:I199" si="12">G169-H169</f>
        <v>0</v>
      </c>
      <c r="J169" s="56"/>
      <c r="K169" s="58">
        <f t="shared" ref="K169:K199" si="13">K168+I169-J169</f>
        <v>2081.06</v>
      </c>
      <c r="L169" s="56"/>
    </row>
    <row r="170" ht="20" customHeight="1" spans="2:12">
      <c r="B170" s="42"/>
      <c r="C170" s="42"/>
      <c r="D170" s="42"/>
      <c r="E170" s="42"/>
      <c r="F170" s="54"/>
      <c r="G170" s="56"/>
      <c r="H170" s="56"/>
      <c r="I170" s="56">
        <f t="shared" si="12"/>
        <v>0</v>
      </c>
      <c r="J170" s="56"/>
      <c r="K170" s="58">
        <f t="shared" si="13"/>
        <v>2081.06</v>
      </c>
      <c r="L170" s="56"/>
    </row>
    <row r="171" ht="20" customHeight="1" spans="2:12">
      <c r="B171" s="42"/>
      <c r="C171" s="42"/>
      <c r="D171" s="42"/>
      <c r="E171" s="42"/>
      <c r="F171" s="54"/>
      <c r="G171" s="56"/>
      <c r="H171" s="56"/>
      <c r="I171" s="56">
        <f t="shared" si="12"/>
        <v>0</v>
      </c>
      <c r="J171" s="56"/>
      <c r="K171" s="58">
        <f t="shared" si="13"/>
        <v>2081.06</v>
      </c>
      <c r="L171" s="56"/>
    </row>
    <row r="172" ht="20" customHeight="1" spans="2:12">
      <c r="B172" s="42"/>
      <c r="C172" s="42"/>
      <c r="D172" s="42"/>
      <c r="E172" s="42"/>
      <c r="F172" s="54"/>
      <c r="G172" s="56"/>
      <c r="H172" s="56"/>
      <c r="I172" s="56">
        <f t="shared" si="12"/>
        <v>0</v>
      </c>
      <c r="J172" s="56"/>
      <c r="K172" s="58">
        <f t="shared" si="13"/>
        <v>2081.06</v>
      </c>
      <c r="L172" s="56"/>
    </row>
    <row r="173" ht="20" customHeight="1" spans="2:12">
      <c r="B173" s="42"/>
      <c r="C173" s="42"/>
      <c r="D173" s="42"/>
      <c r="E173" s="42"/>
      <c r="F173" s="54"/>
      <c r="G173" s="56"/>
      <c r="H173" s="56"/>
      <c r="I173" s="56">
        <f t="shared" si="12"/>
        <v>0</v>
      </c>
      <c r="J173" s="56"/>
      <c r="K173" s="58">
        <f t="shared" si="13"/>
        <v>2081.06</v>
      </c>
      <c r="L173" s="56"/>
    </row>
    <row r="174" ht="20" customHeight="1" spans="2:12">
      <c r="B174" s="42"/>
      <c r="C174" s="42"/>
      <c r="D174" s="42"/>
      <c r="E174" s="42"/>
      <c r="F174" s="54"/>
      <c r="G174" s="56"/>
      <c r="H174" s="56"/>
      <c r="I174" s="56">
        <f t="shared" si="12"/>
        <v>0</v>
      </c>
      <c r="J174" s="56"/>
      <c r="K174" s="58">
        <f t="shared" si="13"/>
        <v>2081.06</v>
      </c>
      <c r="L174" s="56"/>
    </row>
    <row r="175" ht="20" customHeight="1" spans="2:12">
      <c r="B175" s="42"/>
      <c r="C175" s="42"/>
      <c r="D175" s="42"/>
      <c r="E175" s="42"/>
      <c r="F175" s="54"/>
      <c r="G175" s="56"/>
      <c r="H175" s="56"/>
      <c r="I175" s="56">
        <f t="shared" si="12"/>
        <v>0</v>
      </c>
      <c r="J175" s="56"/>
      <c r="K175" s="58">
        <f t="shared" si="13"/>
        <v>2081.06</v>
      </c>
      <c r="L175" s="56"/>
    </row>
    <row r="176" ht="20" customHeight="1" spans="2:12">
      <c r="B176" s="42"/>
      <c r="C176" s="42"/>
      <c r="D176" s="42"/>
      <c r="E176" s="42"/>
      <c r="F176" s="54"/>
      <c r="G176" s="56"/>
      <c r="H176" s="56"/>
      <c r="I176" s="56">
        <f t="shared" si="12"/>
        <v>0</v>
      </c>
      <c r="J176" s="56"/>
      <c r="K176" s="58">
        <f t="shared" si="13"/>
        <v>2081.06</v>
      </c>
      <c r="L176" s="56"/>
    </row>
    <row r="177" ht="20" customHeight="1" spans="2:12">
      <c r="B177" s="42"/>
      <c r="C177" s="42"/>
      <c r="D177" s="42"/>
      <c r="E177" s="42"/>
      <c r="F177" s="54"/>
      <c r="G177" s="56"/>
      <c r="H177" s="56"/>
      <c r="I177" s="56">
        <f t="shared" si="12"/>
        <v>0</v>
      </c>
      <c r="J177" s="56"/>
      <c r="K177" s="58">
        <f t="shared" si="13"/>
        <v>2081.06</v>
      </c>
      <c r="L177" s="56"/>
    </row>
    <row r="178" ht="20" customHeight="1" spans="2:12">
      <c r="B178" s="42"/>
      <c r="C178" s="42"/>
      <c r="D178" s="42"/>
      <c r="E178" s="42"/>
      <c r="F178" s="54"/>
      <c r="G178" s="56"/>
      <c r="H178" s="56"/>
      <c r="I178" s="56">
        <f t="shared" si="12"/>
        <v>0</v>
      </c>
      <c r="J178" s="56"/>
      <c r="K178" s="58">
        <f t="shared" si="13"/>
        <v>2081.06</v>
      </c>
      <c r="L178" s="56"/>
    </row>
    <row r="179" ht="20" customHeight="1" spans="2:12">
      <c r="B179" s="42"/>
      <c r="C179" s="42"/>
      <c r="D179" s="42"/>
      <c r="E179" s="42"/>
      <c r="F179" s="54"/>
      <c r="G179" s="56"/>
      <c r="H179" s="56"/>
      <c r="I179" s="56">
        <f t="shared" si="12"/>
        <v>0</v>
      </c>
      <c r="J179" s="56"/>
      <c r="K179" s="58">
        <f t="shared" si="13"/>
        <v>2081.06</v>
      </c>
      <c r="L179" s="56"/>
    </row>
    <row r="180" ht="20" customHeight="1" spans="2:12">
      <c r="B180" s="42"/>
      <c r="C180" s="42"/>
      <c r="D180" s="42"/>
      <c r="E180" s="42"/>
      <c r="F180" s="54"/>
      <c r="G180" s="56"/>
      <c r="H180" s="56"/>
      <c r="I180" s="56">
        <f t="shared" si="12"/>
        <v>0</v>
      </c>
      <c r="J180" s="56"/>
      <c r="K180" s="58">
        <f t="shared" si="13"/>
        <v>2081.06</v>
      </c>
      <c r="L180" s="56"/>
    </row>
    <row r="181" ht="20" customHeight="1" spans="2:12">
      <c r="B181" s="42"/>
      <c r="C181" s="42"/>
      <c r="D181" s="42"/>
      <c r="E181" s="42"/>
      <c r="F181" s="54"/>
      <c r="G181" s="56"/>
      <c r="H181" s="56"/>
      <c r="I181" s="56">
        <f t="shared" si="12"/>
        <v>0</v>
      </c>
      <c r="J181" s="56"/>
      <c r="K181" s="58">
        <f t="shared" si="13"/>
        <v>2081.06</v>
      </c>
      <c r="L181" s="56"/>
    </row>
    <row r="182" ht="20" customHeight="1" spans="2:12">
      <c r="B182" s="42"/>
      <c r="C182" s="42"/>
      <c r="D182" s="42"/>
      <c r="E182" s="42"/>
      <c r="F182" s="54"/>
      <c r="G182" s="56"/>
      <c r="H182" s="56"/>
      <c r="I182" s="56">
        <f t="shared" si="12"/>
        <v>0</v>
      </c>
      <c r="J182" s="56"/>
      <c r="K182" s="58">
        <f t="shared" si="13"/>
        <v>2081.06</v>
      </c>
      <c r="L182" s="56"/>
    </row>
    <row r="183" ht="20" customHeight="1" spans="2:12">
      <c r="B183" s="42"/>
      <c r="C183" s="42"/>
      <c r="D183" s="42"/>
      <c r="E183" s="42"/>
      <c r="F183" s="54"/>
      <c r="G183" s="56"/>
      <c r="H183" s="56"/>
      <c r="I183" s="56">
        <f t="shared" si="12"/>
        <v>0</v>
      </c>
      <c r="J183" s="56"/>
      <c r="K183" s="58">
        <f t="shared" si="13"/>
        <v>2081.06</v>
      </c>
      <c r="L183" s="56"/>
    </row>
    <row r="184" ht="20" customHeight="1" spans="2:12">
      <c r="B184" s="42"/>
      <c r="C184" s="42"/>
      <c r="D184" s="42"/>
      <c r="E184" s="42"/>
      <c r="F184" s="54"/>
      <c r="G184" s="56"/>
      <c r="H184" s="56"/>
      <c r="I184" s="56">
        <f t="shared" si="12"/>
        <v>0</v>
      </c>
      <c r="J184" s="56"/>
      <c r="K184" s="58">
        <f t="shared" si="13"/>
        <v>2081.06</v>
      </c>
      <c r="L184" s="56"/>
    </row>
    <row r="185" ht="20" customHeight="1" spans="2:12">
      <c r="B185" s="42"/>
      <c r="C185" s="42"/>
      <c r="D185" s="42"/>
      <c r="E185" s="42"/>
      <c r="F185" s="54"/>
      <c r="G185" s="56"/>
      <c r="H185" s="56"/>
      <c r="I185" s="56">
        <f t="shared" si="12"/>
        <v>0</v>
      </c>
      <c r="J185" s="56"/>
      <c r="K185" s="58">
        <f t="shared" si="13"/>
        <v>2081.06</v>
      </c>
      <c r="L185" s="56"/>
    </row>
    <row r="186" ht="20" customHeight="1" spans="2:12">
      <c r="B186" s="42"/>
      <c r="C186" s="42"/>
      <c r="D186" s="42"/>
      <c r="E186" s="42"/>
      <c r="F186" s="54"/>
      <c r="G186" s="56"/>
      <c r="H186" s="56"/>
      <c r="I186" s="56">
        <f t="shared" si="12"/>
        <v>0</v>
      </c>
      <c r="J186" s="56"/>
      <c r="K186" s="58">
        <f t="shared" si="13"/>
        <v>2081.06</v>
      </c>
      <c r="L186" s="56"/>
    </row>
    <row r="187" ht="20" customHeight="1" spans="2:12">
      <c r="B187" s="42"/>
      <c r="C187" s="42"/>
      <c r="D187" s="42"/>
      <c r="E187" s="42"/>
      <c r="F187" s="54"/>
      <c r="G187" s="56"/>
      <c r="H187" s="56"/>
      <c r="I187" s="56">
        <f t="shared" si="12"/>
        <v>0</v>
      </c>
      <c r="J187" s="56"/>
      <c r="K187" s="58">
        <f t="shared" si="13"/>
        <v>2081.06</v>
      </c>
      <c r="L187" s="56"/>
    </row>
    <row r="188" ht="20" customHeight="1" spans="2:12">
      <c r="B188" s="42"/>
      <c r="C188" s="42"/>
      <c r="D188" s="42"/>
      <c r="E188" s="42"/>
      <c r="F188" s="54"/>
      <c r="G188" s="56"/>
      <c r="H188" s="56"/>
      <c r="I188" s="56">
        <f t="shared" si="12"/>
        <v>0</v>
      </c>
      <c r="J188" s="56"/>
      <c r="K188" s="58">
        <f t="shared" si="13"/>
        <v>2081.06</v>
      </c>
      <c r="L188" s="56"/>
    </row>
    <row r="189" ht="20" customHeight="1" spans="2:12">
      <c r="B189" s="42"/>
      <c r="C189" s="42"/>
      <c r="D189" s="42"/>
      <c r="E189" s="42"/>
      <c r="F189" s="54"/>
      <c r="G189" s="56"/>
      <c r="H189" s="56"/>
      <c r="I189" s="56">
        <f t="shared" si="12"/>
        <v>0</v>
      </c>
      <c r="J189" s="56"/>
      <c r="K189" s="58">
        <f t="shared" si="13"/>
        <v>2081.06</v>
      </c>
      <c r="L189" s="56"/>
    </row>
    <row r="190" ht="20" customHeight="1" spans="2:12">
      <c r="B190" s="42"/>
      <c r="C190" s="42"/>
      <c r="D190" s="42"/>
      <c r="E190" s="42"/>
      <c r="F190" s="54"/>
      <c r="G190" s="56"/>
      <c r="H190" s="56"/>
      <c r="I190" s="56">
        <f t="shared" si="12"/>
        <v>0</v>
      </c>
      <c r="J190" s="56"/>
      <c r="K190" s="58">
        <f t="shared" si="13"/>
        <v>2081.06</v>
      </c>
      <c r="L190" s="56"/>
    </row>
    <row r="191" ht="20" customHeight="1" spans="2:12">
      <c r="B191" s="42"/>
      <c r="C191" s="42"/>
      <c r="D191" s="42"/>
      <c r="E191" s="42"/>
      <c r="F191" s="54"/>
      <c r="G191" s="56"/>
      <c r="H191" s="56"/>
      <c r="I191" s="56">
        <f t="shared" si="12"/>
        <v>0</v>
      </c>
      <c r="J191" s="56"/>
      <c r="K191" s="58">
        <f t="shared" si="13"/>
        <v>2081.06</v>
      </c>
      <c r="L191" s="56"/>
    </row>
    <row r="192" ht="20" customHeight="1" spans="2:12">
      <c r="B192" s="42"/>
      <c r="C192" s="42"/>
      <c r="D192" s="42"/>
      <c r="E192" s="42"/>
      <c r="F192" s="54"/>
      <c r="G192" s="56"/>
      <c r="H192" s="56"/>
      <c r="I192" s="56">
        <f t="shared" si="12"/>
        <v>0</v>
      </c>
      <c r="J192" s="56"/>
      <c r="K192" s="58">
        <f t="shared" si="13"/>
        <v>2081.06</v>
      </c>
      <c r="L192" s="56"/>
    </row>
    <row r="193" ht="20" customHeight="1" spans="2:12">
      <c r="B193" s="42"/>
      <c r="C193" s="42"/>
      <c r="D193" s="42"/>
      <c r="E193" s="42"/>
      <c r="F193" s="54"/>
      <c r="G193" s="56"/>
      <c r="H193" s="56"/>
      <c r="I193" s="56">
        <f t="shared" si="12"/>
        <v>0</v>
      </c>
      <c r="J193" s="56"/>
      <c r="K193" s="58">
        <f t="shared" si="13"/>
        <v>2081.06</v>
      </c>
      <c r="L193" s="56"/>
    </row>
    <row r="194" ht="20" customHeight="1" spans="2:12">
      <c r="B194" s="42"/>
      <c r="C194" s="42"/>
      <c r="D194" s="42"/>
      <c r="E194" s="42"/>
      <c r="F194" s="54"/>
      <c r="G194" s="56"/>
      <c r="H194" s="56"/>
      <c r="I194" s="56">
        <f t="shared" si="12"/>
        <v>0</v>
      </c>
      <c r="J194" s="56"/>
      <c r="K194" s="58">
        <f t="shared" si="13"/>
        <v>2081.06</v>
      </c>
      <c r="L194" s="56"/>
    </row>
    <row r="195" ht="20" customHeight="1" spans="2:12">
      <c r="B195" s="42"/>
      <c r="C195" s="42"/>
      <c r="D195" s="42"/>
      <c r="E195" s="42"/>
      <c r="F195" s="54"/>
      <c r="G195" s="56"/>
      <c r="H195" s="56"/>
      <c r="I195" s="56">
        <f t="shared" si="12"/>
        <v>0</v>
      </c>
      <c r="J195" s="56"/>
      <c r="K195" s="58">
        <f t="shared" si="13"/>
        <v>2081.06</v>
      </c>
      <c r="L195" s="56"/>
    </row>
    <row r="196" ht="20" customHeight="1" spans="2:12">
      <c r="B196" s="42"/>
      <c r="C196" s="42"/>
      <c r="D196" s="42"/>
      <c r="E196" s="42"/>
      <c r="F196" s="54"/>
      <c r="G196" s="56"/>
      <c r="H196" s="56"/>
      <c r="I196" s="56">
        <f t="shared" si="12"/>
        <v>0</v>
      </c>
      <c r="J196" s="56"/>
      <c r="K196" s="58">
        <f t="shared" si="13"/>
        <v>2081.06</v>
      </c>
      <c r="L196" s="56"/>
    </row>
    <row r="197" ht="20" customHeight="1" spans="2:12">
      <c r="B197" s="42"/>
      <c r="C197" s="42"/>
      <c r="D197" s="42"/>
      <c r="E197" s="42"/>
      <c r="F197" s="54"/>
      <c r="G197" s="56"/>
      <c r="H197" s="56"/>
      <c r="I197" s="56">
        <f t="shared" si="12"/>
        <v>0</v>
      </c>
      <c r="J197" s="56"/>
      <c r="K197" s="58">
        <f t="shared" si="13"/>
        <v>2081.06</v>
      </c>
      <c r="L197" s="56"/>
    </row>
    <row r="198" ht="20" customHeight="1" spans="2:12">
      <c r="B198" s="42"/>
      <c r="C198" s="42"/>
      <c r="D198" s="42"/>
      <c r="E198" s="42"/>
      <c r="F198" s="54"/>
      <c r="G198" s="56"/>
      <c r="H198" s="56"/>
      <c r="I198" s="56">
        <f t="shared" si="12"/>
        <v>0</v>
      </c>
      <c r="J198" s="56"/>
      <c r="K198" s="58">
        <f t="shared" si="13"/>
        <v>2081.06</v>
      </c>
      <c r="L198" s="56"/>
    </row>
    <row r="199" ht="20" customHeight="1" spans="2:12">
      <c r="B199" s="42"/>
      <c r="C199" s="42"/>
      <c r="D199" s="42"/>
      <c r="E199" s="42"/>
      <c r="F199" s="54"/>
      <c r="G199" s="56"/>
      <c r="H199" s="56"/>
      <c r="I199" s="56">
        <f t="shared" si="12"/>
        <v>0</v>
      </c>
      <c r="J199" s="56"/>
      <c r="K199" s="58">
        <f t="shared" si="13"/>
        <v>2081.06</v>
      </c>
      <c r="L199" s="56"/>
    </row>
  </sheetData>
  <mergeCells count="1">
    <mergeCell ref="B1:L1"/>
  </mergeCells>
  <dataValidations count="1">
    <dataValidation type="list" allowBlank="1" showInputMessage="1" showErrorMessage="1" sqref="D4:D199">
      <formula1>付费项!$B$2:$B$77</formula1>
    </dataValidation>
  </dataValidation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P192"/>
  <sheetViews>
    <sheetView topLeftCell="A162" workbookViewId="0">
      <selection activeCell="F185" sqref="F185"/>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31.2666666666667" style="3" customWidth="1"/>
    <col min="11" max="12" width="9.26666666666667" style="3" customWidth="1"/>
    <col min="13" max="16384" width="9" style="3"/>
  </cols>
  <sheetData>
    <row r="1" ht="24.75" spans="1:16">
      <c r="A1" s="46" t="str">
        <f>HYPERLINK("#目录!a1","返回目录")</f>
        <v>返回目录</v>
      </c>
      <c r="B1" s="47" t="s">
        <v>2094</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13823.47</v>
      </c>
      <c r="J4" s="56"/>
    </row>
    <row r="5" ht="20" customHeight="1" spans="1:16">
      <c r="B5" s="42">
        <v>1</v>
      </c>
      <c r="C5" s="42">
        <v>11</v>
      </c>
      <c r="D5" s="42" t="s">
        <v>70</v>
      </c>
      <c r="E5" s="117" t="s">
        <v>2095</v>
      </c>
      <c r="F5" s="75" t="s">
        <v>2096</v>
      </c>
      <c r="G5" s="55">
        <v>1000</v>
      </c>
      <c r="H5" s="56"/>
      <c r="I5" s="58">
        <f t="shared" ref="I5:I15" si="0">I4+G5-H5</f>
        <v>14823.47</v>
      </c>
      <c r="J5" s="56"/>
    </row>
    <row r="6" ht="20" customHeight="1" spans="1:16">
      <c r="B6" s="42">
        <v>1</v>
      </c>
      <c r="C6" s="42">
        <v>18</v>
      </c>
      <c r="D6" s="42" t="s">
        <v>79</v>
      </c>
      <c r="E6" s="75" t="s">
        <v>2097</v>
      </c>
      <c r="F6" s="75" t="s">
        <v>2098</v>
      </c>
      <c r="G6" s="55">
        <v>1488.9</v>
      </c>
      <c r="H6" s="56"/>
      <c r="I6" s="58">
        <f t="shared" si="0"/>
        <v>16312.37</v>
      </c>
      <c r="J6" s="56"/>
    </row>
    <row r="7" ht="20" customHeight="1" spans="1:16">
      <c r="B7" s="42">
        <v>1</v>
      </c>
      <c r="C7" s="42">
        <v>18</v>
      </c>
      <c r="D7" s="42" t="s">
        <v>72</v>
      </c>
      <c r="E7" s="117" t="s">
        <v>2099</v>
      </c>
      <c r="F7" s="75" t="s">
        <v>2100</v>
      </c>
      <c r="G7" s="55">
        <v>2267.95</v>
      </c>
      <c r="H7" s="56"/>
      <c r="I7" s="58">
        <f t="shared" si="0"/>
        <v>18580.32</v>
      </c>
      <c r="J7" s="56"/>
    </row>
    <row r="8" ht="20" customHeight="1" spans="1:16">
      <c r="B8" s="42">
        <v>1</v>
      </c>
      <c r="C8" s="42">
        <v>18</v>
      </c>
      <c r="D8" s="42" t="s">
        <v>79</v>
      </c>
      <c r="E8" s="117" t="s">
        <v>2099</v>
      </c>
      <c r="F8" s="75" t="s">
        <v>2101</v>
      </c>
      <c r="G8" s="55">
        <v>1243.15</v>
      </c>
      <c r="H8" s="56"/>
      <c r="I8" s="58">
        <f t="shared" si="0"/>
        <v>19823.47</v>
      </c>
      <c r="J8" s="56"/>
    </row>
    <row r="9" ht="20" customHeight="1" spans="1:16">
      <c r="B9" s="42">
        <v>1</v>
      </c>
      <c r="C9" s="42">
        <v>19</v>
      </c>
      <c r="D9" s="42" t="s">
        <v>71</v>
      </c>
      <c r="E9" s="117" t="s">
        <v>178</v>
      </c>
      <c r="F9" s="75" t="s">
        <v>2102</v>
      </c>
      <c r="G9" s="55">
        <v>14650</v>
      </c>
      <c r="H9" s="56"/>
      <c r="I9" s="58">
        <f t="shared" si="0"/>
        <v>34473.47</v>
      </c>
      <c r="J9" s="56"/>
    </row>
    <row r="10" ht="20" customHeight="1" spans="1:16">
      <c r="B10" s="42">
        <v>1</v>
      </c>
      <c r="C10" s="42">
        <v>19</v>
      </c>
      <c r="D10" s="42" t="s">
        <v>16</v>
      </c>
      <c r="E10" s="117" t="s">
        <v>178</v>
      </c>
      <c r="F10" s="75" t="s">
        <v>2103</v>
      </c>
      <c r="G10" s="55"/>
      <c r="H10" s="56">
        <v>14.23</v>
      </c>
      <c r="I10" s="58">
        <f t="shared" si="0"/>
        <v>34459.24</v>
      </c>
      <c r="J10" s="56"/>
    </row>
    <row r="11" ht="20" customHeight="1" spans="1:16">
      <c r="B11" s="42">
        <v>1</v>
      </c>
      <c r="C11" s="42">
        <v>21</v>
      </c>
      <c r="D11" s="42" t="s">
        <v>120</v>
      </c>
      <c r="E11" s="117" t="s">
        <v>251</v>
      </c>
      <c r="F11" s="75" t="s">
        <v>2104</v>
      </c>
      <c r="G11" s="55"/>
      <c r="H11" s="55">
        <v>5819.39</v>
      </c>
      <c r="I11" s="58">
        <f t="shared" si="0"/>
        <v>28639.85</v>
      </c>
      <c r="J11" s="56"/>
    </row>
    <row r="12" ht="20" customHeight="1" spans="1:16">
      <c r="B12" s="42">
        <v>1</v>
      </c>
      <c r="C12" s="42">
        <v>21</v>
      </c>
      <c r="D12" s="42" t="s">
        <v>88</v>
      </c>
      <c r="E12" s="117" t="s">
        <v>2105</v>
      </c>
      <c r="F12" s="75" t="s">
        <v>2106</v>
      </c>
      <c r="G12" s="55">
        <v>20000</v>
      </c>
      <c r="H12" s="56"/>
      <c r="I12" s="58">
        <f t="shared" si="0"/>
        <v>48639.85</v>
      </c>
      <c r="J12" s="56"/>
    </row>
    <row r="13" ht="20" customHeight="1" spans="1:16">
      <c r="B13" s="42">
        <v>1</v>
      </c>
      <c r="C13" s="42">
        <v>22</v>
      </c>
      <c r="D13" s="42" t="s">
        <v>88</v>
      </c>
      <c r="E13" s="45" t="s">
        <v>2107</v>
      </c>
      <c r="F13" s="75" t="s">
        <v>2108</v>
      </c>
      <c r="G13" s="55">
        <v>66361.8</v>
      </c>
      <c r="H13" s="56"/>
      <c r="I13" s="58">
        <f t="shared" si="0"/>
        <v>115001.65</v>
      </c>
      <c r="J13" s="56"/>
    </row>
    <row r="14" ht="20" customHeight="1" spans="1:16">
      <c r="B14" s="42">
        <v>1</v>
      </c>
      <c r="C14" s="42">
        <v>27</v>
      </c>
      <c r="D14" s="42" t="s">
        <v>72</v>
      </c>
      <c r="E14" s="117" t="s">
        <v>2099</v>
      </c>
      <c r="F14" s="140" t="s">
        <v>2109</v>
      </c>
      <c r="G14" s="55">
        <v>1733.54</v>
      </c>
      <c r="H14" s="56"/>
      <c r="I14" s="58">
        <f t="shared" si="0"/>
        <v>116735.19</v>
      </c>
      <c r="J14" s="56"/>
      <c r="K14" s="141"/>
    </row>
    <row r="15" ht="20" customHeight="1" spans="1:16">
      <c r="B15" s="42">
        <v>1</v>
      </c>
      <c r="C15" s="42">
        <v>27</v>
      </c>
      <c r="D15" s="42" t="s">
        <v>79</v>
      </c>
      <c r="E15" s="117" t="s">
        <v>2099</v>
      </c>
      <c r="F15" s="75" t="s">
        <v>2110</v>
      </c>
      <c r="G15" s="55">
        <v>3266.46</v>
      </c>
      <c r="H15" s="56"/>
      <c r="I15" s="58">
        <f t="shared" si="0"/>
        <v>120001.65</v>
      </c>
      <c r="J15" s="142" t="s">
        <v>2111</v>
      </c>
    </row>
    <row r="16" ht="20" customHeight="1" spans="1:16">
      <c r="B16" s="68"/>
      <c r="C16" s="68"/>
      <c r="D16" s="68"/>
      <c r="E16" s="130"/>
      <c r="F16" s="70" t="s">
        <v>22</v>
      </c>
      <c r="G16" s="71">
        <f>SUM(G5:G15)</f>
        <v>112011.8</v>
      </c>
      <c r="H16" s="71">
        <f>SUM(H5:H15)</f>
        <v>5833.62</v>
      </c>
      <c r="I16" s="72">
        <f>I4+G16-H16</f>
        <v>120001.65</v>
      </c>
      <c r="J16" s="71"/>
    </row>
    <row r="17" ht="20" customHeight="1" spans="2:10">
      <c r="B17" s="42">
        <v>2</v>
      </c>
      <c r="C17" s="42">
        <v>1</v>
      </c>
      <c r="D17" s="74" t="s">
        <v>68</v>
      </c>
      <c r="E17" s="117" t="s">
        <v>2095</v>
      </c>
      <c r="F17" s="75" t="s">
        <v>2112</v>
      </c>
      <c r="G17" s="55">
        <v>4000</v>
      </c>
      <c r="H17" s="56"/>
      <c r="I17" s="58">
        <f t="shared" ref="I17:I38" si="1">I16+G17-H17</f>
        <v>124001.65</v>
      </c>
      <c r="J17" s="56"/>
    </row>
    <row r="18" ht="20" customHeight="1" spans="2:10">
      <c r="B18" s="42">
        <v>2</v>
      </c>
      <c r="C18" s="42">
        <v>1</v>
      </c>
      <c r="D18" s="42" t="s">
        <v>70</v>
      </c>
      <c r="E18" s="117" t="s">
        <v>2095</v>
      </c>
      <c r="F18" s="75" t="s">
        <v>2113</v>
      </c>
      <c r="G18" s="55">
        <v>2000</v>
      </c>
      <c r="H18" s="56"/>
      <c r="I18" s="58">
        <f t="shared" si="1"/>
        <v>126001.65</v>
      </c>
      <c r="J18" s="56"/>
    </row>
    <row r="19" ht="20" customHeight="1" spans="2:10">
      <c r="B19" s="42">
        <v>2</v>
      </c>
      <c r="C19" s="42">
        <v>1</v>
      </c>
      <c r="D19" s="42" t="s">
        <v>70</v>
      </c>
      <c r="E19" s="117" t="s">
        <v>2095</v>
      </c>
      <c r="F19" s="75" t="s">
        <v>2114</v>
      </c>
      <c r="G19" s="55">
        <v>1000</v>
      </c>
      <c r="H19" s="56"/>
      <c r="I19" s="58">
        <f t="shared" si="1"/>
        <v>127001.65</v>
      </c>
      <c r="J19" s="56"/>
    </row>
    <row r="20" ht="20" customHeight="1" spans="2:10">
      <c r="B20" s="42">
        <v>2</v>
      </c>
      <c r="C20" s="42">
        <v>2</v>
      </c>
      <c r="D20" s="42" t="s">
        <v>86</v>
      </c>
      <c r="E20" s="44" t="s">
        <v>2115</v>
      </c>
      <c r="F20" s="45" t="s">
        <v>2116</v>
      </c>
      <c r="G20" s="56">
        <v>150000</v>
      </c>
      <c r="H20" s="56"/>
      <c r="I20" s="58">
        <f t="shared" si="1"/>
        <v>277001.65</v>
      </c>
      <c r="J20" s="59" t="s">
        <v>763</v>
      </c>
    </row>
    <row r="21" ht="20" customHeight="1" spans="2:10">
      <c r="B21" s="42">
        <v>2</v>
      </c>
      <c r="C21" s="42">
        <v>4</v>
      </c>
      <c r="D21" s="42" t="s">
        <v>86</v>
      </c>
      <c r="E21" s="44" t="s">
        <v>2115</v>
      </c>
      <c r="F21" s="45" t="s">
        <v>2116</v>
      </c>
      <c r="G21" s="56">
        <v>100000</v>
      </c>
      <c r="H21" s="56"/>
      <c r="I21" s="58">
        <f t="shared" si="1"/>
        <v>377001.65</v>
      </c>
      <c r="J21" s="59" t="s">
        <v>763</v>
      </c>
    </row>
    <row r="22" ht="20" customHeight="1" spans="2:10">
      <c r="B22" s="42">
        <v>2</v>
      </c>
      <c r="C22" s="42">
        <v>4</v>
      </c>
      <c r="D22" s="74" t="s">
        <v>69</v>
      </c>
      <c r="E22" s="44" t="s">
        <v>1807</v>
      </c>
      <c r="F22" s="75" t="s">
        <v>2117</v>
      </c>
      <c r="G22" s="55"/>
      <c r="H22" s="108">
        <v>50000</v>
      </c>
      <c r="I22" s="58">
        <f t="shared" si="1"/>
        <v>327001.65</v>
      </c>
      <c r="J22" s="59"/>
    </row>
    <row r="23" ht="20" customHeight="1" spans="2:10">
      <c r="B23" s="42">
        <v>2</v>
      </c>
      <c r="C23" s="42">
        <v>9</v>
      </c>
      <c r="D23" s="74" t="s">
        <v>69</v>
      </c>
      <c r="E23" s="44" t="s">
        <v>2118</v>
      </c>
      <c r="F23" s="75" t="s">
        <v>2119</v>
      </c>
      <c r="G23" s="55"/>
      <c r="H23" s="108">
        <v>5225</v>
      </c>
      <c r="I23" s="58">
        <f t="shared" si="1"/>
        <v>321776.65</v>
      </c>
      <c r="J23" s="56"/>
    </row>
    <row r="24" ht="20" customHeight="1" spans="2:10">
      <c r="B24" s="42">
        <v>2</v>
      </c>
      <c r="C24" s="42">
        <v>9</v>
      </c>
      <c r="D24" s="42" t="s">
        <v>106</v>
      </c>
      <c r="E24" s="44" t="s">
        <v>1840</v>
      </c>
      <c r="F24" s="75" t="s">
        <v>2120</v>
      </c>
      <c r="G24" s="56"/>
      <c r="H24" s="108">
        <v>500</v>
      </c>
      <c r="I24" s="58">
        <f t="shared" si="1"/>
        <v>321276.65</v>
      </c>
      <c r="J24" s="56"/>
    </row>
    <row r="25" ht="20" customHeight="1" spans="2:10">
      <c r="B25" s="42">
        <v>2</v>
      </c>
      <c r="C25" s="42">
        <v>12</v>
      </c>
      <c r="D25" s="42" t="s">
        <v>79</v>
      </c>
      <c r="E25" s="117" t="s">
        <v>2099</v>
      </c>
      <c r="F25" s="75" t="s">
        <v>2121</v>
      </c>
      <c r="G25" s="55">
        <v>84</v>
      </c>
      <c r="H25" s="56"/>
      <c r="I25" s="58">
        <f t="shared" si="1"/>
        <v>321360.65</v>
      </c>
      <c r="J25" s="56"/>
    </row>
    <row r="26" ht="20" customHeight="1" spans="2:10">
      <c r="B26" s="42">
        <v>2</v>
      </c>
      <c r="C26" s="42">
        <v>12</v>
      </c>
      <c r="D26" s="42" t="s">
        <v>79</v>
      </c>
      <c r="E26" s="117" t="s">
        <v>2099</v>
      </c>
      <c r="F26" s="75" t="s">
        <v>2122</v>
      </c>
      <c r="G26" s="55">
        <v>538.79</v>
      </c>
      <c r="H26" s="56"/>
      <c r="I26" s="58">
        <f t="shared" si="1"/>
        <v>321899.44</v>
      </c>
      <c r="J26" s="56"/>
    </row>
    <row r="27" ht="20" customHeight="1" spans="2:10">
      <c r="B27" s="42">
        <v>2</v>
      </c>
      <c r="C27" s="42">
        <v>12</v>
      </c>
      <c r="D27" s="42" t="s">
        <v>79</v>
      </c>
      <c r="E27" s="117" t="s">
        <v>2099</v>
      </c>
      <c r="F27" s="75" t="s">
        <v>2123</v>
      </c>
      <c r="G27" s="55">
        <v>6206.55</v>
      </c>
      <c r="H27" s="56"/>
      <c r="I27" s="58">
        <f t="shared" si="1"/>
        <v>328105.99</v>
      </c>
      <c r="J27" s="56"/>
    </row>
    <row r="28" ht="20" customHeight="1" spans="2:10">
      <c r="B28" s="42">
        <v>2</v>
      </c>
      <c r="C28" s="42">
        <v>12</v>
      </c>
      <c r="D28" s="42" t="s">
        <v>72</v>
      </c>
      <c r="E28" s="117" t="s">
        <v>2099</v>
      </c>
      <c r="F28" s="75" t="s">
        <v>2124</v>
      </c>
      <c r="G28" s="55">
        <v>1170.66</v>
      </c>
      <c r="H28" s="56"/>
      <c r="I28" s="58">
        <f t="shared" si="1"/>
        <v>329276.65</v>
      </c>
      <c r="J28" s="56"/>
    </row>
    <row r="29" ht="20" customHeight="1" spans="2:10">
      <c r="B29" s="42">
        <v>2</v>
      </c>
      <c r="C29" s="42">
        <v>13</v>
      </c>
      <c r="D29" s="42" t="s">
        <v>131</v>
      </c>
      <c r="E29" s="44" t="s">
        <v>251</v>
      </c>
      <c r="F29" s="45" t="s">
        <v>2125</v>
      </c>
      <c r="G29" s="56"/>
      <c r="H29" s="56">
        <v>250000</v>
      </c>
      <c r="I29" s="58">
        <f t="shared" si="1"/>
        <v>79276.65</v>
      </c>
      <c r="J29" s="56"/>
    </row>
    <row r="30" ht="20" customHeight="1" spans="2:10">
      <c r="B30" s="42">
        <v>2</v>
      </c>
      <c r="C30" s="42">
        <v>13</v>
      </c>
      <c r="D30" s="42" t="s">
        <v>120</v>
      </c>
      <c r="E30" s="117" t="s">
        <v>251</v>
      </c>
      <c r="F30" s="75" t="s">
        <v>2104</v>
      </c>
      <c r="G30" s="56"/>
      <c r="H30" s="108">
        <v>4317.61</v>
      </c>
      <c r="I30" s="58">
        <f t="shared" si="1"/>
        <v>74959.04</v>
      </c>
      <c r="J30" s="56"/>
    </row>
    <row r="31" ht="20" customHeight="1" spans="2:10">
      <c r="B31" s="42">
        <v>2</v>
      </c>
      <c r="C31" s="42">
        <v>13</v>
      </c>
      <c r="D31" s="42"/>
      <c r="E31" s="44" t="s">
        <v>251</v>
      </c>
      <c r="F31" s="45" t="s">
        <v>2037</v>
      </c>
      <c r="G31" s="56">
        <v>1300000</v>
      </c>
      <c r="H31" s="56"/>
      <c r="I31" s="58">
        <f t="shared" si="1"/>
        <v>1374959.04</v>
      </c>
      <c r="J31" s="56"/>
    </row>
    <row r="32" ht="20" customHeight="1" spans="2:10">
      <c r="B32" s="42">
        <v>2</v>
      </c>
      <c r="C32" s="42">
        <v>13</v>
      </c>
      <c r="D32" s="42"/>
      <c r="E32" s="117" t="s">
        <v>251</v>
      </c>
      <c r="F32" s="45" t="s">
        <v>2126</v>
      </c>
      <c r="G32" s="56"/>
      <c r="H32" s="56">
        <v>1300000</v>
      </c>
      <c r="I32" s="58">
        <f t="shared" si="1"/>
        <v>74959.04</v>
      </c>
      <c r="J32" s="56"/>
    </row>
    <row r="33" ht="20" customHeight="1" spans="2:10">
      <c r="B33" s="42">
        <v>2</v>
      </c>
      <c r="C33" s="42">
        <v>14</v>
      </c>
      <c r="D33" s="74" t="s">
        <v>69</v>
      </c>
      <c r="E33" s="44" t="s">
        <v>1807</v>
      </c>
      <c r="F33" s="75" t="s">
        <v>2117</v>
      </c>
      <c r="G33" s="55"/>
      <c r="H33" s="55">
        <v>45000</v>
      </c>
      <c r="I33" s="58">
        <f t="shared" si="1"/>
        <v>29959.04</v>
      </c>
      <c r="J33" s="143" t="s">
        <v>2127</v>
      </c>
    </row>
    <row r="34" ht="20" customHeight="1" spans="2:10">
      <c r="B34" s="42">
        <v>2</v>
      </c>
      <c r="C34" s="42">
        <v>21</v>
      </c>
      <c r="D34" s="42" t="s">
        <v>120</v>
      </c>
      <c r="E34" s="117" t="s">
        <v>251</v>
      </c>
      <c r="F34" s="75" t="s">
        <v>2104</v>
      </c>
      <c r="G34" s="56"/>
      <c r="H34" s="108">
        <v>852.22</v>
      </c>
      <c r="I34" s="58">
        <f t="shared" si="1"/>
        <v>29106.82</v>
      </c>
      <c r="J34" s="56"/>
    </row>
    <row r="35" ht="20" customHeight="1" spans="2:10">
      <c r="B35" s="42">
        <v>2</v>
      </c>
      <c r="C35" s="42">
        <v>25</v>
      </c>
      <c r="D35" s="42" t="s">
        <v>79</v>
      </c>
      <c r="E35" s="144" t="s">
        <v>1962</v>
      </c>
      <c r="F35" s="75" t="s">
        <v>2128</v>
      </c>
      <c r="G35" s="55">
        <v>706.57</v>
      </c>
      <c r="H35" s="56"/>
      <c r="I35" s="58">
        <f t="shared" si="1"/>
        <v>29813.39</v>
      </c>
      <c r="J35" s="56"/>
    </row>
    <row r="36" ht="20" customHeight="1" spans="2:10">
      <c r="B36" s="42">
        <v>2</v>
      </c>
      <c r="C36" s="42">
        <v>27</v>
      </c>
      <c r="D36" s="42" t="s">
        <v>88</v>
      </c>
      <c r="E36" s="75" t="s">
        <v>335</v>
      </c>
      <c r="F36" s="75" t="s">
        <v>2129</v>
      </c>
      <c r="G36" s="55">
        <v>22231</v>
      </c>
      <c r="H36" s="56"/>
      <c r="I36" s="58">
        <f t="shared" si="1"/>
        <v>52044.39</v>
      </c>
      <c r="J36" s="56"/>
    </row>
    <row r="37" ht="20" customHeight="1" spans="2:10">
      <c r="B37" s="42">
        <v>2</v>
      </c>
      <c r="C37" s="42">
        <v>27</v>
      </c>
      <c r="D37" s="42" t="s">
        <v>84</v>
      </c>
      <c r="E37" s="44" t="s">
        <v>2130</v>
      </c>
      <c r="F37" s="75" t="s">
        <v>2131</v>
      </c>
      <c r="G37" s="55">
        <v>6716.3</v>
      </c>
      <c r="H37" s="56"/>
      <c r="I37" s="58">
        <f t="shared" si="1"/>
        <v>58760.69</v>
      </c>
      <c r="J37" s="56"/>
    </row>
    <row r="38" ht="20" customHeight="1" spans="2:10">
      <c r="B38" s="42">
        <v>2</v>
      </c>
      <c r="C38" s="42">
        <v>27</v>
      </c>
      <c r="D38" s="74" t="s">
        <v>69</v>
      </c>
      <c r="E38" s="75" t="s">
        <v>1807</v>
      </c>
      <c r="F38" s="75" t="s">
        <v>2132</v>
      </c>
      <c r="G38" s="55"/>
      <c r="H38" s="108">
        <v>22231</v>
      </c>
      <c r="I38" s="58">
        <f t="shared" si="1"/>
        <v>36529.69</v>
      </c>
      <c r="J38" s="56"/>
    </row>
    <row r="39" ht="20" customHeight="1" spans="2:10">
      <c r="B39" s="68"/>
      <c r="C39" s="68"/>
      <c r="D39" s="68"/>
      <c r="E39" s="130"/>
      <c r="F39" s="70" t="s">
        <v>22</v>
      </c>
      <c r="G39" s="71">
        <f>SUM(G17:G38)</f>
        <v>1594653.87</v>
      </c>
      <c r="H39" s="71">
        <f>SUM(H17:H38)</f>
        <v>1678125.83</v>
      </c>
      <c r="I39" s="72">
        <f>I16+G39-H39</f>
        <v>36529.6899999999</v>
      </c>
      <c r="J39" s="71"/>
    </row>
    <row r="40" ht="20" customHeight="1" spans="2:10">
      <c r="B40" s="42">
        <v>3</v>
      </c>
      <c r="C40" s="42">
        <v>2</v>
      </c>
      <c r="D40" s="74" t="s">
        <v>69</v>
      </c>
      <c r="E40" s="44" t="s">
        <v>1807</v>
      </c>
      <c r="F40" s="75" t="s">
        <v>2117</v>
      </c>
      <c r="G40" s="56"/>
      <c r="H40" s="55">
        <v>5000</v>
      </c>
      <c r="I40" s="58">
        <f t="shared" ref="I40:I57" si="2">I39+G40-H40</f>
        <v>31529.6899999999</v>
      </c>
      <c r="J40" s="56"/>
    </row>
    <row r="41" ht="20" customHeight="1" spans="2:10">
      <c r="B41" s="42">
        <v>3</v>
      </c>
      <c r="C41" s="42">
        <v>3</v>
      </c>
      <c r="D41" s="42" t="s">
        <v>72</v>
      </c>
      <c r="E41" s="117" t="s">
        <v>2099</v>
      </c>
      <c r="F41" s="75" t="s">
        <v>2124</v>
      </c>
      <c r="G41" s="55">
        <v>618.22</v>
      </c>
      <c r="H41" s="56"/>
      <c r="I41" s="58">
        <f t="shared" si="2"/>
        <v>32147.9099999999</v>
      </c>
      <c r="J41" s="56"/>
    </row>
    <row r="42" ht="20" customHeight="1" spans="2:10">
      <c r="B42" s="42">
        <v>3</v>
      </c>
      <c r="C42" s="42">
        <v>3</v>
      </c>
      <c r="D42" s="42" t="s">
        <v>79</v>
      </c>
      <c r="E42" s="117" t="s">
        <v>2099</v>
      </c>
      <c r="F42" s="75" t="s">
        <v>2133</v>
      </c>
      <c r="G42" s="55">
        <v>3313.45</v>
      </c>
      <c r="H42" s="56"/>
      <c r="I42" s="58">
        <f t="shared" si="2"/>
        <v>35461.3599999999</v>
      </c>
      <c r="J42" s="56"/>
    </row>
    <row r="43" ht="20" customHeight="1" spans="2:10">
      <c r="B43" s="42">
        <v>3</v>
      </c>
      <c r="C43" s="42">
        <v>3</v>
      </c>
      <c r="D43" s="42" t="s">
        <v>72</v>
      </c>
      <c r="E43" s="117" t="s">
        <v>2099</v>
      </c>
      <c r="F43" s="75" t="s">
        <v>2134</v>
      </c>
      <c r="G43" s="55">
        <v>1068.33</v>
      </c>
      <c r="H43" s="56"/>
      <c r="I43" s="58">
        <f t="shared" si="2"/>
        <v>36529.6899999999</v>
      </c>
      <c r="J43" s="56"/>
    </row>
    <row r="44" ht="20" customHeight="1" spans="2:10">
      <c r="B44" s="42">
        <v>3</v>
      </c>
      <c r="C44" s="42">
        <v>4</v>
      </c>
      <c r="D44" s="42" t="s">
        <v>70</v>
      </c>
      <c r="E44" s="117" t="s">
        <v>2095</v>
      </c>
      <c r="F44" s="75" t="s">
        <v>2135</v>
      </c>
      <c r="G44" s="55">
        <v>1000</v>
      </c>
      <c r="H44" s="56"/>
      <c r="I44" s="58">
        <f t="shared" si="2"/>
        <v>37529.6899999999</v>
      </c>
      <c r="J44" s="56"/>
    </row>
    <row r="45" ht="20" customHeight="1" spans="2:10">
      <c r="B45" s="42">
        <v>3</v>
      </c>
      <c r="C45" s="42">
        <v>6</v>
      </c>
      <c r="D45" s="42" t="s">
        <v>71</v>
      </c>
      <c r="E45" s="44" t="s">
        <v>251</v>
      </c>
      <c r="F45" s="75" t="s">
        <v>2136</v>
      </c>
      <c r="G45" s="55">
        <v>16777.5</v>
      </c>
      <c r="H45" s="56"/>
      <c r="I45" s="58">
        <f t="shared" si="2"/>
        <v>54307.1899999999</v>
      </c>
      <c r="J45" s="59" t="s">
        <v>2137</v>
      </c>
    </row>
    <row r="46" ht="20" customHeight="1" spans="2:10">
      <c r="B46" s="42">
        <v>3</v>
      </c>
      <c r="C46" s="42">
        <v>6</v>
      </c>
      <c r="D46" s="42" t="s">
        <v>16</v>
      </c>
      <c r="E46" s="44" t="s">
        <v>669</v>
      </c>
      <c r="F46" s="75" t="s">
        <v>2138</v>
      </c>
      <c r="G46" s="55"/>
      <c r="H46" s="56">
        <v>16.76</v>
      </c>
      <c r="I46" s="58">
        <f t="shared" si="2"/>
        <v>54290.4299999999</v>
      </c>
      <c r="J46" s="59"/>
    </row>
    <row r="47" ht="20" customHeight="1" spans="2:10">
      <c r="B47" s="42">
        <v>3</v>
      </c>
      <c r="C47" s="42">
        <v>9</v>
      </c>
      <c r="D47" s="42" t="s">
        <v>72</v>
      </c>
      <c r="E47" s="117" t="s">
        <v>2099</v>
      </c>
      <c r="F47" s="75" t="s">
        <v>2134</v>
      </c>
      <c r="G47" s="55">
        <v>1081.81</v>
      </c>
      <c r="H47" s="56"/>
      <c r="I47" s="58">
        <f t="shared" si="2"/>
        <v>55372.2399999999</v>
      </c>
      <c r="J47" s="56"/>
    </row>
    <row r="48" ht="20" customHeight="1" spans="2:10">
      <c r="B48" s="42">
        <v>3</v>
      </c>
      <c r="C48" s="42">
        <v>9</v>
      </c>
      <c r="D48" s="42" t="s">
        <v>79</v>
      </c>
      <c r="E48" s="117" t="s">
        <v>2099</v>
      </c>
      <c r="F48" s="75" t="s">
        <v>2139</v>
      </c>
      <c r="G48" s="55">
        <v>3344.6</v>
      </c>
      <c r="H48" s="56"/>
      <c r="I48" s="58">
        <f t="shared" si="2"/>
        <v>58716.8399999999</v>
      </c>
      <c r="J48" s="56"/>
    </row>
    <row r="49" ht="20" customHeight="1" spans="2:10">
      <c r="B49" s="42">
        <v>3</v>
      </c>
      <c r="C49" s="42">
        <v>9</v>
      </c>
      <c r="D49" s="42" t="s">
        <v>72</v>
      </c>
      <c r="E49" s="117" t="s">
        <v>2099</v>
      </c>
      <c r="F49" s="75" t="s">
        <v>2140</v>
      </c>
      <c r="G49" s="55">
        <v>573.59</v>
      </c>
      <c r="H49" s="56"/>
      <c r="I49" s="58">
        <f t="shared" si="2"/>
        <v>59290.4299999999</v>
      </c>
      <c r="J49" s="56"/>
    </row>
    <row r="50" ht="20" customHeight="1" spans="2:10">
      <c r="B50" s="42">
        <v>3</v>
      </c>
      <c r="C50" s="42">
        <v>15</v>
      </c>
      <c r="D50" s="42" t="s">
        <v>70</v>
      </c>
      <c r="E50" s="117" t="s">
        <v>2095</v>
      </c>
      <c r="F50" s="75" t="s">
        <v>2141</v>
      </c>
      <c r="G50" s="55">
        <v>2000</v>
      </c>
      <c r="H50" s="56"/>
      <c r="I50" s="58">
        <f t="shared" si="2"/>
        <v>61290.4299999999</v>
      </c>
      <c r="J50" s="56"/>
    </row>
    <row r="51" ht="20" customHeight="1" spans="2:10">
      <c r="B51" s="42">
        <v>3</v>
      </c>
      <c r="C51" s="42">
        <v>16</v>
      </c>
      <c r="D51" s="74" t="s">
        <v>69</v>
      </c>
      <c r="E51" s="44" t="s">
        <v>1807</v>
      </c>
      <c r="F51" s="75" t="s">
        <v>2117</v>
      </c>
      <c r="G51" s="56"/>
      <c r="H51" s="55">
        <v>50000</v>
      </c>
      <c r="I51" s="58">
        <f t="shared" si="2"/>
        <v>11290.4299999999</v>
      </c>
      <c r="J51" s="56"/>
    </row>
    <row r="52" ht="20" customHeight="1" spans="2:10">
      <c r="B52" s="42">
        <v>3</v>
      </c>
      <c r="C52" s="42">
        <v>16</v>
      </c>
      <c r="D52" s="42" t="s">
        <v>88</v>
      </c>
      <c r="E52" s="44" t="s">
        <v>335</v>
      </c>
      <c r="F52" s="75" t="s">
        <v>2142</v>
      </c>
      <c r="G52" s="55">
        <v>20265</v>
      </c>
      <c r="H52" s="56"/>
      <c r="I52" s="58">
        <f t="shared" si="2"/>
        <v>31555.4299999999</v>
      </c>
      <c r="J52" s="56"/>
    </row>
    <row r="53" ht="20" customHeight="1" spans="2:10">
      <c r="B53" s="42">
        <v>3</v>
      </c>
      <c r="C53" s="42">
        <v>16</v>
      </c>
      <c r="D53" s="42" t="s">
        <v>86</v>
      </c>
      <c r="E53" s="44" t="s">
        <v>2115</v>
      </c>
      <c r="F53" s="75" t="s">
        <v>2143</v>
      </c>
      <c r="G53" s="55">
        <v>20000</v>
      </c>
      <c r="H53" s="56"/>
      <c r="I53" s="58">
        <f t="shared" si="2"/>
        <v>51555.4299999999</v>
      </c>
      <c r="J53" s="56"/>
    </row>
    <row r="54" ht="20" customHeight="1" spans="2:10">
      <c r="B54" s="42">
        <v>3</v>
      </c>
      <c r="C54" s="42">
        <v>16</v>
      </c>
      <c r="D54" s="74" t="s">
        <v>69</v>
      </c>
      <c r="E54" s="44" t="s">
        <v>1807</v>
      </c>
      <c r="F54" s="75" t="s">
        <v>2142</v>
      </c>
      <c r="G54" s="56"/>
      <c r="H54" s="55">
        <v>20265</v>
      </c>
      <c r="I54" s="58">
        <f t="shared" si="2"/>
        <v>31290.4299999999</v>
      </c>
      <c r="J54" s="56"/>
    </row>
    <row r="55" ht="20" customHeight="1" spans="2:10">
      <c r="B55" s="42">
        <v>3</v>
      </c>
      <c r="C55" s="42">
        <v>16</v>
      </c>
      <c r="D55" s="74" t="s">
        <v>69</v>
      </c>
      <c r="E55" s="44" t="s">
        <v>1807</v>
      </c>
      <c r="F55" s="75" t="s">
        <v>2143</v>
      </c>
      <c r="G55" s="56"/>
      <c r="H55" s="55">
        <v>17000</v>
      </c>
      <c r="I55" s="58">
        <f t="shared" si="2"/>
        <v>14290.4299999999</v>
      </c>
      <c r="J55" s="56"/>
    </row>
    <row r="56" ht="20" customHeight="1" spans="2:10">
      <c r="B56" s="42">
        <v>3</v>
      </c>
      <c r="C56" s="42">
        <v>21</v>
      </c>
      <c r="D56" s="42" t="s">
        <v>29</v>
      </c>
      <c r="E56" s="44" t="s">
        <v>161</v>
      </c>
      <c r="F56" s="75" t="s">
        <v>29</v>
      </c>
      <c r="G56" s="55">
        <v>8.25</v>
      </c>
      <c r="H56" s="56"/>
      <c r="I56" s="58">
        <f t="shared" si="2"/>
        <v>14298.6799999999</v>
      </c>
      <c r="J56" s="56"/>
    </row>
    <row r="57" ht="20" customHeight="1" spans="2:10">
      <c r="B57" s="42">
        <v>3</v>
      </c>
      <c r="C57" s="42">
        <v>21</v>
      </c>
      <c r="D57" s="42" t="s">
        <v>120</v>
      </c>
      <c r="E57" s="117" t="s">
        <v>251</v>
      </c>
      <c r="F57" s="75" t="s">
        <v>2104</v>
      </c>
      <c r="G57" s="56"/>
      <c r="H57" s="55">
        <v>2982.78</v>
      </c>
      <c r="I57" s="58">
        <f t="shared" si="2"/>
        <v>11315.8999999999</v>
      </c>
      <c r="J57" s="56"/>
    </row>
    <row r="58" ht="20" customHeight="1" spans="2:10">
      <c r="B58" s="68"/>
      <c r="C58" s="68"/>
      <c r="D58" s="68"/>
      <c r="E58" s="130"/>
      <c r="F58" s="70" t="s">
        <v>22</v>
      </c>
      <c r="G58" s="71">
        <f>SUM(G40:G57)</f>
        <v>70050.75</v>
      </c>
      <c r="H58" s="71">
        <f>SUM(H40:H57)</f>
        <v>95264.54</v>
      </c>
      <c r="I58" s="72">
        <f>I39+G58-H58</f>
        <v>11315.8999999999</v>
      </c>
      <c r="J58" s="71"/>
    </row>
    <row r="59" ht="20" customHeight="1" spans="2:10">
      <c r="B59" s="42">
        <v>4</v>
      </c>
      <c r="C59" s="42">
        <v>1</v>
      </c>
      <c r="D59" s="42" t="s">
        <v>71</v>
      </c>
      <c r="E59" s="44" t="s">
        <v>251</v>
      </c>
      <c r="F59" s="88" t="s">
        <v>2144</v>
      </c>
      <c r="G59" s="55">
        <v>15850</v>
      </c>
      <c r="H59" s="56"/>
      <c r="I59" s="58">
        <f>I57+G59-H59</f>
        <v>27165.8999999999</v>
      </c>
      <c r="J59" s="56"/>
    </row>
    <row r="60" ht="20" customHeight="1" spans="2:10">
      <c r="B60" s="42">
        <v>4</v>
      </c>
      <c r="C60" s="42">
        <v>1</v>
      </c>
      <c r="D60" s="42" t="s">
        <v>16</v>
      </c>
      <c r="E60" s="44" t="s">
        <v>669</v>
      </c>
      <c r="F60" s="88" t="s">
        <v>2145</v>
      </c>
      <c r="G60" s="55"/>
      <c r="H60" s="56">
        <v>15.83</v>
      </c>
      <c r="I60" s="58">
        <f>I58+G60-H60</f>
        <v>11300.0699999999</v>
      </c>
      <c r="J60" s="56"/>
    </row>
    <row r="61" ht="20" customHeight="1" spans="2:10">
      <c r="B61" s="42">
        <v>4</v>
      </c>
      <c r="C61" s="42">
        <v>3</v>
      </c>
      <c r="D61" s="42" t="s">
        <v>70</v>
      </c>
      <c r="E61" s="117" t="s">
        <v>2095</v>
      </c>
      <c r="F61" s="75" t="s">
        <v>2146</v>
      </c>
      <c r="G61" s="55">
        <v>1000</v>
      </c>
      <c r="H61" s="56"/>
      <c r="I61" s="58">
        <f>I59+G61-H61</f>
        <v>28165.8999999999</v>
      </c>
      <c r="J61" s="56"/>
    </row>
    <row r="62" ht="20" customHeight="1" spans="2:10">
      <c r="B62" s="42">
        <v>4</v>
      </c>
      <c r="C62" s="42">
        <v>3</v>
      </c>
      <c r="D62" s="42" t="s">
        <v>70</v>
      </c>
      <c r="E62" s="117" t="s">
        <v>2095</v>
      </c>
      <c r="F62" s="75" t="s">
        <v>2147</v>
      </c>
      <c r="G62" s="55">
        <v>2000</v>
      </c>
      <c r="H62" s="56"/>
      <c r="I62" s="58">
        <f>I60+G62-H62</f>
        <v>13300.0699999999</v>
      </c>
      <c r="J62" s="56"/>
    </row>
    <row r="63" ht="20" customHeight="1" spans="2:10">
      <c r="B63" s="42">
        <v>4</v>
      </c>
      <c r="C63" s="42">
        <v>6</v>
      </c>
      <c r="D63" s="42" t="s">
        <v>70</v>
      </c>
      <c r="E63" s="117" t="s">
        <v>2099</v>
      </c>
      <c r="F63" s="75" t="s">
        <v>2148</v>
      </c>
      <c r="G63" s="145">
        <v>5000</v>
      </c>
      <c r="H63" s="56"/>
      <c r="I63" s="58">
        <f t="shared" ref="I63:I73" si="3">I62+G63-H63</f>
        <v>18300.0699999999</v>
      </c>
      <c r="J63" s="56"/>
    </row>
    <row r="64" ht="20" customHeight="1" spans="2:10">
      <c r="B64" s="42">
        <v>4</v>
      </c>
      <c r="C64" s="42">
        <v>15</v>
      </c>
      <c r="D64" s="42" t="s">
        <v>88</v>
      </c>
      <c r="E64" s="44" t="s">
        <v>335</v>
      </c>
      <c r="F64" s="75" t="s">
        <v>2149</v>
      </c>
      <c r="G64" s="55">
        <v>19844.24</v>
      </c>
      <c r="H64" s="56"/>
      <c r="I64" s="58">
        <f t="shared" si="3"/>
        <v>38144.3099999999</v>
      </c>
      <c r="J64" s="56"/>
    </row>
    <row r="65" ht="20" customHeight="1" spans="2:10">
      <c r="B65" s="42">
        <v>4</v>
      </c>
      <c r="C65" s="42">
        <v>15</v>
      </c>
      <c r="D65" s="74" t="s">
        <v>69</v>
      </c>
      <c r="E65" s="45" t="s">
        <v>1807</v>
      </c>
      <c r="F65" s="75" t="s">
        <v>2149</v>
      </c>
      <c r="G65" s="56"/>
      <c r="H65" s="55">
        <v>19844.24</v>
      </c>
      <c r="I65" s="58">
        <f t="shared" si="3"/>
        <v>18300.0699999999</v>
      </c>
      <c r="J65" s="56"/>
    </row>
    <row r="66" ht="20" customHeight="1" spans="2:10">
      <c r="B66" s="42">
        <v>4</v>
      </c>
      <c r="C66" s="42">
        <v>19</v>
      </c>
      <c r="D66" s="42" t="s">
        <v>70</v>
      </c>
      <c r="E66" s="117" t="s">
        <v>2099</v>
      </c>
      <c r="F66" s="75" t="s">
        <v>2148</v>
      </c>
      <c r="G66" s="145">
        <v>1200</v>
      </c>
      <c r="H66" s="56"/>
      <c r="I66" s="58">
        <f t="shared" si="3"/>
        <v>19500.0699999999</v>
      </c>
      <c r="J66" s="56"/>
    </row>
    <row r="67" ht="20" customHeight="1" spans="2:10">
      <c r="B67" s="42">
        <v>4</v>
      </c>
      <c r="C67" s="42">
        <v>19</v>
      </c>
      <c r="D67" s="42" t="s">
        <v>72</v>
      </c>
      <c r="E67" s="117" t="s">
        <v>2099</v>
      </c>
      <c r="F67" s="75" t="s">
        <v>2140</v>
      </c>
      <c r="G67" s="145">
        <v>1138.14</v>
      </c>
      <c r="H67" s="56"/>
      <c r="I67" s="58">
        <f t="shared" si="3"/>
        <v>20638.2099999999</v>
      </c>
      <c r="J67" s="56"/>
    </row>
    <row r="68" ht="20" customHeight="1" spans="2:10">
      <c r="B68" s="42">
        <v>4</v>
      </c>
      <c r="C68" s="42">
        <v>19</v>
      </c>
      <c r="D68" s="42" t="s">
        <v>70</v>
      </c>
      <c r="E68" s="117" t="s">
        <v>2099</v>
      </c>
      <c r="F68" s="75" t="s">
        <v>2150</v>
      </c>
      <c r="G68" s="145">
        <v>5661.86</v>
      </c>
      <c r="H68" s="56"/>
      <c r="I68" s="58">
        <f t="shared" si="3"/>
        <v>26300.0699999999</v>
      </c>
      <c r="J68" s="56"/>
    </row>
    <row r="69" ht="20" customHeight="1" spans="2:10">
      <c r="B69" s="42">
        <v>4</v>
      </c>
      <c r="C69" s="42">
        <v>21</v>
      </c>
      <c r="D69" s="42" t="s">
        <v>120</v>
      </c>
      <c r="E69" s="117" t="s">
        <v>251</v>
      </c>
      <c r="F69" s="75" t="s">
        <v>2104</v>
      </c>
      <c r="G69" s="56"/>
      <c r="H69" s="55">
        <v>3302.36</v>
      </c>
      <c r="I69" s="58">
        <f t="shared" si="3"/>
        <v>22997.7099999999</v>
      </c>
      <c r="J69" s="56"/>
    </row>
    <row r="70" ht="20" customHeight="1" spans="2:10">
      <c r="B70" s="42">
        <v>4</v>
      </c>
      <c r="C70" s="42">
        <v>27</v>
      </c>
      <c r="D70" s="42" t="s">
        <v>97</v>
      </c>
      <c r="E70" s="117" t="s">
        <v>251</v>
      </c>
      <c r="F70" s="75" t="s">
        <v>2151</v>
      </c>
      <c r="G70" s="56"/>
      <c r="H70" s="55">
        <v>3800</v>
      </c>
      <c r="I70" s="58">
        <f t="shared" si="3"/>
        <v>19197.7099999999</v>
      </c>
      <c r="J70" s="56"/>
    </row>
    <row r="71" ht="20" customHeight="1" spans="2:10">
      <c r="B71" s="42">
        <v>4</v>
      </c>
      <c r="C71" s="42">
        <v>27</v>
      </c>
      <c r="D71" s="42" t="s">
        <v>124</v>
      </c>
      <c r="E71" s="117" t="s">
        <v>178</v>
      </c>
      <c r="F71" s="75" t="s">
        <v>2152</v>
      </c>
      <c r="G71" s="56"/>
      <c r="H71" s="55">
        <v>120</v>
      </c>
      <c r="I71" s="58">
        <f t="shared" si="3"/>
        <v>19077.7099999999</v>
      </c>
      <c r="J71" s="56"/>
    </row>
    <row r="72" ht="20" customHeight="1" spans="2:10">
      <c r="B72" s="42">
        <v>4</v>
      </c>
      <c r="C72" s="42">
        <v>27</v>
      </c>
      <c r="D72" s="42" t="s">
        <v>103</v>
      </c>
      <c r="E72" s="45" t="s">
        <v>178</v>
      </c>
      <c r="F72" s="75" t="s">
        <v>2153</v>
      </c>
      <c r="G72" s="56"/>
      <c r="H72" s="55">
        <v>100</v>
      </c>
      <c r="I72" s="58">
        <f t="shared" si="3"/>
        <v>18977.7099999999</v>
      </c>
      <c r="J72" s="56"/>
    </row>
    <row r="73" ht="20" customHeight="1" spans="2:10">
      <c r="B73" s="42">
        <v>4</v>
      </c>
      <c r="C73" s="42">
        <v>27</v>
      </c>
      <c r="D73" s="42" t="s">
        <v>128</v>
      </c>
      <c r="E73" s="117" t="s">
        <v>178</v>
      </c>
      <c r="F73" s="146" t="s">
        <v>2154</v>
      </c>
      <c r="G73" s="56"/>
      <c r="H73" s="55">
        <v>6996.3</v>
      </c>
      <c r="I73" s="58">
        <f t="shared" si="3"/>
        <v>11981.4099999999</v>
      </c>
      <c r="J73" s="56"/>
    </row>
    <row r="74" ht="20" customHeight="1" spans="2:10">
      <c r="B74" s="68"/>
      <c r="C74" s="68"/>
      <c r="D74" s="68"/>
      <c r="E74" s="130"/>
      <c r="F74" s="70" t="s">
        <v>22</v>
      </c>
      <c r="G74" s="71">
        <f>SUM(G59:G73)</f>
        <v>51694.24</v>
      </c>
      <c r="H74" s="71">
        <f>SUM(H59:H73)</f>
        <v>34178.73</v>
      </c>
      <c r="I74" s="72">
        <f>I58+G74-H74</f>
        <v>28831.4099999999</v>
      </c>
      <c r="J74" s="71"/>
    </row>
    <row r="75" ht="20" customHeight="1" spans="2:10">
      <c r="B75" s="42">
        <v>5</v>
      </c>
      <c r="C75" s="42">
        <v>7</v>
      </c>
      <c r="D75" s="42" t="s">
        <v>70</v>
      </c>
      <c r="E75" s="117" t="s">
        <v>2095</v>
      </c>
      <c r="F75" s="75" t="s">
        <v>2155</v>
      </c>
      <c r="G75" s="84">
        <v>2000</v>
      </c>
      <c r="H75" s="56"/>
      <c r="I75" s="58">
        <f t="shared" ref="I75:I84" si="4">I74+G75-H75</f>
        <v>30831.4099999999</v>
      </c>
      <c r="J75" s="56"/>
    </row>
    <row r="76" ht="20" customHeight="1" spans="2:10">
      <c r="B76" s="42">
        <v>5</v>
      </c>
      <c r="C76" s="42">
        <v>14</v>
      </c>
      <c r="D76" s="42" t="s">
        <v>71</v>
      </c>
      <c r="E76" s="44" t="s">
        <v>251</v>
      </c>
      <c r="F76" s="88" t="s">
        <v>2156</v>
      </c>
      <c r="G76" s="56">
        <v>14485.51</v>
      </c>
      <c r="H76" s="56"/>
      <c r="I76" s="58">
        <f t="shared" si="4"/>
        <v>45316.9199999999</v>
      </c>
      <c r="J76" s="56"/>
    </row>
    <row r="77" ht="20" customHeight="1" spans="2:10">
      <c r="B77" s="42">
        <v>5</v>
      </c>
      <c r="C77" s="42">
        <v>14</v>
      </c>
      <c r="D77" s="42" t="s">
        <v>71</v>
      </c>
      <c r="E77" s="44" t="s">
        <v>669</v>
      </c>
      <c r="F77" s="88" t="s">
        <v>2157</v>
      </c>
      <c r="G77" s="56">
        <v>12737.26</v>
      </c>
      <c r="H77" s="56"/>
      <c r="I77" s="58">
        <f t="shared" si="4"/>
        <v>58054.1799999999</v>
      </c>
      <c r="J77" s="56"/>
    </row>
    <row r="78" ht="20" customHeight="1" spans="2:10">
      <c r="B78" s="42">
        <v>5</v>
      </c>
      <c r="C78" s="42">
        <v>14</v>
      </c>
      <c r="D78" s="42" t="s">
        <v>68</v>
      </c>
      <c r="E78" s="44" t="s">
        <v>2158</v>
      </c>
      <c r="F78" s="75" t="s">
        <v>2159</v>
      </c>
      <c r="G78" s="56">
        <v>27380</v>
      </c>
      <c r="H78" s="56"/>
      <c r="I78" s="58">
        <f t="shared" si="4"/>
        <v>85434.1799999999</v>
      </c>
      <c r="J78" s="56"/>
    </row>
    <row r="79" ht="20" customHeight="1" spans="2:10">
      <c r="B79" s="42">
        <v>5</v>
      </c>
      <c r="C79" s="42">
        <v>15</v>
      </c>
      <c r="D79" s="42" t="s">
        <v>88</v>
      </c>
      <c r="E79" s="44" t="s">
        <v>335</v>
      </c>
      <c r="F79" s="75" t="s">
        <v>2160</v>
      </c>
      <c r="G79" s="56">
        <v>19745.39</v>
      </c>
      <c r="H79" s="56"/>
      <c r="I79" s="58">
        <f t="shared" si="4"/>
        <v>105179.57</v>
      </c>
      <c r="J79" s="56"/>
    </row>
    <row r="80" ht="20" customHeight="1" spans="2:10">
      <c r="B80" s="42">
        <v>5</v>
      </c>
      <c r="C80" s="42">
        <v>15</v>
      </c>
      <c r="D80" s="74" t="s">
        <v>69</v>
      </c>
      <c r="E80" s="45" t="s">
        <v>1807</v>
      </c>
      <c r="F80" s="75" t="s">
        <v>2161</v>
      </c>
      <c r="G80" s="56"/>
      <c r="H80" s="56">
        <v>19844.24</v>
      </c>
      <c r="I80" s="58">
        <f t="shared" si="4"/>
        <v>85335.3299999999</v>
      </c>
      <c r="J80" s="56"/>
    </row>
    <row r="81" ht="20" customHeight="1" spans="2:10">
      <c r="B81" s="42">
        <v>5</v>
      </c>
      <c r="C81" s="42">
        <v>21</v>
      </c>
      <c r="D81" s="42" t="s">
        <v>120</v>
      </c>
      <c r="E81" s="117" t="s">
        <v>251</v>
      </c>
      <c r="F81" s="75" t="s">
        <v>2104</v>
      </c>
      <c r="G81" s="84"/>
      <c r="H81" s="84">
        <v>3195.83</v>
      </c>
      <c r="I81" s="58">
        <f t="shared" si="4"/>
        <v>82139.4999999999</v>
      </c>
      <c r="J81" s="56"/>
    </row>
    <row r="82" ht="20" customHeight="1" spans="2:10">
      <c r="B82" s="42">
        <v>5</v>
      </c>
      <c r="C82" s="42">
        <v>28</v>
      </c>
      <c r="D82" s="42" t="s">
        <v>103</v>
      </c>
      <c r="E82" s="45" t="s">
        <v>178</v>
      </c>
      <c r="F82" s="75" t="s">
        <v>2153</v>
      </c>
      <c r="G82" s="56"/>
      <c r="H82" s="84">
        <v>100</v>
      </c>
      <c r="I82" s="58">
        <f t="shared" si="4"/>
        <v>82039.4999999999</v>
      </c>
      <c r="J82" s="56"/>
    </row>
    <row r="83" ht="20" customHeight="1" spans="2:10">
      <c r="B83" s="42">
        <v>5</v>
      </c>
      <c r="C83" s="42">
        <v>29</v>
      </c>
      <c r="D83" s="42" t="s">
        <v>70</v>
      </c>
      <c r="E83" s="117" t="s">
        <v>2099</v>
      </c>
      <c r="F83" s="75" t="s">
        <v>2162</v>
      </c>
      <c r="G83" s="55">
        <v>7600</v>
      </c>
      <c r="H83" s="56"/>
      <c r="I83" s="58">
        <f t="shared" si="4"/>
        <v>89639.4999999999</v>
      </c>
      <c r="J83" s="56"/>
    </row>
    <row r="84" ht="20" customHeight="1" spans="2:10">
      <c r="B84" s="42">
        <v>5</v>
      </c>
      <c r="C84" s="42">
        <v>29</v>
      </c>
      <c r="D84" s="42" t="s">
        <v>79</v>
      </c>
      <c r="E84" s="117" t="s">
        <v>2099</v>
      </c>
      <c r="F84" s="75" t="s">
        <v>2163</v>
      </c>
      <c r="G84" s="55">
        <v>4250.05</v>
      </c>
      <c r="H84" s="56"/>
      <c r="I84" s="58">
        <f t="shared" si="4"/>
        <v>93889.5499999999</v>
      </c>
      <c r="J84" s="56"/>
    </row>
    <row r="85" ht="20" customHeight="1" spans="2:10">
      <c r="B85" s="68"/>
      <c r="C85" s="68"/>
      <c r="D85" s="68"/>
      <c r="E85" s="130"/>
      <c r="F85" s="70" t="s">
        <v>22</v>
      </c>
      <c r="G85" s="71">
        <f>SUM(G75:G84)</f>
        <v>88198.21</v>
      </c>
      <c r="H85" s="71">
        <f>SUM(H75:H84)</f>
        <v>23140.07</v>
      </c>
      <c r="I85" s="72">
        <f>I74+G85-H85</f>
        <v>93889.5499999999</v>
      </c>
      <c r="J85" s="71"/>
    </row>
    <row r="86" ht="20" customHeight="1" spans="2:10">
      <c r="B86" s="42">
        <v>6</v>
      </c>
      <c r="C86" s="42">
        <v>3</v>
      </c>
      <c r="D86" s="42" t="s">
        <v>70</v>
      </c>
      <c r="E86" s="117" t="s">
        <v>2095</v>
      </c>
      <c r="F86" s="95" t="s">
        <v>2164</v>
      </c>
      <c r="G86" s="84">
        <v>2500</v>
      </c>
      <c r="H86" s="56"/>
      <c r="I86" s="58">
        <f>I84+G86-H86</f>
        <v>96389.5499999999</v>
      </c>
      <c r="J86" s="56"/>
    </row>
    <row r="87" ht="20" customHeight="1" spans="2:10">
      <c r="B87" s="42">
        <v>6</v>
      </c>
      <c r="C87" s="42">
        <v>4</v>
      </c>
      <c r="D87" s="42" t="s">
        <v>85</v>
      </c>
      <c r="E87" s="44" t="s">
        <v>2165</v>
      </c>
      <c r="F87" s="75" t="s">
        <v>2166</v>
      </c>
      <c r="G87" s="56">
        <v>200000</v>
      </c>
      <c r="H87" s="56"/>
      <c r="I87" s="58">
        <f t="shared" ref="I87:I107" si="5">I86+G87-H87</f>
        <v>296389.55</v>
      </c>
      <c r="J87" s="56"/>
    </row>
    <row r="88" ht="20" customHeight="1" spans="2:10">
      <c r="B88" s="42">
        <v>6</v>
      </c>
      <c r="C88" s="42">
        <v>4</v>
      </c>
      <c r="D88" s="42" t="s">
        <v>86</v>
      </c>
      <c r="E88" s="44" t="s">
        <v>2165</v>
      </c>
      <c r="F88" s="45" t="s">
        <v>2167</v>
      </c>
      <c r="G88" s="56">
        <v>90000</v>
      </c>
      <c r="H88" s="56"/>
      <c r="I88" s="58">
        <f t="shared" si="5"/>
        <v>386389.55</v>
      </c>
      <c r="J88" s="56"/>
    </row>
    <row r="89" ht="20" customHeight="1" spans="2:10">
      <c r="B89" s="42">
        <v>6</v>
      </c>
      <c r="C89" s="42">
        <v>4</v>
      </c>
      <c r="D89" s="42" t="s">
        <v>145</v>
      </c>
      <c r="E89" s="44" t="s">
        <v>1962</v>
      </c>
      <c r="F89" s="45" t="s">
        <v>2168</v>
      </c>
      <c r="G89" s="56"/>
      <c r="H89" s="56">
        <v>90000</v>
      </c>
      <c r="I89" s="58">
        <f t="shared" si="5"/>
        <v>296389.55</v>
      </c>
      <c r="J89" s="56"/>
    </row>
    <row r="90" ht="20" customHeight="1" spans="2:10">
      <c r="B90" s="42">
        <v>6</v>
      </c>
      <c r="C90" s="42">
        <v>4</v>
      </c>
      <c r="D90" s="42" t="s">
        <v>86</v>
      </c>
      <c r="E90" s="44" t="s">
        <v>2165</v>
      </c>
      <c r="F90" s="45" t="s">
        <v>2167</v>
      </c>
      <c r="G90" s="56">
        <v>70000</v>
      </c>
      <c r="H90" s="56"/>
      <c r="I90" s="58">
        <f t="shared" si="5"/>
        <v>366389.55</v>
      </c>
      <c r="J90" s="56"/>
    </row>
    <row r="91" ht="20" customHeight="1" spans="2:10">
      <c r="B91" s="42">
        <v>6</v>
      </c>
      <c r="C91" s="42">
        <v>5</v>
      </c>
      <c r="D91" s="42" t="s">
        <v>137</v>
      </c>
      <c r="E91" s="117" t="s">
        <v>1962</v>
      </c>
      <c r="F91" s="45" t="s">
        <v>2169</v>
      </c>
      <c r="G91" s="56"/>
      <c r="H91" s="56">
        <v>354900</v>
      </c>
      <c r="I91" s="58">
        <f t="shared" si="5"/>
        <v>11489.5499999999</v>
      </c>
      <c r="J91" s="59" t="s">
        <v>2170</v>
      </c>
    </row>
    <row r="92" ht="20" customHeight="1" spans="2:10">
      <c r="B92" s="42">
        <v>6</v>
      </c>
      <c r="C92" s="42">
        <v>5</v>
      </c>
      <c r="D92" s="74" t="s">
        <v>69</v>
      </c>
      <c r="E92" s="117" t="s">
        <v>1807</v>
      </c>
      <c r="F92" s="45" t="s">
        <v>2171</v>
      </c>
      <c r="G92" s="56">
        <v>30000</v>
      </c>
      <c r="H92" s="56"/>
      <c r="I92" s="58">
        <f t="shared" si="5"/>
        <v>41489.5499999999</v>
      </c>
      <c r="J92" s="56"/>
    </row>
    <row r="93" ht="20" customHeight="1" spans="2:10">
      <c r="B93" s="42">
        <v>6</v>
      </c>
      <c r="C93" s="42">
        <v>5</v>
      </c>
      <c r="D93" s="42" t="s">
        <v>70</v>
      </c>
      <c r="E93" s="75" t="s">
        <v>2097</v>
      </c>
      <c r="F93" s="75" t="s">
        <v>2150</v>
      </c>
      <c r="G93" s="55">
        <v>1938.14</v>
      </c>
      <c r="H93" s="56"/>
      <c r="I93" s="58">
        <f t="shared" si="5"/>
        <v>43427.6899999999</v>
      </c>
      <c r="J93" s="56"/>
    </row>
    <row r="94" ht="20" customHeight="1" spans="2:10">
      <c r="B94" s="42">
        <v>6</v>
      </c>
      <c r="C94" s="42">
        <v>5</v>
      </c>
      <c r="D94" s="42" t="s">
        <v>79</v>
      </c>
      <c r="E94" s="75" t="s">
        <v>2097</v>
      </c>
      <c r="F94" s="75" t="s">
        <v>2172</v>
      </c>
      <c r="G94" s="55">
        <v>1933.05</v>
      </c>
      <c r="H94" s="56"/>
      <c r="I94" s="58">
        <f t="shared" si="5"/>
        <v>45360.7399999999</v>
      </c>
      <c r="J94" s="56"/>
    </row>
    <row r="95" ht="20" customHeight="1" spans="2:10">
      <c r="B95" s="42">
        <v>6</v>
      </c>
      <c r="C95" s="42">
        <v>5</v>
      </c>
      <c r="D95" s="42" t="s">
        <v>72</v>
      </c>
      <c r="E95" s="75" t="s">
        <v>2097</v>
      </c>
      <c r="F95" s="75" t="s">
        <v>2173</v>
      </c>
      <c r="G95" s="55">
        <v>2076.19</v>
      </c>
      <c r="H95" s="56"/>
      <c r="I95" s="58">
        <f t="shared" si="5"/>
        <v>47436.9299999999</v>
      </c>
      <c r="J95" s="56"/>
    </row>
    <row r="96" ht="20" customHeight="1" spans="2:10">
      <c r="B96" s="42">
        <v>6</v>
      </c>
      <c r="C96" s="42">
        <v>5</v>
      </c>
      <c r="D96" s="42" t="s">
        <v>70</v>
      </c>
      <c r="E96" s="75" t="s">
        <v>2097</v>
      </c>
      <c r="F96" s="75" t="s">
        <v>2174</v>
      </c>
      <c r="G96" s="55">
        <v>52.62</v>
      </c>
      <c r="H96" s="56"/>
      <c r="I96" s="58">
        <f t="shared" si="5"/>
        <v>47489.5499999999</v>
      </c>
      <c r="J96" s="56"/>
    </row>
    <row r="97" ht="20" customHeight="1" spans="2:10">
      <c r="B97" s="42">
        <v>6</v>
      </c>
      <c r="C97" s="42">
        <v>9</v>
      </c>
      <c r="D97" s="74" t="s">
        <v>69</v>
      </c>
      <c r="E97" s="117" t="s">
        <v>1807</v>
      </c>
      <c r="F97" s="45" t="s">
        <v>2171</v>
      </c>
      <c r="G97" s="56">
        <v>40000</v>
      </c>
      <c r="H97" s="56"/>
      <c r="I97" s="58">
        <f t="shared" si="5"/>
        <v>87489.5499999999</v>
      </c>
      <c r="J97" s="56"/>
    </row>
    <row r="98" ht="20" customHeight="1" spans="2:10">
      <c r="B98" s="42">
        <v>6</v>
      </c>
      <c r="C98" s="42">
        <v>9</v>
      </c>
      <c r="D98" s="42" t="s">
        <v>145</v>
      </c>
      <c r="E98" s="44" t="s">
        <v>1962</v>
      </c>
      <c r="F98" s="45" t="s">
        <v>2168</v>
      </c>
      <c r="G98" s="56"/>
      <c r="H98" s="56">
        <v>70000</v>
      </c>
      <c r="I98" s="58">
        <f t="shared" si="5"/>
        <v>17489.5499999999</v>
      </c>
      <c r="J98" s="56"/>
    </row>
    <row r="99" ht="20" customHeight="1" spans="2:10">
      <c r="B99" s="42">
        <v>6</v>
      </c>
      <c r="C99" s="42">
        <v>14</v>
      </c>
      <c r="D99" s="42" t="s">
        <v>79</v>
      </c>
      <c r="E99" s="44" t="s">
        <v>2175</v>
      </c>
      <c r="F99" s="45" t="s">
        <v>2176</v>
      </c>
      <c r="G99" s="56">
        <v>2912.6</v>
      </c>
      <c r="H99" s="56"/>
      <c r="I99" s="58">
        <f t="shared" si="5"/>
        <v>20402.1499999999</v>
      </c>
      <c r="J99" s="56"/>
    </row>
    <row r="100" ht="20" customHeight="1" spans="2:10">
      <c r="B100" s="42">
        <v>6</v>
      </c>
      <c r="C100" s="42">
        <v>14</v>
      </c>
      <c r="D100" s="42" t="s">
        <v>72</v>
      </c>
      <c r="E100" s="44" t="s">
        <v>2175</v>
      </c>
      <c r="F100" s="45" t="s">
        <v>2177</v>
      </c>
      <c r="G100" s="56">
        <v>572.59</v>
      </c>
      <c r="H100" s="56"/>
      <c r="I100" s="58">
        <f t="shared" si="5"/>
        <v>20974.7399999999</v>
      </c>
      <c r="J100" s="56"/>
    </row>
    <row r="101" ht="20" customHeight="1" spans="2:10">
      <c r="B101" s="42">
        <v>6</v>
      </c>
      <c r="C101" s="42">
        <v>14</v>
      </c>
      <c r="D101" s="42" t="s">
        <v>79</v>
      </c>
      <c r="E101" s="44" t="s">
        <v>2175</v>
      </c>
      <c r="F101" s="45" t="s">
        <v>2178</v>
      </c>
      <c r="G101" s="56">
        <v>6629.72</v>
      </c>
      <c r="H101" s="56"/>
      <c r="I101" s="58">
        <f t="shared" si="5"/>
        <v>27604.4599999999</v>
      </c>
      <c r="J101" s="56"/>
    </row>
    <row r="102" ht="20" customHeight="1" spans="2:10">
      <c r="B102" s="42">
        <v>6</v>
      </c>
      <c r="C102" s="42">
        <v>14</v>
      </c>
      <c r="D102" s="42" t="s">
        <v>72</v>
      </c>
      <c r="E102" s="44" t="s">
        <v>2175</v>
      </c>
      <c r="F102" s="45" t="s">
        <v>2179</v>
      </c>
      <c r="G102" s="56">
        <v>1278.23</v>
      </c>
      <c r="H102" s="56"/>
      <c r="I102" s="58">
        <f t="shared" si="5"/>
        <v>28882.6899999999</v>
      </c>
      <c r="J102" s="56"/>
    </row>
    <row r="103" ht="20" customHeight="1" spans="2:10">
      <c r="B103" s="42">
        <v>6</v>
      </c>
      <c r="C103" s="42">
        <v>14</v>
      </c>
      <c r="D103" s="42" t="s">
        <v>79</v>
      </c>
      <c r="E103" s="44" t="s">
        <v>2175</v>
      </c>
      <c r="F103" s="45" t="s">
        <v>2180</v>
      </c>
      <c r="G103" s="56">
        <v>2991.96</v>
      </c>
      <c r="H103" s="56"/>
      <c r="I103" s="58">
        <f t="shared" si="5"/>
        <v>31874.6499999999</v>
      </c>
      <c r="J103" s="56"/>
    </row>
    <row r="104" ht="20" customHeight="1" spans="2:10">
      <c r="B104" s="42">
        <v>6</v>
      </c>
      <c r="C104" s="42">
        <v>14</v>
      </c>
      <c r="D104" s="42" t="s">
        <v>72</v>
      </c>
      <c r="E104" s="44" t="s">
        <v>2175</v>
      </c>
      <c r="F104" s="45" t="s">
        <v>2181</v>
      </c>
      <c r="G104" s="56">
        <v>537.47</v>
      </c>
      <c r="H104" s="56"/>
      <c r="I104" s="58">
        <f t="shared" si="5"/>
        <v>32412.1199999999</v>
      </c>
      <c r="J104" s="56"/>
    </row>
    <row r="105" ht="20" customHeight="1" spans="2:10">
      <c r="B105" s="42">
        <v>6</v>
      </c>
      <c r="C105" s="42">
        <v>14</v>
      </c>
      <c r="D105" s="42" t="s">
        <v>79</v>
      </c>
      <c r="E105" s="44" t="s">
        <v>2175</v>
      </c>
      <c r="F105" s="45" t="s">
        <v>2182</v>
      </c>
      <c r="G105" s="56">
        <v>439.86</v>
      </c>
      <c r="H105" s="56"/>
      <c r="I105" s="58">
        <f t="shared" si="5"/>
        <v>32851.9799999999</v>
      </c>
      <c r="J105" s="56"/>
    </row>
    <row r="106" ht="20" customHeight="1" spans="2:10">
      <c r="B106" s="42">
        <v>6</v>
      </c>
      <c r="C106" s="42">
        <v>14</v>
      </c>
      <c r="D106" s="42" t="s">
        <v>79</v>
      </c>
      <c r="E106" s="44" t="s">
        <v>2175</v>
      </c>
      <c r="F106" s="101" t="s">
        <v>2183</v>
      </c>
      <c r="G106" s="56">
        <v>-3659.65</v>
      </c>
      <c r="H106" s="56"/>
      <c r="I106" s="58">
        <f t="shared" si="5"/>
        <v>29192.3299999999</v>
      </c>
      <c r="J106" s="56"/>
    </row>
    <row r="107" ht="20" customHeight="1" spans="2:10">
      <c r="B107" s="42">
        <v>6</v>
      </c>
      <c r="C107" s="42">
        <v>14</v>
      </c>
      <c r="D107" s="42" t="s">
        <v>72</v>
      </c>
      <c r="E107" s="44" t="s">
        <v>2175</v>
      </c>
      <c r="F107" s="101" t="s">
        <v>2184</v>
      </c>
      <c r="G107" s="56">
        <v>-649.8</v>
      </c>
      <c r="H107" s="56"/>
      <c r="I107" s="58">
        <f t="shared" si="5"/>
        <v>28542.5299999999</v>
      </c>
      <c r="J107" s="56"/>
    </row>
    <row r="108" ht="20" customHeight="1" spans="2:10">
      <c r="B108" s="42">
        <v>6</v>
      </c>
      <c r="C108" s="42">
        <v>14</v>
      </c>
      <c r="D108" s="42" t="s">
        <v>79</v>
      </c>
      <c r="E108" s="44" t="s">
        <v>2175</v>
      </c>
      <c r="F108" s="45" t="s">
        <v>2185</v>
      </c>
      <c r="G108" s="56">
        <v>-1056.07</v>
      </c>
      <c r="H108" s="56"/>
      <c r="I108" s="58">
        <f>I106+G108-H108</f>
        <v>28136.2599999999</v>
      </c>
      <c r="J108" s="56"/>
    </row>
    <row r="109" ht="20" customHeight="1" spans="2:10">
      <c r="B109" s="42">
        <v>6</v>
      </c>
      <c r="C109" s="42">
        <v>14</v>
      </c>
      <c r="D109" s="42" t="s">
        <v>72</v>
      </c>
      <c r="E109" s="44" t="s">
        <v>2175</v>
      </c>
      <c r="F109" s="45" t="s">
        <v>2186</v>
      </c>
      <c r="G109" s="56">
        <v>-626.25</v>
      </c>
      <c r="H109" s="56"/>
      <c r="I109" s="58">
        <f t="shared" ref="I109:I121" si="6">I108+G109-H109</f>
        <v>27510.0099999999</v>
      </c>
      <c r="J109" s="56"/>
    </row>
    <row r="110" ht="20" customHeight="1" spans="2:10">
      <c r="B110" s="42">
        <v>6</v>
      </c>
      <c r="C110" s="42">
        <v>15</v>
      </c>
      <c r="D110" s="42" t="s">
        <v>88</v>
      </c>
      <c r="E110" s="44" t="s">
        <v>335</v>
      </c>
      <c r="F110" s="95" t="s">
        <v>2187</v>
      </c>
      <c r="G110" s="56">
        <v>19745.39</v>
      </c>
      <c r="H110" s="56"/>
      <c r="I110" s="58">
        <f t="shared" si="6"/>
        <v>47255.3999999999</v>
      </c>
      <c r="J110" s="56"/>
    </row>
    <row r="111" ht="20" customHeight="1" spans="2:10">
      <c r="B111" s="42">
        <v>6</v>
      </c>
      <c r="C111" s="42">
        <v>15</v>
      </c>
      <c r="D111" s="74" t="s">
        <v>69</v>
      </c>
      <c r="E111" s="45" t="s">
        <v>1807</v>
      </c>
      <c r="F111" s="95" t="s">
        <v>2187</v>
      </c>
      <c r="G111" s="56"/>
      <c r="H111" s="56">
        <v>19745.39</v>
      </c>
      <c r="I111" s="58">
        <f t="shared" si="6"/>
        <v>27510.0099999999</v>
      </c>
      <c r="J111" s="56"/>
    </row>
    <row r="112" ht="20" customHeight="1" spans="2:10">
      <c r="B112" s="42">
        <v>6</v>
      </c>
      <c r="C112" s="42">
        <v>16</v>
      </c>
      <c r="D112" s="42" t="s">
        <v>86</v>
      </c>
      <c r="E112" s="44" t="s">
        <v>2165</v>
      </c>
      <c r="F112" s="45" t="s">
        <v>2188</v>
      </c>
      <c r="G112" s="56">
        <v>150000</v>
      </c>
      <c r="H112" s="56"/>
      <c r="I112" s="58">
        <f t="shared" si="6"/>
        <v>177510.01</v>
      </c>
      <c r="J112" s="59" t="s">
        <v>2189</v>
      </c>
    </row>
    <row r="113" ht="20" customHeight="1" spans="2:10">
      <c r="B113" s="42">
        <v>6</v>
      </c>
      <c r="C113" s="42">
        <v>16</v>
      </c>
      <c r="D113" s="74" t="s">
        <v>69</v>
      </c>
      <c r="E113" s="117" t="s">
        <v>1807</v>
      </c>
      <c r="F113" s="45" t="s">
        <v>2117</v>
      </c>
      <c r="G113" s="56"/>
      <c r="H113" s="56">
        <v>150000</v>
      </c>
      <c r="I113" s="58">
        <f t="shared" si="6"/>
        <v>27510.0099999999</v>
      </c>
      <c r="J113" s="56"/>
    </row>
    <row r="114" ht="20" customHeight="1" spans="2:10">
      <c r="B114" s="42">
        <v>6</v>
      </c>
      <c r="C114" s="42">
        <v>21</v>
      </c>
      <c r="D114" s="42" t="s">
        <v>29</v>
      </c>
      <c r="E114" s="117" t="s">
        <v>161</v>
      </c>
      <c r="F114" s="45" t="s">
        <v>29</v>
      </c>
      <c r="G114" s="56">
        <v>5.48</v>
      </c>
      <c r="H114" s="56"/>
      <c r="I114" s="58">
        <f t="shared" si="6"/>
        <v>27515.4899999999</v>
      </c>
      <c r="J114" s="56"/>
    </row>
    <row r="115" ht="20" customHeight="1" spans="2:10">
      <c r="B115" s="42">
        <v>6</v>
      </c>
      <c r="C115" s="42">
        <v>21</v>
      </c>
      <c r="D115" s="94" t="s">
        <v>120</v>
      </c>
      <c r="E115" s="95" t="s">
        <v>251</v>
      </c>
      <c r="F115" s="95" t="s">
        <v>2104</v>
      </c>
      <c r="G115" s="56"/>
      <c r="H115" s="56">
        <v>3302.36</v>
      </c>
      <c r="I115" s="58">
        <f t="shared" si="6"/>
        <v>24213.1299999999</v>
      </c>
      <c r="J115" s="56"/>
    </row>
    <row r="116" ht="20" customHeight="1" spans="2:10">
      <c r="B116" s="42">
        <v>6</v>
      </c>
      <c r="C116" s="42">
        <v>25</v>
      </c>
      <c r="D116" s="42" t="s">
        <v>71</v>
      </c>
      <c r="E116" s="44" t="s">
        <v>669</v>
      </c>
      <c r="F116" s="102" t="s">
        <v>2190</v>
      </c>
      <c r="G116" s="56">
        <v>22727.27</v>
      </c>
      <c r="H116" s="56"/>
      <c r="I116" s="58">
        <f t="shared" si="6"/>
        <v>46940.3999999999</v>
      </c>
      <c r="J116" s="56"/>
    </row>
    <row r="117" ht="20" customHeight="1" spans="2:10">
      <c r="B117" s="42">
        <v>6</v>
      </c>
      <c r="C117" s="42">
        <v>25</v>
      </c>
      <c r="D117" s="42" t="s">
        <v>86</v>
      </c>
      <c r="E117" s="44" t="s">
        <v>2165</v>
      </c>
      <c r="F117" s="45" t="s">
        <v>2167</v>
      </c>
      <c r="G117" s="56">
        <v>300000</v>
      </c>
      <c r="H117" s="56"/>
      <c r="I117" s="58">
        <f t="shared" si="6"/>
        <v>346940.4</v>
      </c>
      <c r="J117" s="59" t="s">
        <v>2189</v>
      </c>
    </row>
    <row r="118" ht="20" customHeight="1" spans="2:10">
      <c r="B118" s="42">
        <v>6</v>
      </c>
      <c r="C118" s="42">
        <v>27</v>
      </c>
      <c r="D118" s="42" t="s">
        <v>137</v>
      </c>
      <c r="E118" s="44" t="s">
        <v>251</v>
      </c>
      <c r="F118" s="45" t="s">
        <v>2191</v>
      </c>
      <c r="G118" s="56"/>
      <c r="H118" s="56">
        <v>300000</v>
      </c>
      <c r="I118" s="58">
        <f t="shared" si="6"/>
        <v>46940.3999999999</v>
      </c>
      <c r="J118" s="59" t="s">
        <v>2170</v>
      </c>
    </row>
    <row r="119" ht="20" customHeight="1" spans="2:10">
      <c r="B119" s="42">
        <v>6</v>
      </c>
      <c r="C119" s="42">
        <v>30</v>
      </c>
      <c r="D119" s="42" t="s">
        <v>70</v>
      </c>
      <c r="E119" s="75" t="s">
        <v>2097</v>
      </c>
      <c r="F119" s="75" t="s">
        <v>2192</v>
      </c>
      <c r="G119" s="55">
        <v>7600</v>
      </c>
      <c r="H119" s="56"/>
      <c r="I119" s="58">
        <f t="shared" si="6"/>
        <v>54540.3999999999</v>
      </c>
      <c r="J119" s="56"/>
    </row>
    <row r="120" ht="20" customHeight="1" spans="2:10">
      <c r="B120" s="42">
        <v>6</v>
      </c>
      <c r="C120" s="42">
        <v>30</v>
      </c>
      <c r="D120" s="42" t="s">
        <v>79</v>
      </c>
      <c r="E120" s="75" t="s">
        <v>2097</v>
      </c>
      <c r="F120" s="75" t="s">
        <v>2193</v>
      </c>
      <c r="G120" s="55">
        <v>2980.25</v>
      </c>
      <c r="H120" s="56"/>
      <c r="I120" s="58">
        <f t="shared" si="6"/>
        <v>57520.6499999999</v>
      </c>
      <c r="J120" s="56"/>
    </row>
    <row r="121" ht="20" customHeight="1" spans="2:10">
      <c r="B121" s="42">
        <v>6</v>
      </c>
      <c r="C121" s="42">
        <v>30</v>
      </c>
      <c r="D121" s="42" t="s">
        <v>70</v>
      </c>
      <c r="E121" s="75" t="s">
        <v>2097</v>
      </c>
      <c r="F121" s="75" t="s">
        <v>2174</v>
      </c>
      <c r="G121" s="55">
        <v>1419.75</v>
      </c>
      <c r="H121" s="56"/>
      <c r="I121" s="58">
        <f t="shared" si="6"/>
        <v>58940.3999999999</v>
      </c>
      <c r="J121" s="56"/>
    </row>
    <row r="122" ht="20" customHeight="1" spans="2:10">
      <c r="B122" s="68"/>
      <c r="C122" s="68"/>
      <c r="D122" s="68"/>
      <c r="E122" s="130"/>
      <c r="F122" s="70" t="s">
        <v>22</v>
      </c>
      <c r="G122" s="71">
        <f>SUM(G86:G121)</f>
        <v>952348.8</v>
      </c>
      <c r="H122" s="71">
        <f>SUM(H86:H121)</f>
        <v>987947.75</v>
      </c>
      <c r="I122" s="72">
        <f>I85+G122-H122</f>
        <v>58290.5999999999</v>
      </c>
      <c r="J122" s="71"/>
    </row>
    <row r="123" ht="20" customHeight="1" spans="2:10">
      <c r="B123" s="90">
        <v>7</v>
      </c>
      <c r="C123" s="90">
        <v>6</v>
      </c>
      <c r="D123" s="86" t="s">
        <v>69</v>
      </c>
      <c r="E123" s="91" t="s">
        <v>1809</v>
      </c>
      <c r="F123" s="88" t="s">
        <v>2194</v>
      </c>
      <c r="G123" s="147">
        <v>200000</v>
      </c>
      <c r="H123" s="89"/>
      <c r="I123" s="61">
        <f t="shared" ref="I123:I142" si="7">I122+G123-H123</f>
        <v>258290.6</v>
      </c>
      <c r="J123" s="89"/>
    </row>
    <row r="124" ht="20" customHeight="1" spans="2:10">
      <c r="B124" s="90">
        <v>7</v>
      </c>
      <c r="C124" s="90">
        <v>6</v>
      </c>
      <c r="D124" s="86" t="s">
        <v>138</v>
      </c>
      <c r="E124" s="91" t="s">
        <v>2195</v>
      </c>
      <c r="F124" s="88" t="s">
        <v>2196</v>
      </c>
      <c r="G124" s="89"/>
      <c r="H124" s="76">
        <v>80000</v>
      </c>
      <c r="I124" s="61">
        <f t="shared" si="7"/>
        <v>178290.6</v>
      </c>
      <c r="J124" s="89"/>
    </row>
    <row r="125" ht="20" customHeight="1" spans="2:10">
      <c r="B125" s="90">
        <v>7</v>
      </c>
      <c r="C125" s="90">
        <v>7</v>
      </c>
      <c r="D125" s="86" t="s">
        <v>139</v>
      </c>
      <c r="E125" s="91" t="s">
        <v>2197</v>
      </c>
      <c r="F125" s="88" t="s">
        <v>2198</v>
      </c>
      <c r="G125" s="89"/>
      <c r="H125" s="76">
        <v>60000</v>
      </c>
      <c r="I125" s="61">
        <f t="shared" si="7"/>
        <v>118290.6</v>
      </c>
      <c r="J125" s="89"/>
    </row>
    <row r="126" ht="20" customHeight="1" spans="2:10">
      <c r="B126" s="90">
        <v>7</v>
      </c>
      <c r="C126" s="90">
        <v>7</v>
      </c>
      <c r="D126" s="86" t="s">
        <v>69</v>
      </c>
      <c r="E126" s="45" t="s">
        <v>1809</v>
      </c>
      <c r="F126" s="75" t="s">
        <v>2199</v>
      </c>
      <c r="G126" s="147">
        <v>59000</v>
      </c>
      <c r="H126" s="89"/>
      <c r="I126" s="61">
        <f t="shared" si="7"/>
        <v>177290.6</v>
      </c>
      <c r="J126" s="89"/>
    </row>
    <row r="127" ht="20" customHeight="1" spans="2:10">
      <c r="B127" s="90">
        <v>7</v>
      </c>
      <c r="C127" s="90">
        <v>7</v>
      </c>
      <c r="D127" s="42" t="s">
        <v>137</v>
      </c>
      <c r="E127" s="44" t="s">
        <v>2200</v>
      </c>
      <c r="F127" s="88" t="s">
        <v>2201</v>
      </c>
      <c r="G127" s="89"/>
      <c r="H127" s="76">
        <v>173200</v>
      </c>
      <c r="I127" s="61">
        <f t="shared" si="7"/>
        <v>4090.59999999989</v>
      </c>
      <c r="J127" s="89"/>
    </row>
    <row r="128" ht="20" customHeight="1" spans="2:10">
      <c r="B128" s="90">
        <v>7</v>
      </c>
      <c r="C128" s="90">
        <v>7</v>
      </c>
      <c r="D128" s="42" t="s">
        <v>70</v>
      </c>
      <c r="E128" s="117" t="s">
        <v>2095</v>
      </c>
      <c r="F128" s="75" t="s">
        <v>2202</v>
      </c>
      <c r="G128" s="145">
        <v>2500</v>
      </c>
      <c r="H128" s="89"/>
      <c r="I128" s="61">
        <f t="shared" si="7"/>
        <v>6590.59999999989</v>
      </c>
      <c r="J128" s="89"/>
    </row>
    <row r="129" ht="20" customHeight="1" spans="2:10">
      <c r="B129" s="90">
        <v>7</v>
      </c>
      <c r="C129" s="90">
        <v>8</v>
      </c>
      <c r="D129" s="86" t="s">
        <v>79</v>
      </c>
      <c r="E129" s="91" t="s">
        <v>2203</v>
      </c>
      <c r="F129" s="88" t="s">
        <v>2204</v>
      </c>
      <c r="G129" s="147">
        <v>54.88</v>
      </c>
      <c r="H129" s="89"/>
      <c r="I129" s="61">
        <f t="shared" si="7"/>
        <v>6645.47999999989</v>
      </c>
      <c r="J129" s="89"/>
    </row>
    <row r="130" ht="20" customHeight="1" spans="2:10">
      <c r="B130" s="42">
        <v>7</v>
      </c>
      <c r="C130" s="42">
        <v>9</v>
      </c>
      <c r="D130" s="42" t="s">
        <v>86</v>
      </c>
      <c r="E130" s="44" t="s">
        <v>1962</v>
      </c>
      <c r="F130" s="75" t="s">
        <v>2188</v>
      </c>
      <c r="G130" s="145">
        <v>100000</v>
      </c>
      <c r="H130" s="56"/>
      <c r="I130" s="61">
        <f t="shared" si="7"/>
        <v>106645.48</v>
      </c>
      <c r="J130" s="59" t="s">
        <v>2189</v>
      </c>
    </row>
    <row r="131" ht="20" customHeight="1" spans="2:10">
      <c r="B131" s="42">
        <v>7</v>
      </c>
      <c r="C131" s="42">
        <v>9</v>
      </c>
      <c r="D131" s="74" t="s">
        <v>69</v>
      </c>
      <c r="E131" s="117" t="s">
        <v>1807</v>
      </c>
      <c r="F131" s="75" t="s">
        <v>2188</v>
      </c>
      <c r="G131" s="56"/>
      <c r="H131" s="55">
        <v>100000</v>
      </c>
      <c r="I131" s="61">
        <f t="shared" si="7"/>
        <v>6645.47999999989</v>
      </c>
      <c r="J131" s="56"/>
    </row>
    <row r="132" ht="20" customHeight="1" spans="2:10">
      <c r="B132" s="42">
        <v>7</v>
      </c>
      <c r="C132" s="42">
        <v>14</v>
      </c>
      <c r="D132" s="42" t="s">
        <v>88</v>
      </c>
      <c r="E132" s="45" t="s">
        <v>2107</v>
      </c>
      <c r="F132" s="75" t="s">
        <v>2205</v>
      </c>
      <c r="G132" s="145">
        <v>65554.73</v>
      </c>
      <c r="H132" s="56"/>
      <c r="I132" s="61">
        <f t="shared" si="7"/>
        <v>72200.2099999999</v>
      </c>
      <c r="J132" s="56"/>
    </row>
    <row r="133" ht="20" customHeight="1" spans="2:10">
      <c r="B133" s="42">
        <v>7</v>
      </c>
      <c r="C133" s="42">
        <v>14</v>
      </c>
      <c r="D133" s="42" t="s">
        <v>86</v>
      </c>
      <c r="E133" s="44" t="s">
        <v>20</v>
      </c>
      <c r="F133" s="75" t="s">
        <v>2206</v>
      </c>
      <c r="G133" s="145">
        <v>50000</v>
      </c>
      <c r="H133" s="56"/>
      <c r="I133" s="61">
        <f t="shared" si="7"/>
        <v>122200.21</v>
      </c>
      <c r="J133" s="56"/>
    </row>
    <row r="134" ht="20" customHeight="1" spans="2:10">
      <c r="B134" s="42">
        <v>7</v>
      </c>
      <c r="C134" s="42">
        <v>14</v>
      </c>
      <c r="D134" s="74" t="s">
        <v>69</v>
      </c>
      <c r="E134" s="117" t="s">
        <v>1807</v>
      </c>
      <c r="F134" s="75" t="s">
        <v>1979</v>
      </c>
      <c r="G134" s="56"/>
      <c r="H134" s="55">
        <v>50000</v>
      </c>
      <c r="I134" s="61">
        <f t="shared" si="7"/>
        <v>72200.2099999999</v>
      </c>
      <c r="J134" s="56"/>
    </row>
    <row r="135" ht="20" customHeight="1" spans="2:10">
      <c r="B135" s="42">
        <v>7</v>
      </c>
      <c r="C135" s="42">
        <v>15</v>
      </c>
      <c r="D135" s="42" t="s">
        <v>88</v>
      </c>
      <c r="E135" s="44" t="s">
        <v>335</v>
      </c>
      <c r="F135" s="75" t="s">
        <v>2207</v>
      </c>
      <c r="G135" s="145">
        <v>20000</v>
      </c>
      <c r="H135" s="56"/>
      <c r="I135" s="61">
        <f t="shared" si="7"/>
        <v>92200.2099999999</v>
      </c>
      <c r="J135" s="56"/>
    </row>
    <row r="136" ht="20" customHeight="1" spans="2:10">
      <c r="B136" s="42">
        <v>7</v>
      </c>
      <c r="C136" s="42">
        <v>14</v>
      </c>
      <c r="D136" s="74" t="s">
        <v>69</v>
      </c>
      <c r="E136" s="45" t="s">
        <v>1807</v>
      </c>
      <c r="F136" s="75" t="s">
        <v>2207</v>
      </c>
      <c r="G136" s="56"/>
      <c r="H136" s="55">
        <v>20000</v>
      </c>
      <c r="I136" s="61">
        <f t="shared" si="7"/>
        <v>72200.2099999999</v>
      </c>
      <c r="J136" s="56"/>
    </row>
    <row r="137" ht="20" customHeight="1" spans="2:10">
      <c r="B137" s="42">
        <v>7</v>
      </c>
      <c r="C137" s="42">
        <v>16</v>
      </c>
      <c r="D137" s="42" t="s">
        <v>70</v>
      </c>
      <c r="E137" s="95" t="s">
        <v>2208</v>
      </c>
      <c r="F137" s="75" t="s">
        <v>2174</v>
      </c>
      <c r="G137" s="145">
        <v>5000</v>
      </c>
      <c r="H137" s="56"/>
      <c r="I137" s="61">
        <f t="shared" si="7"/>
        <v>77200.2099999999</v>
      </c>
      <c r="J137" s="56"/>
    </row>
    <row r="138" ht="20" customHeight="1" spans="2:10">
      <c r="B138" s="42">
        <v>7</v>
      </c>
      <c r="C138" s="42">
        <v>17</v>
      </c>
      <c r="D138" s="74" t="s">
        <v>69</v>
      </c>
      <c r="E138" s="117" t="s">
        <v>1807</v>
      </c>
      <c r="F138" s="75" t="s">
        <v>1979</v>
      </c>
      <c r="G138" s="55"/>
      <c r="H138" s="55">
        <v>71000</v>
      </c>
      <c r="I138" s="61">
        <f t="shared" si="7"/>
        <v>6200.20999999989</v>
      </c>
      <c r="J138" s="56"/>
    </row>
    <row r="139" ht="20" customHeight="1" spans="2:10">
      <c r="B139" s="42">
        <v>7</v>
      </c>
      <c r="C139" s="42">
        <v>21</v>
      </c>
      <c r="D139" s="94" t="s">
        <v>120</v>
      </c>
      <c r="E139" s="95" t="s">
        <v>251</v>
      </c>
      <c r="F139" s="75" t="s">
        <v>2104</v>
      </c>
      <c r="G139" s="56"/>
      <c r="H139" s="55">
        <v>3195.83</v>
      </c>
      <c r="I139" s="61">
        <f t="shared" si="7"/>
        <v>3004.37999999989</v>
      </c>
      <c r="J139" s="56"/>
    </row>
    <row r="140" ht="20" customHeight="1" spans="2:10">
      <c r="B140" s="42">
        <v>7</v>
      </c>
      <c r="C140" s="42">
        <v>21</v>
      </c>
      <c r="D140" s="74" t="s">
        <v>69</v>
      </c>
      <c r="E140" s="117" t="s">
        <v>1807</v>
      </c>
      <c r="F140" s="75" t="s">
        <v>2171</v>
      </c>
      <c r="G140" s="145">
        <v>40000</v>
      </c>
      <c r="H140" s="56"/>
      <c r="I140" s="61">
        <f t="shared" si="7"/>
        <v>43004.3799999999</v>
      </c>
      <c r="J140" s="56"/>
    </row>
    <row r="141" ht="20" customHeight="1" spans="2:10">
      <c r="B141" s="42">
        <v>7</v>
      </c>
      <c r="C141" s="42">
        <v>21</v>
      </c>
      <c r="D141" s="86" t="s">
        <v>139</v>
      </c>
      <c r="E141" s="91" t="s">
        <v>2197</v>
      </c>
      <c r="F141" s="88" t="s">
        <v>2209</v>
      </c>
      <c r="G141" s="56"/>
      <c r="H141" s="55">
        <v>40000</v>
      </c>
      <c r="I141" s="61">
        <f t="shared" si="7"/>
        <v>3004.37999999989</v>
      </c>
      <c r="J141" s="56"/>
    </row>
    <row r="142" ht="20" customHeight="1" spans="2:10">
      <c r="B142" s="42">
        <v>7</v>
      </c>
      <c r="C142" s="42">
        <v>23</v>
      </c>
      <c r="D142" s="86" t="s">
        <v>71</v>
      </c>
      <c r="E142" s="44" t="s">
        <v>669</v>
      </c>
      <c r="F142" s="88" t="s">
        <v>2210</v>
      </c>
      <c r="G142" s="145">
        <v>24635.36</v>
      </c>
      <c r="H142" s="56"/>
      <c r="I142" s="61">
        <f t="shared" si="7"/>
        <v>27639.7399999999</v>
      </c>
      <c r="J142" s="56"/>
    </row>
    <row r="143" ht="20" customHeight="1" spans="2:10">
      <c r="B143" s="42">
        <v>7</v>
      </c>
      <c r="C143" s="42">
        <v>21</v>
      </c>
      <c r="D143" s="148" t="s">
        <v>138</v>
      </c>
      <c r="E143" s="149" t="s">
        <v>2211</v>
      </c>
      <c r="F143" s="150" t="s">
        <v>2212</v>
      </c>
      <c r="G143" s="151"/>
      <c r="H143" s="151">
        <v>50000</v>
      </c>
      <c r="I143" s="61"/>
      <c r="J143" s="56"/>
    </row>
    <row r="144" ht="20" customHeight="1" spans="2:10">
      <c r="B144" s="152"/>
      <c r="C144" s="152"/>
      <c r="D144" s="152"/>
      <c r="E144" s="153"/>
      <c r="F144" s="154" t="s">
        <v>22</v>
      </c>
      <c r="G144" s="155">
        <f>SUM(G123:G142)</f>
        <v>566744.97</v>
      </c>
      <c r="H144" s="155">
        <f>SUM(H123:H142)</f>
        <v>597395.83</v>
      </c>
      <c r="I144" s="156">
        <f>I122+G144-H144</f>
        <v>27639.7399999999</v>
      </c>
      <c r="J144" s="155"/>
    </row>
    <row r="145" ht="20" customHeight="1" spans="2:10">
      <c r="B145" s="42">
        <v>8</v>
      </c>
      <c r="C145" s="42">
        <v>3</v>
      </c>
      <c r="D145" s="42" t="s">
        <v>70</v>
      </c>
      <c r="E145" s="157" t="s">
        <v>2213</v>
      </c>
      <c r="F145" s="75" t="s">
        <v>2214</v>
      </c>
      <c r="G145" s="55">
        <v>7600</v>
      </c>
      <c r="H145" s="56"/>
      <c r="I145" s="61">
        <f>I144+G145-H145</f>
        <v>35239.7399999999</v>
      </c>
      <c r="J145" s="56"/>
    </row>
    <row r="146" ht="20" customHeight="1" spans="2:10">
      <c r="B146" s="158">
        <v>8</v>
      </c>
      <c r="C146" s="158">
        <v>3</v>
      </c>
      <c r="D146" s="42" t="s">
        <v>79</v>
      </c>
      <c r="E146" s="95" t="s">
        <v>2208</v>
      </c>
      <c r="F146" s="75" t="s">
        <v>2215</v>
      </c>
      <c r="G146" s="159">
        <v>2400</v>
      </c>
      <c r="H146" s="81"/>
      <c r="I146" s="61">
        <f t="shared" ref="I146:I162" si="8">I145+G146-H146</f>
        <v>37639.7399999999</v>
      </c>
      <c r="J146" s="81"/>
    </row>
    <row r="147" ht="20" customHeight="1" spans="2:10">
      <c r="B147" s="158">
        <v>8</v>
      </c>
      <c r="C147" s="158">
        <v>6</v>
      </c>
      <c r="D147" s="42" t="s">
        <v>79</v>
      </c>
      <c r="E147" s="95" t="s">
        <v>2208</v>
      </c>
      <c r="F147" s="75" t="s">
        <v>2216</v>
      </c>
      <c r="G147" s="159">
        <v>1061.15</v>
      </c>
      <c r="H147" s="81"/>
      <c r="I147" s="61">
        <f t="shared" si="8"/>
        <v>38700.8899999999</v>
      </c>
      <c r="J147" s="81"/>
    </row>
    <row r="148" ht="20" customHeight="1" spans="2:10">
      <c r="B148" s="42">
        <v>8</v>
      </c>
      <c r="C148" s="42">
        <v>6</v>
      </c>
      <c r="D148" s="42" t="s">
        <v>70</v>
      </c>
      <c r="E148" s="95" t="s">
        <v>2208</v>
      </c>
      <c r="F148" s="75" t="s">
        <v>2174</v>
      </c>
      <c r="G148" s="55">
        <v>1127.63</v>
      </c>
      <c r="H148" s="56"/>
      <c r="I148" s="61">
        <f t="shared" si="8"/>
        <v>39828.5199999999</v>
      </c>
      <c r="J148" s="56"/>
    </row>
    <row r="149" ht="20" customHeight="1" spans="2:10">
      <c r="B149" s="42">
        <v>8</v>
      </c>
      <c r="C149" s="42">
        <v>6</v>
      </c>
      <c r="D149" s="42" t="s">
        <v>79</v>
      </c>
      <c r="E149" s="95" t="s">
        <v>2208</v>
      </c>
      <c r="F149" s="75" t="s">
        <v>2217</v>
      </c>
      <c r="G149" s="55">
        <v>1940.75</v>
      </c>
      <c r="H149" s="56"/>
      <c r="I149" s="61">
        <f t="shared" si="8"/>
        <v>41769.2699999999</v>
      </c>
      <c r="J149" s="56"/>
    </row>
    <row r="150" ht="20" customHeight="1" spans="2:10">
      <c r="B150" s="42">
        <v>8</v>
      </c>
      <c r="C150" s="42">
        <v>6</v>
      </c>
      <c r="D150" s="42" t="s">
        <v>72</v>
      </c>
      <c r="E150" s="95" t="s">
        <v>2208</v>
      </c>
      <c r="F150" s="75" t="s">
        <v>2218</v>
      </c>
      <c r="G150" s="55">
        <v>1570.01</v>
      </c>
      <c r="H150" s="56"/>
      <c r="I150" s="61">
        <f t="shared" si="8"/>
        <v>43339.2799999999</v>
      </c>
      <c r="J150" s="56"/>
    </row>
    <row r="151" ht="20" customHeight="1" spans="2:10">
      <c r="B151" s="42">
        <v>8</v>
      </c>
      <c r="C151" s="42">
        <v>6</v>
      </c>
      <c r="D151" s="42" t="s">
        <v>70</v>
      </c>
      <c r="E151" s="95" t="s">
        <v>2208</v>
      </c>
      <c r="F151" s="75" t="s">
        <v>2219</v>
      </c>
      <c r="G151" s="55">
        <v>300.46</v>
      </c>
      <c r="H151" s="56"/>
      <c r="I151" s="61">
        <f t="shared" si="8"/>
        <v>43639.7399999999</v>
      </c>
      <c r="J151" s="56"/>
    </row>
    <row r="152" ht="20" customHeight="1" spans="2:10">
      <c r="B152" s="42">
        <v>8</v>
      </c>
      <c r="C152" s="42">
        <v>15</v>
      </c>
      <c r="D152" s="42" t="s">
        <v>79</v>
      </c>
      <c r="E152" s="117" t="s">
        <v>2095</v>
      </c>
      <c r="F152" s="75" t="s">
        <v>2220</v>
      </c>
      <c r="G152" s="55">
        <v>1241.77</v>
      </c>
      <c r="H152" s="56"/>
      <c r="I152" s="61">
        <f t="shared" si="8"/>
        <v>44881.5099999999</v>
      </c>
      <c r="J152" s="56"/>
    </row>
    <row r="153" ht="20" customHeight="1" spans="2:10">
      <c r="B153" s="42">
        <v>8</v>
      </c>
      <c r="C153" s="42">
        <v>15</v>
      </c>
      <c r="D153" s="42" t="s">
        <v>79</v>
      </c>
      <c r="E153" s="117" t="s">
        <v>2095</v>
      </c>
      <c r="F153" s="75" t="s">
        <v>2221</v>
      </c>
      <c r="G153" s="55">
        <v>554.23</v>
      </c>
      <c r="H153" s="56"/>
      <c r="I153" s="61">
        <f t="shared" si="8"/>
        <v>45435.7399999999</v>
      </c>
      <c r="J153" s="56"/>
    </row>
    <row r="154" ht="20" customHeight="1" spans="2:10">
      <c r="B154" s="42">
        <v>8</v>
      </c>
      <c r="C154" s="42">
        <v>15</v>
      </c>
      <c r="D154" s="42" t="s">
        <v>72</v>
      </c>
      <c r="E154" s="117" t="s">
        <v>2095</v>
      </c>
      <c r="F154" s="75" t="s">
        <v>2222</v>
      </c>
      <c r="G154" s="55">
        <v>500</v>
      </c>
      <c r="H154" s="56"/>
      <c r="I154" s="61">
        <f t="shared" si="8"/>
        <v>45935.7399999999</v>
      </c>
      <c r="J154" s="56"/>
    </row>
    <row r="155" ht="20" customHeight="1" spans="2:10">
      <c r="B155" s="42">
        <v>8</v>
      </c>
      <c r="C155" s="42">
        <v>15</v>
      </c>
      <c r="D155" s="42"/>
      <c r="E155" s="117" t="s">
        <v>2095</v>
      </c>
      <c r="F155" s="75" t="s">
        <v>2223</v>
      </c>
      <c r="G155" s="55">
        <v>2000</v>
      </c>
      <c r="H155" s="55">
        <v>2000</v>
      </c>
      <c r="I155" s="61">
        <f t="shared" si="8"/>
        <v>45935.7399999999</v>
      </c>
      <c r="J155" s="160" t="s">
        <v>2224</v>
      </c>
    </row>
    <row r="156" ht="20" customHeight="1" spans="2:10">
      <c r="B156" s="42">
        <v>8</v>
      </c>
      <c r="C156" s="42">
        <v>17</v>
      </c>
      <c r="D156" s="42" t="s">
        <v>88</v>
      </c>
      <c r="E156" s="44" t="s">
        <v>335</v>
      </c>
      <c r="F156" s="75" t="s">
        <v>2225</v>
      </c>
      <c r="G156" s="55">
        <v>25000</v>
      </c>
      <c r="H156" s="56"/>
      <c r="I156" s="61">
        <f t="shared" si="8"/>
        <v>70935.7399999999</v>
      </c>
      <c r="J156" s="56"/>
    </row>
    <row r="157" ht="20" customHeight="1" spans="2:10">
      <c r="B157" s="42">
        <v>8</v>
      </c>
      <c r="C157" s="42">
        <v>17</v>
      </c>
      <c r="D157" s="74" t="s">
        <v>69</v>
      </c>
      <c r="E157" s="45" t="s">
        <v>1807</v>
      </c>
      <c r="F157" s="75" t="s">
        <v>2225</v>
      </c>
      <c r="G157" s="55"/>
      <c r="H157" s="55">
        <v>25000</v>
      </c>
      <c r="I157" s="61">
        <f t="shared" si="8"/>
        <v>45935.7399999999</v>
      </c>
      <c r="J157" s="56"/>
    </row>
    <row r="158" ht="33" customHeight="1" spans="2:10">
      <c r="B158" s="42">
        <v>8</v>
      </c>
      <c r="C158" s="42">
        <v>17</v>
      </c>
      <c r="D158" s="74" t="s">
        <v>69</v>
      </c>
      <c r="E158" s="117" t="s">
        <v>1807</v>
      </c>
      <c r="F158" s="75" t="s">
        <v>1979</v>
      </c>
      <c r="G158" s="55"/>
      <c r="H158" s="55">
        <v>30000</v>
      </c>
      <c r="I158" s="61">
        <f t="shared" si="8"/>
        <v>15935.7399999999</v>
      </c>
      <c r="J158" s="56"/>
    </row>
    <row r="159" ht="20" customHeight="1" spans="2:10">
      <c r="B159" s="42">
        <v>8</v>
      </c>
      <c r="C159" s="42">
        <v>19</v>
      </c>
      <c r="D159" s="74" t="s">
        <v>69</v>
      </c>
      <c r="E159" s="117" t="s">
        <v>1807</v>
      </c>
      <c r="F159" s="75" t="s">
        <v>2171</v>
      </c>
      <c r="G159" s="55">
        <v>40000</v>
      </c>
      <c r="H159" s="55"/>
      <c r="I159" s="61">
        <f t="shared" si="8"/>
        <v>55935.7399999999</v>
      </c>
      <c r="J159" s="56"/>
    </row>
    <row r="160" ht="20" customHeight="1" spans="2:10">
      <c r="B160" s="42">
        <v>8</v>
      </c>
      <c r="C160" s="42">
        <v>19</v>
      </c>
      <c r="D160" s="86" t="s">
        <v>139</v>
      </c>
      <c r="E160" s="91" t="s">
        <v>2197</v>
      </c>
      <c r="F160" s="88" t="s">
        <v>2226</v>
      </c>
      <c r="G160" s="84"/>
      <c r="H160" s="55">
        <v>40000</v>
      </c>
      <c r="I160" s="61">
        <f t="shared" si="8"/>
        <v>15935.7399999999</v>
      </c>
      <c r="J160" s="56"/>
    </row>
    <row r="161" ht="20" customHeight="1" spans="2:10">
      <c r="B161" s="42">
        <v>8</v>
      </c>
      <c r="C161" s="42">
        <v>21</v>
      </c>
      <c r="D161" s="94" t="s">
        <v>120</v>
      </c>
      <c r="E161" s="95" t="s">
        <v>251</v>
      </c>
      <c r="F161" s="75" t="s">
        <v>2104</v>
      </c>
      <c r="G161" s="56"/>
      <c r="H161" s="55">
        <v>3302.36</v>
      </c>
      <c r="I161" s="61">
        <f t="shared" si="8"/>
        <v>12633.3799999999</v>
      </c>
      <c r="J161" s="56"/>
    </row>
    <row r="162" ht="20" customHeight="1" spans="2:10">
      <c r="B162" s="42">
        <v>8</v>
      </c>
      <c r="C162" s="42">
        <v>25</v>
      </c>
      <c r="D162" s="42" t="s">
        <v>88</v>
      </c>
      <c r="E162" s="117" t="s">
        <v>2105</v>
      </c>
      <c r="F162" s="75" t="s">
        <v>2106</v>
      </c>
      <c r="G162" s="55">
        <v>2433.83</v>
      </c>
      <c r="H162" s="56"/>
      <c r="I162" s="61">
        <f t="shared" si="8"/>
        <v>15067.2099999999</v>
      </c>
      <c r="J162" s="56"/>
    </row>
    <row r="163" ht="20" customHeight="1" spans="2:10">
      <c r="B163" s="152"/>
      <c r="C163" s="152"/>
      <c r="D163" s="152"/>
      <c r="E163" s="153"/>
      <c r="F163" s="154" t="s">
        <v>22</v>
      </c>
      <c r="G163" s="155">
        <f>SUM(G145:G162)</f>
        <v>87729.83</v>
      </c>
      <c r="H163" s="155">
        <f>SUM(H145:H162)</f>
        <v>100302.36</v>
      </c>
      <c r="I163" s="156">
        <f>I144+G163-H163</f>
        <v>15067.2099999999</v>
      </c>
      <c r="J163" s="155"/>
    </row>
    <row r="164" ht="20" customHeight="1" spans="2:10">
      <c r="B164" s="42">
        <v>9</v>
      </c>
      <c r="C164" s="42">
        <v>3</v>
      </c>
      <c r="D164" s="42" t="s">
        <v>70</v>
      </c>
      <c r="E164" s="95" t="s">
        <v>2208</v>
      </c>
      <c r="F164" s="95" t="s">
        <v>2219</v>
      </c>
      <c r="G164" s="56">
        <v>6000</v>
      </c>
      <c r="H164" s="56"/>
      <c r="I164" s="58">
        <f>I162+G164-H164</f>
        <v>21067.2099999999</v>
      </c>
      <c r="J164" s="56"/>
    </row>
    <row r="165" ht="20" customHeight="1" spans="2:10">
      <c r="B165" s="42">
        <v>9</v>
      </c>
      <c r="C165" s="42">
        <v>8</v>
      </c>
      <c r="D165" s="74" t="s">
        <v>68</v>
      </c>
      <c r="E165" s="44" t="s">
        <v>2227</v>
      </c>
      <c r="F165" s="45" t="s">
        <v>2228</v>
      </c>
      <c r="G165" s="56">
        <v>8500</v>
      </c>
      <c r="H165" s="56"/>
      <c r="I165" s="58">
        <f t="shared" ref="I164:I192" si="9">I164+G165-H165</f>
        <v>29567.2099999999</v>
      </c>
      <c r="J165" s="56"/>
    </row>
    <row r="166" ht="20" customHeight="1" spans="2:10">
      <c r="B166" s="42">
        <v>9</v>
      </c>
      <c r="C166" s="42">
        <v>15</v>
      </c>
      <c r="D166" s="42" t="s">
        <v>88</v>
      </c>
      <c r="E166" s="44" t="s">
        <v>335</v>
      </c>
      <c r="F166" s="95" t="s">
        <v>2229</v>
      </c>
      <c r="G166" s="56">
        <v>25000</v>
      </c>
      <c r="H166" s="56"/>
      <c r="I166" s="58">
        <f t="shared" si="9"/>
        <v>54567.2099999999</v>
      </c>
      <c r="J166" s="56"/>
    </row>
    <row r="167" ht="20" customHeight="1" spans="2:10">
      <c r="B167" s="42">
        <v>9</v>
      </c>
      <c r="C167" s="42">
        <v>15</v>
      </c>
      <c r="D167" s="74" t="s">
        <v>69</v>
      </c>
      <c r="E167" s="45" t="s">
        <v>1807</v>
      </c>
      <c r="F167" s="95" t="s">
        <v>2229</v>
      </c>
      <c r="G167" s="56"/>
      <c r="H167" s="56">
        <v>25000</v>
      </c>
      <c r="I167" s="58">
        <f t="shared" si="9"/>
        <v>29567.2099999999</v>
      </c>
      <c r="J167" s="56"/>
    </row>
    <row r="168" ht="20" customHeight="1" spans="2:10">
      <c r="B168" s="42">
        <v>9</v>
      </c>
      <c r="C168" s="42">
        <v>15</v>
      </c>
      <c r="D168" s="42" t="s">
        <v>71</v>
      </c>
      <c r="E168" s="44" t="s">
        <v>669</v>
      </c>
      <c r="F168" s="102" t="s">
        <v>2230</v>
      </c>
      <c r="G168" s="56">
        <v>19980.12</v>
      </c>
      <c r="H168" s="56"/>
      <c r="I168" s="58">
        <f t="shared" si="9"/>
        <v>49547.3299999999</v>
      </c>
      <c r="J168" s="56"/>
    </row>
    <row r="169" ht="20" customHeight="1" spans="2:10">
      <c r="B169" s="42">
        <v>9</v>
      </c>
      <c r="C169" s="42">
        <v>15</v>
      </c>
      <c r="D169" s="74" t="s">
        <v>69</v>
      </c>
      <c r="E169" s="117" t="s">
        <v>1807</v>
      </c>
      <c r="F169" s="95" t="s">
        <v>1979</v>
      </c>
      <c r="G169" s="56"/>
      <c r="H169" s="56">
        <v>41994.93</v>
      </c>
      <c r="I169" s="58">
        <f t="shared" si="9"/>
        <v>7552.3999999999</v>
      </c>
      <c r="J169" s="56"/>
    </row>
    <row r="170" ht="20" customHeight="1" spans="2:10">
      <c r="B170" s="42">
        <v>9</v>
      </c>
      <c r="C170" s="42">
        <v>18</v>
      </c>
      <c r="D170" s="74" t="s">
        <v>69</v>
      </c>
      <c r="E170" s="117" t="s">
        <v>1807</v>
      </c>
      <c r="F170" s="95" t="s">
        <v>2171</v>
      </c>
      <c r="G170" s="84">
        <v>45000</v>
      </c>
      <c r="H170" s="84"/>
      <c r="I170" s="58">
        <f t="shared" si="9"/>
        <v>52552.3999999999</v>
      </c>
      <c r="J170" s="56"/>
    </row>
    <row r="171" ht="20" customHeight="1" spans="2:10">
      <c r="B171" s="42">
        <v>9</v>
      </c>
      <c r="C171" s="42">
        <v>18</v>
      </c>
      <c r="D171" s="86" t="s">
        <v>139</v>
      </c>
      <c r="E171" s="91" t="s">
        <v>2197</v>
      </c>
      <c r="F171" s="102" t="s">
        <v>2231</v>
      </c>
      <c r="G171" s="84"/>
      <c r="H171" s="84">
        <v>45000</v>
      </c>
      <c r="I171" s="58">
        <f t="shared" si="9"/>
        <v>7552.3999999999</v>
      </c>
      <c r="J171" s="56"/>
    </row>
    <row r="172" ht="20" customHeight="1" spans="2:10">
      <c r="B172" s="42">
        <v>9</v>
      </c>
      <c r="C172" s="42">
        <v>21</v>
      </c>
      <c r="D172" s="42" t="s">
        <v>29</v>
      </c>
      <c r="E172" s="117" t="s">
        <v>161</v>
      </c>
      <c r="F172" s="45" t="s">
        <v>29</v>
      </c>
      <c r="G172" s="56">
        <v>2.27</v>
      </c>
      <c r="H172" s="56"/>
      <c r="I172" s="58">
        <f t="shared" si="9"/>
        <v>7554.6699999999</v>
      </c>
      <c r="J172" s="56"/>
    </row>
    <row r="173" ht="20" customHeight="1" spans="2:10">
      <c r="B173" s="42">
        <v>9</v>
      </c>
      <c r="C173" s="42">
        <v>21</v>
      </c>
      <c r="D173" s="94" t="s">
        <v>120</v>
      </c>
      <c r="E173" s="95" t="s">
        <v>251</v>
      </c>
      <c r="F173" s="95" t="s">
        <v>2104</v>
      </c>
      <c r="G173" s="56"/>
      <c r="H173" s="56">
        <v>3302.36</v>
      </c>
      <c r="I173" s="58">
        <f t="shared" si="9"/>
        <v>4252.3099999999</v>
      </c>
      <c r="J173" s="56"/>
    </row>
    <row r="174" ht="20" customHeight="1" spans="2:10">
      <c r="B174" s="42">
        <v>9</v>
      </c>
      <c r="C174" s="42">
        <v>27</v>
      </c>
      <c r="D174" s="42" t="s">
        <v>70</v>
      </c>
      <c r="E174" s="95" t="s">
        <v>2208</v>
      </c>
      <c r="F174" s="133" t="s">
        <v>2219</v>
      </c>
      <c r="G174" s="56">
        <v>5000</v>
      </c>
      <c r="H174" s="56"/>
      <c r="I174" s="58">
        <f t="shared" si="9"/>
        <v>9252.3099999999</v>
      </c>
      <c r="J174" s="56"/>
    </row>
    <row r="175" ht="20" customHeight="1" spans="2:10">
      <c r="B175" s="42">
        <v>9</v>
      </c>
      <c r="C175" s="42">
        <v>28</v>
      </c>
      <c r="D175" s="74" t="s">
        <v>68</v>
      </c>
      <c r="E175" s="44" t="s">
        <v>2227</v>
      </c>
      <c r="F175" s="45" t="s">
        <v>2232</v>
      </c>
      <c r="G175" s="56">
        <v>16000</v>
      </c>
      <c r="H175" s="56"/>
      <c r="I175" s="58">
        <f t="shared" si="9"/>
        <v>25252.3099999999</v>
      </c>
      <c r="J175" s="56"/>
    </row>
    <row r="176" ht="20" customHeight="1" spans="2:10">
      <c r="B176" s="42">
        <v>9</v>
      </c>
      <c r="C176" s="42">
        <v>28</v>
      </c>
      <c r="D176" s="74" t="s">
        <v>69</v>
      </c>
      <c r="E176" s="117" t="s">
        <v>1807</v>
      </c>
      <c r="F176" s="95" t="s">
        <v>1979</v>
      </c>
      <c r="G176" s="56"/>
      <c r="H176" s="56">
        <v>17700</v>
      </c>
      <c r="I176" s="58">
        <f t="shared" si="9"/>
        <v>7552.3099999999</v>
      </c>
      <c r="J176" s="56"/>
    </row>
    <row r="177" ht="20" customHeight="1" spans="2:10">
      <c r="B177" s="42">
        <v>9</v>
      </c>
      <c r="C177" s="42">
        <v>30</v>
      </c>
      <c r="D177" s="42" t="s">
        <v>70</v>
      </c>
      <c r="E177" s="95" t="s">
        <v>2208</v>
      </c>
      <c r="F177" s="133" t="s">
        <v>2219</v>
      </c>
      <c r="G177" s="56">
        <v>2000</v>
      </c>
      <c r="H177" s="56"/>
      <c r="I177" s="58">
        <f t="shared" si="9"/>
        <v>9552.3099999999</v>
      </c>
      <c r="J177" s="56"/>
    </row>
    <row r="178" ht="20" customHeight="1" spans="2:10">
      <c r="B178" s="42"/>
      <c r="C178" s="42"/>
      <c r="D178" s="42"/>
      <c r="E178" s="117"/>
      <c r="F178" s="45"/>
      <c r="G178" s="56"/>
      <c r="H178" s="56"/>
      <c r="I178" s="58">
        <f t="shared" si="9"/>
        <v>9552.3099999999</v>
      </c>
      <c r="J178" s="56"/>
    </row>
    <row r="179" ht="20" customHeight="1" spans="2:10">
      <c r="B179" s="42"/>
      <c r="C179" s="42"/>
      <c r="D179" s="42"/>
      <c r="E179" s="117"/>
      <c r="F179" s="45"/>
      <c r="G179" s="56"/>
      <c r="H179" s="56"/>
      <c r="I179" s="58">
        <f t="shared" si="9"/>
        <v>9552.3099999999</v>
      </c>
      <c r="J179" s="56"/>
    </row>
    <row r="180" ht="20" customHeight="1" spans="2:10">
      <c r="B180" s="42"/>
      <c r="C180" s="42"/>
      <c r="D180" s="42"/>
      <c r="E180" s="117"/>
      <c r="F180" s="45"/>
      <c r="G180" s="56"/>
      <c r="H180" s="56"/>
      <c r="I180" s="58">
        <f t="shared" si="9"/>
        <v>9552.3099999999</v>
      </c>
      <c r="J180" s="56"/>
    </row>
    <row r="181" ht="20" customHeight="1" spans="2:10">
      <c r="B181" s="42"/>
      <c r="C181" s="42"/>
      <c r="D181" s="42"/>
      <c r="E181" s="117"/>
      <c r="F181" s="45"/>
      <c r="G181" s="56"/>
      <c r="H181" s="56"/>
      <c r="I181" s="58">
        <f t="shared" si="9"/>
        <v>9552.3099999999</v>
      </c>
      <c r="J181" s="56"/>
    </row>
    <row r="182" ht="20" customHeight="1" spans="2:10">
      <c r="B182" s="42"/>
      <c r="C182" s="42"/>
      <c r="D182" s="42"/>
      <c r="E182" s="117"/>
      <c r="F182" s="45"/>
      <c r="G182" s="56"/>
      <c r="H182" s="56"/>
      <c r="I182" s="58">
        <f t="shared" si="9"/>
        <v>9552.3099999999</v>
      </c>
      <c r="J182" s="56"/>
    </row>
    <row r="183" ht="20" customHeight="1" spans="2:10">
      <c r="B183" s="42"/>
      <c r="C183" s="42"/>
      <c r="D183" s="42"/>
      <c r="E183" s="117"/>
      <c r="F183" s="45"/>
      <c r="G183" s="56"/>
      <c r="H183" s="56"/>
      <c r="I183" s="58">
        <f t="shared" si="9"/>
        <v>9552.3099999999</v>
      </c>
      <c r="J183" s="56"/>
    </row>
    <row r="184" ht="20" customHeight="1" spans="2:10">
      <c r="B184" s="42"/>
      <c r="C184" s="42"/>
      <c r="D184" s="42"/>
      <c r="E184" s="117"/>
      <c r="F184" s="45"/>
      <c r="G184" s="56"/>
      <c r="H184" s="56"/>
      <c r="I184" s="58">
        <f t="shared" si="9"/>
        <v>9552.3099999999</v>
      </c>
      <c r="J184" s="56"/>
    </row>
    <row r="185" ht="20" customHeight="1" spans="2:10">
      <c r="B185" s="42"/>
      <c r="C185" s="42"/>
      <c r="D185" s="42"/>
      <c r="E185" s="117"/>
      <c r="F185" s="45"/>
      <c r="G185" s="56"/>
      <c r="H185" s="56"/>
      <c r="I185" s="58">
        <f t="shared" si="9"/>
        <v>9552.3099999999</v>
      </c>
      <c r="J185" s="56"/>
    </row>
    <row r="186" ht="20" customHeight="1" spans="2:10">
      <c r="B186" s="42"/>
      <c r="C186" s="42"/>
      <c r="D186" s="42"/>
      <c r="E186" s="117"/>
      <c r="F186" s="45"/>
      <c r="G186" s="56"/>
      <c r="H186" s="56"/>
      <c r="I186" s="58">
        <f t="shared" si="9"/>
        <v>9552.3099999999</v>
      </c>
      <c r="J186" s="56"/>
    </row>
    <row r="187" ht="20" customHeight="1" spans="2:10">
      <c r="B187" s="42"/>
      <c r="C187" s="42"/>
      <c r="D187" s="42"/>
      <c r="E187" s="117"/>
      <c r="F187" s="45"/>
      <c r="G187" s="56"/>
      <c r="H187" s="56"/>
      <c r="I187" s="58">
        <f t="shared" si="9"/>
        <v>9552.3099999999</v>
      </c>
      <c r="J187" s="56"/>
    </row>
    <row r="188" ht="20" customHeight="1" spans="2:10">
      <c r="B188" s="42"/>
      <c r="C188" s="42"/>
      <c r="D188" s="42"/>
      <c r="E188" s="117"/>
      <c r="F188" s="45"/>
      <c r="G188" s="56"/>
      <c r="H188" s="56"/>
      <c r="I188" s="58">
        <f t="shared" si="9"/>
        <v>9552.3099999999</v>
      </c>
      <c r="J188" s="56"/>
    </row>
    <row r="189" ht="20" customHeight="1" spans="2:10">
      <c r="B189" s="42"/>
      <c r="C189" s="42"/>
      <c r="D189" s="42"/>
      <c r="E189" s="117"/>
      <c r="F189" s="45"/>
      <c r="G189" s="56"/>
      <c r="H189" s="56"/>
      <c r="I189" s="58">
        <f t="shared" si="9"/>
        <v>9552.3099999999</v>
      </c>
      <c r="J189" s="56"/>
    </row>
    <row r="190" ht="20" customHeight="1" spans="2:10">
      <c r="B190" s="42"/>
      <c r="C190" s="42"/>
      <c r="D190" s="42"/>
      <c r="E190" s="117"/>
      <c r="F190" s="45"/>
      <c r="G190" s="56"/>
      <c r="H190" s="56"/>
      <c r="I190" s="58">
        <f t="shared" si="9"/>
        <v>9552.3099999999</v>
      </c>
      <c r="J190" s="56"/>
    </row>
    <row r="191" ht="20" customHeight="1" spans="2:10">
      <c r="B191" s="42"/>
      <c r="C191" s="42"/>
      <c r="D191" s="42"/>
      <c r="E191" s="117"/>
      <c r="F191" s="45"/>
      <c r="G191" s="56"/>
      <c r="H191" s="56"/>
      <c r="I191" s="58">
        <f t="shared" si="9"/>
        <v>9552.3099999999</v>
      </c>
      <c r="J191" s="56"/>
    </row>
    <row r="192" ht="20" customHeight="1" spans="2:10">
      <c r="B192" s="42"/>
      <c r="C192" s="42"/>
      <c r="D192" s="42"/>
      <c r="E192" s="117"/>
      <c r="F192" s="45"/>
      <c r="G192" s="56"/>
      <c r="H192" s="56"/>
      <c r="I192" s="58">
        <f t="shared" si="9"/>
        <v>9552.3099999999</v>
      </c>
      <c r="J192" s="56"/>
    </row>
  </sheetData>
  <autoFilter xmlns:etc="http://www.wps.cn/officeDocument/2017/etCustomData" ref="A3:P192" etc:filterBottomFollowUsedRange="0">
    <extLst/>
  </autoFilter>
  <mergeCells count="1">
    <mergeCell ref="B1:J1"/>
  </mergeCells>
  <conditionalFormatting sqref="E35">
    <cfRule type="expression" dxfId="1" priority="4">
      <formula>$A33&lt;&gt;""</formula>
    </cfRule>
  </conditionalFormatting>
  <dataValidations count="1">
    <dataValidation type="list" allowBlank="1" showInputMessage="1" showErrorMessage="1" sqref="D85 D148 D154 D4:D74 D87:D109 D112:D114 D117:D118 D121:D127 D129:D134 D137:D138 D140:D144 D150:D151 D158:D160 D162:D165 D169:D172 D174:D192">
      <formula1>付费项!$B$2:$B$77</formula1>
    </dataValidation>
  </dataValidations>
  <pageMargins left="0.7" right="0.7" top="0.75" bottom="0.75" header="0.3" footer="0.3"/>
  <pageSetup paperSize="9" orientation="portrait"/>
  <headerFooter/>
  <ignoredErrors>
    <ignoredError sqref="I16" formula="1"/>
  </ignoredError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P256"/>
  <sheetViews>
    <sheetView workbookViewId="0">
      <pane xSplit="4" ySplit="4" topLeftCell="E137" activePane="bottomRight" state="frozen"/>
      <selection/>
      <selection pane="topRight"/>
      <selection pane="bottomLeft"/>
      <selection pane="bottomRight" activeCell="B151" sqref="B151:G153"/>
    </sheetView>
  </sheetViews>
  <sheetFormatPr defaultColWidth="9" defaultRowHeight="13.5"/>
  <cols>
    <col min="1" max="1" width="8.725" style="3" customWidth="1"/>
    <col min="2" max="3" width="4.725" style="3" customWidth="1"/>
    <col min="4" max="4" width="8.63333333333333" style="3" customWidth="1"/>
    <col min="5" max="5" width="35.6416666666667" style="3" customWidth="1"/>
    <col min="6" max="6" width="59.7"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3" width="9.375" style="3"/>
    <col min="14" max="16384" width="9" style="3"/>
  </cols>
  <sheetData>
    <row r="1" ht="24.75" spans="1:16">
      <c r="A1" s="46" t="str">
        <f>HYPERLINK("#目录!a1","返回目录")</f>
        <v>返回目录</v>
      </c>
      <c r="B1" s="47" t="s">
        <v>2233</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v>1</v>
      </c>
      <c r="C4" s="42"/>
      <c r="D4" s="42"/>
      <c r="E4" s="42"/>
      <c r="F4" s="54" t="s">
        <v>15</v>
      </c>
      <c r="G4" s="56"/>
      <c r="H4" s="56"/>
      <c r="I4" s="58">
        <v>1286.5</v>
      </c>
      <c r="J4" s="56"/>
    </row>
    <row r="5" ht="20" customHeight="1" spans="1:16">
      <c r="B5" s="42">
        <v>1</v>
      </c>
      <c r="C5" s="42">
        <v>5</v>
      </c>
      <c r="D5" s="42"/>
      <c r="E5" s="75" t="s">
        <v>1807</v>
      </c>
      <c r="F5" s="75" t="s">
        <v>2234</v>
      </c>
      <c r="G5" s="55">
        <v>200000</v>
      </c>
      <c r="H5" s="56"/>
      <c r="I5" s="58">
        <f>I4+G5-H5</f>
        <v>201286.5</v>
      </c>
      <c r="J5" s="56"/>
    </row>
    <row r="6" ht="20" customHeight="1" spans="1:16">
      <c r="B6" s="42">
        <v>1</v>
      </c>
      <c r="C6" s="42">
        <v>5</v>
      </c>
      <c r="D6" s="42"/>
      <c r="E6" s="75" t="s">
        <v>1877</v>
      </c>
      <c r="F6" s="75" t="s">
        <v>2235</v>
      </c>
      <c r="G6" s="56"/>
      <c r="H6" s="56">
        <v>200000</v>
      </c>
      <c r="I6" s="58">
        <f>I5+G6-H6</f>
        <v>1286.5</v>
      </c>
      <c r="J6" s="56"/>
    </row>
    <row r="7" ht="20" customHeight="1" spans="1:16">
      <c r="B7" s="42">
        <v>1</v>
      </c>
      <c r="C7" s="42">
        <v>28</v>
      </c>
      <c r="D7" s="42"/>
      <c r="E7" s="75" t="s">
        <v>1807</v>
      </c>
      <c r="F7" s="75" t="s">
        <v>2234</v>
      </c>
      <c r="G7" s="55">
        <v>108670</v>
      </c>
      <c r="H7" s="56"/>
      <c r="I7" s="58">
        <f>I6+G7-H7</f>
        <v>109956.5</v>
      </c>
      <c r="J7" s="56"/>
    </row>
    <row r="8" ht="20" customHeight="1" spans="1:16">
      <c r="B8" s="42">
        <v>1</v>
      </c>
      <c r="C8" s="42">
        <v>28</v>
      </c>
      <c r="D8" s="42"/>
      <c r="E8" s="75" t="s">
        <v>1848</v>
      </c>
      <c r="F8" s="75" t="s">
        <v>2236</v>
      </c>
      <c r="G8" s="56"/>
      <c r="H8" s="56">
        <v>106838.3</v>
      </c>
      <c r="I8" s="58">
        <f>I7+G8-H8</f>
        <v>3118.2</v>
      </c>
      <c r="J8" s="56"/>
    </row>
    <row r="9" ht="20" customHeight="1" spans="1:16">
      <c r="B9" s="68"/>
      <c r="C9" s="68"/>
      <c r="D9" s="68"/>
      <c r="E9" s="130"/>
      <c r="F9" s="70" t="s">
        <v>22</v>
      </c>
      <c r="G9" s="71">
        <f>SUM(G5:G8)</f>
        <v>308670</v>
      </c>
      <c r="H9" s="71">
        <f>SUM(H5:H8)</f>
        <v>306838.3</v>
      </c>
      <c r="I9" s="72">
        <f>I4+G9-H9</f>
        <v>3118.20000000001</v>
      </c>
      <c r="J9" s="71"/>
    </row>
    <row r="10" ht="20" customHeight="1" spans="1:16">
      <c r="B10" s="42">
        <v>2</v>
      </c>
      <c r="C10" s="42">
        <v>5</v>
      </c>
      <c r="D10" s="42"/>
      <c r="E10" s="75" t="s">
        <v>1807</v>
      </c>
      <c r="F10" s="75" t="s">
        <v>2234</v>
      </c>
      <c r="G10" s="55">
        <v>106838.3</v>
      </c>
      <c r="H10" s="56"/>
      <c r="I10" s="58">
        <f>I9+G10-H10</f>
        <v>109956.5</v>
      </c>
      <c r="J10" s="56"/>
    </row>
    <row r="11" ht="20" customHeight="1" spans="1:16">
      <c r="B11" s="42">
        <v>2</v>
      </c>
      <c r="C11" s="42">
        <v>5</v>
      </c>
      <c r="D11" s="42"/>
      <c r="E11" s="75" t="s">
        <v>1848</v>
      </c>
      <c r="F11" s="75" t="s">
        <v>2237</v>
      </c>
      <c r="G11" s="56"/>
      <c r="H11" s="55">
        <v>106838.3</v>
      </c>
      <c r="I11" s="58">
        <f>I10+G11-H11</f>
        <v>3118.20000000001</v>
      </c>
      <c r="J11" s="56"/>
    </row>
    <row r="12" ht="20" customHeight="1" spans="1:16">
      <c r="B12" s="42">
        <v>2</v>
      </c>
      <c r="C12" s="42">
        <v>14</v>
      </c>
      <c r="D12" s="42"/>
      <c r="E12" s="75" t="s">
        <v>1807</v>
      </c>
      <c r="F12" s="75" t="s">
        <v>2234</v>
      </c>
      <c r="G12" s="55">
        <v>50000</v>
      </c>
      <c r="H12" s="56"/>
      <c r="I12" s="58">
        <f>I11+G12-H12</f>
        <v>53118.2</v>
      </c>
      <c r="J12" s="56"/>
    </row>
    <row r="13" ht="20" customHeight="1" spans="1:16">
      <c r="B13" s="42">
        <v>2</v>
      </c>
      <c r="C13" s="42">
        <v>14</v>
      </c>
      <c r="D13" s="42"/>
      <c r="E13" s="75" t="s">
        <v>1807</v>
      </c>
      <c r="F13" s="75" t="s">
        <v>2234</v>
      </c>
      <c r="G13" s="55">
        <v>56838.3</v>
      </c>
      <c r="H13" s="56"/>
      <c r="I13" s="58">
        <f>I12+G13-H13</f>
        <v>109956.5</v>
      </c>
      <c r="J13" s="56"/>
    </row>
    <row r="14" ht="20" customHeight="1" spans="1:16">
      <c r="B14" s="42">
        <v>2</v>
      </c>
      <c r="C14" s="42">
        <v>14</v>
      </c>
      <c r="D14" s="42"/>
      <c r="E14" s="75" t="s">
        <v>1848</v>
      </c>
      <c r="F14" s="75" t="s">
        <v>2238</v>
      </c>
      <c r="G14" s="56"/>
      <c r="H14" s="55">
        <v>106838.3</v>
      </c>
      <c r="I14" s="58">
        <f>I13+G14-H14</f>
        <v>3118.20000000001</v>
      </c>
      <c r="J14" s="56"/>
    </row>
    <row r="15" ht="20" customHeight="1" spans="1:16">
      <c r="B15" s="68"/>
      <c r="C15" s="68"/>
      <c r="D15" s="68"/>
      <c r="E15" s="130"/>
      <c r="F15" s="70" t="s">
        <v>22</v>
      </c>
      <c r="G15" s="71">
        <f>SUM(G10:G14)</f>
        <v>213676.6</v>
      </c>
      <c r="H15" s="71">
        <f>SUM(H10:H14)</f>
        <v>213676.6</v>
      </c>
      <c r="I15" s="72">
        <f>I9+G15-H15</f>
        <v>3118.19999999998</v>
      </c>
      <c r="J15" s="71"/>
    </row>
    <row r="16" ht="20" customHeight="1" spans="1:16">
      <c r="B16" s="42">
        <v>3</v>
      </c>
      <c r="C16" s="42">
        <v>18</v>
      </c>
      <c r="D16" s="42"/>
      <c r="E16" s="75" t="s">
        <v>1807</v>
      </c>
      <c r="F16" s="75" t="s">
        <v>2234</v>
      </c>
      <c r="G16" s="56">
        <v>50000</v>
      </c>
      <c r="H16" s="56"/>
      <c r="I16" s="58">
        <f>I14+G16-H16</f>
        <v>53118.2</v>
      </c>
      <c r="J16" s="56"/>
    </row>
    <row r="17" ht="20" customHeight="1" spans="2:10">
      <c r="B17" s="42">
        <v>3</v>
      </c>
      <c r="C17" s="42">
        <v>18</v>
      </c>
      <c r="D17" s="42"/>
      <c r="E17" s="75" t="s">
        <v>1877</v>
      </c>
      <c r="F17" s="75" t="s">
        <v>2235</v>
      </c>
      <c r="G17" s="56"/>
      <c r="H17" s="55">
        <v>50000</v>
      </c>
      <c r="I17" s="58">
        <f>I16+G17-H17</f>
        <v>3118.20000000001</v>
      </c>
      <c r="J17" s="56"/>
    </row>
    <row r="18" ht="20" customHeight="1" spans="2:10">
      <c r="B18" s="42">
        <v>3</v>
      </c>
      <c r="C18" s="42">
        <v>21</v>
      </c>
      <c r="D18" s="42"/>
      <c r="E18" s="44" t="s">
        <v>2036</v>
      </c>
      <c r="F18" s="75" t="s">
        <v>29</v>
      </c>
      <c r="G18" s="55">
        <v>0.29</v>
      </c>
      <c r="H18" s="56"/>
      <c r="I18" s="58">
        <f>I17+G18-H18</f>
        <v>3118.49000000001</v>
      </c>
      <c r="J18" s="56"/>
    </row>
    <row r="19" ht="20" customHeight="1" spans="2:10">
      <c r="B19" s="68"/>
      <c r="C19" s="68"/>
      <c r="D19" s="68"/>
      <c r="E19" s="130"/>
      <c r="F19" s="70" t="s">
        <v>22</v>
      </c>
      <c r="G19" s="71">
        <f>SUM(G16:G18)</f>
        <v>50000.29</v>
      </c>
      <c r="H19" s="71">
        <f>SUM(H16:H18)</f>
        <v>50000</v>
      </c>
      <c r="I19" s="72">
        <f>I15+G19-H19</f>
        <v>3118.48999999998</v>
      </c>
      <c r="J19" s="71"/>
    </row>
    <row r="20" ht="20" customHeight="1" spans="2:10">
      <c r="B20" s="42">
        <v>5</v>
      </c>
      <c r="C20" s="42">
        <v>8</v>
      </c>
      <c r="D20" s="42"/>
      <c r="E20" s="44" t="s">
        <v>2239</v>
      </c>
      <c r="F20" s="75" t="s">
        <v>2240</v>
      </c>
      <c r="G20" s="55">
        <v>50000</v>
      </c>
      <c r="H20" s="56"/>
      <c r="I20" s="58">
        <f>I18+G20-H20</f>
        <v>53118.49</v>
      </c>
      <c r="J20" s="56"/>
    </row>
    <row r="21" ht="20" customHeight="1" spans="2:10">
      <c r="B21" s="42">
        <v>5</v>
      </c>
      <c r="C21" s="42">
        <v>9</v>
      </c>
      <c r="D21" s="42"/>
      <c r="E21" s="44" t="s">
        <v>2239</v>
      </c>
      <c r="F21" s="75" t="s">
        <v>2240</v>
      </c>
      <c r="G21" s="55">
        <v>46400</v>
      </c>
      <c r="H21" s="56"/>
      <c r="I21" s="58">
        <f>I20+G21-H21</f>
        <v>99518.49</v>
      </c>
      <c r="J21" s="56"/>
    </row>
    <row r="22" ht="20" customHeight="1" spans="2:10">
      <c r="B22" s="42">
        <v>5</v>
      </c>
      <c r="C22" s="42">
        <v>18</v>
      </c>
      <c r="D22" s="42"/>
      <c r="E22" s="44" t="s">
        <v>1807</v>
      </c>
      <c r="F22" s="75" t="s">
        <v>2241</v>
      </c>
      <c r="G22" s="56"/>
      <c r="H22" s="55">
        <v>95000</v>
      </c>
      <c r="I22" s="58">
        <f>I21+G22-H22</f>
        <v>4518.49000000002</v>
      </c>
      <c r="J22" s="56"/>
    </row>
    <row r="23" ht="20" customHeight="1" spans="2:10">
      <c r="B23" s="68"/>
      <c r="C23" s="68"/>
      <c r="D23" s="68"/>
      <c r="E23" s="130"/>
      <c r="F23" s="70" t="s">
        <v>22</v>
      </c>
      <c r="G23" s="71">
        <f>SUM(G20:G22)</f>
        <v>96400</v>
      </c>
      <c r="H23" s="71">
        <f>SUM(H20:H22)</f>
        <v>95000</v>
      </c>
      <c r="I23" s="72">
        <f>I19+G23-H23</f>
        <v>4518.48999999999</v>
      </c>
      <c r="J23" s="71"/>
    </row>
    <row r="24" ht="20" customHeight="1" spans="2:10">
      <c r="B24" s="42">
        <v>6</v>
      </c>
      <c r="C24" s="42">
        <v>4</v>
      </c>
      <c r="D24" s="42"/>
      <c r="E24" s="117" t="s">
        <v>1885</v>
      </c>
      <c r="F24" s="139" t="s">
        <v>2242</v>
      </c>
      <c r="G24" s="55">
        <v>200000</v>
      </c>
      <c r="H24" s="56"/>
      <c r="I24" s="58">
        <f>I22+G24-H24</f>
        <v>204518.49</v>
      </c>
      <c r="J24" s="56"/>
    </row>
    <row r="25" ht="20" customHeight="1" spans="2:10">
      <c r="B25" s="42">
        <v>6</v>
      </c>
      <c r="C25" s="42">
        <v>5</v>
      </c>
      <c r="D25" s="42"/>
      <c r="E25" s="117" t="s">
        <v>1807</v>
      </c>
      <c r="F25" s="75" t="s">
        <v>2241</v>
      </c>
      <c r="G25" s="56"/>
      <c r="H25" s="55">
        <v>150000</v>
      </c>
      <c r="I25" s="58">
        <f t="shared" ref="I25:I31" si="0">I24+G25-H25</f>
        <v>54518.49</v>
      </c>
      <c r="J25" s="56"/>
    </row>
    <row r="26" ht="20" customHeight="1" spans="2:10">
      <c r="B26" s="42">
        <v>6</v>
      </c>
      <c r="C26" s="42">
        <v>5</v>
      </c>
      <c r="D26" s="42"/>
      <c r="E26" s="44" t="s">
        <v>2036</v>
      </c>
      <c r="F26" s="75" t="s">
        <v>16</v>
      </c>
      <c r="G26" s="56"/>
      <c r="H26" s="55">
        <v>2.75</v>
      </c>
      <c r="I26" s="58">
        <f t="shared" si="0"/>
        <v>54515.74</v>
      </c>
      <c r="J26" s="56"/>
    </row>
    <row r="27" ht="20" customHeight="1" spans="2:10">
      <c r="B27" s="42">
        <v>6</v>
      </c>
      <c r="C27" s="42">
        <v>9</v>
      </c>
      <c r="D27" s="42"/>
      <c r="E27" s="117" t="s">
        <v>1807</v>
      </c>
      <c r="F27" s="75" t="s">
        <v>2241</v>
      </c>
      <c r="G27" s="56"/>
      <c r="H27" s="55">
        <v>50000</v>
      </c>
      <c r="I27" s="58">
        <f t="shared" si="0"/>
        <v>4515.74000000002</v>
      </c>
      <c r="J27" s="56"/>
    </row>
    <row r="28" ht="20" customHeight="1" spans="2:10">
      <c r="B28" s="42">
        <v>6</v>
      </c>
      <c r="C28" s="42">
        <v>21</v>
      </c>
      <c r="D28" s="42"/>
      <c r="E28" s="117" t="s">
        <v>2036</v>
      </c>
      <c r="F28" s="75" t="s">
        <v>29</v>
      </c>
      <c r="G28" s="55">
        <v>2.29</v>
      </c>
      <c r="H28" s="56"/>
      <c r="I28" s="58">
        <f t="shared" si="0"/>
        <v>4518.03000000002</v>
      </c>
      <c r="J28" s="56"/>
    </row>
    <row r="29" ht="20" customHeight="1" spans="2:10">
      <c r="B29" s="42">
        <v>6</v>
      </c>
      <c r="C29" s="42">
        <v>26</v>
      </c>
      <c r="D29" s="42"/>
      <c r="E29" s="44" t="s">
        <v>2243</v>
      </c>
      <c r="F29" s="75" t="s">
        <v>2244</v>
      </c>
      <c r="G29" s="55">
        <v>48200</v>
      </c>
      <c r="H29" s="56"/>
      <c r="I29" s="58">
        <f t="shared" si="0"/>
        <v>52718.03</v>
      </c>
      <c r="J29" s="56"/>
    </row>
    <row r="30" ht="20" customHeight="1" spans="2:10">
      <c r="B30" s="42">
        <v>6</v>
      </c>
      <c r="C30" s="42">
        <v>29</v>
      </c>
      <c r="D30" s="42"/>
      <c r="E30" s="95" t="s">
        <v>1807</v>
      </c>
      <c r="F30" s="75" t="s">
        <v>2234</v>
      </c>
      <c r="G30" s="55">
        <v>10000</v>
      </c>
      <c r="H30" s="56"/>
      <c r="I30" s="58">
        <f t="shared" si="0"/>
        <v>62718.03</v>
      </c>
      <c r="J30" s="56"/>
    </row>
    <row r="31" ht="20" customHeight="1" spans="2:10">
      <c r="B31" s="42">
        <v>6</v>
      </c>
      <c r="C31" s="42">
        <v>29</v>
      </c>
      <c r="D31" s="42"/>
      <c r="E31" s="44" t="s">
        <v>2245</v>
      </c>
      <c r="F31" s="75" t="s">
        <v>2246</v>
      </c>
      <c r="G31" s="56"/>
      <c r="H31" s="55">
        <v>60000</v>
      </c>
      <c r="I31" s="58">
        <f t="shared" si="0"/>
        <v>2718.03000000002</v>
      </c>
      <c r="J31" s="56"/>
    </row>
    <row r="32" ht="20" customHeight="1" spans="2:10">
      <c r="B32" s="68"/>
      <c r="C32" s="68"/>
      <c r="D32" s="68"/>
      <c r="E32" s="130"/>
      <c r="F32" s="70" t="s">
        <v>22</v>
      </c>
      <c r="G32" s="71">
        <f>SUM(G24:G31)</f>
        <v>258202.29</v>
      </c>
      <c r="H32" s="71">
        <f>SUM(H24:H31)</f>
        <v>260002.75</v>
      </c>
      <c r="I32" s="72">
        <f>I23+G32-H32</f>
        <v>2718.03000000003</v>
      </c>
      <c r="J32" s="71"/>
    </row>
    <row r="33" ht="20" customHeight="1" spans="2:10">
      <c r="B33" s="42">
        <v>7</v>
      </c>
      <c r="C33" s="42">
        <v>2</v>
      </c>
      <c r="D33" s="42"/>
      <c r="E33" s="95" t="s">
        <v>1807</v>
      </c>
      <c r="F33" s="75" t="s">
        <v>2234</v>
      </c>
      <c r="G33" s="55">
        <v>70000</v>
      </c>
      <c r="H33" s="56"/>
      <c r="I33" s="58">
        <f>I31+G33-H33</f>
        <v>72718.03</v>
      </c>
      <c r="J33" s="56"/>
    </row>
    <row r="34" ht="20" customHeight="1" spans="2:10">
      <c r="B34" s="42">
        <v>7</v>
      </c>
      <c r="C34" s="42">
        <v>2</v>
      </c>
      <c r="D34" s="42"/>
      <c r="E34" s="44" t="s">
        <v>2247</v>
      </c>
      <c r="F34" s="75" t="s">
        <v>2248</v>
      </c>
      <c r="G34" s="56"/>
      <c r="H34" s="55">
        <v>10000</v>
      </c>
      <c r="I34" s="58">
        <f t="shared" ref="I34:I44" si="1">I33+G34-H34</f>
        <v>62718.03</v>
      </c>
      <c r="J34" s="56"/>
    </row>
    <row r="35" ht="20" customHeight="1" spans="2:10">
      <c r="B35" s="42">
        <v>7</v>
      </c>
      <c r="C35" s="42">
        <v>6</v>
      </c>
      <c r="D35" s="42"/>
      <c r="E35" s="44" t="s">
        <v>2249</v>
      </c>
      <c r="F35" s="77" t="s">
        <v>2250</v>
      </c>
      <c r="G35" s="55">
        <v>103224</v>
      </c>
      <c r="H35" s="56"/>
      <c r="I35" s="58">
        <f t="shared" si="1"/>
        <v>165942.03</v>
      </c>
      <c r="J35" s="56"/>
    </row>
    <row r="36" ht="20" customHeight="1" spans="2:10">
      <c r="B36" s="42">
        <v>7</v>
      </c>
      <c r="C36" s="42">
        <v>6</v>
      </c>
      <c r="D36" s="42"/>
      <c r="E36" s="95" t="s">
        <v>1807</v>
      </c>
      <c r="F36" s="75" t="s">
        <v>2234</v>
      </c>
      <c r="G36" s="55">
        <v>95000</v>
      </c>
      <c r="H36" s="56"/>
      <c r="I36" s="58">
        <f t="shared" si="1"/>
        <v>260942.03</v>
      </c>
      <c r="J36" s="56"/>
    </row>
    <row r="37" ht="20" customHeight="1" spans="2:10">
      <c r="B37" s="42">
        <v>7</v>
      </c>
      <c r="C37" s="42">
        <v>6</v>
      </c>
      <c r="D37" s="42"/>
      <c r="E37" s="44" t="s">
        <v>2249</v>
      </c>
      <c r="F37" s="75" t="s">
        <v>2251</v>
      </c>
      <c r="G37" s="55">
        <v>51612</v>
      </c>
      <c r="H37" s="56"/>
      <c r="I37" s="58">
        <f t="shared" si="1"/>
        <v>312554.03</v>
      </c>
      <c r="J37" s="56"/>
    </row>
    <row r="38" ht="20" customHeight="1" spans="2:10">
      <c r="B38" s="42">
        <v>7</v>
      </c>
      <c r="C38" s="42">
        <v>6</v>
      </c>
      <c r="D38" s="42"/>
      <c r="E38" s="45" t="s">
        <v>251</v>
      </c>
      <c r="F38" s="75" t="s">
        <v>2194</v>
      </c>
      <c r="G38" s="56"/>
      <c r="H38" s="55">
        <v>200000</v>
      </c>
      <c r="I38" s="58">
        <f t="shared" si="1"/>
        <v>112554.03</v>
      </c>
      <c r="J38" s="56"/>
    </row>
    <row r="39" ht="20" customHeight="1" spans="2:10">
      <c r="B39" s="42">
        <v>7</v>
      </c>
      <c r="C39" s="42">
        <v>6</v>
      </c>
      <c r="D39" s="42"/>
      <c r="E39" s="44" t="s">
        <v>1848</v>
      </c>
      <c r="F39" s="75" t="s">
        <v>2252</v>
      </c>
      <c r="G39" s="56"/>
      <c r="H39" s="55">
        <v>40440.19</v>
      </c>
      <c r="I39" s="58">
        <f t="shared" si="1"/>
        <v>72113.84</v>
      </c>
      <c r="J39" s="56"/>
    </row>
    <row r="40" ht="20" customHeight="1" spans="2:10">
      <c r="B40" s="42">
        <v>7</v>
      </c>
      <c r="C40" s="42">
        <v>7</v>
      </c>
      <c r="D40" s="42"/>
      <c r="E40" s="44" t="s">
        <v>2253</v>
      </c>
      <c r="F40" s="75" t="s">
        <v>2254</v>
      </c>
      <c r="G40" s="56"/>
      <c r="H40" s="55">
        <v>12500</v>
      </c>
      <c r="I40" s="58">
        <f t="shared" si="1"/>
        <v>59613.84</v>
      </c>
      <c r="J40" s="56"/>
    </row>
    <row r="41" ht="20" customHeight="1" spans="2:10">
      <c r="B41" s="42">
        <v>7</v>
      </c>
      <c r="C41" s="42">
        <v>7</v>
      </c>
      <c r="D41" s="42"/>
      <c r="E41" s="45" t="s">
        <v>251</v>
      </c>
      <c r="F41" s="75" t="s">
        <v>2199</v>
      </c>
      <c r="G41" s="56"/>
      <c r="H41" s="55">
        <v>59000</v>
      </c>
      <c r="I41" s="58">
        <f t="shared" si="1"/>
        <v>613.840000000026</v>
      </c>
      <c r="J41" s="56"/>
    </row>
    <row r="42" ht="20" customHeight="1" spans="2:10">
      <c r="B42" s="42">
        <v>7</v>
      </c>
      <c r="C42" s="42">
        <v>13</v>
      </c>
      <c r="D42" s="42"/>
      <c r="E42" s="95" t="s">
        <v>1807</v>
      </c>
      <c r="F42" s="75" t="s">
        <v>2234</v>
      </c>
      <c r="G42" s="55">
        <v>70000</v>
      </c>
      <c r="H42" s="56"/>
      <c r="I42" s="58">
        <f t="shared" si="1"/>
        <v>70613.84</v>
      </c>
      <c r="J42" s="56"/>
    </row>
    <row r="43" ht="20" customHeight="1" spans="2:10">
      <c r="B43" s="42">
        <v>7</v>
      </c>
      <c r="C43" s="42">
        <v>13</v>
      </c>
      <c r="D43" s="42"/>
      <c r="E43" s="44" t="s">
        <v>1848</v>
      </c>
      <c r="F43" s="75" t="s">
        <v>2255</v>
      </c>
      <c r="G43" s="56"/>
      <c r="H43" s="55">
        <v>70000</v>
      </c>
      <c r="I43" s="58">
        <f t="shared" si="1"/>
        <v>613.840000000026</v>
      </c>
      <c r="J43" s="56"/>
    </row>
    <row r="44" ht="20" customHeight="1" spans="2:10">
      <c r="B44" s="42">
        <v>7</v>
      </c>
      <c r="C44" s="42">
        <v>15</v>
      </c>
      <c r="D44" s="42"/>
      <c r="E44" s="95" t="s">
        <v>1807</v>
      </c>
      <c r="F44" s="75" t="s">
        <v>2256</v>
      </c>
      <c r="G44" s="55">
        <v>2000</v>
      </c>
      <c r="H44" s="56"/>
      <c r="I44" s="58">
        <f t="shared" si="1"/>
        <v>2613.84000000003</v>
      </c>
      <c r="J44" s="56"/>
    </row>
    <row r="45" ht="20" customHeight="1" spans="2:10">
      <c r="B45" s="42">
        <v>7</v>
      </c>
      <c r="C45" s="42">
        <v>15</v>
      </c>
      <c r="D45" s="42"/>
      <c r="E45" s="44" t="s">
        <v>271</v>
      </c>
      <c r="F45" s="140" t="s">
        <v>2257</v>
      </c>
      <c r="G45" s="56"/>
      <c r="H45" s="55">
        <v>1300</v>
      </c>
      <c r="I45" s="58">
        <f t="shared" ref="I44:I53" si="2">I44+G45-H45</f>
        <v>1313.84000000003</v>
      </c>
      <c r="J45" s="56"/>
    </row>
    <row r="46" ht="20" customHeight="1" spans="2:10">
      <c r="B46" s="42">
        <v>7</v>
      </c>
      <c r="C46" s="42">
        <v>23</v>
      </c>
      <c r="D46" s="42"/>
      <c r="E46" s="95" t="s">
        <v>1807</v>
      </c>
      <c r="F46" s="75" t="s">
        <v>2256</v>
      </c>
      <c r="G46" s="55">
        <v>2000</v>
      </c>
      <c r="H46" s="56"/>
      <c r="I46" s="58">
        <f t="shared" si="2"/>
        <v>3313.84000000003</v>
      </c>
      <c r="J46" s="56"/>
    </row>
    <row r="47" ht="60.75" spans="2:10">
      <c r="B47" s="42">
        <v>7</v>
      </c>
      <c r="C47" s="42">
        <v>24</v>
      </c>
      <c r="D47" s="42"/>
      <c r="E47" s="95" t="s">
        <v>2258</v>
      </c>
      <c r="F47" s="77" t="s">
        <v>2259</v>
      </c>
      <c r="G47" s="56"/>
      <c r="H47" s="55">
        <v>1558.09</v>
      </c>
      <c r="I47" s="58">
        <f t="shared" si="2"/>
        <v>1755.75000000003</v>
      </c>
      <c r="J47" s="56"/>
    </row>
    <row r="48" ht="20" customHeight="1" spans="2:10">
      <c r="B48" s="42">
        <v>7</v>
      </c>
      <c r="C48" s="42">
        <v>27</v>
      </c>
      <c r="D48" s="42"/>
      <c r="E48" s="95" t="s">
        <v>1807</v>
      </c>
      <c r="F48" s="75" t="s">
        <v>2234</v>
      </c>
      <c r="G48" s="55">
        <v>10000</v>
      </c>
      <c r="H48" s="56"/>
      <c r="I48" s="58">
        <f t="shared" si="2"/>
        <v>11755.75</v>
      </c>
      <c r="J48" s="56"/>
    </row>
    <row r="49" ht="20" customHeight="1" spans="2:10">
      <c r="B49" s="42">
        <v>7</v>
      </c>
      <c r="C49" s="42">
        <v>27</v>
      </c>
      <c r="D49" s="42"/>
      <c r="E49" s="44" t="s">
        <v>2253</v>
      </c>
      <c r="F49" s="75" t="s">
        <v>2260</v>
      </c>
      <c r="G49" s="56"/>
      <c r="H49" s="55">
        <v>7500</v>
      </c>
      <c r="I49" s="58">
        <f t="shared" si="2"/>
        <v>4255.75000000003</v>
      </c>
      <c r="J49" s="56"/>
    </row>
    <row r="50" ht="20" customHeight="1" spans="2:10">
      <c r="B50" s="42">
        <v>7</v>
      </c>
      <c r="C50" s="42">
        <v>30</v>
      </c>
      <c r="D50" s="42"/>
      <c r="E50" s="95" t="s">
        <v>1807</v>
      </c>
      <c r="F50" s="75" t="s">
        <v>2261</v>
      </c>
      <c r="G50" s="55">
        <v>50000</v>
      </c>
      <c r="H50" s="56"/>
      <c r="I50" s="58">
        <f t="shared" si="2"/>
        <v>54255.75</v>
      </c>
      <c r="J50" s="56"/>
    </row>
    <row r="51" ht="20" customHeight="1" spans="2:10">
      <c r="B51" s="42">
        <v>7</v>
      </c>
      <c r="C51" s="42">
        <v>30</v>
      </c>
      <c r="D51" s="42"/>
      <c r="E51" s="44" t="s">
        <v>2262</v>
      </c>
      <c r="F51" s="75" t="s">
        <v>2263</v>
      </c>
      <c r="G51" s="56"/>
      <c r="H51" s="55">
        <v>10000</v>
      </c>
      <c r="I51" s="58">
        <f t="shared" si="2"/>
        <v>44255.75</v>
      </c>
      <c r="J51" s="56"/>
    </row>
    <row r="52" ht="20" customHeight="1" spans="2:10">
      <c r="B52" s="42">
        <v>7</v>
      </c>
      <c r="C52" s="42">
        <v>30</v>
      </c>
      <c r="D52" s="42"/>
      <c r="E52" s="45" t="s">
        <v>2264</v>
      </c>
      <c r="F52" s="75" t="s">
        <v>2265</v>
      </c>
      <c r="G52" s="56"/>
      <c r="H52" s="55">
        <v>3200</v>
      </c>
      <c r="I52" s="58">
        <f t="shared" si="2"/>
        <v>41055.75</v>
      </c>
      <c r="J52" s="56"/>
    </row>
    <row r="53" ht="20" customHeight="1" spans="2:10">
      <c r="B53" s="42">
        <v>7</v>
      </c>
      <c r="C53" s="42">
        <v>30</v>
      </c>
      <c r="D53" s="42"/>
      <c r="E53" s="44" t="s">
        <v>2266</v>
      </c>
      <c r="F53" s="75" t="s">
        <v>2267</v>
      </c>
      <c r="G53" s="56"/>
      <c r="H53" s="55">
        <v>12000</v>
      </c>
      <c r="I53" s="58">
        <f t="shared" si="2"/>
        <v>29055.75</v>
      </c>
      <c r="J53" s="56"/>
    </row>
    <row r="54" ht="20" customHeight="1" spans="2:10">
      <c r="B54" s="68"/>
      <c r="C54" s="68"/>
      <c r="D54" s="68"/>
      <c r="E54" s="130"/>
      <c r="F54" s="70" t="s">
        <v>22</v>
      </c>
      <c r="G54" s="71">
        <f>SUM(G33:G53)</f>
        <v>453836</v>
      </c>
      <c r="H54" s="71">
        <f>SUM(H33:H53)</f>
        <v>427498.28</v>
      </c>
      <c r="I54" s="72">
        <f>I32+G54-H54</f>
        <v>29055.75</v>
      </c>
      <c r="J54" s="71"/>
    </row>
    <row r="55" ht="20" customHeight="1" spans="2:10">
      <c r="B55" s="42">
        <v>8</v>
      </c>
      <c r="C55" s="42">
        <v>4</v>
      </c>
      <c r="D55" s="42"/>
      <c r="E55" s="44" t="s">
        <v>2249</v>
      </c>
      <c r="F55" s="45" t="s">
        <v>2268</v>
      </c>
      <c r="G55" s="56">
        <v>43127.8</v>
      </c>
      <c r="H55" s="56"/>
      <c r="I55" s="58">
        <f>I53+G55-H55</f>
        <v>72183.55</v>
      </c>
      <c r="J55" s="56"/>
    </row>
    <row r="56" ht="20" customHeight="1" spans="2:10">
      <c r="B56" s="42">
        <v>8</v>
      </c>
      <c r="C56" s="42">
        <v>4</v>
      </c>
      <c r="D56" s="42"/>
      <c r="E56" s="95" t="s">
        <v>1807</v>
      </c>
      <c r="F56" s="95" t="s">
        <v>2261</v>
      </c>
      <c r="G56" s="56">
        <v>20000</v>
      </c>
      <c r="H56" s="56"/>
      <c r="I56" s="58">
        <f t="shared" ref="I56:I69" si="3">I55+G56-H56</f>
        <v>92183.55</v>
      </c>
      <c r="J56" s="56"/>
    </row>
    <row r="57" ht="20" customHeight="1" spans="2:10">
      <c r="B57" s="42">
        <v>8</v>
      </c>
      <c r="C57" s="42">
        <v>4</v>
      </c>
      <c r="D57" s="42"/>
      <c r="E57" s="117" t="s">
        <v>1848</v>
      </c>
      <c r="F57" s="45" t="s">
        <v>2269</v>
      </c>
      <c r="G57" s="56"/>
      <c r="H57" s="56">
        <v>57600</v>
      </c>
      <c r="I57" s="58">
        <f t="shared" si="3"/>
        <v>34583.55</v>
      </c>
      <c r="J57" s="56"/>
    </row>
    <row r="58" ht="20" customHeight="1" spans="2:10">
      <c r="B58" s="42">
        <v>8</v>
      </c>
      <c r="C58" s="42">
        <v>4</v>
      </c>
      <c r="D58" s="42"/>
      <c r="E58" s="44" t="s">
        <v>1962</v>
      </c>
      <c r="F58" s="45" t="s">
        <v>2171</v>
      </c>
      <c r="G58" s="56"/>
      <c r="H58" s="56">
        <v>32800</v>
      </c>
      <c r="I58" s="58">
        <f t="shared" si="3"/>
        <v>1783.55000000003</v>
      </c>
      <c r="J58" s="56"/>
    </row>
    <row r="59" ht="20" customHeight="1" spans="2:10">
      <c r="B59" s="42">
        <v>8</v>
      </c>
      <c r="C59" s="42">
        <v>6</v>
      </c>
      <c r="D59" s="42"/>
      <c r="E59" s="95" t="s">
        <v>1807</v>
      </c>
      <c r="F59" s="95" t="s">
        <v>2261</v>
      </c>
      <c r="G59" s="56">
        <v>10000</v>
      </c>
      <c r="H59" s="56"/>
      <c r="I59" s="58">
        <f t="shared" si="3"/>
        <v>11783.55</v>
      </c>
      <c r="J59" s="56"/>
    </row>
    <row r="60" ht="20" customHeight="1" spans="2:10">
      <c r="B60" s="42">
        <v>8</v>
      </c>
      <c r="C60" s="42">
        <v>6</v>
      </c>
      <c r="D60" s="42"/>
      <c r="E60" s="45" t="s">
        <v>2264</v>
      </c>
      <c r="F60" s="45" t="s">
        <v>2270</v>
      </c>
      <c r="G60" s="56"/>
      <c r="H60" s="56">
        <v>10000</v>
      </c>
      <c r="I60" s="58">
        <f t="shared" si="3"/>
        <v>1783.55000000003</v>
      </c>
      <c r="J60" s="56"/>
    </row>
    <row r="61" ht="20" customHeight="1" spans="2:10">
      <c r="B61" s="42">
        <v>8</v>
      </c>
      <c r="C61" s="42">
        <v>12</v>
      </c>
      <c r="D61" s="42"/>
      <c r="E61" s="95" t="s">
        <v>1807</v>
      </c>
      <c r="F61" s="95" t="s">
        <v>2256</v>
      </c>
      <c r="G61" s="56">
        <v>4800</v>
      </c>
      <c r="H61" s="56"/>
      <c r="I61" s="58">
        <f t="shared" si="3"/>
        <v>6583.55000000003</v>
      </c>
      <c r="J61" s="56"/>
    </row>
    <row r="62" ht="20" customHeight="1" spans="2:10">
      <c r="B62" s="42">
        <v>8</v>
      </c>
      <c r="C62" s="42">
        <v>12</v>
      </c>
      <c r="D62" s="42"/>
      <c r="E62" s="44" t="s">
        <v>2271</v>
      </c>
      <c r="F62" s="44" t="s">
        <v>2272</v>
      </c>
      <c r="G62" s="56"/>
      <c r="H62" s="56">
        <v>4800</v>
      </c>
      <c r="I62" s="58">
        <f t="shared" si="3"/>
        <v>1783.55000000003</v>
      </c>
      <c r="J62" s="56"/>
    </row>
    <row r="63" ht="20" customHeight="1" spans="2:10">
      <c r="B63" s="42">
        <v>8</v>
      </c>
      <c r="C63" s="42">
        <v>15</v>
      </c>
      <c r="D63" s="42"/>
      <c r="E63" s="44" t="s">
        <v>2273</v>
      </c>
      <c r="F63" s="45" t="s">
        <v>2274</v>
      </c>
      <c r="G63" s="56">
        <v>27380</v>
      </c>
      <c r="H63" s="56"/>
      <c r="I63" s="58">
        <f t="shared" si="3"/>
        <v>29163.55</v>
      </c>
      <c r="J63" s="56"/>
    </row>
    <row r="64" ht="20" customHeight="1" spans="2:10">
      <c r="B64" s="42">
        <v>8</v>
      </c>
      <c r="C64" s="42">
        <v>15</v>
      </c>
      <c r="D64" s="42"/>
      <c r="E64" s="44" t="s">
        <v>2273</v>
      </c>
      <c r="F64" s="45" t="s">
        <v>2275</v>
      </c>
      <c r="G64" s="56">
        <v>4740.75</v>
      </c>
      <c r="H64" s="56"/>
      <c r="I64" s="58">
        <f t="shared" si="3"/>
        <v>33904.3</v>
      </c>
      <c r="J64" s="56"/>
    </row>
    <row r="65" ht="20" customHeight="1" spans="2:10">
      <c r="B65" s="42">
        <v>8</v>
      </c>
      <c r="C65" s="42">
        <v>17</v>
      </c>
      <c r="D65" s="42"/>
      <c r="E65" s="44" t="s">
        <v>2276</v>
      </c>
      <c r="F65" s="45" t="s">
        <v>2277</v>
      </c>
      <c r="G65" s="56"/>
      <c r="H65" s="56">
        <v>3285</v>
      </c>
      <c r="I65" s="58">
        <f t="shared" si="3"/>
        <v>30619.3</v>
      </c>
      <c r="J65" s="56"/>
    </row>
    <row r="66" ht="20" customHeight="1" spans="2:10">
      <c r="B66" s="42">
        <v>8</v>
      </c>
      <c r="C66" s="42">
        <v>17</v>
      </c>
      <c r="D66" s="42"/>
      <c r="E66" s="44" t="s">
        <v>271</v>
      </c>
      <c r="F66" s="45" t="s">
        <v>2278</v>
      </c>
      <c r="G66" s="56"/>
      <c r="H66" s="56">
        <v>8272.88</v>
      </c>
      <c r="I66" s="58">
        <f t="shared" si="3"/>
        <v>22346.42</v>
      </c>
      <c r="J66" s="56"/>
    </row>
    <row r="67" ht="20" customHeight="1" spans="2:10">
      <c r="B67" s="42">
        <v>8</v>
      </c>
      <c r="C67" s="42">
        <v>17</v>
      </c>
      <c r="D67" s="42"/>
      <c r="E67" s="44" t="s">
        <v>1962</v>
      </c>
      <c r="F67" s="45" t="s">
        <v>2171</v>
      </c>
      <c r="G67" s="56"/>
      <c r="H67" s="56">
        <v>2538</v>
      </c>
      <c r="I67" s="58">
        <f t="shared" si="3"/>
        <v>19808.42</v>
      </c>
      <c r="J67" s="56"/>
    </row>
    <row r="68" ht="20" customHeight="1" spans="2:10">
      <c r="B68" s="42">
        <v>8</v>
      </c>
      <c r="C68" s="42">
        <v>19</v>
      </c>
      <c r="D68" s="42"/>
      <c r="E68" s="45" t="s">
        <v>2279</v>
      </c>
      <c r="F68" s="45" t="s">
        <v>2280</v>
      </c>
      <c r="G68" s="56">
        <v>0.34</v>
      </c>
      <c r="H68" s="56"/>
      <c r="I68" s="58">
        <f t="shared" si="3"/>
        <v>19808.76</v>
      </c>
      <c r="J68" s="56"/>
    </row>
    <row r="69" ht="20" customHeight="1" spans="2:10">
      <c r="B69" s="42">
        <v>8</v>
      </c>
      <c r="C69" s="42">
        <v>19</v>
      </c>
      <c r="D69" s="74" t="s">
        <v>69</v>
      </c>
      <c r="E69" s="44" t="s">
        <v>1962</v>
      </c>
      <c r="F69" s="45" t="s">
        <v>2171</v>
      </c>
      <c r="G69" s="56"/>
      <c r="H69" s="56">
        <v>5000</v>
      </c>
      <c r="I69" s="58">
        <f t="shared" si="3"/>
        <v>14808.76</v>
      </c>
      <c r="J69" s="56"/>
    </row>
    <row r="70" ht="20" customHeight="1" spans="2:10">
      <c r="B70" s="42">
        <v>8</v>
      </c>
      <c r="C70" s="42">
        <v>19</v>
      </c>
      <c r="D70" s="74" t="s">
        <v>97</v>
      </c>
      <c r="E70" s="44" t="s">
        <v>2281</v>
      </c>
      <c r="F70" s="45" t="s">
        <v>2282</v>
      </c>
      <c r="G70" s="56"/>
      <c r="H70" s="56">
        <v>531.2</v>
      </c>
      <c r="I70" s="58">
        <f t="shared" ref="I70:I111" si="4">I69+G70-H70</f>
        <v>14277.56</v>
      </c>
      <c r="J70" s="56"/>
    </row>
    <row r="71" ht="20" customHeight="1" spans="2:10">
      <c r="B71" s="42">
        <v>8</v>
      </c>
      <c r="C71" s="42">
        <v>19</v>
      </c>
      <c r="D71" s="74" t="s">
        <v>100</v>
      </c>
      <c r="E71" s="44" t="s">
        <v>2281</v>
      </c>
      <c r="F71" s="45" t="s">
        <v>2283</v>
      </c>
      <c r="G71" s="56"/>
      <c r="H71" s="56">
        <v>355.96</v>
      </c>
      <c r="I71" s="58">
        <f t="shared" si="4"/>
        <v>13921.6</v>
      </c>
      <c r="J71" s="56"/>
    </row>
    <row r="72" ht="20" customHeight="1" spans="2:10">
      <c r="B72" s="42">
        <v>8</v>
      </c>
      <c r="C72" s="42">
        <v>19</v>
      </c>
      <c r="D72" s="42" t="s">
        <v>118</v>
      </c>
      <c r="E72" s="44" t="s">
        <v>2281</v>
      </c>
      <c r="F72" s="45" t="s">
        <v>2284</v>
      </c>
      <c r="G72" s="56"/>
      <c r="H72" s="56">
        <v>38.4</v>
      </c>
      <c r="I72" s="58">
        <f t="shared" si="4"/>
        <v>13883.2</v>
      </c>
      <c r="J72" s="56"/>
    </row>
    <row r="73" ht="24.75" spans="2:10">
      <c r="B73" s="42">
        <v>8</v>
      </c>
      <c r="C73" s="42">
        <v>19</v>
      </c>
      <c r="D73" s="74" t="s">
        <v>100</v>
      </c>
      <c r="E73" s="44" t="s">
        <v>2281</v>
      </c>
      <c r="F73" s="101" t="s">
        <v>2285</v>
      </c>
      <c r="G73" s="56"/>
      <c r="H73" s="56">
        <v>241.14</v>
      </c>
      <c r="I73" s="58">
        <f t="shared" si="4"/>
        <v>13642.06</v>
      </c>
      <c r="J73" s="56"/>
    </row>
    <row r="74" ht="20" customHeight="1" spans="2:10">
      <c r="B74" s="42">
        <v>8</v>
      </c>
      <c r="C74" s="42">
        <v>20</v>
      </c>
      <c r="D74" s="42"/>
      <c r="E74" s="44" t="s">
        <v>2286</v>
      </c>
      <c r="F74" s="45" t="s">
        <v>2287</v>
      </c>
      <c r="G74" s="56"/>
      <c r="H74" s="56">
        <v>3000</v>
      </c>
      <c r="I74" s="58">
        <f t="shared" si="4"/>
        <v>10642.06</v>
      </c>
      <c r="J74" s="56"/>
    </row>
    <row r="75" ht="60.75" spans="2:10">
      <c r="B75" s="42">
        <v>8</v>
      </c>
      <c r="C75" s="42">
        <v>21</v>
      </c>
      <c r="D75" s="42"/>
      <c r="E75" s="95" t="s">
        <v>2258</v>
      </c>
      <c r="F75" s="101" t="s">
        <v>2288</v>
      </c>
      <c r="G75" s="56"/>
      <c r="H75" s="56">
        <v>1560.24</v>
      </c>
      <c r="I75" s="58">
        <f t="shared" si="4"/>
        <v>9081.82</v>
      </c>
      <c r="J75" s="56"/>
    </row>
    <row r="76" ht="20" customHeight="1" spans="2:10">
      <c r="B76" s="42">
        <v>8</v>
      </c>
      <c r="C76" s="42">
        <v>21</v>
      </c>
      <c r="D76" s="42"/>
      <c r="E76" s="95" t="s">
        <v>1807</v>
      </c>
      <c r="F76" s="95" t="s">
        <v>2256</v>
      </c>
      <c r="G76" s="56">
        <v>32600</v>
      </c>
      <c r="H76" s="56"/>
      <c r="I76" s="58">
        <f t="shared" si="4"/>
        <v>41681.82</v>
      </c>
      <c r="J76" s="56"/>
    </row>
    <row r="77" ht="20" customHeight="1" spans="2:10">
      <c r="B77" s="42">
        <v>8</v>
      </c>
      <c r="C77" s="42">
        <v>21</v>
      </c>
      <c r="D77" s="42"/>
      <c r="E77" s="44" t="s">
        <v>2289</v>
      </c>
      <c r="F77" s="45" t="s">
        <v>2024</v>
      </c>
      <c r="G77" s="56">
        <v>14000</v>
      </c>
      <c r="H77" s="56"/>
      <c r="I77" s="58">
        <f t="shared" si="4"/>
        <v>55681.82</v>
      </c>
      <c r="J77" s="56"/>
    </row>
    <row r="78" ht="20" customHeight="1" spans="2:10">
      <c r="B78" s="42">
        <v>8</v>
      </c>
      <c r="C78" s="42">
        <v>21</v>
      </c>
      <c r="D78" s="42"/>
      <c r="E78" s="45" t="s">
        <v>2290</v>
      </c>
      <c r="F78" s="45" t="s">
        <v>2291</v>
      </c>
      <c r="G78" s="56"/>
      <c r="H78" s="56">
        <v>13760</v>
      </c>
      <c r="I78" s="58">
        <f t="shared" si="4"/>
        <v>41921.82</v>
      </c>
      <c r="J78" s="56"/>
    </row>
    <row r="79" ht="20" customHeight="1" spans="2:10">
      <c r="B79" s="42">
        <v>8</v>
      </c>
      <c r="C79" s="42">
        <v>21</v>
      </c>
      <c r="D79" s="42"/>
      <c r="E79" s="44" t="s">
        <v>1962</v>
      </c>
      <c r="F79" s="45" t="s">
        <v>2171</v>
      </c>
      <c r="G79" s="56"/>
      <c r="H79" s="56">
        <v>41830</v>
      </c>
      <c r="I79" s="58">
        <f t="shared" si="4"/>
        <v>91.8199999999997</v>
      </c>
      <c r="J79" s="56"/>
    </row>
    <row r="80" ht="20" customHeight="1" spans="2:10">
      <c r="B80" s="42">
        <v>8</v>
      </c>
      <c r="C80" s="42">
        <v>24</v>
      </c>
      <c r="D80" s="42"/>
      <c r="E80" s="95" t="s">
        <v>1807</v>
      </c>
      <c r="F80" s="95" t="s">
        <v>2256</v>
      </c>
      <c r="G80" s="56">
        <v>10000</v>
      </c>
      <c r="H80" s="56"/>
      <c r="I80" s="58">
        <f t="shared" si="4"/>
        <v>10091.82</v>
      </c>
      <c r="J80" s="56"/>
    </row>
    <row r="81" ht="20" customHeight="1" spans="2:10">
      <c r="B81" s="42">
        <v>8</v>
      </c>
      <c r="C81" s="42">
        <v>24</v>
      </c>
      <c r="D81" s="42"/>
      <c r="E81" s="44" t="s">
        <v>1962</v>
      </c>
      <c r="F81" s="45" t="s">
        <v>2171</v>
      </c>
      <c r="G81" s="56"/>
      <c r="H81" s="56">
        <v>8000</v>
      </c>
      <c r="I81" s="58">
        <f t="shared" si="4"/>
        <v>2091.82</v>
      </c>
      <c r="J81" s="56"/>
    </row>
    <row r="82" ht="20" customHeight="1" spans="2:10">
      <c r="B82" s="42">
        <v>8</v>
      </c>
      <c r="C82" s="42">
        <v>24</v>
      </c>
      <c r="D82" s="42"/>
      <c r="E82" s="44" t="s">
        <v>2289</v>
      </c>
      <c r="F82" s="45" t="s">
        <v>2024</v>
      </c>
      <c r="G82" s="56">
        <v>2490</v>
      </c>
      <c r="H82" s="56"/>
      <c r="I82" s="58">
        <f t="shared" si="4"/>
        <v>4581.82</v>
      </c>
      <c r="J82" s="56"/>
    </row>
    <row r="83" ht="20" customHeight="1" spans="2:10">
      <c r="B83" s="42">
        <v>8</v>
      </c>
      <c r="C83" s="42">
        <v>24</v>
      </c>
      <c r="D83" s="42"/>
      <c r="E83" s="45" t="s">
        <v>2292</v>
      </c>
      <c r="F83" s="45" t="s">
        <v>2293</v>
      </c>
      <c r="G83" s="56"/>
      <c r="H83" s="56">
        <v>4381</v>
      </c>
      <c r="I83" s="58">
        <f t="shared" si="4"/>
        <v>200.82</v>
      </c>
      <c r="J83" s="56"/>
    </row>
    <row r="84" ht="20" customHeight="1" spans="2:10">
      <c r="B84" s="42">
        <v>8</v>
      </c>
      <c r="C84" s="42">
        <v>27</v>
      </c>
      <c r="D84" s="42"/>
      <c r="E84" s="45" t="s">
        <v>2294</v>
      </c>
      <c r="F84" s="45" t="s">
        <v>2295</v>
      </c>
      <c r="G84" s="56">
        <v>10200</v>
      </c>
      <c r="H84" s="56"/>
      <c r="I84" s="58">
        <f t="shared" si="4"/>
        <v>10400.82</v>
      </c>
      <c r="J84" s="56"/>
    </row>
    <row r="85" ht="20" customHeight="1" spans="2:10">
      <c r="B85" s="42">
        <v>8</v>
      </c>
      <c r="C85" s="42">
        <v>27</v>
      </c>
      <c r="D85" s="42"/>
      <c r="E85" s="44" t="s">
        <v>2296</v>
      </c>
      <c r="F85" s="129" t="s">
        <v>2297</v>
      </c>
      <c r="G85" s="56">
        <v>7200</v>
      </c>
      <c r="H85" s="56"/>
      <c r="I85" s="58">
        <f t="shared" si="4"/>
        <v>17600.82</v>
      </c>
      <c r="J85" s="56"/>
    </row>
    <row r="86" ht="20" customHeight="1" spans="2:10">
      <c r="B86" s="42">
        <v>8</v>
      </c>
      <c r="C86" s="42">
        <v>27</v>
      </c>
      <c r="D86" s="42"/>
      <c r="E86" s="44" t="s">
        <v>2249</v>
      </c>
      <c r="F86" s="45" t="s">
        <v>2275</v>
      </c>
      <c r="G86" s="56">
        <v>21934.4</v>
      </c>
      <c r="H86" s="56"/>
      <c r="I86" s="58">
        <f t="shared" si="4"/>
        <v>39535.22</v>
      </c>
      <c r="J86" s="56"/>
    </row>
    <row r="87" ht="20" customHeight="1" spans="2:10">
      <c r="B87" s="42">
        <v>8</v>
      </c>
      <c r="C87" s="42">
        <v>27</v>
      </c>
      <c r="D87" s="42"/>
      <c r="E87" s="44" t="s">
        <v>2249</v>
      </c>
      <c r="F87" s="45" t="s">
        <v>2298</v>
      </c>
      <c r="G87" s="56">
        <v>10.97</v>
      </c>
      <c r="H87" s="56"/>
      <c r="I87" s="58">
        <f t="shared" si="4"/>
        <v>39546.19</v>
      </c>
      <c r="J87" s="56"/>
    </row>
    <row r="88" ht="20" customHeight="1" spans="2:10">
      <c r="B88" s="42">
        <v>8</v>
      </c>
      <c r="C88" s="42">
        <v>27</v>
      </c>
      <c r="D88" s="42"/>
      <c r="E88" s="44" t="s">
        <v>2249</v>
      </c>
      <c r="F88" s="45" t="s">
        <v>2299</v>
      </c>
      <c r="G88" s="56">
        <v>309.7</v>
      </c>
      <c r="H88" s="56"/>
      <c r="I88" s="58">
        <f t="shared" si="4"/>
        <v>39855.89</v>
      </c>
      <c r="J88" s="56"/>
    </row>
    <row r="89" ht="20" customHeight="1" spans="2:10">
      <c r="B89" s="42">
        <v>8</v>
      </c>
      <c r="C89" s="42">
        <v>27</v>
      </c>
      <c r="D89" s="42"/>
      <c r="E89" s="44" t="s">
        <v>2249</v>
      </c>
      <c r="F89" s="45" t="s">
        <v>2300</v>
      </c>
      <c r="G89" s="56">
        <v>229.86</v>
      </c>
      <c r="H89" s="56"/>
      <c r="I89" s="58">
        <f t="shared" si="4"/>
        <v>40085.75</v>
      </c>
      <c r="J89" s="56"/>
    </row>
    <row r="90" ht="20" customHeight="1" spans="2:10">
      <c r="B90" s="42">
        <v>8</v>
      </c>
      <c r="C90" s="42">
        <v>27</v>
      </c>
      <c r="D90" s="42"/>
      <c r="E90" s="44" t="s">
        <v>2249</v>
      </c>
      <c r="F90" s="45" t="s">
        <v>2301</v>
      </c>
      <c r="G90" s="56">
        <v>20000</v>
      </c>
      <c r="H90" s="56"/>
      <c r="I90" s="58">
        <f t="shared" si="4"/>
        <v>60085.75</v>
      </c>
      <c r="J90" s="56"/>
    </row>
    <row r="91" ht="20" customHeight="1" spans="2:10">
      <c r="B91" s="42">
        <v>8</v>
      </c>
      <c r="C91" s="42">
        <v>28</v>
      </c>
      <c r="D91" s="42"/>
      <c r="E91" s="44" t="s">
        <v>2243</v>
      </c>
      <c r="F91" s="95" t="s">
        <v>2302</v>
      </c>
      <c r="G91" s="84">
        <v>41201.1</v>
      </c>
      <c r="H91" s="56"/>
      <c r="I91" s="58">
        <f t="shared" si="4"/>
        <v>101286.85</v>
      </c>
      <c r="J91" s="56"/>
    </row>
    <row r="92" ht="20" customHeight="1" spans="2:10">
      <c r="B92" s="42">
        <v>8</v>
      </c>
      <c r="C92" s="42">
        <v>28</v>
      </c>
      <c r="D92" s="42"/>
      <c r="E92" s="44" t="s">
        <v>2243</v>
      </c>
      <c r="F92" s="45" t="s">
        <v>2303</v>
      </c>
      <c r="G92" s="56">
        <v>23370.9</v>
      </c>
      <c r="H92" s="56"/>
      <c r="I92" s="58">
        <f t="shared" si="4"/>
        <v>124657.75</v>
      </c>
      <c r="J92" s="56"/>
    </row>
    <row r="93" ht="20" customHeight="1" spans="2:10">
      <c r="B93" s="42">
        <v>8</v>
      </c>
      <c r="C93" s="42">
        <v>28</v>
      </c>
      <c r="D93" s="42"/>
      <c r="E93" s="44" t="s">
        <v>2243</v>
      </c>
      <c r="F93" s="45" t="s">
        <v>2304</v>
      </c>
      <c r="G93" s="56">
        <v>616.7</v>
      </c>
      <c r="H93" s="56"/>
      <c r="I93" s="58">
        <f t="shared" si="4"/>
        <v>125274.45</v>
      </c>
      <c r="J93" s="56"/>
    </row>
    <row r="94" ht="20" customHeight="1" spans="2:10">
      <c r="B94" s="42">
        <v>8</v>
      </c>
      <c r="C94" s="42">
        <v>28</v>
      </c>
      <c r="D94" s="42"/>
      <c r="E94" s="44" t="s">
        <v>2243</v>
      </c>
      <c r="F94" s="45" t="s">
        <v>2305</v>
      </c>
      <c r="G94" s="56">
        <v>64.16</v>
      </c>
      <c r="H94" s="56"/>
      <c r="I94" s="58">
        <f t="shared" si="4"/>
        <v>125338.61</v>
      </c>
      <c r="J94" s="56"/>
    </row>
    <row r="95" ht="20" customHeight="1" spans="2:10">
      <c r="B95" s="42">
        <v>8</v>
      </c>
      <c r="C95" s="42">
        <v>28</v>
      </c>
      <c r="D95" s="42"/>
      <c r="E95" s="44" t="s">
        <v>2243</v>
      </c>
      <c r="F95" s="45" t="s">
        <v>2299</v>
      </c>
      <c r="G95" s="56">
        <v>309.7</v>
      </c>
      <c r="H95" s="56"/>
      <c r="I95" s="58">
        <f t="shared" si="4"/>
        <v>125648.31</v>
      </c>
      <c r="J95" s="56"/>
    </row>
    <row r="96" ht="20" customHeight="1" spans="2:10">
      <c r="B96" s="42">
        <v>8</v>
      </c>
      <c r="C96" s="42">
        <v>28</v>
      </c>
      <c r="D96" s="42"/>
      <c r="E96" s="44" t="s">
        <v>2243</v>
      </c>
      <c r="F96" s="45" t="s">
        <v>2300</v>
      </c>
      <c r="G96" s="56">
        <v>229.86</v>
      </c>
      <c r="H96" s="56"/>
      <c r="I96" s="58">
        <f t="shared" si="4"/>
        <v>125878.17</v>
      </c>
      <c r="J96" s="56"/>
    </row>
    <row r="97" ht="20" customHeight="1" spans="2:10">
      <c r="B97" s="42">
        <v>8</v>
      </c>
      <c r="C97" s="42">
        <v>28</v>
      </c>
      <c r="D97" s="74" t="s">
        <v>69</v>
      </c>
      <c r="E97" s="117" t="s">
        <v>1807</v>
      </c>
      <c r="F97" s="95" t="s">
        <v>2241</v>
      </c>
      <c r="G97" s="56"/>
      <c r="H97" s="56">
        <v>8000</v>
      </c>
      <c r="I97" s="58">
        <f t="shared" si="4"/>
        <v>117878.17</v>
      </c>
      <c r="J97" s="56"/>
    </row>
    <row r="98" ht="20" customHeight="1" spans="2:10">
      <c r="B98" s="42">
        <v>8</v>
      </c>
      <c r="C98" s="42">
        <v>28</v>
      </c>
      <c r="D98" s="74" t="s">
        <v>69</v>
      </c>
      <c r="E98" s="44" t="s">
        <v>1962</v>
      </c>
      <c r="F98" s="45" t="s">
        <v>2171</v>
      </c>
      <c r="G98" s="56"/>
      <c r="H98" s="56">
        <v>106000</v>
      </c>
      <c r="I98" s="58">
        <f t="shared" si="4"/>
        <v>11878.17</v>
      </c>
      <c r="J98" s="56"/>
    </row>
    <row r="99" ht="20" customHeight="1" spans="2:10">
      <c r="B99" s="68"/>
      <c r="C99" s="68"/>
      <c r="D99" s="68"/>
      <c r="E99" s="130"/>
      <c r="F99" s="70" t="s">
        <v>22</v>
      </c>
      <c r="G99" s="71">
        <f>SUM(G55:G98)</f>
        <v>294816.24</v>
      </c>
      <c r="H99" s="71">
        <f>SUM(H55:H98)</f>
        <v>311993.82</v>
      </c>
      <c r="I99" s="72">
        <f>I54+G99-H99</f>
        <v>11878.17</v>
      </c>
      <c r="J99" s="71"/>
    </row>
    <row r="100" ht="20" customHeight="1" spans="2:10">
      <c r="B100" s="42">
        <v>9</v>
      </c>
      <c r="C100" s="42">
        <v>2</v>
      </c>
      <c r="D100" s="74" t="s">
        <v>92</v>
      </c>
      <c r="E100" s="44" t="s">
        <v>2306</v>
      </c>
      <c r="F100" s="45" t="s">
        <v>2307</v>
      </c>
      <c r="G100" s="56"/>
      <c r="H100" s="56">
        <v>2051.72</v>
      </c>
      <c r="I100" s="58">
        <f>I98+G100-H100</f>
        <v>9826.45</v>
      </c>
      <c r="J100" s="56"/>
    </row>
    <row r="101" ht="20" customHeight="1" spans="2:10">
      <c r="B101" s="42">
        <v>9</v>
      </c>
      <c r="C101" s="42">
        <v>4</v>
      </c>
      <c r="D101" s="74" t="s">
        <v>100</v>
      </c>
      <c r="E101" s="44" t="s">
        <v>2308</v>
      </c>
      <c r="F101" s="45" t="s">
        <v>2309</v>
      </c>
      <c r="G101" s="56"/>
      <c r="H101" s="56">
        <v>5000</v>
      </c>
      <c r="I101" s="58">
        <f t="shared" ref="I101:I112" si="5">I100+G101-H101</f>
        <v>4826.45</v>
      </c>
      <c r="J101" s="56"/>
    </row>
    <row r="102" ht="20" customHeight="1" spans="2:10">
      <c r="B102" s="42">
        <v>9</v>
      </c>
      <c r="C102" s="42">
        <v>4</v>
      </c>
      <c r="D102" s="74" t="s">
        <v>92</v>
      </c>
      <c r="E102" s="44" t="s">
        <v>2310</v>
      </c>
      <c r="F102" s="45" t="s">
        <v>2311</v>
      </c>
      <c r="G102" s="56"/>
      <c r="H102" s="56">
        <v>1635.42</v>
      </c>
      <c r="I102" s="58">
        <f t="shared" si="5"/>
        <v>3191.03</v>
      </c>
      <c r="J102" s="56"/>
    </row>
    <row r="103" ht="20" customHeight="1" spans="2:10">
      <c r="B103" s="42">
        <v>9</v>
      </c>
      <c r="C103" s="42">
        <v>8</v>
      </c>
      <c r="D103" s="74" t="s">
        <v>69</v>
      </c>
      <c r="E103" s="75" t="s">
        <v>1962</v>
      </c>
      <c r="F103" s="45" t="s">
        <v>1979</v>
      </c>
      <c r="G103" s="55">
        <v>5000</v>
      </c>
      <c r="H103" s="56"/>
      <c r="I103" s="58">
        <f t="shared" si="5"/>
        <v>8191.03</v>
      </c>
      <c r="J103" s="56"/>
    </row>
    <row r="104" ht="20" customHeight="1" spans="2:10">
      <c r="B104" s="42">
        <v>9</v>
      </c>
      <c r="C104" s="42">
        <v>8</v>
      </c>
      <c r="D104" s="74" t="s">
        <v>100</v>
      </c>
      <c r="E104" s="44" t="s">
        <v>2312</v>
      </c>
      <c r="F104" s="45" t="s">
        <v>2313</v>
      </c>
      <c r="G104" s="56"/>
      <c r="H104" s="56">
        <v>4800</v>
      </c>
      <c r="I104" s="58">
        <f t="shared" si="5"/>
        <v>3391.03</v>
      </c>
      <c r="J104" s="56"/>
    </row>
    <row r="105" ht="20" customHeight="1" spans="2:10">
      <c r="B105" s="42">
        <v>9</v>
      </c>
      <c r="C105" s="42">
        <v>10</v>
      </c>
      <c r="D105" s="42"/>
      <c r="E105" s="44" t="s">
        <v>2249</v>
      </c>
      <c r="F105" s="45" t="s">
        <v>2301</v>
      </c>
      <c r="G105" s="55">
        <v>31612</v>
      </c>
      <c r="H105" s="56"/>
      <c r="I105" s="58">
        <f t="shared" si="5"/>
        <v>35003.03</v>
      </c>
      <c r="J105" s="56"/>
    </row>
    <row r="106" ht="20" customHeight="1" spans="2:10">
      <c r="B106" s="42">
        <v>9</v>
      </c>
      <c r="C106" s="42">
        <v>10</v>
      </c>
      <c r="D106" s="74" t="s">
        <v>100</v>
      </c>
      <c r="E106" s="44" t="s">
        <v>2308</v>
      </c>
      <c r="F106" s="45" t="s">
        <v>2314</v>
      </c>
      <c r="G106" s="56">
        <v>5000</v>
      </c>
      <c r="H106" s="56"/>
      <c r="I106" s="58">
        <f t="shared" si="5"/>
        <v>40003.03</v>
      </c>
      <c r="J106" s="56"/>
    </row>
    <row r="107" ht="20" customHeight="1" spans="2:10">
      <c r="B107" s="42">
        <v>9</v>
      </c>
      <c r="C107" s="42">
        <v>10</v>
      </c>
      <c r="D107" s="74" t="s">
        <v>69</v>
      </c>
      <c r="E107" s="75" t="s">
        <v>1807</v>
      </c>
      <c r="F107" s="95" t="s">
        <v>2241</v>
      </c>
      <c r="G107" s="56"/>
      <c r="H107" s="55">
        <v>20000</v>
      </c>
      <c r="I107" s="58">
        <f t="shared" si="5"/>
        <v>20003.03</v>
      </c>
      <c r="J107" s="56"/>
    </row>
    <row r="108" ht="20" customHeight="1" spans="2:10">
      <c r="B108" s="42">
        <v>9</v>
      </c>
      <c r="C108" s="42">
        <v>15</v>
      </c>
      <c r="D108" s="42"/>
      <c r="E108" s="44" t="s">
        <v>271</v>
      </c>
      <c r="F108" s="45" t="s">
        <v>2311</v>
      </c>
      <c r="G108" s="56"/>
      <c r="H108" s="56">
        <v>13699.54</v>
      </c>
      <c r="I108" s="58">
        <f t="shared" si="5"/>
        <v>6303.49</v>
      </c>
      <c r="J108" s="56"/>
    </row>
    <row r="109" ht="20" customHeight="1" spans="2:10">
      <c r="B109" s="42">
        <v>9</v>
      </c>
      <c r="C109" s="42">
        <v>15</v>
      </c>
      <c r="D109" s="74" t="s">
        <v>69</v>
      </c>
      <c r="E109" s="75" t="s">
        <v>1962</v>
      </c>
      <c r="F109" s="45" t="s">
        <v>1979</v>
      </c>
      <c r="G109" s="55">
        <v>20000</v>
      </c>
      <c r="H109" s="56"/>
      <c r="I109" s="58">
        <f t="shared" si="5"/>
        <v>26303.49</v>
      </c>
      <c r="J109" s="56"/>
    </row>
    <row r="110" ht="20" customHeight="1" spans="2:10">
      <c r="B110" s="42">
        <v>9</v>
      </c>
      <c r="C110" s="42">
        <v>15</v>
      </c>
      <c r="D110" s="42"/>
      <c r="E110" s="44" t="s">
        <v>2315</v>
      </c>
      <c r="F110" s="45" t="s">
        <v>2316</v>
      </c>
      <c r="G110" s="56"/>
      <c r="H110" s="56">
        <v>6375</v>
      </c>
      <c r="I110" s="58">
        <f t="shared" si="5"/>
        <v>19928.49</v>
      </c>
      <c r="J110" s="56"/>
    </row>
    <row r="111" ht="20" customHeight="1" spans="2:10">
      <c r="B111" s="42">
        <v>9</v>
      </c>
      <c r="C111" s="42">
        <v>15</v>
      </c>
      <c r="D111" s="42"/>
      <c r="E111" s="44" t="s">
        <v>2317</v>
      </c>
      <c r="F111" s="45" t="s">
        <v>2318</v>
      </c>
      <c r="G111" s="56"/>
      <c r="H111" s="56">
        <v>2500</v>
      </c>
      <c r="I111" s="58">
        <f t="shared" si="5"/>
        <v>17428.49</v>
      </c>
      <c r="J111" s="56"/>
    </row>
    <row r="112" ht="24.75" spans="2:10">
      <c r="B112" s="42">
        <v>9</v>
      </c>
      <c r="C112" s="42">
        <v>16</v>
      </c>
      <c r="D112" s="42"/>
      <c r="E112" s="44" t="s">
        <v>2319</v>
      </c>
      <c r="F112" s="101" t="s">
        <v>2320</v>
      </c>
      <c r="G112" s="56"/>
      <c r="H112" s="56">
        <v>1689.5</v>
      </c>
      <c r="I112" s="58">
        <f t="shared" si="5"/>
        <v>15738.99</v>
      </c>
      <c r="J112" s="56"/>
    </row>
    <row r="113" ht="24.75" spans="2:10">
      <c r="B113" s="42">
        <v>9</v>
      </c>
      <c r="C113" s="42">
        <v>16</v>
      </c>
      <c r="D113" s="42"/>
      <c r="E113" s="44" t="s">
        <v>178</v>
      </c>
      <c r="F113" s="101" t="s">
        <v>2321</v>
      </c>
      <c r="G113" s="56"/>
      <c r="H113" s="56">
        <v>1319</v>
      </c>
      <c r="I113" s="58">
        <f t="shared" ref="I113:I144" si="6">I112+G113-H113</f>
        <v>14419.99</v>
      </c>
      <c r="J113" s="56"/>
    </row>
    <row r="114" ht="84.75" spans="2:10">
      <c r="B114" s="42">
        <v>9</v>
      </c>
      <c r="C114" s="42">
        <v>16</v>
      </c>
      <c r="D114" s="42"/>
      <c r="E114" s="44" t="s">
        <v>2319</v>
      </c>
      <c r="F114" s="101" t="s">
        <v>2322</v>
      </c>
      <c r="G114" s="56"/>
      <c r="H114" s="56">
        <v>202</v>
      </c>
      <c r="I114" s="58">
        <f t="shared" si="6"/>
        <v>14217.99</v>
      </c>
      <c r="J114" s="56"/>
    </row>
    <row r="115" ht="31" customHeight="1" spans="2:10">
      <c r="B115" s="42">
        <v>9</v>
      </c>
      <c r="C115" s="42">
        <v>17</v>
      </c>
      <c r="D115" s="42"/>
      <c r="E115" s="95" t="s">
        <v>2258</v>
      </c>
      <c r="F115" s="101" t="s">
        <v>2323</v>
      </c>
      <c r="G115" s="56"/>
      <c r="H115" s="56">
        <v>489.95</v>
      </c>
      <c r="I115" s="58">
        <f t="shared" si="6"/>
        <v>13728.04</v>
      </c>
      <c r="J115" s="56"/>
    </row>
    <row r="116" ht="30" customHeight="1" spans="2:10">
      <c r="B116" s="42">
        <v>9</v>
      </c>
      <c r="C116" s="42">
        <v>18</v>
      </c>
      <c r="D116" s="42"/>
      <c r="E116" s="75" t="s">
        <v>2249</v>
      </c>
      <c r="F116" s="45" t="s">
        <v>2324</v>
      </c>
      <c r="G116" s="55">
        <v>13000</v>
      </c>
      <c r="H116" s="56"/>
      <c r="I116" s="58">
        <f t="shared" si="6"/>
        <v>26728.04</v>
      </c>
      <c r="J116" s="56"/>
    </row>
    <row r="117" ht="20" customHeight="1" spans="2:10">
      <c r="B117" s="42">
        <v>9</v>
      </c>
      <c r="C117" s="42">
        <v>18</v>
      </c>
      <c r="D117" s="42"/>
      <c r="E117" s="44" t="s">
        <v>2243</v>
      </c>
      <c r="F117" s="95" t="s">
        <v>2325</v>
      </c>
      <c r="G117" s="55">
        <v>48200</v>
      </c>
      <c r="H117" s="56"/>
      <c r="I117" s="58">
        <f t="shared" si="6"/>
        <v>74928.04</v>
      </c>
      <c r="J117" s="56"/>
    </row>
    <row r="118" ht="20" customHeight="1" spans="2:10">
      <c r="B118" s="42">
        <v>9</v>
      </c>
      <c r="C118" s="42">
        <v>18</v>
      </c>
      <c r="D118" s="42"/>
      <c r="E118" s="44" t="s">
        <v>2243</v>
      </c>
      <c r="F118" s="45" t="s">
        <v>2326</v>
      </c>
      <c r="G118" s="55">
        <v>10957.8</v>
      </c>
      <c r="H118" s="56"/>
      <c r="I118" s="58">
        <f t="shared" si="6"/>
        <v>85885.84</v>
      </c>
      <c r="J118" s="56"/>
    </row>
    <row r="119" ht="20" customHeight="1" spans="2:10">
      <c r="B119" s="42">
        <v>9</v>
      </c>
      <c r="C119" s="42">
        <v>18</v>
      </c>
      <c r="D119" s="42"/>
      <c r="E119" s="44" t="s">
        <v>2243</v>
      </c>
      <c r="F119" s="45" t="s">
        <v>2327</v>
      </c>
      <c r="G119" s="55">
        <v>163.8</v>
      </c>
      <c r="H119" s="56"/>
      <c r="I119" s="58">
        <f t="shared" si="6"/>
        <v>86049.64</v>
      </c>
      <c r="J119" s="56"/>
    </row>
    <row r="120" ht="20" customHeight="1" spans="2:10">
      <c r="B120" s="42">
        <v>9</v>
      </c>
      <c r="C120" s="42">
        <v>18</v>
      </c>
      <c r="D120" s="42"/>
      <c r="E120" s="44" t="s">
        <v>2243</v>
      </c>
      <c r="F120" s="45" t="s">
        <v>2328</v>
      </c>
      <c r="G120" s="55">
        <v>144.2</v>
      </c>
      <c r="H120" s="56"/>
      <c r="I120" s="58">
        <f t="shared" si="6"/>
        <v>86193.84</v>
      </c>
      <c r="J120" s="56"/>
    </row>
    <row r="121" ht="20" customHeight="1" spans="2:10">
      <c r="B121" s="42">
        <v>9</v>
      </c>
      <c r="C121" s="42">
        <v>18</v>
      </c>
      <c r="D121" s="42"/>
      <c r="E121" s="44" t="s">
        <v>2243</v>
      </c>
      <c r="F121" s="45" t="s">
        <v>2329</v>
      </c>
      <c r="G121" s="55">
        <v>600</v>
      </c>
      <c r="H121" s="56"/>
      <c r="I121" s="58">
        <f t="shared" si="6"/>
        <v>86793.84</v>
      </c>
      <c r="J121" s="56"/>
    </row>
    <row r="122" ht="20" customHeight="1" spans="2:10">
      <c r="B122" s="42">
        <v>9</v>
      </c>
      <c r="C122" s="42">
        <v>18</v>
      </c>
      <c r="D122" s="42"/>
      <c r="E122" s="44" t="s">
        <v>2243</v>
      </c>
      <c r="F122" s="45" t="s">
        <v>2330</v>
      </c>
      <c r="G122" s="55">
        <v>191.36</v>
      </c>
      <c r="H122" s="56"/>
      <c r="I122" s="58">
        <f t="shared" si="6"/>
        <v>86985.2</v>
      </c>
      <c r="J122" s="56"/>
    </row>
    <row r="123" ht="20" customHeight="1" spans="2:10">
      <c r="B123" s="42">
        <v>9</v>
      </c>
      <c r="C123" s="42">
        <v>18</v>
      </c>
      <c r="D123" s="42" t="s">
        <v>69</v>
      </c>
      <c r="E123" s="75" t="s">
        <v>1962</v>
      </c>
      <c r="F123" s="45" t="s">
        <v>2171</v>
      </c>
      <c r="G123" s="56"/>
      <c r="H123" s="55">
        <v>53200</v>
      </c>
      <c r="I123" s="58">
        <f t="shared" si="6"/>
        <v>33785.2</v>
      </c>
      <c r="J123" s="56"/>
    </row>
    <row r="124" ht="20" customHeight="1" spans="2:10">
      <c r="B124" s="42">
        <v>9</v>
      </c>
      <c r="C124" s="42">
        <v>18</v>
      </c>
      <c r="D124" s="42"/>
      <c r="E124" s="45" t="s">
        <v>2290</v>
      </c>
      <c r="F124" s="45" t="s">
        <v>2291</v>
      </c>
      <c r="G124" s="56"/>
      <c r="H124" s="56">
        <v>13760</v>
      </c>
      <c r="I124" s="58">
        <f t="shared" si="6"/>
        <v>20025.2</v>
      </c>
      <c r="J124" s="56"/>
    </row>
    <row r="125" ht="20" customHeight="1" spans="2:10">
      <c r="B125" s="42">
        <v>9</v>
      </c>
      <c r="C125" s="42">
        <v>18</v>
      </c>
      <c r="D125" s="74" t="s">
        <v>69</v>
      </c>
      <c r="E125" s="75" t="s">
        <v>1807</v>
      </c>
      <c r="F125" s="95" t="s">
        <v>2241</v>
      </c>
      <c r="G125" s="56"/>
      <c r="H125" s="55">
        <v>10000</v>
      </c>
      <c r="I125" s="58">
        <f t="shared" si="6"/>
        <v>10025.2</v>
      </c>
      <c r="J125" s="56"/>
    </row>
    <row r="126" ht="20" customHeight="1" spans="2:10">
      <c r="B126" s="42">
        <v>9</v>
      </c>
      <c r="C126" s="42">
        <v>18</v>
      </c>
      <c r="D126" s="42"/>
      <c r="E126" s="45" t="s">
        <v>2331</v>
      </c>
      <c r="F126" s="45" t="s">
        <v>2332</v>
      </c>
      <c r="G126" s="56"/>
      <c r="H126" s="56">
        <v>2789</v>
      </c>
      <c r="I126" s="58">
        <f t="shared" si="6"/>
        <v>7236.20000000001</v>
      </c>
      <c r="J126" s="56"/>
    </row>
    <row r="127" ht="20" customHeight="1" spans="2:10">
      <c r="B127" s="42">
        <v>9</v>
      </c>
      <c r="C127" s="42">
        <v>18</v>
      </c>
      <c r="D127" s="42"/>
      <c r="E127" s="44" t="s">
        <v>2319</v>
      </c>
      <c r="F127" s="45" t="s">
        <v>2333</v>
      </c>
      <c r="G127" s="56"/>
      <c r="H127" s="56">
        <v>5173.03</v>
      </c>
      <c r="I127" s="58">
        <f t="shared" si="6"/>
        <v>2063.17000000001</v>
      </c>
      <c r="J127" s="56"/>
    </row>
    <row r="128" ht="20" customHeight="1" spans="2:10">
      <c r="B128" s="42">
        <v>9</v>
      </c>
      <c r="C128" s="42">
        <v>18</v>
      </c>
      <c r="D128" s="42"/>
      <c r="E128" s="44" t="s">
        <v>2273</v>
      </c>
      <c r="F128" s="45" t="s">
        <v>2334</v>
      </c>
      <c r="G128" s="55">
        <v>27380</v>
      </c>
      <c r="H128" s="56"/>
      <c r="I128" s="58">
        <f t="shared" si="6"/>
        <v>29443.17</v>
      </c>
      <c r="J128" s="56"/>
    </row>
    <row r="129" ht="20" customHeight="1" spans="2:10">
      <c r="B129" s="42">
        <v>9</v>
      </c>
      <c r="C129" s="42">
        <v>18</v>
      </c>
      <c r="D129" s="42"/>
      <c r="E129" s="44" t="s">
        <v>2273</v>
      </c>
      <c r="F129" s="45" t="s">
        <v>2335</v>
      </c>
      <c r="G129" s="55">
        <v>24786.3</v>
      </c>
      <c r="H129" s="56"/>
      <c r="I129" s="58">
        <f t="shared" si="6"/>
        <v>54229.47</v>
      </c>
      <c r="J129" s="56"/>
    </row>
    <row r="130" ht="20" customHeight="1" spans="2:10">
      <c r="B130" s="42">
        <v>9</v>
      </c>
      <c r="C130" s="42">
        <v>18</v>
      </c>
      <c r="D130" s="42"/>
      <c r="E130" s="44" t="s">
        <v>2273</v>
      </c>
      <c r="F130" s="45" t="s">
        <v>2304</v>
      </c>
      <c r="G130" s="55">
        <v>320.6</v>
      </c>
      <c r="H130" s="56"/>
      <c r="I130" s="58">
        <f t="shared" si="6"/>
        <v>54550.07</v>
      </c>
      <c r="J130" s="56"/>
    </row>
    <row r="131" ht="20" customHeight="1" spans="2:10">
      <c r="B131" s="42">
        <v>9</v>
      </c>
      <c r="C131" s="42">
        <v>18</v>
      </c>
      <c r="D131" s="74"/>
      <c r="E131" s="44" t="s">
        <v>2273</v>
      </c>
      <c r="F131" s="45" t="s">
        <v>2336</v>
      </c>
      <c r="G131" s="55">
        <v>716.8</v>
      </c>
      <c r="H131" s="56"/>
      <c r="I131" s="58">
        <f t="shared" si="6"/>
        <v>55266.87</v>
      </c>
      <c r="J131" s="56"/>
    </row>
    <row r="132" ht="20" customHeight="1" spans="2:10">
      <c r="B132" s="42">
        <v>9</v>
      </c>
      <c r="C132" s="42">
        <v>20</v>
      </c>
      <c r="D132" s="74" t="s">
        <v>69</v>
      </c>
      <c r="E132" s="75" t="s">
        <v>1962</v>
      </c>
      <c r="F132" s="45" t="s">
        <v>1979</v>
      </c>
      <c r="G132" s="55">
        <v>26900</v>
      </c>
      <c r="H132" s="56"/>
      <c r="I132" s="58">
        <f t="shared" si="6"/>
        <v>82166.87</v>
      </c>
      <c r="J132" s="56"/>
    </row>
    <row r="133" ht="20" customHeight="1" spans="2:10">
      <c r="B133" s="42">
        <v>9</v>
      </c>
      <c r="C133" s="42">
        <v>20</v>
      </c>
      <c r="D133" s="74" t="s">
        <v>69</v>
      </c>
      <c r="E133" s="44" t="s">
        <v>2337</v>
      </c>
      <c r="F133" s="45" t="s">
        <v>2338</v>
      </c>
      <c r="G133" s="55">
        <v>7478.06</v>
      </c>
      <c r="H133" s="56"/>
      <c r="I133" s="58">
        <f t="shared" si="6"/>
        <v>89644.93</v>
      </c>
      <c r="J133" s="56"/>
    </row>
    <row r="134" ht="20" customHeight="1" spans="2:10">
      <c r="B134" s="42">
        <v>9</v>
      </c>
      <c r="C134" s="42">
        <v>20</v>
      </c>
      <c r="D134" s="74" t="s">
        <v>69</v>
      </c>
      <c r="E134" s="75" t="s">
        <v>1807</v>
      </c>
      <c r="F134" s="95" t="s">
        <v>2241</v>
      </c>
      <c r="G134" s="56"/>
      <c r="H134" s="55">
        <v>89000</v>
      </c>
      <c r="I134" s="58">
        <f t="shared" si="6"/>
        <v>644.930000000022</v>
      </c>
      <c r="J134" s="56"/>
    </row>
    <row r="135" ht="20" customHeight="1" spans="2:10">
      <c r="B135" s="42">
        <v>9</v>
      </c>
      <c r="C135" s="42">
        <v>20</v>
      </c>
      <c r="D135" s="74" t="s">
        <v>69</v>
      </c>
      <c r="E135" s="75" t="s">
        <v>1807</v>
      </c>
      <c r="F135" s="95" t="s">
        <v>2339</v>
      </c>
      <c r="G135" s="55">
        <v>1500</v>
      </c>
      <c r="H135" s="56"/>
      <c r="I135" s="58">
        <f t="shared" si="6"/>
        <v>2144.93000000002</v>
      </c>
      <c r="J135" s="56"/>
    </row>
    <row r="136" ht="20" customHeight="1" spans="2:10">
      <c r="B136" s="42">
        <v>9</v>
      </c>
      <c r="C136" s="42">
        <v>20</v>
      </c>
      <c r="D136" s="74" t="s">
        <v>69</v>
      </c>
      <c r="E136" s="75" t="s">
        <v>1962</v>
      </c>
      <c r="F136" s="45" t="s">
        <v>2171</v>
      </c>
      <c r="G136" s="56"/>
      <c r="H136" s="55">
        <v>1500</v>
      </c>
      <c r="I136" s="58">
        <f t="shared" si="6"/>
        <v>644.930000000022</v>
      </c>
      <c r="J136" s="56"/>
    </row>
    <row r="137" ht="20" customHeight="1" spans="2:10">
      <c r="B137" s="42">
        <v>9</v>
      </c>
      <c r="C137" s="42">
        <v>21</v>
      </c>
      <c r="D137" s="42"/>
      <c r="E137" s="117" t="s">
        <v>2036</v>
      </c>
      <c r="F137" s="45" t="s">
        <v>29</v>
      </c>
      <c r="G137" s="55">
        <v>1.73</v>
      </c>
      <c r="H137" s="56"/>
      <c r="I137" s="58">
        <f t="shared" si="6"/>
        <v>646.660000000022</v>
      </c>
      <c r="J137" s="56"/>
    </row>
    <row r="138" ht="20" customHeight="1" spans="2:10">
      <c r="B138" s="42">
        <v>9</v>
      </c>
      <c r="C138" s="42">
        <v>22</v>
      </c>
      <c r="D138" s="42"/>
      <c r="E138" s="44" t="s">
        <v>2340</v>
      </c>
      <c r="F138" s="45" t="s">
        <v>2341</v>
      </c>
      <c r="G138" s="56"/>
      <c r="H138" s="56">
        <v>250</v>
      </c>
      <c r="I138" s="58">
        <f t="shared" si="6"/>
        <v>396.660000000022</v>
      </c>
      <c r="J138" s="56"/>
    </row>
    <row r="139" ht="50" customHeight="1" spans="2:10">
      <c r="B139" s="42">
        <v>9</v>
      </c>
      <c r="C139" s="42">
        <v>24</v>
      </c>
      <c r="D139" s="74" t="s">
        <v>69</v>
      </c>
      <c r="E139" s="44" t="s">
        <v>2289</v>
      </c>
      <c r="F139" s="101" t="s">
        <v>2024</v>
      </c>
      <c r="G139" s="55">
        <v>3000</v>
      </c>
      <c r="H139" s="56"/>
      <c r="I139" s="58">
        <f t="shared" si="6"/>
        <v>3396.66000000002</v>
      </c>
      <c r="J139" s="56"/>
    </row>
    <row r="140" ht="40" customHeight="1" spans="2:10">
      <c r="B140" s="42">
        <v>9</v>
      </c>
      <c r="C140" s="42">
        <v>24</v>
      </c>
      <c r="D140" s="42"/>
      <c r="E140" s="44" t="s">
        <v>2342</v>
      </c>
      <c r="F140" s="101" t="s">
        <v>2343</v>
      </c>
      <c r="G140" s="56"/>
      <c r="H140" s="56">
        <v>900</v>
      </c>
      <c r="I140" s="58">
        <f t="shared" si="6"/>
        <v>2496.66000000002</v>
      </c>
      <c r="J140" s="56"/>
    </row>
    <row r="141" ht="20" customHeight="1" spans="2:10">
      <c r="B141" s="42">
        <v>9</v>
      </c>
      <c r="C141" s="42">
        <v>24</v>
      </c>
      <c r="D141" s="42"/>
      <c r="E141" s="45" t="s">
        <v>2344</v>
      </c>
      <c r="F141" s="45" t="s">
        <v>2345</v>
      </c>
      <c r="G141" s="56"/>
      <c r="H141" s="56">
        <v>376.62</v>
      </c>
      <c r="I141" s="58">
        <f t="shared" si="6"/>
        <v>2120.04000000002</v>
      </c>
      <c r="J141" s="56"/>
    </row>
    <row r="142" ht="20" customHeight="1" spans="2:10">
      <c r="B142" s="42">
        <v>9</v>
      </c>
      <c r="C142" s="42">
        <v>24</v>
      </c>
      <c r="D142" s="42"/>
      <c r="E142" s="44" t="s">
        <v>2346</v>
      </c>
      <c r="F142" s="45" t="s">
        <v>2347</v>
      </c>
      <c r="G142" s="56"/>
      <c r="H142" s="56">
        <v>2000</v>
      </c>
      <c r="I142" s="58">
        <f t="shared" si="6"/>
        <v>120.040000000022</v>
      </c>
      <c r="J142" s="56"/>
    </row>
    <row r="143" ht="20" customHeight="1" spans="2:10">
      <c r="B143" s="42">
        <v>9</v>
      </c>
      <c r="C143" s="42">
        <v>29</v>
      </c>
      <c r="D143" s="42"/>
      <c r="E143" s="75" t="s">
        <v>2249</v>
      </c>
      <c r="F143" s="45" t="s">
        <v>2348</v>
      </c>
      <c r="G143" s="55">
        <v>22000</v>
      </c>
      <c r="H143" s="56"/>
      <c r="I143" s="58">
        <f t="shared" si="6"/>
        <v>22120.04</v>
      </c>
      <c r="J143" s="56"/>
    </row>
    <row r="144" ht="20" customHeight="1" spans="2:10">
      <c r="B144" s="42">
        <v>9</v>
      </c>
      <c r="C144" s="42">
        <v>29</v>
      </c>
      <c r="D144" s="42"/>
      <c r="E144" s="44" t="s">
        <v>2247</v>
      </c>
      <c r="F144" s="45" t="s">
        <v>2349</v>
      </c>
      <c r="G144" s="56"/>
      <c r="H144" s="56">
        <v>20000</v>
      </c>
      <c r="I144" s="58">
        <f t="shared" si="6"/>
        <v>2120.04000000002</v>
      </c>
      <c r="J144" s="56"/>
    </row>
    <row r="145" ht="78" customHeight="1" spans="2:10">
      <c r="B145" s="42">
        <v>9</v>
      </c>
      <c r="C145" s="42">
        <v>29</v>
      </c>
      <c r="D145" s="42"/>
      <c r="E145" s="95" t="s">
        <v>2258</v>
      </c>
      <c r="F145" s="101" t="s">
        <v>2350</v>
      </c>
      <c r="G145" s="56"/>
      <c r="H145" s="56">
        <v>1070.29</v>
      </c>
      <c r="I145" s="58">
        <f t="shared" ref="I145:I176" si="7">I144+G145-H145</f>
        <v>1049.75000000002</v>
      </c>
      <c r="J145" s="56"/>
    </row>
    <row r="146" ht="20" customHeight="1" spans="2:10">
      <c r="B146" s="42">
        <v>9</v>
      </c>
      <c r="C146" s="42">
        <v>30</v>
      </c>
      <c r="D146" s="74" t="s">
        <v>69</v>
      </c>
      <c r="E146" s="75" t="s">
        <v>1962</v>
      </c>
      <c r="F146" s="45" t="s">
        <v>1979</v>
      </c>
      <c r="G146" s="55">
        <v>4950.67</v>
      </c>
      <c r="H146" s="56"/>
      <c r="I146" s="58">
        <f t="shared" si="7"/>
        <v>6000.42000000002</v>
      </c>
      <c r="J146" s="56"/>
    </row>
    <row r="147" ht="20" customHeight="1" spans="2:10">
      <c r="B147" s="42">
        <v>9</v>
      </c>
      <c r="C147" s="42">
        <v>30</v>
      </c>
      <c r="D147" s="74" t="s">
        <v>69</v>
      </c>
      <c r="E147" s="44" t="s">
        <v>2289</v>
      </c>
      <c r="F147" s="101" t="s">
        <v>2024</v>
      </c>
      <c r="G147" s="55">
        <v>3092.77</v>
      </c>
      <c r="H147" s="56"/>
      <c r="I147" s="58">
        <f t="shared" si="7"/>
        <v>9093.19000000002</v>
      </c>
      <c r="J147" s="56"/>
    </row>
    <row r="148" ht="20" customHeight="1" spans="2:10">
      <c r="B148" s="42">
        <v>9</v>
      </c>
      <c r="C148" s="42">
        <v>30</v>
      </c>
      <c r="D148" s="74" t="s">
        <v>69</v>
      </c>
      <c r="E148" s="117" t="s">
        <v>1807</v>
      </c>
      <c r="F148" s="95" t="s">
        <v>2339</v>
      </c>
      <c r="G148" s="55">
        <v>2500</v>
      </c>
      <c r="H148" s="56"/>
      <c r="I148" s="58">
        <f t="shared" si="7"/>
        <v>11593.19</v>
      </c>
      <c r="J148" s="56"/>
    </row>
    <row r="149" ht="20" customHeight="1" spans="2:10">
      <c r="B149" s="42">
        <v>9</v>
      </c>
      <c r="C149" s="42">
        <v>30</v>
      </c>
      <c r="D149" s="42"/>
      <c r="E149" s="44" t="s">
        <v>2271</v>
      </c>
      <c r="F149" s="44" t="s">
        <v>2351</v>
      </c>
      <c r="G149" s="56"/>
      <c r="H149" s="56">
        <v>11400</v>
      </c>
      <c r="I149" s="58">
        <f t="shared" si="7"/>
        <v>193.190000000021</v>
      </c>
      <c r="J149" s="56"/>
    </row>
    <row r="150" ht="20" customHeight="1" spans="2:10">
      <c r="B150" s="68"/>
      <c r="C150" s="68"/>
      <c r="D150" s="68"/>
      <c r="E150" s="130"/>
      <c r="F150" s="70" t="s">
        <v>22</v>
      </c>
      <c r="G150" s="71">
        <f>SUM(G100:G149)</f>
        <v>259496.09</v>
      </c>
      <c r="H150" s="71">
        <f>SUM(H100:H149)</f>
        <v>271181.07</v>
      </c>
      <c r="I150" s="72">
        <f>I99+G150-H150</f>
        <v>193.189999999944</v>
      </c>
      <c r="J150" s="71"/>
    </row>
    <row r="151" ht="20" customHeight="1" spans="2:10">
      <c r="B151" s="42">
        <v>10</v>
      </c>
      <c r="C151" s="42">
        <v>12</v>
      </c>
      <c r="D151" s="42"/>
      <c r="E151" s="45" t="s">
        <v>2352</v>
      </c>
      <c r="F151" s="45" t="s">
        <v>2353</v>
      </c>
      <c r="G151" s="56">
        <v>2429.25</v>
      </c>
      <c r="H151" s="56"/>
      <c r="I151" s="58">
        <f t="shared" si="7"/>
        <v>2622.43999999994</v>
      </c>
      <c r="J151" s="56"/>
    </row>
    <row r="152" ht="20" customHeight="1" spans="2:10">
      <c r="B152" s="42">
        <v>10</v>
      </c>
      <c r="C152" s="42">
        <v>12</v>
      </c>
      <c r="D152" s="42"/>
      <c r="E152" s="117" t="s">
        <v>2352</v>
      </c>
      <c r="F152" s="45" t="s">
        <v>2354</v>
      </c>
      <c r="G152" s="56">
        <v>658.35</v>
      </c>
      <c r="H152" s="56"/>
      <c r="I152" s="58">
        <f t="shared" si="7"/>
        <v>3280.78999999994</v>
      </c>
      <c r="J152" s="56"/>
    </row>
    <row r="153" ht="20" customHeight="1" spans="2:10">
      <c r="B153" s="42">
        <v>10</v>
      </c>
      <c r="C153" s="42">
        <v>12</v>
      </c>
      <c r="D153" s="42"/>
      <c r="E153" s="117" t="s">
        <v>2352</v>
      </c>
      <c r="F153" s="45" t="s">
        <v>2355</v>
      </c>
      <c r="G153" s="56">
        <v>2679.3</v>
      </c>
      <c r="H153" s="56"/>
      <c r="I153" s="58">
        <f t="shared" si="7"/>
        <v>5960.08999999994</v>
      </c>
      <c r="J153" s="56"/>
    </row>
    <row r="154" ht="20" customHeight="1" spans="2:10">
      <c r="B154" s="42"/>
      <c r="C154" s="42"/>
      <c r="D154" s="42"/>
      <c r="E154" s="42"/>
      <c r="F154" s="54"/>
      <c r="G154" s="56"/>
      <c r="H154" s="56"/>
      <c r="I154" s="58">
        <f t="shared" si="7"/>
        <v>5960.08999999994</v>
      </c>
      <c r="J154" s="56"/>
    </row>
    <row r="155" ht="20" customHeight="1" spans="2:10">
      <c r="B155" s="42"/>
      <c r="C155" s="42"/>
      <c r="D155" s="42"/>
      <c r="E155" s="42"/>
      <c r="F155" s="54"/>
      <c r="G155" s="56"/>
      <c r="H155" s="56"/>
      <c r="I155" s="58">
        <f t="shared" si="7"/>
        <v>5960.08999999994</v>
      </c>
      <c r="J155" s="56"/>
    </row>
    <row r="156" ht="20" customHeight="1" spans="2:10">
      <c r="B156" s="42"/>
      <c r="C156" s="42"/>
      <c r="D156" s="42"/>
      <c r="E156" s="54"/>
      <c r="F156" s="54"/>
      <c r="G156" s="56"/>
      <c r="H156" s="56"/>
      <c r="I156" s="58">
        <f t="shared" si="7"/>
        <v>5960.08999999994</v>
      </c>
      <c r="J156" s="56"/>
    </row>
    <row r="157" ht="20" customHeight="1" spans="2:10">
      <c r="B157" s="42"/>
      <c r="C157" s="42"/>
      <c r="D157" s="42"/>
      <c r="E157" s="42"/>
      <c r="F157" s="54"/>
      <c r="G157" s="56"/>
      <c r="H157" s="56"/>
      <c r="I157" s="58">
        <f t="shared" si="7"/>
        <v>5960.08999999994</v>
      </c>
      <c r="J157" s="56"/>
    </row>
    <row r="158" ht="20" customHeight="1" spans="2:10">
      <c r="B158" s="42"/>
      <c r="C158" s="42"/>
      <c r="D158" s="42"/>
      <c r="E158" s="42"/>
      <c r="F158" s="54"/>
      <c r="G158" s="56"/>
      <c r="H158" s="56"/>
      <c r="I158" s="58">
        <f t="shared" si="7"/>
        <v>5960.08999999994</v>
      </c>
      <c r="J158" s="56"/>
    </row>
    <row r="159" ht="20" customHeight="1" spans="2:10">
      <c r="B159" s="42"/>
      <c r="C159" s="42"/>
      <c r="D159" s="42"/>
      <c r="E159" s="42"/>
      <c r="F159" s="54"/>
      <c r="G159" s="56"/>
      <c r="H159" s="56"/>
      <c r="I159" s="58">
        <f t="shared" si="7"/>
        <v>5960.08999999994</v>
      </c>
      <c r="J159" s="56"/>
    </row>
    <row r="160" ht="20" customHeight="1" spans="2:10">
      <c r="B160" s="42"/>
      <c r="C160" s="42"/>
      <c r="D160" s="42"/>
      <c r="E160" s="42"/>
      <c r="F160" s="54"/>
      <c r="G160" s="56"/>
      <c r="H160" s="56"/>
      <c r="I160" s="58">
        <f t="shared" si="7"/>
        <v>5960.08999999994</v>
      </c>
      <c r="J160" s="56"/>
    </row>
    <row r="161" ht="20" customHeight="1" spans="2:10">
      <c r="B161" s="42"/>
      <c r="C161" s="42"/>
      <c r="D161" s="42"/>
      <c r="E161" s="42"/>
      <c r="F161" s="54"/>
      <c r="G161" s="56"/>
      <c r="H161" s="56"/>
      <c r="I161" s="58">
        <f t="shared" si="7"/>
        <v>5960.08999999994</v>
      </c>
      <c r="J161" s="56"/>
    </row>
    <row r="162" ht="20" customHeight="1" spans="2:10">
      <c r="B162" s="42"/>
      <c r="C162" s="42"/>
      <c r="D162" s="42"/>
      <c r="E162" s="42"/>
      <c r="F162" s="54"/>
      <c r="G162" s="56"/>
      <c r="H162" s="56"/>
      <c r="I162" s="58">
        <f t="shared" si="7"/>
        <v>5960.08999999994</v>
      </c>
      <c r="J162" s="56"/>
    </row>
    <row r="163" ht="14.25" spans="2:10">
      <c r="B163" s="42"/>
      <c r="C163" s="42"/>
      <c r="D163" s="42"/>
      <c r="E163" s="54"/>
      <c r="F163" s="54"/>
      <c r="G163" s="56"/>
      <c r="H163" s="56"/>
      <c r="I163" s="58">
        <f t="shared" si="7"/>
        <v>5960.08999999994</v>
      </c>
      <c r="J163" s="56"/>
    </row>
    <row r="164" ht="20" customHeight="1" spans="2:10">
      <c r="B164" s="42"/>
      <c r="C164" s="42"/>
      <c r="D164" s="42"/>
      <c r="E164" s="42"/>
      <c r="F164" s="54"/>
      <c r="G164" s="56"/>
      <c r="H164" s="56"/>
      <c r="I164" s="58">
        <f t="shared" si="7"/>
        <v>5960.08999999994</v>
      </c>
      <c r="J164" s="56"/>
    </row>
    <row r="165" ht="20" customHeight="1" spans="2:10">
      <c r="B165" s="42"/>
      <c r="C165" s="42"/>
      <c r="D165" s="42"/>
      <c r="E165" s="42"/>
      <c r="F165" s="54"/>
      <c r="G165" s="56"/>
      <c r="H165" s="56"/>
      <c r="I165" s="58">
        <f t="shared" si="7"/>
        <v>5960.08999999994</v>
      </c>
      <c r="J165" s="56"/>
    </row>
    <row r="166" ht="20" customHeight="1" spans="2:10">
      <c r="B166" s="42"/>
      <c r="C166" s="42"/>
      <c r="D166" s="42"/>
      <c r="E166" s="42"/>
      <c r="F166" s="54"/>
      <c r="G166" s="56"/>
      <c r="H166" s="56"/>
      <c r="I166" s="58">
        <f t="shared" si="7"/>
        <v>5960.08999999994</v>
      </c>
      <c r="J166" s="56"/>
    </row>
    <row r="167" ht="20" customHeight="1" spans="2:10">
      <c r="B167" s="42"/>
      <c r="C167" s="42"/>
      <c r="D167" s="42"/>
      <c r="E167" s="42"/>
      <c r="F167" s="54"/>
      <c r="G167" s="56"/>
      <c r="H167" s="56"/>
      <c r="I167" s="58">
        <f t="shared" si="7"/>
        <v>5960.08999999994</v>
      </c>
      <c r="J167" s="56"/>
    </row>
    <row r="168" ht="20" customHeight="1" spans="2:10">
      <c r="B168" s="42"/>
      <c r="C168" s="42"/>
      <c r="D168" s="42"/>
      <c r="E168" s="54"/>
      <c r="F168" s="54"/>
      <c r="G168" s="56"/>
      <c r="H168" s="56"/>
      <c r="I168" s="58">
        <f t="shared" si="7"/>
        <v>5960.08999999994</v>
      </c>
      <c r="J168" s="56"/>
    </row>
    <row r="169" ht="20" customHeight="1" spans="2:10">
      <c r="B169" s="42"/>
      <c r="C169" s="42"/>
      <c r="D169" s="42"/>
      <c r="E169" s="42"/>
      <c r="F169" s="54"/>
      <c r="G169" s="56"/>
      <c r="H169" s="56"/>
      <c r="I169" s="58">
        <f t="shared" si="7"/>
        <v>5960.08999999994</v>
      </c>
      <c r="J169" s="56"/>
    </row>
    <row r="170" ht="20" customHeight="1" spans="2:10">
      <c r="B170" s="42"/>
      <c r="C170" s="42"/>
      <c r="D170" s="42"/>
      <c r="E170" s="42"/>
      <c r="F170" s="54"/>
      <c r="G170" s="56"/>
      <c r="H170" s="56"/>
      <c r="I170" s="58">
        <f t="shared" si="7"/>
        <v>5960.08999999994</v>
      </c>
      <c r="J170" s="56"/>
    </row>
    <row r="171" ht="20" customHeight="1" spans="2:10">
      <c r="B171" s="42"/>
      <c r="C171" s="42"/>
      <c r="D171" s="42"/>
      <c r="E171" s="42"/>
      <c r="F171" s="54"/>
      <c r="G171" s="56"/>
      <c r="H171" s="56"/>
      <c r="I171" s="58">
        <f t="shared" si="7"/>
        <v>5960.08999999994</v>
      </c>
      <c r="J171" s="56"/>
    </row>
    <row r="172" ht="20" customHeight="1" spans="2:10">
      <c r="B172" s="42"/>
      <c r="C172" s="42"/>
      <c r="D172" s="42"/>
      <c r="E172" s="42"/>
      <c r="F172" s="54"/>
      <c r="G172" s="56"/>
      <c r="H172" s="56"/>
      <c r="I172" s="58">
        <f t="shared" si="7"/>
        <v>5960.08999999994</v>
      </c>
      <c r="J172" s="56"/>
    </row>
    <row r="173" ht="20" customHeight="1" spans="2:10">
      <c r="B173" s="42"/>
      <c r="C173" s="42"/>
      <c r="D173" s="42"/>
      <c r="E173" s="54"/>
      <c r="F173" s="54"/>
      <c r="G173" s="56"/>
      <c r="H173" s="56"/>
      <c r="I173" s="58">
        <f t="shared" si="7"/>
        <v>5960.08999999994</v>
      </c>
      <c r="J173" s="56"/>
    </row>
    <row r="174" ht="20" customHeight="1" spans="2:10">
      <c r="B174" s="42"/>
      <c r="C174" s="42"/>
      <c r="D174" s="42"/>
      <c r="E174" s="42"/>
      <c r="F174" s="54"/>
      <c r="G174" s="56"/>
      <c r="H174" s="56"/>
      <c r="I174" s="58">
        <f t="shared" si="7"/>
        <v>5960.08999999994</v>
      </c>
      <c r="J174" s="56"/>
    </row>
    <row r="175" ht="20" customHeight="1" spans="2:10">
      <c r="B175" s="42"/>
      <c r="C175" s="42"/>
      <c r="D175" s="42"/>
      <c r="E175" s="42"/>
      <c r="F175" s="54"/>
      <c r="G175" s="56"/>
      <c r="H175" s="56"/>
      <c r="I175" s="58">
        <f t="shared" si="7"/>
        <v>5960.08999999994</v>
      </c>
      <c r="J175" s="56"/>
    </row>
    <row r="176" ht="20" customHeight="1" spans="2:10">
      <c r="B176" s="42"/>
      <c r="C176" s="42"/>
      <c r="D176" s="42"/>
      <c r="E176" s="42"/>
      <c r="F176" s="54"/>
      <c r="G176" s="56"/>
      <c r="H176" s="56"/>
      <c r="I176" s="58">
        <f t="shared" si="7"/>
        <v>5960.08999999994</v>
      </c>
      <c r="J176" s="56"/>
    </row>
    <row r="177" ht="20" customHeight="1" spans="2:10">
      <c r="B177" s="42"/>
      <c r="C177" s="42"/>
      <c r="D177" s="42"/>
      <c r="E177" s="42"/>
      <c r="F177" s="54"/>
      <c r="G177" s="56"/>
      <c r="H177" s="56"/>
      <c r="I177" s="58">
        <f t="shared" ref="I177:I208" si="8">I176+G177-H177</f>
        <v>5960.08999999994</v>
      </c>
      <c r="J177" s="56"/>
    </row>
    <row r="178" ht="20" customHeight="1" spans="2:10">
      <c r="B178" s="42"/>
      <c r="C178" s="42"/>
      <c r="D178" s="42"/>
      <c r="E178" s="54"/>
      <c r="F178" s="54"/>
      <c r="G178" s="56"/>
      <c r="H178" s="56"/>
      <c r="I178" s="58">
        <f t="shared" si="8"/>
        <v>5960.08999999994</v>
      </c>
      <c r="J178" s="56"/>
    </row>
    <row r="179" ht="20" customHeight="1" spans="2:10">
      <c r="B179" s="42"/>
      <c r="C179" s="42"/>
      <c r="D179" s="42"/>
      <c r="E179" s="42"/>
      <c r="F179" s="54"/>
      <c r="G179" s="56"/>
      <c r="H179" s="56"/>
      <c r="I179" s="58">
        <f t="shared" si="8"/>
        <v>5960.08999999994</v>
      </c>
      <c r="J179" s="56"/>
    </row>
    <row r="180" ht="20" customHeight="1" spans="2:10">
      <c r="B180" s="42"/>
      <c r="C180" s="42"/>
      <c r="D180" s="42"/>
      <c r="E180" s="42"/>
      <c r="F180" s="54"/>
      <c r="G180" s="56"/>
      <c r="H180" s="56"/>
      <c r="I180" s="58">
        <f t="shared" si="8"/>
        <v>5960.08999999994</v>
      </c>
      <c r="J180" s="56"/>
    </row>
    <row r="181" ht="20" customHeight="1" spans="2:10">
      <c r="B181" s="42"/>
      <c r="C181" s="42"/>
      <c r="D181" s="42"/>
      <c r="E181" s="42"/>
      <c r="F181" s="54"/>
      <c r="G181" s="56"/>
      <c r="H181" s="56"/>
      <c r="I181" s="58">
        <f t="shared" si="8"/>
        <v>5960.08999999994</v>
      </c>
      <c r="J181" s="56"/>
    </row>
    <row r="182" ht="20" customHeight="1" spans="2:10">
      <c r="B182" s="42"/>
      <c r="C182" s="42"/>
      <c r="D182" s="42"/>
      <c r="E182" s="42"/>
      <c r="F182" s="54"/>
      <c r="G182" s="56"/>
      <c r="H182" s="56"/>
      <c r="I182" s="58">
        <f t="shared" si="8"/>
        <v>5960.08999999994</v>
      </c>
      <c r="J182" s="56"/>
    </row>
    <row r="183" ht="20" customHeight="1" spans="2:10">
      <c r="B183" s="42"/>
      <c r="C183" s="42"/>
      <c r="D183" s="42"/>
      <c r="E183" s="54"/>
      <c r="F183" s="54"/>
      <c r="G183" s="56"/>
      <c r="H183" s="56"/>
      <c r="I183" s="58">
        <f t="shared" si="8"/>
        <v>5960.08999999994</v>
      </c>
      <c r="J183" s="56"/>
    </row>
    <row r="184" ht="20" customHeight="1" spans="2:10">
      <c r="B184" s="42"/>
      <c r="C184" s="42"/>
      <c r="D184" s="42"/>
      <c r="E184" s="42"/>
      <c r="F184" s="54"/>
      <c r="G184" s="56"/>
      <c r="H184" s="56"/>
      <c r="I184" s="58">
        <f t="shared" si="8"/>
        <v>5960.08999999994</v>
      </c>
      <c r="J184" s="56"/>
    </row>
    <row r="185" ht="20" customHeight="1" spans="2:10">
      <c r="B185" s="42"/>
      <c r="C185" s="42"/>
      <c r="D185" s="42"/>
      <c r="E185" s="42"/>
      <c r="F185" s="54"/>
      <c r="G185" s="56"/>
      <c r="H185" s="56"/>
      <c r="I185" s="58">
        <f t="shared" si="8"/>
        <v>5960.08999999994</v>
      </c>
      <c r="J185" s="56"/>
    </row>
    <row r="186" ht="20" customHeight="1" spans="2:10">
      <c r="B186" s="42"/>
      <c r="C186" s="42"/>
      <c r="D186" s="42"/>
      <c r="E186" s="42"/>
      <c r="F186" s="54"/>
      <c r="G186" s="56"/>
      <c r="H186" s="56"/>
      <c r="I186" s="58">
        <f t="shared" si="8"/>
        <v>5960.08999999994</v>
      </c>
      <c r="J186" s="56"/>
    </row>
    <row r="187" ht="20" customHeight="1" spans="2:10">
      <c r="B187" s="42"/>
      <c r="C187" s="42"/>
      <c r="D187" s="42"/>
      <c r="E187" s="42"/>
      <c r="F187" s="54"/>
      <c r="G187" s="56"/>
      <c r="H187" s="56"/>
      <c r="I187" s="58">
        <f t="shared" si="8"/>
        <v>5960.08999999994</v>
      </c>
      <c r="J187" s="56"/>
    </row>
    <row r="188" ht="20" customHeight="1" spans="2:10">
      <c r="B188" s="42"/>
      <c r="C188" s="42"/>
      <c r="D188" s="42"/>
      <c r="E188" s="54"/>
      <c r="F188" s="54"/>
      <c r="G188" s="56"/>
      <c r="H188" s="56"/>
      <c r="I188" s="58">
        <f t="shared" si="8"/>
        <v>5960.08999999994</v>
      </c>
      <c r="J188" s="56"/>
    </row>
    <row r="189" ht="20" customHeight="1" spans="2:10">
      <c r="B189" s="42"/>
      <c r="C189" s="42"/>
      <c r="D189" s="42"/>
      <c r="E189" s="42"/>
      <c r="F189" s="54"/>
      <c r="G189" s="56"/>
      <c r="H189" s="56"/>
      <c r="I189" s="58">
        <f t="shared" si="8"/>
        <v>5960.08999999994</v>
      </c>
      <c r="J189" s="56"/>
    </row>
    <row r="190" ht="20" customHeight="1" spans="2:10">
      <c r="B190" s="42"/>
      <c r="C190" s="42"/>
      <c r="D190" s="42"/>
      <c r="E190" s="42"/>
      <c r="F190" s="54"/>
      <c r="G190" s="56"/>
      <c r="H190" s="56"/>
      <c r="I190" s="58">
        <f t="shared" si="8"/>
        <v>5960.08999999994</v>
      </c>
      <c r="J190" s="56"/>
    </row>
    <row r="191" ht="20" customHeight="1" spans="2:10">
      <c r="B191" s="42"/>
      <c r="C191" s="42"/>
      <c r="D191" s="42"/>
      <c r="E191" s="42"/>
      <c r="F191" s="54"/>
      <c r="G191" s="56"/>
      <c r="H191" s="56"/>
      <c r="I191" s="58">
        <f t="shared" si="8"/>
        <v>5960.08999999994</v>
      </c>
      <c r="J191" s="56"/>
    </row>
    <row r="192" ht="20" customHeight="1" spans="2:10">
      <c r="B192" s="42"/>
      <c r="C192" s="42"/>
      <c r="D192" s="42"/>
      <c r="E192" s="42"/>
      <c r="F192" s="54"/>
      <c r="G192" s="56"/>
      <c r="H192" s="56"/>
      <c r="I192" s="58">
        <f t="shared" si="8"/>
        <v>5960.08999999994</v>
      </c>
      <c r="J192" s="56"/>
    </row>
    <row r="193" ht="20" customHeight="1" spans="2:10">
      <c r="B193" s="42"/>
      <c r="C193" s="42"/>
      <c r="D193" s="42"/>
      <c r="E193" s="54"/>
      <c r="F193" s="54"/>
      <c r="G193" s="56"/>
      <c r="H193" s="56"/>
      <c r="I193" s="58">
        <f t="shared" si="8"/>
        <v>5960.08999999994</v>
      </c>
      <c r="J193" s="56"/>
    </row>
    <row r="194" ht="20" customHeight="1" spans="2:10">
      <c r="B194" s="42"/>
      <c r="C194" s="42"/>
      <c r="D194" s="42"/>
      <c r="E194" s="42"/>
      <c r="F194" s="54"/>
      <c r="G194" s="56"/>
      <c r="H194" s="56"/>
      <c r="I194" s="58">
        <f t="shared" si="8"/>
        <v>5960.08999999994</v>
      </c>
      <c r="J194" s="56"/>
    </row>
    <row r="195" ht="20" customHeight="1" spans="2:10">
      <c r="B195" s="42"/>
      <c r="C195" s="42"/>
      <c r="D195" s="42"/>
      <c r="E195" s="42"/>
      <c r="F195" s="54"/>
      <c r="G195" s="56"/>
      <c r="H195" s="56"/>
      <c r="I195" s="58">
        <f t="shared" si="8"/>
        <v>5960.08999999994</v>
      </c>
      <c r="J195" s="56"/>
    </row>
    <row r="196" ht="20" customHeight="1" spans="2:10">
      <c r="B196" s="42"/>
      <c r="C196" s="42"/>
      <c r="D196" s="42"/>
      <c r="E196" s="42"/>
      <c r="F196" s="54"/>
      <c r="G196" s="56"/>
      <c r="H196" s="56"/>
      <c r="I196" s="58">
        <f t="shared" si="8"/>
        <v>5960.08999999994</v>
      </c>
      <c r="J196" s="56"/>
    </row>
    <row r="197" ht="20" customHeight="1" spans="2:10">
      <c r="B197" s="42"/>
      <c r="C197" s="42"/>
      <c r="D197" s="42"/>
      <c r="E197" s="42"/>
      <c r="F197" s="54"/>
      <c r="G197" s="56"/>
      <c r="H197" s="56"/>
      <c r="I197" s="58">
        <f t="shared" si="8"/>
        <v>5960.08999999994</v>
      </c>
      <c r="J197" s="56"/>
    </row>
    <row r="198" ht="20" customHeight="1" spans="2:10">
      <c r="B198" s="42"/>
      <c r="C198" s="42"/>
      <c r="D198" s="42"/>
      <c r="E198" s="54"/>
      <c r="F198" s="54"/>
      <c r="G198" s="56"/>
      <c r="H198" s="56"/>
      <c r="I198" s="58">
        <f t="shared" si="8"/>
        <v>5960.08999999994</v>
      </c>
      <c r="J198" s="56"/>
    </row>
    <row r="199" ht="20" customHeight="1" spans="2:10">
      <c r="B199" s="42"/>
      <c r="C199" s="42"/>
      <c r="D199" s="42"/>
      <c r="E199" s="42"/>
      <c r="F199" s="54"/>
      <c r="G199" s="56"/>
      <c r="H199" s="56"/>
      <c r="I199" s="58">
        <f t="shared" si="8"/>
        <v>5960.08999999994</v>
      </c>
      <c r="J199" s="56"/>
    </row>
    <row r="200" ht="20" customHeight="1" spans="2:10">
      <c r="B200" s="42"/>
      <c r="C200" s="42"/>
      <c r="D200" s="42"/>
      <c r="E200" s="42"/>
      <c r="F200" s="54"/>
      <c r="G200" s="56"/>
      <c r="H200" s="56"/>
      <c r="I200" s="58">
        <f t="shared" si="8"/>
        <v>5960.08999999994</v>
      </c>
      <c r="J200" s="56"/>
    </row>
    <row r="201" ht="20" customHeight="1" spans="2:10">
      <c r="B201" s="42"/>
      <c r="C201" s="42"/>
      <c r="D201" s="42"/>
      <c r="E201" s="42"/>
      <c r="F201" s="54"/>
      <c r="G201" s="56"/>
      <c r="H201" s="56"/>
      <c r="I201" s="58">
        <f t="shared" si="8"/>
        <v>5960.08999999994</v>
      </c>
      <c r="J201" s="56"/>
    </row>
    <row r="202" ht="20" customHeight="1" spans="2:10">
      <c r="B202" s="42"/>
      <c r="C202" s="42"/>
      <c r="D202" s="42"/>
      <c r="E202" s="42"/>
      <c r="F202" s="54"/>
      <c r="G202" s="56"/>
      <c r="H202" s="56"/>
      <c r="I202" s="58">
        <f t="shared" si="8"/>
        <v>5960.08999999994</v>
      </c>
      <c r="J202" s="56"/>
    </row>
    <row r="203" ht="20" customHeight="1" spans="2:10">
      <c r="B203" s="42"/>
      <c r="C203" s="42"/>
      <c r="D203" s="42"/>
      <c r="E203" s="54"/>
      <c r="F203" s="54"/>
      <c r="G203" s="56"/>
      <c r="H203" s="56"/>
      <c r="I203" s="58">
        <f t="shared" si="8"/>
        <v>5960.08999999994</v>
      </c>
      <c r="J203" s="56"/>
    </row>
    <row r="204" ht="20" customHeight="1" spans="2:10">
      <c r="B204" s="42"/>
      <c r="C204" s="42"/>
      <c r="D204" s="42"/>
      <c r="E204" s="42"/>
      <c r="F204" s="54"/>
      <c r="G204" s="56"/>
      <c r="H204" s="56"/>
      <c r="I204" s="58">
        <f t="shared" si="8"/>
        <v>5960.08999999994</v>
      </c>
      <c r="J204" s="56"/>
    </row>
    <row r="205" ht="20" customHeight="1" spans="2:10">
      <c r="B205" s="42"/>
      <c r="C205" s="42"/>
      <c r="D205" s="42"/>
      <c r="E205" s="42"/>
      <c r="F205" s="54"/>
      <c r="G205" s="56"/>
      <c r="H205" s="56"/>
      <c r="I205" s="58">
        <f t="shared" si="8"/>
        <v>5960.08999999994</v>
      </c>
      <c r="J205" s="56"/>
    </row>
    <row r="206" ht="20" customHeight="1" spans="2:10">
      <c r="B206" s="42"/>
      <c r="C206" s="42"/>
      <c r="D206" s="42"/>
      <c r="E206" s="42"/>
      <c r="F206" s="54"/>
      <c r="G206" s="56"/>
      <c r="H206" s="56"/>
      <c r="I206" s="58">
        <f t="shared" si="8"/>
        <v>5960.08999999994</v>
      </c>
      <c r="J206" s="56"/>
    </row>
    <row r="207" ht="20" customHeight="1" spans="2:10">
      <c r="B207" s="42"/>
      <c r="C207" s="42"/>
      <c r="D207" s="42"/>
      <c r="E207" s="42"/>
      <c r="F207" s="54"/>
      <c r="G207" s="56"/>
      <c r="H207" s="56"/>
      <c r="I207" s="58">
        <f t="shared" si="8"/>
        <v>5960.08999999994</v>
      </c>
      <c r="J207" s="56"/>
    </row>
    <row r="208" ht="20" customHeight="1" spans="2:10">
      <c r="B208" s="42"/>
      <c r="C208" s="42"/>
      <c r="D208" s="42"/>
      <c r="E208" s="42"/>
      <c r="F208" s="54"/>
      <c r="G208" s="56"/>
      <c r="H208" s="56"/>
      <c r="I208" s="58">
        <f t="shared" si="8"/>
        <v>5960.08999999994</v>
      </c>
      <c r="J208" s="56"/>
    </row>
    <row r="209" ht="20" customHeight="1" spans="2:10">
      <c r="B209" s="42"/>
      <c r="C209" s="42"/>
      <c r="D209" s="42"/>
      <c r="E209" s="42"/>
      <c r="F209" s="54"/>
      <c r="G209" s="56"/>
      <c r="H209" s="56"/>
      <c r="I209" s="58">
        <f t="shared" ref="I209:I240" si="9">I208+G209-H209</f>
        <v>5960.08999999994</v>
      </c>
      <c r="J209" s="56"/>
    </row>
    <row r="210" ht="20" customHeight="1" spans="2:10">
      <c r="B210" s="42"/>
      <c r="C210" s="42"/>
      <c r="D210" s="42"/>
      <c r="E210" s="54"/>
      <c r="F210" s="54"/>
      <c r="G210" s="56"/>
      <c r="H210" s="56"/>
      <c r="I210" s="58">
        <f t="shared" si="9"/>
        <v>5960.08999999994</v>
      </c>
      <c r="J210" s="56"/>
    </row>
    <row r="211" ht="20" customHeight="1" spans="2:10">
      <c r="B211" s="42"/>
      <c r="C211" s="42"/>
      <c r="D211" s="42"/>
      <c r="E211" s="42"/>
      <c r="F211" s="54"/>
      <c r="G211" s="56"/>
      <c r="H211" s="56"/>
      <c r="I211" s="58">
        <f t="shared" si="9"/>
        <v>5960.08999999994</v>
      </c>
      <c r="J211" s="56"/>
    </row>
    <row r="212" ht="20" customHeight="1" spans="2:10">
      <c r="B212" s="42"/>
      <c r="C212" s="42"/>
      <c r="D212" s="42"/>
      <c r="E212" s="42"/>
      <c r="F212" s="54"/>
      <c r="G212" s="56"/>
      <c r="H212" s="56"/>
      <c r="I212" s="58">
        <f t="shared" si="9"/>
        <v>5960.08999999994</v>
      </c>
      <c r="J212" s="56"/>
    </row>
    <row r="213" ht="20" customHeight="1" spans="2:10">
      <c r="B213" s="42"/>
      <c r="C213" s="42"/>
      <c r="D213" s="42"/>
      <c r="E213" s="42"/>
      <c r="F213" s="54"/>
      <c r="G213" s="56"/>
      <c r="H213" s="56"/>
      <c r="I213" s="58">
        <f t="shared" si="9"/>
        <v>5960.08999999994</v>
      </c>
      <c r="J213" s="56"/>
    </row>
    <row r="214" ht="20" customHeight="1" spans="2:10">
      <c r="B214" s="42"/>
      <c r="C214" s="42"/>
      <c r="D214" s="42"/>
      <c r="E214" s="42"/>
      <c r="F214" s="54"/>
      <c r="G214" s="56"/>
      <c r="H214" s="56"/>
      <c r="I214" s="58">
        <f t="shared" si="9"/>
        <v>5960.08999999994</v>
      </c>
      <c r="J214" s="56"/>
    </row>
    <row r="215" ht="20" customHeight="1" spans="2:10">
      <c r="B215" s="42"/>
      <c r="C215" s="42"/>
      <c r="D215" s="42"/>
      <c r="E215" s="54"/>
      <c r="F215" s="54"/>
      <c r="G215" s="56"/>
      <c r="H215" s="56"/>
      <c r="I215" s="58">
        <f t="shared" si="9"/>
        <v>5960.08999999994</v>
      </c>
      <c r="J215" s="56"/>
    </row>
    <row r="216" ht="20" customHeight="1" spans="2:10">
      <c r="B216" s="42"/>
      <c r="C216" s="42"/>
      <c r="D216" s="42"/>
      <c r="E216" s="42"/>
      <c r="F216" s="54"/>
      <c r="G216" s="56"/>
      <c r="H216" s="56"/>
      <c r="I216" s="58">
        <f t="shared" si="9"/>
        <v>5960.08999999994</v>
      </c>
      <c r="J216" s="56"/>
    </row>
    <row r="217" ht="20" customHeight="1" spans="2:10">
      <c r="B217" s="42"/>
      <c r="C217" s="42"/>
      <c r="D217" s="42"/>
      <c r="E217" s="42"/>
      <c r="F217" s="54"/>
      <c r="G217" s="56"/>
      <c r="H217" s="56"/>
      <c r="I217" s="58">
        <f t="shared" si="9"/>
        <v>5960.08999999994</v>
      </c>
      <c r="J217" s="56"/>
    </row>
    <row r="218" ht="20" customHeight="1" spans="2:10">
      <c r="B218" s="42"/>
      <c r="C218" s="42"/>
      <c r="D218" s="42"/>
      <c r="E218" s="42"/>
      <c r="F218" s="54"/>
      <c r="G218" s="56"/>
      <c r="H218" s="56"/>
      <c r="I218" s="58">
        <f t="shared" si="9"/>
        <v>5960.08999999994</v>
      </c>
      <c r="J218" s="56"/>
    </row>
    <row r="219" ht="20" customHeight="1" spans="2:10">
      <c r="B219" s="42"/>
      <c r="C219" s="42"/>
      <c r="D219" s="42"/>
      <c r="E219" s="42"/>
      <c r="F219" s="54"/>
      <c r="G219" s="56"/>
      <c r="H219" s="56"/>
      <c r="I219" s="58">
        <f t="shared" si="9"/>
        <v>5960.08999999994</v>
      </c>
      <c r="J219" s="56"/>
    </row>
    <row r="220" ht="20" customHeight="1" spans="2:10">
      <c r="B220" s="42"/>
      <c r="C220" s="42"/>
      <c r="D220" s="42"/>
      <c r="E220" s="54"/>
      <c r="F220" s="54"/>
      <c r="G220" s="56"/>
      <c r="H220" s="56"/>
      <c r="I220" s="58">
        <f t="shared" si="9"/>
        <v>5960.08999999994</v>
      </c>
      <c r="J220" s="56"/>
    </row>
    <row r="221" ht="20" customHeight="1" spans="2:10">
      <c r="B221" s="42"/>
      <c r="C221" s="42"/>
      <c r="D221" s="42"/>
      <c r="E221" s="42"/>
      <c r="F221" s="54"/>
      <c r="G221" s="56"/>
      <c r="H221" s="56"/>
      <c r="I221" s="58">
        <f t="shared" si="9"/>
        <v>5960.08999999994</v>
      </c>
      <c r="J221" s="56"/>
    </row>
    <row r="222" ht="20" customHeight="1" spans="2:10">
      <c r="B222" s="42"/>
      <c r="C222" s="42"/>
      <c r="D222" s="42"/>
      <c r="E222" s="42"/>
      <c r="F222" s="54"/>
      <c r="G222" s="56"/>
      <c r="H222" s="56"/>
      <c r="I222" s="58">
        <f t="shared" si="9"/>
        <v>5960.08999999994</v>
      </c>
      <c r="J222" s="56"/>
    </row>
    <row r="223" ht="20" customHeight="1" spans="2:10">
      <c r="B223" s="42"/>
      <c r="C223" s="42"/>
      <c r="D223" s="42"/>
      <c r="E223" s="42"/>
      <c r="F223" s="54"/>
      <c r="G223" s="56"/>
      <c r="H223" s="56"/>
      <c r="I223" s="58">
        <f t="shared" si="9"/>
        <v>5960.08999999994</v>
      </c>
      <c r="J223" s="56"/>
    </row>
    <row r="224" ht="20" customHeight="1" spans="2:10">
      <c r="B224" s="42"/>
      <c r="C224" s="42"/>
      <c r="D224" s="42"/>
      <c r="E224" s="42"/>
      <c r="F224" s="54"/>
      <c r="G224" s="56"/>
      <c r="H224" s="56"/>
      <c r="I224" s="58">
        <f t="shared" si="9"/>
        <v>5960.08999999994</v>
      </c>
      <c r="J224" s="56"/>
    </row>
    <row r="225" ht="20" customHeight="1" spans="2:10">
      <c r="B225" s="42"/>
      <c r="C225" s="42"/>
      <c r="D225" s="42"/>
      <c r="E225" s="54"/>
      <c r="F225" s="54"/>
      <c r="G225" s="56"/>
      <c r="H225" s="56"/>
      <c r="I225" s="58">
        <f t="shared" si="9"/>
        <v>5960.08999999994</v>
      </c>
      <c r="J225" s="56"/>
    </row>
    <row r="226" ht="20" customHeight="1" spans="2:10">
      <c r="B226" s="42"/>
      <c r="C226" s="42"/>
      <c r="D226" s="42"/>
      <c r="E226" s="42"/>
      <c r="F226" s="54"/>
      <c r="G226" s="56"/>
      <c r="H226" s="56"/>
      <c r="I226" s="58">
        <f t="shared" si="9"/>
        <v>5960.08999999994</v>
      </c>
      <c r="J226" s="56"/>
    </row>
    <row r="227" ht="20" customHeight="1" spans="2:10">
      <c r="B227" s="42"/>
      <c r="C227" s="42"/>
      <c r="D227" s="42"/>
      <c r="E227" s="42"/>
      <c r="F227" s="54"/>
      <c r="G227" s="56"/>
      <c r="H227" s="56"/>
      <c r="I227" s="58">
        <f t="shared" si="9"/>
        <v>5960.08999999994</v>
      </c>
      <c r="J227" s="56"/>
    </row>
    <row r="228" ht="20" customHeight="1" spans="2:10">
      <c r="B228" s="42"/>
      <c r="C228" s="42"/>
      <c r="D228" s="42"/>
      <c r="E228" s="42"/>
      <c r="F228" s="54"/>
      <c r="G228" s="56"/>
      <c r="H228" s="56"/>
      <c r="I228" s="58">
        <f t="shared" si="9"/>
        <v>5960.08999999994</v>
      </c>
      <c r="J228" s="56"/>
    </row>
    <row r="229" ht="20" customHeight="1" spans="2:10">
      <c r="B229" s="42"/>
      <c r="C229" s="42"/>
      <c r="D229" s="42"/>
      <c r="E229" s="42"/>
      <c r="F229" s="54"/>
      <c r="G229" s="56"/>
      <c r="H229" s="56"/>
      <c r="I229" s="58">
        <f t="shared" si="9"/>
        <v>5960.08999999994</v>
      </c>
      <c r="J229" s="56"/>
    </row>
    <row r="230" ht="20" customHeight="1" spans="2:10">
      <c r="B230" s="42"/>
      <c r="C230" s="42"/>
      <c r="D230" s="42"/>
      <c r="E230" s="54"/>
      <c r="F230" s="54"/>
      <c r="G230" s="56"/>
      <c r="H230" s="56"/>
      <c r="I230" s="58">
        <f t="shared" si="9"/>
        <v>5960.08999999994</v>
      </c>
      <c r="J230" s="56"/>
    </row>
    <row r="231" ht="20" customHeight="1" spans="2:10">
      <c r="B231" s="42"/>
      <c r="C231" s="42"/>
      <c r="D231" s="42"/>
      <c r="E231" s="42"/>
      <c r="F231" s="54"/>
      <c r="G231" s="56"/>
      <c r="H231" s="56"/>
      <c r="I231" s="58">
        <f t="shared" si="9"/>
        <v>5960.08999999994</v>
      </c>
      <c r="J231" s="56"/>
    </row>
    <row r="232" ht="20" customHeight="1" spans="2:10">
      <c r="B232" s="42"/>
      <c r="C232" s="42"/>
      <c r="D232" s="42"/>
      <c r="E232" s="42"/>
      <c r="F232" s="54"/>
      <c r="G232" s="56"/>
      <c r="H232" s="56"/>
      <c r="I232" s="58">
        <f t="shared" si="9"/>
        <v>5960.08999999994</v>
      </c>
      <c r="J232" s="56"/>
    </row>
    <row r="233" ht="20" customHeight="1" spans="2:10">
      <c r="B233" s="42"/>
      <c r="C233" s="42"/>
      <c r="D233" s="42"/>
      <c r="E233" s="42"/>
      <c r="F233" s="54"/>
      <c r="G233" s="56"/>
      <c r="H233" s="56"/>
      <c r="I233" s="58">
        <f t="shared" si="9"/>
        <v>5960.08999999994</v>
      </c>
      <c r="J233" s="56"/>
    </row>
    <row r="234" ht="20" customHeight="1" spans="2:10">
      <c r="B234" s="42"/>
      <c r="C234" s="42"/>
      <c r="D234" s="42"/>
      <c r="E234" s="42"/>
      <c r="F234" s="54"/>
      <c r="G234" s="56"/>
      <c r="H234" s="56"/>
      <c r="I234" s="58">
        <f t="shared" si="9"/>
        <v>5960.08999999994</v>
      </c>
      <c r="J234" s="56"/>
    </row>
    <row r="235" ht="20" customHeight="1" spans="2:10">
      <c r="B235" s="42"/>
      <c r="C235" s="42"/>
      <c r="D235" s="42"/>
      <c r="E235" s="54"/>
      <c r="F235" s="54"/>
      <c r="G235" s="56"/>
      <c r="H235" s="56"/>
      <c r="I235" s="58">
        <f t="shared" si="9"/>
        <v>5960.08999999994</v>
      </c>
      <c r="J235" s="56"/>
    </row>
    <row r="236" ht="20" customHeight="1" spans="2:10">
      <c r="B236" s="42"/>
      <c r="C236" s="42"/>
      <c r="D236" s="42"/>
      <c r="E236" s="42"/>
      <c r="F236" s="54"/>
      <c r="G236" s="56"/>
      <c r="H236" s="56"/>
      <c r="I236" s="58">
        <f t="shared" si="9"/>
        <v>5960.08999999994</v>
      </c>
      <c r="J236" s="56"/>
    </row>
    <row r="237" ht="20" customHeight="1" spans="2:10">
      <c r="B237" s="42"/>
      <c r="C237" s="42"/>
      <c r="D237" s="42"/>
      <c r="E237" s="42"/>
      <c r="F237" s="54"/>
      <c r="G237" s="56"/>
      <c r="H237" s="56"/>
      <c r="I237" s="58">
        <f t="shared" si="9"/>
        <v>5960.08999999994</v>
      </c>
      <c r="J237" s="56"/>
    </row>
    <row r="238" ht="20" customHeight="1" spans="2:10">
      <c r="B238" s="42"/>
      <c r="C238" s="42"/>
      <c r="D238" s="42"/>
      <c r="E238" s="42"/>
      <c r="F238" s="54"/>
      <c r="G238" s="56"/>
      <c r="H238" s="56"/>
      <c r="I238" s="58">
        <f t="shared" si="9"/>
        <v>5960.08999999994</v>
      </c>
      <c r="J238" s="56"/>
    </row>
    <row r="239" ht="20" customHeight="1" spans="2:10">
      <c r="B239" s="42"/>
      <c r="C239" s="42"/>
      <c r="D239" s="42"/>
      <c r="E239" s="42"/>
      <c r="F239" s="54"/>
      <c r="G239" s="56"/>
      <c r="H239" s="56"/>
      <c r="I239" s="58">
        <f t="shared" si="9"/>
        <v>5960.08999999994</v>
      </c>
      <c r="J239" s="56"/>
    </row>
    <row r="240" ht="20" customHeight="1" spans="2:10">
      <c r="B240" s="42"/>
      <c r="C240" s="42"/>
      <c r="D240" s="42"/>
      <c r="E240" s="54"/>
      <c r="F240" s="54"/>
      <c r="G240" s="56"/>
      <c r="H240" s="56"/>
      <c r="I240" s="58">
        <f t="shared" si="9"/>
        <v>5960.08999999994</v>
      </c>
      <c r="J240" s="56"/>
    </row>
    <row r="241" ht="20" customHeight="1" spans="2:10">
      <c r="B241" s="42"/>
      <c r="C241" s="42"/>
      <c r="D241" s="42"/>
      <c r="E241" s="42"/>
      <c r="F241" s="54"/>
      <c r="G241" s="56"/>
      <c r="H241" s="56"/>
      <c r="I241" s="58">
        <f t="shared" ref="I241:I256" si="10">I240+G241-H241</f>
        <v>5960.08999999994</v>
      </c>
      <c r="J241" s="56"/>
    </row>
    <row r="242" ht="20" customHeight="1" spans="2:10">
      <c r="B242" s="42"/>
      <c r="C242" s="42"/>
      <c r="D242" s="42"/>
      <c r="E242" s="42"/>
      <c r="F242" s="54"/>
      <c r="G242" s="56"/>
      <c r="H242" s="56"/>
      <c r="I242" s="58">
        <f t="shared" si="10"/>
        <v>5960.08999999994</v>
      </c>
      <c r="J242" s="56"/>
    </row>
    <row r="243" ht="20" customHeight="1" spans="2:10">
      <c r="B243" s="42"/>
      <c r="C243" s="42"/>
      <c r="D243" s="42"/>
      <c r="E243" s="42"/>
      <c r="F243" s="54"/>
      <c r="G243" s="56"/>
      <c r="H243" s="56"/>
      <c r="I243" s="58">
        <f t="shared" si="10"/>
        <v>5960.08999999994</v>
      </c>
      <c r="J243" s="56"/>
    </row>
    <row r="244" ht="20" customHeight="1" spans="2:10">
      <c r="B244" s="42"/>
      <c r="C244" s="42"/>
      <c r="D244" s="42"/>
      <c r="E244" s="42"/>
      <c r="F244" s="54"/>
      <c r="G244" s="56"/>
      <c r="H244" s="56"/>
      <c r="I244" s="58">
        <f t="shared" si="10"/>
        <v>5960.08999999994</v>
      </c>
      <c r="J244" s="56"/>
    </row>
    <row r="245" ht="20" customHeight="1" spans="2:10">
      <c r="B245" s="42"/>
      <c r="C245" s="42"/>
      <c r="D245" s="42"/>
      <c r="E245" s="54"/>
      <c r="F245" s="54"/>
      <c r="G245" s="56"/>
      <c r="H245" s="56"/>
      <c r="I245" s="58">
        <f t="shared" si="10"/>
        <v>5960.08999999994</v>
      </c>
      <c r="J245" s="56"/>
    </row>
    <row r="246" ht="20" customHeight="1" spans="2:10">
      <c r="B246" s="42"/>
      <c r="C246" s="42"/>
      <c r="D246" s="42"/>
      <c r="E246" s="42"/>
      <c r="F246" s="54"/>
      <c r="G246" s="56"/>
      <c r="H246" s="56"/>
      <c r="I246" s="58">
        <f t="shared" si="10"/>
        <v>5960.08999999994</v>
      </c>
      <c r="J246" s="56"/>
    </row>
    <row r="247" ht="20" customHeight="1" spans="2:10">
      <c r="B247" s="42"/>
      <c r="C247" s="42"/>
      <c r="D247" s="42"/>
      <c r="E247" s="42"/>
      <c r="F247" s="54"/>
      <c r="G247" s="56"/>
      <c r="H247" s="56"/>
      <c r="I247" s="58">
        <f t="shared" si="10"/>
        <v>5960.08999999994</v>
      </c>
      <c r="J247" s="56"/>
    </row>
    <row r="248" ht="20" customHeight="1" spans="2:10">
      <c r="B248" s="42"/>
      <c r="C248" s="42"/>
      <c r="D248" s="42"/>
      <c r="E248" s="42"/>
      <c r="F248" s="54"/>
      <c r="G248" s="56"/>
      <c r="H248" s="56"/>
      <c r="I248" s="58">
        <f t="shared" si="10"/>
        <v>5960.08999999994</v>
      </c>
      <c r="J248" s="56"/>
    </row>
    <row r="249" ht="20" customHeight="1" spans="2:10">
      <c r="B249" s="42"/>
      <c r="C249" s="42"/>
      <c r="D249" s="42"/>
      <c r="E249" s="42"/>
      <c r="F249" s="54"/>
      <c r="G249" s="56"/>
      <c r="H249" s="56"/>
      <c r="I249" s="58">
        <f t="shared" si="10"/>
        <v>5960.08999999994</v>
      </c>
      <c r="J249" s="56"/>
    </row>
    <row r="250" ht="20" customHeight="1" spans="2:10">
      <c r="B250" s="42"/>
      <c r="C250" s="42"/>
      <c r="D250" s="42"/>
      <c r="E250" s="54"/>
      <c r="F250" s="54"/>
      <c r="G250" s="56"/>
      <c r="H250" s="56"/>
      <c r="I250" s="58">
        <f t="shared" si="10"/>
        <v>5960.08999999994</v>
      </c>
      <c r="J250" s="56"/>
    </row>
    <row r="251" ht="20" customHeight="1" spans="2:10">
      <c r="B251" s="42"/>
      <c r="C251" s="42"/>
      <c r="D251" s="42"/>
      <c r="E251" s="42"/>
      <c r="F251" s="54"/>
      <c r="G251" s="56"/>
      <c r="H251" s="56"/>
      <c r="I251" s="58">
        <f t="shared" si="10"/>
        <v>5960.08999999994</v>
      </c>
      <c r="J251" s="56"/>
    </row>
    <row r="252" ht="20" customHeight="1" spans="2:10">
      <c r="B252" s="42"/>
      <c r="C252" s="42"/>
      <c r="D252" s="42"/>
      <c r="E252" s="42"/>
      <c r="F252" s="54"/>
      <c r="G252" s="56"/>
      <c r="H252" s="56"/>
      <c r="I252" s="58">
        <f t="shared" si="10"/>
        <v>5960.08999999994</v>
      </c>
      <c r="J252" s="56"/>
    </row>
    <row r="253" ht="20" customHeight="1" spans="2:10">
      <c r="B253" s="42"/>
      <c r="C253" s="42"/>
      <c r="D253" s="42"/>
      <c r="E253" s="42"/>
      <c r="F253" s="54"/>
      <c r="G253" s="56"/>
      <c r="H253" s="56"/>
      <c r="I253" s="58">
        <f t="shared" si="10"/>
        <v>5960.08999999994</v>
      </c>
      <c r="J253" s="56"/>
    </row>
    <row r="254" ht="20" customHeight="1" spans="2:10">
      <c r="B254" s="42"/>
      <c r="C254" s="42"/>
      <c r="D254" s="42"/>
      <c r="E254" s="42"/>
      <c r="F254" s="54"/>
      <c r="G254" s="56"/>
      <c r="H254" s="56"/>
      <c r="I254" s="58">
        <f t="shared" si="10"/>
        <v>5960.08999999994</v>
      </c>
      <c r="J254" s="56"/>
    </row>
    <row r="255" ht="20" customHeight="1" spans="2:10">
      <c r="B255" s="42"/>
      <c r="C255" s="42"/>
      <c r="D255" s="42"/>
      <c r="E255" s="42"/>
      <c r="F255" s="54"/>
      <c r="G255" s="56"/>
      <c r="H255" s="56"/>
      <c r="I255" s="58">
        <f t="shared" si="10"/>
        <v>5960.08999999994</v>
      </c>
      <c r="J255" s="56"/>
    </row>
    <row r="256" ht="20" customHeight="1" spans="2:10">
      <c r="B256" s="42"/>
      <c r="C256" s="42"/>
      <c r="D256" s="42"/>
      <c r="E256" s="42"/>
      <c r="F256" s="54"/>
      <c r="G256" s="56"/>
      <c r="H256" s="56"/>
      <c r="I256" s="58">
        <f t="shared" si="10"/>
        <v>5960.08999999994</v>
      </c>
      <c r="J256" s="56"/>
    </row>
  </sheetData>
  <autoFilter xmlns:etc="http://www.wps.cn/officeDocument/2017/etCustomData" ref="A3:P256" etc:filterBottomFollowUsedRange="0">
    <extLst/>
  </autoFilter>
  <mergeCells count="1">
    <mergeCell ref="B1:J1"/>
  </mergeCells>
  <dataValidations count="1">
    <dataValidation type="list" allowBlank="1" showInputMessage="1" showErrorMessage="1" sqref="D4:D256">
      <formula1>付费项!$B$2:$B$100</formula1>
    </dataValidation>
  </dataValidation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R65"/>
  <sheetViews>
    <sheetView workbookViewId="0">
      <pane xSplit="4" ySplit="4" topLeftCell="F41" activePane="bottomRight" state="frozen"/>
      <selection/>
      <selection pane="topRight"/>
      <selection pane="bottomLeft"/>
      <selection pane="bottomRight" activeCell="F59" sqref="F59"/>
    </sheetView>
  </sheetViews>
  <sheetFormatPr defaultColWidth="9" defaultRowHeight="13.5"/>
  <cols>
    <col min="1" max="1" width="8.725" style="3" customWidth="1"/>
    <col min="2" max="3" width="4.725" style="3" customWidth="1"/>
    <col min="4" max="4" width="8.63333333333333" style="3" customWidth="1"/>
    <col min="5" max="5" width="31.0916666666667" style="3" customWidth="1"/>
    <col min="6" max="6" width="48.8583333333333" style="3" customWidth="1"/>
    <col min="7" max="12" width="12.625" style="3" customWidth="1"/>
    <col min="13" max="14" width="9.26666666666667" style="3" customWidth="1"/>
    <col min="15" max="16384" width="9" style="3"/>
  </cols>
  <sheetData>
    <row r="1" ht="24.75" spans="1:18">
      <c r="A1" s="46" t="str">
        <f>HYPERLINK("#目录!a1","返回目录")</f>
        <v>返回目录</v>
      </c>
      <c r="B1" s="47" t="s">
        <v>2356</v>
      </c>
      <c r="C1" s="47"/>
      <c r="D1" s="47"/>
      <c r="E1" s="47"/>
      <c r="F1" s="47"/>
      <c r="G1" s="47"/>
      <c r="H1" s="47"/>
      <c r="I1" s="47"/>
      <c r="J1" s="47"/>
      <c r="K1" s="47"/>
      <c r="L1" s="47"/>
      <c r="M1" s="6"/>
      <c r="N1" s="6"/>
      <c r="O1" s="6"/>
      <c r="P1" s="6"/>
      <c r="Q1" s="6"/>
      <c r="R1" s="6"/>
    </row>
    <row r="2" ht="9" customHeight="1" spans="1:18">
      <c r="B2" s="48"/>
      <c r="C2" s="48"/>
      <c r="D2" s="48"/>
      <c r="E2" s="48"/>
      <c r="F2" s="48"/>
      <c r="G2" s="48"/>
      <c r="H2" s="48"/>
      <c r="I2" s="48"/>
      <c r="J2" s="48"/>
      <c r="K2" s="48"/>
      <c r="L2" s="48"/>
      <c r="M2" s="6"/>
      <c r="N2" s="6"/>
      <c r="O2" s="6"/>
      <c r="P2" s="6"/>
      <c r="Q2" s="6"/>
      <c r="R2" s="6"/>
    </row>
    <row r="3" ht="21" customHeight="1" spans="1:18">
      <c r="B3" s="49" t="s">
        <v>6</v>
      </c>
      <c r="C3" s="49" t="s">
        <v>7</v>
      </c>
      <c r="D3" s="49" t="s">
        <v>8</v>
      </c>
      <c r="E3" s="49" t="s">
        <v>9</v>
      </c>
      <c r="F3" s="49" t="s">
        <v>10</v>
      </c>
      <c r="G3" s="49" t="s">
        <v>2357</v>
      </c>
      <c r="H3" s="49" t="s">
        <v>478</v>
      </c>
      <c r="I3" s="49" t="s">
        <v>11</v>
      </c>
      <c r="J3" s="49" t="s">
        <v>12</v>
      </c>
      <c r="K3" s="49" t="s">
        <v>13</v>
      </c>
      <c r="L3" s="49" t="s">
        <v>14</v>
      </c>
    </row>
    <row r="4" ht="20" customHeight="1" spans="1:18">
      <c r="B4" s="42">
        <v>8</v>
      </c>
      <c r="C4" s="42">
        <v>1</v>
      </c>
      <c r="D4" s="42"/>
      <c r="E4" s="42"/>
      <c r="F4" s="54" t="s">
        <v>15</v>
      </c>
      <c r="G4" s="54"/>
      <c r="H4" s="54"/>
      <c r="I4" s="56"/>
      <c r="J4" s="56"/>
      <c r="K4" s="58">
        <v>0</v>
      </c>
      <c r="L4" s="56"/>
    </row>
    <row r="5" ht="20" customHeight="1" spans="1:18">
      <c r="B5" s="42">
        <v>8</v>
      </c>
      <c r="C5" s="42">
        <v>4</v>
      </c>
      <c r="D5" s="74" t="s">
        <v>69</v>
      </c>
      <c r="E5" s="95" t="s">
        <v>1809</v>
      </c>
      <c r="F5" s="95" t="s">
        <v>2171</v>
      </c>
      <c r="G5" s="95"/>
      <c r="H5" s="95"/>
      <c r="I5" s="84">
        <v>32800</v>
      </c>
      <c r="J5" s="84"/>
      <c r="K5" s="58">
        <f t="shared" ref="K5:K20" si="0">K4+I5-J5</f>
        <v>32800</v>
      </c>
      <c r="L5" s="56"/>
    </row>
    <row r="6" ht="20" customHeight="1" spans="1:18">
      <c r="B6" s="42">
        <v>8</v>
      </c>
      <c r="C6" s="42">
        <v>4</v>
      </c>
      <c r="D6" s="74" t="s">
        <v>2358</v>
      </c>
      <c r="E6" s="95" t="s">
        <v>2359</v>
      </c>
      <c r="F6" s="95" t="s">
        <v>2360</v>
      </c>
      <c r="G6" s="95"/>
      <c r="H6" s="95"/>
      <c r="I6" s="84"/>
      <c r="J6" s="84">
        <v>2020</v>
      </c>
      <c r="K6" s="58">
        <f t="shared" si="0"/>
        <v>30780</v>
      </c>
      <c r="L6" s="56"/>
    </row>
    <row r="7" ht="24.75" spans="1:18">
      <c r="B7" s="42">
        <v>8</v>
      </c>
      <c r="C7" s="42">
        <v>4</v>
      </c>
      <c r="D7" s="74" t="s">
        <v>2358</v>
      </c>
      <c r="E7" s="95" t="s">
        <v>2319</v>
      </c>
      <c r="F7" s="137" t="s">
        <v>2361</v>
      </c>
      <c r="G7" s="137"/>
      <c r="H7" s="137"/>
      <c r="I7" s="84"/>
      <c r="J7" s="84">
        <v>1000</v>
      </c>
      <c r="K7" s="58">
        <f t="shared" si="0"/>
        <v>29780</v>
      </c>
      <c r="L7" s="56"/>
    </row>
    <row r="8" ht="20" customHeight="1" spans="1:18">
      <c r="B8" s="42">
        <v>8</v>
      </c>
      <c r="C8" s="42">
        <v>4</v>
      </c>
      <c r="D8" s="74" t="s">
        <v>124</v>
      </c>
      <c r="E8" s="95" t="s">
        <v>2362</v>
      </c>
      <c r="F8" s="95" t="s">
        <v>2363</v>
      </c>
      <c r="G8" s="95"/>
      <c r="H8" s="95"/>
      <c r="I8" s="84"/>
      <c r="J8" s="84">
        <v>11995</v>
      </c>
      <c r="K8" s="58">
        <f t="shared" si="0"/>
        <v>17785</v>
      </c>
      <c r="L8" s="56"/>
    </row>
    <row r="9" ht="20" customHeight="1" spans="1:18">
      <c r="B9" s="42">
        <v>8</v>
      </c>
      <c r="C9" s="42">
        <v>4</v>
      </c>
      <c r="D9" s="42"/>
      <c r="E9" s="95" t="s">
        <v>2364</v>
      </c>
      <c r="F9" s="95" t="s">
        <v>2365</v>
      </c>
      <c r="G9" s="95"/>
      <c r="H9" s="95"/>
      <c r="I9" s="84"/>
      <c r="J9" s="84">
        <v>17715.8</v>
      </c>
      <c r="K9" s="58">
        <f t="shared" si="0"/>
        <v>69.2000000000007</v>
      </c>
      <c r="L9" s="56"/>
    </row>
    <row r="10" ht="20" customHeight="1" spans="1:18">
      <c r="B10" s="42">
        <v>8</v>
      </c>
      <c r="C10" s="42">
        <v>17</v>
      </c>
      <c r="D10" s="74" t="s">
        <v>69</v>
      </c>
      <c r="E10" s="95" t="s">
        <v>1809</v>
      </c>
      <c r="F10" s="95" t="s">
        <v>2171</v>
      </c>
      <c r="G10" s="95"/>
      <c r="H10" s="95"/>
      <c r="I10" s="84">
        <v>2538</v>
      </c>
      <c r="J10" s="84"/>
      <c r="K10" s="58">
        <f t="shared" si="0"/>
        <v>2607.2</v>
      </c>
      <c r="L10" s="56"/>
    </row>
    <row r="11" ht="20" customHeight="1" spans="1:18">
      <c r="B11" s="42">
        <v>8</v>
      </c>
      <c r="C11" s="42">
        <v>17</v>
      </c>
      <c r="D11" s="74" t="s">
        <v>92</v>
      </c>
      <c r="E11" s="95" t="s">
        <v>2319</v>
      </c>
      <c r="F11" s="95" t="s">
        <v>2366</v>
      </c>
      <c r="G11" s="95"/>
      <c r="H11" s="95"/>
      <c r="I11" s="84"/>
      <c r="J11" s="84">
        <v>500</v>
      </c>
      <c r="K11" s="58">
        <f t="shared" si="0"/>
        <v>2107.2</v>
      </c>
      <c r="L11" s="56"/>
    </row>
    <row r="12" ht="20" customHeight="1" spans="1:18">
      <c r="B12" s="42">
        <v>8</v>
      </c>
      <c r="C12" s="42">
        <v>17</v>
      </c>
      <c r="D12" s="74" t="s">
        <v>2367</v>
      </c>
      <c r="E12" s="95" t="s">
        <v>2319</v>
      </c>
      <c r="F12" s="95" t="s">
        <v>2368</v>
      </c>
      <c r="G12" s="95"/>
      <c r="H12" s="95"/>
      <c r="I12" s="84"/>
      <c r="J12" s="84">
        <v>841.4</v>
      </c>
      <c r="K12" s="58">
        <f t="shared" si="0"/>
        <v>1265.8</v>
      </c>
      <c r="L12" s="56"/>
    </row>
    <row r="13" ht="48.75" spans="1:18">
      <c r="B13" s="42">
        <v>8</v>
      </c>
      <c r="C13" s="42">
        <v>17</v>
      </c>
      <c r="D13" s="74" t="s">
        <v>100</v>
      </c>
      <c r="E13" s="95" t="s">
        <v>2319</v>
      </c>
      <c r="F13" s="137" t="s">
        <v>2369</v>
      </c>
      <c r="G13" s="137"/>
      <c r="H13" s="137"/>
      <c r="I13" s="84"/>
      <c r="J13" s="84">
        <v>447</v>
      </c>
      <c r="K13" s="58">
        <f t="shared" si="0"/>
        <v>818.800000000001</v>
      </c>
      <c r="L13" s="56"/>
    </row>
    <row r="14" ht="20" customHeight="1" spans="1:18">
      <c r="B14" s="42">
        <v>8</v>
      </c>
      <c r="C14" s="42">
        <v>17</v>
      </c>
      <c r="D14" s="74" t="s">
        <v>2370</v>
      </c>
      <c r="E14" s="95" t="s">
        <v>2371</v>
      </c>
      <c r="F14" s="95" t="s">
        <v>2372</v>
      </c>
      <c r="G14" s="95"/>
      <c r="H14" s="95"/>
      <c r="I14" s="84"/>
      <c r="J14" s="84">
        <v>750</v>
      </c>
      <c r="K14" s="58">
        <f t="shared" si="0"/>
        <v>68.8000000000006</v>
      </c>
      <c r="L14" s="56"/>
    </row>
    <row r="15" ht="20" customHeight="1" spans="1:18">
      <c r="B15" s="42">
        <v>8</v>
      </c>
      <c r="C15" s="42">
        <v>19</v>
      </c>
      <c r="D15" s="74" t="s">
        <v>69</v>
      </c>
      <c r="E15" s="95" t="s">
        <v>1809</v>
      </c>
      <c r="F15" s="95" t="s">
        <v>2171</v>
      </c>
      <c r="G15" s="95"/>
      <c r="H15" s="95"/>
      <c r="I15" s="84">
        <v>5000</v>
      </c>
      <c r="J15" s="84"/>
      <c r="K15" s="58">
        <f t="shared" si="0"/>
        <v>5068.8</v>
      </c>
      <c r="L15" s="56"/>
    </row>
    <row r="16" ht="20" customHeight="1" spans="1:18">
      <c r="B16" s="42">
        <v>8</v>
      </c>
      <c r="C16" s="42">
        <v>19</v>
      </c>
      <c r="D16" s="74" t="s">
        <v>100</v>
      </c>
      <c r="E16" s="44" t="s">
        <v>2281</v>
      </c>
      <c r="F16" s="95" t="s">
        <v>2373</v>
      </c>
      <c r="G16" s="95"/>
      <c r="H16" s="95"/>
      <c r="I16" s="84"/>
      <c r="J16" s="84">
        <v>62.3</v>
      </c>
      <c r="K16" s="58">
        <f t="shared" si="0"/>
        <v>5006.5</v>
      </c>
      <c r="L16" s="56"/>
    </row>
    <row r="17" ht="20" customHeight="1" spans="2:12">
      <c r="B17" s="42">
        <v>8</v>
      </c>
      <c r="C17" s="42">
        <v>19</v>
      </c>
      <c r="D17" s="74" t="s">
        <v>92</v>
      </c>
      <c r="E17" s="44" t="s">
        <v>224</v>
      </c>
      <c r="F17" s="95" t="s">
        <v>2374</v>
      </c>
      <c r="G17" s="95"/>
      <c r="H17" s="95"/>
      <c r="I17" s="84"/>
      <c r="J17" s="84">
        <v>5000</v>
      </c>
      <c r="K17" s="58">
        <f t="shared" si="0"/>
        <v>6.50000000000091</v>
      </c>
      <c r="L17" s="56"/>
    </row>
    <row r="18" ht="20" customHeight="1" spans="2:12">
      <c r="B18" s="42">
        <v>8</v>
      </c>
      <c r="C18" s="42">
        <v>21</v>
      </c>
      <c r="D18" s="74" t="s">
        <v>69</v>
      </c>
      <c r="E18" s="95" t="s">
        <v>1809</v>
      </c>
      <c r="F18" s="95" t="s">
        <v>2171</v>
      </c>
      <c r="G18" s="95"/>
      <c r="H18" s="95"/>
      <c r="I18" s="84">
        <v>41830</v>
      </c>
      <c r="J18" s="84"/>
      <c r="K18" s="58">
        <f t="shared" si="0"/>
        <v>41836.5</v>
      </c>
      <c r="L18" s="56"/>
    </row>
    <row r="19" ht="20" customHeight="1" spans="2:12">
      <c r="B19" s="42">
        <v>8</v>
      </c>
      <c r="C19" s="42">
        <v>21</v>
      </c>
      <c r="D19" s="42"/>
      <c r="E19" s="44" t="s">
        <v>2375</v>
      </c>
      <c r="F19" s="95" t="s">
        <v>2376</v>
      </c>
      <c r="G19" s="95"/>
      <c r="H19" s="95"/>
      <c r="I19" s="84"/>
      <c r="J19" s="84">
        <v>41825</v>
      </c>
      <c r="K19" s="58">
        <f t="shared" si="0"/>
        <v>11.5</v>
      </c>
      <c r="L19" s="56"/>
    </row>
    <row r="20" ht="20" customHeight="1" spans="2:12">
      <c r="B20" s="42">
        <v>8</v>
      </c>
      <c r="C20" s="42">
        <v>24</v>
      </c>
      <c r="D20" s="74" t="s">
        <v>69</v>
      </c>
      <c r="E20" s="95" t="s">
        <v>1809</v>
      </c>
      <c r="F20" s="95" t="s">
        <v>2171</v>
      </c>
      <c r="G20" s="95"/>
      <c r="H20" s="95"/>
      <c r="I20" s="84">
        <v>8000</v>
      </c>
      <c r="J20" s="84"/>
      <c r="K20" s="58">
        <f t="shared" si="0"/>
        <v>8011.5</v>
      </c>
      <c r="L20" s="56"/>
    </row>
    <row r="21" ht="48.75" spans="2:12">
      <c r="B21" s="42">
        <v>8</v>
      </c>
      <c r="C21" s="42">
        <v>24</v>
      </c>
      <c r="D21" s="74" t="s">
        <v>100</v>
      </c>
      <c r="E21" s="95" t="s">
        <v>2319</v>
      </c>
      <c r="F21" s="137" t="s">
        <v>2377</v>
      </c>
      <c r="G21" s="137"/>
      <c r="H21" s="137"/>
      <c r="I21" s="84"/>
      <c r="J21" s="84">
        <v>7198.7</v>
      </c>
      <c r="K21" s="58">
        <f t="shared" ref="K21:K28" si="1">K20+I21-J21</f>
        <v>812.8</v>
      </c>
      <c r="L21" s="56"/>
    </row>
    <row r="22" ht="20" customHeight="1" spans="2:12">
      <c r="B22" s="42">
        <v>8</v>
      </c>
      <c r="C22" s="42">
        <v>26</v>
      </c>
      <c r="D22" s="42"/>
      <c r="E22" s="95" t="s">
        <v>2319</v>
      </c>
      <c r="F22" s="95" t="s">
        <v>2378</v>
      </c>
      <c r="G22" s="95"/>
      <c r="H22" s="95"/>
      <c r="I22" s="56">
        <v>70</v>
      </c>
      <c r="J22" s="55"/>
      <c r="K22" s="58">
        <f t="shared" si="1"/>
        <v>882.8</v>
      </c>
      <c r="L22" s="56"/>
    </row>
    <row r="23" ht="20" customHeight="1" spans="2:12">
      <c r="B23" s="42">
        <v>8</v>
      </c>
      <c r="C23" s="42">
        <v>28</v>
      </c>
      <c r="D23" s="74" t="s">
        <v>69</v>
      </c>
      <c r="E23" s="95" t="s">
        <v>1809</v>
      </c>
      <c r="F23" s="95" t="s">
        <v>2171</v>
      </c>
      <c r="G23" s="95"/>
      <c r="H23" s="95"/>
      <c r="I23" s="56">
        <v>106000</v>
      </c>
      <c r="J23" s="55"/>
      <c r="K23" s="58">
        <f t="shared" si="1"/>
        <v>106882.8</v>
      </c>
      <c r="L23" s="56"/>
    </row>
    <row r="24" ht="20" customHeight="1" spans="2:12">
      <c r="B24" s="42">
        <v>8</v>
      </c>
      <c r="C24" s="42">
        <v>28</v>
      </c>
      <c r="D24" s="42"/>
      <c r="E24" s="44" t="s">
        <v>2379</v>
      </c>
      <c r="F24" s="95" t="s">
        <v>2380</v>
      </c>
      <c r="G24" s="95"/>
      <c r="H24" s="95"/>
      <c r="I24" s="55"/>
      <c r="J24" s="56">
        <v>50000</v>
      </c>
      <c r="K24" s="58">
        <f t="shared" si="1"/>
        <v>56882.8</v>
      </c>
      <c r="L24" s="56"/>
    </row>
    <row r="25" ht="20" customHeight="1" spans="2:12">
      <c r="B25" s="42">
        <v>8</v>
      </c>
      <c r="C25" s="42">
        <v>29</v>
      </c>
      <c r="D25" s="42"/>
      <c r="E25" s="44" t="s">
        <v>2379</v>
      </c>
      <c r="F25" s="95" t="s">
        <v>2381</v>
      </c>
      <c r="G25" s="95"/>
      <c r="H25" s="95"/>
      <c r="I25" s="55"/>
      <c r="J25" s="56">
        <v>50000</v>
      </c>
      <c r="K25" s="58">
        <f t="shared" si="1"/>
        <v>6882.8</v>
      </c>
      <c r="L25" s="56"/>
    </row>
    <row r="26" ht="20" customHeight="1" spans="2:12">
      <c r="B26" s="42">
        <v>8</v>
      </c>
      <c r="C26" s="42">
        <v>30</v>
      </c>
      <c r="D26" s="42"/>
      <c r="E26" s="44" t="s">
        <v>2379</v>
      </c>
      <c r="F26" s="95" t="s">
        <v>2382</v>
      </c>
      <c r="G26" s="95"/>
      <c r="H26" s="95"/>
      <c r="I26" s="55"/>
      <c r="J26" s="56">
        <v>3800</v>
      </c>
      <c r="K26" s="58">
        <f t="shared" si="1"/>
        <v>3082.8</v>
      </c>
      <c r="L26" s="56"/>
    </row>
    <row r="27" ht="20" customHeight="1" spans="2:12">
      <c r="B27" s="42">
        <v>8</v>
      </c>
      <c r="C27" s="42">
        <v>30</v>
      </c>
      <c r="D27" s="42"/>
      <c r="E27" s="44" t="s">
        <v>2383</v>
      </c>
      <c r="F27" s="95" t="s">
        <v>2384</v>
      </c>
      <c r="G27" s="95"/>
      <c r="H27" s="95"/>
      <c r="I27" s="56"/>
      <c r="J27" s="84">
        <v>2180</v>
      </c>
      <c r="K27" s="58">
        <f t="shared" si="1"/>
        <v>902.800000000003</v>
      </c>
      <c r="L27" s="56"/>
    </row>
    <row r="28" ht="20" customHeight="1" spans="2:12">
      <c r="B28" s="68"/>
      <c r="C28" s="68"/>
      <c r="D28" s="68"/>
      <c r="E28" s="133"/>
      <c r="F28" s="138" t="s">
        <v>22</v>
      </c>
      <c r="G28" s="138"/>
      <c r="H28" s="138"/>
      <c r="I28" s="71">
        <f>SUM(I4:I27)</f>
        <v>196238</v>
      </c>
      <c r="J28" s="71">
        <f>SUM(J4:J27)</f>
        <v>195335.2</v>
      </c>
      <c r="K28" s="72">
        <f>I28-J28</f>
        <v>902.799999999988</v>
      </c>
      <c r="L28" s="71"/>
    </row>
    <row r="29" ht="20" customHeight="1" spans="2:12">
      <c r="B29" s="42">
        <v>9</v>
      </c>
      <c r="C29" s="42">
        <v>6</v>
      </c>
      <c r="D29" s="42"/>
      <c r="E29" s="44" t="s">
        <v>2385</v>
      </c>
      <c r="F29" s="45" t="s">
        <v>2386</v>
      </c>
      <c r="G29" s="56">
        <f>H29+I29</f>
        <v>4615.01</v>
      </c>
      <c r="H29" s="56">
        <v>11.54</v>
      </c>
      <c r="I29" s="56">
        <v>4603.47</v>
      </c>
      <c r="J29" s="56"/>
      <c r="K29" s="58">
        <f>K28+I29-J29</f>
        <v>5506.26999999999</v>
      </c>
      <c r="L29" s="56"/>
    </row>
    <row r="30" ht="20" customHeight="1" spans="2:12">
      <c r="B30" s="42">
        <v>9</v>
      </c>
      <c r="C30" s="42">
        <v>7</v>
      </c>
      <c r="D30" s="42"/>
      <c r="E30" s="44" t="s">
        <v>2385</v>
      </c>
      <c r="F30" s="45" t="s">
        <v>2387</v>
      </c>
      <c r="G30" s="56">
        <f t="shared" ref="G30:G53" si="2">H30+I30</f>
        <v>11746</v>
      </c>
      <c r="H30" s="56">
        <v>29.37</v>
      </c>
      <c r="I30" s="56">
        <v>11716.63</v>
      </c>
      <c r="J30" s="56"/>
      <c r="K30" s="58">
        <f t="shared" ref="K30:K53" si="3">K29+I30-J30</f>
        <v>17222.9</v>
      </c>
      <c r="L30" s="56"/>
    </row>
    <row r="31" ht="20" customHeight="1" spans="2:12">
      <c r="B31" s="42">
        <v>9</v>
      </c>
      <c r="C31" s="42">
        <v>7</v>
      </c>
      <c r="D31" s="42"/>
      <c r="E31" s="95" t="s">
        <v>2388</v>
      </c>
      <c r="F31" s="95" t="s">
        <v>2389</v>
      </c>
      <c r="G31" s="56">
        <f t="shared" si="2"/>
        <v>0</v>
      </c>
      <c r="H31" s="56"/>
      <c r="I31" s="56">
        <v>0</v>
      </c>
      <c r="J31" s="56">
        <v>4896.03</v>
      </c>
      <c r="K31" s="58">
        <f t="shared" si="3"/>
        <v>12326.87</v>
      </c>
      <c r="L31" s="56"/>
    </row>
    <row r="32" ht="20" customHeight="1" spans="2:12">
      <c r="B32" s="42">
        <v>9</v>
      </c>
      <c r="C32" s="42">
        <v>8</v>
      </c>
      <c r="D32" s="74" t="s">
        <v>69</v>
      </c>
      <c r="E32" s="95" t="s">
        <v>1809</v>
      </c>
      <c r="F32" s="95" t="s">
        <v>1979</v>
      </c>
      <c r="G32" s="56">
        <f t="shared" si="2"/>
        <v>0</v>
      </c>
      <c r="H32" s="56"/>
      <c r="I32" s="56">
        <v>0</v>
      </c>
      <c r="J32" s="56">
        <v>5000</v>
      </c>
      <c r="K32" s="58">
        <f t="shared" si="3"/>
        <v>7326.86999999999</v>
      </c>
      <c r="L32" s="56"/>
    </row>
    <row r="33" ht="20" customHeight="1" spans="2:12">
      <c r="B33" s="42">
        <v>9</v>
      </c>
      <c r="C33" s="42">
        <v>9</v>
      </c>
      <c r="D33" s="42"/>
      <c r="E33" s="44" t="s">
        <v>2385</v>
      </c>
      <c r="F33" s="45" t="s">
        <v>2390</v>
      </c>
      <c r="G33" s="56">
        <f t="shared" si="2"/>
        <v>4000</v>
      </c>
      <c r="H33" s="56">
        <v>10</v>
      </c>
      <c r="I33" s="56">
        <v>3990</v>
      </c>
      <c r="J33" s="56"/>
      <c r="K33" s="58">
        <f t="shared" si="3"/>
        <v>11316.87</v>
      </c>
      <c r="L33" s="56"/>
    </row>
    <row r="34" ht="20" customHeight="1" spans="2:12">
      <c r="B34" s="42">
        <v>9</v>
      </c>
      <c r="C34" s="42">
        <v>9</v>
      </c>
      <c r="D34" s="42"/>
      <c r="E34" s="95" t="s">
        <v>2391</v>
      </c>
      <c r="F34" s="95" t="s">
        <v>2392</v>
      </c>
      <c r="G34" s="56">
        <f t="shared" si="2"/>
        <v>0</v>
      </c>
      <c r="H34" s="56"/>
      <c r="I34" s="56">
        <v>0</v>
      </c>
      <c r="J34" s="56">
        <v>1197</v>
      </c>
      <c r="K34" s="58">
        <f t="shared" si="3"/>
        <v>10119.87</v>
      </c>
      <c r="L34" s="56"/>
    </row>
    <row r="35" ht="20" customHeight="1" spans="2:12">
      <c r="B35" s="42">
        <v>9</v>
      </c>
      <c r="C35" s="42">
        <v>12</v>
      </c>
      <c r="D35" s="42"/>
      <c r="E35" s="44" t="s">
        <v>2385</v>
      </c>
      <c r="F35" s="45" t="s">
        <v>2393</v>
      </c>
      <c r="G35" s="56">
        <f t="shared" si="2"/>
        <v>1800</v>
      </c>
      <c r="H35" s="56">
        <v>4.5</v>
      </c>
      <c r="I35" s="56">
        <v>1795.5</v>
      </c>
      <c r="J35" s="56"/>
      <c r="K35" s="58">
        <f t="shared" si="3"/>
        <v>11915.37</v>
      </c>
      <c r="L35" s="56"/>
    </row>
    <row r="36" ht="20" customHeight="1" spans="2:12">
      <c r="B36" s="42">
        <v>9</v>
      </c>
      <c r="C36" s="42">
        <v>14</v>
      </c>
      <c r="D36" s="42"/>
      <c r="E36" s="44" t="s">
        <v>2385</v>
      </c>
      <c r="F36" s="45" t="s">
        <v>2394</v>
      </c>
      <c r="G36" s="56">
        <f t="shared" si="2"/>
        <v>20750</v>
      </c>
      <c r="H36" s="56">
        <v>51.87</v>
      </c>
      <c r="I36" s="56">
        <v>20698.13</v>
      </c>
      <c r="J36" s="56"/>
      <c r="K36" s="58">
        <f t="shared" si="3"/>
        <v>32613.5</v>
      </c>
      <c r="L36" s="56"/>
    </row>
    <row r="37" ht="20" customHeight="1" spans="2:12">
      <c r="B37" s="42">
        <v>9</v>
      </c>
      <c r="C37" s="42">
        <v>14</v>
      </c>
      <c r="D37" s="42"/>
      <c r="E37" s="95" t="s">
        <v>2391</v>
      </c>
      <c r="F37" s="95" t="s">
        <v>2395</v>
      </c>
      <c r="G37" s="56">
        <f t="shared" si="2"/>
        <v>0</v>
      </c>
      <c r="H37" s="56"/>
      <c r="I37" s="56">
        <v>0</v>
      </c>
      <c r="J37" s="56">
        <v>6748.09</v>
      </c>
      <c r="K37" s="58">
        <f t="shared" si="3"/>
        <v>25865.41</v>
      </c>
      <c r="L37" s="56"/>
    </row>
    <row r="38" ht="20" customHeight="1" spans="2:12">
      <c r="B38" s="42">
        <v>9</v>
      </c>
      <c r="C38" s="42">
        <v>15</v>
      </c>
      <c r="D38" s="74" t="s">
        <v>69</v>
      </c>
      <c r="E38" s="95" t="s">
        <v>1809</v>
      </c>
      <c r="F38" s="95" t="s">
        <v>1979</v>
      </c>
      <c r="G38" s="56">
        <f t="shared" si="2"/>
        <v>0</v>
      </c>
      <c r="H38" s="56"/>
      <c r="I38" s="56">
        <v>0</v>
      </c>
      <c r="J38" s="56">
        <v>20000</v>
      </c>
      <c r="K38" s="58">
        <f t="shared" si="3"/>
        <v>5865.40999999999</v>
      </c>
      <c r="L38" s="56"/>
    </row>
    <row r="39" ht="20" customHeight="1" spans="2:12">
      <c r="B39" s="42">
        <v>9</v>
      </c>
      <c r="C39" s="42">
        <v>16</v>
      </c>
      <c r="D39" s="74" t="s">
        <v>100</v>
      </c>
      <c r="E39" s="45" t="s">
        <v>178</v>
      </c>
      <c r="F39" s="45" t="s">
        <v>2396</v>
      </c>
      <c r="G39" s="56">
        <f t="shared" si="2"/>
        <v>0</v>
      </c>
      <c r="H39" s="56"/>
      <c r="I39" s="56">
        <v>0</v>
      </c>
      <c r="J39" s="56">
        <v>1700</v>
      </c>
      <c r="K39" s="58">
        <f t="shared" si="3"/>
        <v>4165.40999999999</v>
      </c>
      <c r="L39" s="56"/>
    </row>
    <row r="40" ht="96.75" spans="2:12">
      <c r="B40" s="42">
        <v>9</v>
      </c>
      <c r="C40" s="42">
        <v>16</v>
      </c>
      <c r="D40" s="74" t="s">
        <v>100</v>
      </c>
      <c r="E40" s="44" t="s">
        <v>2319</v>
      </c>
      <c r="F40" s="101" t="s">
        <v>2397</v>
      </c>
      <c r="G40" s="56">
        <f t="shared" si="2"/>
        <v>0</v>
      </c>
      <c r="H40" s="56"/>
      <c r="I40" s="56">
        <v>0</v>
      </c>
      <c r="J40" s="56">
        <v>798.9</v>
      </c>
      <c r="K40" s="58">
        <f t="shared" si="3"/>
        <v>3366.50999999999</v>
      </c>
      <c r="L40" s="56"/>
    </row>
    <row r="41" ht="108.75" spans="2:12">
      <c r="B41" s="42">
        <v>9</v>
      </c>
      <c r="C41" s="42">
        <v>16</v>
      </c>
      <c r="D41" s="74" t="s">
        <v>100</v>
      </c>
      <c r="E41" s="44" t="s">
        <v>2319</v>
      </c>
      <c r="F41" s="137" t="s">
        <v>2398</v>
      </c>
      <c r="G41" s="56">
        <f t="shared" si="2"/>
        <v>0</v>
      </c>
      <c r="H41" s="56"/>
      <c r="I41" s="56">
        <v>0</v>
      </c>
      <c r="J41" s="56">
        <v>658.5</v>
      </c>
      <c r="K41" s="58">
        <f t="shared" si="3"/>
        <v>2708.00999999999</v>
      </c>
      <c r="L41" s="56"/>
    </row>
    <row r="42" ht="20" customHeight="1" spans="2:12">
      <c r="B42" s="42">
        <v>9</v>
      </c>
      <c r="C42" s="42">
        <v>18</v>
      </c>
      <c r="D42" s="74" t="s">
        <v>69</v>
      </c>
      <c r="E42" s="95" t="s">
        <v>1809</v>
      </c>
      <c r="F42" s="95" t="s">
        <v>2171</v>
      </c>
      <c r="G42" s="56"/>
      <c r="H42" s="56"/>
      <c r="I42" s="56">
        <v>53200</v>
      </c>
      <c r="J42" s="56"/>
      <c r="K42" s="58">
        <f t="shared" si="3"/>
        <v>55908.01</v>
      </c>
      <c r="L42" s="56"/>
    </row>
    <row r="43" ht="20" customHeight="1" spans="2:12">
      <c r="B43" s="42">
        <v>9</v>
      </c>
      <c r="C43" s="42">
        <v>18</v>
      </c>
      <c r="D43" s="42"/>
      <c r="E43" s="95" t="s">
        <v>2399</v>
      </c>
      <c r="F43" s="95" t="s">
        <v>2400</v>
      </c>
      <c r="G43" s="56">
        <f t="shared" si="2"/>
        <v>0</v>
      </c>
      <c r="H43" s="56"/>
      <c r="I43" s="56">
        <v>0</v>
      </c>
      <c r="J43" s="56">
        <v>34028</v>
      </c>
      <c r="K43" s="58">
        <f t="shared" si="3"/>
        <v>21880.01</v>
      </c>
      <c r="L43" s="56"/>
    </row>
    <row r="44" ht="20" customHeight="1" spans="2:12">
      <c r="B44" s="42">
        <v>9</v>
      </c>
      <c r="C44" s="42">
        <v>20</v>
      </c>
      <c r="D44" s="42"/>
      <c r="E44" s="44" t="s">
        <v>2385</v>
      </c>
      <c r="F44" s="45" t="s">
        <v>2401</v>
      </c>
      <c r="G44" s="56">
        <f t="shared" si="2"/>
        <v>5116</v>
      </c>
      <c r="H44" s="56">
        <v>12.79</v>
      </c>
      <c r="I44" s="56">
        <v>5103.21</v>
      </c>
      <c r="J44" s="56"/>
      <c r="K44" s="58">
        <f t="shared" si="3"/>
        <v>26983.22</v>
      </c>
      <c r="L44" s="56"/>
    </row>
    <row r="45" ht="20" customHeight="1" spans="2:12">
      <c r="B45" s="42">
        <v>9</v>
      </c>
      <c r="C45" s="42">
        <v>20</v>
      </c>
      <c r="D45" s="74" t="s">
        <v>69</v>
      </c>
      <c r="E45" s="95" t="s">
        <v>1809</v>
      </c>
      <c r="F45" s="95" t="s">
        <v>1979</v>
      </c>
      <c r="G45" s="56">
        <f t="shared" si="2"/>
        <v>0</v>
      </c>
      <c r="H45" s="56"/>
      <c r="I45" s="56">
        <v>0</v>
      </c>
      <c r="J45" s="56">
        <v>26900</v>
      </c>
      <c r="K45" s="58">
        <f t="shared" si="3"/>
        <v>83.2199999999939</v>
      </c>
      <c r="L45" s="56"/>
    </row>
    <row r="46" ht="20" customHeight="1" spans="2:12">
      <c r="B46" s="42">
        <v>9</v>
      </c>
      <c r="C46" s="42">
        <v>20</v>
      </c>
      <c r="D46" s="74" t="s">
        <v>69</v>
      </c>
      <c r="E46" s="95" t="s">
        <v>1809</v>
      </c>
      <c r="F46" s="95" t="s">
        <v>2171</v>
      </c>
      <c r="G46" s="56"/>
      <c r="H46" s="56"/>
      <c r="I46" s="56">
        <v>1500</v>
      </c>
      <c r="J46" s="56"/>
      <c r="K46" s="58">
        <f t="shared" si="3"/>
        <v>1583.21999999999</v>
      </c>
      <c r="L46" s="56"/>
    </row>
    <row r="47" ht="20" customHeight="1" spans="2:12">
      <c r="B47" s="42">
        <v>9</v>
      </c>
      <c r="C47" s="42">
        <v>20</v>
      </c>
      <c r="D47" s="42"/>
      <c r="E47" s="95" t="s">
        <v>2391</v>
      </c>
      <c r="F47" s="95" t="s">
        <v>2402</v>
      </c>
      <c r="G47" s="56">
        <f t="shared" si="2"/>
        <v>0</v>
      </c>
      <c r="H47" s="56"/>
      <c r="I47" s="56">
        <v>0</v>
      </c>
      <c r="J47" s="56">
        <v>1530.96</v>
      </c>
      <c r="K47" s="58">
        <f t="shared" si="3"/>
        <v>52.2599999999939</v>
      </c>
      <c r="L47" s="56"/>
    </row>
    <row r="48" ht="20" customHeight="1" spans="2:12">
      <c r="B48" s="42">
        <v>9</v>
      </c>
      <c r="C48" s="42">
        <v>21</v>
      </c>
      <c r="D48" s="42"/>
      <c r="E48" s="117" t="s">
        <v>2036</v>
      </c>
      <c r="F48" s="45" t="s">
        <v>29</v>
      </c>
      <c r="G48" s="56"/>
      <c r="H48" s="56"/>
      <c r="I48" s="56">
        <v>0.19</v>
      </c>
      <c r="J48" s="56"/>
      <c r="K48" s="58">
        <f t="shared" si="3"/>
        <v>52.4499999999938</v>
      </c>
      <c r="L48" s="56"/>
    </row>
    <row r="49" ht="20" customHeight="1" spans="2:12">
      <c r="B49" s="42">
        <v>9</v>
      </c>
      <c r="C49" s="42">
        <v>22</v>
      </c>
      <c r="D49" s="42"/>
      <c r="E49" s="44" t="s">
        <v>2385</v>
      </c>
      <c r="F49" s="45" t="s">
        <v>2403</v>
      </c>
      <c r="G49" s="56">
        <f t="shared" si="2"/>
        <v>1800</v>
      </c>
      <c r="H49" s="56">
        <v>4.5</v>
      </c>
      <c r="I49" s="56">
        <v>1795.5</v>
      </c>
      <c r="J49" s="56"/>
      <c r="K49" s="58">
        <f t="shared" si="3"/>
        <v>1847.94999999999</v>
      </c>
      <c r="L49" s="56"/>
    </row>
    <row r="50" ht="20" customHeight="1" spans="2:12">
      <c r="B50" s="42">
        <v>9</v>
      </c>
      <c r="C50" s="42">
        <v>22</v>
      </c>
      <c r="D50" s="42"/>
      <c r="E50" s="95" t="s">
        <v>2391</v>
      </c>
      <c r="F50" s="95" t="s">
        <v>2404</v>
      </c>
      <c r="G50" s="56">
        <f t="shared" si="2"/>
        <v>0</v>
      </c>
      <c r="H50" s="56"/>
      <c r="I50" s="56">
        <v>0</v>
      </c>
      <c r="J50" s="56">
        <v>538.65</v>
      </c>
      <c r="K50" s="58">
        <f t="shared" si="3"/>
        <v>1309.29999999999</v>
      </c>
      <c r="L50" s="56"/>
    </row>
    <row r="51" ht="20" customHeight="1" spans="2:12">
      <c r="B51" s="42">
        <v>9</v>
      </c>
      <c r="C51" s="42">
        <v>27</v>
      </c>
      <c r="D51" s="42"/>
      <c r="E51" s="44" t="s">
        <v>2385</v>
      </c>
      <c r="F51" s="45" t="s">
        <v>2405</v>
      </c>
      <c r="G51" s="56">
        <f t="shared" si="2"/>
        <v>5215</v>
      </c>
      <c r="H51" s="56">
        <v>13.04</v>
      </c>
      <c r="I51" s="56">
        <v>5201.96</v>
      </c>
      <c r="J51" s="56"/>
      <c r="K51" s="58">
        <f t="shared" si="3"/>
        <v>6511.25999999999</v>
      </c>
      <c r="L51" s="56"/>
    </row>
    <row r="52" ht="20" customHeight="1" spans="2:12">
      <c r="B52" s="42">
        <v>9</v>
      </c>
      <c r="C52" s="42">
        <v>28</v>
      </c>
      <c r="D52" s="42"/>
      <c r="E52" s="95" t="s">
        <v>2391</v>
      </c>
      <c r="F52" s="95" t="s">
        <v>2406</v>
      </c>
      <c r="G52" s="56">
        <f t="shared" si="2"/>
        <v>0</v>
      </c>
      <c r="H52" s="56"/>
      <c r="I52" s="56">
        <v>0</v>
      </c>
      <c r="J52" s="56">
        <v>1560.59</v>
      </c>
      <c r="K52" s="58">
        <f t="shared" si="3"/>
        <v>4950.66999999999</v>
      </c>
      <c r="L52" s="56"/>
    </row>
    <row r="53" ht="20" customHeight="1" spans="2:12">
      <c r="B53" s="42">
        <v>9</v>
      </c>
      <c r="C53" s="42">
        <v>30</v>
      </c>
      <c r="D53" s="74" t="s">
        <v>69</v>
      </c>
      <c r="E53" s="95" t="s">
        <v>1809</v>
      </c>
      <c r="F53" s="95" t="s">
        <v>2171</v>
      </c>
      <c r="G53" s="56">
        <f t="shared" si="2"/>
        <v>0</v>
      </c>
      <c r="H53" s="56"/>
      <c r="I53" s="56">
        <v>0</v>
      </c>
      <c r="J53" s="56">
        <v>4950.67</v>
      </c>
      <c r="K53" s="58">
        <f t="shared" si="3"/>
        <v>0</v>
      </c>
      <c r="L53" s="56"/>
    </row>
    <row r="54" ht="20" customHeight="1" spans="2:12">
      <c r="B54" s="68"/>
      <c r="C54" s="68"/>
      <c r="D54" s="68"/>
      <c r="E54" s="133"/>
      <c r="F54" s="138" t="s">
        <v>22</v>
      </c>
      <c r="G54" s="71">
        <f>SUM(G29:G53)</f>
        <v>55042.01</v>
      </c>
      <c r="H54" s="71">
        <f>SUM(H29:H53)</f>
        <v>137.61</v>
      </c>
      <c r="I54" s="71">
        <f>SUM(I29:I53)</f>
        <v>109604.59</v>
      </c>
      <c r="J54" s="71">
        <f>SUM(J29:J53)</f>
        <v>110507.39</v>
      </c>
      <c r="K54" s="72">
        <f>K28+I54-J54</f>
        <v>0</v>
      </c>
      <c r="L54" s="71"/>
    </row>
    <row r="55" ht="20" customHeight="1" spans="2:12">
      <c r="B55" s="42">
        <v>10</v>
      </c>
      <c r="C55" s="42">
        <v>8</v>
      </c>
      <c r="D55" s="42"/>
      <c r="E55" s="44" t="s">
        <v>2385</v>
      </c>
      <c r="F55" s="45" t="s">
        <v>2407</v>
      </c>
      <c r="G55" s="56">
        <f>H55+I55</f>
        <v>5215</v>
      </c>
      <c r="H55" s="56"/>
      <c r="I55" s="56">
        <v>5215</v>
      </c>
      <c r="J55" s="56"/>
      <c r="K55" s="58">
        <f t="shared" ref="K52:K65" si="4">K54+I55-J55</f>
        <v>5215</v>
      </c>
      <c r="L55" s="56"/>
    </row>
    <row r="56" ht="20" customHeight="1" spans="2:12">
      <c r="B56" s="42">
        <v>10</v>
      </c>
      <c r="C56" s="42">
        <v>9</v>
      </c>
      <c r="D56" s="42"/>
      <c r="E56" s="44" t="s">
        <v>2385</v>
      </c>
      <c r="F56" s="45" t="s">
        <v>2408</v>
      </c>
      <c r="G56" s="56">
        <f t="shared" ref="G56:G62" si="5">H56+I56</f>
        <v>5</v>
      </c>
      <c r="H56" s="56"/>
      <c r="I56" s="56">
        <v>5</v>
      </c>
      <c r="J56" s="56"/>
      <c r="K56" s="58">
        <f t="shared" si="4"/>
        <v>5220</v>
      </c>
      <c r="L56" s="56"/>
    </row>
    <row r="57" ht="20" customHeight="1" spans="2:12">
      <c r="B57" s="42">
        <v>10</v>
      </c>
      <c r="C57" s="42">
        <v>9</v>
      </c>
      <c r="D57" s="42"/>
      <c r="E57" s="95" t="s">
        <v>2391</v>
      </c>
      <c r="F57" s="95" t="s">
        <v>2409</v>
      </c>
      <c r="G57" s="56">
        <f t="shared" si="5"/>
        <v>0</v>
      </c>
      <c r="H57" s="56"/>
      <c r="I57" s="56"/>
      <c r="J57" s="56">
        <v>1564.5</v>
      </c>
      <c r="K57" s="58">
        <f t="shared" si="4"/>
        <v>3655.5</v>
      </c>
      <c r="L57" s="56"/>
    </row>
    <row r="58" ht="20" customHeight="1" spans="2:12">
      <c r="B58" s="42">
        <v>10</v>
      </c>
      <c r="C58" s="42">
        <v>13</v>
      </c>
      <c r="D58" s="42"/>
      <c r="E58" s="42"/>
      <c r="F58" s="44" t="s">
        <v>2410</v>
      </c>
      <c r="G58" s="56">
        <f t="shared" si="5"/>
        <v>0.2</v>
      </c>
      <c r="H58" s="56"/>
      <c r="I58" s="56">
        <v>0.2</v>
      </c>
      <c r="J58" s="56"/>
      <c r="K58" s="58">
        <f t="shared" si="4"/>
        <v>3655.7</v>
      </c>
      <c r="L58" s="56"/>
    </row>
    <row r="59" ht="20" customHeight="1" spans="2:12">
      <c r="B59" s="42"/>
      <c r="C59" s="42"/>
      <c r="D59" s="42"/>
      <c r="E59" s="42"/>
      <c r="F59" s="54"/>
      <c r="G59" s="56">
        <f t="shared" si="5"/>
        <v>0</v>
      </c>
      <c r="H59" s="56"/>
      <c r="I59" s="56"/>
      <c r="J59" s="56"/>
      <c r="K59" s="58">
        <f t="shared" si="4"/>
        <v>3655.7</v>
      </c>
      <c r="L59" s="56"/>
    </row>
    <row r="60" ht="20" customHeight="1" spans="2:12">
      <c r="B60" s="42"/>
      <c r="C60" s="42"/>
      <c r="D60" s="42"/>
      <c r="E60" s="42"/>
      <c r="F60" s="54"/>
      <c r="G60" s="56">
        <f t="shared" si="5"/>
        <v>0</v>
      </c>
      <c r="H60" s="56"/>
      <c r="I60" s="56"/>
      <c r="J60" s="56"/>
      <c r="K60" s="58">
        <f t="shared" si="4"/>
        <v>3655.7</v>
      </c>
      <c r="L60" s="56"/>
    </row>
    <row r="61" ht="20" customHeight="1" spans="2:12">
      <c r="B61" s="42"/>
      <c r="C61" s="42"/>
      <c r="D61" s="42"/>
      <c r="E61" s="42"/>
      <c r="F61" s="54"/>
      <c r="G61" s="56">
        <f t="shared" si="5"/>
        <v>0</v>
      </c>
      <c r="H61" s="56"/>
      <c r="I61" s="56"/>
      <c r="J61" s="56"/>
      <c r="K61" s="58">
        <f t="shared" si="4"/>
        <v>3655.7</v>
      </c>
      <c r="L61" s="56"/>
    </row>
    <row r="62" ht="20" customHeight="1" spans="2:12">
      <c r="B62" s="42"/>
      <c r="C62" s="42"/>
      <c r="D62" s="42"/>
      <c r="E62" s="42"/>
      <c r="F62" s="54"/>
      <c r="G62" s="56">
        <f t="shared" si="5"/>
        <v>0</v>
      </c>
      <c r="H62" s="56"/>
      <c r="I62" s="56"/>
      <c r="J62" s="56"/>
      <c r="K62" s="58">
        <f t="shared" si="4"/>
        <v>3655.7</v>
      </c>
      <c r="L62" s="56"/>
    </row>
    <row r="63" ht="20" customHeight="1" spans="2:12">
      <c r="B63" s="42"/>
      <c r="C63" s="42"/>
      <c r="D63" s="42"/>
      <c r="E63" s="42"/>
      <c r="F63" s="54"/>
      <c r="G63" s="56"/>
      <c r="H63" s="56"/>
      <c r="I63" s="56"/>
      <c r="J63" s="56"/>
      <c r="K63" s="58">
        <f t="shared" si="4"/>
        <v>3655.7</v>
      </c>
      <c r="L63" s="56"/>
    </row>
    <row r="64" ht="20" customHeight="1" spans="2:12">
      <c r="B64" s="42"/>
      <c r="C64" s="42"/>
      <c r="D64" s="42"/>
      <c r="E64" s="54"/>
      <c r="F64" s="54"/>
      <c r="G64" s="54"/>
      <c r="H64" s="54"/>
      <c r="I64" s="56"/>
      <c r="J64" s="56"/>
      <c r="K64" s="58">
        <f t="shared" si="4"/>
        <v>3655.7</v>
      </c>
      <c r="L64" s="56"/>
    </row>
    <row r="65" ht="20" customHeight="1" spans="2:12">
      <c r="B65" s="42"/>
      <c r="C65" s="42"/>
      <c r="D65" s="42"/>
      <c r="E65" s="42"/>
      <c r="F65" s="54"/>
      <c r="G65" s="54"/>
      <c r="H65" s="54"/>
      <c r="I65" s="56"/>
      <c r="J65" s="56"/>
      <c r="K65" s="58">
        <f t="shared" si="4"/>
        <v>3655.7</v>
      </c>
      <c r="L65" s="56"/>
    </row>
  </sheetData>
  <autoFilter xmlns:etc="http://www.wps.cn/officeDocument/2017/etCustomData" ref="A3:R65" etc:filterBottomFollowUsedRange="0">
    <extLst/>
  </autoFilter>
  <mergeCells count="1">
    <mergeCell ref="B1:L1"/>
  </mergeCell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P186"/>
  <sheetViews>
    <sheetView workbookViewId="0">
      <pane xSplit="4" ySplit="4" topLeftCell="E84" activePane="bottomRight" state="frozen"/>
      <selection/>
      <selection pane="topRight"/>
      <selection pane="bottomLeft"/>
      <selection pane="bottomRight" activeCell="G103" sqref="G103"/>
    </sheetView>
  </sheetViews>
  <sheetFormatPr defaultColWidth="9" defaultRowHeight="13.5"/>
  <cols>
    <col min="1" max="1" width="8.725" style="3" customWidth="1"/>
    <col min="2" max="3" width="4.725" style="3" customWidth="1"/>
    <col min="4" max="4" width="8.63333333333333" style="3" customWidth="1"/>
    <col min="5" max="5" width="31.0916666666667" style="3" customWidth="1"/>
    <col min="6" max="6" width="48.8583333333333"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2411</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v>8</v>
      </c>
      <c r="C4" s="42">
        <v>1</v>
      </c>
      <c r="D4" s="42"/>
      <c r="E4" s="42"/>
      <c r="F4" s="54" t="s">
        <v>15</v>
      </c>
      <c r="G4" s="56"/>
      <c r="H4" s="56"/>
      <c r="I4" s="58">
        <v>0</v>
      </c>
      <c r="J4" s="56"/>
    </row>
    <row r="5" ht="20" customHeight="1" spans="1:16">
      <c r="B5" s="42">
        <v>8</v>
      </c>
      <c r="C5" s="42">
        <v>8</v>
      </c>
      <c r="D5" s="74"/>
      <c r="E5" s="95" t="s">
        <v>2412</v>
      </c>
      <c r="F5" s="95" t="s">
        <v>2413</v>
      </c>
      <c r="G5" s="84">
        <v>635</v>
      </c>
      <c r="H5" s="84"/>
      <c r="I5" s="58">
        <f>I4+G5-H5</f>
        <v>635</v>
      </c>
      <c r="J5" s="56"/>
    </row>
    <row r="6" ht="20" customHeight="1" spans="1:16">
      <c r="B6" s="42">
        <v>8</v>
      </c>
      <c r="C6" s="42">
        <v>9</v>
      </c>
      <c r="D6" s="74"/>
      <c r="E6" s="95" t="s">
        <v>2412</v>
      </c>
      <c r="F6" s="95" t="s">
        <v>2414</v>
      </c>
      <c r="G6" s="84">
        <v>350</v>
      </c>
      <c r="H6" s="84"/>
      <c r="I6" s="58">
        <f t="shared" ref="I6:I31" si="0">I5+G6-H6</f>
        <v>985</v>
      </c>
      <c r="J6" s="56"/>
    </row>
    <row r="7" ht="20" customHeight="1" spans="1:16">
      <c r="B7" s="42">
        <v>8</v>
      </c>
      <c r="C7" s="42">
        <v>10</v>
      </c>
      <c r="D7" s="74"/>
      <c r="E7" s="95" t="s">
        <v>2412</v>
      </c>
      <c r="F7" s="95" t="s">
        <v>2415</v>
      </c>
      <c r="G7" s="84">
        <v>1143</v>
      </c>
      <c r="H7" s="84"/>
      <c r="I7" s="58">
        <f t="shared" si="0"/>
        <v>2128</v>
      </c>
      <c r="J7" s="56"/>
    </row>
    <row r="8" ht="20" customHeight="1" spans="1:16">
      <c r="B8" s="42">
        <v>8</v>
      </c>
      <c r="C8" s="42">
        <v>11</v>
      </c>
      <c r="D8" s="74"/>
      <c r="E8" s="95" t="s">
        <v>2412</v>
      </c>
      <c r="F8" s="95" t="s">
        <v>2416</v>
      </c>
      <c r="G8" s="84">
        <v>406</v>
      </c>
      <c r="H8" s="84"/>
      <c r="I8" s="58">
        <f t="shared" si="0"/>
        <v>2534</v>
      </c>
      <c r="J8" s="56"/>
    </row>
    <row r="9" ht="20" customHeight="1" spans="1:16">
      <c r="B9" s="42">
        <v>8</v>
      </c>
      <c r="C9" s="42">
        <v>12</v>
      </c>
      <c r="D9" s="74"/>
      <c r="E9" s="95" t="s">
        <v>2412</v>
      </c>
      <c r="F9" s="95" t="s">
        <v>2417</v>
      </c>
      <c r="G9" s="84">
        <v>1315</v>
      </c>
      <c r="H9" s="84"/>
      <c r="I9" s="58">
        <f t="shared" si="0"/>
        <v>3849</v>
      </c>
      <c r="J9" s="56"/>
    </row>
    <row r="10" ht="20" customHeight="1" spans="1:16">
      <c r="B10" s="42">
        <v>8</v>
      </c>
      <c r="C10" s="42">
        <v>13</v>
      </c>
      <c r="D10" s="74"/>
      <c r="E10" s="95" t="s">
        <v>2412</v>
      </c>
      <c r="F10" s="95" t="s">
        <v>2418</v>
      </c>
      <c r="G10" s="84">
        <v>315</v>
      </c>
      <c r="H10" s="84"/>
      <c r="I10" s="58">
        <f t="shared" si="0"/>
        <v>4164</v>
      </c>
      <c r="J10" s="56"/>
    </row>
    <row r="11" ht="20" customHeight="1" spans="1:16">
      <c r="B11" s="42">
        <v>8</v>
      </c>
      <c r="C11" s="42">
        <v>14</v>
      </c>
      <c r="D11" s="74"/>
      <c r="E11" s="95" t="s">
        <v>2412</v>
      </c>
      <c r="F11" s="95" t="s">
        <v>2419</v>
      </c>
      <c r="G11" s="84">
        <v>350</v>
      </c>
      <c r="H11" s="84"/>
      <c r="I11" s="58">
        <f t="shared" si="0"/>
        <v>4514</v>
      </c>
      <c r="J11" s="56"/>
    </row>
    <row r="12" ht="20" customHeight="1" spans="1:16">
      <c r="B12" s="42">
        <v>8</v>
      </c>
      <c r="C12" s="42">
        <v>15</v>
      </c>
      <c r="D12" s="74"/>
      <c r="E12" s="95" t="s">
        <v>2412</v>
      </c>
      <c r="F12" s="95" t="s">
        <v>2420</v>
      </c>
      <c r="G12" s="84">
        <v>1856</v>
      </c>
      <c r="H12" s="84"/>
      <c r="I12" s="58">
        <f t="shared" si="0"/>
        <v>6370</v>
      </c>
      <c r="J12" s="56"/>
    </row>
    <row r="13" ht="20" customHeight="1" spans="1:16">
      <c r="B13" s="42">
        <v>8</v>
      </c>
      <c r="C13" s="42">
        <v>16</v>
      </c>
      <c r="D13" s="74"/>
      <c r="E13" s="95" t="s">
        <v>2412</v>
      </c>
      <c r="F13" s="95" t="s">
        <v>2421</v>
      </c>
      <c r="G13" s="84">
        <v>1265</v>
      </c>
      <c r="H13" s="84"/>
      <c r="I13" s="58">
        <f t="shared" si="0"/>
        <v>7635</v>
      </c>
      <c r="J13" s="56"/>
    </row>
    <row r="14" ht="20" customHeight="1" spans="1:16">
      <c r="B14" s="42">
        <v>8</v>
      </c>
      <c r="C14" s="42">
        <v>17</v>
      </c>
      <c r="D14" s="74"/>
      <c r="E14" s="95" t="s">
        <v>2412</v>
      </c>
      <c r="F14" s="95" t="s">
        <v>2422</v>
      </c>
      <c r="G14" s="84">
        <v>1148</v>
      </c>
      <c r="H14" s="84"/>
      <c r="I14" s="58">
        <f t="shared" si="0"/>
        <v>8783</v>
      </c>
      <c r="J14" s="56"/>
    </row>
    <row r="15" ht="20" customHeight="1" spans="1:16">
      <c r="B15" s="42">
        <v>8</v>
      </c>
      <c r="C15" s="42">
        <v>18</v>
      </c>
      <c r="D15" s="74"/>
      <c r="E15" s="95" t="s">
        <v>2412</v>
      </c>
      <c r="F15" s="95" t="s">
        <v>2423</v>
      </c>
      <c r="G15" s="84">
        <v>1440</v>
      </c>
      <c r="H15" s="84"/>
      <c r="I15" s="58">
        <f t="shared" si="0"/>
        <v>10223</v>
      </c>
      <c r="J15" s="56"/>
    </row>
    <row r="16" ht="20" customHeight="1" spans="1:16">
      <c r="B16" s="42">
        <v>8</v>
      </c>
      <c r="C16" s="42">
        <v>19</v>
      </c>
      <c r="D16" s="74"/>
      <c r="E16" s="95" t="s">
        <v>2412</v>
      </c>
      <c r="F16" s="95" t="s">
        <v>2424</v>
      </c>
      <c r="G16" s="84">
        <v>1278</v>
      </c>
      <c r="H16" s="84"/>
      <c r="I16" s="58">
        <f t="shared" si="0"/>
        <v>11501</v>
      </c>
      <c r="J16" s="56"/>
    </row>
    <row r="17" ht="20" customHeight="1" spans="2:10">
      <c r="B17" s="42">
        <v>8</v>
      </c>
      <c r="C17" s="42">
        <v>20</v>
      </c>
      <c r="D17" s="74"/>
      <c r="E17" s="95" t="s">
        <v>2412</v>
      </c>
      <c r="F17" s="95" t="s">
        <v>2425</v>
      </c>
      <c r="G17" s="84">
        <v>455</v>
      </c>
      <c r="H17" s="84"/>
      <c r="I17" s="58">
        <f t="shared" si="0"/>
        <v>11956</v>
      </c>
      <c r="J17" s="56"/>
    </row>
    <row r="18" ht="20" customHeight="1" spans="2:10">
      <c r="B18" s="42">
        <v>8</v>
      </c>
      <c r="C18" s="42">
        <v>21</v>
      </c>
      <c r="D18" s="74"/>
      <c r="E18" s="95" t="s">
        <v>2412</v>
      </c>
      <c r="F18" s="95" t="s">
        <v>2426</v>
      </c>
      <c r="G18" s="84">
        <v>2220</v>
      </c>
      <c r="H18" s="84"/>
      <c r="I18" s="58">
        <f t="shared" si="0"/>
        <v>14176</v>
      </c>
      <c r="J18" s="56"/>
    </row>
    <row r="19" ht="20" customHeight="1" spans="2:10">
      <c r="B19" s="42">
        <v>8</v>
      </c>
      <c r="C19" s="42">
        <v>21</v>
      </c>
      <c r="D19" s="74" t="s">
        <v>69</v>
      </c>
      <c r="E19" s="95" t="s">
        <v>1809</v>
      </c>
      <c r="F19" s="95" t="s">
        <v>2427</v>
      </c>
      <c r="G19" s="84"/>
      <c r="H19" s="84">
        <v>14000</v>
      </c>
      <c r="I19" s="58">
        <f t="shared" si="0"/>
        <v>176</v>
      </c>
      <c r="J19" s="56"/>
    </row>
    <row r="20" ht="20" customHeight="1" spans="2:10">
      <c r="B20" s="42">
        <v>8</v>
      </c>
      <c r="C20" s="42">
        <v>22</v>
      </c>
      <c r="D20" s="74"/>
      <c r="E20" s="95" t="s">
        <v>2412</v>
      </c>
      <c r="F20" s="95" t="s">
        <v>2428</v>
      </c>
      <c r="G20" s="84">
        <v>245</v>
      </c>
      <c r="H20" s="84"/>
      <c r="I20" s="58">
        <f t="shared" si="0"/>
        <v>421</v>
      </c>
      <c r="J20" s="56"/>
    </row>
    <row r="21" ht="20" customHeight="1" spans="2:10">
      <c r="B21" s="42">
        <v>8</v>
      </c>
      <c r="C21" s="42">
        <v>23</v>
      </c>
      <c r="D21" s="74"/>
      <c r="E21" s="95" t="s">
        <v>2412</v>
      </c>
      <c r="F21" s="95" t="s">
        <v>2429</v>
      </c>
      <c r="G21" s="84">
        <v>70</v>
      </c>
      <c r="H21" s="84"/>
      <c r="I21" s="58">
        <f t="shared" si="0"/>
        <v>491</v>
      </c>
      <c r="J21" s="56"/>
    </row>
    <row r="22" ht="20" customHeight="1" spans="2:10">
      <c r="B22" s="42">
        <v>8</v>
      </c>
      <c r="C22" s="42">
        <v>25</v>
      </c>
      <c r="D22" s="74"/>
      <c r="E22" s="95" t="s">
        <v>2412</v>
      </c>
      <c r="F22" s="95" t="s">
        <v>2430</v>
      </c>
      <c r="G22" s="84">
        <v>2001.8</v>
      </c>
      <c r="H22" s="84"/>
      <c r="I22" s="58">
        <f t="shared" si="0"/>
        <v>2492.8</v>
      </c>
      <c r="J22" s="56"/>
    </row>
    <row r="23" ht="20" customHeight="1" spans="2:10">
      <c r="B23" s="42">
        <v>8</v>
      </c>
      <c r="C23" s="42">
        <v>25</v>
      </c>
      <c r="D23" s="74" t="s">
        <v>69</v>
      </c>
      <c r="E23" s="95" t="s">
        <v>1809</v>
      </c>
      <c r="F23" s="95" t="s">
        <v>2427</v>
      </c>
      <c r="G23" s="56"/>
      <c r="H23" s="84">
        <v>2490</v>
      </c>
      <c r="I23" s="58">
        <f t="shared" si="0"/>
        <v>2.80000000000018</v>
      </c>
      <c r="J23" s="56"/>
    </row>
    <row r="24" ht="20" customHeight="1" spans="2:10">
      <c r="B24" s="42">
        <v>8</v>
      </c>
      <c r="C24" s="42">
        <v>26</v>
      </c>
      <c r="D24" s="42"/>
      <c r="E24" s="95" t="s">
        <v>2412</v>
      </c>
      <c r="F24" s="95" t="s">
        <v>2431</v>
      </c>
      <c r="G24" s="84">
        <v>1020</v>
      </c>
      <c r="H24" s="84"/>
      <c r="I24" s="58">
        <f t="shared" si="0"/>
        <v>1022.8</v>
      </c>
      <c r="J24" s="56"/>
    </row>
    <row r="25" ht="20" customHeight="1" spans="2:10">
      <c r="B25" s="42">
        <v>8</v>
      </c>
      <c r="C25" s="42">
        <v>27</v>
      </c>
      <c r="D25" s="42"/>
      <c r="E25" s="95" t="s">
        <v>2412</v>
      </c>
      <c r="F25" s="95" t="s">
        <v>2432</v>
      </c>
      <c r="G25" s="84">
        <v>1140</v>
      </c>
      <c r="H25" s="84"/>
      <c r="I25" s="58">
        <f t="shared" si="0"/>
        <v>2162.8</v>
      </c>
      <c r="J25" s="56"/>
    </row>
    <row r="26" ht="20" customHeight="1" spans="2:10">
      <c r="B26" s="42">
        <v>8</v>
      </c>
      <c r="C26" s="42">
        <v>28</v>
      </c>
      <c r="D26" s="42"/>
      <c r="E26" s="95" t="s">
        <v>2412</v>
      </c>
      <c r="F26" s="95" t="s">
        <v>2433</v>
      </c>
      <c r="G26" s="84">
        <v>674</v>
      </c>
      <c r="H26" s="84"/>
      <c r="I26" s="58">
        <f t="shared" si="0"/>
        <v>2836.8</v>
      </c>
      <c r="J26" s="56"/>
    </row>
    <row r="27" ht="20" customHeight="1" spans="2:10">
      <c r="B27" s="42">
        <v>8</v>
      </c>
      <c r="C27" s="42">
        <v>29</v>
      </c>
      <c r="D27" s="42"/>
      <c r="E27" s="95" t="s">
        <v>2412</v>
      </c>
      <c r="F27" s="95" t="s">
        <v>2434</v>
      </c>
      <c r="G27" s="84">
        <v>179</v>
      </c>
      <c r="H27" s="84"/>
      <c r="I27" s="58">
        <f t="shared" si="0"/>
        <v>3015.8</v>
      </c>
      <c r="J27" s="56"/>
    </row>
    <row r="28" ht="20" customHeight="1" spans="2:10">
      <c r="B28" s="42">
        <v>8</v>
      </c>
      <c r="C28" s="42">
        <v>30</v>
      </c>
      <c r="D28" s="42"/>
      <c r="E28" s="95" t="s">
        <v>2412</v>
      </c>
      <c r="F28" s="95" t="s">
        <v>2435</v>
      </c>
      <c r="G28" s="84">
        <v>843</v>
      </c>
      <c r="H28" s="84"/>
      <c r="I28" s="58">
        <f t="shared" si="0"/>
        <v>3858.8</v>
      </c>
      <c r="J28" s="56"/>
    </row>
    <row r="29" ht="20" customHeight="1" spans="2:10">
      <c r="B29" s="42">
        <v>8</v>
      </c>
      <c r="C29" s="42">
        <v>31</v>
      </c>
      <c r="D29" s="42"/>
      <c r="E29" s="95" t="s">
        <v>2412</v>
      </c>
      <c r="F29" s="95" t="s">
        <v>2436</v>
      </c>
      <c r="G29" s="84">
        <v>636</v>
      </c>
      <c r="H29" s="84"/>
      <c r="I29" s="58">
        <f t="shared" si="0"/>
        <v>4494.8</v>
      </c>
      <c r="J29" s="56"/>
    </row>
    <row r="30" ht="20" customHeight="1" spans="2:10">
      <c r="B30" s="68"/>
      <c r="C30" s="68"/>
      <c r="D30" s="68"/>
      <c r="E30" s="69"/>
      <c r="F30" s="70" t="s">
        <v>22</v>
      </c>
      <c r="G30" s="134">
        <f>SUM(G5:G29)</f>
        <v>20984.8</v>
      </c>
      <c r="H30" s="134">
        <f>SUM(H5:H29)</f>
        <v>16490</v>
      </c>
      <c r="I30" s="72">
        <f>I4+G30-H30</f>
        <v>4494.8</v>
      </c>
      <c r="J30" s="71"/>
    </row>
    <row r="31" ht="20" customHeight="1" spans="2:10">
      <c r="B31" s="42">
        <v>9</v>
      </c>
      <c r="C31" s="42">
        <v>1</v>
      </c>
      <c r="D31" s="42"/>
      <c r="E31" s="95" t="s">
        <v>2412</v>
      </c>
      <c r="F31" s="95" t="s">
        <v>2437</v>
      </c>
      <c r="G31" s="84">
        <v>587</v>
      </c>
      <c r="H31" s="84"/>
      <c r="I31" s="58">
        <f>I30+G31-H31</f>
        <v>5081.8</v>
      </c>
      <c r="J31" s="56"/>
    </row>
    <row r="32" ht="20" customHeight="1" spans="2:10">
      <c r="B32" s="42">
        <v>9</v>
      </c>
      <c r="C32" s="42">
        <v>2</v>
      </c>
      <c r="D32" s="42"/>
      <c r="E32" s="95" t="s">
        <v>2412</v>
      </c>
      <c r="F32" s="95" t="s">
        <v>2438</v>
      </c>
      <c r="G32" s="84">
        <v>625</v>
      </c>
      <c r="H32" s="84"/>
      <c r="I32" s="58">
        <f t="shared" ref="I31:I38" si="1">I31+G32-H32</f>
        <v>5706.8</v>
      </c>
      <c r="J32" s="56"/>
    </row>
    <row r="33" ht="20" customHeight="1" spans="2:10">
      <c r="B33" s="42">
        <v>9</v>
      </c>
      <c r="C33" s="42">
        <v>3</v>
      </c>
      <c r="D33" s="42"/>
      <c r="E33" s="95" t="s">
        <v>2412</v>
      </c>
      <c r="F33" s="95" t="s">
        <v>2439</v>
      </c>
      <c r="G33" s="84">
        <v>10</v>
      </c>
      <c r="H33" s="84"/>
      <c r="I33" s="58">
        <f t="shared" si="1"/>
        <v>5716.8</v>
      </c>
      <c r="J33" s="56"/>
    </row>
    <row r="34" ht="20" customHeight="1" spans="2:10">
      <c r="B34" s="42">
        <v>9</v>
      </c>
      <c r="C34" s="42">
        <v>4</v>
      </c>
      <c r="D34" s="42"/>
      <c r="E34" s="95" t="s">
        <v>2412</v>
      </c>
      <c r="F34" s="95" t="s">
        <v>2440</v>
      </c>
      <c r="G34" s="56">
        <v>1039.8</v>
      </c>
      <c r="H34" s="56"/>
      <c r="I34" s="58">
        <f t="shared" si="1"/>
        <v>6756.6</v>
      </c>
      <c r="J34" s="56"/>
    </row>
    <row r="35" ht="20" customHeight="1" spans="2:10">
      <c r="B35" s="42">
        <v>9</v>
      </c>
      <c r="C35" s="42">
        <v>5</v>
      </c>
      <c r="D35" s="42"/>
      <c r="E35" s="95" t="s">
        <v>2412</v>
      </c>
      <c r="F35" s="95" t="s">
        <v>2441</v>
      </c>
      <c r="G35" s="56">
        <v>1632</v>
      </c>
      <c r="H35" s="56"/>
      <c r="I35" s="58">
        <f t="shared" si="1"/>
        <v>8388.6</v>
      </c>
      <c r="J35" s="56"/>
    </row>
    <row r="36" ht="20" customHeight="1" spans="2:10">
      <c r="B36" s="42">
        <v>9</v>
      </c>
      <c r="C36" s="42">
        <v>6</v>
      </c>
      <c r="D36" s="42"/>
      <c r="E36" s="95" t="s">
        <v>2412</v>
      </c>
      <c r="F36" s="95" t="s">
        <v>2442</v>
      </c>
      <c r="G36" s="56">
        <v>106</v>
      </c>
      <c r="H36" s="56"/>
      <c r="I36" s="58">
        <f t="shared" si="1"/>
        <v>8494.6</v>
      </c>
      <c r="J36" s="56"/>
    </row>
    <row r="37" ht="20" customHeight="1" spans="2:10">
      <c r="B37" s="42">
        <v>9</v>
      </c>
      <c r="C37" s="42">
        <v>7</v>
      </c>
      <c r="D37" s="42"/>
      <c r="E37" s="95" t="s">
        <v>2412</v>
      </c>
      <c r="F37" s="95" t="s">
        <v>2443</v>
      </c>
      <c r="G37" s="56">
        <v>762</v>
      </c>
      <c r="H37" s="56"/>
      <c r="I37" s="58">
        <f t="shared" si="1"/>
        <v>9256.6</v>
      </c>
      <c r="J37" s="56"/>
    </row>
    <row r="38" ht="20" customHeight="1" spans="2:10">
      <c r="B38" s="42">
        <v>9</v>
      </c>
      <c r="C38" s="42">
        <v>8</v>
      </c>
      <c r="D38" s="42"/>
      <c r="E38" s="95" t="s">
        <v>2412</v>
      </c>
      <c r="F38" s="95" t="s">
        <v>2444</v>
      </c>
      <c r="G38" s="56">
        <v>2179</v>
      </c>
      <c r="H38" s="56"/>
      <c r="I38" s="58">
        <f t="shared" si="1"/>
        <v>11435.6</v>
      </c>
      <c r="J38" s="56"/>
    </row>
    <row r="39" ht="20" customHeight="1" spans="2:10">
      <c r="B39" s="42">
        <v>9</v>
      </c>
      <c r="C39" s="42">
        <v>9</v>
      </c>
      <c r="D39" s="42"/>
      <c r="E39" s="95" t="s">
        <v>2412</v>
      </c>
      <c r="F39" s="95" t="s">
        <v>2445</v>
      </c>
      <c r="G39" s="56">
        <v>140</v>
      </c>
      <c r="H39" s="56"/>
      <c r="I39" s="58">
        <f t="shared" ref="I39:I52" si="2">I38+G39-H39</f>
        <v>11575.6</v>
      </c>
      <c r="J39" s="56"/>
    </row>
    <row r="40" ht="20" customHeight="1" spans="2:10">
      <c r="B40" s="42">
        <v>9</v>
      </c>
      <c r="C40" s="42">
        <v>10</v>
      </c>
      <c r="D40" s="42"/>
      <c r="E40" s="95" t="s">
        <v>2412</v>
      </c>
      <c r="F40" s="95" t="s">
        <v>2446</v>
      </c>
      <c r="G40" s="56">
        <v>203</v>
      </c>
      <c r="H40" s="56"/>
      <c r="I40" s="58">
        <f t="shared" si="2"/>
        <v>11778.6</v>
      </c>
      <c r="J40" s="56"/>
    </row>
    <row r="41" ht="20" customHeight="1" spans="2:10">
      <c r="B41" s="42">
        <v>9</v>
      </c>
      <c r="C41" s="42">
        <v>11</v>
      </c>
      <c r="D41" s="42"/>
      <c r="E41" s="95" t="s">
        <v>2412</v>
      </c>
      <c r="F41" s="95" t="s">
        <v>2447</v>
      </c>
      <c r="G41" s="56">
        <v>238.01</v>
      </c>
      <c r="H41" s="56"/>
      <c r="I41" s="58">
        <f t="shared" si="2"/>
        <v>12016.61</v>
      </c>
      <c r="J41" s="56"/>
    </row>
    <row r="42" ht="20" customHeight="1" spans="2:10">
      <c r="B42" s="42">
        <v>9</v>
      </c>
      <c r="C42" s="42">
        <v>12</v>
      </c>
      <c r="D42" s="42"/>
      <c r="E42" s="95" t="s">
        <v>2412</v>
      </c>
      <c r="F42" s="95" t="s">
        <v>2448</v>
      </c>
      <c r="G42" s="56">
        <v>453.5</v>
      </c>
      <c r="H42" s="56"/>
      <c r="I42" s="58">
        <f t="shared" si="2"/>
        <v>12470.11</v>
      </c>
      <c r="J42" s="56"/>
    </row>
    <row r="43" ht="20" customHeight="1" spans="2:10">
      <c r="B43" s="42">
        <v>9</v>
      </c>
      <c r="C43" s="42">
        <v>12</v>
      </c>
      <c r="D43" s="42"/>
      <c r="E43" s="95" t="s">
        <v>2449</v>
      </c>
      <c r="F43" s="95" t="s">
        <v>2450</v>
      </c>
      <c r="G43" s="56">
        <v>4528.02</v>
      </c>
      <c r="H43" s="56"/>
      <c r="I43" s="58">
        <f t="shared" si="2"/>
        <v>16998.13</v>
      </c>
      <c r="J43" s="56"/>
    </row>
    <row r="44" ht="20" customHeight="1" spans="2:10">
      <c r="B44" s="42">
        <v>9</v>
      </c>
      <c r="C44" s="42">
        <v>13</v>
      </c>
      <c r="D44" s="42"/>
      <c r="E44" s="95" t="s">
        <v>2412</v>
      </c>
      <c r="F44" s="95" t="s">
        <v>2451</v>
      </c>
      <c r="G44" s="56">
        <v>315</v>
      </c>
      <c r="H44" s="56"/>
      <c r="I44" s="58">
        <f t="shared" si="2"/>
        <v>17313.13</v>
      </c>
      <c r="J44" s="56"/>
    </row>
    <row r="45" ht="20" customHeight="1" spans="2:10">
      <c r="B45" s="42">
        <v>9</v>
      </c>
      <c r="C45" s="42">
        <v>13</v>
      </c>
      <c r="D45" s="42"/>
      <c r="E45" s="95" t="s">
        <v>2449</v>
      </c>
      <c r="F45" s="95" t="s">
        <v>2450</v>
      </c>
      <c r="G45" s="56">
        <v>64.22</v>
      </c>
      <c r="H45" s="56"/>
      <c r="I45" s="58">
        <f t="shared" si="2"/>
        <v>17377.35</v>
      </c>
      <c r="J45" s="56"/>
    </row>
    <row r="46" ht="20" customHeight="1" spans="2:10">
      <c r="B46" s="42">
        <v>9</v>
      </c>
      <c r="C46" s="42">
        <v>14</v>
      </c>
      <c r="D46" s="42"/>
      <c r="E46" s="95" t="s">
        <v>2412</v>
      </c>
      <c r="F46" s="95" t="s">
        <v>2452</v>
      </c>
      <c r="G46" s="56">
        <v>409</v>
      </c>
      <c r="H46" s="56"/>
      <c r="I46" s="58">
        <f t="shared" si="2"/>
        <v>17786.35</v>
      </c>
      <c r="J46" s="56"/>
    </row>
    <row r="47" ht="20" customHeight="1" spans="2:10">
      <c r="B47" s="42">
        <v>9</v>
      </c>
      <c r="C47" s="42">
        <v>14</v>
      </c>
      <c r="D47" s="42"/>
      <c r="E47" s="95" t="s">
        <v>2449</v>
      </c>
      <c r="F47" s="95" t="s">
        <v>2450</v>
      </c>
      <c r="G47" s="56">
        <v>111.47</v>
      </c>
      <c r="H47" s="56"/>
      <c r="I47" s="58">
        <f t="shared" si="2"/>
        <v>17897.82</v>
      </c>
      <c r="J47" s="56"/>
    </row>
    <row r="48" ht="20" customHeight="1" spans="2:10">
      <c r="B48" s="42">
        <v>9</v>
      </c>
      <c r="C48" s="42">
        <v>15</v>
      </c>
      <c r="D48" s="42"/>
      <c r="E48" s="95" t="s">
        <v>2412</v>
      </c>
      <c r="F48" s="95" t="s">
        <v>2453</v>
      </c>
      <c r="G48" s="56">
        <v>280</v>
      </c>
      <c r="H48" s="56"/>
      <c r="I48" s="58">
        <f t="shared" si="2"/>
        <v>18177.82</v>
      </c>
      <c r="J48" s="56"/>
    </row>
    <row r="49" ht="20" customHeight="1" spans="2:10">
      <c r="B49" s="42">
        <v>9</v>
      </c>
      <c r="C49" s="42">
        <v>16</v>
      </c>
      <c r="D49" s="42"/>
      <c r="E49" s="95" t="s">
        <v>2412</v>
      </c>
      <c r="F49" s="95" t="s">
        <v>2454</v>
      </c>
      <c r="G49" s="56">
        <v>65</v>
      </c>
      <c r="H49" s="56"/>
      <c r="I49" s="58">
        <f t="shared" si="2"/>
        <v>18242.82</v>
      </c>
      <c r="J49" s="56"/>
    </row>
    <row r="50" ht="20" customHeight="1" spans="2:10">
      <c r="B50" s="42">
        <v>9</v>
      </c>
      <c r="C50" s="42">
        <v>16</v>
      </c>
      <c r="D50" s="42"/>
      <c r="E50" s="95" t="s">
        <v>2449</v>
      </c>
      <c r="F50" s="95" t="s">
        <v>2450</v>
      </c>
      <c r="G50" s="56">
        <v>207.8</v>
      </c>
      <c r="H50" s="56"/>
      <c r="I50" s="58">
        <f t="shared" si="2"/>
        <v>18450.62</v>
      </c>
      <c r="J50" s="56"/>
    </row>
    <row r="51" ht="20" customHeight="1" spans="2:10">
      <c r="B51" s="42">
        <v>9</v>
      </c>
      <c r="C51" s="42">
        <v>17</v>
      </c>
      <c r="D51" s="42"/>
      <c r="E51" s="95" t="s">
        <v>2412</v>
      </c>
      <c r="F51" s="95" t="s">
        <v>2455</v>
      </c>
      <c r="G51" s="56">
        <v>70</v>
      </c>
      <c r="H51" s="56"/>
      <c r="I51" s="58">
        <f t="shared" si="2"/>
        <v>18520.62</v>
      </c>
      <c r="J51" s="56"/>
    </row>
    <row r="52" ht="20" customHeight="1" spans="2:10">
      <c r="B52" s="42">
        <v>9</v>
      </c>
      <c r="C52" s="42">
        <v>17</v>
      </c>
      <c r="D52" s="42"/>
      <c r="E52" s="95" t="s">
        <v>2449</v>
      </c>
      <c r="F52" s="95" t="s">
        <v>2450</v>
      </c>
      <c r="G52" s="56">
        <v>64.22</v>
      </c>
      <c r="H52" s="56"/>
      <c r="I52" s="58">
        <f t="shared" si="2"/>
        <v>18584.84</v>
      </c>
      <c r="J52" s="56"/>
    </row>
    <row r="53" ht="20" customHeight="1" spans="2:10">
      <c r="B53" s="42">
        <v>9</v>
      </c>
      <c r="C53" s="42">
        <v>18</v>
      </c>
      <c r="D53" s="42"/>
      <c r="E53" s="95" t="s">
        <v>2412</v>
      </c>
      <c r="F53" s="95" t="s">
        <v>2456</v>
      </c>
      <c r="G53" s="56">
        <v>713</v>
      </c>
      <c r="H53" s="56"/>
      <c r="I53" s="58">
        <f t="shared" ref="I44:I66" si="3">I52+G53-H53</f>
        <v>19297.84</v>
      </c>
      <c r="J53" s="56"/>
    </row>
    <row r="54" ht="20" customHeight="1" spans="2:10">
      <c r="B54" s="42">
        <v>9</v>
      </c>
      <c r="C54" s="42">
        <v>18</v>
      </c>
      <c r="D54" s="42"/>
      <c r="E54" s="95" t="s">
        <v>2449</v>
      </c>
      <c r="F54" s="95" t="s">
        <v>2450</v>
      </c>
      <c r="G54" s="56">
        <v>311.79</v>
      </c>
      <c r="H54" s="56"/>
      <c r="I54" s="58">
        <f t="shared" si="3"/>
        <v>19609.63</v>
      </c>
      <c r="J54" s="56"/>
    </row>
    <row r="55" ht="20" customHeight="1" spans="2:10">
      <c r="B55" s="42">
        <v>9</v>
      </c>
      <c r="C55" s="42">
        <v>18</v>
      </c>
      <c r="D55" s="42"/>
      <c r="E55" s="117" t="s">
        <v>1807</v>
      </c>
      <c r="F55" s="95" t="s">
        <v>2241</v>
      </c>
      <c r="G55" s="56"/>
      <c r="H55" s="56">
        <v>19000</v>
      </c>
      <c r="I55" s="58">
        <f t="shared" si="3"/>
        <v>609.630000000005</v>
      </c>
      <c r="J55" s="56"/>
    </row>
    <row r="56" ht="20" customHeight="1" spans="2:10">
      <c r="B56" s="42">
        <v>9</v>
      </c>
      <c r="C56" s="42">
        <v>19</v>
      </c>
      <c r="D56" s="42"/>
      <c r="E56" s="95" t="s">
        <v>2412</v>
      </c>
      <c r="F56" s="95" t="s">
        <v>2457</v>
      </c>
      <c r="G56" s="56">
        <v>1170</v>
      </c>
      <c r="H56" s="56"/>
      <c r="I56" s="58">
        <f t="shared" si="3"/>
        <v>1779.63</v>
      </c>
      <c r="J56" s="56"/>
    </row>
    <row r="57" ht="20" customHeight="1" spans="2:10">
      <c r="B57" s="42">
        <v>9</v>
      </c>
      <c r="C57" s="42">
        <v>20</v>
      </c>
      <c r="D57" s="42"/>
      <c r="E57" s="95" t="s">
        <v>2412</v>
      </c>
      <c r="F57" s="95" t="s">
        <v>2458</v>
      </c>
      <c r="G57" s="56">
        <v>245</v>
      </c>
      <c r="H57" s="56"/>
      <c r="I57" s="58">
        <f t="shared" si="3"/>
        <v>2024.63</v>
      </c>
      <c r="J57" s="56"/>
    </row>
    <row r="58" ht="20" customHeight="1" spans="2:10">
      <c r="B58" s="42">
        <v>9</v>
      </c>
      <c r="C58" s="42">
        <v>20</v>
      </c>
      <c r="D58" s="42"/>
      <c r="E58" s="95" t="s">
        <v>2449</v>
      </c>
      <c r="F58" s="95" t="s">
        <v>2450</v>
      </c>
      <c r="G58" s="56">
        <v>263.22</v>
      </c>
      <c r="H58" s="56"/>
      <c r="I58" s="58">
        <f t="shared" si="3"/>
        <v>2287.85</v>
      </c>
      <c r="J58" s="56"/>
    </row>
    <row r="59" ht="20" customHeight="1" spans="2:10">
      <c r="B59" s="42">
        <v>9</v>
      </c>
      <c r="C59" s="42">
        <v>21</v>
      </c>
      <c r="D59" s="42"/>
      <c r="E59" s="44" t="s">
        <v>161</v>
      </c>
      <c r="F59" s="44" t="s">
        <v>29</v>
      </c>
      <c r="G59" s="56">
        <v>0.42</v>
      </c>
      <c r="H59" s="56"/>
      <c r="I59" s="58">
        <f t="shared" si="3"/>
        <v>2288.27</v>
      </c>
      <c r="J59" s="56"/>
    </row>
    <row r="60" ht="20" customHeight="1" spans="2:10">
      <c r="B60" s="42">
        <v>9</v>
      </c>
      <c r="C60" s="42">
        <v>21</v>
      </c>
      <c r="D60" s="42"/>
      <c r="E60" s="95" t="s">
        <v>2412</v>
      </c>
      <c r="F60" s="95" t="s">
        <v>2459</v>
      </c>
      <c r="G60" s="56">
        <v>175</v>
      </c>
      <c r="H60" s="56"/>
      <c r="I60" s="58">
        <f t="shared" si="3"/>
        <v>2463.27</v>
      </c>
      <c r="J60" s="56"/>
    </row>
    <row r="61" ht="20" customHeight="1" spans="2:10">
      <c r="B61" s="42">
        <v>9</v>
      </c>
      <c r="C61" s="42">
        <v>22</v>
      </c>
      <c r="D61" s="42"/>
      <c r="E61" s="95" t="s">
        <v>2412</v>
      </c>
      <c r="F61" s="95" t="s">
        <v>2460</v>
      </c>
      <c r="G61" s="56">
        <v>185</v>
      </c>
      <c r="H61" s="56"/>
      <c r="I61" s="58">
        <f t="shared" si="3"/>
        <v>2648.27</v>
      </c>
      <c r="J61" s="56"/>
    </row>
    <row r="62" ht="20" customHeight="1" spans="2:10">
      <c r="B62" s="42">
        <v>9</v>
      </c>
      <c r="C62" s="42">
        <v>23</v>
      </c>
      <c r="D62" s="42"/>
      <c r="E62" s="95" t="s">
        <v>2412</v>
      </c>
      <c r="F62" s="95" t="s">
        <v>2461</v>
      </c>
      <c r="G62" s="56">
        <v>180</v>
      </c>
      <c r="H62" s="56"/>
      <c r="I62" s="58">
        <f t="shared" si="3"/>
        <v>2828.27</v>
      </c>
      <c r="J62" s="56"/>
    </row>
    <row r="63" ht="20" customHeight="1" spans="2:10">
      <c r="B63" s="42">
        <v>9</v>
      </c>
      <c r="C63" s="42">
        <v>23</v>
      </c>
      <c r="D63" s="42"/>
      <c r="E63" s="95" t="s">
        <v>2449</v>
      </c>
      <c r="F63" s="95" t="s">
        <v>2450</v>
      </c>
      <c r="G63" s="56">
        <v>79.36</v>
      </c>
      <c r="H63" s="56"/>
      <c r="I63" s="58">
        <f t="shared" si="3"/>
        <v>2907.63000000001</v>
      </c>
      <c r="J63" s="56"/>
    </row>
    <row r="64" ht="20" customHeight="1" spans="2:10">
      <c r="B64" s="42">
        <v>9</v>
      </c>
      <c r="C64" s="42">
        <v>24</v>
      </c>
      <c r="D64" s="42"/>
      <c r="E64" s="95" t="s">
        <v>2412</v>
      </c>
      <c r="F64" s="95" t="s">
        <v>2462</v>
      </c>
      <c r="G64" s="56">
        <v>387</v>
      </c>
      <c r="H64" s="56"/>
      <c r="I64" s="58">
        <f t="shared" si="3"/>
        <v>3294.63000000001</v>
      </c>
      <c r="J64" s="56"/>
    </row>
    <row r="65" ht="20" customHeight="1" spans="2:10">
      <c r="B65" s="42">
        <v>9</v>
      </c>
      <c r="C65" s="42">
        <v>24</v>
      </c>
      <c r="D65" s="42"/>
      <c r="E65" s="95" t="s">
        <v>2449</v>
      </c>
      <c r="F65" s="95" t="s">
        <v>2450</v>
      </c>
      <c r="G65" s="56">
        <v>143.58</v>
      </c>
      <c r="H65" s="56"/>
      <c r="I65" s="58">
        <f t="shared" si="3"/>
        <v>3438.21000000001</v>
      </c>
      <c r="J65" s="56"/>
    </row>
    <row r="66" ht="20" customHeight="1" spans="2:10">
      <c r="B66" s="42">
        <v>9</v>
      </c>
      <c r="C66" s="42">
        <v>24</v>
      </c>
      <c r="D66" s="74" t="s">
        <v>69</v>
      </c>
      <c r="E66" s="95" t="s">
        <v>1809</v>
      </c>
      <c r="F66" s="95" t="s">
        <v>2427</v>
      </c>
      <c r="G66" s="56"/>
      <c r="H66" s="55">
        <v>3000</v>
      </c>
      <c r="I66" s="58">
        <f t="shared" si="3"/>
        <v>438.210000000005</v>
      </c>
      <c r="J66" s="56"/>
    </row>
    <row r="67" ht="20" customHeight="1" spans="2:10">
      <c r="B67" s="42">
        <v>9</v>
      </c>
      <c r="C67" s="42">
        <v>25</v>
      </c>
      <c r="D67" s="42"/>
      <c r="E67" s="95" t="s">
        <v>2412</v>
      </c>
      <c r="F67" s="95" t="s">
        <v>2463</v>
      </c>
      <c r="G67" s="56">
        <v>2557.8</v>
      </c>
      <c r="H67" s="56"/>
      <c r="I67" s="58">
        <f t="shared" ref="I67:I73" si="4">I66+G67-H67</f>
        <v>2996.01000000001</v>
      </c>
      <c r="J67" s="56"/>
    </row>
    <row r="68" ht="20" customHeight="1" spans="2:10">
      <c r="B68" s="42">
        <v>9</v>
      </c>
      <c r="C68" s="42">
        <v>25</v>
      </c>
      <c r="D68" s="42"/>
      <c r="E68" s="95" t="s">
        <v>2449</v>
      </c>
      <c r="F68" s="95" t="s">
        <v>2450</v>
      </c>
      <c r="G68" s="56">
        <v>138.81</v>
      </c>
      <c r="H68" s="56"/>
      <c r="I68" s="58">
        <f t="shared" si="4"/>
        <v>3134.82000000001</v>
      </c>
      <c r="J68" s="56"/>
    </row>
    <row r="69" ht="20" customHeight="1" spans="2:10">
      <c r="B69" s="42">
        <v>9</v>
      </c>
      <c r="C69" s="42">
        <v>26</v>
      </c>
      <c r="D69" s="42"/>
      <c r="E69" s="95" t="s">
        <v>2412</v>
      </c>
      <c r="F69" s="95" t="s">
        <v>2464</v>
      </c>
      <c r="G69" s="56">
        <v>35</v>
      </c>
      <c r="H69" s="56"/>
      <c r="I69" s="58">
        <f t="shared" si="4"/>
        <v>3169.82000000001</v>
      </c>
      <c r="J69" s="56"/>
    </row>
    <row r="70" ht="20" customHeight="1" spans="2:10">
      <c r="B70" s="42">
        <v>9</v>
      </c>
      <c r="C70" s="42">
        <v>26</v>
      </c>
      <c r="D70" s="42"/>
      <c r="E70" s="95" t="s">
        <v>2449</v>
      </c>
      <c r="F70" s="95" t="s">
        <v>2450</v>
      </c>
      <c r="G70" s="56">
        <v>223.56</v>
      </c>
      <c r="H70" s="56"/>
      <c r="I70" s="58">
        <f t="shared" si="4"/>
        <v>3393.38000000001</v>
      </c>
      <c r="J70" s="56"/>
    </row>
    <row r="71" ht="20" customHeight="1" spans="2:10">
      <c r="B71" s="42">
        <v>9</v>
      </c>
      <c r="C71" s="42">
        <v>27</v>
      </c>
      <c r="D71" s="42"/>
      <c r="E71" s="95" t="s">
        <v>2412</v>
      </c>
      <c r="F71" s="95" t="s">
        <v>2465</v>
      </c>
      <c r="G71" s="56">
        <v>140</v>
      </c>
      <c r="H71" s="56"/>
      <c r="I71" s="58">
        <f t="shared" si="4"/>
        <v>3533.38000000001</v>
      </c>
      <c r="J71" s="56"/>
    </row>
    <row r="72" ht="20" customHeight="1" spans="2:10">
      <c r="B72" s="42">
        <v>9</v>
      </c>
      <c r="C72" s="42">
        <v>28</v>
      </c>
      <c r="D72" s="42"/>
      <c r="E72" s="95" t="s">
        <v>2412</v>
      </c>
      <c r="F72" s="95" t="s">
        <v>2466</v>
      </c>
      <c r="G72" s="56">
        <v>37</v>
      </c>
      <c r="H72" s="56"/>
      <c r="I72" s="58">
        <f t="shared" si="4"/>
        <v>3570.38000000001</v>
      </c>
      <c r="J72" s="56"/>
    </row>
    <row r="73" ht="20" customHeight="1" spans="2:10">
      <c r="B73" s="42">
        <v>9</v>
      </c>
      <c r="C73" s="42">
        <v>28</v>
      </c>
      <c r="D73" s="42"/>
      <c r="E73" s="95" t="s">
        <v>2449</v>
      </c>
      <c r="F73" s="95" t="s">
        <v>2450</v>
      </c>
      <c r="G73" s="56">
        <v>32.11</v>
      </c>
      <c r="H73" s="56"/>
      <c r="I73" s="58">
        <f t="shared" si="4"/>
        <v>3602.49000000001</v>
      </c>
      <c r="J73" s="56"/>
    </row>
    <row r="74" ht="20" customHeight="1" spans="2:10">
      <c r="B74" s="42">
        <v>9</v>
      </c>
      <c r="C74" s="42">
        <v>28</v>
      </c>
      <c r="D74" s="42"/>
      <c r="E74" s="117" t="s">
        <v>1807</v>
      </c>
      <c r="F74" s="95" t="s">
        <v>2241</v>
      </c>
      <c r="G74" s="56"/>
      <c r="H74" s="55">
        <v>1000</v>
      </c>
      <c r="I74" s="58">
        <f t="shared" ref="I67:I95" si="5">I73+G74-H74</f>
        <v>2602.49000000001</v>
      </c>
      <c r="J74" s="56"/>
    </row>
    <row r="75" ht="20" customHeight="1" spans="2:10">
      <c r="B75" s="42">
        <v>9</v>
      </c>
      <c r="C75" s="42">
        <v>29</v>
      </c>
      <c r="D75" s="42"/>
      <c r="E75" s="95" t="s">
        <v>2449</v>
      </c>
      <c r="F75" s="95" t="s">
        <v>2450</v>
      </c>
      <c r="G75" s="56">
        <v>233.81</v>
      </c>
      <c r="H75" s="56"/>
      <c r="I75" s="58">
        <f t="shared" si="5"/>
        <v>2836.30000000001</v>
      </c>
      <c r="J75" s="56"/>
    </row>
    <row r="76" ht="20" customHeight="1" spans="2:10">
      <c r="B76" s="42">
        <v>9</v>
      </c>
      <c r="C76" s="42">
        <v>30</v>
      </c>
      <c r="D76" s="42"/>
      <c r="E76" s="95" t="s">
        <v>2412</v>
      </c>
      <c r="F76" s="95" t="s">
        <v>2467</v>
      </c>
      <c r="G76" s="56">
        <v>140</v>
      </c>
      <c r="H76" s="56"/>
      <c r="I76" s="58">
        <f t="shared" si="5"/>
        <v>2976.30000000001</v>
      </c>
      <c r="J76" s="56"/>
    </row>
    <row r="77" ht="20" customHeight="1" spans="2:10">
      <c r="B77" s="42">
        <v>9</v>
      </c>
      <c r="C77" s="42">
        <v>30</v>
      </c>
      <c r="D77" s="42"/>
      <c r="E77" s="95" t="s">
        <v>2449</v>
      </c>
      <c r="F77" s="95" t="s">
        <v>2450</v>
      </c>
      <c r="G77" s="56">
        <v>116.47</v>
      </c>
      <c r="H77" s="56"/>
      <c r="I77" s="58">
        <f t="shared" si="5"/>
        <v>3092.77000000001</v>
      </c>
      <c r="J77" s="56"/>
    </row>
    <row r="78" ht="20" customHeight="1" spans="2:10">
      <c r="B78" s="42">
        <v>9</v>
      </c>
      <c r="C78" s="42">
        <v>30</v>
      </c>
      <c r="D78" s="74" t="s">
        <v>69</v>
      </c>
      <c r="E78" s="95" t="s">
        <v>1809</v>
      </c>
      <c r="F78" s="95" t="s">
        <v>2427</v>
      </c>
      <c r="G78" s="56"/>
      <c r="H78" s="55">
        <v>3092.77</v>
      </c>
      <c r="I78" s="58">
        <f t="shared" si="5"/>
        <v>9.54969436861575e-12</v>
      </c>
      <c r="J78" s="56"/>
    </row>
    <row r="79" ht="20" customHeight="1" spans="2:10">
      <c r="B79" s="68"/>
      <c r="C79" s="68"/>
      <c r="D79" s="68"/>
      <c r="E79" s="69"/>
      <c r="F79" s="70" t="s">
        <v>22</v>
      </c>
      <c r="G79" s="134">
        <f>SUM(G31:G78)</f>
        <v>21597.97</v>
      </c>
      <c r="H79" s="134">
        <f>SUM(H31:H78)</f>
        <v>26092.77</v>
      </c>
      <c r="I79" s="72">
        <f>I30+G79-H79</f>
        <v>0</v>
      </c>
      <c r="J79" s="71"/>
    </row>
    <row r="80" ht="20" customHeight="1" spans="2:10">
      <c r="B80" s="42">
        <v>10</v>
      </c>
      <c r="C80" s="42">
        <v>1</v>
      </c>
      <c r="D80" s="42"/>
      <c r="E80" s="95" t="s">
        <v>2412</v>
      </c>
      <c r="F80" s="95" t="s">
        <v>2468</v>
      </c>
      <c r="G80" s="56">
        <v>41</v>
      </c>
      <c r="H80" s="56"/>
      <c r="I80" s="58">
        <f>I79+G80-H80</f>
        <v>41</v>
      </c>
      <c r="J80" s="56"/>
    </row>
    <row r="81" ht="20" customHeight="1" spans="2:10">
      <c r="B81" s="42">
        <v>10</v>
      </c>
      <c r="C81" s="42">
        <v>1</v>
      </c>
      <c r="D81" s="42"/>
      <c r="E81" s="95" t="s">
        <v>2449</v>
      </c>
      <c r="F81" s="95" t="s">
        <v>2450</v>
      </c>
      <c r="G81" s="56">
        <v>500.65</v>
      </c>
      <c r="H81" s="56"/>
      <c r="I81" s="58">
        <f t="shared" si="5"/>
        <v>541.65</v>
      </c>
      <c r="J81" s="56"/>
    </row>
    <row r="82" ht="20" customHeight="1" spans="2:10">
      <c r="B82" s="42">
        <v>10</v>
      </c>
      <c r="C82" s="42">
        <v>2</v>
      </c>
      <c r="D82" s="42"/>
      <c r="E82" s="95" t="s">
        <v>2412</v>
      </c>
      <c r="F82" s="95" t="s">
        <v>2469</v>
      </c>
      <c r="G82" s="56">
        <v>93</v>
      </c>
      <c r="H82" s="56"/>
      <c r="I82" s="58">
        <f t="shared" si="5"/>
        <v>634.65</v>
      </c>
      <c r="J82" s="56"/>
    </row>
    <row r="83" ht="20" customHeight="1" spans="2:10">
      <c r="B83" s="42">
        <v>10</v>
      </c>
      <c r="C83" s="42">
        <v>2</v>
      </c>
      <c r="D83" s="42"/>
      <c r="E83" s="95" t="s">
        <v>2449</v>
      </c>
      <c r="F83" s="95" t="s">
        <v>2450</v>
      </c>
      <c r="G83" s="56">
        <v>111.47</v>
      </c>
      <c r="H83" s="56"/>
      <c r="I83" s="58">
        <f t="shared" si="5"/>
        <v>746.12</v>
      </c>
      <c r="J83" s="56"/>
    </row>
    <row r="84" ht="20" customHeight="1" spans="2:10">
      <c r="B84" s="42">
        <v>10</v>
      </c>
      <c r="C84" s="42">
        <v>3</v>
      </c>
      <c r="D84" s="42"/>
      <c r="E84" s="95" t="s">
        <v>2412</v>
      </c>
      <c r="F84" s="95" t="s">
        <v>2470</v>
      </c>
      <c r="G84" s="56">
        <v>107</v>
      </c>
      <c r="H84" s="56"/>
      <c r="I84" s="58">
        <f t="shared" si="5"/>
        <v>853.12</v>
      </c>
      <c r="J84" s="56"/>
    </row>
    <row r="85" ht="20" customHeight="1" spans="2:10">
      <c r="B85" s="42">
        <v>10</v>
      </c>
      <c r="C85" s="42">
        <v>4</v>
      </c>
      <c r="D85" s="42"/>
      <c r="E85" s="95" t="s">
        <v>2412</v>
      </c>
      <c r="F85" s="95" t="s">
        <v>2471</v>
      </c>
      <c r="G85" s="56">
        <v>448</v>
      </c>
      <c r="H85" s="56"/>
      <c r="I85" s="58">
        <f t="shared" si="5"/>
        <v>1301.12</v>
      </c>
      <c r="J85" s="56"/>
    </row>
    <row r="86" ht="20" customHeight="1" spans="2:10">
      <c r="B86" s="42">
        <v>10</v>
      </c>
      <c r="C86" s="42">
        <v>5</v>
      </c>
      <c r="D86" s="42"/>
      <c r="E86" s="95" t="s">
        <v>2412</v>
      </c>
      <c r="F86" s="95" t="s">
        <v>2472</v>
      </c>
      <c r="G86" s="56">
        <v>48.5</v>
      </c>
      <c r="H86" s="56"/>
      <c r="I86" s="58">
        <f t="shared" si="5"/>
        <v>1349.62</v>
      </c>
      <c r="J86" s="56"/>
    </row>
    <row r="87" ht="20" customHeight="1" spans="2:10">
      <c r="B87" s="42">
        <v>10</v>
      </c>
      <c r="C87" s="42">
        <v>5</v>
      </c>
      <c r="D87" s="42"/>
      <c r="E87" s="95" t="s">
        <v>2449</v>
      </c>
      <c r="F87" s="95" t="s">
        <v>2450</v>
      </c>
      <c r="G87" s="56">
        <v>243.7</v>
      </c>
      <c r="H87" s="56"/>
      <c r="I87" s="58">
        <f t="shared" si="5"/>
        <v>1593.32</v>
      </c>
      <c r="J87" s="56"/>
    </row>
    <row r="88" ht="20" customHeight="1" spans="2:10">
      <c r="B88" s="42">
        <v>10</v>
      </c>
      <c r="C88" s="42">
        <v>6</v>
      </c>
      <c r="D88" s="42"/>
      <c r="E88" s="95" t="s">
        <v>2412</v>
      </c>
      <c r="F88" s="95" t="s">
        <v>2473</v>
      </c>
      <c r="G88" s="56">
        <v>231.8</v>
      </c>
      <c r="H88" s="56"/>
      <c r="I88" s="58">
        <f t="shared" si="5"/>
        <v>1825.12</v>
      </c>
      <c r="J88" s="56"/>
    </row>
    <row r="89" ht="20" customHeight="1" spans="2:10">
      <c r="B89" s="42">
        <v>10</v>
      </c>
      <c r="C89" s="42">
        <v>6</v>
      </c>
      <c r="D89" s="42"/>
      <c r="E89" s="95" t="s">
        <v>2449</v>
      </c>
      <c r="F89" s="95" t="s">
        <v>2450</v>
      </c>
      <c r="G89" s="56">
        <v>542.9</v>
      </c>
      <c r="H89" s="56"/>
      <c r="I89" s="58">
        <f t="shared" si="5"/>
        <v>2368.02</v>
      </c>
      <c r="J89" s="56"/>
    </row>
    <row r="90" ht="20" customHeight="1" spans="2:10">
      <c r="B90" s="42">
        <v>10</v>
      </c>
      <c r="C90" s="42">
        <v>7</v>
      </c>
      <c r="D90" s="42"/>
      <c r="E90" s="95" t="s">
        <v>2412</v>
      </c>
      <c r="F90" s="95" t="s">
        <v>2474</v>
      </c>
      <c r="G90" s="56">
        <v>114</v>
      </c>
      <c r="H90" s="56"/>
      <c r="I90" s="58">
        <f t="shared" si="5"/>
        <v>2482.02</v>
      </c>
      <c r="J90" s="56"/>
    </row>
    <row r="91" ht="20" customHeight="1" spans="2:10">
      <c r="B91" s="42">
        <v>10</v>
      </c>
      <c r="C91" s="42">
        <v>8</v>
      </c>
      <c r="D91" s="42"/>
      <c r="E91" s="95" t="s">
        <v>2412</v>
      </c>
      <c r="F91" s="95" t="s">
        <v>2475</v>
      </c>
      <c r="G91" s="56">
        <v>35</v>
      </c>
      <c r="H91" s="56"/>
      <c r="I91" s="58">
        <f t="shared" si="5"/>
        <v>2517.02</v>
      </c>
      <c r="J91" s="56"/>
    </row>
    <row r="92" ht="20" customHeight="1" spans="2:10">
      <c r="B92" s="42">
        <v>10</v>
      </c>
      <c r="C92" s="42">
        <v>8</v>
      </c>
      <c r="D92" s="42"/>
      <c r="E92" s="95" t="s">
        <v>2449</v>
      </c>
      <c r="F92" s="95" t="s">
        <v>2450</v>
      </c>
      <c r="G92" s="56">
        <v>331.59</v>
      </c>
      <c r="H92" s="56"/>
      <c r="I92" s="58">
        <f t="shared" si="5"/>
        <v>2848.61</v>
      </c>
      <c r="J92" s="56"/>
    </row>
    <row r="93" ht="20" customHeight="1" spans="2:10">
      <c r="B93" s="42">
        <v>10</v>
      </c>
      <c r="C93" s="42">
        <v>9</v>
      </c>
      <c r="D93" s="42"/>
      <c r="E93" s="95" t="s">
        <v>2412</v>
      </c>
      <c r="F93" s="95" t="s">
        <v>2476</v>
      </c>
      <c r="G93" s="56">
        <v>450.5</v>
      </c>
      <c r="H93" s="56"/>
      <c r="I93" s="58">
        <f t="shared" si="5"/>
        <v>3299.11</v>
      </c>
      <c r="J93" s="56"/>
    </row>
    <row r="94" ht="20" customHeight="1" spans="2:10">
      <c r="B94" s="42">
        <v>10</v>
      </c>
      <c r="C94" s="42">
        <v>9</v>
      </c>
      <c r="D94" s="42"/>
      <c r="E94" s="95" t="s">
        <v>2449</v>
      </c>
      <c r="F94" s="95" t="s">
        <v>2450</v>
      </c>
      <c r="G94" s="56">
        <v>294.74</v>
      </c>
      <c r="H94" s="56"/>
      <c r="I94" s="58">
        <f t="shared" si="5"/>
        <v>3593.85</v>
      </c>
      <c r="J94" s="56"/>
    </row>
    <row r="95" ht="20" customHeight="1" spans="2:10">
      <c r="B95" s="42">
        <v>10</v>
      </c>
      <c r="C95" s="42">
        <v>10</v>
      </c>
      <c r="D95" s="42"/>
      <c r="E95" s="95" t="s">
        <v>2412</v>
      </c>
      <c r="F95" s="95" t="s">
        <v>2477</v>
      </c>
      <c r="G95" s="56">
        <v>2</v>
      </c>
      <c r="H95" s="56"/>
      <c r="I95" s="58">
        <f t="shared" si="5"/>
        <v>3595.85</v>
      </c>
      <c r="J95" s="56"/>
    </row>
    <row r="96" ht="20" customHeight="1" spans="2:10">
      <c r="B96" s="42">
        <v>10</v>
      </c>
      <c r="C96" s="42">
        <v>10</v>
      </c>
      <c r="D96" s="42"/>
      <c r="E96" s="95" t="s">
        <v>2449</v>
      </c>
      <c r="F96" s="95" t="s">
        <v>2450</v>
      </c>
      <c r="G96" s="56">
        <v>343.9</v>
      </c>
      <c r="H96" s="56"/>
      <c r="I96" s="58">
        <f t="shared" ref="I91:I118" si="6">I95+G96-H96</f>
        <v>3939.75</v>
      </c>
      <c r="J96" s="56"/>
    </row>
    <row r="97" ht="20" customHeight="1" spans="2:10">
      <c r="B97" s="42">
        <v>10</v>
      </c>
      <c r="C97" s="42">
        <v>11</v>
      </c>
      <c r="D97" s="42"/>
      <c r="E97" s="95" t="s">
        <v>2412</v>
      </c>
      <c r="F97" s="45" t="s">
        <v>2478</v>
      </c>
      <c r="G97" s="56">
        <v>238</v>
      </c>
      <c r="H97" s="56"/>
      <c r="I97" s="58">
        <f t="shared" si="6"/>
        <v>4177.75</v>
      </c>
      <c r="J97" s="56"/>
    </row>
    <row r="98" ht="20" customHeight="1" spans="2:10">
      <c r="B98" s="42">
        <v>10</v>
      </c>
      <c r="C98" s="42">
        <v>11</v>
      </c>
      <c r="D98" s="42"/>
      <c r="E98" s="95" t="s">
        <v>2449</v>
      </c>
      <c r="F98" s="45" t="s">
        <v>2450</v>
      </c>
      <c r="G98" s="56">
        <v>32.11</v>
      </c>
      <c r="H98" s="56"/>
      <c r="I98" s="58">
        <f t="shared" si="6"/>
        <v>4209.86</v>
      </c>
      <c r="J98" s="56"/>
    </row>
    <row r="99" ht="20" customHeight="1" spans="2:10">
      <c r="B99" s="42">
        <v>10</v>
      </c>
      <c r="C99" s="42">
        <v>12</v>
      </c>
      <c r="D99" s="42"/>
      <c r="E99" s="95" t="s">
        <v>2412</v>
      </c>
      <c r="F99" s="45" t="s">
        <v>2479</v>
      </c>
      <c r="G99" s="56">
        <v>554</v>
      </c>
      <c r="H99" s="56"/>
      <c r="I99" s="58">
        <f t="shared" si="6"/>
        <v>4763.86</v>
      </c>
      <c r="J99" s="56"/>
    </row>
    <row r="100" ht="20" customHeight="1" spans="2:10">
      <c r="B100" s="42">
        <v>10</v>
      </c>
      <c r="C100" s="42">
        <v>12</v>
      </c>
      <c r="D100" s="42"/>
      <c r="E100" s="95" t="s">
        <v>2449</v>
      </c>
      <c r="F100" s="45" t="s">
        <v>2450</v>
      </c>
      <c r="G100" s="56">
        <v>174.48</v>
      </c>
      <c r="H100" s="56"/>
      <c r="I100" s="58">
        <f t="shared" si="6"/>
        <v>4938.34</v>
      </c>
      <c r="J100" s="56"/>
    </row>
    <row r="101" ht="20" customHeight="1" spans="2:10">
      <c r="B101" s="42"/>
      <c r="C101" s="42"/>
      <c r="D101" s="42"/>
      <c r="E101" s="42"/>
      <c r="F101" s="45"/>
      <c r="G101" s="56"/>
      <c r="H101" s="56"/>
      <c r="I101" s="58">
        <f t="shared" si="6"/>
        <v>4938.34</v>
      </c>
      <c r="J101" s="56"/>
    </row>
    <row r="102" ht="20" customHeight="1" spans="2:10">
      <c r="B102" s="42"/>
      <c r="C102" s="42"/>
      <c r="D102" s="42"/>
      <c r="E102" s="42"/>
      <c r="F102" s="45"/>
      <c r="G102" s="56"/>
      <c r="H102" s="56"/>
      <c r="I102" s="58">
        <f t="shared" si="6"/>
        <v>4938.34</v>
      </c>
      <c r="J102" s="56"/>
    </row>
    <row r="103" ht="20" customHeight="1" spans="2:10">
      <c r="B103" s="42"/>
      <c r="C103" s="42"/>
      <c r="D103" s="42"/>
      <c r="E103" s="42"/>
      <c r="F103" s="54"/>
      <c r="G103" s="56"/>
      <c r="H103" s="56"/>
      <c r="I103" s="58">
        <f t="shared" si="6"/>
        <v>4938.34</v>
      </c>
      <c r="J103" s="56"/>
    </row>
    <row r="104" ht="20" customHeight="1" spans="2:10">
      <c r="B104" s="42"/>
      <c r="C104" s="42"/>
      <c r="D104" s="42"/>
      <c r="E104" s="42"/>
      <c r="F104" s="54"/>
      <c r="G104" s="56"/>
      <c r="H104" s="56"/>
      <c r="I104" s="58">
        <f t="shared" si="6"/>
        <v>4938.34</v>
      </c>
      <c r="J104" s="56"/>
    </row>
    <row r="105" ht="20" customHeight="1" spans="2:10">
      <c r="B105" s="42"/>
      <c r="C105" s="42"/>
      <c r="D105" s="42"/>
      <c r="E105" s="42"/>
      <c r="F105" s="54"/>
      <c r="G105" s="56"/>
      <c r="H105" s="56"/>
      <c r="I105" s="58">
        <f t="shared" si="6"/>
        <v>4938.34</v>
      </c>
      <c r="J105" s="56"/>
    </row>
    <row r="106" ht="20" customHeight="1" spans="2:10">
      <c r="B106" s="42"/>
      <c r="C106" s="42"/>
      <c r="D106" s="42"/>
      <c r="E106" s="54"/>
      <c r="F106" s="54"/>
      <c r="G106" s="56"/>
      <c r="H106" s="56"/>
      <c r="I106" s="58">
        <f t="shared" si="6"/>
        <v>4938.34</v>
      </c>
      <c r="J106" s="56"/>
    </row>
    <row r="107" ht="20" customHeight="1" spans="2:10">
      <c r="B107" s="42"/>
      <c r="C107" s="42"/>
      <c r="D107" s="42"/>
      <c r="E107" s="42"/>
      <c r="F107" s="42"/>
      <c r="G107" s="56"/>
      <c r="H107" s="56"/>
      <c r="I107" s="58">
        <f t="shared" si="6"/>
        <v>4938.34</v>
      </c>
      <c r="J107" s="56"/>
    </row>
    <row r="108" ht="20" customHeight="1" spans="2:10">
      <c r="B108" s="42"/>
      <c r="C108" s="42"/>
      <c r="D108" s="42"/>
      <c r="E108" s="42"/>
      <c r="F108" s="54"/>
      <c r="G108" s="56"/>
      <c r="H108" s="56"/>
      <c r="I108" s="58">
        <f t="shared" si="6"/>
        <v>4938.34</v>
      </c>
      <c r="J108" s="56"/>
    </row>
    <row r="109" ht="20" customHeight="1" spans="2:10">
      <c r="B109" s="42"/>
      <c r="C109" s="42"/>
      <c r="D109" s="42"/>
      <c r="E109" s="42"/>
      <c r="F109" s="54"/>
      <c r="G109" s="56"/>
      <c r="H109" s="56"/>
      <c r="I109" s="58">
        <f t="shared" si="6"/>
        <v>4938.34</v>
      </c>
      <c r="J109" s="56"/>
    </row>
    <row r="110" ht="20" customHeight="1" spans="2:10">
      <c r="B110" s="42"/>
      <c r="C110" s="42"/>
      <c r="D110" s="42"/>
      <c r="E110" s="42"/>
      <c r="F110" s="54"/>
      <c r="G110" s="56"/>
      <c r="H110" s="56"/>
      <c r="I110" s="58">
        <f t="shared" si="6"/>
        <v>4938.34</v>
      </c>
      <c r="J110" s="56"/>
    </row>
    <row r="111" ht="20" customHeight="1" spans="2:10">
      <c r="B111" s="42"/>
      <c r="C111" s="42"/>
      <c r="D111" s="42"/>
      <c r="E111" s="42"/>
      <c r="F111" s="54"/>
      <c r="G111" s="56"/>
      <c r="H111" s="56"/>
      <c r="I111" s="58">
        <f t="shared" si="6"/>
        <v>4938.34</v>
      </c>
      <c r="J111" s="56"/>
    </row>
    <row r="112" ht="20" customHeight="1" spans="2:10">
      <c r="B112" s="42"/>
      <c r="C112" s="42"/>
      <c r="D112" s="42"/>
      <c r="E112" s="42"/>
      <c r="F112" s="54"/>
      <c r="G112" s="56"/>
      <c r="H112" s="56"/>
      <c r="I112" s="58">
        <f t="shared" si="6"/>
        <v>4938.34</v>
      </c>
      <c r="J112" s="56"/>
    </row>
    <row r="113" ht="20" customHeight="1" spans="2:10">
      <c r="B113" s="42"/>
      <c r="C113" s="42"/>
      <c r="D113" s="42"/>
      <c r="E113" s="54"/>
      <c r="F113" s="54"/>
      <c r="G113" s="56"/>
      <c r="H113" s="56"/>
      <c r="I113" s="58">
        <f t="shared" si="6"/>
        <v>4938.34</v>
      </c>
      <c r="J113" s="56"/>
    </row>
    <row r="114" ht="20" customHeight="1" spans="2:10">
      <c r="B114" s="42"/>
      <c r="C114" s="42"/>
      <c r="D114" s="42"/>
      <c r="E114" s="42"/>
      <c r="F114" s="54"/>
      <c r="G114" s="56"/>
      <c r="H114" s="56"/>
      <c r="I114" s="58">
        <f t="shared" si="6"/>
        <v>4938.34</v>
      </c>
      <c r="J114" s="56"/>
    </row>
    <row r="115" ht="20" customHeight="1" spans="2:10">
      <c r="B115" s="42"/>
      <c r="C115" s="42"/>
      <c r="D115" s="42"/>
      <c r="E115" s="44"/>
      <c r="F115" s="136"/>
      <c r="G115" s="56"/>
      <c r="H115" s="56"/>
      <c r="I115" s="58">
        <f t="shared" si="6"/>
        <v>4938.34</v>
      </c>
      <c r="J115" s="56"/>
    </row>
    <row r="116" ht="20" customHeight="1" spans="2:10">
      <c r="B116" s="42"/>
      <c r="C116" s="42"/>
      <c r="D116" s="42"/>
      <c r="E116" s="95"/>
      <c r="F116" s="95"/>
      <c r="G116" s="56"/>
      <c r="H116" s="56"/>
      <c r="I116" s="58">
        <f t="shared" si="6"/>
        <v>4938.34</v>
      </c>
      <c r="J116" s="56"/>
    </row>
    <row r="117" ht="20" customHeight="1" spans="2:10">
      <c r="B117" s="42"/>
      <c r="C117" s="42"/>
      <c r="D117" s="42"/>
      <c r="E117" s="95"/>
      <c r="F117" s="95"/>
      <c r="G117" s="56"/>
      <c r="H117" s="56"/>
      <c r="I117" s="58">
        <f t="shared" si="6"/>
        <v>4938.34</v>
      </c>
      <c r="J117" s="56"/>
    </row>
    <row r="118" ht="20" customHeight="1" spans="2:10">
      <c r="B118" s="42"/>
      <c r="C118" s="42"/>
      <c r="D118" s="42"/>
      <c r="E118" s="95"/>
      <c r="F118" s="95"/>
      <c r="G118" s="56"/>
      <c r="H118" s="56"/>
      <c r="I118" s="58">
        <f t="shared" si="6"/>
        <v>4938.34</v>
      </c>
      <c r="J118" s="56"/>
    </row>
    <row r="119" ht="20" customHeight="1" spans="2:10">
      <c r="B119" s="42"/>
      <c r="C119" s="42"/>
      <c r="D119" s="42"/>
      <c r="E119" s="44"/>
      <c r="F119" s="45"/>
      <c r="G119" s="56"/>
      <c r="H119" s="56"/>
      <c r="I119" s="58">
        <f t="shared" ref="I115:I138" si="7">I118+G119-H119</f>
        <v>4938.34</v>
      </c>
      <c r="J119" s="56"/>
    </row>
    <row r="120" ht="20" customHeight="1" spans="2:10">
      <c r="B120" s="42"/>
      <c r="C120" s="42"/>
      <c r="D120" s="42"/>
      <c r="E120" s="95"/>
      <c r="F120" s="95"/>
      <c r="G120" s="56"/>
      <c r="H120" s="56"/>
      <c r="I120" s="58">
        <f t="shared" si="7"/>
        <v>4938.34</v>
      </c>
      <c r="J120" s="56"/>
    </row>
    <row r="121" ht="20" customHeight="1" spans="2:10">
      <c r="B121" s="42"/>
      <c r="C121" s="42"/>
      <c r="D121" s="42"/>
      <c r="E121" s="44"/>
      <c r="F121" s="45"/>
      <c r="G121" s="56"/>
      <c r="H121" s="56"/>
      <c r="I121" s="58">
        <f t="shared" si="7"/>
        <v>4938.34</v>
      </c>
      <c r="J121" s="56"/>
    </row>
    <row r="122" ht="20" customHeight="1" spans="2:10">
      <c r="B122" s="42"/>
      <c r="C122" s="42"/>
      <c r="D122" s="42"/>
      <c r="E122" s="45"/>
      <c r="F122" s="45"/>
      <c r="G122" s="56"/>
      <c r="H122" s="56"/>
      <c r="I122" s="58">
        <f t="shared" si="7"/>
        <v>4938.34</v>
      </c>
      <c r="J122" s="56"/>
    </row>
    <row r="123" ht="20" customHeight="1" spans="2:10">
      <c r="B123" s="42"/>
      <c r="C123" s="42"/>
      <c r="D123" s="42"/>
      <c r="E123" s="44"/>
      <c r="F123" s="45"/>
      <c r="G123" s="56"/>
      <c r="H123" s="56"/>
      <c r="I123" s="58">
        <f t="shared" si="7"/>
        <v>4938.34</v>
      </c>
      <c r="J123" s="56"/>
    </row>
    <row r="124" ht="20" customHeight="1" spans="2:10">
      <c r="B124" s="42"/>
      <c r="C124" s="42"/>
      <c r="D124" s="42"/>
      <c r="E124" s="117"/>
      <c r="F124" s="45"/>
      <c r="G124" s="56"/>
      <c r="H124" s="56"/>
      <c r="I124" s="58">
        <f t="shared" si="7"/>
        <v>4938.34</v>
      </c>
      <c r="J124" s="56"/>
    </row>
    <row r="125" ht="20" customHeight="1" spans="2:10">
      <c r="B125" s="42"/>
      <c r="C125" s="42"/>
      <c r="D125" s="42"/>
      <c r="E125" s="42"/>
      <c r="F125" s="45"/>
      <c r="G125" s="56"/>
      <c r="H125" s="56"/>
      <c r="I125" s="58">
        <f t="shared" si="7"/>
        <v>4938.34</v>
      </c>
      <c r="J125" s="56"/>
    </row>
    <row r="126" ht="20" customHeight="1" spans="2:10">
      <c r="B126" s="42"/>
      <c r="C126" s="42"/>
      <c r="D126" s="42"/>
      <c r="E126" s="42"/>
      <c r="F126" s="45"/>
      <c r="G126" s="56"/>
      <c r="H126" s="56"/>
      <c r="I126" s="58">
        <f t="shared" si="7"/>
        <v>4938.34</v>
      </c>
      <c r="J126" s="56"/>
    </row>
    <row r="127" ht="20" customHeight="1" spans="2:10">
      <c r="B127" s="42"/>
      <c r="C127" s="42"/>
      <c r="D127" s="42"/>
      <c r="E127" s="42"/>
      <c r="F127" s="54"/>
      <c r="G127" s="56"/>
      <c r="H127" s="56"/>
      <c r="I127" s="58">
        <f t="shared" si="7"/>
        <v>4938.34</v>
      </c>
      <c r="J127" s="56"/>
    </row>
    <row r="128" ht="20" customHeight="1" spans="2:10">
      <c r="B128" s="42"/>
      <c r="C128" s="42"/>
      <c r="D128" s="42"/>
      <c r="E128" s="42"/>
      <c r="F128" s="54"/>
      <c r="G128" s="56"/>
      <c r="H128" s="56"/>
      <c r="I128" s="58">
        <f t="shared" si="7"/>
        <v>4938.34</v>
      </c>
      <c r="J128" s="56"/>
    </row>
    <row r="129" ht="20" customHeight="1" spans="2:10">
      <c r="B129" s="42"/>
      <c r="C129" s="42"/>
      <c r="D129" s="42"/>
      <c r="E129" s="42"/>
      <c r="F129" s="54"/>
      <c r="G129" s="56"/>
      <c r="H129" s="56"/>
      <c r="I129" s="58">
        <f t="shared" si="7"/>
        <v>4938.34</v>
      </c>
      <c r="J129" s="56"/>
    </row>
    <row r="130" ht="20" customHeight="1" spans="2:10">
      <c r="B130" s="42"/>
      <c r="C130" s="42"/>
      <c r="D130" s="42"/>
      <c r="E130" s="54"/>
      <c r="F130" s="54"/>
      <c r="G130" s="56"/>
      <c r="H130" s="56"/>
      <c r="I130" s="58">
        <f t="shared" si="7"/>
        <v>4938.34</v>
      </c>
      <c r="J130" s="56"/>
    </row>
    <row r="131" ht="20" customHeight="1" spans="2:10">
      <c r="B131" s="42"/>
      <c r="C131" s="42"/>
      <c r="D131" s="42"/>
      <c r="E131" s="42"/>
      <c r="F131" s="42"/>
      <c r="G131" s="56"/>
      <c r="H131" s="56"/>
      <c r="I131" s="58">
        <f t="shared" si="7"/>
        <v>4938.34</v>
      </c>
      <c r="J131" s="56"/>
    </row>
    <row r="132" ht="20" customHeight="1" spans="2:10">
      <c r="B132" s="42"/>
      <c r="C132" s="42"/>
      <c r="D132" s="42"/>
      <c r="E132" s="42"/>
      <c r="F132" s="54"/>
      <c r="G132" s="56"/>
      <c r="H132" s="56"/>
      <c r="I132" s="58">
        <f t="shared" si="7"/>
        <v>4938.34</v>
      </c>
      <c r="J132" s="56"/>
    </row>
    <row r="133" ht="20" customHeight="1" spans="2:10">
      <c r="B133" s="42"/>
      <c r="C133" s="42"/>
      <c r="D133" s="42"/>
      <c r="E133" s="42"/>
      <c r="F133" s="54"/>
      <c r="G133" s="56"/>
      <c r="H133" s="56"/>
      <c r="I133" s="58">
        <f t="shared" si="7"/>
        <v>4938.34</v>
      </c>
      <c r="J133" s="56"/>
    </row>
    <row r="134" ht="20" customHeight="1" spans="2:10">
      <c r="B134" s="42"/>
      <c r="C134" s="42"/>
      <c r="D134" s="42"/>
      <c r="E134" s="42"/>
      <c r="F134" s="54"/>
      <c r="G134" s="56"/>
      <c r="H134" s="56"/>
      <c r="I134" s="58">
        <f t="shared" si="7"/>
        <v>4938.34</v>
      </c>
      <c r="J134" s="56"/>
    </row>
    <row r="135" ht="20" customHeight="1" spans="2:10">
      <c r="B135" s="42"/>
      <c r="C135" s="42"/>
      <c r="D135" s="42"/>
      <c r="E135" s="42"/>
      <c r="F135" s="54"/>
      <c r="G135" s="56"/>
      <c r="H135" s="56"/>
      <c r="I135" s="58">
        <f t="shared" si="7"/>
        <v>4938.34</v>
      </c>
      <c r="J135" s="56"/>
    </row>
    <row r="136" ht="20" customHeight="1" spans="2:10">
      <c r="B136" s="42"/>
      <c r="C136" s="42"/>
      <c r="D136" s="42"/>
      <c r="E136" s="42"/>
      <c r="F136" s="54"/>
      <c r="G136" s="56"/>
      <c r="H136" s="56"/>
      <c r="I136" s="58">
        <f t="shared" si="7"/>
        <v>4938.34</v>
      </c>
      <c r="J136" s="56"/>
    </row>
    <row r="137" ht="20" customHeight="1" spans="2:10">
      <c r="B137" s="42"/>
      <c r="C137" s="42"/>
      <c r="D137" s="42"/>
      <c r="E137" s="54"/>
      <c r="F137" s="54"/>
      <c r="G137" s="56"/>
      <c r="H137" s="56"/>
      <c r="I137" s="58">
        <f t="shared" si="7"/>
        <v>4938.34</v>
      </c>
      <c r="J137" s="56"/>
    </row>
    <row r="138" ht="20" customHeight="1" spans="2:10">
      <c r="B138" s="42"/>
      <c r="C138" s="42"/>
      <c r="D138" s="42"/>
      <c r="E138" s="42"/>
      <c r="F138" s="54"/>
      <c r="G138" s="56"/>
      <c r="H138" s="56"/>
      <c r="I138" s="58">
        <f t="shared" si="7"/>
        <v>4938.34</v>
      </c>
      <c r="J138" s="56"/>
    </row>
    <row r="139" ht="20" customHeight="1" spans="2:10">
      <c r="B139" s="42"/>
      <c r="C139" s="42"/>
      <c r="D139" s="42"/>
      <c r="E139" s="44"/>
      <c r="F139" s="136"/>
      <c r="G139" s="56"/>
      <c r="H139" s="56"/>
      <c r="I139" s="58">
        <f>I17+G139-H139</f>
        <v>11956</v>
      </c>
      <c r="J139" s="56"/>
    </row>
    <row r="140" ht="20" customHeight="1" spans="2:10">
      <c r="B140" s="42"/>
      <c r="C140" s="42"/>
      <c r="D140" s="42"/>
      <c r="E140" s="95"/>
      <c r="F140" s="95"/>
      <c r="G140" s="56"/>
      <c r="H140" s="56"/>
      <c r="I140" s="58">
        <f t="shared" ref="I139:I162" si="8">I139+G140-H140</f>
        <v>11956</v>
      </c>
      <c r="J140" s="56"/>
    </row>
    <row r="141" ht="20" customHeight="1" spans="2:10">
      <c r="B141" s="42"/>
      <c r="C141" s="42"/>
      <c r="D141" s="42"/>
      <c r="E141" s="95"/>
      <c r="F141" s="95"/>
      <c r="G141" s="56"/>
      <c r="H141" s="56"/>
      <c r="I141" s="58">
        <f t="shared" si="8"/>
        <v>11956</v>
      </c>
      <c r="J141" s="56"/>
    </row>
    <row r="142" ht="20" customHeight="1" spans="2:10">
      <c r="B142" s="42"/>
      <c r="C142" s="42"/>
      <c r="D142" s="42"/>
      <c r="E142" s="95"/>
      <c r="F142" s="95"/>
      <c r="G142" s="56"/>
      <c r="H142" s="56"/>
      <c r="I142" s="58">
        <f t="shared" si="8"/>
        <v>11956</v>
      </c>
      <c r="J142" s="56"/>
    </row>
    <row r="143" ht="20" customHeight="1" spans="2:10">
      <c r="B143" s="42"/>
      <c r="C143" s="42"/>
      <c r="D143" s="42"/>
      <c r="E143" s="44"/>
      <c r="F143" s="45"/>
      <c r="G143" s="56"/>
      <c r="H143" s="56"/>
      <c r="I143" s="58">
        <f t="shared" si="8"/>
        <v>11956</v>
      </c>
      <c r="J143" s="56"/>
    </row>
    <row r="144" ht="20" customHeight="1" spans="2:10">
      <c r="B144" s="42"/>
      <c r="C144" s="42"/>
      <c r="D144" s="42"/>
      <c r="E144" s="95"/>
      <c r="F144" s="95"/>
      <c r="G144" s="56"/>
      <c r="H144" s="56"/>
      <c r="I144" s="58">
        <f t="shared" si="8"/>
        <v>11956</v>
      </c>
      <c r="J144" s="56"/>
    </row>
    <row r="145" ht="20" customHeight="1" spans="2:10">
      <c r="B145" s="42"/>
      <c r="C145" s="42"/>
      <c r="D145" s="42"/>
      <c r="E145" s="44"/>
      <c r="F145" s="45"/>
      <c r="G145" s="56"/>
      <c r="H145" s="56"/>
      <c r="I145" s="58">
        <f t="shared" si="8"/>
        <v>11956</v>
      </c>
      <c r="J145" s="56"/>
    </row>
    <row r="146" ht="20" customHeight="1" spans="2:10">
      <c r="B146" s="42"/>
      <c r="C146" s="42"/>
      <c r="D146" s="42"/>
      <c r="E146" s="45"/>
      <c r="F146" s="45"/>
      <c r="G146" s="56"/>
      <c r="H146" s="56"/>
      <c r="I146" s="58">
        <f t="shared" si="8"/>
        <v>11956</v>
      </c>
      <c r="J146" s="56"/>
    </row>
    <row r="147" ht="20" customHeight="1" spans="2:10">
      <c r="B147" s="42"/>
      <c r="C147" s="42"/>
      <c r="D147" s="42"/>
      <c r="E147" s="44"/>
      <c r="F147" s="45"/>
      <c r="G147" s="56"/>
      <c r="H147" s="56"/>
      <c r="I147" s="58">
        <f t="shared" si="8"/>
        <v>11956</v>
      </c>
      <c r="J147" s="56"/>
    </row>
    <row r="148" ht="20" customHeight="1" spans="2:10">
      <c r="B148" s="42"/>
      <c r="C148" s="42"/>
      <c r="D148" s="42"/>
      <c r="E148" s="117"/>
      <c r="F148" s="45"/>
      <c r="G148" s="56"/>
      <c r="H148" s="56"/>
      <c r="I148" s="58">
        <f t="shared" si="8"/>
        <v>11956</v>
      </c>
      <c r="J148" s="56"/>
    </row>
    <row r="149" ht="20" customHeight="1" spans="2:10">
      <c r="B149" s="42"/>
      <c r="C149" s="42"/>
      <c r="D149" s="42"/>
      <c r="E149" s="42"/>
      <c r="F149" s="45"/>
      <c r="G149" s="56"/>
      <c r="H149" s="56"/>
      <c r="I149" s="58">
        <f t="shared" si="8"/>
        <v>11956</v>
      </c>
      <c r="J149" s="56"/>
    </row>
    <row r="150" ht="20" customHeight="1" spans="2:10">
      <c r="B150" s="42"/>
      <c r="C150" s="42"/>
      <c r="D150" s="42"/>
      <c r="E150" s="42"/>
      <c r="F150" s="45"/>
      <c r="G150" s="56"/>
      <c r="H150" s="56"/>
      <c r="I150" s="58">
        <f t="shared" si="8"/>
        <v>11956</v>
      </c>
      <c r="J150" s="56"/>
    </row>
    <row r="151" ht="20" customHeight="1" spans="2:10">
      <c r="B151" s="42"/>
      <c r="C151" s="42"/>
      <c r="D151" s="42"/>
      <c r="E151" s="42"/>
      <c r="F151" s="54"/>
      <c r="G151" s="56"/>
      <c r="H151" s="56"/>
      <c r="I151" s="58">
        <f t="shared" si="8"/>
        <v>11956</v>
      </c>
      <c r="J151" s="56"/>
    </row>
    <row r="152" ht="20" customHeight="1" spans="2:10">
      <c r="B152" s="42"/>
      <c r="C152" s="42"/>
      <c r="D152" s="42"/>
      <c r="E152" s="42"/>
      <c r="F152" s="54"/>
      <c r="G152" s="56"/>
      <c r="H152" s="56"/>
      <c r="I152" s="58">
        <f t="shared" si="8"/>
        <v>11956</v>
      </c>
      <c r="J152" s="56"/>
    </row>
    <row r="153" ht="20" customHeight="1" spans="2:10">
      <c r="B153" s="42"/>
      <c r="C153" s="42"/>
      <c r="D153" s="42"/>
      <c r="E153" s="42"/>
      <c r="F153" s="54"/>
      <c r="G153" s="56"/>
      <c r="H153" s="56"/>
      <c r="I153" s="58">
        <f t="shared" si="8"/>
        <v>11956</v>
      </c>
      <c r="J153" s="56"/>
    </row>
    <row r="154" ht="20" customHeight="1" spans="2:10">
      <c r="B154" s="42"/>
      <c r="C154" s="42"/>
      <c r="D154" s="42"/>
      <c r="E154" s="54"/>
      <c r="F154" s="54"/>
      <c r="G154" s="56"/>
      <c r="H154" s="56"/>
      <c r="I154" s="58">
        <f t="shared" si="8"/>
        <v>11956</v>
      </c>
      <c r="J154" s="56"/>
    </row>
    <row r="155" ht="20" customHeight="1" spans="2:10">
      <c r="B155" s="42"/>
      <c r="C155" s="42"/>
      <c r="D155" s="42"/>
      <c r="E155" s="42"/>
      <c r="F155" s="42"/>
      <c r="G155" s="56"/>
      <c r="H155" s="56"/>
      <c r="I155" s="58">
        <f t="shared" si="8"/>
        <v>11956</v>
      </c>
      <c r="J155" s="56"/>
    </row>
    <row r="156" ht="20" customHeight="1" spans="2:10">
      <c r="B156" s="42"/>
      <c r="C156" s="42"/>
      <c r="D156" s="42"/>
      <c r="E156" s="42"/>
      <c r="F156" s="54"/>
      <c r="G156" s="56"/>
      <c r="H156" s="56"/>
      <c r="I156" s="58">
        <f t="shared" si="8"/>
        <v>11956</v>
      </c>
      <c r="J156" s="56"/>
    </row>
    <row r="157" ht="20" customHeight="1" spans="2:10">
      <c r="B157" s="42"/>
      <c r="C157" s="42"/>
      <c r="D157" s="42"/>
      <c r="E157" s="42"/>
      <c r="F157" s="54"/>
      <c r="G157" s="56"/>
      <c r="H157" s="56"/>
      <c r="I157" s="58">
        <f t="shared" si="8"/>
        <v>11956</v>
      </c>
      <c r="J157" s="56"/>
    </row>
    <row r="158" ht="20" customHeight="1" spans="2:10">
      <c r="B158" s="42"/>
      <c r="C158" s="42"/>
      <c r="D158" s="42"/>
      <c r="E158" s="42"/>
      <c r="F158" s="54"/>
      <c r="G158" s="56"/>
      <c r="H158" s="56"/>
      <c r="I158" s="58">
        <f t="shared" si="8"/>
        <v>11956</v>
      </c>
      <c r="J158" s="56"/>
    </row>
    <row r="159" ht="20" customHeight="1" spans="2:10">
      <c r="B159" s="42"/>
      <c r="C159" s="42"/>
      <c r="D159" s="42"/>
      <c r="E159" s="42"/>
      <c r="F159" s="54"/>
      <c r="G159" s="56"/>
      <c r="H159" s="56"/>
      <c r="I159" s="58">
        <f t="shared" si="8"/>
        <v>11956</v>
      </c>
      <c r="J159" s="56"/>
    </row>
    <row r="160" ht="20" customHeight="1" spans="2:10">
      <c r="B160" s="42"/>
      <c r="C160" s="42"/>
      <c r="D160" s="42"/>
      <c r="E160" s="42"/>
      <c r="F160" s="54"/>
      <c r="G160" s="56"/>
      <c r="H160" s="56"/>
      <c r="I160" s="58">
        <f t="shared" si="8"/>
        <v>11956</v>
      </c>
      <c r="J160" s="56"/>
    </row>
    <row r="161" ht="20" customHeight="1" spans="2:10">
      <c r="B161" s="42"/>
      <c r="C161" s="42"/>
      <c r="D161" s="42"/>
      <c r="E161" s="54"/>
      <c r="F161" s="54"/>
      <c r="G161" s="56"/>
      <c r="H161" s="56"/>
      <c r="I161" s="58">
        <f t="shared" si="8"/>
        <v>11956</v>
      </c>
      <c r="J161" s="56"/>
    </row>
    <row r="162" ht="20" customHeight="1" spans="2:10">
      <c r="B162" s="42"/>
      <c r="C162" s="42"/>
      <c r="D162" s="42"/>
      <c r="E162" s="42"/>
      <c r="F162" s="54"/>
      <c r="G162" s="56"/>
      <c r="H162" s="56"/>
      <c r="I162" s="58">
        <f t="shared" si="8"/>
        <v>11956</v>
      </c>
      <c r="J162" s="56"/>
    </row>
    <row r="163" ht="20" customHeight="1" spans="2:10">
      <c r="B163" s="42"/>
      <c r="C163" s="42"/>
      <c r="D163" s="42"/>
      <c r="E163" s="44"/>
      <c r="F163" s="136"/>
      <c r="G163" s="56"/>
      <c r="H163" s="56"/>
      <c r="I163" s="58">
        <f>I41+G163-H163</f>
        <v>12016.61</v>
      </c>
      <c r="J163" s="56"/>
    </row>
    <row r="164" ht="20" customHeight="1" spans="2:10">
      <c r="B164" s="42"/>
      <c r="C164" s="42"/>
      <c r="D164" s="42"/>
      <c r="E164" s="95"/>
      <c r="F164" s="95"/>
      <c r="G164" s="56"/>
      <c r="H164" s="56"/>
      <c r="I164" s="58">
        <f t="shared" ref="I163:I186" si="9">I163+G164-H164</f>
        <v>12016.61</v>
      </c>
      <c r="J164" s="56"/>
    </row>
    <row r="165" ht="20" customHeight="1" spans="2:10">
      <c r="B165" s="42"/>
      <c r="C165" s="42"/>
      <c r="D165" s="42"/>
      <c r="E165" s="95"/>
      <c r="F165" s="95"/>
      <c r="G165" s="56"/>
      <c r="H165" s="56"/>
      <c r="I165" s="58">
        <f t="shared" si="9"/>
        <v>12016.61</v>
      </c>
      <c r="J165" s="56"/>
    </row>
    <row r="166" ht="20" customHeight="1" spans="2:10">
      <c r="B166" s="42"/>
      <c r="C166" s="42"/>
      <c r="D166" s="42"/>
      <c r="E166" s="95"/>
      <c r="F166" s="95"/>
      <c r="G166" s="56"/>
      <c r="H166" s="56"/>
      <c r="I166" s="58">
        <f t="shared" si="9"/>
        <v>12016.61</v>
      </c>
      <c r="J166" s="56"/>
    </row>
    <row r="167" ht="20" customHeight="1" spans="2:10">
      <c r="B167" s="42"/>
      <c r="C167" s="42"/>
      <c r="D167" s="42"/>
      <c r="E167" s="44"/>
      <c r="F167" s="45"/>
      <c r="G167" s="56"/>
      <c r="H167" s="56"/>
      <c r="I167" s="58">
        <f t="shared" si="9"/>
        <v>12016.61</v>
      </c>
      <c r="J167" s="56"/>
    </row>
    <row r="168" ht="20" customHeight="1" spans="2:10">
      <c r="B168" s="42"/>
      <c r="C168" s="42"/>
      <c r="D168" s="42"/>
      <c r="E168" s="95"/>
      <c r="F168" s="95"/>
      <c r="G168" s="56"/>
      <c r="H168" s="56"/>
      <c r="I168" s="58">
        <f t="shared" si="9"/>
        <v>12016.61</v>
      </c>
      <c r="J168" s="56"/>
    </row>
    <row r="169" ht="20" customHeight="1" spans="2:10">
      <c r="B169" s="42"/>
      <c r="C169" s="42"/>
      <c r="D169" s="42"/>
      <c r="E169" s="44"/>
      <c r="F169" s="45"/>
      <c r="G169" s="56"/>
      <c r="H169" s="56"/>
      <c r="I169" s="58">
        <f t="shared" si="9"/>
        <v>12016.61</v>
      </c>
      <c r="J169" s="56"/>
    </row>
    <row r="170" ht="20" customHeight="1" spans="2:10">
      <c r="B170" s="42"/>
      <c r="C170" s="42"/>
      <c r="D170" s="42"/>
      <c r="E170" s="45"/>
      <c r="F170" s="45"/>
      <c r="G170" s="56"/>
      <c r="H170" s="56"/>
      <c r="I170" s="58">
        <f t="shared" si="9"/>
        <v>12016.61</v>
      </c>
      <c r="J170" s="56"/>
    </row>
    <row r="171" ht="20" customHeight="1" spans="2:10">
      <c r="B171" s="42"/>
      <c r="C171" s="42"/>
      <c r="D171" s="42"/>
      <c r="E171" s="44"/>
      <c r="F171" s="45"/>
      <c r="G171" s="56"/>
      <c r="H171" s="56"/>
      <c r="I171" s="58">
        <f t="shared" si="9"/>
        <v>12016.61</v>
      </c>
      <c r="J171" s="56"/>
    </row>
    <row r="172" ht="20" customHeight="1" spans="2:10">
      <c r="B172" s="42"/>
      <c r="C172" s="42"/>
      <c r="D172" s="42"/>
      <c r="E172" s="117"/>
      <c r="F172" s="45"/>
      <c r="G172" s="56"/>
      <c r="H172" s="56"/>
      <c r="I172" s="58">
        <f t="shared" si="9"/>
        <v>12016.61</v>
      </c>
      <c r="J172" s="56"/>
    </row>
    <row r="173" ht="20" customHeight="1" spans="2:10">
      <c r="B173" s="42"/>
      <c r="C173" s="42"/>
      <c r="D173" s="42"/>
      <c r="E173" s="42"/>
      <c r="F173" s="45"/>
      <c r="G173" s="56"/>
      <c r="H173" s="56"/>
      <c r="I173" s="58">
        <f t="shared" si="9"/>
        <v>12016.61</v>
      </c>
      <c r="J173" s="56"/>
    </row>
    <row r="174" ht="20" customHeight="1" spans="2:10">
      <c r="B174" s="42"/>
      <c r="C174" s="42"/>
      <c r="D174" s="42"/>
      <c r="E174" s="42"/>
      <c r="F174" s="45"/>
      <c r="G174" s="56"/>
      <c r="H174" s="56"/>
      <c r="I174" s="58">
        <f t="shared" si="9"/>
        <v>12016.61</v>
      </c>
      <c r="J174" s="56"/>
    </row>
    <row r="175" ht="20" customHeight="1" spans="2:10">
      <c r="B175" s="42"/>
      <c r="C175" s="42"/>
      <c r="D175" s="42"/>
      <c r="E175" s="42"/>
      <c r="F175" s="54"/>
      <c r="G175" s="56"/>
      <c r="H175" s="56"/>
      <c r="I175" s="58">
        <f t="shared" si="9"/>
        <v>12016.61</v>
      </c>
      <c r="J175" s="56"/>
    </row>
    <row r="176" ht="20" customHeight="1" spans="2:10">
      <c r="B176" s="42"/>
      <c r="C176" s="42"/>
      <c r="D176" s="42"/>
      <c r="E176" s="42"/>
      <c r="F176" s="54"/>
      <c r="G176" s="56"/>
      <c r="H176" s="56"/>
      <c r="I176" s="58">
        <f t="shared" si="9"/>
        <v>12016.61</v>
      </c>
      <c r="J176" s="56"/>
    </row>
    <row r="177" ht="20" customHeight="1" spans="2:10">
      <c r="B177" s="42"/>
      <c r="C177" s="42"/>
      <c r="D177" s="42"/>
      <c r="E177" s="42"/>
      <c r="F177" s="54"/>
      <c r="G177" s="56"/>
      <c r="H177" s="56"/>
      <c r="I177" s="58">
        <f t="shared" si="9"/>
        <v>12016.61</v>
      </c>
      <c r="J177" s="56"/>
    </row>
    <row r="178" ht="20" customHeight="1" spans="2:10">
      <c r="B178" s="42"/>
      <c r="C178" s="42"/>
      <c r="D178" s="42"/>
      <c r="E178" s="54"/>
      <c r="F178" s="54"/>
      <c r="G178" s="56"/>
      <c r="H178" s="56"/>
      <c r="I178" s="58">
        <f t="shared" si="9"/>
        <v>12016.61</v>
      </c>
      <c r="J178" s="56"/>
    </row>
    <row r="179" ht="20" customHeight="1" spans="2:10">
      <c r="B179" s="42"/>
      <c r="C179" s="42"/>
      <c r="D179" s="42"/>
      <c r="E179" s="42"/>
      <c r="F179" s="42"/>
      <c r="G179" s="56"/>
      <c r="H179" s="56"/>
      <c r="I179" s="58">
        <f t="shared" si="9"/>
        <v>12016.61</v>
      </c>
      <c r="J179" s="56"/>
    </row>
    <row r="180" ht="20" customHeight="1" spans="2:10">
      <c r="B180" s="42"/>
      <c r="C180" s="42"/>
      <c r="D180" s="42"/>
      <c r="E180" s="42"/>
      <c r="F180" s="54"/>
      <c r="G180" s="56"/>
      <c r="H180" s="56"/>
      <c r="I180" s="58">
        <f t="shared" si="9"/>
        <v>12016.61</v>
      </c>
      <c r="J180" s="56"/>
    </row>
    <row r="181" ht="20" customHeight="1" spans="2:10">
      <c r="B181" s="42"/>
      <c r="C181" s="42"/>
      <c r="D181" s="42"/>
      <c r="E181" s="42"/>
      <c r="F181" s="54"/>
      <c r="G181" s="56"/>
      <c r="H181" s="56"/>
      <c r="I181" s="58">
        <f t="shared" si="9"/>
        <v>12016.61</v>
      </c>
      <c r="J181" s="56"/>
    </row>
    <row r="182" ht="20" customHeight="1" spans="2:10">
      <c r="B182" s="42"/>
      <c r="C182" s="42"/>
      <c r="D182" s="42"/>
      <c r="E182" s="42"/>
      <c r="F182" s="54"/>
      <c r="G182" s="56"/>
      <c r="H182" s="56"/>
      <c r="I182" s="58">
        <f t="shared" si="9"/>
        <v>12016.61</v>
      </c>
      <c r="J182" s="56"/>
    </row>
    <row r="183" ht="20" customHeight="1" spans="2:10">
      <c r="B183" s="42"/>
      <c r="C183" s="42"/>
      <c r="D183" s="42"/>
      <c r="E183" s="42"/>
      <c r="F183" s="54"/>
      <c r="G183" s="56"/>
      <c r="H183" s="56"/>
      <c r="I183" s="58">
        <f t="shared" si="9"/>
        <v>12016.61</v>
      </c>
      <c r="J183" s="56"/>
    </row>
    <row r="184" ht="20" customHeight="1" spans="2:10">
      <c r="B184" s="42"/>
      <c r="C184" s="42"/>
      <c r="D184" s="42"/>
      <c r="E184" s="42"/>
      <c r="F184" s="54"/>
      <c r="G184" s="56"/>
      <c r="H184" s="56"/>
      <c r="I184" s="58">
        <f t="shared" si="9"/>
        <v>12016.61</v>
      </c>
      <c r="J184" s="56"/>
    </row>
    <row r="185" ht="20" customHeight="1" spans="2:10">
      <c r="B185" s="42"/>
      <c r="C185" s="42"/>
      <c r="D185" s="42"/>
      <c r="E185" s="54"/>
      <c r="F185" s="54"/>
      <c r="G185" s="56"/>
      <c r="H185" s="56"/>
      <c r="I185" s="58">
        <f t="shared" si="9"/>
        <v>12016.61</v>
      </c>
      <c r="J185" s="56"/>
    </row>
    <row r="186" ht="20" customHeight="1" spans="2:10">
      <c r="B186" s="42"/>
      <c r="C186" s="42"/>
      <c r="D186" s="42"/>
      <c r="E186" s="42"/>
      <c r="F186" s="54"/>
      <c r="G186" s="56"/>
      <c r="H186" s="56"/>
      <c r="I186" s="58">
        <f t="shared" si="9"/>
        <v>12016.61</v>
      </c>
      <c r="J186" s="56"/>
    </row>
  </sheetData>
  <autoFilter xmlns:etc="http://www.wps.cn/officeDocument/2017/etCustomData" ref="A3:P186" etc:filterBottomFollowUsedRange="0">
    <extLst/>
  </autoFilter>
  <mergeCells count="1">
    <mergeCell ref="B1:J1"/>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86"/>
  <sheetViews>
    <sheetView workbookViewId="0">
      <pane xSplit="4" ySplit="4" topLeftCell="F5" activePane="bottomRight" state="frozen"/>
      <selection/>
      <selection pane="topRight"/>
      <selection pane="bottomLeft"/>
      <selection pane="bottomRight" activeCell="G9" sqref="G9"/>
    </sheetView>
  </sheetViews>
  <sheetFormatPr defaultColWidth="9" defaultRowHeight="13.5"/>
  <cols>
    <col min="1" max="1" width="8.725" style="3" customWidth="1"/>
    <col min="2" max="3" width="4.725" style="3" customWidth="1"/>
    <col min="4" max="4" width="8.63333333333333" style="3" customWidth="1"/>
    <col min="5" max="5" width="31.0916666666667" style="3" customWidth="1"/>
    <col min="6" max="6" width="48.8583333333333"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2480</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v>8</v>
      </c>
      <c r="C4" s="42">
        <v>1</v>
      </c>
      <c r="D4" s="42"/>
      <c r="E4" s="42"/>
      <c r="F4" s="54" t="s">
        <v>15</v>
      </c>
      <c r="G4" s="56"/>
      <c r="H4" s="56"/>
      <c r="I4" s="58">
        <v>0</v>
      </c>
      <c r="J4" s="56"/>
    </row>
    <row r="5" ht="20" customHeight="1" spans="1:16">
      <c r="B5" s="42">
        <v>8</v>
      </c>
      <c r="C5" s="42">
        <v>6</v>
      </c>
      <c r="D5" s="74"/>
      <c r="E5" s="95" t="s">
        <v>2481</v>
      </c>
      <c r="F5" s="95" t="s">
        <v>2482</v>
      </c>
      <c r="G5" s="84">
        <v>0.06</v>
      </c>
      <c r="H5" s="84"/>
      <c r="I5" s="58">
        <f>I4+G5-H5</f>
        <v>0.06</v>
      </c>
      <c r="J5" s="56"/>
    </row>
    <row r="6" ht="20" customHeight="1" spans="1:16">
      <c r="B6" s="42">
        <v>8</v>
      </c>
      <c r="C6" s="42">
        <v>27</v>
      </c>
      <c r="D6" s="74"/>
      <c r="E6" s="95" t="s">
        <v>2483</v>
      </c>
      <c r="F6" s="95" t="s">
        <v>2484</v>
      </c>
      <c r="G6" s="84">
        <v>7488</v>
      </c>
      <c r="H6" s="84"/>
      <c r="I6" s="58">
        <f>I5+G6-H6</f>
        <v>7488.06</v>
      </c>
      <c r="J6" s="56"/>
    </row>
    <row r="7" ht="20" customHeight="1" spans="1:16">
      <c r="B7" s="68"/>
      <c r="C7" s="68"/>
      <c r="D7" s="68"/>
      <c r="E7" s="69"/>
      <c r="F7" s="70" t="s">
        <v>22</v>
      </c>
      <c r="G7" s="134">
        <f>SUM(G5:G6)</f>
        <v>7488.06</v>
      </c>
      <c r="H7" s="134">
        <f>SUM(H5:H6)</f>
        <v>0</v>
      </c>
      <c r="I7" s="72">
        <f>I4+G7-H7</f>
        <v>7488.06</v>
      </c>
      <c r="J7" s="71"/>
    </row>
    <row r="8" ht="20" customHeight="1" spans="1:16">
      <c r="B8" s="42">
        <v>9</v>
      </c>
      <c r="C8" s="42">
        <v>18</v>
      </c>
      <c r="D8" s="74"/>
      <c r="E8" s="95" t="s">
        <v>2485</v>
      </c>
      <c r="F8" s="95" t="s">
        <v>2486</v>
      </c>
      <c r="G8" s="84"/>
      <c r="H8" s="84">
        <v>10</v>
      </c>
      <c r="I8" s="58">
        <f>I7+G8-H8</f>
        <v>7478.06</v>
      </c>
      <c r="J8" s="56"/>
    </row>
    <row r="9" ht="20" customHeight="1" spans="1:16">
      <c r="B9" s="42">
        <v>9</v>
      </c>
      <c r="C9" s="42">
        <v>21</v>
      </c>
      <c r="D9" s="42"/>
      <c r="E9" s="44" t="s">
        <v>161</v>
      </c>
      <c r="F9" s="44" t="s">
        <v>29</v>
      </c>
      <c r="G9" s="84">
        <v>0.35</v>
      </c>
      <c r="H9" s="84"/>
      <c r="I9" s="58">
        <f>I8+G9-H9</f>
        <v>7478.41</v>
      </c>
      <c r="J9" s="56"/>
    </row>
    <row r="10" ht="20" customHeight="1" spans="1:16">
      <c r="B10" s="42"/>
      <c r="C10" s="42"/>
      <c r="D10" s="74"/>
      <c r="E10" s="95"/>
      <c r="F10" s="95"/>
      <c r="G10" s="84"/>
      <c r="H10" s="84"/>
      <c r="I10" s="58">
        <f>I9+G10-H10</f>
        <v>7478.41</v>
      </c>
      <c r="J10" s="56"/>
    </row>
    <row r="11" ht="20" customHeight="1" spans="1:16">
      <c r="B11" s="42"/>
      <c r="C11" s="42"/>
      <c r="D11" s="74"/>
      <c r="E11" s="95"/>
      <c r="F11" s="95"/>
      <c r="G11" s="84"/>
      <c r="H11" s="84"/>
      <c r="I11" s="58">
        <f>I10+G11-H11</f>
        <v>7478.41</v>
      </c>
      <c r="J11" s="56"/>
    </row>
    <row r="12" ht="20" customHeight="1" spans="1:16">
      <c r="B12" s="42"/>
      <c r="C12" s="42"/>
      <c r="D12" s="74"/>
      <c r="E12" s="95"/>
      <c r="F12" s="95"/>
      <c r="G12" s="84"/>
      <c r="H12" s="84"/>
      <c r="I12" s="58">
        <f t="shared" ref="I8:I30" si="0">I11+G12-H12</f>
        <v>7478.41</v>
      </c>
      <c r="J12" s="56"/>
    </row>
    <row r="13" ht="20" customHeight="1" spans="1:16">
      <c r="B13" s="42"/>
      <c r="C13" s="42"/>
      <c r="D13" s="74"/>
      <c r="E13" s="95"/>
      <c r="F13" s="95"/>
      <c r="G13" s="84"/>
      <c r="H13" s="84"/>
      <c r="I13" s="58">
        <f t="shared" si="0"/>
        <v>7478.41</v>
      </c>
      <c r="J13" s="56"/>
    </row>
    <row r="14" ht="20" customHeight="1" spans="1:16">
      <c r="B14" s="42"/>
      <c r="C14" s="42"/>
      <c r="D14" s="74"/>
      <c r="E14" s="95"/>
      <c r="F14" s="95"/>
      <c r="G14" s="84"/>
      <c r="H14" s="84"/>
      <c r="I14" s="58">
        <f t="shared" si="0"/>
        <v>7478.41</v>
      </c>
      <c r="J14" s="56"/>
    </row>
    <row r="15" ht="20" customHeight="1" spans="1:16">
      <c r="B15" s="42"/>
      <c r="C15" s="42"/>
      <c r="D15" s="74"/>
      <c r="E15" s="95"/>
      <c r="F15" s="95"/>
      <c r="G15" s="84"/>
      <c r="H15" s="84"/>
      <c r="I15" s="58">
        <f t="shared" si="0"/>
        <v>7478.41</v>
      </c>
      <c r="J15" s="56"/>
    </row>
    <row r="16" ht="20" customHeight="1" spans="1:16">
      <c r="B16" s="42"/>
      <c r="C16" s="42"/>
      <c r="D16" s="74"/>
      <c r="E16" s="95"/>
      <c r="F16" s="95"/>
      <c r="G16" s="84"/>
      <c r="H16" s="84"/>
      <c r="I16" s="58">
        <f t="shared" si="0"/>
        <v>7478.41</v>
      </c>
      <c r="J16" s="56"/>
    </row>
    <row r="17" ht="20" customHeight="1" spans="2:10">
      <c r="B17" s="42"/>
      <c r="C17" s="42"/>
      <c r="D17" s="74"/>
      <c r="E17" s="95"/>
      <c r="F17" s="95"/>
      <c r="G17" s="84"/>
      <c r="H17" s="84"/>
      <c r="I17" s="58">
        <f t="shared" si="0"/>
        <v>7478.41</v>
      </c>
      <c r="J17" s="56"/>
    </row>
    <row r="18" ht="20" customHeight="1" spans="2:10">
      <c r="B18" s="42"/>
      <c r="C18" s="42"/>
      <c r="D18" s="74"/>
      <c r="E18" s="95"/>
      <c r="F18" s="95"/>
      <c r="G18" s="84"/>
      <c r="H18" s="84"/>
      <c r="I18" s="58">
        <f t="shared" si="0"/>
        <v>7478.41</v>
      </c>
      <c r="J18" s="56"/>
    </row>
    <row r="19" ht="20" customHeight="1" spans="2:10">
      <c r="B19" s="42"/>
      <c r="C19" s="42"/>
      <c r="D19" s="74"/>
      <c r="E19" s="95"/>
      <c r="F19" s="95"/>
      <c r="G19" s="84"/>
      <c r="H19" s="84"/>
      <c r="I19" s="58">
        <f t="shared" si="0"/>
        <v>7478.41</v>
      </c>
      <c r="J19" s="56"/>
    </row>
    <row r="20" ht="20" customHeight="1" spans="2:10">
      <c r="B20" s="42"/>
      <c r="C20" s="42"/>
      <c r="D20" s="74"/>
      <c r="E20" s="95"/>
      <c r="F20" s="95"/>
      <c r="G20" s="84"/>
      <c r="H20" s="84"/>
      <c r="I20" s="58">
        <f t="shared" si="0"/>
        <v>7478.41</v>
      </c>
      <c r="J20" s="56"/>
    </row>
    <row r="21" ht="20" customHeight="1" spans="2:10">
      <c r="B21" s="42"/>
      <c r="C21" s="42"/>
      <c r="D21" s="74"/>
      <c r="E21" s="95"/>
      <c r="F21" s="95"/>
      <c r="G21" s="84"/>
      <c r="H21" s="84"/>
      <c r="I21" s="58">
        <f t="shared" si="0"/>
        <v>7478.41</v>
      </c>
      <c r="J21" s="56"/>
    </row>
    <row r="22" ht="20" customHeight="1" spans="2:10">
      <c r="B22" s="42"/>
      <c r="C22" s="42"/>
      <c r="D22" s="74"/>
      <c r="E22" s="95"/>
      <c r="F22" s="95"/>
      <c r="G22" s="84"/>
      <c r="H22" s="84"/>
      <c r="I22" s="58">
        <f t="shared" si="0"/>
        <v>7478.41</v>
      </c>
      <c r="J22" s="56"/>
    </row>
    <row r="23" ht="20" customHeight="1" spans="2:10">
      <c r="B23" s="42"/>
      <c r="C23" s="42"/>
      <c r="D23" s="74"/>
      <c r="E23" s="95"/>
      <c r="F23" s="95"/>
      <c r="G23" s="84"/>
      <c r="H23" s="84"/>
      <c r="I23" s="58">
        <f t="shared" si="0"/>
        <v>7478.41</v>
      </c>
      <c r="J23" s="56"/>
    </row>
    <row r="24" ht="20" customHeight="1" spans="2:10">
      <c r="B24" s="42"/>
      <c r="C24" s="42"/>
      <c r="D24" s="74"/>
      <c r="E24" s="95"/>
      <c r="F24" s="95"/>
      <c r="G24" s="56"/>
      <c r="H24" s="84"/>
      <c r="I24" s="58">
        <f t="shared" si="0"/>
        <v>7478.41</v>
      </c>
      <c r="J24" s="56"/>
    </row>
    <row r="25" ht="20" customHeight="1" spans="2:10">
      <c r="B25" s="42"/>
      <c r="C25" s="42"/>
      <c r="D25" s="42"/>
      <c r="E25" s="95"/>
      <c r="F25" s="95"/>
      <c r="G25" s="84"/>
      <c r="H25" s="84"/>
      <c r="I25" s="58">
        <f t="shared" si="0"/>
        <v>7478.41</v>
      </c>
      <c r="J25" s="56"/>
    </row>
    <row r="26" ht="20" customHeight="1" spans="2:10">
      <c r="B26" s="42"/>
      <c r="C26" s="42"/>
      <c r="D26" s="42"/>
      <c r="E26" s="95"/>
      <c r="F26" s="95"/>
      <c r="G26" s="84"/>
      <c r="H26" s="84"/>
      <c r="I26" s="58">
        <f t="shared" si="0"/>
        <v>7478.41</v>
      </c>
      <c r="J26" s="56"/>
    </row>
    <row r="27" ht="20" customHeight="1" spans="2:10">
      <c r="B27" s="42"/>
      <c r="C27" s="42"/>
      <c r="D27" s="42"/>
      <c r="E27" s="95"/>
      <c r="F27" s="95"/>
      <c r="G27" s="84"/>
      <c r="H27" s="84"/>
      <c r="I27" s="58">
        <f t="shared" si="0"/>
        <v>7478.41</v>
      </c>
      <c r="J27" s="56"/>
    </row>
    <row r="28" ht="20" customHeight="1" spans="2:10">
      <c r="B28" s="42"/>
      <c r="C28" s="42"/>
      <c r="D28" s="42"/>
      <c r="E28" s="95"/>
      <c r="F28" s="95"/>
      <c r="G28" s="84"/>
      <c r="H28" s="84"/>
      <c r="I28" s="58">
        <f t="shared" si="0"/>
        <v>7478.41</v>
      </c>
      <c r="J28" s="56"/>
    </row>
    <row r="29" ht="20" customHeight="1" spans="2:10">
      <c r="B29" s="42"/>
      <c r="C29" s="42"/>
      <c r="D29" s="42"/>
      <c r="E29" s="95"/>
      <c r="F29" s="95"/>
      <c r="G29" s="84"/>
      <c r="H29" s="84"/>
      <c r="I29" s="58">
        <f t="shared" si="0"/>
        <v>7478.41</v>
      </c>
      <c r="J29" s="56"/>
    </row>
    <row r="30" ht="20" customHeight="1" spans="2:10">
      <c r="B30" s="42"/>
      <c r="C30" s="42"/>
      <c r="D30" s="42"/>
      <c r="E30" s="95"/>
      <c r="F30" s="95"/>
      <c r="G30" s="84"/>
      <c r="H30" s="84"/>
      <c r="I30" s="58">
        <f t="shared" si="0"/>
        <v>7478.41</v>
      </c>
      <c r="J30" s="56"/>
    </row>
    <row r="31" ht="20" customHeight="1" spans="2:10">
      <c r="B31" s="42"/>
      <c r="C31" s="42"/>
      <c r="D31" s="42"/>
      <c r="E31" s="95"/>
      <c r="F31" s="95"/>
      <c r="G31" s="84"/>
      <c r="H31" s="84"/>
      <c r="I31" s="58">
        <f>I7+G31-H31</f>
        <v>7488.06</v>
      </c>
      <c r="J31" s="56"/>
    </row>
    <row r="32" ht="20" customHeight="1" spans="2:10">
      <c r="B32" s="42"/>
      <c r="C32" s="42"/>
      <c r="D32" s="42"/>
      <c r="E32" s="95"/>
      <c r="F32" s="95"/>
      <c r="G32" s="84"/>
      <c r="H32" s="84"/>
      <c r="I32" s="58">
        <f t="shared" ref="I31:I94" si="1">I31+G32-H32</f>
        <v>7488.06</v>
      </c>
      <c r="J32" s="56"/>
    </row>
    <row r="33" ht="20" customHeight="1" spans="2:10">
      <c r="B33" s="42"/>
      <c r="C33" s="42"/>
      <c r="D33" s="42"/>
      <c r="E33" s="95"/>
      <c r="F33" s="95"/>
      <c r="G33" s="84"/>
      <c r="H33" s="84"/>
      <c r="I33" s="58">
        <f t="shared" si="1"/>
        <v>7488.06</v>
      </c>
      <c r="J33" s="56"/>
    </row>
    <row r="34" ht="20" customHeight="1" spans="2:10">
      <c r="B34" s="42"/>
      <c r="C34" s="42"/>
      <c r="D34" s="42"/>
      <c r="E34" s="95"/>
      <c r="F34" s="95"/>
      <c r="G34" s="56"/>
      <c r="H34" s="56"/>
      <c r="I34" s="58">
        <f t="shared" si="1"/>
        <v>7488.06</v>
      </c>
      <c r="J34" s="56"/>
    </row>
    <row r="35" ht="20" customHeight="1" spans="2:10">
      <c r="B35" s="42"/>
      <c r="C35" s="42"/>
      <c r="D35" s="42"/>
      <c r="E35" s="95"/>
      <c r="F35" s="95"/>
      <c r="G35" s="56"/>
      <c r="H35" s="56"/>
      <c r="I35" s="58">
        <f t="shared" si="1"/>
        <v>7488.06</v>
      </c>
      <c r="J35" s="56"/>
    </row>
    <row r="36" ht="20" customHeight="1" spans="2:10">
      <c r="B36" s="42"/>
      <c r="C36" s="42"/>
      <c r="D36" s="42"/>
      <c r="E36" s="95"/>
      <c r="F36" s="95"/>
      <c r="G36" s="56"/>
      <c r="H36" s="56"/>
      <c r="I36" s="58">
        <f t="shared" si="1"/>
        <v>7488.06</v>
      </c>
      <c r="J36" s="56"/>
    </row>
    <row r="37" ht="20" customHeight="1" spans="2:10">
      <c r="B37" s="42"/>
      <c r="C37" s="42"/>
      <c r="D37" s="42"/>
      <c r="E37" s="95"/>
      <c r="F37" s="95"/>
      <c r="G37" s="56"/>
      <c r="H37" s="56"/>
      <c r="I37" s="58">
        <f t="shared" si="1"/>
        <v>7488.06</v>
      </c>
      <c r="J37" s="56"/>
    </row>
    <row r="38" ht="20" customHeight="1" spans="2:10">
      <c r="B38" s="42"/>
      <c r="C38" s="42"/>
      <c r="D38" s="42"/>
      <c r="E38" s="95"/>
      <c r="F38" s="95"/>
      <c r="G38" s="56"/>
      <c r="H38" s="56"/>
      <c r="I38" s="58">
        <f t="shared" si="1"/>
        <v>7488.06</v>
      </c>
      <c r="J38" s="56"/>
    </row>
    <row r="39" ht="20" customHeight="1" spans="2:10">
      <c r="B39" s="42"/>
      <c r="C39" s="42"/>
      <c r="D39" s="42"/>
      <c r="E39" s="95"/>
      <c r="F39" s="95"/>
      <c r="G39" s="56"/>
      <c r="H39" s="56"/>
      <c r="I39" s="58">
        <f t="shared" si="1"/>
        <v>7488.06</v>
      </c>
      <c r="J39" s="56"/>
    </row>
    <row r="40" ht="20" customHeight="1" spans="2:10">
      <c r="B40" s="42"/>
      <c r="C40" s="42"/>
      <c r="D40" s="42"/>
      <c r="E40" s="95"/>
      <c r="F40" s="95"/>
      <c r="G40" s="56"/>
      <c r="H40" s="56"/>
      <c r="I40" s="58">
        <f t="shared" si="1"/>
        <v>7488.06</v>
      </c>
      <c r="J40" s="56"/>
    </row>
    <row r="41" ht="20" customHeight="1" spans="2:10">
      <c r="B41" s="42"/>
      <c r="C41" s="42"/>
      <c r="D41" s="42"/>
      <c r="E41" s="95"/>
      <c r="F41" s="95"/>
      <c r="G41" s="56"/>
      <c r="H41" s="56"/>
      <c r="I41" s="58">
        <f t="shared" si="1"/>
        <v>7488.06</v>
      </c>
      <c r="J41" s="56"/>
    </row>
    <row r="42" ht="20" customHeight="1" spans="2:10">
      <c r="B42" s="42"/>
      <c r="C42" s="42"/>
      <c r="D42" s="42"/>
      <c r="E42" s="95"/>
      <c r="F42" s="95"/>
      <c r="G42" s="56"/>
      <c r="H42" s="56"/>
      <c r="I42" s="58">
        <f t="shared" si="1"/>
        <v>7488.06</v>
      </c>
      <c r="J42" s="56"/>
    </row>
    <row r="43" ht="20" customHeight="1" spans="2:10">
      <c r="B43" s="42"/>
      <c r="C43" s="42"/>
      <c r="D43" s="42"/>
      <c r="E43" s="95"/>
      <c r="F43" s="95"/>
      <c r="G43" s="56"/>
      <c r="H43" s="56"/>
      <c r="I43" s="58">
        <f t="shared" si="1"/>
        <v>7488.06</v>
      </c>
      <c r="J43" s="56"/>
    </row>
    <row r="44" ht="20" customHeight="1" spans="2:10">
      <c r="B44" s="42"/>
      <c r="C44" s="42"/>
      <c r="D44" s="42"/>
      <c r="E44" s="95"/>
      <c r="F44" s="95"/>
      <c r="G44" s="56"/>
      <c r="H44" s="56"/>
      <c r="I44" s="58">
        <f t="shared" si="1"/>
        <v>7488.06</v>
      </c>
      <c r="J44" s="56"/>
    </row>
    <row r="45" ht="20" customHeight="1" spans="2:10">
      <c r="B45" s="42"/>
      <c r="C45" s="42"/>
      <c r="D45" s="42"/>
      <c r="E45" s="95"/>
      <c r="F45" s="95"/>
      <c r="G45" s="56"/>
      <c r="H45" s="56"/>
      <c r="I45" s="58">
        <f t="shared" si="1"/>
        <v>7488.06</v>
      </c>
      <c r="J45" s="56"/>
    </row>
    <row r="46" ht="20" customHeight="1" spans="2:10">
      <c r="B46" s="42"/>
      <c r="C46" s="42"/>
      <c r="D46" s="42"/>
      <c r="E46" s="95"/>
      <c r="F46" s="95"/>
      <c r="G46" s="56"/>
      <c r="H46" s="56"/>
      <c r="I46" s="58">
        <f t="shared" si="1"/>
        <v>7488.06</v>
      </c>
      <c r="J46" s="56"/>
    </row>
    <row r="47" ht="20" customHeight="1" spans="2:10">
      <c r="B47" s="42"/>
      <c r="C47" s="42"/>
      <c r="D47" s="42"/>
      <c r="E47" s="95"/>
      <c r="F47" s="95"/>
      <c r="G47" s="56"/>
      <c r="H47" s="56"/>
      <c r="I47" s="58">
        <f t="shared" si="1"/>
        <v>7488.06</v>
      </c>
      <c r="J47" s="56"/>
    </row>
    <row r="48" ht="20" customHeight="1" spans="2:10">
      <c r="B48" s="42"/>
      <c r="C48" s="42"/>
      <c r="D48" s="42"/>
      <c r="E48" s="95"/>
      <c r="F48" s="95"/>
      <c r="G48" s="56"/>
      <c r="H48" s="56"/>
      <c r="I48" s="58">
        <f t="shared" si="1"/>
        <v>7488.06</v>
      </c>
      <c r="J48" s="56"/>
    </row>
    <row r="49" ht="20" customHeight="1" spans="2:10">
      <c r="B49" s="42"/>
      <c r="C49" s="42"/>
      <c r="D49" s="42"/>
      <c r="E49" s="95"/>
      <c r="F49" s="95"/>
      <c r="G49" s="56"/>
      <c r="H49" s="56"/>
      <c r="I49" s="58">
        <f t="shared" si="1"/>
        <v>7488.06</v>
      </c>
      <c r="J49" s="56"/>
    </row>
    <row r="50" ht="20" customHeight="1" spans="2:10">
      <c r="B50" s="42"/>
      <c r="C50" s="42"/>
      <c r="D50" s="42"/>
      <c r="E50" s="95"/>
      <c r="F50" s="95"/>
      <c r="G50" s="56"/>
      <c r="H50" s="56"/>
      <c r="I50" s="58">
        <f t="shared" si="1"/>
        <v>7488.06</v>
      </c>
      <c r="J50" s="56"/>
    </row>
    <row r="51" ht="20" customHeight="1" spans="2:10">
      <c r="B51" s="42"/>
      <c r="C51" s="42"/>
      <c r="D51" s="42"/>
      <c r="E51" s="95"/>
      <c r="F51" s="95"/>
      <c r="G51" s="56"/>
      <c r="H51" s="56"/>
      <c r="I51" s="58">
        <f t="shared" si="1"/>
        <v>7488.06</v>
      </c>
      <c r="J51" s="56"/>
    </row>
    <row r="52" ht="20" customHeight="1" spans="2:10">
      <c r="B52" s="42"/>
      <c r="C52" s="42"/>
      <c r="D52" s="42"/>
      <c r="E52" s="95"/>
      <c r="F52" s="95"/>
      <c r="G52" s="56"/>
      <c r="H52" s="56"/>
      <c r="I52" s="58">
        <f t="shared" si="1"/>
        <v>7488.06</v>
      </c>
      <c r="J52" s="56"/>
    </row>
    <row r="53" ht="20" customHeight="1" spans="2:10">
      <c r="B53" s="42"/>
      <c r="C53" s="42"/>
      <c r="D53" s="42"/>
      <c r="E53" s="95"/>
      <c r="F53" s="95"/>
      <c r="G53" s="56"/>
      <c r="H53" s="56"/>
      <c r="I53" s="58">
        <f t="shared" si="1"/>
        <v>7488.06</v>
      </c>
      <c r="J53" s="56"/>
    </row>
    <row r="54" ht="20" customHeight="1" spans="2:10">
      <c r="B54" s="42"/>
      <c r="C54" s="42"/>
      <c r="D54" s="42"/>
      <c r="E54" s="95"/>
      <c r="F54" s="95"/>
      <c r="G54" s="56"/>
      <c r="H54" s="56"/>
      <c r="I54" s="58">
        <f t="shared" si="1"/>
        <v>7488.06</v>
      </c>
      <c r="J54" s="56"/>
    </row>
    <row r="55" ht="20" customHeight="1" spans="2:10">
      <c r="B55" s="42"/>
      <c r="C55" s="42"/>
      <c r="D55" s="42"/>
      <c r="E55" s="117"/>
      <c r="F55" s="95"/>
      <c r="G55" s="56"/>
      <c r="H55" s="56"/>
      <c r="I55" s="58">
        <f t="shared" si="1"/>
        <v>7488.06</v>
      </c>
      <c r="J55" s="56"/>
    </row>
    <row r="56" ht="20" customHeight="1" spans="2:10">
      <c r="B56" s="42">
        <v>9</v>
      </c>
      <c r="C56" s="42"/>
      <c r="D56" s="42"/>
      <c r="E56" s="42"/>
      <c r="F56" s="54"/>
      <c r="G56" s="56"/>
      <c r="H56" s="56"/>
      <c r="I56" s="58">
        <f t="shared" si="1"/>
        <v>7488.06</v>
      </c>
      <c r="J56" s="56"/>
    </row>
    <row r="57" ht="20" customHeight="1" spans="2:10">
      <c r="B57" s="42">
        <v>9</v>
      </c>
      <c r="C57" s="42"/>
      <c r="D57" s="42"/>
      <c r="E57" s="42"/>
      <c r="F57" s="54"/>
      <c r="G57" s="56"/>
      <c r="H57" s="56"/>
      <c r="I57" s="58">
        <f t="shared" si="1"/>
        <v>7488.06</v>
      </c>
      <c r="J57" s="56"/>
    </row>
    <row r="58" ht="20" customHeight="1" spans="2:10">
      <c r="B58" s="42"/>
      <c r="C58" s="42"/>
      <c r="D58" s="42"/>
      <c r="E58" s="54"/>
      <c r="F58" s="54"/>
      <c r="G58" s="56"/>
      <c r="H58" s="56"/>
      <c r="I58" s="58">
        <f t="shared" si="1"/>
        <v>7488.06</v>
      </c>
      <c r="J58" s="56"/>
    </row>
    <row r="59" ht="20" customHeight="1" spans="2:10">
      <c r="B59" s="42"/>
      <c r="C59" s="42"/>
      <c r="D59" s="42"/>
      <c r="E59" s="42"/>
      <c r="F59" s="42"/>
      <c r="G59" s="56"/>
      <c r="H59" s="56"/>
      <c r="I59" s="58">
        <f t="shared" si="1"/>
        <v>7488.06</v>
      </c>
      <c r="J59" s="56"/>
    </row>
    <row r="60" ht="20" customHeight="1" spans="2:10">
      <c r="B60" s="42"/>
      <c r="C60" s="42"/>
      <c r="D60" s="42"/>
      <c r="E60" s="42"/>
      <c r="F60" s="54"/>
      <c r="G60" s="56"/>
      <c r="H60" s="56"/>
      <c r="I60" s="58">
        <f t="shared" si="1"/>
        <v>7488.06</v>
      </c>
      <c r="J60" s="56"/>
    </row>
    <row r="61" ht="20" customHeight="1" spans="2:10">
      <c r="B61" s="42"/>
      <c r="C61" s="42"/>
      <c r="D61" s="42"/>
      <c r="E61" s="42"/>
      <c r="F61" s="54"/>
      <c r="G61" s="56"/>
      <c r="H61" s="56"/>
      <c r="I61" s="58">
        <f t="shared" si="1"/>
        <v>7488.06</v>
      </c>
      <c r="J61" s="56"/>
    </row>
    <row r="62" ht="20" customHeight="1" spans="2:10">
      <c r="B62" s="42"/>
      <c r="C62" s="42"/>
      <c r="D62" s="42"/>
      <c r="E62" s="42"/>
      <c r="F62" s="54"/>
      <c r="G62" s="56"/>
      <c r="H62" s="56"/>
      <c r="I62" s="58">
        <f t="shared" si="1"/>
        <v>7488.06</v>
      </c>
      <c r="J62" s="56"/>
    </row>
    <row r="63" ht="20" customHeight="1" spans="2:10">
      <c r="B63" s="42"/>
      <c r="C63" s="42"/>
      <c r="D63" s="42"/>
      <c r="E63" s="42"/>
      <c r="F63" s="54"/>
      <c r="G63" s="56"/>
      <c r="H63" s="56"/>
      <c r="I63" s="58">
        <f t="shared" si="1"/>
        <v>7488.06</v>
      </c>
      <c r="J63" s="56"/>
    </row>
    <row r="64" ht="20" customHeight="1" spans="2:10">
      <c r="B64" s="42"/>
      <c r="C64" s="42"/>
      <c r="D64" s="42"/>
      <c r="E64" s="42"/>
      <c r="F64" s="54"/>
      <c r="G64" s="56"/>
      <c r="H64" s="56"/>
      <c r="I64" s="58">
        <f t="shared" si="1"/>
        <v>7488.06</v>
      </c>
      <c r="J64" s="56"/>
    </row>
    <row r="65" ht="20" customHeight="1" spans="2:10">
      <c r="B65" s="42"/>
      <c r="C65" s="42"/>
      <c r="D65" s="42"/>
      <c r="E65" s="54"/>
      <c r="F65" s="54"/>
      <c r="G65" s="56"/>
      <c r="H65" s="56"/>
      <c r="I65" s="58">
        <f t="shared" si="1"/>
        <v>7488.06</v>
      </c>
      <c r="J65" s="56"/>
    </row>
    <row r="66" ht="20" customHeight="1" spans="2:10">
      <c r="B66" s="42"/>
      <c r="C66" s="42"/>
      <c r="D66" s="42"/>
      <c r="E66" s="42"/>
      <c r="F66" s="54"/>
      <c r="G66" s="56"/>
      <c r="H66" s="56"/>
      <c r="I66" s="58">
        <f t="shared" si="1"/>
        <v>7488.06</v>
      </c>
      <c r="J66" s="56"/>
    </row>
    <row r="67" ht="20" customHeight="1" spans="2:10">
      <c r="B67" s="42"/>
      <c r="C67" s="42"/>
      <c r="D67" s="42"/>
      <c r="E67" s="44"/>
      <c r="F67" s="136"/>
      <c r="G67" s="56"/>
      <c r="H67" s="56"/>
      <c r="I67" s="58">
        <f t="shared" si="1"/>
        <v>7488.06</v>
      </c>
      <c r="J67" s="56"/>
    </row>
    <row r="68" ht="20" customHeight="1" spans="2:10">
      <c r="B68" s="42"/>
      <c r="C68" s="42"/>
      <c r="D68" s="42"/>
      <c r="E68" s="95"/>
      <c r="F68" s="95"/>
      <c r="G68" s="56"/>
      <c r="H68" s="56"/>
      <c r="I68" s="58">
        <f t="shared" si="1"/>
        <v>7488.06</v>
      </c>
      <c r="J68" s="56"/>
    </row>
    <row r="69" ht="20" customHeight="1" spans="2:10">
      <c r="B69" s="42"/>
      <c r="C69" s="42"/>
      <c r="D69" s="42"/>
      <c r="E69" s="95"/>
      <c r="F69" s="95"/>
      <c r="G69" s="56"/>
      <c r="H69" s="56"/>
      <c r="I69" s="58">
        <f t="shared" si="1"/>
        <v>7488.06</v>
      </c>
      <c r="J69" s="56"/>
    </row>
    <row r="70" ht="20" customHeight="1" spans="2:10">
      <c r="B70" s="42"/>
      <c r="C70" s="42"/>
      <c r="D70" s="42"/>
      <c r="E70" s="95"/>
      <c r="F70" s="95"/>
      <c r="G70" s="56"/>
      <c r="H70" s="56"/>
      <c r="I70" s="58">
        <f t="shared" si="1"/>
        <v>7488.06</v>
      </c>
      <c r="J70" s="56"/>
    </row>
    <row r="71" ht="20" customHeight="1" spans="2:10">
      <c r="B71" s="42"/>
      <c r="C71" s="42"/>
      <c r="D71" s="42"/>
      <c r="E71" s="44"/>
      <c r="F71" s="45"/>
      <c r="G71" s="56"/>
      <c r="H71" s="56"/>
      <c r="I71" s="58">
        <f t="shared" si="1"/>
        <v>7488.06</v>
      </c>
      <c r="J71" s="56"/>
    </row>
    <row r="72" ht="20" customHeight="1" spans="2:10">
      <c r="B72" s="42"/>
      <c r="C72" s="42"/>
      <c r="D72" s="42"/>
      <c r="E72" s="95"/>
      <c r="F72" s="95"/>
      <c r="G72" s="56"/>
      <c r="H72" s="56"/>
      <c r="I72" s="58">
        <f t="shared" si="1"/>
        <v>7488.06</v>
      </c>
      <c r="J72" s="56"/>
    </row>
    <row r="73" ht="20" customHeight="1" spans="2:10">
      <c r="B73" s="42"/>
      <c r="C73" s="42"/>
      <c r="D73" s="42"/>
      <c r="E73" s="44"/>
      <c r="F73" s="45"/>
      <c r="G73" s="56"/>
      <c r="H73" s="56"/>
      <c r="I73" s="58">
        <f t="shared" si="1"/>
        <v>7488.06</v>
      </c>
      <c r="J73" s="56"/>
    </row>
    <row r="74" ht="20" customHeight="1" spans="2:10">
      <c r="B74" s="42"/>
      <c r="C74" s="42"/>
      <c r="D74" s="42"/>
      <c r="E74" s="45"/>
      <c r="F74" s="45"/>
      <c r="G74" s="56"/>
      <c r="H74" s="56"/>
      <c r="I74" s="58">
        <f t="shared" si="1"/>
        <v>7488.06</v>
      </c>
      <c r="J74" s="56"/>
    </row>
    <row r="75" ht="20" customHeight="1" spans="2:10">
      <c r="B75" s="42"/>
      <c r="C75" s="42"/>
      <c r="D75" s="42"/>
      <c r="E75" s="44"/>
      <c r="F75" s="45"/>
      <c r="G75" s="56"/>
      <c r="H75" s="56"/>
      <c r="I75" s="58">
        <f t="shared" si="1"/>
        <v>7488.06</v>
      </c>
      <c r="J75" s="56"/>
    </row>
    <row r="76" ht="20" customHeight="1" spans="2:10">
      <c r="B76" s="42"/>
      <c r="C76" s="42"/>
      <c r="D76" s="42"/>
      <c r="E76" s="117"/>
      <c r="F76" s="45"/>
      <c r="G76" s="56"/>
      <c r="H76" s="56"/>
      <c r="I76" s="58">
        <f t="shared" si="1"/>
        <v>7488.06</v>
      </c>
      <c r="J76" s="56"/>
    </row>
    <row r="77" ht="20" customHeight="1" spans="2:10">
      <c r="B77" s="42"/>
      <c r="C77" s="42"/>
      <c r="D77" s="42"/>
      <c r="E77" s="42"/>
      <c r="F77" s="45"/>
      <c r="G77" s="56"/>
      <c r="H77" s="56"/>
      <c r="I77" s="58">
        <f t="shared" si="1"/>
        <v>7488.06</v>
      </c>
      <c r="J77" s="56"/>
    </row>
    <row r="78" ht="20" customHeight="1" spans="2:10">
      <c r="B78" s="42"/>
      <c r="C78" s="42"/>
      <c r="D78" s="42"/>
      <c r="E78" s="42"/>
      <c r="F78" s="45"/>
      <c r="G78" s="56"/>
      <c r="H78" s="56"/>
      <c r="I78" s="58">
        <f t="shared" si="1"/>
        <v>7488.06</v>
      </c>
      <c r="J78" s="56"/>
    </row>
    <row r="79" ht="20" customHeight="1" spans="2:10">
      <c r="B79" s="42"/>
      <c r="C79" s="42"/>
      <c r="D79" s="42"/>
      <c r="E79" s="42"/>
      <c r="F79" s="54"/>
      <c r="G79" s="56"/>
      <c r="H79" s="56"/>
      <c r="I79" s="58">
        <f t="shared" si="1"/>
        <v>7488.06</v>
      </c>
      <c r="J79" s="56"/>
    </row>
    <row r="80" ht="20" customHeight="1" spans="2:10">
      <c r="B80" s="42"/>
      <c r="C80" s="42"/>
      <c r="D80" s="42"/>
      <c r="E80" s="42"/>
      <c r="F80" s="54"/>
      <c r="G80" s="56"/>
      <c r="H80" s="56"/>
      <c r="I80" s="58">
        <f t="shared" si="1"/>
        <v>7488.06</v>
      </c>
      <c r="J80" s="56"/>
    </row>
    <row r="81" ht="20" customHeight="1" spans="2:10">
      <c r="B81" s="42"/>
      <c r="C81" s="42"/>
      <c r="D81" s="42"/>
      <c r="E81" s="42"/>
      <c r="F81" s="54"/>
      <c r="G81" s="56"/>
      <c r="H81" s="56"/>
      <c r="I81" s="58">
        <f t="shared" si="1"/>
        <v>7488.06</v>
      </c>
      <c r="J81" s="56"/>
    </row>
    <row r="82" ht="20" customHeight="1" spans="2:10">
      <c r="B82" s="42"/>
      <c r="C82" s="42"/>
      <c r="D82" s="42"/>
      <c r="E82" s="54"/>
      <c r="F82" s="54"/>
      <c r="G82" s="56"/>
      <c r="H82" s="56"/>
      <c r="I82" s="58">
        <f t="shared" si="1"/>
        <v>7488.06</v>
      </c>
      <c r="J82" s="56"/>
    </row>
    <row r="83" ht="20" customHeight="1" spans="2:10">
      <c r="B83" s="42"/>
      <c r="C83" s="42"/>
      <c r="D83" s="42"/>
      <c r="E83" s="42"/>
      <c r="F83" s="42"/>
      <c r="G83" s="56"/>
      <c r="H83" s="56"/>
      <c r="I83" s="58">
        <f t="shared" si="1"/>
        <v>7488.06</v>
      </c>
      <c r="J83" s="56"/>
    </row>
    <row r="84" ht="20" customHeight="1" spans="2:10">
      <c r="B84" s="42"/>
      <c r="C84" s="42"/>
      <c r="D84" s="42"/>
      <c r="E84" s="42"/>
      <c r="F84" s="54"/>
      <c r="G84" s="56"/>
      <c r="H84" s="56"/>
      <c r="I84" s="58">
        <f t="shared" si="1"/>
        <v>7488.06</v>
      </c>
      <c r="J84" s="56"/>
    </row>
    <row r="85" ht="20" customHeight="1" spans="2:10">
      <c r="B85" s="42"/>
      <c r="C85" s="42"/>
      <c r="D85" s="42"/>
      <c r="E85" s="42"/>
      <c r="F85" s="54"/>
      <c r="G85" s="56"/>
      <c r="H85" s="56"/>
      <c r="I85" s="58">
        <f t="shared" si="1"/>
        <v>7488.06</v>
      </c>
      <c r="J85" s="56"/>
    </row>
    <row r="86" ht="20" customHeight="1" spans="2:10">
      <c r="B86" s="42"/>
      <c r="C86" s="42"/>
      <c r="D86" s="42"/>
      <c r="E86" s="42"/>
      <c r="F86" s="54"/>
      <c r="G86" s="56"/>
      <c r="H86" s="56"/>
      <c r="I86" s="58">
        <f t="shared" si="1"/>
        <v>7488.06</v>
      </c>
      <c r="J86" s="56"/>
    </row>
    <row r="87" ht="20" customHeight="1" spans="2:10">
      <c r="B87" s="42"/>
      <c r="C87" s="42"/>
      <c r="D87" s="42"/>
      <c r="E87" s="42"/>
      <c r="F87" s="54"/>
      <c r="G87" s="56"/>
      <c r="H87" s="56"/>
      <c r="I87" s="58">
        <f t="shared" si="1"/>
        <v>7488.06</v>
      </c>
      <c r="J87" s="56"/>
    </row>
    <row r="88" ht="20" customHeight="1" spans="2:10">
      <c r="B88" s="42"/>
      <c r="C88" s="42"/>
      <c r="D88" s="42"/>
      <c r="E88" s="42"/>
      <c r="F88" s="54"/>
      <c r="G88" s="56"/>
      <c r="H88" s="56"/>
      <c r="I88" s="58">
        <f t="shared" si="1"/>
        <v>7488.06</v>
      </c>
      <c r="J88" s="56"/>
    </row>
    <row r="89" ht="20" customHeight="1" spans="2:10">
      <c r="B89" s="42"/>
      <c r="C89" s="42"/>
      <c r="D89" s="42"/>
      <c r="E89" s="54"/>
      <c r="F89" s="54"/>
      <c r="G89" s="56"/>
      <c r="H89" s="56"/>
      <c r="I89" s="58">
        <f t="shared" si="1"/>
        <v>7488.06</v>
      </c>
      <c r="J89" s="56"/>
    </row>
    <row r="90" ht="20" customHeight="1" spans="2:10">
      <c r="B90" s="42"/>
      <c r="C90" s="42"/>
      <c r="D90" s="42"/>
      <c r="E90" s="42"/>
      <c r="F90" s="54"/>
      <c r="G90" s="56"/>
      <c r="H90" s="56"/>
      <c r="I90" s="58">
        <f t="shared" si="1"/>
        <v>7488.06</v>
      </c>
      <c r="J90" s="56"/>
    </row>
    <row r="91" ht="20" customHeight="1" spans="2:10">
      <c r="B91" s="42"/>
      <c r="C91" s="42"/>
      <c r="D91" s="42"/>
      <c r="E91" s="44"/>
      <c r="F91" s="136"/>
      <c r="G91" s="56"/>
      <c r="H91" s="56"/>
      <c r="I91" s="58">
        <f t="shared" si="1"/>
        <v>7488.06</v>
      </c>
      <c r="J91" s="56"/>
    </row>
    <row r="92" ht="20" customHeight="1" spans="2:10">
      <c r="B92" s="42"/>
      <c r="C92" s="42"/>
      <c r="D92" s="42"/>
      <c r="E92" s="95"/>
      <c r="F92" s="95"/>
      <c r="G92" s="56"/>
      <c r="H92" s="56"/>
      <c r="I92" s="58">
        <f t="shared" si="1"/>
        <v>7488.06</v>
      </c>
      <c r="J92" s="56"/>
    </row>
    <row r="93" ht="20" customHeight="1" spans="2:10">
      <c r="B93" s="42"/>
      <c r="C93" s="42"/>
      <c r="D93" s="42"/>
      <c r="E93" s="95"/>
      <c r="F93" s="95"/>
      <c r="G93" s="56"/>
      <c r="H93" s="56"/>
      <c r="I93" s="58">
        <f t="shared" si="1"/>
        <v>7488.06</v>
      </c>
      <c r="J93" s="56"/>
    </row>
    <row r="94" ht="20" customHeight="1" spans="2:10">
      <c r="B94" s="42"/>
      <c r="C94" s="42"/>
      <c r="D94" s="42"/>
      <c r="E94" s="95"/>
      <c r="F94" s="95"/>
      <c r="G94" s="56"/>
      <c r="H94" s="56"/>
      <c r="I94" s="58">
        <f t="shared" si="1"/>
        <v>7488.06</v>
      </c>
      <c r="J94" s="56"/>
    </row>
    <row r="95" ht="20" customHeight="1" spans="2:10">
      <c r="B95" s="42"/>
      <c r="C95" s="42"/>
      <c r="D95" s="42"/>
      <c r="E95" s="44"/>
      <c r="F95" s="45"/>
      <c r="G95" s="56"/>
      <c r="H95" s="56"/>
      <c r="I95" s="58">
        <f t="shared" ref="I95:I138" si="2">I94+G95-H95</f>
        <v>7488.06</v>
      </c>
      <c r="J95" s="56"/>
    </row>
    <row r="96" ht="20" customHeight="1" spans="2:10">
      <c r="B96" s="42"/>
      <c r="C96" s="42"/>
      <c r="D96" s="42"/>
      <c r="E96" s="95"/>
      <c r="F96" s="95"/>
      <c r="G96" s="56"/>
      <c r="H96" s="56"/>
      <c r="I96" s="58">
        <f t="shared" si="2"/>
        <v>7488.06</v>
      </c>
      <c r="J96" s="56"/>
    </row>
    <row r="97" ht="20" customHeight="1" spans="2:10">
      <c r="B97" s="42"/>
      <c r="C97" s="42"/>
      <c r="D97" s="42"/>
      <c r="E97" s="44"/>
      <c r="F97" s="45"/>
      <c r="G97" s="56"/>
      <c r="H97" s="56"/>
      <c r="I97" s="58">
        <f t="shared" si="2"/>
        <v>7488.06</v>
      </c>
      <c r="J97" s="56"/>
    </row>
    <row r="98" ht="20" customHeight="1" spans="2:10">
      <c r="B98" s="42"/>
      <c r="C98" s="42"/>
      <c r="D98" s="42"/>
      <c r="E98" s="45"/>
      <c r="F98" s="45"/>
      <c r="G98" s="56"/>
      <c r="H98" s="56"/>
      <c r="I98" s="58">
        <f t="shared" si="2"/>
        <v>7488.06</v>
      </c>
      <c r="J98" s="56"/>
    </row>
    <row r="99" ht="20" customHeight="1" spans="2:10">
      <c r="B99" s="42"/>
      <c r="C99" s="42"/>
      <c r="D99" s="42"/>
      <c r="E99" s="44"/>
      <c r="F99" s="45"/>
      <c r="G99" s="56"/>
      <c r="H99" s="56"/>
      <c r="I99" s="58">
        <f t="shared" si="2"/>
        <v>7488.06</v>
      </c>
      <c r="J99" s="56"/>
    </row>
    <row r="100" ht="20" customHeight="1" spans="2:10">
      <c r="B100" s="42"/>
      <c r="C100" s="42"/>
      <c r="D100" s="42"/>
      <c r="E100" s="117"/>
      <c r="F100" s="45"/>
      <c r="G100" s="56"/>
      <c r="H100" s="56"/>
      <c r="I100" s="58">
        <f t="shared" si="2"/>
        <v>7488.06</v>
      </c>
      <c r="J100" s="56"/>
    </row>
    <row r="101" ht="20" customHeight="1" spans="2:10">
      <c r="B101" s="42"/>
      <c r="C101" s="42"/>
      <c r="D101" s="42"/>
      <c r="E101" s="42"/>
      <c r="F101" s="45"/>
      <c r="G101" s="56"/>
      <c r="H101" s="56"/>
      <c r="I101" s="58">
        <f t="shared" si="2"/>
        <v>7488.06</v>
      </c>
      <c r="J101" s="56"/>
    </row>
    <row r="102" ht="20" customHeight="1" spans="2:10">
      <c r="B102" s="42"/>
      <c r="C102" s="42"/>
      <c r="D102" s="42"/>
      <c r="E102" s="42"/>
      <c r="F102" s="45"/>
      <c r="G102" s="56"/>
      <c r="H102" s="56"/>
      <c r="I102" s="58">
        <f t="shared" si="2"/>
        <v>7488.06</v>
      </c>
      <c r="J102" s="56"/>
    </row>
    <row r="103" ht="20" customHeight="1" spans="2:10">
      <c r="B103" s="42"/>
      <c r="C103" s="42"/>
      <c r="D103" s="42"/>
      <c r="E103" s="42"/>
      <c r="F103" s="54"/>
      <c r="G103" s="56"/>
      <c r="H103" s="56"/>
      <c r="I103" s="58">
        <f t="shared" si="2"/>
        <v>7488.06</v>
      </c>
      <c r="J103" s="56"/>
    </row>
    <row r="104" ht="20" customHeight="1" spans="2:10">
      <c r="B104" s="42"/>
      <c r="C104" s="42"/>
      <c r="D104" s="42"/>
      <c r="E104" s="42"/>
      <c r="F104" s="54"/>
      <c r="G104" s="56"/>
      <c r="H104" s="56"/>
      <c r="I104" s="58">
        <f t="shared" si="2"/>
        <v>7488.06</v>
      </c>
      <c r="J104" s="56"/>
    </row>
    <row r="105" ht="20" customHeight="1" spans="2:10">
      <c r="B105" s="42"/>
      <c r="C105" s="42"/>
      <c r="D105" s="42"/>
      <c r="E105" s="42"/>
      <c r="F105" s="54"/>
      <c r="G105" s="56"/>
      <c r="H105" s="56"/>
      <c r="I105" s="58">
        <f t="shared" si="2"/>
        <v>7488.06</v>
      </c>
      <c r="J105" s="56"/>
    </row>
    <row r="106" ht="20" customHeight="1" spans="2:10">
      <c r="B106" s="42"/>
      <c r="C106" s="42"/>
      <c r="D106" s="42"/>
      <c r="E106" s="54"/>
      <c r="F106" s="54"/>
      <c r="G106" s="56"/>
      <c r="H106" s="56"/>
      <c r="I106" s="58">
        <f t="shared" si="2"/>
        <v>7488.06</v>
      </c>
      <c r="J106" s="56"/>
    </row>
    <row r="107" ht="20" customHeight="1" spans="2:10">
      <c r="B107" s="42"/>
      <c r="C107" s="42"/>
      <c r="D107" s="42"/>
      <c r="E107" s="42"/>
      <c r="F107" s="42"/>
      <c r="G107" s="56"/>
      <c r="H107" s="56"/>
      <c r="I107" s="58">
        <f t="shared" si="2"/>
        <v>7488.06</v>
      </c>
      <c r="J107" s="56"/>
    </row>
    <row r="108" ht="20" customHeight="1" spans="2:10">
      <c r="B108" s="42"/>
      <c r="C108" s="42"/>
      <c r="D108" s="42"/>
      <c r="E108" s="42"/>
      <c r="F108" s="54"/>
      <c r="G108" s="56"/>
      <c r="H108" s="56"/>
      <c r="I108" s="58">
        <f t="shared" si="2"/>
        <v>7488.06</v>
      </c>
      <c r="J108" s="56"/>
    </row>
    <row r="109" ht="20" customHeight="1" spans="2:10">
      <c r="B109" s="42"/>
      <c r="C109" s="42"/>
      <c r="D109" s="42"/>
      <c r="E109" s="42"/>
      <c r="F109" s="54"/>
      <c r="G109" s="56"/>
      <c r="H109" s="56"/>
      <c r="I109" s="58">
        <f t="shared" si="2"/>
        <v>7488.06</v>
      </c>
      <c r="J109" s="56"/>
    </row>
    <row r="110" ht="20" customHeight="1" spans="2:10">
      <c r="B110" s="42"/>
      <c r="C110" s="42"/>
      <c r="D110" s="42"/>
      <c r="E110" s="42"/>
      <c r="F110" s="54"/>
      <c r="G110" s="56"/>
      <c r="H110" s="56"/>
      <c r="I110" s="58">
        <f t="shared" si="2"/>
        <v>7488.06</v>
      </c>
      <c r="J110" s="56"/>
    </row>
    <row r="111" ht="20" customHeight="1" spans="2:10">
      <c r="B111" s="42"/>
      <c r="C111" s="42"/>
      <c r="D111" s="42"/>
      <c r="E111" s="42"/>
      <c r="F111" s="54"/>
      <c r="G111" s="56"/>
      <c r="H111" s="56"/>
      <c r="I111" s="58">
        <f t="shared" si="2"/>
        <v>7488.06</v>
      </c>
      <c r="J111" s="56"/>
    </row>
    <row r="112" ht="20" customHeight="1" spans="2:10">
      <c r="B112" s="42"/>
      <c r="C112" s="42"/>
      <c r="D112" s="42"/>
      <c r="E112" s="42"/>
      <c r="F112" s="54"/>
      <c r="G112" s="56"/>
      <c r="H112" s="56"/>
      <c r="I112" s="58">
        <f t="shared" si="2"/>
        <v>7488.06</v>
      </c>
      <c r="J112" s="56"/>
    </row>
    <row r="113" ht="20" customHeight="1" spans="2:10">
      <c r="B113" s="42"/>
      <c r="C113" s="42"/>
      <c r="D113" s="42"/>
      <c r="E113" s="54"/>
      <c r="F113" s="54"/>
      <c r="G113" s="56"/>
      <c r="H113" s="56"/>
      <c r="I113" s="58">
        <f t="shared" si="2"/>
        <v>7488.06</v>
      </c>
      <c r="J113" s="56"/>
    </row>
    <row r="114" ht="20" customHeight="1" spans="2:10">
      <c r="B114" s="42"/>
      <c r="C114" s="42"/>
      <c r="D114" s="42"/>
      <c r="E114" s="42"/>
      <c r="F114" s="54"/>
      <c r="G114" s="56"/>
      <c r="H114" s="56"/>
      <c r="I114" s="58">
        <f t="shared" si="2"/>
        <v>7488.06</v>
      </c>
      <c r="J114" s="56"/>
    </row>
    <row r="115" ht="20" customHeight="1" spans="2:10">
      <c r="B115" s="42"/>
      <c r="C115" s="42"/>
      <c r="D115" s="42"/>
      <c r="E115" s="44"/>
      <c r="F115" s="136"/>
      <c r="G115" s="56"/>
      <c r="H115" s="56"/>
      <c r="I115" s="58">
        <f t="shared" si="2"/>
        <v>7488.06</v>
      </c>
      <c r="J115" s="56"/>
    </row>
    <row r="116" ht="20" customHeight="1" spans="2:10">
      <c r="B116" s="42"/>
      <c r="C116" s="42"/>
      <c r="D116" s="42"/>
      <c r="E116" s="95"/>
      <c r="F116" s="95"/>
      <c r="G116" s="56"/>
      <c r="H116" s="56"/>
      <c r="I116" s="58">
        <f t="shared" si="2"/>
        <v>7488.06</v>
      </c>
      <c r="J116" s="56"/>
    </row>
    <row r="117" ht="20" customHeight="1" spans="2:10">
      <c r="B117" s="42"/>
      <c r="C117" s="42"/>
      <c r="D117" s="42"/>
      <c r="E117" s="95"/>
      <c r="F117" s="95"/>
      <c r="G117" s="56"/>
      <c r="H117" s="56"/>
      <c r="I117" s="58">
        <f t="shared" si="2"/>
        <v>7488.06</v>
      </c>
      <c r="J117" s="56"/>
    </row>
    <row r="118" ht="20" customHeight="1" spans="2:10">
      <c r="B118" s="42"/>
      <c r="C118" s="42"/>
      <c r="D118" s="42"/>
      <c r="E118" s="95"/>
      <c r="F118" s="95"/>
      <c r="G118" s="56"/>
      <c r="H118" s="56"/>
      <c r="I118" s="58">
        <f t="shared" si="2"/>
        <v>7488.06</v>
      </c>
      <c r="J118" s="56"/>
    </row>
    <row r="119" ht="20" customHeight="1" spans="2:10">
      <c r="B119" s="42"/>
      <c r="C119" s="42"/>
      <c r="D119" s="42"/>
      <c r="E119" s="44"/>
      <c r="F119" s="45"/>
      <c r="G119" s="56"/>
      <c r="H119" s="56"/>
      <c r="I119" s="58">
        <f t="shared" si="2"/>
        <v>7488.06</v>
      </c>
      <c r="J119" s="56"/>
    </row>
    <row r="120" ht="20" customHeight="1" spans="2:10">
      <c r="B120" s="42"/>
      <c r="C120" s="42"/>
      <c r="D120" s="42"/>
      <c r="E120" s="95"/>
      <c r="F120" s="95"/>
      <c r="G120" s="56"/>
      <c r="H120" s="56"/>
      <c r="I120" s="58">
        <f t="shared" si="2"/>
        <v>7488.06</v>
      </c>
      <c r="J120" s="56"/>
    </row>
    <row r="121" ht="20" customHeight="1" spans="2:10">
      <c r="B121" s="42"/>
      <c r="C121" s="42"/>
      <c r="D121" s="42"/>
      <c r="E121" s="44"/>
      <c r="F121" s="45"/>
      <c r="G121" s="56"/>
      <c r="H121" s="56"/>
      <c r="I121" s="58">
        <f t="shared" si="2"/>
        <v>7488.06</v>
      </c>
      <c r="J121" s="56"/>
    </row>
    <row r="122" ht="20" customHeight="1" spans="2:10">
      <c r="B122" s="42"/>
      <c r="C122" s="42"/>
      <c r="D122" s="42"/>
      <c r="E122" s="45"/>
      <c r="F122" s="45"/>
      <c r="G122" s="56"/>
      <c r="H122" s="56"/>
      <c r="I122" s="58">
        <f t="shared" si="2"/>
        <v>7488.06</v>
      </c>
      <c r="J122" s="56"/>
    </row>
    <row r="123" ht="20" customHeight="1" spans="2:10">
      <c r="B123" s="42"/>
      <c r="C123" s="42"/>
      <c r="D123" s="42"/>
      <c r="E123" s="44"/>
      <c r="F123" s="45"/>
      <c r="G123" s="56"/>
      <c r="H123" s="56"/>
      <c r="I123" s="58">
        <f t="shared" si="2"/>
        <v>7488.06</v>
      </c>
      <c r="J123" s="56"/>
    </row>
    <row r="124" ht="20" customHeight="1" spans="2:10">
      <c r="B124" s="42"/>
      <c r="C124" s="42"/>
      <c r="D124" s="42"/>
      <c r="E124" s="117"/>
      <c r="F124" s="45"/>
      <c r="G124" s="56"/>
      <c r="H124" s="56"/>
      <c r="I124" s="58">
        <f t="shared" si="2"/>
        <v>7488.06</v>
      </c>
      <c r="J124" s="56"/>
    </row>
    <row r="125" ht="20" customHeight="1" spans="2:10">
      <c r="B125" s="42"/>
      <c r="C125" s="42"/>
      <c r="D125" s="42"/>
      <c r="E125" s="42"/>
      <c r="F125" s="45"/>
      <c r="G125" s="56"/>
      <c r="H125" s="56"/>
      <c r="I125" s="58">
        <f t="shared" si="2"/>
        <v>7488.06</v>
      </c>
      <c r="J125" s="56"/>
    </row>
    <row r="126" ht="20" customHeight="1" spans="2:10">
      <c r="B126" s="42"/>
      <c r="C126" s="42"/>
      <c r="D126" s="42"/>
      <c r="E126" s="42"/>
      <c r="F126" s="45"/>
      <c r="G126" s="56"/>
      <c r="H126" s="56"/>
      <c r="I126" s="58">
        <f t="shared" si="2"/>
        <v>7488.06</v>
      </c>
      <c r="J126" s="56"/>
    </row>
    <row r="127" ht="20" customHeight="1" spans="2:10">
      <c r="B127" s="42"/>
      <c r="C127" s="42"/>
      <c r="D127" s="42"/>
      <c r="E127" s="42"/>
      <c r="F127" s="54"/>
      <c r="G127" s="56"/>
      <c r="H127" s="56"/>
      <c r="I127" s="58">
        <f t="shared" si="2"/>
        <v>7488.06</v>
      </c>
      <c r="J127" s="56"/>
    </row>
    <row r="128" ht="20" customHeight="1" spans="2:10">
      <c r="B128" s="42"/>
      <c r="C128" s="42"/>
      <c r="D128" s="42"/>
      <c r="E128" s="42"/>
      <c r="F128" s="54"/>
      <c r="G128" s="56"/>
      <c r="H128" s="56"/>
      <c r="I128" s="58">
        <f t="shared" si="2"/>
        <v>7488.06</v>
      </c>
      <c r="J128" s="56"/>
    </row>
    <row r="129" ht="20" customHeight="1" spans="2:10">
      <c r="B129" s="42"/>
      <c r="C129" s="42"/>
      <c r="D129" s="42"/>
      <c r="E129" s="42"/>
      <c r="F129" s="54"/>
      <c r="G129" s="56"/>
      <c r="H129" s="56"/>
      <c r="I129" s="58">
        <f t="shared" si="2"/>
        <v>7488.06</v>
      </c>
      <c r="J129" s="56"/>
    </row>
    <row r="130" ht="20" customHeight="1" spans="2:10">
      <c r="B130" s="42"/>
      <c r="C130" s="42"/>
      <c r="D130" s="42"/>
      <c r="E130" s="54"/>
      <c r="F130" s="54"/>
      <c r="G130" s="56"/>
      <c r="H130" s="56"/>
      <c r="I130" s="58">
        <f t="shared" si="2"/>
        <v>7488.06</v>
      </c>
      <c r="J130" s="56"/>
    </row>
    <row r="131" ht="20" customHeight="1" spans="2:10">
      <c r="B131" s="42"/>
      <c r="C131" s="42"/>
      <c r="D131" s="42"/>
      <c r="E131" s="42"/>
      <c r="F131" s="42"/>
      <c r="G131" s="56"/>
      <c r="H131" s="56"/>
      <c r="I131" s="58">
        <f t="shared" si="2"/>
        <v>7488.06</v>
      </c>
      <c r="J131" s="56"/>
    </row>
    <row r="132" ht="20" customHeight="1" spans="2:10">
      <c r="B132" s="42"/>
      <c r="C132" s="42"/>
      <c r="D132" s="42"/>
      <c r="E132" s="42"/>
      <c r="F132" s="54"/>
      <c r="G132" s="56"/>
      <c r="H132" s="56"/>
      <c r="I132" s="58">
        <f t="shared" si="2"/>
        <v>7488.06</v>
      </c>
      <c r="J132" s="56"/>
    </row>
    <row r="133" ht="20" customHeight="1" spans="2:10">
      <c r="B133" s="42"/>
      <c r="C133" s="42"/>
      <c r="D133" s="42"/>
      <c r="E133" s="42"/>
      <c r="F133" s="54"/>
      <c r="G133" s="56"/>
      <c r="H133" s="56"/>
      <c r="I133" s="58">
        <f t="shared" si="2"/>
        <v>7488.06</v>
      </c>
      <c r="J133" s="56"/>
    </row>
    <row r="134" ht="20" customHeight="1" spans="2:10">
      <c r="B134" s="42"/>
      <c r="C134" s="42"/>
      <c r="D134" s="42"/>
      <c r="E134" s="42"/>
      <c r="F134" s="54"/>
      <c r="G134" s="56"/>
      <c r="H134" s="56"/>
      <c r="I134" s="58">
        <f t="shared" si="2"/>
        <v>7488.06</v>
      </c>
      <c r="J134" s="56"/>
    </row>
    <row r="135" ht="20" customHeight="1" spans="2:10">
      <c r="B135" s="42"/>
      <c r="C135" s="42"/>
      <c r="D135" s="42"/>
      <c r="E135" s="42"/>
      <c r="F135" s="54"/>
      <c r="G135" s="56"/>
      <c r="H135" s="56"/>
      <c r="I135" s="58">
        <f t="shared" si="2"/>
        <v>7488.06</v>
      </c>
      <c r="J135" s="56"/>
    </row>
    <row r="136" ht="20" customHeight="1" spans="2:10">
      <c r="B136" s="42"/>
      <c r="C136" s="42"/>
      <c r="D136" s="42"/>
      <c r="E136" s="42"/>
      <c r="F136" s="54"/>
      <c r="G136" s="56"/>
      <c r="H136" s="56"/>
      <c r="I136" s="58">
        <f t="shared" si="2"/>
        <v>7488.06</v>
      </c>
      <c r="J136" s="56"/>
    </row>
    <row r="137" ht="20" customHeight="1" spans="2:10">
      <c r="B137" s="42"/>
      <c r="C137" s="42"/>
      <c r="D137" s="42"/>
      <c r="E137" s="54"/>
      <c r="F137" s="54"/>
      <c r="G137" s="56"/>
      <c r="H137" s="56"/>
      <c r="I137" s="58">
        <f t="shared" si="2"/>
        <v>7488.06</v>
      </c>
      <c r="J137" s="56"/>
    </row>
    <row r="138" ht="20" customHeight="1" spans="2:10">
      <c r="B138" s="42"/>
      <c r="C138" s="42"/>
      <c r="D138" s="42"/>
      <c r="E138" s="42"/>
      <c r="F138" s="54"/>
      <c r="G138" s="56"/>
      <c r="H138" s="56"/>
      <c r="I138" s="58">
        <f t="shared" si="2"/>
        <v>7488.06</v>
      </c>
      <c r="J138" s="56"/>
    </row>
    <row r="139" ht="20" customHeight="1" spans="2:10">
      <c r="B139" s="42"/>
      <c r="C139" s="42"/>
      <c r="D139" s="42"/>
      <c r="E139" s="44"/>
      <c r="F139" s="136"/>
      <c r="G139" s="56"/>
      <c r="H139" s="56"/>
      <c r="I139" s="58">
        <f>I18+G139-H139</f>
        <v>7478.41</v>
      </c>
      <c r="J139" s="56"/>
    </row>
    <row r="140" ht="20" customHeight="1" spans="2:10">
      <c r="B140" s="42"/>
      <c r="C140" s="42"/>
      <c r="D140" s="42"/>
      <c r="E140" s="95"/>
      <c r="F140" s="95"/>
      <c r="G140" s="56"/>
      <c r="H140" s="56"/>
      <c r="I140" s="58">
        <f t="shared" ref="I140:I162" si="3">I139+G140-H140</f>
        <v>7478.41</v>
      </c>
      <c r="J140" s="56"/>
    </row>
    <row r="141" ht="20" customHeight="1" spans="2:10">
      <c r="B141" s="42"/>
      <c r="C141" s="42"/>
      <c r="D141" s="42"/>
      <c r="E141" s="95"/>
      <c r="F141" s="95"/>
      <c r="G141" s="56"/>
      <c r="H141" s="56"/>
      <c r="I141" s="58">
        <f t="shared" si="3"/>
        <v>7478.41</v>
      </c>
      <c r="J141" s="56"/>
    </row>
    <row r="142" ht="20" customHeight="1" spans="2:10">
      <c r="B142" s="42"/>
      <c r="C142" s="42"/>
      <c r="D142" s="42"/>
      <c r="E142" s="95"/>
      <c r="F142" s="95"/>
      <c r="G142" s="56"/>
      <c r="H142" s="56"/>
      <c r="I142" s="58">
        <f t="shared" si="3"/>
        <v>7478.41</v>
      </c>
      <c r="J142" s="56"/>
    </row>
    <row r="143" ht="20" customHeight="1" spans="2:10">
      <c r="B143" s="42"/>
      <c r="C143" s="42"/>
      <c r="D143" s="42"/>
      <c r="E143" s="44"/>
      <c r="F143" s="45"/>
      <c r="G143" s="56"/>
      <c r="H143" s="56"/>
      <c r="I143" s="58">
        <f t="shared" si="3"/>
        <v>7478.41</v>
      </c>
      <c r="J143" s="56"/>
    </row>
    <row r="144" ht="20" customHeight="1" spans="2:10">
      <c r="B144" s="42"/>
      <c r="C144" s="42"/>
      <c r="D144" s="42"/>
      <c r="E144" s="95"/>
      <c r="F144" s="95"/>
      <c r="G144" s="56"/>
      <c r="H144" s="56"/>
      <c r="I144" s="58">
        <f t="shared" si="3"/>
        <v>7478.41</v>
      </c>
      <c r="J144" s="56"/>
    </row>
    <row r="145" ht="20" customHeight="1" spans="2:10">
      <c r="B145" s="42"/>
      <c r="C145" s="42"/>
      <c r="D145" s="42"/>
      <c r="E145" s="44"/>
      <c r="F145" s="45"/>
      <c r="G145" s="56"/>
      <c r="H145" s="56"/>
      <c r="I145" s="58">
        <f t="shared" si="3"/>
        <v>7478.41</v>
      </c>
      <c r="J145" s="56"/>
    </row>
    <row r="146" ht="20" customHeight="1" spans="2:10">
      <c r="B146" s="42"/>
      <c r="C146" s="42"/>
      <c r="D146" s="42"/>
      <c r="E146" s="45"/>
      <c r="F146" s="45"/>
      <c r="G146" s="56"/>
      <c r="H146" s="56"/>
      <c r="I146" s="58">
        <f t="shared" si="3"/>
        <v>7478.41</v>
      </c>
      <c r="J146" s="56"/>
    </row>
    <row r="147" ht="20" customHeight="1" spans="2:10">
      <c r="B147" s="42"/>
      <c r="C147" s="42"/>
      <c r="D147" s="42"/>
      <c r="E147" s="44"/>
      <c r="F147" s="45"/>
      <c r="G147" s="56"/>
      <c r="H147" s="56"/>
      <c r="I147" s="58">
        <f t="shared" si="3"/>
        <v>7478.41</v>
      </c>
      <c r="J147" s="56"/>
    </row>
    <row r="148" ht="20" customHeight="1" spans="2:10">
      <c r="B148" s="42"/>
      <c r="C148" s="42"/>
      <c r="D148" s="42"/>
      <c r="E148" s="117"/>
      <c r="F148" s="45"/>
      <c r="G148" s="56"/>
      <c r="H148" s="56"/>
      <c r="I148" s="58">
        <f t="shared" si="3"/>
        <v>7478.41</v>
      </c>
      <c r="J148" s="56"/>
    </row>
    <row r="149" ht="20" customHeight="1" spans="2:10">
      <c r="B149" s="42"/>
      <c r="C149" s="42"/>
      <c r="D149" s="42"/>
      <c r="E149" s="42"/>
      <c r="F149" s="45"/>
      <c r="G149" s="56"/>
      <c r="H149" s="56"/>
      <c r="I149" s="58">
        <f t="shared" si="3"/>
        <v>7478.41</v>
      </c>
      <c r="J149" s="56"/>
    </row>
    <row r="150" ht="20" customHeight="1" spans="2:10">
      <c r="B150" s="42"/>
      <c r="C150" s="42"/>
      <c r="D150" s="42"/>
      <c r="E150" s="42"/>
      <c r="F150" s="45"/>
      <c r="G150" s="56"/>
      <c r="H150" s="56"/>
      <c r="I150" s="58">
        <f t="shared" si="3"/>
        <v>7478.41</v>
      </c>
      <c r="J150" s="56"/>
    </row>
    <row r="151" ht="20" customHeight="1" spans="2:10">
      <c r="B151" s="42"/>
      <c r="C151" s="42"/>
      <c r="D151" s="42"/>
      <c r="E151" s="42"/>
      <c r="F151" s="54"/>
      <c r="G151" s="56"/>
      <c r="H151" s="56"/>
      <c r="I151" s="58">
        <f t="shared" si="3"/>
        <v>7478.41</v>
      </c>
      <c r="J151" s="56"/>
    </row>
    <row r="152" ht="20" customHeight="1" spans="2:10">
      <c r="B152" s="42"/>
      <c r="C152" s="42"/>
      <c r="D152" s="42"/>
      <c r="E152" s="42"/>
      <c r="F152" s="54"/>
      <c r="G152" s="56"/>
      <c r="H152" s="56"/>
      <c r="I152" s="58">
        <f t="shared" si="3"/>
        <v>7478.41</v>
      </c>
      <c r="J152" s="56"/>
    </row>
    <row r="153" ht="20" customHeight="1" spans="2:10">
      <c r="B153" s="42"/>
      <c r="C153" s="42"/>
      <c r="D153" s="42"/>
      <c r="E153" s="42"/>
      <c r="F153" s="54"/>
      <c r="G153" s="56"/>
      <c r="H153" s="56"/>
      <c r="I153" s="58">
        <f t="shared" si="3"/>
        <v>7478.41</v>
      </c>
      <c r="J153" s="56"/>
    </row>
    <row r="154" ht="20" customHeight="1" spans="2:10">
      <c r="B154" s="42"/>
      <c r="C154" s="42"/>
      <c r="D154" s="42"/>
      <c r="E154" s="54"/>
      <c r="F154" s="54"/>
      <c r="G154" s="56"/>
      <c r="H154" s="56"/>
      <c r="I154" s="58">
        <f t="shared" si="3"/>
        <v>7478.41</v>
      </c>
      <c r="J154" s="56"/>
    </row>
    <row r="155" ht="20" customHeight="1" spans="2:10">
      <c r="B155" s="42"/>
      <c r="C155" s="42"/>
      <c r="D155" s="42"/>
      <c r="E155" s="42"/>
      <c r="F155" s="42"/>
      <c r="G155" s="56"/>
      <c r="H155" s="56"/>
      <c r="I155" s="58">
        <f t="shared" si="3"/>
        <v>7478.41</v>
      </c>
      <c r="J155" s="56"/>
    </row>
    <row r="156" ht="20" customHeight="1" spans="2:10">
      <c r="B156" s="42"/>
      <c r="C156" s="42"/>
      <c r="D156" s="42"/>
      <c r="E156" s="42"/>
      <c r="F156" s="54"/>
      <c r="G156" s="56"/>
      <c r="H156" s="56"/>
      <c r="I156" s="58">
        <f t="shared" si="3"/>
        <v>7478.41</v>
      </c>
      <c r="J156" s="56"/>
    </row>
    <row r="157" ht="20" customHeight="1" spans="2:10">
      <c r="B157" s="42"/>
      <c r="C157" s="42"/>
      <c r="D157" s="42"/>
      <c r="E157" s="42"/>
      <c r="F157" s="54"/>
      <c r="G157" s="56"/>
      <c r="H157" s="56"/>
      <c r="I157" s="58">
        <f t="shared" si="3"/>
        <v>7478.41</v>
      </c>
      <c r="J157" s="56"/>
    </row>
    <row r="158" ht="20" customHeight="1" spans="2:10">
      <c r="B158" s="42"/>
      <c r="C158" s="42"/>
      <c r="D158" s="42"/>
      <c r="E158" s="42"/>
      <c r="F158" s="54"/>
      <c r="G158" s="56"/>
      <c r="H158" s="56"/>
      <c r="I158" s="58">
        <f t="shared" si="3"/>
        <v>7478.41</v>
      </c>
      <c r="J158" s="56"/>
    </row>
    <row r="159" ht="20" customHeight="1" spans="2:10">
      <c r="B159" s="42"/>
      <c r="C159" s="42"/>
      <c r="D159" s="42"/>
      <c r="E159" s="42"/>
      <c r="F159" s="54"/>
      <c r="G159" s="56"/>
      <c r="H159" s="56"/>
      <c r="I159" s="58">
        <f t="shared" si="3"/>
        <v>7478.41</v>
      </c>
      <c r="J159" s="56"/>
    </row>
    <row r="160" ht="20" customHeight="1" spans="2:10">
      <c r="B160" s="42"/>
      <c r="C160" s="42"/>
      <c r="D160" s="42"/>
      <c r="E160" s="42"/>
      <c r="F160" s="54"/>
      <c r="G160" s="56"/>
      <c r="H160" s="56"/>
      <c r="I160" s="58">
        <f t="shared" si="3"/>
        <v>7478.41</v>
      </c>
      <c r="J160" s="56"/>
    </row>
    <row r="161" ht="20" customHeight="1" spans="2:10">
      <c r="B161" s="42"/>
      <c r="C161" s="42"/>
      <c r="D161" s="42"/>
      <c r="E161" s="54"/>
      <c r="F161" s="54"/>
      <c r="G161" s="56"/>
      <c r="H161" s="56"/>
      <c r="I161" s="58">
        <f t="shared" si="3"/>
        <v>7478.41</v>
      </c>
      <c r="J161" s="56"/>
    </row>
    <row r="162" ht="20" customHeight="1" spans="2:10">
      <c r="B162" s="42"/>
      <c r="C162" s="42"/>
      <c r="D162" s="42"/>
      <c r="E162" s="42"/>
      <c r="F162" s="54"/>
      <c r="G162" s="56"/>
      <c r="H162" s="56"/>
      <c r="I162" s="58">
        <f t="shared" si="3"/>
        <v>7478.41</v>
      </c>
      <c r="J162" s="56"/>
    </row>
    <row r="163" ht="20" customHeight="1" spans="2:10">
      <c r="B163" s="42"/>
      <c r="C163" s="42"/>
      <c r="D163" s="42"/>
      <c r="E163" s="44"/>
      <c r="F163" s="136"/>
      <c r="G163" s="56"/>
      <c r="H163" s="56"/>
      <c r="I163" s="58">
        <f>I41+G163-H163</f>
        <v>7488.06</v>
      </c>
      <c r="J163" s="56"/>
    </row>
    <row r="164" ht="20" customHeight="1" spans="2:10">
      <c r="B164" s="42"/>
      <c r="C164" s="42"/>
      <c r="D164" s="42"/>
      <c r="E164" s="95"/>
      <c r="F164" s="95"/>
      <c r="G164" s="56"/>
      <c r="H164" s="56"/>
      <c r="I164" s="58">
        <f t="shared" ref="I164:I186" si="4">I163+G164-H164</f>
        <v>7488.06</v>
      </c>
      <c r="J164" s="56"/>
    </row>
    <row r="165" ht="20" customHeight="1" spans="2:10">
      <c r="B165" s="42"/>
      <c r="C165" s="42"/>
      <c r="D165" s="42"/>
      <c r="E165" s="95"/>
      <c r="F165" s="95"/>
      <c r="G165" s="56"/>
      <c r="H165" s="56"/>
      <c r="I165" s="58">
        <f t="shared" si="4"/>
        <v>7488.06</v>
      </c>
      <c r="J165" s="56"/>
    </row>
    <row r="166" ht="20" customHeight="1" spans="2:10">
      <c r="B166" s="42"/>
      <c r="C166" s="42"/>
      <c r="D166" s="42"/>
      <c r="E166" s="95"/>
      <c r="F166" s="95"/>
      <c r="G166" s="56"/>
      <c r="H166" s="56"/>
      <c r="I166" s="58">
        <f t="shared" si="4"/>
        <v>7488.06</v>
      </c>
      <c r="J166" s="56"/>
    </row>
    <row r="167" ht="20" customHeight="1" spans="2:10">
      <c r="B167" s="42"/>
      <c r="C167" s="42"/>
      <c r="D167" s="42"/>
      <c r="E167" s="44"/>
      <c r="F167" s="45"/>
      <c r="G167" s="56"/>
      <c r="H167" s="56"/>
      <c r="I167" s="58">
        <f t="shared" si="4"/>
        <v>7488.06</v>
      </c>
      <c r="J167" s="56"/>
    </row>
    <row r="168" ht="20" customHeight="1" spans="2:10">
      <c r="B168" s="42"/>
      <c r="C168" s="42"/>
      <c r="D168" s="42"/>
      <c r="E168" s="95"/>
      <c r="F168" s="95"/>
      <c r="G168" s="56"/>
      <c r="H168" s="56"/>
      <c r="I168" s="58">
        <f t="shared" si="4"/>
        <v>7488.06</v>
      </c>
      <c r="J168" s="56"/>
    </row>
    <row r="169" ht="20" customHeight="1" spans="2:10">
      <c r="B169" s="42"/>
      <c r="C169" s="42"/>
      <c r="D169" s="42"/>
      <c r="E169" s="44"/>
      <c r="F169" s="45"/>
      <c r="G169" s="56"/>
      <c r="H169" s="56"/>
      <c r="I169" s="58">
        <f t="shared" si="4"/>
        <v>7488.06</v>
      </c>
      <c r="J169" s="56"/>
    </row>
    <row r="170" ht="20" customHeight="1" spans="2:10">
      <c r="B170" s="42"/>
      <c r="C170" s="42"/>
      <c r="D170" s="42"/>
      <c r="E170" s="45"/>
      <c r="F170" s="45"/>
      <c r="G170" s="56"/>
      <c r="H170" s="56"/>
      <c r="I170" s="58">
        <f t="shared" si="4"/>
        <v>7488.06</v>
      </c>
      <c r="J170" s="56"/>
    </row>
    <row r="171" ht="20" customHeight="1" spans="2:10">
      <c r="B171" s="42"/>
      <c r="C171" s="42"/>
      <c r="D171" s="42"/>
      <c r="E171" s="44"/>
      <c r="F171" s="45"/>
      <c r="G171" s="56"/>
      <c r="H171" s="56"/>
      <c r="I171" s="58">
        <f t="shared" si="4"/>
        <v>7488.06</v>
      </c>
      <c r="J171" s="56"/>
    </row>
    <row r="172" ht="20" customHeight="1" spans="2:10">
      <c r="B172" s="42"/>
      <c r="C172" s="42"/>
      <c r="D172" s="42"/>
      <c r="E172" s="117"/>
      <c r="F172" s="45"/>
      <c r="G172" s="56"/>
      <c r="H172" s="56"/>
      <c r="I172" s="58">
        <f t="shared" si="4"/>
        <v>7488.06</v>
      </c>
      <c r="J172" s="56"/>
    </row>
    <row r="173" ht="20" customHeight="1" spans="2:10">
      <c r="B173" s="42"/>
      <c r="C173" s="42"/>
      <c r="D173" s="42"/>
      <c r="E173" s="42"/>
      <c r="F173" s="45"/>
      <c r="G173" s="56"/>
      <c r="H173" s="56"/>
      <c r="I173" s="58">
        <f t="shared" si="4"/>
        <v>7488.06</v>
      </c>
      <c r="J173" s="56"/>
    </row>
    <row r="174" ht="20" customHeight="1" spans="2:10">
      <c r="B174" s="42"/>
      <c r="C174" s="42"/>
      <c r="D174" s="42"/>
      <c r="E174" s="42"/>
      <c r="F174" s="45"/>
      <c r="G174" s="56"/>
      <c r="H174" s="56"/>
      <c r="I174" s="58">
        <f t="shared" si="4"/>
        <v>7488.06</v>
      </c>
      <c r="J174" s="56"/>
    </row>
    <row r="175" ht="20" customHeight="1" spans="2:10">
      <c r="B175" s="42"/>
      <c r="C175" s="42"/>
      <c r="D175" s="42"/>
      <c r="E175" s="42"/>
      <c r="F175" s="54"/>
      <c r="G175" s="56"/>
      <c r="H175" s="56"/>
      <c r="I175" s="58">
        <f t="shared" si="4"/>
        <v>7488.06</v>
      </c>
      <c r="J175" s="56"/>
    </row>
    <row r="176" ht="20" customHeight="1" spans="2:10">
      <c r="B176" s="42"/>
      <c r="C176" s="42"/>
      <c r="D176" s="42"/>
      <c r="E176" s="42"/>
      <c r="F176" s="54"/>
      <c r="G176" s="56"/>
      <c r="H176" s="56"/>
      <c r="I176" s="58">
        <f t="shared" si="4"/>
        <v>7488.06</v>
      </c>
      <c r="J176" s="56"/>
    </row>
    <row r="177" ht="20" customHeight="1" spans="2:10">
      <c r="B177" s="42"/>
      <c r="C177" s="42"/>
      <c r="D177" s="42"/>
      <c r="E177" s="42"/>
      <c r="F177" s="54"/>
      <c r="G177" s="56"/>
      <c r="H177" s="56"/>
      <c r="I177" s="58">
        <f t="shared" si="4"/>
        <v>7488.06</v>
      </c>
      <c r="J177" s="56"/>
    </row>
    <row r="178" ht="20" customHeight="1" spans="2:10">
      <c r="B178" s="42"/>
      <c r="C178" s="42"/>
      <c r="D178" s="42"/>
      <c r="E178" s="54"/>
      <c r="F178" s="54"/>
      <c r="G178" s="56"/>
      <c r="H178" s="56"/>
      <c r="I178" s="58">
        <f t="shared" si="4"/>
        <v>7488.06</v>
      </c>
      <c r="J178" s="56"/>
    </row>
    <row r="179" ht="20" customHeight="1" spans="2:10">
      <c r="B179" s="42"/>
      <c r="C179" s="42"/>
      <c r="D179" s="42"/>
      <c r="E179" s="42"/>
      <c r="F179" s="42"/>
      <c r="G179" s="56"/>
      <c r="H179" s="56"/>
      <c r="I179" s="58">
        <f t="shared" si="4"/>
        <v>7488.06</v>
      </c>
      <c r="J179" s="56"/>
    </row>
    <row r="180" ht="20" customHeight="1" spans="2:10">
      <c r="B180" s="42"/>
      <c r="C180" s="42"/>
      <c r="D180" s="42"/>
      <c r="E180" s="42"/>
      <c r="F180" s="54"/>
      <c r="G180" s="56"/>
      <c r="H180" s="56"/>
      <c r="I180" s="58">
        <f t="shared" si="4"/>
        <v>7488.06</v>
      </c>
      <c r="J180" s="56"/>
    </row>
    <row r="181" ht="20" customHeight="1" spans="2:10">
      <c r="B181" s="42"/>
      <c r="C181" s="42"/>
      <c r="D181" s="42"/>
      <c r="E181" s="42"/>
      <c r="F181" s="54"/>
      <c r="G181" s="56"/>
      <c r="H181" s="56"/>
      <c r="I181" s="58">
        <f t="shared" si="4"/>
        <v>7488.06</v>
      </c>
      <c r="J181" s="56"/>
    </row>
    <row r="182" ht="20" customHeight="1" spans="2:10">
      <c r="B182" s="42"/>
      <c r="C182" s="42"/>
      <c r="D182" s="42"/>
      <c r="E182" s="42"/>
      <c r="F182" s="54"/>
      <c r="G182" s="56"/>
      <c r="H182" s="56"/>
      <c r="I182" s="58">
        <f t="shared" si="4"/>
        <v>7488.06</v>
      </c>
      <c r="J182" s="56"/>
    </row>
    <row r="183" ht="20" customHeight="1" spans="2:10">
      <c r="B183" s="42"/>
      <c r="C183" s="42"/>
      <c r="D183" s="42"/>
      <c r="E183" s="42"/>
      <c r="F183" s="54"/>
      <c r="G183" s="56"/>
      <c r="H183" s="56"/>
      <c r="I183" s="58">
        <f t="shared" si="4"/>
        <v>7488.06</v>
      </c>
      <c r="J183" s="56"/>
    </row>
    <row r="184" ht="20" customHeight="1" spans="2:10">
      <c r="B184" s="42"/>
      <c r="C184" s="42"/>
      <c r="D184" s="42"/>
      <c r="E184" s="42"/>
      <c r="F184" s="54"/>
      <c r="G184" s="56"/>
      <c r="H184" s="56"/>
      <c r="I184" s="58">
        <f t="shared" si="4"/>
        <v>7488.06</v>
      </c>
      <c r="J184" s="56"/>
    </row>
    <row r="185" ht="20" customHeight="1" spans="2:10">
      <c r="B185" s="42"/>
      <c r="C185" s="42"/>
      <c r="D185" s="42"/>
      <c r="E185" s="54"/>
      <c r="F185" s="54"/>
      <c r="G185" s="56"/>
      <c r="H185" s="56"/>
      <c r="I185" s="58">
        <f t="shared" si="4"/>
        <v>7488.06</v>
      </c>
      <c r="J185" s="56"/>
    </row>
    <row r="186" ht="20" customHeight="1" spans="2:10">
      <c r="B186" s="42"/>
      <c r="C186" s="42"/>
      <c r="D186" s="42"/>
      <c r="E186" s="42"/>
      <c r="F186" s="54"/>
      <c r="G186" s="56"/>
      <c r="H186" s="56"/>
      <c r="I186" s="58">
        <f t="shared" si="4"/>
        <v>7488.06</v>
      </c>
      <c r="J186" s="56"/>
    </row>
  </sheetData>
  <autoFilter xmlns:etc="http://www.wps.cn/officeDocument/2017/etCustomData" ref="A3:P186" etc:filterBottomFollowUsedRange="0">
    <extLst/>
  </autoFilter>
  <mergeCells count="1">
    <mergeCell ref="B1:J1"/>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5"/>
  <sheetViews>
    <sheetView zoomScale="90" zoomScaleNormal="90" workbookViewId="0">
      <pane xSplit="4" ySplit="4" topLeftCell="E34" activePane="bottomRight" state="frozen"/>
      <selection/>
      <selection pane="topRight"/>
      <selection pane="bottomLeft"/>
      <selection pane="bottomRight" activeCell="G54" sqref="G54"/>
    </sheetView>
  </sheetViews>
  <sheetFormatPr defaultColWidth="9" defaultRowHeight="13.5"/>
  <cols>
    <col min="1" max="1" width="8.725" style="3" customWidth="1"/>
    <col min="2" max="3" width="4.725" style="3" customWidth="1"/>
    <col min="4" max="4" width="8.63333333333333" style="3" customWidth="1"/>
    <col min="5" max="5" width="31.0916666666667" style="3" customWidth="1"/>
    <col min="6" max="6" width="48.8583333333333" style="3" customWidth="1"/>
    <col min="7" max="7" width="14.725" style="3" customWidth="1"/>
    <col min="8" max="8" width="14.5416666666667" style="3" customWidth="1"/>
    <col min="9" max="9" width="16.1833333333333" style="3" customWidth="1"/>
    <col min="10" max="10" width="19.6333333333333" style="3" customWidth="1"/>
    <col min="11" max="11" width="9.26666666666667" style="3" customWidth="1"/>
    <col min="12" max="12" width="17.7" style="3" customWidth="1"/>
    <col min="13" max="16384" width="9" style="3"/>
  </cols>
  <sheetData>
    <row r="1" ht="24.75" spans="1:16">
      <c r="A1" s="46" t="str">
        <f>HYPERLINK("#目录!a1","返回目录")</f>
        <v>返回目录</v>
      </c>
      <c r="B1" s="47" t="s">
        <v>2487</v>
      </c>
      <c r="C1" s="47"/>
      <c r="D1" s="47"/>
      <c r="E1" s="47"/>
      <c r="F1" s="47"/>
      <c r="G1" s="47"/>
      <c r="H1" s="47"/>
      <c r="I1" s="47"/>
      <c r="J1" s="47"/>
      <c r="K1" s="47"/>
      <c r="L1" s="47"/>
      <c r="M1" s="6"/>
      <c r="N1" s="6"/>
      <c r="O1" s="6"/>
      <c r="P1" s="6"/>
    </row>
    <row r="2" ht="9" customHeight="1" spans="1:16">
      <c r="B2" s="48"/>
      <c r="C2" s="48"/>
      <c r="D2" s="48"/>
      <c r="E2" s="48"/>
      <c r="F2" s="48"/>
      <c r="G2" s="48"/>
      <c r="H2" s="48"/>
      <c r="I2" s="48"/>
      <c r="J2" s="48"/>
      <c r="K2" s="48"/>
      <c r="L2" s="48"/>
      <c r="M2" s="6"/>
      <c r="N2" s="6"/>
      <c r="O2" s="6"/>
      <c r="P2" s="6"/>
    </row>
    <row r="3" ht="21" customHeight="1" spans="1:16">
      <c r="B3" s="49" t="s">
        <v>6</v>
      </c>
      <c r="C3" s="49" t="s">
        <v>7</v>
      </c>
      <c r="D3" s="49" t="s">
        <v>8</v>
      </c>
      <c r="E3" s="49" t="s">
        <v>9</v>
      </c>
      <c r="F3" s="49" t="s">
        <v>10</v>
      </c>
      <c r="G3" s="49" t="s">
        <v>11</v>
      </c>
      <c r="H3" s="49" t="s">
        <v>2488</v>
      </c>
      <c r="I3" s="49" t="s">
        <v>2489</v>
      </c>
      <c r="J3" s="49" t="s">
        <v>12</v>
      </c>
      <c r="K3" s="49" t="s">
        <v>13</v>
      </c>
      <c r="L3" s="49" t="s">
        <v>14</v>
      </c>
    </row>
    <row r="4" ht="20" customHeight="1" spans="1:16">
      <c r="B4" s="42">
        <v>7</v>
      </c>
      <c r="C4" s="42">
        <v>10</v>
      </c>
      <c r="D4" s="42"/>
      <c r="E4" s="74" t="s">
        <v>204</v>
      </c>
      <c r="F4" s="45" t="s">
        <v>2490</v>
      </c>
      <c r="G4" s="56"/>
      <c r="H4" s="56"/>
      <c r="I4" s="56">
        <v>206</v>
      </c>
      <c r="J4" s="56"/>
      <c r="K4" s="58">
        <f>I4-J4</f>
        <v>206</v>
      </c>
      <c r="L4" s="56"/>
    </row>
    <row r="5" ht="20" customHeight="1" spans="1:16">
      <c r="B5" s="42">
        <v>7</v>
      </c>
      <c r="C5" s="42">
        <v>10</v>
      </c>
      <c r="D5" s="74"/>
      <c r="E5" s="95" t="s">
        <v>2491</v>
      </c>
      <c r="F5" s="95" t="s">
        <v>2492</v>
      </c>
      <c r="G5" s="84"/>
      <c r="H5" s="84"/>
      <c r="I5" s="84"/>
      <c r="J5" s="84">
        <v>150</v>
      </c>
      <c r="K5" s="58">
        <f>K4+I5-J5</f>
        <v>56</v>
      </c>
      <c r="L5" s="56"/>
    </row>
    <row r="6" ht="20" customHeight="1" spans="1:16">
      <c r="B6" s="42">
        <v>7</v>
      </c>
      <c r="C6" s="42">
        <v>10</v>
      </c>
      <c r="D6" s="74"/>
      <c r="E6" s="135" t="s">
        <v>2491</v>
      </c>
      <c r="F6" s="135" t="s">
        <v>2493</v>
      </c>
      <c r="G6" s="84"/>
      <c r="H6" s="84"/>
      <c r="I6" s="84"/>
      <c r="J6" s="84">
        <v>56</v>
      </c>
      <c r="K6" s="58">
        <f>K5+I6-J6</f>
        <v>0</v>
      </c>
      <c r="L6" s="56"/>
    </row>
    <row r="7" ht="20" customHeight="1" spans="1:16">
      <c r="B7" s="42">
        <v>7</v>
      </c>
      <c r="C7" s="42">
        <v>30</v>
      </c>
      <c r="D7" s="74"/>
      <c r="E7" s="95" t="s">
        <v>2494</v>
      </c>
      <c r="F7" s="95" t="s">
        <v>2495</v>
      </c>
      <c r="G7" s="84">
        <f>I7+H7</f>
        <v>135</v>
      </c>
      <c r="H7" s="84">
        <v>0.37</v>
      </c>
      <c r="I7" s="84">
        <v>134.63</v>
      </c>
      <c r="J7" s="84"/>
      <c r="K7" s="58">
        <f>K6+I7-J7</f>
        <v>134.63</v>
      </c>
      <c r="L7" s="56"/>
    </row>
    <row r="8" ht="20" customHeight="1" spans="1:16">
      <c r="B8" s="42">
        <v>7</v>
      </c>
      <c r="C8" s="42">
        <v>31</v>
      </c>
      <c r="D8" s="42"/>
      <c r="E8" s="95" t="s">
        <v>2494</v>
      </c>
      <c r="F8" s="95" t="s">
        <v>2495</v>
      </c>
      <c r="G8" s="84">
        <f t="shared" ref="G8:G14" si="0">I8+H8</f>
        <v>384.6</v>
      </c>
      <c r="H8" s="84">
        <v>1.11</v>
      </c>
      <c r="I8" s="84">
        <v>383.49</v>
      </c>
      <c r="J8" s="84"/>
      <c r="K8" s="58">
        <f>K7+I8-J8</f>
        <v>518.12</v>
      </c>
      <c r="L8" s="56"/>
    </row>
    <row r="9" ht="20" customHeight="1" spans="1:16">
      <c r="B9" s="68"/>
      <c r="C9" s="68"/>
      <c r="D9" s="68"/>
      <c r="E9" s="69"/>
      <c r="F9" s="70" t="s">
        <v>22</v>
      </c>
      <c r="G9" s="134">
        <f>SUM(G4:G8)</f>
        <v>519.6</v>
      </c>
      <c r="H9" s="134">
        <f>SUM(H4:H8)</f>
        <v>1.48</v>
      </c>
      <c r="I9" s="134">
        <f>SUM(I4:I8)</f>
        <v>724.12</v>
      </c>
      <c r="J9" s="134">
        <f>SUM(J4:J8)</f>
        <v>206</v>
      </c>
      <c r="K9" s="134">
        <f>K8+I9-J9</f>
        <v>1036.24</v>
      </c>
      <c r="L9" s="56"/>
    </row>
    <row r="10" ht="20" customHeight="1" spans="1:16">
      <c r="B10" s="42">
        <v>8</v>
      </c>
      <c r="C10" s="42">
        <v>1</v>
      </c>
      <c r="D10" s="74"/>
      <c r="E10" s="95" t="s">
        <v>2494</v>
      </c>
      <c r="F10" s="95" t="s">
        <v>2495</v>
      </c>
      <c r="G10" s="84">
        <f t="shared" si="0"/>
        <v>169.7</v>
      </c>
      <c r="H10" s="84">
        <v>0.44</v>
      </c>
      <c r="I10" s="84">
        <v>169.26</v>
      </c>
      <c r="J10" s="84"/>
      <c r="K10" s="58">
        <v>687.38</v>
      </c>
      <c r="L10" s="56"/>
    </row>
    <row r="11" ht="20" customHeight="1" spans="1:16">
      <c r="B11" s="42">
        <v>8</v>
      </c>
      <c r="C11" s="42">
        <v>2</v>
      </c>
      <c r="D11" s="74"/>
      <c r="E11" s="95" t="s">
        <v>2494</v>
      </c>
      <c r="F11" s="95" t="s">
        <v>2495</v>
      </c>
      <c r="G11" s="84">
        <f t="shared" si="0"/>
        <v>148</v>
      </c>
      <c r="H11" s="84">
        <v>0.4</v>
      </c>
      <c r="I11" s="84">
        <v>147.6</v>
      </c>
      <c r="J11" s="84"/>
      <c r="K11" s="58">
        <v>834.98</v>
      </c>
      <c r="L11" s="56"/>
    </row>
    <row r="12" ht="20" customHeight="1" spans="1:16">
      <c r="B12" s="42">
        <v>8</v>
      </c>
      <c r="C12" s="42">
        <v>3</v>
      </c>
      <c r="D12" s="74"/>
      <c r="E12" s="95" t="s">
        <v>2494</v>
      </c>
      <c r="F12" s="95" t="s">
        <v>2495</v>
      </c>
      <c r="G12" s="84">
        <f t="shared" si="0"/>
        <v>63</v>
      </c>
      <c r="H12" s="84">
        <v>0.19</v>
      </c>
      <c r="I12" s="84">
        <v>62.81</v>
      </c>
      <c r="J12" s="84"/>
      <c r="K12" s="58">
        <v>897.79</v>
      </c>
      <c r="L12" s="56"/>
    </row>
    <row r="13" ht="20" customHeight="1" spans="1:16">
      <c r="B13" s="42">
        <v>8</v>
      </c>
      <c r="C13" s="42">
        <v>4</v>
      </c>
      <c r="D13" s="74"/>
      <c r="E13" s="95" t="s">
        <v>2494</v>
      </c>
      <c r="F13" s="95" t="s">
        <v>2495</v>
      </c>
      <c r="G13" s="84">
        <f t="shared" si="0"/>
        <v>128</v>
      </c>
      <c r="H13" s="84">
        <v>0.37</v>
      </c>
      <c r="I13" s="84">
        <v>127.63</v>
      </c>
      <c r="J13" s="84"/>
      <c r="K13" s="58">
        <v>1025.42</v>
      </c>
      <c r="L13" s="56"/>
    </row>
    <row r="14" ht="20" customHeight="1" spans="1:16">
      <c r="B14" s="42">
        <v>8</v>
      </c>
      <c r="C14" s="42">
        <v>5</v>
      </c>
      <c r="D14" s="74"/>
      <c r="E14" s="95" t="s">
        <v>2494</v>
      </c>
      <c r="F14" s="95" t="s">
        <v>2495</v>
      </c>
      <c r="G14" s="84">
        <f t="shared" si="0"/>
        <v>152.8</v>
      </c>
      <c r="H14" s="84">
        <v>0.42</v>
      </c>
      <c r="I14" s="84">
        <v>152.38</v>
      </c>
      <c r="J14" s="84"/>
      <c r="K14" s="58">
        <v>1177.8</v>
      </c>
      <c r="L14" s="56"/>
    </row>
    <row r="15" ht="20" customHeight="1" spans="1:16">
      <c r="B15" s="42">
        <v>8</v>
      </c>
      <c r="C15" s="42">
        <v>6</v>
      </c>
      <c r="D15" s="74"/>
      <c r="E15" s="95" t="s">
        <v>2494</v>
      </c>
      <c r="F15" s="95" t="s">
        <v>2495</v>
      </c>
      <c r="G15" s="84">
        <f t="shared" ref="G15:G40" si="1">I15+H15</f>
        <v>59</v>
      </c>
      <c r="H15" s="84">
        <v>0.18</v>
      </c>
      <c r="I15" s="84">
        <v>58.82</v>
      </c>
      <c r="J15" s="84"/>
      <c r="K15" s="58">
        <v>1236.62</v>
      </c>
      <c r="L15" s="56"/>
    </row>
    <row r="16" ht="20" customHeight="1" spans="1:16">
      <c r="B16" s="42">
        <v>8</v>
      </c>
      <c r="C16" s="42">
        <v>7</v>
      </c>
      <c r="D16" s="74"/>
      <c r="E16" s="95" t="s">
        <v>2494</v>
      </c>
      <c r="F16" s="95" t="s">
        <v>2495</v>
      </c>
      <c r="G16" s="84">
        <f t="shared" si="1"/>
        <v>170.9</v>
      </c>
      <c r="H16" s="84">
        <v>0.49</v>
      </c>
      <c r="I16" s="84">
        <v>170.41</v>
      </c>
      <c r="J16" s="84"/>
      <c r="K16" s="58">
        <v>1407.03</v>
      </c>
      <c r="L16" s="56"/>
    </row>
    <row r="17" ht="20" customHeight="1" spans="2:12">
      <c r="B17" s="42">
        <v>8</v>
      </c>
      <c r="C17" s="42">
        <v>8</v>
      </c>
      <c r="D17" s="74"/>
      <c r="E17" s="95" t="s">
        <v>2494</v>
      </c>
      <c r="F17" s="95" t="s">
        <v>2495</v>
      </c>
      <c r="G17" s="84">
        <f t="shared" si="1"/>
        <v>130.4</v>
      </c>
      <c r="H17" s="84">
        <v>0.37</v>
      </c>
      <c r="I17" s="84">
        <v>130.03</v>
      </c>
      <c r="J17" s="84"/>
      <c r="K17" s="58">
        <v>1537.06</v>
      </c>
      <c r="L17" s="56"/>
    </row>
    <row r="18" ht="20" customHeight="1" spans="2:12">
      <c r="B18" s="42">
        <v>8</v>
      </c>
      <c r="C18" s="42">
        <v>9</v>
      </c>
      <c r="D18" s="74"/>
      <c r="E18" s="95" t="s">
        <v>2494</v>
      </c>
      <c r="F18" s="95" t="s">
        <v>2495</v>
      </c>
      <c r="G18" s="84">
        <f t="shared" si="1"/>
        <v>300.4</v>
      </c>
      <c r="H18" s="84">
        <v>0.84</v>
      </c>
      <c r="I18" s="84">
        <v>299.56</v>
      </c>
      <c r="J18" s="84"/>
      <c r="K18" s="58">
        <v>1836.62</v>
      </c>
      <c r="L18" s="56"/>
    </row>
    <row r="19" ht="20" customHeight="1" spans="2:12">
      <c r="B19" s="42">
        <v>8</v>
      </c>
      <c r="C19" s="42">
        <v>10</v>
      </c>
      <c r="D19" s="74"/>
      <c r="E19" s="95" t="s">
        <v>2494</v>
      </c>
      <c r="F19" s="95" t="s">
        <v>2495</v>
      </c>
      <c r="G19" s="84">
        <f t="shared" si="1"/>
        <v>92.8</v>
      </c>
      <c r="H19" s="84">
        <v>0.24</v>
      </c>
      <c r="I19" s="84">
        <v>92.56</v>
      </c>
      <c r="J19" s="84"/>
      <c r="K19" s="58">
        <v>1929.18</v>
      </c>
      <c r="L19" s="56"/>
    </row>
    <row r="20" ht="20" customHeight="1" spans="2:12">
      <c r="B20" s="42">
        <v>8</v>
      </c>
      <c r="C20" s="42">
        <v>11</v>
      </c>
      <c r="D20" s="74"/>
      <c r="E20" s="95" t="s">
        <v>2494</v>
      </c>
      <c r="F20" s="95" t="s">
        <v>2495</v>
      </c>
      <c r="G20" s="84">
        <f t="shared" si="1"/>
        <v>162</v>
      </c>
      <c r="H20" s="84">
        <v>0.45</v>
      </c>
      <c r="I20" s="84">
        <v>161.55</v>
      </c>
      <c r="J20" s="84"/>
      <c r="K20" s="58">
        <v>2090.73</v>
      </c>
      <c r="L20" s="56"/>
    </row>
    <row r="21" ht="20" customHeight="1" spans="2:12">
      <c r="B21" s="42">
        <v>8</v>
      </c>
      <c r="C21" s="42">
        <v>12</v>
      </c>
      <c r="D21" s="74"/>
      <c r="E21" s="95" t="s">
        <v>2494</v>
      </c>
      <c r="F21" s="95" t="s">
        <v>2495</v>
      </c>
      <c r="G21" s="84">
        <f t="shared" si="1"/>
        <v>108</v>
      </c>
      <c r="H21" s="84">
        <v>0.31</v>
      </c>
      <c r="I21" s="84">
        <v>107.69</v>
      </c>
      <c r="J21" s="84"/>
      <c r="K21" s="58">
        <v>2198.42</v>
      </c>
      <c r="L21" s="56"/>
    </row>
    <row r="22" ht="20" customHeight="1" spans="2:12">
      <c r="B22" s="42">
        <v>8</v>
      </c>
      <c r="C22" s="42">
        <v>13</v>
      </c>
      <c r="D22" s="74"/>
      <c r="E22" s="95" t="s">
        <v>2494</v>
      </c>
      <c r="F22" s="95" t="s">
        <v>2495</v>
      </c>
      <c r="G22" s="84">
        <f t="shared" si="1"/>
        <v>163</v>
      </c>
      <c r="H22" s="84">
        <v>0.47</v>
      </c>
      <c r="I22" s="84">
        <v>162.53</v>
      </c>
      <c r="J22" s="84"/>
      <c r="K22" s="58">
        <v>2360.95</v>
      </c>
      <c r="L22" s="56"/>
    </row>
    <row r="23" ht="20" customHeight="1" spans="2:12">
      <c r="B23" s="42">
        <v>8</v>
      </c>
      <c r="C23" s="42">
        <v>14</v>
      </c>
      <c r="D23" s="74"/>
      <c r="E23" s="95" t="s">
        <v>2494</v>
      </c>
      <c r="F23" s="95" t="s">
        <v>2495</v>
      </c>
      <c r="G23" s="84">
        <f t="shared" si="1"/>
        <v>336.1</v>
      </c>
      <c r="H23" s="84">
        <v>0.92</v>
      </c>
      <c r="I23" s="84">
        <v>335.18</v>
      </c>
      <c r="J23" s="84"/>
      <c r="K23" s="58">
        <v>2696.13</v>
      </c>
      <c r="L23" s="56"/>
    </row>
    <row r="24" ht="20" customHeight="1" spans="2:12">
      <c r="B24" s="42">
        <v>8</v>
      </c>
      <c r="C24" s="42">
        <v>15</v>
      </c>
      <c r="D24" s="74"/>
      <c r="E24" s="95" t="s">
        <v>2494</v>
      </c>
      <c r="F24" s="95" t="s">
        <v>2495</v>
      </c>
      <c r="G24" s="84">
        <f t="shared" si="1"/>
        <v>166.62</v>
      </c>
      <c r="H24" s="56">
        <v>0.46</v>
      </c>
      <c r="I24" s="56">
        <v>166.16</v>
      </c>
      <c r="J24" s="84"/>
      <c r="K24" s="58">
        <v>2862.29</v>
      </c>
      <c r="L24" s="56"/>
    </row>
    <row r="25" ht="20" customHeight="1" spans="2:12">
      <c r="B25" s="42">
        <v>8</v>
      </c>
      <c r="C25" s="42">
        <v>16</v>
      </c>
      <c r="D25" s="42"/>
      <c r="E25" s="95" t="s">
        <v>2494</v>
      </c>
      <c r="F25" s="95" t="s">
        <v>2495</v>
      </c>
      <c r="G25" s="84">
        <f t="shared" si="1"/>
        <v>275.1</v>
      </c>
      <c r="H25" s="84">
        <v>0.75</v>
      </c>
      <c r="I25" s="84">
        <v>274.35</v>
      </c>
      <c r="J25" s="84"/>
      <c r="K25" s="58">
        <v>3136.64</v>
      </c>
      <c r="L25" s="56"/>
    </row>
    <row r="26" ht="20" customHeight="1" spans="2:12">
      <c r="B26" s="42">
        <v>8</v>
      </c>
      <c r="C26" s="42">
        <v>17</v>
      </c>
      <c r="D26" s="42"/>
      <c r="E26" s="95" t="s">
        <v>2494</v>
      </c>
      <c r="F26" s="95" t="s">
        <v>2495</v>
      </c>
      <c r="G26" s="84">
        <f t="shared" si="1"/>
        <v>312</v>
      </c>
      <c r="H26" s="84">
        <v>0.85</v>
      </c>
      <c r="I26" s="84">
        <v>311.15</v>
      </c>
      <c r="J26" s="84"/>
      <c r="K26" s="58">
        <v>3447.79</v>
      </c>
      <c r="L26" s="56"/>
    </row>
    <row r="27" ht="20" customHeight="1" spans="2:12">
      <c r="B27" s="42">
        <v>8</v>
      </c>
      <c r="C27" s="42">
        <v>18</v>
      </c>
      <c r="D27" s="42"/>
      <c r="E27" s="95" t="s">
        <v>2494</v>
      </c>
      <c r="F27" s="95" t="s">
        <v>2495</v>
      </c>
      <c r="G27" s="84">
        <f t="shared" si="1"/>
        <v>142.4</v>
      </c>
      <c r="H27" s="84">
        <v>0.39</v>
      </c>
      <c r="I27" s="84">
        <v>142.01</v>
      </c>
      <c r="J27" s="84"/>
      <c r="K27" s="58">
        <v>3589.8</v>
      </c>
      <c r="L27" s="56"/>
    </row>
    <row r="28" ht="20" customHeight="1" spans="2:12">
      <c r="B28" s="42">
        <v>8</v>
      </c>
      <c r="C28" s="42">
        <v>19</v>
      </c>
      <c r="D28" s="42"/>
      <c r="E28" s="95" t="s">
        <v>2494</v>
      </c>
      <c r="F28" s="95" t="s">
        <v>2495</v>
      </c>
      <c r="G28" s="84">
        <f t="shared" si="1"/>
        <v>215.4</v>
      </c>
      <c r="H28" s="84">
        <v>0.6</v>
      </c>
      <c r="I28" s="84">
        <v>214.8</v>
      </c>
      <c r="J28" s="84"/>
      <c r="K28" s="58">
        <v>3804.6</v>
      </c>
      <c r="L28" s="56"/>
    </row>
    <row r="29" ht="20" customHeight="1" spans="2:12">
      <c r="B29" s="42">
        <v>8</v>
      </c>
      <c r="C29" s="42">
        <v>20</v>
      </c>
      <c r="D29" s="42"/>
      <c r="E29" s="95" t="s">
        <v>2494</v>
      </c>
      <c r="F29" s="95" t="s">
        <v>2495</v>
      </c>
      <c r="G29" s="84">
        <f t="shared" si="1"/>
        <v>206.9</v>
      </c>
      <c r="H29" s="84">
        <v>0.55</v>
      </c>
      <c r="I29" s="84">
        <v>206.35</v>
      </c>
      <c r="J29" s="84"/>
      <c r="K29" s="58">
        <v>4010.95</v>
      </c>
      <c r="L29" s="56"/>
    </row>
    <row r="30" ht="20" customHeight="1" spans="2:12">
      <c r="B30" s="42">
        <v>8</v>
      </c>
      <c r="C30" s="42">
        <v>21</v>
      </c>
      <c r="D30" s="42"/>
      <c r="E30" s="95" t="s">
        <v>2494</v>
      </c>
      <c r="F30" s="95" t="s">
        <v>2495</v>
      </c>
      <c r="G30" s="84">
        <f t="shared" si="1"/>
        <v>217</v>
      </c>
      <c r="H30" s="84">
        <v>0.55</v>
      </c>
      <c r="I30" s="84">
        <v>216.45</v>
      </c>
      <c r="J30" s="84"/>
      <c r="K30" s="58">
        <v>4227.4</v>
      </c>
      <c r="L30" s="56"/>
    </row>
    <row r="31" ht="20" customHeight="1" spans="2:12">
      <c r="B31" s="42">
        <v>8</v>
      </c>
      <c r="C31" s="42">
        <v>22</v>
      </c>
      <c r="D31" s="42"/>
      <c r="E31" s="95" t="s">
        <v>2494</v>
      </c>
      <c r="F31" s="95" t="s">
        <v>2495</v>
      </c>
      <c r="G31" s="84">
        <f t="shared" si="1"/>
        <v>228.5</v>
      </c>
      <c r="H31" s="84">
        <v>0.61</v>
      </c>
      <c r="I31" s="84">
        <v>227.89</v>
      </c>
      <c r="J31" s="84"/>
      <c r="K31" s="58">
        <v>4455.29</v>
      </c>
      <c r="L31" s="56"/>
    </row>
    <row r="32" ht="20" customHeight="1" spans="2:12">
      <c r="B32" s="42">
        <v>8</v>
      </c>
      <c r="C32" s="42">
        <v>23</v>
      </c>
      <c r="D32" s="42"/>
      <c r="E32" s="95" t="s">
        <v>2494</v>
      </c>
      <c r="F32" s="95" t="s">
        <v>2495</v>
      </c>
      <c r="G32" s="84">
        <f t="shared" si="1"/>
        <v>256.76</v>
      </c>
      <c r="H32" s="84">
        <v>0.71</v>
      </c>
      <c r="I32" s="84">
        <v>256.05</v>
      </c>
      <c r="J32" s="84"/>
      <c r="K32" s="58">
        <v>4711.34</v>
      </c>
      <c r="L32" s="56"/>
    </row>
    <row r="33" ht="20" customHeight="1" spans="2:12">
      <c r="B33" s="42">
        <v>8</v>
      </c>
      <c r="C33" s="42">
        <v>24</v>
      </c>
      <c r="D33" s="42"/>
      <c r="E33" s="95" t="s">
        <v>2494</v>
      </c>
      <c r="F33" s="95" t="s">
        <v>2495</v>
      </c>
      <c r="G33" s="84">
        <f t="shared" si="1"/>
        <v>95.9</v>
      </c>
      <c r="H33" s="84">
        <v>0.3</v>
      </c>
      <c r="I33" s="84">
        <v>95.6</v>
      </c>
      <c r="J33" s="84"/>
      <c r="K33" s="58">
        <v>4806.94</v>
      </c>
      <c r="L33" s="56"/>
    </row>
    <row r="34" ht="20" customHeight="1" spans="2:12">
      <c r="B34" s="42">
        <v>8</v>
      </c>
      <c r="C34" s="42">
        <v>25</v>
      </c>
      <c r="D34" s="42"/>
      <c r="E34" s="95" t="s">
        <v>2494</v>
      </c>
      <c r="F34" s="95" t="s">
        <v>2495</v>
      </c>
      <c r="G34" s="84">
        <f t="shared" si="1"/>
        <v>136.05</v>
      </c>
      <c r="H34" s="56">
        <v>0.37</v>
      </c>
      <c r="I34" s="56">
        <v>135.68</v>
      </c>
      <c r="J34" s="56"/>
      <c r="K34" s="58">
        <v>4942.62</v>
      </c>
      <c r="L34" s="56"/>
    </row>
    <row r="35" ht="20" customHeight="1" spans="2:12">
      <c r="B35" s="42">
        <v>8</v>
      </c>
      <c r="C35" s="42">
        <v>26</v>
      </c>
      <c r="D35" s="42"/>
      <c r="E35" s="95" t="s">
        <v>2494</v>
      </c>
      <c r="F35" s="95" t="s">
        <v>2495</v>
      </c>
      <c r="G35" s="84">
        <f t="shared" si="1"/>
        <v>39.3</v>
      </c>
      <c r="H35" s="56">
        <v>0.1</v>
      </c>
      <c r="I35" s="56">
        <v>39.2</v>
      </c>
      <c r="J35" s="56"/>
      <c r="K35" s="58">
        <v>4981.82</v>
      </c>
      <c r="L35" s="56"/>
    </row>
    <row r="36" ht="20" customHeight="1" spans="2:12">
      <c r="B36" s="42">
        <v>8</v>
      </c>
      <c r="C36" s="42">
        <v>27</v>
      </c>
      <c r="D36" s="42"/>
      <c r="E36" s="95" t="s">
        <v>2494</v>
      </c>
      <c r="F36" s="95" t="s">
        <v>2495</v>
      </c>
      <c r="G36" s="84">
        <f t="shared" si="1"/>
        <v>143.9</v>
      </c>
      <c r="H36" s="56">
        <v>0.39</v>
      </c>
      <c r="I36" s="56">
        <v>143.51</v>
      </c>
      <c r="J36" s="56"/>
      <c r="K36" s="58">
        <v>5125.33</v>
      </c>
      <c r="L36" s="56"/>
    </row>
    <row r="37" ht="20" customHeight="1" spans="2:12">
      <c r="B37" s="42">
        <v>8</v>
      </c>
      <c r="C37" s="42">
        <v>28</v>
      </c>
      <c r="D37" s="42"/>
      <c r="E37" s="95" t="s">
        <v>2494</v>
      </c>
      <c r="F37" s="95" t="s">
        <v>2495</v>
      </c>
      <c r="G37" s="84">
        <f t="shared" si="1"/>
        <v>43</v>
      </c>
      <c r="H37" s="56">
        <v>0.13</v>
      </c>
      <c r="I37" s="56">
        <v>42.87</v>
      </c>
      <c r="J37" s="56"/>
      <c r="K37" s="58">
        <v>5168.2</v>
      </c>
      <c r="L37" s="56"/>
    </row>
    <row r="38" ht="20" customHeight="1" spans="2:12">
      <c r="B38" s="42">
        <v>8</v>
      </c>
      <c r="C38" s="42">
        <v>29</v>
      </c>
      <c r="D38" s="42"/>
      <c r="E38" s="95" t="s">
        <v>2494</v>
      </c>
      <c r="F38" s="95" t="s">
        <v>2495</v>
      </c>
      <c r="G38" s="84">
        <f t="shared" si="1"/>
        <v>55.7</v>
      </c>
      <c r="H38" s="56">
        <v>0.15</v>
      </c>
      <c r="I38" s="56">
        <v>55.55</v>
      </c>
      <c r="J38" s="56"/>
      <c r="K38" s="58">
        <v>5223.75</v>
      </c>
      <c r="L38" s="56"/>
    </row>
    <row r="39" ht="20" customHeight="1" spans="2:12">
      <c r="B39" s="42">
        <v>8</v>
      </c>
      <c r="C39" s="42">
        <v>30</v>
      </c>
      <c r="D39" s="42"/>
      <c r="E39" s="95" t="s">
        <v>2494</v>
      </c>
      <c r="F39" s="95" t="s">
        <v>2495</v>
      </c>
      <c r="G39" s="84">
        <f t="shared" si="1"/>
        <v>164</v>
      </c>
      <c r="H39" s="56">
        <v>0.45</v>
      </c>
      <c r="I39" s="56">
        <v>163.55</v>
      </c>
      <c r="J39" s="56"/>
      <c r="K39" s="58">
        <v>5387.3</v>
      </c>
      <c r="L39" s="56"/>
    </row>
    <row r="40" ht="20" customHeight="1" spans="2:12">
      <c r="B40" s="42">
        <v>8</v>
      </c>
      <c r="C40" s="42">
        <v>31</v>
      </c>
      <c r="D40" s="42"/>
      <c r="E40" s="95" t="s">
        <v>2494</v>
      </c>
      <c r="F40" s="95" t="s">
        <v>2495</v>
      </c>
      <c r="G40" s="84">
        <f t="shared" si="1"/>
        <v>178.8</v>
      </c>
      <c r="H40" s="56">
        <v>0.47</v>
      </c>
      <c r="I40" s="56">
        <v>178.33</v>
      </c>
      <c r="J40" s="56"/>
      <c r="K40" s="58">
        <v>5565.63</v>
      </c>
      <c r="L40" s="56"/>
    </row>
    <row r="41" ht="20" customHeight="1" spans="2:12">
      <c r="B41" s="68"/>
      <c r="C41" s="68"/>
      <c r="D41" s="68"/>
      <c r="E41" s="69"/>
      <c r="F41" s="70" t="s">
        <v>22</v>
      </c>
      <c r="G41" s="134">
        <f>SUM(G10:G40)</f>
        <v>5061.43</v>
      </c>
      <c r="H41" s="134">
        <v>4800</v>
      </c>
      <c r="I41" s="134">
        <f>SUM(I10:I40)</f>
        <v>5047.51</v>
      </c>
      <c r="J41" s="134">
        <f>SUM(J10:J40)</f>
        <v>0</v>
      </c>
      <c r="K41" s="134">
        <v>5565.63</v>
      </c>
      <c r="L41" s="56"/>
    </row>
    <row r="42" ht="20" customHeight="1" spans="2:12">
      <c r="B42" s="42">
        <v>9</v>
      </c>
      <c r="C42" s="42">
        <v>1</v>
      </c>
      <c r="D42" s="42"/>
      <c r="E42" s="95" t="s">
        <v>2494</v>
      </c>
      <c r="F42" s="95" t="s">
        <v>2495</v>
      </c>
      <c r="G42" s="84">
        <f t="shared" ref="G42:G54" si="2">I42+H42</f>
        <v>65.8</v>
      </c>
      <c r="H42" s="56">
        <v>0.18</v>
      </c>
      <c r="I42" s="56">
        <v>65.62</v>
      </c>
      <c r="J42" s="56"/>
      <c r="K42" s="58">
        <v>5631.25</v>
      </c>
      <c r="L42" s="56"/>
    </row>
    <row r="43" ht="20" customHeight="1" spans="2:12">
      <c r="B43" s="42">
        <v>9</v>
      </c>
      <c r="C43" s="42">
        <v>2</v>
      </c>
      <c r="D43" s="42"/>
      <c r="E43" s="95" t="s">
        <v>2494</v>
      </c>
      <c r="F43" s="95" t="s">
        <v>2495</v>
      </c>
      <c r="G43" s="84">
        <f t="shared" si="2"/>
        <v>118.9</v>
      </c>
      <c r="H43" s="56">
        <v>0.31</v>
      </c>
      <c r="I43" s="56">
        <v>118.59</v>
      </c>
      <c r="J43" s="56"/>
      <c r="K43" s="58">
        <v>5749.84</v>
      </c>
      <c r="L43" s="56"/>
    </row>
    <row r="44" ht="20" customHeight="1" spans="2:12">
      <c r="B44" s="42">
        <v>9</v>
      </c>
      <c r="C44" s="42">
        <v>3</v>
      </c>
      <c r="D44" s="42"/>
      <c r="E44" s="95" t="s">
        <v>2494</v>
      </c>
      <c r="F44" s="95" t="s">
        <v>2495</v>
      </c>
      <c r="G44" s="84">
        <f t="shared" si="2"/>
        <v>128.95</v>
      </c>
      <c r="H44" s="56">
        <v>0.38</v>
      </c>
      <c r="I44" s="56">
        <v>128.57</v>
      </c>
      <c r="J44" s="56"/>
      <c r="K44" s="58">
        <v>5878.41</v>
      </c>
      <c r="L44" s="56"/>
    </row>
    <row r="45" ht="20" customHeight="1" spans="2:12">
      <c r="B45" s="42">
        <v>9</v>
      </c>
      <c r="C45" s="42">
        <v>4</v>
      </c>
      <c r="D45" s="42"/>
      <c r="E45" s="95" t="s">
        <v>2494</v>
      </c>
      <c r="F45" s="95" t="s">
        <v>2495</v>
      </c>
      <c r="G45" s="84">
        <f t="shared" si="2"/>
        <v>97.01</v>
      </c>
      <c r="H45" s="56">
        <v>0.27</v>
      </c>
      <c r="I45" s="56">
        <v>96.74</v>
      </c>
      <c r="J45" s="56"/>
      <c r="K45" s="58">
        <v>5975.15</v>
      </c>
      <c r="L45" s="56"/>
    </row>
    <row r="46" ht="20" customHeight="1" spans="2:12">
      <c r="B46" s="42">
        <v>9</v>
      </c>
      <c r="C46" s="42">
        <v>5</v>
      </c>
      <c r="D46" s="42"/>
      <c r="E46" s="95" t="s">
        <v>2494</v>
      </c>
      <c r="F46" s="95" t="s">
        <v>2495</v>
      </c>
      <c r="G46" s="84">
        <f t="shared" si="2"/>
        <v>164.9</v>
      </c>
      <c r="H46" s="56">
        <v>0.45</v>
      </c>
      <c r="I46" s="56">
        <v>164.45</v>
      </c>
      <c r="J46" s="56"/>
      <c r="K46" s="58">
        <v>6139.6</v>
      </c>
      <c r="L46" s="56"/>
    </row>
    <row r="47" ht="20" customHeight="1" spans="2:12">
      <c r="B47" s="42">
        <v>9</v>
      </c>
      <c r="C47" s="42">
        <v>7</v>
      </c>
      <c r="D47" s="42"/>
      <c r="E47" s="95" t="s">
        <v>2494</v>
      </c>
      <c r="F47" s="95" t="s">
        <v>2495</v>
      </c>
      <c r="G47" s="84">
        <f t="shared" si="2"/>
        <v>6</v>
      </c>
      <c r="H47" s="56">
        <v>0.02</v>
      </c>
      <c r="I47" s="56">
        <v>5.98</v>
      </c>
      <c r="J47" s="56"/>
      <c r="K47" s="58">
        <v>6145.58</v>
      </c>
      <c r="L47" s="56"/>
    </row>
    <row r="48" ht="20" customHeight="1" spans="2:12">
      <c r="B48" s="42">
        <v>9</v>
      </c>
      <c r="C48" s="42">
        <v>8</v>
      </c>
      <c r="D48" s="42"/>
      <c r="E48" s="95" t="s">
        <v>2494</v>
      </c>
      <c r="F48" s="95" t="s">
        <v>2495</v>
      </c>
      <c r="G48" s="84">
        <f t="shared" si="2"/>
        <v>24</v>
      </c>
      <c r="H48" s="56">
        <v>0.07</v>
      </c>
      <c r="I48" s="56">
        <v>23.93</v>
      </c>
      <c r="J48" s="56"/>
      <c r="K48" s="58">
        <v>6169.51</v>
      </c>
      <c r="L48" s="56"/>
    </row>
    <row r="49" ht="20" customHeight="1" spans="2:12">
      <c r="B49" s="42">
        <v>9</v>
      </c>
      <c r="C49" s="42">
        <v>9</v>
      </c>
      <c r="D49" s="42"/>
      <c r="E49" s="95" t="s">
        <v>2494</v>
      </c>
      <c r="F49" s="95" t="s">
        <v>2495</v>
      </c>
      <c r="G49" s="84">
        <f t="shared" si="2"/>
        <v>9</v>
      </c>
      <c r="H49" s="56">
        <v>0.03</v>
      </c>
      <c r="I49" s="56">
        <v>8.97</v>
      </c>
      <c r="J49" s="56"/>
      <c r="K49" s="58">
        <v>6178.48</v>
      </c>
      <c r="L49" s="56"/>
    </row>
    <row r="50" ht="20" customHeight="1" spans="2:12">
      <c r="B50" s="42">
        <v>9</v>
      </c>
      <c r="C50" s="42">
        <v>11</v>
      </c>
      <c r="D50" s="42"/>
      <c r="E50" s="95" t="s">
        <v>2494</v>
      </c>
      <c r="F50" s="95" t="s">
        <v>2495</v>
      </c>
      <c r="G50" s="84">
        <f t="shared" si="2"/>
        <v>9</v>
      </c>
      <c r="H50" s="56">
        <v>0.03</v>
      </c>
      <c r="I50" s="56">
        <v>8.97</v>
      </c>
      <c r="J50" s="56"/>
      <c r="K50" s="58">
        <v>6187.45</v>
      </c>
      <c r="L50" s="56"/>
    </row>
    <row r="51" ht="20" customHeight="1" spans="2:12">
      <c r="B51" s="42">
        <v>9</v>
      </c>
      <c r="C51" s="42">
        <v>13</v>
      </c>
      <c r="D51" s="42"/>
      <c r="E51" s="95" t="s">
        <v>2494</v>
      </c>
      <c r="F51" s="95" t="s">
        <v>2495</v>
      </c>
      <c r="G51" s="84">
        <f t="shared" si="2"/>
        <v>27</v>
      </c>
      <c r="H51" s="56">
        <v>0.07</v>
      </c>
      <c r="I51" s="56">
        <v>26.93</v>
      </c>
      <c r="J51" s="56"/>
      <c r="K51" s="58">
        <v>6214.38</v>
      </c>
      <c r="L51" s="56"/>
    </row>
    <row r="52" ht="20" customHeight="1" spans="2:12">
      <c r="B52" s="42">
        <v>9</v>
      </c>
      <c r="C52" s="42">
        <v>14</v>
      </c>
      <c r="D52" s="42"/>
      <c r="E52" s="95" t="s">
        <v>2494</v>
      </c>
      <c r="F52" s="95" t="s">
        <v>2495</v>
      </c>
      <c r="G52" s="84">
        <f t="shared" si="2"/>
        <v>57.1</v>
      </c>
      <c r="H52" s="56">
        <v>0.14</v>
      </c>
      <c r="I52" s="56">
        <v>56.96</v>
      </c>
      <c r="J52" s="56"/>
      <c r="K52" s="58">
        <v>6271.34</v>
      </c>
      <c r="L52" s="56"/>
    </row>
    <row r="53" ht="20" customHeight="1" spans="2:12">
      <c r="B53" s="42">
        <v>9</v>
      </c>
      <c r="C53" s="42">
        <v>15</v>
      </c>
      <c r="D53" s="42"/>
      <c r="E53" s="95" t="s">
        <v>2494</v>
      </c>
      <c r="F53" s="95" t="s">
        <v>2495</v>
      </c>
      <c r="G53" s="84">
        <f t="shared" si="2"/>
        <v>18.16</v>
      </c>
      <c r="H53" s="56">
        <v>0.06</v>
      </c>
      <c r="I53" s="56">
        <v>18.1</v>
      </c>
      <c r="J53" s="56"/>
      <c r="K53" s="58">
        <v>6289.44</v>
      </c>
      <c r="L53" s="56"/>
    </row>
    <row r="54" ht="20" customHeight="1" spans="2:12">
      <c r="B54" s="42">
        <v>9</v>
      </c>
      <c r="C54" s="42">
        <v>21</v>
      </c>
      <c r="D54" s="42"/>
      <c r="E54" s="95" t="s">
        <v>2491</v>
      </c>
      <c r="F54" s="95" t="s">
        <v>29</v>
      </c>
      <c r="G54" s="84">
        <f t="shared" si="2"/>
        <v>0.31</v>
      </c>
      <c r="H54" s="56"/>
      <c r="I54" s="56">
        <v>0.31</v>
      </c>
      <c r="J54" s="56"/>
      <c r="K54" s="58">
        <v>6289.75</v>
      </c>
      <c r="L54" s="56"/>
    </row>
    <row r="55" ht="20" customHeight="1" spans="2:12">
      <c r="B55" s="68"/>
      <c r="C55" s="68"/>
      <c r="D55" s="68"/>
      <c r="E55" s="69"/>
      <c r="F55" s="70" t="s">
        <v>22</v>
      </c>
      <c r="G55" s="134">
        <f>SUM(G42:G54)</f>
        <v>726.13</v>
      </c>
      <c r="H55" s="134">
        <f>SUM(H42:H54)</f>
        <v>2.01</v>
      </c>
      <c r="I55" s="134">
        <f>SUM(I42:I54)</f>
        <v>724.12</v>
      </c>
      <c r="J55" s="134">
        <f>SUM(J42:J54)</f>
        <v>0</v>
      </c>
      <c r="K55" s="134">
        <v>6289.75</v>
      </c>
      <c r="L55" s="56"/>
    </row>
  </sheetData>
  <autoFilter xmlns:etc="http://www.wps.cn/officeDocument/2017/etCustomData" ref="A3:P55" etc:filterBottomFollowUsedRange="0">
    <extLst/>
  </autoFilter>
  <mergeCells count="1">
    <mergeCell ref="B1:L1"/>
  </mergeCell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zoomScale="90" zoomScaleNormal="90" workbookViewId="0">
      <pane xSplit="4" ySplit="4" topLeftCell="E5" activePane="bottomRight" state="frozen"/>
      <selection/>
      <selection pane="topRight"/>
      <selection pane="bottomLeft"/>
      <selection pane="bottomRight" activeCell="F21" sqref="F21"/>
    </sheetView>
  </sheetViews>
  <sheetFormatPr defaultColWidth="9" defaultRowHeight="13.5"/>
  <cols>
    <col min="1" max="1" width="8.725" style="3" customWidth="1"/>
    <col min="2" max="3" width="4.725" style="3" customWidth="1"/>
    <col min="4" max="4" width="8.63333333333333" style="3" customWidth="1"/>
    <col min="5" max="5" width="31.0916666666667" style="3" customWidth="1"/>
    <col min="6" max="6" width="48.8583333333333" style="3" customWidth="1"/>
    <col min="7" max="7" width="14.725" style="3" customWidth="1"/>
    <col min="8" max="8" width="19.6333333333333" style="3" customWidth="1"/>
    <col min="9" max="9" width="9.26666666666667" style="3" customWidth="1"/>
    <col min="10" max="10" width="17.7" style="3" customWidth="1"/>
    <col min="11" max="16384" width="9" style="3"/>
  </cols>
  <sheetData>
    <row r="1" ht="24.75" spans="1:14">
      <c r="A1" s="46" t="str">
        <f>HYPERLINK("#目录!a1","返回目录")</f>
        <v>返回目录</v>
      </c>
      <c r="B1" s="47" t="s">
        <v>2496</v>
      </c>
      <c r="C1" s="47"/>
      <c r="D1" s="47"/>
      <c r="E1" s="47"/>
      <c r="F1" s="47"/>
      <c r="G1" s="47"/>
      <c r="H1" s="47"/>
      <c r="I1" s="47"/>
      <c r="J1" s="47"/>
      <c r="K1" s="6"/>
      <c r="L1" s="6"/>
      <c r="M1" s="6"/>
      <c r="N1" s="6"/>
    </row>
    <row r="2" ht="9" customHeight="1" spans="1:14">
      <c r="B2" s="48"/>
      <c r="C2" s="48"/>
      <c r="D2" s="48"/>
      <c r="E2" s="48"/>
      <c r="F2" s="48"/>
      <c r="G2" s="48"/>
      <c r="H2" s="48"/>
      <c r="I2" s="48"/>
      <c r="J2" s="48"/>
      <c r="K2" s="6"/>
      <c r="L2" s="6"/>
      <c r="M2" s="6"/>
      <c r="N2" s="6"/>
    </row>
    <row r="3" ht="21" customHeight="1" spans="1:14">
      <c r="B3" s="49" t="s">
        <v>6</v>
      </c>
      <c r="C3" s="49" t="s">
        <v>7</v>
      </c>
      <c r="D3" s="49" t="s">
        <v>8</v>
      </c>
      <c r="E3" s="49" t="s">
        <v>9</v>
      </c>
      <c r="F3" s="49" t="s">
        <v>10</v>
      </c>
      <c r="G3" s="49" t="s">
        <v>11</v>
      </c>
      <c r="H3" s="49" t="s">
        <v>12</v>
      </c>
      <c r="I3" s="49" t="s">
        <v>13</v>
      </c>
      <c r="J3" s="49" t="s">
        <v>14</v>
      </c>
    </row>
    <row r="4" ht="20" customHeight="1" spans="1:14">
      <c r="B4" s="42">
        <v>8</v>
      </c>
      <c r="C4" s="42">
        <v>20</v>
      </c>
      <c r="D4" s="42"/>
      <c r="E4" s="74" t="s">
        <v>2497</v>
      </c>
      <c r="F4" s="45" t="s">
        <v>2498</v>
      </c>
      <c r="G4" s="56">
        <v>98</v>
      </c>
      <c r="H4" s="56"/>
      <c r="I4" s="58">
        <f>G4-H4</f>
        <v>98</v>
      </c>
      <c r="J4" s="56"/>
    </row>
    <row r="5" ht="20" customHeight="1" spans="1:14">
      <c r="B5" s="42">
        <v>8</v>
      </c>
      <c r="C5" s="42">
        <v>23</v>
      </c>
      <c r="D5" s="74"/>
      <c r="E5" s="74" t="s">
        <v>2497</v>
      </c>
      <c r="F5" s="45" t="s">
        <v>2498</v>
      </c>
      <c r="G5" s="84">
        <v>2</v>
      </c>
      <c r="H5" s="84"/>
      <c r="I5" s="58">
        <f>I4+G5-H5</f>
        <v>100</v>
      </c>
      <c r="J5" s="56"/>
    </row>
    <row r="6" ht="20" customHeight="1" spans="1:14">
      <c r="B6" s="42">
        <v>8</v>
      </c>
      <c r="C6" s="42">
        <v>26</v>
      </c>
      <c r="D6" s="74"/>
      <c r="E6" s="74" t="s">
        <v>2497</v>
      </c>
      <c r="F6" s="45" t="s">
        <v>2498</v>
      </c>
      <c r="G6" s="84">
        <v>198</v>
      </c>
      <c r="H6" s="84"/>
      <c r="I6" s="58">
        <f>I5+G6-H6</f>
        <v>298</v>
      </c>
      <c r="J6" s="56"/>
    </row>
    <row r="7" ht="20" customHeight="1" spans="1:14">
      <c r="B7" s="42">
        <v>8</v>
      </c>
      <c r="C7" s="42">
        <v>31</v>
      </c>
      <c r="D7" s="74"/>
      <c r="E7" s="74" t="s">
        <v>2497</v>
      </c>
      <c r="F7" s="45" t="s">
        <v>2498</v>
      </c>
      <c r="G7" s="84">
        <v>157.65</v>
      </c>
      <c r="H7" s="84"/>
      <c r="I7" s="58">
        <f>I6+G7-H7</f>
        <v>455.65</v>
      </c>
      <c r="J7" s="56"/>
    </row>
    <row r="8" ht="20" customHeight="1" spans="1:14">
      <c r="B8" s="68"/>
      <c r="C8" s="68"/>
      <c r="D8" s="68"/>
      <c r="E8" s="133" t="s">
        <v>22</v>
      </c>
      <c r="F8" s="133"/>
      <c r="G8" s="134">
        <f>SUM(G4:G7)</f>
        <v>455.65</v>
      </c>
      <c r="H8" s="134"/>
      <c r="I8" s="72">
        <f>G8-H8</f>
        <v>455.65</v>
      </c>
      <c r="J8" s="71"/>
    </row>
    <row r="9" ht="20" customHeight="1" spans="1:14">
      <c r="B9" s="42"/>
      <c r="C9" s="42"/>
      <c r="D9" s="74"/>
      <c r="E9" s="95"/>
      <c r="F9" s="95"/>
      <c r="G9" s="84"/>
      <c r="H9" s="84"/>
      <c r="I9" s="58"/>
      <c r="J9" s="56"/>
    </row>
    <row r="10" ht="20" customHeight="1" spans="1:14">
      <c r="B10" s="42"/>
      <c r="C10" s="42"/>
      <c r="D10" s="74"/>
      <c r="E10" s="95"/>
      <c r="F10" s="95"/>
      <c r="G10" s="84"/>
      <c r="H10" s="84"/>
      <c r="I10" s="58"/>
      <c r="J10" s="56"/>
    </row>
    <row r="11" ht="20" customHeight="1" spans="1:14">
      <c r="B11" s="42"/>
      <c r="C11" s="42"/>
      <c r="D11" s="74"/>
      <c r="E11" s="95"/>
      <c r="F11" s="95"/>
      <c r="G11" s="84"/>
      <c r="H11" s="84"/>
      <c r="I11" s="58"/>
      <c r="J11" s="56"/>
    </row>
    <row r="12" ht="20" customHeight="1" spans="1:14">
      <c r="B12" s="42"/>
      <c r="C12" s="42"/>
      <c r="D12" s="74"/>
      <c r="E12" s="95"/>
      <c r="F12" s="95"/>
      <c r="G12" s="84"/>
      <c r="H12" s="84"/>
      <c r="I12" s="58"/>
      <c r="J12" s="56"/>
    </row>
    <row r="13" ht="20" customHeight="1" spans="1:14">
      <c r="B13" s="42"/>
      <c r="C13" s="42"/>
      <c r="D13" s="74"/>
      <c r="E13" s="95"/>
      <c r="F13" s="95"/>
      <c r="G13" s="84"/>
      <c r="H13" s="84"/>
      <c r="I13" s="58"/>
      <c r="J13" s="56"/>
    </row>
    <row r="14" ht="20" customHeight="1" spans="1:14">
      <c r="B14" s="42"/>
      <c r="C14" s="42"/>
      <c r="D14" s="74"/>
      <c r="E14" s="95"/>
      <c r="F14" s="95"/>
      <c r="G14" s="84"/>
      <c r="H14" s="84"/>
      <c r="I14" s="58"/>
      <c r="J14" s="56"/>
    </row>
    <row r="15" ht="20" customHeight="1" spans="1:14">
      <c r="B15" s="42"/>
      <c r="C15" s="42"/>
      <c r="D15" s="74"/>
      <c r="E15" s="95"/>
      <c r="F15" s="95"/>
      <c r="G15" s="84"/>
      <c r="H15" s="84"/>
      <c r="I15" s="58"/>
      <c r="J15" s="56"/>
    </row>
    <row r="16" ht="20" customHeight="1" spans="1:14">
      <c r="B16" s="42"/>
      <c r="C16" s="42"/>
      <c r="D16" s="74"/>
      <c r="E16" s="95"/>
      <c r="F16" s="95"/>
      <c r="G16" s="84"/>
      <c r="H16" s="84"/>
      <c r="I16" s="58"/>
      <c r="J16" s="56"/>
    </row>
    <row r="17" ht="20" customHeight="1" spans="2:10">
      <c r="B17" s="42"/>
      <c r="C17" s="42"/>
      <c r="D17" s="74"/>
      <c r="E17" s="95"/>
      <c r="F17" s="95"/>
      <c r="G17" s="84"/>
      <c r="H17" s="84"/>
      <c r="I17" s="58"/>
      <c r="J17" s="56"/>
    </row>
    <row r="18" ht="20" customHeight="1" spans="2:10">
      <c r="B18" s="42"/>
      <c r="C18" s="42"/>
      <c r="D18" s="74"/>
      <c r="E18" s="95"/>
      <c r="F18" s="95"/>
      <c r="G18" s="84"/>
      <c r="H18" s="84"/>
      <c r="I18" s="58"/>
      <c r="J18" s="56"/>
    </row>
    <row r="19" ht="20" customHeight="1" spans="2:10">
      <c r="B19" s="42"/>
      <c r="C19" s="42"/>
      <c r="D19" s="74"/>
      <c r="E19" s="95"/>
      <c r="F19" s="95"/>
      <c r="G19" s="84"/>
      <c r="H19" s="84"/>
      <c r="I19" s="58"/>
      <c r="J19" s="56"/>
    </row>
    <row r="20" ht="20" customHeight="1" spans="2:10">
      <c r="B20" s="42"/>
      <c r="C20" s="42"/>
      <c r="D20" s="74"/>
      <c r="E20" s="95"/>
      <c r="F20" s="95"/>
      <c r="G20" s="84"/>
      <c r="H20" s="84"/>
      <c r="I20" s="58"/>
      <c r="J20" s="56"/>
    </row>
    <row r="21" ht="20" customHeight="1" spans="2:10">
      <c r="B21" s="42"/>
      <c r="C21" s="42"/>
      <c r="D21" s="74"/>
      <c r="E21" s="95"/>
      <c r="F21" s="95"/>
      <c r="G21" s="84"/>
      <c r="H21" s="84"/>
      <c r="I21" s="58"/>
      <c r="J21" s="56"/>
    </row>
    <row r="22" ht="20" customHeight="1" spans="2:10">
      <c r="B22" s="42"/>
      <c r="C22" s="42"/>
      <c r="D22" s="74"/>
      <c r="E22" s="95"/>
      <c r="F22" s="95"/>
      <c r="G22" s="84"/>
      <c r="H22" s="84"/>
      <c r="I22" s="58"/>
      <c r="J22" s="56"/>
    </row>
    <row r="23" ht="20" customHeight="1" spans="2:10">
      <c r="B23" s="42"/>
      <c r="C23" s="42"/>
      <c r="D23" s="74"/>
      <c r="E23" s="95"/>
      <c r="F23" s="95"/>
      <c r="G23" s="84"/>
      <c r="H23" s="84"/>
      <c r="I23" s="58"/>
      <c r="J23" s="56"/>
    </row>
    <row r="24" ht="20" customHeight="1" spans="2:10">
      <c r="B24" s="42"/>
      <c r="C24" s="42"/>
      <c r="D24" s="42"/>
      <c r="E24" s="95"/>
      <c r="F24" s="95"/>
      <c r="G24" s="84"/>
      <c r="H24" s="84"/>
      <c r="I24" s="58"/>
      <c r="J24" s="56"/>
    </row>
    <row r="25" ht="20" customHeight="1" spans="2:10">
      <c r="B25" s="42"/>
      <c r="C25" s="42"/>
      <c r="D25" s="42"/>
      <c r="E25" s="95"/>
      <c r="F25" s="95"/>
      <c r="G25" s="84"/>
      <c r="H25" s="84"/>
      <c r="I25" s="58"/>
      <c r="J25" s="56"/>
    </row>
    <row r="26" ht="20" customHeight="1" spans="2:10">
      <c r="B26" s="42"/>
      <c r="C26" s="42"/>
      <c r="D26" s="42"/>
      <c r="E26" s="95"/>
      <c r="F26" s="95"/>
      <c r="G26" s="84"/>
      <c r="H26" s="84"/>
      <c r="I26" s="58"/>
      <c r="J26" s="56"/>
    </row>
    <row r="27" ht="20" customHeight="1" spans="2:10">
      <c r="B27" s="42"/>
      <c r="C27" s="42"/>
      <c r="D27" s="42"/>
      <c r="E27" s="95"/>
      <c r="F27" s="95"/>
      <c r="G27" s="84"/>
      <c r="H27" s="84"/>
      <c r="I27" s="58"/>
      <c r="J27" s="56"/>
    </row>
    <row r="28" ht="20" customHeight="1" spans="2:10">
      <c r="B28" s="42"/>
      <c r="C28" s="42"/>
      <c r="D28" s="42"/>
      <c r="E28" s="95"/>
      <c r="F28" s="95"/>
      <c r="G28" s="84"/>
      <c r="H28" s="84"/>
      <c r="I28" s="58"/>
      <c r="J28" s="56"/>
    </row>
    <row r="29" ht="20" customHeight="1" spans="2:10">
      <c r="B29" s="42"/>
      <c r="C29" s="42"/>
      <c r="D29" s="42"/>
      <c r="E29" s="95"/>
      <c r="F29" s="95"/>
      <c r="G29" s="84"/>
      <c r="H29" s="84"/>
      <c r="I29" s="58"/>
      <c r="J29" s="56"/>
    </row>
    <row r="30" ht="20" customHeight="1" spans="2:10">
      <c r="B30" s="42"/>
      <c r="C30" s="42"/>
      <c r="D30" s="42"/>
      <c r="E30" s="95"/>
      <c r="F30" s="95"/>
      <c r="G30" s="84"/>
      <c r="H30" s="84"/>
      <c r="I30" s="58"/>
      <c r="J30" s="56"/>
    </row>
    <row r="31" ht="20" customHeight="1" spans="2:10">
      <c r="B31" s="42"/>
      <c r="C31" s="42"/>
      <c r="D31" s="42"/>
      <c r="E31" s="95"/>
      <c r="F31" s="95"/>
      <c r="G31" s="84"/>
      <c r="H31" s="84"/>
      <c r="I31" s="58"/>
      <c r="J31" s="56"/>
    </row>
    <row r="32" ht="20" customHeight="1" spans="2:10">
      <c r="B32" s="42"/>
      <c r="C32" s="42"/>
      <c r="D32" s="42"/>
      <c r="E32" s="95"/>
      <c r="F32" s="95"/>
      <c r="G32" s="84"/>
      <c r="H32" s="84"/>
      <c r="I32" s="58"/>
      <c r="J32" s="56"/>
    </row>
    <row r="33" ht="20" customHeight="1" spans="2:10">
      <c r="B33" s="42"/>
      <c r="C33" s="42"/>
      <c r="D33" s="42"/>
      <c r="E33" s="95"/>
      <c r="F33" s="95"/>
      <c r="G33" s="84"/>
      <c r="H33" s="56"/>
      <c r="I33" s="58"/>
      <c r="J33" s="56"/>
    </row>
    <row r="34" ht="20" customHeight="1" spans="2:10">
      <c r="B34" s="42"/>
      <c r="C34" s="42"/>
      <c r="D34" s="42"/>
      <c r="E34" s="95"/>
      <c r="F34" s="95"/>
      <c r="G34" s="84"/>
      <c r="H34" s="56"/>
      <c r="I34" s="58"/>
      <c r="J34" s="56"/>
    </row>
    <row r="35" ht="20" customHeight="1" spans="2:10">
      <c r="B35" s="42"/>
      <c r="C35" s="42"/>
      <c r="D35" s="42"/>
      <c r="E35" s="95"/>
      <c r="F35" s="95"/>
      <c r="G35" s="84"/>
      <c r="H35" s="56"/>
      <c r="I35" s="58"/>
      <c r="J35" s="56"/>
    </row>
    <row r="36" ht="20" customHeight="1" spans="2:10">
      <c r="B36" s="42"/>
      <c r="C36" s="42"/>
      <c r="D36" s="42"/>
      <c r="E36" s="95"/>
      <c r="F36" s="95"/>
      <c r="G36" s="84"/>
      <c r="H36" s="56"/>
      <c r="I36" s="58"/>
      <c r="J36" s="56"/>
    </row>
    <row r="37" ht="20" customHeight="1" spans="2:10">
      <c r="B37" s="42"/>
      <c r="C37" s="42"/>
      <c r="D37" s="42"/>
      <c r="E37" s="95"/>
      <c r="F37" s="95"/>
      <c r="G37" s="84"/>
      <c r="H37" s="56"/>
      <c r="I37" s="58"/>
      <c r="J37" s="56"/>
    </row>
    <row r="38" ht="20" customHeight="1" spans="2:10">
      <c r="B38" s="42"/>
      <c r="C38" s="42"/>
      <c r="D38" s="42"/>
      <c r="E38" s="95"/>
      <c r="F38" s="95"/>
      <c r="G38" s="84"/>
      <c r="H38" s="56"/>
      <c r="I38" s="58"/>
      <c r="J38" s="56"/>
    </row>
    <row r="39" ht="20" customHeight="1" spans="2:10">
      <c r="B39" s="42"/>
      <c r="C39" s="42"/>
      <c r="D39" s="42"/>
      <c r="E39" s="95"/>
      <c r="F39" s="95"/>
      <c r="G39" s="84"/>
      <c r="H39" s="56"/>
      <c r="I39" s="58"/>
      <c r="J39" s="56"/>
    </row>
  </sheetData>
  <autoFilter xmlns:etc="http://www.wps.cn/officeDocument/2017/etCustomData" ref="A3:N39" etc:filterBottomFollowUsedRange="0">
    <extLst/>
  </autoFilter>
  <mergeCells count="1">
    <mergeCell ref="B1:J1"/>
  </mergeCell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19"/>
  <dimension ref="A1:S12"/>
  <sheetViews>
    <sheetView workbookViewId="0">
      <selection activeCell="H7" sqref="H7"/>
    </sheetView>
  </sheetViews>
  <sheetFormatPr defaultColWidth="9" defaultRowHeight="13.5"/>
  <cols>
    <col min="1" max="1" width="5.125" style="131" customWidth="1"/>
    <col min="2" max="2" width="12.75" style="131" customWidth="1"/>
    <col min="3" max="3" width="8.125" style="131" customWidth="1"/>
    <col min="4" max="4" width="12.375" style="131" customWidth="1"/>
    <col min="5" max="5" width="15" style="131" customWidth="1"/>
    <col min="6" max="6" width="12.625" style="131" customWidth="1"/>
    <col min="7" max="10" width="10.875" style="131" customWidth="1"/>
    <col min="11" max="11" width="11.375" style="131" customWidth="1"/>
    <col min="12" max="15" width="9.375" style="131" customWidth="1"/>
    <col min="16" max="16" width="8.375" style="131" customWidth="1"/>
    <col min="17" max="17" width="9.375" style="131" customWidth="1"/>
    <col min="18" max="18" width="10.375" style="131" customWidth="1"/>
    <col min="19" max="19" width="9.375" style="131" customWidth="1"/>
  </cols>
  <sheetData>
    <row r="1" ht="21" customHeight="1" spans="1:19">
      <c r="A1" s="132" t="s">
        <v>38</v>
      </c>
      <c r="B1" s="132" t="s">
        <v>46</v>
      </c>
      <c r="C1" s="132" t="s">
        <v>47</v>
      </c>
      <c r="D1" s="132" t="s">
        <v>48</v>
      </c>
      <c r="E1" s="132" t="s">
        <v>49</v>
      </c>
      <c r="F1" s="132" t="s">
        <v>50</v>
      </c>
      <c r="G1" s="132" t="s">
        <v>51</v>
      </c>
      <c r="H1" s="132" t="s">
        <v>52</v>
      </c>
      <c r="I1" s="132" t="s">
        <v>53</v>
      </c>
      <c r="J1" s="132" t="s">
        <v>54</v>
      </c>
      <c r="K1" s="132" t="s">
        <v>55</v>
      </c>
      <c r="L1" s="132" t="s">
        <v>58</v>
      </c>
      <c r="M1" s="132" t="s">
        <v>39</v>
      </c>
      <c r="N1" s="132" t="s">
        <v>40</v>
      </c>
      <c r="O1" s="132" t="s">
        <v>61</v>
      </c>
      <c r="P1" s="132" t="s">
        <v>62</v>
      </c>
      <c r="Q1" s="132" t="s">
        <v>63</v>
      </c>
      <c r="R1" s="132" t="s">
        <v>2499</v>
      </c>
      <c r="S1" s="132" t="s">
        <v>60</v>
      </c>
    </row>
    <row r="2" ht="21" customHeight="1" spans="1:19">
      <c r="A2" s="132">
        <v>1</v>
      </c>
      <c r="B2" s="132">
        <v>262273.1</v>
      </c>
      <c r="C2" s="132">
        <v>0</v>
      </c>
      <c r="D2" s="132">
        <v>4588.64</v>
      </c>
      <c r="E2" s="132">
        <v>30632.96</v>
      </c>
      <c r="F2" s="132">
        <v>3219.26</v>
      </c>
      <c r="G2" s="132">
        <v>13823.47</v>
      </c>
      <c r="H2" s="132"/>
      <c r="I2" s="132"/>
      <c r="J2" s="132">
        <v>0</v>
      </c>
      <c r="K2" s="132"/>
      <c r="L2" s="132">
        <v>90656.21</v>
      </c>
      <c r="M2" s="132">
        <v>20187.05</v>
      </c>
      <c r="N2" s="132">
        <v>20301.19</v>
      </c>
      <c r="O2" s="132">
        <v>36305.74</v>
      </c>
      <c r="P2" s="132">
        <v>3045.39</v>
      </c>
      <c r="Q2" s="132">
        <v>10337.35</v>
      </c>
      <c r="R2" s="132">
        <v>227902.83</v>
      </c>
      <c r="S2" s="132">
        <v>14300.72</v>
      </c>
    </row>
    <row r="3" ht="21" customHeight="1" spans="1:19">
      <c r="A3" s="132">
        <v>2</v>
      </c>
      <c r="B3" s="132">
        <v>520288.77</v>
      </c>
      <c r="C3" s="132">
        <v>0</v>
      </c>
      <c r="D3" s="132">
        <v>13345.4500000001</v>
      </c>
      <c r="E3" s="132">
        <v>30607.96</v>
      </c>
      <c r="F3" s="132">
        <v>4067.8</v>
      </c>
      <c r="G3" s="132">
        <v>120001.65</v>
      </c>
      <c r="H3" s="132"/>
      <c r="I3" s="132">
        <v>125868.98</v>
      </c>
      <c r="J3" s="132">
        <v>0</v>
      </c>
      <c r="K3" s="132"/>
      <c r="L3" s="132">
        <v>84926.74</v>
      </c>
      <c r="M3" s="132">
        <v>20187.05</v>
      </c>
      <c r="N3" s="132">
        <v>41397.9</v>
      </c>
      <c r="O3" s="132">
        <v>36232.17</v>
      </c>
      <c r="P3" s="132">
        <v>363.39</v>
      </c>
      <c r="Q3" s="132">
        <v>10277.35</v>
      </c>
      <c r="R3" s="132">
        <v>83.89</v>
      </c>
      <c r="S3" s="132">
        <v>21663.64</v>
      </c>
    </row>
    <row r="4" ht="21" customHeight="1" spans="1:19">
      <c r="A4" s="132">
        <v>3</v>
      </c>
      <c r="B4" s="132">
        <v>85757.5300000001</v>
      </c>
      <c r="C4" s="132">
        <v>0</v>
      </c>
      <c r="D4" s="132">
        <v>4122.40000000014</v>
      </c>
      <c r="E4" s="132">
        <v>30582.96</v>
      </c>
      <c r="F4" s="132">
        <v>5150.99</v>
      </c>
      <c r="G4" s="132">
        <v>36529.6900000002</v>
      </c>
      <c r="H4" s="132">
        <v>766.609999999986</v>
      </c>
      <c r="I4" s="132">
        <v>20163.61</v>
      </c>
      <c r="J4" s="132">
        <v>0</v>
      </c>
      <c r="K4" s="132">
        <v>136783.88</v>
      </c>
      <c r="L4" s="132">
        <v>33169.66</v>
      </c>
      <c r="M4" s="132">
        <v>20187.05</v>
      </c>
      <c r="N4" s="132">
        <v>5822.34000000001</v>
      </c>
      <c r="O4" s="132">
        <v>36202.17</v>
      </c>
      <c r="P4" s="132">
        <v>9074.54</v>
      </c>
      <c r="Q4" s="132">
        <v>269.35</v>
      </c>
      <c r="R4" s="132">
        <v>93734.16</v>
      </c>
      <c r="S4" s="132">
        <v>8612.24</v>
      </c>
    </row>
    <row r="5" ht="21" customHeight="1" spans="1:19">
      <c r="A5" s="132">
        <v>4</v>
      </c>
      <c r="B5" s="132">
        <v>91114.0799999999</v>
      </c>
      <c r="C5" s="132">
        <v>0</v>
      </c>
      <c r="D5" s="132">
        <v>7398.78000000014</v>
      </c>
      <c r="E5" s="132">
        <v>30561.78</v>
      </c>
      <c r="F5" s="132">
        <v>98.2500000000027</v>
      </c>
      <c r="G5" s="132">
        <v>11315.9000000002</v>
      </c>
      <c r="H5" s="132">
        <v>99636.03</v>
      </c>
      <c r="I5" s="132">
        <v>109634.51</v>
      </c>
      <c r="J5" s="132">
        <v>0</v>
      </c>
      <c r="K5" s="132">
        <v>-845.419999999984</v>
      </c>
      <c r="L5" s="132">
        <v>24096.49</v>
      </c>
      <c r="M5" s="132">
        <v>19789.57</v>
      </c>
      <c r="N5" s="132">
        <v>1787.22000000001</v>
      </c>
      <c r="O5" s="132">
        <v>6838.05</v>
      </c>
      <c r="P5" s="132">
        <v>6501.25</v>
      </c>
      <c r="Q5" s="132">
        <v>270.34</v>
      </c>
      <c r="R5" s="132">
        <v>103049.83</v>
      </c>
      <c r="S5" s="132">
        <v>12725.32</v>
      </c>
    </row>
    <row r="6" ht="21" customHeight="1" spans="1:19">
      <c r="A6" s="132">
        <v>5</v>
      </c>
      <c r="B6" s="132">
        <v>155258.06</v>
      </c>
      <c r="C6" s="132">
        <v>0</v>
      </c>
      <c r="D6" s="132">
        <v>118439.59</v>
      </c>
      <c r="E6" s="132">
        <v>30536.78</v>
      </c>
      <c r="F6" s="132">
        <v>3279.77000000002</v>
      </c>
      <c r="G6" s="132">
        <v>28831.4100000002</v>
      </c>
      <c r="H6" s="132">
        <v>8822.25999999995</v>
      </c>
      <c r="I6" s="132">
        <v>127662.01</v>
      </c>
      <c r="J6" s="132">
        <v>0</v>
      </c>
      <c r="K6" s="132">
        <v>1352.10000000001</v>
      </c>
      <c r="L6" s="132">
        <v>17724.83</v>
      </c>
      <c r="M6" s="132"/>
      <c r="N6" s="132">
        <v>6814.57000000001</v>
      </c>
      <c r="O6" s="132">
        <v>35003.97</v>
      </c>
      <c r="P6" s="132">
        <v>4419.25</v>
      </c>
      <c r="Q6" s="132"/>
      <c r="R6" s="132">
        <v>12055.05</v>
      </c>
      <c r="S6" s="132">
        <v>11156.41</v>
      </c>
    </row>
    <row r="7" ht="21" customHeight="1" spans="1:19">
      <c r="A7" s="132">
        <v>6</v>
      </c>
      <c r="B7" s="132"/>
      <c r="C7" s="132">
        <v>16200</v>
      </c>
      <c r="D7" s="132">
        <v>56693.16</v>
      </c>
      <c r="E7" s="132">
        <v>30511.78</v>
      </c>
      <c r="F7" s="132">
        <v>4100.60000000002</v>
      </c>
      <c r="G7" s="132">
        <v>93889.5500000002</v>
      </c>
      <c r="H7" s="132">
        <v>130822.93</v>
      </c>
      <c r="I7" s="132">
        <v>171543.48</v>
      </c>
      <c r="J7" s="132">
        <v>240</v>
      </c>
      <c r="K7" s="132">
        <v>-1133.62999999999</v>
      </c>
      <c r="L7" s="132"/>
      <c r="M7" s="132"/>
      <c r="N7" s="132"/>
      <c r="O7" s="132"/>
      <c r="P7" s="132"/>
      <c r="Q7" s="132"/>
      <c r="R7" s="132"/>
      <c r="S7" s="132">
        <v>15980.38</v>
      </c>
    </row>
    <row r="8" ht="21" customHeight="1" spans="1:19">
      <c r="A8" s="132">
        <v>7</v>
      </c>
      <c r="B8" s="132"/>
      <c r="C8" s="132"/>
      <c r="D8" s="132"/>
      <c r="E8" s="132"/>
      <c r="F8" s="132"/>
      <c r="G8" s="132"/>
      <c r="H8" s="132"/>
      <c r="I8" s="132"/>
      <c r="J8" s="132"/>
      <c r="K8" s="132"/>
      <c r="L8" s="132"/>
      <c r="M8" s="132"/>
      <c r="N8" s="132"/>
      <c r="O8" s="132"/>
      <c r="P8" s="132"/>
      <c r="Q8" s="132"/>
      <c r="R8" s="132"/>
      <c r="S8" s="132"/>
    </row>
    <row r="9" ht="21" customHeight="1" spans="1:19">
      <c r="A9" s="132">
        <v>8</v>
      </c>
      <c r="B9" s="132"/>
      <c r="C9" s="132"/>
      <c r="D9" s="132"/>
      <c r="E9" s="132"/>
      <c r="F9" s="132"/>
      <c r="G9" s="132"/>
      <c r="H9" s="132"/>
      <c r="I9" s="132"/>
      <c r="J9" s="132"/>
      <c r="K9" s="132"/>
      <c r="L9" s="132"/>
      <c r="M9" s="132"/>
      <c r="N9" s="132"/>
      <c r="O9" s="132"/>
      <c r="P9" s="132"/>
      <c r="Q9" s="132"/>
      <c r="R9" s="132"/>
      <c r="S9" s="132"/>
    </row>
    <row r="10" ht="21" customHeight="1" spans="1:19">
      <c r="A10" s="132">
        <v>9</v>
      </c>
      <c r="B10" s="132"/>
      <c r="C10" s="132"/>
      <c r="D10" s="132"/>
      <c r="E10" s="132"/>
      <c r="F10" s="132"/>
      <c r="G10" s="132"/>
      <c r="H10" s="132"/>
      <c r="I10" s="132"/>
      <c r="J10" s="132"/>
      <c r="K10" s="132"/>
      <c r="L10" s="132"/>
      <c r="M10" s="132"/>
      <c r="N10" s="132"/>
      <c r="O10" s="132"/>
      <c r="P10" s="132"/>
      <c r="Q10" s="132"/>
      <c r="R10" s="132"/>
      <c r="S10" s="132"/>
    </row>
    <row r="11" ht="21" customHeight="1" spans="1:19">
      <c r="A11" s="132">
        <v>10</v>
      </c>
      <c r="B11" s="132"/>
      <c r="C11" s="132"/>
      <c r="D11" s="132"/>
      <c r="E11" s="132"/>
      <c r="F11" s="132"/>
      <c r="G11" s="132"/>
      <c r="H11" s="132"/>
      <c r="I11" s="132"/>
      <c r="J11" s="132"/>
      <c r="K11" s="132"/>
      <c r="L11" s="132"/>
      <c r="M11" s="132"/>
      <c r="N11" s="132"/>
      <c r="O11" s="132"/>
      <c r="P11" s="132"/>
      <c r="Q11" s="132"/>
      <c r="R11" s="132"/>
      <c r="S11" s="132"/>
    </row>
    <row r="12" ht="21" customHeight="1" spans="1:19">
      <c r="A12" s="132">
        <v>11</v>
      </c>
      <c r="B12" s="132"/>
      <c r="C12" s="132"/>
      <c r="D12" s="132"/>
      <c r="E12" s="132"/>
      <c r="F12" s="132"/>
      <c r="G12" s="132"/>
      <c r="H12" s="132"/>
      <c r="I12" s="132"/>
      <c r="J12" s="132"/>
      <c r="K12" s="132"/>
      <c r="L12" s="132"/>
      <c r="M12" s="132"/>
      <c r="N12" s="132"/>
      <c r="O12" s="132"/>
      <c r="P12" s="132"/>
      <c r="Q12" s="132"/>
      <c r="R12" s="132"/>
      <c r="S12" s="132"/>
    </row>
  </sheetData>
  <pageMargins left="0.751388888888889" right="0.751388888888889" top="1" bottom="1" header="0.5" footer="0.5"/>
  <pageSetup paperSize="9" scale="75" orientation="landscape" horizontalDpi="6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P70"/>
  <sheetViews>
    <sheetView workbookViewId="0">
      <selection activeCell="F25" sqref="F25"/>
    </sheetView>
  </sheetViews>
  <sheetFormatPr defaultColWidth="9" defaultRowHeight="13.5"/>
  <cols>
    <col min="1" max="1" width="8.725" style="3" customWidth="1"/>
    <col min="2" max="3" width="4.725" style="3" customWidth="1"/>
    <col min="4" max="4" width="12.5416666666667" style="3" customWidth="1"/>
    <col min="5" max="5" width="25.725" style="3" customWidth="1"/>
    <col min="6" max="6" width="45.725" style="3" customWidth="1"/>
    <col min="7" max="7" width="14.725" style="3" customWidth="1"/>
    <col min="8" max="8" width="14.5416666666667" style="3" customWidth="1"/>
    <col min="9" max="9" width="16.1833333333333" style="3" customWidth="1"/>
    <col min="10" max="10" width="19.6333333333333" style="3" customWidth="1"/>
    <col min="11" max="12" width="9.26666666666667" style="3" customWidth="1"/>
    <col min="13" max="16384" width="9" style="3"/>
  </cols>
  <sheetData>
    <row r="1" ht="24.75" spans="1:16">
      <c r="A1" s="46" t="str">
        <f>HYPERLINK("#目录!a1","返回目录")</f>
        <v>返回目录</v>
      </c>
      <c r="B1" s="47" t="s">
        <v>2500</v>
      </c>
      <c r="C1" s="47"/>
      <c r="D1" s="47"/>
      <c r="E1" s="47"/>
      <c r="F1" s="47"/>
      <c r="G1" s="47"/>
      <c r="H1" s="47"/>
      <c r="I1" s="47"/>
      <c r="J1" s="47"/>
      <c r="K1" s="6"/>
      <c r="L1" s="6"/>
      <c r="M1" s="6"/>
      <c r="N1" s="6"/>
      <c r="O1" s="6"/>
      <c r="P1" s="6"/>
    </row>
    <row r="2" ht="9" customHeight="1" spans="1:16">
      <c r="B2" s="48"/>
      <c r="C2" s="48"/>
      <c r="D2" s="48"/>
      <c r="E2" s="48"/>
      <c r="F2" s="48"/>
      <c r="G2" s="48"/>
      <c r="H2" s="48"/>
      <c r="I2" s="48"/>
      <c r="J2" s="48"/>
      <c r="K2" s="6"/>
      <c r="L2" s="6"/>
      <c r="M2" s="6"/>
      <c r="N2" s="6"/>
      <c r="O2" s="6"/>
      <c r="P2" s="6"/>
    </row>
    <row r="3" ht="21" customHeight="1" spans="1:16">
      <c r="B3" s="49" t="s">
        <v>6</v>
      </c>
      <c r="C3" s="49" t="s">
        <v>7</v>
      </c>
      <c r="D3" s="49" t="s">
        <v>8</v>
      </c>
      <c r="E3" s="49" t="s">
        <v>9</v>
      </c>
      <c r="F3" s="49" t="s">
        <v>10</v>
      </c>
      <c r="G3" s="49" t="s">
        <v>11</v>
      </c>
      <c r="H3" s="49" t="s">
        <v>12</v>
      </c>
      <c r="I3" s="49" t="s">
        <v>13</v>
      </c>
      <c r="J3" s="49" t="s">
        <v>14</v>
      </c>
    </row>
    <row r="4" ht="20" customHeight="1" spans="1:16">
      <c r="B4" s="42"/>
      <c r="C4" s="42"/>
      <c r="D4" s="42"/>
      <c r="E4" s="42"/>
      <c r="F4" s="54" t="s">
        <v>15</v>
      </c>
      <c r="G4" s="56"/>
      <c r="H4" s="56"/>
      <c r="I4" s="58">
        <v>69.64</v>
      </c>
      <c r="J4" s="56"/>
    </row>
    <row r="5" ht="20" customHeight="1" spans="1:16">
      <c r="B5" s="42">
        <v>1</v>
      </c>
      <c r="C5" s="42">
        <v>13</v>
      </c>
      <c r="D5" s="42"/>
      <c r="E5" s="117" t="s">
        <v>2501</v>
      </c>
      <c r="F5" s="45" t="s">
        <v>2502</v>
      </c>
      <c r="G5" s="56">
        <v>10</v>
      </c>
      <c r="H5" s="56"/>
      <c r="I5" s="58">
        <f>I4+G5-H5</f>
        <v>79.64</v>
      </c>
      <c r="J5" s="56"/>
    </row>
    <row r="6" ht="20" customHeight="1" spans="1:16">
      <c r="B6" s="42">
        <v>1</v>
      </c>
      <c r="C6" s="42">
        <v>13</v>
      </c>
      <c r="D6" s="42"/>
      <c r="E6" s="44" t="s">
        <v>2503</v>
      </c>
      <c r="F6" s="45" t="s">
        <v>214</v>
      </c>
      <c r="G6" s="56"/>
      <c r="H6" s="56">
        <v>37.5</v>
      </c>
      <c r="I6" s="58">
        <f>I5+G6-H6</f>
        <v>42.14</v>
      </c>
      <c r="J6" s="56"/>
    </row>
    <row r="7" ht="20" customHeight="1" spans="1:16">
      <c r="B7" s="68"/>
      <c r="C7" s="68"/>
      <c r="D7" s="68"/>
      <c r="E7" s="130"/>
      <c r="F7" s="70" t="s">
        <v>22</v>
      </c>
      <c r="G7" s="71">
        <f>SUM(G5:G6)</f>
        <v>10</v>
      </c>
      <c r="H7" s="71">
        <f>SUM(H5:H6)</f>
        <v>37.5</v>
      </c>
      <c r="I7" s="72">
        <f>I4+G7-H7</f>
        <v>42.14</v>
      </c>
      <c r="J7" s="71"/>
    </row>
    <row r="8" ht="20" customHeight="1" spans="1:16">
      <c r="B8" s="42">
        <v>2</v>
      </c>
      <c r="C8" s="42">
        <v>13</v>
      </c>
      <c r="D8" s="42"/>
      <c r="E8" s="44" t="s">
        <v>335</v>
      </c>
      <c r="F8" s="45" t="s">
        <v>2504</v>
      </c>
      <c r="G8" s="56">
        <v>40000</v>
      </c>
      <c r="H8" s="56"/>
      <c r="I8" s="58">
        <f>I7+G8-H8</f>
        <v>40042.14</v>
      </c>
      <c r="J8" s="56"/>
    </row>
    <row r="9" ht="20" customHeight="1" spans="1:16">
      <c r="B9" s="42">
        <v>2</v>
      </c>
      <c r="C9" s="42">
        <v>13</v>
      </c>
      <c r="D9" s="74" t="s">
        <v>92</v>
      </c>
      <c r="E9" s="44"/>
      <c r="F9" s="45" t="s">
        <v>2505</v>
      </c>
      <c r="G9" s="56"/>
      <c r="H9" s="56">
        <v>13193.55</v>
      </c>
      <c r="I9" s="58"/>
      <c r="J9" s="56"/>
    </row>
    <row r="10" ht="20" customHeight="1" spans="1:16">
      <c r="B10" s="42">
        <v>2</v>
      </c>
      <c r="C10" s="42">
        <v>13</v>
      </c>
      <c r="D10" s="42"/>
      <c r="E10" s="44" t="s">
        <v>271</v>
      </c>
      <c r="F10" s="45" t="s">
        <v>2505</v>
      </c>
      <c r="G10" s="56"/>
      <c r="H10" s="56">
        <v>36324.22</v>
      </c>
      <c r="I10" s="58">
        <f>I8+G10-H10</f>
        <v>3717.92</v>
      </c>
      <c r="J10" s="56"/>
    </row>
    <row r="11" ht="20" customHeight="1" spans="1:16">
      <c r="B11" s="42">
        <v>2</v>
      </c>
      <c r="C11" s="42">
        <v>13</v>
      </c>
      <c r="D11" s="42"/>
      <c r="E11" s="44" t="s">
        <v>271</v>
      </c>
      <c r="F11" s="45" t="s">
        <v>2506</v>
      </c>
      <c r="G11" s="56"/>
      <c r="H11" s="56">
        <v>2100</v>
      </c>
      <c r="I11" s="58">
        <f>I10+G11-H11</f>
        <v>1617.92</v>
      </c>
      <c r="J11" s="56"/>
    </row>
    <row r="12" ht="20" customHeight="1" spans="1:16">
      <c r="B12" s="42">
        <v>2</v>
      </c>
      <c r="C12" s="42">
        <v>26</v>
      </c>
      <c r="D12" s="42"/>
      <c r="E12" s="44" t="s">
        <v>271</v>
      </c>
      <c r="F12" s="45" t="s">
        <v>2507</v>
      </c>
      <c r="G12" s="56">
        <v>25230.67</v>
      </c>
      <c r="H12" s="56"/>
      <c r="I12" s="58">
        <f>I11+G12-H12</f>
        <v>26848.59</v>
      </c>
      <c r="J12" s="56"/>
    </row>
    <row r="13" ht="20" customHeight="1" spans="1:16">
      <c r="B13" s="42">
        <v>2</v>
      </c>
      <c r="C13" s="42">
        <v>27</v>
      </c>
      <c r="D13" s="42"/>
      <c r="E13" s="44" t="s">
        <v>335</v>
      </c>
      <c r="F13" s="45" t="s">
        <v>69</v>
      </c>
      <c r="G13" s="56"/>
      <c r="H13" s="56">
        <v>26806.45</v>
      </c>
      <c r="I13" s="58">
        <f>I12+G13-H13</f>
        <v>42.1399999999958</v>
      </c>
      <c r="J13" s="56"/>
    </row>
    <row r="14" ht="20" customHeight="1" spans="1:16">
      <c r="B14" s="68"/>
      <c r="C14" s="68"/>
      <c r="D14" s="68"/>
      <c r="E14" s="130"/>
      <c r="F14" s="70" t="s">
        <v>22</v>
      </c>
      <c r="G14" s="71">
        <f>SUM(G8:G13)</f>
        <v>65230.67</v>
      </c>
      <c r="H14" s="71">
        <f>SUM(H8:H13)</f>
        <v>78424.22</v>
      </c>
      <c r="I14" s="72">
        <f>I13+G14-H14</f>
        <v>-13151.41</v>
      </c>
      <c r="J14" s="71"/>
    </row>
    <row r="15" ht="20" customHeight="1" spans="1:16">
      <c r="B15" s="42">
        <v>3</v>
      </c>
      <c r="C15" s="42">
        <v>21</v>
      </c>
      <c r="D15" s="42"/>
      <c r="E15" s="44" t="s">
        <v>2508</v>
      </c>
      <c r="F15" s="44" t="s">
        <v>29</v>
      </c>
      <c r="G15" s="56">
        <v>0.06</v>
      </c>
      <c r="H15" s="56"/>
      <c r="I15" s="58">
        <f>I13+G15-H15</f>
        <v>42.1999999999958</v>
      </c>
      <c r="J15" s="56"/>
    </row>
    <row r="16" ht="20" customHeight="1" spans="1:16">
      <c r="B16" s="68"/>
      <c r="C16" s="68"/>
      <c r="D16" s="68"/>
      <c r="E16" s="130"/>
      <c r="F16" s="70" t="s">
        <v>22</v>
      </c>
      <c r="G16" s="71">
        <f>SUM(G15:G15)</f>
        <v>0.06</v>
      </c>
      <c r="H16" s="71">
        <f>SUM(H15:H15)</f>
        <v>0</v>
      </c>
      <c r="I16" s="72">
        <f t="shared" ref="I16:I21" si="0">I15+G16-H16</f>
        <v>42.2599999999958</v>
      </c>
      <c r="J16" s="71"/>
    </row>
    <row r="17" ht="20" customHeight="1" spans="2:10">
      <c r="B17" s="42">
        <v>6</v>
      </c>
      <c r="C17" s="42">
        <v>21</v>
      </c>
      <c r="D17" s="42"/>
      <c r="E17" s="44" t="s">
        <v>2508</v>
      </c>
      <c r="F17" s="44" t="s">
        <v>29</v>
      </c>
      <c r="G17" s="56">
        <v>0.01</v>
      </c>
      <c r="H17" s="56"/>
      <c r="I17" s="58">
        <f>I15+G17-H17</f>
        <v>42.2099999999958</v>
      </c>
      <c r="J17" s="56"/>
    </row>
    <row r="18" ht="20" customHeight="1" spans="2:10">
      <c r="B18" s="68"/>
      <c r="C18" s="68"/>
      <c r="D18" s="68"/>
      <c r="E18" s="130"/>
      <c r="F18" s="70" t="s">
        <v>22</v>
      </c>
      <c r="G18" s="71">
        <f>SUM(G17:G17)</f>
        <v>0.01</v>
      </c>
      <c r="H18" s="71">
        <f>SUM(H17:H17)</f>
        <v>0</v>
      </c>
      <c r="I18" s="72">
        <f t="shared" si="0"/>
        <v>42.2199999999958</v>
      </c>
      <c r="J18" s="71"/>
    </row>
    <row r="19" ht="20" customHeight="1" spans="2:10">
      <c r="B19" s="42">
        <v>9</v>
      </c>
      <c r="C19" s="42">
        <v>4</v>
      </c>
      <c r="D19" s="42"/>
      <c r="E19" s="44" t="s">
        <v>2509</v>
      </c>
      <c r="F19" s="45" t="s">
        <v>2510</v>
      </c>
      <c r="G19" s="56">
        <v>2400</v>
      </c>
      <c r="H19" s="56"/>
      <c r="I19" s="58">
        <f t="shared" si="0"/>
        <v>2442.22</v>
      </c>
      <c r="J19" s="56"/>
    </row>
    <row r="20" ht="20" customHeight="1" spans="2:10">
      <c r="B20" s="42">
        <v>9</v>
      </c>
      <c r="C20" s="42">
        <v>21</v>
      </c>
      <c r="D20" s="42"/>
      <c r="E20" s="44" t="s">
        <v>2508</v>
      </c>
      <c r="F20" s="44" t="s">
        <v>29</v>
      </c>
      <c r="G20" s="56">
        <v>0.06</v>
      </c>
      <c r="H20" s="56"/>
      <c r="I20" s="58">
        <f t="shared" si="0"/>
        <v>2442.28</v>
      </c>
      <c r="J20" s="56"/>
    </row>
    <row r="21" ht="20" customHeight="1" spans="2:10">
      <c r="B21" s="68"/>
      <c r="C21" s="68"/>
      <c r="D21" s="68"/>
      <c r="E21" s="130"/>
      <c r="F21" s="70" t="s">
        <v>22</v>
      </c>
      <c r="G21" s="71">
        <f>SUM(G19:G20)</f>
        <v>2400.06</v>
      </c>
      <c r="H21" s="71">
        <f>SUM(H19:H20)</f>
        <v>0</v>
      </c>
      <c r="I21" s="72">
        <f>I18+G21-H21</f>
        <v>2442.28</v>
      </c>
      <c r="J21" s="71"/>
    </row>
    <row r="22" ht="20" customHeight="1" spans="2:10">
      <c r="B22" s="42"/>
      <c r="C22" s="42"/>
      <c r="D22" s="42"/>
      <c r="E22" s="117"/>
      <c r="F22" s="45"/>
      <c r="G22" s="56"/>
      <c r="H22" s="56"/>
      <c r="I22" s="58">
        <f>I20+G22-H22</f>
        <v>2442.28</v>
      </c>
      <c r="J22" s="56"/>
    </row>
    <row r="23" ht="20" customHeight="1" spans="2:10">
      <c r="B23" s="42"/>
      <c r="C23" s="42"/>
      <c r="D23" s="42"/>
      <c r="E23" s="117"/>
      <c r="F23" s="45"/>
      <c r="G23" s="56"/>
      <c r="H23" s="56"/>
      <c r="I23" s="58">
        <f t="shared" ref="I22:I70" si="1">I22+G23-H23</f>
        <v>2442.28</v>
      </c>
      <c r="J23" s="56"/>
    </row>
    <row r="24" ht="20" customHeight="1" spans="2:10">
      <c r="B24" s="42"/>
      <c r="C24" s="42"/>
      <c r="D24" s="42"/>
      <c r="E24" s="45"/>
      <c r="F24" s="45"/>
      <c r="G24" s="56"/>
      <c r="H24" s="56"/>
      <c r="I24" s="58">
        <f t="shared" si="1"/>
        <v>2442.28</v>
      </c>
      <c r="J24" s="56"/>
    </row>
    <row r="25" ht="20" customHeight="1" spans="2:10">
      <c r="B25" s="42"/>
      <c r="C25" s="42"/>
      <c r="D25" s="42"/>
      <c r="E25" s="117"/>
      <c r="F25" s="45"/>
      <c r="G25" s="56"/>
      <c r="H25" s="56"/>
      <c r="I25" s="58">
        <f t="shared" si="1"/>
        <v>2442.28</v>
      </c>
      <c r="J25" s="56"/>
    </row>
    <row r="26" ht="20" customHeight="1" spans="2:10">
      <c r="B26" s="42"/>
      <c r="C26" s="42"/>
      <c r="D26" s="42"/>
      <c r="E26" s="117"/>
      <c r="F26" s="45"/>
      <c r="G26" s="56"/>
      <c r="H26" s="56"/>
      <c r="I26" s="58">
        <f t="shared" si="1"/>
        <v>2442.28</v>
      </c>
      <c r="J26" s="56"/>
    </row>
    <row r="27" ht="20" customHeight="1" spans="2:10">
      <c r="B27" s="42"/>
      <c r="C27" s="42"/>
      <c r="D27" s="42"/>
      <c r="E27" s="117"/>
      <c r="F27" s="45"/>
      <c r="G27" s="56"/>
      <c r="H27" s="56"/>
      <c r="I27" s="58">
        <f t="shared" si="1"/>
        <v>2442.28</v>
      </c>
      <c r="J27" s="56"/>
    </row>
    <row r="28" ht="20" customHeight="1" spans="2:10">
      <c r="B28" s="42"/>
      <c r="C28" s="42"/>
      <c r="D28" s="42"/>
      <c r="E28" s="117"/>
      <c r="F28" s="45"/>
      <c r="G28" s="56"/>
      <c r="H28" s="56"/>
      <c r="I28" s="58">
        <f t="shared" si="1"/>
        <v>2442.28</v>
      </c>
      <c r="J28" s="56"/>
    </row>
    <row r="29" ht="20" customHeight="1" spans="2:10">
      <c r="B29" s="42"/>
      <c r="C29" s="42"/>
      <c r="D29" s="42"/>
      <c r="E29" s="117"/>
      <c r="F29" s="45"/>
      <c r="G29" s="56"/>
      <c r="H29" s="56"/>
      <c r="I29" s="58">
        <f t="shared" si="1"/>
        <v>2442.28</v>
      </c>
      <c r="J29" s="56"/>
    </row>
    <row r="30" ht="20" customHeight="1" spans="2:10">
      <c r="B30" s="42"/>
      <c r="C30" s="42"/>
      <c r="D30" s="42"/>
      <c r="E30" s="117"/>
      <c r="F30" s="45"/>
      <c r="G30" s="56"/>
      <c r="H30" s="56"/>
      <c r="I30" s="58">
        <f t="shared" si="1"/>
        <v>2442.28</v>
      </c>
      <c r="J30" s="56"/>
    </row>
    <row r="31" ht="20" customHeight="1" spans="2:10">
      <c r="B31" s="42"/>
      <c r="C31" s="42"/>
      <c r="D31" s="42"/>
      <c r="E31" s="117"/>
      <c r="F31" s="45"/>
      <c r="G31" s="56"/>
      <c r="H31" s="56"/>
      <c r="I31" s="58">
        <f t="shared" si="1"/>
        <v>2442.28</v>
      </c>
      <c r="J31" s="56"/>
    </row>
    <row r="32" ht="20" customHeight="1" spans="2:10">
      <c r="B32" s="42"/>
      <c r="C32" s="42"/>
      <c r="D32" s="42"/>
      <c r="E32" s="45"/>
      <c r="F32" s="45"/>
      <c r="G32" s="56"/>
      <c r="H32" s="56"/>
      <c r="I32" s="58">
        <f t="shared" si="1"/>
        <v>2442.28</v>
      </c>
      <c r="J32" s="56"/>
    </row>
    <row r="33" ht="20" customHeight="1" spans="2:10">
      <c r="B33" s="42"/>
      <c r="C33" s="42"/>
      <c r="D33" s="42"/>
      <c r="E33" s="117"/>
      <c r="F33" s="117"/>
      <c r="G33" s="56"/>
      <c r="H33" s="56"/>
      <c r="I33" s="58">
        <f t="shared" si="1"/>
        <v>2442.28</v>
      </c>
      <c r="J33" s="56"/>
    </row>
    <row r="34" ht="20" customHeight="1" spans="2:10">
      <c r="B34" s="42"/>
      <c r="C34" s="42"/>
      <c r="D34" s="42"/>
      <c r="E34" s="117"/>
      <c r="F34" s="45"/>
      <c r="G34" s="56"/>
      <c r="H34" s="56"/>
      <c r="I34" s="58">
        <f t="shared" si="1"/>
        <v>2442.28</v>
      </c>
      <c r="J34" s="56"/>
    </row>
    <row r="35" ht="20" customHeight="1" spans="2:10">
      <c r="B35" s="42"/>
      <c r="C35" s="42"/>
      <c r="D35" s="42"/>
      <c r="E35" s="42"/>
      <c r="F35" s="54"/>
      <c r="G35" s="56"/>
      <c r="H35" s="56"/>
      <c r="I35" s="58">
        <f t="shared" si="1"/>
        <v>2442.28</v>
      </c>
      <c r="J35" s="56"/>
    </row>
    <row r="36" ht="20" customHeight="1" spans="2:10">
      <c r="B36" s="42"/>
      <c r="C36" s="42"/>
      <c r="D36" s="42"/>
      <c r="E36" s="42"/>
      <c r="F36" s="54"/>
      <c r="G36" s="56"/>
      <c r="H36" s="56"/>
      <c r="I36" s="58">
        <f t="shared" si="1"/>
        <v>2442.28</v>
      </c>
      <c r="J36" s="56"/>
    </row>
    <row r="37" ht="20" customHeight="1" spans="2:10">
      <c r="B37" s="42"/>
      <c r="C37" s="42"/>
      <c r="D37" s="42"/>
      <c r="E37" s="42"/>
      <c r="F37" s="54"/>
      <c r="G37" s="56"/>
      <c r="H37" s="56"/>
      <c r="I37" s="58">
        <f t="shared" si="1"/>
        <v>2442.28</v>
      </c>
      <c r="J37" s="56"/>
    </row>
    <row r="38" ht="20" customHeight="1" spans="2:10">
      <c r="B38" s="42"/>
      <c r="C38" s="42"/>
      <c r="D38" s="42"/>
      <c r="E38" s="42"/>
      <c r="F38" s="54"/>
      <c r="G38" s="56"/>
      <c r="H38" s="56"/>
      <c r="I38" s="58">
        <f t="shared" si="1"/>
        <v>2442.28</v>
      </c>
      <c r="J38" s="56"/>
    </row>
    <row r="39" ht="20" customHeight="1" spans="2:10">
      <c r="B39" s="42"/>
      <c r="C39" s="42"/>
      <c r="D39" s="42"/>
      <c r="E39" s="54"/>
      <c r="F39" s="54"/>
      <c r="G39" s="56"/>
      <c r="H39" s="56"/>
      <c r="I39" s="58">
        <f t="shared" si="1"/>
        <v>2442.28</v>
      </c>
      <c r="J39" s="56"/>
    </row>
    <row r="40" ht="20" customHeight="1" spans="2:10">
      <c r="B40" s="42"/>
      <c r="C40" s="42"/>
      <c r="D40" s="42"/>
      <c r="E40" s="42"/>
      <c r="F40" s="54"/>
      <c r="G40" s="56"/>
      <c r="H40" s="56"/>
      <c r="I40" s="58">
        <f t="shared" si="1"/>
        <v>2442.28</v>
      </c>
      <c r="J40" s="56"/>
    </row>
    <row r="41" ht="20" customHeight="1" spans="2:10">
      <c r="B41" s="42"/>
      <c r="C41" s="42"/>
      <c r="D41" s="42"/>
      <c r="E41" s="42"/>
      <c r="F41" s="54"/>
      <c r="G41" s="56"/>
      <c r="H41" s="56"/>
      <c r="I41" s="58">
        <f t="shared" si="1"/>
        <v>2442.28</v>
      </c>
      <c r="J41" s="56"/>
    </row>
    <row r="42" ht="20" customHeight="1" spans="2:10">
      <c r="B42" s="42"/>
      <c r="C42" s="42"/>
      <c r="D42" s="42"/>
      <c r="E42" s="42"/>
      <c r="F42" s="54"/>
      <c r="G42" s="56"/>
      <c r="H42" s="56"/>
      <c r="I42" s="58">
        <f t="shared" si="1"/>
        <v>2442.28</v>
      </c>
      <c r="J42" s="56"/>
    </row>
    <row r="43" ht="20" customHeight="1" spans="2:10">
      <c r="B43" s="42"/>
      <c r="C43" s="42"/>
      <c r="D43" s="42"/>
      <c r="E43" s="42"/>
      <c r="F43" s="54"/>
      <c r="G43" s="56"/>
      <c r="H43" s="56"/>
      <c r="I43" s="58">
        <f t="shared" si="1"/>
        <v>2442.28</v>
      </c>
      <c r="J43" s="56"/>
    </row>
    <row r="44" ht="20" customHeight="1" spans="2:10">
      <c r="B44" s="42"/>
      <c r="C44" s="42"/>
      <c r="D44" s="42"/>
      <c r="E44" s="42"/>
      <c r="F44" s="54"/>
      <c r="G44" s="56"/>
      <c r="H44" s="56"/>
      <c r="I44" s="58">
        <f t="shared" si="1"/>
        <v>2442.28</v>
      </c>
      <c r="J44" s="56"/>
    </row>
    <row r="45" ht="20" customHeight="1" spans="2:10">
      <c r="B45" s="42"/>
      <c r="C45" s="42"/>
      <c r="D45" s="42"/>
      <c r="E45" s="42"/>
      <c r="F45" s="54"/>
      <c r="G45" s="56"/>
      <c r="H45" s="56"/>
      <c r="I45" s="58">
        <f t="shared" si="1"/>
        <v>2442.28</v>
      </c>
      <c r="J45" s="56"/>
    </row>
    <row r="46" ht="20" customHeight="1" spans="2:10">
      <c r="B46" s="42"/>
      <c r="C46" s="42"/>
      <c r="D46" s="42"/>
      <c r="E46" s="42"/>
      <c r="F46" s="54"/>
      <c r="G46" s="56"/>
      <c r="H46" s="56"/>
      <c r="I46" s="58">
        <f t="shared" si="1"/>
        <v>2442.28</v>
      </c>
      <c r="J46" s="56"/>
    </row>
    <row r="47" ht="20" customHeight="1" spans="2:10">
      <c r="B47" s="42"/>
      <c r="C47" s="42"/>
      <c r="D47" s="42"/>
      <c r="E47" s="54"/>
      <c r="F47" s="54"/>
      <c r="G47" s="56"/>
      <c r="H47" s="56"/>
      <c r="I47" s="58">
        <f t="shared" si="1"/>
        <v>2442.28</v>
      </c>
      <c r="J47" s="56"/>
    </row>
    <row r="48" ht="20" customHeight="1" spans="2:10">
      <c r="B48" s="42"/>
      <c r="C48" s="42"/>
      <c r="D48" s="42"/>
      <c r="E48" s="42"/>
      <c r="F48" s="42"/>
      <c r="G48" s="56"/>
      <c r="H48" s="56"/>
      <c r="I48" s="58">
        <f t="shared" si="1"/>
        <v>2442.28</v>
      </c>
      <c r="J48" s="56"/>
    </row>
    <row r="49" ht="20" customHeight="1" spans="2:10">
      <c r="B49" s="42"/>
      <c r="C49" s="42"/>
      <c r="D49" s="42"/>
      <c r="E49" s="42"/>
      <c r="F49" s="54"/>
      <c r="G49" s="56"/>
      <c r="H49" s="56"/>
      <c r="I49" s="58">
        <f t="shared" si="1"/>
        <v>2442.28</v>
      </c>
      <c r="J49" s="56"/>
    </row>
    <row r="50" ht="20" customHeight="1" spans="2:10">
      <c r="B50" s="42"/>
      <c r="C50" s="42"/>
      <c r="D50" s="42"/>
      <c r="E50" s="42"/>
      <c r="F50" s="54"/>
      <c r="G50" s="56"/>
      <c r="H50" s="56"/>
      <c r="I50" s="58">
        <f t="shared" si="1"/>
        <v>2442.28</v>
      </c>
      <c r="J50" s="56"/>
    </row>
    <row r="51" ht="20" customHeight="1" spans="2:10">
      <c r="B51" s="42"/>
      <c r="C51" s="42"/>
      <c r="D51" s="42"/>
      <c r="E51" s="42"/>
      <c r="F51" s="54"/>
      <c r="G51" s="56"/>
      <c r="H51" s="56"/>
      <c r="I51" s="58">
        <f t="shared" si="1"/>
        <v>2442.28</v>
      </c>
      <c r="J51" s="56"/>
    </row>
    <row r="52" ht="20" customHeight="1" spans="2:10">
      <c r="B52" s="42"/>
      <c r="C52" s="42"/>
      <c r="D52" s="42"/>
      <c r="E52" s="42"/>
      <c r="F52" s="54"/>
      <c r="G52" s="56"/>
      <c r="H52" s="56"/>
      <c r="I52" s="58">
        <f t="shared" si="1"/>
        <v>2442.28</v>
      </c>
      <c r="J52" s="56"/>
    </row>
    <row r="53" ht="20" customHeight="1" spans="2:10">
      <c r="B53" s="42"/>
      <c r="C53" s="42"/>
      <c r="D53" s="42"/>
      <c r="E53" s="42"/>
      <c r="F53" s="54"/>
      <c r="G53" s="56"/>
      <c r="H53" s="56"/>
      <c r="I53" s="58">
        <f t="shared" si="1"/>
        <v>2442.28</v>
      </c>
      <c r="J53" s="56"/>
    </row>
    <row r="54" ht="20" customHeight="1" spans="2:10">
      <c r="B54" s="42"/>
      <c r="C54" s="42"/>
      <c r="D54" s="42"/>
      <c r="E54" s="54"/>
      <c r="F54" s="54"/>
      <c r="G54" s="56"/>
      <c r="H54" s="56"/>
      <c r="I54" s="58">
        <f t="shared" si="1"/>
        <v>2442.28</v>
      </c>
      <c r="J54" s="56"/>
    </row>
    <row r="55" ht="20" customHeight="1" spans="2:10">
      <c r="B55" s="42"/>
      <c r="C55" s="42"/>
      <c r="D55" s="42"/>
      <c r="E55" s="42"/>
      <c r="F55" s="54"/>
      <c r="G55" s="56"/>
      <c r="H55" s="56"/>
      <c r="I55" s="58">
        <f t="shared" si="1"/>
        <v>2442.28</v>
      </c>
      <c r="J55" s="56"/>
    </row>
    <row r="56" ht="20" customHeight="1" spans="2:10">
      <c r="B56" s="42"/>
      <c r="C56" s="42"/>
      <c r="D56" s="42"/>
      <c r="E56" s="42"/>
      <c r="F56" s="54"/>
      <c r="G56" s="56"/>
      <c r="H56" s="56"/>
      <c r="I56" s="58">
        <f t="shared" si="1"/>
        <v>2442.28</v>
      </c>
      <c r="J56" s="56"/>
    </row>
    <row r="57" ht="20" customHeight="1" spans="2:10">
      <c r="B57" s="42"/>
      <c r="C57" s="42"/>
      <c r="D57" s="42"/>
      <c r="E57" s="42"/>
      <c r="F57" s="54"/>
      <c r="G57" s="56"/>
      <c r="H57" s="56"/>
      <c r="I57" s="58">
        <f t="shared" si="1"/>
        <v>2442.28</v>
      </c>
      <c r="J57" s="56"/>
    </row>
    <row r="58" ht="20" customHeight="1" spans="2:10">
      <c r="B58" s="42"/>
      <c r="C58" s="42"/>
      <c r="D58" s="42"/>
      <c r="E58" s="42"/>
      <c r="F58" s="54"/>
      <c r="G58" s="56"/>
      <c r="H58" s="56"/>
      <c r="I58" s="58">
        <f t="shared" si="1"/>
        <v>2442.28</v>
      </c>
      <c r="J58" s="56"/>
    </row>
    <row r="59" ht="20" customHeight="1" spans="2:10">
      <c r="B59" s="42"/>
      <c r="C59" s="42"/>
      <c r="D59" s="42"/>
      <c r="E59" s="42"/>
      <c r="F59" s="54"/>
      <c r="G59" s="56"/>
      <c r="H59" s="56"/>
      <c r="I59" s="58">
        <f t="shared" si="1"/>
        <v>2442.28</v>
      </c>
      <c r="J59" s="56"/>
    </row>
    <row r="60" ht="20" customHeight="1" spans="2:10">
      <c r="B60" s="42"/>
      <c r="C60" s="42"/>
      <c r="D60" s="42"/>
      <c r="E60" s="42"/>
      <c r="F60" s="54"/>
      <c r="G60" s="56"/>
      <c r="H60" s="56"/>
      <c r="I60" s="58">
        <f t="shared" si="1"/>
        <v>2442.28</v>
      </c>
      <c r="J60" s="56"/>
    </row>
    <row r="61" ht="20" customHeight="1" spans="2:10">
      <c r="B61" s="42"/>
      <c r="C61" s="42"/>
      <c r="D61" s="42"/>
      <c r="E61" s="42"/>
      <c r="F61" s="54"/>
      <c r="G61" s="56"/>
      <c r="H61" s="56"/>
      <c r="I61" s="58">
        <f t="shared" si="1"/>
        <v>2442.28</v>
      </c>
      <c r="J61" s="56"/>
    </row>
    <row r="62" ht="20" customHeight="1" spans="2:10">
      <c r="B62" s="42"/>
      <c r="C62" s="42"/>
      <c r="D62" s="42"/>
      <c r="E62" s="54"/>
      <c r="F62" s="54"/>
      <c r="G62" s="56"/>
      <c r="H62" s="56"/>
      <c r="I62" s="58">
        <f t="shared" si="1"/>
        <v>2442.28</v>
      </c>
      <c r="J62" s="56"/>
    </row>
    <row r="63" ht="20" customHeight="1" spans="2:10">
      <c r="B63" s="42"/>
      <c r="C63" s="42"/>
      <c r="D63" s="42"/>
      <c r="E63" s="42"/>
      <c r="F63" s="42"/>
      <c r="G63" s="56"/>
      <c r="H63" s="56"/>
      <c r="I63" s="58">
        <f t="shared" si="1"/>
        <v>2442.28</v>
      </c>
      <c r="J63" s="56"/>
    </row>
    <row r="64" ht="20" customHeight="1" spans="2:10">
      <c r="B64" s="42"/>
      <c r="C64" s="42"/>
      <c r="D64" s="42"/>
      <c r="E64" s="42"/>
      <c r="F64" s="54"/>
      <c r="G64" s="56"/>
      <c r="H64" s="56"/>
      <c r="I64" s="58">
        <f t="shared" si="1"/>
        <v>2442.28</v>
      </c>
      <c r="J64" s="56"/>
    </row>
    <row r="65" ht="20" customHeight="1" spans="2:10">
      <c r="B65" s="42"/>
      <c r="C65" s="42"/>
      <c r="D65" s="42"/>
      <c r="E65" s="42"/>
      <c r="F65" s="54"/>
      <c r="G65" s="56"/>
      <c r="H65" s="56"/>
      <c r="I65" s="58">
        <f t="shared" si="1"/>
        <v>2442.28</v>
      </c>
      <c r="J65" s="56"/>
    </row>
    <row r="66" ht="20" customHeight="1" spans="2:10">
      <c r="B66" s="42"/>
      <c r="C66" s="42"/>
      <c r="D66" s="42"/>
      <c r="E66" s="42"/>
      <c r="F66" s="54"/>
      <c r="G66" s="56"/>
      <c r="H66" s="56"/>
      <c r="I66" s="58">
        <f t="shared" si="1"/>
        <v>2442.28</v>
      </c>
      <c r="J66" s="56"/>
    </row>
    <row r="67" ht="20" customHeight="1" spans="2:10">
      <c r="B67" s="42"/>
      <c r="C67" s="42"/>
      <c r="D67" s="42"/>
      <c r="E67" s="42"/>
      <c r="F67" s="54"/>
      <c r="G67" s="56"/>
      <c r="H67" s="56"/>
      <c r="I67" s="58">
        <f t="shared" si="1"/>
        <v>2442.28</v>
      </c>
      <c r="J67" s="56"/>
    </row>
    <row r="68" ht="20" customHeight="1" spans="2:10">
      <c r="B68" s="42"/>
      <c r="C68" s="42"/>
      <c r="D68" s="42"/>
      <c r="E68" s="42"/>
      <c r="F68" s="54"/>
      <c r="G68" s="56"/>
      <c r="H68" s="56"/>
      <c r="I68" s="58">
        <f t="shared" si="1"/>
        <v>2442.28</v>
      </c>
      <c r="J68" s="56"/>
    </row>
    <row r="69" ht="20" customHeight="1" spans="2:10">
      <c r="B69" s="42"/>
      <c r="C69" s="42"/>
      <c r="D69" s="42"/>
      <c r="E69" s="54"/>
      <c r="F69" s="54"/>
      <c r="G69" s="56"/>
      <c r="H69" s="56"/>
      <c r="I69" s="58">
        <f t="shared" si="1"/>
        <v>2442.28</v>
      </c>
      <c r="J69" s="56"/>
    </row>
    <row r="70" ht="20" customHeight="1" spans="2:10">
      <c r="B70" s="42"/>
      <c r="C70" s="42"/>
      <c r="D70" s="42"/>
      <c r="E70" s="42"/>
      <c r="F70" s="54"/>
      <c r="G70" s="56"/>
      <c r="H70" s="56"/>
      <c r="I70" s="58">
        <f t="shared" si="1"/>
        <v>2442.28</v>
      </c>
      <c r="J70" s="56"/>
    </row>
  </sheetData>
  <mergeCells count="1">
    <mergeCell ref="B1:J1"/>
  </mergeCells>
  <pageMargins left="0.7" right="0.7" top="0.75" bottom="0.75" header="0.3" footer="0.3"/>
  <headerFooter/>
  <ignoredErrors>
    <ignoredError sqref="I7" formula="1"/>
  </ignoredError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24"/>
  <dimension ref="A1:X907"/>
  <sheetViews>
    <sheetView workbookViewId="0">
      <pane xSplit="5" ySplit="5" topLeftCell="K656" activePane="bottomRight" state="frozen"/>
      <selection/>
      <selection pane="topRight"/>
      <selection pane="bottomLeft"/>
      <selection pane="bottomRight" activeCell="O813" sqref="O813:O827"/>
    </sheetView>
  </sheetViews>
  <sheetFormatPr defaultColWidth="9" defaultRowHeight="13.5"/>
  <cols>
    <col min="1" max="1" width="6.26666666666667" style="3" customWidth="1"/>
    <col min="2" max="3" width="4.725" style="3" customWidth="1"/>
    <col min="4" max="4" width="12.75" style="3" customWidth="1"/>
    <col min="5" max="5" width="34.725" style="3" customWidth="1"/>
    <col min="6" max="6" width="45.725" style="3" customWidth="1"/>
    <col min="7" max="16" width="9.725" style="3" customWidth="1"/>
    <col min="17" max="17" width="11.9083333333333" style="3" customWidth="1"/>
    <col min="18" max="18" width="20.725" style="3" customWidth="1"/>
    <col min="19" max="19" width="10.725" style="3" customWidth="1"/>
    <col min="20" max="20" width="9.26666666666667" style="3" customWidth="1"/>
    <col min="21" max="16384" width="9" style="3"/>
  </cols>
  <sheetData>
    <row r="1" ht="24.75" spans="1:24">
      <c r="A1" s="46" t="str">
        <f>HYPERLINK("#目录!a1","返回目录")</f>
        <v>返回目录</v>
      </c>
      <c r="B1" s="47" t="s">
        <v>2511</v>
      </c>
      <c r="C1" s="47"/>
      <c r="D1" s="47"/>
      <c r="E1" s="47"/>
      <c r="F1" s="47"/>
      <c r="G1" s="47"/>
      <c r="H1" s="47"/>
      <c r="I1" s="47"/>
      <c r="J1" s="47"/>
      <c r="K1" s="47"/>
      <c r="L1" s="47"/>
      <c r="M1" s="47"/>
      <c r="N1" s="47"/>
      <c r="O1" s="47"/>
      <c r="P1" s="47"/>
      <c r="Q1" s="47"/>
      <c r="R1" s="47"/>
      <c r="S1" s="6"/>
      <c r="T1" s="6"/>
      <c r="U1" s="6"/>
      <c r="V1" s="6"/>
      <c r="W1" s="6"/>
      <c r="X1" s="6"/>
    </row>
    <row r="2" ht="9" customHeight="1" spans="1:24">
      <c r="B2" s="48"/>
      <c r="C2" s="48"/>
      <c r="D2" s="48"/>
      <c r="E2" s="48"/>
      <c r="F2" s="48"/>
      <c r="G2" s="48"/>
      <c r="H2" s="48"/>
      <c r="I2" s="48"/>
      <c r="J2" s="48"/>
      <c r="K2" s="48"/>
      <c r="L2" s="48"/>
      <c r="M2" s="48"/>
      <c r="N2" s="48"/>
      <c r="O2" s="48"/>
      <c r="P2" s="48"/>
      <c r="Q2" s="48"/>
      <c r="R2" s="48"/>
      <c r="S2" s="6"/>
      <c r="T2" s="6"/>
      <c r="U2" s="6"/>
      <c r="V2" s="6"/>
      <c r="W2" s="6"/>
      <c r="X2" s="6"/>
    </row>
    <row r="3" ht="21" customHeight="1" spans="1:24">
      <c r="A3" s="46" t="str">
        <f>HYPERLINK("#目录!a1","返回目录")</f>
        <v>返回目录</v>
      </c>
      <c r="B3" s="49"/>
      <c r="C3" s="49"/>
      <c r="D3" s="49"/>
      <c r="E3" s="49"/>
      <c r="F3" s="49"/>
      <c r="G3" s="50" t="s">
        <v>11</v>
      </c>
      <c r="H3" s="51"/>
      <c r="I3" s="51"/>
      <c r="J3" s="51"/>
      <c r="K3" s="51"/>
      <c r="L3" s="51"/>
      <c r="M3" s="51"/>
      <c r="N3" s="51"/>
      <c r="O3" s="52"/>
      <c r="P3" s="49" t="s">
        <v>12</v>
      </c>
      <c r="Q3" s="49" t="s">
        <v>13</v>
      </c>
      <c r="R3" s="49"/>
    </row>
    <row r="4" ht="21" customHeight="1" spans="1:24">
      <c r="B4" s="49" t="s">
        <v>6</v>
      </c>
      <c r="C4" s="49" t="s">
        <v>7</v>
      </c>
      <c r="D4" s="49"/>
      <c r="E4" s="49" t="s">
        <v>9</v>
      </c>
      <c r="F4" s="49" t="s">
        <v>10</v>
      </c>
      <c r="G4" s="49" t="s">
        <v>474</v>
      </c>
      <c r="H4" s="49" t="s">
        <v>475</v>
      </c>
      <c r="I4" s="49" t="s">
        <v>124</v>
      </c>
      <c r="J4" s="49" t="s">
        <v>68</v>
      </c>
      <c r="K4" s="49" t="s">
        <v>116</v>
      </c>
      <c r="L4" s="49" t="s">
        <v>2512</v>
      </c>
      <c r="M4" s="49" t="s">
        <v>477</v>
      </c>
      <c r="N4" s="49" t="s">
        <v>478</v>
      </c>
      <c r="O4" s="49" t="s">
        <v>11</v>
      </c>
      <c r="P4" s="53"/>
      <c r="Q4" s="53"/>
      <c r="R4" s="49" t="s">
        <v>14</v>
      </c>
    </row>
    <row r="5" ht="20" customHeight="1" spans="1:24">
      <c r="B5" s="42"/>
      <c r="C5" s="42"/>
      <c r="D5" s="42"/>
      <c r="E5" s="42"/>
      <c r="F5" s="54" t="s">
        <v>15</v>
      </c>
      <c r="G5" s="56"/>
      <c r="H5" s="56"/>
      <c r="I5" s="56"/>
      <c r="J5" s="56"/>
      <c r="K5" s="56"/>
      <c r="L5" s="56"/>
      <c r="M5" s="56"/>
      <c r="N5" s="56"/>
      <c r="O5" s="56"/>
      <c r="P5" s="56"/>
      <c r="Q5" s="58">
        <v>0</v>
      </c>
      <c r="R5" s="59"/>
      <c r="S5" s="79"/>
    </row>
    <row r="6" ht="20" customHeight="1" spans="1:24">
      <c r="B6" s="42">
        <v>1</v>
      </c>
      <c r="C6" s="42">
        <v>12</v>
      </c>
      <c r="D6" s="42"/>
      <c r="E6" s="44" t="s">
        <v>2513</v>
      </c>
      <c r="F6" s="75" t="s">
        <v>2514</v>
      </c>
      <c r="G6" s="56"/>
      <c r="H6" s="56"/>
      <c r="I6" s="55">
        <v>2550</v>
      </c>
      <c r="J6" s="56"/>
      <c r="K6" s="56"/>
      <c r="L6" s="56"/>
      <c r="M6" s="56"/>
      <c r="N6" s="55">
        <v>12.43</v>
      </c>
      <c r="O6" s="108">
        <f t="shared" ref="O6:O65" si="0">SUM(G6:M6)-N6</f>
        <v>2537.57</v>
      </c>
      <c r="P6" s="56"/>
      <c r="Q6" s="58">
        <f t="shared" ref="Q6:Q65" si="1">Q5+O6-P6</f>
        <v>2537.57</v>
      </c>
      <c r="R6" s="56"/>
    </row>
    <row r="7" ht="20" customHeight="1" spans="1:24">
      <c r="B7" s="42">
        <v>1</v>
      </c>
      <c r="C7" s="42">
        <v>13</v>
      </c>
      <c r="D7" s="42"/>
      <c r="E7" s="44" t="s">
        <v>2513</v>
      </c>
      <c r="F7" s="75" t="s">
        <v>2515</v>
      </c>
      <c r="G7" s="56"/>
      <c r="H7" s="56"/>
      <c r="I7" s="55">
        <v>600</v>
      </c>
      <c r="J7" s="56"/>
      <c r="K7" s="56"/>
      <c r="L7" s="56"/>
      <c r="M7" s="56"/>
      <c r="N7" s="55">
        <v>3</v>
      </c>
      <c r="O7" s="108">
        <f t="shared" si="0"/>
        <v>597</v>
      </c>
      <c r="P7" s="56"/>
      <c r="Q7" s="58">
        <f t="shared" si="1"/>
        <v>3134.57</v>
      </c>
      <c r="R7" s="56"/>
    </row>
    <row r="8" ht="20" customHeight="1" spans="1:24">
      <c r="B8" s="42">
        <v>1</v>
      </c>
      <c r="C8" s="42">
        <v>13</v>
      </c>
      <c r="D8" s="42"/>
      <c r="E8" s="44" t="s">
        <v>2516</v>
      </c>
      <c r="F8" s="75" t="s">
        <v>2517</v>
      </c>
      <c r="G8" s="56"/>
      <c r="H8" s="56"/>
      <c r="I8" s="55"/>
      <c r="J8" s="56"/>
      <c r="K8" s="55">
        <v>630</v>
      </c>
      <c r="L8" s="55"/>
      <c r="M8" s="56"/>
      <c r="N8" s="55">
        <v>3.78</v>
      </c>
      <c r="O8" s="108">
        <f t="shared" si="0"/>
        <v>626.22</v>
      </c>
      <c r="P8" s="56"/>
      <c r="Q8" s="58">
        <f t="shared" si="1"/>
        <v>3760.79</v>
      </c>
      <c r="R8" s="56"/>
    </row>
    <row r="9" ht="20" customHeight="1" spans="1:24">
      <c r="B9" s="42">
        <v>1</v>
      </c>
      <c r="C9" s="42">
        <v>14</v>
      </c>
      <c r="D9" s="42"/>
      <c r="E9" s="44" t="s">
        <v>2513</v>
      </c>
      <c r="F9" s="75" t="s">
        <v>2518</v>
      </c>
      <c r="G9" s="56"/>
      <c r="H9" s="56"/>
      <c r="I9" s="55">
        <v>800</v>
      </c>
      <c r="J9" s="56"/>
      <c r="K9" s="56"/>
      <c r="L9" s="56"/>
      <c r="M9" s="56"/>
      <c r="N9" s="55">
        <v>4</v>
      </c>
      <c r="O9" s="108">
        <f t="shared" si="0"/>
        <v>796</v>
      </c>
      <c r="P9" s="56"/>
      <c r="Q9" s="58">
        <f t="shared" si="1"/>
        <v>4556.79</v>
      </c>
      <c r="R9" s="56"/>
    </row>
    <row r="10" ht="20" customHeight="1" spans="1:24">
      <c r="B10" s="42">
        <v>1</v>
      </c>
      <c r="C10" s="42">
        <v>15</v>
      </c>
      <c r="D10" s="42"/>
      <c r="E10" s="44" t="s">
        <v>2513</v>
      </c>
      <c r="F10" s="75" t="s">
        <v>2519</v>
      </c>
      <c r="G10" s="56"/>
      <c r="H10" s="56"/>
      <c r="I10" s="55">
        <v>100</v>
      </c>
      <c r="J10" s="56"/>
      <c r="K10" s="56"/>
      <c r="L10" s="56"/>
      <c r="M10" s="56"/>
      <c r="N10" s="55">
        <v>0.5</v>
      </c>
      <c r="O10" s="108">
        <f t="shared" si="0"/>
        <v>99.5</v>
      </c>
      <c r="P10" s="56"/>
      <c r="Q10" s="58">
        <f t="shared" si="1"/>
        <v>4656.29</v>
      </c>
      <c r="R10" s="56"/>
    </row>
    <row r="11" ht="20" customHeight="1" spans="1:24">
      <c r="B11" s="42">
        <v>1</v>
      </c>
      <c r="C11" s="42">
        <v>16</v>
      </c>
      <c r="D11" s="42"/>
      <c r="E11" s="44" t="s">
        <v>2513</v>
      </c>
      <c r="F11" s="75" t="s">
        <v>2520</v>
      </c>
      <c r="G11" s="56"/>
      <c r="H11" s="56"/>
      <c r="I11" s="55">
        <v>100</v>
      </c>
      <c r="J11" s="56"/>
      <c r="K11" s="56"/>
      <c r="L11" s="56"/>
      <c r="M11" s="56"/>
      <c r="N11" s="55">
        <v>0.5</v>
      </c>
      <c r="O11" s="108">
        <f t="shared" si="0"/>
        <v>99.5</v>
      </c>
      <c r="P11" s="56"/>
      <c r="Q11" s="58">
        <f t="shared" si="1"/>
        <v>4755.79</v>
      </c>
      <c r="R11" s="56"/>
    </row>
    <row r="12" ht="20" customHeight="1" spans="1:24">
      <c r="B12" s="42">
        <v>1</v>
      </c>
      <c r="C12" s="42">
        <v>17</v>
      </c>
      <c r="D12" s="42"/>
      <c r="E12" s="44" t="s">
        <v>2516</v>
      </c>
      <c r="F12" s="75" t="s">
        <v>2517</v>
      </c>
      <c r="G12" s="56"/>
      <c r="H12" s="56"/>
      <c r="I12" s="55"/>
      <c r="J12" s="56"/>
      <c r="K12" s="55">
        <v>565</v>
      </c>
      <c r="L12" s="55"/>
      <c r="M12" s="56"/>
      <c r="N12" s="55">
        <v>3.39</v>
      </c>
      <c r="O12" s="108">
        <f t="shared" si="0"/>
        <v>561.61</v>
      </c>
      <c r="P12" s="56"/>
      <c r="Q12" s="58">
        <f t="shared" si="1"/>
        <v>5317.4</v>
      </c>
      <c r="R12" s="56"/>
    </row>
    <row r="13" ht="20" customHeight="1" spans="1:24">
      <c r="B13" s="42">
        <v>1</v>
      </c>
      <c r="C13" s="42">
        <v>19</v>
      </c>
      <c r="D13" s="42"/>
      <c r="E13" s="44" t="s">
        <v>2513</v>
      </c>
      <c r="F13" s="75" t="s">
        <v>2521</v>
      </c>
      <c r="G13" s="56"/>
      <c r="H13" s="56"/>
      <c r="I13" s="55">
        <v>3200</v>
      </c>
      <c r="J13" s="56"/>
      <c r="K13" s="56"/>
      <c r="L13" s="56"/>
      <c r="M13" s="56"/>
      <c r="N13" s="55">
        <v>16</v>
      </c>
      <c r="O13" s="108">
        <f t="shared" si="0"/>
        <v>3184</v>
      </c>
      <c r="P13" s="56"/>
      <c r="Q13" s="58">
        <f t="shared" si="1"/>
        <v>8501.4</v>
      </c>
      <c r="R13" s="56"/>
    </row>
    <row r="14" ht="20" customHeight="1" spans="1:24">
      <c r="B14" s="42">
        <v>1</v>
      </c>
      <c r="C14" s="42">
        <v>19</v>
      </c>
      <c r="D14" s="42"/>
      <c r="E14" s="44"/>
      <c r="F14" s="75" t="s">
        <v>2522</v>
      </c>
      <c r="G14" s="55"/>
      <c r="H14" s="55"/>
      <c r="I14" s="56"/>
      <c r="J14" s="56"/>
      <c r="K14" s="109">
        <v>480</v>
      </c>
      <c r="L14" s="109"/>
      <c r="M14" s="56"/>
      <c r="N14" s="55">
        <v>6.95</v>
      </c>
      <c r="O14" s="108">
        <f t="shared" si="0"/>
        <v>473.05</v>
      </c>
      <c r="P14" s="56"/>
      <c r="Q14" s="58">
        <f t="shared" si="1"/>
        <v>8974.45</v>
      </c>
      <c r="R14" s="56"/>
    </row>
    <row r="15" ht="20" customHeight="1" spans="1:24">
      <c r="B15" s="42">
        <v>1</v>
      </c>
      <c r="C15" s="42">
        <v>19</v>
      </c>
      <c r="D15" s="42"/>
      <c r="E15" s="44"/>
      <c r="F15" s="75" t="s">
        <v>2523</v>
      </c>
      <c r="G15" s="55"/>
      <c r="H15" s="55"/>
      <c r="I15" s="56"/>
      <c r="J15" s="56"/>
      <c r="K15" s="109">
        <v>540</v>
      </c>
      <c r="L15" s="109"/>
      <c r="M15" s="56"/>
      <c r="N15" s="55"/>
      <c r="O15" s="108">
        <f t="shared" si="0"/>
        <v>540</v>
      </c>
      <c r="P15" s="56"/>
      <c r="Q15" s="58">
        <f t="shared" si="1"/>
        <v>9514.45</v>
      </c>
      <c r="R15" s="56"/>
    </row>
    <row r="16" ht="20" customHeight="1" spans="1:24">
      <c r="B16" s="42">
        <v>1</v>
      </c>
      <c r="C16" s="42">
        <v>19</v>
      </c>
      <c r="D16" s="42"/>
      <c r="E16" s="44"/>
      <c r="F16" s="75" t="s">
        <v>2524</v>
      </c>
      <c r="G16" s="55"/>
      <c r="H16" s="55"/>
      <c r="I16" s="56"/>
      <c r="J16" s="56"/>
      <c r="K16" s="109">
        <v>500</v>
      </c>
      <c r="L16" s="109"/>
      <c r="M16" s="56"/>
      <c r="N16" s="55"/>
      <c r="O16" s="108">
        <f t="shared" si="0"/>
        <v>500</v>
      </c>
      <c r="P16" s="56"/>
      <c r="Q16" s="58">
        <f t="shared" si="1"/>
        <v>10014.45</v>
      </c>
      <c r="R16" s="56"/>
    </row>
    <row r="17" ht="20" customHeight="1" spans="2:18">
      <c r="B17" s="42">
        <v>1</v>
      </c>
      <c r="C17" s="42">
        <v>19</v>
      </c>
      <c r="D17" s="42"/>
      <c r="E17" s="44"/>
      <c r="F17" s="75" t="s">
        <v>2525</v>
      </c>
      <c r="G17" s="55"/>
      <c r="H17" s="55"/>
      <c r="I17" s="56"/>
      <c r="J17" s="56"/>
      <c r="K17" s="109">
        <v>240</v>
      </c>
      <c r="L17" s="109"/>
      <c r="M17" s="56"/>
      <c r="N17" s="55"/>
      <c r="O17" s="108">
        <f t="shared" si="0"/>
        <v>240</v>
      </c>
      <c r="P17" s="56"/>
      <c r="Q17" s="58">
        <f t="shared" si="1"/>
        <v>10254.45</v>
      </c>
      <c r="R17" s="56"/>
    </row>
    <row r="18" ht="20" customHeight="1" spans="2:18">
      <c r="B18" s="42">
        <v>1</v>
      </c>
      <c r="C18" s="42">
        <v>19</v>
      </c>
      <c r="D18" s="42"/>
      <c r="E18" s="44"/>
      <c r="F18" s="75" t="s">
        <v>2526</v>
      </c>
      <c r="G18" s="55"/>
      <c r="H18" s="55"/>
      <c r="I18" s="56"/>
      <c r="J18" s="56"/>
      <c r="K18" s="109">
        <v>2000</v>
      </c>
      <c r="L18" s="109"/>
      <c r="M18" s="56"/>
      <c r="N18" s="55"/>
      <c r="O18" s="108">
        <f t="shared" si="0"/>
        <v>2000</v>
      </c>
      <c r="P18" s="56"/>
      <c r="Q18" s="58">
        <f t="shared" si="1"/>
        <v>12254.45</v>
      </c>
      <c r="R18" s="56"/>
    </row>
    <row r="19" ht="20" customHeight="1" spans="2:18">
      <c r="B19" s="42">
        <v>1</v>
      </c>
      <c r="C19" s="42">
        <v>19</v>
      </c>
      <c r="D19" s="42"/>
      <c r="E19" s="44"/>
      <c r="F19" s="75" t="s">
        <v>2527</v>
      </c>
      <c r="G19" s="55"/>
      <c r="H19" s="55"/>
      <c r="I19" s="56"/>
      <c r="J19" s="56"/>
      <c r="K19" s="109">
        <v>15</v>
      </c>
      <c r="L19" s="109"/>
      <c r="M19" s="56"/>
      <c r="N19" s="55"/>
      <c r="O19" s="108">
        <f t="shared" si="0"/>
        <v>15</v>
      </c>
      <c r="P19" s="56"/>
      <c r="Q19" s="58">
        <f t="shared" si="1"/>
        <v>12269.45</v>
      </c>
      <c r="R19" s="56"/>
    </row>
    <row r="20" ht="20" customHeight="1" spans="2:18">
      <c r="B20" s="42">
        <v>1</v>
      </c>
      <c r="C20" s="42">
        <v>19</v>
      </c>
      <c r="D20" s="42"/>
      <c r="E20" s="44"/>
      <c r="F20" s="75" t="s">
        <v>2528</v>
      </c>
      <c r="G20" s="55"/>
      <c r="H20" s="55"/>
      <c r="I20" s="56"/>
      <c r="J20" s="56"/>
      <c r="K20" s="109">
        <v>400</v>
      </c>
      <c r="L20" s="109"/>
      <c r="M20" s="56"/>
      <c r="N20" s="55"/>
      <c r="O20" s="108">
        <f t="shared" si="0"/>
        <v>400</v>
      </c>
      <c r="P20" s="56"/>
      <c r="Q20" s="58">
        <f t="shared" si="1"/>
        <v>12669.45</v>
      </c>
      <c r="R20" s="56"/>
    </row>
    <row r="21" ht="20" customHeight="1" spans="2:18">
      <c r="B21" s="42">
        <v>1</v>
      </c>
      <c r="C21" s="42">
        <v>19</v>
      </c>
      <c r="D21" s="42"/>
      <c r="E21" s="44"/>
      <c r="F21" s="75" t="s">
        <v>2529</v>
      </c>
      <c r="G21" s="55"/>
      <c r="H21" s="55"/>
      <c r="I21" s="56"/>
      <c r="J21" s="56"/>
      <c r="K21" s="109">
        <v>2880</v>
      </c>
      <c r="L21" s="109"/>
      <c r="M21" s="56"/>
      <c r="N21" s="55"/>
      <c r="O21" s="108">
        <f t="shared" si="0"/>
        <v>2880</v>
      </c>
      <c r="P21" s="56"/>
      <c r="Q21" s="58">
        <f t="shared" si="1"/>
        <v>15549.45</v>
      </c>
      <c r="R21" s="56"/>
    </row>
    <row r="22" ht="20" customHeight="1" spans="2:18">
      <c r="B22" s="42">
        <v>1</v>
      </c>
      <c r="C22" s="42">
        <v>20</v>
      </c>
      <c r="D22" s="42"/>
      <c r="E22" s="44" t="s">
        <v>2513</v>
      </c>
      <c r="F22" s="75" t="s">
        <v>2530</v>
      </c>
      <c r="G22" s="55"/>
      <c r="H22" s="55"/>
      <c r="I22" s="55">
        <v>2000</v>
      </c>
      <c r="J22" s="56"/>
      <c r="K22" s="56"/>
      <c r="L22" s="56"/>
      <c r="M22" s="56"/>
      <c r="N22" s="55">
        <v>10</v>
      </c>
      <c r="O22" s="108">
        <f t="shared" si="0"/>
        <v>1990</v>
      </c>
      <c r="P22" s="56"/>
      <c r="Q22" s="58">
        <f t="shared" si="1"/>
        <v>17539.45</v>
      </c>
      <c r="R22" s="56"/>
    </row>
    <row r="23" ht="20" customHeight="1" spans="2:18">
      <c r="B23" s="42">
        <v>1</v>
      </c>
      <c r="C23" s="42">
        <v>20</v>
      </c>
      <c r="D23" s="42"/>
      <c r="E23" s="44" t="s">
        <v>2531</v>
      </c>
      <c r="F23" s="110" t="s">
        <v>2532</v>
      </c>
      <c r="G23" s="55">
        <v>13143</v>
      </c>
      <c r="H23" s="55">
        <v>2457</v>
      </c>
      <c r="I23" s="55"/>
      <c r="J23" s="56"/>
      <c r="K23" s="56"/>
      <c r="L23" s="56"/>
      <c r="M23" s="56"/>
      <c r="N23" s="56"/>
      <c r="O23" s="108">
        <f t="shared" si="0"/>
        <v>15600</v>
      </c>
      <c r="P23" s="56"/>
      <c r="Q23" s="58">
        <f t="shared" si="1"/>
        <v>33139.45</v>
      </c>
      <c r="R23" s="103" t="s">
        <v>2533</v>
      </c>
    </row>
    <row r="24" ht="20" customHeight="1" spans="2:18">
      <c r="B24" s="42">
        <v>1</v>
      </c>
      <c r="C24" s="42">
        <v>20</v>
      </c>
      <c r="D24" s="42"/>
      <c r="E24" s="44" t="s">
        <v>2531</v>
      </c>
      <c r="F24" s="45" t="s">
        <v>2534</v>
      </c>
      <c r="G24" s="108"/>
      <c r="H24" s="55"/>
      <c r="I24" s="55">
        <v>142.21</v>
      </c>
      <c r="J24" s="56"/>
      <c r="K24" s="56"/>
      <c r="L24" s="56"/>
      <c r="M24" s="56"/>
      <c r="N24" s="56"/>
      <c r="O24" s="111">
        <f t="shared" si="0"/>
        <v>142.21</v>
      </c>
      <c r="P24" s="56"/>
      <c r="Q24" s="58">
        <f t="shared" si="1"/>
        <v>33281.66</v>
      </c>
      <c r="R24" s="56"/>
    </row>
    <row r="25" ht="20" customHeight="1" spans="2:18">
      <c r="B25" s="42">
        <v>1</v>
      </c>
      <c r="C25" s="42">
        <v>20</v>
      </c>
      <c r="D25" s="42"/>
      <c r="E25" s="44" t="s">
        <v>2535</v>
      </c>
      <c r="F25" s="75" t="s">
        <v>2536</v>
      </c>
      <c r="G25" s="55">
        <v>1974</v>
      </c>
      <c r="H25" s="55">
        <v>282</v>
      </c>
      <c r="I25" s="55"/>
      <c r="J25" s="56"/>
      <c r="K25" s="56"/>
      <c r="L25" s="56"/>
      <c r="M25" s="56"/>
      <c r="N25" s="56"/>
      <c r="O25" s="108">
        <f t="shared" si="0"/>
        <v>2256</v>
      </c>
      <c r="P25" s="56"/>
      <c r="Q25" s="58">
        <f t="shared" si="1"/>
        <v>35537.66</v>
      </c>
      <c r="R25" s="56"/>
    </row>
    <row r="26" ht="20" customHeight="1" spans="2:18">
      <c r="B26" s="42">
        <v>1</v>
      </c>
      <c r="C26" s="42">
        <v>20</v>
      </c>
      <c r="D26" s="42"/>
      <c r="E26" s="44" t="s">
        <v>2535</v>
      </c>
      <c r="F26" s="45" t="s">
        <v>2537</v>
      </c>
      <c r="G26" s="108"/>
      <c r="H26" s="55"/>
      <c r="I26" s="55">
        <v>16.23</v>
      </c>
      <c r="J26" s="56"/>
      <c r="K26" s="56"/>
      <c r="L26" s="56"/>
      <c r="M26" s="56"/>
      <c r="N26" s="56"/>
      <c r="O26" s="111">
        <f t="shared" si="0"/>
        <v>16.23</v>
      </c>
      <c r="P26" s="56"/>
      <c r="Q26" s="58">
        <f t="shared" si="1"/>
        <v>35553.89</v>
      </c>
      <c r="R26" s="56"/>
    </row>
    <row r="27" ht="20" customHeight="1" spans="2:18">
      <c r="B27" s="42">
        <v>1</v>
      </c>
      <c r="C27" s="42">
        <v>21</v>
      </c>
      <c r="D27" s="42"/>
      <c r="E27" s="44" t="s">
        <v>2513</v>
      </c>
      <c r="F27" s="75" t="s">
        <v>2538</v>
      </c>
      <c r="G27" s="55"/>
      <c r="H27" s="55"/>
      <c r="I27" s="55">
        <v>100</v>
      </c>
      <c r="J27" s="56"/>
      <c r="K27" s="56"/>
      <c r="L27" s="56"/>
      <c r="M27" s="56"/>
      <c r="N27" s="55">
        <v>0.5</v>
      </c>
      <c r="O27" s="108">
        <f t="shared" si="0"/>
        <v>99.5</v>
      </c>
      <c r="P27" s="56"/>
      <c r="Q27" s="58">
        <f t="shared" si="1"/>
        <v>35653.39</v>
      </c>
      <c r="R27" s="56"/>
    </row>
    <row r="28" ht="20" customHeight="1" spans="2:18">
      <c r="B28" s="42">
        <v>1</v>
      </c>
      <c r="C28" s="42">
        <v>21</v>
      </c>
      <c r="D28" s="42"/>
      <c r="E28" s="44" t="s">
        <v>2539</v>
      </c>
      <c r="F28" s="45" t="s">
        <v>2540</v>
      </c>
      <c r="G28" s="55">
        <v>2789.7</v>
      </c>
      <c r="H28" s="55">
        <v>410.3</v>
      </c>
      <c r="I28" s="56"/>
      <c r="J28" s="56"/>
      <c r="K28" s="56"/>
      <c r="L28" s="56"/>
      <c r="M28" s="56"/>
      <c r="N28" s="56"/>
      <c r="O28" s="111">
        <f t="shared" si="0"/>
        <v>3200</v>
      </c>
      <c r="P28" s="56"/>
      <c r="Q28" s="58">
        <f t="shared" si="1"/>
        <v>38853.39</v>
      </c>
      <c r="R28" s="56"/>
    </row>
    <row r="29" ht="38.25" spans="2:18">
      <c r="B29" s="42">
        <v>1</v>
      </c>
      <c r="C29" s="42">
        <v>21</v>
      </c>
      <c r="D29" s="42"/>
      <c r="E29" s="44" t="s">
        <v>2539</v>
      </c>
      <c r="F29" s="75" t="s">
        <v>2541</v>
      </c>
      <c r="G29" s="55">
        <v>2789.7</v>
      </c>
      <c r="H29" s="55">
        <v>410.3</v>
      </c>
      <c r="I29" s="56"/>
      <c r="J29" s="56"/>
      <c r="K29" s="56"/>
      <c r="L29" s="56"/>
      <c r="M29" s="56"/>
      <c r="N29" s="56"/>
      <c r="O29" s="108">
        <f t="shared" si="0"/>
        <v>3200</v>
      </c>
      <c r="P29" s="56"/>
      <c r="Q29" s="58">
        <f t="shared" si="1"/>
        <v>42053.39</v>
      </c>
      <c r="R29" s="112" t="s">
        <v>2542</v>
      </c>
    </row>
    <row r="30" ht="20" customHeight="1" spans="2:18">
      <c r="B30" s="42">
        <v>1</v>
      </c>
      <c r="C30" s="42">
        <v>21</v>
      </c>
      <c r="D30" s="42"/>
      <c r="E30" s="44" t="s">
        <v>2543</v>
      </c>
      <c r="F30" s="75" t="s">
        <v>2544</v>
      </c>
      <c r="G30" s="55">
        <v>4668.75</v>
      </c>
      <c r="H30" s="55">
        <v>481.25</v>
      </c>
      <c r="I30" s="55"/>
      <c r="J30" s="56"/>
      <c r="K30" s="56"/>
      <c r="L30" s="56"/>
      <c r="M30" s="56"/>
      <c r="N30" s="56"/>
      <c r="O30" s="108">
        <f t="shared" si="0"/>
        <v>5150</v>
      </c>
      <c r="P30" s="56"/>
      <c r="Q30" s="58">
        <f t="shared" si="1"/>
        <v>47203.39</v>
      </c>
      <c r="R30" s="56"/>
    </row>
    <row r="31" ht="20" customHeight="1" spans="2:18">
      <c r="B31" s="42">
        <v>1</v>
      </c>
      <c r="C31" s="42">
        <v>21</v>
      </c>
      <c r="D31" s="42"/>
      <c r="E31" s="44" t="s">
        <v>2543</v>
      </c>
      <c r="F31" s="45" t="s">
        <v>2545</v>
      </c>
      <c r="G31" s="108"/>
      <c r="H31" s="55"/>
      <c r="I31" s="55">
        <v>387</v>
      </c>
      <c r="J31" s="56"/>
      <c r="K31" s="56"/>
      <c r="L31" s="56"/>
      <c r="M31" s="56"/>
      <c r="N31" s="56"/>
      <c r="O31" s="111">
        <f t="shared" si="0"/>
        <v>387</v>
      </c>
      <c r="P31" s="56"/>
      <c r="Q31" s="58">
        <f t="shared" si="1"/>
        <v>47590.39</v>
      </c>
      <c r="R31" s="56"/>
    </row>
    <row r="32" ht="20" customHeight="1" spans="2:18">
      <c r="B32" s="42">
        <v>1</v>
      </c>
      <c r="C32" s="42">
        <v>22</v>
      </c>
      <c r="D32" s="42"/>
      <c r="E32" s="44" t="s">
        <v>2546</v>
      </c>
      <c r="F32" s="110" t="s">
        <v>2547</v>
      </c>
      <c r="G32" s="55">
        <v>4428</v>
      </c>
      <c r="H32" s="55">
        <v>572</v>
      </c>
      <c r="I32" s="56"/>
      <c r="J32" s="56"/>
      <c r="K32" s="56"/>
      <c r="L32" s="56"/>
      <c r="M32" s="56"/>
      <c r="N32" s="56"/>
      <c r="O32" s="108">
        <f t="shared" si="0"/>
        <v>5000</v>
      </c>
      <c r="P32" s="56"/>
      <c r="Q32" s="58">
        <f t="shared" si="1"/>
        <v>52590.39</v>
      </c>
      <c r="R32" s="56"/>
    </row>
    <row r="33" ht="20" customHeight="1" spans="2:18">
      <c r="B33" s="42">
        <v>1</v>
      </c>
      <c r="C33" s="42">
        <v>22</v>
      </c>
      <c r="D33" s="42"/>
      <c r="E33" s="44" t="s">
        <v>2516</v>
      </c>
      <c r="F33" s="75" t="s">
        <v>2517</v>
      </c>
      <c r="G33" s="55"/>
      <c r="H33" s="55"/>
      <c r="I33" s="56"/>
      <c r="J33" s="56"/>
      <c r="K33" s="55">
        <v>515</v>
      </c>
      <c r="L33" s="55"/>
      <c r="M33" s="56"/>
      <c r="N33" s="55">
        <v>3.09</v>
      </c>
      <c r="O33" s="108">
        <f t="shared" si="0"/>
        <v>511.91</v>
      </c>
      <c r="P33" s="56"/>
      <c r="Q33" s="58">
        <f t="shared" si="1"/>
        <v>53102.3</v>
      </c>
      <c r="R33" s="56"/>
    </row>
    <row r="34" ht="20" customHeight="1" spans="2:18">
      <c r="B34" s="42">
        <v>1</v>
      </c>
      <c r="C34" s="42">
        <v>23</v>
      </c>
      <c r="D34" s="42"/>
      <c r="E34" s="44" t="s">
        <v>2513</v>
      </c>
      <c r="F34" s="75" t="s">
        <v>2548</v>
      </c>
      <c r="G34" s="55"/>
      <c r="H34" s="55"/>
      <c r="I34" s="55">
        <v>400</v>
      </c>
      <c r="J34" s="56"/>
      <c r="K34" s="56"/>
      <c r="L34" s="56"/>
      <c r="M34" s="56"/>
      <c r="N34" s="55">
        <v>2</v>
      </c>
      <c r="O34" s="108">
        <f t="shared" si="0"/>
        <v>398</v>
      </c>
      <c r="P34" s="56"/>
      <c r="Q34" s="58">
        <f t="shared" si="1"/>
        <v>53500.3</v>
      </c>
      <c r="R34" s="56"/>
    </row>
    <row r="35" ht="20" customHeight="1" spans="2:18">
      <c r="B35" s="42">
        <v>1</v>
      </c>
      <c r="C35" s="42">
        <v>23</v>
      </c>
      <c r="D35" s="42"/>
      <c r="E35" s="44" t="s">
        <v>2549</v>
      </c>
      <c r="F35" s="75" t="s">
        <v>2550</v>
      </c>
      <c r="G35" s="55">
        <v>8273</v>
      </c>
      <c r="H35" s="55">
        <v>1100</v>
      </c>
      <c r="I35" s="56"/>
      <c r="J35" s="56"/>
      <c r="K35" s="56"/>
      <c r="L35" s="56"/>
      <c r="M35" s="56"/>
      <c r="N35" s="56"/>
      <c r="O35" s="108">
        <f t="shared" si="0"/>
        <v>9373</v>
      </c>
      <c r="P35" s="56"/>
      <c r="Q35" s="58">
        <f t="shared" si="1"/>
        <v>62873.3</v>
      </c>
      <c r="R35" s="56"/>
    </row>
    <row r="36" ht="20" customHeight="1" spans="2:18">
      <c r="B36" s="42">
        <v>1</v>
      </c>
      <c r="C36" s="42">
        <v>26</v>
      </c>
      <c r="D36" s="42"/>
      <c r="E36" s="44" t="s">
        <v>2513</v>
      </c>
      <c r="F36" s="75" t="s">
        <v>2551</v>
      </c>
      <c r="G36" s="56"/>
      <c r="H36" s="56"/>
      <c r="I36" s="55">
        <v>2700</v>
      </c>
      <c r="J36" s="56"/>
      <c r="K36" s="56"/>
      <c r="L36" s="56"/>
      <c r="M36" s="56"/>
      <c r="N36" s="55">
        <v>13.5</v>
      </c>
      <c r="O36" s="108">
        <f t="shared" si="0"/>
        <v>2686.5</v>
      </c>
      <c r="P36" s="56"/>
      <c r="Q36" s="58">
        <f t="shared" si="1"/>
        <v>65559.8</v>
      </c>
      <c r="R36" s="56"/>
    </row>
    <row r="37" ht="20" customHeight="1" spans="2:18">
      <c r="B37" s="42">
        <v>1</v>
      </c>
      <c r="C37" s="42">
        <v>26</v>
      </c>
      <c r="D37" s="42"/>
      <c r="E37" s="44"/>
      <c r="F37" s="75" t="s">
        <v>2552</v>
      </c>
      <c r="G37" s="55"/>
      <c r="H37" s="55"/>
      <c r="I37" s="56"/>
      <c r="J37" s="56"/>
      <c r="K37" s="109">
        <v>540</v>
      </c>
      <c r="L37" s="109"/>
      <c r="M37" s="56"/>
      <c r="N37" s="55">
        <v>1.08</v>
      </c>
      <c r="O37" s="108">
        <f t="shared" si="0"/>
        <v>538.92</v>
      </c>
      <c r="P37" s="56"/>
      <c r="Q37" s="58">
        <f t="shared" si="1"/>
        <v>66098.72</v>
      </c>
      <c r="R37" s="56"/>
    </row>
    <row r="38" ht="20" customHeight="1" spans="2:18">
      <c r="B38" s="42">
        <v>1</v>
      </c>
      <c r="C38" s="42">
        <v>26</v>
      </c>
      <c r="D38" s="42"/>
      <c r="E38" s="44"/>
      <c r="F38" s="75" t="s">
        <v>2553</v>
      </c>
      <c r="G38" s="55"/>
      <c r="H38" s="55"/>
      <c r="I38" s="56"/>
      <c r="J38" s="56"/>
      <c r="K38" s="109">
        <v>300</v>
      </c>
      <c r="L38" s="109"/>
      <c r="M38" s="56"/>
      <c r="N38" s="55"/>
      <c r="O38" s="108">
        <f t="shared" si="0"/>
        <v>300</v>
      </c>
      <c r="P38" s="56"/>
      <c r="Q38" s="58">
        <f t="shared" si="1"/>
        <v>66398.72</v>
      </c>
      <c r="R38" s="56"/>
    </row>
    <row r="39" ht="20" customHeight="1" spans="2:18">
      <c r="B39" s="42">
        <v>1</v>
      </c>
      <c r="C39" s="42">
        <v>26</v>
      </c>
      <c r="D39" s="42"/>
      <c r="E39" s="44"/>
      <c r="F39" s="75" t="s">
        <v>2554</v>
      </c>
      <c r="G39" s="55"/>
      <c r="H39" s="55"/>
      <c r="I39" s="56"/>
      <c r="J39" s="56"/>
      <c r="K39" s="109">
        <v>240</v>
      </c>
      <c r="L39" s="109"/>
      <c r="M39" s="56"/>
      <c r="N39" s="55"/>
      <c r="O39" s="108">
        <f t="shared" si="0"/>
        <v>240</v>
      </c>
      <c r="P39" s="56"/>
      <c r="Q39" s="58">
        <f t="shared" si="1"/>
        <v>66638.72</v>
      </c>
      <c r="R39" s="56"/>
    </row>
    <row r="40" ht="20" customHeight="1" spans="2:18">
      <c r="B40" s="42">
        <v>1</v>
      </c>
      <c r="C40" s="42">
        <v>26</v>
      </c>
      <c r="D40" s="42"/>
      <c r="E40" s="44" t="s">
        <v>2555</v>
      </c>
      <c r="F40" s="75" t="s">
        <v>2556</v>
      </c>
      <c r="G40" s="55">
        <v>5000</v>
      </c>
      <c r="H40" s="55">
        <v>1100</v>
      </c>
      <c r="I40" s="56"/>
      <c r="J40" s="56"/>
      <c r="K40" s="56"/>
      <c r="L40" s="56"/>
      <c r="M40" s="56"/>
      <c r="N40" s="56"/>
      <c r="O40" s="108">
        <f t="shared" si="0"/>
        <v>6100</v>
      </c>
      <c r="P40" s="56"/>
      <c r="Q40" s="58">
        <f t="shared" si="1"/>
        <v>72738.72</v>
      </c>
      <c r="R40" s="56"/>
    </row>
    <row r="41" ht="20" customHeight="1" spans="2:18">
      <c r="B41" s="42">
        <v>1</v>
      </c>
      <c r="C41" s="42">
        <v>26</v>
      </c>
      <c r="D41" s="42"/>
      <c r="E41" s="44" t="s">
        <v>2555</v>
      </c>
      <c r="F41" s="75" t="s">
        <v>2557</v>
      </c>
      <c r="G41" s="55">
        <v>1300</v>
      </c>
      <c r="H41" s="55"/>
      <c r="I41" s="56"/>
      <c r="J41" s="56"/>
      <c r="K41" s="56"/>
      <c r="L41" s="56"/>
      <c r="M41" s="56"/>
      <c r="N41" s="56"/>
      <c r="O41" s="108">
        <f t="shared" si="0"/>
        <v>1300</v>
      </c>
      <c r="P41" s="56"/>
      <c r="Q41" s="58">
        <f t="shared" si="1"/>
        <v>74038.72</v>
      </c>
      <c r="R41" s="56"/>
    </row>
    <row r="42" ht="20" customHeight="1" spans="2:18">
      <c r="B42" s="42">
        <v>1</v>
      </c>
      <c r="C42" s="42">
        <v>27</v>
      </c>
      <c r="D42" s="42"/>
      <c r="E42" s="44" t="s">
        <v>2513</v>
      </c>
      <c r="F42" s="75" t="s">
        <v>2558</v>
      </c>
      <c r="G42" s="55"/>
      <c r="H42" s="55"/>
      <c r="I42" s="55">
        <v>500</v>
      </c>
      <c r="J42" s="56"/>
      <c r="K42" s="56"/>
      <c r="L42" s="56"/>
      <c r="M42" s="56"/>
      <c r="N42" s="55">
        <v>2.5</v>
      </c>
      <c r="O42" s="108">
        <f t="shared" si="0"/>
        <v>497.5</v>
      </c>
      <c r="P42" s="56"/>
      <c r="Q42" s="58">
        <f t="shared" si="1"/>
        <v>74536.22</v>
      </c>
      <c r="R42" s="56"/>
    </row>
    <row r="43" ht="20" customHeight="1" spans="2:18">
      <c r="B43" s="42">
        <v>1</v>
      </c>
      <c r="C43" s="42">
        <v>27</v>
      </c>
      <c r="D43" s="42"/>
      <c r="E43" s="44" t="s">
        <v>2516</v>
      </c>
      <c r="F43" s="75" t="s">
        <v>2517</v>
      </c>
      <c r="G43" s="55"/>
      <c r="H43" s="55"/>
      <c r="I43" s="56"/>
      <c r="J43" s="56"/>
      <c r="K43" s="55">
        <v>565</v>
      </c>
      <c r="L43" s="55"/>
      <c r="M43" s="56"/>
      <c r="N43" s="55">
        <v>3.39</v>
      </c>
      <c r="O43" s="108">
        <f t="shared" si="0"/>
        <v>561.61</v>
      </c>
      <c r="P43" s="56"/>
      <c r="Q43" s="58">
        <f t="shared" si="1"/>
        <v>75097.83</v>
      </c>
      <c r="R43" s="56"/>
    </row>
    <row r="44" ht="20" customHeight="1" spans="2:18">
      <c r="B44" s="42">
        <v>1</v>
      </c>
      <c r="C44" s="42">
        <v>27</v>
      </c>
      <c r="D44" s="42"/>
      <c r="E44" s="44" t="s">
        <v>2559</v>
      </c>
      <c r="F44" s="75" t="s">
        <v>2560</v>
      </c>
      <c r="G44" s="56"/>
      <c r="H44" s="56"/>
      <c r="I44" s="55">
        <v>200.5</v>
      </c>
      <c r="J44" s="56"/>
      <c r="K44" s="56"/>
      <c r="L44" s="56"/>
      <c r="M44" s="56"/>
      <c r="N44" s="56"/>
      <c r="O44" s="108">
        <f t="shared" si="0"/>
        <v>200.5</v>
      </c>
      <c r="P44" s="56"/>
      <c r="Q44" s="58">
        <f t="shared" si="1"/>
        <v>75298.33</v>
      </c>
      <c r="R44" s="56"/>
    </row>
    <row r="45" ht="20" customHeight="1" spans="2:18">
      <c r="B45" s="42">
        <v>1</v>
      </c>
      <c r="C45" s="42">
        <v>28</v>
      </c>
      <c r="D45" s="42"/>
      <c r="E45" s="44" t="s">
        <v>2513</v>
      </c>
      <c r="F45" s="75" t="s">
        <v>2561</v>
      </c>
      <c r="G45" s="56"/>
      <c r="H45" s="56"/>
      <c r="I45" s="55">
        <v>350</v>
      </c>
      <c r="J45" s="56"/>
      <c r="K45" s="56"/>
      <c r="L45" s="56"/>
      <c r="M45" s="56"/>
      <c r="N45" s="55">
        <v>1.75</v>
      </c>
      <c r="O45" s="108">
        <f t="shared" si="0"/>
        <v>348.25</v>
      </c>
      <c r="P45" s="56"/>
      <c r="Q45" s="58">
        <f t="shared" si="1"/>
        <v>75646.58</v>
      </c>
      <c r="R45" s="56"/>
    </row>
    <row r="46" ht="20" customHeight="1" spans="2:18">
      <c r="B46" s="42">
        <v>1</v>
      </c>
      <c r="C46" s="42">
        <v>29</v>
      </c>
      <c r="D46" s="42"/>
      <c r="E46" s="44" t="s">
        <v>2513</v>
      </c>
      <c r="F46" s="75" t="s">
        <v>2562</v>
      </c>
      <c r="G46" s="56"/>
      <c r="H46" s="56"/>
      <c r="I46" s="55">
        <v>750</v>
      </c>
      <c r="J46" s="56"/>
      <c r="K46" s="56"/>
      <c r="L46" s="56"/>
      <c r="M46" s="56"/>
      <c r="N46" s="55">
        <v>3.75</v>
      </c>
      <c r="O46" s="108">
        <f t="shared" si="0"/>
        <v>746.25</v>
      </c>
      <c r="P46" s="56"/>
      <c r="Q46" s="58">
        <f t="shared" si="1"/>
        <v>76392.83</v>
      </c>
      <c r="R46" s="56"/>
    </row>
    <row r="47" ht="27" customHeight="1" spans="2:18">
      <c r="B47" s="42">
        <v>1</v>
      </c>
      <c r="C47" s="42">
        <v>29</v>
      </c>
      <c r="D47" s="42"/>
      <c r="E47" s="44" t="s">
        <v>2563</v>
      </c>
      <c r="F47" s="75" t="s">
        <v>2564</v>
      </c>
      <c r="G47" s="108">
        <v>2840</v>
      </c>
      <c r="H47" s="55">
        <v>360</v>
      </c>
      <c r="I47" s="55"/>
      <c r="J47" s="56"/>
      <c r="K47" s="56"/>
      <c r="L47" s="56"/>
      <c r="M47" s="56"/>
      <c r="N47" s="56"/>
      <c r="O47" s="108">
        <f t="shared" si="0"/>
        <v>3200</v>
      </c>
      <c r="P47" s="56"/>
      <c r="Q47" s="58">
        <f t="shared" si="1"/>
        <v>79592.83</v>
      </c>
      <c r="R47" s="113" t="s">
        <v>2565</v>
      </c>
    </row>
    <row r="48" ht="27" customHeight="1" spans="2:18">
      <c r="B48" s="42">
        <v>1</v>
      </c>
      <c r="C48" s="42">
        <v>29</v>
      </c>
      <c r="D48" s="42"/>
      <c r="E48" s="44" t="s">
        <v>2563</v>
      </c>
      <c r="F48" s="45" t="s">
        <v>2566</v>
      </c>
      <c r="G48" s="108"/>
      <c r="H48" s="55"/>
      <c r="I48" s="55">
        <v>37.91</v>
      </c>
      <c r="J48" s="56"/>
      <c r="K48" s="56"/>
      <c r="L48" s="56"/>
      <c r="M48" s="56"/>
      <c r="N48" s="56"/>
      <c r="O48" s="111">
        <f t="shared" si="0"/>
        <v>37.91</v>
      </c>
      <c r="P48" s="56"/>
      <c r="Q48" s="58">
        <f t="shared" si="1"/>
        <v>79630.74</v>
      </c>
      <c r="R48" s="113"/>
    </row>
    <row r="49" ht="20" customHeight="1" spans="2:18">
      <c r="B49" s="42">
        <v>1</v>
      </c>
      <c r="C49" s="42">
        <v>29</v>
      </c>
      <c r="D49" s="42"/>
      <c r="E49" s="74" t="s">
        <v>2567</v>
      </c>
      <c r="F49" s="75" t="s">
        <v>2568</v>
      </c>
      <c r="G49" s="108">
        <v>1000</v>
      </c>
      <c r="H49" s="55"/>
      <c r="I49" s="55"/>
      <c r="J49" s="56"/>
      <c r="K49" s="56"/>
      <c r="L49" s="56"/>
      <c r="M49" s="56"/>
      <c r="N49" s="56"/>
      <c r="O49" s="108">
        <f t="shared" si="0"/>
        <v>1000</v>
      </c>
      <c r="P49" s="56"/>
      <c r="Q49" s="58">
        <f t="shared" si="1"/>
        <v>80630.74</v>
      </c>
      <c r="R49" s="56"/>
    </row>
    <row r="50" ht="20" customHeight="1" spans="2:18">
      <c r="B50" s="42">
        <v>1</v>
      </c>
      <c r="C50" s="42">
        <v>29</v>
      </c>
      <c r="D50" s="42"/>
      <c r="E50" s="74" t="s">
        <v>2567</v>
      </c>
      <c r="F50" s="45" t="s">
        <v>2569</v>
      </c>
      <c r="G50" s="108"/>
      <c r="H50" s="55"/>
      <c r="I50" s="55">
        <v>135.43</v>
      </c>
      <c r="J50" s="56"/>
      <c r="K50" s="56"/>
      <c r="L50" s="56"/>
      <c r="M50" s="56"/>
      <c r="N50" s="56"/>
      <c r="O50" s="111">
        <f t="shared" si="0"/>
        <v>135.43</v>
      </c>
      <c r="P50" s="56"/>
      <c r="Q50" s="58">
        <f t="shared" si="1"/>
        <v>80766.17</v>
      </c>
      <c r="R50" s="56"/>
    </row>
    <row r="51" ht="20" customHeight="1" spans="2:18">
      <c r="B51" s="42">
        <v>1</v>
      </c>
      <c r="C51" s="42">
        <v>29</v>
      </c>
      <c r="D51" s="42"/>
      <c r="E51" s="74" t="s">
        <v>2567</v>
      </c>
      <c r="F51" s="75" t="s">
        <v>2570</v>
      </c>
      <c r="G51" s="108">
        <v>18500</v>
      </c>
      <c r="H51" s="55"/>
      <c r="I51" s="55"/>
      <c r="J51" s="56"/>
      <c r="K51" s="56"/>
      <c r="L51" s="56"/>
      <c r="M51" s="56"/>
      <c r="N51" s="56"/>
      <c r="O51" s="108">
        <f t="shared" si="0"/>
        <v>18500</v>
      </c>
      <c r="P51" s="56"/>
      <c r="Q51" s="58">
        <f t="shared" si="1"/>
        <v>99266.17</v>
      </c>
      <c r="R51" s="56"/>
    </row>
    <row r="52" ht="20" customHeight="1" spans="2:18">
      <c r="B52" s="42">
        <v>1</v>
      </c>
      <c r="C52" s="42">
        <v>29</v>
      </c>
      <c r="D52" s="42"/>
      <c r="E52" s="74" t="s">
        <v>2567</v>
      </c>
      <c r="F52" s="45" t="s">
        <v>2571</v>
      </c>
      <c r="G52" s="108"/>
      <c r="H52" s="55"/>
      <c r="I52" s="55">
        <v>265.57</v>
      </c>
      <c r="J52" s="56"/>
      <c r="K52" s="56"/>
      <c r="L52" s="56"/>
      <c r="M52" s="56"/>
      <c r="N52" s="56"/>
      <c r="O52" s="111">
        <f t="shared" si="0"/>
        <v>265.57</v>
      </c>
      <c r="P52" s="56"/>
      <c r="Q52" s="58">
        <f t="shared" si="1"/>
        <v>99531.74</v>
      </c>
      <c r="R52" s="56"/>
    </row>
    <row r="53" ht="20" customHeight="1" spans="2:18">
      <c r="B53" s="42">
        <v>1</v>
      </c>
      <c r="C53" s="42">
        <v>30</v>
      </c>
      <c r="D53" s="42"/>
      <c r="E53" s="44" t="s">
        <v>2513</v>
      </c>
      <c r="F53" s="75" t="s">
        <v>2572</v>
      </c>
      <c r="G53" s="56"/>
      <c r="H53" s="56"/>
      <c r="I53" s="55">
        <v>7600</v>
      </c>
      <c r="J53" s="56"/>
      <c r="K53" s="56"/>
      <c r="L53" s="56"/>
      <c r="M53" s="56"/>
      <c r="N53" s="55">
        <v>38</v>
      </c>
      <c r="O53" s="108">
        <f t="shared" si="0"/>
        <v>7562</v>
      </c>
      <c r="P53" s="56"/>
      <c r="Q53" s="58">
        <f t="shared" si="1"/>
        <v>107093.74</v>
      </c>
      <c r="R53" s="56"/>
    </row>
    <row r="54" ht="27" customHeight="1" spans="2:18">
      <c r="B54" s="42">
        <v>1</v>
      </c>
      <c r="C54" s="42">
        <v>29</v>
      </c>
      <c r="D54" s="42"/>
      <c r="E54" s="44" t="s">
        <v>2563</v>
      </c>
      <c r="F54" s="45" t="s">
        <v>2573</v>
      </c>
      <c r="G54" s="55">
        <v>2840</v>
      </c>
      <c r="H54" s="55">
        <v>360</v>
      </c>
      <c r="I54" s="56">
        <v>48.44</v>
      </c>
      <c r="J54" s="56"/>
      <c r="K54" s="56"/>
      <c r="L54" s="56"/>
      <c r="M54" s="56"/>
      <c r="N54" s="56"/>
      <c r="O54" s="111">
        <f t="shared" si="0"/>
        <v>3248.44</v>
      </c>
      <c r="P54" s="56"/>
      <c r="Q54" s="58">
        <f t="shared" si="1"/>
        <v>110342.18</v>
      </c>
      <c r="R54" s="113" t="s">
        <v>2565</v>
      </c>
    </row>
    <row r="55" ht="20" customHeight="1" spans="2:18">
      <c r="B55" s="42">
        <v>1</v>
      </c>
      <c r="C55" s="42">
        <v>31</v>
      </c>
      <c r="D55" s="42"/>
      <c r="E55" s="44" t="s">
        <v>2516</v>
      </c>
      <c r="F55" s="75" t="s">
        <v>2517</v>
      </c>
      <c r="G55" s="56"/>
      <c r="H55" s="56"/>
      <c r="I55" s="55"/>
      <c r="J55" s="56"/>
      <c r="K55" s="55">
        <v>740</v>
      </c>
      <c r="L55" s="55"/>
      <c r="M55" s="56"/>
      <c r="N55" s="55">
        <v>4.44</v>
      </c>
      <c r="O55" s="108">
        <f t="shared" si="0"/>
        <v>735.56</v>
      </c>
      <c r="P55" s="56"/>
      <c r="Q55" s="58">
        <f t="shared" si="1"/>
        <v>111077.74</v>
      </c>
      <c r="R55" s="56"/>
    </row>
    <row r="56" ht="20" customHeight="1" spans="2:18">
      <c r="B56" s="42">
        <v>1</v>
      </c>
      <c r="C56" s="42">
        <v>31</v>
      </c>
      <c r="D56" s="42"/>
      <c r="E56" s="44"/>
      <c r="F56" s="75" t="s">
        <v>2574</v>
      </c>
      <c r="G56" s="56"/>
      <c r="H56" s="56"/>
      <c r="I56" s="55"/>
      <c r="J56" s="56"/>
      <c r="K56" s="109">
        <v>240</v>
      </c>
      <c r="L56" s="109"/>
      <c r="M56" s="56"/>
      <c r="N56" s="55">
        <v>0.94</v>
      </c>
      <c r="O56" s="108">
        <f t="shared" si="0"/>
        <v>239.06</v>
      </c>
      <c r="P56" s="56"/>
      <c r="Q56" s="58">
        <f t="shared" si="1"/>
        <v>111316.8</v>
      </c>
      <c r="R56" s="56"/>
    </row>
    <row r="57" ht="20" customHeight="1" spans="2:18">
      <c r="B57" s="42">
        <v>1</v>
      </c>
      <c r="C57" s="42">
        <v>31</v>
      </c>
      <c r="D57" s="42"/>
      <c r="E57" s="44"/>
      <c r="F57" s="75" t="s">
        <v>2575</v>
      </c>
      <c r="G57" s="56"/>
      <c r="H57" s="56"/>
      <c r="I57" s="55"/>
      <c r="J57" s="56"/>
      <c r="K57" s="109">
        <v>30</v>
      </c>
      <c r="L57" s="109"/>
      <c r="M57" s="56"/>
      <c r="N57" s="55"/>
      <c r="O57" s="108">
        <f t="shared" si="0"/>
        <v>30</v>
      </c>
      <c r="P57" s="56"/>
      <c r="Q57" s="58">
        <f t="shared" si="1"/>
        <v>111346.8</v>
      </c>
      <c r="R57" s="56"/>
    </row>
    <row r="58" ht="20" customHeight="1" spans="2:18">
      <c r="B58" s="42">
        <v>1</v>
      </c>
      <c r="C58" s="42">
        <v>31</v>
      </c>
      <c r="D58" s="42"/>
      <c r="E58" s="44"/>
      <c r="F58" s="75" t="s">
        <v>2576</v>
      </c>
      <c r="G58" s="56"/>
      <c r="H58" s="56"/>
      <c r="I58" s="55"/>
      <c r="J58" s="56"/>
      <c r="K58" s="109">
        <v>10</v>
      </c>
      <c r="L58" s="109"/>
      <c r="M58" s="56"/>
      <c r="N58" s="55"/>
      <c r="O58" s="108">
        <f t="shared" si="0"/>
        <v>10</v>
      </c>
      <c r="P58" s="56"/>
      <c r="Q58" s="58">
        <f t="shared" si="1"/>
        <v>111356.8</v>
      </c>
      <c r="R58" s="56"/>
    </row>
    <row r="59" ht="20" customHeight="1" spans="2:18">
      <c r="B59" s="42">
        <v>1</v>
      </c>
      <c r="C59" s="42">
        <v>31</v>
      </c>
      <c r="D59" s="42"/>
      <c r="E59" s="44"/>
      <c r="F59" s="75" t="s">
        <v>2577</v>
      </c>
      <c r="G59" s="56"/>
      <c r="H59" s="56"/>
      <c r="I59" s="55"/>
      <c r="J59" s="56"/>
      <c r="K59" s="109">
        <v>240</v>
      </c>
      <c r="L59" s="109"/>
      <c r="M59" s="56"/>
      <c r="N59" s="55"/>
      <c r="O59" s="108">
        <f t="shared" si="0"/>
        <v>240</v>
      </c>
      <c r="P59" s="56"/>
      <c r="Q59" s="58">
        <f t="shared" si="1"/>
        <v>111596.8</v>
      </c>
      <c r="R59" s="56"/>
    </row>
    <row r="60" ht="20" customHeight="1" spans="2:18">
      <c r="B60" s="42">
        <v>1</v>
      </c>
      <c r="C60" s="42">
        <v>31</v>
      </c>
      <c r="D60" s="42"/>
      <c r="E60" s="44" t="s">
        <v>2578</v>
      </c>
      <c r="F60" s="75" t="s">
        <v>2579</v>
      </c>
      <c r="G60" s="56"/>
      <c r="H60" s="56"/>
      <c r="I60" s="55"/>
      <c r="J60" s="56"/>
      <c r="K60" s="109">
        <v>85.2</v>
      </c>
      <c r="L60" s="109"/>
      <c r="M60" s="56"/>
      <c r="N60" s="56"/>
      <c r="O60" s="108">
        <f t="shared" si="0"/>
        <v>85.2</v>
      </c>
      <c r="P60" s="56"/>
      <c r="Q60" s="58">
        <f t="shared" si="1"/>
        <v>111682</v>
      </c>
      <c r="R60" s="56"/>
    </row>
    <row r="61" ht="20" customHeight="1" spans="2:18">
      <c r="B61" s="42">
        <v>1</v>
      </c>
      <c r="C61" s="42">
        <v>31</v>
      </c>
      <c r="D61" s="42"/>
      <c r="E61" s="44"/>
      <c r="F61" s="75" t="s">
        <v>2580</v>
      </c>
      <c r="G61" s="56"/>
      <c r="H61" s="56"/>
      <c r="I61" s="55"/>
      <c r="J61" s="56"/>
      <c r="K61" s="109">
        <v>240</v>
      </c>
      <c r="L61" s="109"/>
      <c r="M61" s="56"/>
      <c r="N61" s="56"/>
      <c r="O61" s="108">
        <f t="shared" si="0"/>
        <v>240</v>
      </c>
      <c r="P61" s="56"/>
      <c r="Q61" s="58">
        <f t="shared" si="1"/>
        <v>111922</v>
      </c>
      <c r="R61" s="56"/>
    </row>
    <row r="62" ht="20" customHeight="1" spans="2:18">
      <c r="B62" s="42">
        <v>1</v>
      </c>
      <c r="C62" s="42">
        <v>31</v>
      </c>
      <c r="D62" s="42"/>
      <c r="E62" s="44"/>
      <c r="F62" s="75" t="s">
        <v>2581</v>
      </c>
      <c r="G62" s="56"/>
      <c r="H62" s="56"/>
      <c r="I62" s="55"/>
      <c r="J62" s="56"/>
      <c r="K62" s="109">
        <v>100</v>
      </c>
      <c r="L62" s="109"/>
      <c r="M62" s="56"/>
      <c r="N62" s="56"/>
      <c r="O62" s="108">
        <f t="shared" si="0"/>
        <v>100</v>
      </c>
      <c r="P62" s="56"/>
      <c r="Q62" s="58">
        <f t="shared" si="1"/>
        <v>112022</v>
      </c>
      <c r="R62" s="56"/>
    </row>
    <row r="63" ht="20" customHeight="1" spans="2:18">
      <c r="B63" s="68">
        <v>1</v>
      </c>
      <c r="C63" s="68">
        <v>3</v>
      </c>
      <c r="D63" s="68"/>
      <c r="E63" s="69" t="s">
        <v>2539</v>
      </c>
      <c r="F63" s="114" t="s">
        <v>2582</v>
      </c>
      <c r="G63" s="71">
        <v>3200</v>
      </c>
      <c r="H63" s="71"/>
      <c r="I63" s="71"/>
      <c r="J63" s="71"/>
      <c r="K63" s="71"/>
      <c r="L63" s="71"/>
      <c r="M63" s="71"/>
      <c r="N63" s="71"/>
      <c r="O63" s="111">
        <f t="shared" si="0"/>
        <v>3200</v>
      </c>
      <c r="P63" s="56"/>
      <c r="Q63" s="58">
        <f t="shared" si="1"/>
        <v>115222</v>
      </c>
      <c r="R63" s="56"/>
    </row>
    <row r="64" ht="20" customHeight="1" spans="2:18">
      <c r="B64" s="68">
        <v>1</v>
      </c>
      <c r="C64" s="68">
        <v>3</v>
      </c>
      <c r="D64" s="68"/>
      <c r="E64" s="69" t="s">
        <v>2583</v>
      </c>
      <c r="F64" s="114" t="s">
        <v>2584</v>
      </c>
      <c r="G64" s="71">
        <v>8497.48</v>
      </c>
      <c r="H64" s="71"/>
      <c r="I64" s="71"/>
      <c r="J64" s="71"/>
      <c r="K64" s="71"/>
      <c r="L64" s="71"/>
      <c r="M64" s="71"/>
      <c r="N64" s="71"/>
      <c r="O64" s="111">
        <f t="shared" si="0"/>
        <v>8497.48</v>
      </c>
      <c r="P64" s="56"/>
      <c r="Q64" s="58">
        <f t="shared" si="1"/>
        <v>123719.48</v>
      </c>
      <c r="R64" s="56">
        <f>O65+O64+O63+O54+O52+O50+O48+O31+O28+O26+O24</f>
        <v>21279.77</v>
      </c>
    </row>
    <row r="65" ht="20" customHeight="1" spans="2:18">
      <c r="B65" s="68">
        <v>1</v>
      </c>
      <c r="C65" s="68">
        <v>4</v>
      </c>
      <c r="D65" s="68"/>
      <c r="E65" s="69" t="s">
        <v>2585</v>
      </c>
      <c r="F65" s="114" t="s">
        <v>2586</v>
      </c>
      <c r="G65" s="71"/>
      <c r="H65" s="71"/>
      <c r="I65" s="71">
        <v>2149.5</v>
      </c>
      <c r="J65" s="71"/>
      <c r="K65" s="71"/>
      <c r="L65" s="71"/>
      <c r="M65" s="71"/>
      <c r="N65" s="71"/>
      <c r="O65" s="111">
        <f t="shared" si="0"/>
        <v>2149.5</v>
      </c>
      <c r="P65" s="56"/>
      <c r="Q65" s="58">
        <f t="shared" si="1"/>
        <v>125868.98</v>
      </c>
      <c r="R65" s="115" t="s">
        <v>2587</v>
      </c>
    </row>
    <row r="66" ht="20" customHeight="1" spans="2:18">
      <c r="B66" s="68"/>
      <c r="C66" s="68"/>
      <c r="D66" s="68"/>
      <c r="E66" s="68"/>
      <c r="F66" s="70" t="s">
        <v>22</v>
      </c>
      <c r="G66" s="71">
        <f>SUM(G6:G65)</f>
        <v>81243.63</v>
      </c>
      <c r="H66" s="71">
        <f>SUM(H6:H65)</f>
        <v>7532.85</v>
      </c>
      <c r="I66" s="71">
        <f>SUM(I6:I65)</f>
        <v>25132.79</v>
      </c>
      <c r="J66" s="71">
        <f>SUM(J6:J65)</f>
        <v>0</v>
      </c>
      <c r="K66" s="71">
        <f>SUM(K6:K65)</f>
        <v>12095.2</v>
      </c>
      <c r="L66" s="71"/>
      <c r="M66" s="71">
        <f>SUM(M6:M65)</f>
        <v>0</v>
      </c>
      <c r="N66" s="71">
        <f>SUM(N6:N65)</f>
        <v>135.49</v>
      </c>
      <c r="O66" s="71">
        <f>SUM(O6:O65)</f>
        <v>125868.98</v>
      </c>
      <c r="P66" s="71">
        <f>SUM(P6:P65)</f>
        <v>0</v>
      </c>
      <c r="Q66" s="72">
        <f>Q5+O66-P66</f>
        <v>125868.98</v>
      </c>
      <c r="R66" s="71"/>
    </row>
    <row r="67" ht="19" customHeight="1" spans="2:18">
      <c r="B67" s="42">
        <v>2</v>
      </c>
      <c r="C67" s="42">
        <v>2</v>
      </c>
      <c r="D67" s="42"/>
      <c r="E67" s="75" t="s">
        <v>2513</v>
      </c>
      <c r="F67" s="75" t="s">
        <v>2588</v>
      </c>
      <c r="G67" s="56"/>
      <c r="H67" s="56"/>
      <c r="I67" s="56">
        <v>3650</v>
      </c>
      <c r="J67" s="56"/>
      <c r="K67" s="56"/>
      <c r="L67" s="56"/>
      <c r="M67" s="56"/>
      <c r="N67" s="56">
        <v>18.25</v>
      </c>
      <c r="O67" s="56">
        <f t="shared" ref="O67:O92" si="2">SUM(G67:M67)-N67</f>
        <v>3631.75</v>
      </c>
      <c r="P67" s="56"/>
      <c r="Q67" s="58">
        <f t="shared" ref="Q67:Q130" si="3">Q66+O67-P67</f>
        <v>129500.73</v>
      </c>
      <c r="R67" s="56"/>
    </row>
    <row r="68" ht="20" customHeight="1" spans="2:18">
      <c r="B68" s="42">
        <v>2</v>
      </c>
      <c r="C68" s="42">
        <v>2</v>
      </c>
      <c r="D68" s="42"/>
      <c r="E68" s="75" t="s">
        <v>2589</v>
      </c>
      <c r="F68" s="75" t="s">
        <v>2590</v>
      </c>
      <c r="G68" s="56">
        <v>8200</v>
      </c>
      <c r="H68" s="56"/>
      <c r="I68" s="56"/>
      <c r="J68" s="56"/>
      <c r="K68" s="56"/>
      <c r="L68" s="56"/>
      <c r="M68" s="56"/>
      <c r="N68" s="56"/>
      <c r="O68" s="56">
        <f t="shared" si="2"/>
        <v>8200</v>
      </c>
      <c r="P68" s="56"/>
      <c r="Q68" s="58">
        <f t="shared" si="3"/>
        <v>137700.73</v>
      </c>
      <c r="R68" s="56"/>
    </row>
    <row r="69" ht="20" customHeight="1" spans="2:18">
      <c r="B69" s="42">
        <v>2</v>
      </c>
      <c r="C69" s="42">
        <v>2</v>
      </c>
      <c r="D69" s="42"/>
      <c r="E69" s="75" t="s">
        <v>2589</v>
      </c>
      <c r="F69" s="75" t="s">
        <v>2591</v>
      </c>
      <c r="G69" s="56">
        <v>131.5</v>
      </c>
      <c r="H69" s="56">
        <v>668.5</v>
      </c>
      <c r="I69" s="56"/>
      <c r="J69" s="56"/>
      <c r="K69" s="56"/>
      <c r="L69" s="56"/>
      <c r="M69" s="56"/>
      <c r="N69" s="56"/>
      <c r="O69" s="56">
        <f t="shared" si="2"/>
        <v>800</v>
      </c>
      <c r="P69" s="56"/>
      <c r="Q69" s="58">
        <f t="shared" si="3"/>
        <v>138500.73</v>
      </c>
      <c r="R69" s="56"/>
    </row>
    <row r="70" ht="20" customHeight="1" spans="2:18">
      <c r="B70" s="42">
        <v>2</v>
      </c>
      <c r="C70" s="42">
        <v>3</v>
      </c>
      <c r="D70" s="42"/>
      <c r="E70" s="75" t="s">
        <v>2513</v>
      </c>
      <c r="F70" s="75" t="s">
        <v>2592</v>
      </c>
      <c r="G70" s="56"/>
      <c r="H70" s="56"/>
      <c r="I70" s="56">
        <v>550</v>
      </c>
      <c r="J70" s="56"/>
      <c r="K70" s="56"/>
      <c r="L70" s="56"/>
      <c r="M70" s="56"/>
      <c r="N70" s="56">
        <v>2.75</v>
      </c>
      <c r="O70" s="56">
        <f t="shared" si="2"/>
        <v>547.25</v>
      </c>
      <c r="P70" s="56"/>
      <c r="Q70" s="58">
        <f t="shared" si="3"/>
        <v>139047.98</v>
      </c>
      <c r="R70" s="56"/>
    </row>
    <row r="71" ht="20" customHeight="1" spans="2:18">
      <c r="B71" s="42">
        <v>2</v>
      </c>
      <c r="C71" s="42">
        <v>4</v>
      </c>
      <c r="D71" s="42"/>
      <c r="E71" s="75" t="s">
        <v>2513</v>
      </c>
      <c r="F71" s="75" t="s">
        <v>2593</v>
      </c>
      <c r="G71" s="56"/>
      <c r="H71" s="56"/>
      <c r="I71" s="56">
        <v>1250</v>
      </c>
      <c r="J71" s="56"/>
      <c r="K71" s="56"/>
      <c r="L71" s="56"/>
      <c r="M71" s="56"/>
      <c r="N71" s="56">
        <v>6.25</v>
      </c>
      <c r="O71" s="56">
        <f t="shared" si="2"/>
        <v>1243.75</v>
      </c>
      <c r="P71" s="56"/>
      <c r="Q71" s="58">
        <f t="shared" si="3"/>
        <v>140291.73</v>
      </c>
      <c r="R71" s="56"/>
    </row>
    <row r="72" ht="20" customHeight="1" spans="2:18">
      <c r="B72" s="42">
        <v>2</v>
      </c>
      <c r="C72" s="42">
        <v>5</v>
      </c>
      <c r="D72" s="42"/>
      <c r="E72" s="75" t="s">
        <v>2513</v>
      </c>
      <c r="F72" s="75" t="s">
        <v>2594</v>
      </c>
      <c r="G72" s="56"/>
      <c r="H72" s="56"/>
      <c r="I72" s="56">
        <v>500</v>
      </c>
      <c r="J72" s="56"/>
      <c r="K72" s="56"/>
      <c r="L72" s="56"/>
      <c r="M72" s="56"/>
      <c r="N72" s="56">
        <f>I72*0.005</f>
        <v>2.5</v>
      </c>
      <c r="O72" s="56">
        <f t="shared" si="2"/>
        <v>497.5</v>
      </c>
      <c r="P72" s="56"/>
      <c r="Q72" s="58">
        <f t="shared" si="3"/>
        <v>140789.23</v>
      </c>
      <c r="R72" s="56"/>
    </row>
    <row r="73" ht="20" customHeight="1" spans="2:18">
      <c r="B73" s="42">
        <v>2</v>
      </c>
      <c r="C73" s="42">
        <v>5</v>
      </c>
      <c r="D73" s="42"/>
      <c r="E73" s="75" t="s">
        <v>2516</v>
      </c>
      <c r="F73" s="75" t="s">
        <v>2595</v>
      </c>
      <c r="G73" s="56"/>
      <c r="H73" s="56"/>
      <c r="I73" s="56"/>
      <c r="J73" s="56"/>
      <c r="K73" s="56">
        <v>570</v>
      </c>
      <c r="L73" s="56"/>
      <c r="M73" s="56"/>
      <c r="N73" s="56">
        <v>3.42</v>
      </c>
      <c r="O73" s="56">
        <f t="shared" si="2"/>
        <v>566.58</v>
      </c>
      <c r="P73" s="56"/>
      <c r="Q73" s="58">
        <f t="shared" si="3"/>
        <v>141355.81</v>
      </c>
      <c r="R73" s="56"/>
    </row>
    <row r="74" ht="20" customHeight="1" spans="2:18">
      <c r="B74" s="42">
        <v>2</v>
      </c>
      <c r="C74" s="42">
        <v>6</v>
      </c>
      <c r="D74" s="42"/>
      <c r="E74" s="75" t="s">
        <v>2513</v>
      </c>
      <c r="F74" s="75" t="s">
        <v>2596</v>
      </c>
      <c r="G74" s="56"/>
      <c r="H74" s="56"/>
      <c r="I74" s="56">
        <v>2050</v>
      </c>
      <c r="J74" s="56"/>
      <c r="K74" s="56"/>
      <c r="L74" s="56"/>
      <c r="M74" s="56"/>
      <c r="N74" s="56">
        <f>I74*0.005</f>
        <v>10.25</v>
      </c>
      <c r="O74" s="56">
        <f t="shared" si="2"/>
        <v>2039.75</v>
      </c>
      <c r="P74" s="56"/>
      <c r="Q74" s="58">
        <f t="shared" si="3"/>
        <v>143395.56</v>
      </c>
      <c r="R74" s="56"/>
    </row>
    <row r="75" ht="20" customHeight="1" spans="2:18">
      <c r="B75" s="42">
        <v>2</v>
      </c>
      <c r="C75" s="42">
        <v>6</v>
      </c>
      <c r="D75" s="42"/>
      <c r="E75" s="75" t="s">
        <v>2589</v>
      </c>
      <c r="F75" s="75" t="s">
        <v>2597</v>
      </c>
      <c r="G75" s="56"/>
      <c r="H75" s="56"/>
      <c r="I75" s="56">
        <v>388</v>
      </c>
      <c r="J75" s="56"/>
      <c r="K75" s="56"/>
      <c r="L75" s="56"/>
      <c r="M75" s="56"/>
      <c r="N75" s="56"/>
      <c r="O75" s="56">
        <f t="shared" si="2"/>
        <v>388</v>
      </c>
      <c r="P75" s="56"/>
      <c r="Q75" s="58">
        <f t="shared" si="3"/>
        <v>143783.56</v>
      </c>
      <c r="R75" s="56"/>
    </row>
    <row r="76" ht="20" customHeight="1" spans="2:18">
      <c r="B76" s="42">
        <v>2</v>
      </c>
      <c r="C76" s="42">
        <v>8</v>
      </c>
      <c r="D76" s="42"/>
      <c r="E76" s="75" t="s">
        <v>2598</v>
      </c>
      <c r="F76" s="75" t="s">
        <v>2599</v>
      </c>
      <c r="G76" s="55">
        <v>4130.95</v>
      </c>
      <c r="H76" s="55">
        <v>369.05</v>
      </c>
      <c r="I76" s="56"/>
      <c r="J76" s="56"/>
      <c r="K76" s="56"/>
      <c r="L76" s="56"/>
      <c r="M76" s="56"/>
      <c r="N76" s="56"/>
      <c r="O76" s="56">
        <f t="shared" si="2"/>
        <v>4500</v>
      </c>
      <c r="P76" s="56"/>
      <c r="Q76" s="58">
        <f t="shared" si="3"/>
        <v>148283.56</v>
      </c>
      <c r="R76" s="56"/>
    </row>
    <row r="77" ht="20" customHeight="1" spans="2:18">
      <c r="B77" s="42">
        <v>2</v>
      </c>
      <c r="C77" s="42">
        <v>9</v>
      </c>
      <c r="D77" s="42"/>
      <c r="E77" s="75" t="s">
        <v>2600</v>
      </c>
      <c r="F77" s="75" t="s">
        <v>2601</v>
      </c>
      <c r="G77" s="56">
        <v>3436</v>
      </c>
      <c r="H77" s="56">
        <v>564</v>
      </c>
      <c r="I77" s="56">
        <v>52</v>
      </c>
      <c r="J77" s="56"/>
      <c r="K77" s="56"/>
      <c r="L77" s="56"/>
      <c r="M77" s="56"/>
      <c r="N77" s="56"/>
      <c r="O77" s="56">
        <f t="shared" si="2"/>
        <v>4052</v>
      </c>
      <c r="P77" s="56"/>
      <c r="Q77" s="58">
        <f t="shared" si="3"/>
        <v>152335.56</v>
      </c>
      <c r="R77" s="56"/>
    </row>
    <row r="78" ht="20" customHeight="1" spans="2:18">
      <c r="B78" s="42">
        <v>2</v>
      </c>
      <c r="C78" s="42">
        <v>9</v>
      </c>
      <c r="D78" s="42"/>
      <c r="E78" s="75" t="s">
        <v>2513</v>
      </c>
      <c r="F78" s="75" t="s">
        <v>2602</v>
      </c>
      <c r="G78" s="56"/>
      <c r="H78" s="56"/>
      <c r="I78" s="56">
        <v>1700</v>
      </c>
      <c r="J78" s="56"/>
      <c r="K78" s="56"/>
      <c r="L78" s="56"/>
      <c r="M78" s="56"/>
      <c r="N78" s="56">
        <f>I78*0.005</f>
        <v>8.5</v>
      </c>
      <c r="O78" s="56">
        <f t="shared" si="2"/>
        <v>1691.5</v>
      </c>
      <c r="P78" s="56"/>
      <c r="Q78" s="58">
        <f t="shared" si="3"/>
        <v>154027.06</v>
      </c>
      <c r="R78" s="56"/>
    </row>
    <row r="79" ht="20" customHeight="1" spans="2:18">
      <c r="B79" s="42">
        <v>2</v>
      </c>
      <c r="C79" s="42">
        <v>9</v>
      </c>
      <c r="D79" s="42"/>
      <c r="E79" s="44"/>
      <c r="F79" s="75" t="s">
        <v>2603</v>
      </c>
      <c r="G79" s="56"/>
      <c r="H79" s="56"/>
      <c r="I79" s="56"/>
      <c r="J79" s="56"/>
      <c r="K79" s="116">
        <v>240</v>
      </c>
      <c r="L79" s="116"/>
      <c r="M79" s="56"/>
      <c r="N79" s="56">
        <v>1.83</v>
      </c>
      <c r="O79" s="56">
        <f t="shared" si="2"/>
        <v>238.17</v>
      </c>
      <c r="P79" s="56"/>
      <c r="Q79" s="58">
        <f t="shared" si="3"/>
        <v>154265.23</v>
      </c>
      <c r="R79" s="59" t="s">
        <v>669</v>
      </c>
    </row>
    <row r="80" ht="20" customHeight="1" spans="2:18">
      <c r="B80" s="42">
        <v>2</v>
      </c>
      <c r="C80" s="42">
        <v>9</v>
      </c>
      <c r="D80" s="42"/>
      <c r="E80" s="44"/>
      <c r="F80" s="75" t="s">
        <v>2604</v>
      </c>
      <c r="G80" s="56"/>
      <c r="H80" s="56"/>
      <c r="I80" s="56"/>
      <c r="J80" s="56"/>
      <c r="K80" s="116">
        <v>200</v>
      </c>
      <c r="L80" s="116"/>
      <c r="M80" s="56"/>
      <c r="N80" s="56"/>
      <c r="O80" s="56">
        <f t="shared" si="2"/>
        <v>200</v>
      </c>
      <c r="P80" s="56"/>
      <c r="Q80" s="58">
        <f t="shared" si="3"/>
        <v>154465.23</v>
      </c>
      <c r="R80" s="59" t="s">
        <v>669</v>
      </c>
    </row>
    <row r="81" ht="20" customHeight="1" spans="2:18">
      <c r="B81" s="42">
        <v>2</v>
      </c>
      <c r="C81" s="42">
        <v>9</v>
      </c>
      <c r="D81" s="42"/>
      <c r="E81" s="44"/>
      <c r="F81" s="75" t="s">
        <v>2605</v>
      </c>
      <c r="G81" s="56"/>
      <c r="H81" s="56"/>
      <c r="I81" s="56"/>
      <c r="J81" s="56"/>
      <c r="K81" s="116">
        <v>240</v>
      </c>
      <c r="L81" s="116"/>
      <c r="M81" s="56"/>
      <c r="N81" s="56"/>
      <c r="O81" s="56">
        <f t="shared" si="2"/>
        <v>240</v>
      </c>
      <c r="P81" s="56"/>
      <c r="Q81" s="58">
        <f t="shared" si="3"/>
        <v>154705.23</v>
      </c>
      <c r="R81" s="59" t="s">
        <v>669</v>
      </c>
    </row>
    <row r="82" ht="20" customHeight="1" spans="2:18">
      <c r="B82" s="42">
        <v>2</v>
      </c>
      <c r="C82" s="42">
        <v>9</v>
      </c>
      <c r="D82" s="42"/>
      <c r="E82" s="44"/>
      <c r="F82" s="75" t="s">
        <v>2606</v>
      </c>
      <c r="G82" s="56"/>
      <c r="H82" s="56"/>
      <c r="I82" s="56"/>
      <c r="J82" s="56"/>
      <c r="K82" s="116">
        <v>300</v>
      </c>
      <c r="L82" s="116"/>
      <c r="M82" s="56"/>
      <c r="N82" s="56"/>
      <c r="O82" s="56">
        <f t="shared" si="2"/>
        <v>300</v>
      </c>
      <c r="P82" s="56"/>
      <c r="Q82" s="58">
        <f t="shared" si="3"/>
        <v>155005.23</v>
      </c>
      <c r="R82" s="59" t="s">
        <v>669</v>
      </c>
    </row>
    <row r="83" ht="20" customHeight="1" spans="2:18">
      <c r="B83" s="42">
        <v>2</v>
      </c>
      <c r="C83" s="42">
        <v>9</v>
      </c>
      <c r="D83" s="42"/>
      <c r="E83" s="44"/>
      <c r="F83" s="75" t="s">
        <v>2607</v>
      </c>
      <c r="G83" s="56"/>
      <c r="H83" s="56"/>
      <c r="I83" s="56"/>
      <c r="J83" s="56"/>
      <c r="K83" s="116">
        <v>240</v>
      </c>
      <c r="L83" s="116"/>
      <c r="M83" s="56"/>
      <c r="N83" s="56"/>
      <c r="O83" s="56">
        <f t="shared" si="2"/>
        <v>240</v>
      </c>
      <c r="P83" s="56"/>
      <c r="Q83" s="58">
        <f t="shared" si="3"/>
        <v>155245.23</v>
      </c>
      <c r="R83" s="59" t="s">
        <v>669</v>
      </c>
    </row>
    <row r="84" ht="20" customHeight="1" spans="2:18">
      <c r="B84" s="42">
        <v>2</v>
      </c>
      <c r="C84" s="42">
        <v>9</v>
      </c>
      <c r="D84" s="42"/>
      <c r="E84" s="44"/>
      <c r="F84" s="75" t="s">
        <v>2608</v>
      </c>
      <c r="G84" s="56"/>
      <c r="H84" s="56"/>
      <c r="I84" s="56"/>
      <c r="J84" s="56"/>
      <c r="K84" s="116">
        <v>240</v>
      </c>
      <c r="L84" s="116"/>
      <c r="M84" s="56"/>
      <c r="N84" s="56"/>
      <c r="O84" s="56">
        <f t="shared" si="2"/>
        <v>240</v>
      </c>
      <c r="P84" s="56"/>
      <c r="Q84" s="58">
        <f t="shared" si="3"/>
        <v>155485.23</v>
      </c>
      <c r="R84" s="59" t="s">
        <v>669</v>
      </c>
    </row>
    <row r="85" ht="20" customHeight="1" spans="2:18">
      <c r="B85" s="42">
        <v>2</v>
      </c>
      <c r="C85" s="42">
        <v>9</v>
      </c>
      <c r="D85" s="42"/>
      <c r="E85" s="44" t="s">
        <v>2609</v>
      </c>
      <c r="F85" s="75" t="s">
        <v>2610</v>
      </c>
      <c r="G85" s="56"/>
      <c r="H85" s="56"/>
      <c r="I85" s="56"/>
      <c r="J85" s="56"/>
      <c r="K85" s="116">
        <v>135.99</v>
      </c>
      <c r="L85" s="116"/>
      <c r="M85" s="56"/>
      <c r="N85" s="56"/>
      <c r="O85" s="56">
        <f t="shared" si="2"/>
        <v>135.99</v>
      </c>
      <c r="P85" s="56"/>
      <c r="Q85" s="58">
        <f t="shared" si="3"/>
        <v>155621.22</v>
      </c>
      <c r="R85" s="59" t="s">
        <v>669</v>
      </c>
    </row>
    <row r="86" ht="20" customHeight="1" spans="2:18">
      <c r="B86" s="42">
        <v>2</v>
      </c>
      <c r="C86" s="42">
        <v>9</v>
      </c>
      <c r="D86" s="42"/>
      <c r="E86" s="74"/>
      <c r="F86" s="75" t="s">
        <v>2611</v>
      </c>
      <c r="G86" s="56"/>
      <c r="H86" s="56"/>
      <c r="I86" s="56"/>
      <c r="J86" s="56"/>
      <c r="K86" s="116">
        <v>240</v>
      </c>
      <c r="L86" s="116"/>
      <c r="M86" s="56"/>
      <c r="N86" s="56"/>
      <c r="O86" s="56">
        <f t="shared" si="2"/>
        <v>240</v>
      </c>
      <c r="P86" s="56"/>
      <c r="Q86" s="58">
        <f t="shared" si="3"/>
        <v>155861.22</v>
      </c>
      <c r="R86" s="59" t="s">
        <v>669</v>
      </c>
    </row>
    <row r="87" ht="20" customHeight="1" spans="2:18">
      <c r="B87" s="42">
        <v>2</v>
      </c>
      <c r="C87" s="42">
        <v>9</v>
      </c>
      <c r="D87" s="42" t="s">
        <v>133</v>
      </c>
      <c r="E87" s="75" t="s">
        <v>291</v>
      </c>
      <c r="F87" s="75" t="s">
        <v>2612</v>
      </c>
      <c r="G87" s="56"/>
      <c r="H87" s="56"/>
      <c r="I87" s="56"/>
      <c r="J87" s="56"/>
      <c r="K87" s="56"/>
      <c r="L87" s="56"/>
      <c r="M87" s="56"/>
      <c r="N87" s="56"/>
      <c r="O87" s="56">
        <f t="shared" si="2"/>
        <v>0</v>
      </c>
      <c r="P87" s="55">
        <v>5000</v>
      </c>
      <c r="Q87" s="58">
        <f t="shared" si="3"/>
        <v>150861.22</v>
      </c>
      <c r="R87" s="56"/>
    </row>
    <row r="88" ht="20" customHeight="1" spans="2:18">
      <c r="B88" s="42">
        <v>2</v>
      </c>
      <c r="C88" s="42">
        <v>9</v>
      </c>
      <c r="D88" s="74" t="s">
        <v>100</v>
      </c>
      <c r="E88" s="75" t="s">
        <v>291</v>
      </c>
      <c r="F88" s="75" t="s">
        <v>2613</v>
      </c>
      <c r="G88" s="56"/>
      <c r="H88" s="56"/>
      <c r="I88" s="56"/>
      <c r="J88" s="56"/>
      <c r="K88" s="56"/>
      <c r="L88" s="56"/>
      <c r="M88" s="56"/>
      <c r="N88" s="56"/>
      <c r="O88" s="56">
        <f t="shared" si="2"/>
        <v>0</v>
      </c>
      <c r="P88" s="55">
        <v>149.7</v>
      </c>
      <c r="Q88" s="58">
        <f t="shared" si="3"/>
        <v>150711.52</v>
      </c>
      <c r="R88" s="56"/>
    </row>
    <row r="89" ht="36.75" spans="2:18">
      <c r="B89" s="42">
        <v>2</v>
      </c>
      <c r="C89" s="42">
        <v>9</v>
      </c>
      <c r="D89" s="74" t="s">
        <v>100</v>
      </c>
      <c r="E89" s="44" t="s">
        <v>291</v>
      </c>
      <c r="F89" s="77" t="s">
        <v>2614</v>
      </c>
      <c r="G89" s="56"/>
      <c r="H89" s="56"/>
      <c r="I89" s="56"/>
      <c r="J89" s="56"/>
      <c r="K89" s="56"/>
      <c r="L89" s="56"/>
      <c r="M89" s="56"/>
      <c r="N89" s="56"/>
      <c r="O89" s="56">
        <f t="shared" si="2"/>
        <v>0</v>
      </c>
      <c r="P89" s="55">
        <v>749.7</v>
      </c>
      <c r="Q89" s="58">
        <f t="shared" si="3"/>
        <v>149961.82</v>
      </c>
      <c r="R89" s="56"/>
    </row>
    <row r="90" ht="20" customHeight="1" spans="2:18">
      <c r="B90" s="42">
        <v>2</v>
      </c>
      <c r="C90" s="42">
        <v>9</v>
      </c>
      <c r="D90" s="42" t="s">
        <v>102</v>
      </c>
      <c r="E90" s="44" t="s">
        <v>291</v>
      </c>
      <c r="F90" s="75" t="s">
        <v>2615</v>
      </c>
      <c r="G90" s="56"/>
      <c r="H90" s="56"/>
      <c r="I90" s="56"/>
      <c r="J90" s="56"/>
      <c r="K90" s="56"/>
      <c r="L90" s="56"/>
      <c r="M90" s="56"/>
      <c r="N90" s="56"/>
      <c r="O90" s="56">
        <f t="shared" si="2"/>
        <v>0</v>
      </c>
      <c r="P90" s="55">
        <v>306</v>
      </c>
      <c r="Q90" s="58">
        <f t="shared" si="3"/>
        <v>149655.82</v>
      </c>
      <c r="R90" s="56"/>
    </row>
    <row r="91" ht="20" customHeight="1" spans="2:18">
      <c r="B91" s="42">
        <v>2</v>
      </c>
      <c r="C91" s="42">
        <v>9</v>
      </c>
      <c r="D91" s="74" t="s">
        <v>100</v>
      </c>
      <c r="E91" s="44" t="s">
        <v>291</v>
      </c>
      <c r="F91" s="75" t="s">
        <v>2616</v>
      </c>
      <c r="G91" s="56"/>
      <c r="H91" s="56"/>
      <c r="I91" s="56"/>
      <c r="J91" s="56"/>
      <c r="K91" s="56"/>
      <c r="L91" s="56"/>
      <c r="M91" s="56"/>
      <c r="N91" s="56"/>
      <c r="O91" s="56">
        <f t="shared" si="2"/>
        <v>0</v>
      </c>
      <c r="P91" s="55">
        <v>9.9</v>
      </c>
      <c r="Q91" s="58">
        <f t="shared" si="3"/>
        <v>149645.92</v>
      </c>
      <c r="R91" s="56"/>
    </row>
    <row r="92" ht="20" customHeight="1" spans="2:18">
      <c r="B92" s="42">
        <v>2</v>
      </c>
      <c r="C92" s="42">
        <v>9</v>
      </c>
      <c r="D92" s="42" t="s">
        <v>129</v>
      </c>
      <c r="E92" s="44" t="s">
        <v>291</v>
      </c>
      <c r="F92" s="75" t="s">
        <v>2617</v>
      </c>
      <c r="G92" s="56"/>
      <c r="H92" s="56"/>
      <c r="I92" s="56"/>
      <c r="J92" s="56"/>
      <c r="K92" s="56"/>
      <c r="L92" s="56"/>
      <c r="M92" s="56"/>
      <c r="N92" s="56"/>
      <c r="O92" s="56">
        <f t="shared" si="2"/>
        <v>0</v>
      </c>
      <c r="P92" s="55">
        <v>40</v>
      </c>
      <c r="Q92" s="58">
        <f t="shared" si="3"/>
        <v>149605.92</v>
      </c>
      <c r="R92" s="56"/>
    </row>
    <row r="93" ht="20" customHeight="1" spans="2:18">
      <c r="B93" s="42">
        <v>2</v>
      </c>
      <c r="C93" s="42">
        <v>9</v>
      </c>
      <c r="D93" s="74" t="s">
        <v>100</v>
      </c>
      <c r="E93" s="44"/>
      <c r="F93" s="75" t="s">
        <v>2618</v>
      </c>
      <c r="G93" s="56"/>
      <c r="H93" s="56"/>
      <c r="I93" s="56"/>
      <c r="J93" s="56"/>
      <c r="K93" s="56"/>
      <c r="L93" s="56"/>
      <c r="M93" s="56"/>
      <c r="N93" s="56"/>
      <c r="O93" s="56"/>
      <c r="P93" s="56">
        <v>59.8</v>
      </c>
      <c r="Q93" s="58">
        <f t="shared" si="3"/>
        <v>149546.12</v>
      </c>
      <c r="R93" s="56"/>
    </row>
    <row r="94" ht="36.75" spans="2:18">
      <c r="B94" s="42">
        <v>2</v>
      </c>
      <c r="C94" s="42">
        <v>9</v>
      </c>
      <c r="D94" s="74" t="s">
        <v>100</v>
      </c>
      <c r="E94" s="44" t="s">
        <v>291</v>
      </c>
      <c r="F94" s="77" t="s">
        <v>2619</v>
      </c>
      <c r="G94" s="56"/>
      <c r="H94" s="56"/>
      <c r="I94" s="56"/>
      <c r="J94" s="56"/>
      <c r="K94" s="56"/>
      <c r="L94" s="56"/>
      <c r="M94" s="56"/>
      <c r="N94" s="56"/>
      <c r="O94" s="56">
        <f t="shared" ref="O94:O134" si="4">SUM(G94:M94)-N94</f>
        <v>0</v>
      </c>
      <c r="P94" s="55">
        <v>598.9</v>
      </c>
      <c r="Q94" s="58">
        <f t="shared" si="3"/>
        <v>148947.22</v>
      </c>
      <c r="R94" s="56"/>
    </row>
    <row r="95" ht="20" customHeight="1" spans="2:18">
      <c r="B95" s="42">
        <v>2</v>
      </c>
      <c r="C95" s="42">
        <v>9</v>
      </c>
      <c r="D95" s="42"/>
      <c r="E95" s="75" t="s">
        <v>2516</v>
      </c>
      <c r="F95" s="75" t="s">
        <v>2620</v>
      </c>
      <c r="G95" s="56"/>
      <c r="H95" s="56"/>
      <c r="I95" s="56"/>
      <c r="J95" s="56"/>
      <c r="K95" s="56">
        <v>515</v>
      </c>
      <c r="L95" s="56"/>
      <c r="M95" s="56"/>
      <c r="N95" s="56">
        <v>3.09</v>
      </c>
      <c r="O95" s="56">
        <f t="shared" si="4"/>
        <v>511.91</v>
      </c>
      <c r="P95" s="56"/>
      <c r="Q95" s="58">
        <f t="shared" si="3"/>
        <v>149459.13</v>
      </c>
      <c r="R95" s="56"/>
    </row>
    <row r="96" ht="20" customHeight="1" spans="2:18">
      <c r="B96" s="42">
        <v>2</v>
      </c>
      <c r="C96" s="42">
        <v>9</v>
      </c>
      <c r="D96" s="42"/>
      <c r="E96" s="75" t="s">
        <v>2621</v>
      </c>
      <c r="F96" s="75" t="s">
        <v>2622</v>
      </c>
      <c r="G96" s="56"/>
      <c r="H96" s="56"/>
      <c r="I96" s="56">
        <v>59.83</v>
      </c>
      <c r="J96" s="56"/>
      <c r="K96" s="56"/>
      <c r="L96" s="56"/>
      <c r="M96" s="56"/>
      <c r="N96" s="56"/>
      <c r="O96" s="56">
        <f t="shared" si="4"/>
        <v>59.83</v>
      </c>
      <c r="P96" s="56"/>
      <c r="Q96" s="58">
        <f t="shared" si="3"/>
        <v>149518.96</v>
      </c>
      <c r="R96" s="56"/>
    </row>
    <row r="97" ht="20" customHeight="1" spans="2:18">
      <c r="B97" s="42">
        <v>2</v>
      </c>
      <c r="C97" s="42">
        <v>10</v>
      </c>
      <c r="D97" s="42"/>
      <c r="E97" s="75" t="s">
        <v>2513</v>
      </c>
      <c r="F97" s="75" t="s">
        <v>2623</v>
      </c>
      <c r="G97" s="56"/>
      <c r="H97" s="56"/>
      <c r="I97" s="56">
        <v>700</v>
      </c>
      <c r="J97" s="56"/>
      <c r="K97" s="56"/>
      <c r="L97" s="56"/>
      <c r="M97" s="56"/>
      <c r="N97" s="56">
        <f>I97*0.005</f>
        <v>3.5</v>
      </c>
      <c r="O97" s="56">
        <f t="shared" si="4"/>
        <v>696.5</v>
      </c>
      <c r="P97" s="56"/>
      <c r="Q97" s="58">
        <f t="shared" si="3"/>
        <v>150215.46</v>
      </c>
      <c r="R97" s="56"/>
    </row>
    <row r="98" ht="20" customHeight="1" spans="2:18">
      <c r="B98" s="42">
        <v>2</v>
      </c>
      <c r="C98" s="42">
        <v>10</v>
      </c>
      <c r="D98" s="42"/>
      <c r="E98" s="75" t="s">
        <v>2624</v>
      </c>
      <c r="F98" s="75" t="s">
        <v>2625</v>
      </c>
      <c r="G98" s="56"/>
      <c r="H98" s="56"/>
      <c r="I98" s="56">
        <v>68.08</v>
      </c>
      <c r="J98" s="56"/>
      <c r="K98" s="56"/>
      <c r="L98" s="56"/>
      <c r="M98" s="56"/>
      <c r="N98" s="56"/>
      <c r="O98" s="56">
        <f t="shared" si="4"/>
        <v>68.08</v>
      </c>
      <c r="P98" s="56"/>
      <c r="Q98" s="58">
        <f t="shared" si="3"/>
        <v>150283.54</v>
      </c>
      <c r="R98" s="56"/>
    </row>
    <row r="99" ht="20" customHeight="1" spans="2:18">
      <c r="B99" s="42">
        <v>2</v>
      </c>
      <c r="C99" s="42">
        <v>10</v>
      </c>
      <c r="D99" s="42"/>
      <c r="E99" s="75" t="s">
        <v>2626</v>
      </c>
      <c r="F99" s="75" t="s">
        <v>2627</v>
      </c>
      <c r="G99" s="56">
        <v>3050</v>
      </c>
      <c r="H99" s="56"/>
      <c r="I99" s="56"/>
      <c r="J99" s="56"/>
      <c r="K99" s="56"/>
      <c r="L99" s="56"/>
      <c r="M99" s="56"/>
      <c r="N99" s="56"/>
      <c r="O99" s="56">
        <f t="shared" si="4"/>
        <v>3050</v>
      </c>
      <c r="P99" s="56"/>
      <c r="Q99" s="58">
        <f t="shared" si="3"/>
        <v>153333.54</v>
      </c>
      <c r="R99" s="56"/>
    </row>
    <row r="100" ht="20" customHeight="1" spans="2:18">
      <c r="B100" s="42">
        <v>2</v>
      </c>
      <c r="C100" s="42">
        <v>11</v>
      </c>
      <c r="D100" s="42"/>
      <c r="E100" s="75" t="s">
        <v>2513</v>
      </c>
      <c r="F100" s="75" t="s">
        <v>2628</v>
      </c>
      <c r="G100" s="56"/>
      <c r="H100" s="56"/>
      <c r="I100" s="56">
        <v>100</v>
      </c>
      <c r="J100" s="56"/>
      <c r="K100" s="56"/>
      <c r="L100" s="56"/>
      <c r="M100" s="56"/>
      <c r="N100" s="56">
        <f>I100*0.005</f>
        <v>0.5</v>
      </c>
      <c r="O100" s="56">
        <f t="shared" si="4"/>
        <v>99.5</v>
      </c>
      <c r="P100" s="56"/>
      <c r="Q100" s="58">
        <f t="shared" si="3"/>
        <v>153433.04</v>
      </c>
      <c r="R100" s="56"/>
    </row>
    <row r="101" ht="20" customHeight="1" spans="2:18">
      <c r="B101" s="42">
        <v>2</v>
      </c>
      <c r="C101" s="42">
        <v>11</v>
      </c>
      <c r="D101" s="42"/>
      <c r="E101" s="75" t="s">
        <v>2629</v>
      </c>
      <c r="F101" s="75" t="s">
        <v>2630</v>
      </c>
      <c r="G101" s="56"/>
      <c r="H101" s="56"/>
      <c r="I101" s="56">
        <v>172</v>
      </c>
      <c r="J101" s="56"/>
      <c r="K101" s="56"/>
      <c r="L101" s="56"/>
      <c r="M101" s="56"/>
      <c r="N101" s="56"/>
      <c r="O101" s="56">
        <f t="shared" si="4"/>
        <v>172</v>
      </c>
      <c r="P101" s="56"/>
      <c r="Q101" s="58">
        <f t="shared" si="3"/>
        <v>153605.04</v>
      </c>
      <c r="R101" s="56"/>
    </row>
    <row r="102" ht="20" customHeight="1" spans="2:18">
      <c r="B102" s="42">
        <v>2</v>
      </c>
      <c r="C102" s="42">
        <v>12</v>
      </c>
      <c r="D102" s="42"/>
      <c r="E102" s="75" t="s">
        <v>2513</v>
      </c>
      <c r="F102" s="75" t="s">
        <v>2631</v>
      </c>
      <c r="G102" s="56"/>
      <c r="H102" s="56"/>
      <c r="I102" s="56">
        <v>2900</v>
      </c>
      <c r="J102" s="56"/>
      <c r="K102" s="56"/>
      <c r="L102" s="56"/>
      <c r="M102" s="56"/>
      <c r="N102" s="56">
        <f>I102*0.005</f>
        <v>14.5</v>
      </c>
      <c r="O102" s="56">
        <f t="shared" si="4"/>
        <v>2885.5</v>
      </c>
      <c r="P102" s="56"/>
      <c r="Q102" s="58">
        <f t="shared" si="3"/>
        <v>156490.54</v>
      </c>
      <c r="R102" s="59"/>
    </row>
    <row r="103" ht="20" customHeight="1" spans="2:18">
      <c r="B103" s="42">
        <v>2</v>
      </c>
      <c r="C103" s="42">
        <v>12</v>
      </c>
      <c r="D103" s="42"/>
      <c r="E103" s="75" t="s">
        <v>2626</v>
      </c>
      <c r="F103" s="75" t="s">
        <v>2632</v>
      </c>
      <c r="G103" s="56"/>
      <c r="H103" s="56"/>
      <c r="I103" s="56">
        <v>72.8</v>
      </c>
      <c r="J103" s="56"/>
      <c r="K103" s="56"/>
      <c r="L103" s="56"/>
      <c r="M103" s="56"/>
      <c r="N103" s="56"/>
      <c r="O103" s="56">
        <f t="shared" si="4"/>
        <v>72.8</v>
      </c>
      <c r="P103" s="56"/>
      <c r="Q103" s="58">
        <f t="shared" si="3"/>
        <v>156563.34</v>
      </c>
      <c r="R103" s="56"/>
    </row>
    <row r="104" ht="20" customHeight="1" spans="2:18">
      <c r="B104" s="42">
        <v>2</v>
      </c>
      <c r="C104" s="42">
        <v>13</v>
      </c>
      <c r="D104" s="42"/>
      <c r="E104" s="44" t="s">
        <v>2633</v>
      </c>
      <c r="F104" s="75" t="s">
        <v>2634</v>
      </c>
      <c r="G104" s="56"/>
      <c r="H104" s="56"/>
      <c r="I104" s="56"/>
      <c r="J104" s="56"/>
      <c r="K104" s="56"/>
      <c r="L104" s="56"/>
      <c r="M104" s="56"/>
      <c r="N104" s="56"/>
      <c r="O104" s="56">
        <f t="shared" si="4"/>
        <v>0</v>
      </c>
      <c r="P104" s="56">
        <v>40000</v>
      </c>
      <c r="Q104" s="58">
        <f t="shared" si="3"/>
        <v>116563.34</v>
      </c>
      <c r="R104" s="56"/>
    </row>
    <row r="105" ht="20" customHeight="1" spans="2:18">
      <c r="B105" s="42">
        <v>2</v>
      </c>
      <c r="C105" s="42">
        <v>13</v>
      </c>
      <c r="D105" s="42"/>
      <c r="E105" s="44" t="s">
        <v>2535</v>
      </c>
      <c r="F105" s="75" t="s">
        <v>2635</v>
      </c>
      <c r="G105" s="56">
        <v>1974</v>
      </c>
      <c r="H105" s="56">
        <v>282</v>
      </c>
      <c r="I105" s="56">
        <v>13.69</v>
      </c>
      <c r="J105" s="56"/>
      <c r="K105" s="56"/>
      <c r="L105" s="56"/>
      <c r="M105" s="56"/>
      <c r="N105" s="56"/>
      <c r="O105" s="56">
        <f t="shared" si="4"/>
        <v>2269.69</v>
      </c>
      <c r="P105" s="56"/>
      <c r="Q105" s="58">
        <f t="shared" si="3"/>
        <v>118833.03</v>
      </c>
      <c r="R105" s="56"/>
    </row>
    <row r="106" ht="20" customHeight="1" spans="2:18">
      <c r="B106" s="42">
        <v>2</v>
      </c>
      <c r="C106" s="42">
        <v>13</v>
      </c>
      <c r="D106" s="42"/>
      <c r="E106" s="44" t="s">
        <v>2636</v>
      </c>
      <c r="F106" s="75" t="s">
        <v>2637</v>
      </c>
      <c r="G106" s="56">
        <v>5583.6</v>
      </c>
      <c r="H106" s="56">
        <v>846</v>
      </c>
      <c r="I106" s="56">
        <v>159</v>
      </c>
      <c r="J106" s="56"/>
      <c r="K106" s="56"/>
      <c r="L106" s="56"/>
      <c r="M106" s="56"/>
      <c r="N106" s="56"/>
      <c r="O106" s="56">
        <f t="shared" si="4"/>
        <v>6588.6</v>
      </c>
      <c r="P106" s="56"/>
      <c r="Q106" s="58">
        <f t="shared" si="3"/>
        <v>125421.63</v>
      </c>
      <c r="R106" s="56"/>
    </row>
    <row r="107" ht="20" customHeight="1" spans="2:18">
      <c r="B107" s="42">
        <v>2</v>
      </c>
      <c r="C107" s="42">
        <v>14</v>
      </c>
      <c r="D107" s="74" t="s">
        <v>69</v>
      </c>
      <c r="E107" s="44" t="s">
        <v>2638</v>
      </c>
      <c r="F107" s="75" t="s">
        <v>2639</v>
      </c>
      <c r="G107" s="56"/>
      <c r="H107" s="56"/>
      <c r="I107" s="56"/>
      <c r="J107" s="56"/>
      <c r="K107" s="56"/>
      <c r="L107" s="56"/>
      <c r="M107" s="56"/>
      <c r="N107" s="56"/>
      <c r="O107" s="56">
        <f t="shared" si="4"/>
        <v>0</v>
      </c>
      <c r="P107" s="55">
        <v>17000</v>
      </c>
      <c r="Q107" s="58">
        <f t="shared" si="3"/>
        <v>108421.63</v>
      </c>
      <c r="R107" s="56"/>
    </row>
    <row r="108" ht="20" customHeight="1" spans="2:18">
      <c r="B108" s="42">
        <v>2</v>
      </c>
      <c r="C108" s="42">
        <v>14</v>
      </c>
      <c r="D108" s="42"/>
      <c r="E108" s="44" t="s">
        <v>2640</v>
      </c>
      <c r="F108" s="75" t="s">
        <v>2641</v>
      </c>
      <c r="G108" s="56">
        <v>24000</v>
      </c>
      <c r="H108" s="56"/>
      <c r="I108" s="56"/>
      <c r="J108" s="56"/>
      <c r="K108" s="56"/>
      <c r="L108" s="56"/>
      <c r="M108" s="56"/>
      <c r="N108" s="56"/>
      <c r="O108" s="56">
        <f t="shared" si="4"/>
        <v>24000</v>
      </c>
      <c r="P108" s="56"/>
      <c r="Q108" s="58">
        <f t="shared" si="3"/>
        <v>132421.63</v>
      </c>
      <c r="R108" s="56"/>
    </row>
    <row r="109" ht="20" customHeight="1" spans="2:18">
      <c r="B109" s="42">
        <v>2</v>
      </c>
      <c r="C109" s="42">
        <v>14</v>
      </c>
      <c r="D109" s="42"/>
      <c r="E109" s="44" t="s">
        <v>2626</v>
      </c>
      <c r="F109" s="75" t="s">
        <v>2642</v>
      </c>
      <c r="G109" s="56">
        <v>4262.5</v>
      </c>
      <c r="H109" s="56">
        <v>437.5</v>
      </c>
      <c r="I109" s="56"/>
      <c r="J109" s="56"/>
      <c r="K109" s="56"/>
      <c r="L109" s="56"/>
      <c r="M109" s="56"/>
      <c r="N109" s="56"/>
      <c r="O109" s="56">
        <f t="shared" si="4"/>
        <v>4700</v>
      </c>
      <c r="P109" s="56"/>
      <c r="Q109" s="58">
        <f t="shared" si="3"/>
        <v>137121.63</v>
      </c>
      <c r="R109" s="56"/>
    </row>
    <row r="110" ht="20" customHeight="1" spans="2:18">
      <c r="B110" s="42">
        <v>2</v>
      </c>
      <c r="C110" s="42">
        <v>14</v>
      </c>
      <c r="D110" s="42"/>
      <c r="E110" s="44" t="s">
        <v>2643</v>
      </c>
      <c r="F110" s="75" t="s">
        <v>2644</v>
      </c>
      <c r="G110" s="56">
        <v>2840</v>
      </c>
      <c r="H110" s="56">
        <v>360</v>
      </c>
      <c r="I110" s="56">
        <v>77.67</v>
      </c>
      <c r="J110" s="56"/>
      <c r="K110" s="56"/>
      <c r="L110" s="56"/>
      <c r="M110" s="56"/>
      <c r="N110" s="56"/>
      <c r="O110" s="56">
        <f t="shared" si="4"/>
        <v>3277.67</v>
      </c>
      <c r="P110" s="56"/>
      <c r="Q110" s="58">
        <f t="shared" si="3"/>
        <v>140399.3</v>
      </c>
      <c r="R110" s="56"/>
    </row>
    <row r="111" ht="20" customHeight="1" spans="2:18">
      <c r="B111" s="42">
        <v>2</v>
      </c>
      <c r="C111" s="42">
        <v>16</v>
      </c>
      <c r="D111" s="42"/>
      <c r="E111" s="44"/>
      <c r="F111" s="75" t="s">
        <v>2645</v>
      </c>
      <c r="G111" s="56"/>
      <c r="H111" s="56"/>
      <c r="I111" s="56"/>
      <c r="J111" s="56"/>
      <c r="K111" s="56">
        <v>20</v>
      </c>
      <c r="L111" s="56"/>
      <c r="M111" s="56"/>
      <c r="N111" s="56">
        <v>1.4</v>
      </c>
      <c r="O111" s="56">
        <f t="shared" si="4"/>
        <v>18.6</v>
      </c>
      <c r="P111" s="56"/>
      <c r="Q111" s="58">
        <f t="shared" si="3"/>
        <v>140417.9</v>
      </c>
      <c r="R111" s="59" t="s">
        <v>669</v>
      </c>
    </row>
    <row r="112" ht="20" customHeight="1" spans="2:18">
      <c r="B112" s="42">
        <v>2</v>
      </c>
      <c r="C112" s="42">
        <v>16</v>
      </c>
      <c r="D112" s="42"/>
      <c r="E112" s="44"/>
      <c r="F112" s="75" t="s">
        <v>2646</v>
      </c>
      <c r="G112" s="56"/>
      <c r="H112" s="56"/>
      <c r="I112" s="56"/>
      <c r="J112" s="56"/>
      <c r="K112" s="56">
        <v>500</v>
      </c>
      <c r="L112" s="56"/>
      <c r="M112" s="56"/>
      <c r="N112" s="56"/>
      <c r="O112" s="56">
        <f t="shared" si="4"/>
        <v>500</v>
      </c>
      <c r="P112" s="56"/>
      <c r="Q112" s="58">
        <f t="shared" si="3"/>
        <v>140917.9</v>
      </c>
      <c r="R112" s="59" t="s">
        <v>669</v>
      </c>
    </row>
    <row r="113" ht="20" customHeight="1" spans="2:18">
      <c r="B113" s="42">
        <v>2</v>
      </c>
      <c r="C113" s="42">
        <v>16</v>
      </c>
      <c r="D113" s="42"/>
      <c r="E113" s="44"/>
      <c r="F113" s="75" t="s">
        <v>2647</v>
      </c>
      <c r="G113" s="56"/>
      <c r="H113" s="56"/>
      <c r="I113" s="56"/>
      <c r="J113" s="56"/>
      <c r="K113" s="56">
        <v>80</v>
      </c>
      <c r="L113" s="56"/>
      <c r="M113" s="56"/>
      <c r="N113" s="56"/>
      <c r="O113" s="56">
        <f t="shared" si="4"/>
        <v>80</v>
      </c>
      <c r="P113" s="56"/>
      <c r="Q113" s="58">
        <f t="shared" si="3"/>
        <v>140997.9</v>
      </c>
      <c r="R113" s="59" t="s">
        <v>669</v>
      </c>
    </row>
    <row r="114" ht="20" customHeight="1" spans="2:18">
      <c r="B114" s="42">
        <v>2</v>
      </c>
      <c r="C114" s="42">
        <v>16</v>
      </c>
      <c r="D114" s="42"/>
      <c r="E114" s="44"/>
      <c r="F114" s="75" t="s">
        <v>2648</v>
      </c>
      <c r="G114" s="56"/>
      <c r="H114" s="56"/>
      <c r="I114" s="56"/>
      <c r="J114" s="56"/>
      <c r="K114" s="56">
        <v>240</v>
      </c>
      <c r="L114" s="56"/>
      <c r="M114" s="56"/>
      <c r="N114" s="56"/>
      <c r="O114" s="56">
        <f t="shared" si="4"/>
        <v>240</v>
      </c>
      <c r="P114" s="56"/>
      <c r="Q114" s="58">
        <f t="shared" si="3"/>
        <v>141237.9</v>
      </c>
      <c r="R114" s="59" t="s">
        <v>669</v>
      </c>
    </row>
    <row r="115" ht="20" customHeight="1" spans="2:18">
      <c r="B115" s="42">
        <v>2</v>
      </c>
      <c r="C115" s="42">
        <v>16</v>
      </c>
      <c r="D115" s="42"/>
      <c r="E115" s="44"/>
      <c r="F115" s="75" t="s">
        <v>2649</v>
      </c>
      <c r="G115" s="56"/>
      <c r="H115" s="56"/>
      <c r="I115" s="56"/>
      <c r="J115" s="56"/>
      <c r="K115" s="56">
        <v>300</v>
      </c>
      <c r="L115" s="56"/>
      <c r="M115" s="56"/>
      <c r="N115" s="56"/>
      <c r="O115" s="56">
        <f t="shared" si="4"/>
        <v>300</v>
      </c>
      <c r="P115" s="56"/>
      <c r="Q115" s="58">
        <f t="shared" si="3"/>
        <v>141537.9</v>
      </c>
      <c r="R115" s="59" t="s">
        <v>669</v>
      </c>
    </row>
    <row r="116" ht="20" customHeight="1" spans="2:18">
      <c r="B116" s="42">
        <v>2</v>
      </c>
      <c r="C116" s="42">
        <v>16</v>
      </c>
      <c r="D116" s="42"/>
      <c r="E116" s="44"/>
      <c r="F116" s="75" t="s">
        <v>2650</v>
      </c>
      <c r="G116" s="56"/>
      <c r="H116" s="56"/>
      <c r="I116" s="56"/>
      <c r="J116" s="56"/>
      <c r="K116" s="56">
        <v>240</v>
      </c>
      <c r="L116" s="56"/>
      <c r="M116" s="56"/>
      <c r="N116" s="56"/>
      <c r="O116" s="56">
        <f t="shared" si="4"/>
        <v>240</v>
      </c>
      <c r="P116" s="56"/>
      <c r="Q116" s="58">
        <f t="shared" si="3"/>
        <v>141777.9</v>
      </c>
      <c r="R116" s="59" t="s">
        <v>669</v>
      </c>
    </row>
    <row r="117" ht="20" customHeight="1" spans="2:18">
      <c r="B117" s="42">
        <v>2</v>
      </c>
      <c r="C117" s="42">
        <v>16</v>
      </c>
      <c r="D117" s="42"/>
      <c r="E117" s="44" t="s">
        <v>2546</v>
      </c>
      <c r="F117" s="75" t="s">
        <v>2651</v>
      </c>
      <c r="G117" s="56"/>
      <c r="H117" s="56"/>
      <c r="I117" s="56">
        <v>23</v>
      </c>
      <c r="J117" s="56"/>
      <c r="K117" s="56"/>
      <c r="L117" s="56"/>
      <c r="M117" s="56"/>
      <c r="N117" s="56"/>
      <c r="O117" s="56">
        <f t="shared" si="4"/>
        <v>23</v>
      </c>
      <c r="P117" s="56"/>
      <c r="Q117" s="58">
        <f t="shared" si="3"/>
        <v>141800.9</v>
      </c>
      <c r="R117" s="59" t="s">
        <v>669</v>
      </c>
    </row>
    <row r="118" ht="20" customHeight="1" spans="2:18">
      <c r="B118" s="42">
        <v>2</v>
      </c>
      <c r="C118" s="42">
        <v>16</v>
      </c>
      <c r="D118" s="42"/>
      <c r="E118" s="75" t="s">
        <v>2513</v>
      </c>
      <c r="F118" s="75" t="s">
        <v>2652</v>
      </c>
      <c r="G118" s="56"/>
      <c r="H118" s="56"/>
      <c r="I118" s="56">
        <v>3250</v>
      </c>
      <c r="J118" s="56"/>
      <c r="K118" s="56"/>
      <c r="L118" s="56"/>
      <c r="M118" s="56"/>
      <c r="N118" s="56">
        <f>I118*0.005</f>
        <v>16.25</v>
      </c>
      <c r="O118" s="56">
        <f t="shared" si="4"/>
        <v>3233.75</v>
      </c>
      <c r="P118" s="56"/>
      <c r="Q118" s="58">
        <f t="shared" si="3"/>
        <v>145034.65</v>
      </c>
      <c r="R118" s="56"/>
    </row>
    <row r="119" ht="20" customHeight="1" spans="2:18">
      <c r="B119" s="42">
        <v>2</v>
      </c>
      <c r="C119" s="42">
        <v>18</v>
      </c>
      <c r="D119" s="42"/>
      <c r="E119" s="75" t="s">
        <v>2513</v>
      </c>
      <c r="F119" s="75" t="s">
        <v>2653</v>
      </c>
      <c r="G119" s="56"/>
      <c r="H119" s="56"/>
      <c r="I119" s="56">
        <v>800</v>
      </c>
      <c r="J119" s="56"/>
      <c r="K119" s="56"/>
      <c r="L119" s="56"/>
      <c r="M119" s="56"/>
      <c r="N119" s="56">
        <f>I119*0.005</f>
        <v>4</v>
      </c>
      <c r="O119" s="56">
        <f t="shared" si="4"/>
        <v>796</v>
      </c>
      <c r="P119" s="56"/>
      <c r="Q119" s="58">
        <f t="shared" si="3"/>
        <v>145830.65</v>
      </c>
      <c r="R119" s="56"/>
    </row>
    <row r="120" ht="20" customHeight="1" spans="2:18">
      <c r="B120" s="42">
        <v>2</v>
      </c>
      <c r="C120" s="42">
        <v>19</v>
      </c>
      <c r="D120" s="42"/>
      <c r="E120" s="75" t="s">
        <v>2513</v>
      </c>
      <c r="F120" s="75" t="s">
        <v>2654</v>
      </c>
      <c r="G120" s="56"/>
      <c r="H120" s="56"/>
      <c r="I120" s="56">
        <v>20</v>
      </c>
      <c r="J120" s="56"/>
      <c r="K120" s="56"/>
      <c r="L120" s="56"/>
      <c r="M120" s="56"/>
      <c r="N120" s="56">
        <f>I120*0.005</f>
        <v>0.1</v>
      </c>
      <c r="O120" s="56">
        <f t="shared" si="4"/>
        <v>19.9</v>
      </c>
      <c r="P120" s="56"/>
      <c r="Q120" s="58">
        <f t="shared" si="3"/>
        <v>145850.55</v>
      </c>
      <c r="R120" s="56"/>
    </row>
    <row r="121" ht="20" customHeight="1" spans="2:18">
      <c r="B121" s="42">
        <v>2</v>
      </c>
      <c r="C121" s="42">
        <v>20</v>
      </c>
      <c r="D121" s="42"/>
      <c r="E121" s="75" t="s">
        <v>2513</v>
      </c>
      <c r="F121" s="75" t="s">
        <v>2655</v>
      </c>
      <c r="G121" s="56"/>
      <c r="H121" s="56"/>
      <c r="I121" s="56">
        <v>1000</v>
      </c>
      <c r="J121" s="56"/>
      <c r="K121" s="56"/>
      <c r="L121" s="56"/>
      <c r="M121" s="56"/>
      <c r="N121" s="56">
        <f>I121*0.005</f>
        <v>5</v>
      </c>
      <c r="O121" s="56">
        <f t="shared" si="4"/>
        <v>995</v>
      </c>
      <c r="P121" s="56"/>
      <c r="Q121" s="58">
        <f t="shared" si="3"/>
        <v>146845.55</v>
      </c>
      <c r="R121" s="56"/>
    </row>
    <row r="122" ht="20" customHeight="1" spans="2:18">
      <c r="B122" s="42">
        <v>2</v>
      </c>
      <c r="C122" s="42">
        <v>23</v>
      </c>
      <c r="D122" s="42"/>
      <c r="E122" s="75" t="s">
        <v>2513</v>
      </c>
      <c r="F122" s="75" t="s">
        <v>2656</v>
      </c>
      <c r="G122" s="56"/>
      <c r="H122" s="56"/>
      <c r="I122" s="56">
        <v>300</v>
      </c>
      <c r="J122" s="56"/>
      <c r="K122" s="56"/>
      <c r="L122" s="56"/>
      <c r="M122" s="56"/>
      <c r="N122" s="56">
        <f>I122*0.005</f>
        <v>1.5</v>
      </c>
      <c r="O122" s="56">
        <f t="shared" si="4"/>
        <v>298.5</v>
      </c>
      <c r="P122" s="56"/>
      <c r="Q122" s="58">
        <f t="shared" si="3"/>
        <v>147144.05</v>
      </c>
      <c r="R122" s="56"/>
    </row>
    <row r="123" ht="20" customHeight="1" spans="2:18">
      <c r="B123" s="42">
        <v>2</v>
      </c>
      <c r="C123" s="42">
        <v>23</v>
      </c>
      <c r="D123" s="42"/>
      <c r="E123" s="75" t="s">
        <v>2516</v>
      </c>
      <c r="F123" s="75" t="s">
        <v>2657</v>
      </c>
      <c r="G123" s="56"/>
      <c r="H123" s="56"/>
      <c r="I123" s="56"/>
      <c r="J123" s="56"/>
      <c r="K123" s="56">
        <v>505</v>
      </c>
      <c r="L123" s="56"/>
      <c r="M123" s="56"/>
      <c r="N123" s="56">
        <v>3.03</v>
      </c>
      <c r="O123" s="56">
        <f t="shared" si="4"/>
        <v>501.97</v>
      </c>
      <c r="P123" s="56"/>
      <c r="Q123" s="58">
        <f t="shared" si="3"/>
        <v>147646.02</v>
      </c>
      <c r="R123" s="56"/>
    </row>
    <row r="124" ht="20" customHeight="1" spans="2:18">
      <c r="B124" s="42">
        <v>2</v>
      </c>
      <c r="C124" s="42">
        <v>23</v>
      </c>
      <c r="D124" s="42"/>
      <c r="E124" s="44"/>
      <c r="F124" s="75" t="s">
        <v>2658</v>
      </c>
      <c r="G124" s="56"/>
      <c r="H124" s="56"/>
      <c r="I124" s="56"/>
      <c r="J124" s="56"/>
      <c r="K124" s="56">
        <v>240</v>
      </c>
      <c r="L124" s="56"/>
      <c r="M124" s="56"/>
      <c r="N124" s="56">
        <v>0.94</v>
      </c>
      <c r="O124" s="56">
        <f t="shared" si="4"/>
        <v>239.06</v>
      </c>
      <c r="P124" s="56"/>
      <c r="Q124" s="58">
        <f t="shared" si="3"/>
        <v>147885.08</v>
      </c>
      <c r="R124" s="56"/>
    </row>
    <row r="125" ht="20" customHeight="1" spans="2:18">
      <c r="B125" s="42">
        <v>2</v>
      </c>
      <c r="C125" s="42">
        <v>23</v>
      </c>
      <c r="D125" s="42"/>
      <c r="E125" s="74"/>
      <c r="F125" s="75" t="s">
        <v>2659</v>
      </c>
      <c r="G125" s="56"/>
      <c r="H125" s="56"/>
      <c r="I125" s="56"/>
      <c r="J125" s="56"/>
      <c r="K125" s="56">
        <v>300</v>
      </c>
      <c r="L125" s="56"/>
      <c r="M125" s="56"/>
      <c r="N125" s="56"/>
      <c r="O125" s="56">
        <f t="shared" si="4"/>
        <v>300</v>
      </c>
      <c r="P125" s="56"/>
      <c r="Q125" s="58">
        <f t="shared" si="3"/>
        <v>148185.08</v>
      </c>
      <c r="R125" s="56"/>
    </row>
    <row r="126" ht="20" customHeight="1" spans="2:18">
      <c r="B126" s="42">
        <v>2</v>
      </c>
      <c r="C126" s="42">
        <v>23</v>
      </c>
      <c r="D126" s="42"/>
      <c r="E126" s="74"/>
      <c r="F126" s="75" t="s">
        <v>2660</v>
      </c>
      <c r="G126" s="56"/>
      <c r="H126" s="56"/>
      <c r="I126" s="56"/>
      <c r="J126" s="56"/>
      <c r="K126" s="56">
        <v>400</v>
      </c>
      <c r="L126" s="56"/>
      <c r="M126" s="56"/>
      <c r="N126" s="56"/>
      <c r="O126" s="56">
        <f t="shared" si="4"/>
        <v>400</v>
      </c>
      <c r="P126" s="56"/>
      <c r="Q126" s="58">
        <f t="shared" si="3"/>
        <v>148585.08</v>
      </c>
      <c r="R126" s="56"/>
    </row>
    <row r="127" ht="20" customHeight="1" spans="2:18">
      <c r="B127" s="42">
        <v>2</v>
      </c>
      <c r="C127" s="42">
        <v>24</v>
      </c>
      <c r="D127" s="42"/>
      <c r="E127" s="75" t="s">
        <v>2513</v>
      </c>
      <c r="F127" s="75" t="s">
        <v>2661</v>
      </c>
      <c r="G127" s="56"/>
      <c r="H127" s="56"/>
      <c r="I127" s="56">
        <v>1000</v>
      </c>
      <c r="J127" s="56"/>
      <c r="K127" s="56"/>
      <c r="L127" s="56"/>
      <c r="M127" s="56"/>
      <c r="N127" s="56">
        <f>I127*0.005</f>
        <v>5</v>
      </c>
      <c r="O127" s="56">
        <f t="shared" si="4"/>
        <v>995</v>
      </c>
      <c r="P127" s="56"/>
      <c r="Q127" s="58">
        <f t="shared" si="3"/>
        <v>149580.08</v>
      </c>
      <c r="R127" s="56"/>
    </row>
    <row r="128" ht="20" customHeight="1" spans="2:18">
      <c r="B128" s="42">
        <v>2</v>
      </c>
      <c r="C128" s="42">
        <v>25</v>
      </c>
      <c r="D128" s="42"/>
      <c r="E128" s="75" t="s">
        <v>2513</v>
      </c>
      <c r="F128" s="75" t="s">
        <v>2662</v>
      </c>
      <c r="G128" s="56"/>
      <c r="H128" s="56"/>
      <c r="I128" s="56">
        <v>100</v>
      </c>
      <c r="J128" s="56"/>
      <c r="K128" s="56"/>
      <c r="L128" s="56"/>
      <c r="M128" s="56"/>
      <c r="N128" s="56">
        <f>I128*0.005</f>
        <v>0.5</v>
      </c>
      <c r="O128" s="56">
        <f t="shared" si="4"/>
        <v>99.5</v>
      </c>
      <c r="P128" s="56"/>
      <c r="Q128" s="58">
        <f t="shared" si="3"/>
        <v>149679.58</v>
      </c>
      <c r="R128" s="56"/>
    </row>
    <row r="129" ht="20" customHeight="1" spans="2:18">
      <c r="B129" s="42">
        <v>2</v>
      </c>
      <c r="C129" s="42">
        <v>25</v>
      </c>
      <c r="D129" s="42"/>
      <c r="E129" s="44" t="s">
        <v>2663</v>
      </c>
      <c r="F129" s="75" t="s">
        <v>2664</v>
      </c>
      <c r="G129" s="56">
        <v>3948</v>
      </c>
      <c r="H129" s="56">
        <v>620</v>
      </c>
      <c r="I129" s="56"/>
      <c r="J129" s="56"/>
      <c r="K129" s="56"/>
      <c r="L129" s="56"/>
      <c r="M129" s="56"/>
      <c r="N129" s="56"/>
      <c r="O129" s="56">
        <f t="shared" si="4"/>
        <v>4568</v>
      </c>
      <c r="P129" s="56"/>
      <c r="Q129" s="58">
        <f t="shared" si="3"/>
        <v>154247.58</v>
      </c>
      <c r="R129" s="56"/>
    </row>
    <row r="130" ht="20" customHeight="1" spans="2:18">
      <c r="B130" s="42">
        <v>2</v>
      </c>
      <c r="C130" s="42">
        <v>25</v>
      </c>
      <c r="D130" s="42"/>
      <c r="E130" s="117" t="s">
        <v>2559</v>
      </c>
      <c r="F130" s="75" t="s">
        <v>2665</v>
      </c>
      <c r="G130" s="56">
        <v>2611</v>
      </c>
      <c r="H130" s="56">
        <v>373</v>
      </c>
      <c r="I130" s="56">
        <v>18.1</v>
      </c>
      <c r="J130" s="56"/>
      <c r="K130" s="56"/>
      <c r="L130" s="56"/>
      <c r="M130" s="56"/>
      <c r="N130" s="56"/>
      <c r="O130" s="56">
        <f t="shared" si="4"/>
        <v>3002.1</v>
      </c>
      <c r="P130" s="56"/>
      <c r="Q130" s="58">
        <f t="shared" si="3"/>
        <v>157249.68</v>
      </c>
      <c r="R130" s="56"/>
    </row>
    <row r="131" ht="20" customHeight="1" spans="2:18">
      <c r="B131" s="42">
        <v>2</v>
      </c>
      <c r="C131" s="42">
        <v>26</v>
      </c>
      <c r="D131" s="42"/>
      <c r="E131" s="75" t="s">
        <v>2513</v>
      </c>
      <c r="F131" s="75" t="s">
        <v>2666</v>
      </c>
      <c r="G131" s="56"/>
      <c r="H131" s="56"/>
      <c r="I131" s="56">
        <v>500</v>
      </c>
      <c r="J131" s="56"/>
      <c r="K131" s="56"/>
      <c r="L131" s="56"/>
      <c r="M131" s="56"/>
      <c r="N131" s="56">
        <f>I131*0.005</f>
        <v>2.5</v>
      </c>
      <c r="O131" s="56">
        <f t="shared" si="4"/>
        <v>497.5</v>
      </c>
      <c r="P131" s="56"/>
      <c r="Q131" s="58">
        <f t="shared" ref="Q131:Q153" si="5">Q130+O131-P131</f>
        <v>157747.18</v>
      </c>
      <c r="R131" s="56"/>
    </row>
    <row r="132" ht="20" customHeight="1" spans="2:18">
      <c r="B132" s="42">
        <v>2</v>
      </c>
      <c r="C132" s="42">
        <v>26</v>
      </c>
      <c r="D132" s="42"/>
      <c r="E132" s="44" t="s">
        <v>2549</v>
      </c>
      <c r="F132" s="75" t="s">
        <v>2667</v>
      </c>
      <c r="G132" s="56">
        <v>8273</v>
      </c>
      <c r="H132" s="56">
        <v>1100</v>
      </c>
      <c r="I132" s="56"/>
      <c r="J132" s="56"/>
      <c r="K132" s="56"/>
      <c r="L132" s="56"/>
      <c r="M132" s="56"/>
      <c r="N132" s="56"/>
      <c r="O132" s="56">
        <f t="shared" si="4"/>
        <v>9373</v>
      </c>
      <c r="P132" s="56"/>
      <c r="Q132" s="58">
        <f t="shared" si="5"/>
        <v>167120.18</v>
      </c>
      <c r="R132" s="56"/>
    </row>
    <row r="133" ht="20" customHeight="1" spans="2:18">
      <c r="B133" s="42">
        <v>2</v>
      </c>
      <c r="C133" s="42">
        <v>26</v>
      </c>
      <c r="D133" s="74" t="s">
        <v>69</v>
      </c>
      <c r="E133" s="75" t="s">
        <v>2638</v>
      </c>
      <c r="F133" s="75" t="s">
        <v>2639</v>
      </c>
      <c r="G133" s="56"/>
      <c r="H133" s="56"/>
      <c r="I133" s="56"/>
      <c r="J133" s="56"/>
      <c r="K133" s="56"/>
      <c r="L133" s="56"/>
      <c r="M133" s="56"/>
      <c r="N133" s="56"/>
      <c r="O133" s="56">
        <f t="shared" si="4"/>
        <v>0</v>
      </c>
      <c r="P133" s="55">
        <v>160000</v>
      </c>
      <c r="Q133" s="58">
        <f t="shared" si="5"/>
        <v>7120.17999999996</v>
      </c>
      <c r="R133" s="56"/>
    </row>
    <row r="134" ht="20" customHeight="1" spans="2:18">
      <c r="B134" s="42">
        <v>2</v>
      </c>
      <c r="C134" s="42">
        <v>27</v>
      </c>
      <c r="D134" s="42"/>
      <c r="E134" s="75" t="s">
        <v>2513</v>
      </c>
      <c r="F134" s="75" t="s">
        <v>2668</v>
      </c>
      <c r="G134" s="56"/>
      <c r="H134" s="56"/>
      <c r="I134" s="56">
        <v>300</v>
      </c>
      <c r="J134" s="56"/>
      <c r="K134" s="56"/>
      <c r="L134" s="56"/>
      <c r="M134" s="56"/>
      <c r="N134" s="56">
        <f>I134*0.005</f>
        <v>1.5</v>
      </c>
      <c r="O134" s="56">
        <f t="shared" si="4"/>
        <v>298.5</v>
      </c>
      <c r="P134" s="56"/>
      <c r="Q134" s="58">
        <f t="shared" si="5"/>
        <v>7418.67999999996</v>
      </c>
      <c r="R134" s="56"/>
    </row>
    <row r="135" ht="20" customHeight="1" spans="2:18">
      <c r="B135" s="42">
        <v>2</v>
      </c>
      <c r="C135" s="42">
        <v>27</v>
      </c>
      <c r="D135" s="42"/>
      <c r="E135" s="44" t="s">
        <v>2633</v>
      </c>
      <c r="F135" s="75" t="s">
        <v>2669</v>
      </c>
      <c r="G135" s="56"/>
      <c r="H135" s="56"/>
      <c r="I135" s="56"/>
      <c r="J135" s="56"/>
      <c r="K135" s="56"/>
      <c r="L135" s="56"/>
      <c r="M135" s="56"/>
      <c r="N135" s="56"/>
      <c r="O135" s="56">
        <v>26806.45</v>
      </c>
      <c r="P135" s="56"/>
      <c r="Q135" s="58">
        <f t="shared" si="5"/>
        <v>34225.13</v>
      </c>
      <c r="R135" s="56"/>
    </row>
    <row r="136" ht="20" customHeight="1" spans="2:18">
      <c r="B136" s="42">
        <v>2</v>
      </c>
      <c r="C136" s="42">
        <v>27</v>
      </c>
      <c r="D136" s="74" t="s">
        <v>92</v>
      </c>
      <c r="E136" s="44" t="s">
        <v>251</v>
      </c>
      <c r="F136" s="75" t="s">
        <v>2670</v>
      </c>
      <c r="G136" s="56"/>
      <c r="H136" s="56"/>
      <c r="I136" s="56"/>
      <c r="J136" s="56"/>
      <c r="K136" s="56"/>
      <c r="L136" s="56"/>
      <c r="M136" s="56"/>
      <c r="N136" s="56"/>
      <c r="O136" s="56">
        <f>SUM(G136:M136)-N136</f>
        <v>0</v>
      </c>
      <c r="P136" s="55">
        <v>18030.67</v>
      </c>
      <c r="Q136" s="58">
        <f t="shared" si="5"/>
        <v>16194.46</v>
      </c>
      <c r="R136" s="56"/>
    </row>
    <row r="137" ht="20" customHeight="1" spans="2:18">
      <c r="B137" s="42">
        <v>2</v>
      </c>
      <c r="C137" s="42">
        <v>27</v>
      </c>
      <c r="D137" s="74" t="s">
        <v>93</v>
      </c>
      <c r="E137" s="44"/>
      <c r="F137" s="75" t="s">
        <v>2671</v>
      </c>
      <c r="G137" s="56"/>
      <c r="H137" s="56"/>
      <c r="I137" s="56"/>
      <c r="J137" s="56"/>
      <c r="K137" s="56"/>
      <c r="L137" s="56"/>
      <c r="M137" s="56"/>
      <c r="N137" s="56"/>
      <c r="O137" s="56"/>
      <c r="P137" s="55">
        <v>4200.33</v>
      </c>
      <c r="Q137" s="58">
        <f t="shared" si="5"/>
        <v>11994.13</v>
      </c>
      <c r="R137" s="56"/>
    </row>
    <row r="138" ht="20" customHeight="1" spans="2:18">
      <c r="B138" s="42">
        <v>2</v>
      </c>
      <c r="C138" s="42">
        <v>27</v>
      </c>
      <c r="D138" s="74" t="s">
        <v>92</v>
      </c>
      <c r="E138" s="44" t="s">
        <v>271</v>
      </c>
      <c r="F138" s="45" t="s">
        <v>2672</v>
      </c>
      <c r="G138" s="56"/>
      <c r="H138" s="56"/>
      <c r="I138" s="56"/>
      <c r="J138" s="56"/>
      <c r="K138" s="56"/>
      <c r="L138" s="56"/>
      <c r="M138" s="56"/>
      <c r="N138" s="56"/>
      <c r="O138" s="56">
        <f t="shared" ref="O138:O153" si="6">SUM(G138:M138)-N138</f>
        <v>0</v>
      </c>
      <c r="P138" s="55">
        <v>7903.23</v>
      </c>
      <c r="Q138" s="58">
        <f t="shared" si="5"/>
        <v>4090.89999999996</v>
      </c>
      <c r="R138" s="56"/>
    </row>
    <row r="139" ht="20" customHeight="1" spans="2:18">
      <c r="B139" s="42">
        <v>2</v>
      </c>
      <c r="C139" s="42">
        <v>27</v>
      </c>
      <c r="D139" s="74" t="s">
        <v>92</v>
      </c>
      <c r="E139" s="96" t="s">
        <v>271</v>
      </c>
      <c r="F139" s="97" t="s">
        <v>2673</v>
      </c>
      <c r="G139" s="56"/>
      <c r="H139" s="56"/>
      <c r="I139" s="56"/>
      <c r="J139" s="56"/>
      <c r="K139" s="56"/>
      <c r="L139" s="56"/>
      <c r="M139" s="56"/>
      <c r="N139" s="56"/>
      <c r="O139" s="56">
        <f t="shared" si="6"/>
        <v>0</v>
      </c>
      <c r="P139" s="55">
        <v>200</v>
      </c>
      <c r="Q139" s="58">
        <f t="shared" si="5"/>
        <v>3890.89999999996</v>
      </c>
      <c r="R139" s="56"/>
    </row>
    <row r="140" ht="20" customHeight="1" spans="2:18">
      <c r="B140" s="42">
        <v>2</v>
      </c>
      <c r="C140" s="42">
        <v>27</v>
      </c>
      <c r="D140" s="42"/>
      <c r="E140" s="96" t="s">
        <v>2674</v>
      </c>
      <c r="F140" s="97" t="s">
        <v>2675</v>
      </c>
      <c r="G140" s="56">
        <v>6300</v>
      </c>
      <c r="H140" s="56">
        <v>1100</v>
      </c>
      <c r="I140" s="56"/>
      <c r="J140" s="56"/>
      <c r="K140" s="56"/>
      <c r="L140" s="56"/>
      <c r="M140" s="56"/>
      <c r="N140" s="56"/>
      <c r="O140" s="56">
        <f t="shared" si="6"/>
        <v>7400</v>
      </c>
      <c r="P140" s="56"/>
      <c r="Q140" s="58">
        <f t="shared" si="5"/>
        <v>11290.9</v>
      </c>
      <c r="R140" s="56"/>
    </row>
    <row r="141" ht="20" customHeight="1" spans="2:18">
      <c r="B141" s="42">
        <v>2</v>
      </c>
      <c r="C141" s="42">
        <v>27</v>
      </c>
      <c r="D141" s="42"/>
      <c r="E141" s="96" t="s">
        <v>2531</v>
      </c>
      <c r="F141" s="97" t="s">
        <v>2676</v>
      </c>
      <c r="G141" s="56"/>
      <c r="H141" s="56"/>
      <c r="I141" s="56">
        <v>41.07</v>
      </c>
      <c r="J141" s="56"/>
      <c r="K141" s="56"/>
      <c r="L141" s="56"/>
      <c r="M141" s="56"/>
      <c r="N141" s="56"/>
      <c r="O141" s="56">
        <f t="shared" si="6"/>
        <v>41.07</v>
      </c>
      <c r="P141" s="56"/>
      <c r="Q141" s="58">
        <f t="shared" si="5"/>
        <v>11331.97</v>
      </c>
      <c r="R141" s="56"/>
    </row>
    <row r="142" ht="20" customHeight="1" spans="2:18">
      <c r="B142" s="42">
        <v>2</v>
      </c>
      <c r="C142" s="42">
        <v>28</v>
      </c>
      <c r="D142" s="42"/>
      <c r="E142" s="96" t="s">
        <v>2677</v>
      </c>
      <c r="F142" s="97" t="s">
        <v>2678</v>
      </c>
      <c r="G142" s="56"/>
      <c r="H142" s="56"/>
      <c r="I142" s="56">
        <v>952</v>
      </c>
      <c r="J142" s="56"/>
      <c r="K142" s="56"/>
      <c r="L142" s="56"/>
      <c r="M142" s="56"/>
      <c r="N142" s="56"/>
      <c r="O142" s="56">
        <f t="shared" si="6"/>
        <v>952</v>
      </c>
      <c r="P142" s="56"/>
      <c r="Q142" s="58">
        <f t="shared" si="5"/>
        <v>12283.97</v>
      </c>
      <c r="R142" s="56"/>
    </row>
    <row r="143" ht="20" customHeight="1" spans="2:18">
      <c r="B143" s="42">
        <v>2</v>
      </c>
      <c r="C143" s="42">
        <v>28</v>
      </c>
      <c r="D143" s="42"/>
      <c r="E143" s="96" t="s">
        <v>2679</v>
      </c>
      <c r="F143" s="97" t="s">
        <v>2680</v>
      </c>
      <c r="G143" s="56">
        <v>4668.75</v>
      </c>
      <c r="H143" s="56">
        <v>481.25</v>
      </c>
      <c r="I143" s="56">
        <v>593.4</v>
      </c>
      <c r="J143" s="56"/>
      <c r="K143" s="56"/>
      <c r="L143" s="56"/>
      <c r="M143" s="56"/>
      <c r="N143" s="56"/>
      <c r="O143" s="56">
        <f t="shared" si="6"/>
        <v>5743.4</v>
      </c>
      <c r="P143" s="56"/>
      <c r="Q143" s="58">
        <f t="shared" si="5"/>
        <v>18027.37</v>
      </c>
      <c r="R143" s="56"/>
    </row>
    <row r="144" ht="20" customHeight="1" spans="2:18">
      <c r="B144" s="42">
        <v>2</v>
      </c>
      <c r="C144" s="42">
        <v>28</v>
      </c>
      <c r="D144" s="42"/>
      <c r="E144" s="96"/>
      <c r="F144" s="97" t="s">
        <v>2681</v>
      </c>
      <c r="G144" s="56"/>
      <c r="H144" s="56"/>
      <c r="I144" s="56"/>
      <c r="J144" s="56"/>
      <c r="K144" s="116">
        <v>240</v>
      </c>
      <c r="L144" s="116"/>
      <c r="M144" s="56"/>
      <c r="N144" s="56">
        <v>2.14</v>
      </c>
      <c r="O144" s="56">
        <f t="shared" si="6"/>
        <v>237.86</v>
      </c>
      <c r="P144" s="56"/>
      <c r="Q144" s="58">
        <f t="shared" si="5"/>
        <v>18265.23</v>
      </c>
      <c r="R144" s="59" t="s">
        <v>669</v>
      </c>
    </row>
    <row r="145" ht="20" customHeight="1" spans="1:18">
      <c r="B145" s="42">
        <v>2</v>
      </c>
      <c r="C145" s="42">
        <v>28</v>
      </c>
      <c r="D145" s="42"/>
      <c r="E145" s="96"/>
      <c r="F145" s="97" t="s">
        <v>2682</v>
      </c>
      <c r="G145" s="56"/>
      <c r="H145" s="56"/>
      <c r="I145" s="56"/>
      <c r="J145" s="56"/>
      <c r="K145" s="116">
        <v>240</v>
      </c>
      <c r="L145" s="116"/>
      <c r="M145" s="56"/>
      <c r="N145" s="56"/>
      <c r="O145" s="56">
        <f t="shared" si="6"/>
        <v>240</v>
      </c>
      <c r="P145" s="56"/>
      <c r="Q145" s="58">
        <f t="shared" si="5"/>
        <v>18505.23</v>
      </c>
      <c r="R145" s="59" t="s">
        <v>669</v>
      </c>
    </row>
    <row r="146" ht="20" customHeight="1" spans="1:18">
      <c r="B146" s="42">
        <v>2</v>
      </c>
      <c r="C146" s="42">
        <v>28</v>
      </c>
      <c r="D146" s="42"/>
      <c r="E146" s="96"/>
      <c r="F146" s="97" t="s">
        <v>2683</v>
      </c>
      <c r="G146" s="56"/>
      <c r="H146" s="56"/>
      <c r="I146" s="56"/>
      <c r="J146" s="56"/>
      <c r="K146" s="116">
        <v>240</v>
      </c>
      <c r="L146" s="116"/>
      <c r="M146" s="56"/>
      <c r="N146" s="56"/>
      <c r="O146" s="56">
        <f t="shared" si="6"/>
        <v>240</v>
      </c>
      <c r="P146" s="56"/>
      <c r="Q146" s="58">
        <f t="shared" si="5"/>
        <v>18745.23</v>
      </c>
      <c r="R146" s="59" t="s">
        <v>669</v>
      </c>
    </row>
    <row r="147" ht="20" customHeight="1" spans="1:18">
      <c r="B147" s="42">
        <v>2</v>
      </c>
      <c r="C147" s="42">
        <v>28</v>
      </c>
      <c r="D147" s="42"/>
      <c r="E147" s="96"/>
      <c r="F147" s="97" t="s">
        <v>2684</v>
      </c>
      <c r="G147" s="56"/>
      <c r="H147" s="56"/>
      <c r="I147" s="56"/>
      <c r="J147" s="56"/>
      <c r="K147" s="116">
        <v>240</v>
      </c>
      <c r="L147" s="116"/>
      <c r="M147" s="56"/>
      <c r="N147" s="56"/>
      <c r="O147" s="56">
        <f t="shared" si="6"/>
        <v>240</v>
      </c>
      <c r="P147" s="56"/>
      <c r="Q147" s="58">
        <f t="shared" si="5"/>
        <v>18985.23</v>
      </c>
      <c r="R147" s="59" t="s">
        <v>669</v>
      </c>
    </row>
    <row r="148" ht="20" customHeight="1" spans="1:18">
      <c r="B148" s="42">
        <v>2</v>
      </c>
      <c r="C148" s="42">
        <v>28</v>
      </c>
      <c r="D148" s="42"/>
      <c r="E148" s="96" t="s">
        <v>2578</v>
      </c>
      <c r="F148" s="97" t="s">
        <v>2685</v>
      </c>
      <c r="G148" s="56"/>
      <c r="H148" s="56"/>
      <c r="I148" s="56">
        <v>71.68</v>
      </c>
      <c r="J148" s="56"/>
      <c r="K148" s="116"/>
      <c r="L148" s="116"/>
      <c r="M148" s="56"/>
      <c r="N148" s="56"/>
      <c r="O148" s="56">
        <f t="shared" si="6"/>
        <v>71.68</v>
      </c>
      <c r="P148" s="56"/>
      <c r="Q148" s="58">
        <f t="shared" si="5"/>
        <v>19056.91</v>
      </c>
      <c r="R148" s="59" t="s">
        <v>669</v>
      </c>
    </row>
    <row r="149" ht="20" customHeight="1" spans="1:18">
      <c r="B149" s="42">
        <v>2</v>
      </c>
      <c r="C149" s="42">
        <v>28</v>
      </c>
      <c r="D149" s="42"/>
      <c r="E149" s="96"/>
      <c r="F149" s="97" t="s">
        <v>2686</v>
      </c>
      <c r="G149" s="56"/>
      <c r="H149" s="56"/>
      <c r="I149" s="56"/>
      <c r="J149" s="56"/>
      <c r="K149" s="116">
        <v>240</v>
      </c>
      <c r="L149" s="116"/>
      <c r="M149" s="56"/>
      <c r="N149" s="56"/>
      <c r="O149" s="56">
        <f t="shared" si="6"/>
        <v>240</v>
      </c>
      <c r="P149" s="56"/>
      <c r="Q149" s="58">
        <f t="shared" si="5"/>
        <v>19296.91</v>
      </c>
      <c r="R149" s="59" t="s">
        <v>669</v>
      </c>
    </row>
    <row r="150" ht="20" customHeight="1" spans="1:18">
      <c r="B150" s="42">
        <v>2</v>
      </c>
      <c r="C150" s="42">
        <v>28</v>
      </c>
      <c r="D150" s="42"/>
      <c r="E150" s="96"/>
      <c r="F150" s="97" t="s">
        <v>2687</v>
      </c>
      <c r="G150" s="56"/>
      <c r="H150" s="56"/>
      <c r="I150" s="56"/>
      <c r="J150" s="56"/>
      <c r="K150" s="116">
        <v>240</v>
      </c>
      <c r="L150" s="116"/>
      <c r="M150" s="56"/>
      <c r="N150" s="56"/>
      <c r="O150" s="56">
        <f t="shared" si="6"/>
        <v>240</v>
      </c>
      <c r="P150" s="56"/>
      <c r="Q150" s="58">
        <f t="shared" si="5"/>
        <v>19536.91</v>
      </c>
      <c r="R150" s="59" t="s">
        <v>669</v>
      </c>
    </row>
    <row r="151" ht="20" customHeight="1" spans="1:18">
      <c r="B151" s="42">
        <v>2</v>
      </c>
      <c r="C151" s="42">
        <v>28</v>
      </c>
      <c r="D151" s="42"/>
      <c r="E151" s="96"/>
      <c r="F151" s="97" t="s">
        <v>2688</v>
      </c>
      <c r="G151" s="56"/>
      <c r="H151" s="56"/>
      <c r="I151" s="56"/>
      <c r="J151" s="56"/>
      <c r="K151" s="116">
        <v>240</v>
      </c>
      <c r="L151" s="116"/>
      <c r="M151" s="56"/>
      <c r="N151" s="56"/>
      <c r="O151" s="56">
        <f t="shared" si="6"/>
        <v>240</v>
      </c>
      <c r="P151" s="56"/>
      <c r="Q151" s="58">
        <f t="shared" si="5"/>
        <v>19776.91</v>
      </c>
      <c r="R151" s="59" t="s">
        <v>669</v>
      </c>
    </row>
    <row r="152" ht="20" customHeight="1" spans="1:18">
      <c r="A152" s="3" t="s">
        <v>2689</v>
      </c>
      <c r="B152" s="42">
        <v>2</v>
      </c>
      <c r="C152" s="42">
        <v>28</v>
      </c>
      <c r="D152" s="42"/>
      <c r="E152" s="96" t="s">
        <v>2690</v>
      </c>
      <c r="F152" s="97" t="s">
        <v>2691</v>
      </c>
      <c r="G152" s="56"/>
      <c r="H152" s="56"/>
      <c r="I152" s="56">
        <v>146.7</v>
      </c>
      <c r="J152" s="56"/>
      <c r="K152" s="116"/>
      <c r="L152" s="116"/>
      <c r="M152" s="56"/>
      <c r="N152" s="56"/>
      <c r="O152" s="56">
        <f t="shared" si="6"/>
        <v>146.7</v>
      </c>
      <c r="P152" s="56"/>
      <c r="Q152" s="58">
        <f t="shared" si="5"/>
        <v>19923.61</v>
      </c>
      <c r="R152" s="59" t="s">
        <v>669</v>
      </c>
    </row>
    <row r="153" ht="20" customHeight="1" spans="1:18">
      <c r="B153" s="42">
        <v>2</v>
      </c>
      <c r="C153" s="42">
        <v>28</v>
      </c>
      <c r="D153" s="42"/>
      <c r="E153" s="96"/>
      <c r="F153" s="97" t="s">
        <v>2692</v>
      </c>
      <c r="G153" s="56"/>
      <c r="H153" s="56"/>
      <c r="I153" s="56"/>
      <c r="J153" s="56"/>
      <c r="K153" s="116">
        <v>240</v>
      </c>
      <c r="L153" s="116"/>
      <c r="M153" s="56"/>
      <c r="N153" s="56"/>
      <c r="O153" s="56">
        <f t="shared" si="6"/>
        <v>240</v>
      </c>
      <c r="P153" s="56"/>
      <c r="Q153" s="58">
        <f t="shared" si="5"/>
        <v>20163.61</v>
      </c>
      <c r="R153" s="59" t="s">
        <v>669</v>
      </c>
    </row>
    <row r="154" ht="20" customHeight="1" spans="1:18">
      <c r="B154" s="68"/>
      <c r="C154" s="68"/>
      <c r="D154" s="68"/>
      <c r="E154" s="68"/>
      <c r="F154" s="70" t="s">
        <v>22</v>
      </c>
      <c r="G154" s="71">
        <f>SUM(G67:G153)</f>
        <v>83409.3</v>
      </c>
      <c r="H154" s="71">
        <f>SUM(H67:H153)</f>
        <v>7201.3</v>
      </c>
      <c r="I154" s="71">
        <f>SUM(I67:I153)</f>
        <v>23579.02</v>
      </c>
      <c r="J154" s="71">
        <f>SUM(J67:J153)</f>
        <v>0</v>
      </c>
      <c r="K154" s="71">
        <f>SUM(K67:K153)</f>
        <v>7665.99</v>
      </c>
      <c r="L154" s="71"/>
      <c r="M154" s="71">
        <f>SUM(M67:M153)</f>
        <v>0</v>
      </c>
      <c r="N154" s="71">
        <f>SUM(N67:N153)</f>
        <v>119.2</v>
      </c>
      <c r="O154" s="71">
        <f>SUM(O67:O153)</f>
        <v>148542.86</v>
      </c>
      <c r="P154" s="71">
        <f>SUM(P67:P153)</f>
        <v>254248.23</v>
      </c>
      <c r="Q154" s="72">
        <f>Q66+O154-P154</f>
        <v>20163.61</v>
      </c>
      <c r="R154" s="71">
        <f>P154-40000</f>
        <v>214248.23</v>
      </c>
    </row>
    <row r="155" ht="20" customHeight="1" spans="1:18">
      <c r="B155" s="42">
        <v>3</v>
      </c>
      <c r="C155" s="42">
        <v>2</v>
      </c>
      <c r="D155" s="42"/>
      <c r="E155" s="97" t="s">
        <v>2513</v>
      </c>
      <c r="F155" s="97" t="s">
        <v>2693</v>
      </c>
      <c r="G155" s="56"/>
      <c r="H155" s="56"/>
      <c r="I155" s="56">
        <v>6800</v>
      </c>
      <c r="J155" s="56"/>
      <c r="K155" s="56"/>
      <c r="L155" s="56"/>
      <c r="M155" s="56"/>
      <c r="N155" s="56">
        <f>I155*0.005</f>
        <v>34</v>
      </c>
      <c r="O155" s="56">
        <f t="shared" ref="O155:O194" si="7">SUM(G155:M155)-N155</f>
        <v>6766</v>
      </c>
      <c r="P155" s="56"/>
      <c r="Q155" s="58">
        <f t="shared" ref="Q155:Q218" si="8">Q154+O155-P155</f>
        <v>26929.61</v>
      </c>
      <c r="R155" s="56"/>
    </row>
    <row r="156" ht="20" customHeight="1" spans="1:18">
      <c r="A156" s="2"/>
      <c r="B156" s="42">
        <v>3</v>
      </c>
      <c r="C156" s="42">
        <v>3</v>
      </c>
      <c r="D156" s="42"/>
      <c r="E156" s="97" t="s">
        <v>2513</v>
      </c>
      <c r="F156" s="97" t="s">
        <v>2694</v>
      </c>
      <c r="G156" s="56"/>
      <c r="H156" s="56"/>
      <c r="I156" s="56">
        <v>300</v>
      </c>
      <c r="J156" s="56"/>
      <c r="K156" s="56"/>
      <c r="L156" s="56"/>
      <c r="M156" s="56"/>
      <c r="N156" s="56">
        <f>I156*0.005</f>
        <v>1.5</v>
      </c>
      <c r="O156" s="56">
        <f t="shared" si="7"/>
        <v>298.5</v>
      </c>
      <c r="P156" s="56"/>
      <c r="Q156" s="58">
        <f t="shared" si="8"/>
        <v>27228.11</v>
      </c>
      <c r="R156" s="56"/>
    </row>
    <row r="157" ht="20" customHeight="1" spans="1:18">
      <c r="B157" s="42">
        <v>3</v>
      </c>
      <c r="C157" s="42">
        <v>3</v>
      </c>
      <c r="D157" s="42"/>
      <c r="E157" s="97" t="s">
        <v>2516</v>
      </c>
      <c r="F157" s="97" t="s">
        <v>2695</v>
      </c>
      <c r="G157" s="56"/>
      <c r="H157" s="56"/>
      <c r="I157" s="56"/>
      <c r="J157" s="56"/>
      <c r="K157" s="56">
        <v>525</v>
      </c>
      <c r="L157" s="56"/>
      <c r="M157" s="56"/>
      <c r="N157" s="56">
        <v>3.15</v>
      </c>
      <c r="O157" s="56">
        <f t="shared" si="7"/>
        <v>521.85</v>
      </c>
      <c r="P157" s="56"/>
      <c r="Q157" s="58">
        <f t="shared" si="8"/>
        <v>27749.96</v>
      </c>
      <c r="R157" s="56"/>
    </row>
    <row r="158" ht="20" customHeight="1" spans="1:18">
      <c r="B158" s="42">
        <v>3</v>
      </c>
      <c r="C158" s="42">
        <v>4</v>
      </c>
      <c r="D158" s="42"/>
      <c r="E158" s="97" t="s">
        <v>2513</v>
      </c>
      <c r="F158" s="97" t="s">
        <v>2696</v>
      </c>
      <c r="G158" s="56"/>
      <c r="H158" s="56"/>
      <c r="I158" s="56">
        <v>2700</v>
      </c>
      <c r="J158" s="56"/>
      <c r="K158" s="56"/>
      <c r="L158" s="56"/>
      <c r="M158" s="56"/>
      <c r="N158" s="56">
        <f>I158*0.005</f>
        <v>13.5</v>
      </c>
      <c r="O158" s="56">
        <f t="shared" si="7"/>
        <v>2686.5</v>
      </c>
      <c r="P158" s="56"/>
      <c r="Q158" s="58">
        <f t="shared" si="8"/>
        <v>30436.46</v>
      </c>
      <c r="R158" s="56"/>
    </row>
    <row r="159" ht="20" customHeight="1" spans="1:18">
      <c r="B159" s="42">
        <v>3</v>
      </c>
      <c r="C159" s="42">
        <v>4</v>
      </c>
      <c r="D159" s="74" t="s">
        <v>144</v>
      </c>
      <c r="E159" s="97" t="s">
        <v>2697</v>
      </c>
      <c r="F159" s="97" t="s">
        <v>2698</v>
      </c>
      <c r="G159" s="56"/>
      <c r="H159" s="56"/>
      <c r="I159" s="56"/>
      <c r="J159" s="56"/>
      <c r="K159" s="56"/>
      <c r="L159" s="56"/>
      <c r="M159" s="56"/>
      <c r="N159" s="56"/>
      <c r="O159" s="56">
        <f t="shared" si="7"/>
        <v>0</v>
      </c>
      <c r="P159" s="55">
        <v>28137</v>
      </c>
      <c r="Q159" s="58">
        <f t="shared" si="8"/>
        <v>2299.46000000004</v>
      </c>
      <c r="R159" s="56"/>
    </row>
    <row r="160" ht="20" customHeight="1" spans="1:18">
      <c r="B160" s="42">
        <v>3</v>
      </c>
      <c r="C160" s="42">
        <v>5</v>
      </c>
      <c r="D160" s="42"/>
      <c r="E160" s="97" t="s">
        <v>2513</v>
      </c>
      <c r="F160" s="97" t="s">
        <v>2699</v>
      </c>
      <c r="G160" s="56"/>
      <c r="H160" s="56"/>
      <c r="I160" s="56">
        <v>350</v>
      </c>
      <c r="J160" s="56"/>
      <c r="K160" s="56"/>
      <c r="L160" s="56"/>
      <c r="M160" s="56"/>
      <c r="N160" s="56">
        <f>I160*0.005</f>
        <v>1.75</v>
      </c>
      <c r="O160" s="56">
        <f t="shared" si="7"/>
        <v>348.25</v>
      </c>
      <c r="P160" s="56"/>
      <c r="Q160" s="58">
        <f t="shared" si="8"/>
        <v>2647.71000000004</v>
      </c>
      <c r="R160" s="56"/>
    </row>
    <row r="161" ht="20" customHeight="1" spans="2:18">
      <c r="B161" s="42">
        <v>3</v>
      </c>
      <c r="C161" s="42">
        <v>5</v>
      </c>
      <c r="D161" s="42"/>
      <c r="E161" s="97" t="s">
        <v>2700</v>
      </c>
      <c r="F161" s="97" t="s">
        <v>2701</v>
      </c>
      <c r="G161" s="56">
        <v>1000</v>
      </c>
      <c r="H161" s="56"/>
      <c r="I161" s="56">
        <v>154</v>
      </c>
      <c r="J161" s="56"/>
      <c r="K161" s="56"/>
      <c r="L161" s="56"/>
      <c r="M161" s="56"/>
      <c r="N161" s="56"/>
      <c r="O161" s="56">
        <f t="shared" si="7"/>
        <v>1154</v>
      </c>
      <c r="P161" s="56"/>
      <c r="Q161" s="58">
        <f t="shared" si="8"/>
        <v>3801.71000000004</v>
      </c>
      <c r="R161" s="56"/>
    </row>
    <row r="162" ht="20" customHeight="1" spans="2:18">
      <c r="B162" s="42">
        <v>3</v>
      </c>
      <c r="C162" s="42">
        <v>5</v>
      </c>
      <c r="D162" s="42"/>
      <c r="E162" s="97" t="s">
        <v>2700</v>
      </c>
      <c r="F162" s="97" t="s">
        <v>2702</v>
      </c>
      <c r="G162" s="56">
        <v>18500</v>
      </c>
      <c r="H162" s="56"/>
      <c r="I162" s="56">
        <v>249</v>
      </c>
      <c r="J162" s="56"/>
      <c r="K162" s="56"/>
      <c r="L162" s="56"/>
      <c r="M162" s="56"/>
      <c r="N162" s="56"/>
      <c r="O162" s="56">
        <f t="shared" si="7"/>
        <v>18749</v>
      </c>
      <c r="P162" s="56"/>
      <c r="Q162" s="58">
        <f t="shared" si="8"/>
        <v>22550.71</v>
      </c>
      <c r="R162" s="56"/>
    </row>
    <row r="163" ht="20" customHeight="1" spans="2:18">
      <c r="B163" s="42">
        <v>3</v>
      </c>
      <c r="C163" s="42">
        <v>6</v>
      </c>
      <c r="D163" s="42"/>
      <c r="E163" s="97" t="s">
        <v>2513</v>
      </c>
      <c r="F163" s="97" t="s">
        <v>2703</v>
      </c>
      <c r="G163" s="56"/>
      <c r="H163" s="56"/>
      <c r="I163" s="56">
        <v>400</v>
      </c>
      <c r="J163" s="56"/>
      <c r="K163" s="56"/>
      <c r="L163" s="56"/>
      <c r="M163" s="56"/>
      <c r="N163" s="56">
        <f>I163*0.005</f>
        <v>2</v>
      </c>
      <c r="O163" s="56">
        <f t="shared" si="7"/>
        <v>398</v>
      </c>
      <c r="P163" s="56"/>
      <c r="Q163" s="58">
        <f t="shared" si="8"/>
        <v>22948.71</v>
      </c>
      <c r="R163" s="56"/>
    </row>
    <row r="164" ht="20" customHeight="1" spans="2:18">
      <c r="B164" s="42">
        <v>3</v>
      </c>
      <c r="C164" s="42">
        <v>9</v>
      </c>
      <c r="D164" s="42"/>
      <c r="E164" s="97" t="s">
        <v>2513</v>
      </c>
      <c r="F164" s="97" t="s">
        <v>2704</v>
      </c>
      <c r="G164" s="56"/>
      <c r="H164" s="56"/>
      <c r="I164" s="56">
        <v>2550</v>
      </c>
      <c r="J164" s="56"/>
      <c r="K164" s="56"/>
      <c r="L164" s="56"/>
      <c r="M164" s="56"/>
      <c r="N164" s="56">
        <f>I164*0.005</f>
        <v>12.75</v>
      </c>
      <c r="O164" s="56">
        <f t="shared" si="7"/>
        <v>2537.25</v>
      </c>
      <c r="P164" s="56"/>
      <c r="Q164" s="58">
        <f t="shared" si="8"/>
        <v>25485.96</v>
      </c>
      <c r="R164" s="56"/>
    </row>
    <row r="165" ht="20" customHeight="1" spans="2:18">
      <c r="B165" s="42">
        <v>3</v>
      </c>
      <c r="C165" s="42">
        <v>2</v>
      </c>
      <c r="D165" s="42"/>
      <c r="E165" s="104"/>
      <c r="F165" s="97" t="s">
        <v>2705</v>
      </c>
      <c r="G165" s="56"/>
      <c r="H165" s="56"/>
      <c r="I165" s="56"/>
      <c r="J165" s="56"/>
      <c r="K165" s="116">
        <v>240</v>
      </c>
      <c r="L165" s="116"/>
      <c r="M165" s="56"/>
      <c r="N165" s="56">
        <v>4.67</v>
      </c>
      <c r="O165" s="56">
        <f t="shared" si="7"/>
        <v>235.33</v>
      </c>
      <c r="P165" s="56"/>
      <c r="Q165" s="58">
        <f t="shared" si="8"/>
        <v>25721.29</v>
      </c>
      <c r="R165" s="59" t="s">
        <v>669</v>
      </c>
    </row>
    <row r="166" ht="20" customHeight="1" spans="2:18">
      <c r="B166" s="42">
        <v>3</v>
      </c>
      <c r="C166" s="42">
        <v>4</v>
      </c>
      <c r="D166" s="42"/>
      <c r="E166" s="104"/>
      <c r="F166" s="97" t="s">
        <v>2706</v>
      </c>
      <c r="G166" s="56"/>
      <c r="H166" s="56"/>
      <c r="I166" s="56"/>
      <c r="J166" s="56"/>
      <c r="K166" s="116">
        <v>240</v>
      </c>
      <c r="L166" s="116"/>
      <c r="M166" s="56"/>
      <c r="N166" s="56"/>
      <c r="O166" s="56">
        <f t="shared" si="7"/>
        <v>240</v>
      </c>
      <c r="P166" s="56"/>
      <c r="Q166" s="58">
        <f t="shared" si="8"/>
        <v>25961.29</v>
      </c>
      <c r="R166" s="59" t="s">
        <v>669</v>
      </c>
    </row>
    <row r="167" ht="20" customHeight="1" spans="2:18">
      <c r="B167" s="42">
        <v>3</v>
      </c>
      <c r="C167" s="42">
        <v>4</v>
      </c>
      <c r="D167" s="42"/>
      <c r="E167" s="104"/>
      <c r="F167" s="97" t="s">
        <v>2707</v>
      </c>
      <c r="G167" s="56"/>
      <c r="H167" s="56"/>
      <c r="I167" s="56"/>
      <c r="J167" s="56"/>
      <c r="K167" s="116">
        <v>240</v>
      </c>
      <c r="L167" s="116"/>
      <c r="M167" s="56"/>
      <c r="N167" s="56"/>
      <c r="O167" s="56">
        <f t="shared" si="7"/>
        <v>240</v>
      </c>
      <c r="P167" s="56"/>
      <c r="Q167" s="58">
        <f t="shared" si="8"/>
        <v>26201.29</v>
      </c>
      <c r="R167" s="59" t="s">
        <v>669</v>
      </c>
    </row>
    <row r="168" ht="20" customHeight="1" spans="2:18">
      <c r="B168" s="42">
        <v>3</v>
      </c>
      <c r="C168" s="42">
        <v>4</v>
      </c>
      <c r="D168" s="42"/>
      <c r="E168" s="97" t="s">
        <v>2609</v>
      </c>
      <c r="F168" s="97" t="s">
        <v>2708</v>
      </c>
      <c r="G168" s="56">
        <v>3800</v>
      </c>
      <c r="H168" s="56"/>
      <c r="I168" s="56"/>
      <c r="J168" s="56"/>
      <c r="K168" s="56"/>
      <c r="L168" s="56"/>
      <c r="M168" s="56"/>
      <c r="N168" s="56"/>
      <c r="O168" s="56">
        <f t="shared" si="7"/>
        <v>3800</v>
      </c>
      <c r="P168" s="56"/>
      <c r="Q168" s="58">
        <f t="shared" si="8"/>
        <v>30001.29</v>
      </c>
      <c r="R168" s="59" t="s">
        <v>669</v>
      </c>
    </row>
    <row r="169" ht="20" customHeight="1" spans="2:18">
      <c r="B169" s="42">
        <v>3</v>
      </c>
      <c r="C169" s="42">
        <v>4</v>
      </c>
      <c r="D169" s="42"/>
      <c r="E169" s="104"/>
      <c r="F169" s="97" t="s">
        <v>2709</v>
      </c>
      <c r="G169" s="56"/>
      <c r="H169" s="56"/>
      <c r="I169" s="56"/>
      <c r="J169" s="56"/>
      <c r="K169" s="56">
        <v>150</v>
      </c>
      <c r="L169" s="56"/>
      <c r="M169" s="56"/>
      <c r="N169" s="56"/>
      <c r="O169" s="56">
        <f t="shared" si="7"/>
        <v>150</v>
      </c>
      <c r="P169" s="56"/>
      <c r="Q169" s="58">
        <f t="shared" si="8"/>
        <v>30151.29</v>
      </c>
      <c r="R169" s="59" t="s">
        <v>669</v>
      </c>
    </row>
    <row r="170" ht="20" customHeight="1" spans="2:18">
      <c r="B170" s="42">
        <v>3</v>
      </c>
      <c r="C170" s="42">
        <v>9</v>
      </c>
      <c r="D170" s="42"/>
      <c r="E170" s="97" t="s">
        <v>2598</v>
      </c>
      <c r="F170" s="97" t="s">
        <v>2710</v>
      </c>
      <c r="G170" s="56">
        <v>4130.95</v>
      </c>
      <c r="H170" s="56">
        <v>369.05</v>
      </c>
      <c r="I170" s="56"/>
      <c r="J170" s="56"/>
      <c r="K170" s="56"/>
      <c r="L170" s="56"/>
      <c r="M170" s="56"/>
      <c r="N170" s="56"/>
      <c r="O170" s="56">
        <f t="shared" si="7"/>
        <v>4500</v>
      </c>
      <c r="P170" s="56"/>
      <c r="Q170" s="58">
        <f t="shared" si="8"/>
        <v>34651.29</v>
      </c>
      <c r="R170" s="56"/>
    </row>
    <row r="171" ht="20" customHeight="1" spans="2:18">
      <c r="B171" s="42">
        <v>3</v>
      </c>
      <c r="C171" s="42">
        <v>9</v>
      </c>
      <c r="D171" s="42"/>
      <c r="E171" s="97" t="s">
        <v>2600</v>
      </c>
      <c r="F171" s="97" t="s">
        <v>2711</v>
      </c>
      <c r="G171" s="56">
        <v>3436</v>
      </c>
      <c r="H171" s="56">
        <v>564</v>
      </c>
      <c r="I171" s="56">
        <v>38.32</v>
      </c>
      <c r="J171" s="56"/>
      <c r="K171" s="56"/>
      <c r="L171" s="56"/>
      <c r="M171" s="56"/>
      <c r="N171" s="56"/>
      <c r="O171" s="56">
        <f t="shared" si="7"/>
        <v>4038.32</v>
      </c>
      <c r="P171" s="56"/>
      <c r="Q171" s="58">
        <f t="shared" si="8"/>
        <v>38689.61</v>
      </c>
      <c r="R171" s="56"/>
    </row>
    <row r="172" ht="20" customHeight="1" spans="2:18">
      <c r="B172" s="42">
        <v>3</v>
      </c>
      <c r="C172" s="42">
        <v>9</v>
      </c>
      <c r="D172" s="42"/>
      <c r="E172" s="97" t="s">
        <v>2589</v>
      </c>
      <c r="F172" s="97" t="s">
        <v>2712</v>
      </c>
      <c r="G172" s="56">
        <v>8331.5</v>
      </c>
      <c r="H172" s="56">
        <v>668.5</v>
      </c>
      <c r="I172" s="56">
        <v>312</v>
      </c>
      <c r="J172" s="56"/>
      <c r="K172" s="56"/>
      <c r="L172" s="56"/>
      <c r="M172" s="56"/>
      <c r="N172" s="56"/>
      <c r="O172" s="56">
        <f t="shared" si="7"/>
        <v>9312</v>
      </c>
      <c r="P172" s="56"/>
      <c r="Q172" s="58">
        <f t="shared" si="8"/>
        <v>48001.61</v>
      </c>
      <c r="R172" s="56"/>
    </row>
    <row r="173" ht="20" customHeight="1" spans="2:18">
      <c r="B173" s="42">
        <v>3</v>
      </c>
      <c r="C173" s="42">
        <v>9</v>
      </c>
      <c r="D173" s="42"/>
      <c r="E173" s="97" t="s">
        <v>2621</v>
      </c>
      <c r="F173" s="97" t="s">
        <v>2713</v>
      </c>
      <c r="G173" s="56"/>
      <c r="H173" s="56"/>
      <c r="I173" s="56">
        <v>30.02</v>
      </c>
      <c r="J173" s="56"/>
      <c r="K173" s="56"/>
      <c r="L173" s="56"/>
      <c r="M173" s="56"/>
      <c r="N173" s="56"/>
      <c r="O173" s="56">
        <f t="shared" si="7"/>
        <v>30.02</v>
      </c>
      <c r="P173" s="56"/>
      <c r="Q173" s="58">
        <f t="shared" si="8"/>
        <v>48031.63</v>
      </c>
      <c r="R173" s="56"/>
    </row>
    <row r="174" ht="20" customHeight="1" spans="2:18">
      <c r="B174" s="42">
        <v>3</v>
      </c>
      <c r="C174" s="42">
        <v>10</v>
      </c>
      <c r="D174" s="42"/>
      <c r="E174" s="97" t="s">
        <v>2513</v>
      </c>
      <c r="F174" s="97" t="s">
        <v>2714</v>
      </c>
      <c r="G174" s="56"/>
      <c r="H174" s="56"/>
      <c r="I174" s="56">
        <v>1100</v>
      </c>
      <c r="J174" s="56"/>
      <c r="K174" s="56"/>
      <c r="L174" s="56"/>
      <c r="M174" s="56"/>
      <c r="N174" s="56">
        <f>I174*0.005</f>
        <v>5.5</v>
      </c>
      <c r="O174" s="56">
        <f t="shared" si="7"/>
        <v>1094.5</v>
      </c>
      <c r="P174" s="56"/>
      <c r="Q174" s="58">
        <f t="shared" si="8"/>
        <v>49126.13</v>
      </c>
      <c r="R174" s="56"/>
    </row>
    <row r="175" ht="20" customHeight="1" spans="2:18">
      <c r="B175" s="42">
        <v>3</v>
      </c>
      <c r="C175" s="42">
        <v>10</v>
      </c>
      <c r="D175" s="42"/>
      <c r="E175" s="97" t="s">
        <v>2516</v>
      </c>
      <c r="F175" s="97" t="s">
        <v>2715</v>
      </c>
      <c r="G175" s="56"/>
      <c r="H175" s="56"/>
      <c r="I175" s="56"/>
      <c r="J175" s="56"/>
      <c r="K175" s="56">
        <v>640</v>
      </c>
      <c r="L175" s="56"/>
      <c r="M175" s="56"/>
      <c r="N175" s="56">
        <v>3.84</v>
      </c>
      <c r="O175" s="56">
        <f t="shared" si="7"/>
        <v>636.16</v>
      </c>
      <c r="P175" s="56"/>
      <c r="Q175" s="58">
        <f t="shared" si="8"/>
        <v>49762.29</v>
      </c>
      <c r="R175" s="56"/>
    </row>
    <row r="176" ht="20" customHeight="1" spans="2:18">
      <c r="B176" s="42">
        <v>3</v>
      </c>
      <c r="C176" s="42">
        <v>11</v>
      </c>
      <c r="D176" s="42"/>
      <c r="E176" s="97" t="s">
        <v>2513</v>
      </c>
      <c r="F176" s="97" t="s">
        <v>2716</v>
      </c>
      <c r="G176" s="56"/>
      <c r="H176" s="56"/>
      <c r="I176" s="56">
        <v>700</v>
      </c>
      <c r="J176" s="56"/>
      <c r="K176" s="56"/>
      <c r="L176" s="56"/>
      <c r="M176" s="56"/>
      <c r="N176" s="56">
        <f>I176*0.005</f>
        <v>3.5</v>
      </c>
      <c r="O176" s="56">
        <f t="shared" si="7"/>
        <v>696.5</v>
      </c>
      <c r="P176" s="56"/>
      <c r="Q176" s="58">
        <f t="shared" si="8"/>
        <v>50458.79</v>
      </c>
      <c r="R176" s="56"/>
    </row>
    <row r="177" ht="20" customHeight="1" spans="2:18">
      <c r="B177" s="42">
        <v>3</v>
      </c>
      <c r="C177" s="42">
        <v>12</v>
      </c>
      <c r="D177" s="42"/>
      <c r="E177" s="97" t="s">
        <v>2513</v>
      </c>
      <c r="F177" s="97" t="s">
        <v>2717</v>
      </c>
      <c r="G177" s="56"/>
      <c r="H177" s="56"/>
      <c r="I177" s="56">
        <v>50</v>
      </c>
      <c r="J177" s="56"/>
      <c r="K177" s="56"/>
      <c r="L177" s="56"/>
      <c r="M177" s="56"/>
      <c r="N177" s="56">
        <f>I177*0.005</f>
        <v>0.25</v>
      </c>
      <c r="O177" s="56">
        <f t="shared" si="7"/>
        <v>49.75</v>
      </c>
      <c r="P177" s="56"/>
      <c r="Q177" s="58">
        <f t="shared" si="8"/>
        <v>50508.54</v>
      </c>
      <c r="R177" s="56"/>
    </row>
    <row r="178" ht="20" customHeight="1" spans="2:18">
      <c r="B178" s="42">
        <v>3</v>
      </c>
      <c r="C178" s="42">
        <v>12</v>
      </c>
      <c r="D178" s="42"/>
      <c r="E178" s="97" t="s">
        <v>2535</v>
      </c>
      <c r="F178" s="97" t="s">
        <v>2718</v>
      </c>
      <c r="G178" s="42">
        <v>1974</v>
      </c>
      <c r="H178" s="56">
        <v>282</v>
      </c>
      <c r="I178" s="56">
        <v>15.01</v>
      </c>
      <c r="J178" s="56"/>
      <c r="K178" s="56"/>
      <c r="L178" s="56"/>
      <c r="M178" s="56"/>
      <c r="N178" s="56"/>
      <c r="O178" s="56">
        <f t="shared" si="7"/>
        <v>2271.01</v>
      </c>
      <c r="P178" s="56"/>
      <c r="Q178" s="58">
        <f t="shared" si="8"/>
        <v>52779.55</v>
      </c>
      <c r="R178" s="56"/>
    </row>
    <row r="179" ht="20" customHeight="1" spans="2:18">
      <c r="B179" s="42">
        <v>3</v>
      </c>
      <c r="C179" s="42">
        <v>12</v>
      </c>
      <c r="D179" s="42"/>
      <c r="E179" s="97" t="s">
        <v>2531</v>
      </c>
      <c r="F179" s="97" t="s">
        <v>2719</v>
      </c>
      <c r="G179" s="42"/>
      <c r="H179" s="56"/>
      <c r="I179" s="56">
        <v>45.03</v>
      </c>
      <c r="J179" s="56"/>
      <c r="K179" s="56"/>
      <c r="L179" s="56"/>
      <c r="M179" s="56"/>
      <c r="N179" s="56"/>
      <c r="O179" s="56">
        <f t="shared" si="7"/>
        <v>45.03</v>
      </c>
      <c r="P179" s="56"/>
      <c r="Q179" s="58">
        <f t="shared" si="8"/>
        <v>52824.58</v>
      </c>
      <c r="R179" s="56"/>
    </row>
    <row r="180" ht="20" customHeight="1" spans="2:18">
      <c r="B180" s="42">
        <v>3</v>
      </c>
      <c r="C180" s="42">
        <v>12</v>
      </c>
      <c r="D180" s="42"/>
      <c r="E180" s="97" t="s">
        <v>2626</v>
      </c>
      <c r="F180" s="97" t="s">
        <v>2720</v>
      </c>
      <c r="G180" s="42"/>
      <c r="H180" s="56"/>
      <c r="I180" s="56">
        <v>46</v>
      </c>
      <c r="J180" s="56"/>
      <c r="K180" s="56"/>
      <c r="L180" s="56"/>
      <c r="M180" s="56"/>
      <c r="N180" s="56"/>
      <c r="O180" s="56">
        <f t="shared" si="7"/>
        <v>46</v>
      </c>
      <c r="P180" s="56"/>
      <c r="Q180" s="58">
        <f t="shared" si="8"/>
        <v>52870.58</v>
      </c>
      <c r="R180" s="56"/>
    </row>
    <row r="181" ht="20" customHeight="1" spans="2:18">
      <c r="B181" s="42">
        <v>3</v>
      </c>
      <c r="C181" s="42">
        <v>12</v>
      </c>
      <c r="D181" s="42"/>
      <c r="E181" s="97" t="s">
        <v>2583</v>
      </c>
      <c r="F181" s="97" t="s">
        <v>2721</v>
      </c>
      <c r="G181" s="42">
        <v>2984</v>
      </c>
      <c r="H181" s="56">
        <v>373</v>
      </c>
      <c r="I181" s="56">
        <v>27.6</v>
      </c>
      <c r="J181" s="56"/>
      <c r="K181" s="56"/>
      <c r="L181" s="56"/>
      <c r="M181" s="56"/>
      <c r="N181" s="56"/>
      <c r="O181" s="56">
        <f t="shared" si="7"/>
        <v>3384.6</v>
      </c>
      <c r="P181" s="56"/>
      <c r="Q181" s="58">
        <f t="shared" si="8"/>
        <v>56255.18</v>
      </c>
      <c r="R181" s="56"/>
    </row>
    <row r="182" ht="20" customHeight="1" spans="2:18">
      <c r="B182" s="42">
        <v>3</v>
      </c>
      <c r="C182" s="42">
        <v>12</v>
      </c>
      <c r="D182" s="42"/>
      <c r="E182" s="97" t="s">
        <v>2583</v>
      </c>
      <c r="F182" s="97" t="s">
        <v>2722</v>
      </c>
      <c r="G182" s="42">
        <v>2256</v>
      </c>
      <c r="H182" s="56">
        <v>282</v>
      </c>
      <c r="I182" s="56">
        <v>18.27</v>
      </c>
      <c r="J182" s="56"/>
      <c r="K182" s="56"/>
      <c r="L182" s="56"/>
      <c r="M182" s="56"/>
      <c r="N182" s="56"/>
      <c r="O182" s="56">
        <f t="shared" si="7"/>
        <v>2556.27</v>
      </c>
      <c r="P182" s="56"/>
      <c r="Q182" s="58">
        <f t="shared" si="8"/>
        <v>58811.45</v>
      </c>
      <c r="R182" s="56"/>
    </row>
    <row r="183" ht="20" customHeight="1" spans="2:18">
      <c r="B183" s="42">
        <v>3</v>
      </c>
      <c r="C183" s="42">
        <v>12</v>
      </c>
      <c r="D183" s="42"/>
      <c r="E183" s="97" t="s">
        <v>2583</v>
      </c>
      <c r="F183" s="97" t="s">
        <v>2723</v>
      </c>
      <c r="G183" s="42">
        <v>2256</v>
      </c>
      <c r="H183" s="56">
        <v>282</v>
      </c>
      <c r="I183" s="56">
        <v>26.87</v>
      </c>
      <c r="J183" s="56"/>
      <c r="K183" s="56"/>
      <c r="L183" s="56"/>
      <c r="M183" s="56"/>
      <c r="N183" s="56"/>
      <c r="O183" s="56">
        <f t="shared" si="7"/>
        <v>2564.87</v>
      </c>
      <c r="P183" s="56"/>
      <c r="Q183" s="58">
        <f t="shared" si="8"/>
        <v>61376.32</v>
      </c>
      <c r="R183" s="56"/>
    </row>
    <row r="184" ht="20" customHeight="1" spans="2:18">
      <c r="B184" s="42">
        <v>3</v>
      </c>
      <c r="C184" s="42">
        <v>13</v>
      </c>
      <c r="D184" s="42"/>
      <c r="E184" s="97" t="s">
        <v>2513</v>
      </c>
      <c r="F184" s="118" t="s">
        <v>2724</v>
      </c>
      <c r="G184" s="42"/>
      <c r="H184" s="56"/>
      <c r="I184" s="56">
        <v>50</v>
      </c>
      <c r="J184" s="56"/>
      <c r="K184" s="56"/>
      <c r="L184" s="56"/>
      <c r="M184" s="56"/>
      <c r="N184" s="56">
        <f>I184*0.005</f>
        <v>0.25</v>
      </c>
      <c r="O184" s="56">
        <f t="shared" si="7"/>
        <v>49.75</v>
      </c>
      <c r="P184" s="56"/>
      <c r="Q184" s="58">
        <f t="shared" si="8"/>
        <v>61426.07</v>
      </c>
      <c r="R184" s="56"/>
    </row>
    <row r="185" ht="20" customHeight="1" spans="2:18">
      <c r="B185" s="42">
        <v>3</v>
      </c>
      <c r="C185" s="42">
        <v>13</v>
      </c>
      <c r="D185" s="42"/>
      <c r="E185" s="97" t="s">
        <v>2725</v>
      </c>
      <c r="F185" s="97" t="s">
        <v>2726</v>
      </c>
      <c r="G185" s="42"/>
      <c r="H185" s="56"/>
      <c r="I185" s="56">
        <v>95.22</v>
      </c>
      <c r="J185" s="56"/>
      <c r="K185" s="56"/>
      <c r="L185" s="56"/>
      <c r="M185" s="56"/>
      <c r="N185" s="56"/>
      <c r="O185" s="56">
        <f t="shared" si="7"/>
        <v>95.22</v>
      </c>
      <c r="P185" s="56"/>
      <c r="Q185" s="58">
        <f t="shared" si="8"/>
        <v>61521.29</v>
      </c>
      <c r="R185" s="56"/>
    </row>
    <row r="186" ht="20" customHeight="1" spans="2:18">
      <c r="B186" s="42">
        <v>3</v>
      </c>
      <c r="C186" s="42">
        <v>13</v>
      </c>
      <c r="D186" s="42"/>
      <c r="E186" s="97" t="s">
        <v>2624</v>
      </c>
      <c r="F186" s="97" t="s">
        <v>2727</v>
      </c>
      <c r="G186" s="42"/>
      <c r="H186" s="56"/>
      <c r="I186" s="56">
        <v>50.73</v>
      </c>
      <c r="J186" s="56"/>
      <c r="K186" s="56"/>
      <c r="L186" s="56"/>
      <c r="M186" s="56"/>
      <c r="N186" s="56"/>
      <c r="O186" s="56">
        <f t="shared" si="7"/>
        <v>50.73</v>
      </c>
      <c r="P186" s="56"/>
      <c r="Q186" s="58">
        <f t="shared" si="8"/>
        <v>61572.02</v>
      </c>
      <c r="R186" s="56"/>
    </row>
    <row r="187" ht="20" customHeight="1" spans="2:18">
      <c r="B187" s="42">
        <v>3</v>
      </c>
      <c r="C187" s="42">
        <v>14</v>
      </c>
      <c r="D187" s="42"/>
      <c r="E187" s="97" t="s">
        <v>2626</v>
      </c>
      <c r="F187" s="97" t="s">
        <v>2642</v>
      </c>
      <c r="G187" s="42">
        <v>4262.5</v>
      </c>
      <c r="H187" s="56">
        <v>437.5</v>
      </c>
      <c r="I187" s="56"/>
      <c r="J187" s="56"/>
      <c r="K187" s="56"/>
      <c r="L187" s="56"/>
      <c r="M187" s="56"/>
      <c r="N187" s="56"/>
      <c r="O187" s="56">
        <f t="shared" si="7"/>
        <v>4700</v>
      </c>
      <c r="P187" s="56"/>
      <c r="Q187" s="58">
        <f t="shared" si="8"/>
        <v>66272.02</v>
      </c>
      <c r="R187" s="56"/>
    </row>
    <row r="188" ht="20" customHeight="1" spans="2:18">
      <c r="B188" s="42">
        <v>3</v>
      </c>
      <c r="C188" s="42">
        <v>16</v>
      </c>
      <c r="D188" s="42"/>
      <c r="E188" s="97" t="s">
        <v>2513</v>
      </c>
      <c r="F188" s="118" t="s">
        <v>2728</v>
      </c>
      <c r="G188" s="42"/>
      <c r="H188" s="56"/>
      <c r="I188" s="56">
        <v>2700</v>
      </c>
      <c r="J188" s="56"/>
      <c r="K188" s="56"/>
      <c r="L188" s="56"/>
      <c r="M188" s="56"/>
      <c r="N188" s="56">
        <f>I188*0.005</f>
        <v>13.5</v>
      </c>
      <c r="O188" s="56">
        <f t="shared" si="7"/>
        <v>2686.5</v>
      </c>
      <c r="P188" s="56"/>
      <c r="Q188" s="58">
        <f t="shared" si="8"/>
        <v>68958.52</v>
      </c>
      <c r="R188" s="56"/>
    </row>
    <row r="189" ht="20" customHeight="1" spans="2:18">
      <c r="B189" s="42">
        <v>3</v>
      </c>
      <c r="C189" s="42">
        <v>16</v>
      </c>
      <c r="D189" s="42"/>
      <c r="E189" s="104"/>
      <c r="F189" s="97" t="s">
        <v>2729</v>
      </c>
      <c r="G189" s="42"/>
      <c r="H189" s="56"/>
      <c r="I189" s="56"/>
      <c r="J189" s="56"/>
      <c r="K189" s="56">
        <v>240</v>
      </c>
      <c r="L189" s="56"/>
      <c r="M189" s="56"/>
      <c r="N189" s="56">
        <v>1.42</v>
      </c>
      <c r="O189" s="56">
        <f t="shared" si="7"/>
        <v>238.58</v>
      </c>
      <c r="P189" s="56"/>
      <c r="Q189" s="58">
        <f t="shared" si="8"/>
        <v>69197.1</v>
      </c>
      <c r="R189" s="119" t="s">
        <v>669</v>
      </c>
    </row>
    <row r="190" ht="20" customHeight="1" spans="2:18">
      <c r="B190" s="42">
        <v>3</v>
      </c>
      <c r="C190" s="42">
        <v>16</v>
      </c>
      <c r="D190" s="42"/>
      <c r="E190" s="104"/>
      <c r="F190" s="97" t="s">
        <v>2730</v>
      </c>
      <c r="G190" s="42"/>
      <c r="H190" s="56"/>
      <c r="I190" s="56"/>
      <c r="J190" s="56"/>
      <c r="K190" s="56">
        <v>500</v>
      </c>
      <c r="L190" s="56"/>
      <c r="M190" s="56"/>
      <c r="N190" s="56"/>
      <c r="O190" s="56">
        <f t="shared" si="7"/>
        <v>500</v>
      </c>
      <c r="P190" s="56"/>
      <c r="Q190" s="58">
        <f t="shared" si="8"/>
        <v>69697.1</v>
      </c>
      <c r="R190" s="119" t="s">
        <v>669</v>
      </c>
    </row>
    <row r="191" ht="20" customHeight="1" spans="2:18">
      <c r="B191" s="42">
        <v>3</v>
      </c>
      <c r="C191" s="42">
        <v>16</v>
      </c>
      <c r="D191" s="42"/>
      <c r="E191" s="104"/>
      <c r="F191" s="97" t="s">
        <v>2731</v>
      </c>
      <c r="G191" s="42"/>
      <c r="H191" s="56"/>
      <c r="I191" s="56"/>
      <c r="J191" s="56"/>
      <c r="K191" s="56">
        <v>240</v>
      </c>
      <c r="L191" s="56"/>
      <c r="M191" s="56"/>
      <c r="N191" s="56"/>
      <c r="O191" s="56">
        <f t="shared" si="7"/>
        <v>240</v>
      </c>
      <c r="P191" s="56"/>
      <c r="Q191" s="58">
        <f t="shared" si="8"/>
        <v>69937.1</v>
      </c>
      <c r="R191" s="119" t="s">
        <v>669</v>
      </c>
    </row>
    <row r="192" ht="20" customHeight="1" spans="2:18">
      <c r="B192" s="42">
        <v>3</v>
      </c>
      <c r="C192" s="42">
        <v>16</v>
      </c>
      <c r="D192" s="42"/>
      <c r="E192" s="104"/>
      <c r="F192" s="97" t="s">
        <v>2732</v>
      </c>
      <c r="G192" s="42"/>
      <c r="H192" s="56"/>
      <c r="I192" s="56"/>
      <c r="J192" s="56"/>
      <c r="K192" s="56">
        <v>240</v>
      </c>
      <c r="L192" s="56"/>
      <c r="M192" s="56"/>
      <c r="N192" s="56"/>
      <c r="O192" s="56">
        <f t="shared" si="7"/>
        <v>240</v>
      </c>
      <c r="P192" s="56"/>
      <c r="Q192" s="58">
        <f t="shared" si="8"/>
        <v>70177.1</v>
      </c>
      <c r="R192" s="119" t="s">
        <v>669</v>
      </c>
    </row>
    <row r="193" ht="20" customHeight="1" spans="2:18">
      <c r="B193" s="42">
        <v>3</v>
      </c>
      <c r="C193" s="42">
        <v>16</v>
      </c>
      <c r="D193" s="42"/>
      <c r="E193" s="104"/>
      <c r="F193" s="97" t="s">
        <v>2733</v>
      </c>
      <c r="G193" s="42"/>
      <c r="H193" s="56"/>
      <c r="I193" s="56"/>
      <c r="J193" s="56"/>
      <c r="K193" s="56">
        <v>200</v>
      </c>
      <c r="L193" s="56"/>
      <c r="M193" s="56"/>
      <c r="N193" s="56"/>
      <c r="O193" s="56">
        <f t="shared" si="7"/>
        <v>200</v>
      </c>
      <c r="P193" s="56"/>
      <c r="Q193" s="58">
        <f t="shared" si="8"/>
        <v>70377.1</v>
      </c>
      <c r="R193" s="119" t="s">
        <v>669</v>
      </c>
    </row>
    <row r="194" ht="20" customHeight="1" spans="2:18">
      <c r="B194" s="42">
        <v>3</v>
      </c>
      <c r="C194" s="42">
        <v>16</v>
      </c>
      <c r="D194" s="74" t="s">
        <v>92</v>
      </c>
      <c r="E194" s="97" t="s">
        <v>251</v>
      </c>
      <c r="F194" s="97" t="s">
        <v>2734</v>
      </c>
      <c r="G194" s="56"/>
      <c r="H194" s="56"/>
      <c r="I194" s="56"/>
      <c r="J194" s="56"/>
      <c r="K194" s="56"/>
      <c r="L194" s="56"/>
      <c r="M194" s="56"/>
      <c r="N194" s="56"/>
      <c r="O194" s="56">
        <f t="shared" si="7"/>
        <v>0</v>
      </c>
      <c r="P194" s="55">
        <v>15665.01</v>
      </c>
      <c r="Q194" s="58">
        <f t="shared" si="8"/>
        <v>54712.09</v>
      </c>
      <c r="R194" s="56"/>
    </row>
    <row r="195" ht="20" customHeight="1" spans="2:18">
      <c r="B195" s="42">
        <v>3</v>
      </c>
      <c r="C195" s="42">
        <v>16</v>
      </c>
      <c r="D195" s="74" t="s">
        <v>93</v>
      </c>
      <c r="E195" s="97" t="s">
        <v>251</v>
      </c>
      <c r="F195" s="97" t="s">
        <v>2735</v>
      </c>
      <c r="G195" s="56"/>
      <c r="H195" s="56"/>
      <c r="I195" s="56"/>
      <c r="J195" s="56"/>
      <c r="K195" s="56"/>
      <c r="L195" s="56"/>
      <c r="M195" s="56"/>
      <c r="N195" s="56"/>
      <c r="O195" s="56"/>
      <c r="P195" s="55">
        <v>4599.99</v>
      </c>
      <c r="Q195" s="58">
        <f t="shared" si="8"/>
        <v>50112.1</v>
      </c>
      <c r="R195" s="56"/>
    </row>
    <row r="196" ht="20" customHeight="1" spans="2:18">
      <c r="B196" s="42">
        <v>3</v>
      </c>
      <c r="C196" s="42">
        <v>16</v>
      </c>
      <c r="D196" s="74" t="s">
        <v>92</v>
      </c>
      <c r="E196" s="104" t="s">
        <v>178</v>
      </c>
      <c r="F196" s="97" t="s">
        <v>2736</v>
      </c>
      <c r="G196" s="56"/>
      <c r="H196" s="56"/>
      <c r="I196" s="56"/>
      <c r="J196" s="56"/>
      <c r="K196" s="56"/>
      <c r="L196" s="56"/>
      <c r="M196" s="56"/>
      <c r="N196" s="56"/>
      <c r="O196" s="56">
        <f>SUM(G196:M196)-N196</f>
        <v>0</v>
      </c>
      <c r="P196" s="55">
        <v>2500</v>
      </c>
      <c r="Q196" s="58">
        <f t="shared" si="8"/>
        <v>47612.1</v>
      </c>
      <c r="R196" s="56"/>
    </row>
    <row r="197" ht="20" customHeight="1" spans="2:18">
      <c r="B197" s="42">
        <v>3</v>
      </c>
      <c r="C197" s="42">
        <v>16</v>
      </c>
      <c r="D197" s="74" t="s">
        <v>100</v>
      </c>
      <c r="E197" s="97" t="s">
        <v>291</v>
      </c>
      <c r="F197" s="97" t="s">
        <v>2737</v>
      </c>
      <c r="G197" s="56"/>
      <c r="H197" s="56"/>
      <c r="I197" s="56"/>
      <c r="J197" s="56"/>
      <c r="K197" s="56"/>
      <c r="L197" s="56"/>
      <c r="M197" s="56"/>
      <c r="N197" s="56"/>
      <c r="O197" s="56">
        <f>SUM(G197:M197)-N197</f>
        <v>0</v>
      </c>
      <c r="P197" s="55">
        <v>339.74</v>
      </c>
      <c r="Q197" s="58">
        <f t="shared" si="8"/>
        <v>47272.3600000001</v>
      </c>
      <c r="R197" s="56"/>
    </row>
    <row r="198" ht="20" customHeight="1" spans="2:18">
      <c r="B198" s="42">
        <v>3</v>
      </c>
      <c r="C198" s="42">
        <v>16</v>
      </c>
      <c r="D198" s="42" t="s">
        <v>101</v>
      </c>
      <c r="E198" s="97" t="s">
        <v>291</v>
      </c>
      <c r="F198" s="97" t="s">
        <v>2738</v>
      </c>
      <c r="G198" s="56"/>
      <c r="H198" s="56"/>
      <c r="I198" s="56"/>
      <c r="J198" s="56"/>
      <c r="K198" s="56"/>
      <c r="L198" s="56"/>
      <c r="M198" s="56"/>
      <c r="N198" s="56"/>
      <c r="O198" s="56">
        <f>SUM(G198:M198)-N198</f>
        <v>0</v>
      </c>
      <c r="P198" s="55">
        <v>155</v>
      </c>
      <c r="Q198" s="58">
        <f t="shared" si="8"/>
        <v>47117.3600000001</v>
      </c>
      <c r="R198" s="56"/>
    </row>
    <row r="199" ht="20" customHeight="1" spans="2:18">
      <c r="B199" s="42">
        <v>3</v>
      </c>
      <c r="C199" s="42">
        <v>16</v>
      </c>
      <c r="D199" s="74" t="s">
        <v>100</v>
      </c>
      <c r="E199" s="97" t="s">
        <v>291</v>
      </c>
      <c r="F199" s="97" t="s">
        <v>2739</v>
      </c>
      <c r="G199" s="56"/>
      <c r="H199" s="56"/>
      <c r="I199" s="56"/>
      <c r="J199" s="56"/>
      <c r="K199" s="56"/>
      <c r="L199" s="56"/>
      <c r="M199" s="56"/>
      <c r="N199" s="56"/>
      <c r="O199" s="56"/>
      <c r="P199" s="55">
        <v>650</v>
      </c>
      <c r="Q199" s="58">
        <f t="shared" si="8"/>
        <v>46467.3600000001</v>
      </c>
      <c r="R199" s="56"/>
    </row>
    <row r="200" ht="20" customHeight="1" spans="2:18">
      <c r="B200" s="42">
        <v>3</v>
      </c>
      <c r="C200" s="42">
        <v>16</v>
      </c>
      <c r="D200" s="74" t="s">
        <v>100</v>
      </c>
      <c r="E200" s="97" t="s">
        <v>291</v>
      </c>
      <c r="F200" s="97" t="s">
        <v>2740</v>
      </c>
      <c r="G200" s="56"/>
      <c r="H200" s="56"/>
      <c r="I200" s="56"/>
      <c r="J200" s="56"/>
      <c r="K200" s="56"/>
      <c r="L200" s="56"/>
      <c r="M200" s="56"/>
      <c r="N200" s="56"/>
      <c r="O200" s="56"/>
      <c r="P200" s="55">
        <v>1741.5</v>
      </c>
      <c r="Q200" s="58">
        <f t="shared" si="8"/>
        <v>44725.8600000001</v>
      </c>
      <c r="R200" s="56"/>
    </row>
    <row r="201" ht="20" customHeight="1" spans="2:18">
      <c r="B201" s="42">
        <v>3</v>
      </c>
      <c r="C201" s="42">
        <v>16</v>
      </c>
      <c r="D201" s="42" t="s">
        <v>129</v>
      </c>
      <c r="E201" s="97" t="s">
        <v>291</v>
      </c>
      <c r="F201" s="97" t="s">
        <v>2741</v>
      </c>
      <c r="G201" s="56"/>
      <c r="H201" s="56"/>
      <c r="I201" s="56"/>
      <c r="J201" s="56"/>
      <c r="K201" s="56"/>
      <c r="L201" s="56"/>
      <c r="M201" s="56"/>
      <c r="N201" s="56"/>
      <c r="O201" s="56"/>
      <c r="P201" s="55">
        <v>115</v>
      </c>
      <c r="Q201" s="58">
        <f t="shared" si="8"/>
        <v>44610.8600000001</v>
      </c>
      <c r="R201" s="56"/>
    </row>
    <row r="202" ht="20" customHeight="1" spans="2:18">
      <c r="B202" s="42">
        <v>3</v>
      </c>
      <c r="C202" s="42">
        <v>16</v>
      </c>
      <c r="D202" s="74" t="s">
        <v>100</v>
      </c>
      <c r="E202" s="97" t="s">
        <v>291</v>
      </c>
      <c r="F202" s="97" t="s">
        <v>2742</v>
      </c>
      <c r="G202" s="56"/>
      <c r="H202" s="56"/>
      <c r="I202" s="56"/>
      <c r="J202" s="56"/>
      <c r="K202" s="56"/>
      <c r="L202" s="56"/>
      <c r="M202" s="56"/>
      <c r="N202" s="56"/>
      <c r="O202" s="56"/>
      <c r="P202" s="55">
        <v>93</v>
      </c>
      <c r="Q202" s="58">
        <f t="shared" si="8"/>
        <v>44517.8600000001</v>
      </c>
      <c r="R202" s="56"/>
    </row>
    <row r="203" ht="20" customHeight="1" spans="2:18">
      <c r="B203" s="42">
        <v>3</v>
      </c>
      <c r="C203" s="42">
        <v>16</v>
      </c>
      <c r="D203" s="74" t="s">
        <v>100</v>
      </c>
      <c r="E203" s="97" t="s">
        <v>291</v>
      </c>
      <c r="F203" s="97" t="s">
        <v>2743</v>
      </c>
      <c r="G203" s="56"/>
      <c r="H203" s="56"/>
      <c r="I203" s="56"/>
      <c r="J203" s="56"/>
      <c r="K203" s="56"/>
      <c r="L203" s="56"/>
      <c r="M203" s="56"/>
      <c r="N203" s="56"/>
      <c r="O203" s="56"/>
      <c r="P203" s="55">
        <v>377.55</v>
      </c>
      <c r="Q203" s="58">
        <f t="shared" si="8"/>
        <v>44140.31</v>
      </c>
      <c r="R203" s="56"/>
    </row>
    <row r="204" ht="20" customHeight="1" spans="2:18">
      <c r="B204" s="42">
        <v>3</v>
      </c>
      <c r="C204" s="42">
        <v>16</v>
      </c>
      <c r="D204" s="42" t="s">
        <v>129</v>
      </c>
      <c r="E204" s="97" t="s">
        <v>291</v>
      </c>
      <c r="F204" s="97" t="s">
        <v>2744</v>
      </c>
      <c r="G204" s="56"/>
      <c r="H204" s="56"/>
      <c r="I204" s="56"/>
      <c r="J204" s="56"/>
      <c r="K204" s="56"/>
      <c r="L204" s="56"/>
      <c r="M204" s="56"/>
      <c r="N204" s="56"/>
      <c r="O204" s="56"/>
      <c r="P204" s="55">
        <v>98</v>
      </c>
      <c r="Q204" s="58">
        <f t="shared" si="8"/>
        <v>44042.31</v>
      </c>
      <c r="R204" s="56"/>
    </row>
    <row r="205" ht="20" customHeight="1" spans="2:18">
      <c r="B205" s="42">
        <v>3</v>
      </c>
      <c r="C205" s="42">
        <v>16</v>
      </c>
      <c r="D205" s="42" t="s">
        <v>129</v>
      </c>
      <c r="E205" s="97" t="s">
        <v>291</v>
      </c>
      <c r="F205" s="97" t="s">
        <v>2745</v>
      </c>
      <c r="G205" s="56"/>
      <c r="H205" s="56"/>
      <c r="I205" s="56"/>
      <c r="J205" s="56"/>
      <c r="K205" s="56"/>
      <c r="L205" s="56"/>
      <c r="M205" s="56"/>
      <c r="N205" s="56"/>
      <c r="O205" s="56"/>
      <c r="P205" s="55">
        <v>261</v>
      </c>
      <c r="Q205" s="58">
        <f t="shared" si="8"/>
        <v>43781.31</v>
      </c>
      <c r="R205" s="56"/>
    </row>
    <row r="206" ht="20" customHeight="1" spans="2:18">
      <c r="B206" s="42">
        <v>3</v>
      </c>
      <c r="C206" s="42">
        <v>16</v>
      </c>
      <c r="D206" s="42" t="s">
        <v>101</v>
      </c>
      <c r="E206" s="97" t="s">
        <v>291</v>
      </c>
      <c r="F206" s="97" t="s">
        <v>2746</v>
      </c>
      <c r="G206" s="56"/>
      <c r="H206" s="56"/>
      <c r="I206" s="56"/>
      <c r="J206" s="56"/>
      <c r="K206" s="56"/>
      <c r="L206" s="56"/>
      <c r="M206" s="56"/>
      <c r="N206" s="56"/>
      <c r="O206" s="56"/>
      <c r="P206" s="55">
        <v>626.45</v>
      </c>
      <c r="Q206" s="58">
        <f t="shared" si="8"/>
        <v>43154.8600000001</v>
      </c>
      <c r="R206" s="56"/>
    </row>
    <row r="207" ht="20" customHeight="1" spans="2:18">
      <c r="B207" s="42">
        <v>3</v>
      </c>
      <c r="C207" s="42">
        <v>16</v>
      </c>
      <c r="D207" s="42" t="s">
        <v>101</v>
      </c>
      <c r="E207" s="97" t="s">
        <v>291</v>
      </c>
      <c r="F207" s="97" t="s">
        <v>2747</v>
      </c>
      <c r="G207" s="56"/>
      <c r="H207" s="56"/>
      <c r="I207" s="56"/>
      <c r="J207" s="56"/>
      <c r="K207" s="56"/>
      <c r="L207" s="56"/>
      <c r="M207" s="56"/>
      <c r="N207" s="56"/>
      <c r="O207" s="56"/>
      <c r="P207" s="55">
        <v>1042</v>
      </c>
      <c r="Q207" s="58">
        <f t="shared" si="8"/>
        <v>42112.8600000001</v>
      </c>
      <c r="R207" s="56"/>
    </row>
    <row r="208" ht="20" customHeight="1" spans="2:18">
      <c r="B208" s="42">
        <v>3</v>
      </c>
      <c r="C208" s="42">
        <v>16</v>
      </c>
      <c r="D208" s="42" t="s">
        <v>101</v>
      </c>
      <c r="E208" s="97" t="s">
        <v>291</v>
      </c>
      <c r="F208" s="97" t="s">
        <v>2748</v>
      </c>
      <c r="G208" s="56"/>
      <c r="H208" s="56"/>
      <c r="I208" s="56"/>
      <c r="J208" s="56"/>
      <c r="K208" s="56"/>
      <c r="L208" s="56"/>
      <c r="M208" s="56"/>
      <c r="N208" s="56"/>
      <c r="O208" s="56"/>
      <c r="P208" s="55">
        <v>92.5</v>
      </c>
      <c r="Q208" s="58">
        <f t="shared" si="8"/>
        <v>42020.3600000001</v>
      </c>
      <c r="R208" s="56"/>
    </row>
    <row r="209" ht="20" customHeight="1" spans="2:18">
      <c r="B209" s="42">
        <v>3</v>
      </c>
      <c r="C209" s="42">
        <v>16</v>
      </c>
      <c r="D209" s="42" t="s">
        <v>101</v>
      </c>
      <c r="E209" s="97" t="s">
        <v>291</v>
      </c>
      <c r="F209" s="97" t="s">
        <v>2749</v>
      </c>
      <c r="G209" s="56"/>
      <c r="H209" s="56"/>
      <c r="I209" s="56"/>
      <c r="J209" s="56"/>
      <c r="K209" s="56"/>
      <c r="L209" s="56"/>
      <c r="M209" s="56"/>
      <c r="N209" s="56"/>
      <c r="O209" s="56"/>
      <c r="P209" s="55">
        <v>51</v>
      </c>
      <c r="Q209" s="58">
        <f t="shared" si="8"/>
        <v>41969.3600000001</v>
      </c>
      <c r="R209" s="56"/>
    </row>
    <row r="210" ht="20" customHeight="1" spans="2:18">
      <c r="B210" s="42">
        <v>3</v>
      </c>
      <c r="C210" s="42">
        <v>17</v>
      </c>
      <c r="D210" s="42"/>
      <c r="E210" s="97" t="s">
        <v>2513</v>
      </c>
      <c r="F210" s="118" t="s">
        <v>2750</v>
      </c>
      <c r="G210" s="56"/>
      <c r="H210" s="56"/>
      <c r="I210" s="56">
        <v>1100</v>
      </c>
      <c r="J210" s="56"/>
      <c r="K210" s="56"/>
      <c r="L210" s="56"/>
      <c r="M210" s="56"/>
      <c r="N210" s="56">
        <f>I210*0.005</f>
        <v>5.5</v>
      </c>
      <c r="O210" s="56">
        <f t="shared" ref="O210:O254" si="9">SUM(G210:M210)-N210</f>
        <v>1094.5</v>
      </c>
      <c r="P210" s="56"/>
      <c r="Q210" s="58">
        <f t="shared" si="8"/>
        <v>43063.8600000001</v>
      </c>
      <c r="R210" s="56"/>
    </row>
    <row r="211" ht="20" customHeight="1" spans="2:18">
      <c r="B211" s="42">
        <v>3</v>
      </c>
      <c r="C211" s="42">
        <v>17</v>
      </c>
      <c r="D211" s="42"/>
      <c r="E211" s="97" t="s">
        <v>2751</v>
      </c>
      <c r="F211" s="97" t="s">
        <v>2752</v>
      </c>
      <c r="G211" s="56"/>
      <c r="H211" s="56"/>
      <c r="I211" s="56"/>
      <c r="J211" s="56">
        <v>8550</v>
      </c>
      <c r="K211" s="56"/>
      <c r="L211" s="56"/>
      <c r="M211" s="56"/>
      <c r="N211" s="56"/>
      <c r="O211" s="56">
        <f t="shared" si="9"/>
        <v>8550</v>
      </c>
      <c r="P211" s="56"/>
      <c r="Q211" s="58">
        <f t="shared" si="8"/>
        <v>51613.8600000001</v>
      </c>
      <c r="R211" s="56"/>
    </row>
    <row r="212" ht="20" customHeight="1" spans="2:18">
      <c r="B212" s="42">
        <v>3</v>
      </c>
      <c r="C212" s="42">
        <v>17</v>
      </c>
      <c r="D212" s="42"/>
      <c r="E212" s="97" t="s">
        <v>2751</v>
      </c>
      <c r="F212" s="97" t="s">
        <v>2753</v>
      </c>
      <c r="G212" s="56">
        <v>3712.5</v>
      </c>
      <c r="H212" s="56">
        <v>562.5</v>
      </c>
      <c r="I212" s="56"/>
      <c r="J212" s="56"/>
      <c r="K212" s="56"/>
      <c r="L212" s="56"/>
      <c r="M212" s="56"/>
      <c r="N212" s="56"/>
      <c r="O212" s="56">
        <f t="shared" si="9"/>
        <v>4275</v>
      </c>
      <c r="P212" s="56"/>
      <c r="Q212" s="58">
        <f t="shared" si="8"/>
        <v>55888.8600000001</v>
      </c>
      <c r="R212" s="56"/>
    </row>
    <row r="213" ht="20" customHeight="1" spans="2:18">
      <c r="B213" s="42">
        <v>3</v>
      </c>
      <c r="C213" s="42">
        <v>17</v>
      </c>
      <c r="D213" s="42"/>
      <c r="E213" s="97" t="s">
        <v>2516</v>
      </c>
      <c r="F213" s="97" t="s">
        <v>2754</v>
      </c>
      <c r="G213" s="56"/>
      <c r="H213" s="56"/>
      <c r="I213" s="56"/>
      <c r="J213" s="56"/>
      <c r="K213" s="56">
        <v>515</v>
      </c>
      <c r="L213" s="56"/>
      <c r="M213" s="56"/>
      <c r="N213" s="56">
        <v>3.09</v>
      </c>
      <c r="O213" s="56">
        <f t="shared" si="9"/>
        <v>511.91</v>
      </c>
      <c r="P213" s="56"/>
      <c r="Q213" s="58">
        <f t="shared" si="8"/>
        <v>56400.7700000001</v>
      </c>
      <c r="R213" s="56"/>
    </row>
    <row r="214" ht="20" customHeight="1" spans="2:18">
      <c r="B214" s="42">
        <v>3</v>
      </c>
      <c r="C214" s="42">
        <v>18</v>
      </c>
      <c r="D214" s="42"/>
      <c r="E214" s="97" t="s">
        <v>2513</v>
      </c>
      <c r="F214" s="118" t="s">
        <v>2755</v>
      </c>
      <c r="G214" s="56"/>
      <c r="H214" s="56"/>
      <c r="I214" s="56">
        <v>700</v>
      </c>
      <c r="J214" s="56"/>
      <c r="K214" s="56"/>
      <c r="L214" s="56"/>
      <c r="M214" s="56"/>
      <c r="N214" s="56">
        <f>I214*0.005</f>
        <v>3.5</v>
      </c>
      <c r="O214" s="56">
        <f t="shared" si="9"/>
        <v>696.5</v>
      </c>
      <c r="P214" s="56"/>
      <c r="Q214" s="58">
        <f t="shared" si="8"/>
        <v>57097.2700000001</v>
      </c>
      <c r="R214" s="56"/>
    </row>
    <row r="215" ht="20" customHeight="1" spans="2:18">
      <c r="B215" s="42">
        <v>3</v>
      </c>
      <c r="C215" s="42">
        <v>18</v>
      </c>
      <c r="D215" s="42"/>
      <c r="E215" s="97" t="s">
        <v>2756</v>
      </c>
      <c r="F215" s="97" t="s">
        <v>2757</v>
      </c>
      <c r="G215" s="56"/>
      <c r="H215" s="56"/>
      <c r="I215" s="56">
        <v>80</v>
      </c>
      <c r="J215" s="56"/>
      <c r="K215" s="56"/>
      <c r="L215" s="56"/>
      <c r="M215" s="56"/>
      <c r="N215" s="56"/>
      <c r="O215" s="56">
        <f t="shared" si="9"/>
        <v>80</v>
      </c>
      <c r="P215" s="56"/>
      <c r="Q215" s="58">
        <f t="shared" si="8"/>
        <v>57177.2700000001</v>
      </c>
      <c r="R215" s="56"/>
    </row>
    <row r="216" ht="20" customHeight="1" spans="2:18">
      <c r="B216" s="42">
        <v>3</v>
      </c>
      <c r="C216" s="42">
        <v>19</v>
      </c>
      <c r="D216" s="42"/>
      <c r="E216" s="97" t="s">
        <v>2751</v>
      </c>
      <c r="F216" s="97" t="s">
        <v>2758</v>
      </c>
      <c r="G216" s="56"/>
      <c r="H216" s="56"/>
      <c r="I216" s="56">
        <v>177.06</v>
      </c>
      <c r="J216" s="56"/>
      <c r="K216" s="56"/>
      <c r="L216" s="56"/>
      <c r="M216" s="56"/>
      <c r="N216" s="56"/>
      <c r="O216" s="56">
        <f t="shared" si="9"/>
        <v>177.06</v>
      </c>
      <c r="P216" s="56"/>
      <c r="Q216" s="58">
        <f t="shared" si="8"/>
        <v>57354.3300000001</v>
      </c>
      <c r="R216" s="56"/>
    </row>
    <row r="217" ht="20" customHeight="1" spans="2:18">
      <c r="B217" s="42">
        <v>3</v>
      </c>
      <c r="C217" s="42">
        <v>19</v>
      </c>
      <c r="D217" s="42"/>
      <c r="E217" s="97" t="s">
        <v>2513</v>
      </c>
      <c r="F217" s="118" t="s">
        <v>2759</v>
      </c>
      <c r="G217" s="56"/>
      <c r="H217" s="56"/>
      <c r="I217" s="56">
        <v>600</v>
      </c>
      <c r="J217" s="56"/>
      <c r="K217" s="56"/>
      <c r="L217" s="56"/>
      <c r="M217" s="56"/>
      <c r="N217" s="56">
        <f>I217*0.005</f>
        <v>3</v>
      </c>
      <c r="O217" s="56">
        <f t="shared" si="9"/>
        <v>597</v>
      </c>
      <c r="P217" s="56"/>
      <c r="Q217" s="58">
        <f t="shared" si="8"/>
        <v>57951.3300000001</v>
      </c>
      <c r="R217" s="56"/>
    </row>
    <row r="218" ht="20" customHeight="1" spans="2:18">
      <c r="B218" s="42">
        <v>3</v>
      </c>
      <c r="C218" s="42">
        <v>20</v>
      </c>
      <c r="D218" s="42"/>
      <c r="E218" s="97" t="s">
        <v>2663</v>
      </c>
      <c r="F218" s="97" t="s">
        <v>2760</v>
      </c>
      <c r="G218" s="56">
        <v>3948</v>
      </c>
      <c r="H218" s="56">
        <v>620</v>
      </c>
      <c r="I218" s="56"/>
      <c r="J218" s="56"/>
      <c r="K218" s="56"/>
      <c r="L218" s="56"/>
      <c r="M218" s="56"/>
      <c r="N218" s="56"/>
      <c r="O218" s="56">
        <f t="shared" si="9"/>
        <v>4568</v>
      </c>
      <c r="P218" s="56"/>
      <c r="Q218" s="58">
        <f t="shared" si="8"/>
        <v>62519.3300000001</v>
      </c>
      <c r="R218" s="56"/>
    </row>
    <row r="219" ht="20" customHeight="1" spans="2:18">
      <c r="B219" s="42">
        <v>3</v>
      </c>
      <c r="C219" s="42">
        <v>20</v>
      </c>
      <c r="D219" s="42"/>
      <c r="E219" s="97" t="s">
        <v>2513</v>
      </c>
      <c r="F219" s="118" t="s">
        <v>2761</v>
      </c>
      <c r="G219" s="56"/>
      <c r="H219" s="56"/>
      <c r="I219" s="56">
        <v>560</v>
      </c>
      <c r="J219" s="56"/>
      <c r="K219" s="56"/>
      <c r="L219" s="56"/>
      <c r="M219" s="56"/>
      <c r="N219" s="56">
        <f>I219*0.005</f>
        <v>2.8</v>
      </c>
      <c r="O219" s="56">
        <f t="shared" si="9"/>
        <v>557.2</v>
      </c>
      <c r="P219" s="56"/>
      <c r="Q219" s="58">
        <f t="shared" ref="Q219:Q254" si="10">Q218+O219-P219</f>
        <v>63076.53</v>
      </c>
      <c r="R219" s="56"/>
    </row>
    <row r="220" ht="20" customHeight="1" spans="2:18">
      <c r="B220" s="42">
        <v>3</v>
      </c>
      <c r="C220" s="42">
        <v>21</v>
      </c>
      <c r="D220" s="42"/>
      <c r="E220" s="97" t="s">
        <v>2559</v>
      </c>
      <c r="F220" s="97" t="s">
        <v>2762</v>
      </c>
      <c r="G220" s="56">
        <v>2611</v>
      </c>
      <c r="H220" s="56">
        <v>373</v>
      </c>
      <c r="I220" s="56">
        <v>19.85</v>
      </c>
      <c r="J220" s="56"/>
      <c r="K220" s="56"/>
      <c r="L220" s="56"/>
      <c r="M220" s="56"/>
      <c r="N220" s="56"/>
      <c r="O220" s="56">
        <f t="shared" si="9"/>
        <v>3003.85</v>
      </c>
      <c r="P220" s="56"/>
      <c r="Q220" s="58">
        <f t="shared" si="10"/>
        <v>66080.38</v>
      </c>
      <c r="R220" s="56"/>
    </row>
    <row r="221" ht="20" customHeight="1" spans="2:18">
      <c r="B221" s="42">
        <v>3</v>
      </c>
      <c r="C221" s="42">
        <v>23</v>
      </c>
      <c r="D221" s="42"/>
      <c r="E221" s="104" t="s">
        <v>2763</v>
      </c>
      <c r="F221" s="97" t="s">
        <v>29</v>
      </c>
      <c r="G221" s="56"/>
      <c r="H221" s="56"/>
      <c r="I221" s="56"/>
      <c r="J221" s="56"/>
      <c r="K221" s="56"/>
      <c r="L221" s="56"/>
      <c r="M221" s="56">
        <v>7.52</v>
      </c>
      <c r="N221" s="56"/>
      <c r="O221" s="56">
        <f t="shared" si="9"/>
        <v>7.52</v>
      </c>
      <c r="P221" s="56"/>
      <c r="Q221" s="58">
        <f t="shared" si="10"/>
        <v>66087.9000000001</v>
      </c>
      <c r="R221" s="56"/>
    </row>
    <row r="222" ht="20" customHeight="1" spans="2:18">
      <c r="B222" s="42">
        <v>3</v>
      </c>
      <c r="C222" s="42">
        <v>23</v>
      </c>
      <c r="D222" s="42"/>
      <c r="E222" s="97" t="s">
        <v>2513</v>
      </c>
      <c r="F222" s="118" t="s">
        <v>2764</v>
      </c>
      <c r="G222" s="56"/>
      <c r="H222" s="56"/>
      <c r="I222" s="56">
        <v>1230</v>
      </c>
      <c r="J222" s="56"/>
      <c r="K222" s="56"/>
      <c r="L222" s="56"/>
      <c r="M222" s="56"/>
      <c r="N222" s="56">
        <f>I222*0.005</f>
        <v>6.15</v>
      </c>
      <c r="O222" s="56">
        <f t="shared" si="9"/>
        <v>1223.85</v>
      </c>
      <c r="P222" s="56"/>
      <c r="Q222" s="58">
        <f t="shared" si="10"/>
        <v>67311.7500000001</v>
      </c>
      <c r="R222" s="56"/>
    </row>
    <row r="223" ht="20" customHeight="1" spans="2:18">
      <c r="B223" s="42">
        <v>3</v>
      </c>
      <c r="C223" s="42">
        <v>23</v>
      </c>
      <c r="D223" s="42"/>
      <c r="E223" s="97" t="s">
        <v>2609</v>
      </c>
      <c r="F223" s="97" t="s">
        <v>2765</v>
      </c>
      <c r="G223" s="56"/>
      <c r="H223" s="56"/>
      <c r="I223" s="56">
        <v>8.5</v>
      </c>
      <c r="J223" s="56"/>
      <c r="K223" s="56"/>
      <c r="L223" s="56"/>
      <c r="M223" s="56"/>
      <c r="N223" s="56">
        <v>1.65</v>
      </c>
      <c r="O223" s="56">
        <f t="shared" si="9"/>
        <v>6.85</v>
      </c>
      <c r="P223" s="56"/>
      <c r="Q223" s="58">
        <f t="shared" si="10"/>
        <v>67318.6000000001</v>
      </c>
      <c r="R223" s="119" t="s">
        <v>669</v>
      </c>
    </row>
    <row r="224" ht="20" customHeight="1" spans="2:18">
      <c r="B224" s="42">
        <v>3</v>
      </c>
      <c r="C224" s="42">
        <v>23</v>
      </c>
      <c r="D224" s="42"/>
      <c r="E224" s="104"/>
      <c r="F224" s="97" t="s">
        <v>2766</v>
      </c>
      <c r="G224" s="56"/>
      <c r="H224" s="56"/>
      <c r="I224" s="56"/>
      <c r="J224" s="56"/>
      <c r="K224" s="56">
        <v>300</v>
      </c>
      <c r="L224" s="56"/>
      <c r="M224" s="56"/>
      <c r="N224" s="56"/>
      <c r="O224" s="56">
        <f t="shared" si="9"/>
        <v>300</v>
      </c>
      <c r="P224" s="56"/>
      <c r="Q224" s="58">
        <f t="shared" si="10"/>
        <v>67618.6000000001</v>
      </c>
      <c r="R224" s="119" t="s">
        <v>669</v>
      </c>
    </row>
    <row r="225" ht="20" customHeight="1" spans="2:18">
      <c r="B225" s="42">
        <v>3</v>
      </c>
      <c r="C225" s="42">
        <v>23</v>
      </c>
      <c r="D225" s="42"/>
      <c r="E225" s="104"/>
      <c r="F225" s="97" t="s">
        <v>2767</v>
      </c>
      <c r="G225" s="56"/>
      <c r="H225" s="56"/>
      <c r="I225" s="56"/>
      <c r="J225" s="56"/>
      <c r="K225" s="56">
        <v>300</v>
      </c>
      <c r="L225" s="56"/>
      <c r="M225" s="56"/>
      <c r="N225" s="56"/>
      <c r="O225" s="56">
        <f t="shared" si="9"/>
        <v>300</v>
      </c>
      <c r="P225" s="56"/>
      <c r="Q225" s="58">
        <f t="shared" si="10"/>
        <v>67918.6000000001</v>
      </c>
      <c r="R225" s="119" t="s">
        <v>669</v>
      </c>
    </row>
    <row r="226" ht="20" customHeight="1" spans="2:18">
      <c r="B226" s="42">
        <v>3</v>
      </c>
      <c r="C226" s="42">
        <v>23</v>
      </c>
      <c r="D226" s="42"/>
      <c r="E226" s="104"/>
      <c r="F226" s="97" t="s">
        <v>2768</v>
      </c>
      <c r="G226" s="56"/>
      <c r="H226" s="56"/>
      <c r="I226" s="56"/>
      <c r="J226" s="56"/>
      <c r="K226" s="56">
        <v>240</v>
      </c>
      <c r="L226" s="56"/>
      <c r="M226" s="56"/>
      <c r="N226" s="56"/>
      <c r="O226" s="56">
        <f t="shared" si="9"/>
        <v>240</v>
      </c>
      <c r="P226" s="56"/>
      <c r="Q226" s="58">
        <f t="shared" si="10"/>
        <v>68158.6000000001</v>
      </c>
      <c r="R226" s="119" t="s">
        <v>669</v>
      </c>
    </row>
    <row r="227" ht="20" customHeight="1" spans="2:18">
      <c r="B227" s="42">
        <v>3</v>
      </c>
      <c r="C227" s="42">
        <v>23</v>
      </c>
      <c r="D227" s="42"/>
      <c r="E227" s="104"/>
      <c r="F227" s="97" t="s">
        <v>2769</v>
      </c>
      <c r="G227" s="56"/>
      <c r="H227" s="56"/>
      <c r="I227" s="56"/>
      <c r="J227" s="56"/>
      <c r="K227" s="56">
        <v>400</v>
      </c>
      <c r="L227" s="56"/>
      <c r="M227" s="56"/>
      <c r="N227" s="56"/>
      <c r="O227" s="56">
        <f t="shared" si="9"/>
        <v>400</v>
      </c>
      <c r="P227" s="56"/>
      <c r="Q227" s="58">
        <f t="shared" si="10"/>
        <v>68558.6000000001</v>
      </c>
      <c r="R227" s="119" t="s">
        <v>669</v>
      </c>
    </row>
    <row r="228" ht="20" customHeight="1" spans="2:18">
      <c r="B228" s="42">
        <v>3</v>
      </c>
      <c r="C228" s="42">
        <v>23</v>
      </c>
      <c r="D228" s="42"/>
      <c r="E228" s="104"/>
      <c r="F228" s="97" t="s">
        <v>2770</v>
      </c>
      <c r="G228" s="56"/>
      <c r="H228" s="56"/>
      <c r="I228" s="56"/>
      <c r="J228" s="56"/>
      <c r="K228" s="56">
        <v>200</v>
      </c>
      <c r="L228" s="56"/>
      <c r="M228" s="56"/>
      <c r="N228" s="56"/>
      <c r="O228" s="56">
        <f t="shared" si="9"/>
        <v>200</v>
      </c>
      <c r="P228" s="56"/>
      <c r="Q228" s="58">
        <f t="shared" si="10"/>
        <v>68758.6000000001</v>
      </c>
      <c r="R228" s="119" t="s">
        <v>669</v>
      </c>
    </row>
    <row r="229" ht="20" customHeight="1" spans="2:18">
      <c r="B229" s="42">
        <v>3</v>
      </c>
      <c r="C229" s="42">
        <v>23</v>
      </c>
      <c r="D229" s="42"/>
      <c r="E229" s="104"/>
      <c r="F229" s="97" t="s">
        <v>2771</v>
      </c>
      <c r="G229" s="56"/>
      <c r="H229" s="56"/>
      <c r="I229" s="56"/>
      <c r="J229" s="56"/>
      <c r="K229" s="56">
        <v>200</v>
      </c>
      <c r="L229" s="56"/>
      <c r="M229" s="56"/>
      <c r="N229" s="56"/>
      <c r="O229" s="56">
        <f t="shared" si="9"/>
        <v>200</v>
      </c>
      <c r="P229" s="56"/>
      <c r="Q229" s="58">
        <f t="shared" si="10"/>
        <v>68958.6000000001</v>
      </c>
      <c r="R229" s="119" t="s">
        <v>669</v>
      </c>
    </row>
    <row r="230" ht="20" customHeight="1" spans="2:18">
      <c r="B230" s="42">
        <v>3</v>
      </c>
      <c r="C230" s="42">
        <v>23</v>
      </c>
      <c r="D230" s="74" t="s">
        <v>69</v>
      </c>
      <c r="E230" s="97" t="s">
        <v>2638</v>
      </c>
      <c r="F230" s="97" t="s">
        <v>2639</v>
      </c>
      <c r="G230" s="56"/>
      <c r="H230" s="56"/>
      <c r="I230" s="56"/>
      <c r="J230" s="56"/>
      <c r="K230" s="56"/>
      <c r="L230" s="56"/>
      <c r="M230" s="56"/>
      <c r="N230" s="56"/>
      <c r="O230" s="56">
        <f t="shared" si="9"/>
        <v>0</v>
      </c>
      <c r="P230" s="55">
        <v>30000</v>
      </c>
      <c r="Q230" s="58">
        <f t="shared" si="10"/>
        <v>38958.6000000001</v>
      </c>
      <c r="R230" s="59"/>
    </row>
    <row r="231" ht="20" customHeight="1" spans="2:18">
      <c r="B231" s="42">
        <v>3</v>
      </c>
      <c r="C231" s="42">
        <v>24</v>
      </c>
      <c r="D231" s="42"/>
      <c r="E231" s="97" t="s">
        <v>2513</v>
      </c>
      <c r="F231" s="118" t="s">
        <v>2772</v>
      </c>
      <c r="G231" s="56"/>
      <c r="H231" s="56"/>
      <c r="I231" s="56">
        <v>310</v>
      </c>
      <c r="J231" s="56"/>
      <c r="K231" s="56"/>
      <c r="L231" s="56"/>
      <c r="M231" s="56"/>
      <c r="N231" s="56">
        <f>I231*0.005</f>
        <v>1.55</v>
      </c>
      <c r="O231" s="56">
        <f t="shared" si="9"/>
        <v>308.45</v>
      </c>
      <c r="P231" s="56"/>
      <c r="Q231" s="58">
        <f t="shared" si="10"/>
        <v>39267.0500000001</v>
      </c>
      <c r="R231" s="56"/>
    </row>
    <row r="232" ht="20" customHeight="1" spans="2:18">
      <c r="B232" s="42">
        <v>3</v>
      </c>
      <c r="C232" s="42">
        <v>24</v>
      </c>
      <c r="D232" s="42"/>
      <c r="E232" s="97" t="s">
        <v>2516</v>
      </c>
      <c r="F232" s="97" t="s">
        <v>2773</v>
      </c>
      <c r="G232" s="56"/>
      <c r="H232" s="56"/>
      <c r="I232" s="56"/>
      <c r="J232" s="56"/>
      <c r="K232" s="56">
        <v>595</v>
      </c>
      <c r="L232" s="56"/>
      <c r="M232" s="56"/>
      <c r="N232" s="56">
        <v>3.57</v>
      </c>
      <c r="O232" s="56">
        <f t="shared" si="9"/>
        <v>591.43</v>
      </c>
      <c r="P232" s="56"/>
      <c r="Q232" s="58">
        <f t="shared" si="10"/>
        <v>39858.4800000001</v>
      </c>
      <c r="R232" s="56"/>
    </row>
    <row r="233" ht="20" customHeight="1" spans="2:18">
      <c r="B233" s="42">
        <v>3</v>
      </c>
      <c r="C233" s="42">
        <v>25</v>
      </c>
      <c r="D233" s="42"/>
      <c r="E233" s="97" t="s">
        <v>2774</v>
      </c>
      <c r="F233" s="97" t="s">
        <v>2775</v>
      </c>
      <c r="G233" s="56">
        <v>5000</v>
      </c>
      <c r="H233" s="56">
        <v>1100</v>
      </c>
      <c r="I233" s="56"/>
      <c r="J233" s="56"/>
      <c r="K233" s="56"/>
      <c r="L233" s="56"/>
      <c r="M233" s="56"/>
      <c r="N233" s="56"/>
      <c r="O233" s="56">
        <f t="shared" si="9"/>
        <v>6100</v>
      </c>
      <c r="P233" s="56"/>
      <c r="Q233" s="58">
        <f t="shared" si="10"/>
        <v>45958.4800000001</v>
      </c>
      <c r="R233" s="56"/>
    </row>
    <row r="234" ht="20" customHeight="1" spans="2:18">
      <c r="B234" s="42">
        <v>3</v>
      </c>
      <c r="C234" s="42">
        <v>25</v>
      </c>
      <c r="D234" s="42"/>
      <c r="E234" s="97" t="s">
        <v>2774</v>
      </c>
      <c r="F234" s="97" t="s">
        <v>2776</v>
      </c>
      <c r="G234" s="56">
        <v>1300</v>
      </c>
      <c r="H234" s="56"/>
      <c r="I234" s="56"/>
      <c r="J234" s="56"/>
      <c r="K234" s="56"/>
      <c r="L234" s="56"/>
      <c r="M234" s="56"/>
      <c r="N234" s="56"/>
      <c r="O234" s="56">
        <f t="shared" si="9"/>
        <v>1300</v>
      </c>
      <c r="P234" s="56"/>
      <c r="Q234" s="58">
        <f t="shared" si="10"/>
        <v>47258.4800000001</v>
      </c>
      <c r="R234" s="56"/>
    </row>
    <row r="235" ht="20" customHeight="1" spans="2:18">
      <c r="B235" s="42">
        <v>3</v>
      </c>
      <c r="C235" s="42">
        <v>26</v>
      </c>
      <c r="D235" s="42"/>
      <c r="E235" s="97" t="s">
        <v>2513</v>
      </c>
      <c r="F235" s="97" t="s">
        <v>2777</v>
      </c>
      <c r="G235" s="56"/>
      <c r="H235" s="56"/>
      <c r="I235" s="56">
        <v>450</v>
      </c>
      <c r="J235" s="56"/>
      <c r="K235" s="56"/>
      <c r="L235" s="56"/>
      <c r="M235" s="56"/>
      <c r="N235" s="56">
        <v>2.25</v>
      </c>
      <c r="O235" s="56">
        <f t="shared" si="9"/>
        <v>447.75</v>
      </c>
      <c r="P235" s="56"/>
      <c r="Q235" s="58">
        <f t="shared" si="10"/>
        <v>47706.2300000001</v>
      </c>
      <c r="R235" s="56"/>
    </row>
    <row r="236" ht="20" customHeight="1" spans="2:18">
      <c r="B236" s="42">
        <v>3</v>
      </c>
      <c r="C236" s="42">
        <v>27</v>
      </c>
      <c r="D236" s="42"/>
      <c r="E236" s="97" t="s">
        <v>2513</v>
      </c>
      <c r="F236" s="97" t="s">
        <v>2778</v>
      </c>
      <c r="G236" s="56"/>
      <c r="H236" s="56"/>
      <c r="I236" s="56">
        <v>980</v>
      </c>
      <c r="J236" s="56"/>
      <c r="K236" s="56"/>
      <c r="L236" s="56"/>
      <c r="M236" s="56"/>
      <c r="N236" s="56">
        <v>4.9</v>
      </c>
      <c r="O236" s="56">
        <f t="shared" si="9"/>
        <v>975.1</v>
      </c>
      <c r="P236" s="56"/>
      <c r="Q236" s="58">
        <f t="shared" si="10"/>
        <v>48681.3300000001</v>
      </c>
      <c r="R236" s="56"/>
    </row>
    <row r="237" ht="20" customHeight="1" spans="2:18">
      <c r="B237" s="42">
        <v>3</v>
      </c>
      <c r="C237" s="42">
        <v>27</v>
      </c>
      <c r="D237" s="42"/>
      <c r="E237" s="97" t="s">
        <v>2643</v>
      </c>
      <c r="F237" s="97" t="s">
        <v>2779</v>
      </c>
      <c r="G237" s="56">
        <v>2840</v>
      </c>
      <c r="H237" s="56">
        <v>360</v>
      </c>
      <c r="I237" s="56">
        <v>79.36</v>
      </c>
      <c r="J237" s="56"/>
      <c r="K237" s="56"/>
      <c r="L237" s="56"/>
      <c r="M237" s="56"/>
      <c r="N237" s="56"/>
      <c r="O237" s="56">
        <f t="shared" si="9"/>
        <v>3279.36</v>
      </c>
      <c r="P237" s="56"/>
      <c r="Q237" s="58">
        <f t="shared" si="10"/>
        <v>51960.6900000001</v>
      </c>
      <c r="R237" s="56"/>
    </row>
    <row r="238" ht="20" customHeight="1" spans="2:18">
      <c r="B238" s="42">
        <v>3</v>
      </c>
      <c r="C238" s="42">
        <v>27</v>
      </c>
      <c r="D238" s="42"/>
      <c r="E238" s="97" t="s">
        <v>2679</v>
      </c>
      <c r="F238" s="97" t="s">
        <v>2780</v>
      </c>
      <c r="G238" s="56">
        <v>4668.75</v>
      </c>
      <c r="H238" s="56">
        <v>481.25</v>
      </c>
      <c r="I238" s="56">
        <v>412.8</v>
      </c>
      <c r="J238" s="56"/>
      <c r="K238" s="56"/>
      <c r="L238" s="56"/>
      <c r="M238" s="56"/>
      <c r="N238" s="56"/>
      <c r="O238" s="56">
        <f t="shared" si="9"/>
        <v>5562.8</v>
      </c>
      <c r="P238" s="56"/>
      <c r="Q238" s="58">
        <f t="shared" si="10"/>
        <v>57523.4900000001</v>
      </c>
      <c r="R238" s="56"/>
    </row>
    <row r="239" ht="20" customHeight="1" spans="2:18">
      <c r="B239" s="42">
        <v>3</v>
      </c>
      <c r="C239" s="42">
        <v>30</v>
      </c>
      <c r="D239" s="42"/>
      <c r="E239" s="97" t="s">
        <v>2690</v>
      </c>
      <c r="F239" s="97" t="s">
        <v>2781</v>
      </c>
      <c r="G239" s="56"/>
      <c r="H239" s="56"/>
      <c r="I239" s="56">
        <v>130.31</v>
      </c>
      <c r="J239" s="56"/>
      <c r="K239" s="56"/>
      <c r="L239" s="56"/>
      <c r="M239" s="56"/>
      <c r="N239" s="56">
        <v>0.81</v>
      </c>
      <c r="O239" s="56">
        <f t="shared" si="9"/>
        <v>129.5</v>
      </c>
      <c r="P239" s="56"/>
      <c r="Q239" s="58">
        <f t="shared" si="10"/>
        <v>57652.9900000001</v>
      </c>
      <c r="R239" s="59" t="s">
        <v>669</v>
      </c>
    </row>
    <row r="240" ht="20" customHeight="1" spans="2:18">
      <c r="B240" s="42">
        <v>3</v>
      </c>
      <c r="C240" s="42">
        <v>30</v>
      </c>
      <c r="D240" s="42"/>
      <c r="E240" s="104"/>
      <c r="F240" s="97" t="s">
        <v>2782</v>
      </c>
      <c r="G240" s="56"/>
      <c r="H240" s="56"/>
      <c r="I240" s="56"/>
      <c r="J240" s="56"/>
      <c r="K240" s="56">
        <v>240</v>
      </c>
      <c r="L240" s="56"/>
      <c r="M240" s="56"/>
      <c r="N240" s="56"/>
      <c r="O240" s="56">
        <f t="shared" si="9"/>
        <v>240</v>
      </c>
      <c r="P240" s="56"/>
      <c r="Q240" s="58">
        <f t="shared" si="10"/>
        <v>57892.9900000001</v>
      </c>
      <c r="R240" s="59" t="s">
        <v>669</v>
      </c>
    </row>
    <row r="241" ht="20" customHeight="1" spans="2:18">
      <c r="B241" s="42">
        <v>3</v>
      </c>
      <c r="C241" s="42">
        <v>30</v>
      </c>
      <c r="D241" s="42"/>
      <c r="E241" s="104"/>
      <c r="F241" s="97" t="s">
        <v>2783</v>
      </c>
      <c r="G241" s="56"/>
      <c r="H241" s="56"/>
      <c r="I241" s="56"/>
      <c r="J241" s="56"/>
      <c r="K241" s="56">
        <v>200</v>
      </c>
      <c r="L241" s="56"/>
      <c r="M241" s="56"/>
      <c r="N241" s="56"/>
      <c r="O241" s="56">
        <f t="shared" si="9"/>
        <v>200</v>
      </c>
      <c r="P241" s="56"/>
      <c r="Q241" s="58">
        <f t="shared" si="10"/>
        <v>58092.9900000001</v>
      </c>
      <c r="R241" s="59" t="s">
        <v>669</v>
      </c>
    </row>
    <row r="242" ht="20" customHeight="1" spans="2:18">
      <c r="B242" s="42">
        <v>3</v>
      </c>
      <c r="C242" s="42">
        <v>30</v>
      </c>
      <c r="D242" s="42"/>
      <c r="E242" s="104"/>
      <c r="F242" s="97" t="s">
        <v>2784</v>
      </c>
      <c r="G242" s="56"/>
      <c r="H242" s="56"/>
      <c r="I242" s="56"/>
      <c r="J242" s="56"/>
      <c r="K242" s="56">
        <v>240</v>
      </c>
      <c r="L242" s="56"/>
      <c r="M242" s="56"/>
      <c r="N242" s="56"/>
      <c r="O242" s="56">
        <f t="shared" si="9"/>
        <v>240</v>
      </c>
      <c r="P242" s="56"/>
      <c r="Q242" s="58">
        <f t="shared" si="10"/>
        <v>58332.9900000001</v>
      </c>
      <c r="R242" s="59" t="s">
        <v>669</v>
      </c>
    </row>
    <row r="243" ht="20" customHeight="1" spans="2:18">
      <c r="B243" s="42">
        <v>3</v>
      </c>
      <c r="C243" s="42">
        <v>30</v>
      </c>
      <c r="D243" s="42"/>
      <c r="E243" s="97" t="s">
        <v>2549</v>
      </c>
      <c r="F243" s="97" t="s">
        <v>2785</v>
      </c>
      <c r="G243" s="56">
        <v>8273</v>
      </c>
      <c r="H243" s="56">
        <v>1100</v>
      </c>
      <c r="I243" s="56"/>
      <c r="J243" s="56"/>
      <c r="K243" s="56"/>
      <c r="L243" s="56"/>
      <c r="M243" s="56"/>
      <c r="N243" s="56"/>
      <c r="O243" s="56">
        <f t="shared" si="9"/>
        <v>9373</v>
      </c>
      <c r="P243" s="56"/>
      <c r="Q243" s="58">
        <f t="shared" si="10"/>
        <v>67705.9900000001</v>
      </c>
      <c r="R243" s="56"/>
    </row>
    <row r="244" ht="20" customHeight="1" spans="2:18">
      <c r="B244" s="42">
        <v>3</v>
      </c>
      <c r="C244" s="42">
        <v>30</v>
      </c>
      <c r="D244" s="120"/>
      <c r="E244" s="118" t="s">
        <v>2513</v>
      </c>
      <c r="F244" s="118" t="s">
        <v>2786</v>
      </c>
      <c r="G244" s="56"/>
      <c r="H244" s="56"/>
      <c r="I244" s="56">
        <v>2900</v>
      </c>
      <c r="J244" s="56"/>
      <c r="K244" s="56"/>
      <c r="L244" s="56"/>
      <c r="M244" s="56"/>
      <c r="N244" s="56">
        <v>14.5</v>
      </c>
      <c r="O244" s="56">
        <f t="shared" si="9"/>
        <v>2885.5</v>
      </c>
      <c r="P244" s="56"/>
      <c r="Q244" s="58">
        <f t="shared" si="10"/>
        <v>70591.4900000001</v>
      </c>
      <c r="R244" s="56"/>
    </row>
    <row r="245" ht="20" customHeight="1" spans="2:18">
      <c r="B245" s="42">
        <v>3</v>
      </c>
      <c r="C245" s="42">
        <v>30</v>
      </c>
      <c r="D245" s="42"/>
      <c r="E245" s="97" t="s">
        <v>2546</v>
      </c>
      <c r="F245" s="97" t="s">
        <v>2787</v>
      </c>
      <c r="G245" s="56">
        <v>4428</v>
      </c>
      <c r="H245" s="56">
        <v>572</v>
      </c>
      <c r="I245" s="56"/>
      <c r="J245" s="56"/>
      <c r="K245" s="56"/>
      <c r="L245" s="56"/>
      <c r="M245" s="56"/>
      <c r="N245" s="56"/>
      <c r="O245" s="56">
        <f t="shared" si="9"/>
        <v>5000</v>
      </c>
      <c r="P245" s="56"/>
      <c r="Q245" s="58">
        <f t="shared" si="10"/>
        <v>75591.4900000001</v>
      </c>
      <c r="R245" s="56"/>
    </row>
    <row r="246" ht="20" customHeight="1" spans="2:18">
      <c r="B246" s="42">
        <v>3</v>
      </c>
      <c r="C246" s="42">
        <v>31</v>
      </c>
      <c r="D246" s="120"/>
      <c r="E246" s="118" t="s">
        <v>2513</v>
      </c>
      <c r="F246" s="118" t="s">
        <v>2788</v>
      </c>
      <c r="G246" s="56"/>
      <c r="H246" s="56"/>
      <c r="I246" s="56">
        <v>7800</v>
      </c>
      <c r="J246" s="56"/>
      <c r="K246" s="56"/>
      <c r="L246" s="56"/>
      <c r="M246" s="56"/>
      <c r="N246" s="56">
        <v>39</v>
      </c>
      <c r="O246" s="56">
        <f t="shared" si="9"/>
        <v>7761</v>
      </c>
      <c r="P246" s="56"/>
      <c r="Q246" s="58">
        <f t="shared" si="10"/>
        <v>83352.4900000001</v>
      </c>
      <c r="R246" s="56"/>
    </row>
    <row r="247" ht="20" customHeight="1" spans="2:18">
      <c r="B247" s="42">
        <v>3</v>
      </c>
      <c r="C247" s="42">
        <v>31</v>
      </c>
      <c r="D247" s="42"/>
      <c r="E247" s="97" t="s">
        <v>2609</v>
      </c>
      <c r="F247" s="97" t="s">
        <v>2789</v>
      </c>
      <c r="G247" s="56">
        <v>3275</v>
      </c>
      <c r="H247" s="56">
        <v>525</v>
      </c>
      <c r="I247" s="56"/>
      <c r="J247" s="56"/>
      <c r="K247" s="56"/>
      <c r="L247" s="56"/>
      <c r="M247" s="56"/>
      <c r="N247" s="56">
        <v>5.98</v>
      </c>
      <c r="O247" s="56">
        <f t="shared" si="9"/>
        <v>3794.02</v>
      </c>
      <c r="P247" s="56"/>
      <c r="Q247" s="58">
        <f t="shared" si="10"/>
        <v>87146.5100000001</v>
      </c>
      <c r="R247" s="59" t="s">
        <v>669</v>
      </c>
    </row>
    <row r="248" ht="20" customHeight="1" spans="2:18">
      <c r="B248" s="42">
        <v>3</v>
      </c>
      <c r="C248" s="42">
        <v>31</v>
      </c>
      <c r="D248" s="42"/>
      <c r="E248" s="97" t="s">
        <v>2546</v>
      </c>
      <c r="F248" s="97" t="s">
        <v>2790</v>
      </c>
      <c r="G248" s="56"/>
      <c r="H248" s="56"/>
      <c r="I248" s="56">
        <v>10</v>
      </c>
      <c r="J248" s="56"/>
      <c r="K248" s="56"/>
      <c r="L248" s="56"/>
      <c r="M248" s="56"/>
      <c r="N248" s="56"/>
      <c r="O248" s="56">
        <f t="shared" si="9"/>
        <v>10</v>
      </c>
      <c r="P248" s="56"/>
      <c r="Q248" s="58">
        <f t="shared" si="10"/>
        <v>87156.5100000001</v>
      </c>
      <c r="R248" s="59" t="s">
        <v>669</v>
      </c>
    </row>
    <row r="249" ht="20" customHeight="1" spans="2:18">
      <c r="B249" s="42">
        <v>3</v>
      </c>
      <c r="C249" s="42">
        <v>31</v>
      </c>
      <c r="D249" s="42"/>
      <c r="E249" s="97" t="s">
        <v>2791</v>
      </c>
      <c r="F249" s="97" t="s">
        <v>2792</v>
      </c>
      <c r="G249" s="56">
        <v>500</v>
      </c>
      <c r="H249" s="56"/>
      <c r="I249" s="56"/>
      <c r="J249" s="56"/>
      <c r="K249" s="56"/>
      <c r="L249" s="56"/>
      <c r="M249" s="56"/>
      <c r="N249" s="56"/>
      <c r="O249" s="56">
        <f t="shared" si="9"/>
        <v>500</v>
      </c>
      <c r="P249" s="56"/>
      <c r="Q249" s="58">
        <f t="shared" si="10"/>
        <v>87656.5100000001</v>
      </c>
      <c r="R249" s="59" t="s">
        <v>669</v>
      </c>
    </row>
    <row r="250" ht="20" customHeight="1" spans="2:18">
      <c r="B250" s="42">
        <v>3</v>
      </c>
      <c r="C250" s="42">
        <v>31</v>
      </c>
      <c r="D250" s="42"/>
      <c r="E250" s="104"/>
      <c r="F250" s="97" t="s">
        <v>2793</v>
      </c>
      <c r="G250" s="56"/>
      <c r="H250" s="56"/>
      <c r="I250" s="56"/>
      <c r="J250" s="56"/>
      <c r="K250" s="56">
        <v>240</v>
      </c>
      <c r="L250" s="56"/>
      <c r="M250" s="56"/>
      <c r="N250" s="56"/>
      <c r="O250" s="56">
        <f t="shared" si="9"/>
        <v>240</v>
      </c>
      <c r="P250" s="56"/>
      <c r="Q250" s="58">
        <f t="shared" si="10"/>
        <v>87896.5100000001</v>
      </c>
      <c r="R250" s="59" t="s">
        <v>669</v>
      </c>
    </row>
    <row r="251" ht="20" customHeight="1" spans="2:18">
      <c r="B251" s="42">
        <v>3</v>
      </c>
      <c r="C251" s="42">
        <v>31</v>
      </c>
      <c r="D251" s="42"/>
      <c r="E251" s="104"/>
      <c r="F251" s="97" t="s">
        <v>2794</v>
      </c>
      <c r="G251" s="56"/>
      <c r="H251" s="56"/>
      <c r="I251" s="56"/>
      <c r="J251" s="56"/>
      <c r="K251" s="56">
        <v>1200</v>
      </c>
      <c r="L251" s="56"/>
      <c r="M251" s="56"/>
      <c r="N251" s="56"/>
      <c r="O251" s="56">
        <f t="shared" si="9"/>
        <v>1200</v>
      </c>
      <c r="P251" s="56"/>
      <c r="Q251" s="58">
        <f t="shared" si="10"/>
        <v>89096.5100000001</v>
      </c>
      <c r="R251" s="59" t="s">
        <v>669</v>
      </c>
    </row>
    <row r="252" ht="20" customHeight="1" spans="2:18">
      <c r="B252" s="42">
        <v>3</v>
      </c>
      <c r="C252" s="42">
        <v>31</v>
      </c>
      <c r="D252" s="42"/>
      <c r="E252" s="100"/>
      <c r="F252" s="97" t="s">
        <v>2795</v>
      </c>
      <c r="G252" s="56"/>
      <c r="H252" s="56"/>
      <c r="I252" s="56"/>
      <c r="J252" s="56"/>
      <c r="K252" s="56">
        <v>240</v>
      </c>
      <c r="L252" s="56"/>
      <c r="M252" s="56"/>
      <c r="N252" s="56"/>
      <c r="O252" s="56">
        <f t="shared" si="9"/>
        <v>240</v>
      </c>
      <c r="P252" s="56"/>
      <c r="Q252" s="58">
        <f t="shared" si="10"/>
        <v>89336.5100000001</v>
      </c>
      <c r="R252" s="59" t="s">
        <v>669</v>
      </c>
    </row>
    <row r="253" ht="20" customHeight="1" spans="2:18">
      <c r="B253" s="42">
        <v>3</v>
      </c>
      <c r="C253" s="42">
        <v>31</v>
      </c>
      <c r="D253" s="42"/>
      <c r="E253" s="97" t="s">
        <v>2700</v>
      </c>
      <c r="F253" s="97" t="s">
        <v>2796</v>
      </c>
      <c r="G253" s="56">
        <v>1000</v>
      </c>
      <c r="H253" s="56"/>
      <c r="I253" s="56">
        <v>108.01</v>
      </c>
      <c r="J253" s="56"/>
      <c r="K253" s="56"/>
      <c r="L253" s="56"/>
      <c r="M253" s="56"/>
      <c r="N253" s="56"/>
      <c r="O253" s="56">
        <f t="shared" si="9"/>
        <v>1108.01</v>
      </c>
      <c r="P253" s="56"/>
      <c r="Q253" s="58">
        <f t="shared" si="10"/>
        <v>90444.5200000001</v>
      </c>
      <c r="R253" s="59"/>
    </row>
    <row r="254" ht="20" customHeight="1" spans="2:18">
      <c r="B254" s="42">
        <v>3</v>
      </c>
      <c r="C254" s="42">
        <v>31</v>
      </c>
      <c r="D254" s="42"/>
      <c r="E254" s="97" t="s">
        <v>2700</v>
      </c>
      <c r="F254" s="97" t="s">
        <v>2797</v>
      </c>
      <c r="G254" s="56">
        <v>19000</v>
      </c>
      <c r="H254" s="56"/>
      <c r="I254" s="56">
        <v>189.99</v>
      </c>
      <c r="J254" s="56"/>
      <c r="K254" s="56"/>
      <c r="L254" s="56"/>
      <c r="M254" s="56"/>
      <c r="N254" s="56"/>
      <c r="O254" s="56">
        <f t="shared" si="9"/>
        <v>19189.99</v>
      </c>
      <c r="P254" s="56"/>
      <c r="Q254" s="58">
        <f t="shared" si="10"/>
        <v>109634.51</v>
      </c>
      <c r="R254" s="56"/>
    </row>
    <row r="255" ht="20" customHeight="1" spans="2:18">
      <c r="B255" s="68"/>
      <c r="C255" s="68"/>
      <c r="D255" s="68"/>
      <c r="E255" s="68"/>
      <c r="F255" s="70" t="s">
        <v>22</v>
      </c>
      <c r="G255" s="71">
        <f>SUM(G155:G254)</f>
        <v>113487.2</v>
      </c>
      <c r="H255" s="71">
        <f>SUM(H155:H254)</f>
        <v>8951.8</v>
      </c>
      <c r="I255" s="71">
        <f>SUM(I155:I254)</f>
        <v>36653.95</v>
      </c>
      <c r="J255" s="71">
        <f>SUM(J155:J254)</f>
        <v>8550</v>
      </c>
      <c r="K255" s="71">
        <f>SUM(K155:K254)</f>
        <v>8565</v>
      </c>
      <c r="L255" s="71"/>
      <c r="M255" s="71">
        <f>SUM(M155:M254)</f>
        <v>7.52</v>
      </c>
      <c r="N255" s="71">
        <f>SUM(N155:N254)</f>
        <v>199.83</v>
      </c>
      <c r="O255" s="71">
        <f>SUM(O155:O254)</f>
        <v>176015.64</v>
      </c>
      <c r="P255" s="71">
        <f>SUM(P155:P254)</f>
        <v>86544.74</v>
      </c>
      <c r="Q255" s="72">
        <f>Q154+O255-P255</f>
        <v>109634.51</v>
      </c>
      <c r="R255" s="71"/>
    </row>
    <row r="256" ht="20" customHeight="1" spans="2:18">
      <c r="B256" s="42">
        <v>4</v>
      </c>
      <c r="C256" s="42">
        <v>1</v>
      </c>
      <c r="D256" s="120"/>
      <c r="E256" s="121" t="s">
        <v>2513</v>
      </c>
      <c r="F256" s="118" t="s">
        <v>2798</v>
      </c>
      <c r="G256" s="56"/>
      <c r="H256" s="56"/>
      <c r="I256" s="56">
        <v>613</v>
      </c>
      <c r="J256" s="56"/>
      <c r="K256" s="56"/>
      <c r="L256" s="56"/>
      <c r="M256" s="56"/>
      <c r="N256" s="56">
        <v>3.07</v>
      </c>
      <c r="O256" s="56">
        <f t="shared" ref="O256:O300" si="11">SUM(G256:M256)-N256</f>
        <v>609.93</v>
      </c>
      <c r="P256" s="56"/>
      <c r="Q256" s="58">
        <f t="shared" ref="Q256:Q319" si="12">Q255+O256-P256</f>
        <v>110244.44</v>
      </c>
      <c r="R256" s="56"/>
    </row>
    <row r="257" ht="20" customHeight="1" spans="2:18">
      <c r="B257" s="42">
        <v>4</v>
      </c>
      <c r="C257" s="42">
        <v>1</v>
      </c>
      <c r="D257" s="42"/>
      <c r="E257" s="96" t="s">
        <v>2107</v>
      </c>
      <c r="F257" s="97" t="s">
        <v>2799</v>
      </c>
      <c r="G257" s="56"/>
      <c r="H257" s="56"/>
      <c r="I257" s="56"/>
      <c r="J257" s="56">
        <v>4270</v>
      </c>
      <c r="K257" s="56"/>
      <c r="L257" s="56"/>
      <c r="M257" s="56"/>
      <c r="N257" s="56"/>
      <c r="O257" s="56">
        <f t="shared" si="11"/>
        <v>4270</v>
      </c>
      <c r="P257" s="56"/>
      <c r="Q257" s="58">
        <f t="shared" si="12"/>
        <v>114514.44</v>
      </c>
      <c r="R257" s="56"/>
    </row>
    <row r="258" ht="20" customHeight="1" spans="2:18">
      <c r="B258" s="42">
        <v>4</v>
      </c>
      <c r="C258" s="42">
        <v>2</v>
      </c>
      <c r="D258" s="120"/>
      <c r="E258" s="121" t="s">
        <v>2513</v>
      </c>
      <c r="F258" s="118" t="s">
        <v>2800</v>
      </c>
      <c r="G258" s="56"/>
      <c r="H258" s="56"/>
      <c r="I258" s="56">
        <v>900</v>
      </c>
      <c r="J258" s="56"/>
      <c r="K258" s="56"/>
      <c r="L258" s="56"/>
      <c r="M258" s="56"/>
      <c r="N258" s="56">
        <v>4.5</v>
      </c>
      <c r="O258" s="56">
        <f t="shared" si="11"/>
        <v>895.5</v>
      </c>
      <c r="P258" s="56"/>
      <c r="Q258" s="58">
        <f t="shared" si="12"/>
        <v>115409.94</v>
      </c>
      <c r="R258" s="56"/>
    </row>
    <row r="259" ht="20" customHeight="1" spans="2:18">
      <c r="B259" s="42">
        <v>4</v>
      </c>
      <c r="C259" s="42">
        <v>2</v>
      </c>
      <c r="D259" s="42"/>
      <c r="E259" s="104" t="s">
        <v>2516</v>
      </c>
      <c r="F259" s="97" t="s">
        <v>2801</v>
      </c>
      <c r="G259" s="56"/>
      <c r="H259" s="56"/>
      <c r="I259" s="56"/>
      <c r="J259" s="56"/>
      <c r="K259" s="56">
        <v>550</v>
      </c>
      <c r="L259" s="56"/>
      <c r="M259" s="56"/>
      <c r="N259" s="56">
        <v>3.3</v>
      </c>
      <c r="O259" s="56">
        <f t="shared" si="11"/>
        <v>546.7</v>
      </c>
      <c r="P259" s="56"/>
      <c r="Q259" s="58">
        <f t="shared" si="12"/>
        <v>115956.64</v>
      </c>
      <c r="R259" s="56"/>
    </row>
    <row r="260" ht="20" customHeight="1" spans="2:18">
      <c r="B260" s="42">
        <v>4</v>
      </c>
      <c r="C260" s="42">
        <v>2</v>
      </c>
      <c r="D260" s="42"/>
      <c r="E260" s="104" t="s">
        <v>2539</v>
      </c>
      <c r="F260" s="97" t="s">
        <v>2802</v>
      </c>
      <c r="G260" s="56">
        <v>2789.7</v>
      </c>
      <c r="H260" s="56">
        <v>410.3</v>
      </c>
      <c r="I260" s="56"/>
      <c r="J260" s="56"/>
      <c r="K260" s="56"/>
      <c r="L260" s="56"/>
      <c r="M260" s="56"/>
      <c r="N260" s="56"/>
      <c r="O260" s="56">
        <f t="shared" si="11"/>
        <v>3200</v>
      </c>
      <c r="P260" s="56"/>
      <c r="Q260" s="58">
        <f t="shared" si="12"/>
        <v>119156.64</v>
      </c>
      <c r="R260" s="56"/>
    </row>
    <row r="261" ht="20" customHeight="1" spans="2:18">
      <c r="B261" s="42">
        <v>4</v>
      </c>
      <c r="C261" s="42">
        <v>3</v>
      </c>
      <c r="D261" s="120"/>
      <c r="E261" s="121" t="s">
        <v>2513</v>
      </c>
      <c r="F261" s="118" t="s">
        <v>2803</v>
      </c>
      <c r="G261" s="56"/>
      <c r="H261" s="56"/>
      <c r="I261" s="56">
        <v>2500</v>
      </c>
      <c r="J261" s="56"/>
      <c r="K261" s="56"/>
      <c r="L261" s="56"/>
      <c r="M261" s="56"/>
      <c r="N261" s="56">
        <v>12.5</v>
      </c>
      <c r="O261" s="56">
        <f t="shared" si="11"/>
        <v>2487.5</v>
      </c>
      <c r="P261" s="56"/>
      <c r="Q261" s="58">
        <f t="shared" si="12"/>
        <v>121644.14</v>
      </c>
      <c r="R261" s="56"/>
    </row>
    <row r="262" ht="20" customHeight="1" spans="2:18">
      <c r="B262" s="42">
        <v>4</v>
      </c>
      <c r="C262" s="42">
        <v>3</v>
      </c>
      <c r="D262" s="42"/>
      <c r="E262" s="104" t="s">
        <v>2621</v>
      </c>
      <c r="F262" s="97" t="s">
        <v>2804</v>
      </c>
      <c r="G262" s="56"/>
      <c r="H262" s="56"/>
      <c r="I262" s="56">
        <v>34</v>
      </c>
      <c r="J262" s="56"/>
      <c r="K262" s="56"/>
      <c r="L262" s="56"/>
      <c r="M262" s="56"/>
      <c r="N262" s="56"/>
      <c r="O262" s="56">
        <f t="shared" si="11"/>
        <v>34</v>
      </c>
      <c r="P262" s="56"/>
      <c r="Q262" s="58">
        <f t="shared" si="12"/>
        <v>121678.14</v>
      </c>
      <c r="R262" s="56"/>
    </row>
    <row r="263" ht="20" customHeight="1" spans="2:18">
      <c r="B263" s="42">
        <v>4</v>
      </c>
      <c r="C263" s="42">
        <v>4</v>
      </c>
      <c r="D263" s="120"/>
      <c r="E263" s="121" t="s">
        <v>2513</v>
      </c>
      <c r="F263" s="118" t="s">
        <v>2805</v>
      </c>
      <c r="G263" s="56"/>
      <c r="H263" s="56"/>
      <c r="I263" s="56">
        <v>3600</v>
      </c>
      <c r="J263" s="56"/>
      <c r="K263" s="56"/>
      <c r="L263" s="56"/>
      <c r="M263" s="56"/>
      <c r="N263" s="56">
        <v>18</v>
      </c>
      <c r="O263" s="56">
        <f t="shared" si="11"/>
        <v>3582</v>
      </c>
      <c r="P263" s="56"/>
      <c r="Q263" s="58">
        <f t="shared" si="12"/>
        <v>125260.14</v>
      </c>
      <c r="R263" s="56"/>
    </row>
    <row r="264" ht="20" customHeight="1" spans="2:18">
      <c r="B264" s="42">
        <v>4</v>
      </c>
      <c r="C264" s="42">
        <v>4</v>
      </c>
      <c r="D264" s="42"/>
      <c r="E264" s="96" t="s">
        <v>2806</v>
      </c>
      <c r="F264" s="97" t="s">
        <v>2807</v>
      </c>
      <c r="G264" s="56">
        <v>10769.1</v>
      </c>
      <c r="H264" s="56">
        <v>1230.9</v>
      </c>
      <c r="I264" s="56"/>
      <c r="J264" s="56"/>
      <c r="K264" s="56"/>
      <c r="L264" s="56"/>
      <c r="M264" s="56"/>
      <c r="N264" s="56"/>
      <c r="O264" s="56">
        <f t="shared" si="11"/>
        <v>12000</v>
      </c>
      <c r="P264" s="56"/>
      <c r="Q264" s="58">
        <f t="shared" si="12"/>
        <v>137260.14</v>
      </c>
      <c r="R264" s="56"/>
    </row>
    <row r="265" ht="20" customHeight="1" spans="2:18">
      <c r="B265" s="42">
        <v>4</v>
      </c>
      <c r="C265" s="42">
        <v>5</v>
      </c>
      <c r="D265" s="42"/>
      <c r="E265" s="96" t="s">
        <v>2513</v>
      </c>
      <c r="F265" s="97" t="s">
        <v>2808</v>
      </c>
      <c r="G265" s="56"/>
      <c r="H265" s="56"/>
      <c r="I265" s="56">
        <v>350</v>
      </c>
      <c r="J265" s="56"/>
      <c r="K265" s="56"/>
      <c r="L265" s="56"/>
      <c r="M265" s="56"/>
      <c r="N265" s="56">
        <v>1.75</v>
      </c>
      <c r="O265" s="56">
        <f t="shared" si="11"/>
        <v>348.25</v>
      </c>
      <c r="P265" s="56"/>
      <c r="Q265" s="58">
        <f t="shared" si="12"/>
        <v>137608.39</v>
      </c>
      <c r="R265" s="56"/>
    </row>
    <row r="266" ht="20" customHeight="1" spans="2:18">
      <c r="B266" s="42">
        <v>4</v>
      </c>
      <c r="C266" s="42">
        <v>6</v>
      </c>
      <c r="D266" s="42"/>
      <c r="E266" s="96" t="s">
        <v>2513</v>
      </c>
      <c r="F266" s="97" t="s">
        <v>2809</v>
      </c>
      <c r="G266" s="56"/>
      <c r="H266" s="56"/>
      <c r="I266" s="56">
        <v>100</v>
      </c>
      <c r="J266" s="56"/>
      <c r="K266" s="56"/>
      <c r="L266" s="56"/>
      <c r="M266" s="56"/>
      <c r="N266" s="56">
        <v>0.5</v>
      </c>
      <c r="O266" s="56">
        <f t="shared" si="11"/>
        <v>99.5</v>
      </c>
      <c r="P266" s="56"/>
      <c r="Q266" s="58">
        <f t="shared" si="12"/>
        <v>137707.89</v>
      </c>
      <c r="R266" s="56"/>
    </row>
    <row r="267" ht="20" customHeight="1" spans="2:18">
      <c r="B267" s="42">
        <v>4</v>
      </c>
      <c r="C267" s="42">
        <v>6</v>
      </c>
      <c r="D267" s="42"/>
      <c r="E267" s="104"/>
      <c r="F267" s="97" t="s">
        <v>2810</v>
      </c>
      <c r="G267" s="56"/>
      <c r="H267" s="56"/>
      <c r="I267" s="56"/>
      <c r="J267" s="56"/>
      <c r="K267" s="56">
        <v>240</v>
      </c>
      <c r="L267" s="56"/>
      <c r="M267" s="56"/>
      <c r="N267" s="56">
        <v>1.46</v>
      </c>
      <c r="O267" s="56">
        <f t="shared" si="11"/>
        <v>238.54</v>
      </c>
      <c r="P267" s="56"/>
      <c r="Q267" s="58">
        <f t="shared" si="12"/>
        <v>137946.43</v>
      </c>
      <c r="R267" s="59" t="s">
        <v>669</v>
      </c>
    </row>
    <row r="268" ht="20" customHeight="1" spans="2:18">
      <c r="B268" s="42">
        <v>4</v>
      </c>
      <c r="C268" s="42">
        <v>6</v>
      </c>
      <c r="D268" s="42"/>
      <c r="E268" s="104"/>
      <c r="F268" s="97" t="s">
        <v>2811</v>
      </c>
      <c r="G268" s="56"/>
      <c r="H268" s="56"/>
      <c r="I268" s="56"/>
      <c r="J268" s="56"/>
      <c r="K268" s="56">
        <v>240</v>
      </c>
      <c r="L268" s="56"/>
      <c r="M268" s="56"/>
      <c r="N268" s="56"/>
      <c r="O268" s="56">
        <f t="shared" si="11"/>
        <v>240</v>
      </c>
      <c r="P268" s="56"/>
      <c r="Q268" s="58">
        <f t="shared" si="12"/>
        <v>138186.43</v>
      </c>
      <c r="R268" s="59" t="s">
        <v>669</v>
      </c>
    </row>
    <row r="269" ht="20" customHeight="1" spans="2:18">
      <c r="B269" s="42">
        <v>4</v>
      </c>
      <c r="C269" s="42">
        <v>6</v>
      </c>
      <c r="D269" s="42"/>
      <c r="E269" s="100"/>
      <c r="F269" s="97" t="s">
        <v>2812</v>
      </c>
      <c r="G269" s="56"/>
      <c r="H269" s="56"/>
      <c r="I269" s="56"/>
      <c r="J269" s="56"/>
      <c r="K269" s="56">
        <v>500</v>
      </c>
      <c r="L269" s="56"/>
      <c r="M269" s="56"/>
      <c r="N269" s="56"/>
      <c r="O269" s="56">
        <f t="shared" si="11"/>
        <v>500</v>
      </c>
      <c r="P269" s="56"/>
      <c r="Q269" s="58">
        <f t="shared" si="12"/>
        <v>138686.43</v>
      </c>
      <c r="R269" s="59" t="s">
        <v>669</v>
      </c>
    </row>
    <row r="270" ht="20" customHeight="1" spans="2:18">
      <c r="B270" s="42">
        <v>4</v>
      </c>
      <c r="C270" s="42">
        <v>6</v>
      </c>
      <c r="D270" s="42"/>
      <c r="E270" s="104"/>
      <c r="F270" s="97" t="s">
        <v>2813</v>
      </c>
      <c r="G270" s="56"/>
      <c r="H270" s="56"/>
      <c r="I270" s="56"/>
      <c r="J270" s="56"/>
      <c r="K270" s="56">
        <v>240</v>
      </c>
      <c r="L270" s="56"/>
      <c r="M270" s="56"/>
      <c r="N270" s="56"/>
      <c r="O270" s="56">
        <f t="shared" si="11"/>
        <v>240</v>
      </c>
      <c r="P270" s="56"/>
      <c r="Q270" s="58">
        <f t="shared" si="12"/>
        <v>138926.43</v>
      </c>
      <c r="R270" s="59" t="s">
        <v>669</v>
      </c>
    </row>
    <row r="271" ht="20" customHeight="1" spans="2:18">
      <c r="B271" s="42">
        <v>4</v>
      </c>
      <c r="C271" s="42">
        <v>6</v>
      </c>
      <c r="D271" s="42"/>
      <c r="E271" s="104"/>
      <c r="F271" s="97" t="s">
        <v>2814</v>
      </c>
      <c r="G271" s="56"/>
      <c r="H271" s="56"/>
      <c r="I271" s="56"/>
      <c r="J271" s="56"/>
      <c r="K271" s="56">
        <v>240</v>
      </c>
      <c r="L271" s="56"/>
      <c r="M271" s="56"/>
      <c r="N271" s="56"/>
      <c r="O271" s="56">
        <f t="shared" si="11"/>
        <v>240</v>
      </c>
      <c r="P271" s="56"/>
      <c r="Q271" s="58">
        <f t="shared" si="12"/>
        <v>139166.43</v>
      </c>
      <c r="R271" s="59" t="s">
        <v>669</v>
      </c>
    </row>
    <row r="272" ht="20" customHeight="1" spans="2:18">
      <c r="B272" s="42">
        <v>4</v>
      </c>
      <c r="C272" s="42">
        <v>7</v>
      </c>
      <c r="D272" s="120"/>
      <c r="E272" s="121" t="s">
        <v>2513</v>
      </c>
      <c r="F272" s="118" t="s">
        <v>2815</v>
      </c>
      <c r="G272" s="56"/>
      <c r="H272" s="56"/>
      <c r="I272" s="56">
        <v>50</v>
      </c>
      <c r="J272" s="56"/>
      <c r="K272" s="56"/>
      <c r="L272" s="56"/>
      <c r="M272" s="56"/>
      <c r="N272" s="56">
        <v>0.25</v>
      </c>
      <c r="O272" s="56">
        <f t="shared" si="11"/>
        <v>49.75</v>
      </c>
      <c r="P272" s="56"/>
      <c r="Q272" s="58">
        <f t="shared" si="12"/>
        <v>139216.18</v>
      </c>
      <c r="R272" s="56"/>
    </row>
    <row r="273" ht="20" customHeight="1" spans="2:18">
      <c r="B273" s="42">
        <v>4</v>
      </c>
      <c r="C273" s="42">
        <v>7</v>
      </c>
      <c r="D273" s="42"/>
      <c r="E273" s="96" t="s">
        <v>2816</v>
      </c>
      <c r="F273" s="97" t="s">
        <v>2817</v>
      </c>
      <c r="G273" s="56"/>
      <c r="H273" s="56"/>
      <c r="I273" s="56"/>
      <c r="J273" s="56">
        <v>2400</v>
      </c>
      <c r="K273" s="56"/>
      <c r="L273" s="56"/>
      <c r="M273" s="56"/>
      <c r="N273" s="56"/>
      <c r="O273" s="56">
        <f t="shared" si="11"/>
        <v>2400</v>
      </c>
      <c r="P273" s="56"/>
      <c r="Q273" s="58">
        <f t="shared" si="12"/>
        <v>141616.18</v>
      </c>
      <c r="R273" s="56"/>
    </row>
    <row r="274" ht="20" customHeight="1" spans="2:18">
      <c r="B274" s="42">
        <v>4</v>
      </c>
      <c r="C274" s="42">
        <v>7</v>
      </c>
      <c r="D274" s="42"/>
      <c r="E274" s="96" t="s">
        <v>2816</v>
      </c>
      <c r="F274" s="97" t="s">
        <v>2818</v>
      </c>
      <c r="G274" s="56">
        <v>1035</v>
      </c>
      <c r="H274" s="56">
        <v>165</v>
      </c>
      <c r="I274" s="56"/>
      <c r="J274" s="56"/>
      <c r="K274" s="56"/>
      <c r="L274" s="56"/>
      <c r="M274" s="56"/>
      <c r="N274" s="56"/>
      <c r="O274" s="56">
        <f t="shared" si="11"/>
        <v>1200</v>
      </c>
      <c r="P274" s="56"/>
      <c r="Q274" s="58">
        <f t="shared" si="12"/>
        <v>142816.18</v>
      </c>
      <c r="R274" s="56"/>
    </row>
    <row r="275" ht="20" customHeight="1" spans="2:18">
      <c r="B275" s="42">
        <v>4</v>
      </c>
      <c r="C275" s="42">
        <v>8</v>
      </c>
      <c r="D275" s="120"/>
      <c r="E275" s="121" t="s">
        <v>2513</v>
      </c>
      <c r="F275" s="118" t="s">
        <v>2819</v>
      </c>
      <c r="G275" s="56"/>
      <c r="H275" s="56"/>
      <c r="I275" s="56">
        <v>100</v>
      </c>
      <c r="J275" s="56"/>
      <c r="K275" s="56"/>
      <c r="L275" s="56"/>
      <c r="M275" s="56"/>
      <c r="N275" s="56">
        <v>0.5</v>
      </c>
      <c r="O275" s="56">
        <f t="shared" si="11"/>
        <v>99.5</v>
      </c>
      <c r="P275" s="56"/>
      <c r="Q275" s="58">
        <f t="shared" si="12"/>
        <v>142915.68</v>
      </c>
      <c r="R275" s="56"/>
    </row>
    <row r="276" ht="20" customHeight="1" spans="2:18">
      <c r="B276" s="42">
        <v>4</v>
      </c>
      <c r="C276" s="42">
        <v>8</v>
      </c>
      <c r="D276" s="42"/>
      <c r="E276" s="100" t="s">
        <v>2589</v>
      </c>
      <c r="F276" s="122" t="s">
        <v>2820</v>
      </c>
      <c r="G276" s="56">
        <v>8331.5</v>
      </c>
      <c r="H276" s="56">
        <v>668.5</v>
      </c>
      <c r="I276" s="56"/>
      <c r="J276" s="56"/>
      <c r="K276" s="56"/>
      <c r="L276" s="56"/>
      <c r="M276" s="56"/>
      <c r="N276" s="56"/>
      <c r="O276" s="56">
        <f t="shared" si="11"/>
        <v>9000</v>
      </c>
      <c r="P276" s="56"/>
      <c r="Q276" s="58">
        <f t="shared" si="12"/>
        <v>151915.68</v>
      </c>
      <c r="R276" s="56"/>
    </row>
    <row r="277" ht="20" customHeight="1" spans="2:18">
      <c r="B277" s="42">
        <v>4</v>
      </c>
      <c r="C277" s="42">
        <v>8</v>
      </c>
      <c r="D277" s="42"/>
      <c r="E277" s="100" t="s">
        <v>2589</v>
      </c>
      <c r="F277" s="97" t="s">
        <v>2821</v>
      </c>
      <c r="G277" s="56"/>
      <c r="H277" s="56"/>
      <c r="I277" s="56">
        <v>305</v>
      </c>
      <c r="J277" s="56"/>
      <c r="K277" s="56"/>
      <c r="L277" s="56"/>
      <c r="M277" s="56"/>
      <c r="N277" s="56"/>
      <c r="O277" s="56">
        <f t="shared" si="11"/>
        <v>305</v>
      </c>
      <c r="P277" s="56"/>
      <c r="Q277" s="58">
        <f t="shared" si="12"/>
        <v>152220.68</v>
      </c>
      <c r="R277" s="56"/>
    </row>
    <row r="278" ht="20" customHeight="1" spans="2:18">
      <c r="B278" s="42">
        <v>4</v>
      </c>
      <c r="C278" s="42">
        <v>8</v>
      </c>
      <c r="D278" s="42"/>
      <c r="E278" s="96" t="s">
        <v>2822</v>
      </c>
      <c r="F278" s="97" t="s">
        <v>2823</v>
      </c>
      <c r="G278" s="56">
        <v>12775</v>
      </c>
      <c r="H278" s="56">
        <v>1225</v>
      </c>
      <c r="I278" s="56">
        <v>75</v>
      </c>
      <c r="J278" s="56"/>
      <c r="K278" s="56"/>
      <c r="L278" s="56"/>
      <c r="M278" s="56"/>
      <c r="N278" s="56"/>
      <c r="O278" s="56">
        <f t="shared" si="11"/>
        <v>14075</v>
      </c>
      <c r="P278" s="56"/>
      <c r="Q278" s="58">
        <f t="shared" si="12"/>
        <v>166295.68</v>
      </c>
      <c r="R278" s="56"/>
    </row>
    <row r="279" ht="20" customHeight="1" spans="2:18">
      <c r="B279" s="42">
        <v>4</v>
      </c>
      <c r="C279" s="42">
        <v>9</v>
      </c>
      <c r="D279" s="42"/>
      <c r="E279" s="104" t="s">
        <v>2513</v>
      </c>
      <c r="F279" s="97" t="s">
        <v>2824</v>
      </c>
      <c r="G279" s="56"/>
      <c r="H279" s="56"/>
      <c r="I279" s="56">
        <v>600</v>
      </c>
      <c r="J279" s="56"/>
      <c r="K279" s="56"/>
      <c r="L279" s="56"/>
      <c r="M279" s="56"/>
      <c r="N279" s="56">
        <v>3</v>
      </c>
      <c r="O279" s="56">
        <f t="shared" si="11"/>
        <v>597</v>
      </c>
      <c r="P279" s="56"/>
      <c r="Q279" s="58">
        <f t="shared" si="12"/>
        <v>166892.68</v>
      </c>
      <c r="R279" s="56"/>
    </row>
    <row r="280" ht="20" customHeight="1" spans="2:18">
      <c r="B280" s="42">
        <v>4</v>
      </c>
      <c r="C280" s="42">
        <v>9</v>
      </c>
      <c r="D280" s="42"/>
      <c r="E280" s="96" t="s">
        <v>2825</v>
      </c>
      <c r="F280" s="97" t="s">
        <v>2826</v>
      </c>
      <c r="G280" s="56">
        <v>7469.1</v>
      </c>
      <c r="H280" s="56">
        <v>1230.9</v>
      </c>
      <c r="I280" s="56"/>
      <c r="J280" s="56"/>
      <c r="K280" s="56"/>
      <c r="L280" s="56"/>
      <c r="M280" s="56"/>
      <c r="N280" s="56"/>
      <c r="O280" s="56">
        <f t="shared" si="11"/>
        <v>8700</v>
      </c>
      <c r="P280" s="56"/>
      <c r="Q280" s="58">
        <f t="shared" si="12"/>
        <v>175592.68</v>
      </c>
      <c r="R280" s="56"/>
    </row>
    <row r="281" ht="20" customHeight="1" spans="2:18">
      <c r="B281" s="42">
        <v>4</v>
      </c>
      <c r="C281" s="42">
        <v>9</v>
      </c>
      <c r="D281" s="42"/>
      <c r="E281" s="104" t="s">
        <v>2626</v>
      </c>
      <c r="F281" s="97" t="s">
        <v>2827</v>
      </c>
      <c r="G281" s="56"/>
      <c r="H281" s="56"/>
      <c r="I281" s="56">
        <v>57</v>
      </c>
      <c r="J281" s="56"/>
      <c r="K281" s="56"/>
      <c r="L281" s="56"/>
      <c r="M281" s="56"/>
      <c r="N281" s="56"/>
      <c r="O281" s="56">
        <f t="shared" si="11"/>
        <v>57</v>
      </c>
      <c r="P281" s="56"/>
      <c r="Q281" s="58">
        <f t="shared" si="12"/>
        <v>175649.68</v>
      </c>
      <c r="R281" s="56"/>
    </row>
    <row r="282" ht="20" customHeight="1" spans="2:18">
      <c r="B282" s="42">
        <v>4</v>
      </c>
      <c r="C282" s="42">
        <v>9</v>
      </c>
      <c r="D282" s="42" t="s">
        <v>129</v>
      </c>
      <c r="E282" s="96" t="s">
        <v>291</v>
      </c>
      <c r="F282" s="97" t="s">
        <v>2828</v>
      </c>
      <c r="G282" s="56"/>
      <c r="H282" s="56"/>
      <c r="I282" s="56"/>
      <c r="J282" s="56"/>
      <c r="K282" s="56"/>
      <c r="L282" s="56"/>
      <c r="M282" s="56"/>
      <c r="N282" s="56"/>
      <c r="O282" s="56">
        <f t="shared" si="11"/>
        <v>0</v>
      </c>
      <c r="P282" s="56">
        <v>4528.2</v>
      </c>
      <c r="Q282" s="58">
        <f t="shared" si="12"/>
        <v>171121.48</v>
      </c>
      <c r="R282" s="56"/>
    </row>
    <row r="283" ht="20" customHeight="1" spans="2:18">
      <c r="B283" s="42">
        <v>4</v>
      </c>
      <c r="C283" s="42">
        <v>9</v>
      </c>
      <c r="D283" s="42" t="s">
        <v>134</v>
      </c>
      <c r="E283" s="96" t="s">
        <v>291</v>
      </c>
      <c r="F283" s="97" t="s">
        <v>2829</v>
      </c>
      <c r="G283" s="56"/>
      <c r="H283" s="56"/>
      <c r="I283" s="56"/>
      <c r="J283" s="56"/>
      <c r="K283" s="56"/>
      <c r="L283" s="56"/>
      <c r="M283" s="56"/>
      <c r="N283" s="56"/>
      <c r="O283" s="56">
        <f t="shared" si="11"/>
        <v>0</v>
      </c>
      <c r="P283" s="56">
        <v>700</v>
      </c>
      <c r="Q283" s="58">
        <f t="shared" si="12"/>
        <v>170421.48</v>
      </c>
      <c r="R283" s="56"/>
    </row>
    <row r="284" ht="20" customHeight="1" spans="2:18">
      <c r="B284" s="42">
        <v>4</v>
      </c>
      <c r="C284" s="42">
        <v>9</v>
      </c>
      <c r="D284" s="42"/>
      <c r="E284" s="100" t="s">
        <v>2516</v>
      </c>
      <c r="F284" s="97" t="s">
        <v>2830</v>
      </c>
      <c r="G284" s="56"/>
      <c r="H284" s="56"/>
      <c r="I284" s="56"/>
      <c r="J284" s="56"/>
      <c r="K284" s="56">
        <v>525</v>
      </c>
      <c r="L284" s="56"/>
      <c r="M284" s="56"/>
      <c r="N284" s="56">
        <v>3.15</v>
      </c>
      <c r="O284" s="56">
        <f t="shared" si="11"/>
        <v>521.85</v>
      </c>
      <c r="P284" s="56"/>
      <c r="Q284" s="58">
        <f t="shared" si="12"/>
        <v>170943.33</v>
      </c>
      <c r="R284" s="56"/>
    </row>
    <row r="285" ht="20" customHeight="1" spans="2:18">
      <c r="B285" s="42">
        <v>4</v>
      </c>
      <c r="C285" s="42">
        <v>10</v>
      </c>
      <c r="D285" s="42"/>
      <c r="E285" s="104" t="s">
        <v>2513</v>
      </c>
      <c r="F285" s="123" t="s">
        <v>2831</v>
      </c>
      <c r="G285" s="56"/>
      <c r="H285" s="56"/>
      <c r="I285" s="56">
        <v>1750</v>
      </c>
      <c r="J285" s="56"/>
      <c r="K285" s="56"/>
      <c r="L285" s="56"/>
      <c r="M285" s="56"/>
      <c r="N285" s="56">
        <v>8.75</v>
      </c>
      <c r="O285" s="56">
        <f t="shared" si="11"/>
        <v>1741.25</v>
      </c>
      <c r="P285" s="56"/>
      <c r="Q285" s="58">
        <f t="shared" si="12"/>
        <v>172684.58</v>
      </c>
      <c r="R285" s="56"/>
    </row>
    <row r="286" ht="24.75" spans="2:18">
      <c r="B286" s="42">
        <v>4</v>
      </c>
      <c r="C286" s="42">
        <v>10</v>
      </c>
      <c r="D286" s="42"/>
      <c r="E286" s="96" t="s">
        <v>2531</v>
      </c>
      <c r="F286" s="124" t="s">
        <v>2832</v>
      </c>
      <c r="G286" s="56">
        <v>12462</v>
      </c>
      <c r="H286" s="56">
        <v>2538</v>
      </c>
      <c r="I286" s="56">
        <v>51</v>
      </c>
      <c r="J286" s="56"/>
      <c r="K286" s="56"/>
      <c r="L286" s="56"/>
      <c r="M286" s="56"/>
      <c r="N286" s="56"/>
      <c r="O286" s="56">
        <f t="shared" si="11"/>
        <v>15051</v>
      </c>
      <c r="P286" s="56"/>
      <c r="Q286" s="58">
        <f t="shared" si="12"/>
        <v>187735.58</v>
      </c>
      <c r="R286" s="56"/>
    </row>
    <row r="287" ht="20" customHeight="1" spans="2:18">
      <c r="B287" s="42">
        <v>4</v>
      </c>
      <c r="C287" s="42">
        <v>13</v>
      </c>
      <c r="D287" s="42"/>
      <c r="E287" s="104" t="s">
        <v>2513</v>
      </c>
      <c r="F287" s="97" t="s">
        <v>2833</v>
      </c>
      <c r="G287" s="56"/>
      <c r="H287" s="56"/>
      <c r="I287" s="56">
        <v>3200</v>
      </c>
      <c r="J287" s="56"/>
      <c r="K287" s="56"/>
      <c r="L287" s="56"/>
      <c r="M287" s="56"/>
      <c r="N287" s="56">
        <v>16</v>
      </c>
      <c r="O287" s="56">
        <f t="shared" si="11"/>
        <v>3184</v>
      </c>
      <c r="P287" s="56"/>
      <c r="Q287" s="58">
        <f t="shared" si="12"/>
        <v>190919.58</v>
      </c>
      <c r="R287" s="56"/>
    </row>
    <row r="288" ht="20" customHeight="1" spans="2:18">
      <c r="B288" s="42">
        <v>4</v>
      </c>
      <c r="C288" s="42">
        <v>13</v>
      </c>
      <c r="D288" s="42"/>
      <c r="E288" s="104" t="s">
        <v>2598</v>
      </c>
      <c r="F288" s="97" t="s">
        <v>2834</v>
      </c>
      <c r="G288" s="56">
        <v>4130.95</v>
      </c>
      <c r="H288" s="56">
        <v>369.05</v>
      </c>
      <c r="I288" s="56"/>
      <c r="J288" s="56"/>
      <c r="K288" s="56"/>
      <c r="L288" s="56"/>
      <c r="M288" s="56"/>
      <c r="N288" s="56"/>
      <c r="O288" s="56">
        <f t="shared" si="11"/>
        <v>4500</v>
      </c>
      <c r="P288" s="56"/>
      <c r="Q288" s="58">
        <f t="shared" si="12"/>
        <v>195419.58</v>
      </c>
      <c r="R288" s="56"/>
    </row>
    <row r="289" ht="20" customHeight="1" spans="2:18">
      <c r="B289" s="42">
        <v>4</v>
      </c>
      <c r="C289" s="42">
        <v>13</v>
      </c>
      <c r="D289" s="42"/>
      <c r="E289" s="104"/>
      <c r="F289" s="97" t="s">
        <v>2835</v>
      </c>
      <c r="G289" s="56"/>
      <c r="H289" s="56"/>
      <c r="I289" s="56"/>
      <c r="J289" s="56"/>
      <c r="K289" s="56">
        <v>150</v>
      </c>
      <c r="L289" s="56"/>
      <c r="M289" s="56"/>
      <c r="N289" s="56">
        <v>1.21</v>
      </c>
      <c r="O289" s="56">
        <f t="shared" si="11"/>
        <v>148.79</v>
      </c>
      <c r="P289" s="56"/>
      <c r="Q289" s="58">
        <f t="shared" si="12"/>
        <v>195568.37</v>
      </c>
      <c r="R289" s="59" t="s">
        <v>669</v>
      </c>
    </row>
    <row r="290" ht="20" customHeight="1" spans="2:18">
      <c r="B290" s="42">
        <v>4</v>
      </c>
      <c r="C290" s="42">
        <v>13</v>
      </c>
      <c r="D290" s="42"/>
      <c r="E290" s="104"/>
      <c r="F290" s="97" t="s">
        <v>2836</v>
      </c>
      <c r="G290" s="56"/>
      <c r="H290" s="56"/>
      <c r="I290" s="56"/>
      <c r="J290" s="56"/>
      <c r="K290" s="56">
        <v>240</v>
      </c>
      <c r="L290" s="56"/>
      <c r="M290" s="56"/>
      <c r="N290" s="56"/>
      <c r="O290" s="56">
        <f t="shared" si="11"/>
        <v>240</v>
      </c>
      <c r="P290" s="56"/>
      <c r="Q290" s="58">
        <f t="shared" si="12"/>
        <v>195808.37</v>
      </c>
      <c r="R290" s="59" t="s">
        <v>669</v>
      </c>
    </row>
    <row r="291" ht="20" customHeight="1" spans="2:18">
      <c r="B291" s="42">
        <v>4</v>
      </c>
      <c r="C291" s="42">
        <v>13</v>
      </c>
      <c r="D291" s="42"/>
      <c r="E291" s="96" t="s">
        <v>2546</v>
      </c>
      <c r="F291" s="97" t="s">
        <v>2837</v>
      </c>
      <c r="G291" s="56"/>
      <c r="H291" s="56"/>
      <c r="I291" s="56">
        <v>8</v>
      </c>
      <c r="J291" s="56"/>
      <c r="K291" s="56"/>
      <c r="L291" s="56"/>
      <c r="M291" s="56"/>
      <c r="N291" s="56"/>
      <c r="O291" s="56">
        <f t="shared" si="11"/>
        <v>8</v>
      </c>
      <c r="P291" s="56"/>
      <c r="Q291" s="58">
        <f t="shared" si="12"/>
        <v>195816.37</v>
      </c>
      <c r="R291" s="59" t="s">
        <v>669</v>
      </c>
    </row>
    <row r="292" ht="20" customHeight="1" spans="2:18">
      <c r="B292" s="42">
        <v>4</v>
      </c>
      <c r="C292" s="42">
        <v>13</v>
      </c>
      <c r="D292" s="42"/>
      <c r="E292" s="104"/>
      <c r="F292" s="97" t="s">
        <v>2838</v>
      </c>
      <c r="G292" s="56"/>
      <c r="H292" s="56"/>
      <c r="I292" s="56"/>
      <c r="J292" s="56"/>
      <c r="K292" s="56">
        <v>300</v>
      </c>
      <c r="L292" s="56"/>
      <c r="M292" s="56"/>
      <c r="N292" s="56"/>
      <c r="O292" s="56">
        <f t="shared" si="11"/>
        <v>300</v>
      </c>
      <c r="P292" s="56"/>
      <c r="Q292" s="58">
        <f t="shared" si="12"/>
        <v>196116.37</v>
      </c>
      <c r="R292" s="59" t="s">
        <v>669</v>
      </c>
    </row>
    <row r="293" ht="20" customHeight="1" spans="2:18">
      <c r="B293" s="42">
        <v>4</v>
      </c>
      <c r="C293" s="42">
        <v>13</v>
      </c>
      <c r="D293" s="42"/>
      <c r="E293" s="104"/>
      <c r="F293" s="97" t="s">
        <v>2839</v>
      </c>
      <c r="G293" s="56"/>
      <c r="H293" s="56"/>
      <c r="I293" s="56"/>
      <c r="J293" s="56"/>
      <c r="K293" s="56">
        <v>510</v>
      </c>
      <c r="L293" s="56"/>
      <c r="M293" s="56"/>
      <c r="N293" s="56"/>
      <c r="O293" s="56">
        <f t="shared" si="11"/>
        <v>510</v>
      </c>
      <c r="P293" s="56"/>
      <c r="Q293" s="58">
        <f t="shared" si="12"/>
        <v>196626.37</v>
      </c>
      <c r="R293" s="59" t="s">
        <v>669</v>
      </c>
    </row>
    <row r="294" ht="20" customHeight="1" spans="2:18">
      <c r="B294" s="42">
        <v>4</v>
      </c>
      <c r="C294" s="42">
        <v>14</v>
      </c>
      <c r="D294" s="42"/>
      <c r="E294" s="104" t="s">
        <v>2513</v>
      </c>
      <c r="F294" s="97" t="s">
        <v>2840</v>
      </c>
      <c r="G294" s="56"/>
      <c r="H294" s="56"/>
      <c r="I294" s="56">
        <v>50</v>
      </c>
      <c r="J294" s="56"/>
      <c r="K294" s="56"/>
      <c r="L294" s="56"/>
      <c r="M294" s="56"/>
      <c r="N294" s="56">
        <v>0.25</v>
      </c>
      <c r="O294" s="56">
        <f t="shared" si="11"/>
        <v>49.75</v>
      </c>
      <c r="P294" s="56"/>
      <c r="Q294" s="58">
        <f t="shared" si="12"/>
        <v>196676.12</v>
      </c>
      <c r="R294" s="56"/>
    </row>
    <row r="295" ht="20" customHeight="1" spans="2:18">
      <c r="B295" s="42">
        <v>4</v>
      </c>
      <c r="C295" s="42">
        <v>14</v>
      </c>
      <c r="D295" s="42"/>
      <c r="E295" s="100" t="s">
        <v>2626</v>
      </c>
      <c r="F295" s="97" t="s">
        <v>2841</v>
      </c>
      <c r="G295" s="56">
        <v>4262.5</v>
      </c>
      <c r="H295" s="56">
        <v>437.5</v>
      </c>
      <c r="I295" s="56"/>
      <c r="J295" s="56"/>
      <c r="K295" s="56"/>
      <c r="L295" s="56"/>
      <c r="M295" s="56"/>
      <c r="N295" s="56"/>
      <c r="O295" s="56">
        <f t="shared" si="11"/>
        <v>4700</v>
      </c>
      <c r="P295" s="56"/>
      <c r="Q295" s="58">
        <f t="shared" si="12"/>
        <v>201376.12</v>
      </c>
      <c r="R295" s="56"/>
    </row>
    <row r="296" ht="20" customHeight="1" spans="2:18">
      <c r="B296" s="42">
        <v>4</v>
      </c>
      <c r="C296" s="42">
        <v>14</v>
      </c>
      <c r="D296" s="74" t="s">
        <v>100</v>
      </c>
      <c r="E296" s="96" t="s">
        <v>291</v>
      </c>
      <c r="F296" s="97" t="s">
        <v>2842</v>
      </c>
      <c r="G296" s="56"/>
      <c r="H296" s="56"/>
      <c r="I296" s="56"/>
      <c r="J296" s="56"/>
      <c r="K296" s="56"/>
      <c r="L296" s="56"/>
      <c r="M296" s="56"/>
      <c r="N296" s="56"/>
      <c r="O296" s="56">
        <f t="shared" si="11"/>
        <v>0</v>
      </c>
      <c r="P296" s="56">
        <v>2587</v>
      </c>
      <c r="Q296" s="58">
        <f t="shared" si="12"/>
        <v>198789.12</v>
      </c>
      <c r="R296" s="56"/>
    </row>
    <row r="297" ht="20" customHeight="1" spans="2:18">
      <c r="B297" s="42">
        <v>4</v>
      </c>
      <c r="C297" s="42">
        <v>15</v>
      </c>
      <c r="D297" s="42"/>
      <c r="E297" s="104" t="s">
        <v>2636</v>
      </c>
      <c r="F297" s="97" t="s">
        <v>2843</v>
      </c>
      <c r="G297" s="56">
        <v>3712.5</v>
      </c>
      <c r="H297" s="56">
        <v>562.5</v>
      </c>
      <c r="I297" s="56">
        <v>177.06</v>
      </c>
      <c r="J297" s="56"/>
      <c r="K297" s="56"/>
      <c r="L297" s="56"/>
      <c r="M297" s="56"/>
      <c r="N297" s="56"/>
      <c r="O297" s="56">
        <f t="shared" si="11"/>
        <v>4452.06</v>
      </c>
      <c r="P297" s="56"/>
      <c r="Q297" s="58">
        <f t="shared" si="12"/>
        <v>203241.18</v>
      </c>
      <c r="R297" s="56"/>
    </row>
    <row r="298" ht="20" customHeight="1" spans="2:18">
      <c r="B298" s="42">
        <v>4</v>
      </c>
      <c r="C298" s="42">
        <v>15</v>
      </c>
      <c r="D298" s="74" t="s">
        <v>92</v>
      </c>
      <c r="E298" s="96" t="s">
        <v>20</v>
      </c>
      <c r="F298" s="97" t="s">
        <v>2844</v>
      </c>
      <c r="G298" s="56"/>
      <c r="H298" s="56"/>
      <c r="I298" s="56"/>
      <c r="J298" s="56"/>
      <c r="K298" s="56"/>
      <c r="L298" s="56"/>
      <c r="M298" s="56"/>
      <c r="N298" s="56"/>
      <c r="O298" s="56">
        <f t="shared" si="11"/>
        <v>0</v>
      </c>
      <c r="P298" s="56">
        <v>3500</v>
      </c>
      <c r="Q298" s="58">
        <f t="shared" si="12"/>
        <v>199741.18</v>
      </c>
      <c r="R298" s="56"/>
    </row>
    <row r="299" ht="20" customHeight="1" spans="2:18">
      <c r="B299" s="42">
        <v>4</v>
      </c>
      <c r="C299" s="42">
        <v>15</v>
      </c>
      <c r="D299" s="42"/>
      <c r="E299" s="100" t="s">
        <v>2629</v>
      </c>
      <c r="F299" s="97" t="s">
        <v>2845</v>
      </c>
      <c r="G299" s="56"/>
      <c r="H299" s="56"/>
      <c r="I299" s="56">
        <v>201.01</v>
      </c>
      <c r="J299" s="56"/>
      <c r="K299" s="56"/>
      <c r="L299" s="56"/>
      <c r="M299" s="56"/>
      <c r="N299" s="56"/>
      <c r="O299" s="56">
        <f t="shared" si="11"/>
        <v>201.01</v>
      </c>
      <c r="P299" s="56"/>
      <c r="Q299" s="58">
        <f t="shared" si="12"/>
        <v>199942.19</v>
      </c>
      <c r="R299" s="56"/>
    </row>
    <row r="300" ht="20" customHeight="1" spans="2:18">
      <c r="B300" s="42">
        <v>4</v>
      </c>
      <c r="C300" s="42">
        <v>15</v>
      </c>
      <c r="D300" s="74" t="s">
        <v>92</v>
      </c>
      <c r="E300" s="104" t="s">
        <v>251</v>
      </c>
      <c r="F300" s="97" t="s">
        <v>2846</v>
      </c>
      <c r="G300" s="56"/>
      <c r="H300" s="56"/>
      <c r="I300" s="56"/>
      <c r="J300" s="56"/>
      <c r="K300" s="56"/>
      <c r="L300" s="56"/>
      <c r="M300" s="56"/>
      <c r="N300" s="56"/>
      <c r="O300" s="56">
        <f t="shared" si="11"/>
        <v>0</v>
      </c>
      <c r="P300" s="56">
        <v>16599.86</v>
      </c>
      <c r="Q300" s="58">
        <f t="shared" si="12"/>
        <v>183342.33</v>
      </c>
      <c r="R300" s="56"/>
    </row>
    <row r="301" ht="20" customHeight="1" spans="2:18">
      <c r="B301" s="42">
        <v>4</v>
      </c>
      <c r="C301" s="42">
        <v>15</v>
      </c>
      <c r="D301" s="74" t="s">
        <v>93</v>
      </c>
      <c r="E301" s="104" t="s">
        <v>251</v>
      </c>
      <c r="F301" s="123" t="s">
        <v>2847</v>
      </c>
      <c r="G301" s="56"/>
      <c r="H301" s="56"/>
      <c r="I301" s="56"/>
      <c r="J301" s="56"/>
      <c r="K301" s="56"/>
      <c r="L301" s="56"/>
      <c r="M301" s="56"/>
      <c r="N301" s="56"/>
      <c r="O301" s="56"/>
      <c r="P301" s="56">
        <v>3244.38</v>
      </c>
      <c r="Q301" s="58">
        <f t="shared" si="12"/>
        <v>180097.95</v>
      </c>
      <c r="R301" s="56"/>
    </row>
    <row r="302" ht="20" customHeight="1" spans="2:18">
      <c r="B302" s="42">
        <v>4</v>
      </c>
      <c r="C302" s="42">
        <v>15</v>
      </c>
      <c r="D302" s="74" t="s">
        <v>92</v>
      </c>
      <c r="E302" s="104" t="s">
        <v>178</v>
      </c>
      <c r="F302" s="97" t="s">
        <v>2848</v>
      </c>
      <c r="G302" s="56"/>
      <c r="H302" s="56"/>
      <c r="I302" s="56"/>
      <c r="J302" s="56"/>
      <c r="K302" s="56"/>
      <c r="L302" s="56"/>
      <c r="M302" s="56"/>
      <c r="N302" s="56"/>
      <c r="O302" s="56">
        <f t="shared" ref="O302:O329" si="13">SUM(G302:M302)-N302</f>
        <v>0</v>
      </c>
      <c r="P302" s="56">
        <v>2500</v>
      </c>
      <c r="Q302" s="58">
        <f t="shared" si="12"/>
        <v>177597.95</v>
      </c>
      <c r="R302" s="56"/>
    </row>
    <row r="303" ht="20" customHeight="1" spans="2:18">
      <c r="B303" s="42">
        <v>4</v>
      </c>
      <c r="C303" s="42">
        <v>15</v>
      </c>
      <c r="D303" s="42"/>
      <c r="E303" s="104" t="s">
        <v>2516</v>
      </c>
      <c r="F303" s="97" t="s">
        <v>2849</v>
      </c>
      <c r="G303" s="56"/>
      <c r="H303" s="56"/>
      <c r="I303" s="56"/>
      <c r="J303" s="56"/>
      <c r="K303" s="56">
        <v>510</v>
      </c>
      <c r="L303" s="56"/>
      <c r="M303" s="56"/>
      <c r="N303" s="56">
        <v>3.06</v>
      </c>
      <c r="O303" s="56">
        <f t="shared" si="13"/>
        <v>506.94</v>
      </c>
      <c r="P303" s="56"/>
      <c r="Q303" s="58">
        <f t="shared" si="12"/>
        <v>178104.89</v>
      </c>
      <c r="R303" s="56"/>
    </row>
    <row r="304" ht="20" customHeight="1" spans="2:18">
      <c r="B304" s="42">
        <v>4</v>
      </c>
      <c r="C304" s="42">
        <v>15</v>
      </c>
      <c r="D304" s="74" t="s">
        <v>69</v>
      </c>
      <c r="E304" s="104" t="s">
        <v>2638</v>
      </c>
      <c r="F304" s="97" t="s">
        <v>2850</v>
      </c>
      <c r="G304" s="56"/>
      <c r="H304" s="56"/>
      <c r="I304" s="56"/>
      <c r="J304" s="56"/>
      <c r="K304" s="56"/>
      <c r="L304" s="56"/>
      <c r="M304" s="56"/>
      <c r="N304" s="56"/>
      <c r="O304" s="56">
        <f t="shared" si="13"/>
        <v>0</v>
      </c>
      <c r="P304" s="55">
        <v>25800</v>
      </c>
      <c r="Q304" s="58">
        <f t="shared" si="12"/>
        <v>152304.89</v>
      </c>
      <c r="R304" s="56"/>
    </row>
    <row r="305" ht="20" customHeight="1" spans="2:18">
      <c r="B305" s="42">
        <v>4</v>
      </c>
      <c r="C305" s="42">
        <v>16</v>
      </c>
      <c r="D305" s="42"/>
      <c r="E305" s="104" t="s">
        <v>2513</v>
      </c>
      <c r="F305" s="97" t="s">
        <v>2851</v>
      </c>
      <c r="G305" s="56"/>
      <c r="H305" s="56"/>
      <c r="I305" s="56">
        <v>1450</v>
      </c>
      <c r="J305" s="56"/>
      <c r="K305" s="56"/>
      <c r="L305" s="56"/>
      <c r="M305" s="56"/>
      <c r="N305" s="56">
        <v>7.25</v>
      </c>
      <c r="O305" s="56">
        <f t="shared" si="13"/>
        <v>1442.75</v>
      </c>
      <c r="P305" s="56"/>
      <c r="Q305" s="58">
        <f t="shared" si="12"/>
        <v>153747.64</v>
      </c>
      <c r="R305" s="56"/>
    </row>
    <row r="306" ht="20" customHeight="1" spans="2:18">
      <c r="B306" s="42">
        <v>4</v>
      </c>
      <c r="C306" s="42">
        <v>17</v>
      </c>
      <c r="D306" s="42"/>
      <c r="E306" s="104" t="s">
        <v>2513</v>
      </c>
      <c r="F306" s="97" t="s">
        <v>2852</v>
      </c>
      <c r="G306" s="56"/>
      <c r="H306" s="56"/>
      <c r="I306" s="56">
        <v>600</v>
      </c>
      <c r="J306" s="56"/>
      <c r="K306" s="56"/>
      <c r="L306" s="56"/>
      <c r="M306" s="56"/>
      <c r="N306" s="56">
        <v>3</v>
      </c>
      <c r="O306" s="56">
        <f t="shared" si="13"/>
        <v>597</v>
      </c>
      <c r="P306" s="56"/>
      <c r="Q306" s="58">
        <f t="shared" si="12"/>
        <v>154344.64</v>
      </c>
      <c r="R306" s="56"/>
    </row>
    <row r="307" ht="20" customHeight="1" spans="2:18">
      <c r="B307" s="42">
        <v>4</v>
      </c>
      <c r="C307" s="42">
        <v>17</v>
      </c>
      <c r="D307" s="42"/>
      <c r="E307" s="100" t="s">
        <v>2853</v>
      </c>
      <c r="F307" s="97" t="s">
        <v>2854</v>
      </c>
      <c r="G307" s="56">
        <v>1200</v>
      </c>
      <c r="H307" s="56"/>
      <c r="I307" s="56"/>
      <c r="J307" s="56"/>
      <c r="K307" s="56"/>
      <c r="L307" s="56"/>
      <c r="M307" s="56"/>
      <c r="N307" s="56"/>
      <c r="O307" s="56">
        <f t="shared" si="13"/>
        <v>1200</v>
      </c>
      <c r="P307" s="56"/>
      <c r="Q307" s="58">
        <f t="shared" si="12"/>
        <v>155544.64</v>
      </c>
      <c r="R307" s="56"/>
    </row>
    <row r="308" ht="20" customHeight="1" spans="2:18">
      <c r="B308" s="42">
        <v>4</v>
      </c>
      <c r="C308" s="42">
        <v>17</v>
      </c>
      <c r="D308" s="42"/>
      <c r="E308" s="104" t="s">
        <v>2600</v>
      </c>
      <c r="F308" s="97" t="s">
        <v>2855</v>
      </c>
      <c r="G308" s="56">
        <v>1390.7</v>
      </c>
      <c r="H308" s="56">
        <v>409.3</v>
      </c>
      <c r="I308" s="56">
        <v>50</v>
      </c>
      <c r="J308" s="56"/>
      <c r="K308" s="56"/>
      <c r="L308" s="56"/>
      <c r="M308" s="56"/>
      <c r="N308" s="56"/>
      <c r="O308" s="56">
        <f t="shared" si="13"/>
        <v>1850</v>
      </c>
      <c r="P308" s="56"/>
      <c r="Q308" s="58">
        <f t="shared" si="12"/>
        <v>157394.64</v>
      </c>
      <c r="R308" s="56"/>
    </row>
    <row r="309" ht="20" customHeight="1" spans="2:18">
      <c r="B309" s="42">
        <v>4</v>
      </c>
      <c r="C309" s="42">
        <v>17</v>
      </c>
      <c r="D309" s="42"/>
      <c r="E309" s="104" t="s">
        <v>2535</v>
      </c>
      <c r="F309" s="97" t="s">
        <v>2856</v>
      </c>
      <c r="G309" s="56">
        <v>1974</v>
      </c>
      <c r="H309" s="56">
        <v>282</v>
      </c>
      <c r="I309" s="56">
        <v>17</v>
      </c>
      <c r="J309" s="56"/>
      <c r="K309" s="56"/>
      <c r="L309" s="56"/>
      <c r="M309" s="56"/>
      <c r="N309" s="56"/>
      <c r="O309" s="56">
        <f t="shared" si="13"/>
        <v>2273</v>
      </c>
      <c r="P309" s="56"/>
      <c r="Q309" s="58">
        <f t="shared" si="12"/>
        <v>159667.64</v>
      </c>
      <c r="R309" s="56"/>
    </row>
    <row r="310" ht="20" customHeight="1" spans="2:18">
      <c r="B310" s="42">
        <v>4</v>
      </c>
      <c r="C310" s="42">
        <v>20</v>
      </c>
      <c r="D310" s="42"/>
      <c r="E310" s="104" t="s">
        <v>2513</v>
      </c>
      <c r="F310" s="97" t="s">
        <v>2857</v>
      </c>
      <c r="G310" s="56"/>
      <c r="H310" s="56"/>
      <c r="I310" s="56">
        <v>3350</v>
      </c>
      <c r="J310" s="56"/>
      <c r="K310" s="56"/>
      <c r="L310" s="56"/>
      <c r="M310" s="56"/>
      <c r="N310" s="56">
        <v>16.75</v>
      </c>
      <c r="O310" s="56">
        <f t="shared" si="13"/>
        <v>3333.25</v>
      </c>
      <c r="P310" s="56"/>
      <c r="Q310" s="58">
        <f t="shared" si="12"/>
        <v>163000.89</v>
      </c>
      <c r="R310" s="56"/>
    </row>
    <row r="311" ht="20" customHeight="1" spans="2:18">
      <c r="B311" s="42">
        <v>4</v>
      </c>
      <c r="C311" s="42">
        <v>20</v>
      </c>
      <c r="D311" s="42"/>
      <c r="E311" s="100"/>
      <c r="F311" s="97" t="s">
        <v>2858</v>
      </c>
      <c r="G311" s="56"/>
      <c r="H311" s="56"/>
      <c r="I311" s="56"/>
      <c r="J311" s="56"/>
      <c r="K311" s="56">
        <v>200</v>
      </c>
      <c r="L311" s="56"/>
      <c r="M311" s="56"/>
      <c r="N311" s="56">
        <v>1.24</v>
      </c>
      <c r="O311" s="56">
        <f t="shared" si="13"/>
        <v>198.76</v>
      </c>
      <c r="P311" s="56"/>
      <c r="Q311" s="58">
        <f t="shared" si="12"/>
        <v>163199.65</v>
      </c>
      <c r="R311" s="59" t="s">
        <v>669</v>
      </c>
    </row>
    <row r="312" ht="20" customHeight="1" spans="2:18">
      <c r="B312" s="42">
        <v>4</v>
      </c>
      <c r="C312" s="42">
        <v>20</v>
      </c>
      <c r="D312" s="42"/>
      <c r="E312" s="100"/>
      <c r="F312" s="97" t="s">
        <v>2859</v>
      </c>
      <c r="G312" s="56"/>
      <c r="H312" s="56"/>
      <c r="I312" s="56"/>
      <c r="J312" s="56"/>
      <c r="K312" s="56">
        <v>500</v>
      </c>
      <c r="L312" s="56"/>
      <c r="M312" s="56"/>
      <c r="N312" s="56"/>
      <c r="O312" s="56">
        <f t="shared" si="13"/>
        <v>500</v>
      </c>
      <c r="P312" s="56"/>
      <c r="Q312" s="58">
        <f t="shared" si="12"/>
        <v>163699.65</v>
      </c>
      <c r="R312" s="59" t="s">
        <v>669</v>
      </c>
    </row>
    <row r="313" ht="20" customHeight="1" spans="2:18">
      <c r="B313" s="42">
        <v>4</v>
      </c>
      <c r="C313" s="42">
        <v>20</v>
      </c>
      <c r="D313" s="42"/>
      <c r="E313" s="100"/>
      <c r="F313" s="97" t="s">
        <v>2860</v>
      </c>
      <c r="G313" s="56"/>
      <c r="H313" s="56"/>
      <c r="I313" s="56"/>
      <c r="J313" s="56"/>
      <c r="K313" s="56">
        <v>240</v>
      </c>
      <c r="L313" s="56"/>
      <c r="M313" s="56"/>
      <c r="N313" s="56"/>
      <c r="O313" s="56">
        <f t="shared" si="13"/>
        <v>240</v>
      </c>
      <c r="P313" s="56"/>
      <c r="Q313" s="58">
        <f t="shared" si="12"/>
        <v>163939.65</v>
      </c>
      <c r="R313" s="59" t="s">
        <v>669</v>
      </c>
    </row>
    <row r="314" ht="20" customHeight="1" spans="2:18">
      <c r="B314" s="42">
        <v>4</v>
      </c>
      <c r="C314" s="42">
        <v>20</v>
      </c>
      <c r="D314" s="42"/>
      <c r="E314" s="100"/>
      <c r="F314" s="97" t="s">
        <v>2861</v>
      </c>
      <c r="G314" s="56"/>
      <c r="H314" s="56"/>
      <c r="I314" s="56"/>
      <c r="J314" s="56"/>
      <c r="K314" s="56">
        <v>300</v>
      </c>
      <c r="L314" s="56"/>
      <c r="M314" s="56"/>
      <c r="N314" s="56"/>
      <c r="O314" s="56">
        <f t="shared" si="13"/>
        <v>300</v>
      </c>
      <c r="P314" s="56"/>
      <c r="Q314" s="58">
        <f t="shared" si="12"/>
        <v>164239.65</v>
      </c>
      <c r="R314" s="59" t="s">
        <v>669</v>
      </c>
    </row>
    <row r="315" ht="20" customHeight="1" spans="2:18">
      <c r="B315" s="42">
        <v>4</v>
      </c>
      <c r="C315" s="42">
        <v>20</v>
      </c>
      <c r="D315" s="42"/>
      <c r="E315" s="104" t="s">
        <v>2559</v>
      </c>
      <c r="F315" s="97" t="s">
        <v>2862</v>
      </c>
      <c r="G315" s="56">
        <v>2611</v>
      </c>
      <c r="H315" s="56">
        <v>373</v>
      </c>
      <c r="I315" s="56">
        <v>22.5</v>
      </c>
      <c r="J315" s="56"/>
      <c r="K315" s="56"/>
      <c r="L315" s="56"/>
      <c r="M315" s="56"/>
      <c r="N315" s="56"/>
      <c r="O315" s="56">
        <f t="shared" si="13"/>
        <v>3006.5</v>
      </c>
      <c r="P315" s="56"/>
      <c r="Q315" s="58">
        <f t="shared" si="12"/>
        <v>167246.15</v>
      </c>
      <c r="R315" s="56"/>
    </row>
    <row r="316" ht="20" customHeight="1" spans="2:18">
      <c r="B316" s="42">
        <v>4</v>
      </c>
      <c r="C316" s="42">
        <v>20</v>
      </c>
      <c r="D316" s="42"/>
      <c r="E316" s="104" t="s">
        <v>2516</v>
      </c>
      <c r="F316" s="97" t="s">
        <v>2863</v>
      </c>
      <c r="G316" s="56"/>
      <c r="H316" s="56"/>
      <c r="I316" s="56"/>
      <c r="J316" s="56"/>
      <c r="K316" s="56">
        <v>520</v>
      </c>
      <c r="L316" s="56"/>
      <c r="M316" s="56"/>
      <c r="N316" s="56">
        <v>3.12</v>
      </c>
      <c r="O316" s="56">
        <f t="shared" si="13"/>
        <v>516.88</v>
      </c>
      <c r="P316" s="56"/>
      <c r="Q316" s="58">
        <f t="shared" si="12"/>
        <v>167763.03</v>
      </c>
      <c r="R316" s="56"/>
    </row>
    <row r="317" ht="20" customHeight="1" spans="2:18">
      <c r="B317" s="42">
        <v>4</v>
      </c>
      <c r="C317" s="42">
        <v>21</v>
      </c>
      <c r="D317" s="42"/>
      <c r="E317" s="104" t="s">
        <v>2513</v>
      </c>
      <c r="F317" s="118" t="s">
        <v>2864</v>
      </c>
      <c r="G317" s="56"/>
      <c r="H317" s="56"/>
      <c r="I317" s="56">
        <v>100</v>
      </c>
      <c r="J317" s="56"/>
      <c r="K317" s="56"/>
      <c r="L317" s="56"/>
      <c r="M317" s="56"/>
      <c r="N317" s="56">
        <v>0.5</v>
      </c>
      <c r="O317" s="56">
        <f t="shared" si="13"/>
        <v>99.5</v>
      </c>
      <c r="P317" s="56"/>
      <c r="Q317" s="58">
        <f t="shared" si="12"/>
        <v>167862.53</v>
      </c>
      <c r="R317" s="56"/>
    </row>
    <row r="318" ht="20" customHeight="1" spans="2:18">
      <c r="B318" s="42">
        <v>4</v>
      </c>
      <c r="C318" s="42">
        <v>21</v>
      </c>
      <c r="D318" s="42"/>
      <c r="E318" s="104" t="s">
        <v>2624</v>
      </c>
      <c r="F318" s="97" t="s">
        <v>2865</v>
      </c>
      <c r="G318" s="56"/>
      <c r="H318" s="56"/>
      <c r="I318" s="56">
        <v>66</v>
      </c>
      <c r="J318" s="56"/>
      <c r="K318" s="56"/>
      <c r="L318" s="56"/>
      <c r="M318" s="56"/>
      <c r="N318" s="56"/>
      <c r="O318" s="56">
        <f t="shared" si="13"/>
        <v>66</v>
      </c>
      <c r="P318" s="56"/>
      <c r="Q318" s="58">
        <f t="shared" si="12"/>
        <v>167928.53</v>
      </c>
      <c r="R318" s="56"/>
    </row>
    <row r="319" ht="20" customHeight="1" spans="2:18">
      <c r="B319" s="42">
        <v>4</v>
      </c>
      <c r="C319" s="42">
        <v>21</v>
      </c>
      <c r="D319" s="42"/>
      <c r="E319" s="96" t="s">
        <v>2663</v>
      </c>
      <c r="F319" s="97" t="s">
        <v>2866</v>
      </c>
      <c r="G319" s="56">
        <v>3948</v>
      </c>
      <c r="H319" s="56">
        <v>620</v>
      </c>
      <c r="I319" s="56"/>
      <c r="J319" s="56"/>
      <c r="K319" s="56"/>
      <c r="L319" s="56"/>
      <c r="M319" s="56"/>
      <c r="N319" s="56"/>
      <c r="O319" s="56">
        <f t="shared" si="13"/>
        <v>4568</v>
      </c>
      <c r="P319" s="56"/>
      <c r="Q319" s="58">
        <f t="shared" si="12"/>
        <v>172496.53</v>
      </c>
      <c r="R319" s="56"/>
    </row>
    <row r="320" ht="20" customHeight="1" spans="2:18">
      <c r="B320" s="42">
        <v>4</v>
      </c>
      <c r="C320" s="42">
        <v>23</v>
      </c>
      <c r="D320" s="42"/>
      <c r="E320" s="100" t="s">
        <v>2513</v>
      </c>
      <c r="F320" s="97" t="s">
        <v>2867</v>
      </c>
      <c r="G320" s="56"/>
      <c r="H320" s="56"/>
      <c r="I320" s="56">
        <v>1280</v>
      </c>
      <c r="J320" s="56"/>
      <c r="K320" s="56"/>
      <c r="L320" s="56"/>
      <c r="M320" s="56"/>
      <c r="N320" s="56">
        <v>6.4</v>
      </c>
      <c r="O320" s="56">
        <f t="shared" si="13"/>
        <v>1273.6</v>
      </c>
      <c r="P320" s="56"/>
      <c r="Q320" s="58">
        <f t="shared" ref="Q320:Q357" si="14">Q319+O320-P320</f>
        <v>173770.13</v>
      </c>
      <c r="R320" s="56"/>
    </row>
    <row r="321" ht="20" customHeight="1" spans="2:18">
      <c r="B321" s="42">
        <v>4</v>
      </c>
      <c r="C321" s="42">
        <v>24</v>
      </c>
      <c r="D321" s="42"/>
      <c r="E321" s="100" t="s">
        <v>2513</v>
      </c>
      <c r="F321" s="97" t="s">
        <v>2868</v>
      </c>
      <c r="G321" s="56"/>
      <c r="H321" s="56"/>
      <c r="I321" s="56">
        <v>140</v>
      </c>
      <c r="J321" s="56"/>
      <c r="K321" s="56"/>
      <c r="L321" s="56"/>
      <c r="M321" s="56"/>
      <c r="N321" s="56">
        <v>0.7</v>
      </c>
      <c r="O321" s="56">
        <f t="shared" si="13"/>
        <v>139.3</v>
      </c>
      <c r="P321" s="56"/>
      <c r="Q321" s="58">
        <f t="shared" si="14"/>
        <v>173909.43</v>
      </c>
      <c r="R321" s="56"/>
    </row>
    <row r="322" ht="20" customHeight="1" spans="2:18">
      <c r="B322" s="42">
        <v>4</v>
      </c>
      <c r="C322" s="42">
        <v>26</v>
      </c>
      <c r="D322" s="42"/>
      <c r="E322" s="104" t="s">
        <v>2516</v>
      </c>
      <c r="F322" s="97" t="s">
        <v>2869</v>
      </c>
      <c r="G322" s="56"/>
      <c r="H322" s="56"/>
      <c r="I322" s="56"/>
      <c r="J322" s="56"/>
      <c r="K322" s="56">
        <v>590</v>
      </c>
      <c r="L322" s="56"/>
      <c r="M322" s="56"/>
      <c r="N322" s="56">
        <v>3.54</v>
      </c>
      <c r="O322" s="56">
        <f t="shared" si="13"/>
        <v>586.46</v>
      </c>
      <c r="P322" s="56"/>
      <c r="Q322" s="58">
        <f t="shared" si="14"/>
        <v>174495.89</v>
      </c>
      <c r="R322" s="56"/>
    </row>
    <row r="323" ht="20" customHeight="1" spans="2:18">
      <c r="B323" s="42">
        <v>4</v>
      </c>
      <c r="C323" s="42">
        <v>27</v>
      </c>
      <c r="D323" s="42"/>
      <c r="E323" s="104" t="s">
        <v>2513</v>
      </c>
      <c r="F323" s="118" t="s">
        <v>2870</v>
      </c>
      <c r="G323" s="56"/>
      <c r="H323" s="56"/>
      <c r="I323" s="56">
        <v>3320</v>
      </c>
      <c r="J323" s="56"/>
      <c r="K323" s="56"/>
      <c r="L323" s="56"/>
      <c r="M323" s="56"/>
      <c r="N323" s="56">
        <v>16.6</v>
      </c>
      <c r="O323" s="56">
        <f t="shared" si="13"/>
        <v>3303.4</v>
      </c>
      <c r="P323" s="56"/>
      <c r="Q323" s="58">
        <f t="shared" si="14"/>
        <v>177799.29</v>
      </c>
      <c r="R323" s="56"/>
    </row>
    <row r="324" ht="20" customHeight="1" spans="2:18">
      <c r="B324" s="42">
        <v>4</v>
      </c>
      <c r="C324" s="42">
        <v>27</v>
      </c>
      <c r="D324" s="74" t="s">
        <v>69</v>
      </c>
      <c r="E324" s="100" t="s">
        <v>2638</v>
      </c>
      <c r="F324" s="97" t="s">
        <v>2871</v>
      </c>
      <c r="G324" s="56"/>
      <c r="H324" s="56"/>
      <c r="I324" s="56"/>
      <c r="J324" s="56"/>
      <c r="K324" s="56"/>
      <c r="L324" s="56"/>
      <c r="M324" s="56"/>
      <c r="N324" s="56"/>
      <c r="O324" s="56">
        <f t="shared" si="13"/>
        <v>0</v>
      </c>
      <c r="P324" s="55">
        <v>70000</v>
      </c>
      <c r="Q324" s="58">
        <f t="shared" si="14"/>
        <v>107799.29</v>
      </c>
      <c r="R324" s="56"/>
    </row>
    <row r="325" ht="20" customHeight="1" spans="2:18">
      <c r="B325" s="42">
        <v>4</v>
      </c>
      <c r="C325" s="42">
        <v>27</v>
      </c>
      <c r="D325" s="42" t="s">
        <v>129</v>
      </c>
      <c r="E325" s="100" t="s">
        <v>283</v>
      </c>
      <c r="F325" s="97" t="s">
        <v>2872</v>
      </c>
      <c r="G325" s="56"/>
      <c r="H325" s="56"/>
      <c r="I325" s="56"/>
      <c r="J325" s="56"/>
      <c r="K325" s="56"/>
      <c r="L325" s="56"/>
      <c r="M325" s="56"/>
      <c r="N325" s="56"/>
      <c r="O325" s="56">
        <f t="shared" si="13"/>
        <v>0</v>
      </c>
      <c r="P325" s="56">
        <v>1035</v>
      </c>
      <c r="Q325" s="58">
        <f t="shared" si="14"/>
        <v>106764.29</v>
      </c>
      <c r="R325" s="56"/>
    </row>
    <row r="326" ht="20" customHeight="1" spans="2:18">
      <c r="B326" s="42">
        <v>4</v>
      </c>
      <c r="C326" s="42">
        <v>27</v>
      </c>
      <c r="D326" s="42" t="s">
        <v>104</v>
      </c>
      <c r="E326" s="100" t="s">
        <v>283</v>
      </c>
      <c r="F326" s="97" t="s">
        <v>2873</v>
      </c>
      <c r="G326" s="56"/>
      <c r="H326" s="56"/>
      <c r="I326" s="56"/>
      <c r="J326" s="56"/>
      <c r="K326" s="56"/>
      <c r="L326" s="56"/>
      <c r="M326" s="56"/>
      <c r="N326" s="56"/>
      <c r="O326" s="56">
        <f t="shared" si="13"/>
        <v>0</v>
      </c>
      <c r="P326" s="56">
        <v>2500</v>
      </c>
      <c r="Q326" s="58">
        <f t="shared" si="14"/>
        <v>104264.29</v>
      </c>
      <c r="R326" s="56"/>
    </row>
    <row r="327" ht="20" customHeight="1" spans="2:18">
      <c r="B327" s="42">
        <v>4</v>
      </c>
      <c r="C327" s="42">
        <v>27</v>
      </c>
      <c r="D327" s="42" t="s">
        <v>129</v>
      </c>
      <c r="E327" s="100" t="s">
        <v>283</v>
      </c>
      <c r="F327" s="97" t="s">
        <v>2874</v>
      </c>
      <c r="G327" s="56"/>
      <c r="H327" s="56"/>
      <c r="I327" s="56"/>
      <c r="J327" s="56"/>
      <c r="K327" s="56"/>
      <c r="L327" s="56"/>
      <c r="M327" s="56"/>
      <c r="N327" s="56"/>
      <c r="O327" s="56">
        <f t="shared" si="13"/>
        <v>0</v>
      </c>
      <c r="P327" s="56">
        <v>3431</v>
      </c>
      <c r="Q327" s="58">
        <f t="shared" si="14"/>
        <v>100833.29</v>
      </c>
      <c r="R327" s="56"/>
    </row>
    <row r="328" ht="20" customHeight="1" spans="2:18">
      <c r="B328" s="42">
        <v>4</v>
      </c>
      <c r="C328" s="42">
        <v>27</v>
      </c>
      <c r="D328" s="42"/>
      <c r="E328" s="104"/>
      <c r="F328" s="97" t="s">
        <v>2875</v>
      </c>
      <c r="G328" s="56"/>
      <c r="H328" s="56"/>
      <c r="I328" s="56"/>
      <c r="J328" s="56"/>
      <c r="K328" s="56">
        <v>240</v>
      </c>
      <c r="L328" s="56"/>
      <c r="M328" s="56"/>
      <c r="N328" s="56">
        <v>1.52</v>
      </c>
      <c r="O328" s="56">
        <f t="shared" si="13"/>
        <v>238.48</v>
      </c>
      <c r="P328" s="56"/>
      <c r="Q328" s="58">
        <f t="shared" si="14"/>
        <v>101071.77</v>
      </c>
      <c r="R328" s="59" t="s">
        <v>669</v>
      </c>
    </row>
    <row r="329" ht="20" customHeight="1" spans="2:18">
      <c r="B329" s="42">
        <v>4</v>
      </c>
      <c r="C329" s="42">
        <v>27</v>
      </c>
      <c r="D329" s="42"/>
      <c r="E329" s="104"/>
      <c r="F329" s="97" t="s">
        <v>2876</v>
      </c>
      <c r="G329" s="56"/>
      <c r="H329" s="56"/>
      <c r="I329" s="56"/>
      <c r="J329" s="56"/>
      <c r="K329" s="56">
        <v>300</v>
      </c>
      <c r="L329" s="56"/>
      <c r="M329" s="56"/>
      <c r="N329" s="56"/>
      <c r="O329" s="56">
        <f t="shared" si="13"/>
        <v>300</v>
      </c>
      <c r="P329" s="56"/>
      <c r="Q329" s="58">
        <f t="shared" si="14"/>
        <v>101371.77</v>
      </c>
      <c r="R329" s="59" t="s">
        <v>669</v>
      </c>
    </row>
    <row r="330" ht="20" customHeight="1" spans="2:18">
      <c r="B330" s="42">
        <v>4</v>
      </c>
      <c r="C330" s="42">
        <v>27</v>
      </c>
      <c r="D330" s="42"/>
      <c r="E330" s="104"/>
      <c r="F330" s="97" t="s">
        <v>2877</v>
      </c>
      <c r="G330" s="56"/>
      <c r="H330" s="56"/>
      <c r="I330" s="56"/>
      <c r="J330" s="56"/>
      <c r="K330" s="56"/>
      <c r="L330" s="56"/>
      <c r="M330" s="56"/>
      <c r="N330" s="56"/>
      <c r="O330" s="56">
        <v>500</v>
      </c>
      <c r="P330" s="56"/>
      <c r="Q330" s="58">
        <f t="shared" si="14"/>
        <v>101871.77</v>
      </c>
      <c r="R330" s="59" t="s">
        <v>669</v>
      </c>
    </row>
    <row r="331" ht="20" customHeight="1" spans="2:18">
      <c r="B331" s="42">
        <v>4</v>
      </c>
      <c r="C331" s="42">
        <v>27</v>
      </c>
      <c r="D331" s="42"/>
      <c r="E331" s="100"/>
      <c r="F331" s="97" t="s">
        <v>2878</v>
      </c>
      <c r="G331" s="56"/>
      <c r="H331" s="56"/>
      <c r="I331" s="56"/>
      <c r="J331" s="56"/>
      <c r="K331" s="56"/>
      <c r="L331" s="56"/>
      <c r="M331" s="56"/>
      <c r="N331" s="56"/>
      <c r="O331" s="56">
        <v>500</v>
      </c>
      <c r="P331" s="56"/>
      <c r="Q331" s="58">
        <f t="shared" si="14"/>
        <v>102371.77</v>
      </c>
      <c r="R331" s="59" t="s">
        <v>669</v>
      </c>
    </row>
    <row r="332" ht="20" customHeight="1" spans="2:18">
      <c r="B332" s="42">
        <v>4</v>
      </c>
      <c r="C332" s="42">
        <v>27</v>
      </c>
      <c r="D332" s="42"/>
      <c r="E332" s="104"/>
      <c r="F332" s="97" t="s">
        <v>2879</v>
      </c>
      <c r="G332" s="56"/>
      <c r="H332" s="56"/>
      <c r="I332" s="56"/>
      <c r="J332" s="56"/>
      <c r="K332" s="56"/>
      <c r="L332" s="56"/>
      <c r="M332" s="56"/>
      <c r="N332" s="56"/>
      <c r="O332" s="56">
        <f t="shared" ref="O332:O357" si="15">SUM(G332:M332)-N332</f>
        <v>0</v>
      </c>
      <c r="P332" s="56">
        <v>1000</v>
      </c>
      <c r="Q332" s="58">
        <f t="shared" si="14"/>
        <v>101371.77</v>
      </c>
      <c r="R332" s="59" t="s">
        <v>669</v>
      </c>
    </row>
    <row r="333" ht="20" customHeight="1" spans="2:18">
      <c r="B333" s="42">
        <v>4</v>
      </c>
      <c r="C333" s="42">
        <v>27</v>
      </c>
      <c r="D333" s="42"/>
      <c r="E333" s="104"/>
      <c r="F333" s="97" t="s">
        <v>2880</v>
      </c>
      <c r="G333" s="56"/>
      <c r="H333" s="56"/>
      <c r="I333" s="56"/>
      <c r="J333" s="56"/>
      <c r="K333" s="56">
        <v>400</v>
      </c>
      <c r="L333" s="56"/>
      <c r="M333" s="56"/>
      <c r="N333" s="56"/>
      <c r="O333" s="56">
        <f t="shared" si="15"/>
        <v>400</v>
      </c>
      <c r="P333" s="56"/>
      <c r="Q333" s="58">
        <f t="shared" si="14"/>
        <v>101771.77</v>
      </c>
      <c r="R333" s="59" t="s">
        <v>669</v>
      </c>
    </row>
    <row r="334" ht="20" customHeight="1" spans="2:18">
      <c r="B334" s="42">
        <v>4</v>
      </c>
      <c r="C334" s="42">
        <v>27</v>
      </c>
      <c r="D334" s="42"/>
      <c r="E334" s="104" t="s">
        <v>2690</v>
      </c>
      <c r="F334" s="97" t="s">
        <v>2881</v>
      </c>
      <c r="G334" s="56"/>
      <c r="H334" s="56"/>
      <c r="I334" s="56">
        <v>140.6</v>
      </c>
      <c r="J334" s="56"/>
      <c r="K334" s="56"/>
      <c r="L334" s="56"/>
      <c r="M334" s="56"/>
      <c r="N334" s="56"/>
      <c r="O334" s="56">
        <f t="shared" si="15"/>
        <v>140.6</v>
      </c>
      <c r="P334" s="56"/>
      <c r="Q334" s="58">
        <f t="shared" si="14"/>
        <v>101912.37</v>
      </c>
      <c r="R334" s="59" t="s">
        <v>669</v>
      </c>
    </row>
    <row r="335" ht="20" customHeight="1" spans="2:18">
      <c r="B335" s="42">
        <v>4</v>
      </c>
      <c r="C335" s="42">
        <v>27</v>
      </c>
      <c r="D335" s="42"/>
      <c r="E335" s="100"/>
      <c r="F335" s="97" t="s">
        <v>2882</v>
      </c>
      <c r="G335" s="56"/>
      <c r="H335" s="56"/>
      <c r="I335" s="56"/>
      <c r="J335" s="56"/>
      <c r="K335" s="56">
        <v>240</v>
      </c>
      <c r="L335" s="56"/>
      <c r="M335" s="56"/>
      <c r="N335" s="56"/>
      <c r="O335" s="56">
        <f t="shared" si="15"/>
        <v>240</v>
      </c>
      <c r="P335" s="56"/>
      <c r="Q335" s="58">
        <f t="shared" si="14"/>
        <v>102152.37</v>
      </c>
      <c r="R335" s="59" t="s">
        <v>669</v>
      </c>
    </row>
    <row r="336" ht="20" customHeight="1" spans="2:18">
      <c r="B336" s="42">
        <v>4</v>
      </c>
      <c r="C336" s="42">
        <v>27</v>
      </c>
      <c r="D336" s="42"/>
      <c r="E336" s="104"/>
      <c r="F336" s="97" t="s">
        <v>2883</v>
      </c>
      <c r="G336" s="56"/>
      <c r="H336" s="56"/>
      <c r="I336" s="56"/>
      <c r="J336" s="56"/>
      <c r="K336" s="56">
        <v>200</v>
      </c>
      <c r="L336" s="56"/>
      <c r="M336" s="56"/>
      <c r="N336" s="56"/>
      <c r="O336" s="56">
        <f t="shared" si="15"/>
        <v>200</v>
      </c>
      <c r="P336" s="56"/>
      <c r="Q336" s="58">
        <f t="shared" si="14"/>
        <v>102352.37</v>
      </c>
      <c r="R336" s="59" t="s">
        <v>669</v>
      </c>
    </row>
    <row r="337" ht="20" customHeight="1" spans="2:18">
      <c r="B337" s="42">
        <v>4</v>
      </c>
      <c r="C337" s="42">
        <v>27</v>
      </c>
      <c r="D337" s="42"/>
      <c r="E337" s="104" t="s">
        <v>2674</v>
      </c>
      <c r="F337" s="97" t="s">
        <v>2884</v>
      </c>
      <c r="G337" s="56">
        <v>5000</v>
      </c>
      <c r="H337" s="56">
        <v>1100</v>
      </c>
      <c r="I337" s="56"/>
      <c r="J337" s="56"/>
      <c r="K337" s="56"/>
      <c r="L337" s="56"/>
      <c r="M337" s="56"/>
      <c r="N337" s="56"/>
      <c r="O337" s="56">
        <f t="shared" si="15"/>
        <v>6100</v>
      </c>
      <c r="P337" s="56"/>
      <c r="Q337" s="58">
        <f t="shared" si="14"/>
        <v>108452.37</v>
      </c>
      <c r="R337" s="59"/>
    </row>
    <row r="338" ht="20" customHeight="1" spans="2:18">
      <c r="B338" s="42">
        <v>4</v>
      </c>
      <c r="C338" s="42">
        <v>27</v>
      </c>
      <c r="D338" s="42"/>
      <c r="E338" s="104" t="s">
        <v>2674</v>
      </c>
      <c r="F338" s="97" t="s">
        <v>2885</v>
      </c>
      <c r="G338" s="56">
        <v>1300</v>
      </c>
      <c r="H338" s="56"/>
      <c r="I338" s="56"/>
      <c r="J338" s="56"/>
      <c r="K338" s="56"/>
      <c r="L338" s="56"/>
      <c r="M338" s="56"/>
      <c r="N338" s="56"/>
      <c r="O338" s="56">
        <f t="shared" si="15"/>
        <v>1300</v>
      </c>
      <c r="P338" s="56"/>
      <c r="Q338" s="58">
        <f t="shared" si="14"/>
        <v>109752.37</v>
      </c>
      <c r="R338" s="59"/>
    </row>
    <row r="339" ht="20" customHeight="1" spans="2:18">
      <c r="B339" s="42">
        <v>4</v>
      </c>
      <c r="C339" s="42">
        <v>28</v>
      </c>
      <c r="D339" s="42"/>
      <c r="E339" s="104" t="s">
        <v>2679</v>
      </c>
      <c r="F339" s="97" t="s">
        <v>2886</v>
      </c>
      <c r="G339" s="56">
        <v>4668.75</v>
      </c>
      <c r="H339" s="56">
        <v>481.25</v>
      </c>
      <c r="I339" s="56">
        <v>422</v>
      </c>
      <c r="J339" s="56"/>
      <c r="K339" s="56"/>
      <c r="L339" s="56"/>
      <c r="M339" s="56"/>
      <c r="N339" s="56"/>
      <c r="O339" s="56">
        <f t="shared" si="15"/>
        <v>5572</v>
      </c>
      <c r="P339" s="56"/>
      <c r="Q339" s="58">
        <f t="shared" si="14"/>
        <v>115324.37</v>
      </c>
      <c r="R339" s="56"/>
    </row>
    <row r="340" ht="20" customHeight="1" spans="2:18">
      <c r="B340" s="42">
        <v>4</v>
      </c>
      <c r="C340" s="42">
        <v>28</v>
      </c>
      <c r="D340" s="42"/>
      <c r="E340" s="104" t="s">
        <v>2513</v>
      </c>
      <c r="F340" s="97" t="s">
        <v>2887</v>
      </c>
      <c r="G340" s="56"/>
      <c r="H340" s="56"/>
      <c r="I340" s="56">
        <v>300</v>
      </c>
      <c r="J340" s="56"/>
      <c r="K340" s="56"/>
      <c r="L340" s="56"/>
      <c r="M340" s="56"/>
      <c r="N340" s="56">
        <v>1.5</v>
      </c>
      <c r="O340" s="56">
        <f t="shared" si="15"/>
        <v>298.5</v>
      </c>
      <c r="P340" s="56"/>
      <c r="Q340" s="58">
        <f t="shared" si="14"/>
        <v>115622.87</v>
      </c>
      <c r="R340" s="56"/>
    </row>
    <row r="341" ht="20" customHeight="1" spans="2:18">
      <c r="B341" s="42">
        <v>4</v>
      </c>
      <c r="C341" s="42">
        <v>28</v>
      </c>
      <c r="D341" s="42"/>
      <c r="E341" s="96" t="s">
        <v>2888</v>
      </c>
      <c r="F341" s="97" t="s">
        <v>2889</v>
      </c>
      <c r="G341" s="56">
        <v>2840</v>
      </c>
      <c r="H341" s="56">
        <v>360</v>
      </c>
      <c r="I341" s="56">
        <v>31</v>
      </c>
      <c r="J341" s="56"/>
      <c r="K341" s="56"/>
      <c r="L341" s="56"/>
      <c r="M341" s="56"/>
      <c r="N341" s="56"/>
      <c r="O341" s="56">
        <f t="shared" si="15"/>
        <v>3231</v>
      </c>
      <c r="P341" s="56"/>
      <c r="Q341" s="58">
        <f t="shared" si="14"/>
        <v>118853.87</v>
      </c>
      <c r="R341" s="56"/>
    </row>
    <row r="342" ht="20" customHeight="1" spans="2:18">
      <c r="B342" s="42">
        <v>4</v>
      </c>
      <c r="C342" s="42">
        <v>29</v>
      </c>
      <c r="D342" s="120"/>
      <c r="E342" s="121" t="s">
        <v>2513</v>
      </c>
      <c r="F342" s="118" t="s">
        <v>2890</v>
      </c>
      <c r="G342" s="56"/>
      <c r="H342" s="56"/>
      <c r="I342" s="56">
        <v>1250</v>
      </c>
      <c r="J342" s="56"/>
      <c r="K342" s="56"/>
      <c r="L342" s="56"/>
      <c r="M342" s="56"/>
      <c r="N342" s="56">
        <v>6.25</v>
      </c>
      <c r="O342" s="56">
        <f t="shared" si="15"/>
        <v>1243.75</v>
      </c>
      <c r="P342" s="56"/>
      <c r="Q342" s="58">
        <f t="shared" si="14"/>
        <v>120097.62</v>
      </c>
      <c r="R342" s="56"/>
    </row>
    <row r="343" ht="20" customHeight="1" spans="2:18">
      <c r="B343" s="42">
        <v>4</v>
      </c>
      <c r="C343" s="42">
        <v>29</v>
      </c>
      <c r="D343" s="42"/>
      <c r="E343" s="96" t="s">
        <v>2891</v>
      </c>
      <c r="F343" s="97" t="s">
        <v>2892</v>
      </c>
      <c r="G343" s="56"/>
      <c r="H343" s="56"/>
      <c r="I343" s="56"/>
      <c r="J343" s="56">
        <v>2900</v>
      </c>
      <c r="K343" s="56"/>
      <c r="L343" s="56"/>
      <c r="M343" s="56"/>
      <c r="N343" s="56"/>
      <c r="O343" s="56">
        <f t="shared" si="15"/>
        <v>2900</v>
      </c>
      <c r="P343" s="56"/>
      <c r="Q343" s="58">
        <f t="shared" si="14"/>
        <v>122997.62</v>
      </c>
      <c r="R343" s="56"/>
    </row>
    <row r="344" ht="20" customHeight="1" spans="2:18">
      <c r="B344" s="42">
        <v>4</v>
      </c>
      <c r="C344" s="42">
        <v>29</v>
      </c>
      <c r="D344" s="42"/>
      <c r="E344" s="96" t="s">
        <v>2891</v>
      </c>
      <c r="F344" s="97" t="s">
        <v>2893</v>
      </c>
      <c r="G344" s="56">
        <v>4981.4</v>
      </c>
      <c r="H344" s="56">
        <v>818.6</v>
      </c>
      <c r="I344" s="56"/>
      <c r="J344" s="56"/>
      <c r="K344" s="56"/>
      <c r="L344" s="56"/>
      <c r="M344" s="56"/>
      <c r="N344" s="56"/>
      <c r="O344" s="56">
        <f t="shared" si="15"/>
        <v>5800</v>
      </c>
      <c r="P344" s="56"/>
      <c r="Q344" s="58">
        <f t="shared" si="14"/>
        <v>128797.62</v>
      </c>
      <c r="R344" s="56"/>
    </row>
    <row r="345" ht="20" customHeight="1" spans="2:18">
      <c r="B345" s="42">
        <v>4</v>
      </c>
      <c r="C345" s="42">
        <v>29</v>
      </c>
      <c r="D345" s="42"/>
      <c r="E345" s="104" t="s">
        <v>2549</v>
      </c>
      <c r="F345" s="97" t="s">
        <v>2894</v>
      </c>
      <c r="G345" s="56">
        <v>8273</v>
      </c>
      <c r="H345" s="56">
        <v>1100</v>
      </c>
      <c r="I345" s="56"/>
      <c r="J345" s="56"/>
      <c r="K345" s="56"/>
      <c r="L345" s="56"/>
      <c r="M345" s="56"/>
      <c r="N345" s="56"/>
      <c r="O345" s="56">
        <f t="shared" si="15"/>
        <v>9373</v>
      </c>
      <c r="P345" s="56"/>
      <c r="Q345" s="58">
        <f t="shared" si="14"/>
        <v>138170.62</v>
      </c>
      <c r="R345" s="56"/>
    </row>
    <row r="346" ht="20" customHeight="1" spans="2:18">
      <c r="B346" s="42">
        <v>4</v>
      </c>
      <c r="C346" s="42">
        <v>29</v>
      </c>
      <c r="D346" s="42"/>
      <c r="E346" s="104" t="s">
        <v>2756</v>
      </c>
      <c r="F346" s="97" t="s">
        <v>2895</v>
      </c>
      <c r="G346" s="56"/>
      <c r="H346" s="56"/>
      <c r="I346" s="56">
        <v>90</v>
      </c>
      <c r="J346" s="56"/>
      <c r="K346" s="56"/>
      <c r="L346" s="56"/>
      <c r="M346" s="56"/>
      <c r="N346" s="56"/>
      <c r="O346" s="56">
        <f t="shared" si="15"/>
        <v>90</v>
      </c>
      <c r="P346" s="56"/>
      <c r="Q346" s="58">
        <f t="shared" si="14"/>
        <v>138260.62</v>
      </c>
      <c r="R346" s="56"/>
    </row>
    <row r="347" ht="20" customHeight="1" spans="2:18">
      <c r="B347" s="42">
        <v>4</v>
      </c>
      <c r="C347" s="42">
        <v>29</v>
      </c>
      <c r="D347" s="42"/>
      <c r="E347" s="104" t="s">
        <v>2700</v>
      </c>
      <c r="F347" s="97" t="s">
        <v>2896</v>
      </c>
      <c r="G347" s="56">
        <v>1000</v>
      </c>
      <c r="H347" s="56"/>
      <c r="I347" s="56">
        <v>117</v>
      </c>
      <c r="J347" s="56"/>
      <c r="K347" s="56"/>
      <c r="L347" s="56"/>
      <c r="M347" s="56"/>
      <c r="N347" s="56"/>
      <c r="O347" s="56">
        <f t="shared" si="15"/>
        <v>1117</v>
      </c>
      <c r="P347" s="56"/>
      <c r="Q347" s="58">
        <f t="shared" si="14"/>
        <v>139377.62</v>
      </c>
      <c r="R347" s="56"/>
    </row>
    <row r="348" ht="20" customHeight="1" spans="2:18">
      <c r="B348" s="42">
        <v>4</v>
      </c>
      <c r="C348" s="42">
        <v>30</v>
      </c>
      <c r="D348" s="42"/>
      <c r="E348" s="104" t="s">
        <v>2700</v>
      </c>
      <c r="F348" s="97" t="s">
        <v>2897</v>
      </c>
      <c r="G348" s="56">
        <v>19000</v>
      </c>
      <c r="H348" s="56"/>
      <c r="I348" s="56">
        <v>245</v>
      </c>
      <c r="J348" s="56"/>
      <c r="K348" s="56"/>
      <c r="L348" s="56"/>
      <c r="M348" s="56"/>
      <c r="N348" s="56"/>
      <c r="O348" s="56">
        <f t="shared" si="15"/>
        <v>19245</v>
      </c>
      <c r="P348" s="56"/>
      <c r="Q348" s="58">
        <f t="shared" si="14"/>
        <v>158622.62</v>
      </c>
      <c r="R348" s="56"/>
    </row>
    <row r="349" ht="20" customHeight="1" spans="2:18">
      <c r="B349" s="42">
        <v>4</v>
      </c>
      <c r="C349" s="42">
        <v>30</v>
      </c>
      <c r="D349" s="42"/>
      <c r="E349" s="104" t="s">
        <v>2513</v>
      </c>
      <c r="F349" s="97" t="s">
        <v>2898</v>
      </c>
      <c r="G349" s="56"/>
      <c r="H349" s="56"/>
      <c r="I349" s="56">
        <v>14250</v>
      </c>
      <c r="J349" s="56"/>
      <c r="K349" s="56"/>
      <c r="L349" s="56"/>
      <c r="M349" s="56"/>
      <c r="N349" s="56">
        <v>71.25</v>
      </c>
      <c r="O349" s="56">
        <f t="shared" si="15"/>
        <v>14178.75</v>
      </c>
      <c r="P349" s="56"/>
      <c r="Q349" s="58">
        <f t="shared" si="14"/>
        <v>172801.37</v>
      </c>
      <c r="R349" s="56"/>
    </row>
    <row r="350" ht="20" customHeight="1" spans="2:18">
      <c r="B350" s="42">
        <v>4</v>
      </c>
      <c r="C350" s="42">
        <v>30</v>
      </c>
      <c r="D350" s="74" t="s">
        <v>69</v>
      </c>
      <c r="E350" s="100" t="s">
        <v>2638</v>
      </c>
      <c r="F350" s="97" t="s">
        <v>2871</v>
      </c>
      <c r="G350" s="56"/>
      <c r="H350" s="56"/>
      <c r="I350" s="56"/>
      <c r="J350" s="56"/>
      <c r="K350" s="56"/>
      <c r="L350" s="56"/>
      <c r="M350" s="56"/>
      <c r="N350" s="56"/>
      <c r="O350" s="56">
        <f t="shared" si="15"/>
        <v>0</v>
      </c>
      <c r="P350" s="56">
        <v>50000</v>
      </c>
      <c r="Q350" s="58">
        <f t="shared" si="14"/>
        <v>122801.37</v>
      </c>
      <c r="R350" s="56"/>
    </row>
    <row r="351" ht="20" customHeight="1" spans="2:18">
      <c r="B351" s="42">
        <v>4</v>
      </c>
      <c r="C351" s="42">
        <v>30</v>
      </c>
      <c r="D351" s="42"/>
      <c r="E351" s="104" t="s">
        <v>2609</v>
      </c>
      <c r="F351" s="97" t="s">
        <v>2789</v>
      </c>
      <c r="G351" s="56">
        <v>3275</v>
      </c>
      <c r="H351" s="56">
        <v>525</v>
      </c>
      <c r="I351" s="56"/>
      <c r="J351" s="56"/>
      <c r="K351" s="56"/>
      <c r="L351" s="56"/>
      <c r="M351" s="56"/>
      <c r="N351" s="56"/>
      <c r="O351" s="56">
        <f t="shared" si="15"/>
        <v>3800</v>
      </c>
      <c r="P351" s="56"/>
      <c r="Q351" s="58">
        <f t="shared" si="14"/>
        <v>126601.37</v>
      </c>
      <c r="R351" s="59" t="s">
        <v>669</v>
      </c>
    </row>
    <row r="352" ht="20" customHeight="1" spans="2:18">
      <c r="B352" s="42">
        <v>4</v>
      </c>
      <c r="C352" s="42">
        <v>30</v>
      </c>
      <c r="D352" s="42"/>
      <c r="E352" s="104" t="s">
        <v>2609</v>
      </c>
      <c r="F352" s="97" t="s">
        <v>2899</v>
      </c>
      <c r="G352" s="56"/>
      <c r="H352" s="56"/>
      <c r="I352" s="56">
        <v>45.5</v>
      </c>
      <c r="J352" s="56"/>
      <c r="K352" s="56"/>
      <c r="L352" s="56"/>
      <c r="M352" s="56"/>
      <c r="N352" s="56"/>
      <c r="O352" s="56">
        <f t="shared" si="15"/>
        <v>45.5</v>
      </c>
      <c r="P352" s="56"/>
      <c r="Q352" s="58">
        <f t="shared" si="14"/>
        <v>126646.87</v>
      </c>
      <c r="R352" s="59" t="s">
        <v>669</v>
      </c>
    </row>
    <row r="353" ht="20" customHeight="1" spans="2:18">
      <c r="B353" s="42">
        <v>4</v>
      </c>
      <c r="C353" s="42">
        <v>30</v>
      </c>
      <c r="D353" s="42"/>
      <c r="E353" s="104"/>
      <c r="F353" s="97" t="s">
        <v>2900</v>
      </c>
      <c r="G353" s="56"/>
      <c r="H353" s="56"/>
      <c r="I353" s="56"/>
      <c r="J353" s="56"/>
      <c r="K353" s="56">
        <v>200</v>
      </c>
      <c r="L353" s="56"/>
      <c r="M353" s="56"/>
      <c r="N353" s="56">
        <v>4.86</v>
      </c>
      <c r="O353" s="56">
        <f t="shared" si="15"/>
        <v>195.14</v>
      </c>
      <c r="P353" s="56"/>
      <c r="Q353" s="58">
        <f t="shared" si="14"/>
        <v>126842.01</v>
      </c>
      <c r="R353" s="59" t="s">
        <v>669</v>
      </c>
    </row>
    <row r="354" ht="20" customHeight="1" spans="2:18">
      <c r="B354" s="42">
        <v>4</v>
      </c>
      <c r="C354" s="42">
        <v>30</v>
      </c>
      <c r="D354" s="42"/>
      <c r="E354" s="104"/>
      <c r="F354" s="97" t="s">
        <v>2901</v>
      </c>
      <c r="G354" s="56"/>
      <c r="H354" s="56"/>
      <c r="I354" s="56"/>
      <c r="J354" s="56"/>
      <c r="K354" s="56">
        <v>240</v>
      </c>
      <c r="L354" s="56"/>
      <c r="M354" s="56"/>
      <c r="N354" s="56"/>
      <c r="O354" s="56">
        <f t="shared" si="15"/>
        <v>240</v>
      </c>
      <c r="P354" s="56"/>
      <c r="Q354" s="58">
        <f t="shared" si="14"/>
        <v>127082.01</v>
      </c>
      <c r="R354" s="59" t="s">
        <v>669</v>
      </c>
    </row>
    <row r="355" ht="20" customHeight="1" spans="2:18">
      <c r="B355" s="42">
        <v>4</v>
      </c>
      <c r="C355" s="42">
        <v>30</v>
      </c>
      <c r="D355" s="42"/>
      <c r="E355" s="100"/>
      <c r="F355" s="97" t="s">
        <v>2902</v>
      </c>
      <c r="G355" s="56"/>
      <c r="H355" s="56"/>
      <c r="I355" s="56"/>
      <c r="J355" s="56"/>
      <c r="K355" s="56">
        <v>100</v>
      </c>
      <c r="L355" s="56"/>
      <c r="M355" s="56"/>
      <c r="N355" s="56"/>
      <c r="O355" s="56">
        <f t="shared" si="15"/>
        <v>100</v>
      </c>
      <c r="P355" s="56"/>
      <c r="Q355" s="58">
        <f t="shared" si="14"/>
        <v>127182.01</v>
      </c>
      <c r="R355" s="59" t="s">
        <v>669</v>
      </c>
    </row>
    <row r="356" ht="20" customHeight="1" spans="2:18">
      <c r="B356" s="42">
        <v>4</v>
      </c>
      <c r="C356" s="42">
        <v>30</v>
      </c>
      <c r="D356" s="42"/>
      <c r="E356" s="104"/>
      <c r="F356" s="97" t="s">
        <v>2903</v>
      </c>
      <c r="G356" s="56"/>
      <c r="H356" s="56"/>
      <c r="I356" s="56"/>
      <c r="J356" s="56"/>
      <c r="K356" s="56">
        <v>240</v>
      </c>
      <c r="L356" s="56"/>
      <c r="M356" s="56"/>
      <c r="N356" s="56"/>
      <c r="O356" s="56">
        <f t="shared" si="15"/>
        <v>240</v>
      </c>
      <c r="P356" s="56"/>
      <c r="Q356" s="58">
        <f t="shared" si="14"/>
        <v>127422.01</v>
      </c>
      <c r="R356" s="59" t="s">
        <v>669</v>
      </c>
    </row>
    <row r="357" ht="20" customHeight="1" spans="2:18">
      <c r="B357" s="42">
        <v>4</v>
      </c>
      <c r="C357" s="42">
        <v>30</v>
      </c>
      <c r="D357" s="42"/>
      <c r="E357" s="104"/>
      <c r="F357" s="97" t="s">
        <v>2904</v>
      </c>
      <c r="G357" s="56"/>
      <c r="H357" s="56"/>
      <c r="I357" s="56"/>
      <c r="J357" s="56"/>
      <c r="K357" s="56">
        <v>240</v>
      </c>
      <c r="L357" s="56"/>
      <c r="M357" s="56"/>
      <c r="N357" s="56"/>
      <c r="O357" s="56">
        <f t="shared" si="15"/>
        <v>240</v>
      </c>
      <c r="P357" s="56"/>
      <c r="Q357" s="58">
        <f t="shared" si="14"/>
        <v>127662.01</v>
      </c>
      <c r="R357" s="59" t="s">
        <v>669</v>
      </c>
    </row>
    <row r="358" ht="20" customHeight="1" spans="2:18">
      <c r="B358" s="68"/>
      <c r="C358" s="68"/>
      <c r="D358" s="68"/>
      <c r="E358" s="68"/>
      <c r="F358" s="70" t="s">
        <v>22</v>
      </c>
      <c r="G358" s="71">
        <f>SUM(G256:G357)</f>
        <v>129199.2</v>
      </c>
      <c r="H358" s="71">
        <f>SUM(H256:H357)</f>
        <v>14906.8</v>
      </c>
      <c r="I358" s="71">
        <f>SUM(I256:I357)</f>
        <v>42007.67</v>
      </c>
      <c r="J358" s="71">
        <f>SUM(J256:J357)</f>
        <v>9570</v>
      </c>
      <c r="K358" s="71">
        <f>SUM(K256:K357)</f>
        <v>8995</v>
      </c>
      <c r="L358" s="71"/>
      <c r="M358" s="71">
        <f>SUM(M256:M357)</f>
        <v>0</v>
      </c>
      <c r="N358" s="71">
        <f>SUM(N256:N357)</f>
        <v>225.73</v>
      </c>
      <c r="O358" s="71">
        <f>SUM(O256:O357)</f>
        <v>205452.94</v>
      </c>
      <c r="P358" s="71">
        <f>SUM(P256:P357)</f>
        <v>187425.44</v>
      </c>
      <c r="Q358" s="72">
        <f>Q255+O358-P358</f>
        <v>127662.01</v>
      </c>
      <c r="R358" s="71"/>
    </row>
    <row r="359" ht="20" customHeight="1" spans="2:18">
      <c r="B359" s="42">
        <v>5</v>
      </c>
      <c r="C359" s="42">
        <v>1</v>
      </c>
      <c r="D359" s="42"/>
      <c r="E359" s="104" t="s">
        <v>2513</v>
      </c>
      <c r="F359" s="97" t="s">
        <v>2905</v>
      </c>
      <c r="G359" s="55"/>
      <c r="H359" s="55"/>
      <c r="I359" s="55">
        <v>200</v>
      </c>
      <c r="J359" s="55"/>
      <c r="K359" s="55"/>
      <c r="L359" s="55"/>
      <c r="M359" s="55"/>
      <c r="N359" s="55">
        <v>1</v>
      </c>
      <c r="O359" s="56">
        <f t="shared" ref="O359:O396" si="16">SUM(G359:M359)-N359</f>
        <v>199</v>
      </c>
      <c r="P359" s="56"/>
      <c r="Q359" s="58">
        <f t="shared" ref="Q359:Q422" si="17">Q358+O359-P359</f>
        <v>127861.01</v>
      </c>
      <c r="R359" s="56"/>
    </row>
    <row r="360" ht="20" customHeight="1" spans="2:18">
      <c r="B360" s="42">
        <v>5</v>
      </c>
      <c r="C360" s="42">
        <v>2</v>
      </c>
      <c r="D360" s="42"/>
      <c r="E360" s="100" t="s">
        <v>2513</v>
      </c>
      <c r="F360" s="97" t="s">
        <v>2906</v>
      </c>
      <c r="G360" s="55"/>
      <c r="H360" s="55"/>
      <c r="I360" s="55">
        <v>1000</v>
      </c>
      <c r="J360" s="55"/>
      <c r="K360" s="55"/>
      <c r="L360" s="55"/>
      <c r="M360" s="55"/>
      <c r="N360" s="55">
        <v>5</v>
      </c>
      <c r="O360" s="56">
        <f t="shared" si="16"/>
        <v>995</v>
      </c>
      <c r="P360" s="56"/>
      <c r="Q360" s="58">
        <f t="shared" si="17"/>
        <v>128856.01</v>
      </c>
      <c r="R360" s="56"/>
    </row>
    <row r="361" ht="20" customHeight="1" spans="2:18">
      <c r="B361" s="42">
        <v>5</v>
      </c>
      <c r="C361" s="42">
        <v>3</v>
      </c>
      <c r="D361" s="42"/>
      <c r="E361" s="104" t="s">
        <v>2513</v>
      </c>
      <c r="F361" s="97" t="s">
        <v>2907</v>
      </c>
      <c r="G361" s="55"/>
      <c r="H361" s="55"/>
      <c r="I361" s="55">
        <v>100</v>
      </c>
      <c r="J361" s="55"/>
      <c r="K361" s="55"/>
      <c r="L361" s="55"/>
      <c r="M361" s="55"/>
      <c r="N361" s="55">
        <v>0.5</v>
      </c>
      <c r="O361" s="56">
        <f t="shared" si="16"/>
        <v>99.5</v>
      </c>
      <c r="P361" s="56"/>
      <c r="Q361" s="58">
        <f t="shared" si="17"/>
        <v>128955.51</v>
      </c>
      <c r="R361" s="56"/>
    </row>
    <row r="362" ht="20" customHeight="1" spans="2:18">
      <c r="B362" s="42">
        <v>5</v>
      </c>
      <c r="C362" s="42">
        <v>4</v>
      </c>
      <c r="D362" s="42"/>
      <c r="E362" s="104" t="s">
        <v>2513</v>
      </c>
      <c r="F362" s="97" t="s">
        <v>2908</v>
      </c>
      <c r="G362" s="55"/>
      <c r="H362" s="55"/>
      <c r="I362" s="55">
        <v>70</v>
      </c>
      <c r="J362" s="55"/>
      <c r="K362" s="55"/>
      <c r="L362" s="55"/>
      <c r="M362" s="55"/>
      <c r="N362" s="55">
        <v>0.35</v>
      </c>
      <c r="O362" s="56">
        <f t="shared" si="16"/>
        <v>69.65</v>
      </c>
      <c r="P362" s="56"/>
      <c r="Q362" s="58">
        <f t="shared" si="17"/>
        <v>129025.16</v>
      </c>
      <c r="R362" s="56"/>
    </row>
    <row r="363" ht="20" customHeight="1" spans="2:18">
      <c r="B363" s="42">
        <v>5</v>
      </c>
      <c r="C363" s="42">
        <v>5</v>
      </c>
      <c r="D363" s="42"/>
      <c r="E363" s="104" t="s">
        <v>2513</v>
      </c>
      <c r="F363" s="97" t="s">
        <v>2909</v>
      </c>
      <c r="G363" s="55"/>
      <c r="H363" s="55"/>
      <c r="I363" s="55">
        <v>200</v>
      </c>
      <c r="J363" s="55"/>
      <c r="K363" s="55"/>
      <c r="L363" s="55"/>
      <c r="M363" s="55"/>
      <c r="N363" s="55">
        <v>1</v>
      </c>
      <c r="O363" s="56">
        <f t="shared" si="16"/>
        <v>199</v>
      </c>
      <c r="P363" s="56"/>
      <c r="Q363" s="58">
        <f t="shared" si="17"/>
        <v>129224.16</v>
      </c>
      <c r="R363" s="56"/>
    </row>
    <row r="364" ht="20" customHeight="1" spans="2:18">
      <c r="B364" s="42">
        <v>5</v>
      </c>
      <c r="C364" s="42">
        <v>6</v>
      </c>
      <c r="D364" s="42"/>
      <c r="E364" s="104" t="s">
        <v>2513</v>
      </c>
      <c r="F364" s="97" t="s">
        <v>2910</v>
      </c>
      <c r="G364" s="55"/>
      <c r="H364" s="55"/>
      <c r="I364" s="55">
        <v>1000</v>
      </c>
      <c r="J364" s="55"/>
      <c r="K364" s="55"/>
      <c r="L364" s="55"/>
      <c r="M364" s="55"/>
      <c r="N364" s="55">
        <v>5</v>
      </c>
      <c r="O364" s="56">
        <f t="shared" si="16"/>
        <v>995</v>
      </c>
      <c r="P364" s="56"/>
      <c r="Q364" s="58">
        <f t="shared" si="17"/>
        <v>130219.16</v>
      </c>
      <c r="R364" s="56"/>
    </row>
    <row r="365" ht="20" customHeight="1" spans="2:18">
      <c r="B365" s="42">
        <v>5</v>
      </c>
      <c r="C365" s="42">
        <v>6</v>
      </c>
      <c r="D365" s="42"/>
      <c r="E365" s="104" t="s">
        <v>2516</v>
      </c>
      <c r="F365" s="97" t="s">
        <v>2911</v>
      </c>
      <c r="G365" s="56"/>
      <c r="H365" s="56"/>
      <c r="I365" s="56"/>
      <c r="J365" s="56"/>
      <c r="K365" s="55">
        <v>570</v>
      </c>
      <c r="L365" s="55"/>
      <c r="M365" s="55"/>
      <c r="N365" s="55">
        <v>3.42</v>
      </c>
      <c r="O365" s="56">
        <f t="shared" si="16"/>
        <v>566.58</v>
      </c>
      <c r="P365" s="56"/>
      <c r="Q365" s="58">
        <f t="shared" si="17"/>
        <v>130785.74</v>
      </c>
      <c r="R365" s="56"/>
    </row>
    <row r="366" ht="20" customHeight="1" spans="2:18">
      <c r="B366" s="42">
        <v>5</v>
      </c>
      <c r="C366" s="42">
        <v>7</v>
      </c>
      <c r="D366" s="42"/>
      <c r="E366" s="104" t="s">
        <v>2513</v>
      </c>
      <c r="F366" s="97" t="s">
        <v>2912</v>
      </c>
      <c r="G366" s="55"/>
      <c r="H366" s="55"/>
      <c r="I366" s="55">
        <v>500</v>
      </c>
      <c r="J366" s="55"/>
      <c r="K366" s="55"/>
      <c r="L366" s="55"/>
      <c r="M366" s="55"/>
      <c r="N366" s="55">
        <v>2.5</v>
      </c>
      <c r="O366" s="56">
        <f t="shared" si="16"/>
        <v>497.5</v>
      </c>
      <c r="P366" s="56"/>
      <c r="Q366" s="58">
        <f t="shared" si="17"/>
        <v>131283.24</v>
      </c>
      <c r="R366" s="56"/>
    </row>
    <row r="367" ht="20" customHeight="1" spans="2:18">
      <c r="B367" s="42">
        <v>5</v>
      </c>
      <c r="C367" s="42">
        <v>8</v>
      </c>
      <c r="D367" s="42"/>
      <c r="E367" s="100" t="s">
        <v>2589</v>
      </c>
      <c r="F367" s="97" t="s">
        <v>2913</v>
      </c>
      <c r="G367" s="55">
        <v>8331.5</v>
      </c>
      <c r="H367" s="55">
        <v>668.5</v>
      </c>
      <c r="I367" s="56"/>
      <c r="J367" s="56"/>
      <c r="K367" s="56"/>
      <c r="L367" s="56"/>
      <c r="M367" s="56"/>
      <c r="N367" s="56"/>
      <c r="O367" s="56">
        <f t="shared" si="16"/>
        <v>9000</v>
      </c>
      <c r="P367" s="56"/>
      <c r="Q367" s="58">
        <f t="shared" si="17"/>
        <v>140283.24</v>
      </c>
      <c r="R367" s="56"/>
    </row>
    <row r="368" ht="20" customHeight="1" spans="2:18">
      <c r="B368" s="42">
        <v>5</v>
      </c>
      <c r="C368" s="42">
        <v>8</v>
      </c>
      <c r="D368" s="42"/>
      <c r="E368" s="104" t="s">
        <v>2756</v>
      </c>
      <c r="F368" s="97" t="s">
        <v>2914</v>
      </c>
      <c r="G368" s="56"/>
      <c r="H368" s="56"/>
      <c r="I368" s="55">
        <v>95</v>
      </c>
      <c r="J368" s="56"/>
      <c r="K368" s="56"/>
      <c r="L368" s="56"/>
      <c r="M368" s="56"/>
      <c r="N368" s="56"/>
      <c r="O368" s="56">
        <f t="shared" si="16"/>
        <v>95</v>
      </c>
      <c r="P368" s="56"/>
      <c r="Q368" s="58">
        <f t="shared" si="17"/>
        <v>140378.24</v>
      </c>
      <c r="R368" s="56"/>
    </row>
    <row r="369" ht="20" customHeight="1" spans="2:18">
      <c r="B369" s="42">
        <v>5</v>
      </c>
      <c r="C369" s="42">
        <v>8</v>
      </c>
      <c r="D369" s="42"/>
      <c r="E369" s="100" t="s">
        <v>2589</v>
      </c>
      <c r="F369" s="97" t="s">
        <v>2915</v>
      </c>
      <c r="G369" s="56"/>
      <c r="H369" s="56"/>
      <c r="I369" s="55">
        <v>462</v>
      </c>
      <c r="J369" s="56"/>
      <c r="K369" s="56"/>
      <c r="L369" s="56"/>
      <c r="M369" s="56"/>
      <c r="N369" s="56"/>
      <c r="O369" s="56">
        <f t="shared" si="16"/>
        <v>462</v>
      </c>
      <c r="P369" s="56"/>
      <c r="Q369" s="58">
        <f t="shared" si="17"/>
        <v>140840.24</v>
      </c>
      <c r="R369" s="56"/>
    </row>
    <row r="370" ht="20" customHeight="1" spans="2:18">
      <c r="B370" s="42">
        <v>5</v>
      </c>
      <c r="C370" s="42">
        <v>9</v>
      </c>
      <c r="D370" s="42"/>
      <c r="E370" s="104" t="s">
        <v>2916</v>
      </c>
      <c r="F370" s="97" t="s">
        <v>2917</v>
      </c>
      <c r="G370" s="55">
        <v>535</v>
      </c>
      <c r="H370" s="55">
        <v>165</v>
      </c>
      <c r="I370" s="55">
        <v>11</v>
      </c>
      <c r="J370" s="56"/>
      <c r="K370" s="56"/>
      <c r="L370" s="56"/>
      <c r="M370" s="56"/>
      <c r="N370" s="56"/>
      <c r="O370" s="56">
        <f t="shared" si="16"/>
        <v>711</v>
      </c>
      <c r="P370" s="56"/>
      <c r="Q370" s="58">
        <f t="shared" si="17"/>
        <v>141551.24</v>
      </c>
      <c r="R370" s="56"/>
    </row>
    <row r="371" ht="20" customHeight="1" spans="2:18">
      <c r="B371" s="42">
        <v>5</v>
      </c>
      <c r="C371" s="42">
        <v>9</v>
      </c>
      <c r="D371" s="42"/>
      <c r="E371" s="100" t="s">
        <v>2598</v>
      </c>
      <c r="F371" s="97" t="s">
        <v>2918</v>
      </c>
      <c r="G371" s="55">
        <v>4130.95</v>
      </c>
      <c r="H371" s="55">
        <v>369.05</v>
      </c>
      <c r="I371" s="56"/>
      <c r="J371" s="56"/>
      <c r="K371" s="56"/>
      <c r="L371" s="56"/>
      <c r="M371" s="56"/>
      <c r="N371" s="56"/>
      <c r="O371" s="56">
        <f t="shared" si="16"/>
        <v>4500</v>
      </c>
      <c r="P371" s="56"/>
      <c r="Q371" s="58">
        <f t="shared" si="17"/>
        <v>146051.24</v>
      </c>
      <c r="R371" s="56"/>
    </row>
    <row r="372" ht="20" customHeight="1" spans="2:18">
      <c r="B372" s="42">
        <v>5</v>
      </c>
      <c r="C372" s="42">
        <v>9</v>
      </c>
      <c r="D372" s="42"/>
      <c r="E372" s="104" t="s">
        <v>2600</v>
      </c>
      <c r="F372" s="97" t="s">
        <v>2919</v>
      </c>
      <c r="G372" s="55">
        <v>1390.7</v>
      </c>
      <c r="H372" s="55">
        <v>409.3</v>
      </c>
      <c r="I372" s="55">
        <v>28</v>
      </c>
      <c r="J372" s="56"/>
      <c r="K372" s="56"/>
      <c r="L372" s="56"/>
      <c r="M372" s="56"/>
      <c r="N372" s="56"/>
      <c r="O372" s="56">
        <f t="shared" si="16"/>
        <v>1828</v>
      </c>
      <c r="P372" s="56"/>
      <c r="Q372" s="58">
        <f t="shared" si="17"/>
        <v>147879.24</v>
      </c>
      <c r="R372" s="56"/>
    </row>
    <row r="373" ht="20" customHeight="1" spans="2:18">
      <c r="B373" s="42">
        <v>5</v>
      </c>
      <c r="C373" s="42">
        <v>9</v>
      </c>
      <c r="D373" s="42"/>
      <c r="E373" s="104" t="s">
        <v>2621</v>
      </c>
      <c r="F373" s="97" t="s">
        <v>2920</v>
      </c>
      <c r="G373" s="56"/>
      <c r="H373" s="56"/>
      <c r="I373" s="55">
        <v>37</v>
      </c>
      <c r="J373" s="56"/>
      <c r="K373" s="56"/>
      <c r="L373" s="56"/>
      <c r="M373" s="56"/>
      <c r="N373" s="56"/>
      <c r="O373" s="56">
        <f t="shared" si="16"/>
        <v>37</v>
      </c>
      <c r="P373" s="56"/>
      <c r="Q373" s="58">
        <f t="shared" si="17"/>
        <v>147916.24</v>
      </c>
      <c r="R373" s="56"/>
    </row>
    <row r="374" ht="20" customHeight="1" spans="2:18">
      <c r="B374" s="42">
        <v>5</v>
      </c>
      <c r="C374" s="42">
        <v>9</v>
      </c>
      <c r="D374" s="42"/>
      <c r="E374" s="96" t="s">
        <v>2107</v>
      </c>
      <c r="F374" s="97" t="s">
        <v>2921</v>
      </c>
      <c r="G374" s="55">
        <v>1830</v>
      </c>
      <c r="H374" s="55">
        <v>305</v>
      </c>
      <c r="I374" s="55">
        <v>20</v>
      </c>
      <c r="J374" s="56"/>
      <c r="K374" s="56"/>
      <c r="L374" s="56"/>
      <c r="M374" s="56"/>
      <c r="N374" s="56"/>
      <c r="O374" s="56">
        <f t="shared" si="16"/>
        <v>2155</v>
      </c>
      <c r="P374" s="56"/>
      <c r="Q374" s="58">
        <f t="shared" si="17"/>
        <v>150071.24</v>
      </c>
      <c r="R374" s="56"/>
    </row>
    <row r="375" ht="20" customHeight="1" spans="2:18">
      <c r="B375" s="42">
        <v>5</v>
      </c>
      <c r="C375" s="42">
        <v>9</v>
      </c>
      <c r="D375" s="42"/>
      <c r="E375" s="104" t="s">
        <v>2531</v>
      </c>
      <c r="F375" s="97" t="s">
        <v>2922</v>
      </c>
      <c r="G375" s="56"/>
      <c r="H375" s="56"/>
      <c r="I375" s="55">
        <v>55.5</v>
      </c>
      <c r="J375" s="56"/>
      <c r="K375" s="56"/>
      <c r="L375" s="56"/>
      <c r="M375" s="56"/>
      <c r="N375" s="56"/>
      <c r="O375" s="56">
        <f t="shared" si="16"/>
        <v>55.5</v>
      </c>
      <c r="P375" s="56"/>
      <c r="Q375" s="58">
        <f t="shared" si="17"/>
        <v>150126.74</v>
      </c>
      <c r="R375" s="56"/>
    </row>
    <row r="376" ht="20" customHeight="1" spans="2:18">
      <c r="B376" s="42">
        <v>5</v>
      </c>
      <c r="C376" s="42">
        <v>10</v>
      </c>
      <c r="D376" s="42"/>
      <c r="E376" s="104" t="s">
        <v>2636</v>
      </c>
      <c r="F376" s="97" t="s">
        <v>2923</v>
      </c>
      <c r="G376" s="55">
        <v>3712.5</v>
      </c>
      <c r="H376" s="55">
        <v>562.5</v>
      </c>
      <c r="I376" s="55">
        <v>160</v>
      </c>
      <c r="J376" s="56"/>
      <c r="K376" s="56"/>
      <c r="L376" s="56"/>
      <c r="M376" s="56"/>
      <c r="N376" s="56"/>
      <c r="O376" s="56">
        <f t="shared" si="16"/>
        <v>4435</v>
      </c>
      <c r="P376" s="56"/>
      <c r="Q376" s="58">
        <f t="shared" si="17"/>
        <v>154561.74</v>
      </c>
      <c r="R376" s="56"/>
    </row>
    <row r="377" ht="20" customHeight="1" spans="2:18">
      <c r="B377" s="42">
        <v>5</v>
      </c>
      <c r="C377" s="42">
        <v>11</v>
      </c>
      <c r="D377" s="42"/>
      <c r="E377" s="104"/>
      <c r="F377" s="97" t="s">
        <v>2924</v>
      </c>
      <c r="G377" s="55"/>
      <c r="H377" s="55"/>
      <c r="I377" s="55"/>
      <c r="J377" s="55"/>
      <c r="K377" s="55">
        <v>240</v>
      </c>
      <c r="L377" s="55"/>
      <c r="M377" s="55"/>
      <c r="N377" s="55">
        <v>2.07</v>
      </c>
      <c r="O377" s="56">
        <f t="shared" si="16"/>
        <v>237.93</v>
      </c>
      <c r="P377" s="56"/>
      <c r="Q377" s="58">
        <f t="shared" si="17"/>
        <v>154799.67</v>
      </c>
      <c r="R377" s="59" t="s">
        <v>669</v>
      </c>
    </row>
    <row r="378" ht="20" customHeight="1" spans="2:18">
      <c r="B378" s="42">
        <v>5</v>
      </c>
      <c r="C378" s="42">
        <v>11</v>
      </c>
      <c r="D378" s="42"/>
      <c r="E378" s="104"/>
      <c r="F378" s="97" t="s">
        <v>2925</v>
      </c>
      <c r="G378" s="55"/>
      <c r="H378" s="55"/>
      <c r="I378" s="55"/>
      <c r="J378" s="55"/>
      <c r="K378" s="55">
        <v>500</v>
      </c>
      <c r="L378" s="55"/>
      <c r="M378" s="55"/>
      <c r="N378" s="55"/>
      <c r="O378" s="56">
        <f t="shared" si="16"/>
        <v>500</v>
      </c>
      <c r="P378" s="56"/>
      <c r="Q378" s="58">
        <f t="shared" si="17"/>
        <v>155299.67</v>
      </c>
      <c r="R378" s="59" t="s">
        <v>669</v>
      </c>
    </row>
    <row r="379" ht="20" customHeight="1" spans="2:18">
      <c r="B379" s="42">
        <v>5</v>
      </c>
      <c r="C379" s="42">
        <v>11</v>
      </c>
      <c r="D379" s="42"/>
      <c r="E379" s="104"/>
      <c r="F379" s="97" t="s">
        <v>2926</v>
      </c>
      <c r="G379" s="55"/>
      <c r="H379" s="55"/>
      <c r="I379" s="55"/>
      <c r="J379" s="55"/>
      <c r="K379" s="55">
        <v>240</v>
      </c>
      <c r="L379" s="55"/>
      <c r="M379" s="55"/>
      <c r="N379" s="55"/>
      <c r="O379" s="56">
        <f t="shared" si="16"/>
        <v>240</v>
      </c>
      <c r="P379" s="56"/>
      <c r="Q379" s="58">
        <f t="shared" si="17"/>
        <v>155539.67</v>
      </c>
      <c r="R379" s="59" t="s">
        <v>669</v>
      </c>
    </row>
    <row r="380" ht="20" customHeight="1" spans="2:18">
      <c r="B380" s="42">
        <v>5</v>
      </c>
      <c r="C380" s="42">
        <v>11</v>
      </c>
      <c r="D380" s="42"/>
      <c r="E380" s="104"/>
      <c r="F380" s="97" t="s">
        <v>2927</v>
      </c>
      <c r="G380" s="55"/>
      <c r="H380" s="55"/>
      <c r="I380" s="55"/>
      <c r="J380" s="55"/>
      <c r="K380" s="55">
        <v>150</v>
      </c>
      <c r="L380" s="55"/>
      <c r="M380" s="55"/>
      <c r="N380" s="55"/>
      <c r="O380" s="56">
        <f t="shared" si="16"/>
        <v>150</v>
      </c>
      <c r="P380" s="56"/>
      <c r="Q380" s="58">
        <f t="shared" si="17"/>
        <v>155689.67</v>
      </c>
      <c r="R380" s="59" t="s">
        <v>669</v>
      </c>
    </row>
    <row r="381" ht="20" customHeight="1" spans="2:18">
      <c r="B381" s="42">
        <v>5</v>
      </c>
      <c r="C381" s="42">
        <v>11</v>
      </c>
      <c r="D381" s="42"/>
      <c r="E381" s="104"/>
      <c r="F381" s="97" t="s">
        <v>2928</v>
      </c>
      <c r="G381" s="55"/>
      <c r="H381" s="55"/>
      <c r="I381" s="55"/>
      <c r="J381" s="55"/>
      <c r="K381" s="55">
        <v>150</v>
      </c>
      <c r="L381" s="55"/>
      <c r="M381" s="55"/>
      <c r="N381" s="55"/>
      <c r="O381" s="56">
        <f t="shared" si="16"/>
        <v>150</v>
      </c>
      <c r="P381" s="56"/>
      <c r="Q381" s="58">
        <f t="shared" si="17"/>
        <v>155839.67</v>
      </c>
      <c r="R381" s="59" t="s">
        <v>669</v>
      </c>
    </row>
    <row r="382" ht="20" customHeight="1" spans="2:18">
      <c r="B382" s="42">
        <v>5</v>
      </c>
      <c r="C382" s="42">
        <v>11</v>
      </c>
      <c r="D382" s="42"/>
      <c r="E382" s="96" t="s">
        <v>2929</v>
      </c>
      <c r="F382" s="97" t="s">
        <v>2930</v>
      </c>
      <c r="G382" s="55">
        <v>458</v>
      </c>
      <c r="H382" s="55">
        <v>58</v>
      </c>
      <c r="I382" s="55">
        <v>49</v>
      </c>
      <c r="J382" s="56"/>
      <c r="K382" s="56"/>
      <c r="L382" s="56"/>
      <c r="M382" s="56"/>
      <c r="N382" s="56"/>
      <c r="O382" s="56">
        <f t="shared" si="16"/>
        <v>565</v>
      </c>
      <c r="P382" s="56"/>
      <c r="Q382" s="58">
        <f t="shared" si="17"/>
        <v>156404.67</v>
      </c>
      <c r="R382" s="59" t="s">
        <v>669</v>
      </c>
    </row>
    <row r="383" ht="20" customHeight="1" spans="2:18">
      <c r="B383" s="42">
        <v>5</v>
      </c>
      <c r="C383" s="42">
        <v>11</v>
      </c>
      <c r="D383" s="42"/>
      <c r="E383" s="104"/>
      <c r="F383" s="97" t="s">
        <v>2931</v>
      </c>
      <c r="G383" s="55"/>
      <c r="H383" s="55"/>
      <c r="I383" s="55"/>
      <c r="J383" s="55"/>
      <c r="K383" s="55">
        <v>10</v>
      </c>
      <c r="L383" s="55"/>
      <c r="M383" s="55"/>
      <c r="N383" s="55"/>
      <c r="O383" s="56">
        <f t="shared" si="16"/>
        <v>10</v>
      </c>
      <c r="P383" s="56"/>
      <c r="Q383" s="58">
        <f t="shared" si="17"/>
        <v>156414.67</v>
      </c>
      <c r="R383" s="59" t="s">
        <v>669</v>
      </c>
    </row>
    <row r="384" ht="20" customHeight="1" spans="2:18">
      <c r="B384" s="42">
        <v>5</v>
      </c>
      <c r="C384" s="42">
        <v>11</v>
      </c>
      <c r="D384" s="42"/>
      <c r="E384" s="104" t="s">
        <v>2690</v>
      </c>
      <c r="F384" s="97" t="s">
        <v>2932</v>
      </c>
      <c r="G384" s="56"/>
      <c r="H384" s="56"/>
      <c r="I384" s="55">
        <v>191</v>
      </c>
      <c r="J384" s="56"/>
      <c r="K384" s="56"/>
      <c r="L384" s="56"/>
      <c r="M384" s="56"/>
      <c r="N384" s="56"/>
      <c r="O384" s="56">
        <f t="shared" si="16"/>
        <v>191</v>
      </c>
      <c r="P384" s="56"/>
      <c r="Q384" s="58">
        <f t="shared" si="17"/>
        <v>156605.67</v>
      </c>
      <c r="R384" s="59" t="s">
        <v>669</v>
      </c>
    </row>
    <row r="385" ht="20" customHeight="1" spans="2:18">
      <c r="B385" s="42">
        <v>5</v>
      </c>
      <c r="C385" s="42">
        <v>11</v>
      </c>
      <c r="D385" s="42"/>
      <c r="E385" s="96" t="s">
        <v>2891</v>
      </c>
      <c r="F385" s="97" t="s">
        <v>2933</v>
      </c>
      <c r="G385" s="56"/>
      <c r="H385" s="56"/>
      <c r="I385" s="55">
        <v>27</v>
      </c>
      <c r="J385" s="56"/>
      <c r="K385" s="56"/>
      <c r="L385" s="56"/>
      <c r="M385" s="56"/>
      <c r="N385" s="56"/>
      <c r="O385" s="56">
        <f t="shared" si="16"/>
        <v>27</v>
      </c>
      <c r="P385" s="56"/>
      <c r="Q385" s="58">
        <f t="shared" si="17"/>
        <v>156632.67</v>
      </c>
      <c r="R385" s="59" t="s">
        <v>669</v>
      </c>
    </row>
    <row r="386" ht="20" customHeight="1" spans="2:18">
      <c r="B386" s="42">
        <v>5</v>
      </c>
      <c r="C386" s="42">
        <v>11</v>
      </c>
      <c r="D386" s="42"/>
      <c r="E386" s="100" t="s">
        <v>2934</v>
      </c>
      <c r="F386" s="97" t="s">
        <v>2935</v>
      </c>
      <c r="G386" s="55"/>
      <c r="H386" s="55"/>
      <c r="I386" s="55">
        <v>950</v>
      </c>
      <c r="J386" s="55"/>
      <c r="K386" s="55"/>
      <c r="L386" s="55"/>
      <c r="M386" s="55"/>
      <c r="N386" s="55">
        <v>4.75</v>
      </c>
      <c r="O386" s="56">
        <f t="shared" si="16"/>
        <v>945.25</v>
      </c>
      <c r="P386" s="56"/>
      <c r="Q386" s="58">
        <f t="shared" si="17"/>
        <v>157577.92</v>
      </c>
      <c r="R386" s="56"/>
    </row>
    <row r="387" ht="20" customHeight="1" spans="2:18">
      <c r="B387" s="42">
        <v>5</v>
      </c>
      <c r="C387" s="42">
        <v>11</v>
      </c>
      <c r="D387" s="42"/>
      <c r="E387" s="104" t="s">
        <v>2725</v>
      </c>
      <c r="F387" s="97" t="s">
        <v>2936</v>
      </c>
      <c r="G387" s="56"/>
      <c r="H387" s="56"/>
      <c r="I387" s="55">
        <v>170</v>
      </c>
      <c r="J387" s="56"/>
      <c r="K387" s="56"/>
      <c r="L387" s="56"/>
      <c r="M387" s="56"/>
      <c r="N387" s="56"/>
      <c r="O387" s="56">
        <f t="shared" si="16"/>
        <v>170</v>
      </c>
      <c r="P387" s="56"/>
      <c r="Q387" s="58">
        <f t="shared" si="17"/>
        <v>157747.92</v>
      </c>
      <c r="R387" s="56"/>
    </row>
    <row r="388" ht="20" customHeight="1" spans="2:18">
      <c r="B388" s="42">
        <v>5</v>
      </c>
      <c r="C388" s="42">
        <v>12</v>
      </c>
      <c r="D388" s="42"/>
      <c r="E388" s="104" t="s">
        <v>2934</v>
      </c>
      <c r="F388" s="97" t="s">
        <v>2937</v>
      </c>
      <c r="G388" s="55"/>
      <c r="H388" s="55"/>
      <c r="I388" s="55">
        <v>1050</v>
      </c>
      <c r="J388" s="55"/>
      <c r="K388" s="55"/>
      <c r="L388" s="55"/>
      <c r="M388" s="55"/>
      <c r="N388" s="55">
        <v>5.25</v>
      </c>
      <c r="O388" s="56">
        <f t="shared" si="16"/>
        <v>1044.75</v>
      </c>
      <c r="P388" s="56"/>
      <c r="Q388" s="58">
        <f t="shared" si="17"/>
        <v>158792.67</v>
      </c>
      <c r="R388" s="56"/>
    </row>
    <row r="389" ht="20" customHeight="1" spans="2:18">
      <c r="B389" s="42">
        <v>5</v>
      </c>
      <c r="C389" s="42">
        <v>12</v>
      </c>
      <c r="D389" s="42"/>
      <c r="E389" s="96" t="s">
        <v>2516</v>
      </c>
      <c r="F389" s="97" t="s">
        <v>2938</v>
      </c>
      <c r="G389" s="56"/>
      <c r="H389" s="56"/>
      <c r="I389" s="56"/>
      <c r="J389" s="56"/>
      <c r="K389" s="55">
        <v>570</v>
      </c>
      <c r="L389" s="55"/>
      <c r="M389" s="55"/>
      <c r="N389" s="55">
        <v>3.42</v>
      </c>
      <c r="O389" s="56">
        <f t="shared" si="16"/>
        <v>566.58</v>
      </c>
      <c r="P389" s="56"/>
      <c r="Q389" s="58">
        <f t="shared" si="17"/>
        <v>159359.25</v>
      </c>
      <c r="R389" s="56"/>
    </row>
    <row r="390" ht="20" customHeight="1" spans="2:18">
      <c r="B390" s="42">
        <v>5</v>
      </c>
      <c r="C390" s="42">
        <v>13</v>
      </c>
      <c r="D390" s="42"/>
      <c r="E390" s="100" t="s">
        <v>2934</v>
      </c>
      <c r="F390" s="97" t="s">
        <v>2939</v>
      </c>
      <c r="G390" s="55"/>
      <c r="H390" s="55"/>
      <c r="I390" s="55">
        <v>1700</v>
      </c>
      <c r="J390" s="55"/>
      <c r="K390" s="55"/>
      <c r="L390" s="55"/>
      <c r="M390" s="55"/>
      <c r="N390" s="55">
        <v>8.5</v>
      </c>
      <c r="O390" s="56">
        <f t="shared" si="16"/>
        <v>1691.5</v>
      </c>
      <c r="P390" s="56"/>
      <c r="Q390" s="58">
        <f t="shared" si="17"/>
        <v>161050.75</v>
      </c>
      <c r="R390" s="56"/>
    </row>
    <row r="391" ht="20" customHeight="1" spans="2:18">
      <c r="B391" s="42">
        <v>5</v>
      </c>
      <c r="C391" s="42">
        <v>14</v>
      </c>
      <c r="D391" s="42"/>
      <c r="E391" s="104" t="s">
        <v>2934</v>
      </c>
      <c r="F391" s="97" t="s">
        <v>2940</v>
      </c>
      <c r="G391" s="55"/>
      <c r="H391" s="55"/>
      <c r="I391" s="55">
        <v>600</v>
      </c>
      <c r="J391" s="55"/>
      <c r="K391" s="55"/>
      <c r="L391" s="55"/>
      <c r="M391" s="55"/>
      <c r="N391" s="55">
        <v>3</v>
      </c>
      <c r="O391" s="56">
        <f t="shared" si="16"/>
        <v>597</v>
      </c>
      <c r="P391" s="56"/>
      <c r="Q391" s="58">
        <f t="shared" si="17"/>
        <v>161647.75</v>
      </c>
      <c r="R391" s="56"/>
    </row>
    <row r="392" ht="20" customHeight="1" spans="2:18">
      <c r="B392" s="42">
        <v>5</v>
      </c>
      <c r="C392" s="42">
        <v>14</v>
      </c>
      <c r="D392" s="42"/>
      <c r="E392" s="104" t="s">
        <v>2626</v>
      </c>
      <c r="F392" s="97" t="s">
        <v>2941</v>
      </c>
      <c r="G392" s="55">
        <v>4262.5</v>
      </c>
      <c r="H392" s="55">
        <v>437.5</v>
      </c>
      <c r="I392" s="56"/>
      <c r="J392" s="56"/>
      <c r="K392" s="56"/>
      <c r="L392" s="56"/>
      <c r="M392" s="56"/>
      <c r="N392" s="56"/>
      <c r="O392" s="56">
        <f t="shared" si="16"/>
        <v>4700</v>
      </c>
      <c r="P392" s="56"/>
      <c r="Q392" s="58">
        <f t="shared" si="17"/>
        <v>166347.75</v>
      </c>
      <c r="R392" s="56"/>
    </row>
    <row r="393" ht="20" customHeight="1" spans="2:18">
      <c r="B393" s="42">
        <v>5</v>
      </c>
      <c r="C393" s="42">
        <v>14</v>
      </c>
      <c r="D393" s="42"/>
      <c r="E393" s="104" t="s">
        <v>2626</v>
      </c>
      <c r="F393" s="97" t="s">
        <v>2942</v>
      </c>
      <c r="G393" s="56"/>
      <c r="H393" s="56"/>
      <c r="I393" s="55">
        <v>53</v>
      </c>
      <c r="J393" s="56"/>
      <c r="K393" s="56"/>
      <c r="L393" s="56"/>
      <c r="M393" s="56"/>
      <c r="N393" s="56"/>
      <c r="O393" s="56">
        <f t="shared" si="16"/>
        <v>53</v>
      </c>
      <c r="P393" s="56"/>
      <c r="Q393" s="58">
        <f t="shared" si="17"/>
        <v>166400.75</v>
      </c>
      <c r="R393" s="56"/>
    </row>
    <row r="394" ht="20" customHeight="1" spans="2:18">
      <c r="B394" s="42">
        <v>5</v>
      </c>
      <c r="C394" s="42">
        <v>15</v>
      </c>
      <c r="D394" s="42"/>
      <c r="E394" s="104" t="s">
        <v>2934</v>
      </c>
      <c r="F394" s="97" t="s">
        <v>2943</v>
      </c>
      <c r="G394" s="55"/>
      <c r="H394" s="55"/>
      <c r="I394" s="55">
        <v>1300</v>
      </c>
      <c r="J394" s="55"/>
      <c r="K394" s="55"/>
      <c r="L394" s="55"/>
      <c r="M394" s="55"/>
      <c r="N394" s="55">
        <v>6.5</v>
      </c>
      <c r="O394" s="56">
        <f t="shared" si="16"/>
        <v>1293.5</v>
      </c>
      <c r="P394" s="56"/>
      <c r="Q394" s="58">
        <f t="shared" si="17"/>
        <v>167694.25</v>
      </c>
      <c r="R394" s="56"/>
    </row>
    <row r="395" ht="20" customHeight="1" spans="2:18">
      <c r="B395" s="42">
        <v>5</v>
      </c>
      <c r="C395" s="42">
        <v>15</v>
      </c>
      <c r="D395" s="74" t="s">
        <v>69</v>
      </c>
      <c r="E395" s="104" t="s">
        <v>2638</v>
      </c>
      <c r="F395" s="97" t="s">
        <v>2944</v>
      </c>
      <c r="G395" s="56"/>
      <c r="H395" s="56"/>
      <c r="I395" s="56"/>
      <c r="J395" s="56"/>
      <c r="K395" s="56"/>
      <c r="L395" s="56"/>
      <c r="M395" s="56"/>
      <c r="N395" s="56"/>
      <c r="O395" s="56">
        <f t="shared" si="16"/>
        <v>0</v>
      </c>
      <c r="P395" s="57">
        <v>20000</v>
      </c>
      <c r="Q395" s="58">
        <f t="shared" si="17"/>
        <v>147694.25</v>
      </c>
      <c r="R395" s="56"/>
    </row>
    <row r="396" ht="20" customHeight="1" spans="2:18">
      <c r="B396" s="42">
        <v>5</v>
      </c>
      <c r="C396" s="42">
        <v>15</v>
      </c>
      <c r="D396" s="74" t="s">
        <v>92</v>
      </c>
      <c r="E396" s="104" t="s">
        <v>251</v>
      </c>
      <c r="F396" s="97" t="s">
        <v>2945</v>
      </c>
      <c r="G396" s="56"/>
      <c r="H396" s="56"/>
      <c r="I396" s="56"/>
      <c r="J396" s="56"/>
      <c r="K396" s="56"/>
      <c r="L396" s="56"/>
      <c r="M396" s="56"/>
      <c r="N396" s="56"/>
      <c r="O396" s="56">
        <f t="shared" si="16"/>
        <v>0</v>
      </c>
      <c r="P396" s="55">
        <v>16501.01</v>
      </c>
      <c r="Q396" s="58">
        <f t="shared" si="17"/>
        <v>131193.24</v>
      </c>
      <c r="R396" s="56"/>
    </row>
    <row r="397" ht="20" customHeight="1" spans="2:18">
      <c r="B397" s="42">
        <v>5</v>
      </c>
      <c r="C397" s="42">
        <v>15</v>
      </c>
      <c r="D397" s="74" t="s">
        <v>93</v>
      </c>
      <c r="E397" s="104" t="s">
        <v>251</v>
      </c>
      <c r="F397" s="97" t="s">
        <v>2946</v>
      </c>
      <c r="G397" s="56"/>
      <c r="H397" s="56"/>
      <c r="I397" s="56"/>
      <c r="J397" s="56"/>
      <c r="K397" s="56"/>
      <c r="L397" s="56"/>
      <c r="M397" s="56"/>
      <c r="N397" s="56"/>
      <c r="O397" s="56"/>
      <c r="P397" s="55">
        <v>3244.38</v>
      </c>
      <c r="Q397" s="58">
        <f t="shared" si="17"/>
        <v>127948.86</v>
      </c>
      <c r="R397" s="56"/>
    </row>
    <row r="398" ht="20" customHeight="1" spans="2:18">
      <c r="B398" s="42">
        <v>5</v>
      </c>
      <c r="C398" s="42">
        <v>15</v>
      </c>
      <c r="D398" s="74" t="s">
        <v>92</v>
      </c>
      <c r="E398" s="104" t="s">
        <v>178</v>
      </c>
      <c r="F398" s="97" t="s">
        <v>2947</v>
      </c>
      <c r="G398" s="56"/>
      <c r="H398" s="56"/>
      <c r="I398" s="56"/>
      <c r="J398" s="56"/>
      <c r="K398" s="56"/>
      <c r="L398" s="56"/>
      <c r="M398" s="56"/>
      <c r="N398" s="56"/>
      <c r="O398" s="56">
        <f t="shared" ref="O398:O410" si="18">SUM(G398:M398)-N398</f>
        <v>0</v>
      </c>
      <c r="P398" s="57">
        <v>2500</v>
      </c>
      <c r="Q398" s="58">
        <f t="shared" si="17"/>
        <v>125448.86</v>
      </c>
      <c r="R398" s="56"/>
    </row>
    <row r="399" ht="20" customHeight="1" spans="2:18">
      <c r="B399" s="42">
        <v>5</v>
      </c>
      <c r="C399" s="42">
        <v>15</v>
      </c>
      <c r="D399" s="74" t="s">
        <v>100</v>
      </c>
      <c r="E399" s="96" t="s">
        <v>291</v>
      </c>
      <c r="F399" s="97" t="s">
        <v>2948</v>
      </c>
      <c r="G399" s="56"/>
      <c r="H399" s="56"/>
      <c r="I399" s="56"/>
      <c r="J399" s="56"/>
      <c r="K399" s="56"/>
      <c r="L399" s="56"/>
      <c r="M399" s="56"/>
      <c r="N399" s="56"/>
      <c r="O399" s="56">
        <f t="shared" si="18"/>
        <v>0</v>
      </c>
      <c r="P399" s="57">
        <v>100</v>
      </c>
      <c r="Q399" s="58">
        <f t="shared" si="17"/>
        <v>125348.86</v>
      </c>
      <c r="R399" s="56"/>
    </row>
    <row r="400" ht="20" customHeight="1" spans="2:18">
      <c r="B400" s="42">
        <v>5</v>
      </c>
      <c r="C400" s="42">
        <v>15</v>
      </c>
      <c r="D400" s="74" t="s">
        <v>100</v>
      </c>
      <c r="E400" s="96" t="s">
        <v>291</v>
      </c>
      <c r="F400" s="97" t="s">
        <v>2949</v>
      </c>
      <c r="G400" s="56"/>
      <c r="H400" s="56"/>
      <c r="I400" s="56"/>
      <c r="J400" s="56"/>
      <c r="K400" s="56"/>
      <c r="L400" s="56"/>
      <c r="M400" s="56"/>
      <c r="N400" s="56"/>
      <c r="O400" s="56">
        <f t="shared" si="18"/>
        <v>0</v>
      </c>
      <c r="P400" s="57">
        <v>250</v>
      </c>
      <c r="Q400" s="58">
        <f t="shared" si="17"/>
        <v>125098.86</v>
      </c>
      <c r="R400" s="56"/>
    </row>
    <row r="401" ht="20" customHeight="1" spans="2:18">
      <c r="B401" s="42">
        <v>5</v>
      </c>
      <c r="C401" s="42">
        <v>15</v>
      </c>
      <c r="D401" s="42" t="s">
        <v>101</v>
      </c>
      <c r="E401" s="96" t="s">
        <v>291</v>
      </c>
      <c r="F401" s="97" t="s">
        <v>2950</v>
      </c>
      <c r="G401" s="56"/>
      <c r="H401" s="56"/>
      <c r="I401" s="56"/>
      <c r="J401" s="56"/>
      <c r="K401" s="56"/>
      <c r="L401" s="56"/>
      <c r="M401" s="56"/>
      <c r="N401" s="56"/>
      <c r="O401" s="56">
        <f t="shared" si="18"/>
        <v>0</v>
      </c>
      <c r="P401" s="57">
        <v>139</v>
      </c>
      <c r="Q401" s="58">
        <f t="shared" si="17"/>
        <v>124959.86</v>
      </c>
      <c r="R401" s="56"/>
    </row>
    <row r="402" ht="20" customHeight="1" spans="2:18">
      <c r="B402" s="42">
        <v>5</v>
      </c>
      <c r="C402" s="42">
        <v>15</v>
      </c>
      <c r="D402" s="42"/>
      <c r="E402" s="104" t="s">
        <v>2535</v>
      </c>
      <c r="F402" s="97" t="s">
        <v>2951</v>
      </c>
      <c r="G402" s="55">
        <v>1974</v>
      </c>
      <c r="H402" s="55">
        <v>282</v>
      </c>
      <c r="I402" s="55">
        <v>18</v>
      </c>
      <c r="J402" s="56"/>
      <c r="K402" s="56"/>
      <c r="L402" s="56"/>
      <c r="M402" s="56"/>
      <c r="N402" s="56"/>
      <c r="O402" s="56">
        <f t="shared" si="18"/>
        <v>2274</v>
      </c>
      <c r="P402" s="56"/>
      <c r="Q402" s="58">
        <f t="shared" si="17"/>
        <v>127233.86</v>
      </c>
      <c r="R402" s="56"/>
    </row>
    <row r="403" ht="20" customHeight="1" spans="2:18">
      <c r="B403" s="42">
        <v>5</v>
      </c>
      <c r="C403" s="42">
        <v>15</v>
      </c>
      <c r="D403" s="42"/>
      <c r="E403" s="104"/>
      <c r="F403" s="97" t="s">
        <v>2952</v>
      </c>
      <c r="G403" s="55"/>
      <c r="H403" s="55"/>
      <c r="I403" s="55"/>
      <c r="J403" s="55"/>
      <c r="K403" s="55">
        <v>300</v>
      </c>
      <c r="L403" s="55"/>
      <c r="M403" s="55"/>
      <c r="N403" s="55">
        <v>2.15</v>
      </c>
      <c r="O403" s="56">
        <f t="shared" si="18"/>
        <v>297.85</v>
      </c>
      <c r="P403" s="56"/>
      <c r="Q403" s="58">
        <f t="shared" si="17"/>
        <v>127531.71</v>
      </c>
      <c r="R403" s="59" t="s">
        <v>669</v>
      </c>
    </row>
    <row r="404" ht="20" customHeight="1" spans="2:18">
      <c r="B404" s="42">
        <v>5</v>
      </c>
      <c r="C404" s="42">
        <v>15</v>
      </c>
      <c r="D404" s="42"/>
      <c r="E404" s="104"/>
      <c r="F404" s="97" t="s">
        <v>2953</v>
      </c>
      <c r="G404" s="55"/>
      <c r="H404" s="55"/>
      <c r="I404" s="55"/>
      <c r="J404" s="55"/>
      <c r="K404" s="55">
        <v>500</v>
      </c>
      <c r="L404" s="55"/>
      <c r="M404" s="55"/>
      <c r="N404" s="55"/>
      <c r="O404" s="56">
        <f t="shared" si="18"/>
        <v>500</v>
      </c>
      <c r="P404" s="56"/>
      <c r="Q404" s="58">
        <f t="shared" si="17"/>
        <v>128031.71</v>
      </c>
      <c r="R404" s="59" t="s">
        <v>669</v>
      </c>
    </row>
    <row r="405" ht="20" customHeight="1" spans="2:18">
      <c r="B405" s="42">
        <v>5</v>
      </c>
      <c r="C405" s="42">
        <v>15</v>
      </c>
      <c r="D405" s="42"/>
      <c r="E405" s="104"/>
      <c r="F405" s="97" t="s">
        <v>2954</v>
      </c>
      <c r="G405" s="55"/>
      <c r="H405" s="55"/>
      <c r="I405" s="55"/>
      <c r="J405" s="55"/>
      <c r="K405" s="55">
        <v>600</v>
      </c>
      <c r="L405" s="55"/>
      <c r="M405" s="55"/>
      <c r="N405" s="55"/>
      <c r="O405" s="56">
        <f t="shared" si="18"/>
        <v>600</v>
      </c>
      <c r="P405" s="56"/>
      <c r="Q405" s="58">
        <f t="shared" si="17"/>
        <v>128631.71</v>
      </c>
      <c r="R405" s="59" t="s">
        <v>669</v>
      </c>
    </row>
    <row r="406" ht="20" customHeight="1" spans="2:18">
      <c r="B406" s="42">
        <v>5</v>
      </c>
      <c r="C406" s="42">
        <v>15</v>
      </c>
      <c r="D406" s="42"/>
      <c r="E406" s="104"/>
      <c r="F406" s="97" t="s">
        <v>2931</v>
      </c>
      <c r="G406" s="55"/>
      <c r="H406" s="55"/>
      <c r="I406" s="55"/>
      <c r="J406" s="55"/>
      <c r="K406" s="55">
        <v>10</v>
      </c>
      <c r="L406" s="55"/>
      <c r="M406" s="55"/>
      <c r="N406" s="55"/>
      <c r="O406" s="56">
        <f t="shared" si="18"/>
        <v>10</v>
      </c>
      <c r="P406" s="56"/>
      <c r="Q406" s="58">
        <f t="shared" si="17"/>
        <v>128641.71</v>
      </c>
      <c r="R406" s="59" t="s">
        <v>669</v>
      </c>
    </row>
    <row r="407" ht="20" customHeight="1" spans="2:18">
      <c r="B407" s="42">
        <v>5</v>
      </c>
      <c r="C407" s="42">
        <v>15</v>
      </c>
      <c r="D407" s="42"/>
      <c r="E407" s="104"/>
      <c r="F407" s="97" t="s">
        <v>2955</v>
      </c>
      <c r="G407" s="56"/>
      <c r="H407" s="56"/>
      <c r="I407" s="55">
        <v>500</v>
      </c>
      <c r="J407" s="56"/>
      <c r="K407" s="56"/>
      <c r="L407" s="56"/>
      <c r="M407" s="56"/>
      <c r="N407" s="56"/>
      <c r="O407" s="56">
        <f t="shared" si="18"/>
        <v>500</v>
      </c>
      <c r="P407" s="56"/>
      <c r="Q407" s="58">
        <f t="shared" si="17"/>
        <v>129141.71</v>
      </c>
      <c r="R407" s="59" t="s">
        <v>669</v>
      </c>
    </row>
    <row r="408" ht="20" customHeight="1" spans="2:18">
      <c r="B408" s="42">
        <v>5</v>
      </c>
      <c r="C408" s="42">
        <v>15</v>
      </c>
      <c r="D408" s="42"/>
      <c r="E408" s="104"/>
      <c r="F408" s="97" t="s">
        <v>2956</v>
      </c>
      <c r="G408" s="55"/>
      <c r="H408" s="55"/>
      <c r="I408" s="55"/>
      <c r="J408" s="55"/>
      <c r="K408" s="55">
        <v>240</v>
      </c>
      <c r="L408" s="55"/>
      <c r="M408" s="55"/>
      <c r="N408" s="55"/>
      <c r="O408" s="56">
        <f t="shared" si="18"/>
        <v>240</v>
      </c>
      <c r="P408" s="56"/>
      <c r="Q408" s="58">
        <f t="shared" si="17"/>
        <v>129381.71</v>
      </c>
      <c r="R408" s="59" t="s">
        <v>669</v>
      </c>
    </row>
    <row r="409" ht="20" customHeight="1" spans="2:18">
      <c r="B409" s="42">
        <v>5</v>
      </c>
      <c r="C409" s="54">
        <v>18</v>
      </c>
      <c r="D409" s="54"/>
      <c r="E409" s="100" t="s">
        <v>2934</v>
      </c>
      <c r="F409" s="97" t="s">
        <v>2957</v>
      </c>
      <c r="G409" s="55"/>
      <c r="H409" s="55"/>
      <c r="I409" s="55">
        <v>100</v>
      </c>
      <c r="J409" s="55"/>
      <c r="K409" s="55"/>
      <c r="L409" s="55"/>
      <c r="M409" s="55"/>
      <c r="N409" s="55">
        <v>0.5</v>
      </c>
      <c r="O409" s="56">
        <f t="shared" si="18"/>
        <v>99.5</v>
      </c>
      <c r="P409" s="56"/>
      <c r="Q409" s="58">
        <f t="shared" si="17"/>
        <v>129481.21</v>
      </c>
      <c r="R409" s="56"/>
    </row>
    <row r="410" ht="20" customHeight="1" spans="2:18">
      <c r="B410" s="42">
        <v>5</v>
      </c>
      <c r="C410" s="54">
        <v>18</v>
      </c>
      <c r="D410" s="54"/>
      <c r="E410" s="100" t="s">
        <v>2663</v>
      </c>
      <c r="F410" s="97" t="s">
        <v>2958</v>
      </c>
      <c r="G410" s="55">
        <v>3948</v>
      </c>
      <c r="H410" s="55">
        <v>616</v>
      </c>
      <c r="I410" s="56"/>
      <c r="J410" s="56"/>
      <c r="K410" s="56"/>
      <c r="L410" s="56"/>
      <c r="M410" s="56"/>
      <c r="N410" s="56"/>
      <c r="O410" s="56">
        <f t="shared" si="18"/>
        <v>4564</v>
      </c>
      <c r="P410" s="56"/>
      <c r="Q410" s="58">
        <f t="shared" si="17"/>
        <v>134045.21</v>
      </c>
      <c r="R410" s="56"/>
    </row>
    <row r="411" ht="20" customHeight="1" spans="2:18">
      <c r="B411" s="42">
        <v>5</v>
      </c>
      <c r="C411" s="54">
        <v>19</v>
      </c>
      <c r="D411" s="54"/>
      <c r="E411" s="100" t="s">
        <v>2934</v>
      </c>
      <c r="F411" s="97" t="s">
        <v>2959</v>
      </c>
      <c r="G411" s="55"/>
      <c r="H411" s="55"/>
      <c r="I411" s="55">
        <v>3400</v>
      </c>
      <c r="J411" s="55"/>
      <c r="K411" s="55"/>
      <c r="L411" s="55"/>
      <c r="M411" s="55"/>
      <c r="N411" s="55">
        <v>17</v>
      </c>
      <c r="O411" s="56">
        <v>3383</v>
      </c>
      <c r="P411" s="56"/>
      <c r="Q411" s="58">
        <f t="shared" si="17"/>
        <v>137428.21</v>
      </c>
      <c r="R411" s="56"/>
    </row>
    <row r="412" ht="20" customHeight="1" spans="2:18">
      <c r="B412" s="42">
        <v>5</v>
      </c>
      <c r="C412" s="42">
        <v>19</v>
      </c>
      <c r="D412" s="42"/>
      <c r="E412" s="104" t="s">
        <v>2516</v>
      </c>
      <c r="F412" s="97" t="s">
        <v>2960</v>
      </c>
      <c r="G412" s="56"/>
      <c r="H412" s="56"/>
      <c r="I412" s="56"/>
      <c r="J412" s="56"/>
      <c r="K412" s="55">
        <v>570</v>
      </c>
      <c r="L412" s="55"/>
      <c r="M412" s="55"/>
      <c r="N412" s="55">
        <v>3.42</v>
      </c>
      <c r="O412" s="56">
        <v>566.58</v>
      </c>
      <c r="P412" s="56"/>
      <c r="Q412" s="58">
        <f t="shared" si="17"/>
        <v>137994.79</v>
      </c>
      <c r="R412" s="56"/>
    </row>
    <row r="413" ht="20" customHeight="1" spans="2:18">
      <c r="B413" s="42">
        <v>5</v>
      </c>
      <c r="C413" s="42">
        <v>20</v>
      </c>
      <c r="D413" s="42"/>
      <c r="E413" s="104" t="s">
        <v>2934</v>
      </c>
      <c r="F413" s="97" t="s">
        <v>2961</v>
      </c>
      <c r="G413" s="55"/>
      <c r="H413" s="55"/>
      <c r="I413" s="55">
        <v>1224</v>
      </c>
      <c r="J413" s="55"/>
      <c r="K413" s="55"/>
      <c r="L413" s="55"/>
      <c r="M413" s="55"/>
      <c r="N413" s="55">
        <v>6.12</v>
      </c>
      <c r="O413" s="56">
        <v>1217.88</v>
      </c>
      <c r="P413" s="56"/>
      <c r="Q413" s="58">
        <f t="shared" si="17"/>
        <v>139212.67</v>
      </c>
      <c r="R413" s="56"/>
    </row>
    <row r="414" ht="20" customHeight="1" spans="2:18">
      <c r="B414" s="42">
        <v>5</v>
      </c>
      <c r="C414" s="42">
        <v>20</v>
      </c>
      <c r="D414" s="42"/>
      <c r="E414" s="104" t="s">
        <v>2559</v>
      </c>
      <c r="F414" s="97" t="s">
        <v>2962</v>
      </c>
      <c r="G414" s="55">
        <v>2611</v>
      </c>
      <c r="H414" s="55">
        <v>373</v>
      </c>
      <c r="I414" s="55">
        <v>24</v>
      </c>
      <c r="J414" s="56"/>
      <c r="K414" s="56"/>
      <c r="L414" s="56"/>
      <c r="M414" s="56"/>
      <c r="N414" s="56"/>
      <c r="O414" s="56">
        <v>3008</v>
      </c>
      <c r="P414" s="56"/>
      <c r="Q414" s="58">
        <f t="shared" si="17"/>
        <v>142220.67</v>
      </c>
      <c r="R414" s="56"/>
    </row>
    <row r="415" ht="20" customHeight="1" spans="2:18">
      <c r="B415" s="42">
        <v>5</v>
      </c>
      <c r="C415" s="42">
        <v>20</v>
      </c>
      <c r="D415" s="42"/>
      <c r="E415" s="104" t="s">
        <v>2934</v>
      </c>
      <c r="F415" s="97" t="s">
        <v>2963</v>
      </c>
      <c r="G415" s="55"/>
      <c r="H415" s="55"/>
      <c r="I415" s="55">
        <v>1225</v>
      </c>
      <c r="J415" s="55"/>
      <c r="K415" s="55"/>
      <c r="L415" s="55"/>
      <c r="M415" s="55"/>
      <c r="N415" s="55">
        <v>6.13</v>
      </c>
      <c r="O415" s="56">
        <v>1218.87</v>
      </c>
      <c r="P415" s="56"/>
      <c r="Q415" s="58">
        <f t="shared" si="17"/>
        <v>143439.54</v>
      </c>
      <c r="R415" s="56"/>
    </row>
    <row r="416" ht="20" customHeight="1" spans="2:18">
      <c r="B416" s="42">
        <v>5</v>
      </c>
      <c r="C416" s="42">
        <v>21</v>
      </c>
      <c r="D416" s="42"/>
      <c r="E416" s="100" t="s">
        <v>2934</v>
      </c>
      <c r="F416" s="97" t="s">
        <v>2964</v>
      </c>
      <c r="G416" s="55"/>
      <c r="H416" s="55"/>
      <c r="I416" s="55">
        <v>205.83</v>
      </c>
      <c r="J416" s="55"/>
      <c r="K416" s="55"/>
      <c r="L416" s="55"/>
      <c r="M416" s="55"/>
      <c r="N416" s="55">
        <v>1.03</v>
      </c>
      <c r="O416" s="56">
        <v>204.8</v>
      </c>
      <c r="P416" s="56"/>
      <c r="Q416" s="58">
        <f t="shared" si="17"/>
        <v>143644.34</v>
      </c>
      <c r="R416" s="56"/>
    </row>
    <row r="417" ht="20" customHeight="1" spans="2:18">
      <c r="B417" s="42">
        <v>5</v>
      </c>
      <c r="C417" s="42">
        <v>22</v>
      </c>
      <c r="D417" s="74" t="s">
        <v>69</v>
      </c>
      <c r="E417" s="104" t="s">
        <v>2638</v>
      </c>
      <c r="F417" s="97" t="s">
        <v>2944</v>
      </c>
      <c r="G417" s="56"/>
      <c r="H417" s="56"/>
      <c r="I417" s="56"/>
      <c r="J417" s="56"/>
      <c r="K417" s="56"/>
      <c r="L417" s="56"/>
      <c r="M417" s="56"/>
      <c r="N417" s="56"/>
      <c r="O417" s="56">
        <v>0</v>
      </c>
      <c r="P417" s="57">
        <v>4300</v>
      </c>
      <c r="Q417" s="58">
        <f t="shared" si="17"/>
        <v>139344.34</v>
      </c>
      <c r="R417" s="56"/>
    </row>
    <row r="418" ht="20" customHeight="1" spans="2:18">
      <c r="B418" s="42">
        <v>5</v>
      </c>
      <c r="C418" s="42">
        <v>25</v>
      </c>
      <c r="D418" s="42"/>
      <c r="E418" s="104" t="s">
        <v>2965</v>
      </c>
      <c r="F418" s="97" t="s">
        <v>2966</v>
      </c>
      <c r="G418" s="56"/>
      <c r="H418" s="56"/>
      <c r="I418" s="55">
        <v>100</v>
      </c>
      <c r="J418" s="56"/>
      <c r="K418" s="56"/>
      <c r="L418" s="56"/>
      <c r="M418" s="56"/>
      <c r="N418" s="55">
        <v>0.1</v>
      </c>
      <c r="O418" s="56">
        <v>99.9</v>
      </c>
      <c r="P418" s="56"/>
      <c r="Q418" s="58">
        <f t="shared" si="17"/>
        <v>139444.24</v>
      </c>
      <c r="R418" s="56"/>
    </row>
    <row r="419" ht="20" customHeight="1" spans="2:18">
      <c r="B419" s="42">
        <v>5</v>
      </c>
      <c r="C419" s="42">
        <v>25</v>
      </c>
      <c r="D419" s="42"/>
      <c r="E419" s="100"/>
      <c r="F419" s="97" t="s">
        <v>2967</v>
      </c>
      <c r="G419" s="55"/>
      <c r="H419" s="55"/>
      <c r="I419" s="55"/>
      <c r="J419" s="55"/>
      <c r="K419" s="55">
        <v>15</v>
      </c>
      <c r="L419" s="55"/>
      <c r="M419" s="55"/>
      <c r="N419" s="55">
        <v>0.02</v>
      </c>
      <c r="O419" s="56">
        <v>14.98</v>
      </c>
      <c r="P419" s="56"/>
      <c r="Q419" s="58">
        <f t="shared" si="17"/>
        <v>139459.22</v>
      </c>
      <c r="R419" s="56"/>
    </row>
    <row r="420" ht="20" customHeight="1" spans="2:18">
      <c r="B420" s="42">
        <v>5</v>
      </c>
      <c r="C420" s="42">
        <v>25</v>
      </c>
      <c r="D420" s="42"/>
      <c r="E420" s="104" t="s">
        <v>2663</v>
      </c>
      <c r="F420" s="97" t="s">
        <v>2968</v>
      </c>
      <c r="G420" s="55">
        <v>4.4</v>
      </c>
      <c r="H420" s="56"/>
      <c r="I420" s="56"/>
      <c r="J420" s="56"/>
      <c r="K420" s="56"/>
      <c r="L420" s="56"/>
      <c r="M420" s="56"/>
      <c r="N420" s="56"/>
      <c r="O420" s="56">
        <v>4.4</v>
      </c>
      <c r="P420" s="56"/>
      <c r="Q420" s="58">
        <f t="shared" si="17"/>
        <v>139463.62</v>
      </c>
      <c r="R420" s="56"/>
    </row>
    <row r="421" ht="20" customHeight="1" spans="2:18">
      <c r="B421" s="42">
        <v>5</v>
      </c>
      <c r="C421" s="42">
        <v>25</v>
      </c>
      <c r="D421" s="42"/>
      <c r="E421" s="104"/>
      <c r="F421" s="97" t="s">
        <v>2969</v>
      </c>
      <c r="G421" s="55"/>
      <c r="H421" s="55"/>
      <c r="I421" s="55"/>
      <c r="J421" s="55"/>
      <c r="K421" s="55">
        <v>240</v>
      </c>
      <c r="L421" s="55"/>
      <c r="M421" s="55"/>
      <c r="N421" s="55">
        <v>0.24</v>
      </c>
      <c r="O421" s="56">
        <v>239.76</v>
      </c>
      <c r="P421" s="56"/>
      <c r="Q421" s="58">
        <f t="shared" si="17"/>
        <v>139703.38</v>
      </c>
      <c r="R421" s="56"/>
    </row>
    <row r="422" ht="20" customHeight="1" spans="2:18">
      <c r="B422" s="42">
        <v>5</v>
      </c>
      <c r="C422" s="42">
        <v>25</v>
      </c>
      <c r="D422" s="42"/>
      <c r="E422" s="100"/>
      <c r="F422" s="97" t="s">
        <v>2970</v>
      </c>
      <c r="G422" s="55"/>
      <c r="H422" s="55"/>
      <c r="I422" s="55"/>
      <c r="J422" s="55"/>
      <c r="K422" s="55">
        <v>400</v>
      </c>
      <c r="L422" s="55"/>
      <c r="M422" s="55"/>
      <c r="N422" s="55">
        <v>0.4</v>
      </c>
      <c r="O422" s="56">
        <v>399.6</v>
      </c>
      <c r="P422" s="56"/>
      <c r="Q422" s="58">
        <f t="shared" si="17"/>
        <v>140102.98</v>
      </c>
      <c r="R422" s="56"/>
    </row>
    <row r="423" ht="20" customHeight="1" spans="2:18">
      <c r="B423" s="42">
        <v>5</v>
      </c>
      <c r="C423" s="42">
        <v>25</v>
      </c>
      <c r="D423" s="42"/>
      <c r="E423" s="104"/>
      <c r="F423" s="97" t="s">
        <v>2971</v>
      </c>
      <c r="G423" s="55"/>
      <c r="H423" s="55"/>
      <c r="I423" s="55"/>
      <c r="J423" s="55"/>
      <c r="K423" s="55">
        <v>300</v>
      </c>
      <c r="L423" s="55"/>
      <c r="M423" s="55"/>
      <c r="N423" s="55">
        <v>0.3</v>
      </c>
      <c r="O423" s="56">
        <v>299.7</v>
      </c>
      <c r="P423" s="56"/>
      <c r="Q423" s="58">
        <f t="shared" ref="Q423:Q444" si="19">Q422+O423-P423</f>
        <v>140402.68</v>
      </c>
      <c r="R423" s="56"/>
    </row>
    <row r="424" ht="20" customHeight="1" spans="2:18">
      <c r="B424" s="42">
        <v>5</v>
      </c>
      <c r="C424" s="42">
        <v>25</v>
      </c>
      <c r="D424" s="42"/>
      <c r="E424" s="104"/>
      <c r="F424" s="97" t="s">
        <v>2972</v>
      </c>
      <c r="G424" s="55"/>
      <c r="H424" s="55"/>
      <c r="I424" s="55"/>
      <c r="J424" s="55"/>
      <c r="K424" s="55">
        <v>240</v>
      </c>
      <c r="L424" s="55"/>
      <c r="M424" s="55"/>
      <c r="N424" s="55">
        <v>0.24</v>
      </c>
      <c r="O424" s="56">
        <v>239.76</v>
      </c>
      <c r="P424" s="56"/>
      <c r="Q424" s="58">
        <f t="shared" si="19"/>
        <v>140642.44</v>
      </c>
      <c r="R424" s="56"/>
    </row>
    <row r="425" ht="20" customHeight="1" spans="2:18">
      <c r="B425" s="42">
        <v>5</v>
      </c>
      <c r="C425" s="42">
        <v>25</v>
      </c>
      <c r="D425" s="42"/>
      <c r="E425" s="100" t="s">
        <v>2674</v>
      </c>
      <c r="F425" s="97" t="s">
        <v>2973</v>
      </c>
      <c r="G425" s="55">
        <v>5000</v>
      </c>
      <c r="H425" s="55">
        <v>1100</v>
      </c>
      <c r="I425" s="56"/>
      <c r="J425" s="56"/>
      <c r="K425" s="56"/>
      <c r="L425" s="56"/>
      <c r="M425" s="56"/>
      <c r="N425" s="56"/>
      <c r="O425" s="56">
        <v>6100</v>
      </c>
      <c r="P425" s="56"/>
      <c r="Q425" s="58">
        <f t="shared" si="19"/>
        <v>146742.44</v>
      </c>
      <c r="R425" s="56"/>
    </row>
    <row r="426" ht="20" customHeight="1" spans="2:18">
      <c r="B426" s="42">
        <v>5</v>
      </c>
      <c r="C426" s="42">
        <v>25</v>
      </c>
      <c r="D426" s="42"/>
      <c r="E426" s="104" t="s">
        <v>2674</v>
      </c>
      <c r="F426" s="97" t="s">
        <v>2974</v>
      </c>
      <c r="G426" s="55">
        <v>1300</v>
      </c>
      <c r="H426" s="56"/>
      <c r="I426" s="56"/>
      <c r="J426" s="56"/>
      <c r="K426" s="56"/>
      <c r="L426" s="56"/>
      <c r="M426" s="56"/>
      <c r="N426" s="56"/>
      <c r="O426" s="56">
        <v>1300</v>
      </c>
      <c r="P426" s="56"/>
      <c r="Q426" s="58">
        <f t="shared" si="19"/>
        <v>148042.44</v>
      </c>
      <c r="R426" s="56"/>
    </row>
    <row r="427" ht="20" customHeight="1" spans="2:18">
      <c r="B427" s="42">
        <v>5</v>
      </c>
      <c r="C427" s="42">
        <v>26</v>
      </c>
      <c r="D427" s="42"/>
      <c r="E427" s="104" t="s">
        <v>2934</v>
      </c>
      <c r="F427" s="97" t="s">
        <v>2975</v>
      </c>
      <c r="G427" s="55"/>
      <c r="H427" s="55"/>
      <c r="I427" s="55">
        <v>3400</v>
      </c>
      <c r="J427" s="55"/>
      <c r="K427" s="55"/>
      <c r="L427" s="55"/>
      <c r="M427" s="55"/>
      <c r="N427" s="55">
        <v>17</v>
      </c>
      <c r="O427" s="56">
        <v>3383</v>
      </c>
      <c r="P427" s="56"/>
      <c r="Q427" s="58">
        <f t="shared" si="19"/>
        <v>151425.44</v>
      </c>
      <c r="R427" s="56"/>
    </row>
    <row r="428" ht="20" customHeight="1" spans="2:18">
      <c r="B428" s="42">
        <v>5</v>
      </c>
      <c r="C428" s="42">
        <v>27</v>
      </c>
      <c r="D428" s="74" t="s">
        <v>144</v>
      </c>
      <c r="E428" s="100" t="s">
        <v>2697</v>
      </c>
      <c r="F428" s="97" t="s">
        <v>2698</v>
      </c>
      <c r="G428" s="56"/>
      <c r="H428" s="56"/>
      <c r="I428" s="56"/>
      <c r="J428" s="56"/>
      <c r="K428" s="56"/>
      <c r="L428" s="56"/>
      <c r="M428" s="56"/>
      <c r="N428" s="56"/>
      <c r="O428" s="56">
        <v>0</v>
      </c>
      <c r="P428" s="57">
        <v>28137</v>
      </c>
      <c r="Q428" s="58">
        <f t="shared" si="19"/>
        <v>123288.44</v>
      </c>
      <c r="R428" s="56"/>
    </row>
    <row r="429" ht="20" customHeight="1" spans="2:18">
      <c r="B429" s="42">
        <v>5</v>
      </c>
      <c r="C429" s="42">
        <v>27</v>
      </c>
      <c r="D429" s="42"/>
      <c r="E429" s="104" t="s">
        <v>2934</v>
      </c>
      <c r="F429" s="97" t="s">
        <v>2976</v>
      </c>
      <c r="G429" s="55"/>
      <c r="H429" s="55"/>
      <c r="I429" s="55">
        <v>100</v>
      </c>
      <c r="J429" s="55"/>
      <c r="K429" s="55"/>
      <c r="L429" s="55"/>
      <c r="M429" s="55"/>
      <c r="N429" s="55">
        <v>0.5</v>
      </c>
      <c r="O429" s="56">
        <v>99.5</v>
      </c>
      <c r="P429" s="56"/>
      <c r="Q429" s="58">
        <f t="shared" si="19"/>
        <v>123387.94</v>
      </c>
      <c r="R429" s="56"/>
    </row>
    <row r="430" ht="20" customHeight="1" spans="2:18">
      <c r="B430" s="42">
        <v>5</v>
      </c>
      <c r="C430" s="42">
        <v>27</v>
      </c>
      <c r="D430" s="42"/>
      <c r="E430" s="104" t="s">
        <v>2549</v>
      </c>
      <c r="F430" s="97" t="s">
        <v>2977</v>
      </c>
      <c r="G430" s="55">
        <v>8273</v>
      </c>
      <c r="H430" s="55">
        <v>1100</v>
      </c>
      <c r="I430" s="56"/>
      <c r="J430" s="56"/>
      <c r="K430" s="56"/>
      <c r="L430" s="56"/>
      <c r="M430" s="56"/>
      <c r="N430" s="56"/>
      <c r="O430" s="56">
        <v>9373</v>
      </c>
      <c r="P430" s="56"/>
      <c r="Q430" s="58">
        <f t="shared" si="19"/>
        <v>132760.94</v>
      </c>
      <c r="R430" s="56"/>
    </row>
    <row r="431" ht="20" customHeight="1" spans="2:18">
      <c r="B431" s="42">
        <v>5</v>
      </c>
      <c r="C431" s="42">
        <v>28</v>
      </c>
      <c r="D431" s="42"/>
      <c r="E431" s="100" t="s">
        <v>2934</v>
      </c>
      <c r="F431" s="97" t="s">
        <v>2978</v>
      </c>
      <c r="G431" s="55"/>
      <c r="H431" s="55"/>
      <c r="I431" s="55">
        <v>850</v>
      </c>
      <c r="J431" s="55"/>
      <c r="K431" s="55"/>
      <c r="L431" s="55"/>
      <c r="M431" s="55"/>
      <c r="N431" s="55">
        <v>4.25</v>
      </c>
      <c r="O431" s="56">
        <v>845.75</v>
      </c>
      <c r="P431" s="56"/>
      <c r="Q431" s="58">
        <f t="shared" si="19"/>
        <v>133606.69</v>
      </c>
      <c r="R431" s="56"/>
    </row>
    <row r="432" ht="20" customHeight="1" spans="2:18">
      <c r="B432" s="42">
        <v>5</v>
      </c>
      <c r="C432" s="42">
        <v>28</v>
      </c>
      <c r="D432" s="42"/>
      <c r="E432" s="104" t="s">
        <v>2679</v>
      </c>
      <c r="F432" s="97" t="s">
        <v>2979</v>
      </c>
      <c r="G432" s="55">
        <v>4668.75</v>
      </c>
      <c r="H432" s="55">
        <v>481.25</v>
      </c>
      <c r="I432" s="55">
        <v>516</v>
      </c>
      <c r="J432" s="56"/>
      <c r="K432" s="56"/>
      <c r="L432" s="56"/>
      <c r="M432" s="56"/>
      <c r="N432" s="56"/>
      <c r="O432" s="56">
        <v>5666</v>
      </c>
      <c r="P432" s="56"/>
      <c r="Q432" s="58">
        <f t="shared" si="19"/>
        <v>139272.69</v>
      </c>
      <c r="R432" s="56"/>
    </row>
    <row r="433" ht="20" customHeight="1" spans="2:18">
      <c r="B433" s="42">
        <v>5</v>
      </c>
      <c r="C433" s="42">
        <v>29</v>
      </c>
      <c r="D433" s="42"/>
      <c r="E433" s="104" t="s">
        <v>2934</v>
      </c>
      <c r="F433" s="97" t="s">
        <v>2980</v>
      </c>
      <c r="G433" s="55"/>
      <c r="H433" s="55"/>
      <c r="I433" s="55">
        <v>2100</v>
      </c>
      <c r="J433" s="55"/>
      <c r="K433" s="55"/>
      <c r="L433" s="55"/>
      <c r="M433" s="55"/>
      <c r="N433" s="55">
        <v>10.5</v>
      </c>
      <c r="O433" s="56">
        <v>2089.5</v>
      </c>
      <c r="P433" s="56"/>
      <c r="Q433" s="58">
        <f t="shared" si="19"/>
        <v>141362.19</v>
      </c>
      <c r="R433" s="56"/>
    </row>
    <row r="434" ht="20" customHeight="1" spans="2:18">
      <c r="B434" s="42">
        <v>5</v>
      </c>
      <c r="C434" s="42">
        <v>29</v>
      </c>
      <c r="D434" s="42"/>
      <c r="E434" s="100" t="s">
        <v>2539</v>
      </c>
      <c r="F434" s="97" t="s">
        <v>2981</v>
      </c>
      <c r="G434" s="55">
        <v>2789.7</v>
      </c>
      <c r="H434" s="55">
        <v>410.3</v>
      </c>
      <c r="I434" s="56"/>
      <c r="J434" s="56"/>
      <c r="K434" s="56"/>
      <c r="L434" s="56"/>
      <c r="M434" s="56"/>
      <c r="N434" s="56"/>
      <c r="O434" s="56">
        <v>3200</v>
      </c>
      <c r="P434" s="56"/>
      <c r="Q434" s="58">
        <f t="shared" si="19"/>
        <v>144562.19</v>
      </c>
      <c r="R434" s="56"/>
    </row>
    <row r="435" ht="20" customHeight="1" spans="2:18">
      <c r="B435" s="42">
        <v>5</v>
      </c>
      <c r="C435" s="42">
        <v>29</v>
      </c>
      <c r="D435" s="42"/>
      <c r="E435" s="104" t="s">
        <v>2539</v>
      </c>
      <c r="F435" s="97" t="s">
        <v>2982</v>
      </c>
      <c r="G435" s="55">
        <v>800</v>
      </c>
      <c r="H435" s="56"/>
      <c r="I435" s="56"/>
      <c r="J435" s="56"/>
      <c r="K435" s="56"/>
      <c r="L435" s="56"/>
      <c r="M435" s="56"/>
      <c r="N435" s="56"/>
      <c r="O435" s="56">
        <v>800</v>
      </c>
      <c r="P435" s="56"/>
      <c r="Q435" s="58">
        <f t="shared" si="19"/>
        <v>145362.19</v>
      </c>
      <c r="R435" s="56"/>
    </row>
    <row r="436" ht="20" customHeight="1" spans="2:18">
      <c r="B436" s="42">
        <v>5</v>
      </c>
      <c r="C436" s="42">
        <v>30</v>
      </c>
      <c r="D436" s="42"/>
      <c r="E436" s="104" t="s">
        <v>2700</v>
      </c>
      <c r="F436" s="97" t="s">
        <v>2983</v>
      </c>
      <c r="G436" s="55">
        <v>900</v>
      </c>
      <c r="H436" s="56"/>
      <c r="I436" s="55">
        <v>180</v>
      </c>
      <c r="J436" s="56"/>
      <c r="K436" s="56"/>
      <c r="L436" s="56"/>
      <c r="M436" s="56"/>
      <c r="N436" s="56"/>
      <c r="O436" s="56">
        <v>1080</v>
      </c>
      <c r="P436" s="56"/>
      <c r="Q436" s="58">
        <f t="shared" si="19"/>
        <v>146442.19</v>
      </c>
      <c r="R436" s="56"/>
    </row>
    <row r="437" ht="20" customHeight="1" spans="2:18">
      <c r="B437" s="42">
        <v>5</v>
      </c>
      <c r="C437" s="42">
        <v>30</v>
      </c>
      <c r="D437" s="42"/>
      <c r="E437" s="100" t="s">
        <v>2700</v>
      </c>
      <c r="F437" s="97" t="s">
        <v>2984</v>
      </c>
      <c r="G437" s="55">
        <v>19000</v>
      </c>
      <c r="H437" s="56"/>
      <c r="I437" s="55">
        <v>275</v>
      </c>
      <c r="J437" s="56"/>
      <c r="K437" s="56"/>
      <c r="L437" s="56"/>
      <c r="M437" s="56"/>
      <c r="N437" s="56"/>
      <c r="O437" s="56">
        <v>19275</v>
      </c>
      <c r="P437" s="56"/>
      <c r="Q437" s="58">
        <f t="shared" si="19"/>
        <v>165717.19</v>
      </c>
      <c r="R437" s="56"/>
    </row>
    <row r="438" ht="20" customHeight="1" spans="2:18">
      <c r="B438" s="42">
        <v>5</v>
      </c>
      <c r="C438" s="42">
        <v>30</v>
      </c>
      <c r="D438" s="42"/>
      <c r="E438" s="104" t="s">
        <v>2516</v>
      </c>
      <c r="F438" s="97" t="s">
        <v>2985</v>
      </c>
      <c r="G438" s="56"/>
      <c r="H438" s="56"/>
      <c r="I438" s="56"/>
      <c r="J438" s="56"/>
      <c r="K438" s="55">
        <v>525</v>
      </c>
      <c r="L438" s="55"/>
      <c r="M438" s="55"/>
      <c r="N438" s="55">
        <v>3.15</v>
      </c>
      <c r="O438" s="56">
        <v>521.85</v>
      </c>
      <c r="P438" s="56"/>
      <c r="Q438" s="58">
        <f t="shared" si="19"/>
        <v>166239.04</v>
      </c>
      <c r="R438" s="56"/>
    </row>
    <row r="439" ht="20" customHeight="1" spans="2:18">
      <c r="B439" s="42">
        <v>5</v>
      </c>
      <c r="C439" s="42">
        <v>31</v>
      </c>
      <c r="D439" s="42"/>
      <c r="E439" s="104"/>
      <c r="F439" s="97" t="s">
        <v>2986</v>
      </c>
      <c r="G439" s="55"/>
      <c r="H439" s="55"/>
      <c r="I439" s="55"/>
      <c r="J439" s="55"/>
      <c r="K439" s="55">
        <v>200</v>
      </c>
      <c r="L439" s="55"/>
      <c r="M439" s="55"/>
      <c r="N439" s="55">
        <v>0.2</v>
      </c>
      <c r="O439" s="56">
        <v>199.8</v>
      </c>
      <c r="P439" s="56"/>
      <c r="Q439" s="58">
        <f t="shared" si="19"/>
        <v>166438.84</v>
      </c>
      <c r="R439" s="56"/>
    </row>
    <row r="440" ht="20" customHeight="1" spans="2:18">
      <c r="B440" s="42">
        <v>5</v>
      </c>
      <c r="C440" s="42">
        <v>31</v>
      </c>
      <c r="D440" s="42"/>
      <c r="E440" s="100"/>
      <c r="F440" s="97" t="s">
        <v>2987</v>
      </c>
      <c r="G440" s="55"/>
      <c r="H440" s="55"/>
      <c r="I440" s="55"/>
      <c r="J440" s="55"/>
      <c r="K440" s="55">
        <v>10</v>
      </c>
      <c r="L440" s="55"/>
      <c r="M440" s="55"/>
      <c r="N440" s="55">
        <v>0.01</v>
      </c>
      <c r="O440" s="56">
        <v>9.99</v>
      </c>
      <c r="P440" s="56"/>
      <c r="Q440" s="58">
        <f t="shared" si="19"/>
        <v>166448.83</v>
      </c>
      <c r="R440" s="56"/>
    </row>
    <row r="441" ht="20" customHeight="1" spans="2:18">
      <c r="B441" s="42">
        <v>5</v>
      </c>
      <c r="C441" s="42">
        <v>31</v>
      </c>
      <c r="D441" s="42"/>
      <c r="E441" s="104" t="s">
        <v>2609</v>
      </c>
      <c r="F441" s="97" t="s">
        <v>2988</v>
      </c>
      <c r="G441" s="55">
        <v>3275</v>
      </c>
      <c r="H441" s="55">
        <v>525</v>
      </c>
      <c r="I441" s="56"/>
      <c r="J441" s="56"/>
      <c r="K441" s="56"/>
      <c r="L441" s="56"/>
      <c r="M441" s="56"/>
      <c r="N441" s="55">
        <v>3.8</v>
      </c>
      <c r="O441" s="56">
        <v>3796.2</v>
      </c>
      <c r="P441" s="56"/>
      <c r="Q441" s="58">
        <f t="shared" si="19"/>
        <v>170245.03</v>
      </c>
      <c r="R441" s="56"/>
    </row>
    <row r="442" ht="20" customHeight="1" spans="2:18">
      <c r="B442" s="42">
        <v>5</v>
      </c>
      <c r="C442" s="42">
        <v>31</v>
      </c>
      <c r="D442" s="42"/>
      <c r="E442" s="104" t="s">
        <v>2609</v>
      </c>
      <c r="F442" s="97" t="s">
        <v>2989</v>
      </c>
      <c r="G442" s="56"/>
      <c r="H442" s="56"/>
      <c r="I442" s="55">
        <v>18.5</v>
      </c>
      <c r="J442" s="56"/>
      <c r="K442" s="56"/>
      <c r="L442" s="56"/>
      <c r="M442" s="56"/>
      <c r="N442" s="55">
        <v>0.01</v>
      </c>
      <c r="O442" s="56">
        <v>18.49</v>
      </c>
      <c r="P442" s="56"/>
      <c r="Q442" s="58">
        <f t="shared" si="19"/>
        <v>170263.52</v>
      </c>
      <c r="R442" s="56"/>
    </row>
    <row r="443" ht="20" customHeight="1" spans="2:18">
      <c r="B443" s="42">
        <v>5</v>
      </c>
      <c r="C443" s="42">
        <v>31</v>
      </c>
      <c r="D443" s="42"/>
      <c r="E443" s="100" t="s">
        <v>2990</v>
      </c>
      <c r="F443" s="97" t="s">
        <v>2991</v>
      </c>
      <c r="G443" s="56"/>
      <c r="H443" s="56"/>
      <c r="I443" s="55">
        <v>41</v>
      </c>
      <c r="J443" s="56"/>
      <c r="K443" s="56"/>
      <c r="L443" s="56"/>
      <c r="M443" s="56"/>
      <c r="N443" s="55">
        <v>0.04</v>
      </c>
      <c r="O443" s="56">
        <v>40.96</v>
      </c>
      <c r="P443" s="56"/>
      <c r="Q443" s="58">
        <f t="shared" si="19"/>
        <v>170304.48</v>
      </c>
      <c r="R443" s="56"/>
    </row>
    <row r="444" ht="20" customHeight="1" spans="2:18">
      <c r="B444" s="42">
        <v>5</v>
      </c>
      <c r="C444" s="42">
        <v>31</v>
      </c>
      <c r="D444" s="42"/>
      <c r="E444" s="104" t="s">
        <v>2965</v>
      </c>
      <c r="F444" s="97" t="s">
        <v>2992</v>
      </c>
      <c r="G444" s="56"/>
      <c r="H444" s="56"/>
      <c r="I444" s="55">
        <v>1000</v>
      </c>
      <c r="J444" s="56"/>
      <c r="K444" s="56"/>
      <c r="L444" s="56"/>
      <c r="M444" s="56"/>
      <c r="N444" s="55">
        <v>1</v>
      </c>
      <c r="O444" s="56">
        <v>999</v>
      </c>
      <c r="P444" s="56"/>
      <c r="Q444" s="58">
        <f t="shared" si="19"/>
        <v>171303.48</v>
      </c>
      <c r="R444" s="56"/>
    </row>
    <row r="445" ht="20" customHeight="1" spans="2:18">
      <c r="B445" s="68"/>
      <c r="C445" s="68"/>
      <c r="D445" s="68"/>
      <c r="E445" s="68"/>
      <c r="F445" s="70" t="s">
        <v>22</v>
      </c>
      <c r="G445" s="71">
        <f>SUM(G359:G444)</f>
        <v>79195</v>
      </c>
      <c r="H445" s="71">
        <f>SUM(H359:H444)</f>
        <v>7862.4</v>
      </c>
      <c r="I445" s="71">
        <f>SUM(I359:I444)</f>
        <v>25305.83</v>
      </c>
      <c r="J445" s="71">
        <f>SUM(J359:J444)</f>
        <v>0</v>
      </c>
      <c r="K445" s="71">
        <f>SUM(K359:K444)</f>
        <v>6580</v>
      </c>
      <c r="L445" s="71"/>
      <c r="M445" s="71">
        <f>SUM(M359:M444)</f>
        <v>0</v>
      </c>
      <c r="N445" s="71">
        <f>SUM(N359:N444)</f>
        <v>130.37</v>
      </c>
      <c r="O445" s="71">
        <f>SUM(O359:O444)</f>
        <v>118812.86</v>
      </c>
      <c r="P445" s="71">
        <f>SUM(P359:P444)</f>
        <v>75171.39</v>
      </c>
      <c r="Q445" s="72">
        <f>Q358+O445-P445</f>
        <v>171303.48</v>
      </c>
      <c r="R445" s="71"/>
    </row>
    <row r="446" ht="20" customHeight="1" spans="2:18">
      <c r="B446" s="42">
        <v>6</v>
      </c>
      <c r="C446" s="42">
        <v>1</v>
      </c>
      <c r="D446" s="42"/>
      <c r="E446" s="104" t="s">
        <v>2934</v>
      </c>
      <c r="F446" s="97" t="s">
        <v>2993</v>
      </c>
      <c r="G446" s="56"/>
      <c r="H446" s="56"/>
      <c r="I446" s="55">
        <v>1000</v>
      </c>
      <c r="J446" s="56"/>
      <c r="K446" s="56"/>
      <c r="L446" s="56"/>
      <c r="M446" s="56"/>
      <c r="N446" s="55">
        <v>5</v>
      </c>
      <c r="O446" s="56">
        <f t="shared" ref="O446:O492" si="20">SUM(G446:M446)-N446</f>
        <v>995</v>
      </c>
      <c r="P446" s="56"/>
      <c r="Q446" s="58">
        <f t="shared" ref="Q446:Q509" si="21">Q445+O446-P446</f>
        <v>172298.48</v>
      </c>
      <c r="R446" s="56"/>
    </row>
    <row r="447" ht="20" customHeight="1" spans="2:18">
      <c r="B447" s="42">
        <v>6</v>
      </c>
      <c r="C447" s="42">
        <v>1</v>
      </c>
      <c r="D447" s="42"/>
      <c r="E447" s="104" t="s">
        <v>2934</v>
      </c>
      <c r="F447" s="97" t="s">
        <v>2994</v>
      </c>
      <c r="G447" s="56"/>
      <c r="H447" s="56"/>
      <c r="I447" s="55">
        <v>9750</v>
      </c>
      <c r="J447" s="56"/>
      <c r="K447" s="56"/>
      <c r="L447" s="56"/>
      <c r="M447" s="56"/>
      <c r="N447" s="55">
        <v>48.75</v>
      </c>
      <c r="O447" s="56">
        <f t="shared" si="20"/>
        <v>9701.25</v>
      </c>
      <c r="P447" s="56"/>
      <c r="Q447" s="58">
        <f t="shared" si="21"/>
        <v>181999.73</v>
      </c>
      <c r="R447" s="56"/>
    </row>
    <row r="448" ht="20" customHeight="1" spans="2:18">
      <c r="B448" s="42">
        <v>6</v>
      </c>
      <c r="C448" s="42">
        <v>2</v>
      </c>
      <c r="D448" s="42"/>
      <c r="E448" s="121" t="s">
        <v>2934</v>
      </c>
      <c r="F448" s="118" t="s">
        <v>2995</v>
      </c>
      <c r="G448" s="56"/>
      <c r="H448" s="56"/>
      <c r="I448" s="55">
        <v>6950</v>
      </c>
      <c r="J448" s="56"/>
      <c r="K448" s="56"/>
      <c r="L448" s="56"/>
      <c r="M448" s="56"/>
      <c r="N448" s="55">
        <v>34.75</v>
      </c>
      <c r="O448" s="56">
        <f t="shared" si="20"/>
        <v>6915.25</v>
      </c>
      <c r="P448" s="56"/>
      <c r="Q448" s="58">
        <f t="shared" si="21"/>
        <v>188914.98</v>
      </c>
      <c r="R448" s="56"/>
    </row>
    <row r="449" ht="20" customHeight="1" spans="2:18">
      <c r="B449" s="42">
        <v>6</v>
      </c>
      <c r="C449" s="42">
        <v>2</v>
      </c>
      <c r="D449" s="42"/>
      <c r="E449" s="96" t="s">
        <v>2996</v>
      </c>
      <c r="F449" s="97" t="s">
        <v>2997</v>
      </c>
      <c r="G449" s="55">
        <v>50000</v>
      </c>
      <c r="H449" s="56"/>
      <c r="I449" s="56"/>
      <c r="J449" s="56"/>
      <c r="K449" s="56"/>
      <c r="L449" s="56"/>
      <c r="M449" s="56"/>
      <c r="N449" s="56"/>
      <c r="O449" s="56">
        <f t="shared" si="20"/>
        <v>50000</v>
      </c>
      <c r="P449" s="56"/>
      <c r="Q449" s="58">
        <f t="shared" si="21"/>
        <v>238914.98</v>
      </c>
      <c r="R449" s="56"/>
    </row>
    <row r="450" ht="20" customHeight="1" spans="2:18">
      <c r="B450" s="42">
        <v>6</v>
      </c>
      <c r="C450" s="42">
        <v>3</v>
      </c>
      <c r="D450" s="42"/>
      <c r="E450" s="104" t="s">
        <v>2934</v>
      </c>
      <c r="F450" s="97" t="s">
        <v>2998</v>
      </c>
      <c r="G450" s="56"/>
      <c r="H450" s="56"/>
      <c r="I450" s="55">
        <v>1550</v>
      </c>
      <c r="J450" s="56"/>
      <c r="K450" s="56"/>
      <c r="L450" s="56"/>
      <c r="M450" s="56"/>
      <c r="N450" s="55">
        <v>7.75</v>
      </c>
      <c r="O450" s="56">
        <f t="shared" si="20"/>
        <v>1542.25</v>
      </c>
      <c r="P450" s="56"/>
      <c r="Q450" s="58">
        <f t="shared" si="21"/>
        <v>240457.23</v>
      </c>
      <c r="R450" s="56"/>
    </row>
    <row r="451" ht="20" customHeight="1" spans="2:18">
      <c r="B451" s="42">
        <v>6</v>
      </c>
      <c r="C451" s="42">
        <v>3</v>
      </c>
      <c r="D451" s="42"/>
      <c r="E451" s="96" t="s">
        <v>2996</v>
      </c>
      <c r="F451" s="97" t="s">
        <v>2997</v>
      </c>
      <c r="G451" s="55">
        <v>16740</v>
      </c>
      <c r="H451" s="56"/>
      <c r="I451" s="56"/>
      <c r="J451" s="56"/>
      <c r="K451" s="56"/>
      <c r="L451" s="56"/>
      <c r="M451" s="56"/>
      <c r="N451" s="56"/>
      <c r="O451" s="56">
        <f t="shared" si="20"/>
        <v>16740</v>
      </c>
      <c r="P451" s="56"/>
      <c r="Q451" s="58">
        <f t="shared" si="21"/>
        <v>257197.23</v>
      </c>
      <c r="R451" s="56"/>
    </row>
    <row r="452" ht="20" customHeight="1" spans="2:18">
      <c r="B452" s="42">
        <v>6</v>
      </c>
      <c r="C452" s="42">
        <v>3</v>
      </c>
      <c r="D452" s="42" t="s">
        <v>106</v>
      </c>
      <c r="E452" s="104" t="s">
        <v>2640</v>
      </c>
      <c r="F452" s="97" t="s">
        <v>2999</v>
      </c>
      <c r="G452" s="56"/>
      <c r="H452" s="56"/>
      <c r="I452" s="56"/>
      <c r="J452" s="56"/>
      <c r="K452" s="56"/>
      <c r="L452" s="56"/>
      <c r="M452" s="56"/>
      <c r="N452" s="56"/>
      <c r="O452" s="56">
        <f t="shared" si="20"/>
        <v>0</v>
      </c>
      <c r="P452" s="55">
        <v>13600</v>
      </c>
      <c r="Q452" s="58">
        <f t="shared" si="21"/>
        <v>243597.23</v>
      </c>
      <c r="R452" s="56"/>
    </row>
    <row r="453" ht="20" customHeight="1" spans="2:18">
      <c r="B453" s="42">
        <v>6</v>
      </c>
      <c r="C453" s="42">
        <v>4</v>
      </c>
      <c r="D453" s="42"/>
      <c r="E453" s="104" t="s">
        <v>2934</v>
      </c>
      <c r="F453" s="97" t="s">
        <v>3000</v>
      </c>
      <c r="G453" s="56"/>
      <c r="H453" s="56"/>
      <c r="I453" s="55">
        <v>350</v>
      </c>
      <c r="J453" s="56"/>
      <c r="K453" s="56"/>
      <c r="L453" s="56"/>
      <c r="M453" s="56"/>
      <c r="N453" s="55">
        <v>1.75</v>
      </c>
      <c r="O453" s="56">
        <f t="shared" si="20"/>
        <v>348.25</v>
      </c>
      <c r="P453" s="56"/>
      <c r="Q453" s="58">
        <f t="shared" si="21"/>
        <v>243945.48</v>
      </c>
      <c r="R453" s="56"/>
    </row>
    <row r="454" ht="20" customHeight="1" spans="2:18">
      <c r="B454" s="42">
        <v>6</v>
      </c>
      <c r="C454" s="42">
        <v>5</v>
      </c>
      <c r="D454" s="42"/>
      <c r="E454" s="100" t="s">
        <v>2934</v>
      </c>
      <c r="F454" s="97" t="s">
        <v>3001</v>
      </c>
      <c r="G454" s="56"/>
      <c r="H454" s="56"/>
      <c r="I454" s="55">
        <v>150</v>
      </c>
      <c r="J454" s="56"/>
      <c r="K454" s="56"/>
      <c r="L454" s="56"/>
      <c r="M454" s="56"/>
      <c r="N454" s="55">
        <v>0.75</v>
      </c>
      <c r="O454" s="56">
        <f t="shared" si="20"/>
        <v>149.25</v>
      </c>
      <c r="P454" s="56"/>
      <c r="Q454" s="58">
        <f t="shared" si="21"/>
        <v>244094.73</v>
      </c>
      <c r="R454" s="56"/>
    </row>
    <row r="455" ht="20" customHeight="1" spans="2:18">
      <c r="B455" s="42">
        <v>6</v>
      </c>
      <c r="C455" s="42">
        <v>5</v>
      </c>
      <c r="D455" s="42"/>
      <c r="E455" s="96" t="s">
        <v>2600</v>
      </c>
      <c r="F455" s="97" t="s">
        <v>3002</v>
      </c>
      <c r="G455" s="56"/>
      <c r="H455" s="56"/>
      <c r="I455" s="56"/>
      <c r="J455" s="55">
        <v>4400</v>
      </c>
      <c r="K455" s="56"/>
      <c r="L455" s="56"/>
      <c r="M455" s="56"/>
      <c r="N455" s="56"/>
      <c r="O455" s="56">
        <f t="shared" si="20"/>
        <v>4400</v>
      </c>
      <c r="P455" s="56"/>
      <c r="Q455" s="58">
        <f t="shared" si="21"/>
        <v>248494.73</v>
      </c>
      <c r="R455" s="56"/>
    </row>
    <row r="456" ht="20" customHeight="1" spans="2:18">
      <c r="B456" s="42">
        <v>6</v>
      </c>
      <c r="C456" s="42">
        <v>5</v>
      </c>
      <c r="D456" s="42"/>
      <c r="E456" s="96" t="s">
        <v>2546</v>
      </c>
      <c r="F456" s="97" t="s">
        <v>3003</v>
      </c>
      <c r="G456" s="55">
        <v>4428</v>
      </c>
      <c r="H456" s="55">
        <v>572</v>
      </c>
      <c r="I456" s="56"/>
      <c r="J456" s="56"/>
      <c r="K456" s="56"/>
      <c r="L456" s="56"/>
      <c r="M456" s="56"/>
      <c r="N456" s="56"/>
      <c r="O456" s="56">
        <f t="shared" si="20"/>
        <v>5000</v>
      </c>
      <c r="P456" s="56"/>
      <c r="Q456" s="58">
        <f t="shared" si="21"/>
        <v>253494.73</v>
      </c>
      <c r="R456" s="56"/>
    </row>
    <row r="457" ht="20" customHeight="1" spans="2:18">
      <c r="B457" s="42">
        <v>6</v>
      </c>
      <c r="C457" s="42">
        <v>5</v>
      </c>
      <c r="D457" s="42" t="s">
        <v>143</v>
      </c>
      <c r="E457" s="100" t="s">
        <v>3004</v>
      </c>
      <c r="F457" s="97" t="s">
        <v>3005</v>
      </c>
      <c r="G457" s="56"/>
      <c r="H457" s="56"/>
      <c r="I457" s="56"/>
      <c r="J457" s="56"/>
      <c r="K457" s="56"/>
      <c r="L457" s="56"/>
      <c r="M457" s="56"/>
      <c r="N457" s="56"/>
      <c r="O457" s="56">
        <f t="shared" si="20"/>
        <v>0</v>
      </c>
      <c r="P457" s="55">
        <v>66740</v>
      </c>
      <c r="Q457" s="58">
        <f t="shared" si="21"/>
        <v>186754.73</v>
      </c>
      <c r="R457" s="56"/>
    </row>
    <row r="458" ht="20" customHeight="1" spans="2:18">
      <c r="B458" s="42">
        <v>6</v>
      </c>
      <c r="C458" s="42">
        <v>6</v>
      </c>
      <c r="D458" s="42"/>
      <c r="E458" s="96" t="s">
        <v>2516</v>
      </c>
      <c r="F458" s="97" t="s">
        <v>3006</v>
      </c>
      <c r="G458" s="56"/>
      <c r="H458" s="56"/>
      <c r="I458" s="56"/>
      <c r="J458" s="56"/>
      <c r="K458" s="55">
        <v>548</v>
      </c>
      <c r="L458" s="55"/>
      <c r="M458" s="56"/>
      <c r="N458" s="55">
        <v>3.29</v>
      </c>
      <c r="O458" s="56">
        <f t="shared" si="20"/>
        <v>544.71</v>
      </c>
      <c r="P458" s="56"/>
      <c r="Q458" s="58">
        <f t="shared" si="21"/>
        <v>187299.44</v>
      </c>
      <c r="R458" s="56"/>
    </row>
    <row r="459" ht="20" customHeight="1" spans="2:18">
      <c r="B459" s="42">
        <v>6</v>
      </c>
      <c r="C459" s="42">
        <v>8</v>
      </c>
      <c r="D459" s="42"/>
      <c r="E459" s="100"/>
      <c r="F459" s="97" t="s">
        <v>3007</v>
      </c>
      <c r="G459" s="56"/>
      <c r="H459" s="56"/>
      <c r="I459" s="56"/>
      <c r="J459" s="56"/>
      <c r="K459" s="55">
        <v>10</v>
      </c>
      <c r="L459" s="55"/>
      <c r="M459" s="56"/>
      <c r="N459" s="55">
        <v>1.51</v>
      </c>
      <c r="O459" s="56">
        <f t="shared" si="20"/>
        <v>8.49</v>
      </c>
      <c r="P459" s="56"/>
      <c r="Q459" s="58">
        <f t="shared" si="21"/>
        <v>187307.93</v>
      </c>
      <c r="R459" s="56"/>
    </row>
    <row r="460" ht="20" customHeight="1" spans="2:18">
      <c r="B460" s="42">
        <v>6</v>
      </c>
      <c r="C460" s="42">
        <v>8</v>
      </c>
      <c r="D460" s="42"/>
      <c r="E460" s="104"/>
      <c r="F460" s="97" t="s">
        <v>3008</v>
      </c>
      <c r="G460" s="56"/>
      <c r="H460" s="56"/>
      <c r="I460" s="56"/>
      <c r="J460" s="56"/>
      <c r="K460" s="55">
        <v>240</v>
      </c>
      <c r="L460" s="55"/>
      <c r="M460" s="56"/>
      <c r="N460" s="55"/>
      <c r="O460" s="56">
        <f t="shared" si="20"/>
        <v>240</v>
      </c>
      <c r="P460" s="56"/>
      <c r="Q460" s="58">
        <f t="shared" si="21"/>
        <v>187547.93</v>
      </c>
      <c r="R460" s="59" t="s">
        <v>669</v>
      </c>
    </row>
    <row r="461" ht="20" customHeight="1" spans="2:18">
      <c r="B461" s="42">
        <v>6</v>
      </c>
      <c r="C461" s="42">
        <v>8</v>
      </c>
      <c r="D461" s="42"/>
      <c r="E461" s="104"/>
      <c r="F461" s="97" t="s">
        <v>3009</v>
      </c>
      <c r="G461" s="56"/>
      <c r="H461" s="56"/>
      <c r="I461" s="56"/>
      <c r="J461" s="56"/>
      <c r="K461" s="55">
        <v>240</v>
      </c>
      <c r="L461" s="55"/>
      <c r="M461" s="56"/>
      <c r="N461" s="55"/>
      <c r="O461" s="56">
        <f t="shared" si="20"/>
        <v>240</v>
      </c>
      <c r="P461" s="56"/>
      <c r="Q461" s="58">
        <f t="shared" si="21"/>
        <v>187787.93</v>
      </c>
      <c r="R461" s="59" t="s">
        <v>669</v>
      </c>
    </row>
    <row r="462" ht="20" customHeight="1" spans="2:18">
      <c r="B462" s="42">
        <v>6</v>
      </c>
      <c r="C462" s="42">
        <v>8</v>
      </c>
      <c r="D462" s="42"/>
      <c r="E462" s="100"/>
      <c r="F462" s="97" t="s">
        <v>3010</v>
      </c>
      <c r="G462" s="56"/>
      <c r="H462" s="56"/>
      <c r="I462" s="56"/>
      <c r="J462" s="56"/>
      <c r="K462" s="55">
        <v>240</v>
      </c>
      <c r="L462" s="55"/>
      <c r="M462" s="56"/>
      <c r="N462" s="55"/>
      <c r="O462" s="56">
        <f t="shared" si="20"/>
        <v>240</v>
      </c>
      <c r="P462" s="56"/>
      <c r="Q462" s="58">
        <f t="shared" si="21"/>
        <v>188027.93</v>
      </c>
      <c r="R462" s="59" t="s">
        <v>669</v>
      </c>
    </row>
    <row r="463" ht="20" customHeight="1" spans="2:18">
      <c r="B463" s="42">
        <v>6</v>
      </c>
      <c r="C463" s="42">
        <v>8</v>
      </c>
      <c r="D463" s="42"/>
      <c r="E463" s="104"/>
      <c r="F463" s="97" t="s">
        <v>3011</v>
      </c>
      <c r="G463" s="56"/>
      <c r="H463" s="56"/>
      <c r="I463" s="56"/>
      <c r="J463" s="56"/>
      <c r="K463" s="55">
        <v>150</v>
      </c>
      <c r="L463" s="55"/>
      <c r="M463" s="56"/>
      <c r="N463" s="55"/>
      <c r="O463" s="56">
        <f t="shared" si="20"/>
        <v>150</v>
      </c>
      <c r="P463" s="56"/>
      <c r="Q463" s="58">
        <f t="shared" si="21"/>
        <v>188177.93</v>
      </c>
      <c r="R463" s="59" t="s">
        <v>669</v>
      </c>
    </row>
    <row r="464" ht="20" customHeight="1" spans="2:18">
      <c r="B464" s="42">
        <v>6</v>
      </c>
      <c r="C464" s="42">
        <v>8</v>
      </c>
      <c r="D464" s="42"/>
      <c r="E464" s="104"/>
      <c r="F464" s="97" t="s">
        <v>3012</v>
      </c>
      <c r="G464" s="56"/>
      <c r="H464" s="56"/>
      <c r="I464" s="56"/>
      <c r="J464" s="56"/>
      <c r="K464" s="55">
        <v>100</v>
      </c>
      <c r="L464" s="55"/>
      <c r="M464" s="56"/>
      <c r="N464" s="55"/>
      <c r="O464" s="56">
        <f t="shared" si="20"/>
        <v>100</v>
      </c>
      <c r="P464" s="56"/>
      <c r="Q464" s="58">
        <f t="shared" si="21"/>
        <v>188277.93</v>
      </c>
      <c r="R464" s="59" t="s">
        <v>669</v>
      </c>
    </row>
    <row r="465" ht="20" customHeight="1" spans="2:18">
      <c r="B465" s="42">
        <v>6</v>
      </c>
      <c r="C465" s="42">
        <v>8</v>
      </c>
      <c r="D465" s="42"/>
      <c r="E465" s="100" t="s">
        <v>2546</v>
      </c>
      <c r="F465" s="97" t="s">
        <v>3013</v>
      </c>
      <c r="G465" s="56"/>
      <c r="H465" s="56"/>
      <c r="I465" s="55">
        <v>29</v>
      </c>
      <c r="J465" s="56"/>
      <c r="K465" s="56"/>
      <c r="L465" s="56"/>
      <c r="M465" s="56"/>
      <c r="N465" s="56"/>
      <c r="O465" s="56">
        <f t="shared" si="20"/>
        <v>29</v>
      </c>
      <c r="P465" s="56"/>
      <c r="Q465" s="58">
        <f t="shared" si="21"/>
        <v>188306.93</v>
      </c>
      <c r="R465" s="59" t="s">
        <v>669</v>
      </c>
    </row>
    <row r="466" ht="20" customHeight="1" spans="2:18">
      <c r="B466" s="42">
        <v>6</v>
      </c>
      <c r="C466" s="42">
        <v>8</v>
      </c>
      <c r="D466" s="42"/>
      <c r="E466" s="96" t="s">
        <v>2965</v>
      </c>
      <c r="F466" s="97" t="s">
        <v>3014</v>
      </c>
      <c r="G466" s="56"/>
      <c r="H466" s="56"/>
      <c r="I466" s="55">
        <v>500</v>
      </c>
      <c r="J466" s="56"/>
      <c r="K466" s="56"/>
      <c r="L466" s="56"/>
      <c r="M466" s="56"/>
      <c r="N466" s="56"/>
      <c r="O466" s="56">
        <f t="shared" si="20"/>
        <v>500</v>
      </c>
      <c r="P466" s="56"/>
      <c r="Q466" s="58">
        <f t="shared" si="21"/>
        <v>188806.93</v>
      </c>
      <c r="R466" s="59" t="s">
        <v>669</v>
      </c>
    </row>
    <row r="467" ht="20" customHeight="1" spans="2:18">
      <c r="B467" s="42">
        <v>6</v>
      </c>
      <c r="C467" s="42">
        <v>8</v>
      </c>
      <c r="D467" s="42"/>
      <c r="E467" s="104" t="s">
        <v>2934</v>
      </c>
      <c r="F467" s="97" t="s">
        <v>3015</v>
      </c>
      <c r="G467" s="56"/>
      <c r="H467" s="56"/>
      <c r="I467" s="55">
        <v>3600</v>
      </c>
      <c r="J467" s="56"/>
      <c r="K467" s="56"/>
      <c r="L467" s="56"/>
      <c r="M467" s="56"/>
      <c r="N467" s="55">
        <v>18</v>
      </c>
      <c r="O467" s="56">
        <f t="shared" si="20"/>
        <v>3582</v>
      </c>
      <c r="P467" s="56"/>
      <c r="Q467" s="58">
        <f t="shared" si="21"/>
        <v>192388.93</v>
      </c>
      <c r="R467" s="56"/>
    </row>
    <row r="468" ht="20" customHeight="1" spans="2:18">
      <c r="B468" s="42">
        <v>6</v>
      </c>
      <c r="C468" s="42">
        <v>8</v>
      </c>
      <c r="D468" s="42"/>
      <c r="E468" s="100" t="s">
        <v>2629</v>
      </c>
      <c r="F468" s="97" t="s">
        <v>3016</v>
      </c>
      <c r="G468" s="56"/>
      <c r="H468" s="56"/>
      <c r="I468" s="55">
        <v>162</v>
      </c>
      <c r="J468" s="56"/>
      <c r="K468" s="56"/>
      <c r="L468" s="56"/>
      <c r="M468" s="56"/>
      <c r="N468" s="56"/>
      <c r="O468" s="56">
        <f t="shared" si="20"/>
        <v>162</v>
      </c>
      <c r="P468" s="56"/>
      <c r="Q468" s="58">
        <f t="shared" si="21"/>
        <v>192550.93</v>
      </c>
      <c r="R468" s="56"/>
    </row>
    <row r="469" ht="20" customHeight="1" spans="2:18">
      <c r="B469" s="42">
        <v>6</v>
      </c>
      <c r="C469" s="42">
        <v>8</v>
      </c>
      <c r="D469" s="42"/>
      <c r="E469" s="104" t="s">
        <v>2598</v>
      </c>
      <c r="F469" s="97" t="s">
        <v>3017</v>
      </c>
      <c r="G469" s="55">
        <v>4130.95</v>
      </c>
      <c r="H469" s="55">
        <v>369.05</v>
      </c>
      <c r="I469" s="56"/>
      <c r="J469" s="56"/>
      <c r="K469" s="56"/>
      <c r="L469" s="56"/>
      <c r="M469" s="56"/>
      <c r="N469" s="56"/>
      <c r="O469" s="56">
        <f t="shared" si="20"/>
        <v>4500</v>
      </c>
      <c r="P469" s="56"/>
      <c r="Q469" s="58">
        <f t="shared" si="21"/>
        <v>197050.93</v>
      </c>
      <c r="R469" s="56"/>
    </row>
    <row r="470" ht="20" customHeight="1" spans="2:18">
      <c r="B470" s="42">
        <v>6</v>
      </c>
      <c r="C470" s="42">
        <v>8</v>
      </c>
      <c r="D470" s="42"/>
      <c r="E470" s="104" t="s">
        <v>2107</v>
      </c>
      <c r="F470" s="97" t="s">
        <v>3018</v>
      </c>
      <c r="G470" s="55">
        <v>1830</v>
      </c>
      <c r="H470" s="55">
        <v>305</v>
      </c>
      <c r="I470" s="55">
        <v>22</v>
      </c>
      <c r="J470" s="56"/>
      <c r="K470" s="56"/>
      <c r="L470" s="56"/>
      <c r="M470" s="56"/>
      <c r="N470" s="56"/>
      <c r="O470" s="56">
        <f t="shared" si="20"/>
        <v>2157</v>
      </c>
      <c r="P470" s="56"/>
      <c r="Q470" s="58">
        <f t="shared" si="21"/>
        <v>199207.93</v>
      </c>
      <c r="R470" s="56"/>
    </row>
    <row r="471" ht="20" customHeight="1" spans="2:18">
      <c r="B471" s="42">
        <v>6</v>
      </c>
      <c r="C471" s="42">
        <v>8</v>
      </c>
      <c r="D471" s="42"/>
      <c r="E471" s="100" t="s">
        <v>2916</v>
      </c>
      <c r="F471" s="97" t="s">
        <v>3019</v>
      </c>
      <c r="G471" s="55">
        <v>1035</v>
      </c>
      <c r="H471" s="55">
        <v>165</v>
      </c>
      <c r="I471" s="55">
        <v>12</v>
      </c>
      <c r="J471" s="56"/>
      <c r="K471" s="56"/>
      <c r="L471" s="56"/>
      <c r="M471" s="56"/>
      <c r="N471" s="56"/>
      <c r="O471" s="56">
        <f t="shared" si="20"/>
        <v>1212</v>
      </c>
      <c r="P471" s="56"/>
      <c r="Q471" s="58">
        <f t="shared" si="21"/>
        <v>200419.93</v>
      </c>
      <c r="R471" s="56"/>
    </row>
    <row r="472" ht="20" customHeight="1" spans="2:18">
      <c r="B472" s="42">
        <v>6</v>
      </c>
      <c r="C472" s="42">
        <v>8</v>
      </c>
      <c r="D472" s="42"/>
      <c r="E472" s="104" t="s">
        <v>2589</v>
      </c>
      <c r="F472" s="97" t="s">
        <v>3020</v>
      </c>
      <c r="G472" s="55">
        <v>8331.5</v>
      </c>
      <c r="H472" s="55">
        <v>668.5</v>
      </c>
      <c r="I472" s="55">
        <v>447</v>
      </c>
      <c r="J472" s="56"/>
      <c r="K472" s="56"/>
      <c r="L472" s="56"/>
      <c r="M472" s="56"/>
      <c r="N472" s="56"/>
      <c r="O472" s="56">
        <f t="shared" si="20"/>
        <v>9447</v>
      </c>
      <c r="P472" s="56"/>
      <c r="Q472" s="58">
        <f t="shared" si="21"/>
        <v>209866.93</v>
      </c>
      <c r="R472" s="56"/>
    </row>
    <row r="473" ht="20" customHeight="1" spans="2:18">
      <c r="B473" s="42">
        <v>6</v>
      </c>
      <c r="C473" s="42">
        <v>8</v>
      </c>
      <c r="D473" s="42"/>
      <c r="E473" s="104" t="s">
        <v>2934</v>
      </c>
      <c r="F473" s="97" t="s">
        <v>3021</v>
      </c>
      <c r="G473" s="56"/>
      <c r="H473" s="56"/>
      <c r="I473" s="55">
        <v>1300</v>
      </c>
      <c r="J473" s="56"/>
      <c r="K473" s="56"/>
      <c r="L473" s="56"/>
      <c r="M473" s="56"/>
      <c r="N473" s="55">
        <v>6.5</v>
      </c>
      <c r="O473" s="56">
        <f t="shared" si="20"/>
        <v>1293.5</v>
      </c>
      <c r="P473" s="56"/>
      <c r="Q473" s="58">
        <f t="shared" si="21"/>
        <v>211160.43</v>
      </c>
      <c r="R473" s="56"/>
    </row>
    <row r="474" ht="20" customHeight="1" spans="2:18">
      <c r="B474" s="42">
        <v>6</v>
      </c>
      <c r="C474" s="42">
        <v>9</v>
      </c>
      <c r="D474" s="74" t="s">
        <v>106</v>
      </c>
      <c r="E474" s="104" t="s">
        <v>3022</v>
      </c>
      <c r="F474" s="97" t="s">
        <v>3023</v>
      </c>
      <c r="G474" s="56"/>
      <c r="H474" s="56"/>
      <c r="I474" s="56"/>
      <c r="J474" s="56"/>
      <c r="K474" s="56"/>
      <c r="L474" s="56"/>
      <c r="M474" s="56"/>
      <c r="N474" s="56"/>
      <c r="O474" s="56">
        <f t="shared" si="20"/>
        <v>0</v>
      </c>
      <c r="P474" s="55">
        <v>6100</v>
      </c>
      <c r="Q474" s="58">
        <f t="shared" si="21"/>
        <v>205060.43</v>
      </c>
      <c r="R474" s="56"/>
    </row>
    <row r="475" ht="20" customHeight="1" spans="2:18">
      <c r="B475" s="42">
        <v>6</v>
      </c>
      <c r="C475" s="42">
        <v>10</v>
      </c>
      <c r="D475" s="42"/>
      <c r="E475" s="104" t="s">
        <v>2934</v>
      </c>
      <c r="F475" s="97" t="s">
        <v>3024</v>
      </c>
      <c r="G475" s="56"/>
      <c r="H475" s="56"/>
      <c r="I475" s="55">
        <v>100</v>
      </c>
      <c r="J475" s="56"/>
      <c r="K475" s="56"/>
      <c r="L475" s="56"/>
      <c r="M475" s="56"/>
      <c r="N475" s="55">
        <v>0.5</v>
      </c>
      <c r="O475" s="56">
        <f t="shared" si="20"/>
        <v>99.5</v>
      </c>
      <c r="P475" s="56"/>
      <c r="Q475" s="58">
        <f t="shared" si="21"/>
        <v>205159.93</v>
      </c>
      <c r="R475" s="56"/>
    </row>
    <row r="476" ht="20" customHeight="1" spans="2:18">
      <c r="B476" s="42">
        <v>6</v>
      </c>
      <c r="C476" s="42">
        <v>11</v>
      </c>
      <c r="D476" s="42"/>
      <c r="E476" s="104" t="s">
        <v>2934</v>
      </c>
      <c r="F476" s="97" t="s">
        <v>3025</v>
      </c>
      <c r="G476" s="56"/>
      <c r="H476" s="56"/>
      <c r="I476" s="55">
        <v>350</v>
      </c>
      <c r="J476" s="56"/>
      <c r="K476" s="56"/>
      <c r="L476" s="56"/>
      <c r="M476" s="56"/>
      <c r="N476" s="55">
        <v>1.75</v>
      </c>
      <c r="O476" s="56">
        <f t="shared" si="20"/>
        <v>348.25</v>
      </c>
      <c r="P476" s="56"/>
      <c r="Q476" s="58">
        <f t="shared" si="21"/>
        <v>205508.18</v>
      </c>
      <c r="R476" s="56"/>
    </row>
    <row r="477" ht="20" customHeight="1" spans="2:18">
      <c r="B477" s="42">
        <v>6</v>
      </c>
      <c r="C477" s="42">
        <v>11</v>
      </c>
      <c r="D477" s="42"/>
      <c r="E477" s="100" t="s">
        <v>2626</v>
      </c>
      <c r="F477" s="97" t="s">
        <v>3026</v>
      </c>
      <c r="G477" s="56"/>
      <c r="H477" s="56"/>
      <c r="I477" s="55">
        <v>53</v>
      </c>
      <c r="J477" s="56"/>
      <c r="K477" s="56"/>
      <c r="L477" s="56"/>
      <c r="M477" s="56"/>
      <c r="N477" s="56"/>
      <c r="O477" s="56">
        <f t="shared" si="20"/>
        <v>53</v>
      </c>
      <c r="P477" s="56"/>
      <c r="Q477" s="58">
        <f t="shared" si="21"/>
        <v>205561.18</v>
      </c>
      <c r="R477" s="56"/>
    </row>
    <row r="478" ht="20" customHeight="1" spans="2:18">
      <c r="B478" s="42">
        <v>6</v>
      </c>
      <c r="C478" s="42">
        <v>11</v>
      </c>
      <c r="D478" s="42"/>
      <c r="E478" s="96" t="s">
        <v>2516</v>
      </c>
      <c r="F478" s="97" t="s">
        <v>3027</v>
      </c>
      <c r="G478" s="56"/>
      <c r="H478" s="56"/>
      <c r="I478" s="56"/>
      <c r="J478" s="56"/>
      <c r="K478" s="55">
        <v>610</v>
      </c>
      <c r="L478" s="55"/>
      <c r="M478" s="56"/>
      <c r="N478" s="55">
        <v>3.66</v>
      </c>
      <c r="O478" s="56">
        <f t="shared" si="20"/>
        <v>606.34</v>
      </c>
      <c r="P478" s="56"/>
      <c r="Q478" s="58">
        <f t="shared" si="21"/>
        <v>206167.52</v>
      </c>
      <c r="R478" s="56"/>
    </row>
    <row r="479" ht="20" customHeight="1" spans="2:18">
      <c r="B479" s="42">
        <v>6</v>
      </c>
      <c r="C479" s="42">
        <v>12</v>
      </c>
      <c r="D479" s="42"/>
      <c r="E479" s="104" t="s">
        <v>2934</v>
      </c>
      <c r="F479" s="97" t="s">
        <v>3028</v>
      </c>
      <c r="G479" s="56"/>
      <c r="H479" s="56"/>
      <c r="I479" s="55">
        <v>150</v>
      </c>
      <c r="J479" s="56"/>
      <c r="K479" s="56"/>
      <c r="L479" s="56"/>
      <c r="M479" s="56"/>
      <c r="N479" s="55">
        <v>0.75</v>
      </c>
      <c r="O479" s="56">
        <f t="shared" si="20"/>
        <v>149.25</v>
      </c>
      <c r="P479" s="56"/>
      <c r="Q479" s="58">
        <f t="shared" si="21"/>
        <v>206316.77</v>
      </c>
      <c r="R479" s="56"/>
    </row>
    <row r="480" ht="20" customHeight="1" spans="2:18">
      <c r="B480" s="42">
        <v>6</v>
      </c>
      <c r="C480" s="42">
        <v>12</v>
      </c>
      <c r="D480" s="42"/>
      <c r="E480" s="121" t="s">
        <v>3029</v>
      </c>
      <c r="F480" s="118" t="s">
        <v>3030</v>
      </c>
      <c r="G480" s="56"/>
      <c r="H480" s="56"/>
      <c r="I480" s="55">
        <v>-554.12</v>
      </c>
      <c r="J480" s="56"/>
      <c r="K480" s="56"/>
      <c r="L480" s="56"/>
      <c r="M480" s="56"/>
      <c r="N480" s="56"/>
      <c r="O480" s="56">
        <f t="shared" si="20"/>
        <v>-554.12</v>
      </c>
      <c r="P480" s="56"/>
      <c r="Q480" s="58">
        <f t="shared" si="21"/>
        <v>205762.65</v>
      </c>
      <c r="R480" s="56"/>
    </row>
    <row r="481" ht="20" customHeight="1" spans="2:18">
      <c r="B481" s="42">
        <v>6</v>
      </c>
      <c r="C481" s="42">
        <v>14</v>
      </c>
      <c r="D481" s="42"/>
      <c r="E481" s="96" t="s">
        <v>2516</v>
      </c>
      <c r="F481" s="97" t="s">
        <v>3031</v>
      </c>
      <c r="G481" s="56"/>
      <c r="H481" s="56"/>
      <c r="I481" s="56"/>
      <c r="J481" s="56"/>
      <c r="K481" s="55">
        <v>600</v>
      </c>
      <c r="L481" s="55"/>
      <c r="M481" s="56"/>
      <c r="N481" s="55">
        <v>3.6</v>
      </c>
      <c r="O481" s="56">
        <f t="shared" si="20"/>
        <v>596.4</v>
      </c>
      <c r="P481" s="56"/>
      <c r="Q481" s="58">
        <f t="shared" si="21"/>
        <v>206359.05</v>
      </c>
      <c r="R481" s="56"/>
    </row>
    <row r="482" ht="20" customHeight="1" spans="2:18">
      <c r="B482" s="42">
        <v>6</v>
      </c>
      <c r="C482" s="42">
        <v>14</v>
      </c>
      <c r="D482" s="42"/>
      <c r="E482" s="104" t="s">
        <v>2626</v>
      </c>
      <c r="F482" s="97" t="s">
        <v>3032</v>
      </c>
      <c r="G482" s="55">
        <v>4262.5</v>
      </c>
      <c r="H482" s="55">
        <v>437.5</v>
      </c>
      <c r="I482" s="56"/>
      <c r="J482" s="56"/>
      <c r="K482" s="56"/>
      <c r="L482" s="56"/>
      <c r="M482" s="56"/>
      <c r="N482" s="56"/>
      <c r="O482" s="56">
        <f t="shared" si="20"/>
        <v>4700</v>
      </c>
      <c r="P482" s="56"/>
      <c r="Q482" s="58">
        <f t="shared" si="21"/>
        <v>211059.05</v>
      </c>
      <c r="R482" s="56"/>
    </row>
    <row r="483" ht="20" customHeight="1" spans="2:18">
      <c r="B483" s="42">
        <v>6</v>
      </c>
      <c r="C483" s="42">
        <v>15</v>
      </c>
      <c r="D483" s="42"/>
      <c r="E483" s="100" t="s">
        <v>2690</v>
      </c>
      <c r="F483" s="97" t="s">
        <v>3033</v>
      </c>
      <c r="G483" s="56"/>
      <c r="H483" s="56"/>
      <c r="I483" s="55">
        <v>181</v>
      </c>
      <c r="J483" s="56"/>
      <c r="K483" s="56"/>
      <c r="L483" s="56"/>
      <c r="M483" s="56"/>
      <c r="N483" s="55">
        <v>0.18</v>
      </c>
      <c r="O483" s="56">
        <f t="shared" si="20"/>
        <v>180.82</v>
      </c>
      <c r="P483" s="56"/>
      <c r="Q483" s="58">
        <f t="shared" si="21"/>
        <v>211239.87</v>
      </c>
      <c r="R483" s="59" t="s">
        <v>669</v>
      </c>
    </row>
    <row r="484" ht="20" customHeight="1" spans="2:18">
      <c r="B484" s="42">
        <v>6</v>
      </c>
      <c r="C484" s="42">
        <v>15</v>
      </c>
      <c r="D484" s="42"/>
      <c r="E484" s="96" t="s">
        <v>2600</v>
      </c>
      <c r="F484" s="97" t="s">
        <v>3034</v>
      </c>
      <c r="G484" s="56"/>
      <c r="H484" s="56"/>
      <c r="I484" s="55">
        <v>30</v>
      </c>
      <c r="J484" s="56"/>
      <c r="K484" s="56"/>
      <c r="L484" s="56"/>
      <c r="M484" s="56"/>
      <c r="N484" s="55">
        <v>0.03</v>
      </c>
      <c r="O484" s="56">
        <f t="shared" si="20"/>
        <v>29.97</v>
      </c>
      <c r="P484" s="56"/>
      <c r="Q484" s="58">
        <f t="shared" si="21"/>
        <v>211269.84</v>
      </c>
      <c r="R484" s="59" t="s">
        <v>669</v>
      </c>
    </row>
    <row r="485" ht="20" customHeight="1" spans="2:18">
      <c r="B485" s="42">
        <v>6</v>
      </c>
      <c r="C485" s="42">
        <v>15</v>
      </c>
      <c r="D485" s="42"/>
      <c r="E485" s="104" t="s">
        <v>2891</v>
      </c>
      <c r="F485" s="97" t="s">
        <v>3035</v>
      </c>
      <c r="G485" s="56"/>
      <c r="H485" s="56"/>
      <c r="I485" s="55">
        <v>27</v>
      </c>
      <c r="J485" s="56"/>
      <c r="K485" s="56"/>
      <c r="L485" s="56"/>
      <c r="M485" s="56"/>
      <c r="N485" s="55">
        <v>0.03</v>
      </c>
      <c r="O485" s="56">
        <f t="shared" si="20"/>
        <v>26.97</v>
      </c>
      <c r="P485" s="56"/>
      <c r="Q485" s="58">
        <f t="shared" si="21"/>
        <v>211296.81</v>
      </c>
      <c r="R485" s="59" t="s">
        <v>669</v>
      </c>
    </row>
    <row r="486" ht="20" customHeight="1" spans="2:18">
      <c r="B486" s="42">
        <v>6</v>
      </c>
      <c r="C486" s="42">
        <v>15</v>
      </c>
      <c r="D486" s="42"/>
      <c r="E486" s="104" t="s">
        <v>2543</v>
      </c>
      <c r="F486" s="97" t="s">
        <v>3036</v>
      </c>
      <c r="G486" s="56"/>
      <c r="H486" s="56"/>
      <c r="I486" s="56"/>
      <c r="J486" s="56"/>
      <c r="K486" s="55">
        <v>240</v>
      </c>
      <c r="L486" s="55"/>
      <c r="M486" s="56"/>
      <c r="N486" s="55">
        <v>0.24</v>
      </c>
      <c r="O486" s="56">
        <f t="shared" si="20"/>
        <v>239.76</v>
      </c>
      <c r="P486" s="56"/>
      <c r="Q486" s="58">
        <f t="shared" si="21"/>
        <v>211536.57</v>
      </c>
      <c r="R486" s="59" t="s">
        <v>669</v>
      </c>
    </row>
    <row r="487" ht="20" customHeight="1" spans="2:18">
      <c r="B487" s="42">
        <v>6</v>
      </c>
      <c r="C487" s="42">
        <v>15</v>
      </c>
      <c r="D487" s="42"/>
      <c r="E487" s="104"/>
      <c r="F487" s="97" t="s">
        <v>3037</v>
      </c>
      <c r="G487" s="56"/>
      <c r="H487" s="56"/>
      <c r="I487" s="56"/>
      <c r="J487" s="56"/>
      <c r="K487" s="55">
        <v>240</v>
      </c>
      <c r="L487" s="55"/>
      <c r="M487" s="56"/>
      <c r="N487" s="55">
        <v>0.24</v>
      </c>
      <c r="O487" s="56">
        <f t="shared" si="20"/>
        <v>239.76</v>
      </c>
      <c r="P487" s="56"/>
      <c r="Q487" s="58">
        <f t="shared" si="21"/>
        <v>211776.33</v>
      </c>
      <c r="R487" s="59" t="s">
        <v>669</v>
      </c>
    </row>
    <row r="488" ht="20" customHeight="1" spans="2:18">
      <c r="B488" s="42">
        <v>6</v>
      </c>
      <c r="C488" s="42">
        <v>15</v>
      </c>
      <c r="D488" s="74" t="s">
        <v>100</v>
      </c>
      <c r="E488" s="100" t="s">
        <v>291</v>
      </c>
      <c r="F488" s="97" t="s">
        <v>3038</v>
      </c>
      <c r="G488" s="56"/>
      <c r="H488" s="56"/>
      <c r="I488" s="56"/>
      <c r="J488" s="56"/>
      <c r="K488" s="56"/>
      <c r="L488" s="56"/>
      <c r="M488" s="56"/>
      <c r="N488" s="56"/>
      <c r="O488" s="56">
        <f t="shared" si="20"/>
        <v>0</v>
      </c>
      <c r="P488" s="55">
        <v>200</v>
      </c>
      <c r="Q488" s="58">
        <f t="shared" si="21"/>
        <v>211576.33</v>
      </c>
      <c r="R488" s="59"/>
    </row>
    <row r="489" ht="20" customHeight="1" spans="2:18">
      <c r="B489" s="42">
        <v>6</v>
      </c>
      <c r="C489" s="42">
        <v>15</v>
      </c>
      <c r="D489" s="42" t="s">
        <v>101</v>
      </c>
      <c r="E489" s="100" t="s">
        <v>291</v>
      </c>
      <c r="F489" s="97" t="s">
        <v>3039</v>
      </c>
      <c r="G489" s="56"/>
      <c r="H489" s="56"/>
      <c r="I489" s="56"/>
      <c r="J489" s="56"/>
      <c r="K489" s="56"/>
      <c r="L489" s="56"/>
      <c r="M489" s="56"/>
      <c r="N489" s="56"/>
      <c r="O489" s="56">
        <f t="shared" si="20"/>
        <v>0</v>
      </c>
      <c r="P489" s="55">
        <v>270</v>
      </c>
      <c r="Q489" s="58">
        <f t="shared" si="21"/>
        <v>211306.33</v>
      </c>
      <c r="R489" s="59"/>
    </row>
    <row r="490" ht="20" customHeight="1" spans="2:18">
      <c r="B490" s="42">
        <v>6</v>
      </c>
      <c r="C490" s="42">
        <v>15</v>
      </c>
      <c r="D490" s="42" t="s">
        <v>101</v>
      </c>
      <c r="E490" s="100" t="s">
        <v>291</v>
      </c>
      <c r="F490" s="97" t="s">
        <v>3040</v>
      </c>
      <c r="G490" s="56"/>
      <c r="H490" s="56"/>
      <c r="I490" s="56"/>
      <c r="J490" s="56"/>
      <c r="K490" s="56"/>
      <c r="L490" s="56"/>
      <c r="M490" s="56"/>
      <c r="N490" s="56"/>
      <c r="O490" s="56">
        <f t="shared" si="20"/>
        <v>0</v>
      </c>
      <c r="P490" s="55">
        <v>153</v>
      </c>
      <c r="Q490" s="58">
        <f t="shared" si="21"/>
        <v>211153.33</v>
      </c>
      <c r="R490" s="59"/>
    </row>
    <row r="491" ht="20" customHeight="1" spans="2:18">
      <c r="B491" s="42">
        <v>6</v>
      </c>
      <c r="C491" s="42">
        <v>15</v>
      </c>
      <c r="D491" s="74" t="s">
        <v>92</v>
      </c>
      <c r="E491" s="96" t="s">
        <v>271</v>
      </c>
      <c r="F491" s="97" t="s">
        <v>3041</v>
      </c>
      <c r="G491" s="55"/>
      <c r="H491" s="55"/>
      <c r="I491" s="55"/>
      <c r="J491" s="55"/>
      <c r="K491" s="55"/>
      <c r="L491" s="55"/>
      <c r="M491" s="55"/>
      <c r="N491" s="55"/>
      <c r="O491" s="55">
        <f t="shared" si="20"/>
        <v>0</v>
      </c>
      <c r="P491" s="55">
        <v>24900</v>
      </c>
      <c r="Q491" s="58">
        <f t="shared" si="21"/>
        <v>186253.33</v>
      </c>
      <c r="R491" s="56"/>
    </row>
    <row r="492" ht="20" customHeight="1" spans="2:18">
      <c r="B492" s="42">
        <v>6</v>
      </c>
      <c r="C492" s="42">
        <v>15</v>
      </c>
      <c r="D492" s="74" t="s">
        <v>92</v>
      </c>
      <c r="E492" s="104" t="s">
        <v>251</v>
      </c>
      <c r="F492" s="97" t="s">
        <v>3042</v>
      </c>
      <c r="G492" s="55"/>
      <c r="H492" s="55"/>
      <c r="I492" s="55"/>
      <c r="J492" s="55"/>
      <c r="K492" s="55"/>
      <c r="L492" s="55"/>
      <c r="M492" s="55"/>
      <c r="N492" s="55"/>
      <c r="O492" s="55">
        <f t="shared" si="20"/>
        <v>0</v>
      </c>
      <c r="P492" s="55">
        <v>16501.01</v>
      </c>
      <c r="Q492" s="58">
        <f t="shared" si="21"/>
        <v>169752.32</v>
      </c>
      <c r="R492" s="56"/>
    </row>
    <row r="493" ht="20" customHeight="1" spans="2:18">
      <c r="B493" s="42">
        <v>6</v>
      </c>
      <c r="C493" s="42">
        <v>15</v>
      </c>
      <c r="D493" s="74" t="s">
        <v>93</v>
      </c>
      <c r="E493" s="104" t="s">
        <v>251</v>
      </c>
      <c r="F493" s="97" t="s">
        <v>3043</v>
      </c>
      <c r="G493" s="56"/>
      <c r="H493" s="56"/>
      <c r="I493" s="56"/>
      <c r="J493" s="56"/>
      <c r="K493" s="56"/>
      <c r="L493" s="56"/>
      <c r="M493" s="56"/>
      <c r="N493" s="56"/>
      <c r="O493" s="56"/>
      <c r="P493" s="55">
        <v>3244.38</v>
      </c>
      <c r="Q493" s="58">
        <f t="shared" si="21"/>
        <v>166507.94</v>
      </c>
      <c r="R493" s="56"/>
    </row>
    <row r="494" ht="20" customHeight="1" spans="2:18">
      <c r="B494" s="42">
        <v>6</v>
      </c>
      <c r="C494" s="42">
        <v>15</v>
      </c>
      <c r="D494" s="42"/>
      <c r="E494" s="121" t="s">
        <v>2934</v>
      </c>
      <c r="F494" s="118" t="s">
        <v>3044</v>
      </c>
      <c r="G494" s="56"/>
      <c r="H494" s="56"/>
      <c r="I494" s="55">
        <v>1993.54</v>
      </c>
      <c r="J494" s="56"/>
      <c r="K494" s="56"/>
      <c r="L494" s="56"/>
      <c r="M494" s="56"/>
      <c r="N494" s="55">
        <v>9.98</v>
      </c>
      <c r="O494" s="56">
        <f t="shared" ref="O494:O534" si="22">SUM(G494:M494)-N494</f>
        <v>1983.56</v>
      </c>
      <c r="P494" s="56"/>
      <c r="Q494" s="58">
        <f t="shared" si="21"/>
        <v>168491.5</v>
      </c>
      <c r="R494" s="56"/>
    </row>
    <row r="495" ht="20" customHeight="1" spans="2:18">
      <c r="B495" s="42">
        <v>6</v>
      </c>
      <c r="C495" s="42">
        <v>16</v>
      </c>
      <c r="D495" s="74"/>
      <c r="E495" s="96" t="s">
        <v>2934</v>
      </c>
      <c r="F495" s="97" t="s">
        <v>3045</v>
      </c>
      <c r="G495" s="56"/>
      <c r="H495" s="56"/>
      <c r="I495" s="55">
        <v>1150</v>
      </c>
      <c r="J495" s="56"/>
      <c r="K495" s="56"/>
      <c r="L495" s="56"/>
      <c r="M495" s="56"/>
      <c r="N495" s="55">
        <v>5.75</v>
      </c>
      <c r="O495" s="56">
        <f t="shared" si="22"/>
        <v>1144.25</v>
      </c>
      <c r="P495" s="56"/>
      <c r="Q495" s="58">
        <f t="shared" si="21"/>
        <v>169635.75</v>
      </c>
      <c r="R495" s="56"/>
    </row>
    <row r="496" ht="20" customHeight="1" spans="2:18">
      <c r="B496" s="42">
        <v>6</v>
      </c>
      <c r="C496" s="42">
        <v>17</v>
      </c>
      <c r="D496" s="42"/>
      <c r="E496" s="100" t="s">
        <v>2934</v>
      </c>
      <c r="F496" s="97" t="s">
        <v>3046</v>
      </c>
      <c r="G496" s="56"/>
      <c r="H496" s="56"/>
      <c r="I496" s="55">
        <v>250</v>
      </c>
      <c r="J496" s="56"/>
      <c r="K496" s="56"/>
      <c r="L496" s="56"/>
      <c r="M496" s="56"/>
      <c r="N496" s="55">
        <v>1.25</v>
      </c>
      <c r="O496" s="56">
        <f t="shared" si="22"/>
        <v>248.75</v>
      </c>
      <c r="P496" s="56"/>
      <c r="Q496" s="58">
        <f t="shared" si="21"/>
        <v>169884.5</v>
      </c>
      <c r="R496" s="56"/>
    </row>
    <row r="497" ht="20" customHeight="1" spans="2:18">
      <c r="B497" s="42">
        <v>6</v>
      </c>
      <c r="C497" s="42">
        <v>17</v>
      </c>
      <c r="D497" s="42"/>
      <c r="E497" s="96" t="s">
        <v>2535</v>
      </c>
      <c r="F497" s="97" t="s">
        <v>3047</v>
      </c>
      <c r="G497" s="55">
        <v>1974</v>
      </c>
      <c r="H497" s="55">
        <v>282</v>
      </c>
      <c r="I497" s="55">
        <v>19</v>
      </c>
      <c r="J497" s="56"/>
      <c r="K497" s="56"/>
      <c r="L497" s="56"/>
      <c r="M497" s="56"/>
      <c r="N497" s="56"/>
      <c r="O497" s="56">
        <f t="shared" si="22"/>
        <v>2275</v>
      </c>
      <c r="P497" s="56"/>
      <c r="Q497" s="58">
        <f t="shared" si="21"/>
        <v>172159.5</v>
      </c>
      <c r="R497" s="56"/>
    </row>
    <row r="498" ht="20" customHeight="1" spans="2:18">
      <c r="B498" s="42">
        <v>6</v>
      </c>
      <c r="C498" s="42">
        <v>17</v>
      </c>
      <c r="D498" s="42"/>
      <c r="E498" s="96" t="s">
        <v>2516</v>
      </c>
      <c r="F498" s="97" t="s">
        <v>3048</v>
      </c>
      <c r="G498" s="56"/>
      <c r="H498" s="56"/>
      <c r="I498" s="56"/>
      <c r="J498" s="56"/>
      <c r="K498" s="55">
        <v>510</v>
      </c>
      <c r="L498" s="55"/>
      <c r="M498" s="56"/>
      <c r="N498" s="55">
        <v>3.06</v>
      </c>
      <c r="O498" s="56">
        <f t="shared" si="22"/>
        <v>506.94</v>
      </c>
      <c r="P498" s="56"/>
      <c r="Q498" s="58">
        <f t="shared" si="21"/>
        <v>172666.44</v>
      </c>
      <c r="R498" s="56"/>
    </row>
    <row r="499" ht="20" customHeight="1" spans="2:18">
      <c r="B499" s="42">
        <v>6</v>
      </c>
      <c r="C499" s="42">
        <v>18</v>
      </c>
      <c r="D499" s="42"/>
      <c r="E499" s="100" t="s">
        <v>2663</v>
      </c>
      <c r="F499" s="97" t="s">
        <v>3049</v>
      </c>
      <c r="G499" s="55">
        <v>3436</v>
      </c>
      <c r="H499" s="55">
        <v>564</v>
      </c>
      <c r="I499" s="56"/>
      <c r="J499" s="56"/>
      <c r="K499" s="56"/>
      <c r="L499" s="56"/>
      <c r="M499" s="56"/>
      <c r="N499" s="56"/>
      <c r="O499" s="56">
        <f t="shared" si="22"/>
        <v>4000</v>
      </c>
      <c r="P499" s="56"/>
      <c r="Q499" s="58">
        <f t="shared" si="21"/>
        <v>176666.44</v>
      </c>
      <c r="R499" s="56"/>
    </row>
    <row r="500" ht="20" customHeight="1" spans="2:18">
      <c r="B500" s="42">
        <v>6</v>
      </c>
      <c r="C500" s="42">
        <v>18</v>
      </c>
      <c r="D500" s="42"/>
      <c r="E500" s="96" t="s">
        <v>3050</v>
      </c>
      <c r="F500" s="97" t="s">
        <v>3051</v>
      </c>
      <c r="G500" s="56"/>
      <c r="H500" s="56"/>
      <c r="I500" s="56"/>
      <c r="J500" s="55">
        <v>4620</v>
      </c>
      <c r="K500" s="56"/>
      <c r="L500" s="56"/>
      <c r="M500" s="56"/>
      <c r="N500" s="56"/>
      <c r="O500" s="56">
        <f t="shared" si="22"/>
        <v>4620</v>
      </c>
      <c r="P500" s="56"/>
      <c r="Q500" s="58">
        <f t="shared" si="21"/>
        <v>181286.44</v>
      </c>
      <c r="R500" s="56"/>
    </row>
    <row r="501" ht="20" customHeight="1" spans="2:18">
      <c r="B501" s="42">
        <v>6</v>
      </c>
      <c r="C501" s="42">
        <v>18</v>
      </c>
      <c r="D501" s="42"/>
      <c r="E501" s="96" t="s">
        <v>3050</v>
      </c>
      <c r="F501" s="97" t="s">
        <v>3052</v>
      </c>
      <c r="G501" s="55">
        <v>4620</v>
      </c>
      <c r="H501" s="56"/>
      <c r="I501" s="56"/>
      <c r="J501" s="56"/>
      <c r="K501" s="56"/>
      <c r="L501" s="56"/>
      <c r="M501" s="56"/>
      <c r="N501" s="56"/>
      <c r="O501" s="56">
        <f t="shared" si="22"/>
        <v>4620</v>
      </c>
      <c r="P501" s="56"/>
      <c r="Q501" s="58">
        <f t="shared" si="21"/>
        <v>185906.44</v>
      </c>
      <c r="R501" s="56"/>
    </row>
    <row r="502" ht="20" customHeight="1" spans="2:18">
      <c r="B502" s="42">
        <v>6</v>
      </c>
      <c r="C502" s="42">
        <v>18</v>
      </c>
      <c r="D502" s="42"/>
      <c r="E502" s="125" t="s">
        <v>2934</v>
      </c>
      <c r="F502" s="126" t="s">
        <v>3053</v>
      </c>
      <c r="G502" s="56"/>
      <c r="H502" s="56"/>
      <c r="I502" s="55">
        <v>550</v>
      </c>
      <c r="J502" s="56"/>
      <c r="K502" s="56"/>
      <c r="L502" s="56"/>
      <c r="M502" s="56"/>
      <c r="N502" s="55">
        <v>2.75</v>
      </c>
      <c r="O502" s="56">
        <f t="shared" si="22"/>
        <v>547.25</v>
      </c>
      <c r="P502" s="56"/>
      <c r="Q502" s="58">
        <f t="shared" si="21"/>
        <v>186453.69</v>
      </c>
      <c r="R502" s="56"/>
    </row>
    <row r="503" ht="20" customHeight="1" spans="2:18">
      <c r="B503" s="42">
        <v>6</v>
      </c>
      <c r="C503" s="42">
        <v>18</v>
      </c>
      <c r="D503" s="42"/>
      <c r="E503" s="96" t="s">
        <v>2559</v>
      </c>
      <c r="F503" s="97" t="s">
        <v>3054</v>
      </c>
      <c r="G503" s="55">
        <v>2611</v>
      </c>
      <c r="H503" s="55">
        <v>373</v>
      </c>
      <c r="I503" s="55">
        <v>24</v>
      </c>
      <c r="J503" s="56"/>
      <c r="K503" s="56"/>
      <c r="L503" s="56"/>
      <c r="M503" s="56"/>
      <c r="N503" s="56"/>
      <c r="O503" s="56">
        <f t="shared" si="22"/>
        <v>3008</v>
      </c>
      <c r="P503" s="56"/>
      <c r="Q503" s="58">
        <f t="shared" si="21"/>
        <v>189461.69</v>
      </c>
      <c r="R503" s="56"/>
    </row>
    <row r="504" ht="20" customHeight="1" spans="2:18">
      <c r="B504" s="42">
        <v>6</v>
      </c>
      <c r="C504" s="42">
        <v>19</v>
      </c>
      <c r="D504" s="42"/>
      <c r="E504" s="96" t="s">
        <v>2934</v>
      </c>
      <c r="F504" s="97" t="s">
        <v>3055</v>
      </c>
      <c r="G504" s="56"/>
      <c r="H504" s="56"/>
      <c r="I504" s="55">
        <v>1250</v>
      </c>
      <c r="J504" s="56"/>
      <c r="K504" s="56"/>
      <c r="L504" s="56"/>
      <c r="M504" s="56"/>
      <c r="N504" s="55">
        <v>6.25</v>
      </c>
      <c r="O504" s="56">
        <f t="shared" si="22"/>
        <v>1243.75</v>
      </c>
      <c r="P504" s="56"/>
      <c r="Q504" s="58">
        <f t="shared" si="21"/>
        <v>190705.44</v>
      </c>
      <c r="R504" s="56"/>
    </row>
    <row r="505" ht="20" customHeight="1" spans="2:18">
      <c r="B505" s="42">
        <v>6</v>
      </c>
      <c r="C505" s="42">
        <v>20</v>
      </c>
      <c r="D505" s="42"/>
      <c r="E505" s="96" t="s">
        <v>2934</v>
      </c>
      <c r="F505" s="97" t="s">
        <v>3056</v>
      </c>
      <c r="G505" s="56"/>
      <c r="H505" s="56"/>
      <c r="I505" s="55">
        <v>1100</v>
      </c>
      <c r="J505" s="56"/>
      <c r="K505" s="56"/>
      <c r="L505" s="56"/>
      <c r="M505" s="56"/>
      <c r="N505" s="55">
        <v>5.5</v>
      </c>
      <c r="O505" s="56">
        <f t="shared" si="22"/>
        <v>1094.5</v>
      </c>
      <c r="P505" s="56"/>
      <c r="Q505" s="58">
        <f t="shared" si="21"/>
        <v>191799.94</v>
      </c>
      <c r="R505" s="56"/>
    </row>
    <row r="506" ht="20" customHeight="1" spans="2:18">
      <c r="B506" s="42">
        <v>6</v>
      </c>
      <c r="C506" s="42">
        <v>21</v>
      </c>
      <c r="D506" s="42"/>
      <c r="E506" s="96" t="s">
        <v>161</v>
      </c>
      <c r="F506" s="97" t="s">
        <v>29</v>
      </c>
      <c r="G506" s="56"/>
      <c r="H506" s="56"/>
      <c r="I506" s="56"/>
      <c r="J506" s="56"/>
      <c r="K506" s="56"/>
      <c r="L506" s="56"/>
      <c r="M506" s="55">
        <v>19.15</v>
      </c>
      <c r="N506" s="56"/>
      <c r="O506" s="56">
        <f t="shared" si="22"/>
        <v>19.15</v>
      </c>
      <c r="P506" s="56"/>
      <c r="Q506" s="58">
        <f t="shared" si="21"/>
        <v>191819.09</v>
      </c>
      <c r="R506" s="56"/>
    </row>
    <row r="507" ht="20" customHeight="1" spans="2:18">
      <c r="B507" s="42">
        <v>6</v>
      </c>
      <c r="C507" s="42">
        <v>21</v>
      </c>
      <c r="D507" s="42"/>
      <c r="E507" s="96" t="s">
        <v>2934</v>
      </c>
      <c r="F507" s="97" t="s">
        <v>3057</v>
      </c>
      <c r="G507" s="56"/>
      <c r="H507" s="56"/>
      <c r="I507" s="55">
        <v>350</v>
      </c>
      <c r="J507" s="56"/>
      <c r="K507" s="56"/>
      <c r="L507" s="56"/>
      <c r="M507" s="56"/>
      <c r="N507" s="55">
        <v>1.75</v>
      </c>
      <c r="O507" s="56">
        <f t="shared" si="22"/>
        <v>348.25</v>
      </c>
      <c r="P507" s="56"/>
      <c r="Q507" s="58">
        <f t="shared" si="21"/>
        <v>192167.34</v>
      </c>
      <c r="R507" s="56"/>
    </row>
    <row r="508" ht="20" customHeight="1" spans="2:18">
      <c r="B508" s="42">
        <v>6</v>
      </c>
      <c r="C508" s="42">
        <v>22</v>
      </c>
      <c r="D508" s="42"/>
      <c r="E508" s="100"/>
      <c r="F508" s="97" t="s">
        <v>3058</v>
      </c>
      <c r="G508" s="56"/>
      <c r="H508" s="56"/>
      <c r="I508" s="56"/>
      <c r="J508" s="56"/>
      <c r="K508" s="55">
        <v>300</v>
      </c>
      <c r="L508" s="55"/>
      <c r="M508" s="56"/>
      <c r="N508" s="55">
        <v>0.55</v>
      </c>
      <c r="O508" s="56">
        <f t="shared" si="22"/>
        <v>299.45</v>
      </c>
      <c r="P508" s="56"/>
      <c r="Q508" s="58">
        <f t="shared" si="21"/>
        <v>192466.79</v>
      </c>
      <c r="R508" s="59" t="s">
        <v>669</v>
      </c>
    </row>
    <row r="509" ht="20" customHeight="1" spans="2:18">
      <c r="B509" s="42">
        <v>6</v>
      </c>
      <c r="C509" s="42">
        <v>22</v>
      </c>
      <c r="D509" s="42"/>
      <c r="E509" s="104"/>
      <c r="F509" s="97" t="s">
        <v>3059</v>
      </c>
      <c r="G509" s="56"/>
      <c r="H509" s="56"/>
      <c r="I509" s="56"/>
      <c r="J509" s="56"/>
      <c r="K509" s="55">
        <v>250</v>
      </c>
      <c r="L509" s="55"/>
      <c r="M509" s="56"/>
      <c r="N509" s="55"/>
      <c r="O509" s="56">
        <f t="shared" si="22"/>
        <v>250</v>
      </c>
      <c r="P509" s="56"/>
      <c r="Q509" s="58">
        <f t="shared" si="21"/>
        <v>192716.79</v>
      </c>
      <c r="R509" s="59" t="s">
        <v>669</v>
      </c>
    </row>
    <row r="510" ht="20" customHeight="1" spans="2:18">
      <c r="B510" s="42">
        <v>6</v>
      </c>
      <c r="C510" s="42">
        <v>22</v>
      </c>
      <c r="D510" s="42"/>
      <c r="E510" s="104" t="s">
        <v>2934</v>
      </c>
      <c r="F510" s="97" t="s">
        <v>3060</v>
      </c>
      <c r="G510" s="56"/>
      <c r="H510" s="56"/>
      <c r="I510" s="55">
        <v>1600</v>
      </c>
      <c r="J510" s="56"/>
      <c r="K510" s="56"/>
      <c r="L510" s="56"/>
      <c r="M510" s="56"/>
      <c r="N510" s="55">
        <v>8</v>
      </c>
      <c r="O510" s="56">
        <f t="shared" si="22"/>
        <v>1592</v>
      </c>
      <c r="P510" s="56"/>
      <c r="Q510" s="58">
        <f t="shared" ref="Q510:Q534" si="23">Q509+O510-P510</f>
        <v>194308.79</v>
      </c>
      <c r="R510" s="56"/>
    </row>
    <row r="511" ht="20" customHeight="1" spans="2:18">
      <c r="B511" s="42">
        <v>6</v>
      </c>
      <c r="C511" s="42">
        <v>22</v>
      </c>
      <c r="D511" s="42"/>
      <c r="E511" s="96" t="s">
        <v>2516</v>
      </c>
      <c r="F511" s="97" t="s">
        <v>3061</v>
      </c>
      <c r="G511" s="56"/>
      <c r="H511" s="56"/>
      <c r="I511" s="56"/>
      <c r="J511" s="56"/>
      <c r="K511" s="55">
        <v>545</v>
      </c>
      <c r="L511" s="55"/>
      <c r="M511" s="56"/>
      <c r="N511" s="55">
        <v>3.27</v>
      </c>
      <c r="O511" s="56">
        <f t="shared" si="22"/>
        <v>541.73</v>
      </c>
      <c r="P511" s="56"/>
      <c r="Q511" s="58">
        <f t="shared" si="23"/>
        <v>194850.52</v>
      </c>
      <c r="R511" s="56"/>
    </row>
    <row r="512" ht="20" customHeight="1" spans="2:18">
      <c r="B512" s="42">
        <v>6</v>
      </c>
      <c r="C512" s="42">
        <v>23</v>
      </c>
      <c r="D512" s="42"/>
      <c r="E512" s="104" t="s">
        <v>2934</v>
      </c>
      <c r="F512" s="97" t="s">
        <v>3062</v>
      </c>
      <c r="G512" s="56"/>
      <c r="H512" s="56"/>
      <c r="I512" s="55">
        <v>2150</v>
      </c>
      <c r="J512" s="56"/>
      <c r="K512" s="56"/>
      <c r="L512" s="56"/>
      <c r="M512" s="56"/>
      <c r="N512" s="55">
        <v>10.75</v>
      </c>
      <c r="O512" s="56">
        <f t="shared" si="22"/>
        <v>2139.25</v>
      </c>
      <c r="P512" s="56"/>
      <c r="Q512" s="58">
        <f t="shared" si="23"/>
        <v>196989.77</v>
      </c>
      <c r="R512" s="56"/>
    </row>
    <row r="513" ht="20" customHeight="1" spans="2:18">
      <c r="B513" s="42">
        <v>6</v>
      </c>
      <c r="C513" s="42">
        <v>24</v>
      </c>
      <c r="D513" s="42"/>
      <c r="E513" s="104" t="s">
        <v>2636</v>
      </c>
      <c r="F513" s="97" t="s">
        <v>2753</v>
      </c>
      <c r="G513" s="55">
        <v>3712.5</v>
      </c>
      <c r="H513" s="55">
        <v>562.5</v>
      </c>
      <c r="I513" s="55">
        <v>185</v>
      </c>
      <c r="J513" s="56"/>
      <c r="K513" s="56"/>
      <c r="L513" s="56"/>
      <c r="M513" s="56"/>
      <c r="N513" s="56"/>
      <c r="O513" s="56">
        <f t="shared" si="22"/>
        <v>4460</v>
      </c>
      <c r="P513" s="56"/>
      <c r="Q513" s="58">
        <f t="shared" si="23"/>
        <v>201449.77</v>
      </c>
      <c r="R513" s="56"/>
    </row>
    <row r="514" ht="20" customHeight="1" spans="2:18">
      <c r="B514" s="42">
        <v>6</v>
      </c>
      <c r="C514" s="42">
        <v>24</v>
      </c>
      <c r="D514" s="42"/>
      <c r="E514" s="100" t="s">
        <v>2934</v>
      </c>
      <c r="F514" s="97" t="s">
        <v>3063</v>
      </c>
      <c r="G514" s="56"/>
      <c r="H514" s="56"/>
      <c r="I514" s="55">
        <v>1900</v>
      </c>
      <c r="J514" s="56"/>
      <c r="K514" s="56"/>
      <c r="L514" s="56"/>
      <c r="M514" s="56"/>
      <c r="N514" s="55">
        <v>9.5</v>
      </c>
      <c r="O514" s="56">
        <f t="shared" si="22"/>
        <v>1890.5</v>
      </c>
      <c r="P514" s="56"/>
      <c r="Q514" s="58">
        <f t="shared" si="23"/>
        <v>203340.27</v>
      </c>
      <c r="R514" s="56"/>
    </row>
    <row r="515" ht="20" customHeight="1" spans="2:18">
      <c r="B515" s="42">
        <v>6</v>
      </c>
      <c r="C515" s="42">
        <v>25</v>
      </c>
      <c r="D515" s="74" t="s">
        <v>69</v>
      </c>
      <c r="E515" s="104" t="s">
        <v>2638</v>
      </c>
      <c r="F515" s="97" t="s">
        <v>3064</v>
      </c>
      <c r="G515" s="56"/>
      <c r="H515" s="56"/>
      <c r="I515" s="56"/>
      <c r="J515" s="56"/>
      <c r="K515" s="56"/>
      <c r="L515" s="56"/>
      <c r="M515" s="56"/>
      <c r="N515" s="56"/>
      <c r="O515" s="56">
        <f t="shared" si="22"/>
        <v>0</v>
      </c>
      <c r="P515" s="55">
        <v>80000</v>
      </c>
      <c r="Q515" s="58">
        <f t="shared" si="23"/>
        <v>123340.27</v>
      </c>
      <c r="R515" s="56"/>
    </row>
    <row r="516" ht="20" customHeight="1" spans="2:18">
      <c r="B516" s="42">
        <v>6</v>
      </c>
      <c r="C516" s="42">
        <v>25</v>
      </c>
      <c r="D516" s="42"/>
      <c r="E516" s="104" t="s">
        <v>2934</v>
      </c>
      <c r="F516" s="97" t="s">
        <v>3065</v>
      </c>
      <c r="G516" s="56"/>
      <c r="H516" s="56"/>
      <c r="I516" s="55">
        <v>2400</v>
      </c>
      <c r="J516" s="56"/>
      <c r="K516" s="56"/>
      <c r="L516" s="56"/>
      <c r="M516" s="56"/>
      <c r="N516" s="55">
        <v>12</v>
      </c>
      <c r="O516" s="56">
        <f t="shared" si="22"/>
        <v>2388</v>
      </c>
      <c r="P516" s="56"/>
      <c r="Q516" s="58">
        <f t="shared" si="23"/>
        <v>125728.27</v>
      </c>
      <c r="R516" s="56"/>
    </row>
    <row r="517" ht="20" customHeight="1" spans="2:18">
      <c r="B517" s="42">
        <v>6</v>
      </c>
      <c r="C517" s="42">
        <v>25</v>
      </c>
      <c r="D517" s="42"/>
      <c r="E517" s="96" t="s">
        <v>2516</v>
      </c>
      <c r="F517" s="97" t="s">
        <v>3066</v>
      </c>
      <c r="G517" s="56"/>
      <c r="H517" s="56"/>
      <c r="I517" s="56"/>
      <c r="J517" s="56"/>
      <c r="K517" s="55">
        <v>540</v>
      </c>
      <c r="L517" s="55"/>
      <c r="M517" s="56"/>
      <c r="N517" s="55">
        <v>3.24</v>
      </c>
      <c r="O517" s="56">
        <f t="shared" si="22"/>
        <v>536.76</v>
      </c>
      <c r="P517" s="56"/>
      <c r="Q517" s="58">
        <f t="shared" si="23"/>
        <v>126265.03</v>
      </c>
      <c r="R517" s="56"/>
    </row>
    <row r="518" ht="20" customHeight="1" spans="2:18">
      <c r="B518" s="42">
        <v>6</v>
      </c>
      <c r="C518" s="42">
        <v>25</v>
      </c>
      <c r="D518" s="42"/>
      <c r="E518" s="104" t="s">
        <v>2756</v>
      </c>
      <c r="F518" s="97" t="s">
        <v>3067</v>
      </c>
      <c r="G518" s="56"/>
      <c r="H518" s="56"/>
      <c r="I518" s="55">
        <v>95</v>
      </c>
      <c r="J518" s="56"/>
      <c r="K518" s="56"/>
      <c r="L518" s="56"/>
      <c r="M518" s="56"/>
      <c r="N518" s="56"/>
      <c r="O518" s="56">
        <f t="shared" si="22"/>
        <v>95</v>
      </c>
      <c r="P518" s="56"/>
      <c r="Q518" s="58">
        <f t="shared" si="23"/>
        <v>126360.03</v>
      </c>
      <c r="R518" s="56"/>
    </row>
    <row r="519" ht="20" customHeight="1" spans="2:18">
      <c r="B519" s="42">
        <v>6</v>
      </c>
      <c r="C519" s="42">
        <v>26</v>
      </c>
      <c r="D519" s="42"/>
      <c r="E519" s="104" t="s">
        <v>2934</v>
      </c>
      <c r="F519" s="97" t="s">
        <v>3068</v>
      </c>
      <c r="G519" s="56"/>
      <c r="H519" s="56"/>
      <c r="I519" s="55">
        <v>750</v>
      </c>
      <c r="J519" s="56"/>
      <c r="K519" s="56"/>
      <c r="L519" s="56"/>
      <c r="M519" s="56"/>
      <c r="N519" s="55">
        <v>3.75</v>
      </c>
      <c r="O519" s="56">
        <f t="shared" si="22"/>
        <v>746.25</v>
      </c>
      <c r="P519" s="56"/>
      <c r="Q519" s="58">
        <f t="shared" si="23"/>
        <v>127106.28</v>
      </c>
      <c r="R519" s="56"/>
    </row>
    <row r="520" ht="20" customHeight="1" spans="2:18">
      <c r="B520" s="42">
        <v>6</v>
      </c>
      <c r="C520" s="42">
        <v>29</v>
      </c>
      <c r="D520" s="42"/>
      <c r="E520" s="104" t="s">
        <v>2700</v>
      </c>
      <c r="F520" s="97" t="s">
        <v>3069</v>
      </c>
      <c r="G520" s="55">
        <v>900</v>
      </c>
      <c r="H520" s="56"/>
      <c r="I520" s="55">
        <v>121</v>
      </c>
      <c r="J520" s="56"/>
      <c r="K520" s="56"/>
      <c r="L520" s="56"/>
      <c r="M520" s="56"/>
      <c r="N520" s="56"/>
      <c r="O520" s="56">
        <f t="shared" si="22"/>
        <v>1021</v>
      </c>
      <c r="P520" s="56"/>
      <c r="Q520" s="58">
        <f t="shared" si="23"/>
        <v>128127.28</v>
      </c>
      <c r="R520" s="56"/>
    </row>
    <row r="521" ht="20" customHeight="1" spans="2:18">
      <c r="B521" s="42">
        <v>6</v>
      </c>
      <c r="C521" s="42">
        <v>29</v>
      </c>
      <c r="D521" s="42"/>
      <c r="E521" s="100" t="s">
        <v>2700</v>
      </c>
      <c r="F521" s="97" t="s">
        <v>3070</v>
      </c>
      <c r="G521" s="55">
        <v>19000</v>
      </c>
      <c r="H521" s="56"/>
      <c r="I521" s="55">
        <v>304</v>
      </c>
      <c r="J521" s="56"/>
      <c r="K521" s="56"/>
      <c r="L521" s="56"/>
      <c r="M521" s="56"/>
      <c r="N521" s="56"/>
      <c r="O521" s="56">
        <f t="shared" si="22"/>
        <v>19304</v>
      </c>
      <c r="P521" s="56"/>
      <c r="Q521" s="58">
        <f t="shared" si="23"/>
        <v>147431.28</v>
      </c>
      <c r="R521" s="56"/>
    </row>
    <row r="522" ht="20" customHeight="1" spans="2:18">
      <c r="B522" s="42">
        <v>6</v>
      </c>
      <c r="C522" s="42">
        <v>29</v>
      </c>
      <c r="D522" s="42"/>
      <c r="E522" s="96" t="s">
        <v>2965</v>
      </c>
      <c r="F522" s="97" t="s">
        <v>3071</v>
      </c>
      <c r="G522" s="56"/>
      <c r="H522" s="56"/>
      <c r="I522" s="55">
        <v>360</v>
      </c>
      <c r="J522" s="56"/>
      <c r="K522" s="56"/>
      <c r="L522" s="56"/>
      <c r="M522" s="56"/>
      <c r="N522" s="55">
        <v>0.36</v>
      </c>
      <c r="O522" s="56">
        <f t="shared" si="22"/>
        <v>359.64</v>
      </c>
      <c r="P522" s="56"/>
      <c r="Q522" s="58">
        <f t="shared" si="23"/>
        <v>147790.92</v>
      </c>
      <c r="R522" s="59" t="s">
        <v>669</v>
      </c>
    </row>
    <row r="523" ht="20" customHeight="1" spans="2:18">
      <c r="B523" s="42">
        <v>6</v>
      </c>
      <c r="C523" s="42">
        <v>29</v>
      </c>
      <c r="D523" s="42"/>
      <c r="E523" s="100"/>
      <c r="F523" s="97" t="s">
        <v>3012</v>
      </c>
      <c r="G523" s="56"/>
      <c r="H523" s="56"/>
      <c r="I523" s="56"/>
      <c r="J523" s="56"/>
      <c r="K523" s="55">
        <v>100</v>
      </c>
      <c r="L523" s="55"/>
      <c r="M523" s="56"/>
      <c r="N523" s="55">
        <v>0.78</v>
      </c>
      <c r="O523" s="56">
        <f t="shared" si="22"/>
        <v>99.22</v>
      </c>
      <c r="P523" s="56"/>
      <c r="Q523" s="58">
        <f t="shared" si="23"/>
        <v>147890.14</v>
      </c>
      <c r="R523" s="59" t="s">
        <v>669</v>
      </c>
    </row>
    <row r="524" ht="20" customHeight="1" spans="2:18">
      <c r="B524" s="42">
        <v>6</v>
      </c>
      <c r="C524" s="42">
        <v>29</v>
      </c>
      <c r="D524" s="42"/>
      <c r="E524" s="104"/>
      <c r="F524" s="97" t="s">
        <v>3072</v>
      </c>
      <c r="G524" s="56"/>
      <c r="H524" s="56"/>
      <c r="I524" s="56"/>
      <c r="J524" s="56"/>
      <c r="K524" s="55">
        <v>240</v>
      </c>
      <c r="L524" s="55"/>
      <c r="M524" s="56"/>
      <c r="N524" s="56"/>
      <c r="O524" s="56">
        <f t="shared" si="22"/>
        <v>240</v>
      </c>
      <c r="P524" s="56"/>
      <c r="Q524" s="58">
        <f t="shared" si="23"/>
        <v>148130.14</v>
      </c>
      <c r="R524" s="59" t="s">
        <v>669</v>
      </c>
    </row>
    <row r="525" ht="20" customHeight="1" spans="2:18">
      <c r="B525" s="42">
        <v>6</v>
      </c>
      <c r="C525" s="42">
        <v>29</v>
      </c>
      <c r="D525" s="42"/>
      <c r="E525" s="104"/>
      <c r="F525" s="97" t="s">
        <v>3073</v>
      </c>
      <c r="G525" s="56"/>
      <c r="H525" s="56"/>
      <c r="I525" s="56"/>
      <c r="J525" s="56"/>
      <c r="K525" s="55">
        <v>240</v>
      </c>
      <c r="L525" s="55"/>
      <c r="M525" s="56"/>
      <c r="N525" s="56"/>
      <c r="O525" s="56">
        <f t="shared" si="22"/>
        <v>240</v>
      </c>
      <c r="P525" s="56"/>
      <c r="Q525" s="58">
        <f t="shared" si="23"/>
        <v>148370.14</v>
      </c>
      <c r="R525" s="59" t="s">
        <v>669</v>
      </c>
    </row>
    <row r="526" ht="20" customHeight="1" spans="2:18">
      <c r="B526" s="42">
        <v>6</v>
      </c>
      <c r="C526" s="42">
        <v>29</v>
      </c>
      <c r="D526" s="42"/>
      <c r="E526" s="100"/>
      <c r="F526" s="97" t="s">
        <v>3074</v>
      </c>
      <c r="G526" s="56"/>
      <c r="H526" s="56"/>
      <c r="I526" s="56"/>
      <c r="J526" s="56"/>
      <c r="K526" s="55">
        <v>200</v>
      </c>
      <c r="L526" s="55"/>
      <c r="M526" s="56"/>
      <c r="N526" s="56"/>
      <c r="O526" s="56">
        <f t="shared" si="22"/>
        <v>200</v>
      </c>
      <c r="P526" s="56"/>
      <c r="Q526" s="58">
        <f t="shared" si="23"/>
        <v>148570.14</v>
      </c>
      <c r="R526" s="59" t="s">
        <v>669</v>
      </c>
    </row>
    <row r="527" ht="20" customHeight="1" spans="2:18">
      <c r="B527" s="42">
        <v>6</v>
      </c>
      <c r="C527" s="42">
        <v>29</v>
      </c>
      <c r="D527" s="42"/>
      <c r="E527" s="104" t="s">
        <v>2934</v>
      </c>
      <c r="F527" s="97" t="s">
        <v>3075</v>
      </c>
      <c r="G527" s="56"/>
      <c r="H527" s="56"/>
      <c r="I527" s="55">
        <v>2450</v>
      </c>
      <c r="J527" s="56"/>
      <c r="K527" s="56"/>
      <c r="L527" s="56"/>
      <c r="M527" s="56"/>
      <c r="N527" s="55">
        <v>12.25</v>
      </c>
      <c r="O527" s="56">
        <f t="shared" si="22"/>
        <v>2437.75</v>
      </c>
      <c r="P527" s="56"/>
      <c r="Q527" s="58">
        <f t="shared" si="23"/>
        <v>151007.89</v>
      </c>
      <c r="R527" s="56"/>
    </row>
    <row r="528" ht="20" customHeight="1" spans="2:18">
      <c r="B528" s="42">
        <v>6</v>
      </c>
      <c r="C528" s="42">
        <v>29</v>
      </c>
      <c r="D528" s="42"/>
      <c r="E528" s="104" t="s">
        <v>2679</v>
      </c>
      <c r="F528" s="97" t="s">
        <v>3076</v>
      </c>
      <c r="G528" s="55">
        <v>4668.75</v>
      </c>
      <c r="H528" s="55">
        <v>481.25</v>
      </c>
      <c r="I528" s="55">
        <v>560</v>
      </c>
      <c r="J528" s="56"/>
      <c r="K528" s="56"/>
      <c r="L528" s="56"/>
      <c r="M528" s="56"/>
      <c r="N528" s="56"/>
      <c r="O528" s="56">
        <f t="shared" si="22"/>
        <v>5710</v>
      </c>
      <c r="P528" s="56"/>
      <c r="Q528" s="58">
        <f t="shared" si="23"/>
        <v>156717.89</v>
      </c>
      <c r="R528" s="56"/>
    </row>
    <row r="529" ht="20" customHeight="1" spans="2:18">
      <c r="B529" s="42">
        <v>6</v>
      </c>
      <c r="C529" s="42">
        <v>29</v>
      </c>
      <c r="D529" s="42"/>
      <c r="E529" s="100" t="s">
        <v>2549</v>
      </c>
      <c r="F529" s="97" t="s">
        <v>3077</v>
      </c>
      <c r="G529" s="55">
        <v>8273</v>
      </c>
      <c r="H529" s="55">
        <v>1100</v>
      </c>
      <c r="I529" s="56"/>
      <c r="J529" s="56"/>
      <c r="K529" s="56"/>
      <c r="L529" s="56"/>
      <c r="M529" s="56"/>
      <c r="N529" s="56"/>
      <c r="O529" s="56">
        <f t="shared" si="22"/>
        <v>9373</v>
      </c>
      <c r="P529" s="56"/>
      <c r="Q529" s="58">
        <f t="shared" si="23"/>
        <v>166090.89</v>
      </c>
      <c r="R529" s="56"/>
    </row>
    <row r="530" ht="20" customHeight="1" spans="2:18">
      <c r="B530" s="42">
        <v>6</v>
      </c>
      <c r="C530" s="42">
        <v>29</v>
      </c>
      <c r="D530" s="74" t="s">
        <v>69</v>
      </c>
      <c r="E530" s="104" t="s">
        <v>2638</v>
      </c>
      <c r="F530" s="97" t="s">
        <v>3078</v>
      </c>
      <c r="G530" s="56"/>
      <c r="H530" s="56"/>
      <c r="I530" s="56"/>
      <c r="J530" s="56"/>
      <c r="K530" s="56"/>
      <c r="L530" s="56"/>
      <c r="M530" s="56"/>
      <c r="N530" s="56"/>
      <c r="O530" s="56">
        <f t="shared" si="22"/>
        <v>0</v>
      </c>
      <c r="P530" s="55">
        <v>20000</v>
      </c>
      <c r="Q530" s="58">
        <f t="shared" si="23"/>
        <v>146090.89</v>
      </c>
      <c r="R530" s="56"/>
    </row>
    <row r="531" ht="20" customHeight="1" spans="2:18">
      <c r="B531" s="42">
        <v>6</v>
      </c>
      <c r="C531" s="42">
        <v>30</v>
      </c>
      <c r="D531" s="42"/>
      <c r="E531" s="104" t="s">
        <v>2934</v>
      </c>
      <c r="F531" s="97" t="s">
        <v>3079</v>
      </c>
      <c r="G531" s="56"/>
      <c r="H531" s="56"/>
      <c r="I531" s="55">
        <v>11350</v>
      </c>
      <c r="J531" s="56"/>
      <c r="K531" s="56"/>
      <c r="L531" s="56"/>
      <c r="M531" s="56"/>
      <c r="N531" s="55">
        <v>56.75</v>
      </c>
      <c r="O531" s="56">
        <f t="shared" si="22"/>
        <v>11293.25</v>
      </c>
      <c r="P531" s="56"/>
      <c r="Q531" s="58">
        <f t="shared" si="23"/>
        <v>157384.14</v>
      </c>
      <c r="R531" s="56"/>
    </row>
    <row r="532" ht="20" customHeight="1" spans="2:18">
      <c r="B532" s="42">
        <v>6</v>
      </c>
      <c r="C532" s="42">
        <v>30</v>
      </c>
      <c r="D532" s="42"/>
      <c r="E532" s="100" t="s">
        <v>2965</v>
      </c>
      <c r="F532" s="97" t="s">
        <v>3080</v>
      </c>
      <c r="G532" s="56"/>
      <c r="H532" s="56"/>
      <c r="I532" s="55">
        <v>500</v>
      </c>
      <c r="J532" s="56"/>
      <c r="K532" s="56"/>
      <c r="L532" s="56"/>
      <c r="M532" s="56"/>
      <c r="N532" s="55">
        <v>1.7</v>
      </c>
      <c r="O532" s="56">
        <f t="shared" si="22"/>
        <v>498.3</v>
      </c>
      <c r="P532" s="56"/>
      <c r="Q532" s="58">
        <f t="shared" si="23"/>
        <v>157882.44</v>
      </c>
      <c r="R532" s="56"/>
    </row>
    <row r="533" ht="20" customHeight="1" spans="2:18">
      <c r="B533" s="42">
        <v>6</v>
      </c>
      <c r="C533" s="42">
        <v>30</v>
      </c>
      <c r="D533" s="42"/>
      <c r="E533" s="104"/>
      <c r="F533" s="97" t="s">
        <v>3081</v>
      </c>
      <c r="G533" s="56"/>
      <c r="H533" s="56"/>
      <c r="I533" s="56"/>
      <c r="J533" s="56"/>
      <c r="K533" s="55">
        <v>1200</v>
      </c>
      <c r="L533" s="55"/>
      <c r="M533" s="56"/>
      <c r="N533" s="56"/>
      <c r="O533" s="56">
        <f t="shared" si="22"/>
        <v>1200</v>
      </c>
      <c r="P533" s="56"/>
      <c r="Q533" s="58">
        <f t="shared" si="23"/>
        <v>159082.44</v>
      </c>
      <c r="R533" s="56"/>
    </row>
    <row r="534" ht="20" customHeight="1" spans="2:18">
      <c r="B534" s="42">
        <v>6</v>
      </c>
      <c r="C534" s="42">
        <v>30</v>
      </c>
      <c r="D534" s="42"/>
      <c r="E534" s="104" t="s">
        <v>2990</v>
      </c>
      <c r="F534" s="97" t="s">
        <v>3082</v>
      </c>
      <c r="G534" s="56"/>
      <c r="H534" s="56"/>
      <c r="I534" s="55">
        <v>331.8</v>
      </c>
      <c r="J534" s="56"/>
      <c r="K534" s="56"/>
      <c r="L534" s="56"/>
      <c r="M534" s="56"/>
      <c r="N534" s="56"/>
      <c r="O534" s="56">
        <f t="shared" si="22"/>
        <v>331.8</v>
      </c>
      <c r="P534" s="56"/>
      <c r="Q534" s="58">
        <f t="shared" si="23"/>
        <v>159414.24</v>
      </c>
      <c r="R534" s="56"/>
    </row>
    <row r="535" ht="20" customHeight="1" spans="2:18">
      <c r="B535" s="68"/>
      <c r="C535" s="68"/>
      <c r="D535" s="68"/>
      <c r="E535" s="68"/>
      <c r="F535" s="70" t="s">
        <v>22</v>
      </c>
      <c r="G535" s="71">
        <f>SUM(G446:G534)</f>
        <v>139953.2</v>
      </c>
      <c r="H535" s="71">
        <f>SUM(H446:H534)</f>
        <v>5879.8</v>
      </c>
      <c r="I535" s="71">
        <f>SUM(I446:I534)</f>
        <v>57902.22</v>
      </c>
      <c r="J535" s="71">
        <f>SUM(J446:J534)</f>
        <v>9020</v>
      </c>
      <c r="K535" s="71">
        <f>SUM(K446:K534)</f>
        <v>7343</v>
      </c>
      <c r="L535" s="71"/>
      <c r="M535" s="71">
        <f>SUM(M446:M534)</f>
        <v>19.15</v>
      </c>
      <c r="N535" s="71">
        <f>SUM(N446:N534)</f>
        <v>298.22</v>
      </c>
      <c r="O535" s="71">
        <f>SUM(O446:O534)</f>
        <v>219819.15</v>
      </c>
      <c r="P535" s="71">
        <f>SUM(P446:P534)</f>
        <v>231708.39</v>
      </c>
      <c r="Q535" s="72">
        <f>Q445+O535-P535</f>
        <v>159414.24</v>
      </c>
      <c r="R535" s="71"/>
    </row>
    <row r="536" ht="20" customHeight="1" spans="2:18">
      <c r="B536" s="42">
        <v>7</v>
      </c>
      <c r="C536" s="42">
        <v>1</v>
      </c>
      <c r="D536" s="42"/>
      <c r="E536" s="100" t="s">
        <v>2934</v>
      </c>
      <c r="F536" s="97" t="s">
        <v>3083</v>
      </c>
      <c r="G536" s="56"/>
      <c r="H536" s="56"/>
      <c r="I536" s="55">
        <v>250</v>
      </c>
      <c r="J536" s="56"/>
      <c r="K536" s="56"/>
      <c r="L536" s="56"/>
      <c r="M536" s="56"/>
      <c r="N536" s="55">
        <v>1.25</v>
      </c>
      <c r="O536" s="56">
        <f t="shared" ref="O536:O599" si="24">SUM(G536:M536)-N536</f>
        <v>248.75</v>
      </c>
      <c r="P536" s="56"/>
      <c r="Q536" s="58">
        <f>Q534+O536-P536</f>
        <v>159662.99</v>
      </c>
      <c r="R536" s="56"/>
    </row>
    <row r="537" ht="20" customHeight="1" spans="2:18">
      <c r="B537" s="42">
        <v>7</v>
      </c>
      <c r="C537" s="42">
        <v>1</v>
      </c>
      <c r="D537" s="42"/>
      <c r="E537" s="96" t="s">
        <v>2516</v>
      </c>
      <c r="F537" s="97" t="s">
        <v>3084</v>
      </c>
      <c r="G537" s="56"/>
      <c r="H537" s="56"/>
      <c r="I537" s="56"/>
      <c r="J537" s="56"/>
      <c r="K537" s="55">
        <v>735</v>
      </c>
      <c r="L537" s="55"/>
      <c r="M537" s="56"/>
      <c r="N537" s="55">
        <v>4.41</v>
      </c>
      <c r="O537" s="55">
        <f t="shared" si="24"/>
        <v>730.59</v>
      </c>
      <c r="P537" s="56"/>
      <c r="Q537" s="58">
        <f t="shared" ref="Q537:Q600" si="25">Q536+O537-P537</f>
        <v>160393.58</v>
      </c>
      <c r="R537" s="56"/>
    </row>
    <row r="538" ht="20" customHeight="1" spans="2:18">
      <c r="B538" s="42">
        <v>7</v>
      </c>
      <c r="C538" s="42">
        <v>2</v>
      </c>
      <c r="D538" s="42"/>
      <c r="E538" s="104" t="s">
        <v>2934</v>
      </c>
      <c r="F538" s="97" t="s">
        <v>3085</v>
      </c>
      <c r="G538" s="56"/>
      <c r="H538" s="56"/>
      <c r="I538" s="55">
        <v>1050</v>
      </c>
      <c r="J538" s="56"/>
      <c r="K538" s="56"/>
      <c r="L538" s="56"/>
      <c r="M538" s="56"/>
      <c r="N538" s="55">
        <v>5.25</v>
      </c>
      <c r="O538" s="56">
        <f t="shared" si="24"/>
        <v>1044.75</v>
      </c>
      <c r="P538" s="56"/>
      <c r="Q538" s="58">
        <f t="shared" si="25"/>
        <v>161438.33</v>
      </c>
      <c r="R538" s="56"/>
    </row>
    <row r="539" ht="20" customHeight="1" spans="2:18">
      <c r="B539" s="42">
        <v>7</v>
      </c>
      <c r="C539" s="42">
        <v>2</v>
      </c>
      <c r="D539" s="42"/>
      <c r="E539" s="104" t="s">
        <v>2934</v>
      </c>
      <c r="F539" s="97" t="s">
        <v>3086</v>
      </c>
      <c r="G539" s="56"/>
      <c r="H539" s="56"/>
      <c r="I539" s="55">
        <v>9400</v>
      </c>
      <c r="J539" s="56"/>
      <c r="K539" s="56"/>
      <c r="L539" s="56"/>
      <c r="M539" s="56"/>
      <c r="N539" s="55">
        <v>47</v>
      </c>
      <c r="O539" s="56">
        <f t="shared" si="24"/>
        <v>9353</v>
      </c>
      <c r="P539" s="56"/>
      <c r="Q539" s="58">
        <f t="shared" si="25"/>
        <v>170791.33</v>
      </c>
      <c r="R539" s="56"/>
    </row>
    <row r="540" ht="20" customHeight="1" spans="2:18">
      <c r="B540" s="42">
        <v>7</v>
      </c>
      <c r="C540" s="42">
        <v>3</v>
      </c>
      <c r="D540" s="42"/>
      <c r="E540" s="96" t="s">
        <v>3087</v>
      </c>
      <c r="F540" s="97" t="s">
        <v>3088</v>
      </c>
      <c r="G540" s="56"/>
      <c r="H540" s="56"/>
      <c r="I540" s="56"/>
      <c r="J540" s="56"/>
      <c r="K540" s="55">
        <v>1530</v>
      </c>
      <c r="L540" s="55"/>
      <c r="M540" s="56"/>
      <c r="N540" s="55"/>
      <c r="O540" s="55">
        <f t="shared" si="24"/>
        <v>1530</v>
      </c>
      <c r="P540" s="56"/>
      <c r="Q540" s="58">
        <f t="shared" si="25"/>
        <v>172321.33</v>
      </c>
      <c r="R540" s="56"/>
    </row>
    <row r="541" ht="20" customHeight="1" spans="2:18">
      <c r="B541" s="42">
        <v>7</v>
      </c>
      <c r="C541" s="42">
        <v>3</v>
      </c>
      <c r="D541" s="42"/>
      <c r="E541" s="104" t="s">
        <v>2891</v>
      </c>
      <c r="F541" s="97" t="s">
        <v>3089</v>
      </c>
      <c r="G541" s="56">
        <v>4981.4</v>
      </c>
      <c r="H541" s="56">
        <v>818.6</v>
      </c>
      <c r="I541" s="56"/>
      <c r="J541" s="56"/>
      <c r="K541" s="56"/>
      <c r="L541" s="56"/>
      <c r="M541" s="56"/>
      <c r="N541" s="56"/>
      <c r="O541" s="56">
        <f t="shared" si="24"/>
        <v>5800</v>
      </c>
      <c r="P541" s="56"/>
      <c r="Q541" s="58">
        <f t="shared" si="25"/>
        <v>178121.33</v>
      </c>
      <c r="R541" s="56"/>
    </row>
    <row r="542" ht="20" customHeight="1" spans="2:18">
      <c r="B542" s="42">
        <v>7</v>
      </c>
      <c r="C542" s="42">
        <v>4</v>
      </c>
      <c r="D542" s="42"/>
      <c r="E542" s="96" t="s">
        <v>2516</v>
      </c>
      <c r="F542" s="97" t="s">
        <v>3090</v>
      </c>
      <c r="G542" s="56"/>
      <c r="H542" s="56"/>
      <c r="I542" s="56"/>
      <c r="J542" s="56"/>
      <c r="K542" s="55">
        <v>600</v>
      </c>
      <c r="L542" s="55"/>
      <c r="M542" s="56"/>
      <c r="N542" s="55">
        <v>3.6</v>
      </c>
      <c r="O542" s="55">
        <f t="shared" si="24"/>
        <v>596.4</v>
      </c>
      <c r="P542" s="56"/>
      <c r="Q542" s="58">
        <f t="shared" si="25"/>
        <v>178717.73</v>
      </c>
      <c r="R542" s="56"/>
    </row>
    <row r="543" ht="20" customHeight="1" spans="2:18">
      <c r="B543" s="42">
        <v>7</v>
      </c>
      <c r="C543" s="42">
        <v>4</v>
      </c>
      <c r="D543" s="42"/>
      <c r="E543" s="104"/>
      <c r="F543" s="97" t="s">
        <v>3091</v>
      </c>
      <c r="G543" s="56"/>
      <c r="H543" s="56"/>
      <c r="I543" s="56"/>
      <c r="J543" s="56"/>
      <c r="K543" s="55">
        <v>240</v>
      </c>
      <c r="L543" s="55"/>
      <c r="M543" s="56"/>
      <c r="N543" s="55">
        <v>5.05</v>
      </c>
      <c r="O543" s="55">
        <f t="shared" si="24"/>
        <v>234.95</v>
      </c>
      <c r="P543" s="56"/>
      <c r="Q543" s="58">
        <f t="shared" si="25"/>
        <v>178952.68</v>
      </c>
      <c r="R543" s="59" t="s">
        <v>669</v>
      </c>
    </row>
    <row r="544" ht="20" customHeight="1" spans="2:18">
      <c r="B544" s="42">
        <v>7</v>
      </c>
      <c r="C544" s="42">
        <v>6</v>
      </c>
      <c r="D544" s="42"/>
      <c r="E544" s="104"/>
      <c r="F544" s="97" t="s">
        <v>3092</v>
      </c>
      <c r="G544" s="56"/>
      <c r="H544" s="56"/>
      <c r="I544" s="56"/>
      <c r="J544" s="56"/>
      <c r="K544" s="55">
        <v>340</v>
      </c>
      <c r="L544" s="55"/>
      <c r="M544" s="56"/>
      <c r="N544" s="55"/>
      <c r="O544" s="55">
        <f t="shared" si="24"/>
        <v>340</v>
      </c>
      <c r="P544" s="56"/>
      <c r="Q544" s="58">
        <f t="shared" si="25"/>
        <v>179292.68</v>
      </c>
      <c r="R544" s="59" t="s">
        <v>669</v>
      </c>
    </row>
    <row r="545" ht="20" customHeight="1" spans="2:18">
      <c r="B545" s="42">
        <v>7</v>
      </c>
      <c r="C545" s="42">
        <v>6</v>
      </c>
      <c r="D545" s="42"/>
      <c r="E545" s="100"/>
      <c r="F545" s="97" t="s">
        <v>3093</v>
      </c>
      <c r="G545" s="56"/>
      <c r="H545" s="56"/>
      <c r="I545" s="56"/>
      <c r="J545" s="56"/>
      <c r="K545" s="55">
        <v>10</v>
      </c>
      <c r="L545" s="55"/>
      <c r="M545" s="56"/>
      <c r="N545" s="55"/>
      <c r="O545" s="55">
        <f t="shared" si="24"/>
        <v>10</v>
      </c>
      <c r="P545" s="56"/>
      <c r="Q545" s="58">
        <f t="shared" si="25"/>
        <v>179302.68</v>
      </c>
      <c r="R545" s="59" t="s">
        <v>669</v>
      </c>
    </row>
    <row r="546" ht="20" customHeight="1" spans="2:18">
      <c r="B546" s="42">
        <v>7</v>
      </c>
      <c r="C546" s="42">
        <v>6</v>
      </c>
      <c r="D546" s="42"/>
      <c r="E546" s="96" t="s">
        <v>2891</v>
      </c>
      <c r="F546" s="97" t="s">
        <v>3035</v>
      </c>
      <c r="G546" s="56"/>
      <c r="H546" s="56"/>
      <c r="I546" s="56">
        <v>24</v>
      </c>
      <c r="J546" s="56"/>
      <c r="K546" s="56"/>
      <c r="L546" s="56"/>
      <c r="M546" s="56"/>
      <c r="N546" s="56"/>
      <c r="O546" s="56">
        <f t="shared" si="24"/>
        <v>24</v>
      </c>
      <c r="P546" s="56"/>
      <c r="Q546" s="58">
        <f t="shared" si="25"/>
        <v>179326.68</v>
      </c>
      <c r="R546" s="59" t="s">
        <v>669</v>
      </c>
    </row>
    <row r="547" ht="20" customHeight="1" spans="2:18">
      <c r="B547" s="42">
        <v>7</v>
      </c>
      <c r="C547" s="42">
        <v>6</v>
      </c>
      <c r="D547" s="42"/>
      <c r="E547" s="104"/>
      <c r="F547" s="97" t="s">
        <v>3094</v>
      </c>
      <c r="G547" s="56"/>
      <c r="H547" s="56"/>
      <c r="I547" s="56"/>
      <c r="J547" s="56"/>
      <c r="K547" s="55">
        <v>240</v>
      </c>
      <c r="L547" s="55"/>
      <c r="M547" s="56"/>
      <c r="N547" s="55"/>
      <c r="O547" s="55">
        <f t="shared" si="24"/>
        <v>240</v>
      </c>
      <c r="P547" s="56"/>
      <c r="Q547" s="58">
        <f t="shared" si="25"/>
        <v>179566.68</v>
      </c>
      <c r="R547" s="59" t="s">
        <v>669</v>
      </c>
    </row>
    <row r="548" ht="20" customHeight="1" spans="2:18">
      <c r="B548" s="42">
        <v>7</v>
      </c>
      <c r="C548" s="42">
        <v>6</v>
      </c>
      <c r="D548" s="42"/>
      <c r="E548" s="100"/>
      <c r="F548" s="97" t="s">
        <v>3095</v>
      </c>
      <c r="G548" s="56"/>
      <c r="H548" s="56"/>
      <c r="I548" s="56"/>
      <c r="J548" s="56"/>
      <c r="K548" s="55">
        <v>150</v>
      </c>
      <c r="L548" s="55"/>
      <c r="M548" s="56"/>
      <c r="N548" s="55"/>
      <c r="O548" s="55">
        <f t="shared" si="24"/>
        <v>150</v>
      </c>
      <c r="P548" s="56"/>
      <c r="Q548" s="58">
        <f t="shared" si="25"/>
        <v>179716.68</v>
      </c>
      <c r="R548" s="59" t="s">
        <v>669</v>
      </c>
    </row>
    <row r="549" ht="20" customHeight="1" spans="2:18">
      <c r="B549" s="42">
        <v>7</v>
      </c>
      <c r="C549" s="42">
        <v>6</v>
      </c>
      <c r="D549" s="42"/>
      <c r="E549" s="104"/>
      <c r="F549" s="97" t="s">
        <v>3096</v>
      </c>
      <c r="G549" s="56"/>
      <c r="H549" s="56"/>
      <c r="I549" s="56"/>
      <c r="J549" s="56"/>
      <c r="K549" s="55">
        <v>240</v>
      </c>
      <c r="L549" s="55"/>
      <c r="M549" s="56"/>
      <c r="N549" s="55"/>
      <c r="O549" s="55">
        <f t="shared" si="24"/>
        <v>240</v>
      </c>
      <c r="P549" s="56"/>
      <c r="Q549" s="58">
        <f t="shared" si="25"/>
        <v>179956.68</v>
      </c>
      <c r="R549" s="59" t="s">
        <v>669</v>
      </c>
    </row>
    <row r="550" ht="20" customHeight="1" spans="2:18">
      <c r="B550" s="42">
        <v>7</v>
      </c>
      <c r="C550" s="42">
        <v>6</v>
      </c>
      <c r="D550" s="42"/>
      <c r="E550" s="96" t="s">
        <v>2609</v>
      </c>
      <c r="F550" s="97" t="s">
        <v>3097</v>
      </c>
      <c r="G550" s="56">
        <v>3275</v>
      </c>
      <c r="H550" s="56">
        <v>525</v>
      </c>
      <c r="I550" s="56">
        <v>13</v>
      </c>
      <c r="J550" s="56"/>
      <c r="K550" s="56"/>
      <c r="L550" s="56"/>
      <c r="M550" s="56"/>
      <c r="N550" s="56"/>
      <c r="O550" s="56">
        <f t="shared" si="24"/>
        <v>3813</v>
      </c>
      <c r="P550" s="56"/>
      <c r="Q550" s="58">
        <f t="shared" si="25"/>
        <v>183769.68</v>
      </c>
      <c r="R550" s="59" t="s">
        <v>669</v>
      </c>
    </row>
    <row r="551" ht="20" customHeight="1" spans="2:18">
      <c r="B551" s="42">
        <v>7</v>
      </c>
      <c r="C551" s="42">
        <v>6</v>
      </c>
      <c r="D551" s="42"/>
      <c r="E551" s="100" t="s">
        <v>2934</v>
      </c>
      <c r="F551" s="97" t="s">
        <v>3098</v>
      </c>
      <c r="G551" s="56"/>
      <c r="H551" s="56"/>
      <c r="I551" s="55">
        <v>2938</v>
      </c>
      <c r="J551" s="56"/>
      <c r="K551" s="56"/>
      <c r="L551" s="56"/>
      <c r="M551" s="56"/>
      <c r="N551" s="55">
        <v>14.69</v>
      </c>
      <c r="O551" s="56">
        <f t="shared" si="24"/>
        <v>2923.31</v>
      </c>
      <c r="P551" s="56"/>
      <c r="Q551" s="58">
        <f t="shared" si="25"/>
        <v>186692.99</v>
      </c>
      <c r="R551" s="56"/>
    </row>
    <row r="552" ht="20" customHeight="1" spans="2:18">
      <c r="B552" s="42">
        <v>7</v>
      </c>
      <c r="C552" s="42">
        <v>6</v>
      </c>
      <c r="D552" s="42"/>
      <c r="E552" s="104" t="s">
        <v>2806</v>
      </c>
      <c r="F552" s="97" t="s">
        <v>3099</v>
      </c>
      <c r="G552" s="56">
        <v>10769.1</v>
      </c>
      <c r="H552" s="56">
        <v>1230.9</v>
      </c>
      <c r="I552" s="56"/>
      <c r="J552" s="56"/>
      <c r="K552" s="56"/>
      <c r="L552" s="56"/>
      <c r="M552" s="56"/>
      <c r="N552" s="56"/>
      <c r="O552" s="56">
        <f t="shared" si="24"/>
        <v>12000</v>
      </c>
      <c r="P552" s="56"/>
      <c r="Q552" s="58">
        <f t="shared" si="25"/>
        <v>198692.99</v>
      </c>
      <c r="R552" s="56"/>
    </row>
    <row r="553" ht="20" customHeight="1" spans="2:18">
      <c r="B553" s="42">
        <v>7</v>
      </c>
      <c r="C553" s="42">
        <v>6</v>
      </c>
      <c r="D553" s="42"/>
      <c r="E553" s="104" t="s">
        <v>2916</v>
      </c>
      <c r="F553" s="97" t="s">
        <v>3100</v>
      </c>
      <c r="G553" s="56">
        <v>1035</v>
      </c>
      <c r="H553" s="56">
        <v>165</v>
      </c>
      <c r="I553" s="56">
        <v>11</v>
      </c>
      <c r="J553" s="56"/>
      <c r="K553" s="56"/>
      <c r="L553" s="56"/>
      <c r="M553" s="56"/>
      <c r="N553" s="56"/>
      <c r="O553" s="56">
        <f t="shared" si="24"/>
        <v>1211</v>
      </c>
      <c r="P553" s="56"/>
      <c r="Q553" s="58">
        <f t="shared" si="25"/>
        <v>199903.99</v>
      </c>
      <c r="R553" s="56"/>
    </row>
    <row r="554" ht="20" customHeight="1" spans="2:18">
      <c r="B554" s="42">
        <v>7</v>
      </c>
      <c r="C554" s="42">
        <v>6</v>
      </c>
      <c r="D554" s="42"/>
      <c r="E554" s="100" t="s">
        <v>2598</v>
      </c>
      <c r="F554" s="97" t="s">
        <v>3101</v>
      </c>
      <c r="G554" s="56">
        <v>4130.95</v>
      </c>
      <c r="H554" s="56">
        <v>369.05</v>
      </c>
      <c r="I554" s="56"/>
      <c r="J554" s="56"/>
      <c r="K554" s="56"/>
      <c r="L554" s="56"/>
      <c r="M554" s="56"/>
      <c r="N554" s="56"/>
      <c r="O554" s="56">
        <f t="shared" si="24"/>
        <v>4500</v>
      </c>
      <c r="P554" s="56"/>
      <c r="Q554" s="58">
        <f t="shared" si="25"/>
        <v>204403.99</v>
      </c>
      <c r="R554" s="56"/>
    </row>
    <row r="555" ht="20" customHeight="1" spans="2:18">
      <c r="B555" s="42">
        <v>7</v>
      </c>
      <c r="C555" s="42">
        <v>7</v>
      </c>
      <c r="D555" s="42"/>
      <c r="E555" s="104" t="s">
        <v>2531</v>
      </c>
      <c r="F555" s="97" t="s">
        <v>3102</v>
      </c>
      <c r="G555" s="56">
        <v>3950</v>
      </c>
      <c r="H555" s="56">
        <v>850</v>
      </c>
      <c r="I555" s="56">
        <v>27</v>
      </c>
      <c r="J555" s="56"/>
      <c r="K555" s="56"/>
      <c r="L555" s="56"/>
      <c r="M555" s="56"/>
      <c r="N555" s="56"/>
      <c r="O555" s="56">
        <f t="shared" si="24"/>
        <v>4827</v>
      </c>
      <c r="P555" s="56"/>
      <c r="Q555" s="58">
        <f t="shared" si="25"/>
        <v>209230.99</v>
      </c>
      <c r="R555" s="56"/>
    </row>
    <row r="556" ht="20" customHeight="1" spans="2:18">
      <c r="B556" s="42">
        <v>7</v>
      </c>
      <c r="C556" s="42">
        <v>7</v>
      </c>
      <c r="D556" s="42"/>
      <c r="E556" s="104" t="s">
        <v>2934</v>
      </c>
      <c r="F556" s="97" t="s">
        <v>3103</v>
      </c>
      <c r="G556" s="56"/>
      <c r="H556" s="56"/>
      <c r="I556" s="55">
        <v>350</v>
      </c>
      <c r="J556" s="56"/>
      <c r="K556" s="56"/>
      <c r="L556" s="56"/>
      <c r="M556" s="56"/>
      <c r="N556" s="55">
        <v>1.75</v>
      </c>
      <c r="O556" s="56">
        <f t="shared" si="24"/>
        <v>348.25</v>
      </c>
      <c r="P556" s="56"/>
      <c r="Q556" s="58">
        <f t="shared" si="25"/>
        <v>209579.24</v>
      </c>
      <c r="R556" s="56"/>
    </row>
    <row r="557" ht="20" customHeight="1" spans="2:18">
      <c r="B557" s="42">
        <v>7</v>
      </c>
      <c r="C557" s="42">
        <v>7</v>
      </c>
      <c r="D557" s="42"/>
      <c r="E557" s="100" t="s">
        <v>2589</v>
      </c>
      <c r="F557" s="97" t="s">
        <v>3104</v>
      </c>
      <c r="G557" s="56">
        <v>8331.5</v>
      </c>
      <c r="H557" s="56">
        <v>668.5</v>
      </c>
      <c r="I557" s="56">
        <v>456</v>
      </c>
      <c r="J557" s="56"/>
      <c r="K557" s="56"/>
      <c r="L557" s="56"/>
      <c r="M557" s="56"/>
      <c r="N557" s="56"/>
      <c r="O557" s="56">
        <f t="shared" si="24"/>
        <v>9456</v>
      </c>
      <c r="P557" s="56"/>
      <c r="Q557" s="58">
        <f t="shared" si="25"/>
        <v>219035.24</v>
      </c>
      <c r="R557" s="56"/>
    </row>
    <row r="558" ht="20" customHeight="1" spans="2:18">
      <c r="B558" s="42">
        <v>7</v>
      </c>
      <c r="C558" s="42">
        <v>8</v>
      </c>
      <c r="D558" s="42"/>
      <c r="E558" s="104" t="s">
        <v>2825</v>
      </c>
      <c r="F558" s="97" t="s">
        <v>3105</v>
      </c>
      <c r="G558" s="56">
        <v>7469.1</v>
      </c>
      <c r="H558" s="56">
        <v>1230.9</v>
      </c>
      <c r="I558" s="56"/>
      <c r="J558" s="56"/>
      <c r="K558" s="56"/>
      <c r="L558" s="56"/>
      <c r="M558" s="56"/>
      <c r="N558" s="56"/>
      <c r="O558" s="56">
        <f t="shared" si="24"/>
        <v>8700</v>
      </c>
      <c r="P558" s="56"/>
      <c r="Q558" s="58">
        <f t="shared" si="25"/>
        <v>227735.24</v>
      </c>
      <c r="R558" s="56"/>
    </row>
    <row r="559" ht="20" customHeight="1" spans="2:18">
      <c r="B559" s="42">
        <v>7</v>
      </c>
      <c r="C559" s="42">
        <v>8</v>
      </c>
      <c r="D559" s="42"/>
      <c r="E559" s="104" t="s">
        <v>2934</v>
      </c>
      <c r="F559" s="97" t="s">
        <v>3106</v>
      </c>
      <c r="G559" s="56"/>
      <c r="H559" s="56"/>
      <c r="I559" s="55">
        <v>2734</v>
      </c>
      <c r="J559" s="56"/>
      <c r="K559" s="56"/>
      <c r="L559" s="56"/>
      <c r="M559" s="56"/>
      <c r="N559" s="55">
        <v>13.67</v>
      </c>
      <c r="O559" s="56">
        <f t="shared" si="24"/>
        <v>2720.33</v>
      </c>
      <c r="P559" s="56"/>
      <c r="Q559" s="58">
        <f t="shared" si="25"/>
        <v>230455.57</v>
      </c>
      <c r="R559" s="56"/>
    </row>
    <row r="560" ht="20" customHeight="1" spans="2:18">
      <c r="B560" s="42">
        <v>7</v>
      </c>
      <c r="C560" s="42">
        <v>8</v>
      </c>
      <c r="D560" s="42"/>
      <c r="E560" s="100" t="s">
        <v>2539</v>
      </c>
      <c r="F560" s="97" t="s">
        <v>3107</v>
      </c>
      <c r="G560" s="56">
        <v>1989.7</v>
      </c>
      <c r="H560" s="56">
        <v>410.3</v>
      </c>
      <c r="I560" s="56"/>
      <c r="J560" s="56"/>
      <c r="K560" s="56"/>
      <c r="L560" s="56"/>
      <c r="M560" s="56"/>
      <c r="N560" s="56"/>
      <c r="O560" s="56">
        <f t="shared" si="24"/>
        <v>2400</v>
      </c>
      <c r="P560" s="56"/>
      <c r="Q560" s="58">
        <f t="shared" si="25"/>
        <v>232855.57</v>
      </c>
      <c r="R560" s="56"/>
    </row>
    <row r="561" ht="20" customHeight="1" spans="2:18">
      <c r="B561" s="42">
        <v>7</v>
      </c>
      <c r="C561" s="42">
        <v>8</v>
      </c>
      <c r="D561" s="42"/>
      <c r="E561" s="100" t="s">
        <v>2539</v>
      </c>
      <c r="F561" s="97" t="s">
        <v>3108</v>
      </c>
      <c r="G561" s="56">
        <v>400</v>
      </c>
      <c r="H561" s="56"/>
      <c r="I561" s="56"/>
      <c r="J561" s="56"/>
      <c r="K561" s="56"/>
      <c r="L561" s="56"/>
      <c r="M561" s="56"/>
      <c r="N561" s="56"/>
      <c r="O561" s="56">
        <f t="shared" si="24"/>
        <v>400</v>
      </c>
      <c r="P561" s="56"/>
      <c r="Q561" s="58">
        <f t="shared" si="25"/>
        <v>233255.57</v>
      </c>
      <c r="R561" s="56"/>
    </row>
    <row r="562" ht="20" customHeight="1" spans="2:18">
      <c r="B562" s="42">
        <v>7</v>
      </c>
      <c r="C562" s="42">
        <v>9</v>
      </c>
      <c r="D562" s="42"/>
      <c r="E562" s="104" t="s">
        <v>2934</v>
      </c>
      <c r="F562" s="97" t="s">
        <v>3109</v>
      </c>
      <c r="G562" s="56"/>
      <c r="H562" s="56"/>
      <c r="I562" s="55">
        <v>150</v>
      </c>
      <c r="J562" s="56"/>
      <c r="K562" s="56"/>
      <c r="L562" s="56"/>
      <c r="M562" s="56"/>
      <c r="N562" s="55">
        <v>0.75</v>
      </c>
      <c r="O562" s="56">
        <f t="shared" si="24"/>
        <v>149.25</v>
      </c>
      <c r="P562" s="56"/>
      <c r="Q562" s="58">
        <f t="shared" si="25"/>
        <v>233404.82</v>
      </c>
      <c r="R562" s="56"/>
    </row>
    <row r="563" ht="20" customHeight="1" spans="2:18">
      <c r="B563" s="42">
        <v>7</v>
      </c>
      <c r="C563" s="42">
        <v>9</v>
      </c>
      <c r="D563" s="42"/>
      <c r="E563" s="100" t="s">
        <v>2626</v>
      </c>
      <c r="F563" s="97" t="s">
        <v>3110</v>
      </c>
      <c r="G563" s="56"/>
      <c r="H563" s="56"/>
      <c r="I563" s="56">
        <v>58</v>
      </c>
      <c r="J563" s="56"/>
      <c r="K563" s="56"/>
      <c r="L563" s="56"/>
      <c r="M563" s="56"/>
      <c r="N563" s="56"/>
      <c r="O563" s="56">
        <f t="shared" si="24"/>
        <v>58</v>
      </c>
      <c r="P563" s="56"/>
      <c r="Q563" s="58">
        <f t="shared" si="25"/>
        <v>233462.82</v>
      </c>
      <c r="R563" s="56"/>
    </row>
    <row r="564" ht="20" customHeight="1" spans="2:18">
      <c r="B564" s="42">
        <v>7</v>
      </c>
      <c r="C564" s="42">
        <v>9</v>
      </c>
      <c r="D564" s="42"/>
      <c r="E564" s="104" t="s">
        <v>2516</v>
      </c>
      <c r="F564" s="97" t="s">
        <v>3111</v>
      </c>
      <c r="G564" s="56"/>
      <c r="H564" s="56"/>
      <c r="I564" s="56"/>
      <c r="J564" s="56"/>
      <c r="K564" s="55">
        <v>585</v>
      </c>
      <c r="L564" s="55"/>
      <c r="M564" s="56"/>
      <c r="N564" s="55">
        <v>3.51</v>
      </c>
      <c r="O564" s="55">
        <f t="shared" si="24"/>
        <v>581.49</v>
      </c>
      <c r="P564" s="56"/>
      <c r="Q564" s="58">
        <f t="shared" si="25"/>
        <v>234044.31</v>
      </c>
      <c r="R564" s="56"/>
    </row>
    <row r="565" ht="20" customHeight="1" spans="2:18">
      <c r="B565" s="42">
        <v>7</v>
      </c>
      <c r="C565" s="42">
        <v>10</v>
      </c>
      <c r="D565" s="42"/>
      <c r="E565" s="121" t="s">
        <v>2934</v>
      </c>
      <c r="F565" s="118" t="s">
        <v>3112</v>
      </c>
      <c r="G565" s="56"/>
      <c r="H565" s="56"/>
      <c r="I565" s="55">
        <v>2000</v>
      </c>
      <c r="J565" s="56"/>
      <c r="K565" s="56"/>
      <c r="L565" s="56"/>
      <c r="M565" s="56"/>
      <c r="N565" s="55">
        <v>10</v>
      </c>
      <c r="O565" s="56">
        <f t="shared" si="24"/>
        <v>1990</v>
      </c>
      <c r="P565" s="56"/>
      <c r="Q565" s="58">
        <f t="shared" si="25"/>
        <v>236034.31</v>
      </c>
      <c r="R565" s="56"/>
    </row>
    <row r="566" ht="20" customHeight="1" spans="2:18">
      <c r="B566" s="42">
        <v>7</v>
      </c>
      <c r="C566" s="42">
        <v>10</v>
      </c>
      <c r="D566" s="42"/>
      <c r="E566" s="100" t="s">
        <v>2107</v>
      </c>
      <c r="F566" s="97" t="s">
        <v>3113</v>
      </c>
      <c r="G566" s="56">
        <v>1830</v>
      </c>
      <c r="H566" s="56">
        <v>305</v>
      </c>
      <c r="I566" s="56">
        <v>21</v>
      </c>
      <c r="J566" s="56"/>
      <c r="K566" s="56"/>
      <c r="L566" s="56"/>
      <c r="M566" s="56"/>
      <c r="N566" s="56"/>
      <c r="O566" s="56">
        <f t="shared" si="24"/>
        <v>2156</v>
      </c>
      <c r="P566" s="56"/>
      <c r="Q566" s="58">
        <f t="shared" si="25"/>
        <v>238190.31</v>
      </c>
      <c r="R566" s="56"/>
    </row>
    <row r="567" ht="20" customHeight="1" spans="2:18">
      <c r="B567" s="42">
        <v>7</v>
      </c>
      <c r="C567" s="42">
        <v>10</v>
      </c>
      <c r="D567" s="42"/>
      <c r="E567" s="104" t="s">
        <v>2756</v>
      </c>
      <c r="F567" s="97" t="s">
        <v>3114</v>
      </c>
      <c r="G567" s="56"/>
      <c r="H567" s="56"/>
      <c r="I567" s="56">
        <v>87</v>
      </c>
      <c r="J567" s="56"/>
      <c r="K567" s="56"/>
      <c r="L567" s="56"/>
      <c r="M567" s="56"/>
      <c r="N567" s="56"/>
      <c r="O567" s="56">
        <f t="shared" si="24"/>
        <v>87</v>
      </c>
      <c r="P567" s="56"/>
      <c r="Q567" s="58">
        <f t="shared" si="25"/>
        <v>238277.31</v>
      </c>
      <c r="R567" s="56"/>
    </row>
    <row r="568" ht="20" customHeight="1" spans="2:18">
      <c r="B568" s="42">
        <v>7</v>
      </c>
      <c r="C568" s="42">
        <v>13</v>
      </c>
      <c r="D568" s="42"/>
      <c r="E568" s="96" t="s">
        <v>2600</v>
      </c>
      <c r="F568" s="97" t="s">
        <v>3115</v>
      </c>
      <c r="G568" s="56"/>
      <c r="H568" s="56"/>
      <c r="I568" s="56">
        <v>27</v>
      </c>
      <c r="J568" s="56"/>
      <c r="K568" s="56"/>
      <c r="L568" s="56"/>
      <c r="M568" s="56"/>
      <c r="N568" s="55">
        <v>0.03</v>
      </c>
      <c r="O568" s="56">
        <f t="shared" si="24"/>
        <v>26.97</v>
      </c>
      <c r="P568" s="56"/>
      <c r="Q568" s="58">
        <f t="shared" si="25"/>
        <v>238304.28</v>
      </c>
      <c r="R568" s="59" t="s">
        <v>669</v>
      </c>
    </row>
    <row r="569" ht="20" customHeight="1" spans="2:18">
      <c r="B569" s="42">
        <v>7</v>
      </c>
      <c r="C569" s="42">
        <v>13</v>
      </c>
      <c r="D569" s="42"/>
      <c r="E569" s="100" t="s">
        <v>2690</v>
      </c>
      <c r="F569" s="97" t="s">
        <v>3116</v>
      </c>
      <c r="G569" s="56"/>
      <c r="H569" s="56"/>
      <c r="I569" s="56">
        <v>176</v>
      </c>
      <c r="J569" s="56"/>
      <c r="K569" s="56"/>
      <c r="L569" s="56"/>
      <c r="M569" s="56"/>
      <c r="N569" s="55">
        <v>0.17</v>
      </c>
      <c r="O569" s="56">
        <f t="shared" si="24"/>
        <v>175.83</v>
      </c>
      <c r="P569" s="56"/>
      <c r="Q569" s="58">
        <f t="shared" si="25"/>
        <v>238480.11</v>
      </c>
      <c r="R569" s="59" t="s">
        <v>669</v>
      </c>
    </row>
    <row r="570" ht="20" customHeight="1" spans="2:18">
      <c r="B570" s="42">
        <v>7</v>
      </c>
      <c r="C570" s="42">
        <v>13</v>
      </c>
      <c r="D570" s="42"/>
      <c r="E570" s="104" t="s">
        <v>3050</v>
      </c>
      <c r="F570" s="97" t="s">
        <v>3117</v>
      </c>
      <c r="G570" s="56"/>
      <c r="H570" s="56"/>
      <c r="I570" s="56">
        <v>39</v>
      </c>
      <c r="J570" s="56"/>
      <c r="K570" s="56"/>
      <c r="L570" s="56"/>
      <c r="M570" s="56"/>
      <c r="N570" s="55">
        <v>0.04</v>
      </c>
      <c r="O570" s="56">
        <f t="shared" si="24"/>
        <v>38.96</v>
      </c>
      <c r="P570" s="56"/>
      <c r="Q570" s="58">
        <f t="shared" si="25"/>
        <v>238519.07</v>
      </c>
      <c r="R570" s="59" t="s">
        <v>669</v>
      </c>
    </row>
    <row r="571" ht="20" customHeight="1" spans="2:18">
      <c r="B571" s="42">
        <v>7</v>
      </c>
      <c r="C571" s="42">
        <v>13</v>
      </c>
      <c r="D571" s="42"/>
      <c r="E571" s="104"/>
      <c r="F571" s="97" t="s">
        <v>3118</v>
      </c>
      <c r="G571" s="56"/>
      <c r="H571" s="56"/>
      <c r="I571" s="56"/>
      <c r="J571" s="56"/>
      <c r="K571" s="55">
        <v>240</v>
      </c>
      <c r="L571" s="55"/>
      <c r="M571" s="56"/>
      <c r="N571" s="55">
        <v>0.24</v>
      </c>
      <c r="O571" s="55">
        <f t="shared" si="24"/>
        <v>239.76</v>
      </c>
      <c r="P571" s="56"/>
      <c r="Q571" s="58">
        <f t="shared" si="25"/>
        <v>238758.83</v>
      </c>
      <c r="R571" s="59" t="s">
        <v>669</v>
      </c>
    </row>
    <row r="572" ht="20" customHeight="1" spans="2:18">
      <c r="B572" s="42">
        <v>7</v>
      </c>
      <c r="C572" s="42">
        <v>13</v>
      </c>
      <c r="D572" s="42"/>
      <c r="E572" s="96" t="s">
        <v>3119</v>
      </c>
      <c r="F572" s="97" t="s">
        <v>3120</v>
      </c>
      <c r="G572" s="56"/>
      <c r="H572" s="56"/>
      <c r="I572" s="56">
        <v>5000</v>
      </c>
      <c r="J572" s="56"/>
      <c r="K572" s="56"/>
      <c r="L572" s="56"/>
      <c r="M572" s="56"/>
      <c r="N572" s="55">
        <v>5</v>
      </c>
      <c r="O572" s="56">
        <f t="shared" si="24"/>
        <v>4995</v>
      </c>
      <c r="P572" s="56"/>
      <c r="Q572" s="58">
        <f t="shared" si="25"/>
        <v>243753.83</v>
      </c>
      <c r="R572" s="59" t="s">
        <v>669</v>
      </c>
    </row>
    <row r="573" ht="20" customHeight="1" spans="2:18">
      <c r="B573" s="42">
        <v>7</v>
      </c>
      <c r="C573" s="42">
        <v>13</v>
      </c>
      <c r="D573" s="42"/>
      <c r="E573" s="100"/>
      <c r="F573" s="97" t="s">
        <v>3121</v>
      </c>
      <c r="G573" s="56"/>
      <c r="H573" s="56"/>
      <c r="I573" s="56"/>
      <c r="J573" s="56"/>
      <c r="K573" s="55">
        <v>100</v>
      </c>
      <c r="L573" s="55"/>
      <c r="M573" s="56"/>
      <c r="N573" s="55">
        <v>0.1</v>
      </c>
      <c r="O573" s="55">
        <f t="shared" si="24"/>
        <v>99.9</v>
      </c>
      <c r="P573" s="56"/>
      <c r="Q573" s="58">
        <f t="shared" si="25"/>
        <v>243853.73</v>
      </c>
      <c r="R573" s="59" t="s">
        <v>669</v>
      </c>
    </row>
    <row r="574" ht="20" customHeight="1" spans="2:18">
      <c r="B574" s="42">
        <v>7</v>
      </c>
      <c r="C574" s="42">
        <v>13</v>
      </c>
      <c r="D574" s="42"/>
      <c r="E574" s="104" t="s">
        <v>2934</v>
      </c>
      <c r="F574" s="97" t="s">
        <v>3122</v>
      </c>
      <c r="G574" s="56"/>
      <c r="H574" s="56"/>
      <c r="I574" s="55">
        <v>2953.8</v>
      </c>
      <c r="J574" s="56"/>
      <c r="K574" s="56"/>
      <c r="L574" s="56"/>
      <c r="M574" s="56"/>
      <c r="N574" s="55">
        <v>14.77</v>
      </c>
      <c r="O574" s="56">
        <f t="shared" si="24"/>
        <v>2939.03</v>
      </c>
      <c r="P574" s="56"/>
      <c r="Q574" s="58">
        <f t="shared" si="25"/>
        <v>246792.76</v>
      </c>
      <c r="R574" s="56"/>
    </row>
    <row r="575" ht="20" customHeight="1" spans="2:18">
      <c r="B575" s="42">
        <v>7</v>
      </c>
      <c r="C575" s="42">
        <v>13</v>
      </c>
      <c r="D575" s="42"/>
      <c r="E575" s="96" t="s">
        <v>3123</v>
      </c>
      <c r="F575" s="97" t="s">
        <v>3124</v>
      </c>
      <c r="G575" s="56"/>
      <c r="H575" s="56"/>
      <c r="I575" s="56">
        <v>274.44</v>
      </c>
      <c r="J575" s="56"/>
      <c r="K575" s="56"/>
      <c r="L575" s="56"/>
      <c r="M575" s="56"/>
      <c r="N575" s="56"/>
      <c r="O575" s="56">
        <f t="shared" si="24"/>
        <v>274.44</v>
      </c>
      <c r="P575" s="56"/>
      <c r="Q575" s="58">
        <f t="shared" si="25"/>
        <v>247067.2</v>
      </c>
      <c r="R575" s="56"/>
    </row>
    <row r="576" ht="20" customHeight="1" spans="2:18">
      <c r="B576" s="42">
        <v>7</v>
      </c>
      <c r="C576" s="42">
        <v>14</v>
      </c>
      <c r="D576" s="42"/>
      <c r="E576" s="104" t="s">
        <v>2934</v>
      </c>
      <c r="F576" s="97" t="s">
        <v>3125</v>
      </c>
      <c r="G576" s="56"/>
      <c r="H576" s="56"/>
      <c r="I576" s="55">
        <v>850</v>
      </c>
      <c r="J576" s="56"/>
      <c r="K576" s="56"/>
      <c r="L576" s="56"/>
      <c r="M576" s="56"/>
      <c r="N576" s="55">
        <v>4.25</v>
      </c>
      <c r="O576" s="56">
        <f t="shared" si="24"/>
        <v>845.75</v>
      </c>
      <c r="P576" s="56"/>
      <c r="Q576" s="58">
        <f t="shared" si="25"/>
        <v>247912.95</v>
      </c>
      <c r="R576" s="56"/>
    </row>
    <row r="577" ht="20" customHeight="1" spans="2:18">
      <c r="B577" s="42">
        <v>7</v>
      </c>
      <c r="C577" s="42">
        <v>14</v>
      </c>
      <c r="D577" s="42"/>
      <c r="E577" s="100" t="s">
        <v>2629</v>
      </c>
      <c r="F577" s="97" t="s">
        <v>3126</v>
      </c>
      <c r="G577" s="56"/>
      <c r="H577" s="56"/>
      <c r="I577" s="56">
        <v>200</v>
      </c>
      <c r="J577" s="56"/>
      <c r="K577" s="56"/>
      <c r="L577" s="56"/>
      <c r="M577" s="56"/>
      <c r="N577" s="56"/>
      <c r="O577" s="56">
        <f t="shared" si="24"/>
        <v>200</v>
      </c>
      <c r="P577" s="56"/>
      <c r="Q577" s="58">
        <f t="shared" si="25"/>
        <v>248112.95</v>
      </c>
      <c r="R577" s="56"/>
    </row>
    <row r="578" ht="20" customHeight="1" spans="2:18">
      <c r="B578" s="42">
        <v>7</v>
      </c>
      <c r="C578" s="42">
        <v>14</v>
      </c>
      <c r="D578" s="42"/>
      <c r="E578" s="104" t="s">
        <v>2516</v>
      </c>
      <c r="F578" s="97" t="s">
        <v>3127</v>
      </c>
      <c r="G578" s="56"/>
      <c r="H578" s="56"/>
      <c r="I578" s="56"/>
      <c r="J578" s="56"/>
      <c r="K578" s="55">
        <v>628</v>
      </c>
      <c r="L578" s="55"/>
      <c r="M578" s="56"/>
      <c r="N578" s="55">
        <v>3.77</v>
      </c>
      <c r="O578" s="55">
        <f t="shared" si="24"/>
        <v>624.23</v>
      </c>
      <c r="P578" s="56"/>
      <c r="Q578" s="58">
        <f t="shared" si="25"/>
        <v>248737.18</v>
      </c>
      <c r="R578" s="56"/>
    </row>
    <row r="579" ht="20" customHeight="1" spans="2:18">
      <c r="B579" s="42">
        <v>7</v>
      </c>
      <c r="C579" s="42">
        <v>14</v>
      </c>
      <c r="D579" s="42"/>
      <c r="E579" s="104" t="s">
        <v>2626</v>
      </c>
      <c r="F579" s="97" t="s">
        <v>3128</v>
      </c>
      <c r="G579" s="56">
        <v>4262.5</v>
      </c>
      <c r="H579" s="56">
        <v>437.5</v>
      </c>
      <c r="I579" s="56"/>
      <c r="J579" s="56"/>
      <c r="K579" s="56"/>
      <c r="L579" s="56"/>
      <c r="M579" s="56"/>
      <c r="N579" s="56"/>
      <c r="O579" s="56">
        <f t="shared" si="24"/>
        <v>4700</v>
      </c>
      <c r="P579" s="56"/>
      <c r="Q579" s="58">
        <f t="shared" si="25"/>
        <v>253437.18</v>
      </c>
      <c r="R579" s="56"/>
    </row>
    <row r="580" ht="20" customHeight="1" spans="2:18">
      <c r="B580" s="42">
        <v>7</v>
      </c>
      <c r="C580" s="42">
        <v>14</v>
      </c>
      <c r="D580" s="74" t="s">
        <v>92</v>
      </c>
      <c r="E580" s="104" t="s">
        <v>251</v>
      </c>
      <c r="F580" s="97" t="s">
        <v>3129</v>
      </c>
      <c r="G580" s="56"/>
      <c r="H580" s="56"/>
      <c r="I580" s="56"/>
      <c r="J580" s="56"/>
      <c r="K580" s="56"/>
      <c r="L580" s="56"/>
      <c r="M580" s="56"/>
      <c r="N580" s="56"/>
      <c r="O580" s="56">
        <f t="shared" si="24"/>
        <v>0</v>
      </c>
      <c r="P580" s="56">
        <v>16501.01</v>
      </c>
      <c r="Q580" s="58">
        <f t="shared" si="25"/>
        <v>236936.17</v>
      </c>
      <c r="R580" s="56"/>
    </row>
    <row r="581" ht="20" customHeight="1" spans="2:18">
      <c r="B581" s="42">
        <v>7</v>
      </c>
      <c r="C581" s="42">
        <v>14</v>
      </c>
      <c r="D581" s="74" t="s">
        <v>93</v>
      </c>
      <c r="E581" s="104" t="s">
        <v>251</v>
      </c>
      <c r="F581" s="97" t="s">
        <v>3130</v>
      </c>
      <c r="G581" s="56"/>
      <c r="H581" s="56"/>
      <c r="I581" s="56"/>
      <c r="J581" s="56"/>
      <c r="K581" s="56"/>
      <c r="L581" s="56"/>
      <c r="M581" s="56"/>
      <c r="N581" s="56"/>
      <c r="O581" s="56">
        <f t="shared" si="24"/>
        <v>0</v>
      </c>
      <c r="P581" s="56">
        <v>3498.99</v>
      </c>
      <c r="Q581" s="58">
        <f t="shared" si="25"/>
        <v>233437.18</v>
      </c>
      <c r="R581" s="56"/>
    </row>
    <row r="582" ht="20" customHeight="1" spans="2:18">
      <c r="B582" s="42">
        <v>7</v>
      </c>
      <c r="C582" s="42">
        <v>15</v>
      </c>
      <c r="D582" s="42"/>
      <c r="E582" s="121" t="s">
        <v>2934</v>
      </c>
      <c r="F582" s="118" t="s">
        <v>3131</v>
      </c>
      <c r="G582" s="56"/>
      <c r="H582" s="56"/>
      <c r="I582" s="55">
        <v>1800</v>
      </c>
      <c r="J582" s="56"/>
      <c r="K582" s="56"/>
      <c r="L582" s="56"/>
      <c r="M582" s="56"/>
      <c r="N582" s="55">
        <v>9</v>
      </c>
      <c r="O582" s="56">
        <f t="shared" si="24"/>
        <v>1791</v>
      </c>
      <c r="P582" s="56"/>
      <c r="Q582" s="58">
        <f t="shared" si="25"/>
        <v>235228.18</v>
      </c>
      <c r="R582" s="56"/>
    </row>
    <row r="583" ht="20" customHeight="1" spans="2:18">
      <c r="B583" s="42">
        <v>7</v>
      </c>
      <c r="C583" s="42">
        <v>15</v>
      </c>
      <c r="D583" s="74" t="s">
        <v>92</v>
      </c>
      <c r="E583" s="96" t="s">
        <v>271</v>
      </c>
      <c r="F583" s="97" t="s">
        <v>3132</v>
      </c>
      <c r="G583" s="84"/>
      <c r="H583" s="84"/>
      <c r="I583" s="84"/>
      <c r="J583" s="84"/>
      <c r="K583" s="84"/>
      <c r="L583" s="84"/>
      <c r="M583" s="84"/>
      <c r="N583" s="84"/>
      <c r="O583" s="84">
        <f t="shared" si="24"/>
        <v>0</v>
      </c>
      <c r="P583" s="55">
        <v>24900</v>
      </c>
      <c r="Q583" s="58">
        <f t="shared" si="25"/>
        <v>210328.18</v>
      </c>
      <c r="R583" s="56"/>
    </row>
    <row r="584" ht="20" customHeight="1" spans="2:18">
      <c r="B584" s="42">
        <v>7</v>
      </c>
      <c r="C584" s="42">
        <v>15</v>
      </c>
      <c r="D584" s="74" t="s">
        <v>69</v>
      </c>
      <c r="E584" s="104" t="s">
        <v>2638</v>
      </c>
      <c r="F584" s="97" t="s">
        <v>3133</v>
      </c>
      <c r="G584" s="56"/>
      <c r="H584" s="56"/>
      <c r="I584" s="56"/>
      <c r="J584" s="56"/>
      <c r="K584" s="56"/>
      <c r="L584" s="56"/>
      <c r="M584" s="56"/>
      <c r="N584" s="56"/>
      <c r="O584" s="56">
        <f t="shared" si="24"/>
        <v>0</v>
      </c>
      <c r="P584" s="55">
        <v>25000</v>
      </c>
      <c r="Q584" s="58">
        <f t="shared" si="25"/>
        <v>185328.18</v>
      </c>
      <c r="R584" s="56"/>
    </row>
    <row r="585" ht="20" customHeight="1" spans="2:18">
      <c r="B585" s="42">
        <v>7</v>
      </c>
      <c r="C585" s="42">
        <v>15</v>
      </c>
      <c r="D585" s="42" t="s">
        <v>129</v>
      </c>
      <c r="E585" s="100" t="s">
        <v>291</v>
      </c>
      <c r="F585" s="97" t="s">
        <v>3134</v>
      </c>
      <c r="G585" s="56"/>
      <c r="H585" s="56"/>
      <c r="I585" s="56"/>
      <c r="J585" s="56"/>
      <c r="K585" s="56"/>
      <c r="L585" s="56"/>
      <c r="M585" s="56"/>
      <c r="N585" s="56"/>
      <c r="O585" s="56">
        <f t="shared" si="24"/>
        <v>0</v>
      </c>
      <c r="P585" s="56">
        <v>208.5</v>
      </c>
      <c r="Q585" s="58">
        <f t="shared" si="25"/>
        <v>185119.68</v>
      </c>
      <c r="R585" s="56"/>
    </row>
    <row r="586" ht="36.75" spans="2:18">
      <c r="B586" s="42">
        <v>7</v>
      </c>
      <c r="C586" s="42">
        <v>15</v>
      </c>
      <c r="D586" s="42" t="s">
        <v>101</v>
      </c>
      <c r="E586" s="96" t="s">
        <v>291</v>
      </c>
      <c r="F586" s="124" t="s">
        <v>3135</v>
      </c>
      <c r="G586" s="56"/>
      <c r="H586" s="56"/>
      <c r="I586" s="56"/>
      <c r="J586" s="56"/>
      <c r="K586" s="56"/>
      <c r="L586" s="56"/>
      <c r="M586" s="56"/>
      <c r="N586" s="56"/>
      <c r="O586" s="56">
        <f t="shared" si="24"/>
        <v>0</v>
      </c>
      <c r="P586" s="56">
        <v>1122</v>
      </c>
      <c r="Q586" s="58">
        <f t="shared" si="25"/>
        <v>183997.68</v>
      </c>
      <c r="R586" s="56"/>
    </row>
    <row r="587" ht="20" customHeight="1" spans="2:18">
      <c r="B587" s="42">
        <v>7</v>
      </c>
      <c r="C587" s="42">
        <v>15</v>
      </c>
      <c r="D587" s="42" t="s">
        <v>104</v>
      </c>
      <c r="E587" s="96" t="s">
        <v>291</v>
      </c>
      <c r="F587" s="97" t="s">
        <v>3136</v>
      </c>
      <c r="G587" s="56"/>
      <c r="H587" s="56"/>
      <c r="I587" s="56"/>
      <c r="J587" s="56"/>
      <c r="K587" s="56"/>
      <c r="L587" s="56"/>
      <c r="M587" s="56"/>
      <c r="N587" s="56"/>
      <c r="O587" s="56">
        <f t="shared" si="24"/>
        <v>0</v>
      </c>
      <c r="P587" s="56">
        <v>1000</v>
      </c>
      <c r="Q587" s="58">
        <f t="shared" si="25"/>
        <v>182997.68</v>
      </c>
      <c r="R587" s="56"/>
    </row>
    <row r="588" ht="20" customHeight="1" spans="2:18">
      <c r="B588" s="42">
        <v>7</v>
      </c>
      <c r="C588" s="42">
        <v>15</v>
      </c>
      <c r="D588" s="42" t="s">
        <v>104</v>
      </c>
      <c r="E588" s="96" t="s">
        <v>283</v>
      </c>
      <c r="F588" s="97" t="s">
        <v>3137</v>
      </c>
      <c r="G588" s="56"/>
      <c r="H588" s="56"/>
      <c r="I588" s="56"/>
      <c r="J588" s="56"/>
      <c r="K588" s="56"/>
      <c r="L588" s="56"/>
      <c r="M588" s="56"/>
      <c r="N588" s="56"/>
      <c r="O588" s="56">
        <f t="shared" si="24"/>
        <v>0</v>
      </c>
      <c r="P588" s="56">
        <v>7300</v>
      </c>
      <c r="Q588" s="58">
        <f t="shared" si="25"/>
        <v>175697.68</v>
      </c>
      <c r="R588" s="56"/>
    </row>
    <row r="589" ht="20" customHeight="1" spans="2:18">
      <c r="B589" s="42">
        <v>7</v>
      </c>
      <c r="C589" s="42">
        <v>15</v>
      </c>
      <c r="D589" s="42"/>
      <c r="E589" s="100" t="s">
        <v>3138</v>
      </c>
      <c r="F589" s="97" t="s">
        <v>3139</v>
      </c>
      <c r="G589" s="56"/>
      <c r="H589" s="56"/>
      <c r="I589" s="56"/>
      <c r="J589" s="56">
        <v>12980</v>
      </c>
      <c r="K589" s="56"/>
      <c r="L589" s="56"/>
      <c r="M589" s="56"/>
      <c r="N589" s="56"/>
      <c r="O589" s="56">
        <f t="shared" si="24"/>
        <v>12980</v>
      </c>
      <c r="P589" s="56"/>
      <c r="Q589" s="58">
        <f t="shared" si="25"/>
        <v>188677.68</v>
      </c>
      <c r="R589" s="56"/>
    </row>
    <row r="590" ht="20" customHeight="1" spans="2:18">
      <c r="B590" s="42">
        <v>7</v>
      </c>
      <c r="C590" s="42">
        <v>16</v>
      </c>
      <c r="D590" s="42"/>
      <c r="E590" s="121" t="s">
        <v>2934</v>
      </c>
      <c r="F590" s="118" t="s">
        <v>3140</v>
      </c>
      <c r="G590" s="56"/>
      <c r="H590" s="56"/>
      <c r="I590" s="55">
        <v>500</v>
      </c>
      <c r="J590" s="56"/>
      <c r="K590" s="56"/>
      <c r="L590" s="56"/>
      <c r="M590" s="56"/>
      <c r="N590" s="55">
        <v>2.5</v>
      </c>
      <c r="O590" s="56">
        <f t="shared" si="24"/>
        <v>497.5</v>
      </c>
      <c r="P590" s="56"/>
      <c r="Q590" s="58">
        <f t="shared" si="25"/>
        <v>189175.18</v>
      </c>
      <c r="R590" s="56"/>
    </row>
    <row r="591" ht="20" customHeight="1" spans="2:18">
      <c r="B591" s="42">
        <v>7</v>
      </c>
      <c r="C591" s="42">
        <v>16</v>
      </c>
      <c r="D591" s="42"/>
      <c r="E591" s="96" t="s">
        <v>2535</v>
      </c>
      <c r="F591" s="97" t="s">
        <v>3141</v>
      </c>
      <c r="G591" s="56">
        <v>1974</v>
      </c>
      <c r="H591" s="56">
        <v>282</v>
      </c>
      <c r="I591" s="56">
        <v>17</v>
      </c>
      <c r="J591" s="56"/>
      <c r="K591" s="56"/>
      <c r="L591" s="56"/>
      <c r="M591" s="56"/>
      <c r="N591" s="56"/>
      <c r="O591" s="56">
        <f t="shared" si="24"/>
        <v>2273</v>
      </c>
      <c r="P591" s="56"/>
      <c r="Q591" s="58">
        <f t="shared" si="25"/>
        <v>191448.18</v>
      </c>
      <c r="R591" s="56"/>
    </row>
    <row r="592" ht="20" customHeight="1" spans="2:18">
      <c r="B592" s="42">
        <v>7</v>
      </c>
      <c r="C592" s="42">
        <v>16</v>
      </c>
      <c r="D592" s="42"/>
      <c r="E592" s="100" t="s">
        <v>2539</v>
      </c>
      <c r="F592" s="97" t="s">
        <v>3142</v>
      </c>
      <c r="G592" s="56">
        <v>2389.7</v>
      </c>
      <c r="H592" s="56">
        <v>410.3</v>
      </c>
      <c r="I592" s="56"/>
      <c r="J592" s="56"/>
      <c r="K592" s="56"/>
      <c r="L592" s="56"/>
      <c r="M592" s="56"/>
      <c r="N592" s="56"/>
      <c r="O592" s="56">
        <f t="shared" si="24"/>
        <v>2800</v>
      </c>
      <c r="P592" s="56"/>
      <c r="Q592" s="58">
        <f t="shared" si="25"/>
        <v>194248.18</v>
      </c>
      <c r="R592" s="56"/>
    </row>
    <row r="593" ht="20" customHeight="1" spans="2:18">
      <c r="B593" s="42">
        <v>7</v>
      </c>
      <c r="C593" s="42">
        <v>16</v>
      </c>
      <c r="D593" s="42"/>
      <c r="E593" s="100" t="s">
        <v>2539</v>
      </c>
      <c r="F593" s="97" t="s">
        <v>3143</v>
      </c>
      <c r="G593" s="56">
        <v>200</v>
      </c>
      <c r="H593" s="56"/>
      <c r="I593" s="56"/>
      <c r="J593" s="56"/>
      <c r="K593" s="56"/>
      <c r="L593" s="56"/>
      <c r="M593" s="56"/>
      <c r="N593" s="56"/>
      <c r="O593" s="56">
        <f t="shared" si="24"/>
        <v>200</v>
      </c>
      <c r="P593" s="56"/>
      <c r="Q593" s="58">
        <f t="shared" si="25"/>
        <v>194448.18</v>
      </c>
      <c r="R593" s="56"/>
    </row>
    <row r="594" ht="20" customHeight="1" spans="2:18">
      <c r="B594" s="42">
        <v>7</v>
      </c>
      <c r="C594" s="42">
        <v>17</v>
      </c>
      <c r="D594" s="42"/>
      <c r="E594" s="104" t="s">
        <v>2934</v>
      </c>
      <c r="F594" s="97" t="s">
        <v>3144</v>
      </c>
      <c r="G594" s="56"/>
      <c r="H594" s="56"/>
      <c r="I594" s="55">
        <v>1250</v>
      </c>
      <c r="J594" s="56"/>
      <c r="K594" s="56"/>
      <c r="L594" s="56"/>
      <c r="M594" s="56"/>
      <c r="N594" s="55">
        <v>6.25</v>
      </c>
      <c r="O594" s="56">
        <f t="shared" si="24"/>
        <v>1243.75</v>
      </c>
      <c r="P594" s="56"/>
      <c r="Q594" s="58">
        <f t="shared" si="25"/>
        <v>195691.93</v>
      </c>
      <c r="R594" s="56"/>
    </row>
    <row r="595" ht="20" customHeight="1" spans="2:18">
      <c r="B595" s="42">
        <v>7</v>
      </c>
      <c r="C595" s="42">
        <v>17</v>
      </c>
      <c r="D595" s="42"/>
      <c r="E595" s="96" t="s">
        <v>3145</v>
      </c>
      <c r="F595" s="97" t="s">
        <v>3146</v>
      </c>
      <c r="G595" s="56">
        <v>30000</v>
      </c>
      <c r="H595" s="56"/>
      <c r="I595" s="56"/>
      <c r="J595" s="56"/>
      <c r="K595" s="56"/>
      <c r="L595" s="56"/>
      <c r="M595" s="56"/>
      <c r="N595" s="56"/>
      <c r="O595" s="56">
        <f t="shared" si="24"/>
        <v>30000</v>
      </c>
      <c r="P595" s="56"/>
      <c r="Q595" s="58">
        <f t="shared" si="25"/>
        <v>225691.93</v>
      </c>
      <c r="R595" s="56"/>
    </row>
    <row r="596" ht="20" customHeight="1" spans="2:18">
      <c r="B596" s="42">
        <v>7</v>
      </c>
      <c r="C596" s="42">
        <v>19</v>
      </c>
      <c r="D596" s="42"/>
      <c r="E596" s="96" t="s">
        <v>2516</v>
      </c>
      <c r="F596" s="97" t="s">
        <v>3147</v>
      </c>
      <c r="G596" s="56"/>
      <c r="H596" s="56"/>
      <c r="I596" s="56"/>
      <c r="J596" s="56"/>
      <c r="K596" s="55">
        <v>610</v>
      </c>
      <c r="L596" s="55"/>
      <c r="M596" s="56"/>
      <c r="N596" s="55">
        <v>3.66</v>
      </c>
      <c r="O596" s="55">
        <f t="shared" si="24"/>
        <v>606.34</v>
      </c>
      <c r="P596" s="56"/>
      <c r="Q596" s="58">
        <f t="shared" si="25"/>
        <v>226298.27</v>
      </c>
      <c r="R596" s="56"/>
    </row>
    <row r="597" ht="20" customHeight="1" spans="2:18">
      <c r="B597" s="42">
        <v>7</v>
      </c>
      <c r="C597" s="42">
        <v>20</v>
      </c>
      <c r="D597" s="42"/>
      <c r="E597" s="100" t="s">
        <v>2934</v>
      </c>
      <c r="F597" s="97" t="s">
        <v>3148</v>
      </c>
      <c r="G597" s="56"/>
      <c r="H597" s="56"/>
      <c r="I597" s="55">
        <v>5067</v>
      </c>
      <c r="J597" s="56"/>
      <c r="K597" s="56"/>
      <c r="L597" s="56"/>
      <c r="M597" s="56"/>
      <c r="N597" s="55">
        <v>25.34</v>
      </c>
      <c r="O597" s="56">
        <f t="shared" si="24"/>
        <v>5041.66</v>
      </c>
      <c r="P597" s="56"/>
      <c r="Q597" s="58">
        <f t="shared" si="25"/>
        <v>231339.93</v>
      </c>
      <c r="R597" s="56"/>
    </row>
    <row r="598" ht="20" customHeight="1" spans="2:18">
      <c r="B598" s="42">
        <v>7</v>
      </c>
      <c r="C598" s="42">
        <v>20</v>
      </c>
      <c r="D598" s="42"/>
      <c r="E598" s="104" t="s">
        <v>2636</v>
      </c>
      <c r="F598" s="97" t="s">
        <v>3149</v>
      </c>
      <c r="G598" s="56">
        <v>3712.5</v>
      </c>
      <c r="H598" s="56">
        <v>562.5</v>
      </c>
      <c r="I598" s="56">
        <v>157</v>
      </c>
      <c r="J598" s="56"/>
      <c r="K598" s="56"/>
      <c r="L598" s="56"/>
      <c r="M598" s="56"/>
      <c r="N598" s="56"/>
      <c r="O598" s="56">
        <f t="shared" si="24"/>
        <v>4432</v>
      </c>
      <c r="P598" s="56"/>
      <c r="Q598" s="58">
        <f t="shared" si="25"/>
        <v>235771.93</v>
      </c>
      <c r="R598" s="56"/>
    </row>
    <row r="599" ht="20" customHeight="1" spans="2:18">
      <c r="B599" s="42">
        <v>7</v>
      </c>
      <c r="C599" s="42">
        <v>20</v>
      </c>
      <c r="D599" s="42"/>
      <c r="E599" s="96" t="s">
        <v>3145</v>
      </c>
      <c r="F599" s="97" t="s">
        <v>3150</v>
      </c>
      <c r="G599" s="56">
        <v>15960</v>
      </c>
      <c r="H599" s="56"/>
      <c r="I599" s="56">
        <v>305</v>
      </c>
      <c r="J599" s="56"/>
      <c r="K599" s="56"/>
      <c r="L599" s="56"/>
      <c r="M599" s="56"/>
      <c r="N599" s="56"/>
      <c r="O599" s="56">
        <f t="shared" si="24"/>
        <v>16265</v>
      </c>
      <c r="P599" s="56"/>
      <c r="Q599" s="58">
        <f t="shared" si="25"/>
        <v>252036.93</v>
      </c>
      <c r="R599" s="56"/>
    </row>
    <row r="600" ht="20" customHeight="1" spans="2:18">
      <c r="B600" s="42">
        <v>7</v>
      </c>
      <c r="C600" s="42">
        <v>21</v>
      </c>
      <c r="D600" s="42"/>
      <c r="E600" s="104" t="s">
        <v>2934</v>
      </c>
      <c r="F600" s="97" t="s">
        <v>3151</v>
      </c>
      <c r="G600" s="56"/>
      <c r="H600" s="56"/>
      <c r="I600" s="55">
        <v>1500</v>
      </c>
      <c r="J600" s="56"/>
      <c r="K600" s="56"/>
      <c r="L600" s="56"/>
      <c r="M600" s="56"/>
      <c r="N600" s="55">
        <v>7.5</v>
      </c>
      <c r="O600" s="56">
        <f t="shared" ref="O600:O632" si="26">SUM(G600:M600)-N600</f>
        <v>1492.5</v>
      </c>
      <c r="P600" s="56"/>
      <c r="Q600" s="58">
        <f t="shared" si="25"/>
        <v>253529.43</v>
      </c>
      <c r="R600" s="56"/>
    </row>
    <row r="601" ht="20" customHeight="1" spans="2:18">
      <c r="B601" s="42">
        <v>7</v>
      </c>
      <c r="C601" s="42">
        <v>21</v>
      </c>
      <c r="D601" s="42"/>
      <c r="E601" s="100" t="s">
        <v>2663</v>
      </c>
      <c r="F601" s="97" t="s">
        <v>3152</v>
      </c>
      <c r="G601" s="56">
        <v>3436</v>
      </c>
      <c r="H601" s="56">
        <v>564</v>
      </c>
      <c r="I601" s="56"/>
      <c r="J601" s="56"/>
      <c r="K601" s="56"/>
      <c r="L601" s="56"/>
      <c r="M601" s="56"/>
      <c r="N601" s="56"/>
      <c r="O601" s="56">
        <f t="shared" si="26"/>
        <v>4000</v>
      </c>
      <c r="P601" s="56"/>
      <c r="Q601" s="58">
        <f t="shared" ref="Q601:Q632" si="27">Q600+O601-P601</f>
        <v>257529.43</v>
      </c>
      <c r="R601" s="56"/>
    </row>
    <row r="602" ht="20" customHeight="1" spans="2:18">
      <c r="B602" s="42">
        <v>7</v>
      </c>
      <c r="C602" s="42">
        <v>2</v>
      </c>
      <c r="D602" s="42"/>
      <c r="E602" s="121" t="s">
        <v>2934</v>
      </c>
      <c r="F602" s="118" t="s">
        <v>3153</v>
      </c>
      <c r="G602" s="56"/>
      <c r="H602" s="56"/>
      <c r="I602" s="55">
        <v>3100</v>
      </c>
      <c r="J602" s="56"/>
      <c r="K602" s="56"/>
      <c r="L602" s="56"/>
      <c r="M602" s="56"/>
      <c r="N602" s="55">
        <v>15.5</v>
      </c>
      <c r="O602" s="56">
        <f t="shared" si="26"/>
        <v>3084.5</v>
      </c>
      <c r="P602" s="56"/>
      <c r="Q602" s="58">
        <f t="shared" si="27"/>
        <v>260613.93</v>
      </c>
      <c r="R602" s="56"/>
    </row>
    <row r="603" ht="20" customHeight="1" spans="2:18">
      <c r="B603" s="42">
        <v>7</v>
      </c>
      <c r="C603" s="42">
        <v>22</v>
      </c>
      <c r="D603" s="42"/>
      <c r="E603" s="96" t="s">
        <v>2559</v>
      </c>
      <c r="F603" s="97" t="s">
        <v>3154</v>
      </c>
      <c r="G603" s="56">
        <v>2611</v>
      </c>
      <c r="H603" s="56">
        <v>373</v>
      </c>
      <c r="I603" s="56">
        <v>22</v>
      </c>
      <c r="J603" s="56"/>
      <c r="K603" s="56"/>
      <c r="L603" s="56"/>
      <c r="M603" s="56"/>
      <c r="N603" s="56"/>
      <c r="O603" s="56">
        <f t="shared" si="26"/>
        <v>3006</v>
      </c>
      <c r="P603" s="56"/>
      <c r="Q603" s="58">
        <f t="shared" si="27"/>
        <v>263619.93</v>
      </c>
      <c r="R603" s="56"/>
    </row>
    <row r="604" ht="20" customHeight="1" spans="2:18">
      <c r="B604" s="42">
        <v>7</v>
      </c>
      <c r="C604" s="42">
        <v>23</v>
      </c>
      <c r="D604" s="42"/>
      <c r="E604" s="104" t="s">
        <v>2934</v>
      </c>
      <c r="F604" s="97" t="s">
        <v>3155</v>
      </c>
      <c r="G604" s="56"/>
      <c r="H604" s="56"/>
      <c r="I604" s="55">
        <v>200</v>
      </c>
      <c r="J604" s="56"/>
      <c r="K604" s="56"/>
      <c r="L604" s="56"/>
      <c r="M604" s="56"/>
      <c r="N604" s="55">
        <v>1</v>
      </c>
      <c r="O604" s="56">
        <f t="shared" si="26"/>
        <v>199</v>
      </c>
      <c r="P604" s="56"/>
      <c r="Q604" s="58">
        <f t="shared" si="27"/>
        <v>263818.93</v>
      </c>
      <c r="R604" s="56"/>
    </row>
    <row r="605" ht="20" customHeight="1" spans="2:18">
      <c r="B605" s="42">
        <v>7</v>
      </c>
      <c r="C605" s="42">
        <v>23</v>
      </c>
      <c r="D605" s="42"/>
      <c r="E605" s="96" t="s">
        <v>2516</v>
      </c>
      <c r="F605" s="97" t="s">
        <v>3156</v>
      </c>
      <c r="G605" s="56"/>
      <c r="H605" s="56"/>
      <c r="I605" s="56"/>
      <c r="J605" s="56"/>
      <c r="K605" s="55">
        <v>768</v>
      </c>
      <c r="L605" s="55"/>
      <c r="M605" s="56"/>
      <c r="N605" s="55">
        <v>4.61</v>
      </c>
      <c r="O605" s="55">
        <f t="shared" si="26"/>
        <v>763.39</v>
      </c>
      <c r="P605" s="56"/>
      <c r="Q605" s="58">
        <f t="shared" si="27"/>
        <v>264582.32</v>
      </c>
      <c r="R605" s="56"/>
    </row>
    <row r="606" ht="20" customHeight="1" spans="2:18">
      <c r="B606" s="42">
        <v>7</v>
      </c>
      <c r="C606" s="42">
        <v>23</v>
      </c>
      <c r="D606" s="42"/>
      <c r="E606" s="100" t="s">
        <v>2539</v>
      </c>
      <c r="F606" s="97" t="s">
        <v>3143</v>
      </c>
      <c r="G606" s="56">
        <v>2200</v>
      </c>
      <c r="H606" s="56"/>
      <c r="I606" s="56"/>
      <c r="J606" s="56"/>
      <c r="K606" s="56"/>
      <c r="L606" s="56"/>
      <c r="M606" s="56"/>
      <c r="N606" s="56"/>
      <c r="O606" s="56">
        <f t="shared" si="26"/>
        <v>2200</v>
      </c>
      <c r="P606" s="56"/>
      <c r="Q606" s="58">
        <f t="shared" si="27"/>
        <v>266782.32</v>
      </c>
      <c r="R606" s="56"/>
    </row>
    <row r="607" ht="20" customHeight="1" spans="2:18">
      <c r="B607" s="42">
        <v>7</v>
      </c>
      <c r="C607" s="42">
        <v>24</v>
      </c>
      <c r="D607" s="42"/>
      <c r="E607" s="104" t="s">
        <v>2934</v>
      </c>
      <c r="F607" s="97" t="s">
        <v>3157</v>
      </c>
      <c r="G607" s="56"/>
      <c r="H607" s="56"/>
      <c r="I607" s="55">
        <v>300</v>
      </c>
      <c r="J607" s="56"/>
      <c r="K607" s="56"/>
      <c r="L607" s="56"/>
      <c r="M607" s="56"/>
      <c r="N607" s="55">
        <v>1.5</v>
      </c>
      <c r="O607" s="56">
        <f t="shared" si="26"/>
        <v>298.5</v>
      </c>
      <c r="P607" s="56"/>
      <c r="Q607" s="58">
        <f t="shared" si="27"/>
        <v>267080.82</v>
      </c>
      <c r="R607" s="56"/>
    </row>
    <row r="608" ht="20" customHeight="1" spans="2:18">
      <c r="B608" s="42">
        <v>7</v>
      </c>
      <c r="C608" s="42">
        <v>24</v>
      </c>
      <c r="D608" s="74" t="s">
        <v>69</v>
      </c>
      <c r="E608" s="104" t="s">
        <v>2638</v>
      </c>
      <c r="F608" s="97" t="s">
        <v>3133</v>
      </c>
      <c r="G608" s="56"/>
      <c r="H608" s="56"/>
      <c r="I608" s="56"/>
      <c r="J608" s="56"/>
      <c r="K608" s="56"/>
      <c r="L608" s="56"/>
      <c r="M608" s="56"/>
      <c r="N608" s="56"/>
      <c r="O608" s="56">
        <f t="shared" si="26"/>
        <v>0</v>
      </c>
      <c r="P608" s="55">
        <v>60000</v>
      </c>
      <c r="Q608" s="58">
        <f t="shared" si="27"/>
        <v>207080.82</v>
      </c>
      <c r="R608" s="56"/>
    </row>
    <row r="609" ht="20" customHeight="1" spans="2:18">
      <c r="B609" s="42">
        <v>7</v>
      </c>
      <c r="C609" s="42">
        <v>26</v>
      </c>
      <c r="D609" s="42"/>
      <c r="E609" s="96" t="s">
        <v>2516</v>
      </c>
      <c r="F609" s="97" t="s">
        <v>3158</v>
      </c>
      <c r="G609" s="56"/>
      <c r="H609" s="56"/>
      <c r="I609" s="56"/>
      <c r="J609" s="56"/>
      <c r="K609" s="55">
        <v>571</v>
      </c>
      <c r="L609" s="55"/>
      <c r="M609" s="56"/>
      <c r="N609" s="55">
        <v>3.43</v>
      </c>
      <c r="O609" s="55">
        <f t="shared" si="26"/>
        <v>567.57</v>
      </c>
      <c r="P609" s="56"/>
      <c r="Q609" s="58">
        <f t="shared" si="27"/>
        <v>207648.39</v>
      </c>
      <c r="R609" s="56"/>
    </row>
    <row r="610" ht="20" customHeight="1" spans="2:18">
      <c r="B610" s="42">
        <v>7</v>
      </c>
      <c r="C610" s="42">
        <v>27</v>
      </c>
      <c r="D610" s="42" t="s">
        <v>129</v>
      </c>
      <c r="E610" s="96" t="s">
        <v>283</v>
      </c>
      <c r="F610" s="97" t="s">
        <v>3159</v>
      </c>
      <c r="G610" s="56"/>
      <c r="H610" s="56"/>
      <c r="I610" s="56"/>
      <c r="J610" s="56"/>
      <c r="K610" s="56"/>
      <c r="L610" s="56"/>
      <c r="M610" s="56"/>
      <c r="N610" s="56"/>
      <c r="O610" s="56">
        <f t="shared" si="26"/>
        <v>0</v>
      </c>
      <c r="P610" s="56">
        <v>30000</v>
      </c>
      <c r="Q610" s="58">
        <f t="shared" si="27"/>
        <v>177648.39</v>
      </c>
      <c r="R610" s="56"/>
    </row>
    <row r="611" ht="20" customHeight="1" spans="2:18">
      <c r="B611" s="42">
        <v>7</v>
      </c>
      <c r="C611" s="42">
        <v>27</v>
      </c>
      <c r="D611" s="74" t="s">
        <v>100</v>
      </c>
      <c r="E611" s="3" t="s">
        <v>291</v>
      </c>
      <c r="F611" s="97" t="s">
        <v>3160</v>
      </c>
      <c r="G611" s="56"/>
      <c r="H611" s="56"/>
      <c r="I611" s="56"/>
      <c r="J611" s="56"/>
      <c r="K611" s="56"/>
      <c r="L611" s="56"/>
      <c r="M611" s="56"/>
      <c r="N611" s="56"/>
      <c r="O611" s="56">
        <f t="shared" si="26"/>
        <v>0</v>
      </c>
      <c r="P611" s="56">
        <v>92</v>
      </c>
      <c r="Q611" s="58">
        <f t="shared" si="27"/>
        <v>177556.39</v>
      </c>
      <c r="R611" s="56"/>
    </row>
    <row r="612" ht="20" customHeight="1" spans="2:18">
      <c r="B612" s="42">
        <v>7</v>
      </c>
      <c r="C612" s="42">
        <v>27</v>
      </c>
      <c r="D612" s="42" t="s">
        <v>101</v>
      </c>
      <c r="E612" s="104" t="s">
        <v>291</v>
      </c>
      <c r="F612" s="97" t="s">
        <v>3161</v>
      </c>
      <c r="G612" s="56"/>
      <c r="H612" s="56"/>
      <c r="I612" s="56"/>
      <c r="J612" s="56"/>
      <c r="K612" s="56"/>
      <c r="L612" s="56"/>
      <c r="M612" s="56"/>
      <c r="N612" s="56"/>
      <c r="O612" s="56">
        <f t="shared" si="26"/>
        <v>0</v>
      </c>
      <c r="P612" s="56">
        <v>473</v>
      </c>
      <c r="Q612" s="58">
        <f t="shared" si="27"/>
        <v>177083.39</v>
      </c>
      <c r="R612" s="56"/>
    </row>
    <row r="613" ht="20" customHeight="1" spans="2:18">
      <c r="B613" s="42">
        <v>7</v>
      </c>
      <c r="C613" s="42">
        <v>27</v>
      </c>
      <c r="D613" s="42" t="s">
        <v>143</v>
      </c>
      <c r="E613" s="100" t="s">
        <v>3162</v>
      </c>
      <c r="F613" s="97" t="s">
        <v>3163</v>
      </c>
      <c r="G613" s="56"/>
      <c r="H613" s="56"/>
      <c r="I613" s="56"/>
      <c r="J613" s="56"/>
      <c r="K613" s="56"/>
      <c r="L613" s="56"/>
      <c r="M613" s="56"/>
      <c r="N613" s="56"/>
      <c r="O613" s="56">
        <f t="shared" si="26"/>
        <v>0</v>
      </c>
      <c r="P613" s="56">
        <v>2310</v>
      </c>
      <c r="Q613" s="58">
        <f t="shared" si="27"/>
        <v>174773.39</v>
      </c>
      <c r="R613" s="56"/>
    </row>
    <row r="614" ht="20" customHeight="1" spans="2:18">
      <c r="B614" s="42">
        <v>7</v>
      </c>
      <c r="C614" s="42">
        <v>27</v>
      </c>
      <c r="D614" s="42"/>
      <c r="E614" s="104"/>
      <c r="F614" s="97" t="s">
        <v>3164</v>
      </c>
      <c r="G614" s="56"/>
      <c r="H614" s="56"/>
      <c r="I614" s="56"/>
      <c r="J614" s="56"/>
      <c r="K614" s="55">
        <v>300</v>
      </c>
      <c r="L614" s="55"/>
      <c r="M614" s="56"/>
      <c r="N614" s="55">
        <v>1.83</v>
      </c>
      <c r="O614" s="55">
        <f t="shared" si="26"/>
        <v>298.17</v>
      </c>
      <c r="P614" s="56"/>
      <c r="Q614" s="58">
        <f t="shared" si="27"/>
        <v>175071.56</v>
      </c>
      <c r="R614" s="56"/>
    </row>
    <row r="615" ht="20" customHeight="1" spans="2:18">
      <c r="B615" s="42">
        <v>7</v>
      </c>
      <c r="C615" s="42">
        <v>27</v>
      </c>
      <c r="D615" s="42"/>
      <c r="E615" s="104"/>
      <c r="F615" s="97" t="s">
        <v>3165</v>
      </c>
      <c r="G615" s="56"/>
      <c r="H615" s="56"/>
      <c r="I615" s="56"/>
      <c r="J615" s="56"/>
      <c r="K615" s="55">
        <v>500</v>
      </c>
      <c r="L615" s="55"/>
      <c r="M615" s="56"/>
      <c r="N615" s="55"/>
      <c r="O615" s="55">
        <f t="shared" si="26"/>
        <v>500</v>
      </c>
      <c r="P615" s="56"/>
      <c r="Q615" s="58">
        <f t="shared" si="27"/>
        <v>175571.56</v>
      </c>
      <c r="R615" s="56"/>
    </row>
    <row r="616" ht="20" customHeight="1" spans="2:18">
      <c r="B616" s="42">
        <v>7</v>
      </c>
      <c r="C616" s="42">
        <v>27</v>
      </c>
      <c r="D616" s="42"/>
      <c r="E616" s="104"/>
      <c r="F616" s="97" t="s">
        <v>3166</v>
      </c>
      <c r="G616" s="56"/>
      <c r="H616" s="56"/>
      <c r="I616" s="56"/>
      <c r="J616" s="56"/>
      <c r="K616" s="55">
        <v>100</v>
      </c>
      <c r="L616" s="55"/>
      <c r="M616" s="56"/>
      <c r="N616" s="55"/>
      <c r="O616" s="55">
        <f t="shared" si="26"/>
        <v>100</v>
      </c>
      <c r="P616" s="56"/>
      <c r="Q616" s="58">
        <f t="shared" si="27"/>
        <v>175671.56</v>
      </c>
      <c r="R616" s="56"/>
    </row>
    <row r="617" ht="20" customHeight="1" spans="2:18">
      <c r="B617" s="42">
        <v>7</v>
      </c>
      <c r="C617" s="42">
        <v>27</v>
      </c>
      <c r="D617" s="42"/>
      <c r="E617" s="100"/>
      <c r="F617" s="97" t="s">
        <v>3167</v>
      </c>
      <c r="G617" s="56"/>
      <c r="H617" s="56"/>
      <c r="I617" s="56"/>
      <c r="J617" s="56"/>
      <c r="K617" s="55">
        <v>250</v>
      </c>
      <c r="L617" s="55"/>
      <c r="M617" s="56"/>
      <c r="N617" s="55"/>
      <c r="O617" s="55">
        <f t="shared" si="26"/>
        <v>250</v>
      </c>
      <c r="P617" s="56"/>
      <c r="Q617" s="58">
        <f t="shared" si="27"/>
        <v>175921.56</v>
      </c>
      <c r="R617" s="56"/>
    </row>
    <row r="618" ht="20" customHeight="1" spans="2:18">
      <c r="B618" s="42">
        <v>7</v>
      </c>
      <c r="C618" s="42">
        <v>27</v>
      </c>
      <c r="D618" s="42"/>
      <c r="E618" s="104"/>
      <c r="F618" s="127" t="s">
        <v>3168</v>
      </c>
      <c r="G618" s="56"/>
      <c r="H618" s="56"/>
      <c r="I618" s="56"/>
      <c r="J618" s="56"/>
      <c r="K618" s="55">
        <v>240</v>
      </c>
      <c r="L618" s="55"/>
      <c r="M618" s="56"/>
      <c r="N618" s="55"/>
      <c r="O618" s="55">
        <f t="shared" si="26"/>
        <v>240</v>
      </c>
      <c r="P618" s="56"/>
      <c r="Q618" s="58">
        <f t="shared" si="27"/>
        <v>176161.56</v>
      </c>
      <c r="R618" s="56"/>
    </row>
    <row r="619" ht="20" customHeight="1" spans="2:18">
      <c r="B619" s="42">
        <v>7</v>
      </c>
      <c r="C619" s="42">
        <v>27</v>
      </c>
      <c r="D619" s="42"/>
      <c r="E619" s="104"/>
      <c r="F619" s="97" t="s">
        <v>3169</v>
      </c>
      <c r="G619" s="56"/>
      <c r="H619" s="56"/>
      <c r="I619" s="56"/>
      <c r="J619" s="56"/>
      <c r="K619" s="55">
        <v>200</v>
      </c>
      <c r="L619" s="55"/>
      <c r="M619" s="56"/>
      <c r="N619" s="55"/>
      <c r="O619" s="55">
        <f t="shared" si="26"/>
        <v>200</v>
      </c>
      <c r="P619" s="56"/>
      <c r="Q619" s="58">
        <f t="shared" si="27"/>
        <v>176361.56</v>
      </c>
      <c r="R619" s="56"/>
    </row>
    <row r="620" ht="20" customHeight="1" spans="2:18">
      <c r="B620" s="42">
        <v>7</v>
      </c>
      <c r="C620" s="42">
        <v>27</v>
      </c>
      <c r="D620" s="42"/>
      <c r="E620" s="104"/>
      <c r="F620" s="97" t="s">
        <v>3170</v>
      </c>
      <c r="G620" s="56"/>
      <c r="H620" s="56"/>
      <c r="I620" s="56"/>
      <c r="J620" s="56"/>
      <c r="K620" s="55">
        <v>240</v>
      </c>
      <c r="L620" s="55"/>
      <c r="M620" s="56"/>
      <c r="N620" s="55"/>
      <c r="O620" s="55">
        <f t="shared" si="26"/>
        <v>240</v>
      </c>
      <c r="P620" s="56"/>
      <c r="Q620" s="58">
        <f t="shared" si="27"/>
        <v>176601.56</v>
      </c>
      <c r="R620" s="56"/>
    </row>
    <row r="621" ht="20" customHeight="1" spans="2:18">
      <c r="B621" s="42">
        <v>7</v>
      </c>
      <c r="C621" s="42">
        <v>30</v>
      </c>
      <c r="D621" s="42"/>
      <c r="E621" s="100" t="s">
        <v>2934</v>
      </c>
      <c r="F621" s="97" t="s">
        <v>3171</v>
      </c>
      <c r="G621" s="56"/>
      <c r="H621" s="56"/>
      <c r="I621" s="55">
        <v>6150</v>
      </c>
      <c r="J621" s="56"/>
      <c r="K621" s="56"/>
      <c r="L621" s="56"/>
      <c r="M621" s="56"/>
      <c r="N621" s="55">
        <v>30.75</v>
      </c>
      <c r="O621" s="56">
        <f t="shared" si="26"/>
        <v>6119.25</v>
      </c>
      <c r="P621" s="56"/>
      <c r="Q621" s="58">
        <f t="shared" si="27"/>
        <v>182720.81</v>
      </c>
      <c r="R621" s="56"/>
    </row>
    <row r="622" ht="20" customHeight="1" spans="2:18">
      <c r="B622" s="42">
        <v>7</v>
      </c>
      <c r="C622" s="42">
        <v>30</v>
      </c>
      <c r="D622" s="42"/>
      <c r="E622" s="96" t="s">
        <v>2516</v>
      </c>
      <c r="F622" s="97" t="s">
        <v>3172</v>
      </c>
      <c r="G622" s="56"/>
      <c r="H622" s="56"/>
      <c r="I622" s="56"/>
      <c r="J622" s="56"/>
      <c r="K622" s="55">
        <v>675</v>
      </c>
      <c r="L622" s="55"/>
      <c r="M622" s="56"/>
      <c r="N622" s="55">
        <v>4.05</v>
      </c>
      <c r="O622" s="55">
        <f t="shared" si="26"/>
        <v>670.95</v>
      </c>
      <c r="P622" s="56"/>
      <c r="Q622" s="58">
        <f t="shared" si="27"/>
        <v>183391.76</v>
      </c>
      <c r="R622" s="56"/>
    </row>
    <row r="623" ht="20" customHeight="1" spans="2:18">
      <c r="B623" s="42">
        <v>7</v>
      </c>
      <c r="C623" s="42">
        <v>30</v>
      </c>
      <c r="D623" s="42"/>
      <c r="E623" s="104" t="s">
        <v>2700</v>
      </c>
      <c r="F623" s="97" t="s">
        <v>3173</v>
      </c>
      <c r="G623" s="56">
        <v>900</v>
      </c>
      <c r="H623" s="56"/>
      <c r="I623" s="56">
        <v>140</v>
      </c>
      <c r="J623" s="56"/>
      <c r="K623" s="56"/>
      <c r="L623" s="56"/>
      <c r="M623" s="56"/>
      <c r="N623" s="56"/>
      <c r="O623" s="56">
        <f t="shared" si="26"/>
        <v>1040</v>
      </c>
      <c r="P623" s="56"/>
      <c r="Q623" s="58">
        <f t="shared" si="27"/>
        <v>184431.76</v>
      </c>
      <c r="R623" s="56"/>
    </row>
    <row r="624" ht="20" customHeight="1" spans="2:18">
      <c r="B624" s="42">
        <v>7</v>
      </c>
      <c r="C624" s="42">
        <v>30</v>
      </c>
      <c r="D624" s="42"/>
      <c r="E624" s="100" t="s">
        <v>2700</v>
      </c>
      <c r="F624" s="97" t="s">
        <v>3174</v>
      </c>
      <c r="G624" s="56">
        <v>19000</v>
      </c>
      <c r="H624" s="56"/>
      <c r="I624" s="56">
        <v>286</v>
      </c>
      <c r="J624" s="56"/>
      <c r="K624" s="56"/>
      <c r="L624" s="56"/>
      <c r="M624" s="56"/>
      <c r="N624" s="56"/>
      <c r="O624" s="56">
        <f t="shared" si="26"/>
        <v>19286</v>
      </c>
      <c r="P624" s="56"/>
      <c r="Q624" s="58">
        <f t="shared" si="27"/>
        <v>203717.76</v>
      </c>
      <c r="R624" s="56"/>
    </row>
    <row r="625" ht="20" customHeight="1" spans="2:18">
      <c r="B625" s="42">
        <v>7</v>
      </c>
      <c r="C625" s="42">
        <v>31</v>
      </c>
      <c r="D625" s="42"/>
      <c r="E625" s="100" t="s">
        <v>2934</v>
      </c>
      <c r="F625" s="97" t="s">
        <v>3175</v>
      </c>
      <c r="G625" s="56"/>
      <c r="H625" s="56"/>
      <c r="I625" s="55">
        <v>18435.2</v>
      </c>
      <c r="J625" s="56"/>
      <c r="K625" s="56"/>
      <c r="L625" s="56"/>
      <c r="M625" s="56"/>
      <c r="N625" s="55">
        <v>92.18</v>
      </c>
      <c r="O625" s="56">
        <f t="shared" si="26"/>
        <v>18343.02</v>
      </c>
      <c r="P625" s="56"/>
      <c r="Q625" s="58">
        <f t="shared" si="27"/>
        <v>222060.78</v>
      </c>
      <c r="R625" s="56"/>
    </row>
    <row r="626" ht="20" customHeight="1" spans="2:18">
      <c r="B626" s="42">
        <v>7</v>
      </c>
      <c r="C626" s="42">
        <v>31</v>
      </c>
      <c r="D626" s="42"/>
      <c r="E626" s="96" t="s">
        <v>2549</v>
      </c>
      <c r="F626" s="97" t="s">
        <v>3176</v>
      </c>
      <c r="G626" s="56">
        <v>8273</v>
      </c>
      <c r="H626" s="56">
        <v>1100</v>
      </c>
      <c r="I626" s="56"/>
      <c r="J626" s="56"/>
      <c r="K626" s="56"/>
      <c r="L626" s="56"/>
      <c r="M626" s="56"/>
      <c r="N626" s="56"/>
      <c r="O626" s="56">
        <f t="shared" si="26"/>
        <v>9373</v>
      </c>
      <c r="P626" s="56"/>
      <c r="Q626" s="58">
        <f t="shared" si="27"/>
        <v>231433.78</v>
      </c>
      <c r="R626" s="56"/>
    </row>
    <row r="627" ht="20" customHeight="1" spans="2:18">
      <c r="B627" s="42">
        <v>7</v>
      </c>
      <c r="C627" s="42">
        <v>31</v>
      </c>
      <c r="D627" s="42"/>
      <c r="E627" s="104" t="s">
        <v>2679</v>
      </c>
      <c r="F627" s="97" t="s">
        <v>3177</v>
      </c>
      <c r="G627" s="56">
        <v>4668.75</v>
      </c>
      <c r="H627" s="56">
        <v>481.25</v>
      </c>
      <c r="I627" s="56">
        <v>602</v>
      </c>
      <c r="J627" s="56"/>
      <c r="K627" s="56"/>
      <c r="L627" s="56"/>
      <c r="M627" s="56"/>
      <c r="N627" s="56"/>
      <c r="O627" s="56">
        <f t="shared" si="26"/>
        <v>5752</v>
      </c>
      <c r="P627" s="56"/>
      <c r="Q627" s="58">
        <f t="shared" si="27"/>
        <v>237185.78</v>
      </c>
      <c r="R627" s="56"/>
    </row>
    <row r="628" ht="20" customHeight="1" spans="2:18">
      <c r="B628" s="42">
        <v>7</v>
      </c>
      <c r="C628" s="42">
        <v>31</v>
      </c>
      <c r="D628" s="42"/>
      <c r="E628" s="100" t="s">
        <v>2539</v>
      </c>
      <c r="F628" s="97" t="s">
        <v>3178</v>
      </c>
      <c r="G628" s="56">
        <v>389.7</v>
      </c>
      <c r="H628" s="56">
        <v>410.3</v>
      </c>
      <c r="I628" s="56"/>
      <c r="J628" s="56"/>
      <c r="K628" s="56"/>
      <c r="L628" s="56"/>
      <c r="M628" s="56"/>
      <c r="N628" s="56"/>
      <c r="O628" s="56">
        <f t="shared" si="26"/>
        <v>800</v>
      </c>
      <c r="P628" s="56"/>
      <c r="Q628" s="58">
        <f t="shared" si="27"/>
        <v>237985.78</v>
      </c>
      <c r="R628" s="56"/>
    </row>
    <row r="629" ht="20" customHeight="1" spans="2:18">
      <c r="B629" s="42">
        <v>7</v>
      </c>
      <c r="C629" s="42">
        <v>31</v>
      </c>
      <c r="D629" s="42"/>
      <c r="E629" s="100" t="s">
        <v>2539</v>
      </c>
      <c r="F629" s="97" t="s">
        <v>3179</v>
      </c>
      <c r="G629" s="56">
        <v>2789.7</v>
      </c>
      <c r="H629" s="56">
        <v>410.3</v>
      </c>
      <c r="I629" s="56"/>
      <c r="J629" s="56"/>
      <c r="K629" s="56"/>
      <c r="L629" s="56"/>
      <c r="M629" s="56"/>
      <c r="N629" s="56"/>
      <c r="O629" s="56">
        <f t="shared" si="26"/>
        <v>3200</v>
      </c>
      <c r="P629" s="56"/>
      <c r="Q629" s="58">
        <f t="shared" si="27"/>
        <v>241185.78</v>
      </c>
      <c r="R629" s="56"/>
    </row>
    <row r="630" ht="20" customHeight="1" spans="2:18">
      <c r="B630" s="42">
        <v>7</v>
      </c>
      <c r="C630" s="42">
        <v>31</v>
      </c>
      <c r="D630" s="42"/>
      <c r="E630" s="104"/>
      <c r="F630" s="97" t="s">
        <v>3180</v>
      </c>
      <c r="G630" s="56"/>
      <c r="H630" s="56"/>
      <c r="I630" s="56"/>
      <c r="J630" s="56"/>
      <c r="K630" s="55">
        <v>240</v>
      </c>
      <c r="L630" s="55"/>
      <c r="M630" s="56"/>
      <c r="N630" s="55">
        <v>0.58</v>
      </c>
      <c r="O630" s="55">
        <f t="shared" si="26"/>
        <v>239.42</v>
      </c>
      <c r="P630" s="56"/>
      <c r="Q630" s="58">
        <f t="shared" si="27"/>
        <v>241425.2</v>
      </c>
      <c r="R630" s="56"/>
    </row>
    <row r="631" ht="20" customHeight="1" spans="2:18">
      <c r="B631" s="42">
        <v>7</v>
      </c>
      <c r="C631" s="42">
        <v>31</v>
      </c>
      <c r="D631" s="42"/>
      <c r="E631" s="104"/>
      <c r="F631" s="97" t="s">
        <v>3166</v>
      </c>
      <c r="G631" s="56"/>
      <c r="H631" s="56"/>
      <c r="I631" s="56"/>
      <c r="J631" s="56"/>
      <c r="K631" s="55">
        <v>100</v>
      </c>
      <c r="L631" s="55"/>
      <c r="M631" s="56"/>
      <c r="N631" s="55"/>
      <c r="O631" s="55">
        <f t="shared" si="26"/>
        <v>100</v>
      </c>
      <c r="P631" s="56"/>
      <c r="Q631" s="58">
        <f t="shared" si="27"/>
        <v>241525.2</v>
      </c>
      <c r="R631" s="56"/>
    </row>
    <row r="632" ht="20" customHeight="1" spans="2:18">
      <c r="B632" s="42">
        <v>7</v>
      </c>
      <c r="C632" s="42">
        <v>31</v>
      </c>
      <c r="D632" s="42"/>
      <c r="E632" s="104"/>
      <c r="F632" s="97" t="s">
        <v>3181</v>
      </c>
      <c r="G632" s="56"/>
      <c r="H632" s="56"/>
      <c r="I632" s="56"/>
      <c r="J632" s="56"/>
      <c r="K632" s="55">
        <v>240</v>
      </c>
      <c r="L632" s="55"/>
      <c r="M632" s="56"/>
      <c r="N632" s="55"/>
      <c r="O632" s="55">
        <f t="shared" si="26"/>
        <v>240</v>
      </c>
      <c r="P632" s="56"/>
      <c r="Q632" s="58">
        <f t="shared" si="27"/>
        <v>241765.2</v>
      </c>
      <c r="R632" s="56"/>
    </row>
    <row r="633" ht="20" customHeight="1" spans="2:18">
      <c r="B633" s="68"/>
      <c r="C633" s="68"/>
      <c r="D633" s="68"/>
      <c r="E633" s="68"/>
      <c r="F633" s="70" t="s">
        <v>22</v>
      </c>
      <c r="G633" s="71">
        <f>SUM(G536:G632)</f>
        <v>150928.6</v>
      </c>
      <c r="H633" s="71">
        <f>SUM(H536:H632)</f>
        <v>11604.4</v>
      </c>
      <c r="I633" s="71">
        <f>SUM(I536:I632)</f>
        <v>68920.44</v>
      </c>
      <c r="J633" s="71">
        <f>SUM(J536:J632)</f>
        <v>12980</v>
      </c>
      <c r="K633" s="71">
        <f>SUM(K536:K632)</f>
        <v>10672</v>
      </c>
      <c r="L633" s="71"/>
      <c r="M633" s="71">
        <f>SUM(M536:M632)</f>
        <v>0</v>
      </c>
      <c r="N633" s="71">
        <f>SUM(N536:N632)</f>
        <v>348.98</v>
      </c>
      <c r="O633" s="71">
        <f>SUM(O536:O632)</f>
        <v>254756.46</v>
      </c>
      <c r="P633" s="71">
        <f>SUM(P536:P632)</f>
        <v>172405.5</v>
      </c>
      <c r="Q633" s="72">
        <f>Q535+O633-P633</f>
        <v>241765.2</v>
      </c>
      <c r="R633" s="71"/>
    </row>
    <row r="634" ht="20" customHeight="1" spans="2:18">
      <c r="B634" s="90">
        <v>8</v>
      </c>
      <c r="C634" s="90">
        <v>3</v>
      </c>
      <c r="D634" s="90"/>
      <c r="E634" s="128" t="s">
        <v>2934</v>
      </c>
      <c r="F634" s="88" t="s">
        <v>3182</v>
      </c>
      <c r="G634" s="89"/>
      <c r="H634" s="89"/>
      <c r="I634" s="76">
        <v>3850</v>
      </c>
      <c r="J634" s="89"/>
      <c r="K634" s="89"/>
      <c r="L634" s="89"/>
      <c r="M634" s="89"/>
      <c r="N634" s="76">
        <v>19.25</v>
      </c>
      <c r="O634" s="55">
        <f>SUM(G634:M634)-N634</f>
        <v>3830.75</v>
      </c>
      <c r="P634" s="89"/>
      <c r="Q634" s="58">
        <f>Q633+O634-P634</f>
        <v>245595.95</v>
      </c>
      <c r="R634" s="89"/>
    </row>
    <row r="635" ht="20" customHeight="1" spans="2:18">
      <c r="B635" s="42">
        <v>8</v>
      </c>
      <c r="C635" s="42">
        <v>3</v>
      </c>
      <c r="D635" s="42"/>
      <c r="E635" s="100"/>
      <c r="F635" s="97" t="s">
        <v>3183</v>
      </c>
      <c r="G635" s="56"/>
      <c r="H635" s="56"/>
      <c r="I635" s="56"/>
      <c r="J635" s="56"/>
      <c r="K635" s="55">
        <v>10</v>
      </c>
      <c r="L635" s="56"/>
      <c r="M635" s="56"/>
      <c r="N635" s="55">
        <v>3.92</v>
      </c>
      <c r="O635" s="55">
        <f t="shared" ref="O635:O698" si="28">SUM(G635:M635)-N635</f>
        <v>6.08</v>
      </c>
      <c r="P635" s="56"/>
      <c r="Q635" s="58">
        <f t="shared" ref="Q635:Q663" si="29">Q634+O635-P635</f>
        <v>245602.03</v>
      </c>
      <c r="R635" s="56"/>
    </row>
    <row r="636" ht="20" customHeight="1" spans="2:18">
      <c r="B636" s="42">
        <v>8</v>
      </c>
      <c r="C636" s="42">
        <v>3</v>
      </c>
      <c r="D636" s="42"/>
      <c r="E636" s="104"/>
      <c r="F636" s="97" t="s">
        <v>3184</v>
      </c>
      <c r="G636" s="56"/>
      <c r="H636" s="56"/>
      <c r="I636" s="56"/>
      <c r="J636" s="56"/>
      <c r="K636" s="55">
        <v>10</v>
      </c>
      <c r="L636" s="56"/>
      <c r="M636" s="56"/>
      <c r="N636" s="55"/>
      <c r="O636" s="55">
        <f t="shared" si="28"/>
        <v>10</v>
      </c>
      <c r="P636" s="56"/>
      <c r="Q636" s="58">
        <f t="shared" si="29"/>
        <v>245612.03</v>
      </c>
      <c r="R636" s="56"/>
    </row>
    <row r="637" ht="20" customHeight="1" spans="2:18">
      <c r="B637" s="42">
        <v>8</v>
      </c>
      <c r="C637" s="42">
        <v>3</v>
      </c>
      <c r="D637" s="42"/>
      <c r="E637" s="96" t="s">
        <v>2609</v>
      </c>
      <c r="F637" s="97" t="s">
        <v>3185</v>
      </c>
      <c r="G637" s="55">
        <v>3275</v>
      </c>
      <c r="H637" s="55">
        <v>525</v>
      </c>
      <c r="I637" s="55">
        <v>20</v>
      </c>
      <c r="J637" s="56"/>
      <c r="K637" s="56"/>
      <c r="L637" s="56"/>
      <c r="M637" s="56"/>
      <c r="N637" s="56"/>
      <c r="O637" s="55">
        <f t="shared" si="28"/>
        <v>3820</v>
      </c>
      <c r="P637" s="56"/>
      <c r="Q637" s="58">
        <f t="shared" si="29"/>
        <v>249432.03</v>
      </c>
      <c r="R637" s="56"/>
    </row>
    <row r="638" ht="20" customHeight="1" spans="2:18">
      <c r="B638" s="42">
        <v>8</v>
      </c>
      <c r="C638" s="42">
        <v>3</v>
      </c>
      <c r="D638" s="42"/>
      <c r="E638" s="104"/>
      <c r="F638" s="97" t="s">
        <v>3186</v>
      </c>
      <c r="G638" s="56"/>
      <c r="H638" s="56"/>
      <c r="I638" s="56"/>
      <c r="J638" s="56"/>
      <c r="K638" s="55">
        <v>15</v>
      </c>
      <c r="L638" s="56"/>
      <c r="M638" s="56"/>
      <c r="N638" s="55"/>
      <c r="O638" s="55">
        <f t="shared" si="28"/>
        <v>15</v>
      </c>
      <c r="P638" s="56"/>
      <c r="Q638" s="58">
        <f t="shared" si="29"/>
        <v>249447.03</v>
      </c>
      <c r="R638" s="56"/>
    </row>
    <row r="639" ht="20" customHeight="1" spans="2:18">
      <c r="B639" s="42">
        <v>8</v>
      </c>
      <c r="C639" s="42">
        <v>3</v>
      </c>
      <c r="D639" s="42"/>
      <c r="E639" s="100"/>
      <c r="F639" s="97" t="s">
        <v>3187</v>
      </c>
      <c r="G639" s="56"/>
      <c r="H639" s="56"/>
      <c r="I639" s="56"/>
      <c r="J639" s="56"/>
      <c r="K639" s="55">
        <v>20</v>
      </c>
      <c r="L639" s="56"/>
      <c r="M639" s="56"/>
      <c r="N639" s="55"/>
      <c r="O639" s="55">
        <f t="shared" si="28"/>
        <v>20</v>
      </c>
      <c r="P639" s="56"/>
      <c r="Q639" s="58">
        <f t="shared" si="29"/>
        <v>249467.03</v>
      </c>
      <c r="R639" s="56"/>
    </row>
    <row r="640" ht="20" customHeight="1" spans="2:18">
      <c r="B640" s="42">
        <v>8</v>
      </c>
      <c r="C640" s="42">
        <v>3</v>
      </c>
      <c r="D640" s="42"/>
      <c r="E640" s="104"/>
      <c r="F640" s="97" t="s">
        <v>3188</v>
      </c>
      <c r="G640" s="56"/>
      <c r="H640" s="56"/>
      <c r="I640" s="56"/>
      <c r="J640" s="56"/>
      <c r="K640" s="55">
        <v>15</v>
      </c>
      <c r="L640" s="56"/>
      <c r="M640" s="56"/>
      <c r="N640" s="55"/>
      <c r="O640" s="55">
        <f t="shared" si="28"/>
        <v>15</v>
      </c>
      <c r="P640" s="56"/>
      <c r="Q640" s="58">
        <f t="shared" si="29"/>
        <v>249482.03</v>
      </c>
      <c r="R640" s="56"/>
    </row>
    <row r="641" ht="20" customHeight="1" spans="2:18">
      <c r="B641" s="42">
        <v>8</v>
      </c>
      <c r="C641" s="42">
        <v>3</v>
      </c>
      <c r="D641" s="42"/>
      <c r="E641" s="104"/>
      <c r="F641" s="97" t="s">
        <v>3189</v>
      </c>
      <c r="G641" s="56"/>
      <c r="H641" s="56"/>
      <c r="I641" s="56"/>
      <c r="J641" s="56"/>
      <c r="K641" s="55">
        <v>15</v>
      </c>
      <c r="L641" s="56"/>
      <c r="M641" s="56"/>
      <c r="N641" s="55"/>
      <c r="O641" s="55">
        <f t="shared" si="28"/>
        <v>15</v>
      </c>
      <c r="P641" s="56"/>
      <c r="Q641" s="58">
        <f t="shared" si="29"/>
        <v>249497.03</v>
      </c>
      <c r="R641" s="56"/>
    </row>
    <row r="642" ht="20" customHeight="1" spans="2:18">
      <c r="B642" s="42">
        <v>8</v>
      </c>
      <c r="C642" s="42">
        <v>3</v>
      </c>
      <c r="D642" s="42"/>
      <c r="E642" s="104"/>
      <c r="F642" s="97" t="s">
        <v>3190</v>
      </c>
      <c r="G642" s="56"/>
      <c r="H642" s="56"/>
      <c r="I642" s="56"/>
      <c r="J642" s="56"/>
      <c r="K642" s="55">
        <v>15</v>
      </c>
      <c r="L642" s="56"/>
      <c r="M642" s="56"/>
      <c r="N642" s="55"/>
      <c r="O642" s="55">
        <f t="shared" si="28"/>
        <v>15</v>
      </c>
      <c r="P642" s="56"/>
      <c r="Q642" s="58">
        <f t="shared" si="29"/>
        <v>249512.03</v>
      </c>
      <c r="R642" s="56"/>
    </row>
    <row r="643" ht="20" customHeight="1" spans="2:18">
      <c r="B643" s="42">
        <v>8</v>
      </c>
      <c r="C643" s="42">
        <v>4</v>
      </c>
      <c r="D643" s="42"/>
      <c r="E643" s="100" t="s">
        <v>2598</v>
      </c>
      <c r="F643" s="97" t="s">
        <v>3191</v>
      </c>
      <c r="G643" s="56"/>
      <c r="H643" s="56"/>
      <c r="I643" s="56"/>
      <c r="J643" s="55">
        <v>4500</v>
      </c>
      <c r="K643" s="56"/>
      <c r="L643" s="56"/>
      <c r="M643" s="56"/>
      <c r="N643" s="56"/>
      <c r="O643" s="55">
        <f t="shared" si="28"/>
        <v>4500</v>
      </c>
      <c r="P643" s="56"/>
      <c r="Q643" s="58">
        <f t="shared" si="29"/>
        <v>254012.03</v>
      </c>
      <c r="R643" s="56"/>
    </row>
    <row r="644" ht="20" customHeight="1" spans="2:18">
      <c r="B644" s="42">
        <v>8</v>
      </c>
      <c r="C644" s="42">
        <v>4</v>
      </c>
      <c r="D644" s="42"/>
      <c r="E644" s="100" t="s">
        <v>2598</v>
      </c>
      <c r="F644" s="97" t="s">
        <v>3192</v>
      </c>
      <c r="G644" s="55">
        <v>4130.95</v>
      </c>
      <c r="H644" s="55">
        <v>369.05</v>
      </c>
      <c r="I644" s="56"/>
      <c r="J644" s="56"/>
      <c r="K644" s="56"/>
      <c r="L644" s="56"/>
      <c r="M644" s="56"/>
      <c r="N644" s="56"/>
      <c r="O644" s="55">
        <f t="shared" si="28"/>
        <v>4500</v>
      </c>
      <c r="P644" s="56"/>
      <c r="Q644" s="58">
        <f t="shared" si="29"/>
        <v>258512.03</v>
      </c>
      <c r="R644" s="56"/>
    </row>
    <row r="645" ht="20" customHeight="1" spans="2:18">
      <c r="B645" s="42">
        <v>8</v>
      </c>
      <c r="C645" s="42">
        <v>4</v>
      </c>
      <c r="D645" s="42"/>
      <c r="E645" s="104" t="s">
        <v>2934</v>
      </c>
      <c r="F645" s="97" t="s">
        <v>3193</v>
      </c>
      <c r="G645" s="56"/>
      <c r="H645" s="56"/>
      <c r="I645" s="55">
        <v>750</v>
      </c>
      <c r="J645" s="56"/>
      <c r="K645" s="56"/>
      <c r="L645" s="56"/>
      <c r="M645" s="56"/>
      <c r="N645" s="55">
        <v>3.75</v>
      </c>
      <c r="O645" s="55">
        <f t="shared" si="28"/>
        <v>746.25</v>
      </c>
      <c r="P645" s="56"/>
      <c r="Q645" s="58">
        <f t="shared" si="29"/>
        <v>259258.28</v>
      </c>
      <c r="R645" s="56"/>
    </row>
    <row r="646" ht="20" customHeight="1" spans="2:18">
      <c r="B646" s="42">
        <v>8</v>
      </c>
      <c r="C646" s="42">
        <v>4</v>
      </c>
      <c r="D646" s="42"/>
      <c r="E646" s="96" t="s">
        <v>2546</v>
      </c>
      <c r="F646" s="97" t="s">
        <v>3194</v>
      </c>
      <c r="G646" s="55">
        <v>4428</v>
      </c>
      <c r="H646" s="55">
        <v>572</v>
      </c>
      <c r="I646" s="56"/>
      <c r="J646" s="56"/>
      <c r="K646" s="56"/>
      <c r="L646" s="56"/>
      <c r="M646" s="56"/>
      <c r="N646" s="56"/>
      <c r="O646" s="55">
        <f t="shared" si="28"/>
        <v>5000</v>
      </c>
      <c r="P646" s="56"/>
      <c r="Q646" s="58">
        <f t="shared" si="29"/>
        <v>264258.28</v>
      </c>
      <c r="R646" s="56"/>
    </row>
    <row r="647" ht="20" customHeight="1" spans="2:18">
      <c r="B647" s="42">
        <v>8</v>
      </c>
      <c r="C647" s="42">
        <v>4</v>
      </c>
      <c r="D647" s="42"/>
      <c r="E647" s="96" t="s">
        <v>2516</v>
      </c>
      <c r="F647" s="97" t="s">
        <v>3195</v>
      </c>
      <c r="G647" s="56"/>
      <c r="H647" s="56"/>
      <c r="I647" s="56"/>
      <c r="J647" s="56"/>
      <c r="K647" s="55">
        <v>260</v>
      </c>
      <c r="L647" s="56"/>
      <c r="M647" s="56"/>
      <c r="N647" s="55">
        <v>2.56</v>
      </c>
      <c r="O647" s="55">
        <f t="shared" si="28"/>
        <v>257.44</v>
      </c>
      <c r="P647" s="56"/>
      <c r="Q647" s="58">
        <f t="shared" si="29"/>
        <v>264515.72</v>
      </c>
      <c r="R647" s="56"/>
    </row>
    <row r="648" ht="20" customHeight="1" spans="2:18">
      <c r="B648" s="42">
        <v>8</v>
      </c>
      <c r="C648" s="42">
        <v>5</v>
      </c>
      <c r="D648" s="42"/>
      <c r="E648" s="121" t="s">
        <v>2934</v>
      </c>
      <c r="F648" s="118" t="s">
        <v>3196</v>
      </c>
      <c r="G648" s="56"/>
      <c r="H648" s="56"/>
      <c r="I648" s="55">
        <v>2100</v>
      </c>
      <c r="J648" s="56"/>
      <c r="K648" s="56"/>
      <c r="L648" s="56"/>
      <c r="M648" s="56"/>
      <c r="N648" s="55">
        <v>10.5</v>
      </c>
      <c r="O648" s="55">
        <f t="shared" si="28"/>
        <v>2089.5</v>
      </c>
      <c r="P648" s="56"/>
      <c r="Q648" s="58">
        <f t="shared" si="29"/>
        <v>266605.22</v>
      </c>
      <c r="R648" s="56"/>
    </row>
    <row r="649" ht="20" customHeight="1" spans="2:18">
      <c r="B649" s="42">
        <v>8</v>
      </c>
      <c r="C649" s="42">
        <v>6</v>
      </c>
      <c r="D649" s="42"/>
      <c r="E649" s="104" t="s">
        <v>2934</v>
      </c>
      <c r="F649" s="97" t="s">
        <v>3197</v>
      </c>
      <c r="G649" s="56"/>
      <c r="H649" s="56"/>
      <c r="I649" s="55">
        <v>350</v>
      </c>
      <c r="J649" s="56"/>
      <c r="K649" s="56"/>
      <c r="L649" s="56"/>
      <c r="M649" s="56"/>
      <c r="N649" s="55">
        <v>1.75</v>
      </c>
      <c r="O649" s="55">
        <f t="shared" si="28"/>
        <v>348.25</v>
      </c>
      <c r="P649" s="56"/>
      <c r="Q649" s="58">
        <f t="shared" si="29"/>
        <v>266953.47</v>
      </c>
      <c r="R649" s="56"/>
    </row>
    <row r="650" ht="20" customHeight="1" spans="2:18">
      <c r="B650" s="42">
        <v>8</v>
      </c>
      <c r="C650" s="42">
        <v>6</v>
      </c>
      <c r="D650" s="42"/>
      <c r="E650" s="96" t="s">
        <v>2531</v>
      </c>
      <c r="F650" s="97" t="s">
        <v>3198</v>
      </c>
      <c r="G650" s="56"/>
      <c r="H650" s="56"/>
      <c r="I650" s="55">
        <v>57</v>
      </c>
      <c r="J650" s="56"/>
      <c r="K650" s="56"/>
      <c r="L650" s="56"/>
      <c r="M650" s="56"/>
      <c r="N650" s="56"/>
      <c r="O650" s="55">
        <f t="shared" si="28"/>
        <v>57</v>
      </c>
      <c r="P650" s="56"/>
      <c r="Q650" s="58">
        <f t="shared" si="29"/>
        <v>267010.47</v>
      </c>
      <c r="R650" s="56"/>
    </row>
    <row r="651" ht="20" customHeight="1" spans="2:18">
      <c r="B651" s="42">
        <v>8</v>
      </c>
      <c r="C651" s="42">
        <v>7</v>
      </c>
      <c r="D651" s="42"/>
      <c r="E651" s="100" t="s">
        <v>2934</v>
      </c>
      <c r="F651" s="97" t="s">
        <v>3199</v>
      </c>
      <c r="G651" s="56"/>
      <c r="H651" s="56"/>
      <c r="I651" s="55">
        <v>6150</v>
      </c>
      <c r="J651" s="56"/>
      <c r="K651" s="56"/>
      <c r="L651" s="56"/>
      <c r="M651" s="56"/>
      <c r="N651" s="55">
        <v>30.75</v>
      </c>
      <c r="O651" s="55">
        <f t="shared" si="28"/>
        <v>6119.25</v>
      </c>
      <c r="P651" s="56"/>
      <c r="Q651" s="58">
        <f t="shared" si="29"/>
        <v>273129.72</v>
      </c>
      <c r="R651" s="56"/>
    </row>
    <row r="652" ht="20" customHeight="1" spans="2:18">
      <c r="B652" s="42">
        <v>8</v>
      </c>
      <c r="C652" s="42">
        <v>7</v>
      </c>
      <c r="D652" s="42"/>
      <c r="E652" s="104" t="s">
        <v>2916</v>
      </c>
      <c r="F652" s="97" t="s">
        <v>3200</v>
      </c>
      <c r="G652" s="55">
        <v>1035</v>
      </c>
      <c r="H652" s="55">
        <v>165</v>
      </c>
      <c r="I652" s="55">
        <v>13</v>
      </c>
      <c r="J652" s="56"/>
      <c r="K652" s="56"/>
      <c r="L652" s="56"/>
      <c r="M652" s="56"/>
      <c r="N652" s="56"/>
      <c r="O652" s="55">
        <f t="shared" si="28"/>
        <v>1213</v>
      </c>
      <c r="P652" s="56"/>
      <c r="Q652" s="58">
        <f t="shared" si="29"/>
        <v>274342.72</v>
      </c>
      <c r="R652" s="56"/>
    </row>
    <row r="653" ht="20" customHeight="1" spans="2:18">
      <c r="B653" s="42">
        <v>8</v>
      </c>
      <c r="C653" s="42">
        <v>7</v>
      </c>
      <c r="D653" s="74" t="s">
        <v>100</v>
      </c>
      <c r="E653" s="104" t="s">
        <v>2006</v>
      </c>
      <c r="F653" s="97" t="s">
        <v>3201</v>
      </c>
      <c r="G653" s="56"/>
      <c r="H653" s="56"/>
      <c r="I653" s="56"/>
      <c r="J653" s="56"/>
      <c r="K653" s="56"/>
      <c r="L653" s="56"/>
      <c r="M653" s="56"/>
      <c r="N653" s="56"/>
      <c r="O653" s="56">
        <f t="shared" si="28"/>
        <v>0</v>
      </c>
      <c r="P653" s="55">
        <v>5000</v>
      </c>
      <c r="Q653" s="58">
        <f t="shared" si="29"/>
        <v>269342.72</v>
      </c>
      <c r="R653" s="56"/>
    </row>
    <row r="654" ht="20" customHeight="1" spans="2:18">
      <c r="B654" s="42">
        <v>8</v>
      </c>
      <c r="C654" s="42">
        <v>7</v>
      </c>
      <c r="D654" s="42"/>
      <c r="E654" s="104" t="s">
        <v>2629</v>
      </c>
      <c r="F654" s="97" t="s">
        <v>3202</v>
      </c>
      <c r="G654" s="56"/>
      <c r="H654" s="56"/>
      <c r="I654" s="55">
        <v>207</v>
      </c>
      <c r="J654" s="56"/>
      <c r="K654" s="56"/>
      <c r="L654" s="56"/>
      <c r="M654" s="56"/>
      <c r="N654" s="56"/>
      <c r="O654" s="55">
        <f t="shared" si="28"/>
        <v>207</v>
      </c>
      <c r="P654" s="56"/>
      <c r="Q654" s="58">
        <f t="shared" si="29"/>
        <v>269549.72</v>
      </c>
      <c r="R654" s="56"/>
    </row>
    <row r="655" ht="20" customHeight="1" spans="2:18">
      <c r="B655" s="42">
        <v>8</v>
      </c>
      <c r="C655" s="42">
        <v>10</v>
      </c>
      <c r="D655" s="42"/>
      <c r="E655" s="96" t="s">
        <v>2546</v>
      </c>
      <c r="F655" s="97" t="s">
        <v>3203</v>
      </c>
      <c r="G655" s="56"/>
      <c r="H655" s="56"/>
      <c r="I655" s="55">
        <v>43</v>
      </c>
      <c r="J655" s="56"/>
      <c r="K655" s="56"/>
      <c r="L655" s="56"/>
      <c r="M655" s="56"/>
      <c r="N655" s="56"/>
      <c r="O655" s="55">
        <f t="shared" si="28"/>
        <v>43</v>
      </c>
      <c r="P655" s="56"/>
      <c r="Q655" s="58">
        <f t="shared" si="29"/>
        <v>269592.72</v>
      </c>
      <c r="R655" s="59" t="s">
        <v>669</v>
      </c>
    </row>
    <row r="656" ht="20" customHeight="1" spans="2:18">
      <c r="B656" s="42">
        <v>8</v>
      </c>
      <c r="C656" s="42">
        <v>10</v>
      </c>
      <c r="D656" s="42"/>
      <c r="E656" s="104"/>
      <c r="F656" s="97" t="s">
        <v>3204</v>
      </c>
      <c r="G656" s="56"/>
      <c r="H656" s="56"/>
      <c r="I656" s="56"/>
      <c r="J656" s="56"/>
      <c r="K656" s="55">
        <v>240</v>
      </c>
      <c r="L656" s="56"/>
      <c r="M656" s="56"/>
      <c r="N656" s="55">
        <v>1.75</v>
      </c>
      <c r="O656" s="55">
        <f t="shared" si="28"/>
        <v>238.25</v>
      </c>
      <c r="P656" s="56"/>
      <c r="Q656" s="58">
        <f t="shared" si="29"/>
        <v>269830.97</v>
      </c>
      <c r="R656" s="59" t="s">
        <v>669</v>
      </c>
    </row>
    <row r="657" ht="20" customHeight="1" spans="2:18">
      <c r="B657" s="42">
        <v>8</v>
      </c>
      <c r="C657" s="42">
        <v>10</v>
      </c>
      <c r="D657" s="42"/>
      <c r="E657" s="96" t="s">
        <v>2990</v>
      </c>
      <c r="F657" s="97" t="s">
        <v>3205</v>
      </c>
      <c r="G657" s="56"/>
      <c r="H657" s="56"/>
      <c r="I657" s="55">
        <v>784</v>
      </c>
      <c r="J657" s="56"/>
      <c r="K657" s="56"/>
      <c r="L657" s="56"/>
      <c r="M657" s="56"/>
      <c r="N657" s="56"/>
      <c r="O657" s="55">
        <f t="shared" si="28"/>
        <v>784</v>
      </c>
      <c r="P657" s="56"/>
      <c r="Q657" s="58">
        <f t="shared" si="29"/>
        <v>270614.97</v>
      </c>
      <c r="R657" s="59" t="s">
        <v>669</v>
      </c>
    </row>
    <row r="658" ht="20" customHeight="1" spans="2:18">
      <c r="B658" s="42">
        <v>8</v>
      </c>
      <c r="C658" s="42">
        <v>10</v>
      </c>
      <c r="D658" s="42"/>
      <c r="E658" s="104"/>
      <c r="F658" s="97" t="s">
        <v>3206</v>
      </c>
      <c r="G658" s="56"/>
      <c r="H658" s="56"/>
      <c r="I658" s="56"/>
      <c r="J658" s="56"/>
      <c r="K658" s="55">
        <v>240</v>
      </c>
      <c r="L658" s="56"/>
      <c r="M658" s="56"/>
      <c r="N658" s="55"/>
      <c r="O658" s="55">
        <f t="shared" si="28"/>
        <v>240</v>
      </c>
      <c r="P658" s="56"/>
      <c r="Q658" s="58">
        <f t="shared" si="29"/>
        <v>270854.97</v>
      </c>
      <c r="R658" s="59" t="s">
        <v>669</v>
      </c>
    </row>
    <row r="659" ht="20" customHeight="1" spans="2:18">
      <c r="B659" s="42">
        <v>8</v>
      </c>
      <c r="C659" s="42">
        <v>10</v>
      </c>
      <c r="D659" s="42"/>
      <c r="E659" s="100" t="s">
        <v>3050</v>
      </c>
      <c r="F659" s="97" t="s">
        <v>3207</v>
      </c>
      <c r="G659" s="56"/>
      <c r="H659" s="55">
        <v>45</v>
      </c>
      <c r="I659" s="56"/>
      <c r="J659" s="56"/>
      <c r="K659" s="56"/>
      <c r="L659" s="56"/>
      <c r="M659" s="56"/>
      <c r="N659" s="56"/>
      <c r="O659" s="55">
        <f t="shared" si="28"/>
        <v>45</v>
      </c>
      <c r="P659" s="56"/>
      <c r="Q659" s="58">
        <f t="shared" si="29"/>
        <v>270899.97</v>
      </c>
      <c r="R659" s="59" t="s">
        <v>669</v>
      </c>
    </row>
    <row r="660" ht="20" customHeight="1" spans="2:18">
      <c r="B660" s="42">
        <v>8</v>
      </c>
      <c r="C660" s="42">
        <v>10</v>
      </c>
      <c r="D660" s="42"/>
      <c r="E660" s="96" t="s">
        <v>2600</v>
      </c>
      <c r="F660" s="97" t="s">
        <v>3208</v>
      </c>
      <c r="G660" s="56"/>
      <c r="H660" s="55">
        <v>33</v>
      </c>
      <c r="I660" s="56"/>
      <c r="J660" s="56"/>
      <c r="K660" s="56"/>
      <c r="L660" s="56"/>
      <c r="M660" s="56"/>
      <c r="N660" s="56"/>
      <c r="O660" s="55">
        <f t="shared" si="28"/>
        <v>33</v>
      </c>
      <c r="P660" s="56"/>
      <c r="Q660" s="58">
        <f t="shared" si="29"/>
        <v>270932.97</v>
      </c>
      <c r="R660" s="59" t="s">
        <v>669</v>
      </c>
    </row>
    <row r="661" ht="20" customHeight="1" spans="2:18">
      <c r="B661" s="42">
        <v>8</v>
      </c>
      <c r="C661" s="42">
        <v>10</v>
      </c>
      <c r="D661" s="42"/>
      <c r="E661" s="96" t="s">
        <v>2690</v>
      </c>
      <c r="F661" s="97" t="s">
        <v>3209</v>
      </c>
      <c r="G661" s="56"/>
      <c r="H661" s="55">
        <v>185</v>
      </c>
      <c r="I661" s="56"/>
      <c r="J661" s="56"/>
      <c r="K661" s="56"/>
      <c r="L661" s="56"/>
      <c r="M661" s="56"/>
      <c r="N661" s="56"/>
      <c r="O661" s="55">
        <f t="shared" si="28"/>
        <v>185</v>
      </c>
      <c r="P661" s="56"/>
      <c r="Q661" s="58">
        <f t="shared" si="29"/>
        <v>271117.97</v>
      </c>
      <c r="R661" s="59" t="s">
        <v>669</v>
      </c>
    </row>
    <row r="662" ht="20" customHeight="1" spans="2:18">
      <c r="B662" s="42">
        <v>8</v>
      </c>
      <c r="C662" s="42">
        <v>10</v>
      </c>
      <c r="D662" s="42"/>
      <c r="E662" s="96" t="s">
        <v>2891</v>
      </c>
      <c r="F662" s="97" t="s">
        <v>3210</v>
      </c>
      <c r="G662" s="56"/>
      <c r="H662" s="55">
        <v>28</v>
      </c>
      <c r="I662" s="56"/>
      <c r="J662" s="56"/>
      <c r="K662" s="56"/>
      <c r="L662" s="56"/>
      <c r="M662" s="56"/>
      <c r="N662" s="56"/>
      <c r="O662" s="55">
        <f t="shared" si="28"/>
        <v>28</v>
      </c>
      <c r="P662" s="56"/>
      <c r="Q662" s="58">
        <f t="shared" si="29"/>
        <v>271145.97</v>
      </c>
      <c r="R662" s="59" t="s">
        <v>669</v>
      </c>
    </row>
    <row r="663" ht="20" customHeight="1" spans="2:18">
      <c r="B663" s="42">
        <v>8</v>
      </c>
      <c r="C663" s="42">
        <v>10</v>
      </c>
      <c r="D663" s="42"/>
      <c r="E663" s="100"/>
      <c r="F663" s="97" t="s">
        <v>3211</v>
      </c>
      <c r="G663" s="56"/>
      <c r="H663" s="56"/>
      <c r="I663" s="56"/>
      <c r="J663" s="56"/>
      <c r="K663" s="55">
        <v>150</v>
      </c>
      <c r="L663" s="56"/>
      <c r="M663" s="56"/>
      <c r="N663" s="55"/>
      <c r="O663" s="55">
        <f t="shared" si="28"/>
        <v>150</v>
      </c>
      <c r="P663" s="56"/>
      <c r="Q663" s="58">
        <f t="shared" si="29"/>
        <v>271295.97</v>
      </c>
      <c r="R663" s="59" t="s">
        <v>669</v>
      </c>
    </row>
    <row r="664" ht="20" customHeight="1" spans="2:18">
      <c r="B664" s="42">
        <v>8</v>
      </c>
      <c r="C664" s="42">
        <v>10</v>
      </c>
      <c r="D664" s="42"/>
      <c r="E664" s="104" t="s">
        <v>2934</v>
      </c>
      <c r="F664" s="97" t="s">
        <v>3212</v>
      </c>
      <c r="G664" s="56"/>
      <c r="H664" s="56"/>
      <c r="I664" s="55">
        <v>3100</v>
      </c>
      <c r="J664" s="56"/>
      <c r="K664" s="56"/>
      <c r="L664" s="56"/>
      <c r="M664" s="56"/>
      <c r="N664" s="55">
        <v>15.5</v>
      </c>
      <c r="O664" s="55">
        <f t="shared" si="28"/>
        <v>3084.5</v>
      </c>
      <c r="P664" s="56"/>
      <c r="Q664" s="58">
        <f t="shared" ref="Q664:Q708" si="30">Q663+O664-P664</f>
        <v>274380.47</v>
      </c>
      <c r="R664" s="56"/>
    </row>
    <row r="665" ht="20" customHeight="1" spans="2:18">
      <c r="B665" s="42">
        <v>8</v>
      </c>
      <c r="C665" s="42">
        <v>11</v>
      </c>
      <c r="D665" s="42"/>
      <c r="E665" s="104" t="s">
        <v>2934</v>
      </c>
      <c r="F665" s="97" t="s">
        <v>3213</v>
      </c>
      <c r="G665" s="56"/>
      <c r="H665" s="56"/>
      <c r="I665" s="55">
        <v>750</v>
      </c>
      <c r="J665" s="56"/>
      <c r="K665" s="56"/>
      <c r="L665" s="56"/>
      <c r="M665" s="56"/>
      <c r="N665" s="55">
        <v>3.75</v>
      </c>
      <c r="O665" s="55">
        <f t="shared" si="28"/>
        <v>746.25</v>
      </c>
      <c r="P665" s="56"/>
      <c r="Q665" s="58">
        <f t="shared" si="30"/>
        <v>275126.72</v>
      </c>
      <c r="R665" s="56"/>
    </row>
    <row r="666" ht="20" customHeight="1" spans="2:18">
      <c r="B666" s="42">
        <v>8</v>
      </c>
      <c r="C666" s="42">
        <v>11</v>
      </c>
      <c r="D666" s="42"/>
      <c r="E666" s="104" t="s">
        <v>2589</v>
      </c>
      <c r="F666" s="97" t="s">
        <v>3214</v>
      </c>
      <c r="G666" s="55">
        <v>8331.5</v>
      </c>
      <c r="H666" s="55">
        <v>668.5</v>
      </c>
      <c r="I666" s="56"/>
      <c r="J666" s="56"/>
      <c r="K666" s="56"/>
      <c r="L666" s="56"/>
      <c r="M666" s="56"/>
      <c r="N666" s="56"/>
      <c r="O666" s="55">
        <f t="shared" si="28"/>
        <v>9000</v>
      </c>
      <c r="P666" s="56"/>
      <c r="Q666" s="58">
        <f t="shared" si="30"/>
        <v>284126.72</v>
      </c>
      <c r="R666" s="56"/>
    </row>
    <row r="667" ht="20" customHeight="1" spans="2:18">
      <c r="B667" s="42">
        <v>8</v>
      </c>
      <c r="C667" s="42">
        <v>12</v>
      </c>
      <c r="D667" s="42"/>
      <c r="E667" s="104" t="s">
        <v>2934</v>
      </c>
      <c r="F667" s="97" t="s">
        <v>3215</v>
      </c>
      <c r="G667" s="56"/>
      <c r="H667" s="56"/>
      <c r="I667" s="55">
        <v>2250</v>
      </c>
      <c r="J667" s="56"/>
      <c r="K667" s="56"/>
      <c r="L667" s="56"/>
      <c r="M667" s="56"/>
      <c r="N667" s="55">
        <v>11.25</v>
      </c>
      <c r="O667" s="55">
        <f t="shared" si="28"/>
        <v>2238.75</v>
      </c>
      <c r="P667" s="56"/>
      <c r="Q667" s="58">
        <f t="shared" si="30"/>
        <v>286365.47</v>
      </c>
      <c r="R667" s="56"/>
    </row>
    <row r="668" ht="20" customHeight="1" spans="2:18">
      <c r="B668" s="42">
        <v>8</v>
      </c>
      <c r="C668" s="42">
        <v>12</v>
      </c>
      <c r="D668" s="74" t="s">
        <v>69</v>
      </c>
      <c r="E668" s="104" t="s">
        <v>2638</v>
      </c>
      <c r="F668" s="97" t="s">
        <v>3216</v>
      </c>
      <c r="G668" s="56"/>
      <c r="H668" s="56"/>
      <c r="I668" s="56"/>
      <c r="J668" s="56"/>
      <c r="K668" s="56"/>
      <c r="L668" s="56"/>
      <c r="M668" s="56"/>
      <c r="N668" s="56"/>
      <c r="O668" s="56">
        <f t="shared" si="28"/>
        <v>0</v>
      </c>
      <c r="P668" s="55">
        <v>100000</v>
      </c>
      <c r="Q668" s="58">
        <f t="shared" si="30"/>
        <v>186365.47</v>
      </c>
      <c r="R668" s="56"/>
    </row>
    <row r="669" ht="20" customHeight="1" spans="2:18">
      <c r="B669" s="42">
        <v>8</v>
      </c>
      <c r="C669" s="42">
        <v>12</v>
      </c>
      <c r="D669" s="42"/>
      <c r="E669" s="104" t="s">
        <v>2589</v>
      </c>
      <c r="F669" s="97" t="s">
        <v>3217</v>
      </c>
      <c r="G669" s="56"/>
      <c r="H669" s="56"/>
      <c r="I669" s="55">
        <v>462</v>
      </c>
      <c r="J669" s="56"/>
      <c r="K669" s="56"/>
      <c r="L669" s="56"/>
      <c r="M669" s="56"/>
      <c r="N669" s="56"/>
      <c r="O669" s="55">
        <f t="shared" si="28"/>
        <v>462</v>
      </c>
      <c r="P669" s="56"/>
      <c r="Q669" s="58">
        <f t="shared" si="30"/>
        <v>186827.47</v>
      </c>
      <c r="R669" s="56"/>
    </row>
    <row r="670" ht="20" customHeight="1" spans="2:18">
      <c r="B670" s="42">
        <v>8</v>
      </c>
      <c r="C670" s="42">
        <v>13</v>
      </c>
      <c r="D670" s="42"/>
      <c r="E670" s="104" t="s">
        <v>2934</v>
      </c>
      <c r="F670" s="97" t="s">
        <v>3218</v>
      </c>
      <c r="G670" s="56"/>
      <c r="H670" s="56"/>
      <c r="I670" s="55">
        <v>350</v>
      </c>
      <c r="J670" s="56"/>
      <c r="K670" s="56"/>
      <c r="L670" s="56"/>
      <c r="M670" s="56"/>
      <c r="N670" s="55">
        <v>1.75</v>
      </c>
      <c r="O670" s="55">
        <f t="shared" si="28"/>
        <v>348.25</v>
      </c>
      <c r="P670" s="56"/>
      <c r="Q670" s="58">
        <f t="shared" si="30"/>
        <v>187175.72</v>
      </c>
      <c r="R670" s="56"/>
    </row>
    <row r="671" ht="20" customHeight="1" spans="2:18">
      <c r="B671" s="42">
        <v>8</v>
      </c>
      <c r="C671" s="42">
        <v>13</v>
      </c>
      <c r="D671" s="42"/>
      <c r="E671" s="104" t="s">
        <v>2626</v>
      </c>
      <c r="F671" s="97" t="s">
        <v>3219</v>
      </c>
      <c r="G671" s="56"/>
      <c r="H671" s="56"/>
      <c r="I671" s="55">
        <v>72</v>
      </c>
      <c r="J671" s="56"/>
      <c r="K671" s="56"/>
      <c r="L671" s="56"/>
      <c r="M671" s="56"/>
      <c r="N671" s="56"/>
      <c r="O671" s="55">
        <f t="shared" si="28"/>
        <v>72</v>
      </c>
      <c r="P671" s="56"/>
      <c r="Q671" s="58">
        <f t="shared" si="30"/>
        <v>187247.72</v>
      </c>
      <c r="R671" s="56"/>
    </row>
    <row r="672" ht="20" customHeight="1" spans="2:18">
      <c r="B672" s="42">
        <v>8</v>
      </c>
      <c r="C672" s="42">
        <v>14</v>
      </c>
      <c r="D672" s="42"/>
      <c r="E672" s="104" t="s">
        <v>2934</v>
      </c>
      <c r="F672" s="97" t="s">
        <v>3220</v>
      </c>
      <c r="G672" s="56"/>
      <c r="H672" s="56"/>
      <c r="I672" s="55">
        <v>2900</v>
      </c>
      <c r="J672" s="56"/>
      <c r="K672" s="56"/>
      <c r="L672" s="56"/>
      <c r="M672" s="56"/>
      <c r="N672" s="55">
        <v>14.5</v>
      </c>
      <c r="O672" s="55">
        <f t="shared" si="28"/>
        <v>2885.5</v>
      </c>
      <c r="P672" s="56"/>
      <c r="Q672" s="58">
        <f t="shared" si="30"/>
        <v>190133.22</v>
      </c>
      <c r="R672" s="56"/>
    </row>
    <row r="673" ht="20" customHeight="1" spans="2:18">
      <c r="B673" s="42">
        <v>8</v>
      </c>
      <c r="C673" s="42">
        <v>14</v>
      </c>
      <c r="D673" s="42"/>
      <c r="E673" s="104" t="s">
        <v>2626</v>
      </c>
      <c r="F673" s="97" t="s">
        <v>3221</v>
      </c>
      <c r="G673" s="55">
        <v>4262.5</v>
      </c>
      <c r="H673" s="55">
        <v>437.5</v>
      </c>
      <c r="I673" s="56"/>
      <c r="J673" s="56"/>
      <c r="K673" s="56"/>
      <c r="L673" s="56"/>
      <c r="M673" s="56"/>
      <c r="N673" s="56"/>
      <c r="O673" s="55">
        <f t="shared" si="28"/>
        <v>4700</v>
      </c>
      <c r="P673" s="56"/>
      <c r="Q673" s="58">
        <f t="shared" si="30"/>
        <v>194833.22</v>
      </c>
      <c r="R673" s="56"/>
    </row>
    <row r="674" ht="20" customHeight="1" spans="2:18">
      <c r="B674" s="42">
        <v>8</v>
      </c>
      <c r="C674" s="42">
        <v>14</v>
      </c>
      <c r="D674" s="42"/>
      <c r="E674" s="104" t="s">
        <v>2638</v>
      </c>
      <c r="F674" s="97" t="s">
        <v>3222</v>
      </c>
      <c r="G674" s="56"/>
      <c r="H674" s="56"/>
      <c r="I674" s="56"/>
      <c r="J674" s="56"/>
      <c r="K674" s="56"/>
      <c r="L674" s="56"/>
      <c r="M674" s="56"/>
      <c r="N674" s="56"/>
      <c r="O674" s="55">
        <v>39216.34</v>
      </c>
      <c r="P674" s="56"/>
      <c r="Q674" s="58">
        <f t="shared" si="30"/>
        <v>234049.56</v>
      </c>
      <c r="R674" s="56"/>
    </row>
    <row r="675" ht="20" customHeight="1" spans="2:18">
      <c r="B675" s="42">
        <v>8</v>
      </c>
      <c r="C675" s="42">
        <v>17</v>
      </c>
      <c r="D675" s="42"/>
      <c r="E675" s="104"/>
      <c r="F675" s="97" t="s">
        <v>3223</v>
      </c>
      <c r="G675" s="56"/>
      <c r="H675" s="56"/>
      <c r="I675" s="56"/>
      <c r="J675" s="56"/>
      <c r="K675" s="55">
        <v>200</v>
      </c>
      <c r="L675" s="56"/>
      <c r="M675" s="56"/>
      <c r="N675" s="55">
        <v>0.2</v>
      </c>
      <c r="O675" s="55">
        <f t="shared" si="28"/>
        <v>199.8</v>
      </c>
      <c r="P675" s="56"/>
      <c r="Q675" s="58">
        <f t="shared" si="30"/>
        <v>234249.36</v>
      </c>
      <c r="R675" s="56"/>
    </row>
    <row r="676" ht="20" customHeight="1" spans="2:18">
      <c r="B676" s="42">
        <v>8</v>
      </c>
      <c r="C676" s="42">
        <v>17</v>
      </c>
      <c r="D676" s="42"/>
      <c r="E676" s="104"/>
      <c r="F676" s="97" t="s">
        <v>3224</v>
      </c>
      <c r="G676" s="56"/>
      <c r="H676" s="56"/>
      <c r="I676" s="56"/>
      <c r="J676" s="56"/>
      <c r="K676" s="55">
        <v>240</v>
      </c>
      <c r="L676" s="56"/>
      <c r="M676" s="56"/>
      <c r="N676" s="55">
        <v>0.24</v>
      </c>
      <c r="O676" s="55">
        <f t="shared" si="28"/>
        <v>239.76</v>
      </c>
      <c r="P676" s="56"/>
      <c r="Q676" s="58">
        <f t="shared" si="30"/>
        <v>234489.12</v>
      </c>
      <c r="R676" s="56"/>
    </row>
    <row r="677" ht="20" customHeight="1" spans="2:18">
      <c r="B677" s="42">
        <v>8</v>
      </c>
      <c r="C677" s="42">
        <v>17</v>
      </c>
      <c r="D677" s="74" t="s">
        <v>92</v>
      </c>
      <c r="E677" s="104" t="s">
        <v>251</v>
      </c>
      <c r="F677" s="100" t="s">
        <v>3225</v>
      </c>
      <c r="G677" s="56"/>
      <c r="H677" s="56"/>
      <c r="I677" s="56"/>
      <c r="J677" s="56"/>
      <c r="K677" s="56"/>
      <c r="L677" s="56"/>
      <c r="M677" s="56"/>
      <c r="N677" s="56"/>
      <c r="O677" s="56">
        <f t="shared" si="28"/>
        <v>0</v>
      </c>
      <c r="P677" s="56">
        <v>20411.79</v>
      </c>
      <c r="Q677" s="58">
        <f t="shared" si="30"/>
        <v>214077.33</v>
      </c>
      <c r="R677" s="56"/>
    </row>
    <row r="678" ht="20" customHeight="1" spans="2:18">
      <c r="B678" s="42">
        <v>8</v>
      </c>
      <c r="C678" s="42">
        <v>17</v>
      </c>
      <c r="D678" s="74" t="s">
        <v>93</v>
      </c>
      <c r="E678" s="104" t="s">
        <v>251</v>
      </c>
      <c r="F678" s="100" t="s">
        <v>3226</v>
      </c>
      <c r="G678" s="56"/>
      <c r="H678" s="56"/>
      <c r="I678" s="56"/>
      <c r="J678" s="56"/>
      <c r="K678" s="56"/>
      <c r="L678" s="56"/>
      <c r="M678" s="56"/>
      <c r="N678" s="56"/>
      <c r="O678" s="56">
        <f t="shared" si="28"/>
        <v>0</v>
      </c>
      <c r="P678" s="56">
        <v>4588.21</v>
      </c>
      <c r="Q678" s="58">
        <f t="shared" si="30"/>
        <v>209489.12</v>
      </c>
      <c r="R678" s="56"/>
    </row>
    <row r="679" ht="20" customHeight="1" spans="2:18">
      <c r="B679" s="42">
        <v>8</v>
      </c>
      <c r="C679" s="42">
        <v>17</v>
      </c>
      <c r="D679" s="42"/>
      <c r="E679" s="104" t="s">
        <v>2934</v>
      </c>
      <c r="F679" s="97" t="s">
        <v>3227</v>
      </c>
      <c r="G679" s="56"/>
      <c r="H679" s="56"/>
      <c r="I679" s="55">
        <v>1500</v>
      </c>
      <c r="J679" s="56"/>
      <c r="K679" s="56"/>
      <c r="L679" s="56"/>
      <c r="M679" s="56"/>
      <c r="N679" s="55">
        <v>7.5</v>
      </c>
      <c r="O679" s="55">
        <f t="shared" si="28"/>
        <v>1492.5</v>
      </c>
      <c r="P679" s="56"/>
      <c r="Q679" s="58">
        <f t="shared" si="30"/>
        <v>210981.62</v>
      </c>
      <c r="R679" s="56"/>
    </row>
    <row r="680" ht="20" customHeight="1" spans="2:18">
      <c r="B680" s="42">
        <v>8</v>
      </c>
      <c r="C680" s="42">
        <v>17</v>
      </c>
      <c r="D680" s="74" t="s">
        <v>92</v>
      </c>
      <c r="E680" s="104" t="s">
        <v>271</v>
      </c>
      <c r="F680" s="97" t="s">
        <v>2278</v>
      </c>
      <c r="G680" s="56"/>
      <c r="H680" s="56"/>
      <c r="I680" s="56"/>
      <c r="J680" s="56"/>
      <c r="K680" s="56"/>
      <c r="L680" s="56"/>
      <c r="M680" s="56"/>
      <c r="N680" s="56"/>
      <c r="O680" s="56">
        <f t="shared" si="28"/>
        <v>0</v>
      </c>
      <c r="P680" s="55">
        <v>24900</v>
      </c>
      <c r="Q680" s="58">
        <f t="shared" si="30"/>
        <v>186081.62</v>
      </c>
      <c r="R680" s="56"/>
    </row>
    <row r="681" ht="20" customHeight="1" spans="2:18">
      <c r="B681" s="42">
        <v>8</v>
      </c>
      <c r="C681" s="42">
        <v>17</v>
      </c>
      <c r="D681" s="42"/>
      <c r="E681" s="104" t="s">
        <v>2535</v>
      </c>
      <c r="F681" s="97" t="s">
        <v>3228</v>
      </c>
      <c r="G681" s="55">
        <v>1974</v>
      </c>
      <c r="H681" s="55">
        <v>282</v>
      </c>
      <c r="I681" s="55">
        <v>19</v>
      </c>
      <c r="J681" s="56"/>
      <c r="K681" s="56"/>
      <c r="L681" s="56"/>
      <c r="M681" s="56"/>
      <c r="N681" s="56"/>
      <c r="O681" s="55">
        <f t="shared" si="28"/>
        <v>2275</v>
      </c>
      <c r="P681" s="56"/>
      <c r="Q681" s="58">
        <f t="shared" si="30"/>
        <v>188356.62</v>
      </c>
      <c r="R681" s="56"/>
    </row>
    <row r="682" ht="20" customHeight="1" spans="2:18">
      <c r="B682" s="42">
        <v>8</v>
      </c>
      <c r="C682" s="42">
        <v>17</v>
      </c>
      <c r="D682" s="42"/>
      <c r="E682" s="104" t="s">
        <v>2107</v>
      </c>
      <c r="F682" s="97" t="s">
        <v>3229</v>
      </c>
      <c r="G682" s="55">
        <v>1830</v>
      </c>
      <c r="H682" s="55">
        <v>305</v>
      </c>
      <c r="I682" s="55">
        <v>25</v>
      </c>
      <c r="J682" s="56"/>
      <c r="K682" s="56"/>
      <c r="L682" s="56"/>
      <c r="M682" s="56"/>
      <c r="N682" s="56"/>
      <c r="O682" s="55">
        <f t="shared" si="28"/>
        <v>2160</v>
      </c>
      <c r="P682" s="56"/>
      <c r="Q682" s="58">
        <f t="shared" si="30"/>
        <v>190516.62</v>
      </c>
      <c r="R682" s="56"/>
    </row>
    <row r="683" ht="20" customHeight="1" spans="2:18">
      <c r="B683" s="42">
        <v>8</v>
      </c>
      <c r="C683" s="42">
        <v>17</v>
      </c>
      <c r="D683" s="42" t="s">
        <v>129</v>
      </c>
      <c r="E683" s="104" t="s">
        <v>283</v>
      </c>
      <c r="F683" s="100" t="s">
        <v>3230</v>
      </c>
      <c r="G683" s="56"/>
      <c r="H683" s="56"/>
      <c r="I683" s="56"/>
      <c r="J683" s="56"/>
      <c r="K683" s="56"/>
      <c r="L683" s="56"/>
      <c r="M683" s="56"/>
      <c r="N683" s="56"/>
      <c r="O683" s="56">
        <f t="shared" si="28"/>
        <v>0</v>
      </c>
      <c r="P683" s="56">
        <v>4600</v>
      </c>
      <c r="Q683" s="58">
        <f t="shared" si="30"/>
        <v>185916.62</v>
      </c>
      <c r="R683" s="56"/>
    </row>
    <row r="684" ht="36.75" spans="2:18">
      <c r="B684" s="42">
        <v>8</v>
      </c>
      <c r="C684" s="42">
        <v>17</v>
      </c>
      <c r="D684" s="42" t="s">
        <v>101</v>
      </c>
      <c r="E684" s="104" t="s">
        <v>291</v>
      </c>
      <c r="F684" s="129" t="s">
        <v>3231</v>
      </c>
      <c r="G684" s="56"/>
      <c r="H684" s="56"/>
      <c r="I684" s="56"/>
      <c r="J684" s="56"/>
      <c r="K684" s="56"/>
      <c r="L684" s="56"/>
      <c r="M684" s="56"/>
      <c r="N684" s="56"/>
      <c r="O684" s="56">
        <f t="shared" si="28"/>
        <v>0</v>
      </c>
      <c r="P684" s="56">
        <v>272</v>
      </c>
      <c r="Q684" s="58">
        <f t="shared" si="30"/>
        <v>185644.62</v>
      </c>
      <c r="R684" s="56"/>
    </row>
    <row r="685" ht="20" customHeight="1" spans="2:18">
      <c r="B685" s="42">
        <v>8</v>
      </c>
      <c r="C685" s="42">
        <v>17</v>
      </c>
      <c r="D685" s="74" t="s">
        <v>100</v>
      </c>
      <c r="E685" s="104" t="s">
        <v>291</v>
      </c>
      <c r="F685" s="100" t="s">
        <v>3232</v>
      </c>
      <c r="G685" s="56"/>
      <c r="H685" s="56"/>
      <c r="I685" s="56"/>
      <c r="J685" s="56"/>
      <c r="K685" s="56"/>
      <c r="L685" s="56"/>
      <c r="M685" s="56"/>
      <c r="N685" s="56"/>
      <c r="O685" s="56">
        <f t="shared" si="28"/>
        <v>0</v>
      </c>
      <c r="P685" s="56">
        <v>2770</v>
      </c>
      <c r="Q685" s="58">
        <f t="shared" si="30"/>
        <v>182874.62</v>
      </c>
      <c r="R685" s="56"/>
    </row>
    <row r="686" ht="20" customHeight="1" spans="2:18">
      <c r="B686" s="42">
        <v>8</v>
      </c>
      <c r="C686" s="42">
        <v>17</v>
      </c>
      <c r="D686" s="42" t="s">
        <v>103</v>
      </c>
      <c r="E686" s="104" t="s">
        <v>291</v>
      </c>
      <c r="F686" s="100" t="s">
        <v>3233</v>
      </c>
      <c r="G686" s="56"/>
      <c r="H686" s="56"/>
      <c r="I686" s="56"/>
      <c r="J686" s="56"/>
      <c r="K686" s="56"/>
      <c r="L686" s="56"/>
      <c r="M686" s="56"/>
      <c r="N686" s="56"/>
      <c r="O686" s="56">
        <f t="shared" si="28"/>
        <v>0</v>
      </c>
      <c r="P686" s="56">
        <v>400</v>
      </c>
      <c r="Q686" s="58">
        <f t="shared" si="30"/>
        <v>182474.62</v>
      </c>
      <c r="R686" s="56"/>
    </row>
    <row r="687" ht="20" customHeight="1" spans="2:18">
      <c r="B687" s="42">
        <v>8</v>
      </c>
      <c r="C687" s="42">
        <v>17</v>
      </c>
      <c r="D687" s="42" t="s">
        <v>97</v>
      </c>
      <c r="E687" s="104" t="s">
        <v>291</v>
      </c>
      <c r="F687" s="100" t="s">
        <v>3234</v>
      </c>
      <c r="G687" s="56"/>
      <c r="H687" s="56"/>
      <c r="I687" s="56"/>
      <c r="J687" s="56"/>
      <c r="K687" s="56"/>
      <c r="L687" s="56"/>
      <c r="M687" s="56"/>
      <c r="N687" s="56"/>
      <c r="O687" s="56">
        <f t="shared" si="28"/>
        <v>0</v>
      </c>
      <c r="P687" s="56">
        <v>160</v>
      </c>
      <c r="Q687" s="58">
        <f t="shared" si="30"/>
        <v>182314.62</v>
      </c>
      <c r="R687" s="56"/>
    </row>
    <row r="688" ht="20" customHeight="1" spans="2:18">
      <c r="B688" s="42">
        <v>8</v>
      </c>
      <c r="C688" s="42">
        <v>17</v>
      </c>
      <c r="D688" s="74" t="s">
        <v>100</v>
      </c>
      <c r="E688" s="104" t="s">
        <v>291</v>
      </c>
      <c r="F688" s="100" t="s">
        <v>3235</v>
      </c>
      <c r="G688" s="56"/>
      <c r="H688" s="56"/>
      <c r="I688" s="56"/>
      <c r="J688" s="56"/>
      <c r="K688" s="56"/>
      <c r="L688" s="56"/>
      <c r="M688" s="56"/>
      <c r="N688" s="56"/>
      <c r="O688" s="56">
        <f t="shared" si="28"/>
        <v>0</v>
      </c>
      <c r="P688" s="56">
        <v>48</v>
      </c>
      <c r="Q688" s="58">
        <f t="shared" si="30"/>
        <v>182266.62</v>
      </c>
      <c r="R688" s="56"/>
    </row>
    <row r="689" ht="20" customHeight="1" spans="2:18">
      <c r="B689" s="42">
        <v>8</v>
      </c>
      <c r="C689" s="42">
        <v>17</v>
      </c>
      <c r="D689" s="42"/>
      <c r="E689" s="104" t="s">
        <v>2756</v>
      </c>
      <c r="F689" s="97" t="s">
        <v>3236</v>
      </c>
      <c r="G689" s="56"/>
      <c r="H689" s="56"/>
      <c r="I689" s="55">
        <v>99</v>
      </c>
      <c r="J689" s="56"/>
      <c r="K689" s="56"/>
      <c r="L689" s="56"/>
      <c r="M689" s="56"/>
      <c r="N689" s="56"/>
      <c r="O689" s="55">
        <f t="shared" si="28"/>
        <v>99</v>
      </c>
      <c r="P689" s="56"/>
      <c r="Q689" s="58">
        <f t="shared" si="30"/>
        <v>182365.62</v>
      </c>
      <c r="R689" s="56"/>
    </row>
    <row r="690" ht="20" customHeight="1" spans="2:18">
      <c r="B690" s="42">
        <v>8</v>
      </c>
      <c r="C690" s="42">
        <v>18</v>
      </c>
      <c r="D690" s="42"/>
      <c r="E690" s="104" t="s">
        <v>2934</v>
      </c>
      <c r="F690" s="97" t="s">
        <v>3237</v>
      </c>
      <c r="G690" s="56"/>
      <c r="H690" s="56"/>
      <c r="I690" s="55">
        <v>1950</v>
      </c>
      <c r="J690" s="56"/>
      <c r="K690" s="56"/>
      <c r="L690" s="56"/>
      <c r="M690" s="56"/>
      <c r="N690" s="55">
        <v>9.75</v>
      </c>
      <c r="O690" s="55">
        <f t="shared" si="28"/>
        <v>1940.25</v>
      </c>
      <c r="P690" s="56"/>
      <c r="Q690" s="58">
        <f t="shared" si="30"/>
        <v>184305.87</v>
      </c>
      <c r="R690" s="56"/>
    </row>
    <row r="691" ht="20" customHeight="1" spans="2:18">
      <c r="B691" s="42">
        <v>8</v>
      </c>
      <c r="C691" s="42">
        <v>18</v>
      </c>
      <c r="D691" s="42"/>
      <c r="E691" s="104" t="s">
        <v>3123</v>
      </c>
      <c r="F691" s="97" t="s">
        <v>3238</v>
      </c>
      <c r="G691" s="56"/>
      <c r="H691" s="56"/>
      <c r="I691" s="55">
        <v>292.56</v>
      </c>
      <c r="J691" s="56"/>
      <c r="K691" s="56"/>
      <c r="L691" s="56"/>
      <c r="M691" s="56"/>
      <c r="N691" s="56"/>
      <c r="O691" s="55">
        <f t="shared" si="28"/>
        <v>292.56</v>
      </c>
      <c r="P691" s="56"/>
      <c r="Q691" s="58">
        <f t="shared" si="30"/>
        <v>184598.43</v>
      </c>
      <c r="R691" s="56"/>
    </row>
    <row r="692" ht="20" customHeight="1" spans="2:18">
      <c r="B692" s="42">
        <v>8</v>
      </c>
      <c r="C692" s="42">
        <v>19</v>
      </c>
      <c r="D692" s="42"/>
      <c r="E692" s="104" t="s">
        <v>2934</v>
      </c>
      <c r="F692" s="97" t="s">
        <v>3239</v>
      </c>
      <c r="G692" s="56"/>
      <c r="H692" s="56"/>
      <c r="I692" s="55">
        <v>1850</v>
      </c>
      <c r="J692" s="56"/>
      <c r="K692" s="56"/>
      <c r="L692" s="56"/>
      <c r="M692" s="56"/>
      <c r="N692" s="55">
        <v>9.25</v>
      </c>
      <c r="O692" s="55">
        <f t="shared" si="28"/>
        <v>1840.75</v>
      </c>
      <c r="P692" s="56"/>
      <c r="Q692" s="58">
        <f t="shared" si="30"/>
        <v>186439.18</v>
      </c>
      <c r="R692" s="56"/>
    </row>
    <row r="693" ht="20" customHeight="1" spans="2:18">
      <c r="B693" s="42">
        <v>8</v>
      </c>
      <c r="C693" s="42">
        <v>19</v>
      </c>
      <c r="D693" s="74" t="s">
        <v>69</v>
      </c>
      <c r="E693" s="104" t="s">
        <v>2638</v>
      </c>
      <c r="F693" s="97" t="s">
        <v>3222</v>
      </c>
      <c r="G693" s="56"/>
      <c r="H693" s="56"/>
      <c r="I693" s="56"/>
      <c r="J693" s="56"/>
      <c r="K693" s="56"/>
      <c r="L693" s="56"/>
      <c r="M693" s="56"/>
      <c r="N693" s="56"/>
      <c r="O693" s="55">
        <v>13890</v>
      </c>
      <c r="P693" s="56"/>
      <c r="Q693" s="58">
        <f t="shared" si="30"/>
        <v>200329.18</v>
      </c>
      <c r="R693" s="56"/>
    </row>
    <row r="694" ht="20" customHeight="1" spans="2:18">
      <c r="B694" s="42">
        <v>8</v>
      </c>
      <c r="C694" s="42">
        <v>20</v>
      </c>
      <c r="D694" s="74"/>
      <c r="E694" s="104" t="s">
        <v>2934</v>
      </c>
      <c r="F694" s="97" t="s">
        <v>3240</v>
      </c>
      <c r="G694" s="56"/>
      <c r="H694" s="56"/>
      <c r="I694" s="55">
        <v>1180</v>
      </c>
      <c r="J694" s="56"/>
      <c r="K694" s="56"/>
      <c r="L694" s="56"/>
      <c r="M694" s="56"/>
      <c r="N694" s="55">
        <v>5.9</v>
      </c>
      <c r="O694" s="55">
        <f>SUM(G694:M694)-N694</f>
        <v>1174.1</v>
      </c>
      <c r="P694" s="56"/>
      <c r="Q694" s="58">
        <f t="shared" si="30"/>
        <v>201503.28</v>
      </c>
      <c r="R694" s="56"/>
    </row>
    <row r="695" ht="20" customHeight="1" spans="2:18">
      <c r="B695" s="42">
        <v>8</v>
      </c>
      <c r="C695" s="42">
        <v>20</v>
      </c>
      <c r="D695" s="74" t="s">
        <v>69</v>
      </c>
      <c r="E695" s="104" t="s">
        <v>2638</v>
      </c>
      <c r="F695" s="97" t="s">
        <v>3222</v>
      </c>
      <c r="G695" s="56"/>
      <c r="H695" s="56"/>
      <c r="I695" s="56"/>
      <c r="J695" s="56"/>
      <c r="K695" s="56"/>
      <c r="L695" s="56"/>
      <c r="M695" s="56"/>
      <c r="N695" s="56"/>
      <c r="O695" s="55">
        <v>18400</v>
      </c>
      <c r="P695" s="56"/>
      <c r="Q695" s="58">
        <f t="shared" si="30"/>
        <v>219903.28</v>
      </c>
      <c r="R695" s="56"/>
    </row>
    <row r="696" ht="20" customHeight="1" spans="2:18">
      <c r="B696" s="42">
        <v>8</v>
      </c>
      <c r="C696" s="42">
        <v>20</v>
      </c>
      <c r="D696" s="74" t="s">
        <v>100</v>
      </c>
      <c r="E696" s="104" t="s">
        <v>2006</v>
      </c>
      <c r="F696" s="97" t="s">
        <v>3241</v>
      </c>
      <c r="G696" s="56"/>
      <c r="H696" s="56"/>
      <c r="I696" s="56"/>
      <c r="J696" s="56"/>
      <c r="K696" s="56"/>
      <c r="L696" s="56"/>
      <c r="M696" s="56"/>
      <c r="N696" s="56"/>
      <c r="O696" s="56">
        <f t="shared" si="28"/>
        <v>0</v>
      </c>
      <c r="P696" s="55">
        <v>6700</v>
      </c>
      <c r="Q696" s="58">
        <f t="shared" ref="Q696:Q727" si="31">Q695+O696-P696</f>
        <v>213203.28</v>
      </c>
      <c r="R696" s="56"/>
    </row>
    <row r="697" ht="20" customHeight="1" spans="2:18">
      <c r="B697" s="42">
        <v>8</v>
      </c>
      <c r="C697" s="42">
        <v>21</v>
      </c>
      <c r="D697" s="42"/>
      <c r="E697" s="104" t="s">
        <v>2559</v>
      </c>
      <c r="F697" s="97" t="s">
        <v>3242</v>
      </c>
      <c r="G697" s="55">
        <v>2611</v>
      </c>
      <c r="H697" s="55">
        <v>373</v>
      </c>
      <c r="I697" s="55">
        <v>25</v>
      </c>
      <c r="J697" s="56"/>
      <c r="K697" s="56"/>
      <c r="L697" s="56"/>
      <c r="M697" s="56"/>
      <c r="N697" s="56"/>
      <c r="O697" s="55">
        <f t="shared" si="28"/>
        <v>3009</v>
      </c>
      <c r="P697" s="56"/>
      <c r="Q697" s="58">
        <f t="shared" si="31"/>
        <v>216212.28</v>
      </c>
      <c r="R697" s="56"/>
    </row>
    <row r="698" ht="20" customHeight="1" spans="2:18">
      <c r="B698" s="42">
        <v>8</v>
      </c>
      <c r="C698" s="42">
        <v>21</v>
      </c>
      <c r="D698" s="42"/>
      <c r="E698" s="104" t="s">
        <v>2934</v>
      </c>
      <c r="F698" s="97" t="s">
        <v>3243</v>
      </c>
      <c r="G698" s="56"/>
      <c r="H698" s="56"/>
      <c r="I698" s="55">
        <v>100</v>
      </c>
      <c r="J698" s="56"/>
      <c r="K698" s="56"/>
      <c r="L698" s="56"/>
      <c r="M698" s="56"/>
      <c r="N698" s="55">
        <v>0.5</v>
      </c>
      <c r="O698" s="55">
        <f t="shared" si="28"/>
        <v>99.5</v>
      </c>
      <c r="P698" s="56"/>
      <c r="Q698" s="58">
        <f t="shared" si="31"/>
        <v>216311.78</v>
      </c>
      <c r="R698" s="56"/>
    </row>
    <row r="699" ht="20" customHeight="1" spans="2:18">
      <c r="B699" s="42">
        <v>8</v>
      </c>
      <c r="C699" s="42">
        <v>24</v>
      </c>
      <c r="D699" s="42"/>
      <c r="E699" s="104" t="s">
        <v>2546</v>
      </c>
      <c r="F699" s="97" t="s">
        <v>3244</v>
      </c>
      <c r="G699" s="56"/>
      <c r="H699" s="56"/>
      <c r="I699" s="56"/>
      <c r="J699" s="56"/>
      <c r="K699" s="55">
        <v>100</v>
      </c>
      <c r="L699" s="56"/>
      <c r="M699" s="56"/>
      <c r="N699" s="55">
        <v>0.1</v>
      </c>
      <c r="O699" s="55">
        <f t="shared" ref="O699:O711" si="32">SUM(G699:M699)-N699</f>
        <v>99.9</v>
      </c>
      <c r="P699" s="56"/>
      <c r="Q699" s="58">
        <f t="shared" si="31"/>
        <v>216411.68</v>
      </c>
      <c r="R699" s="59" t="s">
        <v>669</v>
      </c>
    </row>
    <row r="700" ht="20" customHeight="1" spans="2:18">
      <c r="B700" s="42">
        <v>8</v>
      </c>
      <c r="C700" s="42">
        <v>24</v>
      </c>
      <c r="D700" s="42"/>
      <c r="E700" s="104" t="s">
        <v>3119</v>
      </c>
      <c r="F700" s="97" t="s">
        <v>3120</v>
      </c>
      <c r="G700" s="56"/>
      <c r="H700" s="56"/>
      <c r="I700" s="55">
        <v>5000</v>
      </c>
      <c r="J700" s="56"/>
      <c r="K700" s="56"/>
      <c r="L700" s="56"/>
      <c r="M700" s="56"/>
      <c r="N700" s="55">
        <v>5</v>
      </c>
      <c r="O700" s="55">
        <f t="shared" si="32"/>
        <v>4995</v>
      </c>
      <c r="P700" s="56"/>
      <c r="Q700" s="58">
        <f t="shared" si="31"/>
        <v>221406.68</v>
      </c>
      <c r="R700" s="59" t="s">
        <v>669</v>
      </c>
    </row>
    <row r="701" ht="20" customHeight="1" spans="2:18">
      <c r="B701" s="42">
        <v>8</v>
      </c>
      <c r="C701" s="42">
        <v>24</v>
      </c>
      <c r="D701" s="42"/>
      <c r="E701" s="104" t="s">
        <v>2578</v>
      </c>
      <c r="F701" s="97" t="s">
        <v>3245</v>
      </c>
      <c r="G701" s="56"/>
      <c r="H701" s="56"/>
      <c r="I701" s="56"/>
      <c r="J701" s="56"/>
      <c r="K701" s="55">
        <v>300</v>
      </c>
      <c r="L701" s="56"/>
      <c r="M701" s="56"/>
      <c r="N701" s="55">
        <v>0.3</v>
      </c>
      <c r="O701" s="55">
        <f t="shared" si="32"/>
        <v>299.7</v>
      </c>
      <c r="P701" s="56"/>
      <c r="Q701" s="58">
        <f t="shared" si="31"/>
        <v>221706.38</v>
      </c>
      <c r="R701" s="59" t="s">
        <v>669</v>
      </c>
    </row>
    <row r="702" ht="20" customHeight="1" spans="2:18">
      <c r="B702" s="42">
        <v>8</v>
      </c>
      <c r="C702" s="42">
        <v>24</v>
      </c>
      <c r="D702" s="42"/>
      <c r="E702" s="104"/>
      <c r="F702" s="97" t="s">
        <v>3246</v>
      </c>
      <c r="G702" s="56"/>
      <c r="H702" s="56"/>
      <c r="I702" s="56"/>
      <c r="J702" s="56"/>
      <c r="K702" s="55">
        <v>250</v>
      </c>
      <c r="L702" s="56"/>
      <c r="M702" s="56"/>
      <c r="N702" s="55">
        <v>0.24</v>
      </c>
      <c r="O702" s="55">
        <f t="shared" si="32"/>
        <v>249.76</v>
      </c>
      <c r="P702" s="56"/>
      <c r="Q702" s="58">
        <f t="shared" si="31"/>
        <v>221956.14</v>
      </c>
      <c r="R702" s="59" t="s">
        <v>669</v>
      </c>
    </row>
    <row r="703" ht="20" customHeight="1" spans="2:18">
      <c r="B703" s="42">
        <v>8</v>
      </c>
      <c r="C703" s="42">
        <v>24</v>
      </c>
      <c r="D703" s="42"/>
      <c r="E703" s="104" t="s">
        <v>2934</v>
      </c>
      <c r="F703" s="97" t="s">
        <v>3247</v>
      </c>
      <c r="G703" s="56"/>
      <c r="H703" s="56"/>
      <c r="I703" s="55">
        <v>2600</v>
      </c>
      <c r="J703" s="56"/>
      <c r="K703" s="56"/>
      <c r="L703" s="56"/>
      <c r="M703" s="56"/>
      <c r="N703" s="55">
        <v>13</v>
      </c>
      <c r="O703" s="55">
        <f t="shared" si="32"/>
        <v>2587</v>
      </c>
      <c r="P703" s="56"/>
      <c r="Q703" s="58">
        <f t="shared" si="31"/>
        <v>224543.14</v>
      </c>
      <c r="R703" s="56"/>
    </row>
    <row r="704" ht="20" customHeight="1" spans="2:18">
      <c r="B704" s="42">
        <v>8</v>
      </c>
      <c r="C704" s="42">
        <v>24</v>
      </c>
      <c r="D704" s="42"/>
      <c r="E704" s="104" t="s">
        <v>2636</v>
      </c>
      <c r="F704" s="97" t="s">
        <v>3248</v>
      </c>
      <c r="G704" s="55">
        <v>3712.5</v>
      </c>
      <c r="H704" s="55">
        <v>562.5</v>
      </c>
      <c r="I704" s="55">
        <v>150</v>
      </c>
      <c r="J704" s="56"/>
      <c r="K704" s="56"/>
      <c r="L704" s="56"/>
      <c r="M704" s="56"/>
      <c r="N704" s="56"/>
      <c r="O704" s="55">
        <f t="shared" si="32"/>
        <v>4425</v>
      </c>
      <c r="P704" s="56"/>
      <c r="Q704" s="58">
        <f t="shared" si="31"/>
        <v>228968.14</v>
      </c>
      <c r="R704" s="56"/>
    </row>
    <row r="705" ht="20" customHeight="1" spans="2:18">
      <c r="B705" s="42">
        <v>8</v>
      </c>
      <c r="C705" s="42">
        <v>24</v>
      </c>
      <c r="D705" s="42"/>
      <c r="E705" s="104" t="s">
        <v>2663</v>
      </c>
      <c r="F705" s="97" t="s">
        <v>3249</v>
      </c>
      <c r="G705" s="55">
        <v>3436</v>
      </c>
      <c r="H705" s="55">
        <v>564</v>
      </c>
      <c r="I705" s="56"/>
      <c r="J705" s="56"/>
      <c r="K705" s="56"/>
      <c r="L705" s="56"/>
      <c r="M705" s="56"/>
      <c r="N705" s="56"/>
      <c r="O705" s="55">
        <f t="shared" si="32"/>
        <v>4000</v>
      </c>
      <c r="P705" s="56"/>
      <c r="Q705" s="58">
        <f t="shared" si="31"/>
        <v>232968.14</v>
      </c>
      <c r="R705" s="56"/>
    </row>
    <row r="706" ht="20" customHeight="1" spans="2:18">
      <c r="B706" s="42">
        <v>8</v>
      </c>
      <c r="C706" s="42">
        <v>24</v>
      </c>
      <c r="D706" s="42"/>
      <c r="E706" s="104" t="s">
        <v>3250</v>
      </c>
      <c r="F706" s="97" t="s">
        <v>3251</v>
      </c>
      <c r="G706" s="56"/>
      <c r="H706" s="56"/>
      <c r="I706" s="55">
        <v>357</v>
      </c>
      <c r="J706" s="56"/>
      <c r="K706" s="56"/>
      <c r="L706" s="56"/>
      <c r="M706" s="56"/>
      <c r="N706" s="56"/>
      <c r="O706" s="55">
        <f t="shared" si="32"/>
        <v>357</v>
      </c>
      <c r="P706" s="56"/>
      <c r="Q706" s="58">
        <f t="shared" si="31"/>
        <v>233325.14</v>
      </c>
      <c r="R706" s="56"/>
    </row>
    <row r="707" ht="20" customHeight="1" spans="2:18">
      <c r="B707" s="42">
        <v>8</v>
      </c>
      <c r="C707" s="42">
        <v>25</v>
      </c>
      <c r="D707" s="74" t="s">
        <v>69</v>
      </c>
      <c r="E707" s="104" t="s">
        <v>2638</v>
      </c>
      <c r="F707" s="97" t="s">
        <v>3252</v>
      </c>
      <c r="G707" s="56"/>
      <c r="H707" s="56"/>
      <c r="I707" s="56"/>
      <c r="J707" s="56"/>
      <c r="K707" s="56"/>
      <c r="L707" s="56"/>
      <c r="M707" s="56"/>
      <c r="N707" s="56"/>
      <c r="O707" s="56"/>
      <c r="P707" s="55">
        <v>17025</v>
      </c>
      <c r="Q707" s="58">
        <f t="shared" si="31"/>
        <v>216300.14</v>
      </c>
      <c r="R707" s="56"/>
    </row>
    <row r="708" ht="20" customHeight="1" spans="2:18">
      <c r="B708" s="42">
        <v>8</v>
      </c>
      <c r="C708" s="42">
        <v>25</v>
      </c>
      <c r="D708" s="42"/>
      <c r="E708" s="104" t="s">
        <v>2934</v>
      </c>
      <c r="F708" s="97" t="s">
        <v>3253</v>
      </c>
      <c r="G708" s="56"/>
      <c r="H708" s="56"/>
      <c r="I708" s="55">
        <v>550</v>
      </c>
      <c r="J708" s="56"/>
      <c r="K708" s="56"/>
      <c r="L708" s="56"/>
      <c r="M708" s="56"/>
      <c r="N708" s="55">
        <v>2.75</v>
      </c>
      <c r="O708" s="55">
        <f t="shared" si="32"/>
        <v>547.25</v>
      </c>
      <c r="P708" s="56"/>
      <c r="Q708" s="58">
        <f t="shared" si="31"/>
        <v>216847.39</v>
      </c>
      <c r="R708" s="56"/>
    </row>
    <row r="709" ht="20" customHeight="1" spans="2:18">
      <c r="B709" s="42">
        <v>8</v>
      </c>
      <c r="C709" s="42">
        <v>25</v>
      </c>
      <c r="D709" s="42" t="s">
        <v>129</v>
      </c>
      <c r="E709" s="104" t="s">
        <v>283</v>
      </c>
      <c r="F709" s="100" t="s">
        <v>3254</v>
      </c>
      <c r="G709" s="56"/>
      <c r="H709" s="56"/>
      <c r="I709" s="56"/>
      <c r="J709" s="56"/>
      <c r="K709" s="56"/>
      <c r="L709" s="56"/>
      <c r="M709" s="56"/>
      <c r="N709" s="56"/>
      <c r="O709" s="56">
        <f t="shared" si="32"/>
        <v>0</v>
      </c>
      <c r="P709" s="56">
        <v>30000</v>
      </c>
      <c r="Q709" s="58">
        <f t="shared" si="31"/>
        <v>186847.39</v>
      </c>
      <c r="R709" s="56"/>
    </row>
    <row r="710" ht="20" customHeight="1" spans="2:18">
      <c r="B710" s="42">
        <v>8</v>
      </c>
      <c r="C710" s="42">
        <v>26</v>
      </c>
      <c r="D710" s="42"/>
      <c r="E710" s="96" t="s">
        <v>3255</v>
      </c>
      <c r="F710" s="97" t="s">
        <v>3256</v>
      </c>
      <c r="G710" s="56"/>
      <c r="H710" s="56"/>
      <c r="I710" s="56"/>
      <c r="J710" s="55">
        <v>6000</v>
      </c>
      <c r="K710" s="56"/>
      <c r="L710" s="56"/>
      <c r="M710" s="56"/>
      <c r="N710" s="56"/>
      <c r="O710" s="55">
        <f t="shared" si="32"/>
        <v>6000</v>
      </c>
      <c r="P710" s="56"/>
      <c r="Q710" s="58">
        <f t="shared" si="31"/>
        <v>192847.39</v>
      </c>
      <c r="R710" s="56"/>
    </row>
    <row r="711" ht="20" customHeight="1" spans="2:18">
      <c r="B711" s="42">
        <v>8</v>
      </c>
      <c r="C711" s="42">
        <v>26</v>
      </c>
      <c r="D711" s="42"/>
      <c r="E711" s="104" t="s">
        <v>2934</v>
      </c>
      <c r="F711" s="97" t="s">
        <v>3257</v>
      </c>
      <c r="G711" s="56"/>
      <c r="H711" s="56"/>
      <c r="I711" s="55">
        <v>1500</v>
      </c>
      <c r="J711" s="56"/>
      <c r="K711" s="56"/>
      <c r="L711" s="56"/>
      <c r="M711" s="56"/>
      <c r="N711" s="55">
        <v>7.5</v>
      </c>
      <c r="O711" s="55">
        <f t="shared" si="32"/>
        <v>1492.5</v>
      </c>
      <c r="P711" s="56"/>
      <c r="Q711" s="58">
        <f t="shared" si="31"/>
        <v>194339.89</v>
      </c>
      <c r="R711" s="56"/>
    </row>
    <row r="712" ht="20" customHeight="1" spans="2:18">
      <c r="B712" s="42">
        <v>8</v>
      </c>
      <c r="C712" s="42">
        <v>27</v>
      </c>
      <c r="D712" s="42"/>
      <c r="E712" s="104" t="s">
        <v>2934</v>
      </c>
      <c r="F712" s="97" t="s">
        <v>3258</v>
      </c>
      <c r="G712" s="56"/>
      <c r="H712" s="56"/>
      <c r="I712" s="55">
        <v>1150</v>
      </c>
      <c r="J712" s="56"/>
      <c r="K712" s="56"/>
      <c r="L712" s="56"/>
      <c r="M712" s="56"/>
      <c r="N712" s="55">
        <v>5.75</v>
      </c>
      <c r="O712" s="55">
        <f t="shared" ref="O712:O727" si="33">SUM(G712:M712)-N712</f>
        <v>1144.25</v>
      </c>
      <c r="P712" s="56"/>
      <c r="Q712" s="58">
        <f t="shared" si="31"/>
        <v>195484.14</v>
      </c>
      <c r="R712" s="56"/>
    </row>
    <row r="713" ht="20" customHeight="1" spans="2:18">
      <c r="B713" s="42">
        <v>8</v>
      </c>
      <c r="C713" s="42">
        <v>27</v>
      </c>
      <c r="D713" s="42"/>
      <c r="E713" s="104" t="s">
        <v>2549</v>
      </c>
      <c r="F713" s="97" t="s">
        <v>3259</v>
      </c>
      <c r="G713" s="55">
        <v>8273</v>
      </c>
      <c r="H713" s="55">
        <v>1100</v>
      </c>
      <c r="I713" s="56"/>
      <c r="J713" s="56"/>
      <c r="K713" s="56"/>
      <c r="L713" s="56"/>
      <c r="M713" s="56"/>
      <c r="N713" s="56"/>
      <c r="O713" s="55">
        <f t="shared" si="33"/>
        <v>9373</v>
      </c>
      <c r="P713" s="56"/>
      <c r="Q713" s="58">
        <f t="shared" si="31"/>
        <v>204857.14</v>
      </c>
      <c r="R713" s="56"/>
    </row>
    <row r="714" ht="20" customHeight="1" spans="2:18">
      <c r="B714" s="42">
        <v>8</v>
      </c>
      <c r="C714" s="42">
        <v>27</v>
      </c>
      <c r="D714" s="74" t="s">
        <v>69</v>
      </c>
      <c r="E714" s="104" t="s">
        <v>2638</v>
      </c>
      <c r="F714" s="97" t="s">
        <v>3252</v>
      </c>
      <c r="G714" s="56"/>
      <c r="H714" s="56"/>
      <c r="I714" s="56"/>
      <c r="J714" s="56"/>
      <c r="K714" s="56"/>
      <c r="L714" s="56"/>
      <c r="M714" s="56"/>
      <c r="N714" s="56"/>
      <c r="O714" s="56">
        <f t="shared" si="33"/>
        <v>0</v>
      </c>
      <c r="P714" s="55">
        <v>4000</v>
      </c>
      <c r="Q714" s="58">
        <f t="shared" si="31"/>
        <v>200857.14</v>
      </c>
      <c r="R714" s="56"/>
    </row>
    <row r="715" ht="20" customHeight="1" spans="2:18">
      <c r="B715" s="42">
        <v>8</v>
      </c>
      <c r="C715" s="42">
        <v>28</v>
      </c>
      <c r="D715" s="42"/>
      <c r="E715" s="104" t="s">
        <v>2934</v>
      </c>
      <c r="F715" s="97" t="s">
        <v>3260</v>
      </c>
      <c r="G715" s="56"/>
      <c r="H715" s="56"/>
      <c r="I715" s="55">
        <v>2050</v>
      </c>
      <c r="J715" s="56"/>
      <c r="K715" s="56"/>
      <c r="L715" s="56"/>
      <c r="M715" s="56"/>
      <c r="N715" s="55">
        <v>10.25</v>
      </c>
      <c r="O715" s="55">
        <f t="shared" si="33"/>
        <v>2039.75</v>
      </c>
      <c r="P715" s="56"/>
      <c r="Q715" s="58">
        <f t="shared" si="31"/>
        <v>202896.89</v>
      </c>
      <c r="R715" s="56"/>
    </row>
    <row r="716" ht="20" customHeight="1" spans="2:18">
      <c r="B716" s="42">
        <v>8</v>
      </c>
      <c r="C716" s="42">
        <v>28</v>
      </c>
      <c r="D716" s="42"/>
      <c r="E716" s="104" t="s">
        <v>3261</v>
      </c>
      <c r="F716" s="97" t="s">
        <v>3262</v>
      </c>
      <c r="G716" s="56"/>
      <c r="H716" s="56"/>
      <c r="I716" s="55">
        <v>307.52</v>
      </c>
      <c r="J716" s="56"/>
      <c r="K716" s="56"/>
      <c r="L716" s="56"/>
      <c r="M716" s="56"/>
      <c r="N716" s="56"/>
      <c r="O716" s="55">
        <f t="shared" si="33"/>
        <v>307.52</v>
      </c>
      <c r="P716" s="56"/>
      <c r="Q716" s="58">
        <f t="shared" si="31"/>
        <v>203204.41</v>
      </c>
      <c r="R716" s="56"/>
    </row>
    <row r="717" ht="20" customHeight="1" spans="2:18">
      <c r="B717" s="42">
        <v>8</v>
      </c>
      <c r="C717" s="42">
        <v>29</v>
      </c>
      <c r="D717" s="42"/>
      <c r="E717" s="104" t="s">
        <v>2679</v>
      </c>
      <c r="F717" s="97" t="s">
        <v>3263</v>
      </c>
      <c r="G717" s="55">
        <v>4668.75</v>
      </c>
      <c r="H717" s="55">
        <v>481.25</v>
      </c>
      <c r="I717" s="55">
        <v>473</v>
      </c>
      <c r="J717" s="56"/>
      <c r="K717" s="56"/>
      <c r="L717" s="56"/>
      <c r="M717" s="56"/>
      <c r="N717" s="56"/>
      <c r="O717" s="55">
        <f t="shared" si="33"/>
        <v>5623</v>
      </c>
      <c r="P717" s="56"/>
      <c r="Q717" s="58">
        <f t="shared" si="31"/>
        <v>208827.41</v>
      </c>
      <c r="R717" s="56"/>
    </row>
    <row r="718" ht="20" customHeight="1" spans="2:18">
      <c r="B718" s="42">
        <v>8</v>
      </c>
      <c r="C718" s="42">
        <v>31</v>
      </c>
      <c r="D718" s="42"/>
      <c r="E718" s="104"/>
      <c r="F718" s="97" t="s">
        <v>3264</v>
      </c>
      <c r="G718" s="56"/>
      <c r="H718" s="56"/>
      <c r="I718" s="56"/>
      <c r="J718" s="56"/>
      <c r="K718" s="55">
        <v>200</v>
      </c>
      <c r="L718" s="56"/>
      <c r="M718" s="56"/>
      <c r="N718" s="55">
        <v>0.2</v>
      </c>
      <c r="O718" s="55">
        <f t="shared" si="33"/>
        <v>199.8</v>
      </c>
      <c r="P718" s="56"/>
      <c r="Q718" s="58">
        <f t="shared" si="31"/>
        <v>209027.21</v>
      </c>
      <c r="R718" s="59" t="s">
        <v>669</v>
      </c>
    </row>
    <row r="719" ht="20" customHeight="1" spans="2:18">
      <c r="B719" s="42">
        <v>8</v>
      </c>
      <c r="C719" s="42">
        <v>31</v>
      </c>
      <c r="D719" s="42"/>
      <c r="E719" s="104"/>
      <c r="F719" s="97" t="s">
        <v>3265</v>
      </c>
      <c r="G719" s="56"/>
      <c r="H719" s="56"/>
      <c r="I719" s="56"/>
      <c r="J719" s="56"/>
      <c r="K719" s="55">
        <v>240</v>
      </c>
      <c r="L719" s="56"/>
      <c r="M719" s="56"/>
      <c r="N719" s="55">
        <v>0.24</v>
      </c>
      <c r="O719" s="55">
        <f t="shared" si="33"/>
        <v>239.76</v>
      </c>
      <c r="P719" s="56"/>
      <c r="Q719" s="58">
        <f t="shared" si="31"/>
        <v>209266.97</v>
      </c>
      <c r="R719" s="59" t="s">
        <v>669</v>
      </c>
    </row>
    <row r="720" ht="20" customHeight="1" spans="2:18">
      <c r="B720" s="42">
        <v>8</v>
      </c>
      <c r="C720" s="42">
        <v>31</v>
      </c>
      <c r="D720" s="42"/>
      <c r="E720" s="104"/>
      <c r="F720" s="97" t="s">
        <v>3266</v>
      </c>
      <c r="G720" s="56"/>
      <c r="H720" s="56"/>
      <c r="I720" s="56"/>
      <c r="J720" s="56"/>
      <c r="K720" s="55">
        <v>240</v>
      </c>
      <c r="L720" s="56"/>
      <c r="M720" s="56"/>
      <c r="N720" s="55">
        <v>0.24</v>
      </c>
      <c r="O720" s="55">
        <f t="shared" si="33"/>
        <v>239.76</v>
      </c>
      <c r="P720" s="56"/>
      <c r="Q720" s="58">
        <f t="shared" si="31"/>
        <v>209506.73</v>
      </c>
      <c r="R720" s="59" t="s">
        <v>669</v>
      </c>
    </row>
    <row r="721" ht="20" customHeight="1" spans="2:18">
      <c r="B721" s="42">
        <v>8</v>
      </c>
      <c r="C721" s="42">
        <v>31</v>
      </c>
      <c r="D721" s="42"/>
      <c r="E721" s="104"/>
      <c r="F721" s="97" t="s">
        <v>3267</v>
      </c>
      <c r="G721" s="56"/>
      <c r="H721" s="56"/>
      <c r="I721" s="56"/>
      <c r="J721" s="56"/>
      <c r="K721" s="55">
        <v>240</v>
      </c>
      <c r="L721" s="56"/>
      <c r="M721" s="56"/>
      <c r="N721" s="55">
        <v>0.24</v>
      </c>
      <c r="O721" s="55">
        <f t="shared" si="33"/>
        <v>239.76</v>
      </c>
      <c r="P721" s="56"/>
      <c r="Q721" s="58">
        <f t="shared" si="31"/>
        <v>209746.49</v>
      </c>
      <c r="R721" s="59" t="s">
        <v>669</v>
      </c>
    </row>
    <row r="722" ht="20" customHeight="1" spans="2:18">
      <c r="B722" s="42">
        <v>8</v>
      </c>
      <c r="C722" s="42">
        <v>31</v>
      </c>
      <c r="D722" s="42"/>
      <c r="E722" s="104" t="s">
        <v>2609</v>
      </c>
      <c r="F722" s="97" t="s">
        <v>3268</v>
      </c>
      <c r="G722" s="55">
        <v>3275</v>
      </c>
      <c r="H722" s="55">
        <v>525</v>
      </c>
      <c r="I722" s="55">
        <v>25</v>
      </c>
      <c r="J722" s="56"/>
      <c r="K722" s="56"/>
      <c r="L722" s="56"/>
      <c r="M722" s="56"/>
      <c r="N722" s="55">
        <v>3.82</v>
      </c>
      <c r="O722" s="55">
        <f t="shared" si="33"/>
        <v>3821.18</v>
      </c>
      <c r="P722" s="56"/>
      <c r="Q722" s="58">
        <f t="shared" si="31"/>
        <v>213567.67</v>
      </c>
      <c r="R722" s="59" t="s">
        <v>669</v>
      </c>
    </row>
    <row r="723" ht="20" customHeight="1" spans="2:18">
      <c r="B723" s="42">
        <v>8</v>
      </c>
      <c r="C723" s="42">
        <v>31</v>
      </c>
      <c r="D723" s="74" t="s">
        <v>69</v>
      </c>
      <c r="E723" s="104" t="s">
        <v>2638</v>
      </c>
      <c r="F723" s="97" t="s">
        <v>3252</v>
      </c>
      <c r="G723" s="56"/>
      <c r="H723" s="56"/>
      <c r="I723" s="56"/>
      <c r="J723" s="56"/>
      <c r="K723" s="56"/>
      <c r="L723" s="56"/>
      <c r="M723" s="56"/>
      <c r="N723" s="56"/>
      <c r="O723" s="56">
        <f t="shared" si="33"/>
        <v>0</v>
      </c>
      <c r="P723" s="55">
        <v>8110</v>
      </c>
      <c r="Q723" s="58">
        <f t="shared" si="31"/>
        <v>205457.67</v>
      </c>
      <c r="R723" s="56"/>
    </row>
    <row r="724" ht="20" customHeight="1" spans="2:18">
      <c r="B724" s="42">
        <v>8</v>
      </c>
      <c r="C724" s="42">
        <v>31</v>
      </c>
      <c r="D724" s="42"/>
      <c r="E724" s="104" t="s">
        <v>2934</v>
      </c>
      <c r="F724" s="97" t="s">
        <v>3269</v>
      </c>
      <c r="G724" s="56"/>
      <c r="H724" s="56"/>
      <c r="I724" s="55">
        <v>13740</v>
      </c>
      <c r="J724" s="56"/>
      <c r="K724" s="56"/>
      <c r="L724" s="56"/>
      <c r="M724" s="56"/>
      <c r="N724" s="55">
        <v>68.7</v>
      </c>
      <c r="O724" s="55">
        <f t="shared" si="33"/>
        <v>13671.3</v>
      </c>
      <c r="P724" s="56"/>
      <c r="Q724" s="58">
        <f t="shared" si="31"/>
        <v>219128.97</v>
      </c>
      <c r="R724" s="56"/>
    </row>
    <row r="725" ht="20" customHeight="1" spans="2:18">
      <c r="B725" s="42">
        <v>8</v>
      </c>
      <c r="C725" s="42">
        <v>31</v>
      </c>
      <c r="D725" s="42"/>
      <c r="E725" s="104" t="s">
        <v>2700</v>
      </c>
      <c r="F725" s="97" t="s">
        <v>3270</v>
      </c>
      <c r="G725" s="55">
        <v>750</v>
      </c>
      <c r="H725" s="55">
        <v>150</v>
      </c>
      <c r="I725" s="55">
        <v>146</v>
      </c>
      <c r="J725" s="56"/>
      <c r="K725" s="56"/>
      <c r="L725" s="56"/>
      <c r="M725" s="56"/>
      <c r="N725" s="56"/>
      <c r="O725" s="55">
        <f t="shared" si="33"/>
        <v>1046</v>
      </c>
      <c r="P725" s="56"/>
      <c r="Q725" s="58">
        <f t="shared" si="31"/>
        <v>220174.97</v>
      </c>
      <c r="R725" s="56"/>
    </row>
    <row r="726" ht="20" customHeight="1" spans="2:18">
      <c r="B726" s="42">
        <v>8</v>
      </c>
      <c r="C726" s="42">
        <v>31</v>
      </c>
      <c r="D726" s="42"/>
      <c r="E726" s="100" t="s">
        <v>2700</v>
      </c>
      <c r="F726" s="97" t="s">
        <v>3271</v>
      </c>
      <c r="G726" s="55">
        <v>19000</v>
      </c>
      <c r="H726" s="56"/>
      <c r="I726" s="55">
        <v>449</v>
      </c>
      <c r="J726" s="56"/>
      <c r="K726" s="56"/>
      <c r="L726" s="56"/>
      <c r="M726" s="56"/>
      <c r="N726" s="56"/>
      <c r="O726" s="55">
        <f t="shared" si="33"/>
        <v>19449</v>
      </c>
      <c r="P726" s="56"/>
      <c r="Q726" s="58">
        <f t="shared" si="31"/>
        <v>239623.97</v>
      </c>
      <c r="R726" s="56"/>
    </row>
    <row r="727" ht="20" customHeight="1" spans="2:18">
      <c r="B727" s="42">
        <v>8</v>
      </c>
      <c r="C727" s="42">
        <v>31</v>
      </c>
      <c r="D727" s="42"/>
      <c r="E727" s="104"/>
      <c r="F727" s="97" t="s">
        <v>3272</v>
      </c>
      <c r="G727" s="56"/>
      <c r="H727" s="56"/>
      <c r="I727" s="56"/>
      <c r="J727" s="56"/>
      <c r="K727" s="55">
        <v>100</v>
      </c>
      <c r="L727" s="56"/>
      <c r="M727" s="56"/>
      <c r="N727" s="55">
        <v>0.1</v>
      </c>
      <c r="O727" s="55">
        <f t="shared" si="33"/>
        <v>99.9</v>
      </c>
      <c r="P727" s="56"/>
      <c r="Q727" s="58">
        <f t="shared" si="31"/>
        <v>239723.87</v>
      </c>
      <c r="R727" s="56"/>
    </row>
    <row r="728" ht="20" customHeight="1" spans="2:18">
      <c r="B728" s="68"/>
      <c r="C728" s="68"/>
      <c r="D728" s="68"/>
      <c r="E728" s="68"/>
      <c r="F728" s="70" t="s">
        <v>22</v>
      </c>
      <c r="G728" s="71">
        <f>SUM(G634:G727)</f>
        <v>74993.2</v>
      </c>
      <c r="H728" s="71">
        <f>SUM(H634:H727)</f>
        <v>7370.8</v>
      </c>
      <c r="I728" s="71">
        <f>SUM(I634:I727)</f>
        <v>59746.08</v>
      </c>
      <c r="J728" s="71">
        <f>SUM(J634:J727)</f>
        <v>10500</v>
      </c>
      <c r="K728" s="71">
        <f>SUM(K634:K727)</f>
        <v>3100</v>
      </c>
      <c r="L728" s="71"/>
      <c r="M728" s="71">
        <f>SUM(M634:M727)</f>
        <v>0</v>
      </c>
      <c r="N728" s="71">
        <f>SUM(N634:N727)</f>
        <v>272.75</v>
      </c>
      <c r="O728" s="71">
        <f>SUM(O634:O727)</f>
        <v>226943.67</v>
      </c>
      <c r="P728" s="71">
        <f>SUM(P634:P727)</f>
        <v>228985</v>
      </c>
      <c r="Q728" s="72">
        <f>Q633+O728-P728</f>
        <v>239723.87</v>
      </c>
      <c r="R728" s="71"/>
    </row>
    <row r="729" ht="20" customHeight="1" spans="2:18">
      <c r="B729" s="42">
        <v>9</v>
      </c>
      <c r="C729" s="42">
        <v>1</v>
      </c>
      <c r="D729" s="42"/>
      <c r="E729" s="104" t="s">
        <v>2934</v>
      </c>
      <c r="F729" s="100" t="s">
        <v>3273</v>
      </c>
      <c r="G729" s="56"/>
      <c r="H729" s="56"/>
      <c r="I729" s="56">
        <v>1900</v>
      </c>
      <c r="J729" s="56"/>
      <c r="K729" s="56"/>
      <c r="L729" s="56"/>
      <c r="M729" s="56"/>
      <c r="N729" s="56">
        <v>9.5</v>
      </c>
      <c r="O729" s="56">
        <f t="shared" ref="O729:O753" si="34">SUM(G729:M729)-N729</f>
        <v>1890.5</v>
      </c>
      <c r="P729" s="56"/>
      <c r="Q729" s="58">
        <f t="shared" ref="Q729:Q749" si="35">Q728+O729-P729</f>
        <v>241614.37</v>
      </c>
      <c r="R729" s="56"/>
    </row>
    <row r="730" ht="20" customHeight="1" spans="2:18">
      <c r="B730" s="42">
        <v>9</v>
      </c>
      <c r="C730" s="42">
        <v>1</v>
      </c>
      <c r="D730" s="42"/>
      <c r="E730" s="96" t="s">
        <v>3274</v>
      </c>
      <c r="F730" s="100" t="s">
        <v>3275</v>
      </c>
      <c r="G730" s="56"/>
      <c r="H730" s="56"/>
      <c r="I730" s="56"/>
      <c r="J730" s="56"/>
      <c r="K730" s="56"/>
      <c r="L730" s="56">
        <v>1200</v>
      </c>
      <c r="M730" s="56"/>
      <c r="N730" s="56"/>
      <c r="O730" s="56">
        <f t="shared" si="34"/>
        <v>1200</v>
      </c>
      <c r="P730" s="56"/>
      <c r="Q730" s="58">
        <f t="shared" si="35"/>
        <v>242814.37</v>
      </c>
      <c r="R730" s="56"/>
    </row>
    <row r="731" ht="20" customHeight="1" spans="2:18">
      <c r="B731" s="42">
        <v>9</v>
      </c>
      <c r="C731" s="42">
        <v>2</v>
      </c>
      <c r="D731" s="42"/>
      <c r="E731" s="104" t="s">
        <v>2934</v>
      </c>
      <c r="F731" s="100" t="s">
        <v>3276</v>
      </c>
      <c r="G731" s="56"/>
      <c r="H731" s="56"/>
      <c r="I731" s="56">
        <v>2250</v>
      </c>
      <c r="J731" s="56"/>
      <c r="K731" s="56"/>
      <c r="L731" s="56"/>
      <c r="M731" s="56"/>
      <c r="N731" s="56">
        <v>11.25</v>
      </c>
      <c r="O731" s="56">
        <f t="shared" si="34"/>
        <v>2238.75</v>
      </c>
      <c r="P731" s="56"/>
      <c r="Q731" s="58">
        <f t="shared" si="35"/>
        <v>245053.12</v>
      </c>
      <c r="R731" s="56"/>
    </row>
    <row r="732" ht="20" customHeight="1" spans="2:18">
      <c r="B732" s="42">
        <v>9</v>
      </c>
      <c r="C732" s="42">
        <v>3</v>
      </c>
      <c r="D732" s="42"/>
      <c r="E732" s="104" t="s">
        <v>2934</v>
      </c>
      <c r="F732" s="100" t="s">
        <v>3277</v>
      </c>
      <c r="G732" s="56"/>
      <c r="H732" s="56"/>
      <c r="I732" s="56">
        <v>2150</v>
      </c>
      <c r="J732" s="56"/>
      <c r="K732" s="56"/>
      <c r="L732" s="56"/>
      <c r="M732" s="56"/>
      <c r="N732" s="56">
        <v>10.75</v>
      </c>
      <c r="O732" s="56">
        <f t="shared" si="34"/>
        <v>2139.25</v>
      </c>
      <c r="P732" s="56"/>
      <c r="Q732" s="58">
        <f t="shared" si="35"/>
        <v>247192.37</v>
      </c>
      <c r="R732" s="56"/>
    </row>
    <row r="733" ht="20" customHeight="1" spans="2:18">
      <c r="B733" s="42">
        <v>9</v>
      </c>
      <c r="C733" s="42">
        <v>3</v>
      </c>
      <c r="D733" s="74" t="s">
        <v>69</v>
      </c>
      <c r="E733" s="104" t="s">
        <v>2638</v>
      </c>
      <c r="F733" s="100" t="s">
        <v>3252</v>
      </c>
      <c r="G733" s="56"/>
      <c r="H733" s="56"/>
      <c r="I733" s="56"/>
      <c r="J733" s="56"/>
      <c r="K733" s="56"/>
      <c r="L733" s="56"/>
      <c r="M733" s="56"/>
      <c r="N733" s="56"/>
      <c r="O733" s="56">
        <f t="shared" si="34"/>
        <v>0</v>
      </c>
      <c r="P733" s="56">
        <v>4100</v>
      </c>
      <c r="Q733" s="58">
        <f t="shared" si="35"/>
        <v>243092.37</v>
      </c>
      <c r="R733" s="56"/>
    </row>
    <row r="734" ht="20" customHeight="1" spans="2:18">
      <c r="B734" s="42">
        <v>9</v>
      </c>
      <c r="C734" s="42">
        <v>4</v>
      </c>
      <c r="D734" s="42"/>
      <c r="E734" s="104" t="s">
        <v>2934</v>
      </c>
      <c r="F734" s="100" t="s">
        <v>3278</v>
      </c>
      <c r="G734" s="56"/>
      <c r="H734" s="56"/>
      <c r="I734" s="56">
        <v>250</v>
      </c>
      <c r="J734" s="56"/>
      <c r="K734" s="56"/>
      <c r="L734" s="56"/>
      <c r="M734" s="56"/>
      <c r="N734" s="56">
        <v>1.25</v>
      </c>
      <c r="O734" s="56">
        <f t="shared" si="34"/>
        <v>248.75</v>
      </c>
      <c r="P734" s="56"/>
      <c r="Q734" s="58">
        <f t="shared" si="35"/>
        <v>243341.12</v>
      </c>
      <c r="R734" s="56"/>
    </row>
    <row r="735" ht="20" customHeight="1" spans="2:18">
      <c r="B735" s="42">
        <v>9</v>
      </c>
      <c r="C735" s="42">
        <v>7</v>
      </c>
      <c r="D735" s="42"/>
      <c r="E735" s="104"/>
      <c r="F735" s="100" t="s">
        <v>3279</v>
      </c>
      <c r="G735" s="56"/>
      <c r="H735" s="56"/>
      <c r="I735" s="56"/>
      <c r="J735" s="56"/>
      <c r="K735" s="56">
        <v>240</v>
      </c>
      <c r="L735" s="56"/>
      <c r="M735" s="56"/>
      <c r="N735" s="56">
        <v>0.24</v>
      </c>
      <c r="O735" s="56">
        <f t="shared" si="34"/>
        <v>239.76</v>
      </c>
      <c r="P735" s="56"/>
      <c r="Q735" s="58">
        <f t="shared" si="35"/>
        <v>243580.88</v>
      </c>
      <c r="R735" s="59" t="s">
        <v>669</v>
      </c>
    </row>
    <row r="736" ht="20" customHeight="1" spans="2:18">
      <c r="B736" s="42">
        <v>9</v>
      </c>
      <c r="C736" s="42">
        <v>7</v>
      </c>
      <c r="D736" s="42"/>
      <c r="E736" s="104"/>
      <c r="F736" s="100" t="s">
        <v>3280</v>
      </c>
      <c r="G736" s="56"/>
      <c r="H736" s="56"/>
      <c r="I736" s="56"/>
      <c r="J736" s="56"/>
      <c r="K736" s="56">
        <v>240</v>
      </c>
      <c r="L736" s="56"/>
      <c r="M736" s="56"/>
      <c r="N736" s="56">
        <v>0.24</v>
      </c>
      <c r="O736" s="56">
        <f t="shared" si="34"/>
        <v>239.76</v>
      </c>
      <c r="P736" s="56"/>
      <c r="Q736" s="58">
        <f t="shared" si="35"/>
        <v>243820.64</v>
      </c>
      <c r="R736" s="59" t="s">
        <v>669</v>
      </c>
    </row>
    <row r="737" ht="20" customHeight="1" spans="2:18">
      <c r="B737" s="42">
        <v>9</v>
      </c>
      <c r="C737" s="42">
        <v>7</v>
      </c>
      <c r="D737" s="42"/>
      <c r="E737" s="96" t="s">
        <v>2663</v>
      </c>
      <c r="F737" s="100" t="s">
        <v>3281</v>
      </c>
      <c r="G737" s="56"/>
      <c r="H737" s="56"/>
      <c r="I737" s="56">
        <v>1000</v>
      </c>
      <c r="J737" s="56"/>
      <c r="K737" s="56"/>
      <c r="L737" s="56"/>
      <c r="M737" s="56"/>
      <c r="N737" s="56">
        <v>1</v>
      </c>
      <c r="O737" s="56">
        <f t="shared" si="34"/>
        <v>999</v>
      </c>
      <c r="P737" s="56"/>
      <c r="Q737" s="58">
        <f t="shared" si="35"/>
        <v>244819.64</v>
      </c>
      <c r="R737" s="59" t="s">
        <v>669</v>
      </c>
    </row>
    <row r="738" ht="20" customHeight="1" spans="2:18">
      <c r="B738" s="42">
        <v>9</v>
      </c>
      <c r="C738" s="42">
        <v>7</v>
      </c>
      <c r="D738" s="42"/>
      <c r="E738" s="104"/>
      <c r="F738" s="100" t="s">
        <v>3282</v>
      </c>
      <c r="G738" s="56"/>
      <c r="H738" s="56"/>
      <c r="I738" s="56"/>
      <c r="J738" s="56"/>
      <c r="K738" s="56">
        <v>240</v>
      </c>
      <c r="L738" s="56"/>
      <c r="M738" s="56"/>
      <c r="N738" s="56">
        <v>0.24</v>
      </c>
      <c r="O738" s="56">
        <f t="shared" si="34"/>
        <v>239.76</v>
      </c>
      <c r="P738" s="56"/>
      <c r="Q738" s="58">
        <f t="shared" si="35"/>
        <v>245059.4</v>
      </c>
      <c r="R738" s="59" t="s">
        <v>669</v>
      </c>
    </row>
    <row r="739" ht="20" customHeight="1" spans="2:18">
      <c r="B739" s="42">
        <v>9</v>
      </c>
      <c r="C739" s="42">
        <v>7</v>
      </c>
      <c r="D739" s="42"/>
      <c r="E739" s="104" t="s">
        <v>2934</v>
      </c>
      <c r="F739" s="100" t="s">
        <v>3283</v>
      </c>
      <c r="G739" s="56"/>
      <c r="H739" s="56"/>
      <c r="I739" s="56">
        <v>8000</v>
      </c>
      <c r="J739" s="56"/>
      <c r="K739" s="56"/>
      <c r="L739" s="56"/>
      <c r="M739" s="56"/>
      <c r="N739" s="56">
        <v>40</v>
      </c>
      <c r="O739" s="56">
        <f t="shared" si="34"/>
        <v>7960</v>
      </c>
      <c r="P739" s="56"/>
      <c r="Q739" s="58">
        <f t="shared" si="35"/>
        <v>253019.4</v>
      </c>
      <c r="R739" s="56"/>
    </row>
    <row r="740" ht="20" customHeight="1" spans="2:18">
      <c r="B740" s="42">
        <v>9</v>
      </c>
      <c r="C740" s="42">
        <v>8</v>
      </c>
      <c r="D740" s="42"/>
      <c r="E740" s="104" t="s">
        <v>2934</v>
      </c>
      <c r="F740" s="100" t="s">
        <v>3284</v>
      </c>
      <c r="G740" s="56"/>
      <c r="H740" s="56"/>
      <c r="I740" s="56">
        <v>6550</v>
      </c>
      <c r="J740" s="56"/>
      <c r="K740" s="56"/>
      <c r="L740" s="56"/>
      <c r="M740" s="56"/>
      <c r="N740" s="56">
        <v>32.75</v>
      </c>
      <c r="O740" s="56">
        <f t="shared" si="34"/>
        <v>6517.25</v>
      </c>
      <c r="P740" s="56"/>
      <c r="Q740" s="58">
        <f t="shared" si="35"/>
        <v>259536.65</v>
      </c>
      <c r="R740" s="56"/>
    </row>
    <row r="741" ht="20" customHeight="1" spans="2:18">
      <c r="B741" s="42">
        <v>9</v>
      </c>
      <c r="C741" s="42">
        <v>8</v>
      </c>
      <c r="D741" s="42"/>
      <c r="E741" s="96" t="s">
        <v>3285</v>
      </c>
      <c r="F741" s="100" t="s">
        <v>3286</v>
      </c>
      <c r="G741" s="56">
        <v>4981.4</v>
      </c>
      <c r="H741" s="56">
        <v>818.6</v>
      </c>
      <c r="I741" s="56"/>
      <c r="J741" s="56"/>
      <c r="K741" s="56"/>
      <c r="L741" s="56"/>
      <c r="M741" s="56"/>
      <c r="N741" s="56"/>
      <c r="O741" s="56">
        <f t="shared" si="34"/>
        <v>5800</v>
      </c>
      <c r="P741" s="56"/>
      <c r="Q741" s="58">
        <f t="shared" si="35"/>
        <v>265336.65</v>
      </c>
      <c r="R741" s="56"/>
    </row>
    <row r="742" ht="20" customHeight="1" spans="2:18">
      <c r="B742" s="42">
        <v>9</v>
      </c>
      <c r="C742" s="42">
        <v>8</v>
      </c>
      <c r="D742" s="42"/>
      <c r="E742" s="104" t="s">
        <v>2531</v>
      </c>
      <c r="F742" s="100" t="s">
        <v>3287</v>
      </c>
      <c r="G742" s="56"/>
      <c r="H742" s="56"/>
      <c r="I742" s="56">
        <v>58</v>
      </c>
      <c r="J742" s="56"/>
      <c r="K742" s="56"/>
      <c r="L742" s="56"/>
      <c r="M742" s="56"/>
      <c r="N742" s="56"/>
      <c r="O742" s="56">
        <f t="shared" si="34"/>
        <v>58</v>
      </c>
      <c r="P742" s="56"/>
      <c r="Q742" s="58">
        <f t="shared" si="35"/>
        <v>265394.65</v>
      </c>
      <c r="R742" s="56"/>
    </row>
    <row r="743" ht="20" customHeight="1" spans="2:18">
      <c r="B743" s="42">
        <v>9</v>
      </c>
      <c r="C743" s="42">
        <v>8</v>
      </c>
      <c r="D743" s="42"/>
      <c r="E743" s="104" t="s">
        <v>2598</v>
      </c>
      <c r="F743" s="100" t="s">
        <v>3288</v>
      </c>
      <c r="G743" s="56">
        <v>4130.95</v>
      </c>
      <c r="H743" s="56">
        <v>369.05</v>
      </c>
      <c r="I743" s="56"/>
      <c r="J743" s="56"/>
      <c r="K743" s="56"/>
      <c r="L743" s="56"/>
      <c r="M743" s="56"/>
      <c r="N743" s="56"/>
      <c r="O743" s="56">
        <f t="shared" si="34"/>
        <v>4500</v>
      </c>
      <c r="P743" s="56"/>
      <c r="Q743" s="58">
        <f t="shared" si="35"/>
        <v>269894.65</v>
      </c>
      <c r="R743" s="56"/>
    </row>
    <row r="744" ht="20" customHeight="1" spans="2:18">
      <c r="B744" s="42">
        <v>9</v>
      </c>
      <c r="C744" s="42">
        <v>9</v>
      </c>
      <c r="D744" s="74" t="s">
        <v>69</v>
      </c>
      <c r="E744" s="104" t="s">
        <v>2638</v>
      </c>
      <c r="F744" s="107" t="s">
        <v>3222</v>
      </c>
      <c r="G744" s="56"/>
      <c r="H744" s="56"/>
      <c r="I744" s="56"/>
      <c r="J744" s="56"/>
      <c r="K744" s="56"/>
      <c r="L744" s="56"/>
      <c r="M744" s="56"/>
      <c r="N744" s="56"/>
      <c r="O744" s="56">
        <v>50000</v>
      </c>
      <c r="P744" s="56"/>
      <c r="Q744" s="58">
        <f t="shared" si="35"/>
        <v>319894.65</v>
      </c>
      <c r="R744" s="56"/>
    </row>
    <row r="745" ht="20" customHeight="1" spans="2:18">
      <c r="B745" s="42">
        <v>9</v>
      </c>
      <c r="C745" s="42">
        <v>9</v>
      </c>
      <c r="D745" s="42"/>
      <c r="E745" s="96" t="s">
        <v>3289</v>
      </c>
      <c r="F745" s="100" t="s">
        <v>3290</v>
      </c>
      <c r="G745" s="56"/>
      <c r="H745" s="56"/>
      <c r="I745" s="56">
        <v>286</v>
      </c>
      <c r="J745" s="56"/>
      <c r="K745" s="56"/>
      <c r="L745" s="56"/>
      <c r="M745" s="56"/>
      <c r="N745" s="56"/>
      <c r="O745" s="56">
        <f t="shared" si="34"/>
        <v>286</v>
      </c>
      <c r="P745" s="56"/>
      <c r="Q745" s="58">
        <f t="shared" si="35"/>
        <v>320180.65</v>
      </c>
      <c r="R745" s="56"/>
    </row>
    <row r="746" ht="20" customHeight="1" spans="2:18">
      <c r="B746" s="42">
        <v>9</v>
      </c>
      <c r="C746" s="42">
        <v>9</v>
      </c>
      <c r="D746" s="42"/>
      <c r="E746" s="104" t="s">
        <v>2934</v>
      </c>
      <c r="F746" s="100" t="s">
        <v>3291</v>
      </c>
      <c r="G746" s="56"/>
      <c r="H746" s="56"/>
      <c r="I746" s="56">
        <v>350</v>
      </c>
      <c r="J746" s="56"/>
      <c r="K746" s="56"/>
      <c r="L746" s="56"/>
      <c r="M746" s="56"/>
      <c r="N746" s="56">
        <v>1.75</v>
      </c>
      <c r="O746" s="56">
        <f t="shared" si="34"/>
        <v>348.25</v>
      </c>
      <c r="P746" s="56"/>
      <c r="Q746" s="58">
        <f t="shared" si="35"/>
        <v>320528.9</v>
      </c>
      <c r="R746" s="56"/>
    </row>
    <row r="747" ht="20" customHeight="1" spans="2:18">
      <c r="B747" s="42">
        <v>9</v>
      </c>
      <c r="C747" s="42">
        <v>9</v>
      </c>
      <c r="D747" s="42"/>
      <c r="E747" s="104" t="s">
        <v>2916</v>
      </c>
      <c r="F747" s="100" t="s">
        <v>3292</v>
      </c>
      <c r="G747" s="56">
        <v>1035</v>
      </c>
      <c r="H747" s="56">
        <v>165</v>
      </c>
      <c r="I747" s="56">
        <v>11</v>
      </c>
      <c r="J747" s="56"/>
      <c r="K747" s="56"/>
      <c r="L747" s="56"/>
      <c r="M747" s="56"/>
      <c r="N747" s="56"/>
      <c r="O747" s="56">
        <f t="shared" si="34"/>
        <v>1211</v>
      </c>
      <c r="P747" s="56"/>
      <c r="Q747" s="58">
        <f t="shared" si="35"/>
        <v>321739.9</v>
      </c>
      <c r="R747" s="56"/>
    </row>
    <row r="748" ht="20" customHeight="1" spans="2:18">
      <c r="B748" s="42">
        <v>9</v>
      </c>
      <c r="C748" s="42">
        <v>10</v>
      </c>
      <c r="D748" s="42"/>
      <c r="E748" s="104" t="s">
        <v>2934</v>
      </c>
      <c r="F748" s="100" t="s">
        <v>3293</v>
      </c>
      <c r="G748" s="56"/>
      <c r="H748" s="56"/>
      <c r="I748" s="56">
        <v>250</v>
      </c>
      <c r="J748" s="56"/>
      <c r="K748" s="56"/>
      <c r="L748" s="56"/>
      <c r="M748" s="56"/>
      <c r="N748" s="56">
        <v>1.25</v>
      </c>
      <c r="O748" s="56">
        <f t="shared" si="34"/>
        <v>248.75</v>
      </c>
      <c r="P748" s="56"/>
      <c r="Q748" s="58">
        <f t="shared" si="35"/>
        <v>321988.65</v>
      </c>
      <c r="R748" s="56"/>
    </row>
    <row r="749" ht="20" customHeight="1" spans="2:18">
      <c r="B749" s="42">
        <v>9</v>
      </c>
      <c r="C749" s="42">
        <v>10</v>
      </c>
      <c r="D749" s="42"/>
      <c r="E749" s="104" t="s">
        <v>3255</v>
      </c>
      <c r="F749" s="100" t="s">
        <v>3294</v>
      </c>
      <c r="G749" s="56"/>
      <c r="H749" s="56"/>
      <c r="I749" s="56"/>
      <c r="J749" s="56">
        <v>6344</v>
      </c>
      <c r="K749" s="56"/>
      <c r="L749" s="56"/>
      <c r="M749" s="56"/>
      <c r="N749" s="56"/>
      <c r="O749" s="56">
        <f t="shared" si="34"/>
        <v>6344</v>
      </c>
      <c r="P749" s="56"/>
      <c r="Q749" s="58">
        <f t="shared" si="35"/>
        <v>328332.65</v>
      </c>
      <c r="R749" s="56"/>
    </row>
    <row r="750" ht="20" customHeight="1" spans="2:18">
      <c r="B750" s="42">
        <v>9</v>
      </c>
      <c r="C750" s="42">
        <v>10</v>
      </c>
      <c r="D750" s="42"/>
      <c r="E750" s="104" t="s">
        <v>3255</v>
      </c>
      <c r="F750" s="129" t="s">
        <v>3295</v>
      </c>
      <c r="G750" s="56">
        <v>5228.5</v>
      </c>
      <c r="H750" s="56">
        <v>771.5</v>
      </c>
      <c r="I750" s="56"/>
      <c r="J750" s="56"/>
      <c r="K750" s="56"/>
      <c r="L750" s="56"/>
      <c r="M750" s="56"/>
      <c r="N750" s="56"/>
      <c r="O750" s="56">
        <f t="shared" si="34"/>
        <v>6000</v>
      </c>
      <c r="P750" s="56"/>
      <c r="Q750" s="58">
        <f t="shared" ref="Q749:Q782" si="36">Q749+O750-P750</f>
        <v>334332.65</v>
      </c>
      <c r="R750" s="56"/>
    </row>
    <row r="751" ht="20" customHeight="1" spans="2:18">
      <c r="B751" s="42">
        <v>9</v>
      </c>
      <c r="C751" s="42">
        <v>10</v>
      </c>
      <c r="D751" s="42"/>
      <c r="E751" s="104" t="s">
        <v>2626</v>
      </c>
      <c r="F751" s="100" t="s">
        <v>3296</v>
      </c>
      <c r="G751" s="56"/>
      <c r="H751" s="56"/>
      <c r="I751" s="56">
        <v>80</v>
      </c>
      <c r="J751" s="56"/>
      <c r="K751" s="56"/>
      <c r="L751" s="56"/>
      <c r="M751" s="56"/>
      <c r="N751" s="56"/>
      <c r="O751" s="56">
        <f t="shared" si="34"/>
        <v>80</v>
      </c>
      <c r="P751" s="56"/>
      <c r="Q751" s="58">
        <f t="shared" si="36"/>
        <v>334412.65</v>
      </c>
      <c r="R751" s="56"/>
    </row>
    <row r="752" ht="20" customHeight="1" spans="2:18">
      <c r="B752" s="42">
        <v>9</v>
      </c>
      <c r="C752" s="42">
        <v>10</v>
      </c>
      <c r="D752" s="74" t="s">
        <v>69</v>
      </c>
      <c r="E752" s="104" t="s">
        <v>2638</v>
      </c>
      <c r="F752" s="107" t="s">
        <v>3222</v>
      </c>
      <c r="G752" s="56"/>
      <c r="H752" s="56"/>
      <c r="I752" s="56"/>
      <c r="J752" s="56"/>
      <c r="K752" s="56"/>
      <c r="L752" s="56"/>
      <c r="M752" s="56"/>
      <c r="N752" s="56"/>
      <c r="O752" s="56">
        <v>13000</v>
      </c>
      <c r="P752" s="56"/>
      <c r="Q752" s="58">
        <f t="shared" si="36"/>
        <v>347412.65</v>
      </c>
      <c r="R752" s="56"/>
    </row>
    <row r="753" ht="20" customHeight="1" spans="2:18">
      <c r="B753" s="42">
        <v>9</v>
      </c>
      <c r="C753" s="42">
        <v>10</v>
      </c>
      <c r="D753" s="42"/>
      <c r="E753" s="104" t="s">
        <v>3123</v>
      </c>
      <c r="F753" s="100" t="s">
        <v>3297</v>
      </c>
      <c r="G753" s="56"/>
      <c r="H753" s="56"/>
      <c r="I753" s="56">
        <v>310.8</v>
      </c>
      <c r="J753" s="56"/>
      <c r="K753" s="56"/>
      <c r="L753" s="56"/>
      <c r="M753" s="56"/>
      <c r="N753" s="56"/>
      <c r="O753" s="56">
        <f t="shared" ref="O753:O763" si="37">SUM(G753:M753)-N753</f>
        <v>310.8</v>
      </c>
      <c r="P753" s="56"/>
      <c r="Q753" s="58">
        <f t="shared" si="36"/>
        <v>347723.45</v>
      </c>
      <c r="R753" s="56"/>
    </row>
    <row r="754" ht="20" customHeight="1" spans="2:18">
      <c r="B754" s="42">
        <v>9</v>
      </c>
      <c r="C754" s="42">
        <v>11</v>
      </c>
      <c r="D754" s="42"/>
      <c r="E754" s="104" t="s">
        <v>2934</v>
      </c>
      <c r="F754" s="100" t="s">
        <v>3298</v>
      </c>
      <c r="G754" s="56"/>
      <c r="H754" s="56"/>
      <c r="I754" s="56">
        <v>550</v>
      </c>
      <c r="J754" s="56"/>
      <c r="K754" s="56"/>
      <c r="L754" s="56"/>
      <c r="M754" s="56"/>
      <c r="N754" s="56">
        <v>2.75</v>
      </c>
      <c r="O754" s="56">
        <f t="shared" si="37"/>
        <v>547.25</v>
      </c>
      <c r="P754" s="56"/>
      <c r="Q754" s="58">
        <f t="shared" si="36"/>
        <v>348270.7</v>
      </c>
      <c r="R754" s="56"/>
    </row>
    <row r="755" ht="20" customHeight="1" spans="2:18">
      <c r="B755" s="42">
        <v>9</v>
      </c>
      <c r="C755" s="42">
        <v>11</v>
      </c>
      <c r="D755" s="74" t="s">
        <v>144</v>
      </c>
      <c r="E755" s="104" t="s">
        <v>2697</v>
      </c>
      <c r="F755" s="100" t="s">
        <v>3299</v>
      </c>
      <c r="G755" s="56"/>
      <c r="H755" s="56"/>
      <c r="I755" s="56"/>
      <c r="J755" s="56"/>
      <c r="K755" s="56"/>
      <c r="L755" s="56"/>
      <c r="M755" s="56"/>
      <c r="N755" s="56"/>
      <c r="O755" s="56">
        <f t="shared" si="37"/>
        <v>0</v>
      </c>
      <c r="P755" s="56">
        <v>28137</v>
      </c>
      <c r="Q755" s="58">
        <f t="shared" si="36"/>
        <v>320133.7</v>
      </c>
      <c r="R755" s="56"/>
    </row>
    <row r="756" ht="20" customHeight="1" spans="2:18">
      <c r="B756" s="42">
        <v>9</v>
      </c>
      <c r="C756" s="42">
        <v>14</v>
      </c>
      <c r="D756" s="42"/>
      <c r="E756" s="121" t="s">
        <v>2934</v>
      </c>
      <c r="F756" s="121" t="s">
        <v>3300</v>
      </c>
      <c r="G756" s="56"/>
      <c r="H756" s="56"/>
      <c r="I756" s="56">
        <v>2700</v>
      </c>
      <c r="J756" s="56"/>
      <c r="K756" s="56"/>
      <c r="L756" s="56"/>
      <c r="M756" s="56"/>
      <c r="N756" s="56">
        <v>13.5</v>
      </c>
      <c r="O756" s="56">
        <f t="shared" si="37"/>
        <v>2686.5</v>
      </c>
      <c r="P756" s="56"/>
      <c r="Q756" s="58">
        <f t="shared" si="36"/>
        <v>322820.2</v>
      </c>
      <c r="R756" s="56"/>
    </row>
    <row r="757" ht="20" customHeight="1" spans="2:18">
      <c r="B757" s="42">
        <v>9</v>
      </c>
      <c r="C757" s="42">
        <v>14</v>
      </c>
      <c r="D757" s="42"/>
      <c r="E757" s="104" t="s">
        <v>2589</v>
      </c>
      <c r="F757" s="100" t="s">
        <v>3301</v>
      </c>
      <c r="G757" s="56">
        <v>8331.5</v>
      </c>
      <c r="H757" s="56">
        <v>668.5</v>
      </c>
      <c r="I757" s="56">
        <v>507</v>
      </c>
      <c r="J757" s="56"/>
      <c r="K757" s="56"/>
      <c r="L757" s="56"/>
      <c r="M757" s="56"/>
      <c r="N757" s="56"/>
      <c r="O757" s="56">
        <f t="shared" si="37"/>
        <v>9507</v>
      </c>
      <c r="P757" s="56"/>
      <c r="Q757" s="58">
        <f t="shared" si="36"/>
        <v>332327.2</v>
      </c>
      <c r="R757" s="56"/>
    </row>
    <row r="758" ht="20" customHeight="1" spans="2:18">
      <c r="B758" s="42">
        <v>9</v>
      </c>
      <c r="C758" s="42">
        <v>14</v>
      </c>
      <c r="D758" s="42"/>
      <c r="E758" s="104" t="s">
        <v>2626</v>
      </c>
      <c r="F758" s="100" t="s">
        <v>3302</v>
      </c>
      <c r="G758" s="56">
        <v>4262.5</v>
      </c>
      <c r="H758" s="56">
        <v>437.5</v>
      </c>
      <c r="I758" s="56"/>
      <c r="J758" s="56"/>
      <c r="K758" s="56"/>
      <c r="L758" s="56"/>
      <c r="M758" s="56"/>
      <c r="N758" s="56"/>
      <c r="O758" s="56">
        <f t="shared" si="37"/>
        <v>4700</v>
      </c>
      <c r="P758" s="56"/>
      <c r="Q758" s="58">
        <f t="shared" si="36"/>
        <v>337027.2</v>
      </c>
      <c r="R758" s="56"/>
    </row>
    <row r="759" ht="20" customHeight="1" spans="2:18">
      <c r="B759" s="42">
        <v>9</v>
      </c>
      <c r="C759" s="42">
        <v>14</v>
      </c>
      <c r="D759" s="74" t="s">
        <v>69</v>
      </c>
      <c r="E759" s="104" t="s">
        <v>2638</v>
      </c>
      <c r="F759" s="107" t="s">
        <v>3252</v>
      </c>
      <c r="G759" s="56"/>
      <c r="H759" s="56"/>
      <c r="I759" s="56"/>
      <c r="J759" s="56"/>
      <c r="K759" s="56"/>
      <c r="L759" s="56"/>
      <c r="M759" s="56"/>
      <c r="N759" s="56"/>
      <c r="O759" s="56">
        <f t="shared" si="37"/>
        <v>0</v>
      </c>
      <c r="P759" s="56">
        <v>100000</v>
      </c>
      <c r="Q759" s="58">
        <f t="shared" si="36"/>
        <v>237027.2</v>
      </c>
      <c r="R759" s="56"/>
    </row>
    <row r="760" ht="20" customHeight="1" spans="2:18">
      <c r="B760" s="42">
        <v>9</v>
      </c>
      <c r="C760" s="42">
        <v>14</v>
      </c>
      <c r="D760" s="42"/>
      <c r="E760" s="104" t="s">
        <v>2891</v>
      </c>
      <c r="F760" s="100" t="s">
        <v>3303</v>
      </c>
      <c r="G760" s="56"/>
      <c r="H760" s="56"/>
      <c r="I760" s="56">
        <v>28</v>
      </c>
      <c r="J760" s="56"/>
      <c r="K760" s="56"/>
      <c r="L760" s="56"/>
      <c r="M760" s="56"/>
      <c r="N760" s="56">
        <v>0.03</v>
      </c>
      <c r="O760" s="56">
        <f t="shared" si="37"/>
        <v>27.97</v>
      </c>
      <c r="P760" s="56"/>
      <c r="Q760" s="58">
        <f t="shared" si="36"/>
        <v>237055.17</v>
      </c>
      <c r="R760" s="59" t="s">
        <v>669</v>
      </c>
    </row>
    <row r="761" ht="20" customHeight="1" spans="2:18">
      <c r="B761" s="42">
        <v>9</v>
      </c>
      <c r="C761" s="42">
        <v>14</v>
      </c>
      <c r="D761" s="42"/>
      <c r="E761" s="96" t="s">
        <v>2600</v>
      </c>
      <c r="F761" s="100" t="s">
        <v>3304</v>
      </c>
      <c r="G761" s="56"/>
      <c r="H761" s="56"/>
      <c r="I761" s="56">
        <v>27</v>
      </c>
      <c r="J761" s="56"/>
      <c r="K761" s="56"/>
      <c r="L761" s="56"/>
      <c r="M761" s="56"/>
      <c r="N761" s="56">
        <v>0.02</v>
      </c>
      <c r="O761" s="56">
        <f t="shared" si="37"/>
        <v>26.98</v>
      </c>
      <c r="P761" s="56"/>
      <c r="Q761" s="58">
        <f t="shared" si="36"/>
        <v>237082.15</v>
      </c>
      <c r="R761" s="59" t="s">
        <v>669</v>
      </c>
    </row>
    <row r="762" ht="20" customHeight="1" spans="2:18">
      <c r="B762" s="42">
        <v>9</v>
      </c>
      <c r="C762" s="42">
        <v>14</v>
      </c>
      <c r="D762" s="42"/>
      <c r="E762" s="104" t="s">
        <v>2690</v>
      </c>
      <c r="F762" s="100" t="s">
        <v>3305</v>
      </c>
      <c r="G762" s="56"/>
      <c r="H762" s="56"/>
      <c r="I762" s="56">
        <v>196</v>
      </c>
      <c r="J762" s="56"/>
      <c r="K762" s="56"/>
      <c r="L762" s="56"/>
      <c r="M762" s="56"/>
      <c r="N762" s="56">
        <v>0.2</v>
      </c>
      <c r="O762" s="56">
        <f t="shared" si="37"/>
        <v>195.8</v>
      </c>
      <c r="P762" s="56"/>
      <c r="Q762" s="58">
        <f t="shared" si="36"/>
        <v>237277.95</v>
      </c>
      <c r="R762" s="59" t="s">
        <v>669</v>
      </c>
    </row>
    <row r="763" ht="20" customHeight="1" spans="2:18">
      <c r="B763" s="42">
        <v>9</v>
      </c>
      <c r="C763" s="42">
        <v>14</v>
      </c>
      <c r="D763" s="42"/>
      <c r="E763" s="104"/>
      <c r="F763" s="100" t="s">
        <v>3306</v>
      </c>
      <c r="G763" s="56"/>
      <c r="H763" s="56"/>
      <c r="I763" s="56"/>
      <c r="J763" s="56"/>
      <c r="K763" s="56">
        <v>150</v>
      </c>
      <c r="L763" s="56"/>
      <c r="M763" s="56"/>
      <c r="N763" s="56">
        <v>0.15</v>
      </c>
      <c r="O763" s="56">
        <f t="shared" si="37"/>
        <v>149.85</v>
      </c>
      <c r="P763" s="56"/>
      <c r="Q763" s="58">
        <f t="shared" si="36"/>
        <v>237427.8</v>
      </c>
      <c r="R763" s="59" t="s">
        <v>669</v>
      </c>
    </row>
    <row r="764" ht="20" customHeight="1" spans="2:18">
      <c r="B764" s="42">
        <v>9</v>
      </c>
      <c r="C764" s="42">
        <v>15</v>
      </c>
      <c r="D764" s="74" t="s">
        <v>92</v>
      </c>
      <c r="E764" s="104" t="s">
        <v>251</v>
      </c>
      <c r="F764" s="100" t="s">
        <v>3307</v>
      </c>
      <c r="G764" s="56"/>
      <c r="H764" s="56"/>
      <c r="I764" s="56"/>
      <c r="J764" s="56"/>
      <c r="K764" s="56"/>
      <c r="L764" s="56"/>
      <c r="M764" s="56"/>
      <c r="N764" s="56"/>
      <c r="O764" s="56">
        <f t="shared" ref="O764:O782" si="38">SUM(G764:M764)-N764</f>
        <v>0</v>
      </c>
      <c r="P764" s="56">
        <v>16492.25</v>
      </c>
      <c r="Q764" s="58">
        <f t="shared" si="36"/>
        <v>220935.55</v>
      </c>
      <c r="R764" s="59"/>
    </row>
    <row r="765" ht="20" customHeight="1" spans="2:18">
      <c r="B765" s="42">
        <v>9</v>
      </c>
      <c r="C765" s="42">
        <v>15</v>
      </c>
      <c r="D765" s="74" t="s">
        <v>93</v>
      </c>
      <c r="E765" s="104" t="s">
        <v>251</v>
      </c>
      <c r="F765" s="100" t="s">
        <v>3308</v>
      </c>
      <c r="G765" s="56"/>
      <c r="H765" s="56"/>
      <c r="I765" s="56"/>
      <c r="J765" s="56"/>
      <c r="K765" s="56"/>
      <c r="L765" s="56"/>
      <c r="M765" s="56"/>
      <c r="N765" s="56"/>
      <c r="O765" s="56">
        <f t="shared" si="38"/>
        <v>0</v>
      </c>
      <c r="P765" s="56">
        <v>8507.75</v>
      </c>
      <c r="Q765" s="58">
        <f t="shared" si="36"/>
        <v>212427.8</v>
      </c>
      <c r="R765" s="56"/>
    </row>
    <row r="766" ht="20" customHeight="1" spans="2:18">
      <c r="B766" s="42">
        <v>9</v>
      </c>
      <c r="C766" s="42">
        <v>15</v>
      </c>
      <c r="D766" s="42"/>
      <c r="E766" s="96" t="s">
        <v>2107</v>
      </c>
      <c r="F766" s="100" t="s">
        <v>3309</v>
      </c>
      <c r="G766" s="56">
        <v>1830</v>
      </c>
      <c r="H766" s="56">
        <v>305</v>
      </c>
      <c r="I766" s="56">
        <v>20</v>
      </c>
      <c r="J766" s="56"/>
      <c r="K766" s="56"/>
      <c r="L766" s="56"/>
      <c r="M766" s="56"/>
      <c r="N766" s="56"/>
      <c r="O766" s="56">
        <f t="shared" si="38"/>
        <v>2155</v>
      </c>
      <c r="P766" s="56"/>
      <c r="Q766" s="58">
        <f t="shared" si="36"/>
        <v>214582.8</v>
      </c>
      <c r="R766" s="56"/>
    </row>
    <row r="767" ht="20" customHeight="1" spans="2:18">
      <c r="B767" s="42">
        <v>9</v>
      </c>
      <c r="C767" s="42">
        <v>15</v>
      </c>
      <c r="D767" s="42"/>
      <c r="E767" s="121" t="s">
        <v>2934</v>
      </c>
      <c r="F767" s="121" t="s">
        <v>3310</v>
      </c>
      <c r="G767" s="56"/>
      <c r="H767" s="56"/>
      <c r="I767" s="56">
        <v>200</v>
      </c>
      <c r="J767" s="56"/>
      <c r="K767" s="56"/>
      <c r="L767" s="56"/>
      <c r="M767" s="56"/>
      <c r="N767" s="56">
        <v>1</v>
      </c>
      <c r="O767" s="56">
        <f t="shared" si="38"/>
        <v>199</v>
      </c>
      <c r="P767" s="56"/>
      <c r="Q767" s="58">
        <f t="shared" si="36"/>
        <v>214781.8</v>
      </c>
      <c r="R767" s="56"/>
    </row>
    <row r="768" ht="20" customHeight="1" spans="2:18">
      <c r="B768" s="42">
        <v>9</v>
      </c>
      <c r="C768" s="42">
        <v>15</v>
      </c>
      <c r="D768" s="94" t="s">
        <v>92</v>
      </c>
      <c r="E768" s="107" t="s">
        <v>271</v>
      </c>
      <c r="F768" s="107" t="s">
        <v>2311</v>
      </c>
      <c r="G768" s="84"/>
      <c r="H768" s="84"/>
      <c r="I768" s="84"/>
      <c r="J768" s="84"/>
      <c r="K768" s="84"/>
      <c r="L768" s="84"/>
      <c r="M768" s="84"/>
      <c r="N768" s="84"/>
      <c r="O768" s="84">
        <f t="shared" si="38"/>
        <v>0</v>
      </c>
      <c r="P768" s="84">
        <v>24900</v>
      </c>
      <c r="Q768" s="58">
        <f t="shared" si="36"/>
        <v>189881.8</v>
      </c>
      <c r="R768" s="56"/>
    </row>
    <row r="769" ht="20" customHeight="1" spans="2:18">
      <c r="B769" s="42">
        <v>9</v>
      </c>
      <c r="C769" s="42">
        <v>16</v>
      </c>
      <c r="D769" s="74" t="s">
        <v>69</v>
      </c>
      <c r="E769" s="104" t="s">
        <v>2638</v>
      </c>
      <c r="F769" s="107" t="s">
        <v>3252</v>
      </c>
      <c r="G769" s="56"/>
      <c r="H769" s="56"/>
      <c r="I769" s="56"/>
      <c r="J769" s="56"/>
      <c r="K769" s="56"/>
      <c r="L769" s="56"/>
      <c r="M769" s="56"/>
      <c r="N769" s="56"/>
      <c r="O769" s="56">
        <f t="shared" si="38"/>
        <v>0</v>
      </c>
      <c r="P769" s="56">
        <v>30000</v>
      </c>
      <c r="Q769" s="58">
        <f t="shared" si="36"/>
        <v>159881.8</v>
      </c>
      <c r="R769" s="56"/>
    </row>
    <row r="770" ht="20" customHeight="1" spans="2:18">
      <c r="B770" s="42">
        <v>9</v>
      </c>
      <c r="C770" s="42">
        <v>16</v>
      </c>
      <c r="D770" s="42"/>
      <c r="E770" s="104" t="s">
        <v>2934</v>
      </c>
      <c r="F770" s="100" t="s">
        <v>3311</v>
      </c>
      <c r="G770" s="56"/>
      <c r="H770" s="56"/>
      <c r="I770" s="56">
        <v>1550</v>
      </c>
      <c r="J770" s="56"/>
      <c r="K770" s="56"/>
      <c r="L770" s="56"/>
      <c r="M770" s="56"/>
      <c r="N770" s="103">
        <v>7.75</v>
      </c>
      <c r="O770" s="56">
        <f t="shared" si="38"/>
        <v>1542.25</v>
      </c>
      <c r="P770" s="56"/>
      <c r="Q770" s="58">
        <f t="shared" si="36"/>
        <v>161424.05</v>
      </c>
      <c r="R770" s="56"/>
    </row>
    <row r="771" ht="20" customHeight="1" spans="2:18">
      <c r="B771" s="42">
        <v>9</v>
      </c>
      <c r="C771" s="42">
        <v>17</v>
      </c>
      <c r="D771" s="42"/>
      <c r="E771" s="104" t="s">
        <v>2934</v>
      </c>
      <c r="F771" s="100" t="s">
        <v>3312</v>
      </c>
      <c r="G771" s="56"/>
      <c r="H771" s="56"/>
      <c r="I771" s="56">
        <v>1050</v>
      </c>
      <c r="J771" s="56"/>
      <c r="K771" s="56"/>
      <c r="L771" s="56"/>
      <c r="M771" s="56"/>
      <c r="N771" s="56">
        <v>5.25</v>
      </c>
      <c r="O771" s="56">
        <f t="shared" si="38"/>
        <v>1044.75</v>
      </c>
      <c r="P771" s="56"/>
      <c r="Q771" s="58">
        <f t="shared" si="36"/>
        <v>162468.8</v>
      </c>
      <c r="R771" s="56"/>
    </row>
    <row r="772" ht="20" customHeight="1" spans="2:18">
      <c r="B772" s="42">
        <v>9</v>
      </c>
      <c r="C772" s="42">
        <v>17</v>
      </c>
      <c r="D772" s="42"/>
      <c r="E772" s="104" t="s">
        <v>3313</v>
      </c>
      <c r="F772" s="100" t="s">
        <v>3314</v>
      </c>
      <c r="G772" s="56">
        <v>1200</v>
      </c>
      <c r="H772" s="56"/>
      <c r="I772" s="56"/>
      <c r="J772" s="56"/>
      <c r="K772" s="56"/>
      <c r="L772" s="56"/>
      <c r="M772" s="56"/>
      <c r="N772" s="56"/>
      <c r="O772" s="56">
        <f t="shared" si="38"/>
        <v>1200</v>
      </c>
      <c r="P772" s="56"/>
      <c r="Q772" s="58">
        <f t="shared" si="36"/>
        <v>163668.8</v>
      </c>
      <c r="R772" s="56"/>
    </row>
    <row r="773" ht="20" customHeight="1" spans="2:18">
      <c r="B773" s="42">
        <v>9</v>
      </c>
      <c r="C773" s="42">
        <v>18</v>
      </c>
      <c r="D773" s="42"/>
      <c r="E773" s="104" t="s">
        <v>2934</v>
      </c>
      <c r="F773" s="100" t="s">
        <v>3315</v>
      </c>
      <c r="G773" s="56"/>
      <c r="H773" s="56"/>
      <c r="I773" s="56">
        <v>150</v>
      </c>
      <c r="J773" s="56"/>
      <c r="K773" s="56"/>
      <c r="L773" s="56"/>
      <c r="M773" s="56"/>
      <c r="N773" s="56">
        <v>0.75</v>
      </c>
      <c r="O773" s="56">
        <f t="shared" si="38"/>
        <v>149.25</v>
      </c>
      <c r="P773" s="56"/>
      <c r="Q773" s="58">
        <f t="shared" si="36"/>
        <v>163818.05</v>
      </c>
      <c r="R773" s="56"/>
    </row>
    <row r="774" ht="20" customHeight="1" spans="2:18">
      <c r="B774" s="42">
        <v>9</v>
      </c>
      <c r="C774" s="42">
        <v>18</v>
      </c>
      <c r="D774" s="42"/>
      <c r="E774" s="104" t="s">
        <v>2756</v>
      </c>
      <c r="F774" s="100" t="s">
        <v>3316</v>
      </c>
      <c r="G774" s="56"/>
      <c r="H774" s="56"/>
      <c r="I774" s="56">
        <v>101</v>
      </c>
      <c r="J774" s="56"/>
      <c r="K774" s="56"/>
      <c r="L774" s="56"/>
      <c r="M774" s="56">
        <v>16.85</v>
      </c>
      <c r="N774" s="56"/>
      <c r="O774" s="56">
        <f t="shared" si="38"/>
        <v>117.85</v>
      </c>
      <c r="P774" s="56"/>
      <c r="Q774" s="58">
        <f t="shared" si="36"/>
        <v>163935.9</v>
      </c>
      <c r="R774" s="56"/>
    </row>
    <row r="775" ht="20" customHeight="1" spans="2:18">
      <c r="B775" s="42">
        <v>9</v>
      </c>
      <c r="C775" s="42">
        <v>21</v>
      </c>
      <c r="D775" s="42"/>
      <c r="E775" s="104" t="s">
        <v>161</v>
      </c>
      <c r="F775" s="100" t="s">
        <v>29</v>
      </c>
      <c r="G775" s="56"/>
      <c r="H775" s="56"/>
      <c r="I775" s="56"/>
      <c r="J775" s="56"/>
      <c r="K775" s="56"/>
      <c r="L775" s="56"/>
      <c r="M775" s="56"/>
      <c r="N775" s="56"/>
      <c r="O775" s="56">
        <f t="shared" si="38"/>
        <v>0</v>
      </c>
      <c r="P775" s="56"/>
      <c r="Q775" s="58">
        <f t="shared" si="36"/>
        <v>163935.9</v>
      </c>
      <c r="R775" s="56"/>
    </row>
    <row r="776" ht="20" customHeight="1" spans="2:18">
      <c r="B776" s="42">
        <v>9</v>
      </c>
      <c r="C776" s="42">
        <v>21</v>
      </c>
      <c r="D776" s="42"/>
      <c r="E776" s="104"/>
      <c r="F776" s="100" t="s">
        <v>3317</v>
      </c>
      <c r="G776" s="56"/>
      <c r="H776" s="56"/>
      <c r="I776" s="56"/>
      <c r="J776" s="56"/>
      <c r="K776" s="56">
        <v>240</v>
      </c>
      <c r="L776" s="56"/>
      <c r="M776" s="56"/>
      <c r="N776" s="56">
        <v>0.24</v>
      </c>
      <c r="O776" s="56">
        <f t="shared" si="38"/>
        <v>239.76</v>
      </c>
      <c r="P776" s="56"/>
      <c r="Q776" s="58">
        <f t="shared" si="36"/>
        <v>164175.66</v>
      </c>
      <c r="R776" s="59" t="s">
        <v>669</v>
      </c>
    </row>
    <row r="777" ht="20" customHeight="1" spans="2:18">
      <c r="B777" s="42">
        <v>9</v>
      </c>
      <c r="C777" s="42">
        <v>21</v>
      </c>
      <c r="D777" s="42"/>
      <c r="E777" s="104"/>
      <c r="F777" s="100" t="s">
        <v>3318</v>
      </c>
      <c r="G777" s="56"/>
      <c r="H777" s="56"/>
      <c r="I777" s="56"/>
      <c r="J777" s="56"/>
      <c r="K777" s="56">
        <v>510</v>
      </c>
      <c r="L777" s="56"/>
      <c r="M777" s="56"/>
      <c r="N777" s="56">
        <v>0.51</v>
      </c>
      <c r="O777" s="56">
        <f t="shared" si="38"/>
        <v>509.49</v>
      </c>
      <c r="P777" s="56"/>
      <c r="Q777" s="58">
        <f t="shared" si="36"/>
        <v>164685.15</v>
      </c>
      <c r="R777" s="59" t="s">
        <v>669</v>
      </c>
    </row>
    <row r="778" ht="20" customHeight="1" spans="2:18">
      <c r="B778" s="42">
        <v>9</v>
      </c>
      <c r="C778" s="42">
        <v>21</v>
      </c>
      <c r="D778" s="42"/>
      <c r="E778" s="104" t="s">
        <v>2934</v>
      </c>
      <c r="F778" s="100" t="s">
        <v>3319</v>
      </c>
      <c r="G778" s="56"/>
      <c r="H778" s="56"/>
      <c r="I778" s="56">
        <v>950</v>
      </c>
      <c r="J778" s="56"/>
      <c r="K778" s="56"/>
      <c r="L778" s="56"/>
      <c r="M778" s="56"/>
      <c r="N778" s="56">
        <v>4.75</v>
      </c>
      <c r="O778" s="56">
        <f t="shared" si="38"/>
        <v>945.25</v>
      </c>
      <c r="P778" s="56"/>
      <c r="Q778" s="58">
        <f t="shared" si="36"/>
        <v>165630.4</v>
      </c>
      <c r="R778" s="56"/>
    </row>
    <row r="779" ht="20" customHeight="1" spans="2:18">
      <c r="B779" s="42">
        <v>9</v>
      </c>
      <c r="C779" s="42">
        <v>22</v>
      </c>
      <c r="D779" s="42"/>
      <c r="E779" s="104" t="s">
        <v>2934</v>
      </c>
      <c r="F779" s="100" t="s">
        <v>3320</v>
      </c>
      <c r="G779" s="56"/>
      <c r="H779" s="56"/>
      <c r="I779" s="56">
        <v>1800</v>
      </c>
      <c r="J779" s="56"/>
      <c r="K779" s="56"/>
      <c r="L779" s="56"/>
      <c r="M779" s="56"/>
      <c r="N779" s="56">
        <v>9</v>
      </c>
      <c r="O779" s="56">
        <f t="shared" si="38"/>
        <v>1791</v>
      </c>
      <c r="P779" s="56"/>
      <c r="Q779" s="58">
        <f t="shared" si="36"/>
        <v>167421.4</v>
      </c>
      <c r="R779" s="56"/>
    </row>
    <row r="780" ht="20" customHeight="1" spans="2:18">
      <c r="B780" s="42">
        <v>9</v>
      </c>
      <c r="C780" s="42">
        <v>22</v>
      </c>
      <c r="D780" s="42"/>
      <c r="E780" s="104" t="s">
        <v>2663</v>
      </c>
      <c r="F780" s="100" t="s">
        <v>3321</v>
      </c>
      <c r="G780" s="56">
        <v>3436</v>
      </c>
      <c r="H780" s="56">
        <v>564</v>
      </c>
      <c r="I780" s="56"/>
      <c r="J780" s="56"/>
      <c r="K780" s="56"/>
      <c r="L780" s="56"/>
      <c r="M780" s="56"/>
      <c r="N780" s="56"/>
      <c r="O780" s="56">
        <f t="shared" si="38"/>
        <v>4000</v>
      </c>
      <c r="P780" s="56"/>
      <c r="Q780" s="58">
        <f t="shared" si="36"/>
        <v>171421.4</v>
      </c>
      <c r="R780" s="56"/>
    </row>
    <row r="781" ht="20" customHeight="1" spans="2:18">
      <c r="B781" s="42">
        <v>9</v>
      </c>
      <c r="C781" s="42">
        <v>23</v>
      </c>
      <c r="D781" s="42"/>
      <c r="E781" s="104" t="s">
        <v>2934</v>
      </c>
      <c r="F781" s="100" t="s">
        <v>3322</v>
      </c>
      <c r="G781" s="56"/>
      <c r="H781" s="56"/>
      <c r="I781" s="56">
        <v>50</v>
      </c>
      <c r="J781" s="56"/>
      <c r="K781" s="56"/>
      <c r="L781" s="56"/>
      <c r="M781" s="56"/>
      <c r="N781" s="56">
        <v>0.25</v>
      </c>
      <c r="O781" s="56">
        <f t="shared" si="38"/>
        <v>49.75</v>
      </c>
      <c r="P781" s="56"/>
      <c r="Q781" s="58">
        <f t="shared" si="36"/>
        <v>171471.15</v>
      </c>
      <c r="R781" s="56"/>
    </row>
    <row r="782" ht="20" customHeight="1" spans="2:18">
      <c r="B782" s="42">
        <v>9</v>
      </c>
      <c r="C782" s="42">
        <v>23</v>
      </c>
      <c r="D782" s="42"/>
      <c r="E782" s="104" t="s">
        <v>3250</v>
      </c>
      <c r="F782" s="100" t="s">
        <v>3323</v>
      </c>
      <c r="G782" s="56">
        <v>45960</v>
      </c>
      <c r="H782" s="56"/>
      <c r="I782" s="56">
        <v>296</v>
      </c>
      <c r="J782" s="56"/>
      <c r="K782" s="56"/>
      <c r="L782" s="56"/>
      <c r="M782" s="56"/>
      <c r="N782" s="56"/>
      <c r="O782" s="56">
        <f t="shared" si="38"/>
        <v>46256</v>
      </c>
      <c r="P782" s="56"/>
      <c r="Q782" s="58">
        <f t="shared" si="36"/>
        <v>217727.15</v>
      </c>
      <c r="R782" s="56"/>
    </row>
    <row r="783" ht="20" customHeight="1" spans="2:18">
      <c r="B783" s="42">
        <v>9</v>
      </c>
      <c r="C783" s="42">
        <v>23</v>
      </c>
      <c r="D783" s="74" t="s">
        <v>69</v>
      </c>
      <c r="E783" s="104" t="s">
        <v>2638</v>
      </c>
      <c r="F783" s="107" t="s">
        <v>3252</v>
      </c>
      <c r="G783" s="56"/>
      <c r="H783" s="56"/>
      <c r="I783" s="56"/>
      <c r="J783" s="56"/>
      <c r="K783" s="56"/>
      <c r="L783" s="56"/>
      <c r="M783" s="56"/>
      <c r="N783" s="56"/>
      <c r="O783" s="56">
        <f t="shared" ref="O783:O812" si="39">SUM(G783:M783)-N783</f>
        <v>0</v>
      </c>
      <c r="P783" s="56">
        <v>76100</v>
      </c>
      <c r="Q783" s="58">
        <f t="shared" ref="Q783:Q826" si="40">Q782+O783-P783</f>
        <v>141627.15</v>
      </c>
      <c r="R783" s="56"/>
    </row>
    <row r="784" ht="20" customHeight="1" spans="2:18">
      <c r="B784" s="42">
        <v>9</v>
      </c>
      <c r="C784" s="42">
        <v>23</v>
      </c>
      <c r="D784" s="42"/>
      <c r="E784" s="104" t="s">
        <v>3261</v>
      </c>
      <c r="F784" s="100" t="s">
        <v>3324</v>
      </c>
      <c r="G784" s="56"/>
      <c r="H784" s="56"/>
      <c r="I784" s="56">
        <v>462.64</v>
      </c>
      <c r="J784" s="56"/>
      <c r="K784" s="56"/>
      <c r="L784" s="56"/>
      <c r="M784" s="56"/>
      <c r="N784" s="56"/>
      <c r="O784" s="56">
        <f t="shared" si="39"/>
        <v>462.64</v>
      </c>
      <c r="P784" s="56"/>
      <c r="Q784" s="58">
        <f t="shared" si="40"/>
        <v>142089.79</v>
      </c>
      <c r="R784" s="56"/>
    </row>
    <row r="785" ht="20" customHeight="1" spans="2:18">
      <c r="B785" s="42">
        <v>9</v>
      </c>
      <c r="C785" s="42">
        <v>24</v>
      </c>
      <c r="D785" s="42"/>
      <c r="E785" s="104" t="s">
        <v>2934</v>
      </c>
      <c r="F785" s="100" t="s">
        <v>3325</v>
      </c>
      <c r="G785" s="56"/>
      <c r="H785" s="56"/>
      <c r="I785" s="56">
        <v>2250</v>
      </c>
      <c r="J785" s="56"/>
      <c r="K785" s="56"/>
      <c r="L785" s="56"/>
      <c r="M785" s="56"/>
      <c r="N785" s="56">
        <v>11.25</v>
      </c>
      <c r="O785" s="56">
        <f t="shared" si="39"/>
        <v>2238.75</v>
      </c>
      <c r="P785" s="56"/>
      <c r="Q785" s="58">
        <f t="shared" si="40"/>
        <v>144328.54</v>
      </c>
      <c r="R785" s="56"/>
    </row>
    <row r="786" ht="20" customHeight="1" spans="2:18">
      <c r="B786" s="42">
        <v>9</v>
      </c>
      <c r="C786" s="42">
        <v>24</v>
      </c>
      <c r="D786" s="42"/>
      <c r="E786" s="104" t="s">
        <v>2636</v>
      </c>
      <c r="F786" s="100" t="s">
        <v>3326</v>
      </c>
      <c r="G786" s="56">
        <v>3712.5</v>
      </c>
      <c r="H786" s="56">
        <v>562.5</v>
      </c>
      <c r="I786" s="56">
        <v>188</v>
      </c>
      <c r="J786" s="56"/>
      <c r="K786" s="56"/>
      <c r="L786" s="56"/>
      <c r="M786" s="56"/>
      <c r="N786" s="56"/>
      <c r="O786" s="56">
        <f t="shared" si="39"/>
        <v>4463</v>
      </c>
      <c r="P786" s="56"/>
      <c r="Q786" s="58">
        <f t="shared" si="40"/>
        <v>148791.54</v>
      </c>
      <c r="R786" s="56"/>
    </row>
    <row r="787" ht="20" customHeight="1" spans="2:18">
      <c r="B787" s="42">
        <v>9</v>
      </c>
      <c r="C787" s="42">
        <v>25</v>
      </c>
      <c r="D787" s="42"/>
      <c r="E787" s="104" t="s">
        <v>2539</v>
      </c>
      <c r="F787" s="100" t="s">
        <v>3327</v>
      </c>
      <c r="G787" s="56">
        <v>2789.7</v>
      </c>
      <c r="H787" s="56">
        <v>410.3</v>
      </c>
      <c r="I787" s="56"/>
      <c r="J787" s="56"/>
      <c r="K787" s="56"/>
      <c r="L787" s="56"/>
      <c r="M787" s="56"/>
      <c r="N787" s="56"/>
      <c r="O787" s="56">
        <f t="shared" si="39"/>
        <v>3200</v>
      </c>
      <c r="P787" s="56"/>
      <c r="Q787" s="58">
        <f t="shared" si="40"/>
        <v>151991.54</v>
      </c>
      <c r="R787" s="56"/>
    </row>
    <row r="788" ht="20" customHeight="1" spans="2:18">
      <c r="B788" s="42">
        <v>9</v>
      </c>
      <c r="C788" s="42">
        <v>25</v>
      </c>
      <c r="D788" s="42"/>
      <c r="E788" s="104" t="s">
        <v>2539</v>
      </c>
      <c r="F788" s="100" t="s">
        <v>3328</v>
      </c>
      <c r="G788" s="56">
        <v>2789.7</v>
      </c>
      <c r="H788" s="56">
        <v>410.3</v>
      </c>
      <c r="I788" s="56"/>
      <c r="J788" s="56"/>
      <c r="K788" s="56"/>
      <c r="L788" s="56"/>
      <c r="M788" s="56"/>
      <c r="N788" s="56"/>
      <c r="O788" s="56">
        <f t="shared" si="39"/>
        <v>3200</v>
      </c>
      <c r="P788" s="56"/>
      <c r="Q788" s="58">
        <f t="shared" si="40"/>
        <v>155191.54</v>
      </c>
      <c r="R788" s="56"/>
    </row>
    <row r="789" ht="20" customHeight="1" spans="2:18">
      <c r="B789" s="42">
        <v>9</v>
      </c>
      <c r="C789" s="42">
        <v>25</v>
      </c>
      <c r="D789" s="42"/>
      <c r="E789" s="104" t="s">
        <v>2934</v>
      </c>
      <c r="F789" s="100" t="s">
        <v>3329</v>
      </c>
      <c r="G789" s="56"/>
      <c r="H789" s="56"/>
      <c r="I789" s="56">
        <v>200</v>
      </c>
      <c r="J789" s="56"/>
      <c r="K789" s="56"/>
      <c r="L789" s="56"/>
      <c r="M789" s="56"/>
      <c r="N789" s="56">
        <v>1</v>
      </c>
      <c r="O789" s="56">
        <f t="shared" si="39"/>
        <v>199</v>
      </c>
      <c r="P789" s="56"/>
      <c r="Q789" s="58">
        <f t="shared" si="40"/>
        <v>155390.54</v>
      </c>
      <c r="R789" s="56"/>
    </row>
    <row r="790" ht="20" customHeight="1" spans="2:18">
      <c r="B790" s="42">
        <v>9</v>
      </c>
      <c r="C790" s="42">
        <v>26</v>
      </c>
      <c r="D790" s="42"/>
      <c r="E790" s="104" t="s">
        <v>2934</v>
      </c>
      <c r="F790" s="100" t="s">
        <v>3330</v>
      </c>
      <c r="G790" s="56"/>
      <c r="H790" s="56"/>
      <c r="I790" s="56">
        <v>600</v>
      </c>
      <c r="J790" s="56"/>
      <c r="K790" s="56"/>
      <c r="L790" s="56"/>
      <c r="M790" s="56"/>
      <c r="N790" s="56">
        <v>3</v>
      </c>
      <c r="O790" s="56">
        <f t="shared" si="39"/>
        <v>597</v>
      </c>
      <c r="P790" s="56"/>
      <c r="Q790" s="58">
        <f t="shared" si="40"/>
        <v>155987.54</v>
      </c>
      <c r="R790" s="56"/>
    </row>
    <row r="791" ht="20" customHeight="1" spans="2:18">
      <c r="B791" s="42">
        <v>9</v>
      </c>
      <c r="C791" s="42">
        <v>27</v>
      </c>
      <c r="D791" s="42"/>
      <c r="E791" s="104" t="s">
        <v>2934</v>
      </c>
      <c r="F791" s="100" t="s">
        <v>3331</v>
      </c>
      <c r="G791" s="56"/>
      <c r="H791" s="56"/>
      <c r="I791" s="56">
        <v>1680</v>
      </c>
      <c r="J791" s="56"/>
      <c r="K791" s="56"/>
      <c r="L791" s="56"/>
      <c r="M791" s="56"/>
      <c r="N791" s="56">
        <v>8.4</v>
      </c>
      <c r="O791" s="56">
        <f t="shared" si="39"/>
        <v>1671.6</v>
      </c>
      <c r="P791" s="56"/>
      <c r="Q791" s="58">
        <f t="shared" si="40"/>
        <v>157659.14</v>
      </c>
      <c r="R791" s="56"/>
    </row>
    <row r="792" ht="20" customHeight="1" spans="2:18">
      <c r="B792" s="42">
        <v>9</v>
      </c>
      <c r="C792" s="42">
        <v>28</v>
      </c>
      <c r="D792" s="42"/>
      <c r="E792" s="104" t="s">
        <v>2934</v>
      </c>
      <c r="F792" s="100" t="s">
        <v>3332</v>
      </c>
      <c r="G792" s="56"/>
      <c r="H792" s="56"/>
      <c r="I792" s="56">
        <v>1150</v>
      </c>
      <c r="J792" s="56"/>
      <c r="K792" s="56"/>
      <c r="L792" s="56"/>
      <c r="M792" s="56"/>
      <c r="N792" s="56">
        <v>5.75</v>
      </c>
      <c r="O792" s="56">
        <f t="shared" si="39"/>
        <v>1144.25</v>
      </c>
      <c r="P792" s="56"/>
      <c r="Q792" s="58">
        <f t="shared" si="40"/>
        <v>158803.39</v>
      </c>
      <c r="R792" s="56"/>
    </row>
    <row r="793" ht="20" customHeight="1" spans="2:18">
      <c r="B793" s="42">
        <v>9</v>
      </c>
      <c r="C793" s="42">
        <v>28</v>
      </c>
      <c r="D793" s="42"/>
      <c r="E793" s="104"/>
      <c r="F793" s="100" t="s">
        <v>3333</v>
      </c>
      <c r="G793" s="56"/>
      <c r="H793" s="56"/>
      <c r="I793" s="56"/>
      <c r="J793" s="56"/>
      <c r="K793" s="56">
        <v>250</v>
      </c>
      <c r="L793" s="56"/>
      <c r="M793" s="56"/>
      <c r="N793" s="56">
        <v>0.25</v>
      </c>
      <c r="O793" s="56">
        <f t="shared" si="39"/>
        <v>249.75</v>
      </c>
      <c r="P793" s="56"/>
      <c r="Q793" s="58">
        <f t="shared" si="40"/>
        <v>159053.14</v>
      </c>
      <c r="R793" s="59" t="s">
        <v>669</v>
      </c>
    </row>
    <row r="794" ht="20" customHeight="1" spans="2:18">
      <c r="B794" s="42">
        <v>9</v>
      </c>
      <c r="C794" s="42">
        <v>28</v>
      </c>
      <c r="D794" s="42"/>
      <c r="E794" s="104"/>
      <c r="F794" s="100" t="s">
        <v>3334</v>
      </c>
      <c r="G794" s="56"/>
      <c r="H794" s="56"/>
      <c r="I794" s="56"/>
      <c r="J794" s="56"/>
      <c r="K794" s="56">
        <v>200</v>
      </c>
      <c r="L794" s="56"/>
      <c r="M794" s="56"/>
      <c r="N794" s="56">
        <v>0.2</v>
      </c>
      <c r="O794" s="56">
        <f t="shared" si="39"/>
        <v>199.8</v>
      </c>
      <c r="P794" s="56"/>
      <c r="Q794" s="58">
        <f t="shared" si="40"/>
        <v>159252.94</v>
      </c>
      <c r="R794" s="59" t="s">
        <v>669</v>
      </c>
    </row>
    <row r="795" ht="20" customHeight="1" spans="2:18">
      <c r="B795" s="42">
        <v>9</v>
      </c>
      <c r="C795" s="42">
        <v>28</v>
      </c>
      <c r="D795" s="42"/>
      <c r="E795" s="104"/>
      <c r="F795" s="100" t="s">
        <v>3335</v>
      </c>
      <c r="G795" s="56"/>
      <c r="H795" s="56"/>
      <c r="I795" s="56"/>
      <c r="J795" s="56"/>
      <c r="K795" s="56">
        <v>240</v>
      </c>
      <c r="L795" s="56"/>
      <c r="M795" s="56"/>
      <c r="N795" s="56">
        <v>0.24</v>
      </c>
      <c r="O795" s="56">
        <f t="shared" si="39"/>
        <v>239.76</v>
      </c>
      <c r="P795" s="56"/>
      <c r="Q795" s="58">
        <f t="shared" si="40"/>
        <v>159492.7</v>
      </c>
      <c r="R795" s="59" t="s">
        <v>669</v>
      </c>
    </row>
    <row r="796" ht="20" customHeight="1" spans="2:18">
      <c r="B796" s="42">
        <v>9</v>
      </c>
      <c r="C796" s="42">
        <v>28</v>
      </c>
      <c r="D796" s="42"/>
      <c r="E796" s="96" t="s">
        <v>3336</v>
      </c>
      <c r="F796" s="100" t="s">
        <v>3337</v>
      </c>
      <c r="G796" s="56"/>
      <c r="H796" s="56"/>
      <c r="I796" s="56"/>
      <c r="J796" s="56"/>
      <c r="K796" s="56"/>
      <c r="L796" s="56"/>
      <c r="M796" s="56"/>
      <c r="N796" s="56"/>
      <c r="O796" s="56">
        <f t="shared" si="39"/>
        <v>0</v>
      </c>
      <c r="P796" s="56">
        <v>4375</v>
      </c>
      <c r="Q796" s="58">
        <f t="shared" si="40"/>
        <v>155117.7</v>
      </c>
      <c r="R796" s="56"/>
    </row>
    <row r="797" ht="20" customHeight="1" spans="2:18">
      <c r="B797" s="42">
        <v>9</v>
      </c>
      <c r="C797" s="42">
        <v>29</v>
      </c>
      <c r="D797" s="42"/>
      <c r="E797" s="104" t="s">
        <v>2934</v>
      </c>
      <c r="F797" s="100" t="s">
        <v>3338</v>
      </c>
      <c r="G797" s="56"/>
      <c r="H797" s="56"/>
      <c r="I797" s="56"/>
      <c r="J797" s="56"/>
      <c r="K797" s="56">
        <v>870</v>
      </c>
      <c r="L797" s="56"/>
      <c r="M797" s="56"/>
      <c r="N797" s="56">
        <v>4.35</v>
      </c>
      <c r="O797" s="56">
        <f t="shared" si="39"/>
        <v>865.65</v>
      </c>
      <c r="P797" s="56"/>
      <c r="Q797" s="58">
        <f t="shared" si="40"/>
        <v>155983.35</v>
      </c>
      <c r="R797" s="56"/>
    </row>
    <row r="798" ht="20" customHeight="1" spans="2:18">
      <c r="B798" s="42">
        <v>9</v>
      </c>
      <c r="C798" s="42">
        <v>29</v>
      </c>
      <c r="D798" s="42"/>
      <c r="E798" s="104" t="s">
        <v>2679</v>
      </c>
      <c r="F798" s="100" t="s">
        <v>3339</v>
      </c>
      <c r="G798" s="56">
        <v>4739.7</v>
      </c>
      <c r="H798" s="56">
        <v>410.3</v>
      </c>
      <c r="I798" s="56">
        <v>550</v>
      </c>
      <c r="J798" s="56"/>
      <c r="K798" s="56"/>
      <c r="L798" s="56"/>
      <c r="M798" s="56"/>
      <c r="N798" s="56"/>
      <c r="O798" s="56">
        <f t="shared" si="39"/>
        <v>5700</v>
      </c>
      <c r="P798" s="56"/>
      <c r="Q798" s="58">
        <f t="shared" si="40"/>
        <v>161683.35</v>
      </c>
      <c r="R798" s="56"/>
    </row>
    <row r="799" ht="20" customHeight="1" spans="2:18">
      <c r="B799" s="42">
        <v>9</v>
      </c>
      <c r="C799" s="42">
        <v>30</v>
      </c>
      <c r="D799" s="42"/>
      <c r="E799" s="104" t="s">
        <v>2934</v>
      </c>
      <c r="F799" s="100" t="s">
        <v>3340</v>
      </c>
      <c r="G799" s="56"/>
      <c r="H799" s="56"/>
      <c r="I799" s="56"/>
      <c r="J799" s="56"/>
      <c r="K799" s="56">
        <v>12550</v>
      </c>
      <c r="L799" s="56"/>
      <c r="M799" s="56"/>
      <c r="N799" s="56">
        <v>62.75</v>
      </c>
      <c r="O799" s="56">
        <f t="shared" si="39"/>
        <v>12487.25</v>
      </c>
      <c r="P799" s="56"/>
      <c r="Q799" s="58">
        <f t="shared" si="40"/>
        <v>174170.6</v>
      </c>
      <c r="R799" s="56"/>
    </row>
    <row r="800" ht="20" customHeight="1" spans="2:18">
      <c r="B800" s="42">
        <v>9</v>
      </c>
      <c r="C800" s="42">
        <v>30</v>
      </c>
      <c r="D800" s="42"/>
      <c r="E800" s="104" t="s">
        <v>2700</v>
      </c>
      <c r="F800" s="107" t="s">
        <v>3341</v>
      </c>
      <c r="G800" s="84">
        <v>750</v>
      </c>
      <c r="H800" s="84">
        <v>150</v>
      </c>
      <c r="I800" s="56">
        <v>139</v>
      </c>
      <c r="J800" s="56"/>
      <c r="K800" s="56"/>
      <c r="L800" s="56"/>
      <c r="M800" s="56"/>
      <c r="N800" s="56"/>
      <c r="O800" s="56">
        <f t="shared" si="39"/>
        <v>1039</v>
      </c>
      <c r="P800" s="56"/>
      <c r="Q800" s="58">
        <f t="shared" si="40"/>
        <v>175209.6</v>
      </c>
      <c r="R800" s="56"/>
    </row>
    <row r="801" ht="20" customHeight="1" spans="2:18">
      <c r="B801" s="42">
        <v>9</v>
      </c>
      <c r="C801" s="42">
        <v>30</v>
      </c>
      <c r="D801" s="42"/>
      <c r="E801" s="100" t="s">
        <v>2700</v>
      </c>
      <c r="F801" s="107" t="s">
        <v>3342</v>
      </c>
      <c r="G801" s="84">
        <v>19000</v>
      </c>
      <c r="H801" s="84"/>
      <c r="I801" s="56">
        <v>384</v>
      </c>
      <c r="J801" s="56"/>
      <c r="K801" s="56"/>
      <c r="L801" s="56"/>
      <c r="M801" s="56"/>
      <c r="N801" s="56"/>
      <c r="O801" s="56">
        <f t="shared" si="39"/>
        <v>19384</v>
      </c>
      <c r="P801" s="56"/>
      <c r="Q801" s="58">
        <f t="shared" si="40"/>
        <v>194593.6</v>
      </c>
      <c r="R801" s="56"/>
    </row>
    <row r="802" ht="20" customHeight="1" spans="2:18">
      <c r="B802" s="42">
        <v>9</v>
      </c>
      <c r="C802" s="42">
        <v>30</v>
      </c>
      <c r="D802" s="74" t="s">
        <v>69</v>
      </c>
      <c r="E802" s="104" t="s">
        <v>2638</v>
      </c>
      <c r="F802" s="107" t="s">
        <v>3252</v>
      </c>
      <c r="G802" s="56"/>
      <c r="H802" s="56"/>
      <c r="I802" s="56"/>
      <c r="J802" s="56"/>
      <c r="K802" s="56"/>
      <c r="L802" s="56"/>
      <c r="M802" s="56"/>
      <c r="N802" s="56"/>
      <c r="O802" s="56">
        <f t="shared" si="39"/>
        <v>0</v>
      </c>
      <c r="P802" s="56">
        <v>25000</v>
      </c>
      <c r="Q802" s="58">
        <f t="shared" si="40"/>
        <v>169593.6</v>
      </c>
      <c r="R802" s="56"/>
    </row>
    <row r="803" ht="20" customHeight="1" spans="2:18">
      <c r="B803" s="42">
        <v>9</v>
      </c>
      <c r="C803" s="42">
        <v>30</v>
      </c>
      <c r="D803" s="42"/>
      <c r="E803" s="104" t="s">
        <v>283</v>
      </c>
      <c r="F803" s="100" t="s">
        <v>3343</v>
      </c>
      <c r="G803" s="56"/>
      <c r="H803" s="56"/>
      <c r="I803" s="56"/>
      <c r="J803" s="56"/>
      <c r="K803" s="56"/>
      <c r="L803" s="56"/>
      <c r="M803" s="56"/>
      <c r="N803" s="56"/>
      <c r="O803" s="56">
        <f t="shared" si="39"/>
        <v>0</v>
      </c>
      <c r="P803" s="56">
        <v>6572.5</v>
      </c>
      <c r="Q803" s="58">
        <f t="shared" si="40"/>
        <v>163021.1</v>
      </c>
      <c r="R803" s="56"/>
    </row>
    <row r="804" ht="20" customHeight="1" spans="2:18">
      <c r="B804" s="42">
        <v>9</v>
      </c>
      <c r="C804" s="42">
        <v>30</v>
      </c>
      <c r="D804" s="42"/>
      <c r="E804" s="104"/>
      <c r="F804" s="100" t="s">
        <v>3344</v>
      </c>
      <c r="G804" s="56"/>
      <c r="H804" s="56"/>
      <c r="I804" s="56"/>
      <c r="J804" s="56"/>
      <c r="K804" s="56">
        <v>1200</v>
      </c>
      <c r="L804" s="56"/>
      <c r="M804" s="56"/>
      <c r="N804" s="56">
        <v>1.2</v>
      </c>
      <c r="O804" s="56">
        <f t="shared" si="39"/>
        <v>1198.8</v>
      </c>
      <c r="P804" s="56"/>
      <c r="Q804" s="58">
        <f t="shared" si="40"/>
        <v>164219.9</v>
      </c>
      <c r="R804" s="56"/>
    </row>
    <row r="805" ht="20" customHeight="1" spans="2:18">
      <c r="B805" s="42">
        <v>9</v>
      </c>
      <c r="C805" s="42">
        <v>30</v>
      </c>
      <c r="D805" s="42"/>
      <c r="E805" s="104" t="s">
        <v>2609</v>
      </c>
      <c r="F805" s="100" t="s">
        <v>3345</v>
      </c>
      <c r="G805" s="56">
        <v>3275</v>
      </c>
      <c r="H805" s="56">
        <v>525</v>
      </c>
      <c r="I805" s="56">
        <v>34</v>
      </c>
      <c r="J805" s="56"/>
      <c r="K805" s="56"/>
      <c r="L805" s="56"/>
      <c r="M805" s="56"/>
      <c r="N805" s="56">
        <v>3.83</v>
      </c>
      <c r="O805" s="56">
        <f t="shared" si="39"/>
        <v>3830.17</v>
      </c>
      <c r="P805" s="56"/>
      <c r="Q805" s="58">
        <f t="shared" si="40"/>
        <v>168050.07</v>
      </c>
      <c r="R805" s="56"/>
    </row>
    <row r="806" ht="20" customHeight="1" spans="2:18">
      <c r="B806" s="68"/>
      <c r="C806" s="68"/>
      <c r="D806" s="68"/>
      <c r="E806" s="68"/>
      <c r="F806" s="70" t="s">
        <v>22</v>
      </c>
      <c r="G806" s="71">
        <f>SUM(G729:G805)</f>
        <v>117452.45</v>
      </c>
      <c r="H806" s="71">
        <f t="shared" ref="H806:P806" si="41">SUM(H729:H805)</f>
        <v>6567.55</v>
      </c>
      <c r="I806" s="71">
        <f t="shared" si="41"/>
        <v>41258.44</v>
      </c>
      <c r="J806" s="71">
        <f t="shared" si="41"/>
        <v>6344</v>
      </c>
      <c r="K806" s="71">
        <f t="shared" si="41"/>
        <v>16930</v>
      </c>
      <c r="L806" s="71">
        <f t="shared" si="41"/>
        <v>1200</v>
      </c>
      <c r="M806" s="71">
        <f t="shared" si="41"/>
        <v>16.85</v>
      </c>
      <c r="N806" s="71">
        <f t="shared" si="41"/>
        <v>258.59</v>
      </c>
      <c r="O806" s="71">
        <f t="shared" si="41"/>
        <v>252510.7</v>
      </c>
      <c r="P806" s="71">
        <f t="shared" si="41"/>
        <v>324184.5</v>
      </c>
      <c r="Q806" s="72">
        <f>Q728+O806-P806</f>
        <v>168050.07</v>
      </c>
      <c r="R806" s="71"/>
    </row>
    <row r="807" ht="20" customHeight="1" spans="2:18">
      <c r="B807" s="42">
        <v>10</v>
      </c>
      <c r="C807" s="42">
        <v>1</v>
      </c>
      <c r="D807" s="42"/>
      <c r="E807" s="104" t="s">
        <v>2934</v>
      </c>
      <c r="F807" s="100" t="s">
        <v>3346</v>
      </c>
      <c r="G807" s="56"/>
      <c r="H807" s="56"/>
      <c r="I807" s="56">
        <v>530</v>
      </c>
      <c r="J807" s="56"/>
      <c r="K807" s="56"/>
      <c r="L807" s="56"/>
      <c r="M807" s="56"/>
      <c r="N807" s="56">
        <v>2.65</v>
      </c>
      <c r="O807" s="56">
        <f t="shared" ref="O807:O813" si="42">SUM(G807:M807)-N807</f>
        <v>527.35</v>
      </c>
      <c r="P807" s="56"/>
      <c r="Q807" s="58">
        <f>Q805+O807-P807</f>
        <v>168577.42</v>
      </c>
      <c r="R807" s="56"/>
    </row>
    <row r="808" ht="20" customHeight="1" spans="2:18">
      <c r="B808" s="42">
        <v>10</v>
      </c>
      <c r="C808" s="42">
        <v>2</v>
      </c>
      <c r="D808" s="42"/>
      <c r="E808" s="104" t="s">
        <v>2934</v>
      </c>
      <c r="F808" s="100" t="s">
        <v>3347</v>
      </c>
      <c r="G808" s="56"/>
      <c r="H808" s="56"/>
      <c r="I808" s="56">
        <v>6000</v>
      </c>
      <c r="J808" s="56"/>
      <c r="K808" s="56"/>
      <c r="L808" s="56"/>
      <c r="M808" s="56"/>
      <c r="N808" s="56">
        <v>30</v>
      </c>
      <c r="O808" s="56">
        <f t="shared" si="42"/>
        <v>5970</v>
      </c>
      <c r="P808" s="56"/>
      <c r="Q808" s="58">
        <f t="shared" ref="Q808:Q827" si="43">Q807+O808-P808</f>
        <v>174547.42</v>
      </c>
      <c r="R808" s="56"/>
    </row>
    <row r="809" ht="20" customHeight="1" spans="2:18">
      <c r="B809" s="42">
        <v>10</v>
      </c>
      <c r="C809" s="42">
        <v>3</v>
      </c>
      <c r="D809" s="42"/>
      <c r="E809" s="104" t="s">
        <v>2934</v>
      </c>
      <c r="F809" s="100" t="s">
        <v>3348</v>
      </c>
      <c r="G809" s="56"/>
      <c r="H809" s="56"/>
      <c r="I809" s="56">
        <v>50</v>
      </c>
      <c r="J809" s="56"/>
      <c r="K809" s="56"/>
      <c r="L809" s="56"/>
      <c r="M809" s="56"/>
      <c r="N809" s="56">
        <v>0.25</v>
      </c>
      <c r="O809" s="56">
        <f t="shared" si="42"/>
        <v>49.75</v>
      </c>
      <c r="P809" s="56"/>
      <c r="Q809" s="58">
        <f t="shared" si="43"/>
        <v>174597.17</v>
      </c>
      <c r="R809" s="56"/>
    </row>
    <row r="810" ht="20" customHeight="1" spans="2:18">
      <c r="B810" s="42">
        <v>10</v>
      </c>
      <c r="C810" s="42">
        <v>4</v>
      </c>
      <c r="D810" s="42"/>
      <c r="E810" s="104" t="s">
        <v>2934</v>
      </c>
      <c r="F810" s="100" t="s">
        <v>3349</v>
      </c>
      <c r="G810" s="56"/>
      <c r="H810" s="56"/>
      <c r="I810" s="56">
        <v>800</v>
      </c>
      <c r="J810" s="56"/>
      <c r="K810" s="56"/>
      <c r="L810" s="56"/>
      <c r="M810" s="56"/>
      <c r="N810" s="56">
        <v>4</v>
      </c>
      <c r="O810" s="56">
        <f t="shared" si="42"/>
        <v>796</v>
      </c>
      <c r="P810" s="56"/>
      <c r="Q810" s="58">
        <f t="shared" si="43"/>
        <v>175393.17</v>
      </c>
      <c r="R810" s="56"/>
    </row>
    <row r="811" ht="20" customHeight="1" spans="2:18">
      <c r="B811" s="42">
        <v>10</v>
      </c>
      <c r="C811" s="42">
        <v>5</v>
      </c>
      <c r="D811" s="42"/>
      <c r="E811" s="104" t="s">
        <v>2934</v>
      </c>
      <c r="F811" s="100" t="s">
        <v>3350</v>
      </c>
      <c r="G811" s="56"/>
      <c r="H811" s="56"/>
      <c r="I811" s="56">
        <v>2300</v>
      </c>
      <c r="J811" s="56"/>
      <c r="K811" s="56"/>
      <c r="L811" s="56"/>
      <c r="M811" s="56"/>
      <c r="N811" s="56">
        <v>11.5</v>
      </c>
      <c r="O811" s="56">
        <f t="shared" si="42"/>
        <v>2288.5</v>
      </c>
      <c r="P811" s="56"/>
      <c r="Q811" s="58">
        <f t="shared" si="43"/>
        <v>177681.67</v>
      </c>
      <c r="R811" s="56"/>
    </row>
    <row r="812" ht="20" customHeight="1" spans="2:18">
      <c r="B812" s="42">
        <v>10</v>
      </c>
      <c r="C812" s="42">
        <v>5</v>
      </c>
      <c r="D812" s="42"/>
      <c r="E812" s="104" t="s">
        <v>2806</v>
      </c>
      <c r="F812" s="100" t="s">
        <v>3351</v>
      </c>
      <c r="G812" s="56">
        <v>10769.1</v>
      </c>
      <c r="H812" s="56">
        <v>1230.9</v>
      </c>
      <c r="I812" s="56"/>
      <c r="J812" s="56"/>
      <c r="K812" s="56"/>
      <c r="L812" s="56"/>
      <c r="M812" s="56"/>
      <c r="N812" s="56"/>
      <c r="O812" s="56">
        <f t="shared" si="42"/>
        <v>12000</v>
      </c>
      <c r="P812" s="56"/>
      <c r="Q812" s="58">
        <f t="shared" si="43"/>
        <v>189681.67</v>
      </c>
      <c r="R812" s="56"/>
    </row>
    <row r="813" ht="20" customHeight="1" spans="2:18">
      <c r="B813" s="42">
        <v>10</v>
      </c>
      <c r="C813" s="42">
        <v>6</v>
      </c>
      <c r="D813" s="42"/>
      <c r="E813" s="104" t="s">
        <v>2549</v>
      </c>
      <c r="F813" s="100" t="s">
        <v>3352</v>
      </c>
      <c r="G813" s="56">
        <v>8273</v>
      </c>
      <c r="H813" s="56">
        <v>1100</v>
      </c>
      <c r="I813" s="56">
        <v>12</v>
      </c>
      <c r="J813" s="56"/>
      <c r="K813" s="56"/>
      <c r="L813" s="56"/>
      <c r="M813" s="56"/>
      <c r="N813" s="56"/>
      <c r="O813" s="56">
        <f t="shared" si="42"/>
        <v>9385</v>
      </c>
      <c r="P813" s="56"/>
      <c r="Q813" s="58">
        <f t="shared" si="43"/>
        <v>199066.67</v>
      </c>
      <c r="R813" s="56"/>
    </row>
    <row r="814" ht="20" customHeight="1" spans="2:18">
      <c r="B814" s="42">
        <v>10</v>
      </c>
      <c r="C814" s="42"/>
      <c r="D814" s="42"/>
      <c r="E814" s="96" t="s">
        <v>2934</v>
      </c>
      <c r="F814" s="100" t="s">
        <v>3353</v>
      </c>
      <c r="G814" s="56"/>
      <c r="H814" s="56"/>
      <c r="I814" s="56">
        <v>1000</v>
      </c>
      <c r="J814" s="56"/>
      <c r="K814" s="56"/>
      <c r="L814" s="56"/>
      <c r="M814" s="56"/>
      <c r="N814" s="56">
        <v>5</v>
      </c>
      <c r="O814" s="56">
        <f t="shared" ref="O814:O827" si="44">SUM(G814:M814)-N814</f>
        <v>995</v>
      </c>
      <c r="P814" s="56"/>
      <c r="Q814" s="58">
        <f t="shared" si="43"/>
        <v>200061.67</v>
      </c>
      <c r="R814" s="56"/>
    </row>
    <row r="815" ht="20" customHeight="1" spans="2:18">
      <c r="B815" s="42">
        <v>10</v>
      </c>
      <c r="C815" s="42"/>
      <c r="D815" s="42"/>
      <c r="E815" s="104"/>
      <c r="F815" s="100"/>
      <c r="G815" s="56"/>
      <c r="H815" s="56"/>
      <c r="I815" s="56"/>
      <c r="J815" s="56"/>
      <c r="K815" s="56"/>
      <c r="L815" s="56"/>
      <c r="M815" s="56"/>
      <c r="N815" s="56"/>
      <c r="O815" s="56">
        <f t="shared" si="44"/>
        <v>0</v>
      </c>
      <c r="P815" s="56"/>
      <c r="Q815" s="58">
        <f t="shared" si="43"/>
        <v>200061.67</v>
      </c>
      <c r="R815" s="56"/>
    </row>
    <row r="816" ht="20" customHeight="1" spans="2:18">
      <c r="B816" s="42">
        <v>10</v>
      </c>
      <c r="C816" s="42"/>
      <c r="D816" s="42"/>
      <c r="E816" s="104"/>
      <c r="F816" s="100"/>
      <c r="G816" s="56"/>
      <c r="H816" s="56"/>
      <c r="I816" s="56"/>
      <c r="J816" s="56"/>
      <c r="K816" s="56"/>
      <c r="L816" s="56"/>
      <c r="M816" s="56"/>
      <c r="N816" s="56"/>
      <c r="O816" s="56">
        <f t="shared" si="44"/>
        <v>0</v>
      </c>
      <c r="P816" s="56"/>
      <c r="Q816" s="58">
        <f t="shared" si="43"/>
        <v>200061.67</v>
      </c>
      <c r="R816" s="56"/>
    </row>
    <row r="817" ht="20" customHeight="1" spans="2:18">
      <c r="B817" s="42">
        <v>10</v>
      </c>
      <c r="C817" s="42"/>
      <c r="D817" s="42"/>
      <c r="E817" s="104"/>
      <c r="F817" s="100"/>
      <c r="G817" s="56"/>
      <c r="H817" s="56"/>
      <c r="I817" s="56"/>
      <c r="J817" s="56"/>
      <c r="K817" s="56"/>
      <c r="L817" s="56"/>
      <c r="M817" s="56"/>
      <c r="N817" s="56"/>
      <c r="O817" s="56">
        <f t="shared" si="44"/>
        <v>0</v>
      </c>
      <c r="P817" s="56"/>
      <c r="Q817" s="58">
        <f t="shared" si="43"/>
        <v>200061.67</v>
      </c>
      <c r="R817" s="56"/>
    </row>
    <row r="818" ht="20" customHeight="1" spans="2:18">
      <c r="B818" s="42">
        <v>10</v>
      </c>
      <c r="C818" s="42"/>
      <c r="D818" s="42"/>
      <c r="E818" s="104"/>
      <c r="F818" s="100"/>
      <c r="G818" s="56"/>
      <c r="H818" s="56"/>
      <c r="I818" s="56"/>
      <c r="J818" s="56"/>
      <c r="K818" s="56"/>
      <c r="L818" s="56"/>
      <c r="M818" s="56"/>
      <c r="N818" s="56"/>
      <c r="O818" s="56">
        <f t="shared" si="44"/>
        <v>0</v>
      </c>
      <c r="P818" s="56"/>
      <c r="Q818" s="58">
        <f t="shared" si="43"/>
        <v>200061.67</v>
      </c>
      <c r="R818" s="56"/>
    </row>
    <row r="819" ht="20" customHeight="1" spans="2:18">
      <c r="B819" s="42">
        <v>10</v>
      </c>
      <c r="C819" s="42"/>
      <c r="D819" s="42"/>
      <c r="E819" s="104"/>
      <c r="F819" s="100"/>
      <c r="G819" s="56"/>
      <c r="H819" s="56"/>
      <c r="I819" s="56"/>
      <c r="J819" s="56"/>
      <c r="K819" s="56"/>
      <c r="L819" s="56"/>
      <c r="M819" s="56"/>
      <c r="N819" s="56"/>
      <c r="O819" s="56">
        <f t="shared" si="44"/>
        <v>0</v>
      </c>
      <c r="P819" s="56"/>
      <c r="Q819" s="58">
        <f t="shared" si="43"/>
        <v>200061.67</v>
      </c>
      <c r="R819" s="56"/>
    </row>
    <row r="820" ht="20" customHeight="1" spans="2:18">
      <c r="B820" s="42">
        <v>10</v>
      </c>
      <c r="C820" s="42"/>
      <c r="D820" s="42"/>
      <c r="E820" s="104"/>
      <c r="F820" s="100"/>
      <c r="G820" s="56"/>
      <c r="H820" s="56"/>
      <c r="I820" s="56"/>
      <c r="J820" s="56"/>
      <c r="K820" s="56"/>
      <c r="L820" s="56"/>
      <c r="M820" s="56"/>
      <c r="N820" s="56"/>
      <c r="O820" s="56">
        <f t="shared" si="44"/>
        <v>0</v>
      </c>
      <c r="P820" s="56"/>
      <c r="Q820" s="58">
        <f t="shared" si="43"/>
        <v>200061.67</v>
      </c>
      <c r="R820" s="56"/>
    </row>
    <row r="821" ht="20" customHeight="1" spans="2:18">
      <c r="B821" s="42">
        <v>10</v>
      </c>
      <c r="C821" s="42"/>
      <c r="D821" s="42"/>
      <c r="E821" s="104"/>
      <c r="F821" s="100"/>
      <c r="G821" s="56"/>
      <c r="H821" s="56"/>
      <c r="I821" s="56"/>
      <c r="J821" s="56"/>
      <c r="K821" s="56"/>
      <c r="L821" s="56"/>
      <c r="M821" s="56"/>
      <c r="N821" s="56"/>
      <c r="O821" s="56">
        <f t="shared" si="44"/>
        <v>0</v>
      </c>
      <c r="P821" s="56"/>
      <c r="Q821" s="58">
        <f t="shared" si="43"/>
        <v>200061.67</v>
      </c>
      <c r="R821" s="56"/>
    </row>
    <row r="822" ht="20" customHeight="1" spans="2:18">
      <c r="B822" s="42"/>
      <c r="C822" s="42"/>
      <c r="D822" s="42"/>
      <c r="E822" s="104"/>
      <c r="F822" s="100"/>
      <c r="G822" s="56"/>
      <c r="H822" s="56"/>
      <c r="I822" s="56"/>
      <c r="J822" s="56"/>
      <c r="K822" s="56"/>
      <c r="L822" s="56"/>
      <c r="M822" s="56"/>
      <c r="N822" s="56"/>
      <c r="O822" s="56">
        <f t="shared" si="44"/>
        <v>0</v>
      </c>
      <c r="P822" s="56"/>
      <c r="Q822" s="58">
        <f t="shared" si="43"/>
        <v>200061.67</v>
      </c>
      <c r="R822" s="56"/>
    </row>
    <row r="823" ht="20" customHeight="1" spans="2:18">
      <c r="B823" s="42"/>
      <c r="C823" s="42"/>
      <c r="D823" s="42"/>
      <c r="E823" s="104"/>
      <c r="F823" s="100"/>
      <c r="G823" s="56"/>
      <c r="H823" s="56"/>
      <c r="I823" s="56"/>
      <c r="J823" s="56"/>
      <c r="K823" s="56"/>
      <c r="L823" s="56"/>
      <c r="M823" s="56"/>
      <c r="N823" s="56"/>
      <c r="O823" s="56">
        <f t="shared" si="44"/>
        <v>0</v>
      </c>
      <c r="P823" s="56"/>
      <c r="Q823" s="58">
        <f t="shared" si="43"/>
        <v>200061.67</v>
      </c>
      <c r="R823" s="56"/>
    </row>
    <row r="824" ht="20" customHeight="1" spans="2:18">
      <c r="B824" s="42"/>
      <c r="C824" s="42"/>
      <c r="D824" s="42"/>
      <c r="E824" s="104"/>
      <c r="F824" s="100"/>
      <c r="G824" s="56"/>
      <c r="H824" s="56"/>
      <c r="I824" s="56"/>
      <c r="J824" s="56"/>
      <c r="K824" s="56"/>
      <c r="L824" s="56"/>
      <c r="M824" s="56"/>
      <c r="N824" s="56"/>
      <c r="O824" s="56">
        <f t="shared" si="44"/>
        <v>0</v>
      </c>
      <c r="P824" s="56"/>
      <c r="Q824" s="58">
        <f t="shared" si="43"/>
        <v>200061.67</v>
      </c>
      <c r="R824" s="56"/>
    </row>
    <row r="825" ht="20" customHeight="1" spans="2:18">
      <c r="B825" s="42"/>
      <c r="C825" s="42"/>
      <c r="D825" s="42"/>
      <c r="E825" s="104"/>
      <c r="F825" s="100"/>
      <c r="G825" s="56"/>
      <c r="H825" s="56"/>
      <c r="I825" s="56"/>
      <c r="J825" s="56"/>
      <c r="K825" s="56"/>
      <c r="L825" s="56"/>
      <c r="M825" s="56"/>
      <c r="N825" s="56"/>
      <c r="O825" s="56">
        <f t="shared" si="44"/>
        <v>0</v>
      </c>
      <c r="P825" s="56"/>
      <c r="Q825" s="58">
        <f t="shared" si="43"/>
        <v>200061.67</v>
      </c>
      <c r="R825" s="56"/>
    </row>
    <row r="826" ht="20" customHeight="1" spans="2:18">
      <c r="B826" s="42"/>
      <c r="C826" s="42"/>
      <c r="D826" s="42"/>
      <c r="E826" s="104"/>
      <c r="F826" s="100"/>
      <c r="G826" s="56"/>
      <c r="H826" s="56"/>
      <c r="I826" s="56"/>
      <c r="J826" s="56"/>
      <c r="K826" s="56"/>
      <c r="L826" s="56"/>
      <c r="M826" s="56"/>
      <c r="N826" s="56"/>
      <c r="O826" s="56">
        <f t="shared" si="44"/>
        <v>0</v>
      </c>
      <c r="P826" s="56"/>
      <c r="Q826" s="58">
        <f t="shared" si="43"/>
        <v>200061.67</v>
      </c>
      <c r="R826" s="56"/>
    </row>
    <row r="827" ht="20" customHeight="1" spans="2:18">
      <c r="B827" s="42"/>
      <c r="C827" s="42"/>
      <c r="D827" s="42"/>
      <c r="E827" s="104"/>
      <c r="F827" s="100"/>
      <c r="G827" s="56"/>
      <c r="H827" s="56"/>
      <c r="I827" s="56"/>
      <c r="J827" s="56"/>
      <c r="K827" s="56"/>
      <c r="L827" s="56"/>
      <c r="M827" s="56"/>
      <c r="N827" s="56"/>
      <c r="O827" s="56">
        <f t="shared" si="44"/>
        <v>0</v>
      </c>
      <c r="P827" s="56"/>
      <c r="Q827" s="58">
        <f t="shared" si="43"/>
        <v>200061.67</v>
      </c>
      <c r="R827" s="56"/>
    </row>
    <row r="828" ht="20" customHeight="1" spans="2:18">
      <c r="B828" s="42"/>
      <c r="C828" s="42"/>
      <c r="D828" s="42"/>
      <c r="E828" s="104"/>
      <c r="F828" s="100"/>
      <c r="G828" s="56"/>
      <c r="H828" s="56"/>
      <c r="I828" s="56"/>
      <c r="J828" s="56"/>
      <c r="K828" s="56"/>
      <c r="L828" s="56"/>
      <c r="M828" s="56"/>
      <c r="N828" s="56"/>
      <c r="O828" s="56"/>
      <c r="P828" s="56"/>
      <c r="Q828" s="58"/>
      <c r="R828" s="56"/>
    </row>
    <row r="829" ht="20" customHeight="1" spans="2:18">
      <c r="B829" s="42"/>
      <c r="C829" s="42"/>
      <c r="D829" s="42"/>
      <c r="E829" s="104"/>
      <c r="F829" s="100"/>
      <c r="G829" s="56"/>
      <c r="H829" s="56"/>
      <c r="I829" s="56"/>
      <c r="J829" s="56"/>
      <c r="K829" s="56"/>
      <c r="L829" s="56"/>
      <c r="M829" s="56"/>
      <c r="N829" s="56"/>
      <c r="O829" s="56"/>
      <c r="P829" s="56"/>
      <c r="Q829" s="58"/>
      <c r="R829" s="56"/>
    </row>
    <row r="830" ht="20" customHeight="1" spans="2:18">
      <c r="B830" s="42"/>
      <c r="C830" s="42"/>
      <c r="D830" s="42"/>
      <c r="E830" s="104"/>
      <c r="F830" s="100"/>
      <c r="G830" s="56"/>
      <c r="H830" s="56"/>
      <c r="I830" s="56"/>
      <c r="J830" s="56"/>
      <c r="K830" s="56"/>
      <c r="L830" s="56"/>
      <c r="M830" s="56"/>
      <c r="N830" s="56"/>
      <c r="O830" s="56"/>
      <c r="P830" s="56"/>
      <c r="Q830" s="58"/>
      <c r="R830" s="56"/>
    </row>
    <row r="831" ht="20" customHeight="1" spans="2:18">
      <c r="B831" s="42"/>
      <c r="C831" s="42"/>
      <c r="D831" s="42"/>
      <c r="E831" s="104"/>
      <c r="F831" s="100"/>
      <c r="G831" s="56"/>
      <c r="H831" s="56"/>
      <c r="I831" s="56"/>
      <c r="J831" s="56"/>
      <c r="K831" s="56"/>
      <c r="L831" s="56"/>
      <c r="M831" s="56"/>
      <c r="N831" s="56"/>
      <c r="O831" s="56"/>
      <c r="P831" s="56"/>
      <c r="Q831" s="58"/>
      <c r="R831" s="56"/>
    </row>
    <row r="832" ht="20" customHeight="1" spans="2:18">
      <c r="B832" s="42"/>
      <c r="C832" s="42"/>
      <c r="D832" s="42"/>
      <c r="E832" s="104"/>
      <c r="F832" s="100"/>
      <c r="G832" s="56"/>
      <c r="H832" s="56"/>
      <c r="I832" s="56"/>
      <c r="J832" s="56"/>
      <c r="K832" s="56"/>
      <c r="L832" s="56"/>
      <c r="M832" s="56"/>
      <c r="N832" s="56"/>
      <c r="O832" s="56"/>
      <c r="P832" s="56"/>
      <c r="Q832" s="58"/>
      <c r="R832" s="56"/>
    </row>
    <row r="833" ht="20" customHeight="1" spans="2:18">
      <c r="B833" s="42"/>
      <c r="C833" s="42"/>
      <c r="D833" s="42"/>
      <c r="E833" s="104"/>
      <c r="F833" s="100"/>
      <c r="G833" s="56"/>
      <c r="H833" s="56"/>
      <c r="I833" s="56"/>
      <c r="J833" s="56"/>
      <c r="K833" s="56"/>
      <c r="L833" s="56"/>
      <c r="M833" s="56"/>
      <c r="N833" s="56"/>
      <c r="O833" s="56"/>
      <c r="P833" s="56"/>
      <c r="Q833" s="58"/>
      <c r="R833" s="56"/>
    </row>
    <row r="834" ht="20" customHeight="1" spans="2:18">
      <c r="B834" s="42"/>
      <c r="C834" s="42"/>
      <c r="D834" s="42"/>
      <c r="E834" s="104"/>
      <c r="F834" s="100"/>
      <c r="G834" s="56"/>
      <c r="H834" s="56"/>
      <c r="I834" s="56"/>
      <c r="J834" s="56"/>
      <c r="K834" s="56"/>
      <c r="L834" s="56"/>
      <c r="M834" s="56"/>
      <c r="N834" s="56"/>
      <c r="O834" s="56"/>
      <c r="P834" s="56"/>
      <c r="Q834" s="58"/>
      <c r="R834" s="56"/>
    </row>
    <row r="835" ht="20" customHeight="1" spans="2:18">
      <c r="B835" s="42"/>
      <c r="C835" s="42"/>
      <c r="D835" s="42"/>
      <c r="E835" s="104"/>
      <c r="F835" s="100"/>
      <c r="G835" s="56"/>
      <c r="H835" s="56"/>
      <c r="I835" s="56"/>
      <c r="J835" s="56"/>
      <c r="K835" s="56"/>
      <c r="L835" s="56"/>
      <c r="M835" s="56"/>
      <c r="N835" s="56"/>
      <c r="O835" s="56"/>
      <c r="P835" s="56"/>
      <c r="Q835" s="58"/>
      <c r="R835" s="56"/>
    </row>
    <row r="836" ht="20" customHeight="1" spans="2:18">
      <c r="B836" s="42"/>
      <c r="C836" s="42"/>
      <c r="D836" s="42"/>
      <c r="E836" s="104"/>
      <c r="F836" s="100"/>
      <c r="G836" s="56"/>
      <c r="H836" s="56"/>
      <c r="I836" s="56"/>
      <c r="J836" s="56"/>
      <c r="K836" s="56"/>
      <c r="L836" s="56"/>
      <c r="M836" s="56"/>
      <c r="N836" s="56"/>
      <c r="O836" s="56"/>
      <c r="P836" s="56"/>
      <c r="Q836" s="58"/>
      <c r="R836" s="56"/>
    </row>
    <row r="837" ht="20" customHeight="1" spans="2:18">
      <c r="B837" s="42"/>
      <c r="C837" s="42"/>
      <c r="D837" s="42"/>
      <c r="E837" s="104"/>
      <c r="F837" s="100"/>
      <c r="G837" s="56"/>
      <c r="H837" s="56"/>
      <c r="I837" s="56"/>
      <c r="J837" s="56"/>
      <c r="K837" s="56"/>
      <c r="L837" s="56"/>
      <c r="M837" s="56"/>
      <c r="N837" s="56"/>
      <c r="O837" s="56"/>
      <c r="P837" s="56"/>
      <c r="Q837" s="58"/>
      <c r="R837" s="56"/>
    </row>
    <row r="838" ht="20" customHeight="1" spans="2:18">
      <c r="B838" s="42"/>
      <c r="C838" s="42"/>
      <c r="D838" s="42"/>
      <c r="E838" s="104"/>
      <c r="F838" s="100"/>
      <c r="G838" s="56"/>
      <c r="H838" s="56"/>
      <c r="I838" s="56"/>
      <c r="J838" s="56"/>
      <c r="K838" s="56"/>
      <c r="L838" s="56"/>
      <c r="M838" s="56"/>
      <c r="N838" s="56"/>
      <c r="O838" s="56"/>
      <c r="P838" s="56"/>
      <c r="Q838" s="58"/>
      <c r="R838" s="56"/>
    </row>
    <row r="839" ht="20" customHeight="1" spans="2:18">
      <c r="B839" s="42"/>
      <c r="C839" s="42"/>
      <c r="D839" s="42"/>
      <c r="E839" s="104"/>
      <c r="F839" s="100"/>
      <c r="G839" s="56"/>
      <c r="H839" s="56"/>
      <c r="I839" s="56"/>
      <c r="J839" s="56"/>
      <c r="K839" s="56"/>
      <c r="L839" s="56"/>
      <c r="M839" s="56"/>
      <c r="N839" s="56"/>
      <c r="O839" s="56"/>
      <c r="P839" s="56"/>
      <c r="Q839" s="58"/>
      <c r="R839" s="56"/>
    </row>
    <row r="840" ht="20" customHeight="1" spans="2:18">
      <c r="B840" s="42"/>
      <c r="C840" s="42"/>
      <c r="D840" s="42"/>
      <c r="E840" s="104"/>
      <c r="F840" s="100"/>
      <c r="G840" s="56"/>
      <c r="H840" s="56"/>
      <c r="I840" s="56"/>
      <c r="J840" s="56"/>
      <c r="K840" s="56"/>
      <c r="L840" s="56"/>
      <c r="M840" s="56"/>
      <c r="N840" s="56"/>
      <c r="O840" s="56"/>
      <c r="P840" s="56"/>
      <c r="Q840" s="58"/>
      <c r="R840" s="56"/>
    </row>
    <row r="841" ht="20" customHeight="1" spans="2:18">
      <c r="B841" s="42"/>
      <c r="C841" s="42"/>
      <c r="D841" s="42"/>
      <c r="E841" s="104"/>
      <c r="F841" s="100"/>
      <c r="G841" s="56"/>
      <c r="H841" s="56"/>
      <c r="I841" s="56"/>
      <c r="J841" s="56"/>
      <c r="K841" s="56"/>
      <c r="L841" s="56"/>
      <c r="M841" s="56"/>
      <c r="N841" s="56"/>
      <c r="O841" s="56"/>
      <c r="P841" s="56"/>
      <c r="Q841" s="58"/>
      <c r="R841" s="56"/>
    </row>
    <row r="842" ht="20" customHeight="1" spans="2:18">
      <c r="B842" s="42"/>
      <c r="C842" s="42"/>
      <c r="D842" s="42"/>
      <c r="E842" s="104"/>
      <c r="F842" s="100"/>
      <c r="G842" s="56"/>
      <c r="H842" s="56"/>
      <c r="I842" s="56"/>
      <c r="J842" s="56"/>
      <c r="K842" s="56"/>
      <c r="L842" s="56"/>
      <c r="M842" s="56"/>
      <c r="N842" s="56"/>
      <c r="O842" s="56"/>
      <c r="P842" s="56"/>
      <c r="Q842" s="58"/>
      <c r="R842" s="56"/>
    </row>
    <row r="843" ht="20" customHeight="1" spans="2:18">
      <c r="B843" s="42"/>
      <c r="C843" s="42"/>
      <c r="D843" s="42"/>
      <c r="E843" s="104"/>
      <c r="F843" s="100"/>
      <c r="G843" s="56"/>
      <c r="H843" s="56"/>
      <c r="I843" s="56"/>
      <c r="J843" s="56"/>
      <c r="K843" s="56"/>
      <c r="L843" s="56"/>
      <c r="M843" s="56"/>
      <c r="N843" s="56"/>
      <c r="O843" s="56"/>
      <c r="P843" s="56"/>
      <c r="Q843" s="58"/>
      <c r="R843" s="56"/>
    </row>
    <row r="844" ht="20" customHeight="1" spans="2:18">
      <c r="B844" s="42"/>
      <c r="C844" s="42"/>
      <c r="D844" s="42"/>
      <c r="E844" s="104"/>
      <c r="F844" s="100"/>
      <c r="G844" s="56"/>
      <c r="H844" s="56"/>
      <c r="I844" s="56"/>
      <c r="J844" s="56"/>
      <c r="K844" s="56"/>
      <c r="L844" s="56"/>
      <c r="M844" s="56"/>
      <c r="N844" s="56"/>
      <c r="O844" s="56"/>
      <c r="P844" s="56"/>
      <c r="Q844" s="58"/>
      <c r="R844" s="56"/>
    </row>
    <row r="845" ht="20" customHeight="1" spans="2:18">
      <c r="B845" s="42"/>
      <c r="C845" s="42"/>
      <c r="D845" s="42"/>
      <c r="E845" s="104"/>
      <c r="F845" s="100"/>
      <c r="G845" s="56"/>
      <c r="H845" s="56"/>
      <c r="I845" s="56"/>
      <c r="J845" s="56"/>
      <c r="K845" s="56"/>
      <c r="L845" s="56"/>
      <c r="M845" s="56"/>
      <c r="N845" s="56"/>
      <c r="O845" s="56"/>
      <c r="P845" s="56"/>
      <c r="Q845" s="58"/>
      <c r="R845" s="56"/>
    </row>
    <row r="846" ht="20" customHeight="1" spans="2:18">
      <c r="B846" s="42"/>
      <c r="C846" s="42"/>
      <c r="D846" s="42"/>
      <c r="E846" s="104"/>
      <c r="F846" s="100"/>
      <c r="G846" s="56"/>
      <c r="H846" s="56"/>
      <c r="I846" s="56"/>
      <c r="J846" s="56"/>
      <c r="K846" s="56"/>
      <c r="L846" s="56"/>
      <c r="M846" s="56"/>
      <c r="N846" s="56"/>
      <c r="O846" s="56"/>
      <c r="P846" s="56"/>
      <c r="Q846" s="58"/>
      <c r="R846" s="56"/>
    </row>
    <row r="847" ht="20" customHeight="1" spans="2:18">
      <c r="B847" s="42"/>
      <c r="C847" s="42"/>
      <c r="D847" s="42"/>
      <c r="E847" s="104"/>
      <c r="F847" s="100"/>
      <c r="G847" s="56"/>
      <c r="H847" s="56"/>
      <c r="I847" s="56"/>
      <c r="J847" s="56"/>
      <c r="K847" s="56"/>
      <c r="L847" s="56"/>
      <c r="M847" s="56"/>
      <c r="N847" s="56"/>
      <c r="O847" s="56"/>
      <c r="P847" s="56"/>
      <c r="Q847" s="58"/>
      <c r="R847" s="56"/>
    </row>
    <row r="848" ht="20" customHeight="1" spans="2:18">
      <c r="B848" s="42"/>
      <c r="C848" s="42"/>
      <c r="D848" s="42"/>
      <c r="E848" s="104"/>
      <c r="F848" s="100"/>
      <c r="G848" s="56"/>
      <c r="H848" s="56"/>
      <c r="I848" s="56"/>
      <c r="J848" s="56"/>
      <c r="K848" s="56"/>
      <c r="L848" s="56"/>
      <c r="M848" s="56"/>
      <c r="N848" s="56"/>
      <c r="O848" s="56"/>
      <c r="P848" s="56"/>
      <c r="Q848" s="58"/>
      <c r="R848" s="56"/>
    </row>
    <row r="849" ht="20" customHeight="1" spans="2:18">
      <c r="B849" s="42"/>
      <c r="C849" s="42"/>
      <c r="D849" s="42"/>
      <c r="E849" s="104"/>
      <c r="F849" s="100"/>
      <c r="G849" s="56"/>
      <c r="H849" s="56"/>
      <c r="I849" s="56"/>
      <c r="J849" s="56"/>
      <c r="K849" s="56"/>
      <c r="L849" s="56"/>
      <c r="M849" s="56"/>
      <c r="N849" s="56"/>
      <c r="O849" s="56"/>
      <c r="P849" s="56"/>
      <c r="Q849" s="58"/>
      <c r="R849" s="56"/>
    </row>
    <row r="850" ht="20" customHeight="1" spans="2:18">
      <c r="B850" s="42"/>
      <c r="C850" s="42"/>
      <c r="D850" s="42"/>
      <c r="E850" s="104"/>
      <c r="F850" s="100"/>
      <c r="G850" s="56"/>
      <c r="H850" s="56"/>
      <c r="I850" s="56"/>
      <c r="J850" s="56"/>
      <c r="K850" s="56"/>
      <c r="L850" s="56"/>
      <c r="M850" s="56"/>
      <c r="N850" s="56"/>
      <c r="O850" s="56"/>
      <c r="P850" s="56"/>
      <c r="Q850" s="58"/>
      <c r="R850" s="56"/>
    </row>
    <row r="851" ht="20" customHeight="1" spans="2:18">
      <c r="B851" s="42"/>
      <c r="C851" s="42"/>
      <c r="D851" s="42"/>
      <c r="E851" s="104"/>
      <c r="F851" s="100"/>
      <c r="G851" s="56"/>
      <c r="H851" s="56"/>
      <c r="I851" s="56"/>
      <c r="J851" s="56"/>
      <c r="K851" s="56"/>
      <c r="L851" s="56"/>
      <c r="M851" s="56"/>
      <c r="N851" s="56"/>
      <c r="O851" s="56"/>
      <c r="P851" s="56"/>
      <c r="Q851" s="58"/>
      <c r="R851" s="56"/>
    </row>
    <row r="852" ht="20" customHeight="1" spans="2:18">
      <c r="B852" s="42"/>
      <c r="C852" s="42"/>
      <c r="D852" s="42"/>
      <c r="E852" s="104"/>
      <c r="F852" s="100"/>
      <c r="G852" s="56"/>
      <c r="H852" s="56"/>
      <c r="I852" s="56"/>
      <c r="J852" s="56"/>
      <c r="K852" s="56"/>
      <c r="L852" s="56"/>
      <c r="M852" s="56"/>
      <c r="N852" s="56"/>
      <c r="O852" s="56"/>
      <c r="P852" s="56"/>
      <c r="Q852" s="58"/>
      <c r="R852" s="56"/>
    </row>
    <row r="853" ht="20" customHeight="1" spans="2:18">
      <c r="B853" s="42"/>
      <c r="C853" s="42"/>
      <c r="D853" s="42"/>
      <c r="E853" s="104"/>
      <c r="F853" s="100"/>
      <c r="G853" s="56"/>
      <c r="H853" s="56"/>
      <c r="I853" s="56"/>
      <c r="J853" s="56"/>
      <c r="K853" s="56"/>
      <c r="L853" s="56"/>
      <c r="M853" s="56"/>
      <c r="N853" s="56"/>
      <c r="O853" s="56"/>
      <c r="P853" s="56"/>
      <c r="Q853" s="58"/>
      <c r="R853" s="56"/>
    </row>
    <row r="854" ht="20" customHeight="1" spans="2:18">
      <c r="B854" s="42"/>
      <c r="C854" s="42"/>
      <c r="D854" s="42"/>
      <c r="E854" s="104"/>
      <c r="F854" s="100"/>
      <c r="G854" s="56"/>
      <c r="H854" s="56"/>
      <c r="I854" s="56"/>
      <c r="J854" s="56"/>
      <c r="K854" s="56"/>
      <c r="L854" s="56"/>
      <c r="M854" s="56"/>
      <c r="N854" s="56"/>
      <c r="O854" s="56"/>
      <c r="P854" s="56"/>
      <c r="Q854" s="58"/>
      <c r="R854" s="56"/>
    </row>
    <row r="855" ht="20" customHeight="1" spans="2:18">
      <c r="B855" s="42"/>
      <c r="C855" s="42"/>
      <c r="D855" s="42"/>
      <c r="E855" s="104"/>
      <c r="F855" s="100"/>
      <c r="G855" s="56"/>
      <c r="H855" s="56"/>
      <c r="I855" s="56"/>
      <c r="J855" s="56"/>
      <c r="K855" s="56"/>
      <c r="L855" s="56"/>
      <c r="M855" s="56"/>
      <c r="N855" s="56"/>
      <c r="O855" s="56"/>
      <c r="P855" s="56"/>
      <c r="Q855" s="58"/>
      <c r="R855" s="56"/>
    </row>
    <row r="856" ht="20" customHeight="1" spans="2:18">
      <c r="B856" s="42"/>
      <c r="C856" s="42"/>
      <c r="D856" s="42"/>
      <c r="E856" s="104"/>
      <c r="F856" s="100"/>
      <c r="G856" s="56"/>
      <c r="H856" s="56"/>
      <c r="I856" s="56"/>
      <c r="J856" s="56"/>
      <c r="K856" s="56"/>
      <c r="L856" s="56"/>
      <c r="M856" s="56"/>
      <c r="N856" s="56"/>
      <c r="O856" s="56"/>
      <c r="P856" s="56"/>
      <c r="Q856" s="58"/>
      <c r="R856" s="56"/>
    </row>
    <row r="857" ht="20" customHeight="1" spans="2:18">
      <c r="B857" s="42"/>
      <c r="C857" s="42"/>
      <c r="D857" s="42"/>
      <c r="E857" s="104"/>
      <c r="F857" s="100"/>
      <c r="G857" s="56"/>
      <c r="H857" s="56"/>
      <c r="I857" s="56"/>
      <c r="J857" s="56"/>
      <c r="K857" s="56"/>
      <c r="L857" s="56"/>
      <c r="M857" s="56"/>
      <c r="N857" s="56"/>
      <c r="O857" s="56"/>
      <c r="P857" s="56"/>
      <c r="Q857" s="58"/>
      <c r="R857" s="56"/>
    </row>
    <row r="858" ht="20" customHeight="1" spans="2:18">
      <c r="B858" s="42"/>
      <c r="C858" s="42"/>
      <c r="D858" s="42"/>
      <c r="E858" s="104"/>
      <c r="F858" s="100"/>
      <c r="G858" s="56"/>
      <c r="H858" s="56"/>
      <c r="I858" s="56"/>
      <c r="J858" s="56"/>
      <c r="K858" s="56"/>
      <c r="L858" s="56"/>
      <c r="M858" s="56"/>
      <c r="N858" s="56"/>
      <c r="O858" s="56"/>
      <c r="P858" s="56"/>
      <c r="Q858" s="58"/>
      <c r="R858" s="56"/>
    </row>
    <row r="859" ht="20" customHeight="1" spans="2:18">
      <c r="B859" s="42"/>
      <c r="C859" s="42"/>
      <c r="D859" s="42"/>
      <c r="E859" s="104"/>
      <c r="F859" s="100"/>
      <c r="G859" s="56"/>
      <c r="H859" s="56"/>
      <c r="I859" s="56"/>
      <c r="J859" s="56"/>
      <c r="K859" s="56"/>
      <c r="L859" s="56"/>
      <c r="M859" s="56"/>
      <c r="N859" s="56"/>
      <c r="O859" s="56"/>
      <c r="P859" s="56"/>
      <c r="Q859" s="58"/>
      <c r="R859" s="56"/>
    </row>
    <row r="860" ht="20" customHeight="1" spans="2:18">
      <c r="B860" s="42"/>
      <c r="C860" s="42"/>
      <c r="D860" s="42"/>
      <c r="E860" s="104"/>
      <c r="F860" s="100"/>
      <c r="G860" s="56"/>
      <c r="H860" s="56"/>
      <c r="I860" s="56"/>
      <c r="J860" s="56"/>
      <c r="K860" s="56"/>
      <c r="L860" s="56"/>
      <c r="M860" s="56"/>
      <c r="N860" s="56"/>
      <c r="O860" s="56">
        <f t="shared" ref="O860:O907" si="45">SUM(G860:M860)-N860</f>
        <v>0</v>
      </c>
      <c r="P860" s="56"/>
      <c r="Q860" s="58">
        <f>Q711+O860-P860</f>
        <v>194339.89</v>
      </c>
      <c r="R860" s="56"/>
    </row>
    <row r="861" ht="20" customHeight="1" spans="2:18">
      <c r="B861" s="42"/>
      <c r="C861" s="42"/>
      <c r="D861" s="42"/>
      <c r="E861" s="104"/>
      <c r="F861" s="100"/>
      <c r="G861" s="56"/>
      <c r="H861" s="56"/>
      <c r="I861" s="56"/>
      <c r="J861" s="56"/>
      <c r="K861" s="56"/>
      <c r="L861" s="56"/>
      <c r="M861" s="56"/>
      <c r="N861" s="56"/>
      <c r="O861" s="56">
        <f t="shared" si="45"/>
        <v>0</v>
      </c>
      <c r="P861" s="56"/>
      <c r="Q861" s="58">
        <f t="shared" ref="Q861:Q907" si="46">Q860+O861-P861</f>
        <v>194339.89</v>
      </c>
      <c r="R861" s="56"/>
    </row>
    <row r="862" ht="20" customHeight="1" spans="2:18">
      <c r="B862" s="42"/>
      <c r="C862" s="42"/>
      <c r="D862" s="42"/>
      <c r="E862" s="104"/>
      <c r="F862" s="100"/>
      <c r="G862" s="56"/>
      <c r="H862" s="56"/>
      <c r="I862" s="56"/>
      <c r="J862" s="56"/>
      <c r="K862" s="56"/>
      <c r="L862" s="56"/>
      <c r="M862" s="56"/>
      <c r="N862" s="56"/>
      <c r="O862" s="56">
        <f t="shared" si="45"/>
        <v>0</v>
      </c>
      <c r="P862" s="56"/>
      <c r="Q862" s="58">
        <f t="shared" si="46"/>
        <v>194339.89</v>
      </c>
      <c r="R862" s="56"/>
    </row>
    <row r="863" ht="20" customHeight="1" spans="2:18">
      <c r="B863" s="42"/>
      <c r="C863" s="42"/>
      <c r="D863" s="42"/>
      <c r="E863" s="104"/>
      <c r="F863" s="100"/>
      <c r="G863" s="56"/>
      <c r="H863" s="56"/>
      <c r="I863" s="56"/>
      <c r="J863" s="56"/>
      <c r="K863" s="56"/>
      <c r="L863" s="56"/>
      <c r="M863" s="56"/>
      <c r="N863" s="56"/>
      <c r="O863" s="56">
        <f t="shared" si="45"/>
        <v>0</v>
      </c>
      <c r="P863" s="56"/>
      <c r="Q863" s="58">
        <f t="shared" si="46"/>
        <v>194339.89</v>
      </c>
      <c r="R863" s="56"/>
    </row>
    <row r="864" ht="20" customHeight="1" spans="2:18">
      <c r="B864" s="42"/>
      <c r="C864" s="42"/>
      <c r="D864" s="42"/>
      <c r="E864" s="104"/>
      <c r="F864" s="100"/>
      <c r="G864" s="56"/>
      <c r="H864" s="56"/>
      <c r="I864" s="56"/>
      <c r="J864" s="56"/>
      <c r="K864" s="56"/>
      <c r="L864" s="56"/>
      <c r="M864" s="56"/>
      <c r="N864" s="56"/>
      <c r="O864" s="56">
        <f t="shared" si="45"/>
        <v>0</v>
      </c>
      <c r="P864" s="56"/>
      <c r="Q864" s="58">
        <f t="shared" si="46"/>
        <v>194339.89</v>
      </c>
      <c r="R864" s="56"/>
    </row>
    <row r="865" ht="20" customHeight="1" spans="2:18">
      <c r="B865" s="42"/>
      <c r="C865" s="42"/>
      <c r="D865" s="42"/>
      <c r="E865" s="104"/>
      <c r="F865" s="100"/>
      <c r="G865" s="56"/>
      <c r="H865" s="56"/>
      <c r="I865" s="56"/>
      <c r="J865" s="56"/>
      <c r="K865" s="56"/>
      <c r="L865" s="56"/>
      <c r="M865" s="56"/>
      <c r="N865" s="56"/>
      <c r="O865" s="56">
        <f t="shared" si="45"/>
        <v>0</v>
      </c>
      <c r="P865" s="56"/>
      <c r="Q865" s="58">
        <f t="shared" si="46"/>
        <v>194339.89</v>
      </c>
      <c r="R865" s="56"/>
    </row>
    <row r="866" ht="20" customHeight="1" spans="2:18">
      <c r="B866" s="42"/>
      <c r="C866" s="42"/>
      <c r="D866" s="42"/>
      <c r="E866" s="104"/>
      <c r="F866" s="100"/>
      <c r="G866" s="56"/>
      <c r="H866" s="56"/>
      <c r="I866" s="56"/>
      <c r="J866" s="56"/>
      <c r="K866" s="56"/>
      <c r="L866" s="56"/>
      <c r="M866" s="56"/>
      <c r="N866" s="56"/>
      <c r="O866" s="56">
        <f t="shared" si="45"/>
        <v>0</v>
      </c>
      <c r="P866" s="56"/>
      <c r="Q866" s="58">
        <f t="shared" si="46"/>
        <v>194339.89</v>
      </c>
      <c r="R866" s="56"/>
    </row>
    <row r="867" ht="20" customHeight="1" spans="2:18">
      <c r="B867" s="42"/>
      <c r="C867" s="42"/>
      <c r="D867" s="42"/>
      <c r="E867" s="104"/>
      <c r="F867" s="100"/>
      <c r="G867" s="56"/>
      <c r="H867" s="56"/>
      <c r="I867" s="56"/>
      <c r="J867" s="56"/>
      <c r="K867" s="56"/>
      <c r="L867" s="56"/>
      <c r="M867" s="56"/>
      <c r="N867" s="56"/>
      <c r="O867" s="56">
        <f t="shared" si="45"/>
        <v>0</v>
      </c>
      <c r="P867" s="56"/>
      <c r="Q867" s="58">
        <f t="shared" si="46"/>
        <v>194339.89</v>
      </c>
      <c r="R867" s="56"/>
    </row>
    <row r="868" ht="20" customHeight="1" spans="2:18">
      <c r="B868" s="42"/>
      <c r="C868" s="42"/>
      <c r="D868" s="42"/>
      <c r="E868" s="104"/>
      <c r="F868" s="100"/>
      <c r="G868" s="56"/>
      <c r="H868" s="56"/>
      <c r="I868" s="56"/>
      <c r="J868" s="56"/>
      <c r="K868" s="56"/>
      <c r="L868" s="56"/>
      <c r="M868" s="56"/>
      <c r="N868" s="56"/>
      <c r="O868" s="56">
        <f t="shared" si="45"/>
        <v>0</v>
      </c>
      <c r="P868" s="56"/>
      <c r="Q868" s="58">
        <f t="shared" si="46"/>
        <v>194339.89</v>
      </c>
      <c r="R868" s="56"/>
    </row>
    <row r="869" ht="20" customHeight="1" spans="2:18">
      <c r="B869" s="42"/>
      <c r="C869" s="42"/>
      <c r="D869" s="42"/>
      <c r="E869" s="104"/>
      <c r="F869" s="100"/>
      <c r="G869" s="56"/>
      <c r="H869" s="56"/>
      <c r="I869" s="56"/>
      <c r="J869" s="56"/>
      <c r="K869" s="56"/>
      <c r="L869" s="56"/>
      <c r="M869" s="56"/>
      <c r="N869" s="56"/>
      <c r="O869" s="56">
        <f t="shared" si="45"/>
        <v>0</v>
      </c>
      <c r="P869" s="56"/>
      <c r="Q869" s="58">
        <f t="shared" si="46"/>
        <v>194339.89</v>
      </c>
      <c r="R869" s="56"/>
    </row>
    <row r="870" ht="20" customHeight="1" spans="2:18">
      <c r="B870" s="42"/>
      <c r="C870" s="42"/>
      <c r="D870" s="42"/>
      <c r="E870" s="104"/>
      <c r="F870" s="100"/>
      <c r="G870" s="56"/>
      <c r="H870" s="56"/>
      <c r="I870" s="56"/>
      <c r="J870" s="56"/>
      <c r="K870" s="56"/>
      <c r="L870" s="56"/>
      <c r="M870" s="56"/>
      <c r="N870" s="56"/>
      <c r="O870" s="56">
        <f t="shared" si="45"/>
        <v>0</v>
      </c>
      <c r="P870" s="56"/>
      <c r="Q870" s="58">
        <f t="shared" si="46"/>
        <v>194339.89</v>
      </c>
      <c r="R870" s="56"/>
    </row>
    <row r="871" ht="20" customHeight="1" spans="2:18">
      <c r="B871" s="42"/>
      <c r="C871" s="42"/>
      <c r="D871" s="42"/>
      <c r="E871" s="104"/>
      <c r="F871" s="100"/>
      <c r="G871" s="56"/>
      <c r="H871" s="56"/>
      <c r="I871" s="56"/>
      <c r="J871" s="56"/>
      <c r="K871" s="56"/>
      <c r="L871" s="56"/>
      <c r="M871" s="56"/>
      <c r="N871" s="56"/>
      <c r="O871" s="56">
        <f t="shared" si="45"/>
        <v>0</v>
      </c>
      <c r="P871" s="56"/>
      <c r="Q871" s="58">
        <f t="shared" si="46"/>
        <v>194339.89</v>
      </c>
      <c r="R871" s="56"/>
    </row>
    <row r="872" ht="20" customHeight="1" spans="2:18">
      <c r="B872" s="42"/>
      <c r="C872" s="42"/>
      <c r="D872" s="42"/>
      <c r="E872" s="104"/>
      <c r="F872" s="100"/>
      <c r="G872" s="56"/>
      <c r="H872" s="56"/>
      <c r="I872" s="56"/>
      <c r="J872" s="56"/>
      <c r="K872" s="56"/>
      <c r="L872" s="56"/>
      <c r="M872" s="56"/>
      <c r="N872" s="56"/>
      <c r="O872" s="56">
        <f t="shared" si="45"/>
        <v>0</v>
      </c>
      <c r="P872" s="56"/>
      <c r="Q872" s="58">
        <f t="shared" si="46"/>
        <v>194339.89</v>
      </c>
      <c r="R872" s="56"/>
    </row>
    <row r="873" ht="20" customHeight="1" spans="2:18">
      <c r="B873" s="42"/>
      <c r="C873" s="42"/>
      <c r="D873" s="42"/>
      <c r="E873" s="104"/>
      <c r="F873" s="100"/>
      <c r="G873" s="56"/>
      <c r="H873" s="56"/>
      <c r="I873" s="56"/>
      <c r="J873" s="56"/>
      <c r="K873" s="56"/>
      <c r="L873" s="56"/>
      <c r="M873" s="56"/>
      <c r="N873" s="56"/>
      <c r="O873" s="56">
        <f t="shared" si="45"/>
        <v>0</v>
      </c>
      <c r="P873" s="56"/>
      <c r="Q873" s="58">
        <f t="shared" si="46"/>
        <v>194339.89</v>
      </c>
      <c r="R873" s="56"/>
    </row>
    <row r="874" ht="20" customHeight="1" spans="2:18">
      <c r="B874" s="42"/>
      <c r="C874" s="42"/>
      <c r="D874" s="42"/>
      <c r="E874" s="104"/>
      <c r="F874" s="100"/>
      <c r="G874" s="56"/>
      <c r="H874" s="56"/>
      <c r="I874" s="56"/>
      <c r="J874" s="56"/>
      <c r="K874" s="56"/>
      <c r="L874" s="56"/>
      <c r="M874" s="56"/>
      <c r="N874" s="56"/>
      <c r="O874" s="56">
        <f t="shared" si="45"/>
        <v>0</v>
      </c>
      <c r="P874" s="56"/>
      <c r="Q874" s="58">
        <f t="shared" si="46"/>
        <v>194339.89</v>
      </c>
      <c r="R874" s="56"/>
    </row>
    <row r="875" ht="20" customHeight="1" spans="2:18">
      <c r="B875" s="42"/>
      <c r="C875" s="42"/>
      <c r="D875" s="42"/>
      <c r="E875" s="104"/>
      <c r="F875" s="100"/>
      <c r="G875" s="56"/>
      <c r="H875" s="56"/>
      <c r="I875" s="56"/>
      <c r="J875" s="56"/>
      <c r="K875" s="56"/>
      <c r="L875" s="56"/>
      <c r="M875" s="56"/>
      <c r="N875" s="56"/>
      <c r="O875" s="56">
        <f t="shared" si="45"/>
        <v>0</v>
      </c>
      <c r="P875" s="56"/>
      <c r="Q875" s="58">
        <f t="shared" si="46"/>
        <v>194339.89</v>
      </c>
      <c r="R875" s="56"/>
    </row>
    <row r="876" ht="20" customHeight="1" spans="2:18">
      <c r="B876" s="42"/>
      <c r="C876" s="42"/>
      <c r="D876" s="42"/>
      <c r="E876" s="104"/>
      <c r="F876" s="100"/>
      <c r="G876" s="56"/>
      <c r="H876" s="56"/>
      <c r="I876" s="56"/>
      <c r="J876" s="56"/>
      <c r="K876" s="56"/>
      <c r="L876" s="56"/>
      <c r="M876" s="56"/>
      <c r="N876" s="56"/>
      <c r="O876" s="56">
        <f t="shared" si="45"/>
        <v>0</v>
      </c>
      <c r="P876" s="56"/>
      <c r="Q876" s="58">
        <f t="shared" si="46"/>
        <v>194339.89</v>
      </c>
      <c r="R876" s="56"/>
    </row>
    <row r="877" ht="20" customHeight="1" spans="2:18">
      <c r="B877" s="42"/>
      <c r="C877" s="42"/>
      <c r="D877" s="42"/>
      <c r="E877" s="104"/>
      <c r="F877" s="100"/>
      <c r="G877" s="56"/>
      <c r="H877" s="56"/>
      <c r="I877" s="56"/>
      <c r="J877" s="56"/>
      <c r="K877" s="56"/>
      <c r="L877" s="56"/>
      <c r="M877" s="56"/>
      <c r="N877" s="56"/>
      <c r="O877" s="56">
        <f t="shared" si="45"/>
        <v>0</v>
      </c>
      <c r="P877" s="56"/>
      <c r="Q877" s="58">
        <f t="shared" si="46"/>
        <v>194339.89</v>
      </c>
      <c r="R877" s="56"/>
    </row>
    <row r="878" ht="20" customHeight="1" spans="2:18">
      <c r="B878" s="42"/>
      <c r="C878" s="42"/>
      <c r="D878" s="42"/>
      <c r="E878" s="104"/>
      <c r="F878" s="100"/>
      <c r="G878" s="56"/>
      <c r="H878" s="56"/>
      <c r="I878" s="56"/>
      <c r="J878" s="56"/>
      <c r="K878" s="56"/>
      <c r="L878" s="56"/>
      <c r="M878" s="56"/>
      <c r="N878" s="56"/>
      <c r="O878" s="56">
        <f t="shared" si="45"/>
        <v>0</v>
      </c>
      <c r="P878" s="56"/>
      <c r="Q878" s="58">
        <f t="shared" si="46"/>
        <v>194339.89</v>
      </c>
      <c r="R878" s="56"/>
    </row>
    <row r="879" ht="20" customHeight="1" spans="2:18">
      <c r="B879" s="42"/>
      <c r="C879" s="42"/>
      <c r="D879" s="42"/>
      <c r="E879" s="104"/>
      <c r="F879" s="100"/>
      <c r="G879" s="56"/>
      <c r="H879" s="56"/>
      <c r="I879" s="56"/>
      <c r="J879" s="56"/>
      <c r="K879" s="56"/>
      <c r="L879" s="56"/>
      <c r="M879" s="56"/>
      <c r="N879" s="56"/>
      <c r="O879" s="56">
        <f t="shared" si="45"/>
        <v>0</v>
      </c>
      <c r="P879" s="56"/>
      <c r="Q879" s="58">
        <f t="shared" si="46"/>
        <v>194339.89</v>
      </c>
      <c r="R879" s="56"/>
    </row>
    <row r="880" ht="20" customHeight="1" spans="2:18">
      <c r="B880" s="42"/>
      <c r="C880" s="42"/>
      <c r="D880" s="42"/>
      <c r="E880" s="104"/>
      <c r="F880" s="100"/>
      <c r="G880" s="56"/>
      <c r="H880" s="56"/>
      <c r="I880" s="56"/>
      <c r="J880" s="56"/>
      <c r="K880" s="56"/>
      <c r="L880" s="56"/>
      <c r="M880" s="56"/>
      <c r="N880" s="56"/>
      <c r="O880" s="56">
        <f t="shared" si="45"/>
        <v>0</v>
      </c>
      <c r="P880" s="56"/>
      <c r="Q880" s="58">
        <f t="shared" si="46"/>
        <v>194339.89</v>
      </c>
      <c r="R880" s="56"/>
    </row>
    <row r="881" ht="20" customHeight="1" spans="2:18">
      <c r="B881" s="42"/>
      <c r="C881" s="42"/>
      <c r="D881" s="42"/>
      <c r="E881" s="104"/>
      <c r="F881" s="100"/>
      <c r="G881" s="56"/>
      <c r="H881" s="56"/>
      <c r="I881" s="56"/>
      <c r="J881" s="56"/>
      <c r="K881" s="56"/>
      <c r="L881" s="56"/>
      <c r="M881" s="56"/>
      <c r="N881" s="56"/>
      <c r="O881" s="56">
        <f t="shared" si="45"/>
        <v>0</v>
      </c>
      <c r="P881" s="56"/>
      <c r="Q881" s="58">
        <f t="shared" si="46"/>
        <v>194339.89</v>
      </c>
      <c r="R881" s="56"/>
    </row>
    <row r="882" ht="20" customHeight="1" spans="2:18">
      <c r="B882" s="42"/>
      <c r="C882" s="42"/>
      <c r="D882" s="42"/>
      <c r="E882" s="104"/>
      <c r="F882" s="100"/>
      <c r="G882" s="56"/>
      <c r="H882" s="56"/>
      <c r="I882" s="56"/>
      <c r="J882" s="56"/>
      <c r="K882" s="56"/>
      <c r="L882" s="56"/>
      <c r="M882" s="56"/>
      <c r="N882" s="56"/>
      <c r="O882" s="56">
        <f t="shared" si="45"/>
        <v>0</v>
      </c>
      <c r="P882" s="56"/>
      <c r="Q882" s="58">
        <f t="shared" si="46"/>
        <v>194339.89</v>
      </c>
      <c r="R882" s="56"/>
    </row>
    <row r="883" ht="20" customHeight="1" spans="2:18">
      <c r="B883" s="42"/>
      <c r="C883" s="42"/>
      <c r="D883" s="42"/>
      <c r="E883" s="104"/>
      <c r="F883" s="100"/>
      <c r="G883" s="56"/>
      <c r="H883" s="56"/>
      <c r="I883" s="56"/>
      <c r="J883" s="56"/>
      <c r="K883" s="56"/>
      <c r="L883" s="56"/>
      <c r="M883" s="56"/>
      <c r="N883" s="56"/>
      <c r="O883" s="56">
        <f t="shared" si="45"/>
        <v>0</v>
      </c>
      <c r="P883" s="56"/>
      <c r="Q883" s="58">
        <f t="shared" si="46"/>
        <v>194339.89</v>
      </c>
      <c r="R883" s="56"/>
    </row>
    <row r="884" ht="20" customHeight="1" spans="2:18">
      <c r="B884" s="42"/>
      <c r="C884" s="42"/>
      <c r="D884" s="42"/>
      <c r="E884" s="104"/>
      <c r="F884" s="100"/>
      <c r="G884" s="56"/>
      <c r="H884" s="56"/>
      <c r="I884" s="56"/>
      <c r="J884" s="56"/>
      <c r="K884" s="56"/>
      <c r="L884" s="56"/>
      <c r="M884" s="56"/>
      <c r="N884" s="56"/>
      <c r="O884" s="56">
        <f t="shared" si="45"/>
        <v>0</v>
      </c>
      <c r="P884" s="56"/>
      <c r="Q884" s="58">
        <f t="shared" si="46"/>
        <v>194339.89</v>
      </c>
      <c r="R884" s="56"/>
    </row>
    <row r="885" ht="20" customHeight="1" spans="2:18">
      <c r="B885" s="42"/>
      <c r="C885" s="42"/>
      <c r="D885" s="42"/>
      <c r="E885" s="104"/>
      <c r="F885" s="100"/>
      <c r="G885" s="56"/>
      <c r="H885" s="56"/>
      <c r="I885" s="56"/>
      <c r="J885" s="56"/>
      <c r="K885" s="56"/>
      <c r="L885" s="56"/>
      <c r="M885" s="56"/>
      <c r="N885" s="56"/>
      <c r="O885" s="56">
        <f t="shared" si="45"/>
        <v>0</v>
      </c>
      <c r="P885" s="56"/>
      <c r="Q885" s="58">
        <f t="shared" si="46"/>
        <v>194339.89</v>
      </c>
      <c r="R885" s="56"/>
    </row>
    <row r="886" ht="20" customHeight="1" spans="2:18">
      <c r="B886" s="42"/>
      <c r="C886" s="42"/>
      <c r="D886" s="42"/>
      <c r="E886" s="104"/>
      <c r="F886" s="100"/>
      <c r="G886" s="56"/>
      <c r="H886" s="56"/>
      <c r="I886" s="56"/>
      <c r="J886" s="56"/>
      <c r="K886" s="56"/>
      <c r="L886" s="56"/>
      <c r="M886" s="56"/>
      <c r="N886" s="56"/>
      <c r="O886" s="56">
        <f t="shared" si="45"/>
        <v>0</v>
      </c>
      <c r="P886" s="56"/>
      <c r="Q886" s="58">
        <f t="shared" si="46"/>
        <v>194339.89</v>
      </c>
      <c r="R886" s="56"/>
    </row>
    <row r="887" ht="20" customHeight="1" spans="2:18">
      <c r="B887" s="42"/>
      <c r="C887" s="42"/>
      <c r="D887" s="42"/>
      <c r="E887" s="104"/>
      <c r="F887" s="100"/>
      <c r="G887" s="56"/>
      <c r="H887" s="56"/>
      <c r="I887" s="56"/>
      <c r="J887" s="56"/>
      <c r="K887" s="56"/>
      <c r="L887" s="56"/>
      <c r="M887" s="56"/>
      <c r="N887" s="56"/>
      <c r="O887" s="56">
        <f t="shared" si="45"/>
        <v>0</v>
      </c>
      <c r="P887" s="56"/>
      <c r="Q887" s="58">
        <f t="shared" si="46"/>
        <v>194339.89</v>
      </c>
      <c r="R887" s="56"/>
    </row>
    <row r="888" ht="20" customHeight="1" spans="2:18">
      <c r="B888" s="42"/>
      <c r="C888" s="42"/>
      <c r="D888" s="42"/>
      <c r="E888" s="104"/>
      <c r="F888" s="100"/>
      <c r="G888" s="56"/>
      <c r="H888" s="56"/>
      <c r="I888" s="56"/>
      <c r="J888" s="56"/>
      <c r="K888" s="56"/>
      <c r="L888" s="56"/>
      <c r="M888" s="56"/>
      <c r="N888" s="56"/>
      <c r="O888" s="56">
        <f t="shared" si="45"/>
        <v>0</v>
      </c>
      <c r="P888" s="56"/>
      <c r="Q888" s="58">
        <f t="shared" si="46"/>
        <v>194339.89</v>
      </c>
      <c r="R888" s="56"/>
    </row>
    <row r="889" ht="20" customHeight="1" spans="2:18">
      <c r="B889" s="42"/>
      <c r="C889" s="42"/>
      <c r="D889" s="42"/>
      <c r="E889" s="104"/>
      <c r="F889" s="100"/>
      <c r="G889" s="56"/>
      <c r="H889" s="56"/>
      <c r="I889" s="56"/>
      <c r="J889" s="56"/>
      <c r="K889" s="56"/>
      <c r="L889" s="56"/>
      <c r="M889" s="56"/>
      <c r="N889" s="56"/>
      <c r="O889" s="56">
        <f t="shared" si="45"/>
        <v>0</v>
      </c>
      <c r="P889" s="56"/>
      <c r="Q889" s="58">
        <f t="shared" si="46"/>
        <v>194339.89</v>
      </c>
      <c r="R889" s="56"/>
    </row>
    <row r="890" ht="20" customHeight="1" spans="2:18">
      <c r="B890" s="42"/>
      <c r="C890" s="42"/>
      <c r="D890" s="42"/>
      <c r="E890" s="104"/>
      <c r="F890" s="100"/>
      <c r="G890" s="56"/>
      <c r="H890" s="56"/>
      <c r="I890" s="56"/>
      <c r="J890" s="56"/>
      <c r="K890" s="56"/>
      <c r="L890" s="56"/>
      <c r="M890" s="56"/>
      <c r="N890" s="56"/>
      <c r="O890" s="56">
        <f t="shared" si="45"/>
        <v>0</v>
      </c>
      <c r="P890" s="56"/>
      <c r="Q890" s="58">
        <f t="shared" si="46"/>
        <v>194339.89</v>
      </c>
      <c r="R890" s="56"/>
    </row>
    <row r="891" ht="20" customHeight="1" spans="2:18">
      <c r="B891" s="42"/>
      <c r="C891" s="42"/>
      <c r="D891" s="42"/>
      <c r="E891" s="104"/>
      <c r="F891" s="100"/>
      <c r="G891" s="56"/>
      <c r="H891" s="56"/>
      <c r="I891" s="56"/>
      <c r="J891" s="56"/>
      <c r="K891" s="56"/>
      <c r="L891" s="56"/>
      <c r="M891" s="56"/>
      <c r="N891" s="56"/>
      <c r="O891" s="56">
        <f t="shared" si="45"/>
        <v>0</v>
      </c>
      <c r="P891" s="56"/>
      <c r="Q891" s="58">
        <f t="shared" si="46"/>
        <v>194339.89</v>
      </c>
      <c r="R891" s="56"/>
    </row>
    <row r="892" ht="20" customHeight="1" spans="2:18">
      <c r="B892" s="42"/>
      <c r="C892" s="42"/>
      <c r="D892" s="42"/>
      <c r="E892" s="104"/>
      <c r="F892" s="100"/>
      <c r="G892" s="56"/>
      <c r="H892" s="56"/>
      <c r="I892" s="56"/>
      <c r="J892" s="56"/>
      <c r="K892" s="56"/>
      <c r="L892" s="56"/>
      <c r="M892" s="56"/>
      <c r="N892" s="56"/>
      <c r="O892" s="56">
        <f t="shared" si="45"/>
        <v>0</v>
      </c>
      <c r="P892" s="56"/>
      <c r="Q892" s="58">
        <f t="shared" si="46"/>
        <v>194339.89</v>
      </c>
      <c r="R892" s="56"/>
    </row>
    <row r="893" ht="20" customHeight="1" spans="2:18">
      <c r="B893" s="42"/>
      <c r="C893" s="42"/>
      <c r="D893" s="42"/>
      <c r="E893" s="104"/>
      <c r="F893" s="100"/>
      <c r="G893" s="56"/>
      <c r="H893" s="56"/>
      <c r="I893" s="56"/>
      <c r="J893" s="56"/>
      <c r="K893" s="56"/>
      <c r="L893" s="56"/>
      <c r="M893" s="56"/>
      <c r="N893" s="56"/>
      <c r="O893" s="56">
        <f t="shared" si="45"/>
        <v>0</v>
      </c>
      <c r="P893" s="56"/>
      <c r="Q893" s="58">
        <f t="shared" si="46"/>
        <v>194339.89</v>
      </c>
      <c r="R893" s="56"/>
    </row>
    <row r="894" ht="20" customHeight="1" spans="2:18">
      <c r="B894" s="42"/>
      <c r="C894" s="42"/>
      <c r="D894" s="42"/>
      <c r="E894" s="104"/>
      <c r="F894" s="100"/>
      <c r="G894" s="56"/>
      <c r="H894" s="56"/>
      <c r="I894" s="56"/>
      <c r="J894" s="56"/>
      <c r="K894" s="56"/>
      <c r="L894" s="56"/>
      <c r="M894" s="56"/>
      <c r="N894" s="56"/>
      <c r="O894" s="56">
        <f t="shared" si="45"/>
        <v>0</v>
      </c>
      <c r="P894" s="56"/>
      <c r="Q894" s="58">
        <f t="shared" si="46"/>
        <v>194339.89</v>
      </c>
      <c r="R894" s="56"/>
    </row>
    <row r="895" ht="20" customHeight="1" spans="2:18">
      <c r="B895" s="42"/>
      <c r="C895" s="42"/>
      <c r="D895" s="42"/>
      <c r="E895" s="104"/>
      <c r="F895" s="100"/>
      <c r="G895" s="56"/>
      <c r="H895" s="56"/>
      <c r="I895" s="56"/>
      <c r="J895" s="56"/>
      <c r="K895" s="56"/>
      <c r="L895" s="56"/>
      <c r="M895" s="56"/>
      <c r="N895" s="56"/>
      <c r="O895" s="56">
        <f t="shared" si="45"/>
        <v>0</v>
      </c>
      <c r="P895" s="56"/>
      <c r="Q895" s="58">
        <f t="shared" si="46"/>
        <v>194339.89</v>
      </c>
      <c r="R895" s="56"/>
    </row>
    <row r="896" ht="20" customHeight="1" spans="2:18">
      <c r="B896" s="42"/>
      <c r="C896" s="42"/>
      <c r="D896" s="42"/>
      <c r="E896" s="104"/>
      <c r="F896" s="100"/>
      <c r="G896" s="56"/>
      <c r="H896" s="56"/>
      <c r="I896" s="56"/>
      <c r="J896" s="56"/>
      <c r="K896" s="56"/>
      <c r="L896" s="56"/>
      <c r="M896" s="56"/>
      <c r="N896" s="56"/>
      <c r="O896" s="56">
        <f t="shared" si="45"/>
        <v>0</v>
      </c>
      <c r="P896" s="56"/>
      <c r="Q896" s="58">
        <f t="shared" si="46"/>
        <v>194339.89</v>
      </c>
      <c r="R896" s="56"/>
    </row>
    <row r="897" ht="20" customHeight="1" spans="2:18">
      <c r="B897" s="42"/>
      <c r="C897" s="42"/>
      <c r="D897" s="42"/>
      <c r="E897" s="104"/>
      <c r="F897" s="100"/>
      <c r="G897" s="56"/>
      <c r="H897" s="56"/>
      <c r="I897" s="56"/>
      <c r="J897" s="56"/>
      <c r="K897" s="56"/>
      <c r="L897" s="56"/>
      <c r="M897" s="56"/>
      <c r="N897" s="56"/>
      <c r="O897" s="56">
        <f t="shared" si="45"/>
        <v>0</v>
      </c>
      <c r="P897" s="56"/>
      <c r="Q897" s="58">
        <f t="shared" si="46"/>
        <v>194339.89</v>
      </c>
      <c r="R897" s="56"/>
    </row>
    <row r="898" ht="20" customHeight="1" spans="2:18">
      <c r="B898" s="42"/>
      <c r="C898" s="42"/>
      <c r="D898" s="42"/>
      <c r="E898" s="104"/>
      <c r="F898" s="100"/>
      <c r="G898" s="56"/>
      <c r="H898" s="56"/>
      <c r="I898" s="56"/>
      <c r="J898" s="56"/>
      <c r="K898" s="56"/>
      <c r="L898" s="56"/>
      <c r="M898" s="56"/>
      <c r="N898" s="56"/>
      <c r="O898" s="56">
        <f t="shared" si="45"/>
        <v>0</v>
      </c>
      <c r="P898" s="56"/>
      <c r="Q898" s="58">
        <f t="shared" si="46"/>
        <v>194339.89</v>
      </c>
      <c r="R898" s="56"/>
    </row>
    <row r="899" ht="20" customHeight="1" spans="2:18">
      <c r="B899" s="42"/>
      <c r="C899" s="42"/>
      <c r="D899" s="42"/>
      <c r="E899" s="104"/>
      <c r="F899" s="100"/>
      <c r="G899" s="56"/>
      <c r="H899" s="56"/>
      <c r="I899" s="56"/>
      <c r="J899" s="56"/>
      <c r="K899" s="56"/>
      <c r="L899" s="56"/>
      <c r="M899" s="56"/>
      <c r="N899" s="56"/>
      <c r="O899" s="56">
        <f t="shared" si="45"/>
        <v>0</v>
      </c>
      <c r="P899" s="56"/>
      <c r="Q899" s="58">
        <f t="shared" si="46"/>
        <v>194339.89</v>
      </c>
      <c r="R899" s="56"/>
    </row>
    <row r="900" ht="20" customHeight="1" spans="2:18">
      <c r="B900" s="42"/>
      <c r="C900" s="42"/>
      <c r="D900" s="42"/>
      <c r="E900" s="104"/>
      <c r="F900" s="100"/>
      <c r="G900" s="56"/>
      <c r="H900" s="56"/>
      <c r="I900" s="56"/>
      <c r="J900" s="56"/>
      <c r="K900" s="56"/>
      <c r="L900" s="56"/>
      <c r="M900" s="56"/>
      <c r="N900" s="56"/>
      <c r="O900" s="56">
        <f t="shared" si="45"/>
        <v>0</v>
      </c>
      <c r="P900" s="56"/>
      <c r="Q900" s="58">
        <f t="shared" si="46"/>
        <v>194339.89</v>
      </c>
      <c r="R900" s="56"/>
    </row>
    <row r="901" ht="20" customHeight="1" spans="2:18">
      <c r="B901" s="42"/>
      <c r="C901" s="42"/>
      <c r="D901" s="42"/>
      <c r="E901" s="104"/>
      <c r="F901" s="100"/>
      <c r="G901" s="56"/>
      <c r="H901" s="56"/>
      <c r="I901" s="56"/>
      <c r="J901" s="56"/>
      <c r="K901" s="56"/>
      <c r="L901" s="56"/>
      <c r="M901" s="56"/>
      <c r="N901" s="56"/>
      <c r="O901" s="56">
        <f t="shared" si="45"/>
        <v>0</v>
      </c>
      <c r="P901" s="56"/>
      <c r="Q901" s="58">
        <f t="shared" si="46"/>
        <v>194339.89</v>
      </c>
      <c r="R901" s="56"/>
    </row>
    <row r="902" ht="20" customHeight="1" spans="2:18">
      <c r="B902" s="42"/>
      <c r="C902" s="42"/>
      <c r="D902" s="42"/>
      <c r="E902" s="104"/>
      <c r="F902" s="100"/>
      <c r="G902" s="56"/>
      <c r="H902" s="56"/>
      <c r="I902" s="56"/>
      <c r="J902" s="56"/>
      <c r="K902" s="56"/>
      <c r="L902" s="56"/>
      <c r="M902" s="56"/>
      <c r="N902" s="56"/>
      <c r="O902" s="56">
        <f t="shared" si="45"/>
        <v>0</v>
      </c>
      <c r="P902" s="56"/>
      <c r="Q902" s="58">
        <f t="shared" si="46"/>
        <v>194339.89</v>
      </c>
      <c r="R902" s="56"/>
    </row>
    <row r="903" ht="20" customHeight="1" spans="2:18">
      <c r="B903" s="42"/>
      <c r="C903" s="42"/>
      <c r="D903" s="42"/>
      <c r="E903" s="104"/>
      <c r="F903" s="100"/>
      <c r="G903" s="56"/>
      <c r="H903" s="56"/>
      <c r="I903" s="56"/>
      <c r="J903" s="56"/>
      <c r="K903" s="56"/>
      <c r="L903" s="56"/>
      <c r="M903" s="56"/>
      <c r="N903" s="56"/>
      <c r="O903" s="56">
        <f t="shared" si="45"/>
        <v>0</v>
      </c>
      <c r="P903" s="56"/>
      <c r="Q903" s="58">
        <f t="shared" si="46"/>
        <v>194339.89</v>
      </c>
      <c r="R903" s="56"/>
    </row>
    <row r="904" ht="20" customHeight="1" spans="2:18">
      <c r="B904" s="42"/>
      <c r="C904" s="42"/>
      <c r="D904" s="42"/>
      <c r="E904" s="104"/>
      <c r="F904" s="100"/>
      <c r="G904" s="56"/>
      <c r="H904" s="56"/>
      <c r="I904" s="56"/>
      <c r="J904" s="56"/>
      <c r="K904" s="56"/>
      <c r="L904" s="56"/>
      <c r="M904" s="56"/>
      <c r="N904" s="56"/>
      <c r="O904" s="56">
        <f t="shared" si="45"/>
        <v>0</v>
      </c>
      <c r="P904" s="56"/>
      <c r="Q904" s="58">
        <f t="shared" si="46"/>
        <v>194339.89</v>
      </c>
      <c r="R904" s="56"/>
    </row>
    <row r="905" ht="20" customHeight="1" spans="2:18">
      <c r="B905" s="42"/>
      <c r="C905" s="42"/>
      <c r="D905" s="42"/>
      <c r="E905" s="104"/>
      <c r="F905" s="100"/>
      <c r="G905" s="56"/>
      <c r="H905" s="56"/>
      <c r="I905" s="56"/>
      <c r="J905" s="56"/>
      <c r="K905" s="56"/>
      <c r="L905" s="56"/>
      <c r="M905" s="56"/>
      <c r="N905" s="56"/>
      <c r="O905" s="56">
        <f t="shared" si="45"/>
        <v>0</v>
      </c>
      <c r="P905" s="56"/>
      <c r="Q905" s="58">
        <f t="shared" si="46"/>
        <v>194339.89</v>
      </c>
      <c r="R905" s="56"/>
    </row>
    <row r="906" ht="20" customHeight="1" spans="2:18">
      <c r="B906" s="42"/>
      <c r="C906" s="42"/>
      <c r="D906" s="42"/>
      <c r="E906" s="104"/>
      <c r="F906" s="100"/>
      <c r="G906" s="56"/>
      <c r="H906" s="56"/>
      <c r="I906" s="56"/>
      <c r="J906" s="56"/>
      <c r="K906" s="56"/>
      <c r="L906" s="56"/>
      <c r="M906" s="56"/>
      <c r="N906" s="56"/>
      <c r="O906" s="56">
        <f t="shared" si="45"/>
        <v>0</v>
      </c>
      <c r="P906" s="56"/>
      <c r="Q906" s="58">
        <f t="shared" si="46"/>
        <v>194339.89</v>
      </c>
      <c r="R906" s="56"/>
    </row>
    <row r="907" ht="20" customHeight="1" spans="2:18">
      <c r="B907" s="42"/>
      <c r="C907" s="42"/>
      <c r="D907" s="42"/>
      <c r="E907" s="104"/>
      <c r="F907" s="100"/>
      <c r="G907" s="56"/>
      <c r="H907" s="56"/>
      <c r="I907" s="56"/>
      <c r="J907" s="56"/>
      <c r="K907" s="56"/>
      <c r="L907" s="56"/>
      <c r="M907" s="56"/>
      <c r="N907" s="56"/>
      <c r="O907" s="56">
        <f t="shared" si="45"/>
        <v>0</v>
      </c>
      <c r="P907" s="56"/>
      <c r="Q907" s="58">
        <f t="shared" si="46"/>
        <v>194339.89</v>
      </c>
      <c r="R907" s="56"/>
    </row>
  </sheetData>
  <autoFilter xmlns:etc="http://www.wps.cn/officeDocument/2017/etCustomData" ref="A4:X827" etc:filterBottomFollowUsedRange="0">
    <extLst/>
  </autoFilter>
  <mergeCells count="4">
    <mergeCell ref="B1:R1"/>
    <mergeCell ref="G3:O3"/>
    <mergeCell ref="P3:P4"/>
    <mergeCell ref="Q3:Q4"/>
  </mergeCells>
  <dataValidations count="1">
    <dataValidation type="list" allowBlank="1" showInputMessage="1" showErrorMessage="1" sqref="D5:D907">
      <formula1>付费项!$B$2:$B$95</formula1>
    </dataValidation>
  </dataValidations>
  <pageMargins left="0.7" right="0.7" top="0.75" bottom="0.75" header="0.3" footer="0.3"/>
  <pageSetup paperSize="9" orientation="portrait"/>
  <headerFooter/>
  <ignoredErrors>
    <ignoredError sqref="O153" formula="1"/>
  </ignoredError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W118"/>
  <sheetViews>
    <sheetView workbookViewId="0">
      <pane xSplit="5" ySplit="5" topLeftCell="F6" activePane="bottomRight" state="frozen"/>
      <selection/>
      <selection pane="topRight"/>
      <selection pane="bottomLeft"/>
      <selection pane="bottomRight" activeCell="F22" sqref="F22"/>
    </sheetView>
  </sheetViews>
  <sheetFormatPr defaultColWidth="9" defaultRowHeight="13.5"/>
  <cols>
    <col min="1" max="1" width="6.26666666666667" style="3" customWidth="1"/>
    <col min="2" max="3" width="4.725" style="3" customWidth="1"/>
    <col min="4" max="4" width="12.75" style="3" customWidth="1"/>
    <col min="5" max="5" width="34.725" style="3" customWidth="1"/>
    <col min="6" max="6" width="45.725" style="3" customWidth="1"/>
    <col min="7" max="15" width="9.725" style="3" customWidth="1"/>
    <col min="16" max="16" width="11.9083333333333" style="3" customWidth="1"/>
    <col min="17" max="17" width="20.725" style="3" customWidth="1"/>
    <col min="18" max="18" width="10.725" style="3" customWidth="1"/>
    <col min="19" max="19" width="9.26666666666667" style="3" customWidth="1"/>
    <col min="20" max="16384" width="9" style="3"/>
  </cols>
  <sheetData>
    <row r="1" ht="24.75" spans="1:23">
      <c r="A1" s="46" t="str">
        <f>HYPERLINK("#目录!a1","返回目录")</f>
        <v>返回目录</v>
      </c>
      <c r="B1" s="47" t="s">
        <v>3354</v>
      </c>
      <c r="C1" s="47"/>
      <c r="D1" s="47"/>
      <c r="E1" s="47"/>
      <c r="F1" s="47"/>
      <c r="G1" s="47"/>
      <c r="H1" s="47"/>
      <c r="I1" s="47"/>
      <c r="J1" s="47"/>
      <c r="K1" s="47"/>
      <c r="L1" s="47"/>
      <c r="M1" s="47"/>
      <c r="N1" s="47"/>
      <c r="O1" s="47"/>
      <c r="P1" s="47"/>
      <c r="Q1" s="47"/>
      <c r="R1" s="6"/>
      <c r="S1" s="6"/>
      <c r="T1" s="6"/>
      <c r="U1" s="6"/>
      <c r="V1" s="6"/>
      <c r="W1" s="6"/>
    </row>
    <row r="2" ht="9" customHeight="1" spans="1:23">
      <c r="B2" s="48"/>
      <c r="C2" s="48"/>
      <c r="D2" s="48"/>
      <c r="E2" s="48"/>
      <c r="F2" s="48"/>
      <c r="G2" s="48"/>
      <c r="H2" s="48"/>
      <c r="I2" s="48"/>
      <c r="J2" s="48"/>
      <c r="K2" s="48"/>
      <c r="L2" s="48"/>
      <c r="M2" s="48"/>
      <c r="N2" s="48"/>
      <c r="O2" s="48"/>
      <c r="P2" s="48"/>
      <c r="Q2" s="48"/>
      <c r="R2" s="6"/>
      <c r="S2" s="6"/>
      <c r="T2" s="6"/>
      <c r="U2" s="6"/>
      <c r="V2" s="6"/>
      <c r="W2" s="6"/>
    </row>
    <row r="3" ht="21" customHeight="1" spans="1:23">
      <c r="A3" s="46" t="str">
        <f>HYPERLINK("#目录!a1","返回目录")</f>
        <v>返回目录</v>
      </c>
      <c r="B3" s="49"/>
      <c r="C3" s="49"/>
      <c r="D3" s="49"/>
      <c r="E3" s="49"/>
      <c r="F3" s="49"/>
      <c r="G3" s="50" t="s">
        <v>11</v>
      </c>
      <c r="H3" s="51"/>
      <c r="I3" s="51"/>
      <c r="J3" s="51"/>
      <c r="K3" s="51"/>
      <c r="L3" s="51"/>
      <c r="M3" s="51"/>
      <c r="N3" s="52"/>
      <c r="O3" s="49" t="s">
        <v>12</v>
      </c>
      <c r="P3" s="49" t="s">
        <v>13</v>
      </c>
      <c r="Q3" s="49"/>
    </row>
    <row r="4" ht="21" customHeight="1" spans="1:23">
      <c r="B4" s="49" t="s">
        <v>6</v>
      </c>
      <c r="C4" s="49" t="s">
        <v>7</v>
      </c>
      <c r="D4" s="49"/>
      <c r="E4" s="49" t="s">
        <v>9</v>
      </c>
      <c r="F4" s="49" t="s">
        <v>10</v>
      </c>
      <c r="G4" s="49" t="s">
        <v>474</v>
      </c>
      <c r="H4" s="49" t="s">
        <v>475</v>
      </c>
      <c r="I4" s="49" t="s">
        <v>124</v>
      </c>
      <c r="J4" s="49" t="s">
        <v>68</v>
      </c>
      <c r="K4" s="49" t="s">
        <v>116</v>
      </c>
      <c r="L4" s="49" t="s">
        <v>477</v>
      </c>
      <c r="M4" s="49" t="s">
        <v>478</v>
      </c>
      <c r="N4" s="49" t="s">
        <v>11</v>
      </c>
      <c r="O4" s="53"/>
      <c r="P4" s="53"/>
      <c r="Q4" s="49" t="s">
        <v>14</v>
      </c>
    </row>
    <row r="5" ht="20" customHeight="1" spans="1:23">
      <c r="B5" s="42"/>
      <c r="C5" s="42"/>
      <c r="D5" s="42"/>
      <c r="E5" s="42"/>
      <c r="F5" s="54" t="s">
        <v>15</v>
      </c>
      <c r="G5" s="56"/>
      <c r="H5" s="56"/>
      <c r="I5" s="56"/>
      <c r="J5" s="56"/>
      <c r="K5" s="56"/>
      <c r="L5" s="56"/>
      <c r="M5" s="56"/>
      <c r="N5" s="56"/>
      <c r="O5" s="56"/>
      <c r="P5" s="58">
        <v>0</v>
      </c>
      <c r="Q5" s="59"/>
      <c r="R5" s="79"/>
    </row>
    <row r="6" ht="20" customHeight="1" spans="1:23">
      <c r="B6" s="42">
        <v>5</v>
      </c>
      <c r="C6" s="42">
        <v>11</v>
      </c>
      <c r="D6" s="42"/>
      <c r="E6" s="104"/>
      <c r="F6" s="97" t="s">
        <v>3355</v>
      </c>
      <c r="G6" s="56"/>
      <c r="H6" s="56"/>
      <c r="I6" s="56"/>
      <c r="J6" s="56"/>
      <c r="K6" s="89">
        <v>240</v>
      </c>
      <c r="L6" s="56"/>
      <c r="M6" s="56"/>
      <c r="N6" s="89">
        <f>SUM(G6:L6)-M6</f>
        <v>240</v>
      </c>
      <c r="O6" s="56"/>
      <c r="P6" s="58">
        <f>P5+N6-O6</f>
        <v>240</v>
      </c>
      <c r="Q6" s="105"/>
      <c r="R6" s="106">
        <v>240</v>
      </c>
    </row>
    <row r="7" s="3" customFormat="1" ht="20" customHeight="1" spans="1:23">
      <c r="B7" s="68"/>
      <c r="C7" s="68"/>
      <c r="D7" s="68"/>
      <c r="E7" s="68"/>
      <c r="F7" s="70" t="s">
        <v>22</v>
      </c>
      <c r="G7" s="71">
        <f t="shared" ref="G7:O7" si="0">SUM(G6)</f>
        <v>0</v>
      </c>
      <c r="H7" s="71">
        <f t="shared" si="0"/>
        <v>0</v>
      </c>
      <c r="I7" s="71">
        <f t="shared" si="0"/>
        <v>0</v>
      </c>
      <c r="J7" s="71">
        <f t="shared" si="0"/>
        <v>0</v>
      </c>
      <c r="K7" s="71">
        <f t="shared" si="0"/>
        <v>240</v>
      </c>
      <c r="L7" s="71">
        <f t="shared" si="0"/>
        <v>0</v>
      </c>
      <c r="M7" s="71">
        <f t="shared" si="0"/>
        <v>0</v>
      </c>
      <c r="N7" s="71">
        <f t="shared" si="0"/>
        <v>240</v>
      </c>
      <c r="O7" s="71">
        <f t="shared" si="0"/>
        <v>0</v>
      </c>
      <c r="P7" s="72">
        <f t="shared" ref="P7:P12" si="1">P5+N7-O7</f>
        <v>240</v>
      </c>
      <c r="Q7" s="71"/>
    </row>
    <row r="8" ht="20" customHeight="1" spans="1:23">
      <c r="B8" s="42">
        <v>6</v>
      </c>
      <c r="C8" s="42">
        <v>9</v>
      </c>
      <c r="D8" s="42"/>
      <c r="E8" s="104" t="s">
        <v>3356</v>
      </c>
      <c r="F8" s="97" t="s">
        <v>3357</v>
      </c>
      <c r="G8" s="56"/>
      <c r="H8" s="56"/>
      <c r="I8" s="56"/>
      <c r="J8" s="56"/>
      <c r="K8" s="56">
        <v>240</v>
      </c>
      <c r="L8" s="56"/>
      <c r="M8" s="56"/>
      <c r="N8" s="56">
        <f>SUM(G8:L8)-M8</f>
        <v>240</v>
      </c>
      <c r="O8" s="56"/>
      <c r="P8" s="58">
        <f t="shared" si="1"/>
        <v>480</v>
      </c>
      <c r="Q8" s="56"/>
    </row>
    <row r="9" s="3" customFormat="1" ht="20" customHeight="1" spans="1:23">
      <c r="B9" s="68"/>
      <c r="C9" s="68"/>
      <c r="D9" s="68"/>
      <c r="E9" s="68"/>
      <c r="F9" s="70" t="s">
        <v>22</v>
      </c>
      <c r="G9" s="71">
        <f t="shared" ref="G9:O9" si="2">SUM(G8)</f>
        <v>0</v>
      </c>
      <c r="H9" s="71">
        <f t="shared" si="2"/>
        <v>0</v>
      </c>
      <c r="I9" s="71">
        <f t="shared" si="2"/>
        <v>0</v>
      </c>
      <c r="J9" s="71">
        <f t="shared" si="2"/>
        <v>0</v>
      </c>
      <c r="K9" s="71">
        <f t="shared" si="2"/>
        <v>240</v>
      </c>
      <c r="L9" s="71">
        <f t="shared" si="2"/>
        <v>0</v>
      </c>
      <c r="M9" s="71">
        <f t="shared" si="2"/>
        <v>0</v>
      </c>
      <c r="N9" s="71">
        <f t="shared" si="2"/>
        <v>240</v>
      </c>
      <c r="O9" s="71">
        <f t="shared" si="2"/>
        <v>0</v>
      </c>
      <c r="P9" s="72">
        <f t="shared" si="1"/>
        <v>480</v>
      </c>
      <c r="Q9" s="71"/>
    </row>
    <row r="10" ht="20" customHeight="1" spans="1:23">
      <c r="B10" s="42">
        <v>7</v>
      </c>
      <c r="C10" s="42">
        <v>10</v>
      </c>
      <c r="D10" s="42"/>
      <c r="E10" s="104" t="s">
        <v>3356</v>
      </c>
      <c r="F10" s="107" t="s">
        <v>3357</v>
      </c>
      <c r="G10" s="56"/>
      <c r="H10" s="56"/>
      <c r="I10" s="56"/>
      <c r="J10" s="56"/>
      <c r="K10" s="56">
        <v>240</v>
      </c>
      <c r="L10" s="56"/>
      <c r="M10" s="56"/>
      <c r="N10" s="56">
        <f>SUM(G10:L10)-M10</f>
        <v>240</v>
      </c>
      <c r="O10" s="56"/>
      <c r="P10" s="58">
        <f>P9+N10-O10</f>
        <v>720</v>
      </c>
      <c r="Q10" s="56"/>
    </row>
    <row r="11" s="3" customFormat="1" ht="20" customHeight="1" spans="1:23">
      <c r="B11" s="68"/>
      <c r="C11" s="68"/>
      <c r="D11" s="68"/>
      <c r="E11" s="68"/>
      <c r="F11" s="70" t="s">
        <v>22</v>
      </c>
      <c r="G11" s="71">
        <f t="shared" ref="G11:O11" si="3">SUM(G10)</f>
        <v>0</v>
      </c>
      <c r="H11" s="71">
        <f t="shared" si="3"/>
        <v>0</v>
      </c>
      <c r="I11" s="71">
        <f t="shared" si="3"/>
        <v>0</v>
      </c>
      <c r="J11" s="71">
        <f t="shared" si="3"/>
        <v>0</v>
      </c>
      <c r="K11" s="71">
        <f t="shared" si="3"/>
        <v>240</v>
      </c>
      <c r="L11" s="71">
        <f t="shared" si="3"/>
        <v>0</v>
      </c>
      <c r="M11" s="71">
        <f t="shared" si="3"/>
        <v>0</v>
      </c>
      <c r="N11" s="71">
        <f t="shared" si="3"/>
        <v>240</v>
      </c>
      <c r="O11" s="71">
        <f t="shared" si="3"/>
        <v>0</v>
      </c>
      <c r="P11" s="72">
        <f>P9+N11-O11</f>
        <v>720</v>
      </c>
      <c r="Q11" s="71"/>
    </row>
    <row r="12" s="1" customFormat="1" ht="20" customHeight="1" spans="1:23">
      <c r="B12" s="42">
        <v>8</v>
      </c>
      <c r="C12" s="42">
        <v>10</v>
      </c>
      <c r="D12" s="42"/>
      <c r="E12" s="104" t="s">
        <v>3356</v>
      </c>
      <c r="F12" s="107" t="s">
        <v>3357</v>
      </c>
      <c r="G12" s="56"/>
      <c r="H12" s="56"/>
      <c r="I12" s="56"/>
      <c r="J12" s="56"/>
      <c r="K12" s="56">
        <v>240</v>
      </c>
      <c r="L12" s="56"/>
      <c r="M12" s="56"/>
      <c r="N12" s="56">
        <f>SUM(G12:L12)-M12</f>
        <v>240</v>
      </c>
      <c r="O12" s="56"/>
      <c r="P12" s="58">
        <f>P11+N12-O12</f>
        <v>960</v>
      </c>
      <c r="Q12" s="56"/>
    </row>
    <row r="13" s="3" customFormat="1" ht="20" customHeight="1" spans="1:23">
      <c r="B13" s="68"/>
      <c r="C13" s="68"/>
      <c r="D13" s="68"/>
      <c r="E13" s="68"/>
      <c r="F13" s="70" t="s">
        <v>22</v>
      </c>
      <c r="G13" s="71">
        <f t="shared" ref="G13:O13" si="4">SUM(G12)</f>
        <v>0</v>
      </c>
      <c r="H13" s="71">
        <f t="shared" si="4"/>
        <v>0</v>
      </c>
      <c r="I13" s="71">
        <f t="shared" si="4"/>
        <v>0</v>
      </c>
      <c r="J13" s="71">
        <f t="shared" si="4"/>
        <v>0</v>
      </c>
      <c r="K13" s="71">
        <f t="shared" si="4"/>
        <v>240</v>
      </c>
      <c r="L13" s="71">
        <f t="shared" si="4"/>
        <v>0</v>
      </c>
      <c r="M13" s="71">
        <f t="shared" si="4"/>
        <v>0</v>
      </c>
      <c r="N13" s="71">
        <f t="shared" si="4"/>
        <v>240</v>
      </c>
      <c r="O13" s="71">
        <f t="shared" si="4"/>
        <v>0</v>
      </c>
      <c r="P13" s="72">
        <f>P11+N13-O13</f>
        <v>960</v>
      </c>
      <c r="Q13" s="71"/>
    </row>
    <row r="14" ht="20" customHeight="1" spans="1:23">
      <c r="B14" s="42">
        <v>9</v>
      </c>
      <c r="C14" s="42">
        <v>10</v>
      </c>
      <c r="D14" s="42"/>
      <c r="E14" s="104" t="s">
        <v>3356</v>
      </c>
      <c r="F14" s="107" t="s">
        <v>3357</v>
      </c>
      <c r="G14" s="56"/>
      <c r="H14" s="56"/>
      <c r="I14" s="56"/>
      <c r="J14" s="56"/>
      <c r="K14" s="56">
        <v>240</v>
      </c>
      <c r="L14" s="56"/>
      <c r="M14" s="56"/>
      <c r="N14" s="56">
        <f>SUM(G14:L14)-M14</f>
        <v>240</v>
      </c>
      <c r="O14" s="56"/>
      <c r="P14" s="58">
        <f>P12+N14-O14</f>
        <v>1200</v>
      </c>
      <c r="Q14" s="56"/>
    </row>
    <row r="15" ht="20" customHeight="1" spans="1:23">
      <c r="B15" s="42"/>
      <c r="C15" s="42"/>
      <c r="D15" s="42"/>
      <c r="E15" s="104"/>
      <c r="F15" s="100"/>
      <c r="G15" s="56"/>
      <c r="H15" s="56"/>
      <c r="I15" s="56"/>
      <c r="J15" s="56"/>
      <c r="K15" s="56"/>
      <c r="L15" s="56"/>
      <c r="M15" s="56"/>
      <c r="N15" s="56">
        <f>SUM(G15:L15)-M15</f>
        <v>0</v>
      </c>
      <c r="O15" s="56"/>
      <c r="P15" s="58">
        <f t="shared" ref="P14:P21" si="5">P14+N15-O15</f>
        <v>1200</v>
      </c>
      <c r="Q15" s="56"/>
    </row>
    <row r="16" ht="20" customHeight="1" spans="1:23">
      <c r="B16" s="42"/>
      <c r="C16" s="42"/>
      <c r="D16" s="42"/>
      <c r="E16" s="104"/>
      <c r="F16" s="100"/>
      <c r="G16" s="56"/>
      <c r="H16" s="56"/>
      <c r="I16" s="56"/>
      <c r="J16" s="56"/>
      <c r="K16" s="56"/>
      <c r="L16" s="56"/>
      <c r="M16" s="56"/>
      <c r="N16" s="56"/>
      <c r="O16" s="56"/>
      <c r="P16" s="58">
        <f t="shared" si="5"/>
        <v>1200</v>
      </c>
      <c r="Q16" s="56"/>
    </row>
    <row r="17" ht="20" customHeight="1" spans="2:17">
      <c r="B17" s="42"/>
      <c r="C17" s="42"/>
      <c r="D17" s="42"/>
      <c r="E17" s="100"/>
      <c r="F17" s="100"/>
      <c r="G17" s="56"/>
      <c r="H17" s="56"/>
      <c r="I17" s="56"/>
      <c r="J17" s="56"/>
      <c r="K17" s="56"/>
      <c r="L17" s="56"/>
      <c r="M17" s="56"/>
      <c r="N17" s="56"/>
      <c r="O17" s="56"/>
      <c r="P17" s="58">
        <f t="shared" si="5"/>
        <v>1200</v>
      </c>
      <c r="Q17" s="56"/>
    </row>
    <row r="18" ht="20" customHeight="1" spans="2:17">
      <c r="B18" s="42"/>
      <c r="C18" s="42"/>
      <c r="D18" s="42"/>
      <c r="E18" s="104"/>
      <c r="F18" s="100"/>
      <c r="G18" s="56"/>
      <c r="H18" s="56"/>
      <c r="I18" s="56"/>
      <c r="J18" s="56"/>
      <c r="K18" s="56"/>
      <c r="L18" s="56"/>
      <c r="M18" s="56"/>
      <c r="N18" s="56"/>
      <c r="O18" s="56"/>
      <c r="P18" s="58">
        <f t="shared" si="5"/>
        <v>1200</v>
      </c>
      <c r="Q18" s="56"/>
    </row>
    <row r="19" ht="20" customHeight="1" spans="2:17">
      <c r="B19" s="42"/>
      <c r="C19" s="42"/>
      <c r="D19" s="42"/>
      <c r="E19" s="104"/>
      <c r="F19" s="100"/>
      <c r="G19" s="56"/>
      <c r="H19" s="56"/>
      <c r="I19" s="56"/>
      <c r="J19" s="56"/>
      <c r="K19" s="56"/>
      <c r="L19" s="56"/>
      <c r="M19" s="56"/>
      <c r="N19" s="56"/>
      <c r="O19" s="56"/>
      <c r="P19" s="58">
        <f t="shared" si="5"/>
        <v>1200</v>
      </c>
      <c r="Q19" s="56"/>
    </row>
    <row r="20" ht="20" customHeight="1" spans="2:17">
      <c r="B20" s="42"/>
      <c r="C20" s="42"/>
      <c r="D20" s="42"/>
      <c r="E20" s="100"/>
      <c r="F20" s="100"/>
      <c r="G20" s="56"/>
      <c r="H20" s="56"/>
      <c r="I20" s="56"/>
      <c r="J20" s="56"/>
      <c r="K20" s="56"/>
      <c r="L20" s="56"/>
      <c r="M20" s="56"/>
      <c r="N20" s="56"/>
      <c r="O20" s="56"/>
      <c r="P20" s="58">
        <f t="shared" si="5"/>
        <v>1200</v>
      </c>
      <c r="Q20" s="56"/>
    </row>
    <row r="21" ht="20" customHeight="1" spans="2:17">
      <c r="B21" s="42"/>
      <c r="C21" s="42"/>
      <c r="D21" s="42"/>
      <c r="E21" s="104"/>
      <c r="F21" s="100"/>
      <c r="G21" s="56"/>
      <c r="H21" s="56"/>
      <c r="I21" s="56"/>
      <c r="J21" s="56"/>
      <c r="K21" s="56"/>
      <c r="L21" s="56"/>
      <c r="M21" s="56"/>
      <c r="N21" s="56"/>
      <c r="O21" s="56"/>
      <c r="P21" s="58">
        <f t="shared" si="5"/>
        <v>1200</v>
      </c>
      <c r="Q21" s="56"/>
    </row>
    <row r="22" ht="20" customHeight="1" spans="2:17">
      <c r="B22" s="42"/>
      <c r="C22" s="42"/>
      <c r="D22" s="42"/>
      <c r="E22" s="104"/>
      <c r="F22" s="100"/>
      <c r="G22" s="56"/>
      <c r="H22" s="56"/>
      <c r="I22" s="56"/>
      <c r="J22" s="56"/>
      <c r="K22" s="56"/>
      <c r="L22" s="56"/>
      <c r="M22" s="56"/>
      <c r="N22" s="56"/>
      <c r="O22" s="56"/>
      <c r="P22" s="58"/>
      <c r="Q22" s="56"/>
    </row>
    <row r="23" ht="20" customHeight="1" spans="2:17">
      <c r="B23" s="42"/>
      <c r="C23" s="42"/>
      <c r="D23" s="42"/>
      <c r="E23" s="100"/>
      <c r="F23" s="100"/>
      <c r="G23" s="56"/>
      <c r="H23" s="56"/>
      <c r="I23" s="56"/>
      <c r="J23" s="56"/>
      <c r="K23" s="56"/>
      <c r="L23" s="56"/>
      <c r="M23" s="56"/>
      <c r="N23" s="56"/>
      <c r="O23" s="56"/>
      <c r="P23" s="58"/>
      <c r="Q23" s="56"/>
    </row>
    <row r="24" ht="20" customHeight="1" spans="2:17">
      <c r="B24" s="42"/>
      <c r="C24" s="42"/>
      <c r="D24" s="42"/>
      <c r="E24" s="104"/>
      <c r="F24" s="100"/>
      <c r="G24" s="56"/>
      <c r="H24" s="56"/>
      <c r="I24" s="56"/>
      <c r="J24" s="56"/>
      <c r="K24" s="56"/>
      <c r="L24" s="56"/>
      <c r="M24" s="56"/>
      <c r="N24" s="56"/>
      <c r="O24" s="56"/>
      <c r="P24" s="58"/>
      <c r="Q24" s="56"/>
    </row>
    <row r="25" ht="20" customHeight="1" spans="2:17">
      <c r="B25" s="42"/>
      <c r="C25" s="42"/>
      <c r="D25" s="42"/>
      <c r="E25" s="104"/>
      <c r="F25" s="100"/>
      <c r="G25" s="56"/>
      <c r="H25" s="56"/>
      <c r="I25" s="56"/>
      <c r="J25" s="56"/>
      <c r="K25" s="56"/>
      <c r="L25" s="56"/>
      <c r="M25" s="56"/>
      <c r="N25" s="56"/>
      <c r="O25" s="56"/>
      <c r="P25" s="58"/>
      <c r="Q25" s="56"/>
    </row>
    <row r="26" ht="20" customHeight="1" spans="2:17">
      <c r="B26" s="42"/>
      <c r="C26" s="42"/>
      <c r="D26" s="42"/>
      <c r="E26" s="100"/>
      <c r="F26" s="100"/>
      <c r="G26" s="56"/>
      <c r="H26" s="56"/>
      <c r="I26" s="56"/>
      <c r="J26" s="56"/>
      <c r="K26" s="56"/>
      <c r="L26" s="56"/>
      <c r="M26" s="56"/>
      <c r="N26" s="56"/>
      <c r="O26" s="56"/>
      <c r="P26" s="58"/>
      <c r="Q26" s="56"/>
    </row>
    <row r="27" ht="20" customHeight="1" spans="2:17">
      <c r="B27" s="42"/>
      <c r="C27" s="42"/>
      <c r="D27" s="42"/>
      <c r="E27" s="104"/>
      <c r="F27" s="100"/>
      <c r="G27" s="56"/>
      <c r="H27" s="56"/>
      <c r="I27" s="56"/>
      <c r="J27" s="56"/>
      <c r="K27" s="56"/>
      <c r="L27" s="56"/>
      <c r="M27" s="56"/>
      <c r="N27" s="56"/>
      <c r="O27" s="56"/>
      <c r="P27" s="58"/>
      <c r="Q27" s="56"/>
    </row>
    <row r="28" ht="20" customHeight="1" spans="2:17">
      <c r="B28" s="42"/>
      <c r="C28" s="42"/>
      <c r="D28" s="42"/>
      <c r="E28" s="104"/>
      <c r="F28" s="100"/>
      <c r="G28" s="56"/>
      <c r="H28" s="56"/>
      <c r="I28" s="56"/>
      <c r="J28" s="56"/>
      <c r="K28" s="56"/>
      <c r="L28" s="56"/>
      <c r="M28" s="56"/>
      <c r="N28" s="56"/>
      <c r="O28" s="56"/>
      <c r="P28" s="58"/>
      <c r="Q28" s="56"/>
    </row>
    <row r="29" ht="20" customHeight="1" spans="2:17">
      <c r="B29" s="42"/>
      <c r="C29" s="42"/>
      <c r="D29" s="42"/>
      <c r="E29" s="100"/>
      <c r="F29" s="100"/>
      <c r="G29" s="56"/>
      <c r="H29" s="56"/>
      <c r="I29" s="56"/>
      <c r="J29" s="56"/>
      <c r="K29" s="56"/>
      <c r="L29" s="56"/>
      <c r="M29" s="56"/>
      <c r="N29" s="56"/>
      <c r="O29" s="56"/>
      <c r="P29" s="58"/>
      <c r="Q29" s="56"/>
    </row>
    <row r="30" ht="20" customHeight="1" spans="2:17">
      <c r="B30" s="42"/>
      <c r="C30" s="42"/>
      <c r="D30" s="42"/>
      <c r="E30" s="104"/>
      <c r="F30" s="100"/>
      <c r="G30" s="56"/>
      <c r="H30" s="56"/>
      <c r="I30" s="56"/>
      <c r="J30" s="56"/>
      <c r="K30" s="56"/>
      <c r="L30" s="56"/>
      <c r="M30" s="56"/>
      <c r="N30" s="56"/>
      <c r="O30" s="56"/>
      <c r="P30" s="58"/>
      <c r="Q30" s="56"/>
    </row>
    <row r="31" ht="20" customHeight="1" spans="2:17">
      <c r="B31" s="42"/>
      <c r="C31" s="42"/>
      <c r="D31" s="42"/>
      <c r="E31" s="104"/>
      <c r="F31" s="100"/>
      <c r="G31" s="56"/>
      <c r="H31" s="56"/>
      <c r="I31" s="56"/>
      <c r="J31" s="56"/>
      <c r="K31" s="56"/>
      <c r="L31" s="56"/>
      <c r="M31" s="56"/>
      <c r="N31" s="56"/>
      <c r="O31" s="56"/>
      <c r="P31" s="58"/>
      <c r="Q31" s="56"/>
    </row>
    <row r="32" ht="20" customHeight="1" spans="2:17">
      <c r="B32" s="42"/>
      <c r="C32" s="42"/>
      <c r="D32" s="42"/>
      <c r="E32" s="100"/>
      <c r="F32" s="100"/>
      <c r="G32" s="56"/>
      <c r="H32" s="56"/>
      <c r="I32" s="56"/>
      <c r="J32" s="56"/>
      <c r="K32" s="56"/>
      <c r="L32" s="56"/>
      <c r="M32" s="56"/>
      <c r="N32" s="56"/>
      <c r="O32" s="56"/>
      <c r="P32" s="58"/>
      <c r="Q32" s="56"/>
    </row>
    <row r="33" ht="20" customHeight="1" spans="2:17">
      <c r="B33" s="42"/>
      <c r="C33" s="42"/>
      <c r="D33" s="42"/>
      <c r="E33" s="104"/>
      <c r="F33" s="100"/>
      <c r="G33" s="56"/>
      <c r="H33" s="56"/>
      <c r="I33" s="56"/>
      <c r="J33" s="56"/>
      <c r="K33" s="56"/>
      <c r="L33" s="56"/>
      <c r="M33" s="56"/>
      <c r="N33" s="56"/>
      <c r="O33" s="56"/>
      <c r="P33" s="58"/>
      <c r="Q33" s="56"/>
    </row>
    <row r="34" ht="20" customHeight="1" spans="2:17">
      <c r="B34" s="42"/>
      <c r="C34" s="42"/>
      <c r="D34" s="42"/>
      <c r="E34" s="104"/>
      <c r="F34" s="100"/>
      <c r="G34" s="56"/>
      <c r="H34" s="56"/>
      <c r="I34" s="56"/>
      <c r="J34" s="56"/>
      <c r="K34" s="56"/>
      <c r="L34" s="56"/>
      <c r="M34" s="56"/>
      <c r="N34" s="56"/>
      <c r="O34" s="56"/>
      <c r="P34" s="58"/>
      <c r="Q34" s="56"/>
    </row>
    <row r="35" ht="20" customHeight="1" spans="2:17">
      <c r="B35" s="42"/>
      <c r="C35" s="42"/>
      <c r="D35" s="42"/>
      <c r="E35" s="100"/>
      <c r="F35" s="100"/>
      <c r="G35" s="56"/>
      <c r="H35" s="56"/>
      <c r="I35" s="56"/>
      <c r="J35" s="56"/>
      <c r="K35" s="56"/>
      <c r="L35" s="56"/>
      <c r="M35" s="56"/>
      <c r="N35" s="56"/>
      <c r="O35" s="56"/>
      <c r="P35" s="58"/>
      <c r="Q35" s="56"/>
    </row>
    <row r="36" ht="20" customHeight="1" spans="2:17">
      <c r="B36" s="42"/>
      <c r="C36" s="42"/>
      <c r="D36" s="42"/>
      <c r="E36" s="104"/>
      <c r="F36" s="100"/>
      <c r="G36" s="56"/>
      <c r="H36" s="56"/>
      <c r="I36" s="56"/>
      <c r="J36" s="56"/>
      <c r="K36" s="56"/>
      <c r="L36" s="56"/>
      <c r="M36" s="56"/>
      <c r="N36" s="56"/>
      <c r="O36" s="56"/>
      <c r="P36" s="58"/>
      <c r="Q36" s="56"/>
    </row>
    <row r="37" ht="20" customHeight="1" spans="2:17">
      <c r="B37" s="42"/>
      <c r="C37" s="42"/>
      <c r="D37" s="42"/>
      <c r="E37" s="104"/>
      <c r="F37" s="100"/>
      <c r="G37" s="56"/>
      <c r="H37" s="56"/>
      <c r="I37" s="56"/>
      <c r="J37" s="56"/>
      <c r="K37" s="56"/>
      <c r="L37" s="56"/>
      <c r="M37" s="56"/>
      <c r="N37" s="56"/>
      <c r="O37" s="56"/>
      <c r="P37" s="58"/>
      <c r="Q37" s="56"/>
    </row>
    <row r="38" ht="20" customHeight="1" spans="2:17">
      <c r="B38" s="42"/>
      <c r="C38" s="42"/>
      <c r="D38" s="42"/>
      <c r="E38" s="100"/>
      <c r="F38" s="100"/>
      <c r="G38" s="56"/>
      <c r="H38" s="56"/>
      <c r="I38" s="56"/>
      <c r="J38" s="56"/>
      <c r="K38" s="56"/>
      <c r="L38" s="56"/>
      <c r="M38" s="56"/>
      <c r="N38" s="56"/>
      <c r="O38" s="56"/>
      <c r="P38" s="58"/>
      <c r="Q38" s="56"/>
    </row>
    <row r="39" ht="20" customHeight="1" spans="2:17">
      <c r="B39" s="42"/>
      <c r="C39" s="42"/>
      <c r="D39" s="42"/>
      <c r="E39" s="104"/>
      <c r="F39" s="100"/>
      <c r="G39" s="56"/>
      <c r="H39" s="56"/>
      <c r="I39" s="56"/>
      <c r="J39" s="56"/>
      <c r="K39" s="56"/>
      <c r="L39" s="56"/>
      <c r="M39" s="56"/>
      <c r="N39" s="56"/>
      <c r="O39" s="56"/>
      <c r="P39" s="58"/>
      <c r="Q39" s="56"/>
    </row>
    <row r="40" ht="20" customHeight="1" spans="2:17">
      <c r="B40" s="42"/>
      <c r="C40" s="42"/>
      <c r="D40" s="42"/>
      <c r="E40" s="104"/>
      <c r="F40" s="100"/>
      <c r="G40" s="56"/>
      <c r="H40" s="56"/>
      <c r="I40" s="56"/>
      <c r="J40" s="56"/>
      <c r="K40" s="56"/>
      <c r="L40" s="56"/>
      <c r="M40" s="56"/>
      <c r="N40" s="56"/>
      <c r="O40" s="56"/>
      <c r="P40" s="58"/>
      <c r="Q40" s="56"/>
    </row>
    <row r="41" ht="20" customHeight="1" spans="2:17">
      <c r="B41" s="42"/>
      <c r="C41" s="42"/>
      <c r="D41" s="42"/>
      <c r="E41" s="100"/>
      <c r="F41" s="100"/>
      <c r="G41" s="56"/>
      <c r="H41" s="56"/>
      <c r="I41" s="56"/>
      <c r="J41" s="56"/>
      <c r="K41" s="56"/>
      <c r="L41" s="56"/>
      <c r="M41" s="56"/>
      <c r="N41" s="56"/>
      <c r="O41" s="56"/>
      <c r="P41" s="58"/>
      <c r="Q41" s="56"/>
    </row>
    <row r="42" ht="20" customHeight="1" spans="2:17">
      <c r="B42" s="42"/>
      <c r="C42" s="42"/>
      <c r="D42" s="42"/>
      <c r="E42" s="104"/>
      <c r="F42" s="100"/>
      <c r="G42" s="56"/>
      <c r="H42" s="56"/>
      <c r="I42" s="56"/>
      <c r="J42" s="56"/>
      <c r="K42" s="56"/>
      <c r="L42" s="56"/>
      <c r="M42" s="56"/>
      <c r="N42" s="56"/>
      <c r="O42" s="56"/>
      <c r="P42" s="58"/>
      <c r="Q42" s="56"/>
    </row>
    <row r="43" ht="20" customHeight="1" spans="2:17">
      <c r="B43" s="42"/>
      <c r="C43" s="42"/>
      <c r="D43" s="42"/>
      <c r="E43" s="104"/>
      <c r="F43" s="100"/>
      <c r="G43" s="56"/>
      <c r="H43" s="56"/>
      <c r="I43" s="56"/>
      <c r="J43" s="56"/>
      <c r="K43" s="56"/>
      <c r="L43" s="56"/>
      <c r="M43" s="56"/>
      <c r="N43" s="56"/>
      <c r="O43" s="56"/>
      <c r="P43" s="58"/>
      <c r="Q43" s="56"/>
    </row>
    <row r="44" ht="20" customHeight="1" spans="2:17">
      <c r="B44" s="42"/>
      <c r="C44" s="42"/>
      <c r="D44" s="42"/>
      <c r="E44" s="100"/>
      <c r="F44" s="100"/>
      <c r="G44" s="56"/>
      <c r="H44" s="56"/>
      <c r="I44" s="56"/>
      <c r="J44" s="56"/>
      <c r="K44" s="56"/>
      <c r="L44" s="56"/>
      <c r="M44" s="56"/>
      <c r="N44" s="56"/>
      <c r="O44" s="56"/>
      <c r="P44" s="58"/>
      <c r="Q44" s="56"/>
    </row>
    <row r="45" ht="20" customHeight="1" spans="2:17">
      <c r="B45" s="42"/>
      <c r="C45" s="42"/>
      <c r="D45" s="42"/>
      <c r="E45" s="104"/>
      <c r="F45" s="100"/>
      <c r="G45" s="56"/>
      <c r="H45" s="56"/>
      <c r="I45" s="56"/>
      <c r="J45" s="56"/>
      <c r="K45" s="56"/>
      <c r="L45" s="56"/>
      <c r="M45" s="56"/>
      <c r="N45" s="56"/>
      <c r="O45" s="56"/>
      <c r="P45" s="58"/>
      <c r="Q45" s="56"/>
    </row>
    <row r="46" ht="20" customHeight="1" spans="2:17">
      <c r="B46" s="42"/>
      <c r="C46" s="42"/>
      <c r="D46" s="42"/>
      <c r="E46" s="104"/>
      <c r="F46" s="100"/>
      <c r="G46" s="56"/>
      <c r="H46" s="56"/>
      <c r="I46" s="56"/>
      <c r="J46" s="56"/>
      <c r="K46" s="56"/>
      <c r="L46" s="56"/>
      <c r="M46" s="56"/>
      <c r="N46" s="56"/>
      <c r="O46" s="56"/>
      <c r="P46" s="58"/>
      <c r="Q46" s="56"/>
    </row>
    <row r="47" ht="20" customHeight="1" spans="2:17">
      <c r="B47" s="42"/>
      <c r="C47" s="42"/>
      <c r="D47" s="42"/>
      <c r="E47" s="100"/>
      <c r="F47" s="100"/>
      <c r="G47" s="56"/>
      <c r="H47" s="56"/>
      <c r="I47" s="56"/>
      <c r="J47" s="56"/>
      <c r="K47" s="56"/>
      <c r="L47" s="56"/>
      <c r="M47" s="56"/>
      <c r="N47" s="56"/>
      <c r="O47" s="56"/>
      <c r="P47" s="58"/>
      <c r="Q47" s="56"/>
    </row>
    <row r="48" ht="20" customHeight="1" spans="2:17">
      <c r="B48" s="42"/>
      <c r="C48" s="42"/>
      <c r="D48" s="42"/>
      <c r="E48" s="104"/>
      <c r="F48" s="100"/>
      <c r="G48" s="56"/>
      <c r="H48" s="56"/>
      <c r="I48" s="56"/>
      <c r="J48" s="56"/>
      <c r="K48" s="56"/>
      <c r="L48" s="56"/>
      <c r="M48" s="56"/>
      <c r="N48" s="56"/>
      <c r="O48" s="56"/>
      <c r="P48" s="58"/>
      <c r="Q48" s="56"/>
    </row>
    <row r="49" ht="20" customHeight="1" spans="2:17">
      <c r="B49" s="42"/>
      <c r="C49" s="42"/>
      <c r="D49" s="42"/>
      <c r="E49" s="104"/>
      <c r="F49" s="100"/>
      <c r="G49" s="56"/>
      <c r="H49" s="56"/>
      <c r="I49" s="56"/>
      <c r="J49" s="56"/>
      <c r="K49" s="56"/>
      <c r="L49" s="56"/>
      <c r="M49" s="56"/>
      <c r="N49" s="56"/>
      <c r="O49" s="56"/>
      <c r="P49" s="58"/>
      <c r="Q49" s="56"/>
    </row>
    <row r="50" ht="20" customHeight="1" spans="2:17">
      <c r="B50" s="42"/>
      <c r="C50" s="42"/>
      <c r="D50" s="42"/>
      <c r="E50" s="100"/>
      <c r="F50" s="100"/>
      <c r="G50" s="56"/>
      <c r="H50" s="56"/>
      <c r="I50" s="56"/>
      <c r="J50" s="56"/>
      <c r="K50" s="56"/>
      <c r="L50" s="56"/>
      <c r="M50" s="56"/>
      <c r="N50" s="56"/>
      <c r="O50" s="56"/>
      <c r="P50" s="58"/>
      <c r="Q50" s="56"/>
    </row>
    <row r="51" ht="20" customHeight="1" spans="2:17">
      <c r="B51" s="42"/>
      <c r="C51" s="42"/>
      <c r="D51" s="42"/>
      <c r="E51" s="104"/>
      <c r="F51" s="100"/>
      <c r="G51" s="56"/>
      <c r="H51" s="56"/>
      <c r="I51" s="56"/>
      <c r="J51" s="56"/>
      <c r="K51" s="56"/>
      <c r="L51" s="56"/>
      <c r="M51" s="56"/>
      <c r="N51" s="56"/>
      <c r="O51" s="56"/>
      <c r="P51" s="58"/>
      <c r="Q51" s="56"/>
    </row>
    <row r="52" ht="20" customHeight="1" spans="2:17">
      <c r="B52" s="42"/>
      <c r="C52" s="42"/>
      <c r="D52" s="42"/>
      <c r="E52" s="104"/>
      <c r="F52" s="100"/>
      <c r="G52" s="56"/>
      <c r="H52" s="56"/>
      <c r="I52" s="56"/>
      <c r="J52" s="56"/>
      <c r="K52" s="56"/>
      <c r="L52" s="56"/>
      <c r="M52" s="56"/>
      <c r="N52" s="56"/>
      <c r="O52" s="56"/>
      <c r="P52" s="58"/>
      <c r="Q52" s="56"/>
    </row>
    <row r="53" ht="20" customHeight="1" spans="2:17">
      <c r="B53" s="42"/>
      <c r="C53" s="42"/>
      <c r="D53" s="42"/>
      <c r="E53" s="100"/>
      <c r="F53" s="100"/>
      <c r="G53" s="56"/>
      <c r="H53" s="56"/>
      <c r="I53" s="56"/>
      <c r="J53" s="56"/>
      <c r="K53" s="56"/>
      <c r="L53" s="56"/>
      <c r="M53" s="56"/>
      <c r="N53" s="56"/>
      <c r="O53" s="56"/>
      <c r="P53" s="58"/>
      <c r="Q53" s="56"/>
    </row>
    <row r="54" ht="20" customHeight="1" spans="2:17">
      <c r="B54" s="42"/>
      <c r="C54" s="42"/>
      <c r="D54" s="42"/>
      <c r="E54" s="104"/>
      <c r="F54" s="100"/>
      <c r="G54" s="56"/>
      <c r="H54" s="56"/>
      <c r="I54" s="56"/>
      <c r="J54" s="56"/>
      <c r="K54" s="56"/>
      <c r="L54" s="56"/>
      <c r="M54" s="56"/>
      <c r="N54" s="56"/>
      <c r="O54" s="56"/>
      <c r="P54" s="58"/>
      <c r="Q54" s="56"/>
    </row>
    <row r="55" ht="20" customHeight="1" spans="2:17">
      <c r="B55" s="42"/>
      <c r="C55" s="42"/>
      <c r="D55" s="42"/>
      <c r="E55" s="104"/>
      <c r="F55" s="100"/>
      <c r="G55" s="56"/>
      <c r="H55" s="56"/>
      <c r="I55" s="56"/>
      <c r="J55" s="56"/>
      <c r="K55" s="56"/>
      <c r="L55" s="56"/>
      <c r="M55" s="56"/>
      <c r="N55" s="56"/>
      <c r="O55" s="56"/>
      <c r="P55" s="58"/>
      <c r="Q55" s="56"/>
    </row>
    <row r="56" ht="20" customHeight="1" spans="2:17">
      <c r="B56" s="42"/>
      <c r="C56" s="42"/>
      <c r="D56" s="42"/>
      <c r="E56" s="100"/>
      <c r="F56" s="100"/>
      <c r="G56" s="56"/>
      <c r="H56" s="56"/>
      <c r="I56" s="56"/>
      <c r="J56" s="56"/>
      <c r="K56" s="56"/>
      <c r="L56" s="56"/>
      <c r="M56" s="56"/>
      <c r="N56" s="56"/>
      <c r="O56" s="56"/>
      <c r="P56" s="58"/>
      <c r="Q56" s="56"/>
    </row>
    <row r="57" ht="20" customHeight="1" spans="2:17">
      <c r="B57" s="42"/>
      <c r="C57" s="42"/>
      <c r="D57" s="42"/>
      <c r="E57" s="104"/>
      <c r="F57" s="100"/>
      <c r="G57" s="56"/>
      <c r="H57" s="56"/>
      <c r="I57" s="56"/>
      <c r="J57" s="56"/>
      <c r="K57" s="56"/>
      <c r="L57" s="56"/>
      <c r="M57" s="56"/>
      <c r="N57" s="56"/>
      <c r="O57" s="56"/>
      <c r="P57" s="58"/>
      <c r="Q57" s="56"/>
    </row>
    <row r="58" ht="20" customHeight="1" spans="2:17">
      <c r="B58" s="42"/>
      <c r="C58" s="42"/>
      <c r="D58" s="42"/>
      <c r="E58" s="104"/>
      <c r="F58" s="100"/>
      <c r="G58" s="56"/>
      <c r="H58" s="56"/>
      <c r="I58" s="56"/>
      <c r="J58" s="56"/>
      <c r="K58" s="56"/>
      <c r="L58" s="56"/>
      <c r="M58" s="56"/>
      <c r="N58" s="56"/>
      <c r="O58" s="56"/>
      <c r="P58" s="58"/>
      <c r="Q58" s="56"/>
    </row>
    <row r="59" ht="20" customHeight="1" spans="2:17">
      <c r="B59" s="42"/>
      <c r="C59" s="42"/>
      <c r="D59" s="42"/>
      <c r="E59" s="100"/>
      <c r="F59" s="100"/>
      <c r="G59" s="56"/>
      <c r="H59" s="56"/>
      <c r="I59" s="56"/>
      <c r="J59" s="56"/>
      <c r="K59" s="56"/>
      <c r="L59" s="56"/>
      <c r="M59" s="56"/>
      <c r="N59" s="56"/>
      <c r="O59" s="56"/>
      <c r="P59" s="58"/>
      <c r="Q59" s="56"/>
    </row>
    <row r="60" ht="20" customHeight="1" spans="2:17">
      <c r="B60" s="42"/>
      <c r="C60" s="42"/>
      <c r="D60" s="42"/>
      <c r="E60" s="104"/>
      <c r="F60" s="100"/>
      <c r="G60" s="56"/>
      <c r="H60" s="56"/>
      <c r="I60" s="56"/>
      <c r="J60" s="56"/>
      <c r="K60" s="56"/>
      <c r="L60" s="56"/>
      <c r="M60" s="56"/>
      <c r="N60" s="56"/>
      <c r="O60" s="56"/>
      <c r="P60" s="58"/>
      <c r="Q60" s="56"/>
    </row>
    <row r="61" ht="20" customHeight="1" spans="2:17">
      <c r="B61" s="42"/>
      <c r="C61" s="42"/>
      <c r="D61" s="42"/>
      <c r="E61" s="104"/>
      <c r="F61" s="100"/>
      <c r="G61" s="56"/>
      <c r="H61" s="56"/>
      <c r="I61" s="56"/>
      <c r="J61" s="56"/>
      <c r="K61" s="56"/>
      <c r="L61" s="56"/>
      <c r="M61" s="56"/>
      <c r="N61" s="56"/>
      <c r="O61" s="56"/>
      <c r="P61" s="58"/>
      <c r="Q61" s="56"/>
    </row>
    <row r="62" ht="20" customHeight="1" spans="2:17">
      <c r="B62" s="42"/>
      <c r="C62" s="42"/>
      <c r="D62" s="42"/>
      <c r="E62" s="100"/>
      <c r="F62" s="100"/>
      <c r="G62" s="56"/>
      <c r="H62" s="56"/>
      <c r="I62" s="56"/>
      <c r="J62" s="56"/>
      <c r="K62" s="56"/>
      <c r="L62" s="56"/>
      <c r="M62" s="56"/>
      <c r="N62" s="56"/>
      <c r="O62" s="56"/>
      <c r="P62" s="58"/>
      <c r="Q62" s="56"/>
    </row>
    <row r="63" ht="20" customHeight="1" spans="2:17">
      <c r="B63" s="42"/>
      <c r="C63" s="42"/>
      <c r="D63" s="42"/>
      <c r="E63" s="104"/>
      <c r="F63" s="100"/>
      <c r="G63" s="56"/>
      <c r="H63" s="56"/>
      <c r="I63" s="56"/>
      <c r="J63" s="56"/>
      <c r="K63" s="56"/>
      <c r="L63" s="56"/>
      <c r="M63" s="56"/>
      <c r="N63" s="56"/>
      <c r="O63" s="56"/>
      <c r="P63" s="58"/>
      <c r="Q63" s="56"/>
    </row>
    <row r="64" ht="20" customHeight="1" spans="2:17">
      <c r="B64" s="42"/>
      <c r="C64" s="42"/>
      <c r="D64" s="42"/>
      <c r="E64" s="104"/>
      <c r="F64" s="100"/>
      <c r="G64" s="56"/>
      <c r="H64" s="56"/>
      <c r="I64" s="56"/>
      <c r="J64" s="56"/>
      <c r="K64" s="56"/>
      <c r="L64" s="56"/>
      <c r="M64" s="56"/>
      <c r="N64" s="56"/>
      <c r="O64" s="56"/>
      <c r="P64" s="58"/>
      <c r="Q64" s="56"/>
    </row>
    <row r="65" ht="20" customHeight="1" spans="2:17">
      <c r="B65" s="42"/>
      <c r="C65" s="42"/>
      <c r="D65" s="42"/>
      <c r="E65" s="100"/>
      <c r="F65" s="100"/>
      <c r="G65" s="56"/>
      <c r="H65" s="56"/>
      <c r="I65" s="56"/>
      <c r="J65" s="56"/>
      <c r="K65" s="56"/>
      <c r="L65" s="56"/>
      <c r="M65" s="56"/>
      <c r="N65" s="56"/>
      <c r="O65" s="56"/>
      <c r="P65" s="58"/>
      <c r="Q65" s="56"/>
    </row>
    <row r="66" ht="20" customHeight="1" spans="2:17">
      <c r="B66" s="42"/>
      <c r="C66" s="42"/>
      <c r="D66" s="42"/>
      <c r="E66" s="104"/>
      <c r="F66" s="100"/>
      <c r="G66" s="56"/>
      <c r="H66" s="56"/>
      <c r="I66" s="56"/>
      <c r="J66" s="56"/>
      <c r="K66" s="56"/>
      <c r="L66" s="56"/>
      <c r="M66" s="56"/>
      <c r="N66" s="56"/>
      <c r="O66" s="56"/>
      <c r="P66" s="58"/>
      <c r="Q66" s="56"/>
    </row>
    <row r="67" ht="20" customHeight="1" spans="2:17">
      <c r="B67" s="42"/>
      <c r="C67" s="42"/>
      <c r="D67" s="42"/>
      <c r="E67" s="104"/>
      <c r="F67" s="100"/>
      <c r="G67" s="56"/>
      <c r="H67" s="56"/>
      <c r="I67" s="56"/>
      <c r="J67" s="56"/>
      <c r="K67" s="56"/>
      <c r="L67" s="56"/>
      <c r="M67" s="56"/>
      <c r="N67" s="56"/>
      <c r="O67" s="56"/>
      <c r="P67" s="58"/>
      <c r="Q67" s="56"/>
    </row>
    <row r="68" ht="20" customHeight="1" spans="2:17">
      <c r="B68" s="42"/>
      <c r="C68" s="42"/>
      <c r="D68" s="42"/>
      <c r="E68" s="100"/>
      <c r="F68" s="100"/>
      <c r="G68" s="56"/>
      <c r="H68" s="56"/>
      <c r="I68" s="56"/>
      <c r="J68" s="56"/>
      <c r="K68" s="56"/>
      <c r="L68" s="56"/>
      <c r="M68" s="56"/>
      <c r="N68" s="56"/>
      <c r="O68" s="56"/>
      <c r="P68" s="58"/>
      <c r="Q68" s="56"/>
    </row>
    <row r="69" ht="20" customHeight="1" spans="2:17">
      <c r="B69" s="42"/>
      <c r="C69" s="42"/>
      <c r="D69" s="42"/>
      <c r="E69" s="104"/>
      <c r="F69" s="100"/>
      <c r="G69" s="56"/>
      <c r="H69" s="56"/>
      <c r="I69" s="56"/>
      <c r="J69" s="56"/>
      <c r="K69" s="56"/>
      <c r="L69" s="56"/>
      <c r="M69" s="56"/>
      <c r="N69" s="56"/>
      <c r="O69" s="56"/>
      <c r="P69" s="58"/>
      <c r="Q69" s="56"/>
    </row>
    <row r="70" ht="20" customHeight="1" spans="2:17">
      <c r="B70" s="42"/>
      <c r="C70" s="42"/>
      <c r="D70" s="42"/>
      <c r="E70" s="104"/>
      <c r="F70" s="100"/>
      <c r="G70" s="56"/>
      <c r="H70" s="56"/>
      <c r="I70" s="56"/>
      <c r="J70" s="56"/>
      <c r="K70" s="56"/>
      <c r="L70" s="56"/>
      <c r="M70" s="56"/>
      <c r="N70" s="56"/>
      <c r="O70" s="56"/>
      <c r="P70" s="58"/>
      <c r="Q70" s="56"/>
    </row>
    <row r="71" ht="20" customHeight="1" spans="2:17">
      <c r="B71" s="42"/>
      <c r="C71" s="42"/>
      <c r="D71" s="42"/>
      <c r="E71" s="100"/>
      <c r="F71" s="100"/>
      <c r="G71" s="56"/>
      <c r="H71" s="56"/>
      <c r="I71" s="56"/>
      <c r="J71" s="56"/>
      <c r="K71" s="56"/>
      <c r="L71" s="56"/>
      <c r="M71" s="56"/>
      <c r="N71" s="56"/>
      <c r="O71" s="56"/>
      <c r="P71" s="58"/>
      <c r="Q71" s="56"/>
    </row>
    <row r="72" ht="20" customHeight="1" spans="2:17">
      <c r="B72" s="42"/>
      <c r="C72" s="42"/>
      <c r="D72" s="42"/>
      <c r="E72" s="104"/>
      <c r="F72" s="100"/>
      <c r="G72" s="56"/>
      <c r="H72" s="56"/>
      <c r="I72" s="56"/>
      <c r="J72" s="56"/>
      <c r="K72" s="56"/>
      <c r="L72" s="56"/>
      <c r="M72" s="56"/>
      <c r="N72" s="56"/>
      <c r="O72" s="56"/>
      <c r="P72" s="58"/>
      <c r="Q72" s="56"/>
    </row>
    <row r="73" ht="20" customHeight="1" spans="2:17">
      <c r="B73" s="42"/>
      <c r="C73" s="42"/>
      <c r="D73" s="42"/>
      <c r="E73" s="104"/>
      <c r="F73" s="100"/>
      <c r="G73" s="56"/>
      <c r="H73" s="56"/>
      <c r="I73" s="56"/>
      <c r="J73" s="56"/>
      <c r="K73" s="56"/>
      <c r="L73" s="56"/>
      <c r="M73" s="56"/>
      <c r="N73" s="56"/>
      <c r="O73" s="56"/>
      <c r="P73" s="58"/>
      <c r="Q73" s="56"/>
    </row>
    <row r="74" ht="20" customHeight="1" spans="2:17">
      <c r="B74" s="42"/>
      <c r="C74" s="42"/>
      <c r="D74" s="42"/>
      <c r="E74" s="100"/>
      <c r="F74" s="100"/>
      <c r="G74" s="56"/>
      <c r="H74" s="56"/>
      <c r="I74" s="56"/>
      <c r="J74" s="56"/>
      <c r="K74" s="56"/>
      <c r="L74" s="56"/>
      <c r="M74" s="56"/>
      <c r="N74" s="56"/>
      <c r="O74" s="56"/>
      <c r="P74" s="58"/>
      <c r="Q74" s="56"/>
    </row>
    <row r="75" ht="20" customHeight="1" spans="2:17">
      <c r="B75" s="42"/>
      <c r="C75" s="42"/>
      <c r="D75" s="42"/>
      <c r="E75" s="104"/>
      <c r="F75" s="100"/>
      <c r="G75" s="56"/>
      <c r="H75" s="56"/>
      <c r="I75" s="56"/>
      <c r="J75" s="56"/>
      <c r="K75" s="56"/>
      <c r="L75" s="56"/>
      <c r="M75" s="56"/>
      <c r="N75" s="56"/>
      <c r="O75" s="56"/>
      <c r="P75" s="58"/>
      <c r="Q75" s="56"/>
    </row>
    <row r="76" ht="20" customHeight="1" spans="2:17">
      <c r="B76" s="42"/>
      <c r="C76" s="42"/>
      <c r="D76" s="42"/>
      <c r="E76" s="104"/>
      <c r="F76" s="100"/>
      <c r="G76" s="56"/>
      <c r="H76" s="56"/>
      <c r="I76" s="56"/>
      <c r="J76" s="56"/>
      <c r="K76" s="56"/>
      <c r="L76" s="56"/>
      <c r="M76" s="56"/>
      <c r="N76" s="56"/>
      <c r="O76" s="56"/>
      <c r="P76" s="58"/>
      <c r="Q76" s="56"/>
    </row>
    <row r="77" ht="20" customHeight="1" spans="2:17">
      <c r="B77" s="42"/>
      <c r="C77" s="42"/>
      <c r="D77" s="42"/>
      <c r="E77" s="100"/>
      <c r="F77" s="100"/>
      <c r="G77" s="56"/>
      <c r="H77" s="56"/>
      <c r="I77" s="56"/>
      <c r="J77" s="56"/>
      <c r="K77" s="56"/>
      <c r="L77" s="56"/>
      <c r="M77" s="56"/>
      <c r="N77" s="56"/>
      <c r="O77" s="56"/>
      <c r="P77" s="58"/>
      <c r="Q77" s="56"/>
    </row>
    <row r="78" ht="20" customHeight="1" spans="2:17">
      <c r="B78" s="42"/>
      <c r="C78" s="42"/>
      <c r="D78" s="42"/>
      <c r="E78" s="104"/>
      <c r="F78" s="100"/>
      <c r="G78" s="56"/>
      <c r="H78" s="56"/>
      <c r="I78" s="56"/>
      <c r="J78" s="56"/>
      <c r="K78" s="56"/>
      <c r="L78" s="56"/>
      <c r="M78" s="56"/>
      <c r="N78" s="56"/>
      <c r="O78" s="56"/>
      <c r="P78" s="58"/>
      <c r="Q78" s="56"/>
    </row>
    <row r="79" ht="20" customHeight="1" spans="2:17">
      <c r="B79" s="42"/>
      <c r="C79" s="42"/>
      <c r="D79" s="42"/>
      <c r="E79" s="104"/>
      <c r="F79" s="100"/>
      <c r="G79" s="56"/>
      <c r="H79" s="56"/>
      <c r="I79" s="56"/>
      <c r="J79" s="56"/>
      <c r="K79" s="56"/>
      <c r="L79" s="56"/>
      <c r="M79" s="56"/>
      <c r="N79" s="56"/>
      <c r="O79" s="56"/>
      <c r="P79" s="58"/>
      <c r="Q79" s="56"/>
    </row>
    <row r="80" ht="20" customHeight="1" spans="2:17">
      <c r="B80" s="42"/>
      <c r="C80" s="42"/>
      <c r="D80" s="42"/>
      <c r="E80" s="100"/>
      <c r="F80" s="100"/>
      <c r="G80" s="56"/>
      <c r="H80" s="56"/>
      <c r="I80" s="56"/>
      <c r="J80" s="56"/>
      <c r="K80" s="56"/>
      <c r="L80" s="56"/>
      <c r="M80" s="56"/>
      <c r="N80" s="56"/>
      <c r="O80" s="56"/>
      <c r="P80" s="58"/>
      <c r="Q80" s="56"/>
    </row>
    <row r="81" ht="20" customHeight="1" spans="2:17">
      <c r="B81" s="42"/>
      <c r="C81" s="42"/>
      <c r="D81" s="42"/>
      <c r="E81" s="104"/>
      <c r="F81" s="100"/>
      <c r="G81" s="56"/>
      <c r="H81" s="56"/>
      <c r="I81" s="56"/>
      <c r="J81" s="56"/>
      <c r="K81" s="56"/>
      <c r="L81" s="56"/>
      <c r="M81" s="56"/>
      <c r="N81" s="56"/>
      <c r="O81" s="56"/>
      <c r="P81" s="58"/>
      <c r="Q81" s="56"/>
    </row>
    <row r="82" ht="20" customHeight="1" spans="2:17">
      <c r="B82" s="42"/>
      <c r="C82" s="42"/>
      <c r="D82" s="42"/>
      <c r="E82" s="104"/>
      <c r="F82" s="100"/>
      <c r="G82" s="56"/>
      <c r="H82" s="56"/>
      <c r="I82" s="56"/>
      <c r="J82" s="56"/>
      <c r="K82" s="56"/>
      <c r="L82" s="56"/>
      <c r="M82" s="56"/>
      <c r="N82" s="56"/>
      <c r="O82" s="56"/>
      <c r="P82" s="58"/>
      <c r="Q82" s="56"/>
    </row>
    <row r="83" ht="20" customHeight="1" spans="2:17">
      <c r="B83" s="42"/>
      <c r="C83" s="42"/>
      <c r="D83" s="42"/>
      <c r="E83" s="100"/>
      <c r="F83" s="100"/>
      <c r="G83" s="56"/>
      <c r="H83" s="56"/>
      <c r="I83" s="56"/>
      <c r="J83" s="56"/>
      <c r="K83" s="56"/>
      <c r="L83" s="56"/>
      <c r="M83" s="56"/>
      <c r="N83" s="56"/>
      <c r="O83" s="56"/>
      <c r="P83" s="58"/>
      <c r="Q83" s="56"/>
    </row>
    <row r="84" ht="20" customHeight="1" spans="2:17">
      <c r="B84" s="42"/>
      <c r="C84" s="42"/>
      <c r="D84" s="42"/>
      <c r="E84" s="104"/>
      <c r="F84" s="100"/>
      <c r="G84" s="56"/>
      <c r="H84" s="56"/>
      <c r="I84" s="56"/>
      <c r="J84" s="56"/>
      <c r="K84" s="56"/>
      <c r="L84" s="56"/>
      <c r="M84" s="56"/>
      <c r="N84" s="56"/>
      <c r="O84" s="56"/>
      <c r="P84" s="58"/>
      <c r="Q84" s="56"/>
    </row>
    <row r="85" ht="20" customHeight="1" spans="2:17">
      <c r="B85" s="42"/>
      <c r="C85" s="42"/>
      <c r="D85" s="42"/>
      <c r="E85" s="104"/>
      <c r="F85" s="100"/>
      <c r="G85" s="56"/>
      <c r="H85" s="56"/>
      <c r="I85" s="56"/>
      <c r="J85" s="56"/>
      <c r="K85" s="56"/>
      <c r="L85" s="56"/>
      <c r="M85" s="56"/>
      <c r="N85" s="56"/>
      <c r="O85" s="56"/>
      <c r="P85" s="58"/>
      <c r="Q85" s="56"/>
    </row>
    <row r="86" ht="20" customHeight="1" spans="2:17">
      <c r="B86" s="42"/>
      <c r="C86" s="42"/>
      <c r="D86" s="42"/>
      <c r="E86" s="100"/>
      <c r="F86" s="100"/>
      <c r="G86" s="56"/>
      <c r="H86" s="56"/>
      <c r="I86" s="56"/>
      <c r="J86" s="56"/>
      <c r="K86" s="56"/>
      <c r="L86" s="56"/>
      <c r="M86" s="56"/>
      <c r="N86" s="56"/>
      <c r="O86" s="56"/>
      <c r="P86" s="58"/>
      <c r="Q86" s="56"/>
    </row>
    <row r="87" ht="20" customHeight="1" spans="2:17">
      <c r="B87" s="42"/>
      <c r="C87" s="42"/>
      <c r="D87" s="42"/>
      <c r="E87" s="104"/>
      <c r="F87" s="100"/>
      <c r="G87" s="56"/>
      <c r="H87" s="56"/>
      <c r="I87" s="56"/>
      <c r="J87" s="56"/>
      <c r="K87" s="56"/>
      <c r="L87" s="56"/>
      <c r="M87" s="56"/>
      <c r="N87" s="56"/>
      <c r="O87" s="56"/>
      <c r="P87" s="58"/>
      <c r="Q87" s="56"/>
    </row>
    <row r="88" ht="20" customHeight="1" spans="2:17">
      <c r="B88" s="42"/>
      <c r="C88" s="42"/>
      <c r="D88" s="42"/>
      <c r="E88" s="104"/>
      <c r="F88" s="100"/>
      <c r="G88" s="56"/>
      <c r="H88" s="56"/>
      <c r="I88" s="56"/>
      <c r="J88" s="56"/>
      <c r="K88" s="56"/>
      <c r="L88" s="56"/>
      <c r="M88" s="56"/>
      <c r="N88" s="56"/>
      <c r="O88" s="56"/>
      <c r="P88" s="58"/>
      <c r="Q88" s="56"/>
    </row>
    <row r="89" ht="20" customHeight="1" spans="2:17">
      <c r="B89" s="42"/>
      <c r="C89" s="42"/>
      <c r="D89" s="42"/>
      <c r="E89" s="100"/>
      <c r="F89" s="100"/>
      <c r="G89" s="56"/>
      <c r="H89" s="56"/>
      <c r="I89" s="56"/>
      <c r="J89" s="56"/>
      <c r="K89" s="56"/>
      <c r="L89" s="56"/>
      <c r="M89" s="56"/>
      <c r="N89" s="56"/>
      <c r="O89" s="56"/>
      <c r="P89" s="58"/>
      <c r="Q89" s="56"/>
    </row>
    <row r="90" ht="20" customHeight="1" spans="2:17">
      <c r="B90" s="42"/>
      <c r="C90" s="42"/>
      <c r="D90" s="42"/>
      <c r="E90" s="104"/>
      <c r="F90" s="100"/>
      <c r="G90" s="56"/>
      <c r="H90" s="56"/>
      <c r="I90" s="56"/>
      <c r="J90" s="56"/>
      <c r="K90" s="56"/>
      <c r="L90" s="56"/>
      <c r="M90" s="56"/>
      <c r="N90" s="56"/>
      <c r="O90" s="56"/>
      <c r="P90" s="58"/>
      <c r="Q90" s="56"/>
    </row>
    <row r="91" ht="20" customHeight="1" spans="2:17">
      <c r="B91" s="42"/>
      <c r="C91" s="42"/>
      <c r="D91" s="42"/>
      <c r="E91" s="104"/>
      <c r="F91" s="100"/>
      <c r="G91" s="56"/>
      <c r="H91" s="56"/>
      <c r="I91" s="56"/>
      <c r="J91" s="56"/>
      <c r="K91" s="56"/>
      <c r="L91" s="56"/>
      <c r="M91" s="56"/>
      <c r="N91" s="56"/>
      <c r="O91" s="56"/>
      <c r="P91" s="58"/>
      <c r="Q91" s="56"/>
    </row>
    <row r="92" ht="20" customHeight="1" spans="2:17">
      <c r="B92" s="42"/>
      <c r="C92" s="42"/>
      <c r="D92" s="42"/>
      <c r="E92" s="100"/>
      <c r="F92" s="100"/>
      <c r="G92" s="56"/>
      <c r="H92" s="56"/>
      <c r="I92" s="56"/>
      <c r="J92" s="56"/>
      <c r="K92" s="56"/>
      <c r="L92" s="56"/>
      <c r="M92" s="56"/>
      <c r="N92" s="56"/>
      <c r="O92" s="56"/>
      <c r="P92" s="58"/>
      <c r="Q92" s="56"/>
    </row>
    <row r="93" ht="20" customHeight="1" spans="2:17">
      <c r="B93" s="42"/>
      <c r="C93" s="42"/>
      <c r="D93" s="42"/>
      <c r="E93" s="104"/>
      <c r="F93" s="100"/>
      <c r="G93" s="56"/>
      <c r="H93" s="56"/>
      <c r="I93" s="56"/>
      <c r="J93" s="56"/>
      <c r="K93" s="56"/>
      <c r="L93" s="56"/>
      <c r="M93" s="56"/>
      <c r="N93" s="56"/>
      <c r="O93" s="56"/>
      <c r="P93" s="58"/>
      <c r="Q93" s="56"/>
    </row>
    <row r="94" ht="20" customHeight="1" spans="2:17">
      <c r="B94" s="42"/>
      <c r="C94" s="42"/>
      <c r="D94" s="42"/>
      <c r="E94" s="104"/>
      <c r="F94" s="100"/>
      <c r="G94" s="56"/>
      <c r="H94" s="56"/>
      <c r="I94" s="56"/>
      <c r="J94" s="56"/>
      <c r="K94" s="56"/>
      <c r="L94" s="56"/>
      <c r="M94" s="56"/>
      <c r="N94" s="56"/>
      <c r="O94" s="56"/>
      <c r="P94" s="58"/>
      <c r="Q94" s="56"/>
    </row>
    <row r="95" ht="20" customHeight="1" spans="2:17">
      <c r="B95" s="42"/>
      <c r="C95" s="42"/>
      <c r="D95" s="42"/>
      <c r="E95" s="100"/>
      <c r="F95" s="100"/>
      <c r="G95" s="56"/>
      <c r="H95" s="56"/>
      <c r="I95" s="56"/>
      <c r="J95" s="56"/>
      <c r="K95" s="56"/>
      <c r="L95" s="56"/>
      <c r="M95" s="56"/>
      <c r="N95" s="56"/>
      <c r="O95" s="56"/>
      <c r="P95" s="58"/>
      <c r="Q95" s="56"/>
    </row>
    <row r="96" ht="20" customHeight="1" spans="2:17">
      <c r="B96" s="42"/>
      <c r="C96" s="42"/>
      <c r="D96" s="42"/>
      <c r="E96" s="104"/>
      <c r="F96" s="100"/>
      <c r="G96" s="56"/>
      <c r="H96" s="56"/>
      <c r="I96" s="56"/>
      <c r="J96" s="56"/>
      <c r="K96" s="56"/>
      <c r="L96" s="56"/>
      <c r="M96" s="56"/>
      <c r="N96" s="56"/>
      <c r="O96" s="56"/>
      <c r="P96" s="58"/>
      <c r="Q96" s="56"/>
    </row>
    <row r="97" ht="20" customHeight="1" spans="2:17">
      <c r="B97" s="42"/>
      <c r="C97" s="42"/>
      <c r="D97" s="42"/>
      <c r="E97" s="104"/>
      <c r="F97" s="100"/>
      <c r="G97" s="56"/>
      <c r="H97" s="56"/>
      <c r="I97" s="56"/>
      <c r="J97" s="56"/>
      <c r="K97" s="56"/>
      <c r="L97" s="56"/>
      <c r="M97" s="56"/>
      <c r="N97" s="56"/>
      <c r="O97" s="56"/>
      <c r="P97" s="58"/>
      <c r="Q97" s="56"/>
    </row>
    <row r="98" ht="20" customHeight="1" spans="2:17">
      <c r="B98" s="42"/>
      <c r="C98" s="42"/>
      <c r="D98" s="42"/>
      <c r="E98" s="100"/>
      <c r="F98" s="100"/>
      <c r="G98" s="56"/>
      <c r="H98" s="56"/>
      <c r="I98" s="56"/>
      <c r="J98" s="56"/>
      <c r="K98" s="56"/>
      <c r="L98" s="56"/>
      <c r="M98" s="56"/>
      <c r="N98" s="56"/>
      <c r="O98" s="56"/>
      <c r="P98" s="58"/>
      <c r="Q98" s="56"/>
    </row>
    <row r="99" ht="20" customHeight="1" spans="2:17">
      <c r="B99" s="42"/>
      <c r="C99" s="42"/>
      <c r="D99" s="42"/>
      <c r="E99" s="104"/>
      <c r="F99" s="100"/>
      <c r="G99" s="56"/>
      <c r="H99" s="56"/>
      <c r="I99" s="56"/>
      <c r="J99" s="56"/>
      <c r="K99" s="56"/>
      <c r="L99" s="56"/>
      <c r="M99" s="56"/>
      <c r="N99" s="56"/>
      <c r="O99" s="56"/>
      <c r="P99" s="58"/>
      <c r="Q99" s="56"/>
    </row>
    <row r="100" ht="20" customHeight="1" spans="2:17">
      <c r="B100" s="42"/>
      <c r="C100" s="42"/>
      <c r="D100" s="42"/>
      <c r="E100" s="104"/>
      <c r="F100" s="100"/>
      <c r="G100" s="56"/>
      <c r="H100" s="56"/>
      <c r="I100" s="56"/>
      <c r="J100" s="56"/>
      <c r="K100" s="56"/>
      <c r="L100" s="56"/>
      <c r="M100" s="56"/>
      <c r="N100" s="56"/>
      <c r="O100" s="56"/>
      <c r="P100" s="58"/>
      <c r="Q100" s="56"/>
    </row>
    <row r="101" ht="20" customHeight="1" spans="2:17">
      <c r="B101" s="42"/>
      <c r="C101" s="42"/>
      <c r="D101" s="42"/>
      <c r="E101" s="100"/>
      <c r="F101" s="100"/>
      <c r="G101" s="56"/>
      <c r="H101" s="56"/>
      <c r="I101" s="56"/>
      <c r="J101" s="56"/>
      <c r="K101" s="56"/>
      <c r="L101" s="56"/>
      <c r="M101" s="56"/>
      <c r="N101" s="56"/>
      <c r="O101" s="56"/>
      <c r="P101" s="58"/>
      <c r="Q101" s="56"/>
    </row>
    <row r="102" ht="20" customHeight="1" spans="2:17">
      <c r="B102" s="42"/>
      <c r="C102" s="42"/>
      <c r="D102" s="42"/>
      <c r="E102" s="104"/>
      <c r="F102" s="100"/>
      <c r="G102" s="56"/>
      <c r="H102" s="56"/>
      <c r="I102" s="56"/>
      <c r="J102" s="56"/>
      <c r="K102" s="56"/>
      <c r="L102" s="56"/>
      <c r="M102" s="56"/>
      <c r="N102" s="56"/>
      <c r="O102" s="56"/>
      <c r="P102" s="58"/>
      <c r="Q102" s="56"/>
    </row>
    <row r="103" ht="20" customHeight="1" spans="2:17">
      <c r="B103" s="42"/>
      <c r="C103" s="42"/>
      <c r="D103" s="42"/>
      <c r="E103" s="104"/>
      <c r="F103" s="100"/>
      <c r="G103" s="56"/>
      <c r="H103" s="56"/>
      <c r="I103" s="56"/>
      <c r="J103" s="56"/>
      <c r="K103" s="56"/>
      <c r="L103" s="56"/>
      <c r="M103" s="56"/>
      <c r="N103" s="56"/>
      <c r="O103" s="56"/>
      <c r="P103" s="58"/>
      <c r="Q103" s="56"/>
    </row>
    <row r="104" ht="20" customHeight="1" spans="2:17">
      <c r="B104" s="42"/>
      <c r="C104" s="42"/>
      <c r="D104" s="42"/>
      <c r="E104" s="100"/>
      <c r="F104" s="100"/>
      <c r="G104" s="56"/>
      <c r="H104" s="56"/>
      <c r="I104" s="56"/>
      <c r="J104" s="56"/>
      <c r="K104" s="56"/>
      <c r="L104" s="56"/>
      <c r="M104" s="56"/>
      <c r="N104" s="56"/>
      <c r="O104" s="56"/>
      <c r="P104" s="58"/>
      <c r="Q104" s="56"/>
    </row>
    <row r="105" ht="20" customHeight="1" spans="2:17">
      <c r="B105" s="42"/>
      <c r="C105" s="42"/>
      <c r="D105" s="42"/>
      <c r="E105" s="104"/>
      <c r="F105" s="100"/>
      <c r="G105" s="56"/>
      <c r="H105" s="56"/>
      <c r="I105" s="56"/>
      <c r="J105" s="56"/>
      <c r="K105" s="56"/>
      <c r="L105" s="56"/>
      <c r="M105" s="56"/>
      <c r="N105" s="56"/>
      <c r="O105" s="56"/>
      <c r="P105" s="58"/>
      <c r="Q105" s="56"/>
    </row>
    <row r="106" ht="20" customHeight="1" spans="2:17">
      <c r="B106" s="42"/>
      <c r="C106" s="42"/>
      <c r="D106" s="42"/>
      <c r="E106" s="104"/>
      <c r="F106" s="100"/>
      <c r="G106" s="56"/>
      <c r="H106" s="56"/>
      <c r="I106" s="56"/>
      <c r="J106" s="56"/>
      <c r="K106" s="56"/>
      <c r="L106" s="56"/>
      <c r="M106" s="56"/>
      <c r="N106" s="56"/>
      <c r="O106" s="56"/>
      <c r="P106" s="58"/>
      <c r="Q106" s="56"/>
    </row>
    <row r="107" ht="20" customHeight="1" spans="2:17">
      <c r="B107" s="42"/>
      <c r="C107" s="42"/>
      <c r="D107" s="42"/>
      <c r="E107" s="100"/>
      <c r="F107" s="100"/>
      <c r="G107" s="56"/>
      <c r="H107" s="56"/>
      <c r="I107" s="56"/>
      <c r="J107" s="56"/>
      <c r="K107" s="56"/>
      <c r="L107" s="56"/>
      <c r="M107" s="56"/>
      <c r="N107" s="56"/>
      <c r="O107" s="56"/>
      <c r="P107" s="58"/>
      <c r="Q107" s="56"/>
    </row>
    <row r="108" ht="20" customHeight="1" spans="2:17">
      <c r="B108" s="42"/>
      <c r="C108" s="42"/>
      <c r="D108" s="42"/>
      <c r="E108" s="104"/>
      <c r="F108" s="100"/>
      <c r="G108" s="56"/>
      <c r="H108" s="56"/>
      <c r="I108" s="56"/>
      <c r="J108" s="56"/>
      <c r="K108" s="56"/>
      <c r="L108" s="56"/>
      <c r="M108" s="56"/>
      <c r="N108" s="56"/>
      <c r="O108" s="56"/>
      <c r="P108" s="58"/>
      <c r="Q108" s="56"/>
    </row>
    <row r="109" ht="20" customHeight="1" spans="2:17">
      <c r="B109" s="42"/>
      <c r="C109" s="42"/>
      <c r="D109" s="42"/>
      <c r="E109" s="104"/>
      <c r="F109" s="100"/>
      <c r="G109" s="56"/>
      <c r="H109" s="56"/>
      <c r="I109" s="56"/>
      <c r="J109" s="56"/>
      <c r="K109" s="56"/>
      <c r="L109" s="56"/>
      <c r="M109" s="56"/>
      <c r="N109" s="56"/>
      <c r="O109" s="56"/>
      <c r="P109" s="58"/>
      <c r="Q109" s="56"/>
    </row>
    <row r="110" ht="20" customHeight="1" spans="2:17">
      <c r="B110" s="42"/>
      <c r="C110" s="42"/>
      <c r="D110" s="42"/>
      <c r="E110" s="100"/>
      <c r="F110" s="100"/>
      <c r="G110" s="56"/>
      <c r="H110" s="56"/>
      <c r="I110" s="56"/>
      <c r="J110" s="56"/>
      <c r="K110" s="56"/>
      <c r="L110" s="56"/>
      <c r="M110" s="56"/>
      <c r="N110" s="56"/>
      <c r="O110" s="56"/>
      <c r="P110" s="58"/>
      <c r="Q110" s="56"/>
    </row>
    <row r="111" ht="20" customHeight="1" spans="2:17">
      <c r="B111" s="42"/>
      <c r="C111" s="42"/>
      <c r="D111" s="42"/>
      <c r="E111" s="104"/>
      <c r="F111" s="100"/>
      <c r="G111" s="56"/>
      <c r="H111" s="56"/>
      <c r="I111" s="56"/>
      <c r="J111" s="56"/>
      <c r="K111" s="56"/>
      <c r="L111" s="56"/>
      <c r="M111" s="56"/>
      <c r="N111" s="56"/>
      <c r="O111" s="56"/>
      <c r="P111" s="58"/>
      <c r="Q111" s="56"/>
    </row>
    <row r="112" ht="20" customHeight="1" spans="2:17">
      <c r="B112" s="42"/>
      <c r="C112" s="42"/>
      <c r="D112" s="42"/>
      <c r="E112" s="104"/>
      <c r="F112" s="100"/>
      <c r="G112" s="56"/>
      <c r="H112" s="56"/>
      <c r="I112" s="56"/>
      <c r="J112" s="56"/>
      <c r="K112" s="56"/>
      <c r="L112" s="56"/>
      <c r="M112" s="56"/>
      <c r="N112" s="56"/>
      <c r="O112" s="56"/>
      <c r="P112" s="58"/>
      <c r="Q112" s="56"/>
    </row>
    <row r="113" ht="20" customHeight="1" spans="2:17">
      <c r="B113" s="42"/>
      <c r="C113" s="42"/>
      <c r="D113" s="42"/>
      <c r="E113" s="100"/>
      <c r="F113" s="100"/>
      <c r="G113" s="56"/>
      <c r="H113" s="56"/>
      <c r="I113" s="56"/>
      <c r="J113" s="56"/>
      <c r="K113" s="56"/>
      <c r="L113" s="56"/>
      <c r="M113" s="56"/>
      <c r="N113" s="56"/>
      <c r="O113" s="56"/>
      <c r="P113" s="58"/>
      <c r="Q113" s="56"/>
    </row>
    <row r="114" ht="20" customHeight="1" spans="2:17">
      <c r="B114" s="42"/>
      <c r="C114" s="42"/>
      <c r="D114" s="42"/>
      <c r="E114" s="104"/>
      <c r="F114" s="100"/>
      <c r="G114" s="56"/>
      <c r="H114" s="56"/>
      <c r="I114" s="56"/>
      <c r="J114" s="56"/>
      <c r="K114" s="56"/>
      <c r="L114" s="56"/>
      <c r="M114" s="56"/>
      <c r="N114" s="56"/>
      <c r="O114" s="56"/>
      <c r="P114" s="58"/>
      <c r="Q114" s="56"/>
    </row>
    <row r="115" ht="20" customHeight="1" spans="2:17">
      <c r="B115" s="42"/>
      <c r="C115" s="42"/>
      <c r="D115" s="42"/>
      <c r="E115" s="104"/>
      <c r="F115" s="100"/>
      <c r="G115" s="56"/>
      <c r="H115" s="56"/>
      <c r="I115" s="56"/>
      <c r="J115" s="56"/>
      <c r="K115" s="56"/>
      <c r="L115" s="56"/>
      <c r="M115" s="56"/>
      <c r="N115" s="56"/>
      <c r="O115" s="56"/>
      <c r="P115" s="58"/>
      <c r="Q115" s="56"/>
    </row>
    <row r="116" ht="20" customHeight="1" spans="2:17">
      <c r="B116" s="42"/>
      <c r="C116" s="42"/>
      <c r="D116" s="42"/>
      <c r="E116" s="100"/>
      <c r="F116" s="100"/>
      <c r="G116" s="56"/>
      <c r="H116" s="56"/>
      <c r="I116" s="56"/>
      <c r="J116" s="56"/>
      <c r="K116" s="56"/>
      <c r="L116" s="56"/>
      <c r="M116" s="56"/>
      <c r="N116" s="56"/>
      <c r="O116" s="56"/>
      <c r="P116" s="58"/>
      <c r="Q116" s="56"/>
    </row>
    <row r="117" ht="20" customHeight="1" spans="2:17">
      <c r="B117" s="42"/>
      <c r="C117" s="42"/>
      <c r="D117" s="42"/>
      <c r="E117" s="104"/>
      <c r="F117" s="100"/>
      <c r="G117" s="56"/>
      <c r="H117" s="56"/>
      <c r="I117" s="56"/>
      <c r="J117" s="56"/>
      <c r="K117" s="56"/>
      <c r="L117" s="56"/>
      <c r="M117" s="56"/>
      <c r="N117" s="56"/>
      <c r="O117" s="56"/>
      <c r="P117" s="58"/>
      <c r="Q117" s="56"/>
    </row>
    <row r="118" ht="20" customHeight="1" spans="2:17">
      <c r="B118" s="42"/>
      <c r="C118" s="42"/>
      <c r="D118" s="42"/>
      <c r="E118" s="104"/>
      <c r="F118" s="100"/>
      <c r="G118" s="56"/>
      <c r="H118" s="56"/>
      <c r="I118" s="56"/>
      <c r="J118" s="56"/>
      <c r="K118" s="56"/>
      <c r="L118" s="56"/>
      <c r="M118" s="56"/>
      <c r="N118" s="56"/>
      <c r="O118" s="56"/>
      <c r="P118" s="58"/>
      <c r="Q118" s="56"/>
    </row>
  </sheetData>
  <autoFilter xmlns:etc="http://www.wps.cn/officeDocument/2017/etCustomData" ref="A4:W58" etc:filterBottomFollowUsedRange="0">
    <extLst/>
  </autoFilter>
  <mergeCells count="4">
    <mergeCell ref="B1:Q1"/>
    <mergeCell ref="G3:N3"/>
    <mergeCell ref="O3:O4"/>
    <mergeCell ref="P3:P4"/>
  </mergeCells>
  <dataValidations count="1">
    <dataValidation type="list" allowBlank="1" showInputMessage="1" showErrorMessage="1" sqref="D5:D118">
      <formula1>付费项!$B$2:$B$95</formula1>
    </dataValidation>
  </dataValidations>
  <pageMargins left="0.7" right="0.7" top="0.75" bottom="0.75" header="0.3" footer="0.3"/>
  <pageSetup paperSize="9" orientation="portrait"/>
  <headerFooter/>
  <ignoredErrors>
    <ignoredError sqref="N7" formula="1"/>
  </ignoredError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24"/>
  <dimension ref="A1:Y1048576"/>
  <sheetViews>
    <sheetView workbookViewId="0">
      <pane xSplit="5" ySplit="5" topLeftCell="G310" activePane="bottomRight" state="frozen"/>
      <selection/>
      <selection pane="topRight"/>
      <selection pane="bottomLeft"/>
      <selection pane="bottomRight" activeCell="O327" sqref="O327"/>
    </sheetView>
  </sheetViews>
  <sheetFormatPr defaultColWidth="9" defaultRowHeight="13.5"/>
  <cols>
    <col min="1" max="1" width="5.375" style="3" customWidth="1"/>
    <col min="2" max="3" width="5.26666666666667" style="3" customWidth="1"/>
    <col min="4" max="4" width="11.25" style="3" customWidth="1"/>
    <col min="5" max="5" width="34.75" style="3" customWidth="1"/>
    <col min="6" max="6" width="45.875" style="3" customWidth="1"/>
    <col min="7" max="8" width="10.875" style="3" customWidth="1"/>
    <col min="9" max="9" width="9" style="3" customWidth="1"/>
    <col min="10" max="10" width="12.7083333333333" style="3" customWidth="1"/>
    <col min="11" max="12" width="9" style="3" customWidth="1"/>
    <col min="13" max="13" width="7.09166666666667" style="3" customWidth="1"/>
    <col min="14" max="14" width="9" style="3" customWidth="1"/>
    <col min="15" max="15" width="13" style="3" customWidth="1"/>
    <col min="16" max="17" width="12.5416666666667" style="3" customWidth="1"/>
    <col min="18" max="18" width="12.3666666666667" style="3" customWidth="1"/>
    <col min="19" max="19" width="31.0916666666667" style="3" customWidth="1"/>
    <col min="20" max="20" width="14.725" style="3"/>
    <col min="21" max="21" width="12.6333333333333" style="3"/>
    <col min="22" max="22" width="10.3666666666667" style="3"/>
    <col min="23" max="16384" width="9" style="3"/>
  </cols>
  <sheetData>
    <row r="1" ht="24.75" spans="1:25">
      <c r="A1" s="46" t="str">
        <f>HYPERLINK("#目录!a1","返回目录")</f>
        <v>返回目录</v>
      </c>
      <c r="B1" s="47" t="s">
        <v>3358</v>
      </c>
      <c r="C1" s="47"/>
      <c r="D1" s="47"/>
      <c r="E1" s="47"/>
      <c r="F1" s="47"/>
      <c r="G1" s="47"/>
      <c r="H1" s="47"/>
      <c r="I1" s="47"/>
      <c r="J1" s="47"/>
      <c r="K1" s="47"/>
      <c r="L1" s="47"/>
      <c r="M1" s="47"/>
      <c r="N1" s="47"/>
      <c r="O1" s="47"/>
      <c r="P1" s="47"/>
      <c r="Q1" s="47"/>
      <c r="R1" s="47"/>
      <c r="S1" s="47"/>
      <c r="T1" s="6"/>
      <c r="U1" s="6"/>
      <c r="V1" s="6"/>
      <c r="W1" s="6"/>
      <c r="X1" s="6"/>
      <c r="Y1" s="6"/>
    </row>
    <row r="2" ht="25.5" spans="1:25">
      <c r="B2" s="48"/>
      <c r="C2" s="48"/>
      <c r="D2" s="48"/>
      <c r="E2" s="48"/>
      <c r="F2" s="48"/>
      <c r="G2" s="48"/>
      <c r="H2" s="48"/>
      <c r="I2" s="48"/>
      <c r="J2" s="48"/>
      <c r="K2" s="48"/>
      <c r="L2" s="48"/>
      <c r="M2" s="48"/>
      <c r="N2" s="48"/>
      <c r="O2" s="48"/>
      <c r="P2" s="48"/>
      <c r="Q2" s="48"/>
      <c r="R2" s="48"/>
      <c r="S2" s="48"/>
      <c r="T2" s="6"/>
      <c r="U2" s="6"/>
      <c r="V2" s="6"/>
      <c r="W2" s="6"/>
      <c r="X2" s="6"/>
      <c r="Y2" s="6"/>
    </row>
    <row r="3" ht="14.25" spans="1:25">
      <c r="A3" s="46"/>
      <c r="B3" s="49"/>
      <c r="C3" s="49"/>
      <c r="D3" s="49"/>
      <c r="E3" s="49"/>
      <c r="F3" s="49"/>
      <c r="G3" s="50" t="s">
        <v>11</v>
      </c>
      <c r="H3" s="51"/>
      <c r="I3" s="51"/>
      <c r="J3" s="51"/>
      <c r="K3" s="51"/>
      <c r="L3" s="51"/>
      <c r="M3" s="51"/>
      <c r="N3" s="51"/>
      <c r="O3" s="52"/>
      <c r="P3" s="49" t="s">
        <v>12</v>
      </c>
      <c r="Q3" s="49" t="s">
        <v>13</v>
      </c>
      <c r="R3" s="49" t="s">
        <v>28</v>
      </c>
      <c r="S3" s="49"/>
    </row>
    <row r="4" ht="14.25" spans="1:25">
      <c r="B4" s="49" t="s">
        <v>6</v>
      </c>
      <c r="C4" s="49" t="s">
        <v>7</v>
      </c>
      <c r="D4" s="49"/>
      <c r="E4" s="49" t="s">
        <v>9</v>
      </c>
      <c r="F4" s="49" t="s">
        <v>10</v>
      </c>
      <c r="G4" s="49" t="s">
        <v>474</v>
      </c>
      <c r="H4" s="49" t="s">
        <v>475</v>
      </c>
      <c r="I4" s="49" t="s">
        <v>124</v>
      </c>
      <c r="J4" s="49" t="s">
        <v>68</v>
      </c>
      <c r="K4" s="49" t="s">
        <v>116</v>
      </c>
      <c r="L4" s="49" t="s">
        <v>3359</v>
      </c>
      <c r="M4" s="49" t="s">
        <v>477</v>
      </c>
      <c r="N4" s="49" t="s">
        <v>478</v>
      </c>
      <c r="O4" s="49" t="s">
        <v>11</v>
      </c>
      <c r="P4" s="53"/>
      <c r="Q4" s="53"/>
      <c r="R4" s="53"/>
      <c r="S4" s="49" t="s">
        <v>14</v>
      </c>
    </row>
    <row r="5" ht="20" customHeight="1" spans="1:25">
      <c r="B5" s="42"/>
      <c r="C5" s="42"/>
      <c r="D5" s="42"/>
      <c r="E5" s="44"/>
      <c r="F5" s="54" t="s">
        <v>15</v>
      </c>
      <c r="G5" s="55"/>
      <c r="H5" s="55"/>
      <c r="I5" s="55"/>
      <c r="J5" s="56"/>
      <c r="K5" s="56"/>
      <c r="L5" s="56"/>
      <c r="M5" s="56"/>
      <c r="N5" s="56"/>
      <c r="O5" s="57"/>
      <c r="P5" s="56"/>
      <c r="Q5" s="58">
        <v>0</v>
      </c>
      <c r="R5" s="58"/>
      <c r="S5" s="59"/>
    </row>
    <row r="6" ht="20.25" customHeight="1" spans="1:25">
      <c r="A6" s="7"/>
      <c r="B6" s="15">
        <v>2</v>
      </c>
      <c r="C6" s="15">
        <v>12</v>
      </c>
      <c r="D6" s="15" t="s">
        <v>69</v>
      </c>
      <c r="E6" s="16" t="s">
        <v>224</v>
      </c>
      <c r="F6" s="43" t="s">
        <v>3360</v>
      </c>
      <c r="G6" s="63"/>
      <c r="H6" s="63"/>
      <c r="I6" s="63"/>
      <c r="J6" s="63"/>
      <c r="K6" s="63"/>
      <c r="L6" s="63"/>
      <c r="M6" s="63"/>
      <c r="N6" s="63"/>
      <c r="O6" s="65">
        <v>400</v>
      </c>
      <c r="P6" s="63"/>
      <c r="Q6" s="61">
        <f t="shared" ref="Q6:Q19" si="0">Q5+O6-P6</f>
        <v>400</v>
      </c>
      <c r="R6" s="66"/>
      <c r="S6" s="67"/>
    </row>
    <row r="7" ht="20.25" customHeight="1" spans="1:25">
      <c r="A7" s="7"/>
      <c r="B7" s="15">
        <v>2</v>
      </c>
      <c r="C7" s="15">
        <v>12</v>
      </c>
      <c r="D7" s="15" t="s">
        <v>16</v>
      </c>
      <c r="E7" s="16" t="s">
        <v>3361</v>
      </c>
      <c r="F7" s="43" t="s">
        <v>3362</v>
      </c>
      <c r="G7" s="63"/>
      <c r="H7" s="63"/>
      <c r="I7" s="63"/>
      <c r="J7" s="63"/>
      <c r="K7" s="63"/>
      <c r="L7" s="63"/>
      <c r="M7" s="63"/>
      <c r="N7" s="63"/>
      <c r="O7" s="76"/>
      <c r="P7" s="65">
        <v>30.16</v>
      </c>
      <c r="Q7" s="61">
        <f t="shared" si="0"/>
        <v>369.84</v>
      </c>
      <c r="R7" s="66"/>
      <c r="S7" s="67"/>
    </row>
    <row r="8" ht="20.25" customHeight="1" spans="1:25">
      <c r="A8" s="7"/>
      <c r="B8" s="15">
        <v>2</v>
      </c>
      <c r="C8" s="15">
        <v>13</v>
      </c>
      <c r="D8" s="15" t="s">
        <v>16</v>
      </c>
      <c r="E8" s="16" t="s">
        <v>3361</v>
      </c>
      <c r="F8" s="43" t="s">
        <v>3363</v>
      </c>
      <c r="G8" s="63"/>
      <c r="H8" s="63"/>
      <c r="I8" s="63"/>
      <c r="J8" s="63"/>
      <c r="K8" s="63"/>
      <c r="L8" s="63"/>
      <c r="M8" s="63"/>
      <c r="N8" s="63"/>
      <c r="O8" s="76"/>
      <c r="P8" s="65">
        <v>360</v>
      </c>
      <c r="Q8" s="61">
        <f t="shared" si="0"/>
        <v>9.83999999999997</v>
      </c>
      <c r="R8" s="66"/>
      <c r="S8" s="67"/>
    </row>
    <row r="9" ht="20.25" customHeight="1" spans="1:25">
      <c r="A9" s="7"/>
      <c r="B9" s="15">
        <v>2</v>
      </c>
      <c r="C9" s="15">
        <v>13</v>
      </c>
      <c r="D9" s="15" t="s">
        <v>16</v>
      </c>
      <c r="E9" s="16" t="s">
        <v>3361</v>
      </c>
      <c r="F9" s="43" t="s">
        <v>478</v>
      </c>
      <c r="G9" s="63"/>
      <c r="H9" s="63"/>
      <c r="I9" s="63"/>
      <c r="J9" s="63"/>
      <c r="K9" s="63"/>
      <c r="L9" s="63"/>
      <c r="M9" s="63"/>
      <c r="N9" s="63"/>
      <c r="O9" s="76"/>
      <c r="P9" s="65">
        <v>4.5</v>
      </c>
      <c r="Q9" s="61">
        <f t="shared" si="0"/>
        <v>5.33999999999997</v>
      </c>
      <c r="R9" s="66"/>
      <c r="S9" s="67"/>
    </row>
    <row r="10" ht="20.25" customHeight="1" spans="1:25">
      <c r="A10" s="7"/>
      <c r="B10" s="15">
        <v>2</v>
      </c>
      <c r="C10" s="15">
        <v>13</v>
      </c>
      <c r="D10" s="15" t="s">
        <v>125</v>
      </c>
      <c r="E10" s="44" t="s">
        <v>3364</v>
      </c>
      <c r="F10" s="77" t="s">
        <v>3365</v>
      </c>
      <c r="G10" s="63"/>
      <c r="H10" s="63"/>
      <c r="I10" s="63"/>
      <c r="J10" s="63"/>
      <c r="K10" s="63"/>
      <c r="L10" s="63"/>
      <c r="M10" s="63"/>
      <c r="N10" s="63"/>
      <c r="O10" s="76"/>
      <c r="P10" s="76">
        <v>7711.74</v>
      </c>
      <c r="Q10" s="61">
        <f t="shared" si="0"/>
        <v>-7706.4</v>
      </c>
      <c r="R10" s="66"/>
      <c r="S10" s="67"/>
    </row>
    <row r="11" ht="20.25" customHeight="1" spans="1:25">
      <c r="A11" s="7"/>
      <c r="B11" s="15">
        <v>2</v>
      </c>
      <c r="C11" s="15">
        <v>13</v>
      </c>
      <c r="D11" s="15" t="s">
        <v>69</v>
      </c>
      <c r="E11" s="16" t="s">
        <v>2638</v>
      </c>
      <c r="F11" s="43" t="s">
        <v>3366</v>
      </c>
      <c r="G11" s="23"/>
      <c r="H11" s="23"/>
      <c r="I11" s="23"/>
      <c r="J11" s="23"/>
      <c r="K11" s="23"/>
      <c r="L11" s="23"/>
      <c r="M11" s="23"/>
      <c r="N11" s="23"/>
      <c r="O11" s="72">
        <v>41631.81</v>
      </c>
      <c r="P11" s="76"/>
      <c r="Q11" s="61">
        <f t="shared" si="0"/>
        <v>33925.41</v>
      </c>
      <c r="R11" s="66"/>
      <c r="S11" s="67"/>
    </row>
    <row r="12" ht="20.25" customHeight="1" spans="1:25">
      <c r="A12" s="7"/>
      <c r="B12" s="15">
        <v>2</v>
      </c>
      <c r="C12" s="15">
        <v>14</v>
      </c>
      <c r="D12" s="15" t="s">
        <v>69</v>
      </c>
      <c r="E12" s="16" t="s">
        <v>335</v>
      </c>
      <c r="F12" s="43" t="s">
        <v>3367</v>
      </c>
      <c r="G12" s="35"/>
      <c r="H12" s="35"/>
      <c r="I12" s="36"/>
      <c r="J12" s="35"/>
      <c r="K12" s="34"/>
      <c r="L12" s="34"/>
      <c r="M12" s="34"/>
      <c r="N12" s="34"/>
      <c r="O12" s="65">
        <v>17000</v>
      </c>
      <c r="P12" s="35"/>
      <c r="Q12" s="61">
        <f t="shared" si="0"/>
        <v>50925.41</v>
      </c>
      <c r="R12" s="66"/>
      <c r="S12" s="67"/>
    </row>
    <row r="13" ht="20.25" customHeight="1" spans="1:25">
      <c r="A13" s="7"/>
      <c r="B13" s="15">
        <v>2</v>
      </c>
      <c r="C13" s="15">
        <v>14</v>
      </c>
      <c r="D13" s="15" t="s">
        <v>16</v>
      </c>
      <c r="E13" s="16" t="s">
        <v>3361</v>
      </c>
      <c r="F13" s="43" t="s">
        <v>478</v>
      </c>
      <c r="G13" s="35"/>
      <c r="H13" s="35"/>
      <c r="I13" s="36"/>
      <c r="J13" s="35"/>
      <c r="K13" s="34"/>
      <c r="L13" s="34"/>
      <c r="M13" s="34"/>
      <c r="N13" s="34"/>
      <c r="O13" s="76"/>
      <c r="P13" s="65">
        <v>1</v>
      </c>
      <c r="Q13" s="61">
        <f t="shared" si="0"/>
        <v>50924.41</v>
      </c>
      <c r="R13" s="66"/>
      <c r="S13" s="67"/>
    </row>
    <row r="14" ht="20.25" customHeight="1" spans="1:25">
      <c r="A14" s="7"/>
      <c r="B14" s="15">
        <v>2</v>
      </c>
      <c r="C14" s="15">
        <v>14</v>
      </c>
      <c r="D14" s="15" t="s">
        <v>121</v>
      </c>
      <c r="E14" s="16" t="s">
        <v>3368</v>
      </c>
      <c r="F14" s="43" t="s">
        <v>3369</v>
      </c>
      <c r="G14" s="35"/>
      <c r="H14" s="35"/>
      <c r="I14" s="36"/>
      <c r="J14" s="35"/>
      <c r="K14" s="34"/>
      <c r="L14" s="34"/>
      <c r="M14" s="34"/>
      <c r="N14" s="34"/>
      <c r="O14" s="76"/>
      <c r="P14" s="76">
        <v>50000</v>
      </c>
      <c r="Q14" s="61">
        <f t="shared" si="0"/>
        <v>924.409999999996</v>
      </c>
      <c r="R14" s="66"/>
      <c r="S14" s="67"/>
    </row>
    <row r="15" ht="20.25" customHeight="1" spans="1:25">
      <c r="A15" s="7"/>
      <c r="B15" s="15">
        <v>2</v>
      </c>
      <c r="C15" s="15">
        <v>26</v>
      </c>
      <c r="D15" s="15" t="s">
        <v>69</v>
      </c>
      <c r="E15" s="16" t="s">
        <v>335</v>
      </c>
      <c r="F15" s="43" t="s">
        <v>3367</v>
      </c>
      <c r="G15" s="18"/>
      <c r="H15" s="18"/>
      <c r="I15" s="17"/>
      <c r="J15" s="18"/>
      <c r="K15" s="18"/>
      <c r="L15" s="18"/>
      <c r="M15" s="18"/>
      <c r="N15" s="18"/>
      <c r="O15" s="65">
        <v>160000</v>
      </c>
      <c r="P15" s="35"/>
      <c r="Q15" s="61">
        <f t="shared" si="0"/>
        <v>160924.41</v>
      </c>
      <c r="R15" s="66"/>
      <c r="S15" s="67"/>
    </row>
    <row r="16" ht="20.25" customHeight="1" spans="1:25">
      <c r="A16" s="7"/>
      <c r="B16" s="15">
        <v>2</v>
      </c>
      <c r="C16" s="15">
        <v>26</v>
      </c>
      <c r="D16" s="15" t="s">
        <v>16</v>
      </c>
      <c r="E16" s="16" t="s">
        <v>3361</v>
      </c>
      <c r="F16" s="43" t="s">
        <v>478</v>
      </c>
      <c r="G16" s="18"/>
      <c r="H16" s="18"/>
      <c r="I16" s="17"/>
      <c r="J16" s="18"/>
      <c r="K16" s="18"/>
      <c r="L16" s="18"/>
      <c r="M16" s="18"/>
      <c r="N16" s="18"/>
      <c r="O16" s="76"/>
      <c r="P16" s="65">
        <v>15</v>
      </c>
      <c r="Q16" s="61">
        <f t="shared" si="0"/>
        <v>160909.41</v>
      </c>
      <c r="R16" s="66"/>
      <c r="S16" s="67"/>
    </row>
    <row r="17" ht="20.25" customHeight="1" spans="1:22">
      <c r="A17" s="7"/>
      <c r="B17" s="15">
        <v>2</v>
      </c>
      <c r="C17" s="15">
        <v>26</v>
      </c>
      <c r="D17" s="15" t="s">
        <v>121</v>
      </c>
      <c r="E17" s="16" t="s">
        <v>3368</v>
      </c>
      <c r="F17" s="43" t="s">
        <v>3369</v>
      </c>
      <c r="G17" s="18"/>
      <c r="H17" s="18"/>
      <c r="I17" s="17"/>
      <c r="J17" s="18"/>
      <c r="K17" s="17"/>
      <c r="L17" s="18"/>
      <c r="M17" s="18"/>
      <c r="N17" s="18"/>
      <c r="O17" s="76"/>
      <c r="P17" s="76">
        <v>157266.2</v>
      </c>
      <c r="Q17" s="61">
        <f t="shared" si="0"/>
        <v>3643.20999999999</v>
      </c>
      <c r="R17" s="66"/>
      <c r="S17" s="67"/>
    </row>
    <row r="18" ht="20.25" customHeight="1" spans="1:22">
      <c r="A18" s="7"/>
      <c r="B18" s="15">
        <v>2</v>
      </c>
      <c r="C18" s="15">
        <v>26</v>
      </c>
      <c r="D18" s="15" t="s">
        <v>16</v>
      </c>
      <c r="E18" s="16" t="s">
        <v>3361</v>
      </c>
      <c r="F18" s="43" t="s">
        <v>478</v>
      </c>
      <c r="G18" s="18"/>
      <c r="H18" s="18"/>
      <c r="I18" s="17"/>
      <c r="J18" s="18"/>
      <c r="K18" s="18"/>
      <c r="L18" s="18"/>
      <c r="M18" s="18"/>
      <c r="N18" s="18"/>
      <c r="O18" s="76"/>
      <c r="P18" s="65">
        <v>1</v>
      </c>
      <c r="Q18" s="61">
        <f t="shared" si="0"/>
        <v>3642.20999999999</v>
      </c>
      <c r="R18" s="66"/>
      <c r="S18" s="67"/>
    </row>
    <row r="19" ht="20.25" customHeight="1" spans="1:22">
      <c r="A19" s="7"/>
      <c r="B19" s="15">
        <v>2</v>
      </c>
      <c r="C19" s="15">
        <v>26</v>
      </c>
      <c r="D19" s="15" t="s">
        <v>124</v>
      </c>
      <c r="E19" s="16" t="s">
        <v>3370</v>
      </c>
      <c r="F19" s="43" t="s">
        <v>3371</v>
      </c>
      <c r="G19" s="18"/>
      <c r="H19" s="18"/>
      <c r="I19" s="17"/>
      <c r="J19" s="18"/>
      <c r="K19" s="18"/>
      <c r="L19" s="18"/>
      <c r="M19" s="18"/>
      <c r="N19" s="18"/>
      <c r="O19" s="76"/>
      <c r="P19" s="76">
        <v>2875.6</v>
      </c>
      <c r="Q19" s="61">
        <f t="shared" si="0"/>
        <v>766.609999999992</v>
      </c>
      <c r="R19" s="66"/>
      <c r="S19" s="67"/>
    </row>
    <row r="20" ht="20" customHeight="1" spans="1:22">
      <c r="B20" s="68"/>
      <c r="C20" s="68"/>
      <c r="D20" s="68"/>
      <c r="E20" s="69"/>
      <c r="F20" s="70" t="s">
        <v>22</v>
      </c>
      <c r="G20" s="71">
        <f t="shared" ref="G20:P20" si="1">SUM(G6:G19)</f>
        <v>0</v>
      </c>
      <c r="H20" s="71">
        <f t="shared" si="1"/>
        <v>0</v>
      </c>
      <c r="I20" s="71">
        <f t="shared" si="1"/>
        <v>0</v>
      </c>
      <c r="J20" s="71">
        <f t="shared" si="1"/>
        <v>0</v>
      </c>
      <c r="K20" s="71">
        <f t="shared" si="1"/>
        <v>0</v>
      </c>
      <c r="L20" s="71">
        <f t="shared" si="1"/>
        <v>0</v>
      </c>
      <c r="M20" s="71">
        <f t="shared" si="1"/>
        <v>0</v>
      </c>
      <c r="N20" s="71">
        <f t="shared" si="1"/>
        <v>0</v>
      </c>
      <c r="O20" s="71">
        <f t="shared" si="1"/>
        <v>219031.81</v>
      </c>
      <c r="P20" s="71">
        <f t="shared" si="1"/>
        <v>218265.2</v>
      </c>
      <c r="Q20" s="71">
        <f>Q5+O20-P20</f>
        <v>766.609999999986</v>
      </c>
      <c r="R20" s="72"/>
      <c r="S20" s="71"/>
    </row>
    <row r="21" ht="20.25" customHeight="1" spans="1:22">
      <c r="A21" s="7"/>
      <c r="B21" s="15">
        <v>3</v>
      </c>
      <c r="C21" s="15">
        <v>5</v>
      </c>
      <c r="D21" s="15" t="s">
        <v>69</v>
      </c>
      <c r="E21" s="16" t="s">
        <v>2638</v>
      </c>
      <c r="F21" s="43" t="s">
        <v>3366</v>
      </c>
      <c r="G21" s="23"/>
      <c r="H21" s="23"/>
      <c r="I21" s="23"/>
      <c r="J21" s="23"/>
      <c r="K21" s="23"/>
      <c r="L21" s="23"/>
      <c r="M21" s="23"/>
      <c r="N21" s="23"/>
      <c r="O21" s="78">
        <v>125517</v>
      </c>
      <c r="P21" s="61"/>
      <c r="Q21" s="61">
        <f t="shared" ref="Q21:Q45" si="2">Q20+O21-P21</f>
        <v>126283.61</v>
      </c>
      <c r="R21" s="20"/>
      <c r="S21" s="21"/>
    </row>
    <row r="22" ht="20.25" customHeight="1" spans="1:22">
      <c r="A22" s="7"/>
      <c r="B22" s="15">
        <v>3</v>
      </c>
      <c r="C22" s="15">
        <v>2</v>
      </c>
      <c r="D22" s="15"/>
      <c r="E22" s="16" t="s">
        <v>3372</v>
      </c>
      <c r="F22" s="43" t="s">
        <v>3373</v>
      </c>
      <c r="G22" s="18">
        <v>9959.1</v>
      </c>
      <c r="H22" s="18">
        <v>1972.86</v>
      </c>
      <c r="I22" s="18"/>
      <c r="J22" s="18"/>
      <c r="K22" s="18"/>
      <c r="L22" s="18"/>
      <c r="M22" s="18"/>
      <c r="N22" s="18"/>
      <c r="O22" s="78">
        <f t="shared" ref="O22:O39" si="3">SUM(G22:N22)-N22</f>
        <v>11931.96</v>
      </c>
      <c r="P22" s="61"/>
      <c r="Q22" s="61">
        <f t="shared" si="2"/>
        <v>138215.57</v>
      </c>
      <c r="R22" s="66"/>
      <c r="S22" s="67"/>
      <c r="T22" s="79"/>
      <c r="U22" s="2"/>
      <c r="V22" s="80"/>
    </row>
    <row r="23" ht="20" customHeight="1" spans="1:22">
      <c r="B23" s="42">
        <v>3</v>
      </c>
      <c r="C23" s="42">
        <v>7</v>
      </c>
      <c r="D23" s="74" t="s">
        <v>124</v>
      </c>
      <c r="E23" s="16" t="s">
        <v>3374</v>
      </c>
      <c r="F23" s="43" t="s">
        <v>3375</v>
      </c>
      <c r="G23" s="76"/>
      <c r="H23" s="76"/>
      <c r="I23" s="76"/>
      <c r="J23" s="76"/>
      <c r="K23" s="76"/>
      <c r="L23" s="76"/>
      <c r="M23" s="76"/>
      <c r="N23" s="76"/>
      <c r="O23" s="61">
        <f t="shared" si="3"/>
        <v>0</v>
      </c>
      <c r="P23" s="61">
        <v>1983.16</v>
      </c>
      <c r="Q23" s="61">
        <f t="shared" si="2"/>
        <v>136232.41</v>
      </c>
      <c r="R23" s="58"/>
      <c r="S23" s="56"/>
    </row>
    <row r="24" ht="20" customHeight="1" spans="1:22">
      <c r="B24" s="42">
        <v>3</v>
      </c>
      <c r="C24" s="42">
        <v>9</v>
      </c>
      <c r="D24" s="42" t="s">
        <v>16</v>
      </c>
      <c r="E24" s="16" t="s">
        <v>3361</v>
      </c>
      <c r="F24" s="43" t="s">
        <v>478</v>
      </c>
      <c r="G24" s="18"/>
      <c r="H24" s="18"/>
      <c r="I24" s="17"/>
      <c r="J24" s="18"/>
      <c r="K24" s="18"/>
      <c r="L24" s="18"/>
      <c r="M24" s="18"/>
      <c r="N24" s="18"/>
      <c r="O24" s="61">
        <f t="shared" si="3"/>
        <v>0</v>
      </c>
      <c r="P24" s="78">
        <v>1</v>
      </c>
      <c r="Q24" s="61">
        <f t="shared" si="2"/>
        <v>136231.41</v>
      </c>
      <c r="R24" s="58"/>
      <c r="S24" s="81"/>
    </row>
    <row r="25" ht="20" customHeight="1" spans="1:22">
      <c r="B25" s="42">
        <v>3</v>
      </c>
      <c r="C25" s="42">
        <v>9</v>
      </c>
      <c r="D25" s="74" t="s">
        <v>100</v>
      </c>
      <c r="E25" s="16" t="s">
        <v>3376</v>
      </c>
      <c r="F25" s="43" t="s">
        <v>3377</v>
      </c>
      <c r="G25" s="76"/>
      <c r="H25" s="76"/>
      <c r="I25" s="76"/>
      <c r="J25" s="76"/>
      <c r="K25" s="76"/>
      <c r="L25" s="76"/>
      <c r="M25" s="76"/>
      <c r="N25" s="76"/>
      <c r="O25" s="61">
        <f t="shared" si="3"/>
        <v>0</v>
      </c>
      <c r="P25" s="61">
        <v>500</v>
      </c>
      <c r="Q25" s="61">
        <f t="shared" si="2"/>
        <v>135731.41</v>
      </c>
      <c r="R25" s="58"/>
      <c r="S25" s="81"/>
    </row>
    <row r="26" ht="20" customHeight="1" spans="1:22">
      <c r="B26" s="42">
        <v>3</v>
      </c>
      <c r="C26" s="42">
        <v>9</v>
      </c>
      <c r="D26" s="42"/>
      <c r="E26" s="16" t="s">
        <v>3378</v>
      </c>
      <c r="F26" s="43" t="s">
        <v>3379</v>
      </c>
      <c r="G26" s="63">
        <v>3436</v>
      </c>
      <c r="H26" s="63">
        <v>564</v>
      </c>
      <c r="I26" s="63"/>
      <c r="J26" s="76"/>
      <c r="K26" s="76"/>
      <c r="L26" s="76"/>
      <c r="M26" s="76"/>
      <c r="N26" s="76"/>
      <c r="O26" s="78">
        <f t="shared" si="3"/>
        <v>4000</v>
      </c>
      <c r="P26" s="61"/>
      <c r="Q26" s="61">
        <f t="shared" si="2"/>
        <v>139731.41</v>
      </c>
      <c r="R26" s="58"/>
      <c r="S26" s="81"/>
    </row>
    <row r="27" ht="20" customHeight="1" spans="1:22">
      <c r="B27" s="42">
        <v>3</v>
      </c>
      <c r="C27" s="42">
        <v>10</v>
      </c>
      <c r="D27" s="42" t="s">
        <v>16</v>
      </c>
      <c r="E27" s="16" t="s">
        <v>3361</v>
      </c>
      <c r="F27" s="43" t="s">
        <v>478</v>
      </c>
      <c r="G27" s="18"/>
      <c r="H27" s="18"/>
      <c r="I27" s="17"/>
      <c r="J27" s="18"/>
      <c r="K27" s="18"/>
      <c r="L27" s="18"/>
      <c r="M27" s="18"/>
      <c r="N27" s="18"/>
      <c r="O27" s="61">
        <f t="shared" si="3"/>
        <v>0</v>
      </c>
      <c r="P27" s="78">
        <v>1</v>
      </c>
      <c r="Q27" s="61">
        <f t="shared" si="2"/>
        <v>139730.41</v>
      </c>
      <c r="R27" s="58"/>
      <c r="S27" s="81"/>
    </row>
    <row r="28" ht="20" customHeight="1" spans="1:22">
      <c r="B28" s="42">
        <v>3</v>
      </c>
      <c r="C28" s="42">
        <v>10</v>
      </c>
      <c r="D28" s="74" t="s">
        <v>121</v>
      </c>
      <c r="E28" s="16" t="s">
        <v>3368</v>
      </c>
      <c r="F28" s="43" t="s">
        <v>3380</v>
      </c>
      <c r="G28" s="18"/>
      <c r="H28" s="23"/>
      <c r="I28" s="23"/>
      <c r="J28" s="18"/>
      <c r="K28" s="18"/>
      <c r="L28" s="18"/>
      <c r="M28" s="18"/>
      <c r="N28" s="18"/>
      <c r="O28" s="61">
        <f t="shared" si="3"/>
        <v>0</v>
      </c>
      <c r="P28" s="78">
        <v>50000</v>
      </c>
      <c r="Q28" s="61">
        <f t="shared" si="2"/>
        <v>89730.41</v>
      </c>
      <c r="R28" s="82"/>
      <c r="S28" s="83"/>
    </row>
    <row r="29" ht="20" customHeight="1" spans="1:22">
      <c r="B29" s="42">
        <v>3</v>
      </c>
      <c r="C29" s="42">
        <v>10</v>
      </c>
      <c r="D29" s="42"/>
      <c r="E29" s="16" t="s">
        <v>3381</v>
      </c>
      <c r="F29" s="75" t="s">
        <v>3382</v>
      </c>
      <c r="G29" s="56"/>
      <c r="H29" s="84"/>
      <c r="I29" s="84">
        <v>23.29</v>
      </c>
      <c r="J29" s="56"/>
      <c r="K29" s="56"/>
      <c r="L29" s="56"/>
      <c r="M29" s="56"/>
      <c r="N29" s="56"/>
      <c r="O29" s="78">
        <f t="shared" si="3"/>
        <v>23.29</v>
      </c>
      <c r="P29" s="61"/>
      <c r="Q29" s="61">
        <f t="shared" si="2"/>
        <v>89753.7</v>
      </c>
      <c r="R29" s="58"/>
      <c r="S29" s="56"/>
    </row>
    <row r="30" ht="20" customHeight="1" spans="1:22">
      <c r="B30" s="42">
        <v>3</v>
      </c>
      <c r="C30" s="42">
        <v>10</v>
      </c>
      <c r="D30" s="42"/>
      <c r="E30" s="44" t="s">
        <v>3383</v>
      </c>
      <c r="F30" s="75" t="s">
        <v>3384</v>
      </c>
      <c r="G30" s="56">
        <v>8960</v>
      </c>
      <c r="H30" s="56">
        <v>1120</v>
      </c>
      <c r="I30" s="55"/>
      <c r="J30" s="56"/>
      <c r="K30" s="56"/>
      <c r="L30" s="56"/>
      <c r="M30" s="56"/>
      <c r="N30" s="56"/>
      <c r="O30" s="78">
        <f t="shared" si="3"/>
        <v>10080</v>
      </c>
      <c r="P30" s="61"/>
      <c r="Q30" s="61">
        <f t="shared" si="2"/>
        <v>99833.7</v>
      </c>
      <c r="R30" s="58"/>
      <c r="S30" s="56"/>
    </row>
    <row r="31" ht="20" customHeight="1" spans="1:22">
      <c r="B31" s="42">
        <v>3</v>
      </c>
      <c r="C31" s="42">
        <v>11</v>
      </c>
      <c r="D31" s="42"/>
      <c r="E31" s="44" t="s">
        <v>3385</v>
      </c>
      <c r="F31" s="75" t="s">
        <v>3386</v>
      </c>
      <c r="G31" s="56">
        <v>1299.83</v>
      </c>
      <c r="H31" s="56">
        <v>79.5</v>
      </c>
      <c r="I31" s="84">
        <v>4.23</v>
      </c>
      <c r="J31" s="56"/>
      <c r="K31" s="56"/>
      <c r="L31" s="56"/>
      <c r="M31" s="56"/>
      <c r="N31" s="56"/>
      <c r="O31" s="78">
        <f t="shared" si="3"/>
        <v>1383.56</v>
      </c>
      <c r="P31" s="61"/>
      <c r="Q31" s="61">
        <f t="shared" si="2"/>
        <v>101217.26</v>
      </c>
      <c r="R31" s="58"/>
      <c r="S31" s="56"/>
    </row>
    <row r="32" ht="20" customHeight="1" spans="1:22">
      <c r="B32" s="42">
        <v>3</v>
      </c>
      <c r="C32" s="42">
        <v>11</v>
      </c>
      <c r="D32" s="42"/>
      <c r="E32" s="44" t="s">
        <v>2822</v>
      </c>
      <c r="F32" s="75" t="s">
        <v>3387</v>
      </c>
      <c r="G32" s="56">
        <v>12775</v>
      </c>
      <c r="H32" s="56">
        <v>1225</v>
      </c>
      <c r="I32" s="85">
        <v>65.2</v>
      </c>
      <c r="J32" s="56"/>
      <c r="K32" s="56"/>
      <c r="L32" s="56"/>
      <c r="M32" s="56"/>
      <c r="N32" s="56"/>
      <c r="O32" s="78">
        <f t="shared" si="3"/>
        <v>14065.2</v>
      </c>
      <c r="P32" s="61"/>
      <c r="Q32" s="61">
        <f t="shared" si="2"/>
        <v>115282.46</v>
      </c>
      <c r="R32" s="58"/>
      <c r="S32" s="56"/>
    </row>
    <row r="33" ht="20" customHeight="1" spans="2:19">
      <c r="B33" s="42">
        <v>3</v>
      </c>
      <c r="C33" s="42">
        <v>13</v>
      </c>
      <c r="D33" s="42"/>
      <c r="E33" s="44" t="s">
        <v>3388</v>
      </c>
      <c r="F33" s="75" t="s">
        <v>3389</v>
      </c>
      <c r="G33" s="56">
        <v>7194</v>
      </c>
      <c r="H33" s="56">
        <v>2798.4</v>
      </c>
      <c r="I33" s="55"/>
      <c r="J33" s="56"/>
      <c r="K33" s="56"/>
      <c r="L33" s="56"/>
      <c r="M33" s="56"/>
      <c r="N33" s="56"/>
      <c r="O33" s="78">
        <f t="shared" si="3"/>
        <v>9992.4</v>
      </c>
      <c r="P33" s="61"/>
      <c r="Q33" s="61">
        <f t="shared" si="2"/>
        <v>125274.86</v>
      </c>
      <c r="R33" s="58"/>
      <c r="S33" s="56"/>
    </row>
    <row r="34" ht="20" customHeight="1" spans="2:19">
      <c r="B34" s="42">
        <v>3</v>
      </c>
      <c r="C34" s="42">
        <v>16</v>
      </c>
      <c r="D34" s="42" t="s">
        <v>16</v>
      </c>
      <c r="E34" s="16" t="s">
        <v>3361</v>
      </c>
      <c r="F34" s="43" t="s">
        <v>478</v>
      </c>
      <c r="G34" s="18"/>
      <c r="H34" s="18"/>
      <c r="I34" s="17"/>
      <c r="J34" s="18"/>
      <c r="K34" s="18"/>
      <c r="L34" s="18"/>
      <c r="M34" s="18"/>
      <c r="N34" s="18"/>
      <c r="O34" s="61">
        <f t="shared" si="3"/>
        <v>0</v>
      </c>
      <c r="P34" s="78">
        <v>1</v>
      </c>
      <c r="Q34" s="61">
        <f t="shared" si="2"/>
        <v>125273.86</v>
      </c>
      <c r="R34" s="58"/>
      <c r="S34" s="56"/>
    </row>
    <row r="35" ht="20" customHeight="1" spans="2:19">
      <c r="B35" s="42">
        <v>3</v>
      </c>
      <c r="C35" s="42">
        <v>16</v>
      </c>
      <c r="D35" s="74" t="s">
        <v>69</v>
      </c>
      <c r="E35" s="44" t="s">
        <v>2638</v>
      </c>
      <c r="F35" s="75" t="s">
        <v>3390</v>
      </c>
      <c r="G35" s="56"/>
      <c r="H35" s="56"/>
      <c r="I35" s="55"/>
      <c r="J35" s="56"/>
      <c r="K35" s="56"/>
      <c r="L35" s="56"/>
      <c r="M35" s="56"/>
      <c r="N35" s="56"/>
      <c r="O35" s="61">
        <f t="shared" si="3"/>
        <v>0</v>
      </c>
      <c r="P35" s="61">
        <v>24000</v>
      </c>
      <c r="Q35" s="61">
        <f t="shared" si="2"/>
        <v>101273.86</v>
      </c>
      <c r="R35" s="58"/>
      <c r="S35" s="56"/>
    </row>
    <row r="36" ht="20" customHeight="1" spans="2:19">
      <c r="B36" s="42">
        <v>3</v>
      </c>
      <c r="C36" s="42">
        <v>17</v>
      </c>
      <c r="D36" s="42"/>
      <c r="E36" s="44" t="s">
        <v>3391</v>
      </c>
      <c r="F36" s="77" t="s">
        <v>3392</v>
      </c>
      <c r="G36" s="56">
        <v>41856</v>
      </c>
      <c r="H36" s="56">
        <v>8140.8</v>
      </c>
      <c r="I36" s="55"/>
      <c r="J36" s="56"/>
      <c r="K36" s="56"/>
      <c r="L36" s="56"/>
      <c r="M36" s="56"/>
      <c r="N36" s="56"/>
      <c r="O36" s="78">
        <f t="shared" si="3"/>
        <v>49996.8</v>
      </c>
      <c r="P36" s="61"/>
      <c r="Q36" s="61">
        <f t="shared" si="2"/>
        <v>151270.66</v>
      </c>
      <c r="R36" s="58"/>
      <c r="S36" s="56"/>
    </row>
    <row r="37" ht="20" customHeight="1" spans="2:19">
      <c r="B37" s="42">
        <v>3</v>
      </c>
      <c r="C37" s="42">
        <v>17</v>
      </c>
      <c r="D37" s="42"/>
      <c r="E37" s="44" t="s">
        <v>3391</v>
      </c>
      <c r="F37" s="75" t="s">
        <v>3393</v>
      </c>
      <c r="G37" s="56"/>
      <c r="H37" s="56"/>
      <c r="I37" s="55"/>
      <c r="J37" s="56">
        <v>23040</v>
      </c>
      <c r="K37" s="56"/>
      <c r="L37" s="56"/>
      <c r="M37" s="56"/>
      <c r="N37" s="56"/>
      <c r="O37" s="78">
        <f t="shared" si="3"/>
        <v>23040</v>
      </c>
      <c r="P37" s="61"/>
      <c r="Q37" s="61">
        <f t="shared" si="2"/>
        <v>174310.66</v>
      </c>
      <c r="R37" s="58"/>
      <c r="S37" s="56"/>
    </row>
    <row r="38" ht="20" customHeight="1" spans="2:19">
      <c r="B38" s="42">
        <v>3</v>
      </c>
      <c r="C38" s="42">
        <v>21</v>
      </c>
      <c r="D38" s="42"/>
      <c r="E38" s="44" t="s">
        <v>3361</v>
      </c>
      <c r="F38" s="75" t="s">
        <v>29</v>
      </c>
      <c r="G38" s="56"/>
      <c r="H38" s="56"/>
      <c r="I38" s="55"/>
      <c r="J38" s="56"/>
      <c r="K38" s="56"/>
      <c r="L38" s="56"/>
      <c r="M38" s="56">
        <v>3.17</v>
      </c>
      <c r="N38" s="56"/>
      <c r="O38" s="78">
        <f t="shared" si="3"/>
        <v>3.17</v>
      </c>
      <c r="P38" s="61"/>
      <c r="Q38" s="61">
        <f t="shared" si="2"/>
        <v>174313.83</v>
      </c>
      <c r="R38" s="58"/>
      <c r="S38" s="56"/>
    </row>
    <row r="39" ht="20" customHeight="1" spans="2:19">
      <c r="B39" s="42">
        <v>3</v>
      </c>
      <c r="C39" s="42">
        <v>23</v>
      </c>
      <c r="D39" s="42"/>
      <c r="E39" s="44" t="s">
        <v>2578</v>
      </c>
      <c r="F39" s="75" t="s">
        <v>3394</v>
      </c>
      <c r="G39" s="56">
        <v>64288</v>
      </c>
      <c r="H39" s="56"/>
      <c r="I39" s="55"/>
      <c r="J39" s="56"/>
      <c r="K39" s="56"/>
      <c r="L39" s="56"/>
      <c r="M39" s="56"/>
      <c r="N39" s="56"/>
      <c r="O39" s="78">
        <f t="shared" si="3"/>
        <v>64288</v>
      </c>
      <c r="P39" s="61"/>
      <c r="Q39" s="61">
        <f t="shared" si="2"/>
        <v>238601.83</v>
      </c>
      <c r="R39" s="58"/>
      <c r="S39" s="56"/>
    </row>
    <row r="40" ht="20" customHeight="1" spans="2:19">
      <c r="B40" s="42">
        <v>3</v>
      </c>
      <c r="C40" s="42">
        <v>23</v>
      </c>
      <c r="D40" s="74" t="s">
        <v>69</v>
      </c>
      <c r="E40" s="44" t="s">
        <v>335</v>
      </c>
      <c r="F40" s="75" t="s">
        <v>3395</v>
      </c>
      <c r="G40" s="56"/>
      <c r="H40" s="56"/>
      <c r="I40" s="55"/>
      <c r="J40" s="56"/>
      <c r="K40" s="56"/>
      <c r="L40" s="56"/>
      <c r="M40" s="56"/>
      <c r="N40" s="56"/>
      <c r="O40" s="78">
        <v>30000</v>
      </c>
      <c r="P40" s="61"/>
      <c r="Q40" s="61">
        <f t="shared" si="2"/>
        <v>268601.83</v>
      </c>
      <c r="R40" s="58"/>
      <c r="S40" s="56"/>
    </row>
    <row r="41" ht="20" customHeight="1" spans="2:19">
      <c r="B41" s="42">
        <v>3</v>
      </c>
      <c r="C41" s="42">
        <v>23</v>
      </c>
      <c r="D41" s="42" t="s">
        <v>16</v>
      </c>
      <c r="E41" s="16" t="s">
        <v>3361</v>
      </c>
      <c r="F41" s="43" t="s">
        <v>478</v>
      </c>
      <c r="G41" s="56"/>
      <c r="H41" s="56"/>
      <c r="I41" s="55"/>
      <c r="J41" s="56"/>
      <c r="K41" s="56"/>
      <c r="L41" s="56"/>
      <c r="M41" s="56"/>
      <c r="N41" s="56"/>
      <c r="O41" s="61">
        <f>SUM(G41:N41)-N41</f>
        <v>0</v>
      </c>
      <c r="P41" s="78">
        <v>15</v>
      </c>
      <c r="Q41" s="61">
        <f t="shared" si="2"/>
        <v>268586.83</v>
      </c>
      <c r="R41" s="58"/>
      <c r="S41" s="56"/>
    </row>
    <row r="42" ht="20" customHeight="1" spans="2:19">
      <c r="B42" s="42">
        <v>3</v>
      </c>
      <c r="C42" s="42">
        <v>23</v>
      </c>
      <c r="D42" s="74" t="s">
        <v>121</v>
      </c>
      <c r="E42" s="16" t="s">
        <v>3368</v>
      </c>
      <c r="F42" s="43" t="s">
        <v>3380</v>
      </c>
      <c r="G42" s="56"/>
      <c r="H42" s="56"/>
      <c r="I42" s="55"/>
      <c r="J42" s="56"/>
      <c r="K42" s="56"/>
      <c r="L42" s="56"/>
      <c r="M42" s="56"/>
      <c r="N42" s="56"/>
      <c r="O42" s="61">
        <f>SUM(G42:N42)-N42</f>
        <v>0</v>
      </c>
      <c r="P42" s="78">
        <v>157266.2</v>
      </c>
      <c r="Q42" s="61">
        <f t="shared" si="2"/>
        <v>111320.63</v>
      </c>
      <c r="R42" s="58"/>
      <c r="S42" s="56"/>
    </row>
    <row r="43" ht="20" customHeight="1" spans="2:19">
      <c r="B43" s="42">
        <v>3</v>
      </c>
      <c r="C43" s="42">
        <v>26</v>
      </c>
      <c r="D43" s="74" t="s">
        <v>124</v>
      </c>
      <c r="E43" s="16" t="s">
        <v>3374</v>
      </c>
      <c r="F43" s="43" t="s">
        <v>3396</v>
      </c>
      <c r="G43" s="56"/>
      <c r="H43" s="56"/>
      <c r="I43" s="55"/>
      <c r="J43" s="56"/>
      <c r="K43" s="56"/>
      <c r="L43" s="56"/>
      <c r="M43" s="56"/>
      <c r="N43" s="56"/>
      <c r="O43" s="61">
        <f>SUM(G43:N43)-N43</f>
        <v>0</v>
      </c>
      <c r="P43" s="61">
        <v>8247.44</v>
      </c>
      <c r="Q43" s="61">
        <f t="shared" si="2"/>
        <v>103073.19</v>
      </c>
      <c r="R43" s="58"/>
      <c r="S43" s="56"/>
    </row>
    <row r="44" ht="20" customHeight="1" spans="2:19">
      <c r="B44" s="42">
        <v>3</v>
      </c>
      <c r="C44" s="42">
        <v>26</v>
      </c>
      <c r="D44" s="42" t="s">
        <v>16</v>
      </c>
      <c r="E44" s="16" t="s">
        <v>3361</v>
      </c>
      <c r="F44" s="43" t="s">
        <v>478</v>
      </c>
      <c r="G44" s="18"/>
      <c r="H44" s="18"/>
      <c r="I44" s="17"/>
      <c r="J44" s="18"/>
      <c r="K44" s="18"/>
      <c r="L44" s="18"/>
      <c r="M44" s="18"/>
      <c r="N44" s="18"/>
      <c r="O44" s="61">
        <f>SUM(G44:N44)-N44</f>
        <v>0</v>
      </c>
      <c r="P44" s="78">
        <v>1</v>
      </c>
      <c r="Q44" s="61">
        <f t="shared" si="2"/>
        <v>103072.19</v>
      </c>
      <c r="R44" s="58"/>
      <c r="S44" s="56"/>
    </row>
    <row r="45" ht="20" customHeight="1" spans="2:19">
      <c r="B45" s="42">
        <v>3</v>
      </c>
      <c r="C45" s="42">
        <v>26</v>
      </c>
      <c r="D45" s="74" t="s">
        <v>124</v>
      </c>
      <c r="E45" s="16" t="s">
        <v>3370</v>
      </c>
      <c r="F45" s="43" t="s">
        <v>3397</v>
      </c>
      <c r="G45" s="56"/>
      <c r="H45" s="56"/>
      <c r="I45" s="55"/>
      <c r="J45" s="56"/>
      <c r="K45" s="56"/>
      <c r="L45" s="56"/>
      <c r="M45" s="56"/>
      <c r="N45" s="56"/>
      <c r="O45" s="61">
        <f>SUM(G45:N45)-N45</f>
        <v>0</v>
      </c>
      <c r="P45" s="61">
        <v>3436.16</v>
      </c>
      <c r="Q45" s="61">
        <f t="shared" si="2"/>
        <v>99636.0299999999</v>
      </c>
      <c r="R45" s="58"/>
      <c r="S45" s="56"/>
    </row>
    <row r="46" ht="20" customHeight="1" spans="2:19">
      <c r="B46" s="68"/>
      <c r="C46" s="68"/>
      <c r="D46" s="68"/>
      <c r="E46" s="69"/>
      <c r="F46" s="70" t="s">
        <v>22</v>
      </c>
      <c r="G46" s="71">
        <f t="shared" ref="G46:P46" si="4">SUM(G21:G45)</f>
        <v>149767.93</v>
      </c>
      <c r="H46" s="71">
        <f t="shared" si="4"/>
        <v>15900.56</v>
      </c>
      <c r="I46" s="71">
        <f t="shared" si="4"/>
        <v>92.72</v>
      </c>
      <c r="J46" s="71">
        <f t="shared" si="4"/>
        <v>23040</v>
      </c>
      <c r="K46" s="71">
        <f t="shared" si="4"/>
        <v>0</v>
      </c>
      <c r="L46" s="71">
        <f t="shared" si="4"/>
        <v>0</v>
      </c>
      <c r="M46" s="71">
        <f t="shared" si="4"/>
        <v>3.17</v>
      </c>
      <c r="N46" s="71">
        <f t="shared" si="4"/>
        <v>0</v>
      </c>
      <c r="O46" s="71">
        <f t="shared" si="4"/>
        <v>344321.38</v>
      </c>
      <c r="P46" s="71">
        <f t="shared" si="4"/>
        <v>245451.96</v>
      </c>
      <c r="Q46" s="71">
        <f>Q20+O46-P46</f>
        <v>99636.03</v>
      </c>
      <c r="R46" s="72"/>
      <c r="S46" s="71"/>
    </row>
    <row r="47" ht="20" customHeight="1" spans="2:19">
      <c r="B47" s="42">
        <v>4</v>
      </c>
      <c r="C47" s="42">
        <v>2</v>
      </c>
      <c r="D47" s="86" t="s">
        <v>119</v>
      </c>
      <c r="E47" s="87" t="s">
        <v>416</v>
      </c>
      <c r="F47" s="88" t="s">
        <v>3398</v>
      </c>
      <c r="G47" s="89"/>
      <c r="H47" s="89"/>
      <c r="I47" s="76"/>
      <c r="J47" s="89"/>
      <c r="K47" s="89"/>
      <c r="L47" s="89"/>
      <c r="M47" s="89"/>
      <c r="N47" s="89"/>
      <c r="O47" s="61">
        <f t="shared" ref="O47:O75" si="5">SUM(G47:N47)-N47</f>
        <v>0</v>
      </c>
      <c r="P47" s="61">
        <v>8.58</v>
      </c>
      <c r="Q47" s="61">
        <f>Q45+O47-P47</f>
        <v>99627.4499999999</v>
      </c>
      <c r="R47" s="58"/>
      <c r="S47" s="56"/>
    </row>
    <row r="48" ht="20" customHeight="1" spans="2:19">
      <c r="B48" s="42">
        <v>4</v>
      </c>
      <c r="C48" s="42">
        <v>2</v>
      </c>
      <c r="D48" s="90"/>
      <c r="E48" s="91" t="s">
        <v>3399</v>
      </c>
      <c r="F48" s="88" t="s">
        <v>3400</v>
      </c>
      <c r="G48" s="89"/>
      <c r="H48" s="89"/>
      <c r="I48" s="76"/>
      <c r="J48" s="89">
        <v>10000</v>
      </c>
      <c r="K48" s="89"/>
      <c r="L48" s="89"/>
      <c r="M48" s="89"/>
      <c r="N48" s="89"/>
      <c r="O48" s="61">
        <f t="shared" si="5"/>
        <v>10000</v>
      </c>
      <c r="P48" s="61"/>
      <c r="Q48" s="61">
        <f t="shared" ref="Q48:Q84" si="6">Q47+O48-P48</f>
        <v>109627.45</v>
      </c>
      <c r="R48" s="58"/>
      <c r="S48" s="56"/>
    </row>
    <row r="49" ht="20" customHeight="1" spans="2:19">
      <c r="B49" s="42">
        <v>4</v>
      </c>
      <c r="C49" s="42">
        <v>3</v>
      </c>
      <c r="D49" s="86" t="s">
        <v>124</v>
      </c>
      <c r="E49" s="87" t="s">
        <v>3374</v>
      </c>
      <c r="F49" s="62" t="s">
        <v>3396</v>
      </c>
      <c r="G49" s="89"/>
      <c r="H49" s="89"/>
      <c r="I49" s="76"/>
      <c r="J49" s="89"/>
      <c r="K49" s="89"/>
      <c r="L49" s="89"/>
      <c r="M49" s="89"/>
      <c r="N49" s="89"/>
      <c r="O49" s="61">
        <f t="shared" si="5"/>
        <v>0</v>
      </c>
      <c r="P49" s="61">
        <v>2876.4</v>
      </c>
      <c r="Q49" s="61">
        <f t="shared" si="6"/>
        <v>106751.05</v>
      </c>
      <c r="R49" s="58"/>
      <c r="S49" s="56"/>
    </row>
    <row r="50" ht="20" customHeight="1" spans="2:19">
      <c r="B50" s="42">
        <v>4</v>
      </c>
      <c r="C50" s="42">
        <v>3</v>
      </c>
      <c r="D50" s="90"/>
      <c r="E50" s="91" t="s">
        <v>3378</v>
      </c>
      <c r="F50" s="88" t="s">
        <v>3401</v>
      </c>
      <c r="G50" s="89">
        <v>3436</v>
      </c>
      <c r="H50" s="89">
        <v>564</v>
      </c>
      <c r="I50" s="76"/>
      <c r="J50" s="89"/>
      <c r="K50" s="89"/>
      <c r="L50" s="89"/>
      <c r="M50" s="89"/>
      <c r="N50" s="89"/>
      <c r="O50" s="61">
        <f t="shared" si="5"/>
        <v>4000</v>
      </c>
      <c r="P50" s="61"/>
      <c r="Q50" s="61">
        <f t="shared" si="6"/>
        <v>110751.05</v>
      </c>
      <c r="R50" s="58"/>
      <c r="S50" s="56"/>
    </row>
    <row r="51" ht="20" customHeight="1" spans="2:19">
      <c r="B51" s="42">
        <v>4</v>
      </c>
      <c r="C51" s="42">
        <v>3</v>
      </c>
      <c r="D51" s="86" t="s">
        <v>16</v>
      </c>
      <c r="E51" s="32" t="s">
        <v>3361</v>
      </c>
      <c r="F51" s="62" t="s">
        <v>478</v>
      </c>
      <c r="G51" s="89"/>
      <c r="H51" s="89"/>
      <c r="I51" s="76"/>
      <c r="J51" s="89"/>
      <c r="K51" s="89"/>
      <c r="L51" s="89"/>
      <c r="M51" s="89"/>
      <c r="N51" s="89"/>
      <c r="O51" s="61">
        <f t="shared" si="5"/>
        <v>0</v>
      </c>
      <c r="P51" s="78">
        <v>1</v>
      </c>
      <c r="Q51" s="61">
        <f t="shared" si="6"/>
        <v>110750.05</v>
      </c>
      <c r="R51" s="58"/>
      <c r="S51" s="56"/>
    </row>
    <row r="52" ht="20" customHeight="1" spans="2:19">
      <c r="B52" s="42">
        <v>4</v>
      </c>
      <c r="C52" s="42">
        <v>3</v>
      </c>
      <c r="D52" s="86" t="s">
        <v>69</v>
      </c>
      <c r="E52" s="32" t="s">
        <v>224</v>
      </c>
      <c r="F52" s="62" t="s">
        <v>3402</v>
      </c>
      <c r="G52" s="89"/>
      <c r="H52" s="89"/>
      <c r="I52" s="76"/>
      <c r="J52" s="89"/>
      <c r="K52" s="89"/>
      <c r="L52" s="89"/>
      <c r="M52" s="89"/>
      <c r="N52" s="89"/>
      <c r="O52" s="61">
        <f t="shared" si="5"/>
        <v>0</v>
      </c>
      <c r="P52" s="61">
        <v>400</v>
      </c>
      <c r="Q52" s="61">
        <f t="shared" si="6"/>
        <v>110350.05</v>
      </c>
      <c r="R52" s="58"/>
      <c r="S52" s="56"/>
    </row>
    <row r="53" ht="20" customHeight="1" spans="2:19">
      <c r="B53" s="42">
        <v>4</v>
      </c>
      <c r="C53" s="42">
        <v>7</v>
      </c>
      <c r="D53" s="86" t="s">
        <v>16</v>
      </c>
      <c r="E53" s="87" t="s">
        <v>3361</v>
      </c>
      <c r="F53" s="62" t="s">
        <v>478</v>
      </c>
      <c r="G53" s="89"/>
      <c r="H53" s="89"/>
      <c r="I53" s="76"/>
      <c r="J53" s="89"/>
      <c r="K53" s="89"/>
      <c r="L53" s="89"/>
      <c r="M53" s="89"/>
      <c r="N53" s="89"/>
      <c r="O53" s="61">
        <f t="shared" si="5"/>
        <v>0</v>
      </c>
      <c r="P53" s="78">
        <v>1</v>
      </c>
      <c r="Q53" s="61">
        <f t="shared" si="6"/>
        <v>110349.05</v>
      </c>
      <c r="R53" s="58"/>
      <c r="S53" s="56"/>
    </row>
    <row r="54" ht="20" customHeight="1" spans="2:19">
      <c r="B54" s="42">
        <v>4</v>
      </c>
      <c r="C54" s="42">
        <v>7</v>
      </c>
      <c r="D54" s="90" t="s">
        <v>142</v>
      </c>
      <c r="E54" s="91" t="s">
        <v>3403</v>
      </c>
      <c r="F54" s="92" t="s">
        <v>3404</v>
      </c>
      <c r="G54" s="89"/>
      <c r="H54" s="89"/>
      <c r="I54" s="76"/>
      <c r="J54" s="89"/>
      <c r="K54" s="89"/>
      <c r="L54" s="89"/>
      <c r="M54" s="89"/>
      <c r="N54" s="89"/>
      <c r="O54" s="61">
        <f t="shared" si="5"/>
        <v>0</v>
      </c>
      <c r="P54" s="61">
        <v>4500</v>
      </c>
      <c r="Q54" s="61">
        <f t="shared" si="6"/>
        <v>105849.05</v>
      </c>
      <c r="R54" s="58"/>
      <c r="S54" s="56"/>
    </row>
    <row r="55" ht="20" customHeight="1" spans="2:19">
      <c r="B55" s="42">
        <v>4</v>
      </c>
      <c r="C55" s="42">
        <v>8</v>
      </c>
      <c r="D55" s="90"/>
      <c r="E55" s="91" t="s">
        <v>3381</v>
      </c>
      <c r="F55" s="88" t="s">
        <v>3405</v>
      </c>
      <c r="G55" s="89"/>
      <c r="H55" s="89"/>
      <c r="I55" s="63">
        <v>26.5</v>
      </c>
      <c r="J55" s="89"/>
      <c r="K55" s="89"/>
      <c r="L55" s="89"/>
      <c r="M55" s="89"/>
      <c r="N55" s="89"/>
      <c r="O55" s="61">
        <f t="shared" si="5"/>
        <v>26.5</v>
      </c>
      <c r="P55" s="61"/>
      <c r="Q55" s="61">
        <f t="shared" si="6"/>
        <v>105875.55</v>
      </c>
      <c r="R55" s="58"/>
      <c r="S55" s="56"/>
    </row>
    <row r="56" ht="20" customHeight="1" spans="2:19">
      <c r="B56" s="42">
        <v>4</v>
      </c>
      <c r="C56" s="42">
        <v>8</v>
      </c>
      <c r="D56" s="90"/>
      <c r="E56" s="91" t="s">
        <v>3381</v>
      </c>
      <c r="F56" s="88" t="s">
        <v>3406</v>
      </c>
      <c r="G56" s="89">
        <v>9375</v>
      </c>
      <c r="H56" s="89">
        <v>2625</v>
      </c>
      <c r="I56" s="76"/>
      <c r="J56" s="89"/>
      <c r="K56" s="89"/>
      <c r="L56" s="89"/>
      <c r="M56" s="89"/>
      <c r="N56" s="89"/>
      <c r="O56" s="61">
        <f t="shared" si="5"/>
        <v>12000</v>
      </c>
      <c r="P56" s="61"/>
      <c r="Q56" s="61">
        <f t="shared" si="6"/>
        <v>117875.55</v>
      </c>
      <c r="R56" s="58"/>
      <c r="S56" s="56"/>
    </row>
    <row r="57" ht="20" customHeight="1" spans="2:19">
      <c r="B57" s="42">
        <v>4</v>
      </c>
      <c r="C57" s="42">
        <v>9</v>
      </c>
      <c r="D57" s="90"/>
      <c r="E57" s="91" t="s">
        <v>3407</v>
      </c>
      <c r="F57" s="92" t="s">
        <v>3408</v>
      </c>
      <c r="G57" s="89"/>
      <c r="H57" s="89"/>
      <c r="I57" s="76"/>
      <c r="J57" s="89"/>
      <c r="K57" s="89">
        <v>300</v>
      </c>
      <c r="L57" s="89"/>
      <c r="M57" s="89"/>
      <c r="N57" s="89"/>
      <c r="O57" s="61">
        <f t="shared" si="5"/>
        <v>300</v>
      </c>
      <c r="P57" s="61"/>
      <c r="Q57" s="61">
        <f t="shared" si="6"/>
        <v>118175.55</v>
      </c>
      <c r="R57" s="58"/>
      <c r="S57" s="56"/>
    </row>
    <row r="58" ht="20" customHeight="1" spans="2:19">
      <c r="B58" s="42">
        <v>4</v>
      </c>
      <c r="C58" s="42">
        <v>9</v>
      </c>
      <c r="D58" s="86" t="s">
        <v>16</v>
      </c>
      <c r="E58" s="32" t="s">
        <v>3361</v>
      </c>
      <c r="F58" s="62" t="s">
        <v>478</v>
      </c>
      <c r="G58" s="89"/>
      <c r="H58" s="89"/>
      <c r="I58" s="76"/>
      <c r="J58" s="89"/>
      <c r="K58" s="89"/>
      <c r="L58" s="89"/>
      <c r="M58" s="89"/>
      <c r="N58" s="89"/>
      <c r="O58" s="61">
        <f t="shared" si="5"/>
        <v>0</v>
      </c>
      <c r="P58" s="78">
        <v>1</v>
      </c>
      <c r="Q58" s="61">
        <f t="shared" si="6"/>
        <v>118174.55</v>
      </c>
      <c r="R58" s="58"/>
      <c r="S58" s="56"/>
    </row>
    <row r="59" ht="20" customHeight="1" spans="2:19">
      <c r="B59" s="42">
        <v>4</v>
      </c>
      <c r="C59" s="42">
        <v>9</v>
      </c>
      <c r="D59" s="90" t="s">
        <v>143</v>
      </c>
      <c r="E59" s="87" t="s">
        <v>3409</v>
      </c>
      <c r="F59" s="88" t="s">
        <v>143</v>
      </c>
      <c r="G59" s="89"/>
      <c r="H59" s="89"/>
      <c r="I59" s="76"/>
      <c r="J59" s="89"/>
      <c r="K59" s="89"/>
      <c r="L59" s="89"/>
      <c r="M59" s="89"/>
      <c r="N59" s="89"/>
      <c r="O59" s="61">
        <f t="shared" si="5"/>
        <v>0</v>
      </c>
      <c r="P59" s="89">
        <v>1200</v>
      </c>
      <c r="Q59" s="61">
        <f t="shared" si="6"/>
        <v>116974.55</v>
      </c>
      <c r="R59" s="58"/>
      <c r="S59" s="56"/>
    </row>
    <row r="60" ht="20" customHeight="1" spans="2:19">
      <c r="B60" s="42">
        <v>4</v>
      </c>
      <c r="C60" s="42">
        <v>13</v>
      </c>
      <c r="D60" s="90"/>
      <c r="E60" s="91" t="s">
        <v>3385</v>
      </c>
      <c r="F60" s="88" t="s">
        <v>3410</v>
      </c>
      <c r="G60" s="89">
        <v>1299.83</v>
      </c>
      <c r="H60" s="89">
        <v>79.5</v>
      </c>
      <c r="I60" s="63">
        <v>5</v>
      </c>
      <c r="J60" s="89"/>
      <c r="K60" s="89"/>
      <c r="L60" s="89"/>
      <c r="M60" s="89"/>
      <c r="N60" s="89"/>
      <c r="O60" s="61">
        <f t="shared" si="5"/>
        <v>1384.33</v>
      </c>
      <c r="P60" s="89"/>
      <c r="Q60" s="61">
        <f t="shared" si="6"/>
        <v>118358.88</v>
      </c>
      <c r="R60" s="58"/>
      <c r="S60" s="56"/>
    </row>
    <row r="61" ht="48.75" spans="2:19">
      <c r="B61" s="42">
        <v>4</v>
      </c>
      <c r="C61" s="42">
        <v>13</v>
      </c>
      <c r="D61" s="86" t="s">
        <v>119</v>
      </c>
      <c r="E61" s="87" t="s">
        <v>213</v>
      </c>
      <c r="F61" s="92" t="s">
        <v>3411</v>
      </c>
      <c r="G61" s="89"/>
      <c r="H61" s="89"/>
      <c r="I61" s="76"/>
      <c r="J61" s="89"/>
      <c r="K61" s="89"/>
      <c r="L61" s="89"/>
      <c r="M61" s="89"/>
      <c r="N61" s="89"/>
      <c r="O61" s="61">
        <f t="shared" si="5"/>
        <v>0</v>
      </c>
      <c r="P61" s="89">
        <v>130.52</v>
      </c>
      <c r="Q61" s="61">
        <f t="shared" si="6"/>
        <v>118228.36</v>
      </c>
      <c r="R61" s="58"/>
      <c r="S61" s="56"/>
    </row>
    <row r="62" ht="20" customHeight="1" spans="2:19">
      <c r="B62" s="42">
        <v>4</v>
      </c>
      <c r="C62" s="42">
        <v>13</v>
      </c>
      <c r="D62" s="86" t="s">
        <v>119</v>
      </c>
      <c r="E62" s="87" t="s">
        <v>213</v>
      </c>
      <c r="F62" s="88" t="s">
        <v>3412</v>
      </c>
      <c r="G62" s="89"/>
      <c r="H62" s="89"/>
      <c r="I62" s="76"/>
      <c r="J62" s="89"/>
      <c r="K62" s="89"/>
      <c r="L62" s="89"/>
      <c r="M62" s="89"/>
      <c r="N62" s="89"/>
      <c r="O62" s="61">
        <f t="shared" si="5"/>
        <v>0</v>
      </c>
      <c r="P62" s="89">
        <v>18.89</v>
      </c>
      <c r="Q62" s="61">
        <f t="shared" si="6"/>
        <v>118209.47</v>
      </c>
      <c r="R62" s="58"/>
      <c r="S62" s="56"/>
    </row>
    <row r="63" ht="20" customHeight="1" spans="2:19">
      <c r="B63" s="42">
        <v>4</v>
      </c>
      <c r="C63" s="42">
        <v>14</v>
      </c>
      <c r="D63" s="86" t="s">
        <v>16</v>
      </c>
      <c r="E63" s="91" t="s">
        <v>3361</v>
      </c>
      <c r="F63" s="62" t="s">
        <v>478</v>
      </c>
      <c r="G63" s="89"/>
      <c r="H63" s="89"/>
      <c r="I63" s="76"/>
      <c r="J63" s="89"/>
      <c r="K63" s="89"/>
      <c r="L63" s="89"/>
      <c r="M63" s="89"/>
      <c r="N63" s="89"/>
      <c r="O63" s="61">
        <f t="shared" si="5"/>
        <v>0</v>
      </c>
      <c r="P63" s="78">
        <v>1</v>
      </c>
      <c r="Q63" s="61">
        <f t="shared" si="6"/>
        <v>118208.47</v>
      </c>
      <c r="R63" s="58"/>
      <c r="S63" s="56"/>
    </row>
    <row r="64" ht="20" customHeight="1" spans="2:19">
      <c r="B64" s="42">
        <v>4</v>
      </c>
      <c r="C64" s="42">
        <v>14</v>
      </c>
      <c r="D64" s="86" t="s">
        <v>121</v>
      </c>
      <c r="E64" s="91" t="s">
        <v>3368</v>
      </c>
      <c r="F64" s="88" t="s">
        <v>3413</v>
      </c>
      <c r="G64" s="89"/>
      <c r="H64" s="89"/>
      <c r="I64" s="76"/>
      <c r="J64" s="89"/>
      <c r="K64" s="89"/>
      <c r="L64" s="89"/>
      <c r="M64" s="89"/>
      <c r="N64" s="89"/>
      <c r="O64" s="61">
        <f t="shared" si="5"/>
        <v>0</v>
      </c>
      <c r="P64" s="89">
        <v>100000</v>
      </c>
      <c r="Q64" s="61">
        <f t="shared" si="6"/>
        <v>18208.4699999999</v>
      </c>
      <c r="R64" s="58"/>
      <c r="S64" s="56"/>
    </row>
    <row r="65" ht="20" customHeight="1" spans="2:19">
      <c r="B65" s="42">
        <v>4</v>
      </c>
      <c r="C65" s="42">
        <v>14</v>
      </c>
      <c r="D65" s="86" t="s">
        <v>16</v>
      </c>
      <c r="E65" s="91" t="s">
        <v>3361</v>
      </c>
      <c r="F65" s="62" t="s">
        <v>478</v>
      </c>
      <c r="G65" s="89"/>
      <c r="H65" s="89"/>
      <c r="I65" s="76"/>
      <c r="J65" s="89"/>
      <c r="K65" s="89"/>
      <c r="L65" s="89"/>
      <c r="M65" s="89"/>
      <c r="N65" s="89"/>
      <c r="O65" s="61">
        <f t="shared" si="5"/>
        <v>0</v>
      </c>
      <c r="P65" s="78">
        <v>1</v>
      </c>
      <c r="Q65" s="61">
        <f t="shared" si="6"/>
        <v>18207.4699999999</v>
      </c>
      <c r="R65" s="58"/>
      <c r="S65" s="56"/>
    </row>
    <row r="66" ht="20" customHeight="1" spans="2:19">
      <c r="B66" s="42">
        <v>4</v>
      </c>
      <c r="C66" s="42">
        <v>14</v>
      </c>
      <c r="D66" s="90" t="s">
        <v>104</v>
      </c>
      <c r="E66" s="91" t="s">
        <v>291</v>
      </c>
      <c r="F66" s="88" t="s">
        <v>3414</v>
      </c>
      <c r="G66" s="89"/>
      <c r="H66" s="89"/>
      <c r="I66" s="76"/>
      <c r="J66" s="89"/>
      <c r="K66" s="89"/>
      <c r="L66" s="89"/>
      <c r="M66" s="89"/>
      <c r="N66" s="89"/>
      <c r="O66" s="61">
        <f t="shared" si="5"/>
        <v>0</v>
      </c>
      <c r="P66" s="89">
        <v>235</v>
      </c>
      <c r="Q66" s="61">
        <f t="shared" si="6"/>
        <v>17972.4699999999</v>
      </c>
      <c r="R66" s="58"/>
      <c r="S66" s="56"/>
    </row>
    <row r="67" ht="20" customHeight="1" spans="2:19">
      <c r="B67" s="42">
        <v>4</v>
      </c>
      <c r="C67" s="42">
        <v>14</v>
      </c>
      <c r="D67" s="90" t="s">
        <v>129</v>
      </c>
      <c r="E67" s="91" t="s">
        <v>291</v>
      </c>
      <c r="F67" s="88" t="s">
        <v>3415</v>
      </c>
      <c r="G67" s="89"/>
      <c r="H67" s="89"/>
      <c r="I67" s="76"/>
      <c r="J67" s="89"/>
      <c r="K67" s="89"/>
      <c r="L67" s="89"/>
      <c r="M67" s="89"/>
      <c r="N67" s="89"/>
      <c r="O67" s="61">
        <f t="shared" si="5"/>
        <v>0</v>
      </c>
      <c r="P67" s="89">
        <v>1678.56</v>
      </c>
      <c r="Q67" s="61">
        <f t="shared" si="6"/>
        <v>16293.9099999999</v>
      </c>
      <c r="R67" s="58"/>
      <c r="S67" s="56"/>
    </row>
    <row r="68" ht="20" customHeight="1" spans="2:19">
      <c r="B68" s="42">
        <v>4</v>
      </c>
      <c r="C68" s="42">
        <v>14</v>
      </c>
      <c r="D68" s="90" t="s">
        <v>129</v>
      </c>
      <c r="E68" s="91" t="s">
        <v>291</v>
      </c>
      <c r="F68" s="88" t="s">
        <v>3416</v>
      </c>
      <c r="G68" s="89"/>
      <c r="H68" s="89"/>
      <c r="I68" s="76"/>
      <c r="J68" s="89"/>
      <c r="K68" s="89"/>
      <c r="L68" s="89"/>
      <c r="M68" s="89"/>
      <c r="N68" s="89"/>
      <c r="O68" s="61">
        <f t="shared" si="5"/>
        <v>0</v>
      </c>
      <c r="P68" s="89">
        <v>97.92</v>
      </c>
      <c r="Q68" s="61">
        <f t="shared" si="6"/>
        <v>16195.9899999999</v>
      </c>
      <c r="R68" s="58"/>
      <c r="S68" s="56"/>
    </row>
    <row r="69" ht="20" customHeight="1" spans="2:19">
      <c r="B69" s="42">
        <v>4</v>
      </c>
      <c r="C69" s="42">
        <v>14</v>
      </c>
      <c r="D69" s="86" t="s">
        <v>16</v>
      </c>
      <c r="E69" s="32" t="s">
        <v>3361</v>
      </c>
      <c r="F69" s="62" t="s">
        <v>478</v>
      </c>
      <c r="G69" s="89"/>
      <c r="H69" s="89"/>
      <c r="I69" s="76"/>
      <c r="J69" s="89"/>
      <c r="K69" s="89"/>
      <c r="L69" s="89"/>
      <c r="M69" s="89"/>
      <c r="N69" s="89"/>
      <c r="O69" s="61">
        <f t="shared" si="5"/>
        <v>0</v>
      </c>
      <c r="P69" s="78">
        <v>1</v>
      </c>
      <c r="Q69" s="61">
        <f t="shared" si="6"/>
        <v>16194.9899999999</v>
      </c>
      <c r="R69" s="58"/>
      <c r="S69" s="56"/>
    </row>
    <row r="70" ht="20" customHeight="1" spans="2:19">
      <c r="B70" s="42">
        <v>4</v>
      </c>
      <c r="C70" s="42">
        <v>15</v>
      </c>
      <c r="D70" s="90"/>
      <c r="E70" s="91" t="s">
        <v>3388</v>
      </c>
      <c r="F70" s="88" t="s">
        <v>3417</v>
      </c>
      <c r="G70" s="89"/>
      <c r="H70" s="89">
        <v>2798.4</v>
      </c>
      <c r="I70" s="76"/>
      <c r="J70" s="89"/>
      <c r="K70" s="89"/>
      <c r="L70" s="89"/>
      <c r="M70" s="89"/>
      <c r="N70" s="89"/>
      <c r="O70" s="61">
        <f t="shared" si="5"/>
        <v>2798.4</v>
      </c>
      <c r="P70" s="89"/>
      <c r="Q70" s="61">
        <f t="shared" si="6"/>
        <v>18993.3899999999</v>
      </c>
      <c r="R70" s="58"/>
      <c r="S70" s="56"/>
    </row>
    <row r="71" ht="20" customHeight="1" spans="2:19">
      <c r="B71" s="42">
        <v>4</v>
      </c>
      <c r="C71" s="42">
        <v>15</v>
      </c>
      <c r="D71" s="90"/>
      <c r="E71" s="91" t="s">
        <v>3388</v>
      </c>
      <c r="F71" s="88" t="s">
        <v>3418</v>
      </c>
      <c r="G71" s="89">
        <v>7194</v>
      </c>
      <c r="H71" s="89"/>
      <c r="I71" s="76"/>
      <c r="J71" s="89"/>
      <c r="K71" s="89"/>
      <c r="L71" s="89"/>
      <c r="M71" s="89"/>
      <c r="N71" s="89"/>
      <c r="O71" s="61">
        <f t="shared" si="5"/>
        <v>7194</v>
      </c>
      <c r="P71" s="89"/>
      <c r="Q71" s="61">
        <f t="shared" si="6"/>
        <v>26187.3899999999</v>
      </c>
      <c r="R71" s="58"/>
      <c r="S71" s="56"/>
    </row>
    <row r="72" ht="20" customHeight="1" spans="2:19">
      <c r="B72" s="42">
        <v>4</v>
      </c>
      <c r="C72" s="42">
        <v>16</v>
      </c>
      <c r="D72" s="90"/>
      <c r="E72" s="91" t="s">
        <v>2578</v>
      </c>
      <c r="F72" s="88" t="s">
        <v>3419</v>
      </c>
      <c r="G72" s="89"/>
      <c r="H72" s="89">
        <v>3553.2</v>
      </c>
      <c r="I72" s="76"/>
      <c r="J72" s="89"/>
      <c r="K72" s="89"/>
      <c r="L72" s="89"/>
      <c r="M72" s="89"/>
      <c r="N72" s="89"/>
      <c r="O72" s="61">
        <f t="shared" si="5"/>
        <v>3553.2</v>
      </c>
      <c r="P72" s="89"/>
      <c r="Q72" s="61">
        <f t="shared" si="6"/>
        <v>29740.5899999999</v>
      </c>
      <c r="R72" s="58"/>
      <c r="S72" s="56"/>
    </row>
    <row r="73" ht="20" customHeight="1" spans="2:19">
      <c r="B73" s="42">
        <v>4</v>
      </c>
      <c r="C73" s="42">
        <v>17</v>
      </c>
      <c r="D73" s="86" t="s">
        <v>96</v>
      </c>
      <c r="E73" s="91" t="s">
        <v>178</v>
      </c>
      <c r="F73" s="88" t="s">
        <v>3420</v>
      </c>
      <c r="G73" s="89"/>
      <c r="H73" s="89"/>
      <c r="I73" s="76"/>
      <c r="J73" s="89"/>
      <c r="K73" s="89"/>
      <c r="L73" s="89"/>
      <c r="M73" s="89"/>
      <c r="N73" s="89"/>
      <c r="O73" s="61">
        <f t="shared" si="5"/>
        <v>0</v>
      </c>
      <c r="P73" s="89">
        <v>1301.33</v>
      </c>
      <c r="Q73" s="61">
        <f t="shared" si="6"/>
        <v>28439.2599999999</v>
      </c>
      <c r="R73" s="58"/>
      <c r="S73" s="56"/>
    </row>
    <row r="74" ht="20" customHeight="1" spans="2:19">
      <c r="B74" s="42">
        <v>4</v>
      </c>
      <c r="C74" s="42">
        <v>21</v>
      </c>
      <c r="D74" s="90"/>
      <c r="E74" s="91" t="s">
        <v>3421</v>
      </c>
      <c r="F74" s="88" t="s">
        <v>3422</v>
      </c>
      <c r="G74" s="89"/>
      <c r="H74" s="89"/>
      <c r="I74" s="76"/>
      <c r="J74" s="89"/>
      <c r="K74" s="89"/>
      <c r="L74" s="89">
        <v>500</v>
      </c>
      <c r="M74" s="89"/>
      <c r="N74" s="89"/>
      <c r="O74" s="61">
        <f t="shared" si="5"/>
        <v>500</v>
      </c>
      <c r="P74" s="89"/>
      <c r="Q74" s="61">
        <f t="shared" si="6"/>
        <v>28939.2599999999</v>
      </c>
      <c r="R74" s="58"/>
      <c r="S74" s="56"/>
    </row>
    <row r="75" ht="20" customHeight="1" spans="2:19">
      <c r="B75" s="42">
        <v>4</v>
      </c>
      <c r="C75" s="42">
        <v>26</v>
      </c>
      <c r="D75" s="86" t="s">
        <v>124</v>
      </c>
      <c r="E75" s="32" t="s">
        <v>3374</v>
      </c>
      <c r="F75" s="62" t="s">
        <v>3423</v>
      </c>
      <c r="G75" s="89"/>
      <c r="H75" s="89"/>
      <c r="I75" s="76"/>
      <c r="J75" s="89"/>
      <c r="K75" s="89"/>
      <c r="L75" s="89"/>
      <c r="M75" s="89"/>
      <c r="N75" s="89"/>
      <c r="O75" s="61">
        <f t="shared" si="5"/>
        <v>0</v>
      </c>
      <c r="P75" s="89">
        <v>10220.04</v>
      </c>
      <c r="Q75" s="61">
        <f t="shared" si="6"/>
        <v>18719.2199999999</v>
      </c>
      <c r="R75" s="58"/>
      <c r="S75" s="56"/>
    </row>
    <row r="76" ht="20" customHeight="1" spans="2:19">
      <c r="B76" s="42">
        <v>4</v>
      </c>
      <c r="C76" s="42">
        <v>27</v>
      </c>
      <c r="D76" s="86" t="s">
        <v>69</v>
      </c>
      <c r="E76" s="91" t="s">
        <v>2638</v>
      </c>
      <c r="F76" s="88" t="s">
        <v>3366</v>
      </c>
      <c r="G76" s="89"/>
      <c r="H76" s="89"/>
      <c r="I76" s="76"/>
      <c r="J76" s="89"/>
      <c r="K76" s="89"/>
      <c r="L76" s="89"/>
      <c r="M76" s="89"/>
      <c r="N76" s="89"/>
      <c r="O76" s="61">
        <v>31332</v>
      </c>
      <c r="P76" s="89"/>
      <c r="Q76" s="61">
        <f t="shared" si="6"/>
        <v>50051.2199999999</v>
      </c>
      <c r="R76" s="58"/>
      <c r="S76" s="56"/>
    </row>
    <row r="77" ht="20" customHeight="1" spans="2:19">
      <c r="B77" s="90">
        <v>4</v>
      </c>
      <c r="C77" s="90">
        <v>27</v>
      </c>
      <c r="D77" s="86" t="s">
        <v>69</v>
      </c>
      <c r="E77" s="91" t="s">
        <v>335</v>
      </c>
      <c r="F77" s="88" t="s">
        <v>3395</v>
      </c>
      <c r="G77" s="89"/>
      <c r="H77" s="89"/>
      <c r="I77" s="76"/>
      <c r="J77" s="89"/>
      <c r="K77" s="89"/>
      <c r="L77" s="89"/>
      <c r="M77" s="89"/>
      <c r="N77" s="89"/>
      <c r="O77" s="61">
        <v>70000</v>
      </c>
      <c r="P77" s="89"/>
      <c r="Q77" s="61">
        <f t="shared" si="6"/>
        <v>120051.22</v>
      </c>
      <c r="R77" s="58"/>
      <c r="S77" s="56"/>
    </row>
    <row r="78" ht="20" customHeight="1" spans="2:19">
      <c r="B78" s="90">
        <v>4</v>
      </c>
      <c r="C78" s="90">
        <v>27</v>
      </c>
      <c r="D78" s="90" t="s">
        <v>16</v>
      </c>
      <c r="E78" s="91" t="s">
        <v>3361</v>
      </c>
      <c r="F78" s="62" t="s">
        <v>478</v>
      </c>
      <c r="G78" s="89"/>
      <c r="H78" s="89"/>
      <c r="I78" s="76"/>
      <c r="J78" s="89"/>
      <c r="K78" s="89"/>
      <c r="L78" s="89"/>
      <c r="M78" s="89"/>
      <c r="N78" s="89"/>
      <c r="O78" s="61">
        <f>SUM(G78:N78)-N78</f>
        <v>0</v>
      </c>
      <c r="P78" s="78">
        <v>15</v>
      </c>
      <c r="Q78" s="61">
        <f t="shared" si="6"/>
        <v>120036.22</v>
      </c>
      <c r="R78" s="58"/>
      <c r="S78" s="56"/>
    </row>
    <row r="79" ht="20" customHeight="1" spans="2:19">
      <c r="B79" s="90">
        <v>4</v>
      </c>
      <c r="C79" s="90">
        <v>27</v>
      </c>
      <c r="D79" s="86" t="s">
        <v>121</v>
      </c>
      <c r="E79" s="91" t="s">
        <v>3368</v>
      </c>
      <c r="F79" s="88" t="s">
        <v>3413</v>
      </c>
      <c r="G79" s="89"/>
      <c r="H79" s="89"/>
      <c r="I79" s="76"/>
      <c r="J79" s="89"/>
      <c r="K79" s="89"/>
      <c r="L79" s="89"/>
      <c r="M79" s="89"/>
      <c r="N79" s="89"/>
      <c r="O79" s="61">
        <f>SUM(G79:N79)-N79</f>
        <v>0</v>
      </c>
      <c r="P79" s="89">
        <v>107266.2</v>
      </c>
      <c r="Q79" s="61">
        <f t="shared" si="6"/>
        <v>12770.0199999999</v>
      </c>
      <c r="R79" s="58"/>
      <c r="S79" s="56"/>
    </row>
    <row r="80" ht="20" customHeight="1" spans="2:19">
      <c r="B80" s="90">
        <v>4</v>
      </c>
      <c r="C80" s="90">
        <v>27</v>
      </c>
      <c r="D80" s="90" t="s">
        <v>16</v>
      </c>
      <c r="E80" s="91" t="s">
        <v>3361</v>
      </c>
      <c r="F80" s="62" t="s">
        <v>478</v>
      </c>
      <c r="G80" s="89"/>
      <c r="H80" s="89"/>
      <c r="I80" s="76"/>
      <c r="J80" s="89"/>
      <c r="K80" s="89"/>
      <c r="L80" s="89"/>
      <c r="M80" s="89"/>
      <c r="N80" s="89"/>
      <c r="O80" s="61">
        <f>SUM(G80:N80)-N80</f>
        <v>0</v>
      </c>
      <c r="P80" s="78">
        <v>1</v>
      </c>
      <c r="Q80" s="61">
        <f t="shared" si="6"/>
        <v>12769.0199999999</v>
      </c>
      <c r="R80" s="58"/>
      <c r="S80" s="56"/>
    </row>
    <row r="81" ht="20" customHeight="1" spans="2:19">
      <c r="B81" s="90">
        <v>4</v>
      </c>
      <c r="C81" s="90">
        <v>27</v>
      </c>
      <c r="D81" s="86" t="s">
        <v>124</v>
      </c>
      <c r="E81" s="91" t="s">
        <v>3370</v>
      </c>
      <c r="F81" s="62" t="s">
        <v>3424</v>
      </c>
      <c r="G81" s="89"/>
      <c r="H81" s="89"/>
      <c r="I81" s="76"/>
      <c r="J81" s="89"/>
      <c r="K81" s="89"/>
      <c r="L81" s="89"/>
      <c r="M81" s="89"/>
      <c r="N81" s="89"/>
      <c r="O81" s="61">
        <f>SUM(G81:N81)-N81</f>
        <v>0</v>
      </c>
      <c r="P81" s="89">
        <v>3945.76</v>
      </c>
      <c r="Q81" s="61">
        <f t="shared" si="6"/>
        <v>8823.2599999999</v>
      </c>
      <c r="R81" s="58"/>
      <c r="S81" s="56"/>
    </row>
    <row r="82" ht="20" customHeight="1" spans="2:19">
      <c r="B82" s="90">
        <v>4</v>
      </c>
      <c r="C82" s="90">
        <v>27</v>
      </c>
      <c r="D82" s="86" t="s">
        <v>69</v>
      </c>
      <c r="E82" s="91" t="s">
        <v>335</v>
      </c>
      <c r="F82" s="88" t="s">
        <v>3395</v>
      </c>
      <c r="G82" s="89"/>
      <c r="H82" s="89"/>
      <c r="I82" s="76"/>
      <c r="J82" s="89"/>
      <c r="K82" s="89"/>
      <c r="L82" s="89"/>
      <c r="M82" s="89"/>
      <c r="N82" s="89"/>
      <c r="O82" s="61">
        <v>50000</v>
      </c>
      <c r="P82" s="89"/>
      <c r="Q82" s="61">
        <f t="shared" si="6"/>
        <v>58823.2599999999</v>
      </c>
      <c r="R82" s="58"/>
      <c r="S82" s="56"/>
    </row>
    <row r="83" ht="20" customHeight="1" spans="2:19">
      <c r="B83" s="42">
        <v>4</v>
      </c>
      <c r="C83" s="42">
        <v>27</v>
      </c>
      <c r="D83" s="90" t="s">
        <v>16</v>
      </c>
      <c r="E83" s="91" t="s">
        <v>3361</v>
      </c>
      <c r="F83" s="62" t="s">
        <v>478</v>
      </c>
      <c r="G83" s="89"/>
      <c r="H83" s="89"/>
      <c r="I83" s="76"/>
      <c r="J83" s="89"/>
      <c r="K83" s="89"/>
      <c r="L83" s="89"/>
      <c r="M83" s="89"/>
      <c r="N83" s="89"/>
      <c r="O83" s="61">
        <f>SUM(G83:N83)-N83</f>
        <v>0</v>
      </c>
      <c r="P83" s="78">
        <v>1</v>
      </c>
      <c r="Q83" s="61">
        <f t="shared" si="6"/>
        <v>58822.2599999999</v>
      </c>
      <c r="R83" s="58"/>
      <c r="S83" s="56"/>
    </row>
    <row r="84" ht="20" customHeight="1" spans="2:19">
      <c r="B84" s="42">
        <v>4</v>
      </c>
      <c r="C84" s="42">
        <v>27</v>
      </c>
      <c r="D84" s="86" t="s">
        <v>121</v>
      </c>
      <c r="E84" s="91" t="s">
        <v>3368</v>
      </c>
      <c r="F84" s="88" t="s">
        <v>3425</v>
      </c>
      <c r="G84" s="89"/>
      <c r="H84" s="89"/>
      <c r="I84" s="76"/>
      <c r="J84" s="89"/>
      <c r="K84" s="89"/>
      <c r="L84" s="89"/>
      <c r="M84" s="89"/>
      <c r="N84" s="89"/>
      <c r="O84" s="61">
        <f>SUM(G84:N84)-N84</f>
        <v>0</v>
      </c>
      <c r="P84" s="89">
        <v>50000</v>
      </c>
      <c r="Q84" s="61">
        <f t="shared" si="6"/>
        <v>8822.2599999999</v>
      </c>
      <c r="R84" s="58"/>
      <c r="S84" s="56"/>
    </row>
    <row r="85" ht="20" customHeight="1" spans="2:19">
      <c r="B85" s="68"/>
      <c r="C85" s="68"/>
      <c r="D85" s="68"/>
      <c r="E85" s="69"/>
      <c r="F85" s="70" t="s">
        <v>22</v>
      </c>
      <c r="G85" s="71">
        <f t="shared" ref="G85:P85" si="7">SUM(G47:G84)</f>
        <v>21304.83</v>
      </c>
      <c r="H85" s="71">
        <f t="shared" si="7"/>
        <v>9620.1</v>
      </c>
      <c r="I85" s="71">
        <f t="shared" si="7"/>
        <v>31.5</v>
      </c>
      <c r="J85" s="71">
        <f t="shared" si="7"/>
        <v>10000</v>
      </c>
      <c r="K85" s="71">
        <f t="shared" si="7"/>
        <v>300</v>
      </c>
      <c r="L85" s="71">
        <f t="shared" si="7"/>
        <v>500</v>
      </c>
      <c r="M85" s="71">
        <f t="shared" si="7"/>
        <v>0</v>
      </c>
      <c r="N85" s="71">
        <f t="shared" si="7"/>
        <v>0</v>
      </c>
      <c r="O85" s="71">
        <f t="shared" si="7"/>
        <v>193088.43</v>
      </c>
      <c r="P85" s="71">
        <f t="shared" si="7"/>
        <v>283902.2</v>
      </c>
      <c r="Q85" s="71">
        <f>Q46+O85-P85</f>
        <v>8822.25999999995</v>
      </c>
      <c r="R85" s="72"/>
      <c r="S85" s="71"/>
    </row>
    <row r="86" ht="20" customHeight="1" spans="2:19">
      <c r="B86" s="42">
        <v>5</v>
      </c>
      <c r="C86" s="42">
        <v>4</v>
      </c>
      <c r="D86" s="74" t="s">
        <v>124</v>
      </c>
      <c r="E86" s="93" t="s">
        <v>3374</v>
      </c>
      <c r="F86" s="77" t="s">
        <v>3426</v>
      </c>
      <c r="G86" s="56"/>
      <c r="H86" s="56"/>
      <c r="I86" s="55"/>
      <c r="J86" s="56"/>
      <c r="K86" s="56"/>
      <c r="L86" s="56"/>
      <c r="M86" s="56"/>
      <c r="N86" s="56"/>
      <c r="O86" s="61">
        <f t="shared" ref="O86:O102" si="8">SUM(G86:N86)-N86</f>
        <v>0</v>
      </c>
      <c r="P86" s="55">
        <v>2561.33</v>
      </c>
      <c r="Q86" s="61">
        <f>Q84+O86-P86</f>
        <v>6260.9299999999</v>
      </c>
      <c r="R86" s="58"/>
      <c r="S86" s="56"/>
    </row>
    <row r="87" ht="20" customHeight="1" spans="2:19">
      <c r="B87" s="42">
        <v>5</v>
      </c>
      <c r="C87" s="42">
        <v>6</v>
      </c>
      <c r="D87" s="42"/>
      <c r="E87" s="44" t="s">
        <v>3407</v>
      </c>
      <c r="F87" s="77" t="s">
        <v>3427</v>
      </c>
      <c r="G87" s="56"/>
      <c r="H87" s="56"/>
      <c r="I87" s="55"/>
      <c r="J87" s="56"/>
      <c r="K87" s="55">
        <v>300</v>
      </c>
      <c r="L87" s="56"/>
      <c r="M87" s="56"/>
      <c r="N87" s="56"/>
      <c r="O87" s="61">
        <f t="shared" si="8"/>
        <v>300</v>
      </c>
      <c r="P87" s="56"/>
      <c r="Q87" s="61">
        <f t="shared" ref="Q87:Q113" si="9">Q86+O87-P87</f>
        <v>6560.9299999999</v>
      </c>
      <c r="R87" s="58"/>
      <c r="S87" s="56"/>
    </row>
    <row r="88" ht="20" customHeight="1" spans="2:19">
      <c r="B88" s="42">
        <v>5</v>
      </c>
      <c r="C88" s="42">
        <v>9</v>
      </c>
      <c r="D88" s="42"/>
      <c r="E88" s="44" t="s">
        <v>3378</v>
      </c>
      <c r="F88" s="75" t="s">
        <v>3428</v>
      </c>
      <c r="G88" s="55">
        <v>3436</v>
      </c>
      <c r="H88" s="55">
        <v>564</v>
      </c>
      <c r="I88" s="55"/>
      <c r="J88" s="56"/>
      <c r="K88" s="56"/>
      <c r="L88" s="56"/>
      <c r="M88" s="56"/>
      <c r="N88" s="56"/>
      <c r="O88" s="61">
        <f t="shared" si="8"/>
        <v>4000</v>
      </c>
      <c r="P88" s="56"/>
      <c r="Q88" s="61">
        <f t="shared" si="9"/>
        <v>10560.9299999999</v>
      </c>
      <c r="R88" s="58"/>
      <c r="S88" s="56"/>
    </row>
    <row r="89" ht="20" customHeight="1" spans="2:19">
      <c r="B89" s="42">
        <v>5</v>
      </c>
      <c r="C89" s="42">
        <v>10</v>
      </c>
      <c r="D89" s="42"/>
      <c r="E89" s="44" t="s">
        <v>3385</v>
      </c>
      <c r="F89" s="75" t="s">
        <v>3429</v>
      </c>
      <c r="G89" s="55">
        <v>1299.83</v>
      </c>
      <c r="H89" s="55">
        <v>79.5</v>
      </c>
      <c r="I89" s="55">
        <v>5</v>
      </c>
      <c r="J89" s="56"/>
      <c r="K89" s="56"/>
      <c r="L89" s="56"/>
      <c r="M89" s="56"/>
      <c r="N89" s="56"/>
      <c r="O89" s="61">
        <f t="shared" si="8"/>
        <v>1384.33</v>
      </c>
      <c r="P89" s="56"/>
      <c r="Q89" s="61">
        <f t="shared" si="9"/>
        <v>11945.2599999999</v>
      </c>
      <c r="R89" s="58"/>
      <c r="S89" s="56"/>
    </row>
    <row r="90" ht="20" customHeight="1" spans="2:19">
      <c r="B90" s="42">
        <v>5</v>
      </c>
      <c r="C90" s="42">
        <v>11</v>
      </c>
      <c r="D90" s="74" t="s">
        <v>119</v>
      </c>
      <c r="E90" s="93" t="s">
        <v>213</v>
      </c>
      <c r="F90" s="75" t="s">
        <v>1971</v>
      </c>
      <c r="G90" s="56"/>
      <c r="H90" s="56"/>
      <c r="I90" s="84"/>
      <c r="J90" s="56"/>
      <c r="K90" s="56"/>
      <c r="L90" s="56"/>
      <c r="M90" s="56"/>
      <c r="N90" s="56"/>
      <c r="O90" s="61">
        <f t="shared" si="8"/>
        <v>0</v>
      </c>
      <c r="P90" s="55">
        <v>15.5</v>
      </c>
      <c r="Q90" s="61">
        <f t="shared" si="9"/>
        <v>11929.7599999999</v>
      </c>
      <c r="R90" s="58"/>
      <c r="S90" s="56"/>
    </row>
    <row r="91" ht="20" customHeight="1" spans="2:19">
      <c r="B91" s="42">
        <v>5</v>
      </c>
      <c r="C91" s="42">
        <v>11</v>
      </c>
      <c r="D91" s="42"/>
      <c r="E91" s="93" t="s">
        <v>2690</v>
      </c>
      <c r="F91" s="75" t="s">
        <v>3430</v>
      </c>
      <c r="G91" s="55">
        <v>9000</v>
      </c>
      <c r="H91" s="55"/>
      <c r="I91" s="84"/>
      <c r="J91" s="56"/>
      <c r="K91" s="56"/>
      <c r="L91" s="56"/>
      <c r="M91" s="56"/>
      <c r="N91" s="56"/>
      <c r="O91" s="61">
        <f t="shared" si="8"/>
        <v>9000</v>
      </c>
      <c r="P91" s="56"/>
      <c r="Q91" s="61">
        <f t="shared" si="9"/>
        <v>20929.7599999999</v>
      </c>
      <c r="R91" s="58"/>
      <c r="S91" s="56"/>
    </row>
    <row r="92" ht="20" customHeight="1" spans="2:19">
      <c r="B92" s="42">
        <v>5</v>
      </c>
      <c r="C92" s="42">
        <v>11</v>
      </c>
      <c r="D92" s="42"/>
      <c r="E92" s="93" t="s">
        <v>2690</v>
      </c>
      <c r="F92" s="75" t="s">
        <v>3431</v>
      </c>
      <c r="G92" s="55">
        <v>90000</v>
      </c>
      <c r="H92" s="55"/>
      <c r="I92" s="55"/>
      <c r="J92" s="56"/>
      <c r="K92" s="56"/>
      <c r="L92" s="56"/>
      <c r="M92" s="56"/>
      <c r="N92" s="56"/>
      <c r="O92" s="61">
        <f t="shared" si="8"/>
        <v>90000</v>
      </c>
      <c r="P92" s="56"/>
      <c r="Q92" s="61">
        <f t="shared" si="9"/>
        <v>110929.76</v>
      </c>
      <c r="R92" s="58"/>
      <c r="S92" s="56"/>
    </row>
    <row r="93" ht="20" customHeight="1" spans="2:19">
      <c r="B93" s="42">
        <v>5</v>
      </c>
      <c r="C93" s="42">
        <v>11</v>
      </c>
      <c r="D93" s="42"/>
      <c r="E93" s="44" t="s">
        <v>3432</v>
      </c>
      <c r="F93" s="75" t="s">
        <v>3433</v>
      </c>
      <c r="G93" s="55">
        <v>7194</v>
      </c>
      <c r="H93" s="55">
        <v>2798.4</v>
      </c>
      <c r="I93" s="55"/>
      <c r="J93" s="55"/>
      <c r="K93" s="56"/>
      <c r="L93" s="56"/>
      <c r="M93" s="56"/>
      <c r="N93" s="56"/>
      <c r="O93" s="61">
        <f t="shared" si="8"/>
        <v>9992.4</v>
      </c>
      <c r="P93" s="56"/>
      <c r="Q93" s="61">
        <f t="shared" si="9"/>
        <v>120922.16</v>
      </c>
      <c r="R93" s="58"/>
      <c r="S93" s="56"/>
    </row>
    <row r="94" ht="20" customHeight="1" spans="2:19">
      <c r="B94" s="42">
        <v>5</v>
      </c>
      <c r="C94" s="42">
        <v>13</v>
      </c>
      <c r="D94" s="42"/>
      <c r="E94" s="44" t="s">
        <v>3381</v>
      </c>
      <c r="F94" s="75" t="s">
        <v>3434</v>
      </c>
      <c r="G94" s="55"/>
      <c r="H94" s="55"/>
      <c r="I94" s="55">
        <v>28</v>
      </c>
      <c r="J94" s="55"/>
      <c r="K94" s="56"/>
      <c r="L94" s="56"/>
      <c r="M94" s="56"/>
      <c r="N94" s="56"/>
      <c r="O94" s="61">
        <f t="shared" si="8"/>
        <v>28</v>
      </c>
      <c r="P94" s="56"/>
      <c r="Q94" s="61">
        <f t="shared" si="9"/>
        <v>120950.16</v>
      </c>
      <c r="R94" s="58"/>
      <c r="S94" s="56"/>
    </row>
    <row r="95" ht="20" customHeight="1" spans="2:19">
      <c r="B95" s="42">
        <v>5</v>
      </c>
      <c r="C95" s="42">
        <v>13</v>
      </c>
      <c r="D95" s="42"/>
      <c r="E95" s="44" t="s">
        <v>2990</v>
      </c>
      <c r="F95" s="75" t="s">
        <v>3435</v>
      </c>
      <c r="G95" s="55"/>
      <c r="H95" s="55"/>
      <c r="I95" s="55"/>
      <c r="J95" s="55">
        <v>8052</v>
      </c>
      <c r="K95" s="56"/>
      <c r="L95" s="56"/>
      <c r="M95" s="56"/>
      <c r="N95" s="56"/>
      <c r="O95" s="61">
        <f t="shared" si="8"/>
        <v>8052</v>
      </c>
      <c r="P95" s="56"/>
      <c r="Q95" s="61">
        <f t="shared" si="9"/>
        <v>129002.16</v>
      </c>
      <c r="R95" s="58"/>
      <c r="S95" s="56"/>
    </row>
    <row r="96" ht="20" customHeight="1" spans="2:19">
      <c r="B96" s="42">
        <v>5</v>
      </c>
      <c r="C96" s="42">
        <v>14</v>
      </c>
      <c r="D96" s="42" t="s">
        <v>16</v>
      </c>
      <c r="E96" s="16" t="s">
        <v>3361</v>
      </c>
      <c r="F96" s="43" t="s">
        <v>478</v>
      </c>
      <c r="G96" s="56"/>
      <c r="H96" s="56"/>
      <c r="I96" s="55"/>
      <c r="J96" s="56"/>
      <c r="K96" s="56"/>
      <c r="L96" s="56"/>
      <c r="M96" s="56"/>
      <c r="N96" s="56"/>
      <c r="O96" s="61">
        <f t="shared" si="8"/>
        <v>0</v>
      </c>
      <c r="P96" s="78">
        <v>1</v>
      </c>
      <c r="Q96" s="61">
        <f t="shared" si="9"/>
        <v>129001.16</v>
      </c>
      <c r="R96" s="58"/>
      <c r="S96" s="56"/>
    </row>
    <row r="97" ht="20" customHeight="1" spans="2:19">
      <c r="B97" s="42">
        <v>5</v>
      </c>
      <c r="C97" s="42">
        <v>14</v>
      </c>
      <c r="D97" s="74" t="s">
        <v>121</v>
      </c>
      <c r="E97" s="44" t="s">
        <v>3368</v>
      </c>
      <c r="F97" s="75" t="s">
        <v>3436</v>
      </c>
      <c r="G97" s="56"/>
      <c r="H97" s="56"/>
      <c r="I97" s="55"/>
      <c r="J97" s="56"/>
      <c r="K97" s="56"/>
      <c r="L97" s="56"/>
      <c r="M97" s="56"/>
      <c r="N97" s="56"/>
      <c r="O97" s="61">
        <f t="shared" si="8"/>
        <v>0</v>
      </c>
      <c r="P97" s="55">
        <v>100000</v>
      </c>
      <c r="Q97" s="61">
        <f t="shared" si="9"/>
        <v>29001.1599999999</v>
      </c>
      <c r="R97" s="58"/>
      <c r="S97" s="56"/>
    </row>
    <row r="98" ht="20" customHeight="1" spans="2:19">
      <c r="B98" s="42">
        <v>5</v>
      </c>
      <c r="C98" s="42">
        <v>15</v>
      </c>
      <c r="D98" s="42" t="s">
        <v>16</v>
      </c>
      <c r="E98" s="16" t="s">
        <v>3361</v>
      </c>
      <c r="F98" s="43" t="s">
        <v>478</v>
      </c>
      <c r="G98" s="56"/>
      <c r="H98" s="56"/>
      <c r="I98" s="55"/>
      <c r="J98" s="56"/>
      <c r="K98" s="56"/>
      <c r="L98" s="56"/>
      <c r="M98" s="56"/>
      <c r="N98" s="56"/>
      <c r="O98" s="61">
        <f t="shared" si="8"/>
        <v>0</v>
      </c>
      <c r="P98" s="78">
        <v>1</v>
      </c>
      <c r="Q98" s="61">
        <f t="shared" si="9"/>
        <v>29000.1599999999</v>
      </c>
      <c r="R98" s="58"/>
      <c r="S98" s="56"/>
    </row>
    <row r="99" ht="20" customHeight="1" spans="2:19">
      <c r="B99" s="42">
        <v>5</v>
      </c>
      <c r="C99" s="42">
        <v>15</v>
      </c>
      <c r="D99" s="42" t="s">
        <v>102</v>
      </c>
      <c r="E99" s="44" t="s">
        <v>291</v>
      </c>
      <c r="F99" s="75" t="s">
        <v>3437</v>
      </c>
      <c r="G99" s="56"/>
      <c r="H99" s="56"/>
      <c r="I99" s="55"/>
      <c r="J99" s="56"/>
      <c r="K99" s="56"/>
      <c r="L99" s="56"/>
      <c r="M99" s="56"/>
      <c r="N99" s="56"/>
      <c r="O99" s="61">
        <f t="shared" si="8"/>
        <v>0</v>
      </c>
      <c r="P99" s="55">
        <v>53</v>
      </c>
      <c r="Q99" s="61">
        <f t="shared" si="9"/>
        <v>28947.1599999999</v>
      </c>
      <c r="R99" s="58"/>
      <c r="S99" s="56"/>
    </row>
    <row r="100" ht="20" customHeight="1" spans="2:19">
      <c r="B100" s="42">
        <v>5</v>
      </c>
      <c r="C100" s="42">
        <v>15</v>
      </c>
      <c r="D100" s="74" t="s">
        <v>100</v>
      </c>
      <c r="E100" s="44" t="s">
        <v>291</v>
      </c>
      <c r="F100" s="75" t="s">
        <v>3438</v>
      </c>
      <c r="G100" s="56"/>
      <c r="H100" s="56"/>
      <c r="I100" s="55"/>
      <c r="J100" s="56"/>
      <c r="K100" s="56"/>
      <c r="L100" s="56"/>
      <c r="M100" s="56"/>
      <c r="N100" s="56"/>
      <c r="O100" s="61">
        <f t="shared" si="8"/>
        <v>0</v>
      </c>
      <c r="P100" s="55">
        <v>449</v>
      </c>
      <c r="Q100" s="61">
        <f t="shared" si="9"/>
        <v>28498.1599999999</v>
      </c>
      <c r="R100" s="58"/>
      <c r="S100" s="56"/>
    </row>
    <row r="101" ht="20" customHeight="1" spans="2:19">
      <c r="B101" s="42">
        <v>5</v>
      </c>
      <c r="C101" s="42">
        <v>18</v>
      </c>
      <c r="D101" s="42"/>
      <c r="E101" s="44" t="s">
        <v>3391</v>
      </c>
      <c r="F101" s="75" t="s">
        <v>3439</v>
      </c>
      <c r="G101" s="56">
        <v>41856</v>
      </c>
      <c r="H101" s="56">
        <v>8140.8</v>
      </c>
      <c r="I101" s="55"/>
      <c r="J101" s="56"/>
      <c r="K101" s="56"/>
      <c r="L101" s="56"/>
      <c r="M101" s="56"/>
      <c r="N101" s="56"/>
      <c r="O101" s="61">
        <f t="shared" si="8"/>
        <v>49996.8</v>
      </c>
      <c r="P101" s="56"/>
      <c r="Q101" s="61">
        <f t="shared" si="9"/>
        <v>78494.9599999999</v>
      </c>
      <c r="R101" s="58"/>
      <c r="S101" s="56"/>
    </row>
    <row r="102" ht="20" customHeight="1" spans="2:19">
      <c r="B102" s="42">
        <v>5</v>
      </c>
      <c r="C102" s="42">
        <v>18</v>
      </c>
      <c r="D102" s="42"/>
      <c r="E102" s="93" t="s">
        <v>3119</v>
      </c>
      <c r="F102" s="77" t="s">
        <v>3440</v>
      </c>
      <c r="G102" s="56"/>
      <c r="H102" s="56"/>
      <c r="I102" s="55"/>
      <c r="J102" s="56">
        <v>33370</v>
      </c>
      <c r="K102" s="56"/>
      <c r="L102" s="56"/>
      <c r="M102" s="56"/>
      <c r="N102" s="56"/>
      <c r="O102" s="61">
        <f t="shared" si="8"/>
        <v>33370</v>
      </c>
      <c r="P102" s="56"/>
      <c r="Q102" s="61">
        <f t="shared" si="9"/>
        <v>111864.96</v>
      </c>
      <c r="R102" s="58"/>
      <c r="S102" s="56"/>
    </row>
    <row r="103" ht="20" customHeight="1" spans="2:19">
      <c r="B103" s="42">
        <v>5</v>
      </c>
      <c r="C103" s="42">
        <v>19</v>
      </c>
      <c r="D103" s="42"/>
      <c r="E103" s="44" t="s">
        <v>3441</v>
      </c>
      <c r="F103" s="75" t="s">
        <v>3422</v>
      </c>
      <c r="G103" s="56"/>
      <c r="H103" s="56"/>
      <c r="I103" s="55"/>
      <c r="J103" s="56"/>
      <c r="K103" s="56"/>
      <c r="L103" s="56">
        <v>500</v>
      </c>
      <c r="M103" s="56"/>
      <c r="N103" s="56"/>
      <c r="O103" s="61">
        <v>500</v>
      </c>
      <c r="P103" s="56"/>
      <c r="Q103" s="61">
        <f t="shared" si="9"/>
        <v>112364.96</v>
      </c>
      <c r="R103" s="58"/>
      <c r="S103" s="56"/>
    </row>
    <row r="104" ht="20" customHeight="1" spans="2:19">
      <c r="B104" s="42">
        <v>5</v>
      </c>
      <c r="C104" s="42">
        <v>19</v>
      </c>
      <c r="D104" s="42"/>
      <c r="E104" s="44" t="s">
        <v>3391</v>
      </c>
      <c r="F104" s="75" t="s">
        <v>3442</v>
      </c>
      <c r="G104" s="56"/>
      <c r="H104" s="56"/>
      <c r="I104" s="55">
        <v>155</v>
      </c>
      <c r="J104" s="56"/>
      <c r="K104" s="56"/>
      <c r="L104" s="56"/>
      <c r="M104" s="56"/>
      <c r="N104" s="56"/>
      <c r="O104" s="61">
        <v>155</v>
      </c>
      <c r="P104" s="56"/>
      <c r="Q104" s="61">
        <f t="shared" si="9"/>
        <v>112519.96</v>
      </c>
      <c r="R104" s="58"/>
      <c r="S104" s="56"/>
    </row>
    <row r="105" ht="20" customHeight="1" spans="2:19">
      <c r="B105" s="42">
        <v>5</v>
      </c>
      <c r="C105" s="42">
        <v>20</v>
      </c>
      <c r="D105" s="42"/>
      <c r="E105" s="44" t="s">
        <v>3443</v>
      </c>
      <c r="F105" s="75" t="s">
        <v>3444</v>
      </c>
      <c r="G105" s="56"/>
      <c r="H105" s="56">
        <v>13560</v>
      </c>
      <c r="I105" s="55"/>
      <c r="J105" s="56"/>
      <c r="K105" s="56"/>
      <c r="L105" s="56"/>
      <c r="M105" s="56"/>
      <c r="N105" s="56"/>
      <c r="O105" s="61">
        <v>13560</v>
      </c>
      <c r="P105" s="56"/>
      <c r="Q105" s="61">
        <f t="shared" si="9"/>
        <v>126079.96</v>
      </c>
      <c r="R105" s="58"/>
      <c r="S105" s="56"/>
    </row>
    <row r="106" ht="20" customHeight="1" spans="2:19">
      <c r="B106" s="42">
        <v>5</v>
      </c>
      <c r="C106" s="42">
        <v>22</v>
      </c>
      <c r="D106" s="42"/>
      <c r="E106" s="44" t="s">
        <v>3443</v>
      </c>
      <c r="F106" s="75" t="s">
        <v>3445</v>
      </c>
      <c r="G106" s="56">
        <v>125517</v>
      </c>
      <c r="H106" s="56"/>
      <c r="I106" s="55"/>
      <c r="J106" s="56"/>
      <c r="K106" s="56"/>
      <c r="L106" s="56"/>
      <c r="M106" s="56"/>
      <c r="N106" s="56"/>
      <c r="O106" s="61">
        <v>125517</v>
      </c>
      <c r="P106" s="56"/>
      <c r="Q106" s="61">
        <f t="shared" si="9"/>
        <v>251596.96</v>
      </c>
      <c r="R106" s="58"/>
      <c r="S106" s="56"/>
    </row>
    <row r="107" ht="20" customHeight="1" spans="2:19">
      <c r="B107" s="42">
        <v>5</v>
      </c>
      <c r="C107" s="42">
        <v>26</v>
      </c>
      <c r="D107" s="74" t="s">
        <v>124</v>
      </c>
      <c r="E107" s="44" t="s">
        <v>3374</v>
      </c>
      <c r="F107" s="75" t="s">
        <v>3446</v>
      </c>
      <c r="G107" s="56"/>
      <c r="H107" s="56"/>
      <c r="I107" s="55"/>
      <c r="J107" s="56"/>
      <c r="K107" s="56"/>
      <c r="L107" s="56"/>
      <c r="M107" s="56"/>
      <c r="N107" s="56"/>
      <c r="O107" s="61">
        <v>0</v>
      </c>
      <c r="P107" s="56">
        <v>8417.57</v>
      </c>
      <c r="Q107" s="61">
        <f t="shared" si="9"/>
        <v>243179.39</v>
      </c>
      <c r="R107" s="58"/>
      <c r="S107" s="56"/>
    </row>
    <row r="108" ht="20" customHeight="1" spans="2:19">
      <c r="B108" s="42">
        <v>5</v>
      </c>
      <c r="C108" s="42">
        <v>27</v>
      </c>
      <c r="D108" s="42" t="s">
        <v>16</v>
      </c>
      <c r="E108" s="44" t="s">
        <v>3361</v>
      </c>
      <c r="F108" s="75" t="s">
        <v>478</v>
      </c>
      <c r="G108" s="56"/>
      <c r="H108" s="56"/>
      <c r="I108" s="55"/>
      <c r="J108" s="56"/>
      <c r="K108" s="56"/>
      <c r="L108" s="56"/>
      <c r="M108" s="56"/>
      <c r="N108" s="56"/>
      <c r="O108" s="61">
        <v>0</v>
      </c>
      <c r="P108" s="55">
        <v>15</v>
      </c>
      <c r="Q108" s="61">
        <f t="shared" si="9"/>
        <v>243164.39</v>
      </c>
      <c r="R108" s="58"/>
      <c r="S108" s="56"/>
    </row>
    <row r="109" ht="20" customHeight="1" spans="2:19">
      <c r="B109" s="42">
        <v>5</v>
      </c>
      <c r="C109" s="42">
        <v>27</v>
      </c>
      <c r="D109" s="74" t="s">
        <v>121</v>
      </c>
      <c r="E109" s="44" t="s">
        <v>3368</v>
      </c>
      <c r="F109" s="75" t="s">
        <v>3436</v>
      </c>
      <c r="G109" s="56"/>
      <c r="H109" s="56"/>
      <c r="I109" s="55"/>
      <c r="J109" s="56"/>
      <c r="K109" s="56"/>
      <c r="L109" s="56"/>
      <c r="M109" s="56"/>
      <c r="N109" s="56"/>
      <c r="O109" s="61">
        <v>0</v>
      </c>
      <c r="P109" s="55">
        <v>107266.2</v>
      </c>
      <c r="Q109" s="61">
        <f t="shared" si="9"/>
        <v>135898.19</v>
      </c>
      <c r="R109" s="58"/>
      <c r="S109" s="56"/>
    </row>
    <row r="110" ht="20" customHeight="1" spans="2:19">
      <c r="B110" s="42">
        <v>5</v>
      </c>
      <c r="C110" s="42">
        <v>27</v>
      </c>
      <c r="D110" s="42" t="s">
        <v>16</v>
      </c>
      <c r="E110" s="44" t="s">
        <v>3361</v>
      </c>
      <c r="F110" s="75" t="s">
        <v>478</v>
      </c>
      <c r="G110" s="56"/>
      <c r="H110" s="56"/>
      <c r="I110" s="55"/>
      <c r="J110" s="56"/>
      <c r="K110" s="56"/>
      <c r="L110" s="56"/>
      <c r="M110" s="56"/>
      <c r="N110" s="56"/>
      <c r="O110" s="61">
        <v>0</v>
      </c>
      <c r="P110" s="55">
        <v>1</v>
      </c>
      <c r="Q110" s="61">
        <f t="shared" si="9"/>
        <v>135897.19</v>
      </c>
      <c r="R110" s="58"/>
      <c r="S110" s="56"/>
    </row>
    <row r="111" ht="20" customHeight="1" spans="2:19">
      <c r="B111" s="42">
        <v>5</v>
      </c>
      <c r="C111" s="42">
        <v>27</v>
      </c>
      <c r="D111" s="74" t="s">
        <v>124</v>
      </c>
      <c r="E111" s="44" t="s">
        <v>3370</v>
      </c>
      <c r="F111" s="75" t="s">
        <v>3447</v>
      </c>
      <c r="G111" s="56"/>
      <c r="H111" s="56"/>
      <c r="I111" s="55"/>
      <c r="J111" s="56"/>
      <c r="K111" s="56"/>
      <c r="L111" s="56"/>
      <c r="M111" s="56"/>
      <c r="N111" s="56"/>
      <c r="O111" s="61">
        <v>0</v>
      </c>
      <c r="P111" s="56">
        <v>4302.48</v>
      </c>
      <c r="Q111" s="61">
        <f t="shared" si="9"/>
        <v>131594.71</v>
      </c>
      <c r="R111" s="58"/>
      <c r="S111" s="56"/>
    </row>
    <row r="112" ht="20" customHeight="1" spans="2:19">
      <c r="B112" s="42">
        <v>5</v>
      </c>
      <c r="C112" s="42">
        <v>27</v>
      </c>
      <c r="D112" s="42" t="s">
        <v>16</v>
      </c>
      <c r="E112" s="44" t="s">
        <v>3361</v>
      </c>
      <c r="F112" s="75" t="s">
        <v>478</v>
      </c>
      <c r="G112" s="56"/>
      <c r="H112" s="56"/>
      <c r="I112" s="55"/>
      <c r="J112" s="56"/>
      <c r="K112" s="56"/>
      <c r="L112" s="56"/>
      <c r="M112" s="56"/>
      <c r="N112" s="56"/>
      <c r="O112" s="61">
        <v>0</v>
      </c>
      <c r="P112" s="55">
        <v>1</v>
      </c>
      <c r="Q112" s="61">
        <f t="shared" si="9"/>
        <v>131593.71</v>
      </c>
      <c r="R112" s="58"/>
      <c r="S112" s="56"/>
    </row>
    <row r="113" ht="20" customHeight="1" spans="2:19">
      <c r="B113" s="42">
        <v>5</v>
      </c>
      <c r="C113" s="42">
        <v>27</v>
      </c>
      <c r="D113" s="42" t="s">
        <v>106</v>
      </c>
      <c r="E113" s="44" t="s">
        <v>2583</v>
      </c>
      <c r="F113" s="75" t="s">
        <v>3448</v>
      </c>
      <c r="G113" s="56"/>
      <c r="H113" s="56"/>
      <c r="I113" s="55"/>
      <c r="J113" s="56"/>
      <c r="K113" s="56"/>
      <c r="L113" s="56"/>
      <c r="M113" s="56"/>
      <c r="N113" s="56"/>
      <c r="O113" s="61">
        <v>0</v>
      </c>
      <c r="P113" s="55">
        <v>770.78</v>
      </c>
      <c r="Q113" s="61">
        <f t="shared" si="9"/>
        <v>130822.93</v>
      </c>
      <c r="R113" s="58"/>
      <c r="S113" s="56"/>
    </row>
    <row r="114" ht="20" customHeight="1" spans="2:19">
      <c r="B114" s="68"/>
      <c r="C114" s="68"/>
      <c r="D114" s="68"/>
      <c r="E114" s="69"/>
      <c r="F114" s="70" t="s">
        <v>22</v>
      </c>
      <c r="G114" s="71">
        <f t="shared" ref="G114:P114" si="10">SUM(G86:G113)</f>
        <v>278302.83</v>
      </c>
      <c r="H114" s="71">
        <f t="shared" si="10"/>
        <v>25142.7</v>
      </c>
      <c r="I114" s="71">
        <f t="shared" si="10"/>
        <v>188</v>
      </c>
      <c r="J114" s="71">
        <f t="shared" si="10"/>
        <v>41422</v>
      </c>
      <c r="K114" s="71">
        <f t="shared" si="10"/>
        <v>300</v>
      </c>
      <c r="L114" s="71">
        <f t="shared" si="10"/>
        <v>500</v>
      </c>
      <c r="M114" s="71">
        <f t="shared" si="10"/>
        <v>0</v>
      </c>
      <c r="N114" s="71">
        <f t="shared" si="10"/>
        <v>0</v>
      </c>
      <c r="O114" s="71">
        <f t="shared" si="10"/>
        <v>345855.53</v>
      </c>
      <c r="P114" s="71">
        <f t="shared" si="10"/>
        <v>223854.86</v>
      </c>
      <c r="Q114" s="71">
        <f>Q85+O114-P114</f>
        <v>130822.93</v>
      </c>
      <c r="R114" s="72"/>
      <c r="S114" s="71"/>
    </row>
    <row r="115" ht="20" customHeight="1" spans="2:19">
      <c r="B115" s="42">
        <v>6</v>
      </c>
      <c r="C115" s="42">
        <v>3</v>
      </c>
      <c r="D115" s="42"/>
      <c r="E115" s="93" t="s">
        <v>3374</v>
      </c>
      <c r="F115" s="77" t="s">
        <v>3449</v>
      </c>
      <c r="G115" s="56"/>
      <c r="H115" s="56"/>
      <c r="I115" s="55"/>
      <c r="J115" s="56"/>
      <c r="K115" s="56"/>
      <c r="L115" s="56"/>
      <c r="M115" s="56"/>
      <c r="N115" s="56"/>
      <c r="O115" s="61"/>
      <c r="P115" s="78">
        <v>3906.06</v>
      </c>
      <c r="Q115" s="61">
        <f>Q113+O115-P115</f>
        <v>126916.87</v>
      </c>
      <c r="R115" s="58"/>
      <c r="S115" s="56"/>
    </row>
    <row r="116" ht="20" customHeight="1" spans="2:19">
      <c r="B116" s="42">
        <v>6</v>
      </c>
      <c r="C116" s="42">
        <v>3</v>
      </c>
      <c r="D116" s="42"/>
      <c r="E116" s="44" t="s">
        <v>2638</v>
      </c>
      <c r="F116" s="77" t="s">
        <v>3450</v>
      </c>
      <c r="G116" s="56"/>
      <c r="H116" s="56"/>
      <c r="I116" s="55"/>
      <c r="J116" s="56"/>
      <c r="K116" s="56"/>
      <c r="L116" s="56"/>
      <c r="M116" s="56"/>
      <c r="N116" s="56"/>
      <c r="O116" s="78">
        <v>1465.05</v>
      </c>
      <c r="P116" s="56"/>
      <c r="Q116" s="61">
        <f t="shared" ref="Q116:Q155" si="11">Q115+O116-P116</f>
        <v>128381.92</v>
      </c>
      <c r="R116" s="58"/>
      <c r="S116" s="56"/>
    </row>
    <row r="117" ht="20" customHeight="1" spans="2:19">
      <c r="B117" s="42">
        <v>6</v>
      </c>
      <c r="C117" s="42">
        <v>3</v>
      </c>
      <c r="D117" s="42"/>
      <c r="E117" s="44" t="s">
        <v>213</v>
      </c>
      <c r="F117" s="75" t="s">
        <v>3451</v>
      </c>
      <c r="G117" s="56"/>
      <c r="H117" s="56"/>
      <c r="I117" s="55"/>
      <c r="J117" s="56"/>
      <c r="K117" s="56"/>
      <c r="L117" s="56"/>
      <c r="M117" s="56"/>
      <c r="N117" s="56"/>
      <c r="O117" s="61">
        <f>SUM(G117:N117)-N117</f>
        <v>0</v>
      </c>
      <c r="P117" s="55">
        <v>1465.05</v>
      </c>
      <c r="Q117" s="61">
        <f t="shared" si="11"/>
        <v>126916.87</v>
      </c>
      <c r="R117" s="58"/>
      <c r="S117" s="56"/>
    </row>
    <row r="118" ht="20" customHeight="1" spans="2:19">
      <c r="B118" s="42">
        <v>6</v>
      </c>
      <c r="C118" s="42">
        <v>8</v>
      </c>
      <c r="D118" s="42"/>
      <c r="E118" s="44" t="s">
        <v>3432</v>
      </c>
      <c r="F118" s="75" t="s">
        <v>3452</v>
      </c>
      <c r="G118" s="55">
        <v>7194</v>
      </c>
      <c r="H118" s="56"/>
      <c r="I118" s="55"/>
      <c r="J118" s="56"/>
      <c r="K118" s="56"/>
      <c r="L118" s="56"/>
      <c r="M118" s="56"/>
      <c r="N118" s="56"/>
      <c r="O118" s="61">
        <f>SUM(G118:N118)-N118</f>
        <v>7194</v>
      </c>
      <c r="P118" s="56"/>
      <c r="Q118" s="61">
        <f t="shared" si="11"/>
        <v>134110.87</v>
      </c>
      <c r="R118" s="58"/>
      <c r="S118" s="56"/>
    </row>
    <row r="119" ht="20" customHeight="1" spans="2:19">
      <c r="B119" s="42">
        <v>6</v>
      </c>
      <c r="C119" s="42">
        <v>8</v>
      </c>
      <c r="D119" s="42"/>
      <c r="E119" s="44" t="s">
        <v>3432</v>
      </c>
      <c r="F119" s="75" t="s">
        <v>3453</v>
      </c>
      <c r="G119" s="55">
        <v>2798.4</v>
      </c>
      <c r="H119" s="56"/>
      <c r="I119" s="55"/>
      <c r="J119" s="56"/>
      <c r="K119" s="56"/>
      <c r="L119" s="56"/>
      <c r="M119" s="56"/>
      <c r="N119" s="56"/>
      <c r="O119" s="61">
        <f>SUM(G119:N119)-N119</f>
        <v>2798.4</v>
      </c>
      <c r="P119" s="56"/>
      <c r="Q119" s="61">
        <f t="shared" si="11"/>
        <v>136909.27</v>
      </c>
      <c r="R119" s="58"/>
      <c r="S119" s="56"/>
    </row>
    <row r="120" ht="20" customHeight="1" spans="2:19">
      <c r="B120" s="42">
        <v>6</v>
      </c>
      <c r="C120" s="42">
        <v>8</v>
      </c>
      <c r="D120" s="74" t="s">
        <v>69</v>
      </c>
      <c r="E120" s="44" t="s">
        <v>2638</v>
      </c>
      <c r="F120" s="75" t="s">
        <v>3366</v>
      </c>
      <c r="G120" s="56"/>
      <c r="H120" s="56"/>
      <c r="I120" s="55"/>
      <c r="J120" s="56"/>
      <c r="K120" s="56"/>
      <c r="L120" s="56"/>
      <c r="M120" s="56"/>
      <c r="N120" s="56"/>
      <c r="O120" s="78">
        <v>6000</v>
      </c>
      <c r="P120" s="56"/>
      <c r="Q120" s="61">
        <f t="shared" si="11"/>
        <v>142909.27</v>
      </c>
      <c r="R120" s="58"/>
      <c r="S120" s="56"/>
    </row>
    <row r="121" ht="20" customHeight="1" spans="2:19">
      <c r="B121" s="42">
        <v>6</v>
      </c>
      <c r="C121" s="42">
        <v>9</v>
      </c>
      <c r="D121" s="42"/>
      <c r="E121" s="44" t="s">
        <v>3385</v>
      </c>
      <c r="F121" s="75" t="s">
        <v>3454</v>
      </c>
      <c r="G121" s="55">
        <v>1299.83</v>
      </c>
      <c r="H121" s="55">
        <v>79.5</v>
      </c>
      <c r="I121" s="55">
        <v>6</v>
      </c>
      <c r="J121" s="56"/>
      <c r="K121" s="56"/>
      <c r="L121" s="56"/>
      <c r="M121" s="56"/>
      <c r="N121" s="56"/>
      <c r="O121" s="61">
        <f>SUM(G121:N121)-N121</f>
        <v>1385.33</v>
      </c>
      <c r="P121" s="56"/>
      <c r="Q121" s="61">
        <f t="shared" si="11"/>
        <v>144294.6</v>
      </c>
      <c r="R121" s="58"/>
      <c r="S121" s="56"/>
    </row>
    <row r="122" ht="20" customHeight="1" spans="2:19">
      <c r="B122" s="42">
        <v>6</v>
      </c>
      <c r="C122" s="42">
        <v>9</v>
      </c>
      <c r="D122" s="42"/>
      <c r="E122" s="44" t="s">
        <v>3381</v>
      </c>
      <c r="F122" s="75" t="s">
        <v>3455</v>
      </c>
      <c r="G122" s="55"/>
      <c r="H122" s="55"/>
      <c r="I122" s="55">
        <v>29</v>
      </c>
      <c r="J122" s="56"/>
      <c r="K122" s="56"/>
      <c r="L122" s="56"/>
      <c r="M122" s="56"/>
      <c r="N122" s="56"/>
      <c r="O122" s="61">
        <f>SUM(G122:N122)-N122</f>
        <v>29</v>
      </c>
      <c r="P122" s="56"/>
      <c r="Q122" s="61">
        <f t="shared" si="11"/>
        <v>144323.6</v>
      </c>
      <c r="R122" s="58"/>
      <c r="S122" s="56"/>
    </row>
    <row r="123" ht="24.75" spans="2:19">
      <c r="B123" s="42">
        <v>6</v>
      </c>
      <c r="C123" s="42">
        <v>9</v>
      </c>
      <c r="D123" s="74" t="s">
        <v>119</v>
      </c>
      <c r="E123" s="44" t="s">
        <v>416</v>
      </c>
      <c r="F123" s="77" t="s">
        <v>3456</v>
      </c>
      <c r="G123" s="56"/>
      <c r="H123" s="56"/>
      <c r="I123" s="55"/>
      <c r="J123" s="56"/>
      <c r="K123" s="56"/>
      <c r="L123" s="56"/>
      <c r="M123" s="56"/>
      <c r="N123" s="56"/>
      <c r="O123" s="61">
        <f>SUM(G123:N123)-N123</f>
        <v>0</v>
      </c>
      <c r="P123" s="55">
        <v>853.76</v>
      </c>
      <c r="Q123" s="61">
        <f t="shared" si="11"/>
        <v>143469.84</v>
      </c>
      <c r="R123" s="58"/>
      <c r="S123" s="56"/>
    </row>
    <row r="124" ht="20" customHeight="1" spans="2:19">
      <c r="B124" s="42">
        <v>6</v>
      </c>
      <c r="C124" s="42">
        <v>9</v>
      </c>
      <c r="D124" s="74" t="s">
        <v>119</v>
      </c>
      <c r="E124" s="93" t="s">
        <v>213</v>
      </c>
      <c r="F124" s="75" t="s">
        <v>3457</v>
      </c>
      <c r="G124" s="56"/>
      <c r="H124" s="56"/>
      <c r="I124" s="55"/>
      <c r="J124" s="56"/>
      <c r="K124" s="56"/>
      <c r="L124" s="56"/>
      <c r="M124" s="56"/>
      <c r="N124" s="56"/>
      <c r="O124" s="61">
        <f>SUM(G124:N124)-N124</f>
        <v>0</v>
      </c>
      <c r="P124" s="55">
        <v>43.85</v>
      </c>
      <c r="Q124" s="61">
        <f t="shared" si="11"/>
        <v>143425.99</v>
      </c>
      <c r="R124" s="58"/>
      <c r="S124" s="56"/>
    </row>
    <row r="125" ht="20" customHeight="1" spans="2:19">
      <c r="B125" s="42">
        <v>6</v>
      </c>
      <c r="C125" s="42">
        <v>12</v>
      </c>
      <c r="D125" s="42"/>
      <c r="E125" s="44" t="s">
        <v>3407</v>
      </c>
      <c r="F125" s="77" t="s">
        <v>3458</v>
      </c>
      <c r="G125" s="55"/>
      <c r="H125" s="55"/>
      <c r="I125" s="55"/>
      <c r="J125" s="55"/>
      <c r="K125" s="55">
        <v>300</v>
      </c>
      <c r="L125" s="56"/>
      <c r="M125" s="56"/>
      <c r="N125" s="56"/>
      <c r="O125" s="61">
        <f>SUM(G125:N125)-N125</f>
        <v>300</v>
      </c>
      <c r="P125" s="56"/>
      <c r="Q125" s="61">
        <f t="shared" si="11"/>
        <v>143725.99</v>
      </c>
      <c r="R125" s="58"/>
      <c r="S125" s="56"/>
    </row>
    <row r="126" ht="20" customHeight="1" spans="2:19">
      <c r="B126" s="42">
        <v>6</v>
      </c>
      <c r="C126" s="42">
        <v>15</v>
      </c>
      <c r="D126" s="42" t="s">
        <v>16</v>
      </c>
      <c r="E126" s="44" t="s">
        <v>3361</v>
      </c>
      <c r="F126" s="75" t="s">
        <v>478</v>
      </c>
      <c r="G126" s="56"/>
      <c r="H126" s="56"/>
      <c r="I126" s="55"/>
      <c r="J126" s="56"/>
      <c r="K126" s="56"/>
      <c r="L126" s="56"/>
      <c r="M126" s="56"/>
      <c r="N126" s="56"/>
      <c r="O126" s="61">
        <v>0</v>
      </c>
      <c r="P126" s="55">
        <v>1</v>
      </c>
      <c r="Q126" s="61">
        <f t="shared" si="11"/>
        <v>143724.99</v>
      </c>
      <c r="R126" s="58"/>
      <c r="S126" s="56"/>
    </row>
    <row r="127" ht="20" customHeight="1" spans="2:19">
      <c r="B127" s="42">
        <v>6</v>
      </c>
      <c r="C127" s="42">
        <v>15</v>
      </c>
      <c r="D127" s="42" t="s">
        <v>101</v>
      </c>
      <c r="E127" s="44" t="s">
        <v>291</v>
      </c>
      <c r="F127" s="75" t="s">
        <v>3459</v>
      </c>
      <c r="G127" s="56"/>
      <c r="H127" s="56"/>
      <c r="I127" s="55"/>
      <c r="J127" s="56"/>
      <c r="K127" s="56"/>
      <c r="L127" s="56"/>
      <c r="M127" s="56"/>
      <c r="N127" s="56"/>
      <c r="O127" s="61">
        <f>SUM(G127:N127)-N127</f>
        <v>0</v>
      </c>
      <c r="P127" s="55">
        <v>175</v>
      </c>
      <c r="Q127" s="61">
        <f t="shared" si="11"/>
        <v>143549.99</v>
      </c>
      <c r="R127" s="58"/>
      <c r="S127" s="56"/>
    </row>
    <row r="128" ht="20" customHeight="1" spans="2:19">
      <c r="B128" s="42">
        <v>6</v>
      </c>
      <c r="C128" s="42">
        <v>15</v>
      </c>
      <c r="D128" s="42" t="s">
        <v>103</v>
      </c>
      <c r="E128" s="44" t="s">
        <v>291</v>
      </c>
      <c r="F128" s="75" t="s">
        <v>3460</v>
      </c>
      <c r="G128" s="56"/>
      <c r="H128" s="56"/>
      <c r="I128" s="55"/>
      <c r="J128" s="56"/>
      <c r="K128" s="56"/>
      <c r="L128" s="56"/>
      <c r="M128" s="56"/>
      <c r="N128" s="56"/>
      <c r="O128" s="61">
        <f>SUM(G128:N128)-N128</f>
        <v>0</v>
      </c>
      <c r="P128" s="55">
        <v>100</v>
      </c>
      <c r="Q128" s="61">
        <f t="shared" si="11"/>
        <v>143449.99</v>
      </c>
      <c r="R128" s="58"/>
      <c r="S128" s="56"/>
    </row>
    <row r="129" ht="20" customHeight="1" spans="2:19">
      <c r="B129" s="42">
        <v>6</v>
      </c>
      <c r="C129" s="42">
        <v>15</v>
      </c>
      <c r="D129" s="74" t="s">
        <v>101</v>
      </c>
      <c r="E129" s="44" t="s">
        <v>291</v>
      </c>
      <c r="F129" s="75" t="s">
        <v>3461</v>
      </c>
      <c r="G129" s="56"/>
      <c r="H129" s="56"/>
      <c r="I129" s="55"/>
      <c r="J129" s="56"/>
      <c r="K129" s="56"/>
      <c r="L129" s="56"/>
      <c r="M129" s="56"/>
      <c r="N129" s="56"/>
      <c r="O129" s="61">
        <f>SUM(G129:N129)-N129</f>
        <v>0</v>
      </c>
      <c r="P129" s="55">
        <v>81.61</v>
      </c>
      <c r="Q129" s="61">
        <f t="shared" si="11"/>
        <v>143368.38</v>
      </c>
      <c r="R129" s="58"/>
      <c r="S129" s="56"/>
    </row>
    <row r="130" ht="20" customHeight="1" spans="2:19">
      <c r="B130" s="42">
        <v>6</v>
      </c>
      <c r="C130" s="42">
        <v>17</v>
      </c>
      <c r="D130" s="42" t="s">
        <v>16</v>
      </c>
      <c r="E130" s="44" t="s">
        <v>3361</v>
      </c>
      <c r="F130" s="75" t="s">
        <v>478</v>
      </c>
      <c r="G130" s="56"/>
      <c r="H130" s="56"/>
      <c r="I130" s="55"/>
      <c r="J130" s="56"/>
      <c r="K130" s="56"/>
      <c r="L130" s="56"/>
      <c r="M130" s="56"/>
      <c r="N130" s="56"/>
      <c r="O130" s="61">
        <v>0</v>
      </c>
      <c r="P130" s="55">
        <v>1</v>
      </c>
      <c r="Q130" s="61">
        <f t="shared" si="11"/>
        <v>143367.38</v>
      </c>
      <c r="R130" s="58"/>
      <c r="S130" s="56"/>
    </row>
    <row r="131" ht="20" customHeight="1" spans="2:19">
      <c r="B131" s="42">
        <v>6</v>
      </c>
      <c r="C131" s="42">
        <v>17</v>
      </c>
      <c r="D131" s="74" t="s">
        <v>121</v>
      </c>
      <c r="E131" s="44" t="s">
        <v>3368</v>
      </c>
      <c r="F131" s="75" t="s">
        <v>3462</v>
      </c>
      <c r="G131" s="56"/>
      <c r="H131" s="56"/>
      <c r="I131" s="55"/>
      <c r="J131" s="56"/>
      <c r="K131" s="56"/>
      <c r="L131" s="56"/>
      <c r="M131" s="56"/>
      <c r="N131" s="56"/>
      <c r="O131" s="61">
        <f t="shared" ref="O131:O137" si="12">SUM(G131:N131)-N131</f>
        <v>0</v>
      </c>
      <c r="P131" s="55">
        <v>100000</v>
      </c>
      <c r="Q131" s="61">
        <f t="shared" si="11"/>
        <v>43367.38</v>
      </c>
      <c r="R131" s="58"/>
      <c r="S131" s="56"/>
    </row>
    <row r="132" ht="20" customHeight="1" spans="2:19">
      <c r="B132" s="42">
        <v>6</v>
      </c>
      <c r="C132" s="42">
        <v>17</v>
      </c>
      <c r="D132" s="42"/>
      <c r="E132" s="44" t="s">
        <v>3421</v>
      </c>
      <c r="F132" s="75" t="s">
        <v>3422</v>
      </c>
      <c r="G132" s="55"/>
      <c r="H132" s="55"/>
      <c r="I132" s="55"/>
      <c r="J132" s="55"/>
      <c r="K132" s="55"/>
      <c r="L132" s="55">
        <v>500</v>
      </c>
      <c r="M132" s="56"/>
      <c r="N132" s="56"/>
      <c r="O132" s="61">
        <f t="shared" si="12"/>
        <v>500</v>
      </c>
      <c r="P132" s="56"/>
      <c r="Q132" s="61">
        <f t="shared" si="11"/>
        <v>43867.38</v>
      </c>
      <c r="R132" s="58"/>
      <c r="S132" s="56"/>
    </row>
    <row r="133" ht="20" customHeight="1" spans="2:19">
      <c r="B133" s="42">
        <v>6</v>
      </c>
      <c r="C133" s="42">
        <v>21</v>
      </c>
      <c r="D133" s="42" t="s">
        <v>29</v>
      </c>
      <c r="E133" s="44" t="s">
        <v>3361</v>
      </c>
      <c r="F133" s="75" t="s">
        <v>29</v>
      </c>
      <c r="G133" s="55"/>
      <c r="H133" s="55"/>
      <c r="I133" s="55"/>
      <c r="J133" s="55"/>
      <c r="K133" s="55"/>
      <c r="L133" s="55"/>
      <c r="M133" s="55">
        <v>11.72</v>
      </c>
      <c r="N133" s="56"/>
      <c r="O133" s="61">
        <f t="shared" si="12"/>
        <v>11.72</v>
      </c>
      <c r="P133" s="56"/>
      <c r="Q133" s="61">
        <f t="shared" si="11"/>
        <v>43879.1</v>
      </c>
      <c r="R133" s="58"/>
      <c r="S133" s="56"/>
    </row>
    <row r="134" ht="20" customHeight="1" spans="2:19">
      <c r="B134" s="42">
        <v>6</v>
      </c>
      <c r="C134" s="42">
        <v>22</v>
      </c>
      <c r="D134" s="42"/>
      <c r="E134" s="44" t="s">
        <v>3381</v>
      </c>
      <c r="F134" s="75" t="s">
        <v>3463</v>
      </c>
      <c r="G134" s="55"/>
      <c r="H134" s="55"/>
      <c r="I134" s="55">
        <v>2000</v>
      </c>
      <c r="J134" s="56"/>
      <c r="K134" s="56"/>
      <c r="L134" s="56"/>
      <c r="M134" s="56"/>
      <c r="N134" s="56"/>
      <c r="O134" s="61">
        <f t="shared" si="12"/>
        <v>2000</v>
      </c>
      <c r="P134" s="56"/>
      <c r="Q134" s="61">
        <f t="shared" si="11"/>
        <v>45879.1</v>
      </c>
      <c r="R134" s="58"/>
      <c r="S134" s="56"/>
    </row>
    <row r="135" ht="20" customHeight="1" spans="2:19">
      <c r="B135" s="42">
        <v>6</v>
      </c>
      <c r="C135" s="42">
        <v>23</v>
      </c>
      <c r="D135" s="42"/>
      <c r="E135" s="44" t="s">
        <v>3464</v>
      </c>
      <c r="F135" s="77" t="s">
        <v>3465</v>
      </c>
      <c r="G135" s="55">
        <v>2102.48</v>
      </c>
      <c r="H135" s="55">
        <v>416.49</v>
      </c>
      <c r="I135" s="55"/>
      <c r="J135" s="56"/>
      <c r="K135" s="56"/>
      <c r="L135" s="56"/>
      <c r="M135" s="56"/>
      <c r="N135" s="56"/>
      <c r="O135" s="61">
        <f t="shared" si="12"/>
        <v>2518.97</v>
      </c>
      <c r="P135" s="56"/>
      <c r="Q135" s="61">
        <f t="shared" si="11"/>
        <v>48398.07</v>
      </c>
      <c r="R135" s="58"/>
      <c r="S135" s="56"/>
    </row>
    <row r="136" ht="20" customHeight="1" spans="2:19">
      <c r="B136" s="42">
        <v>6</v>
      </c>
      <c r="C136" s="42">
        <v>23</v>
      </c>
      <c r="D136" s="42"/>
      <c r="E136" s="44" t="s">
        <v>3464</v>
      </c>
      <c r="F136" s="75" t="s">
        <v>3466</v>
      </c>
      <c r="G136" s="55">
        <v>8800</v>
      </c>
      <c r="H136" s="56"/>
      <c r="I136" s="55"/>
      <c r="J136" s="56"/>
      <c r="K136" s="56"/>
      <c r="L136" s="56"/>
      <c r="M136" s="56"/>
      <c r="N136" s="56"/>
      <c r="O136" s="61">
        <f t="shared" si="12"/>
        <v>8800</v>
      </c>
      <c r="P136" s="56"/>
      <c r="Q136" s="61">
        <f t="shared" si="11"/>
        <v>57198.07</v>
      </c>
      <c r="R136" s="58"/>
      <c r="S136" s="56"/>
    </row>
    <row r="137" ht="24.75" spans="2:19">
      <c r="B137" s="42">
        <v>6</v>
      </c>
      <c r="C137" s="42">
        <v>23</v>
      </c>
      <c r="D137" s="42"/>
      <c r="E137" s="44" t="s">
        <v>3464</v>
      </c>
      <c r="F137" s="77" t="s">
        <v>3467</v>
      </c>
      <c r="G137" s="55">
        <v>6565.36</v>
      </c>
      <c r="H137" s="56"/>
      <c r="I137" s="55"/>
      <c r="J137" s="56"/>
      <c r="K137" s="56"/>
      <c r="L137" s="56"/>
      <c r="M137" s="56"/>
      <c r="N137" s="56"/>
      <c r="O137" s="61">
        <f t="shared" si="12"/>
        <v>6565.36</v>
      </c>
      <c r="P137" s="56"/>
      <c r="Q137" s="61">
        <f t="shared" si="11"/>
        <v>63763.43</v>
      </c>
      <c r="R137" s="58"/>
      <c r="S137" s="56"/>
    </row>
    <row r="138" ht="20" customHeight="1" spans="2:19">
      <c r="B138" s="42">
        <v>6</v>
      </c>
      <c r="C138" s="42">
        <v>23</v>
      </c>
      <c r="D138" s="42" t="s">
        <v>16</v>
      </c>
      <c r="E138" s="44" t="s">
        <v>3361</v>
      </c>
      <c r="F138" s="75" t="s">
        <v>478</v>
      </c>
      <c r="G138" s="56"/>
      <c r="H138" s="56"/>
      <c r="I138" s="55"/>
      <c r="J138" s="56"/>
      <c r="K138" s="56"/>
      <c r="L138" s="56"/>
      <c r="M138" s="56"/>
      <c r="N138" s="56"/>
      <c r="O138" s="61">
        <v>0</v>
      </c>
      <c r="P138" s="55">
        <v>1</v>
      </c>
      <c r="Q138" s="61">
        <f t="shared" si="11"/>
        <v>63762.43</v>
      </c>
      <c r="R138" s="58"/>
      <c r="S138" s="56"/>
    </row>
    <row r="139" ht="20" customHeight="1" spans="2:19">
      <c r="B139" s="42">
        <v>6</v>
      </c>
      <c r="C139" s="42">
        <v>23</v>
      </c>
      <c r="D139" s="42" t="s">
        <v>104</v>
      </c>
      <c r="E139" s="44" t="s">
        <v>3468</v>
      </c>
      <c r="F139" s="77" t="s">
        <v>3469</v>
      </c>
      <c r="G139" s="56"/>
      <c r="H139" s="56"/>
      <c r="I139" s="55"/>
      <c r="J139" s="56"/>
      <c r="K139" s="56"/>
      <c r="L139" s="56"/>
      <c r="M139" s="56"/>
      <c r="N139" s="56"/>
      <c r="O139" s="61">
        <f>SUM(G139:N139)-N139</f>
        <v>0</v>
      </c>
      <c r="P139" s="55">
        <v>8000</v>
      </c>
      <c r="Q139" s="61">
        <f t="shared" si="11"/>
        <v>55762.43</v>
      </c>
      <c r="R139" s="58"/>
      <c r="S139" s="56"/>
    </row>
    <row r="140" ht="20" customHeight="1" spans="2:19">
      <c r="B140" s="42">
        <v>6</v>
      </c>
      <c r="C140" s="42">
        <v>25</v>
      </c>
      <c r="D140" s="74" t="s">
        <v>69</v>
      </c>
      <c r="E140" s="44" t="s">
        <v>335</v>
      </c>
      <c r="F140" s="75" t="s">
        <v>3395</v>
      </c>
      <c r="G140" s="56"/>
      <c r="H140" s="56"/>
      <c r="I140" s="55"/>
      <c r="J140" s="56"/>
      <c r="K140" s="56"/>
      <c r="L140" s="56"/>
      <c r="M140" s="56"/>
      <c r="N140" s="56"/>
      <c r="O140" s="78">
        <v>80000</v>
      </c>
      <c r="P140" s="56"/>
      <c r="Q140" s="61">
        <f t="shared" si="11"/>
        <v>135762.43</v>
      </c>
      <c r="R140" s="58"/>
      <c r="S140" s="56"/>
    </row>
    <row r="141" ht="20" customHeight="1" spans="2:19">
      <c r="B141" s="42">
        <v>6</v>
      </c>
      <c r="C141" s="42">
        <v>25</v>
      </c>
      <c r="D141" s="42" t="s">
        <v>16</v>
      </c>
      <c r="E141" s="44" t="s">
        <v>3361</v>
      </c>
      <c r="F141" s="75" t="s">
        <v>478</v>
      </c>
      <c r="G141" s="56"/>
      <c r="H141" s="56"/>
      <c r="I141" s="55"/>
      <c r="J141" s="56"/>
      <c r="K141" s="56"/>
      <c r="L141" s="56"/>
      <c r="M141" s="56"/>
      <c r="N141" s="56"/>
      <c r="O141" s="61">
        <v>0</v>
      </c>
      <c r="P141" s="55">
        <v>3</v>
      </c>
      <c r="Q141" s="61">
        <f t="shared" si="11"/>
        <v>135759.43</v>
      </c>
      <c r="R141" s="58"/>
      <c r="S141" s="56"/>
    </row>
    <row r="142" ht="20" customHeight="1" spans="2:19">
      <c r="B142" s="42">
        <v>6</v>
      </c>
      <c r="C142" s="42">
        <v>25</v>
      </c>
      <c r="D142" s="74" t="s">
        <v>121</v>
      </c>
      <c r="E142" s="44" t="s">
        <v>3368</v>
      </c>
      <c r="F142" s="75" t="s">
        <v>3462</v>
      </c>
      <c r="G142" s="56"/>
      <c r="H142" s="56"/>
      <c r="I142" s="55"/>
      <c r="J142" s="56"/>
      <c r="K142" s="56"/>
      <c r="L142" s="56"/>
      <c r="M142" s="56"/>
      <c r="N142" s="56"/>
      <c r="O142" s="61">
        <f>SUM(G142:N142)-N142</f>
        <v>0</v>
      </c>
      <c r="P142" s="55">
        <v>107266.2</v>
      </c>
      <c r="Q142" s="61">
        <f t="shared" si="11"/>
        <v>28493.23</v>
      </c>
      <c r="R142" s="58"/>
      <c r="S142" s="56"/>
    </row>
    <row r="143" ht="20" customHeight="1" spans="2:19">
      <c r="B143" s="42">
        <v>6</v>
      </c>
      <c r="C143" s="42">
        <v>25</v>
      </c>
      <c r="D143" s="74" t="s">
        <v>124</v>
      </c>
      <c r="E143" s="44" t="s">
        <v>3370</v>
      </c>
      <c r="F143" s="75" t="s">
        <v>3470</v>
      </c>
      <c r="G143" s="56"/>
      <c r="H143" s="56"/>
      <c r="I143" s="55"/>
      <c r="J143" s="56"/>
      <c r="K143" s="56"/>
      <c r="L143" s="56"/>
      <c r="M143" s="56"/>
      <c r="N143" s="56"/>
      <c r="O143" s="61">
        <f>SUM(G143:N143)-N143</f>
        <v>0</v>
      </c>
      <c r="P143" s="55">
        <v>3807.44</v>
      </c>
      <c r="Q143" s="61">
        <f t="shared" si="11"/>
        <v>24685.79</v>
      </c>
      <c r="R143" s="58"/>
      <c r="S143" s="56"/>
    </row>
    <row r="144" ht="36.75" spans="2:19">
      <c r="B144" s="42">
        <v>6</v>
      </c>
      <c r="C144" s="42">
        <v>26</v>
      </c>
      <c r="D144" s="42" t="s">
        <v>124</v>
      </c>
      <c r="E144" s="93" t="s">
        <v>3374</v>
      </c>
      <c r="F144" s="77" t="s">
        <v>3471</v>
      </c>
      <c r="G144" s="56"/>
      <c r="H144" s="56"/>
      <c r="I144" s="55"/>
      <c r="J144" s="56"/>
      <c r="K144" s="56"/>
      <c r="L144" s="56"/>
      <c r="M144" s="56"/>
      <c r="N144" s="56"/>
      <c r="O144" s="61">
        <f>SUM(G144:N144)-N144</f>
        <v>0</v>
      </c>
      <c r="P144" s="55">
        <v>11687.96</v>
      </c>
      <c r="Q144" s="61">
        <f t="shared" si="11"/>
        <v>12997.83</v>
      </c>
      <c r="R144" s="58"/>
      <c r="S144" s="56"/>
    </row>
    <row r="145" ht="20" customHeight="1" spans="2:19">
      <c r="B145" s="42">
        <v>6</v>
      </c>
      <c r="C145" s="42">
        <v>29</v>
      </c>
      <c r="D145" s="74" t="s">
        <v>69</v>
      </c>
      <c r="E145" s="44" t="s">
        <v>335</v>
      </c>
      <c r="F145" s="75" t="s">
        <v>3395</v>
      </c>
      <c r="G145" s="56"/>
      <c r="H145" s="56"/>
      <c r="I145" s="55"/>
      <c r="J145" s="56"/>
      <c r="K145" s="56"/>
      <c r="L145" s="56"/>
      <c r="M145" s="56"/>
      <c r="N145" s="56"/>
      <c r="O145" s="78">
        <v>20000</v>
      </c>
      <c r="P145" s="56"/>
      <c r="Q145" s="61">
        <f t="shared" si="11"/>
        <v>32997.83</v>
      </c>
      <c r="R145" s="58"/>
      <c r="S145" s="56"/>
    </row>
    <row r="146" ht="34" customHeight="1" spans="2:19">
      <c r="B146" s="42">
        <v>6</v>
      </c>
      <c r="C146" s="42">
        <v>29</v>
      </c>
      <c r="D146" s="42" t="s">
        <v>106</v>
      </c>
      <c r="E146" s="44" t="s">
        <v>3022</v>
      </c>
      <c r="F146" s="77" t="s">
        <v>3472</v>
      </c>
      <c r="G146" s="56"/>
      <c r="H146" s="56"/>
      <c r="I146" s="55"/>
      <c r="J146" s="56"/>
      <c r="K146" s="56"/>
      <c r="L146" s="56"/>
      <c r="M146" s="56"/>
      <c r="N146" s="56"/>
      <c r="O146" s="61">
        <f>SUM(G146:N146)-N146</f>
        <v>0</v>
      </c>
      <c r="P146" s="56">
        <v>5151.23</v>
      </c>
      <c r="Q146" s="61">
        <f t="shared" si="11"/>
        <v>27846.6</v>
      </c>
      <c r="R146" s="58"/>
      <c r="S146" s="56"/>
    </row>
    <row r="147" ht="20" customHeight="1" spans="2:19">
      <c r="B147" s="42">
        <v>6</v>
      </c>
      <c r="C147" s="42">
        <v>29</v>
      </c>
      <c r="D147" s="42" t="s">
        <v>16</v>
      </c>
      <c r="E147" s="44" t="s">
        <v>3361</v>
      </c>
      <c r="F147" s="75" t="s">
        <v>478</v>
      </c>
      <c r="G147" s="56"/>
      <c r="H147" s="56"/>
      <c r="I147" s="55"/>
      <c r="J147" s="56"/>
      <c r="K147" s="56"/>
      <c r="L147" s="56"/>
      <c r="M147" s="56"/>
      <c r="N147" s="56"/>
      <c r="O147" s="61">
        <v>0</v>
      </c>
      <c r="P147" s="55">
        <v>1</v>
      </c>
      <c r="Q147" s="61">
        <f t="shared" si="11"/>
        <v>27845.6</v>
      </c>
      <c r="R147" s="58"/>
      <c r="S147" s="56"/>
    </row>
    <row r="148" ht="20" customHeight="1" spans="2:19">
      <c r="B148" s="42">
        <v>6</v>
      </c>
      <c r="C148" s="42">
        <v>29</v>
      </c>
      <c r="D148" s="74" t="s">
        <v>100</v>
      </c>
      <c r="E148" s="93" t="s">
        <v>3473</v>
      </c>
      <c r="F148" s="77" t="s">
        <v>3474</v>
      </c>
      <c r="G148" s="56"/>
      <c r="H148" s="56"/>
      <c r="I148" s="55"/>
      <c r="J148" s="56"/>
      <c r="K148" s="56"/>
      <c r="L148" s="56"/>
      <c r="M148" s="56"/>
      <c r="N148" s="56"/>
      <c r="O148" s="61">
        <f>SUM(G148:N148)-N148</f>
        <v>0</v>
      </c>
      <c r="P148" s="55">
        <v>1538</v>
      </c>
      <c r="Q148" s="61">
        <f t="shared" si="11"/>
        <v>26307.6</v>
      </c>
      <c r="R148" s="58"/>
      <c r="S148" s="56"/>
    </row>
    <row r="149" ht="20" customHeight="1" spans="2:19">
      <c r="B149" s="42">
        <v>6</v>
      </c>
      <c r="C149" s="42">
        <v>29</v>
      </c>
      <c r="D149" s="42" t="s">
        <v>16</v>
      </c>
      <c r="E149" s="44" t="s">
        <v>3361</v>
      </c>
      <c r="F149" s="75" t="s">
        <v>478</v>
      </c>
      <c r="G149" s="56"/>
      <c r="H149" s="56"/>
      <c r="I149" s="55"/>
      <c r="J149" s="56"/>
      <c r="K149" s="56"/>
      <c r="L149" s="56"/>
      <c r="M149" s="56"/>
      <c r="N149" s="56"/>
      <c r="O149" s="61">
        <v>0</v>
      </c>
      <c r="P149" s="55">
        <v>2</v>
      </c>
      <c r="Q149" s="61">
        <f t="shared" si="11"/>
        <v>26305.6</v>
      </c>
      <c r="R149" s="58"/>
      <c r="S149" s="56"/>
    </row>
    <row r="150" ht="20" customHeight="1" spans="2:19">
      <c r="B150" s="42">
        <v>6</v>
      </c>
      <c r="C150" s="42">
        <v>29</v>
      </c>
      <c r="D150" s="74" t="s">
        <v>100</v>
      </c>
      <c r="E150" s="93" t="s">
        <v>3475</v>
      </c>
      <c r="F150" s="75" t="s">
        <v>3476</v>
      </c>
      <c r="G150" s="56"/>
      <c r="H150" s="56"/>
      <c r="I150" s="55"/>
      <c r="J150" s="56"/>
      <c r="K150" s="56"/>
      <c r="L150" s="56"/>
      <c r="M150" s="56"/>
      <c r="N150" s="56"/>
      <c r="O150" s="61">
        <f>SUM(G150:N150)-N150</f>
        <v>0</v>
      </c>
      <c r="P150" s="55">
        <v>840</v>
      </c>
      <c r="Q150" s="61">
        <f t="shared" si="11"/>
        <v>25465.6</v>
      </c>
      <c r="R150" s="58"/>
      <c r="S150" s="56"/>
    </row>
    <row r="151" ht="20" customHeight="1" spans="2:19">
      <c r="B151" s="42">
        <v>6</v>
      </c>
      <c r="C151" s="42">
        <v>29</v>
      </c>
      <c r="D151" s="42" t="s">
        <v>16</v>
      </c>
      <c r="E151" s="44" t="s">
        <v>3361</v>
      </c>
      <c r="F151" s="75" t="s">
        <v>478</v>
      </c>
      <c r="G151" s="56"/>
      <c r="H151" s="56"/>
      <c r="I151" s="55"/>
      <c r="J151" s="56"/>
      <c r="K151" s="56"/>
      <c r="L151" s="56"/>
      <c r="M151" s="56"/>
      <c r="N151" s="56"/>
      <c r="O151" s="61">
        <v>0</v>
      </c>
      <c r="P151" s="55">
        <v>1</v>
      </c>
      <c r="Q151" s="61">
        <f t="shared" si="11"/>
        <v>25464.6</v>
      </c>
      <c r="R151" s="58"/>
      <c r="S151" s="56"/>
    </row>
    <row r="152" ht="20" customHeight="1" spans="2:19">
      <c r="B152" s="42">
        <v>6</v>
      </c>
      <c r="C152" s="42">
        <v>29</v>
      </c>
      <c r="D152" s="74" t="s">
        <v>100</v>
      </c>
      <c r="E152" s="44" t="s">
        <v>3477</v>
      </c>
      <c r="F152" s="77" t="s">
        <v>3478</v>
      </c>
      <c r="G152" s="56"/>
      <c r="H152" s="56"/>
      <c r="I152" s="55"/>
      <c r="J152" s="56"/>
      <c r="K152" s="56"/>
      <c r="L152" s="56"/>
      <c r="M152" s="56"/>
      <c r="N152" s="56"/>
      <c r="O152" s="61">
        <f>SUM(G152:N152)-N152</f>
        <v>0</v>
      </c>
      <c r="P152" s="55">
        <v>7200</v>
      </c>
      <c r="Q152" s="61">
        <f t="shared" si="11"/>
        <v>18264.6</v>
      </c>
      <c r="R152" s="58"/>
      <c r="S152" s="56"/>
    </row>
    <row r="153" ht="20" customHeight="1" spans="2:19">
      <c r="B153" s="42">
        <v>6</v>
      </c>
      <c r="C153" s="42">
        <v>29</v>
      </c>
      <c r="D153" s="42" t="s">
        <v>16</v>
      </c>
      <c r="E153" s="44" t="s">
        <v>3361</v>
      </c>
      <c r="F153" s="75" t="s">
        <v>478</v>
      </c>
      <c r="G153" s="56"/>
      <c r="H153" s="56"/>
      <c r="I153" s="55"/>
      <c r="J153" s="56"/>
      <c r="K153" s="56"/>
      <c r="L153" s="56"/>
      <c r="M153" s="56"/>
      <c r="N153" s="56"/>
      <c r="O153" s="61">
        <v>0</v>
      </c>
      <c r="P153" s="55">
        <v>1</v>
      </c>
      <c r="Q153" s="61">
        <f t="shared" si="11"/>
        <v>18263.6</v>
      </c>
      <c r="R153" s="58"/>
      <c r="S153" s="56"/>
    </row>
    <row r="154" ht="20" customHeight="1" spans="2:19">
      <c r="B154" s="42">
        <v>6</v>
      </c>
      <c r="C154" s="42">
        <v>29</v>
      </c>
      <c r="D154" s="42" t="s">
        <v>142</v>
      </c>
      <c r="E154" s="44" t="s">
        <v>3403</v>
      </c>
      <c r="F154" s="77" t="s">
        <v>3479</v>
      </c>
      <c r="G154" s="56"/>
      <c r="H154" s="56"/>
      <c r="I154" s="55"/>
      <c r="J154" s="56"/>
      <c r="K154" s="56"/>
      <c r="L154" s="56"/>
      <c r="M154" s="56"/>
      <c r="N154" s="56"/>
      <c r="O154" s="61">
        <f>SUM(G154:N154)-N154</f>
        <v>0</v>
      </c>
      <c r="P154" s="55">
        <v>4500</v>
      </c>
      <c r="Q154" s="61">
        <f t="shared" si="11"/>
        <v>13763.6</v>
      </c>
      <c r="R154" s="58"/>
      <c r="S154" s="56"/>
    </row>
    <row r="155" ht="36.75" spans="2:19">
      <c r="B155" s="42">
        <v>6</v>
      </c>
      <c r="C155" s="42">
        <v>30</v>
      </c>
      <c r="D155" s="42"/>
      <c r="E155" s="44" t="s">
        <v>2600</v>
      </c>
      <c r="F155" s="77" t="s">
        <v>3480</v>
      </c>
      <c r="G155" s="56"/>
      <c r="H155" s="56"/>
      <c r="I155" s="55"/>
      <c r="J155" s="56"/>
      <c r="K155" s="56"/>
      <c r="L155" s="56"/>
      <c r="M155" s="56"/>
      <c r="N155" s="56"/>
      <c r="O155" s="61"/>
      <c r="P155" s="55"/>
      <c r="Q155" s="61">
        <f t="shared" si="11"/>
        <v>13763.6</v>
      </c>
      <c r="R155" s="58"/>
      <c r="S155" s="56"/>
    </row>
    <row r="156" ht="20" customHeight="1" spans="2:19">
      <c r="B156" s="68"/>
      <c r="C156" s="68"/>
      <c r="D156" s="68"/>
      <c r="E156" s="69"/>
      <c r="F156" s="70" t="s">
        <v>22</v>
      </c>
      <c r="G156" s="71">
        <f t="shared" ref="G156:P156" si="13">SUM(G115:G154)</f>
        <v>28760.07</v>
      </c>
      <c r="H156" s="71">
        <f t="shared" si="13"/>
        <v>495.99</v>
      </c>
      <c r="I156" s="71">
        <f t="shared" si="13"/>
        <v>2035</v>
      </c>
      <c r="J156" s="71">
        <f t="shared" si="13"/>
        <v>0</v>
      </c>
      <c r="K156" s="71">
        <f t="shared" si="13"/>
        <v>300</v>
      </c>
      <c r="L156" s="71">
        <f t="shared" si="13"/>
        <v>500</v>
      </c>
      <c r="M156" s="71">
        <f t="shared" si="13"/>
        <v>11.72</v>
      </c>
      <c r="N156" s="71">
        <f t="shared" si="13"/>
        <v>0</v>
      </c>
      <c r="O156" s="71">
        <f t="shared" si="13"/>
        <v>139567.83</v>
      </c>
      <c r="P156" s="71">
        <f t="shared" si="13"/>
        <v>256627.16</v>
      </c>
      <c r="Q156" s="71">
        <f>Q114+O156-P156</f>
        <v>13763.6</v>
      </c>
      <c r="R156" s="72"/>
      <c r="S156" s="71"/>
    </row>
    <row r="157" ht="20" customHeight="1" spans="2:19">
      <c r="B157" s="42">
        <v>7</v>
      </c>
      <c r="C157" s="42">
        <v>3</v>
      </c>
      <c r="D157" s="42" t="s">
        <v>124</v>
      </c>
      <c r="E157" s="93" t="s">
        <v>3374</v>
      </c>
      <c r="F157" s="77" t="s">
        <v>3481</v>
      </c>
      <c r="G157" s="56"/>
      <c r="H157" s="56"/>
      <c r="I157" s="55"/>
      <c r="J157" s="56"/>
      <c r="K157" s="56"/>
      <c r="L157" s="56"/>
      <c r="M157" s="56"/>
      <c r="N157" s="56"/>
      <c r="O157" s="61">
        <f t="shared" ref="O157:O164" si="14">SUM(G157:N157)-N157</f>
        <v>0</v>
      </c>
      <c r="P157" s="56">
        <v>2491.4</v>
      </c>
      <c r="Q157" s="61">
        <f>Q154+O157-P157</f>
        <v>11272.2</v>
      </c>
      <c r="R157" s="58"/>
      <c r="S157" s="56"/>
    </row>
    <row r="158" ht="20" customHeight="1" spans="2:19">
      <c r="B158" s="42">
        <v>7</v>
      </c>
      <c r="C158" s="42">
        <v>3</v>
      </c>
      <c r="D158" s="42"/>
      <c r="E158" s="44" t="s">
        <v>3407</v>
      </c>
      <c r="F158" s="77" t="s">
        <v>3482</v>
      </c>
      <c r="G158" s="56"/>
      <c r="H158" s="56"/>
      <c r="I158" s="55"/>
      <c r="J158" s="56"/>
      <c r="K158" s="56">
        <v>300</v>
      </c>
      <c r="L158" s="56"/>
      <c r="M158" s="56"/>
      <c r="N158" s="56"/>
      <c r="O158" s="61">
        <f t="shared" si="14"/>
        <v>300</v>
      </c>
      <c r="P158" s="56"/>
      <c r="Q158" s="61">
        <f t="shared" ref="Q158:Q183" si="15">Q157+O158-P158</f>
        <v>11572.2</v>
      </c>
      <c r="R158" s="58"/>
      <c r="S158" s="56"/>
    </row>
    <row r="159" ht="20" customHeight="1" spans="2:19">
      <c r="B159" s="42">
        <v>7</v>
      </c>
      <c r="C159" s="42">
        <v>3</v>
      </c>
      <c r="D159" s="42"/>
      <c r="E159" s="44" t="s">
        <v>3407</v>
      </c>
      <c r="F159" s="77" t="s">
        <v>3483</v>
      </c>
      <c r="G159" s="56"/>
      <c r="H159" s="56"/>
      <c r="I159" s="55"/>
      <c r="J159" s="56"/>
      <c r="K159" s="56">
        <v>300</v>
      </c>
      <c r="L159" s="56"/>
      <c r="M159" s="56"/>
      <c r="N159" s="56"/>
      <c r="O159" s="61">
        <f t="shared" si="14"/>
        <v>300</v>
      </c>
      <c r="P159" s="56"/>
      <c r="Q159" s="61">
        <f t="shared" si="15"/>
        <v>11872.2</v>
      </c>
      <c r="R159" s="58"/>
      <c r="S159" s="56"/>
    </row>
    <row r="160" ht="20" customHeight="1" spans="2:19">
      <c r="B160" s="42">
        <v>7</v>
      </c>
      <c r="C160" s="42">
        <v>7</v>
      </c>
      <c r="D160" s="42"/>
      <c r="E160" s="44" t="s">
        <v>3381</v>
      </c>
      <c r="F160" s="75" t="s">
        <v>3484</v>
      </c>
      <c r="G160" s="84"/>
      <c r="H160" s="84"/>
      <c r="I160" s="84">
        <v>26</v>
      </c>
      <c r="J160" s="56"/>
      <c r="K160" s="56"/>
      <c r="L160" s="56"/>
      <c r="M160" s="56"/>
      <c r="N160" s="56"/>
      <c r="O160" s="61">
        <f t="shared" si="14"/>
        <v>26</v>
      </c>
      <c r="P160" s="56"/>
      <c r="Q160" s="61">
        <f t="shared" si="15"/>
        <v>11898.2</v>
      </c>
      <c r="R160" s="58"/>
      <c r="S160" s="56"/>
    </row>
    <row r="161" ht="20" customHeight="1" spans="2:19">
      <c r="B161" s="42">
        <v>7</v>
      </c>
      <c r="C161" s="42">
        <v>7</v>
      </c>
      <c r="D161" s="42"/>
      <c r="E161" s="44" t="s">
        <v>3381</v>
      </c>
      <c r="F161" s="88" t="s">
        <v>3485</v>
      </c>
      <c r="G161" s="84">
        <v>9375</v>
      </c>
      <c r="H161" s="84">
        <v>2625</v>
      </c>
      <c r="I161" s="84"/>
      <c r="J161" s="56"/>
      <c r="K161" s="56"/>
      <c r="L161" s="56"/>
      <c r="M161" s="56"/>
      <c r="N161" s="56"/>
      <c r="O161" s="61">
        <f t="shared" si="14"/>
        <v>12000</v>
      </c>
      <c r="P161" s="56"/>
      <c r="Q161" s="61">
        <f t="shared" si="15"/>
        <v>23898.2</v>
      </c>
      <c r="R161" s="58"/>
      <c r="S161" s="56"/>
    </row>
    <row r="162" ht="20" customHeight="1" spans="2:19">
      <c r="B162" s="42">
        <v>7</v>
      </c>
      <c r="C162" s="42">
        <v>8</v>
      </c>
      <c r="D162" s="42"/>
      <c r="E162" s="44" t="s">
        <v>3385</v>
      </c>
      <c r="F162" s="75" t="s">
        <v>3486</v>
      </c>
      <c r="G162" s="56">
        <v>1299.83</v>
      </c>
      <c r="H162" s="56">
        <v>79.5</v>
      </c>
      <c r="I162" s="84">
        <v>5</v>
      </c>
      <c r="J162" s="56"/>
      <c r="K162" s="56"/>
      <c r="L162" s="56"/>
      <c r="M162" s="56"/>
      <c r="N162" s="56"/>
      <c r="O162" s="61">
        <f t="shared" si="14"/>
        <v>1384.33</v>
      </c>
      <c r="P162" s="56"/>
      <c r="Q162" s="61">
        <f t="shared" si="15"/>
        <v>25282.53</v>
      </c>
      <c r="R162" s="58"/>
      <c r="S162" s="56"/>
    </row>
    <row r="163" ht="20" customHeight="1" spans="2:19">
      <c r="B163" s="42">
        <v>7</v>
      </c>
      <c r="C163" s="42">
        <v>10</v>
      </c>
      <c r="D163" s="42"/>
      <c r="E163" s="44" t="s">
        <v>3391</v>
      </c>
      <c r="F163" s="75" t="s">
        <v>3487</v>
      </c>
      <c r="G163" s="56">
        <v>41856</v>
      </c>
      <c r="H163" s="56">
        <v>8140.8</v>
      </c>
      <c r="I163" s="84">
        <v>69</v>
      </c>
      <c r="J163" s="56"/>
      <c r="K163" s="56"/>
      <c r="L163" s="56"/>
      <c r="M163" s="56"/>
      <c r="N163" s="56"/>
      <c r="O163" s="61">
        <f t="shared" si="14"/>
        <v>50065.8</v>
      </c>
      <c r="P163" s="56"/>
      <c r="Q163" s="61">
        <f t="shared" si="15"/>
        <v>75348.33</v>
      </c>
      <c r="R163" s="58"/>
      <c r="S163" s="56"/>
    </row>
    <row r="164" ht="20" customHeight="1" spans="2:19">
      <c r="B164" s="42">
        <v>7</v>
      </c>
      <c r="C164" s="42">
        <v>14</v>
      </c>
      <c r="D164" s="42"/>
      <c r="E164" s="44" t="s">
        <v>3432</v>
      </c>
      <c r="F164" s="75" t="s">
        <v>3488</v>
      </c>
      <c r="G164" s="56">
        <v>7194</v>
      </c>
      <c r="H164" s="56">
        <v>2798.4</v>
      </c>
      <c r="I164" s="55"/>
      <c r="J164" s="56"/>
      <c r="K164" s="56"/>
      <c r="L164" s="56"/>
      <c r="M164" s="56"/>
      <c r="N164" s="56"/>
      <c r="O164" s="61">
        <f t="shared" si="14"/>
        <v>9992.4</v>
      </c>
      <c r="P164" s="56"/>
      <c r="Q164" s="61">
        <f t="shared" si="15"/>
        <v>85340.73</v>
      </c>
      <c r="R164" s="58"/>
      <c r="S164" s="56"/>
    </row>
    <row r="165" ht="20" customHeight="1" spans="2:19">
      <c r="B165" s="42">
        <v>7</v>
      </c>
      <c r="C165" s="42">
        <v>15</v>
      </c>
      <c r="D165" s="74" t="s">
        <v>69</v>
      </c>
      <c r="E165" s="44" t="s">
        <v>335</v>
      </c>
      <c r="F165" s="75" t="s">
        <v>3395</v>
      </c>
      <c r="G165" s="56"/>
      <c r="H165" s="56"/>
      <c r="I165" s="55"/>
      <c r="J165" s="56"/>
      <c r="K165" s="56"/>
      <c r="L165" s="56"/>
      <c r="M165" s="56"/>
      <c r="N165" s="56"/>
      <c r="O165" s="61">
        <v>25000</v>
      </c>
      <c r="P165" s="56"/>
      <c r="Q165" s="61">
        <f t="shared" si="15"/>
        <v>110340.73</v>
      </c>
      <c r="R165" s="58"/>
      <c r="S165" s="56"/>
    </row>
    <row r="166" ht="20" customHeight="1" spans="2:19">
      <c r="B166" s="42">
        <v>7</v>
      </c>
      <c r="C166" s="42">
        <v>15</v>
      </c>
      <c r="D166" s="94" t="s">
        <v>16</v>
      </c>
      <c r="E166" s="95" t="s">
        <v>3361</v>
      </c>
      <c r="F166" s="75" t="s">
        <v>478</v>
      </c>
      <c r="G166" s="56"/>
      <c r="H166" s="56"/>
      <c r="I166" s="55"/>
      <c r="J166" s="56"/>
      <c r="K166" s="56"/>
      <c r="L166" s="56"/>
      <c r="M166" s="56"/>
      <c r="N166" s="56"/>
      <c r="O166" s="61">
        <f t="shared" ref="O166:O171" si="16">SUM(G166:N166)-N166</f>
        <v>0</v>
      </c>
      <c r="P166" s="55">
        <v>2</v>
      </c>
      <c r="Q166" s="61">
        <f t="shared" si="15"/>
        <v>110338.73</v>
      </c>
      <c r="R166" s="58"/>
      <c r="S166" s="56"/>
    </row>
    <row r="167" ht="20" customHeight="1" spans="2:19">
      <c r="B167" s="42">
        <v>7</v>
      </c>
      <c r="C167" s="42">
        <v>15</v>
      </c>
      <c r="D167" s="74" t="s">
        <v>121</v>
      </c>
      <c r="E167" s="44" t="s">
        <v>3368</v>
      </c>
      <c r="F167" s="75" t="s">
        <v>3489</v>
      </c>
      <c r="G167" s="56"/>
      <c r="H167" s="56"/>
      <c r="I167" s="55"/>
      <c r="J167" s="56"/>
      <c r="K167" s="56"/>
      <c r="L167" s="56"/>
      <c r="M167" s="56"/>
      <c r="N167" s="56"/>
      <c r="O167" s="61">
        <f t="shared" si="16"/>
        <v>0</v>
      </c>
      <c r="P167" s="55">
        <v>100000</v>
      </c>
      <c r="Q167" s="61">
        <f t="shared" si="15"/>
        <v>10338.73</v>
      </c>
      <c r="R167" s="58"/>
      <c r="S167" s="56"/>
    </row>
    <row r="168" ht="24.75" spans="2:19">
      <c r="B168" s="42">
        <v>7</v>
      </c>
      <c r="C168" s="42">
        <v>15</v>
      </c>
      <c r="D168" s="42" t="s">
        <v>101</v>
      </c>
      <c r="E168" s="44" t="s">
        <v>291</v>
      </c>
      <c r="F168" s="77" t="s">
        <v>3490</v>
      </c>
      <c r="G168" s="56"/>
      <c r="H168" s="56"/>
      <c r="I168" s="55"/>
      <c r="J168" s="56"/>
      <c r="K168" s="56"/>
      <c r="L168" s="56"/>
      <c r="M168" s="56"/>
      <c r="N168" s="56"/>
      <c r="O168" s="61">
        <f t="shared" si="16"/>
        <v>0</v>
      </c>
      <c r="P168" s="56">
        <v>7785.71</v>
      </c>
      <c r="Q168" s="61">
        <f t="shared" si="15"/>
        <v>2553.02000000001</v>
      </c>
      <c r="R168" s="58"/>
      <c r="S168" s="56"/>
    </row>
    <row r="169" ht="20" customHeight="1" spans="2:19">
      <c r="B169" s="42">
        <v>7</v>
      </c>
      <c r="C169" s="42">
        <v>15</v>
      </c>
      <c r="D169" s="74" t="s">
        <v>100</v>
      </c>
      <c r="E169" s="44" t="s">
        <v>291</v>
      </c>
      <c r="F169" s="75" t="s">
        <v>3491</v>
      </c>
      <c r="G169" s="56"/>
      <c r="H169" s="56"/>
      <c r="I169" s="55"/>
      <c r="J169" s="56"/>
      <c r="K169" s="56"/>
      <c r="L169" s="56"/>
      <c r="M169" s="56"/>
      <c r="N169" s="56"/>
      <c r="O169" s="61">
        <f t="shared" si="16"/>
        <v>0</v>
      </c>
      <c r="P169" s="56">
        <v>214.5</v>
      </c>
      <c r="Q169" s="61">
        <f t="shared" si="15"/>
        <v>2338.52000000001</v>
      </c>
      <c r="R169" s="58"/>
      <c r="S169" s="56"/>
    </row>
    <row r="170" ht="20" customHeight="1" spans="2:19">
      <c r="B170" s="42">
        <v>7</v>
      </c>
      <c r="C170" s="42">
        <v>15</v>
      </c>
      <c r="D170" s="42" t="s">
        <v>102</v>
      </c>
      <c r="E170" s="44" t="s">
        <v>291</v>
      </c>
      <c r="F170" s="75" t="s">
        <v>3492</v>
      </c>
      <c r="G170" s="56"/>
      <c r="H170" s="56"/>
      <c r="I170" s="55"/>
      <c r="J170" s="56"/>
      <c r="K170" s="56"/>
      <c r="L170" s="56"/>
      <c r="M170" s="56"/>
      <c r="N170" s="56"/>
      <c r="O170" s="61">
        <f t="shared" si="16"/>
        <v>0</v>
      </c>
      <c r="P170" s="56">
        <v>288.06</v>
      </c>
      <c r="Q170" s="61">
        <f t="shared" si="15"/>
        <v>2050.46000000001</v>
      </c>
      <c r="R170" s="58"/>
      <c r="S170" s="56"/>
    </row>
    <row r="171" ht="20" customHeight="1" spans="2:19">
      <c r="B171" s="42">
        <v>7</v>
      </c>
      <c r="C171" s="42">
        <v>15</v>
      </c>
      <c r="D171" s="74" t="s">
        <v>100</v>
      </c>
      <c r="E171" s="44" t="s">
        <v>291</v>
      </c>
      <c r="F171" s="75" t="s">
        <v>3493</v>
      </c>
      <c r="G171" s="56"/>
      <c r="H171" s="56"/>
      <c r="I171" s="55"/>
      <c r="J171" s="56"/>
      <c r="K171" s="56"/>
      <c r="L171" s="56"/>
      <c r="M171" s="56"/>
      <c r="N171" s="56"/>
      <c r="O171" s="61">
        <f t="shared" si="16"/>
        <v>0</v>
      </c>
      <c r="P171" s="56">
        <v>306.88</v>
      </c>
      <c r="Q171" s="61">
        <f t="shared" si="15"/>
        <v>1743.58000000001</v>
      </c>
      <c r="R171" s="58"/>
      <c r="S171" s="56"/>
    </row>
    <row r="172" ht="20" customHeight="1" spans="2:19">
      <c r="B172" s="42">
        <v>7</v>
      </c>
      <c r="C172" s="42">
        <v>17</v>
      </c>
      <c r="D172" s="74" t="s">
        <v>69</v>
      </c>
      <c r="E172" s="44" t="s">
        <v>2638</v>
      </c>
      <c r="F172" s="75" t="s">
        <v>3366</v>
      </c>
      <c r="G172" s="56"/>
      <c r="H172" s="56"/>
      <c r="I172" s="55"/>
      <c r="J172" s="56"/>
      <c r="K172" s="56"/>
      <c r="L172" s="56"/>
      <c r="M172" s="56"/>
      <c r="N172" s="56"/>
      <c r="O172" s="61">
        <v>5559.52</v>
      </c>
      <c r="P172" s="56"/>
      <c r="Q172" s="61">
        <f t="shared" si="15"/>
        <v>7303.10000000001</v>
      </c>
      <c r="R172" s="58"/>
      <c r="S172" s="56"/>
    </row>
    <row r="173" ht="20" customHeight="1" spans="2:19">
      <c r="B173" s="42">
        <v>7</v>
      </c>
      <c r="C173" s="42">
        <v>21</v>
      </c>
      <c r="D173" s="42"/>
      <c r="E173" s="44" t="s">
        <v>3441</v>
      </c>
      <c r="F173" s="75" t="s">
        <v>3422</v>
      </c>
      <c r="G173" s="56"/>
      <c r="H173" s="56"/>
      <c r="I173" s="55"/>
      <c r="J173" s="56"/>
      <c r="K173" s="56"/>
      <c r="L173" s="56">
        <v>1000</v>
      </c>
      <c r="M173" s="56"/>
      <c r="N173" s="56"/>
      <c r="O173" s="61">
        <f>SUM(G173:N173)-N173</f>
        <v>1000</v>
      </c>
      <c r="P173" s="56"/>
      <c r="Q173" s="61">
        <f t="shared" si="15"/>
        <v>8303.10000000001</v>
      </c>
      <c r="R173" s="58"/>
      <c r="S173" s="56"/>
    </row>
    <row r="174" ht="20" customHeight="1" spans="2:19">
      <c r="B174" s="42">
        <v>7</v>
      </c>
      <c r="C174" s="42">
        <v>23</v>
      </c>
      <c r="D174" s="42"/>
      <c r="E174" s="44" t="s">
        <v>2578</v>
      </c>
      <c r="F174" s="75" t="s">
        <v>3494</v>
      </c>
      <c r="G174" s="56">
        <v>61113.5</v>
      </c>
      <c r="H174" s="56"/>
      <c r="I174" s="55"/>
      <c r="J174" s="56"/>
      <c r="K174" s="56"/>
      <c r="L174" s="56"/>
      <c r="M174" s="56"/>
      <c r="N174" s="56"/>
      <c r="O174" s="61">
        <f>SUM(G174:N174)-N174</f>
        <v>61113.5</v>
      </c>
      <c r="P174" s="56"/>
      <c r="Q174" s="61">
        <f t="shared" si="15"/>
        <v>69416.6</v>
      </c>
      <c r="R174" s="58"/>
      <c r="S174" s="56"/>
    </row>
    <row r="175" ht="20" customHeight="1" spans="2:19">
      <c r="B175" s="42">
        <v>7</v>
      </c>
      <c r="C175" s="42">
        <v>24</v>
      </c>
      <c r="D175" s="42" t="s">
        <v>16</v>
      </c>
      <c r="E175" s="44" t="s">
        <v>3361</v>
      </c>
      <c r="F175" s="75" t="s">
        <v>478</v>
      </c>
      <c r="G175" s="56"/>
      <c r="H175" s="56"/>
      <c r="I175" s="55"/>
      <c r="J175" s="56"/>
      <c r="K175" s="56"/>
      <c r="L175" s="56"/>
      <c r="M175" s="56"/>
      <c r="N175" s="56"/>
      <c r="O175" s="61">
        <v>0</v>
      </c>
      <c r="P175" s="55">
        <v>1</v>
      </c>
      <c r="Q175" s="61">
        <f t="shared" si="15"/>
        <v>69415.6</v>
      </c>
      <c r="R175" s="58"/>
      <c r="S175" s="56"/>
    </row>
    <row r="176" ht="20" customHeight="1" spans="2:19">
      <c r="B176" s="42">
        <v>7</v>
      </c>
      <c r="C176" s="42">
        <v>24</v>
      </c>
      <c r="D176" s="42" t="s">
        <v>101</v>
      </c>
      <c r="E176" s="44" t="s">
        <v>291</v>
      </c>
      <c r="F176" s="77" t="s">
        <v>3495</v>
      </c>
      <c r="G176" s="56"/>
      <c r="H176" s="56"/>
      <c r="I176" s="55"/>
      <c r="J176" s="56"/>
      <c r="K176" s="56"/>
      <c r="L176" s="56"/>
      <c r="M176" s="56"/>
      <c r="N176" s="56"/>
      <c r="O176" s="61">
        <f>SUM(G176:N176)-N176</f>
        <v>0</v>
      </c>
      <c r="P176" s="56">
        <v>6534</v>
      </c>
      <c r="Q176" s="61">
        <f t="shared" si="15"/>
        <v>62881.6</v>
      </c>
      <c r="R176" s="58"/>
      <c r="S176" s="56"/>
    </row>
    <row r="177" ht="20" customHeight="1" spans="2:19">
      <c r="B177" s="42">
        <v>7</v>
      </c>
      <c r="C177" s="42">
        <v>24</v>
      </c>
      <c r="D177" s="42" t="s">
        <v>16</v>
      </c>
      <c r="E177" s="44" t="s">
        <v>3361</v>
      </c>
      <c r="F177" s="75" t="s">
        <v>478</v>
      </c>
      <c r="G177" s="56"/>
      <c r="H177" s="56"/>
      <c r="I177" s="55"/>
      <c r="J177" s="56"/>
      <c r="K177" s="56"/>
      <c r="L177" s="56"/>
      <c r="M177" s="56"/>
      <c r="N177" s="56"/>
      <c r="O177" s="61">
        <v>0</v>
      </c>
      <c r="P177" s="55">
        <v>1</v>
      </c>
      <c r="Q177" s="61">
        <f t="shared" si="15"/>
        <v>62880.6</v>
      </c>
      <c r="R177" s="58"/>
      <c r="S177" s="56"/>
    </row>
    <row r="178" ht="20" customHeight="1" spans="2:19">
      <c r="B178" s="42">
        <v>7</v>
      </c>
      <c r="C178" s="42">
        <v>24</v>
      </c>
      <c r="D178" s="42" t="s">
        <v>124</v>
      </c>
      <c r="E178" s="44" t="s">
        <v>3370</v>
      </c>
      <c r="F178" s="75" t="s">
        <v>3496</v>
      </c>
      <c r="G178" s="56"/>
      <c r="H178" s="56"/>
      <c r="I178" s="55"/>
      <c r="J178" s="56"/>
      <c r="K178" s="56"/>
      <c r="L178" s="56"/>
      <c r="M178" s="56"/>
      <c r="N178" s="56"/>
      <c r="O178" s="61">
        <f>SUM(G178:N178)-N178</f>
        <v>0</v>
      </c>
      <c r="P178" s="56">
        <v>4207.84</v>
      </c>
      <c r="Q178" s="61">
        <f t="shared" si="15"/>
        <v>58672.76</v>
      </c>
      <c r="R178" s="58"/>
      <c r="S178" s="56"/>
    </row>
    <row r="179" ht="20" customHeight="1" spans="2:19">
      <c r="B179" s="42">
        <v>7</v>
      </c>
      <c r="C179" s="42">
        <v>24</v>
      </c>
      <c r="D179" s="42" t="s">
        <v>16</v>
      </c>
      <c r="E179" s="44" t="s">
        <v>3361</v>
      </c>
      <c r="F179" s="75" t="s">
        <v>478</v>
      </c>
      <c r="G179" s="56"/>
      <c r="H179" s="56"/>
      <c r="I179" s="55"/>
      <c r="J179" s="56"/>
      <c r="K179" s="56"/>
      <c r="L179" s="56"/>
      <c r="M179" s="56"/>
      <c r="N179" s="56"/>
      <c r="O179" s="61">
        <f>SUM(G179:N179)-N179</f>
        <v>0</v>
      </c>
      <c r="P179" s="55">
        <v>4.5</v>
      </c>
      <c r="Q179" s="61">
        <f t="shared" si="15"/>
        <v>58668.26</v>
      </c>
      <c r="R179" s="58"/>
      <c r="S179" s="56"/>
    </row>
    <row r="180" ht="20" customHeight="1" spans="2:19">
      <c r="B180" s="42">
        <v>7</v>
      </c>
      <c r="C180" s="42">
        <v>24</v>
      </c>
      <c r="D180" s="42" t="s">
        <v>125</v>
      </c>
      <c r="E180" s="44" t="s">
        <v>3364</v>
      </c>
      <c r="F180" s="77" t="s">
        <v>3497</v>
      </c>
      <c r="G180" s="56"/>
      <c r="H180" s="56"/>
      <c r="I180" s="55"/>
      <c r="J180" s="56"/>
      <c r="K180" s="56"/>
      <c r="L180" s="56"/>
      <c r="M180" s="56"/>
      <c r="N180" s="56"/>
      <c r="O180" s="61">
        <f>SUM(G180:N180)-N180</f>
        <v>0</v>
      </c>
      <c r="P180" s="56">
        <v>5068.98</v>
      </c>
      <c r="Q180" s="61">
        <f t="shared" si="15"/>
        <v>53599.28</v>
      </c>
      <c r="R180" s="58"/>
      <c r="S180" s="56"/>
    </row>
    <row r="181" ht="20" customHeight="1" spans="2:19">
      <c r="B181" s="42">
        <v>7</v>
      </c>
      <c r="C181" s="42">
        <v>24</v>
      </c>
      <c r="D181" s="74" t="s">
        <v>69</v>
      </c>
      <c r="E181" s="44" t="s">
        <v>335</v>
      </c>
      <c r="F181" s="75" t="s">
        <v>3395</v>
      </c>
      <c r="G181" s="56"/>
      <c r="H181" s="56"/>
      <c r="I181" s="55"/>
      <c r="J181" s="56"/>
      <c r="K181" s="56"/>
      <c r="L181" s="56"/>
      <c r="M181" s="56"/>
      <c r="N181" s="56"/>
      <c r="O181" s="61">
        <v>60000</v>
      </c>
      <c r="P181" s="56"/>
      <c r="Q181" s="61">
        <f t="shared" si="15"/>
        <v>113599.28</v>
      </c>
      <c r="R181" s="58"/>
      <c r="S181" s="56"/>
    </row>
    <row r="182" ht="20" customHeight="1" spans="2:19">
      <c r="B182" s="42">
        <v>7</v>
      </c>
      <c r="C182" s="42">
        <v>24</v>
      </c>
      <c r="D182" s="94" t="s">
        <v>16</v>
      </c>
      <c r="E182" s="95" t="s">
        <v>3361</v>
      </c>
      <c r="F182" s="75" t="s">
        <v>478</v>
      </c>
      <c r="G182" s="56"/>
      <c r="H182" s="56"/>
      <c r="I182" s="55"/>
      <c r="J182" s="56"/>
      <c r="K182" s="56"/>
      <c r="L182" s="56"/>
      <c r="M182" s="56"/>
      <c r="N182" s="56"/>
      <c r="O182" s="61">
        <f>SUM(G182:N182)-N182</f>
        <v>0</v>
      </c>
      <c r="P182" s="55">
        <v>2</v>
      </c>
      <c r="Q182" s="61">
        <f t="shared" si="15"/>
        <v>113597.28</v>
      </c>
      <c r="R182" s="58"/>
      <c r="S182" s="56"/>
    </row>
    <row r="183" ht="20" customHeight="1" spans="2:19">
      <c r="B183" s="42">
        <v>7</v>
      </c>
      <c r="C183" s="42">
        <v>24</v>
      </c>
      <c r="D183" s="74" t="s">
        <v>121</v>
      </c>
      <c r="E183" s="44" t="s">
        <v>3368</v>
      </c>
      <c r="F183" s="75" t="s">
        <v>3489</v>
      </c>
      <c r="G183" s="56"/>
      <c r="H183" s="56"/>
      <c r="I183" s="55"/>
      <c r="J183" s="56"/>
      <c r="K183" s="56"/>
      <c r="L183" s="56"/>
      <c r="M183" s="56"/>
      <c r="N183" s="56"/>
      <c r="O183" s="61">
        <f>SUM(G183:N183)-N183</f>
        <v>0</v>
      </c>
      <c r="P183" s="55">
        <v>107266.2</v>
      </c>
      <c r="Q183" s="61">
        <f t="shared" si="15"/>
        <v>6331.08000000002</v>
      </c>
      <c r="R183" s="58"/>
      <c r="S183" s="56"/>
    </row>
    <row r="184" ht="20" customHeight="1" spans="2:19">
      <c r="B184" s="68"/>
      <c r="C184" s="68"/>
      <c r="D184" s="68"/>
      <c r="E184" s="69"/>
      <c r="F184" s="70" t="s">
        <v>22</v>
      </c>
      <c r="G184" s="71">
        <f t="shared" ref="G184:P184" si="17">SUM(G157:G183)</f>
        <v>120838.33</v>
      </c>
      <c r="H184" s="71">
        <f t="shared" si="17"/>
        <v>13643.7</v>
      </c>
      <c r="I184" s="71">
        <f t="shared" si="17"/>
        <v>100</v>
      </c>
      <c r="J184" s="71">
        <f t="shared" si="17"/>
        <v>0</v>
      </c>
      <c r="K184" s="71">
        <f t="shared" si="17"/>
        <v>600</v>
      </c>
      <c r="L184" s="71">
        <f t="shared" si="17"/>
        <v>1000</v>
      </c>
      <c r="M184" s="71">
        <f t="shared" si="17"/>
        <v>0</v>
      </c>
      <c r="N184" s="71">
        <f t="shared" si="17"/>
        <v>0</v>
      </c>
      <c r="O184" s="71">
        <f t="shared" si="17"/>
        <v>226741.55</v>
      </c>
      <c r="P184" s="71">
        <f t="shared" si="17"/>
        <v>234174.07</v>
      </c>
      <c r="Q184" s="71">
        <f>Q156+O184-P184</f>
        <v>6331.07999999999</v>
      </c>
      <c r="R184" s="72"/>
      <c r="S184" s="71"/>
    </row>
    <row r="185" ht="24.75" spans="2:19">
      <c r="B185" s="42">
        <v>8</v>
      </c>
      <c r="C185" s="42">
        <v>3</v>
      </c>
      <c r="D185" s="42" t="s">
        <v>124</v>
      </c>
      <c r="E185" s="93" t="s">
        <v>3374</v>
      </c>
      <c r="F185" s="77" t="s">
        <v>3498</v>
      </c>
      <c r="G185" s="56"/>
      <c r="H185" s="56"/>
      <c r="I185" s="55"/>
      <c r="J185" s="56"/>
      <c r="K185" s="56"/>
      <c r="L185" s="56"/>
      <c r="M185" s="56"/>
      <c r="N185" s="56"/>
      <c r="O185" s="61">
        <f>SUM(G185:N185)-N185</f>
        <v>0</v>
      </c>
      <c r="P185" s="55">
        <v>3476.99</v>
      </c>
      <c r="Q185" s="61">
        <f>Q184+O185-P185</f>
        <v>2854.08999999999</v>
      </c>
      <c r="R185" s="58"/>
      <c r="S185" s="56"/>
    </row>
    <row r="186" ht="20" customHeight="1" spans="2:19">
      <c r="B186" s="42">
        <v>8</v>
      </c>
      <c r="C186" s="42">
        <v>3</v>
      </c>
      <c r="D186" s="42"/>
      <c r="E186" s="96" t="s">
        <v>3499</v>
      </c>
      <c r="F186" s="97" t="s">
        <v>3500</v>
      </c>
      <c r="G186" s="56"/>
      <c r="H186" s="56"/>
      <c r="I186" s="55"/>
      <c r="J186" s="56"/>
      <c r="K186" s="55">
        <v>10</v>
      </c>
      <c r="L186" s="56"/>
      <c r="M186" s="56"/>
      <c r="N186" s="55">
        <v>0.06</v>
      </c>
      <c r="O186" s="98">
        <f>SUM(G186:M186)-N186</f>
        <v>9.94</v>
      </c>
      <c r="P186" s="56"/>
      <c r="Q186" s="61">
        <f t="shared" ref="Q186:Q228" si="18">Q185+O186-P186</f>
        <v>2864.02999999999</v>
      </c>
      <c r="R186" s="58"/>
      <c r="S186" s="56"/>
    </row>
    <row r="187" ht="20" customHeight="1" spans="2:19">
      <c r="B187" s="42">
        <v>8</v>
      </c>
      <c r="C187" s="42">
        <v>4</v>
      </c>
      <c r="D187" s="74" t="s">
        <v>69</v>
      </c>
      <c r="E187" s="44" t="s">
        <v>2638</v>
      </c>
      <c r="F187" s="75" t="s">
        <v>3366</v>
      </c>
      <c r="G187" s="56"/>
      <c r="H187" s="56"/>
      <c r="I187" s="55"/>
      <c r="J187" s="56"/>
      <c r="K187" s="56"/>
      <c r="L187" s="56"/>
      <c r="M187" s="56"/>
      <c r="N187" s="56"/>
      <c r="O187" s="98">
        <v>31332</v>
      </c>
      <c r="P187" s="56"/>
      <c r="Q187" s="61">
        <f t="shared" si="18"/>
        <v>34196.03</v>
      </c>
      <c r="R187" s="58"/>
      <c r="S187" s="56"/>
    </row>
    <row r="188" ht="20" customHeight="1" spans="2:19">
      <c r="B188" s="42">
        <v>8</v>
      </c>
      <c r="C188" s="42">
        <v>4</v>
      </c>
      <c r="D188" s="42"/>
      <c r="E188" s="44" t="s">
        <v>3499</v>
      </c>
      <c r="F188" s="97" t="s">
        <v>3501</v>
      </c>
      <c r="G188" s="56"/>
      <c r="H188" s="56"/>
      <c r="I188" s="55"/>
      <c r="J188" s="56"/>
      <c r="K188" s="55">
        <v>110</v>
      </c>
      <c r="L188" s="56"/>
      <c r="M188" s="56"/>
      <c r="N188" s="55">
        <v>0.66</v>
      </c>
      <c r="O188" s="98">
        <f>SUM(G188:M188)-N188</f>
        <v>109.34</v>
      </c>
      <c r="P188" s="56"/>
      <c r="Q188" s="61">
        <f t="shared" si="18"/>
        <v>34305.37</v>
      </c>
      <c r="R188" s="58"/>
      <c r="S188" s="56"/>
    </row>
    <row r="189" ht="20" customHeight="1" spans="2:19">
      <c r="B189" s="42">
        <v>8</v>
      </c>
      <c r="C189" s="42">
        <v>5</v>
      </c>
      <c r="D189" s="42" t="s">
        <v>124</v>
      </c>
      <c r="E189" s="93" t="s">
        <v>3374</v>
      </c>
      <c r="F189" s="77" t="s">
        <v>3502</v>
      </c>
      <c r="G189" s="56"/>
      <c r="H189" s="56"/>
      <c r="I189" s="55"/>
      <c r="J189" s="56"/>
      <c r="K189" s="56"/>
      <c r="L189" s="56"/>
      <c r="M189" s="56"/>
      <c r="N189" s="56"/>
      <c r="O189" s="61">
        <f>SUM(G189:M189)-N189</f>
        <v>0</v>
      </c>
      <c r="P189" s="55">
        <v>16319.28</v>
      </c>
      <c r="Q189" s="61">
        <f t="shared" si="18"/>
        <v>17986.09</v>
      </c>
      <c r="R189" s="58"/>
      <c r="S189" s="56"/>
    </row>
    <row r="190" ht="20" customHeight="1" spans="2:19">
      <c r="B190" s="42">
        <v>8</v>
      </c>
      <c r="C190" s="42">
        <v>5</v>
      </c>
      <c r="D190" s="42"/>
      <c r="E190" s="44" t="s">
        <v>3499</v>
      </c>
      <c r="F190" s="97" t="s">
        <v>3503</v>
      </c>
      <c r="G190" s="56"/>
      <c r="H190" s="56"/>
      <c r="I190" s="55"/>
      <c r="J190" s="56"/>
      <c r="K190" s="55">
        <v>150</v>
      </c>
      <c r="L190" s="56"/>
      <c r="M190" s="56"/>
      <c r="N190" s="55">
        <v>0.9</v>
      </c>
      <c r="O190" s="98">
        <f t="shared" ref="O190:O221" si="19">SUM(G190:M190)-N190</f>
        <v>149.1</v>
      </c>
      <c r="P190" s="56"/>
      <c r="Q190" s="61">
        <f t="shared" si="18"/>
        <v>18135.19</v>
      </c>
      <c r="R190" s="58"/>
      <c r="S190" s="56"/>
    </row>
    <row r="191" ht="20" customHeight="1" spans="2:19">
      <c r="B191" s="42">
        <v>8</v>
      </c>
      <c r="C191" s="42">
        <v>6</v>
      </c>
      <c r="D191" s="42"/>
      <c r="E191" s="75" t="s">
        <v>3407</v>
      </c>
      <c r="F191" s="77" t="s">
        <v>3504</v>
      </c>
      <c r="G191" s="56"/>
      <c r="H191" s="56"/>
      <c r="I191" s="55"/>
      <c r="J191" s="56"/>
      <c r="K191" s="55">
        <v>300</v>
      </c>
      <c r="L191" s="56"/>
      <c r="M191" s="56"/>
      <c r="N191" s="56"/>
      <c r="O191" s="98">
        <f t="shared" si="19"/>
        <v>300</v>
      </c>
      <c r="P191" s="56"/>
      <c r="Q191" s="61">
        <f t="shared" si="18"/>
        <v>18435.19</v>
      </c>
      <c r="R191" s="58"/>
      <c r="S191" s="56"/>
    </row>
    <row r="192" ht="20" customHeight="1" spans="2:19">
      <c r="B192" s="42">
        <v>8</v>
      </c>
      <c r="C192" s="42">
        <v>6</v>
      </c>
      <c r="D192" s="42"/>
      <c r="E192" s="44" t="s">
        <v>3499</v>
      </c>
      <c r="F192" s="97" t="s">
        <v>3505</v>
      </c>
      <c r="G192" s="56"/>
      <c r="H192" s="56"/>
      <c r="I192" s="55"/>
      <c r="J192" s="56"/>
      <c r="K192" s="55">
        <v>165</v>
      </c>
      <c r="L192" s="56"/>
      <c r="M192" s="56"/>
      <c r="N192" s="55">
        <v>0.99</v>
      </c>
      <c r="O192" s="98">
        <f t="shared" si="19"/>
        <v>164.01</v>
      </c>
      <c r="P192" s="56"/>
      <c r="Q192" s="61">
        <f t="shared" si="18"/>
        <v>18599.2</v>
      </c>
      <c r="R192" s="58"/>
      <c r="S192" s="56"/>
    </row>
    <row r="193" ht="20" customHeight="1" spans="2:19">
      <c r="B193" s="42">
        <v>8</v>
      </c>
      <c r="C193" s="42">
        <v>7</v>
      </c>
      <c r="D193" s="42"/>
      <c r="E193" s="44" t="s">
        <v>3385</v>
      </c>
      <c r="F193" s="75" t="s">
        <v>3506</v>
      </c>
      <c r="G193" s="55">
        <v>1299.83</v>
      </c>
      <c r="H193" s="55">
        <v>79.5</v>
      </c>
      <c r="I193" s="55">
        <v>6</v>
      </c>
      <c r="J193" s="56"/>
      <c r="K193" s="56"/>
      <c r="L193" s="56"/>
      <c r="M193" s="56"/>
      <c r="N193" s="56"/>
      <c r="O193" s="98">
        <f t="shared" si="19"/>
        <v>1385.33</v>
      </c>
      <c r="P193" s="56"/>
      <c r="Q193" s="61">
        <f t="shared" si="18"/>
        <v>19984.53</v>
      </c>
      <c r="R193" s="58"/>
      <c r="S193" s="56"/>
    </row>
    <row r="194" ht="20" customHeight="1" spans="2:19">
      <c r="B194" s="42">
        <v>8</v>
      </c>
      <c r="C194" s="42">
        <v>7</v>
      </c>
      <c r="D194" s="42"/>
      <c r="E194" s="44" t="s">
        <v>3432</v>
      </c>
      <c r="F194" s="75" t="s">
        <v>3507</v>
      </c>
      <c r="G194" s="55">
        <v>7194</v>
      </c>
      <c r="H194" s="55">
        <v>2798.4</v>
      </c>
      <c r="I194" s="55"/>
      <c r="J194" s="56"/>
      <c r="K194" s="56"/>
      <c r="L194" s="56"/>
      <c r="M194" s="56"/>
      <c r="N194" s="56"/>
      <c r="O194" s="98">
        <f t="shared" si="19"/>
        <v>9992.4</v>
      </c>
      <c r="P194" s="56"/>
      <c r="Q194" s="61">
        <f t="shared" si="18"/>
        <v>29976.93</v>
      </c>
      <c r="R194" s="58"/>
      <c r="S194" s="56"/>
    </row>
    <row r="195" ht="20" customHeight="1" spans="2:19">
      <c r="B195" s="42">
        <v>8</v>
      </c>
      <c r="C195" s="42">
        <v>7</v>
      </c>
      <c r="D195" s="42"/>
      <c r="E195" s="44" t="s">
        <v>3499</v>
      </c>
      <c r="F195" s="97" t="s">
        <v>3508</v>
      </c>
      <c r="G195" s="56"/>
      <c r="H195" s="56"/>
      <c r="I195" s="55"/>
      <c r="J195" s="56"/>
      <c r="K195" s="55">
        <v>150</v>
      </c>
      <c r="L195" s="56"/>
      <c r="M195" s="56"/>
      <c r="N195" s="55">
        <v>0.9</v>
      </c>
      <c r="O195" s="98">
        <f t="shared" si="19"/>
        <v>149.1</v>
      </c>
      <c r="P195" s="56"/>
      <c r="Q195" s="61">
        <f t="shared" si="18"/>
        <v>30126.03</v>
      </c>
      <c r="R195" s="58"/>
      <c r="S195" s="56"/>
    </row>
    <row r="196" ht="20" customHeight="1" spans="2:19">
      <c r="B196" s="42">
        <v>8</v>
      </c>
      <c r="C196" s="42">
        <v>8</v>
      </c>
      <c r="D196" s="42"/>
      <c r="E196" s="44" t="s">
        <v>3499</v>
      </c>
      <c r="F196" s="97" t="s">
        <v>3509</v>
      </c>
      <c r="G196" s="56"/>
      <c r="H196" s="56"/>
      <c r="I196" s="55"/>
      <c r="J196" s="56"/>
      <c r="K196" s="55">
        <v>180</v>
      </c>
      <c r="L196" s="56"/>
      <c r="M196" s="56"/>
      <c r="N196" s="55">
        <v>1.08</v>
      </c>
      <c r="O196" s="98">
        <f t="shared" si="19"/>
        <v>178.92</v>
      </c>
      <c r="P196" s="56"/>
      <c r="Q196" s="61">
        <f t="shared" si="18"/>
        <v>30304.95</v>
      </c>
      <c r="R196" s="58"/>
      <c r="S196" s="56"/>
    </row>
    <row r="197" ht="20" customHeight="1" spans="2:19">
      <c r="B197" s="42">
        <v>8</v>
      </c>
      <c r="C197" s="42">
        <v>9</v>
      </c>
      <c r="D197" s="42"/>
      <c r="E197" s="44" t="s">
        <v>3499</v>
      </c>
      <c r="F197" s="97" t="s">
        <v>3510</v>
      </c>
      <c r="G197" s="56"/>
      <c r="H197" s="56"/>
      <c r="I197" s="55"/>
      <c r="J197" s="56"/>
      <c r="K197" s="55">
        <v>175</v>
      </c>
      <c r="L197" s="56"/>
      <c r="M197" s="56"/>
      <c r="N197" s="55">
        <v>1.05</v>
      </c>
      <c r="O197" s="98">
        <f t="shared" si="19"/>
        <v>173.95</v>
      </c>
      <c r="P197" s="56"/>
      <c r="Q197" s="61">
        <f t="shared" si="18"/>
        <v>30478.9</v>
      </c>
      <c r="R197" s="58"/>
      <c r="S197" s="56"/>
    </row>
    <row r="198" ht="20" customHeight="1" spans="2:19">
      <c r="B198" s="42">
        <v>8</v>
      </c>
      <c r="C198" s="42">
        <v>10</v>
      </c>
      <c r="D198" s="42"/>
      <c r="E198" s="44" t="s">
        <v>3381</v>
      </c>
      <c r="F198" s="75" t="s">
        <v>3511</v>
      </c>
      <c r="G198" s="56"/>
      <c r="H198" s="56"/>
      <c r="I198" s="55">
        <v>30</v>
      </c>
      <c r="J198" s="56"/>
      <c r="K198" s="56"/>
      <c r="L198" s="56"/>
      <c r="M198" s="56"/>
      <c r="N198" s="56"/>
      <c r="O198" s="98">
        <f t="shared" si="19"/>
        <v>30</v>
      </c>
      <c r="P198" s="56"/>
      <c r="Q198" s="61">
        <f t="shared" si="18"/>
        <v>30508.9</v>
      </c>
      <c r="R198" s="58"/>
      <c r="S198" s="56"/>
    </row>
    <row r="199" ht="20" customHeight="1" spans="2:19">
      <c r="B199" s="42">
        <v>8</v>
      </c>
      <c r="C199" s="42">
        <v>10</v>
      </c>
      <c r="D199" s="42"/>
      <c r="E199" s="44" t="s">
        <v>2578</v>
      </c>
      <c r="F199" s="75" t="s">
        <v>3512</v>
      </c>
      <c r="G199" s="56"/>
      <c r="H199" s="55">
        <v>3553.2</v>
      </c>
      <c r="I199" s="55"/>
      <c r="J199" s="56"/>
      <c r="K199" s="56"/>
      <c r="L199" s="56"/>
      <c r="M199" s="56"/>
      <c r="N199" s="56"/>
      <c r="O199" s="98">
        <f t="shared" si="19"/>
        <v>3553.2</v>
      </c>
      <c r="P199" s="56"/>
      <c r="Q199" s="61">
        <f t="shared" si="18"/>
        <v>34062.1</v>
      </c>
      <c r="R199" s="58"/>
      <c r="S199" s="56"/>
    </row>
    <row r="200" ht="20" customHeight="1" spans="2:19">
      <c r="B200" s="42">
        <v>8</v>
      </c>
      <c r="C200" s="42">
        <v>10</v>
      </c>
      <c r="D200" s="42"/>
      <c r="E200" s="44" t="s">
        <v>3499</v>
      </c>
      <c r="F200" s="97" t="s">
        <v>3513</v>
      </c>
      <c r="G200" s="56"/>
      <c r="H200" s="56"/>
      <c r="I200" s="55"/>
      <c r="J200" s="56"/>
      <c r="K200" s="55">
        <v>100</v>
      </c>
      <c r="L200" s="56"/>
      <c r="M200" s="56"/>
      <c r="N200" s="55">
        <v>0.6</v>
      </c>
      <c r="O200" s="98">
        <f t="shared" si="19"/>
        <v>99.4</v>
      </c>
      <c r="P200" s="56"/>
      <c r="Q200" s="61">
        <f t="shared" si="18"/>
        <v>34161.5</v>
      </c>
      <c r="R200" s="58"/>
      <c r="S200" s="56"/>
    </row>
    <row r="201" ht="20" customHeight="1" spans="2:19">
      <c r="B201" s="42">
        <v>8</v>
      </c>
      <c r="C201" s="42">
        <v>11</v>
      </c>
      <c r="D201" s="42"/>
      <c r="E201" s="44" t="s">
        <v>3499</v>
      </c>
      <c r="F201" s="97" t="s">
        <v>3514</v>
      </c>
      <c r="G201" s="56"/>
      <c r="H201" s="56"/>
      <c r="I201" s="55"/>
      <c r="J201" s="56"/>
      <c r="K201" s="55">
        <v>200</v>
      </c>
      <c r="L201" s="56"/>
      <c r="M201" s="56"/>
      <c r="N201" s="55">
        <v>1.2</v>
      </c>
      <c r="O201" s="98">
        <f t="shared" si="19"/>
        <v>198.8</v>
      </c>
      <c r="P201" s="56"/>
      <c r="Q201" s="61">
        <f t="shared" si="18"/>
        <v>34360.3</v>
      </c>
      <c r="R201" s="58"/>
      <c r="S201" s="56"/>
    </row>
    <row r="202" ht="20" customHeight="1" spans="2:19">
      <c r="B202" s="42">
        <v>8</v>
      </c>
      <c r="C202" s="42">
        <v>12</v>
      </c>
      <c r="D202" s="74" t="s">
        <v>69</v>
      </c>
      <c r="E202" s="44" t="s">
        <v>335</v>
      </c>
      <c r="F202" s="99" t="s">
        <v>3395</v>
      </c>
      <c r="G202" s="56"/>
      <c r="H202" s="56"/>
      <c r="I202" s="55"/>
      <c r="J202" s="56"/>
      <c r="K202" s="56"/>
      <c r="L202" s="56"/>
      <c r="M202" s="56"/>
      <c r="N202" s="56"/>
      <c r="O202" s="98">
        <v>100000</v>
      </c>
      <c r="P202" s="56"/>
      <c r="Q202" s="61">
        <f t="shared" si="18"/>
        <v>134360.3</v>
      </c>
      <c r="R202" s="58"/>
      <c r="S202" s="56"/>
    </row>
    <row r="203" ht="20" customHeight="1" spans="2:19">
      <c r="B203" s="42">
        <v>8</v>
      </c>
      <c r="C203" s="42">
        <v>12</v>
      </c>
      <c r="D203" s="94" t="s">
        <v>16</v>
      </c>
      <c r="E203" s="95" t="s">
        <v>3361</v>
      </c>
      <c r="F203" s="75" t="s">
        <v>478</v>
      </c>
      <c r="G203" s="56"/>
      <c r="H203" s="56"/>
      <c r="I203" s="55"/>
      <c r="J203" s="56"/>
      <c r="K203" s="56"/>
      <c r="L203" s="56"/>
      <c r="M203" s="56"/>
      <c r="N203" s="56"/>
      <c r="O203" s="61">
        <f t="shared" si="19"/>
        <v>0</v>
      </c>
      <c r="P203" s="55">
        <v>1</v>
      </c>
      <c r="Q203" s="61">
        <f t="shared" si="18"/>
        <v>134359.3</v>
      </c>
      <c r="R203" s="58"/>
      <c r="S203" s="56"/>
    </row>
    <row r="204" ht="20" customHeight="1" spans="2:19">
      <c r="B204" s="42">
        <v>8</v>
      </c>
      <c r="C204" s="42">
        <v>12</v>
      </c>
      <c r="D204" s="74" t="s">
        <v>100</v>
      </c>
      <c r="E204" s="44" t="s">
        <v>3473</v>
      </c>
      <c r="F204" s="77" t="s">
        <v>3515</v>
      </c>
      <c r="G204" s="56"/>
      <c r="H204" s="56"/>
      <c r="I204" s="55"/>
      <c r="J204" s="56"/>
      <c r="K204" s="56"/>
      <c r="L204" s="56"/>
      <c r="M204" s="56"/>
      <c r="N204" s="56"/>
      <c r="O204" s="61">
        <f t="shared" si="19"/>
        <v>0</v>
      </c>
      <c r="P204" s="55">
        <v>597</v>
      </c>
      <c r="Q204" s="61">
        <f t="shared" si="18"/>
        <v>133762.3</v>
      </c>
      <c r="R204" s="58"/>
      <c r="S204" s="56"/>
    </row>
    <row r="205" ht="20" customHeight="1" spans="2:19">
      <c r="B205" s="42">
        <v>8</v>
      </c>
      <c r="C205" s="42">
        <v>12</v>
      </c>
      <c r="D205" s="74" t="s">
        <v>121</v>
      </c>
      <c r="E205" s="44" t="s">
        <v>3368</v>
      </c>
      <c r="F205" s="75" t="s">
        <v>3516</v>
      </c>
      <c r="G205" s="56"/>
      <c r="H205" s="56"/>
      <c r="I205" s="55"/>
      <c r="J205" s="56"/>
      <c r="K205" s="56"/>
      <c r="L205" s="56"/>
      <c r="M205" s="56"/>
      <c r="N205" s="56"/>
      <c r="O205" s="61">
        <f t="shared" si="19"/>
        <v>0</v>
      </c>
      <c r="P205" s="55">
        <v>100000</v>
      </c>
      <c r="Q205" s="61">
        <f t="shared" si="18"/>
        <v>33762.3</v>
      </c>
      <c r="R205" s="58"/>
      <c r="S205" s="56"/>
    </row>
    <row r="206" ht="20" customHeight="1" spans="2:19">
      <c r="B206" s="42">
        <v>8</v>
      </c>
      <c r="C206" s="42">
        <v>12</v>
      </c>
      <c r="D206" s="94" t="s">
        <v>16</v>
      </c>
      <c r="E206" s="95" t="s">
        <v>3361</v>
      </c>
      <c r="F206" s="75" t="s">
        <v>478</v>
      </c>
      <c r="G206" s="56"/>
      <c r="H206" s="56"/>
      <c r="I206" s="55"/>
      <c r="J206" s="56"/>
      <c r="K206" s="56"/>
      <c r="L206" s="56"/>
      <c r="M206" s="56"/>
      <c r="N206" s="56"/>
      <c r="O206" s="61">
        <f t="shared" si="19"/>
        <v>0</v>
      </c>
      <c r="P206" s="55">
        <v>1</v>
      </c>
      <c r="Q206" s="61">
        <f t="shared" si="18"/>
        <v>33761.3</v>
      </c>
      <c r="R206" s="58"/>
      <c r="S206" s="56"/>
    </row>
    <row r="207" ht="24.75" spans="2:19">
      <c r="B207" s="42">
        <v>8</v>
      </c>
      <c r="C207" s="42">
        <v>12</v>
      </c>
      <c r="D207" s="74" t="s">
        <v>119</v>
      </c>
      <c r="E207" s="44" t="s">
        <v>416</v>
      </c>
      <c r="F207" s="77" t="s">
        <v>3517</v>
      </c>
      <c r="G207" s="56"/>
      <c r="H207" s="56"/>
      <c r="I207" s="55"/>
      <c r="J207" s="56"/>
      <c r="K207" s="56"/>
      <c r="L207" s="56"/>
      <c r="M207" s="56"/>
      <c r="N207" s="56"/>
      <c r="O207" s="61">
        <f t="shared" si="19"/>
        <v>0</v>
      </c>
      <c r="P207" s="55">
        <v>805.12</v>
      </c>
      <c r="Q207" s="61">
        <f t="shared" si="18"/>
        <v>32956.18</v>
      </c>
      <c r="R207" s="58"/>
      <c r="S207" s="56"/>
    </row>
    <row r="208" ht="20" customHeight="1" spans="2:19">
      <c r="B208" s="42">
        <v>8</v>
      </c>
      <c r="C208" s="42">
        <v>12</v>
      </c>
      <c r="D208" s="74" t="s">
        <v>119</v>
      </c>
      <c r="E208" s="93" t="s">
        <v>213</v>
      </c>
      <c r="F208" s="75" t="s">
        <v>3518</v>
      </c>
      <c r="G208" s="56"/>
      <c r="H208" s="56"/>
      <c r="I208" s="55"/>
      <c r="J208" s="56"/>
      <c r="K208" s="56"/>
      <c r="L208" s="56"/>
      <c r="M208" s="56"/>
      <c r="N208" s="56"/>
      <c r="O208" s="61">
        <f t="shared" si="19"/>
        <v>0</v>
      </c>
      <c r="P208" s="55">
        <v>56.92</v>
      </c>
      <c r="Q208" s="61">
        <f t="shared" si="18"/>
        <v>32899.26</v>
      </c>
      <c r="R208" s="58"/>
      <c r="S208" s="56"/>
    </row>
    <row r="209" ht="20" customHeight="1" spans="2:19">
      <c r="B209" s="42">
        <v>8</v>
      </c>
      <c r="C209" s="42">
        <v>12</v>
      </c>
      <c r="D209" s="42"/>
      <c r="E209" s="44" t="s">
        <v>3499</v>
      </c>
      <c r="F209" s="97" t="s">
        <v>3519</v>
      </c>
      <c r="G209" s="56"/>
      <c r="H209" s="56"/>
      <c r="I209" s="55"/>
      <c r="J209" s="56"/>
      <c r="K209" s="55">
        <v>155</v>
      </c>
      <c r="L209" s="56"/>
      <c r="M209" s="56"/>
      <c r="N209" s="55">
        <v>0.93</v>
      </c>
      <c r="O209" s="98">
        <f t="shared" si="19"/>
        <v>154.07</v>
      </c>
      <c r="P209" s="56"/>
      <c r="Q209" s="61">
        <f t="shared" si="18"/>
        <v>33053.33</v>
      </c>
      <c r="R209" s="58"/>
      <c r="S209" s="56"/>
    </row>
    <row r="210" ht="20" customHeight="1" spans="2:19">
      <c r="B210" s="42">
        <v>8</v>
      </c>
      <c r="C210" s="42">
        <v>13</v>
      </c>
      <c r="D210" s="42"/>
      <c r="E210" s="44" t="s">
        <v>3499</v>
      </c>
      <c r="F210" s="97" t="s">
        <v>3520</v>
      </c>
      <c r="G210" s="56"/>
      <c r="H210" s="56"/>
      <c r="I210" s="55"/>
      <c r="J210" s="56"/>
      <c r="K210" s="55">
        <v>165</v>
      </c>
      <c r="L210" s="56"/>
      <c r="M210" s="56"/>
      <c r="N210" s="55">
        <v>0.99</v>
      </c>
      <c r="O210" s="98">
        <f t="shared" si="19"/>
        <v>164.01</v>
      </c>
      <c r="P210" s="56"/>
      <c r="Q210" s="61">
        <f t="shared" si="18"/>
        <v>33217.34</v>
      </c>
      <c r="R210" s="58"/>
      <c r="S210" s="56"/>
    </row>
    <row r="211" ht="20" customHeight="1" spans="2:19">
      <c r="B211" s="42">
        <v>8</v>
      </c>
      <c r="C211" s="42">
        <v>14</v>
      </c>
      <c r="D211" s="42"/>
      <c r="E211" s="44" t="s">
        <v>3521</v>
      </c>
      <c r="F211" s="75" t="s">
        <v>3522</v>
      </c>
      <c r="G211" s="55">
        <v>5069.4</v>
      </c>
      <c r="H211" s="55">
        <v>930.6</v>
      </c>
      <c r="I211" s="55"/>
      <c r="J211" s="56"/>
      <c r="K211" s="56"/>
      <c r="L211" s="56"/>
      <c r="M211" s="56"/>
      <c r="N211" s="56"/>
      <c r="O211" s="98">
        <f t="shared" si="19"/>
        <v>6000</v>
      </c>
      <c r="P211" s="56"/>
      <c r="Q211" s="61">
        <f t="shared" si="18"/>
        <v>39217.34</v>
      </c>
      <c r="R211" s="58"/>
      <c r="S211" s="56"/>
    </row>
    <row r="212" ht="20" customHeight="1" spans="2:19">
      <c r="B212" s="42">
        <v>8</v>
      </c>
      <c r="C212" s="42">
        <v>14</v>
      </c>
      <c r="D212" s="94" t="s">
        <v>16</v>
      </c>
      <c r="E212" s="95" t="s">
        <v>3361</v>
      </c>
      <c r="F212" s="75" t="s">
        <v>478</v>
      </c>
      <c r="G212" s="56"/>
      <c r="H212" s="56"/>
      <c r="I212" s="55"/>
      <c r="J212" s="56"/>
      <c r="K212" s="56"/>
      <c r="L212" s="56"/>
      <c r="M212" s="56"/>
      <c r="N212" s="56"/>
      <c r="O212" s="61">
        <f t="shared" si="19"/>
        <v>0</v>
      </c>
      <c r="P212" s="55">
        <v>1</v>
      </c>
      <c r="Q212" s="61">
        <f t="shared" si="18"/>
        <v>39216.34</v>
      </c>
      <c r="R212" s="58"/>
      <c r="S212" s="56"/>
    </row>
    <row r="213" ht="20" customHeight="1" spans="2:19">
      <c r="B213" s="42">
        <v>8</v>
      </c>
      <c r="C213" s="42">
        <v>14</v>
      </c>
      <c r="D213" s="42"/>
      <c r="E213" s="44" t="s">
        <v>335</v>
      </c>
      <c r="F213" s="75" t="s">
        <v>3222</v>
      </c>
      <c r="G213" s="56"/>
      <c r="H213" s="56"/>
      <c r="I213" s="55"/>
      <c r="J213" s="56"/>
      <c r="K213" s="56"/>
      <c r="L213" s="56"/>
      <c r="M213" s="56"/>
      <c r="N213" s="56"/>
      <c r="O213" s="61">
        <f t="shared" si="19"/>
        <v>0</v>
      </c>
      <c r="P213" s="55">
        <v>39216.34</v>
      </c>
      <c r="Q213" s="61">
        <f t="shared" si="18"/>
        <v>0</v>
      </c>
      <c r="R213" s="58"/>
      <c r="S213" s="56"/>
    </row>
    <row r="214" ht="20" customHeight="1" spans="2:19">
      <c r="B214" s="42">
        <v>8</v>
      </c>
      <c r="C214" s="42">
        <v>14</v>
      </c>
      <c r="D214" s="42"/>
      <c r="E214" s="44" t="s">
        <v>3499</v>
      </c>
      <c r="F214" s="97" t="s">
        <v>3523</v>
      </c>
      <c r="G214" s="56"/>
      <c r="H214" s="56"/>
      <c r="I214" s="55"/>
      <c r="J214" s="56"/>
      <c r="K214" s="55">
        <v>190</v>
      </c>
      <c r="L214" s="56"/>
      <c r="M214" s="56"/>
      <c r="N214" s="55">
        <v>1.14</v>
      </c>
      <c r="O214" s="98">
        <f t="shared" si="19"/>
        <v>188.86</v>
      </c>
      <c r="P214" s="56"/>
      <c r="Q214" s="61">
        <f t="shared" si="18"/>
        <v>188.86</v>
      </c>
      <c r="R214" s="58"/>
      <c r="S214" s="56"/>
    </row>
    <row r="215" ht="20" customHeight="1" spans="2:19">
      <c r="B215" s="42">
        <v>8</v>
      </c>
      <c r="C215" s="42">
        <v>14</v>
      </c>
      <c r="D215" s="94" t="s">
        <v>16</v>
      </c>
      <c r="E215" s="95" t="s">
        <v>3361</v>
      </c>
      <c r="F215" s="75" t="s">
        <v>478</v>
      </c>
      <c r="G215" s="56"/>
      <c r="H215" s="56"/>
      <c r="I215" s="55"/>
      <c r="J215" s="56"/>
      <c r="K215" s="56"/>
      <c r="L215" s="56"/>
      <c r="M215" s="56"/>
      <c r="N215" s="56"/>
      <c r="O215" s="61">
        <f t="shared" si="19"/>
        <v>0</v>
      </c>
      <c r="P215" s="55">
        <v>1</v>
      </c>
      <c r="Q215" s="61">
        <f t="shared" si="18"/>
        <v>187.86</v>
      </c>
      <c r="R215" s="58"/>
      <c r="S215" s="56"/>
    </row>
    <row r="216" ht="20" customHeight="1" spans="2:19">
      <c r="B216" s="42">
        <v>8</v>
      </c>
      <c r="C216" s="42">
        <v>14</v>
      </c>
      <c r="D216" s="42" t="s">
        <v>103</v>
      </c>
      <c r="E216" s="44" t="s">
        <v>291</v>
      </c>
      <c r="F216" s="75" t="s">
        <v>3524</v>
      </c>
      <c r="G216" s="56"/>
      <c r="H216" s="56"/>
      <c r="I216" s="55"/>
      <c r="J216" s="56"/>
      <c r="K216" s="56"/>
      <c r="L216" s="56"/>
      <c r="M216" s="56"/>
      <c r="N216" s="56"/>
      <c r="O216" s="61">
        <f t="shared" si="19"/>
        <v>0</v>
      </c>
      <c r="P216" s="55">
        <v>100</v>
      </c>
      <c r="Q216" s="61">
        <f t="shared" si="18"/>
        <v>87.86</v>
      </c>
      <c r="R216" s="58"/>
      <c r="S216" s="56"/>
    </row>
    <row r="217" ht="20" customHeight="1" spans="2:19">
      <c r="B217" s="42">
        <v>8</v>
      </c>
      <c r="C217" s="42">
        <v>15</v>
      </c>
      <c r="D217" s="42"/>
      <c r="E217" s="44" t="s">
        <v>3499</v>
      </c>
      <c r="F217" s="97" t="s">
        <v>3525</v>
      </c>
      <c r="G217" s="56"/>
      <c r="H217" s="56"/>
      <c r="I217" s="55"/>
      <c r="J217" s="56"/>
      <c r="K217" s="55">
        <v>210</v>
      </c>
      <c r="L217" s="56"/>
      <c r="M217" s="56"/>
      <c r="N217" s="55">
        <v>1.26</v>
      </c>
      <c r="O217" s="98">
        <f t="shared" ref="O217:O226" si="20">SUM(G217:M217)-N217</f>
        <v>208.74</v>
      </c>
      <c r="P217" s="56"/>
      <c r="Q217" s="61">
        <f t="shared" si="18"/>
        <v>296.6</v>
      </c>
      <c r="R217" s="58"/>
      <c r="S217" s="56"/>
    </row>
    <row r="218" ht="20" customHeight="1" spans="2:19">
      <c r="B218" s="42">
        <v>8</v>
      </c>
      <c r="C218" s="42">
        <v>16</v>
      </c>
      <c r="D218" s="42"/>
      <c r="E218" s="44" t="s">
        <v>3499</v>
      </c>
      <c r="F218" s="97" t="s">
        <v>3526</v>
      </c>
      <c r="G218" s="56"/>
      <c r="H218" s="56"/>
      <c r="I218" s="55"/>
      <c r="J218" s="56"/>
      <c r="K218" s="55">
        <v>125</v>
      </c>
      <c r="L218" s="56"/>
      <c r="M218" s="56"/>
      <c r="N218" s="55">
        <v>0.75</v>
      </c>
      <c r="O218" s="98">
        <f t="shared" si="20"/>
        <v>124.25</v>
      </c>
      <c r="P218" s="56"/>
      <c r="Q218" s="61">
        <f t="shared" si="18"/>
        <v>420.85</v>
      </c>
      <c r="R218" s="58"/>
      <c r="S218" s="56"/>
    </row>
    <row r="219" ht="20" customHeight="1" spans="2:19">
      <c r="B219" s="42">
        <v>8</v>
      </c>
      <c r="C219" s="42">
        <v>17</v>
      </c>
      <c r="D219" s="94" t="s">
        <v>16</v>
      </c>
      <c r="E219" s="95" t="s">
        <v>3361</v>
      </c>
      <c r="F219" s="75" t="s">
        <v>478</v>
      </c>
      <c r="G219" s="55"/>
      <c r="H219" s="56"/>
      <c r="I219" s="55"/>
      <c r="J219" s="56"/>
      <c r="K219" s="56"/>
      <c r="L219" s="56"/>
      <c r="M219" s="56"/>
      <c r="N219" s="56"/>
      <c r="O219" s="61">
        <f t="shared" si="20"/>
        <v>0</v>
      </c>
      <c r="P219" s="55">
        <v>1</v>
      </c>
      <c r="Q219" s="61">
        <f t="shared" si="18"/>
        <v>419.85</v>
      </c>
      <c r="R219" s="58"/>
      <c r="S219" s="56"/>
    </row>
    <row r="220" ht="20" customHeight="1" spans="2:19">
      <c r="B220" s="42">
        <v>8</v>
      </c>
      <c r="C220" s="42">
        <v>17</v>
      </c>
      <c r="D220" s="42" t="s">
        <v>102</v>
      </c>
      <c r="E220" s="44" t="s">
        <v>291</v>
      </c>
      <c r="F220" s="75" t="s">
        <v>3527</v>
      </c>
      <c r="G220" s="56"/>
      <c r="H220" s="56"/>
      <c r="I220" s="55"/>
      <c r="J220" s="56"/>
      <c r="K220" s="56"/>
      <c r="L220" s="56"/>
      <c r="M220" s="56"/>
      <c r="N220" s="56"/>
      <c r="O220" s="61">
        <f t="shared" si="20"/>
        <v>0</v>
      </c>
      <c r="P220" s="55">
        <v>61</v>
      </c>
      <c r="Q220" s="61">
        <f t="shared" si="18"/>
        <v>358.85</v>
      </c>
      <c r="R220" s="58"/>
      <c r="S220" s="56"/>
    </row>
    <row r="221" ht="20" customHeight="1" spans="2:19">
      <c r="B221" s="42">
        <v>8</v>
      </c>
      <c r="C221" s="42">
        <v>17</v>
      </c>
      <c r="D221" s="42" t="s">
        <v>100</v>
      </c>
      <c r="E221" s="44" t="s">
        <v>291</v>
      </c>
      <c r="F221" s="75" t="s">
        <v>3528</v>
      </c>
      <c r="G221" s="56"/>
      <c r="H221" s="56"/>
      <c r="I221" s="55"/>
      <c r="J221" s="56"/>
      <c r="K221" s="56"/>
      <c r="L221" s="56"/>
      <c r="M221" s="56"/>
      <c r="N221" s="56"/>
      <c r="O221" s="61">
        <f t="shared" si="20"/>
        <v>0</v>
      </c>
      <c r="P221" s="55">
        <v>300</v>
      </c>
      <c r="Q221" s="61">
        <f t="shared" si="18"/>
        <v>58.85</v>
      </c>
      <c r="R221" s="58"/>
      <c r="S221" s="56"/>
    </row>
    <row r="222" ht="20" customHeight="1" spans="2:19">
      <c r="B222" s="42">
        <v>8</v>
      </c>
      <c r="C222" s="42">
        <v>17</v>
      </c>
      <c r="D222" s="42"/>
      <c r="E222" s="44" t="s">
        <v>3499</v>
      </c>
      <c r="F222" s="97" t="s">
        <v>3529</v>
      </c>
      <c r="G222" s="56"/>
      <c r="H222" s="56"/>
      <c r="I222" s="55"/>
      <c r="J222" s="56"/>
      <c r="K222" s="55">
        <v>85</v>
      </c>
      <c r="L222" s="56"/>
      <c r="M222" s="56"/>
      <c r="N222" s="55">
        <v>0.51</v>
      </c>
      <c r="O222" s="98">
        <f t="shared" si="20"/>
        <v>84.49</v>
      </c>
      <c r="P222" s="56"/>
      <c r="Q222" s="61">
        <f t="shared" si="18"/>
        <v>143.34</v>
      </c>
      <c r="R222" s="58"/>
      <c r="S222" s="56"/>
    </row>
    <row r="223" ht="20" customHeight="1" spans="2:19">
      <c r="B223" s="42">
        <v>8</v>
      </c>
      <c r="C223" s="42">
        <v>18</v>
      </c>
      <c r="D223" s="42"/>
      <c r="E223" s="44" t="s">
        <v>3499</v>
      </c>
      <c r="F223" s="97" t="s">
        <v>3530</v>
      </c>
      <c r="G223" s="56"/>
      <c r="H223" s="56"/>
      <c r="I223" s="55"/>
      <c r="J223" s="56"/>
      <c r="K223" s="55">
        <v>190</v>
      </c>
      <c r="L223" s="56"/>
      <c r="M223" s="56"/>
      <c r="N223" s="55">
        <v>1.14</v>
      </c>
      <c r="O223" s="98">
        <f t="shared" si="20"/>
        <v>188.86</v>
      </c>
      <c r="P223" s="56"/>
      <c r="Q223" s="61">
        <f t="shared" si="18"/>
        <v>332.2</v>
      </c>
      <c r="R223" s="58"/>
      <c r="S223" s="56"/>
    </row>
    <row r="224" ht="20" customHeight="1" spans="2:19">
      <c r="B224" s="42">
        <v>8</v>
      </c>
      <c r="C224" s="42">
        <v>19</v>
      </c>
      <c r="D224" s="42"/>
      <c r="E224" s="44" t="s">
        <v>3443</v>
      </c>
      <c r="F224" s="97" t="s">
        <v>3531</v>
      </c>
      <c r="G224" s="56"/>
      <c r="H224" s="55">
        <v>13560</v>
      </c>
      <c r="I224" s="55"/>
      <c r="J224" s="56"/>
      <c r="K224" s="56"/>
      <c r="L224" s="56"/>
      <c r="M224" s="56"/>
      <c r="N224" s="56"/>
      <c r="O224" s="98">
        <f t="shared" si="20"/>
        <v>13560</v>
      </c>
      <c r="P224" s="56"/>
      <c r="Q224" s="61">
        <f t="shared" si="18"/>
        <v>13892.2</v>
      </c>
      <c r="R224" s="58"/>
      <c r="S224" s="56"/>
    </row>
    <row r="225" ht="20" customHeight="1" spans="2:19">
      <c r="B225" s="42">
        <v>8</v>
      </c>
      <c r="C225" s="42">
        <v>19</v>
      </c>
      <c r="D225" s="74" t="s">
        <v>69</v>
      </c>
      <c r="E225" s="44" t="s">
        <v>335</v>
      </c>
      <c r="F225" s="75" t="s">
        <v>3222</v>
      </c>
      <c r="G225" s="56"/>
      <c r="H225" s="56"/>
      <c r="I225" s="55"/>
      <c r="J225" s="56"/>
      <c r="K225" s="56"/>
      <c r="L225" s="56"/>
      <c r="M225" s="56"/>
      <c r="N225" s="56"/>
      <c r="O225" s="61">
        <f t="shared" si="20"/>
        <v>0</v>
      </c>
      <c r="P225" s="55">
        <v>13890</v>
      </c>
      <c r="Q225" s="61">
        <f t="shared" si="18"/>
        <v>2.20000000000073</v>
      </c>
      <c r="R225" s="58"/>
      <c r="S225" s="56"/>
    </row>
    <row r="226" ht="20" customHeight="1" spans="2:19">
      <c r="B226" s="42">
        <v>8</v>
      </c>
      <c r="C226" s="42">
        <v>19</v>
      </c>
      <c r="D226" s="94" t="s">
        <v>16</v>
      </c>
      <c r="E226" s="95" t="s">
        <v>3361</v>
      </c>
      <c r="F226" s="75" t="s">
        <v>478</v>
      </c>
      <c r="G226" s="56"/>
      <c r="H226" s="56"/>
      <c r="I226" s="55"/>
      <c r="J226" s="56"/>
      <c r="K226" s="56"/>
      <c r="L226" s="56"/>
      <c r="M226" s="56"/>
      <c r="N226" s="56"/>
      <c r="O226" s="61">
        <f t="shared" si="20"/>
        <v>0</v>
      </c>
      <c r="P226" s="55">
        <v>1</v>
      </c>
      <c r="Q226" s="61">
        <f t="shared" si="18"/>
        <v>1.20000000000073</v>
      </c>
      <c r="R226" s="58"/>
      <c r="S226" s="56"/>
    </row>
    <row r="227" ht="20" customHeight="1" spans="2:19">
      <c r="B227" s="42">
        <v>8</v>
      </c>
      <c r="C227" s="42">
        <v>19</v>
      </c>
      <c r="D227" s="42"/>
      <c r="E227" s="44" t="s">
        <v>3499</v>
      </c>
      <c r="F227" s="97" t="s">
        <v>3532</v>
      </c>
      <c r="G227" s="56"/>
      <c r="H227" s="56"/>
      <c r="I227" s="55"/>
      <c r="J227" s="56"/>
      <c r="K227" s="55">
        <v>155</v>
      </c>
      <c r="L227" s="56"/>
      <c r="M227" s="56"/>
      <c r="N227" s="55">
        <v>0.93</v>
      </c>
      <c r="O227" s="98">
        <f t="shared" ref="O227:O250" si="21">SUM(G227:M227)-N227</f>
        <v>154.07</v>
      </c>
      <c r="P227" s="56"/>
      <c r="Q227" s="61">
        <f t="shared" si="18"/>
        <v>155.270000000001</v>
      </c>
      <c r="R227" s="58"/>
      <c r="S227" s="56"/>
    </row>
    <row r="228" ht="20" customHeight="1" spans="2:19">
      <c r="B228" s="42">
        <v>8</v>
      </c>
      <c r="C228" s="42">
        <v>20</v>
      </c>
      <c r="D228" s="42"/>
      <c r="E228" s="44" t="s">
        <v>3443</v>
      </c>
      <c r="F228" s="97" t="s">
        <v>3533</v>
      </c>
      <c r="G228" s="55">
        <v>125517</v>
      </c>
      <c r="H228" s="56"/>
      <c r="I228" s="55"/>
      <c r="J228" s="56"/>
      <c r="K228" s="56"/>
      <c r="L228" s="56"/>
      <c r="M228" s="56"/>
      <c r="N228" s="56"/>
      <c r="O228" s="98">
        <f t="shared" si="21"/>
        <v>125517</v>
      </c>
      <c r="P228" s="56"/>
      <c r="Q228" s="61">
        <f t="shared" si="18"/>
        <v>125672.27</v>
      </c>
      <c r="R228" s="58"/>
      <c r="S228" s="56"/>
    </row>
    <row r="229" ht="20" customHeight="1" spans="2:19">
      <c r="B229" s="42">
        <v>8</v>
      </c>
      <c r="C229" s="42">
        <v>20</v>
      </c>
      <c r="D229" s="94" t="s">
        <v>16</v>
      </c>
      <c r="E229" s="95" t="s">
        <v>3361</v>
      </c>
      <c r="F229" s="75" t="s">
        <v>478</v>
      </c>
      <c r="G229" s="56"/>
      <c r="H229" s="56"/>
      <c r="I229" s="55"/>
      <c r="J229" s="56"/>
      <c r="K229" s="56"/>
      <c r="L229" s="56"/>
      <c r="M229" s="56"/>
      <c r="N229" s="56"/>
      <c r="O229" s="61">
        <f t="shared" si="21"/>
        <v>0</v>
      </c>
      <c r="P229" s="55">
        <v>1</v>
      </c>
      <c r="Q229" s="61">
        <f t="shared" ref="Q227:Q253" si="22">Q228+O229-P229</f>
        <v>125671.27</v>
      </c>
      <c r="R229" s="58"/>
      <c r="S229" s="56"/>
    </row>
    <row r="230" ht="20" customHeight="1" spans="2:19">
      <c r="B230" s="42">
        <v>8</v>
      </c>
      <c r="C230" s="42">
        <v>20</v>
      </c>
      <c r="D230" s="74" t="s">
        <v>69</v>
      </c>
      <c r="E230" s="44" t="s">
        <v>335</v>
      </c>
      <c r="F230" s="75" t="s">
        <v>3222</v>
      </c>
      <c r="G230" s="56"/>
      <c r="H230" s="56"/>
      <c r="I230" s="55"/>
      <c r="J230" s="56"/>
      <c r="K230" s="56"/>
      <c r="L230" s="56"/>
      <c r="M230" s="56"/>
      <c r="N230" s="56"/>
      <c r="O230" s="61">
        <f t="shared" si="21"/>
        <v>0</v>
      </c>
      <c r="P230" s="55">
        <v>50000</v>
      </c>
      <c r="Q230" s="61">
        <f t="shared" si="22"/>
        <v>75671.27</v>
      </c>
      <c r="R230" s="58"/>
      <c r="S230" s="56"/>
    </row>
    <row r="231" ht="20" customHeight="1" spans="2:19">
      <c r="B231" s="42">
        <v>8</v>
      </c>
      <c r="C231" s="42">
        <v>20</v>
      </c>
      <c r="D231" s="74" t="s">
        <v>69</v>
      </c>
      <c r="E231" s="44" t="s">
        <v>335</v>
      </c>
      <c r="F231" s="99" t="s">
        <v>3534</v>
      </c>
      <c r="G231" s="56"/>
      <c r="H231" s="56"/>
      <c r="I231" s="55"/>
      <c r="J231" s="56"/>
      <c r="K231" s="56"/>
      <c r="L231" s="56"/>
      <c r="M231" s="56"/>
      <c r="N231" s="56"/>
      <c r="O231" s="98">
        <v>31600</v>
      </c>
      <c r="P231" s="56"/>
      <c r="Q231" s="61">
        <f t="shared" si="22"/>
        <v>107271.27</v>
      </c>
      <c r="R231" s="58"/>
      <c r="S231" s="56"/>
    </row>
    <row r="232" ht="20" customHeight="1" spans="2:19">
      <c r="B232" s="42">
        <v>8</v>
      </c>
      <c r="C232" s="42">
        <v>20</v>
      </c>
      <c r="D232" s="94" t="s">
        <v>16</v>
      </c>
      <c r="E232" s="95" t="s">
        <v>3361</v>
      </c>
      <c r="F232" s="75" t="s">
        <v>478</v>
      </c>
      <c r="G232" s="56"/>
      <c r="H232" s="56"/>
      <c r="I232" s="55"/>
      <c r="J232" s="56"/>
      <c r="K232" s="56"/>
      <c r="L232" s="56"/>
      <c r="M232" s="56"/>
      <c r="N232" s="56"/>
      <c r="O232" s="61">
        <f>SUM(G232:M232)-N232</f>
        <v>0</v>
      </c>
      <c r="P232" s="55">
        <v>2</v>
      </c>
      <c r="Q232" s="61">
        <f t="shared" si="22"/>
        <v>107269.27</v>
      </c>
      <c r="R232" s="58"/>
      <c r="S232" s="56"/>
    </row>
    <row r="233" ht="20" customHeight="1" spans="2:19">
      <c r="B233" s="42">
        <v>8</v>
      </c>
      <c r="C233" s="42">
        <v>20</v>
      </c>
      <c r="D233" s="74" t="s">
        <v>121</v>
      </c>
      <c r="E233" s="44" t="s">
        <v>3368</v>
      </c>
      <c r="F233" s="75" t="s">
        <v>3516</v>
      </c>
      <c r="G233" s="56"/>
      <c r="H233" s="56"/>
      <c r="I233" s="55"/>
      <c r="J233" s="56"/>
      <c r="K233" s="56"/>
      <c r="L233" s="56"/>
      <c r="M233" s="56"/>
      <c r="N233" s="56"/>
      <c r="O233" s="61">
        <f>SUM(G233:N233)-N233</f>
        <v>0</v>
      </c>
      <c r="P233" s="55">
        <v>107266.2</v>
      </c>
      <c r="Q233" s="61">
        <f t="shared" si="22"/>
        <v>3.07000000000698</v>
      </c>
      <c r="R233" s="58"/>
      <c r="S233" s="56"/>
    </row>
    <row r="234" ht="20" customHeight="1" spans="2:19">
      <c r="B234" s="42">
        <v>8</v>
      </c>
      <c r="C234" s="42">
        <v>20</v>
      </c>
      <c r="D234" s="42"/>
      <c r="E234" s="44" t="s">
        <v>3499</v>
      </c>
      <c r="F234" s="97" t="s">
        <v>3535</v>
      </c>
      <c r="G234" s="56"/>
      <c r="H234" s="56"/>
      <c r="I234" s="55"/>
      <c r="J234" s="56"/>
      <c r="K234" s="55">
        <v>170</v>
      </c>
      <c r="L234" s="56"/>
      <c r="M234" s="56"/>
      <c r="N234" s="55">
        <v>1.02</v>
      </c>
      <c r="O234" s="98">
        <f t="shared" si="21"/>
        <v>168.98</v>
      </c>
      <c r="P234" s="56"/>
      <c r="Q234" s="61">
        <f t="shared" si="22"/>
        <v>172.050000000007</v>
      </c>
      <c r="R234" s="58"/>
      <c r="S234" s="56"/>
    </row>
    <row r="235" ht="20" customHeight="1" spans="2:19">
      <c r="B235" s="42">
        <v>8</v>
      </c>
      <c r="C235" s="42">
        <v>21</v>
      </c>
      <c r="D235" s="42"/>
      <c r="E235" s="44" t="s">
        <v>3499</v>
      </c>
      <c r="F235" s="97" t="s">
        <v>3536</v>
      </c>
      <c r="G235" s="56"/>
      <c r="H235" s="56"/>
      <c r="I235" s="55"/>
      <c r="J235" s="56"/>
      <c r="K235" s="55">
        <v>172.99</v>
      </c>
      <c r="L235" s="56"/>
      <c r="M235" s="56"/>
      <c r="N235" s="55">
        <v>1.04</v>
      </c>
      <c r="O235" s="98">
        <f t="shared" si="21"/>
        <v>171.95</v>
      </c>
      <c r="P235" s="56"/>
      <c r="Q235" s="61">
        <f t="shared" si="22"/>
        <v>344.000000000007</v>
      </c>
      <c r="R235" s="58"/>
      <c r="S235" s="56"/>
    </row>
    <row r="236" ht="20" customHeight="1" spans="2:19">
      <c r="B236" s="42">
        <v>8</v>
      </c>
      <c r="C236" s="42">
        <v>22</v>
      </c>
      <c r="D236" s="42"/>
      <c r="E236" s="44" t="s">
        <v>3499</v>
      </c>
      <c r="F236" s="97" t="s">
        <v>3537</v>
      </c>
      <c r="G236" s="56"/>
      <c r="H236" s="56"/>
      <c r="I236" s="55"/>
      <c r="J236" s="56"/>
      <c r="K236" s="55">
        <v>126</v>
      </c>
      <c r="L236" s="56"/>
      <c r="M236" s="56"/>
      <c r="N236" s="55">
        <v>0.76</v>
      </c>
      <c r="O236" s="98">
        <f t="shared" si="21"/>
        <v>125.24</v>
      </c>
      <c r="P236" s="56"/>
      <c r="Q236" s="61">
        <f t="shared" si="22"/>
        <v>469.240000000007</v>
      </c>
      <c r="R236" s="58"/>
      <c r="S236" s="56"/>
    </row>
    <row r="237" ht="20" customHeight="1" spans="2:19">
      <c r="B237" s="42">
        <v>8</v>
      </c>
      <c r="C237" s="42">
        <v>23</v>
      </c>
      <c r="D237" s="42"/>
      <c r="E237" s="44" t="s">
        <v>3499</v>
      </c>
      <c r="F237" s="97" t="s">
        <v>3538</v>
      </c>
      <c r="G237" s="56"/>
      <c r="H237" s="56"/>
      <c r="I237" s="55"/>
      <c r="J237" s="56"/>
      <c r="K237" s="55">
        <v>66</v>
      </c>
      <c r="L237" s="56"/>
      <c r="M237" s="56"/>
      <c r="N237" s="55">
        <v>0.4</v>
      </c>
      <c r="O237" s="98">
        <f t="shared" si="21"/>
        <v>65.6</v>
      </c>
      <c r="P237" s="56"/>
      <c r="Q237" s="61">
        <f t="shared" si="22"/>
        <v>534.840000000007</v>
      </c>
      <c r="R237" s="58"/>
      <c r="S237" s="56"/>
    </row>
    <row r="238" ht="20" customHeight="1" spans="2:19">
      <c r="B238" s="42">
        <v>8</v>
      </c>
      <c r="C238" s="42">
        <v>24</v>
      </c>
      <c r="D238" s="42"/>
      <c r="E238" s="44" t="s">
        <v>3499</v>
      </c>
      <c r="F238" s="97" t="s">
        <v>3539</v>
      </c>
      <c r="G238" s="56"/>
      <c r="H238" s="56"/>
      <c r="I238" s="55"/>
      <c r="J238" s="56"/>
      <c r="K238" s="55">
        <v>100.98</v>
      </c>
      <c r="L238" s="56"/>
      <c r="M238" s="56"/>
      <c r="N238" s="55">
        <v>0.61</v>
      </c>
      <c r="O238" s="98">
        <f t="shared" si="21"/>
        <v>100.37</v>
      </c>
      <c r="P238" s="56"/>
      <c r="Q238" s="61">
        <f t="shared" si="22"/>
        <v>635.210000000007</v>
      </c>
      <c r="R238" s="58"/>
      <c r="S238" s="56"/>
    </row>
    <row r="239" ht="20" customHeight="1" spans="2:19">
      <c r="B239" s="42">
        <v>8</v>
      </c>
      <c r="C239" s="42">
        <v>25</v>
      </c>
      <c r="D239" s="74" t="s">
        <v>69</v>
      </c>
      <c r="E239" s="44" t="s">
        <v>335</v>
      </c>
      <c r="F239" s="99" t="s">
        <v>3534</v>
      </c>
      <c r="G239" s="56"/>
      <c r="H239" s="56"/>
      <c r="I239" s="55"/>
      <c r="J239" s="56"/>
      <c r="K239" s="56"/>
      <c r="L239" s="56"/>
      <c r="M239" s="56"/>
      <c r="N239" s="56"/>
      <c r="O239" s="98">
        <v>17025</v>
      </c>
      <c r="P239" s="56"/>
      <c r="Q239" s="61">
        <f t="shared" si="22"/>
        <v>17660.21</v>
      </c>
      <c r="R239" s="58"/>
      <c r="S239" s="56"/>
    </row>
    <row r="240" ht="20" customHeight="1" spans="2:19">
      <c r="B240" s="42">
        <v>8</v>
      </c>
      <c r="C240" s="42">
        <v>25</v>
      </c>
      <c r="D240" s="42" t="s">
        <v>124</v>
      </c>
      <c r="E240" s="44" t="s">
        <v>3370</v>
      </c>
      <c r="F240" s="75" t="s">
        <v>3540</v>
      </c>
      <c r="G240" s="56"/>
      <c r="H240" s="56"/>
      <c r="I240" s="55"/>
      <c r="J240" s="56"/>
      <c r="K240" s="56"/>
      <c r="L240" s="56"/>
      <c r="M240" s="56"/>
      <c r="N240" s="56"/>
      <c r="O240" s="61">
        <f t="shared" si="21"/>
        <v>0</v>
      </c>
      <c r="P240" s="55">
        <v>4193.28</v>
      </c>
      <c r="Q240" s="61">
        <f t="shared" si="22"/>
        <v>13466.93</v>
      </c>
      <c r="R240" s="58"/>
      <c r="S240" s="56"/>
    </row>
    <row r="241" ht="20" customHeight="1" spans="2:19">
      <c r="B241" s="42">
        <v>8</v>
      </c>
      <c r="C241" s="42">
        <v>25</v>
      </c>
      <c r="D241" s="94" t="s">
        <v>16</v>
      </c>
      <c r="E241" s="95" t="s">
        <v>3361</v>
      </c>
      <c r="F241" s="75" t="s">
        <v>478</v>
      </c>
      <c r="G241" s="56"/>
      <c r="H241" s="56"/>
      <c r="I241" s="55"/>
      <c r="J241" s="56"/>
      <c r="K241" s="56"/>
      <c r="L241" s="56"/>
      <c r="M241" s="56"/>
      <c r="N241" s="56"/>
      <c r="O241" s="61">
        <f t="shared" si="21"/>
        <v>0</v>
      </c>
      <c r="P241" s="55">
        <v>1</v>
      </c>
      <c r="Q241" s="61">
        <f t="shared" si="22"/>
        <v>13465.93</v>
      </c>
      <c r="R241" s="58"/>
      <c r="S241" s="56"/>
    </row>
    <row r="242" ht="20" customHeight="1" spans="2:19">
      <c r="B242" s="42">
        <v>8</v>
      </c>
      <c r="C242" s="42">
        <v>25</v>
      </c>
      <c r="D242" s="42"/>
      <c r="E242" s="44" t="s">
        <v>3499</v>
      </c>
      <c r="F242" s="97" t="s">
        <v>3541</v>
      </c>
      <c r="G242" s="56"/>
      <c r="H242" s="56"/>
      <c r="I242" s="55"/>
      <c r="J242" s="56"/>
      <c r="K242" s="55">
        <v>200.98</v>
      </c>
      <c r="L242" s="56"/>
      <c r="M242" s="56"/>
      <c r="N242" s="55">
        <v>1.21</v>
      </c>
      <c r="O242" s="98">
        <f t="shared" si="21"/>
        <v>199.77</v>
      </c>
      <c r="P242" s="56"/>
      <c r="Q242" s="61">
        <f t="shared" si="22"/>
        <v>13665.7</v>
      </c>
      <c r="R242" s="58"/>
      <c r="S242" s="56"/>
    </row>
    <row r="243" ht="20" customHeight="1" spans="2:19">
      <c r="B243" s="42">
        <v>8</v>
      </c>
      <c r="C243" s="42">
        <v>26</v>
      </c>
      <c r="D243" s="42"/>
      <c r="E243" s="44" t="s">
        <v>3499</v>
      </c>
      <c r="F243" s="97" t="s">
        <v>3542</v>
      </c>
      <c r="G243" s="56"/>
      <c r="H243" s="56"/>
      <c r="I243" s="55"/>
      <c r="J243" s="56"/>
      <c r="K243" s="55">
        <v>134.96</v>
      </c>
      <c r="L243" s="56"/>
      <c r="M243" s="56"/>
      <c r="N243" s="55">
        <v>0.81</v>
      </c>
      <c r="O243" s="98">
        <f t="shared" si="21"/>
        <v>134.15</v>
      </c>
      <c r="P243" s="56"/>
      <c r="Q243" s="61">
        <f t="shared" si="22"/>
        <v>13799.85</v>
      </c>
      <c r="R243" s="58"/>
      <c r="S243" s="56"/>
    </row>
    <row r="244" ht="20" customHeight="1" spans="2:19">
      <c r="B244" s="42">
        <v>8</v>
      </c>
      <c r="C244" s="42">
        <v>27</v>
      </c>
      <c r="D244" s="42"/>
      <c r="E244" s="44" t="s">
        <v>3499</v>
      </c>
      <c r="F244" s="97" t="s">
        <v>3543</v>
      </c>
      <c r="G244" s="56"/>
      <c r="H244" s="56"/>
      <c r="I244" s="55"/>
      <c r="J244" s="56"/>
      <c r="K244" s="55">
        <v>141.97</v>
      </c>
      <c r="L244" s="56"/>
      <c r="M244" s="56"/>
      <c r="N244" s="55">
        <v>0.85</v>
      </c>
      <c r="O244" s="98">
        <f t="shared" si="21"/>
        <v>141.12</v>
      </c>
      <c r="P244" s="56"/>
      <c r="Q244" s="61">
        <f t="shared" si="22"/>
        <v>13940.97</v>
      </c>
      <c r="R244" s="58"/>
      <c r="S244" s="56"/>
    </row>
    <row r="245" ht="20" customHeight="1" spans="2:19">
      <c r="B245" s="42">
        <v>8</v>
      </c>
      <c r="C245" s="42">
        <v>27</v>
      </c>
      <c r="D245" s="74" t="s">
        <v>69</v>
      </c>
      <c r="E245" s="44" t="s">
        <v>335</v>
      </c>
      <c r="F245" s="99" t="s">
        <v>3534</v>
      </c>
      <c r="G245" s="56"/>
      <c r="H245" s="56"/>
      <c r="I245" s="55"/>
      <c r="J245" s="56"/>
      <c r="K245" s="56"/>
      <c r="L245" s="56"/>
      <c r="M245" s="56"/>
      <c r="N245" s="56"/>
      <c r="O245" s="98">
        <v>4000</v>
      </c>
      <c r="P245" s="56"/>
      <c r="Q245" s="61">
        <f t="shared" si="22"/>
        <v>17940.97</v>
      </c>
      <c r="R245" s="58"/>
      <c r="S245" s="56"/>
    </row>
    <row r="246" ht="36.75" spans="2:19">
      <c r="B246" s="42">
        <v>8</v>
      </c>
      <c r="C246" s="42">
        <v>28</v>
      </c>
      <c r="D246" s="42" t="s">
        <v>124</v>
      </c>
      <c r="E246" s="93" t="s">
        <v>3374</v>
      </c>
      <c r="F246" s="77" t="s">
        <v>3544</v>
      </c>
      <c r="G246" s="56"/>
      <c r="H246" s="56"/>
      <c r="I246" s="55"/>
      <c r="J246" s="56"/>
      <c r="K246" s="56"/>
      <c r="L246" s="56"/>
      <c r="M246" s="56"/>
      <c r="N246" s="56"/>
      <c r="O246" s="61">
        <f t="shared" si="21"/>
        <v>0</v>
      </c>
      <c r="P246" s="56">
        <v>17659.08</v>
      </c>
      <c r="Q246" s="61">
        <f t="shared" si="22"/>
        <v>281.890000000007</v>
      </c>
      <c r="R246" s="58"/>
      <c r="S246" s="56"/>
    </row>
    <row r="247" ht="20" customHeight="1" spans="2:19">
      <c r="B247" s="42">
        <v>8</v>
      </c>
      <c r="C247" s="42">
        <v>28</v>
      </c>
      <c r="D247" s="42"/>
      <c r="E247" s="44" t="s">
        <v>3499</v>
      </c>
      <c r="F247" s="97" t="s">
        <v>3545</v>
      </c>
      <c r="G247" s="56"/>
      <c r="H247" s="56"/>
      <c r="I247" s="55"/>
      <c r="J247" s="56"/>
      <c r="K247" s="55">
        <v>114.96</v>
      </c>
      <c r="L247" s="56"/>
      <c r="M247" s="56"/>
      <c r="N247" s="55">
        <v>0.69</v>
      </c>
      <c r="O247" s="98">
        <f t="shared" si="21"/>
        <v>114.27</v>
      </c>
      <c r="P247" s="56"/>
      <c r="Q247" s="61">
        <f t="shared" si="22"/>
        <v>396.160000000007</v>
      </c>
      <c r="R247" s="58"/>
      <c r="S247" s="56"/>
    </row>
    <row r="248" ht="20" customHeight="1" spans="2:19">
      <c r="B248" s="42">
        <v>8</v>
      </c>
      <c r="C248" s="42">
        <v>29</v>
      </c>
      <c r="D248" s="42"/>
      <c r="E248" s="44" t="s">
        <v>3499</v>
      </c>
      <c r="F248" s="97" t="s">
        <v>3546</v>
      </c>
      <c r="G248" s="56"/>
      <c r="H248" s="56"/>
      <c r="I248" s="55"/>
      <c r="J248" s="56"/>
      <c r="K248" s="55">
        <v>140.96</v>
      </c>
      <c r="L248" s="56"/>
      <c r="M248" s="56"/>
      <c r="N248" s="55">
        <v>0.85</v>
      </c>
      <c r="O248" s="98">
        <f t="shared" si="21"/>
        <v>140.11</v>
      </c>
      <c r="P248" s="56"/>
      <c r="Q248" s="61">
        <f t="shared" si="22"/>
        <v>536.270000000007</v>
      </c>
      <c r="R248" s="58"/>
      <c r="S248" s="56"/>
    </row>
    <row r="249" ht="20" customHeight="1" spans="2:19">
      <c r="B249" s="42">
        <v>8</v>
      </c>
      <c r="C249" s="42">
        <v>30</v>
      </c>
      <c r="D249" s="42"/>
      <c r="E249" s="44" t="s">
        <v>3499</v>
      </c>
      <c r="F249" s="97" t="s">
        <v>3547</v>
      </c>
      <c r="G249" s="56"/>
      <c r="H249" s="56"/>
      <c r="I249" s="55"/>
      <c r="J249" s="56"/>
      <c r="K249" s="55">
        <v>95</v>
      </c>
      <c r="L249" s="56"/>
      <c r="M249" s="56"/>
      <c r="N249" s="55">
        <v>0.57</v>
      </c>
      <c r="O249" s="98">
        <f t="shared" si="21"/>
        <v>94.43</v>
      </c>
      <c r="P249" s="56"/>
      <c r="Q249" s="61">
        <f t="shared" si="22"/>
        <v>630.700000000007</v>
      </c>
      <c r="R249" s="58"/>
      <c r="S249" s="56"/>
    </row>
    <row r="250" ht="20" customHeight="1" spans="2:19">
      <c r="B250" s="42">
        <v>8</v>
      </c>
      <c r="C250" s="42">
        <v>31</v>
      </c>
      <c r="D250" s="74" t="s">
        <v>69</v>
      </c>
      <c r="E250" s="44" t="s">
        <v>335</v>
      </c>
      <c r="F250" s="99" t="s">
        <v>3534</v>
      </c>
      <c r="G250" s="56"/>
      <c r="H250" s="56"/>
      <c r="I250" s="55"/>
      <c r="J250" s="56"/>
      <c r="K250" s="56"/>
      <c r="L250" s="56"/>
      <c r="M250" s="56"/>
      <c r="N250" s="56"/>
      <c r="O250" s="98">
        <v>8110</v>
      </c>
      <c r="P250" s="56"/>
      <c r="Q250" s="61">
        <f t="shared" si="22"/>
        <v>8740.70000000001</v>
      </c>
      <c r="R250" s="58"/>
      <c r="S250" s="56"/>
    </row>
    <row r="251" ht="20" customHeight="1" spans="2:19">
      <c r="B251" s="42">
        <v>8</v>
      </c>
      <c r="C251" s="42">
        <v>31</v>
      </c>
      <c r="D251" s="94" t="s">
        <v>16</v>
      </c>
      <c r="E251" s="95" t="s">
        <v>3361</v>
      </c>
      <c r="F251" s="75" t="s">
        <v>478</v>
      </c>
      <c r="G251" s="56"/>
      <c r="H251" s="56"/>
      <c r="I251" s="55"/>
      <c r="J251" s="56"/>
      <c r="K251" s="56"/>
      <c r="L251" s="56"/>
      <c r="M251" s="56"/>
      <c r="N251" s="56"/>
      <c r="O251" s="61">
        <f>SUM(G251:N251)-N251</f>
        <v>0</v>
      </c>
      <c r="P251" s="55">
        <v>4.5</v>
      </c>
      <c r="Q251" s="61">
        <f t="shared" si="22"/>
        <v>8736.20000000001</v>
      </c>
      <c r="R251" s="58"/>
      <c r="S251" s="56"/>
    </row>
    <row r="252" ht="20" customHeight="1" spans="2:19">
      <c r="B252" s="42">
        <v>8</v>
      </c>
      <c r="C252" s="42">
        <v>31</v>
      </c>
      <c r="D252" s="74" t="s">
        <v>124</v>
      </c>
      <c r="E252" s="44" t="s">
        <v>3364</v>
      </c>
      <c r="F252" s="77" t="s">
        <v>3548</v>
      </c>
      <c r="G252" s="56"/>
      <c r="H252" s="56"/>
      <c r="I252" s="55"/>
      <c r="J252" s="56"/>
      <c r="K252" s="56"/>
      <c r="L252" s="56"/>
      <c r="M252" s="56"/>
      <c r="N252" s="56"/>
      <c r="O252" s="61">
        <f>SUM(G252:N252)-N252</f>
        <v>0</v>
      </c>
      <c r="P252" s="55">
        <v>8726.94</v>
      </c>
      <c r="Q252" s="61">
        <f t="shared" si="22"/>
        <v>9.26000000000568</v>
      </c>
      <c r="R252" s="58"/>
      <c r="S252" s="56"/>
    </row>
    <row r="253" ht="20" customHeight="1" spans="2:19">
      <c r="B253" s="42">
        <v>8</v>
      </c>
      <c r="C253" s="42">
        <v>31</v>
      </c>
      <c r="D253" s="42"/>
      <c r="E253" s="44" t="s">
        <v>3499</v>
      </c>
      <c r="F253" s="97" t="s">
        <v>3549</v>
      </c>
      <c r="G253" s="56"/>
      <c r="H253" s="56"/>
      <c r="I253" s="55"/>
      <c r="J253" s="56"/>
      <c r="K253" s="55">
        <v>59.98</v>
      </c>
      <c r="L253" s="56"/>
      <c r="M253" s="56"/>
      <c r="N253" s="55">
        <v>0.36</v>
      </c>
      <c r="O253" s="98">
        <f>SUM(G253:M253)-N253</f>
        <v>59.62</v>
      </c>
      <c r="P253" s="56"/>
      <c r="Q253" s="61">
        <f t="shared" si="22"/>
        <v>68.8800000000057</v>
      </c>
      <c r="R253" s="58"/>
      <c r="S253" s="56"/>
    </row>
    <row r="254" ht="20" customHeight="1" spans="2:19">
      <c r="B254" s="68"/>
      <c r="C254" s="68"/>
      <c r="D254" s="68"/>
      <c r="E254" s="69"/>
      <c r="F254" s="70" t="s">
        <v>22</v>
      </c>
      <c r="G254" s="71">
        <f>SUM(G185:G253)</f>
        <v>139080.23</v>
      </c>
      <c r="H254" s="71">
        <f t="shared" ref="H254:P254" si="23">SUM(H185:H253)</f>
        <v>20921.7</v>
      </c>
      <c r="I254" s="71">
        <f t="shared" si="23"/>
        <v>36</v>
      </c>
      <c r="J254" s="71">
        <f t="shared" si="23"/>
        <v>0</v>
      </c>
      <c r="K254" s="71">
        <f t="shared" si="23"/>
        <v>4339.78</v>
      </c>
      <c r="L254" s="71">
        <f t="shared" si="23"/>
        <v>0</v>
      </c>
      <c r="M254" s="71">
        <f t="shared" si="23"/>
        <v>0</v>
      </c>
      <c r="N254" s="71">
        <f t="shared" si="23"/>
        <v>24.26</v>
      </c>
      <c r="O254" s="71">
        <f t="shared" si="23"/>
        <v>356420.45</v>
      </c>
      <c r="P254" s="71">
        <f t="shared" si="23"/>
        <v>362682.65</v>
      </c>
      <c r="Q254" s="71">
        <f>Q184+O254-P254</f>
        <v>68.8799999999464</v>
      </c>
      <c r="R254" s="72"/>
      <c r="S254" s="71"/>
    </row>
    <row r="255" ht="20" customHeight="1" spans="2:19">
      <c r="B255" s="42">
        <v>9</v>
      </c>
      <c r="C255" s="42">
        <v>1</v>
      </c>
      <c r="D255" s="42"/>
      <c r="E255" s="44" t="s">
        <v>3499</v>
      </c>
      <c r="F255" s="100" t="s">
        <v>3550</v>
      </c>
      <c r="G255" s="56"/>
      <c r="H255" s="56"/>
      <c r="I255" s="55"/>
      <c r="J255" s="56"/>
      <c r="K255" s="56">
        <v>158.96</v>
      </c>
      <c r="L255" s="56"/>
      <c r="M255" s="56"/>
      <c r="N255" s="56">
        <v>0.95</v>
      </c>
      <c r="O255" s="61">
        <f t="shared" ref="O255:O261" si="24">SUM(G255:M255)-N255</f>
        <v>158.01</v>
      </c>
      <c r="P255" s="56"/>
      <c r="Q255" s="61">
        <f>Q253+O255-P255</f>
        <v>226.890000000006</v>
      </c>
      <c r="R255" s="58"/>
      <c r="S255" s="56"/>
    </row>
    <row r="256" ht="20" customHeight="1" spans="2:19">
      <c r="B256" s="42">
        <v>9</v>
      </c>
      <c r="C256" s="42">
        <v>2</v>
      </c>
      <c r="D256" s="42"/>
      <c r="E256" s="44" t="s">
        <v>3499</v>
      </c>
      <c r="F256" s="100" t="s">
        <v>3551</v>
      </c>
      <c r="G256" s="56"/>
      <c r="H256" s="56"/>
      <c r="I256" s="55"/>
      <c r="J256" s="56"/>
      <c r="K256" s="56">
        <v>172.97</v>
      </c>
      <c r="L256" s="56"/>
      <c r="M256" s="56"/>
      <c r="N256" s="56">
        <v>1.04</v>
      </c>
      <c r="O256" s="61">
        <f t="shared" si="24"/>
        <v>171.93</v>
      </c>
      <c r="P256" s="56"/>
      <c r="Q256" s="61">
        <f>Q255+O256-P256</f>
        <v>398.820000000006</v>
      </c>
      <c r="R256" s="58"/>
      <c r="S256" s="56"/>
    </row>
    <row r="257" ht="20" customHeight="1" spans="2:19">
      <c r="B257" s="42">
        <v>9</v>
      </c>
      <c r="C257" s="42">
        <v>3</v>
      </c>
      <c r="D257" s="74" t="s">
        <v>69</v>
      </c>
      <c r="E257" s="44" t="s">
        <v>335</v>
      </c>
      <c r="F257" s="45" t="s">
        <v>3534</v>
      </c>
      <c r="G257" s="56"/>
      <c r="H257" s="56"/>
      <c r="I257" s="55"/>
      <c r="J257" s="56"/>
      <c r="K257" s="56"/>
      <c r="L257" s="56"/>
      <c r="M257" s="56"/>
      <c r="N257" s="56"/>
      <c r="O257" s="61">
        <v>4100</v>
      </c>
      <c r="P257" s="56"/>
      <c r="Q257" s="61">
        <f t="shared" ref="Q257:Q264" si="25">Q256+O257-P257</f>
        <v>4498.82000000001</v>
      </c>
      <c r="R257" s="58"/>
      <c r="S257" s="56"/>
    </row>
    <row r="258" ht="20" customHeight="1" spans="2:19">
      <c r="B258" s="42">
        <v>9</v>
      </c>
      <c r="C258" s="42">
        <v>3</v>
      </c>
      <c r="D258" s="42"/>
      <c r="E258" s="44" t="s">
        <v>3499</v>
      </c>
      <c r="F258" s="100" t="s">
        <v>3552</v>
      </c>
      <c r="G258" s="56"/>
      <c r="H258" s="56"/>
      <c r="I258" s="55"/>
      <c r="J258" s="56"/>
      <c r="K258" s="56">
        <v>128.96</v>
      </c>
      <c r="L258" s="56"/>
      <c r="M258" s="56"/>
      <c r="N258" s="56">
        <v>0.77</v>
      </c>
      <c r="O258" s="61">
        <f t="shared" si="24"/>
        <v>128.19</v>
      </c>
      <c r="P258" s="56"/>
      <c r="Q258" s="61">
        <f t="shared" si="25"/>
        <v>4627.01000000001</v>
      </c>
      <c r="R258" s="58"/>
      <c r="S258" s="56"/>
    </row>
    <row r="259" ht="20" customHeight="1" spans="2:19">
      <c r="B259" s="42">
        <v>9</v>
      </c>
      <c r="C259" s="42">
        <v>4</v>
      </c>
      <c r="D259" s="42" t="s">
        <v>124</v>
      </c>
      <c r="E259" s="93" t="s">
        <v>3374</v>
      </c>
      <c r="F259" s="101" t="s">
        <v>3553</v>
      </c>
      <c r="G259" s="56"/>
      <c r="H259" s="56"/>
      <c r="I259" s="55"/>
      <c r="J259" s="56"/>
      <c r="K259" s="56"/>
      <c r="L259" s="56"/>
      <c r="M259" s="56"/>
      <c r="N259" s="56"/>
      <c r="O259" s="61">
        <f t="shared" si="24"/>
        <v>0</v>
      </c>
      <c r="P259" s="56">
        <v>4243.77</v>
      </c>
      <c r="Q259" s="61">
        <f t="shared" si="25"/>
        <v>383.240000000005</v>
      </c>
      <c r="R259" s="58"/>
      <c r="S259" s="56"/>
    </row>
    <row r="260" ht="20" customHeight="1" spans="2:19">
      <c r="B260" s="42">
        <v>9</v>
      </c>
      <c r="C260" s="42">
        <v>4</v>
      </c>
      <c r="D260" s="42"/>
      <c r="E260" s="44" t="s">
        <v>3499</v>
      </c>
      <c r="F260" s="100" t="s">
        <v>3554</v>
      </c>
      <c r="G260" s="56"/>
      <c r="H260" s="56"/>
      <c r="I260" s="55"/>
      <c r="J260" s="56"/>
      <c r="K260" s="56">
        <v>103.98</v>
      </c>
      <c r="L260" s="56"/>
      <c r="M260" s="56"/>
      <c r="N260" s="56">
        <v>0.62</v>
      </c>
      <c r="O260" s="61">
        <f t="shared" si="24"/>
        <v>103.36</v>
      </c>
      <c r="P260" s="56"/>
      <c r="Q260" s="61">
        <f t="shared" si="25"/>
        <v>486.600000000005</v>
      </c>
      <c r="R260" s="58"/>
      <c r="S260" s="56"/>
    </row>
    <row r="261" ht="20" customHeight="1" spans="2:19">
      <c r="B261" s="42">
        <v>9</v>
      </c>
      <c r="C261" s="42">
        <v>5</v>
      </c>
      <c r="D261" s="42"/>
      <c r="E261" s="44" t="s">
        <v>3499</v>
      </c>
      <c r="F261" s="100" t="s">
        <v>3555</v>
      </c>
      <c r="G261" s="56"/>
      <c r="H261" s="56"/>
      <c r="I261" s="55"/>
      <c r="J261" s="56"/>
      <c r="K261" s="56">
        <v>201.97</v>
      </c>
      <c r="L261" s="56"/>
      <c r="M261" s="56"/>
      <c r="N261" s="56">
        <v>1.21</v>
      </c>
      <c r="O261" s="61">
        <f t="shared" si="24"/>
        <v>200.76</v>
      </c>
      <c r="P261" s="56"/>
      <c r="Q261" s="61">
        <f t="shared" si="25"/>
        <v>687.360000000005</v>
      </c>
      <c r="R261" s="58"/>
      <c r="S261" s="56"/>
    </row>
    <row r="262" ht="20" customHeight="1" spans="2:19">
      <c r="B262" s="42">
        <v>9</v>
      </c>
      <c r="C262" s="42">
        <v>6</v>
      </c>
      <c r="D262" s="42"/>
      <c r="E262" s="44" t="s">
        <v>3499</v>
      </c>
      <c r="F262" s="100" t="s">
        <v>3556</v>
      </c>
      <c r="G262" s="56"/>
      <c r="H262" s="56"/>
      <c r="I262" s="55"/>
      <c r="J262" s="56"/>
      <c r="K262" s="56">
        <v>168.98</v>
      </c>
      <c r="L262" s="56"/>
      <c r="M262" s="56"/>
      <c r="N262" s="56">
        <v>1.01</v>
      </c>
      <c r="O262" s="61">
        <f t="shared" ref="O262:O274" si="26">SUM(G262:M262)-N262</f>
        <v>167.97</v>
      </c>
      <c r="P262" s="56"/>
      <c r="Q262" s="61">
        <f t="shared" si="25"/>
        <v>855.330000000005</v>
      </c>
      <c r="R262" s="58"/>
      <c r="S262" s="56"/>
    </row>
    <row r="263" ht="20" customHeight="1" spans="2:19">
      <c r="B263" s="42">
        <v>9</v>
      </c>
      <c r="C263" s="42">
        <v>7</v>
      </c>
      <c r="D263" s="42"/>
      <c r="E263" s="44" t="s">
        <v>3499</v>
      </c>
      <c r="F263" s="100" t="s">
        <v>3557</v>
      </c>
      <c r="G263" s="56"/>
      <c r="H263" s="56"/>
      <c r="I263" s="55"/>
      <c r="J263" s="56"/>
      <c r="K263" s="56">
        <v>100.98</v>
      </c>
      <c r="L263" s="56"/>
      <c r="M263" s="56"/>
      <c r="N263" s="56">
        <v>0.61</v>
      </c>
      <c r="O263" s="61">
        <f t="shared" si="26"/>
        <v>100.37</v>
      </c>
      <c r="P263" s="56"/>
      <c r="Q263" s="61">
        <f t="shared" ref="Q263:Q281" si="27">Q262+O263-P263</f>
        <v>955.700000000005</v>
      </c>
      <c r="R263" s="58"/>
      <c r="S263" s="56"/>
    </row>
    <row r="264" ht="20" customHeight="1" spans="2:19">
      <c r="B264" s="42">
        <v>9</v>
      </c>
      <c r="C264" s="42">
        <v>8</v>
      </c>
      <c r="D264" s="42"/>
      <c r="E264" s="44" t="s">
        <v>3499</v>
      </c>
      <c r="F264" s="100" t="s">
        <v>3558</v>
      </c>
      <c r="G264" s="56"/>
      <c r="H264" s="56"/>
      <c r="I264" s="55"/>
      <c r="J264" s="56"/>
      <c r="K264" s="56">
        <v>88.96</v>
      </c>
      <c r="L264" s="56"/>
      <c r="M264" s="56"/>
      <c r="N264" s="56">
        <v>0.53</v>
      </c>
      <c r="O264" s="61">
        <f t="shared" si="26"/>
        <v>88.43</v>
      </c>
      <c r="P264" s="56"/>
      <c r="Q264" s="61">
        <f t="shared" si="27"/>
        <v>1044.13000000001</v>
      </c>
      <c r="R264" s="58"/>
      <c r="S264" s="56"/>
    </row>
    <row r="265" ht="20" customHeight="1" spans="2:19">
      <c r="B265" s="42">
        <v>9</v>
      </c>
      <c r="C265" s="42">
        <v>9</v>
      </c>
      <c r="D265" s="42"/>
      <c r="E265" s="44" t="s">
        <v>3385</v>
      </c>
      <c r="F265" s="100" t="s">
        <v>3559</v>
      </c>
      <c r="G265" s="56">
        <v>1299.83</v>
      </c>
      <c r="H265" s="56">
        <v>79.5</v>
      </c>
      <c r="I265" s="84">
        <v>6</v>
      </c>
      <c r="J265" s="56"/>
      <c r="K265" s="56"/>
      <c r="L265" s="56"/>
      <c r="M265" s="56"/>
      <c r="N265" s="56"/>
      <c r="O265" s="61">
        <f t="shared" si="26"/>
        <v>1385.33</v>
      </c>
      <c r="P265" s="56"/>
      <c r="Q265" s="61">
        <f t="shared" si="27"/>
        <v>2429.46000000001</v>
      </c>
      <c r="R265" s="58"/>
      <c r="S265" s="56"/>
    </row>
    <row r="266" ht="20" customHeight="1" spans="2:19">
      <c r="B266" s="42">
        <v>9</v>
      </c>
      <c r="C266" s="42">
        <v>9</v>
      </c>
      <c r="D266" s="42"/>
      <c r="E266" s="44" t="s">
        <v>3381</v>
      </c>
      <c r="F266" s="45" t="s">
        <v>3560</v>
      </c>
      <c r="G266" s="56"/>
      <c r="H266" s="56"/>
      <c r="I266" s="55">
        <v>30</v>
      </c>
      <c r="J266" s="56"/>
      <c r="K266" s="56"/>
      <c r="L266" s="56"/>
      <c r="M266" s="56"/>
      <c r="N266" s="56"/>
      <c r="O266" s="61">
        <f t="shared" si="26"/>
        <v>30</v>
      </c>
      <c r="P266" s="56"/>
      <c r="Q266" s="61">
        <f t="shared" si="27"/>
        <v>2459.46000000001</v>
      </c>
      <c r="R266" s="58"/>
      <c r="S266" s="56"/>
    </row>
    <row r="267" ht="20" customHeight="1" spans="2:19">
      <c r="B267" s="42">
        <v>9</v>
      </c>
      <c r="C267" s="42">
        <v>9</v>
      </c>
      <c r="D267" s="42"/>
      <c r="E267" s="44" t="s">
        <v>3391</v>
      </c>
      <c r="F267" s="95" t="s">
        <v>3561</v>
      </c>
      <c r="G267" s="56">
        <v>41856</v>
      </c>
      <c r="H267" s="56">
        <v>8140.8</v>
      </c>
      <c r="I267" s="55">
        <v>35</v>
      </c>
      <c r="J267" s="56"/>
      <c r="K267" s="56"/>
      <c r="L267" s="56"/>
      <c r="M267" s="56"/>
      <c r="N267" s="56"/>
      <c r="O267" s="61">
        <f t="shared" si="26"/>
        <v>50031.8</v>
      </c>
      <c r="P267" s="56"/>
      <c r="Q267" s="61">
        <f t="shared" si="27"/>
        <v>52491.26</v>
      </c>
      <c r="R267" s="58"/>
      <c r="S267" s="56"/>
    </row>
    <row r="268" ht="20" customHeight="1" spans="2:19">
      <c r="B268" s="42">
        <v>9</v>
      </c>
      <c r="C268" s="42">
        <v>9</v>
      </c>
      <c r="D268" s="94" t="s">
        <v>16</v>
      </c>
      <c r="E268" s="95" t="s">
        <v>3361</v>
      </c>
      <c r="F268" s="95" t="s">
        <v>478</v>
      </c>
      <c r="G268" s="56"/>
      <c r="H268" s="56"/>
      <c r="I268" s="55"/>
      <c r="J268" s="56"/>
      <c r="K268" s="56"/>
      <c r="L268" s="56"/>
      <c r="M268" s="56"/>
      <c r="N268" s="56"/>
      <c r="O268" s="61">
        <f t="shared" si="26"/>
        <v>0</v>
      </c>
      <c r="P268" s="56">
        <v>1</v>
      </c>
      <c r="Q268" s="61">
        <f t="shared" si="27"/>
        <v>52490.26</v>
      </c>
      <c r="R268" s="58"/>
      <c r="S268" s="56"/>
    </row>
    <row r="269" ht="20" customHeight="1" spans="2:19">
      <c r="B269" s="42">
        <v>9</v>
      </c>
      <c r="C269" s="42">
        <v>9</v>
      </c>
      <c r="D269" s="74" t="s">
        <v>69</v>
      </c>
      <c r="E269" s="44" t="s">
        <v>335</v>
      </c>
      <c r="F269" s="45" t="s">
        <v>3222</v>
      </c>
      <c r="G269" s="56"/>
      <c r="H269" s="56"/>
      <c r="I269" s="55"/>
      <c r="J269" s="56"/>
      <c r="K269" s="56"/>
      <c r="L269" s="56"/>
      <c r="M269" s="56"/>
      <c r="N269" s="56"/>
      <c r="O269" s="61">
        <f t="shared" ref="O268:O293" si="28">SUM(G269:M269)-N269</f>
        <v>0</v>
      </c>
      <c r="P269" s="56">
        <v>50000</v>
      </c>
      <c r="Q269" s="61">
        <f t="shared" si="27"/>
        <v>2490.26</v>
      </c>
      <c r="R269" s="58"/>
      <c r="S269" s="56"/>
    </row>
    <row r="270" ht="20" customHeight="1" spans="2:19">
      <c r="B270" s="42">
        <v>9</v>
      </c>
      <c r="C270" s="42">
        <v>9</v>
      </c>
      <c r="D270" s="42"/>
      <c r="E270" s="44" t="s">
        <v>3432</v>
      </c>
      <c r="F270" s="45" t="s">
        <v>3562</v>
      </c>
      <c r="G270" s="56">
        <v>7194</v>
      </c>
      <c r="H270" s="56">
        <v>2798.4</v>
      </c>
      <c r="I270" s="55"/>
      <c r="J270" s="56"/>
      <c r="K270" s="56"/>
      <c r="L270" s="56"/>
      <c r="M270" s="56"/>
      <c r="N270" s="56"/>
      <c r="O270" s="61">
        <f t="shared" si="28"/>
        <v>9992.4</v>
      </c>
      <c r="P270" s="56"/>
      <c r="Q270" s="61">
        <f t="shared" si="27"/>
        <v>12482.66</v>
      </c>
      <c r="R270" s="58"/>
      <c r="S270" s="56"/>
    </row>
    <row r="271" ht="20" customHeight="1" spans="2:19">
      <c r="B271" s="42">
        <v>9</v>
      </c>
      <c r="C271" s="42">
        <v>9</v>
      </c>
      <c r="D271" s="42"/>
      <c r="E271" s="44" t="s">
        <v>3407</v>
      </c>
      <c r="F271" s="101" t="s">
        <v>3563</v>
      </c>
      <c r="G271" s="56"/>
      <c r="H271" s="56"/>
      <c r="I271" s="55"/>
      <c r="J271" s="56"/>
      <c r="K271" s="56">
        <v>300</v>
      </c>
      <c r="L271" s="56"/>
      <c r="M271" s="56"/>
      <c r="N271" s="56"/>
      <c r="O271" s="61">
        <f t="shared" si="28"/>
        <v>300</v>
      </c>
      <c r="P271" s="56"/>
      <c r="Q271" s="61">
        <f t="shared" si="27"/>
        <v>12782.66</v>
      </c>
      <c r="R271" s="58"/>
      <c r="S271" s="56"/>
    </row>
    <row r="272" ht="20" customHeight="1" spans="2:19">
      <c r="B272" s="42">
        <v>9</v>
      </c>
      <c r="C272" s="42">
        <v>9</v>
      </c>
      <c r="D272" s="42"/>
      <c r="E272" s="44" t="s">
        <v>3499</v>
      </c>
      <c r="F272" s="100" t="s">
        <v>3564</v>
      </c>
      <c r="G272" s="56"/>
      <c r="H272" s="56"/>
      <c r="I272" s="55"/>
      <c r="J272" s="56"/>
      <c r="K272" s="56">
        <v>161.95</v>
      </c>
      <c r="L272" s="56"/>
      <c r="M272" s="56"/>
      <c r="N272" s="56">
        <v>0.97</v>
      </c>
      <c r="O272" s="61">
        <f t="shared" si="28"/>
        <v>160.98</v>
      </c>
      <c r="P272" s="56"/>
      <c r="Q272" s="61">
        <f t="shared" si="27"/>
        <v>12943.64</v>
      </c>
      <c r="R272" s="58"/>
      <c r="S272" s="56"/>
    </row>
    <row r="273" ht="20" customHeight="1" spans="2:19">
      <c r="B273" s="42">
        <v>9</v>
      </c>
      <c r="C273" s="42">
        <v>10</v>
      </c>
      <c r="D273" s="42"/>
      <c r="E273" s="44" t="s">
        <v>3499</v>
      </c>
      <c r="F273" s="100" t="s">
        <v>3565</v>
      </c>
      <c r="G273" s="56"/>
      <c r="H273" s="56"/>
      <c r="I273" s="55"/>
      <c r="J273" s="56"/>
      <c r="K273" s="56">
        <v>113.96</v>
      </c>
      <c r="L273" s="56"/>
      <c r="M273" s="56"/>
      <c r="N273" s="56">
        <v>0.68</v>
      </c>
      <c r="O273" s="61">
        <f t="shared" si="28"/>
        <v>113.28</v>
      </c>
      <c r="P273" s="56"/>
      <c r="Q273" s="61">
        <f t="shared" si="27"/>
        <v>13056.92</v>
      </c>
      <c r="R273" s="58"/>
      <c r="S273" s="56"/>
    </row>
    <row r="274" ht="20" customHeight="1" spans="2:19">
      <c r="B274" s="42">
        <v>9</v>
      </c>
      <c r="C274" s="42">
        <v>10</v>
      </c>
      <c r="D274" s="94" t="s">
        <v>16</v>
      </c>
      <c r="E274" s="95" t="s">
        <v>3361</v>
      </c>
      <c r="F274" s="95" t="s">
        <v>478</v>
      </c>
      <c r="G274" s="56"/>
      <c r="H274" s="56"/>
      <c r="I274" s="55"/>
      <c r="J274" s="56"/>
      <c r="K274" s="56"/>
      <c r="L274" s="56"/>
      <c r="M274" s="56"/>
      <c r="N274" s="56"/>
      <c r="O274" s="61">
        <f t="shared" si="28"/>
        <v>0</v>
      </c>
      <c r="P274" s="56">
        <v>1</v>
      </c>
      <c r="Q274" s="61">
        <f t="shared" si="27"/>
        <v>13055.92</v>
      </c>
      <c r="R274" s="58"/>
      <c r="S274" s="56"/>
    </row>
    <row r="275" ht="20" customHeight="1" spans="2:19">
      <c r="B275" s="42">
        <v>9</v>
      </c>
      <c r="C275" s="42">
        <v>10</v>
      </c>
      <c r="D275" s="74" t="s">
        <v>69</v>
      </c>
      <c r="E275" s="44" t="s">
        <v>335</v>
      </c>
      <c r="F275" s="45" t="s">
        <v>3222</v>
      </c>
      <c r="G275" s="56"/>
      <c r="H275" s="56"/>
      <c r="I275" s="55"/>
      <c r="J275" s="56"/>
      <c r="K275" s="56"/>
      <c r="L275" s="56"/>
      <c r="M275" s="56"/>
      <c r="N275" s="56"/>
      <c r="O275" s="61">
        <f t="shared" si="28"/>
        <v>0</v>
      </c>
      <c r="P275" s="56">
        <v>13000</v>
      </c>
      <c r="Q275" s="61">
        <f t="shared" si="27"/>
        <v>55.9200000000019</v>
      </c>
      <c r="R275" s="58"/>
      <c r="S275" s="56"/>
    </row>
    <row r="276" ht="20" customHeight="1" spans="2:19">
      <c r="B276" s="42">
        <v>9</v>
      </c>
      <c r="C276" s="42">
        <v>11</v>
      </c>
      <c r="D276" s="42"/>
      <c r="E276" s="44" t="s">
        <v>3499</v>
      </c>
      <c r="F276" s="100" t="s">
        <v>3566</v>
      </c>
      <c r="G276" s="56"/>
      <c r="H276" s="56"/>
      <c r="I276" s="55"/>
      <c r="J276" s="56"/>
      <c r="K276" s="56">
        <v>127.97</v>
      </c>
      <c r="L276" s="56"/>
      <c r="M276" s="56"/>
      <c r="N276" s="56">
        <v>0.77</v>
      </c>
      <c r="O276" s="61">
        <f t="shared" si="28"/>
        <v>127.2</v>
      </c>
      <c r="P276" s="56"/>
      <c r="Q276" s="61">
        <f t="shared" si="27"/>
        <v>183.120000000002</v>
      </c>
      <c r="R276" s="58"/>
      <c r="S276" s="56"/>
    </row>
    <row r="277" ht="20" customHeight="1" spans="2:19">
      <c r="B277" s="42">
        <v>9</v>
      </c>
      <c r="C277" s="42">
        <v>12</v>
      </c>
      <c r="D277" s="42"/>
      <c r="E277" s="44" t="s">
        <v>3499</v>
      </c>
      <c r="F277" s="100" t="s">
        <v>3567</v>
      </c>
      <c r="G277" s="56"/>
      <c r="H277" s="56"/>
      <c r="I277" s="55"/>
      <c r="J277" s="56"/>
      <c r="K277" s="56">
        <v>44.98</v>
      </c>
      <c r="L277" s="56"/>
      <c r="M277" s="56"/>
      <c r="N277" s="56">
        <v>0.27</v>
      </c>
      <c r="O277" s="61">
        <f t="shared" si="28"/>
        <v>44.71</v>
      </c>
      <c r="P277" s="56"/>
      <c r="Q277" s="61">
        <f t="shared" si="27"/>
        <v>227.830000000002</v>
      </c>
      <c r="R277" s="58"/>
      <c r="S277" s="56"/>
    </row>
    <row r="278" ht="20" customHeight="1" spans="2:19">
      <c r="B278" s="42">
        <v>9</v>
      </c>
      <c r="C278" s="42">
        <v>13</v>
      </c>
      <c r="D278" s="42"/>
      <c r="E278" s="44" t="s">
        <v>3499</v>
      </c>
      <c r="F278" s="100" t="s">
        <v>3568</v>
      </c>
      <c r="G278" s="56"/>
      <c r="H278" s="56"/>
      <c r="I278" s="55"/>
      <c r="J278" s="56"/>
      <c r="K278" s="56">
        <v>63.98</v>
      </c>
      <c r="L278" s="56"/>
      <c r="M278" s="56"/>
      <c r="N278" s="56">
        <v>0.38</v>
      </c>
      <c r="O278" s="61">
        <f t="shared" si="28"/>
        <v>63.6</v>
      </c>
      <c r="P278" s="56"/>
      <c r="Q278" s="61">
        <f t="shared" si="27"/>
        <v>291.430000000002</v>
      </c>
      <c r="R278" s="58"/>
      <c r="S278" s="56"/>
    </row>
    <row r="279" ht="20" customHeight="1" spans="2:19">
      <c r="B279" s="42">
        <v>9</v>
      </c>
      <c r="C279" s="42">
        <v>14</v>
      </c>
      <c r="D279" s="42"/>
      <c r="E279" s="44" t="s">
        <v>213</v>
      </c>
      <c r="F279" s="45" t="s">
        <v>3569</v>
      </c>
      <c r="G279" s="56"/>
      <c r="H279" s="56"/>
      <c r="I279" s="55"/>
      <c r="J279" s="56"/>
      <c r="K279" s="56"/>
      <c r="L279" s="56"/>
      <c r="M279" s="56"/>
      <c r="N279" s="56"/>
      <c r="O279" s="61">
        <f t="shared" si="28"/>
        <v>0</v>
      </c>
      <c r="P279" s="56">
        <v>87.77</v>
      </c>
      <c r="Q279" s="61">
        <f t="shared" ref="Q279:Q287" si="29">Q278+O279-P279</f>
        <v>203.660000000002</v>
      </c>
      <c r="R279" s="58"/>
      <c r="S279" s="56"/>
    </row>
    <row r="280" ht="20" customHeight="1" spans="2:19">
      <c r="B280" s="42">
        <v>9</v>
      </c>
      <c r="C280" s="42">
        <v>14</v>
      </c>
      <c r="D280" s="94" t="s">
        <v>69</v>
      </c>
      <c r="E280" s="95" t="s">
        <v>335</v>
      </c>
      <c r="F280" s="95" t="s">
        <v>3534</v>
      </c>
      <c r="G280" s="56"/>
      <c r="H280" s="56"/>
      <c r="I280" s="55"/>
      <c r="J280" s="56"/>
      <c r="K280" s="56"/>
      <c r="L280" s="56"/>
      <c r="M280" s="56"/>
      <c r="N280" s="56"/>
      <c r="O280" s="61">
        <v>100000</v>
      </c>
      <c r="P280" s="56"/>
      <c r="Q280" s="61">
        <f t="shared" si="29"/>
        <v>100203.66</v>
      </c>
      <c r="R280" s="58"/>
      <c r="S280" s="56"/>
    </row>
    <row r="281" ht="20" customHeight="1" spans="2:19">
      <c r="B281" s="42">
        <v>9</v>
      </c>
      <c r="C281" s="42">
        <v>14</v>
      </c>
      <c r="D281" s="94" t="s">
        <v>16</v>
      </c>
      <c r="E281" s="95" t="s">
        <v>3361</v>
      </c>
      <c r="F281" s="95" t="s">
        <v>478</v>
      </c>
      <c r="G281" s="56"/>
      <c r="H281" s="56"/>
      <c r="I281" s="55"/>
      <c r="J281" s="56"/>
      <c r="K281" s="56"/>
      <c r="L281" s="56"/>
      <c r="M281" s="56"/>
      <c r="N281" s="56"/>
      <c r="O281" s="61">
        <f>SUM(G281:M281)-N281</f>
        <v>0</v>
      </c>
      <c r="P281" s="56">
        <v>1</v>
      </c>
      <c r="Q281" s="61">
        <f t="shared" si="29"/>
        <v>100202.66</v>
      </c>
      <c r="R281" s="58"/>
      <c r="S281" s="56"/>
    </row>
    <row r="282" ht="20" customHeight="1" spans="2:19">
      <c r="B282" s="42">
        <v>9</v>
      </c>
      <c r="C282" s="42">
        <v>14</v>
      </c>
      <c r="D282" s="74" t="s">
        <v>121</v>
      </c>
      <c r="E282" s="44" t="s">
        <v>3368</v>
      </c>
      <c r="F282" s="95" t="s">
        <v>3570</v>
      </c>
      <c r="G282" s="56"/>
      <c r="H282" s="56"/>
      <c r="I282" s="55"/>
      <c r="J282" s="56"/>
      <c r="K282" s="56"/>
      <c r="L282" s="56"/>
      <c r="M282" s="56"/>
      <c r="N282" s="56"/>
      <c r="O282" s="61">
        <f t="shared" si="28"/>
        <v>0</v>
      </c>
      <c r="P282" s="56">
        <v>100000</v>
      </c>
      <c r="Q282" s="61">
        <f t="shared" si="29"/>
        <v>202.660000000003</v>
      </c>
      <c r="R282" s="58"/>
      <c r="S282" s="56"/>
    </row>
    <row r="283" ht="20" customHeight="1" spans="2:19">
      <c r="B283" s="42">
        <v>9</v>
      </c>
      <c r="C283" s="42">
        <v>14</v>
      </c>
      <c r="D283" s="42"/>
      <c r="E283" s="44" t="s">
        <v>3499</v>
      </c>
      <c r="F283" s="100" t="s">
        <v>3571</v>
      </c>
      <c r="G283" s="56"/>
      <c r="H283" s="56"/>
      <c r="I283" s="55"/>
      <c r="J283" s="56"/>
      <c r="K283" s="56">
        <v>149.98</v>
      </c>
      <c r="L283" s="56"/>
      <c r="M283" s="56"/>
      <c r="N283" s="56">
        <v>0.9</v>
      </c>
      <c r="O283" s="61">
        <f t="shared" si="28"/>
        <v>149.08</v>
      </c>
      <c r="P283" s="56"/>
      <c r="Q283" s="61">
        <f t="shared" si="29"/>
        <v>351.740000000003</v>
      </c>
      <c r="R283" s="58"/>
      <c r="S283" s="56"/>
    </row>
    <row r="284" ht="20" customHeight="1" spans="2:19">
      <c r="B284" s="42">
        <v>9</v>
      </c>
      <c r="C284" s="42">
        <v>14</v>
      </c>
      <c r="D284" s="94" t="s">
        <v>16</v>
      </c>
      <c r="E284" s="95" t="s">
        <v>3361</v>
      </c>
      <c r="F284" s="45" t="s">
        <v>2486</v>
      </c>
      <c r="G284" s="56"/>
      <c r="H284" s="56"/>
      <c r="I284" s="55"/>
      <c r="J284" s="56"/>
      <c r="K284" s="56"/>
      <c r="L284" s="56"/>
      <c r="M284" s="56"/>
      <c r="N284" s="56"/>
      <c r="O284" s="61">
        <f t="shared" si="28"/>
        <v>0</v>
      </c>
      <c r="P284" s="56">
        <v>20</v>
      </c>
      <c r="Q284" s="61">
        <f t="shared" si="29"/>
        <v>331.740000000003</v>
      </c>
      <c r="R284" s="58"/>
      <c r="S284" s="56"/>
    </row>
    <row r="285" ht="20" customHeight="1" spans="2:19">
      <c r="B285" s="42">
        <v>9</v>
      </c>
      <c r="C285" s="42">
        <v>15</v>
      </c>
      <c r="D285" s="42"/>
      <c r="E285" s="44" t="s">
        <v>3499</v>
      </c>
      <c r="F285" s="100" t="s">
        <v>3572</v>
      </c>
      <c r="G285" s="56"/>
      <c r="H285" s="56"/>
      <c r="I285" s="55"/>
      <c r="J285" s="56"/>
      <c r="K285" s="56">
        <v>157.99</v>
      </c>
      <c r="L285" s="56"/>
      <c r="M285" s="56"/>
      <c r="N285" s="56">
        <v>0.95</v>
      </c>
      <c r="O285" s="61">
        <f t="shared" si="28"/>
        <v>157.04</v>
      </c>
      <c r="P285" s="56"/>
      <c r="Q285" s="61">
        <f t="shared" si="29"/>
        <v>488.780000000003</v>
      </c>
      <c r="R285" s="58"/>
      <c r="S285" s="56"/>
    </row>
    <row r="286" ht="20" customHeight="1" spans="2:19">
      <c r="B286" s="42">
        <v>9</v>
      </c>
      <c r="C286" s="42">
        <v>16</v>
      </c>
      <c r="D286" s="94" t="s">
        <v>69</v>
      </c>
      <c r="E286" s="95" t="s">
        <v>335</v>
      </c>
      <c r="F286" s="95" t="s">
        <v>3534</v>
      </c>
      <c r="G286" s="56"/>
      <c r="H286" s="56"/>
      <c r="I286" s="55"/>
      <c r="J286" s="56"/>
      <c r="K286" s="56"/>
      <c r="L286" s="56"/>
      <c r="M286" s="56"/>
      <c r="N286" s="56"/>
      <c r="O286" s="61">
        <v>30000</v>
      </c>
      <c r="P286" s="56"/>
      <c r="Q286" s="61">
        <f t="shared" si="29"/>
        <v>30488.78</v>
      </c>
      <c r="R286" s="58"/>
      <c r="S286" s="56"/>
    </row>
    <row r="287" ht="20" customHeight="1" spans="2:19">
      <c r="B287" s="42">
        <v>9</v>
      </c>
      <c r="C287" s="42">
        <v>16</v>
      </c>
      <c r="D287" s="94" t="s">
        <v>16</v>
      </c>
      <c r="E287" s="95" t="s">
        <v>3361</v>
      </c>
      <c r="F287" s="95" t="s">
        <v>478</v>
      </c>
      <c r="G287" s="56"/>
      <c r="H287" s="56"/>
      <c r="I287" s="55"/>
      <c r="J287" s="56"/>
      <c r="K287" s="56"/>
      <c r="L287" s="56"/>
      <c r="M287" s="56"/>
      <c r="N287" s="56"/>
      <c r="O287" s="61">
        <f>SUM(G287:M287)-N287</f>
        <v>0</v>
      </c>
      <c r="P287" s="56">
        <v>1</v>
      </c>
      <c r="Q287" s="61">
        <f t="shared" si="29"/>
        <v>30487.78</v>
      </c>
      <c r="R287" s="58"/>
      <c r="S287" s="56"/>
    </row>
    <row r="288" ht="20" customHeight="1" spans="2:19">
      <c r="B288" s="42">
        <v>9</v>
      </c>
      <c r="C288" s="42">
        <v>16</v>
      </c>
      <c r="D288" s="86" t="s">
        <v>121</v>
      </c>
      <c r="E288" s="91" t="s">
        <v>3368</v>
      </c>
      <c r="F288" s="102" t="s">
        <v>3425</v>
      </c>
      <c r="G288" s="56"/>
      <c r="H288" s="56"/>
      <c r="I288" s="55"/>
      <c r="J288" s="56"/>
      <c r="K288" s="56"/>
      <c r="L288" s="56"/>
      <c r="M288" s="56"/>
      <c r="N288" s="56"/>
      <c r="O288" s="61">
        <f t="shared" si="28"/>
        <v>0</v>
      </c>
      <c r="P288" s="56">
        <v>30000</v>
      </c>
      <c r="Q288" s="61">
        <f t="shared" ref="Q287:Q289" si="30">Q287+O288-P288</f>
        <v>487.780000000002</v>
      </c>
      <c r="R288" s="58"/>
      <c r="S288" s="56"/>
    </row>
    <row r="289" ht="20" customHeight="1" spans="2:19">
      <c r="B289" s="42">
        <v>9</v>
      </c>
      <c r="C289" s="42">
        <v>16</v>
      </c>
      <c r="D289" s="42"/>
      <c r="E289" s="44" t="s">
        <v>3499</v>
      </c>
      <c r="F289" s="100" t="s">
        <v>3573</v>
      </c>
      <c r="G289" s="56"/>
      <c r="H289" s="56"/>
      <c r="I289" s="55"/>
      <c r="J289" s="56"/>
      <c r="K289" s="56">
        <v>157.97</v>
      </c>
      <c r="L289" s="56"/>
      <c r="M289" s="56"/>
      <c r="N289" s="56">
        <v>0.95</v>
      </c>
      <c r="O289" s="61">
        <f t="shared" si="28"/>
        <v>157.02</v>
      </c>
      <c r="P289" s="56"/>
      <c r="Q289" s="61">
        <f t="shared" si="30"/>
        <v>644.800000000002</v>
      </c>
      <c r="R289" s="58"/>
      <c r="S289" s="56"/>
    </row>
    <row r="290" ht="20" customHeight="1" spans="2:19">
      <c r="B290" s="42">
        <v>9</v>
      </c>
      <c r="C290" s="42">
        <v>17</v>
      </c>
      <c r="D290" s="42"/>
      <c r="E290" s="44" t="s">
        <v>3499</v>
      </c>
      <c r="F290" s="100" t="s">
        <v>3574</v>
      </c>
      <c r="G290" s="56"/>
      <c r="H290" s="56"/>
      <c r="I290" s="55"/>
      <c r="J290" s="56"/>
      <c r="K290" s="56">
        <v>104.98</v>
      </c>
      <c r="L290" s="56"/>
      <c r="M290" s="56"/>
      <c r="N290" s="56">
        <v>0.63</v>
      </c>
      <c r="O290" s="61">
        <f t="shared" si="28"/>
        <v>104.35</v>
      </c>
      <c r="P290" s="56"/>
      <c r="Q290" s="61">
        <f t="shared" ref="Q290:Q299" si="31">Q289+O290-P290</f>
        <v>749.150000000002</v>
      </c>
      <c r="R290" s="58"/>
      <c r="S290" s="56"/>
    </row>
    <row r="291" ht="20" customHeight="1" spans="2:19">
      <c r="B291" s="42">
        <v>9</v>
      </c>
      <c r="C291" s="42">
        <v>17</v>
      </c>
      <c r="D291" s="42"/>
      <c r="E291" s="44" t="s">
        <v>3441</v>
      </c>
      <c r="F291" s="95" t="s">
        <v>3422</v>
      </c>
      <c r="G291" s="56"/>
      <c r="H291" s="56"/>
      <c r="I291" s="55"/>
      <c r="J291" s="56"/>
      <c r="K291" s="56"/>
      <c r="L291" s="56">
        <v>500</v>
      </c>
      <c r="M291" s="56"/>
      <c r="N291" s="56"/>
      <c r="O291" s="61">
        <f t="shared" ref="O291:O304" si="32">SUM(G291:M291)-N291</f>
        <v>500</v>
      </c>
      <c r="P291" s="56"/>
      <c r="Q291" s="61">
        <f t="shared" si="31"/>
        <v>1249.15</v>
      </c>
      <c r="R291" s="58"/>
      <c r="S291" s="56"/>
    </row>
    <row r="292" ht="20" customHeight="1" spans="2:19">
      <c r="B292" s="42">
        <v>9</v>
      </c>
      <c r="C292" s="42">
        <v>18</v>
      </c>
      <c r="D292" s="42"/>
      <c r="E292" s="44" t="s">
        <v>3499</v>
      </c>
      <c r="F292" s="100" t="s">
        <v>3575</v>
      </c>
      <c r="G292" s="56"/>
      <c r="H292" s="56"/>
      <c r="I292" s="55"/>
      <c r="J292" s="56"/>
      <c r="K292" s="56">
        <v>139.98</v>
      </c>
      <c r="L292" s="56"/>
      <c r="M292" s="56"/>
      <c r="N292" s="56">
        <v>0.84</v>
      </c>
      <c r="O292" s="61">
        <f t="shared" si="32"/>
        <v>139.14</v>
      </c>
      <c r="P292" s="56"/>
      <c r="Q292" s="61">
        <f t="shared" si="31"/>
        <v>1388.29</v>
      </c>
      <c r="R292" s="58"/>
      <c r="S292" s="56"/>
    </row>
    <row r="293" ht="20" customHeight="1" spans="2:19">
      <c r="B293" s="42">
        <v>9</v>
      </c>
      <c r="C293" s="42">
        <v>19</v>
      </c>
      <c r="D293" s="42"/>
      <c r="E293" s="44" t="s">
        <v>3499</v>
      </c>
      <c r="F293" s="100" t="s">
        <v>3576</v>
      </c>
      <c r="G293" s="56"/>
      <c r="H293" s="56"/>
      <c r="I293" s="55"/>
      <c r="J293" s="56"/>
      <c r="K293" s="56">
        <v>79.98</v>
      </c>
      <c r="L293" s="56"/>
      <c r="M293" s="56"/>
      <c r="N293" s="56">
        <v>0.48</v>
      </c>
      <c r="O293" s="61">
        <f t="shared" si="32"/>
        <v>79.5</v>
      </c>
      <c r="P293" s="56"/>
      <c r="Q293" s="61">
        <f t="shared" si="31"/>
        <v>1467.79</v>
      </c>
      <c r="R293" s="58"/>
      <c r="S293" s="56"/>
    </row>
    <row r="294" ht="20" customHeight="1" spans="2:19">
      <c r="B294" s="42">
        <v>9</v>
      </c>
      <c r="C294" s="42">
        <v>20</v>
      </c>
      <c r="D294" s="42"/>
      <c r="E294" s="44" t="s">
        <v>3499</v>
      </c>
      <c r="F294" s="100" t="s">
        <v>3577</v>
      </c>
      <c r="G294" s="56"/>
      <c r="H294" s="56"/>
      <c r="I294" s="55"/>
      <c r="J294" s="56"/>
      <c r="K294" s="56">
        <v>110.98</v>
      </c>
      <c r="L294" s="56"/>
      <c r="M294" s="56"/>
      <c r="N294" s="56">
        <v>0.67</v>
      </c>
      <c r="O294" s="61">
        <f t="shared" si="32"/>
        <v>110.31</v>
      </c>
      <c r="P294" s="56"/>
      <c r="Q294" s="61">
        <f t="shared" si="31"/>
        <v>1578.1</v>
      </c>
      <c r="R294" s="58"/>
      <c r="S294" s="56"/>
    </row>
    <row r="295" ht="20" customHeight="1" spans="2:19">
      <c r="B295" s="42">
        <v>9</v>
      </c>
      <c r="C295" s="42">
        <v>21</v>
      </c>
      <c r="D295" s="42" t="s">
        <v>29</v>
      </c>
      <c r="E295" s="44" t="s">
        <v>3361</v>
      </c>
      <c r="F295" s="45" t="s">
        <v>29</v>
      </c>
      <c r="G295" s="56"/>
      <c r="H295" s="56"/>
      <c r="I295" s="55"/>
      <c r="J295" s="56"/>
      <c r="K295" s="56"/>
      <c r="L295" s="56"/>
      <c r="M295" s="56">
        <v>1.93</v>
      </c>
      <c r="N295" s="56"/>
      <c r="O295" s="61">
        <f t="shared" si="32"/>
        <v>1.93</v>
      </c>
      <c r="P295" s="56"/>
      <c r="Q295" s="61">
        <f t="shared" si="31"/>
        <v>1580.03</v>
      </c>
      <c r="R295" s="58"/>
      <c r="S295" s="56"/>
    </row>
    <row r="296" ht="20" customHeight="1" spans="2:19">
      <c r="B296" s="42">
        <v>9</v>
      </c>
      <c r="C296" s="42">
        <v>21</v>
      </c>
      <c r="D296" s="94" t="s">
        <v>16</v>
      </c>
      <c r="E296" s="95" t="s">
        <v>3361</v>
      </c>
      <c r="F296" s="95" t="s">
        <v>478</v>
      </c>
      <c r="G296" s="56"/>
      <c r="H296" s="56"/>
      <c r="I296" s="55"/>
      <c r="J296" s="56"/>
      <c r="K296" s="56"/>
      <c r="L296" s="56"/>
      <c r="M296" s="56"/>
      <c r="N296" s="56"/>
      <c r="O296" s="61">
        <f t="shared" si="32"/>
        <v>0</v>
      </c>
      <c r="P296" s="56">
        <v>4.5</v>
      </c>
      <c r="Q296" s="61">
        <f t="shared" si="31"/>
        <v>1575.53</v>
      </c>
      <c r="R296" s="58"/>
      <c r="S296" s="56"/>
    </row>
    <row r="297" ht="20" customHeight="1" spans="2:19">
      <c r="B297" s="42">
        <v>9</v>
      </c>
      <c r="C297" s="42">
        <v>21</v>
      </c>
      <c r="D297" s="42"/>
      <c r="E297" s="44" t="s">
        <v>3499</v>
      </c>
      <c r="F297" s="95" t="s">
        <v>3578</v>
      </c>
      <c r="G297" s="56"/>
      <c r="H297" s="56"/>
      <c r="I297" s="55"/>
      <c r="J297" s="56"/>
      <c r="K297" s="56"/>
      <c r="L297" s="56"/>
      <c r="M297" s="56"/>
      <c r="N297" s="56"/>
      <c r="O297" s="61">
        <f t="shared" si="32"/>
        <v>0</v>
      </c>
      <c r="P297" s="56">
        <v>650</v>
      </c>
      <c r="Q297" s="61">
        <f t="shared" si="31"/>
        <v>925.530000000002</v>
      </c>
      <c r="R297" s="58"/>
      <c r="S297" s="56"/>
    </row>
    <row r="298" ht="20" customHeight="1" spans="2:19">
      <c r="B298" s="42">
        <v>9</v>
      </c>
      <c r="C298" s="42">
        <v>21</v>
      </c>
      <c r="D298" s="42"/>
      <c r="E298" s="44" t="s">
        <v>3499</v>
      </c>
      <c r="F298" s="100" t="s">
        <v>3579</v>
      </c>
      <c r="G298" s="56"/>
      <c r="H298" s="56"/>
      <c r="I298" s="55"/>
      <c r="J298" s="56"/>
      <c r="K298" s="56">
        <v>125.96</v>
      </c>
      <c r="L298" s="56"/>
      <c r="M298" s="56"/>
      <c r="N298" s="56">
        <v>0.76</v>
      </c>
      <c r="O298" s="61">
        <f t="shared" si="32"/>
        <v>125.2</v>
      </c>
      <c r="P298" s="56"/>
      <c r="Q298" s="61">
        <f t="shared" si="31"/>
        <v>1050.73</v>
      </c>
      <c r="R298" s="58"/>
      <c r="S298" s="56"/>
    </row>
    <row r="299" ht="20" customHeight="1" spans="2:19">
      <c r="B299" s="42">
        <v>9</v>
      </c>
      <c r="C299" s="42">
        <v>22</v>
      </c>
      <c r="D299" s="42"/>
      <c r="E299" s="44" t="s">
        <v>3580</v>
      </c>
      <c r="F299" s="100" t="s">
        <v>3581</v>
      </c>
      <c r="G299" s="56">
        <v>31332</v>
      </c>
      <c r="H299" s="56"/>
      <c r="I299" s="55"/>
      <c r="J299" s="56"/>
      <c r="K299" s="56"/>
      <c r="L299" s="56"/>
      <c r="M299" s="56"/>
      <c r="N299" s="56"/>
      <c r="O299" s="61">
        <f t="shared" si="32"/>
        <v>31332</v>
      </c>
      <c r="P299" s="56"/>
      <c r="Q299" s="61">
        <f t="shared" ref="Q299:Q309" si="33">Q298+O299-P299</f>
        <v>32382.73</v>
      </c>
      <c r="R299" s="58"/>
      <c r="S299" s="56"/>
    </row>
    <row r="300" ht="20" customHeight="1" spans="2:19">
      <c r="B300" s="42">
        <v>9</v>
      </c>
      <c r="C300" s="42">
        <v>22</v>
      </c>
      <c r="D300" s="42"/>
      <c r="E300" s="44" t="s">
        <v>3580</v>
      </c>
      <c r="F300" s="100" t="s">
        <v>3582</v>
      </c>
      <c r="G300" s="56"/>
      <c r="H300" s="56">
        <v>2609.52</v>
      </c>
      <c r="I300" s="55"/>
      <c r="J300" s="56"/>
      <c r="K300" s="56"/>
      <c r="L300" s="56"/>
      <c r="M300" s="56"/>
      <c r="N300" s="56"/>
      <c r="O300" s="61">
        <f t="shared" si="32"/>
        <v>2609.52</v>
      </c>
      <c r="P300" s="56"/>
      <c r="Q300" s="61">
        <f t="shared" si="33"/>
        <v>34992.25</v>
      </c>
      <c r="R300" s="58"/>
      <c r="S300" s="56"/>
    </row>
    <row r="301" ht="20" customHeight="1" spans="2:19">
      <c r="B301" s="42">
        <v>9</v>
      </c>
      <c r="C301" s="42">
        <v>22</v>
      </c>
      <c r="D301" s="42"/>
      <c r="E301" s="44" t="s">
        <v>3499</v>
      </c>
      <c r="F301" s="100" t="s">
        <v>3583</v>
      </c>
      <c r="G301" s="56"/>
      <c r="H301" s="56"/>
      <c r="I301" s="55"/>
      <c r="J301" s="56"/>
      <c r="K301" s="56">
        <v>144.96</v>
      </c>
      <c r="L301" s="56"/>
      <c r="M301" s="56"/>
      <c r="N301" s="59">
        <v>0.87</v>
      </c>
      <c r="O301" s="61">
        <f t="shared" si="32"/>
        <v>144.09</v>
      </c>
      <c r="P301" s="56"/>
      <c r="Q301" s="61">
        <f t="shared" si="33"/>
        <v>35136.34</v>
      </c>
      <c r="R301" s="58"/>
      <c r="S301" s="56"/>
    </row>
    <row r="302" ht="20" customHeight="1" spans="2:19">
      <c r="B302" s="42">
        <v>9</v>
      </c>
      <c r="C302" s="42">
        <v>23</v>
      </c>
      <c r="D302" s="94" t="s">
        <v>69</v>
      </c>
      <c r="E302" s="95" t="s">
        <v>335</v>
      </c>
      <c r="F302" s="95" t="s">
        <v>3534</v>
      </c>
      <c r="G302" s="56"/>
      <c r="H302" s="56"/>
      <c r="I302" s="55"/>
      <c r="J302" s="56"/>
      <c r="K302" s="56"/>
      <c r="L302" s="56"/>
      <c r="M302" s="56"/>
      <c r="N302" s="56"/>
      <c r="O302" s="61">
        <v>76100</v>
      </c>
      <c r="P302" s="56"/>
      <c r="Q302" s="61">
        <f t="shared" si="33"/>
        <v>111236.34</v>
      </c>
      <c r="R302" s="58"/>
      <c r="S302" s="56"/>
    </row>
    <row r="303" ht="20" customHeight="1" spans="2:19">
      <c r="B303" s="42">
        <v>9</v>
      </c>
      <c r="C303" s="42">
        <v>23</v>
      </c>
      <c r="D303" s="94" t="s">
        <v>16</v>
      </c>
      <c r="E303" s="95" t="s">
        <v>3361</v>
      </c>
      <c r="F303" s="95" t="s">
        <v>478</v>
      </c>
      <c r="G303" s="56"/>
      <c r="H303" s="56"/>
      <c r="I303" s="55"/>
      <c r="J303" s="56"/>
      <c r="K303" s="56"/>
      <c r="L303" s="56"/>
      <c r="M303" s="56"/>
      <c r="N303" s="56"/>
      <c r="O303" s="61">
        <f t="shared" si="32"/>
        <v>0</v>
      </c>
      <c r="P303" s="56">
        <v>3</v>
      </c>
      <c r="Q303" s="61">
        <f t="shared" si="33"/>
        <v>111233.34</v>
      </c>
      <c r="R303" s="58"/>
      <c r="S303" s="56"/>
    </row>
    <row r="304" ht="20" customHeight="1" spans="2:19">
      <c r="B304" s="42">
        <v>9</v>
      </c>
      <c r="C304" s="42">
        <v>23</v>
      </c>
      <c r="D304" s="74" t="s">
        <v>121</v>
      </c>
      <c r="E304" s="44" t="s">
        <v>3368</v>
      </c>
      <c r="F304" s="95" t="s">
        <v>3570</v>
      </c>
      <c r="G304" s="56"/>
      <c r="H304" s="56"/>
      <c r="I304" s="55"/>
      <c r="J304" s="56"/>
      <c r="K304" s="56"/>
      <c r="L304" s="56"/>
      <c r="M304" s="56"/>
      <c r="N304" s="56"/>
      <c r="O304" s="61">
        <f>SUM(G304:N304)-N304</f>
        <v>0</v>
      </c>
      <c r="P304" s="84">
        <v>107266.2</v>
      </c>
      <c r="Q304" s="61">
        <f t="shared" si="33"/>
        <v>3967.14</v>
      </c>
      <c r="R304" s="58"/>
      <c r="S304" s="56"/>
    </row>
    <row r="305" ht="20" customHeight="1" spans="2:19">
      <c r="B305" s="42">
        <v>9</v>
      </c>
      <c r="C305" s="42">
        <v>23</v>
      </c>
      <c r="D305" s="42" t="s">
        <v>124</v>
      </c>
      <c r="E305" s="44" t="s">
        <v>3370</v>
      </c>
      <c r="F305" s="75" t="s">
        <v>3584</v>
      </c>
      <c r="G305" s="56"/>
      <c r="H305" s="56"/>
      <c r="I305" s="55"/>
      <c r="J305" s="56"/>
      <c r="K305" s="56"/>
      <c r="L305" s="56"/>
      <c r="M305" s="56"/>
      <c r="N305" s="56"/>
      <c r="O305" s="61">
        <f>SUM(G305:N305)-N305</f>
        <v>0</v>
      </c>
      <c r="P305" s="56">
        <v>3938.48</v>
      </c>
      <c r="Q305" s="61">
        <f t="shared" si="33"/>
        <v>28.6599999999994</v>
      </c>
      <c r="R305" s="58"/>
      <c r="S305" s="56"/>
    </row>
    <row r="306" ht="20" customHeight="1" spans="2:19">
      <c r="B306" s="42">
        <v>9</v>
      </c>
      <c r="C306" s="42">
        <v>23</v>
      </c>
      <c r="D306" s="42"/>
      <c r="E306" s="44" t="s">
        <v>3499</v>
      </c>
      <c r="F306" s="100" t="s">
        <v>3585</v>
      </c>
      <c r="G306" s="56"/>
      <c r="H306" s="56"/>
      <c r="I306" s="55"/>
      <c r="J306" s="56"/>
      <c r="K306" s="56">
        <v>115.96</v>
      </c>
      <c r="L306" s="56"/>
      <c r="M306" s="56"/>
      <c r="N306" s="56">
        <v>0.7</v>
      </c>
      <c r="O306" s="61">
        <f t="shared" ref="O306:O314" si="34">SUM(G306:M306)-N306</f>
        <v>115.26</v>
      </c>
      <c r="P306" s="56"/>
      <c r="Q306" s="61">
        <f t="shared" si="33"/>
        <v>143.919999999999</v>
      </c>
      <c r="R306" s="58"/>
      <c r="S306" s="56"/>
    </row>
    <row r="307" ht="20" customHeight="1" spans="2:19">
      <c r="B307" s="42">
        <v>9</v>
      </c>
      <c r="C307" s="42">
        <v>24</v>
      </c>
      <c r="D307" s="42"/>
      <c r="E307" s="44" t="s">
        <v>3499</v>
      </c>
      <c r="F307" s="100" t="s">
        <v>3586</v>
      </c>
      <c r="G307" s="56"/>
      <c r="H307" s="56"/>
      <c r="I307" s="55"/>
      <c r="J307" s="56"/>
      <c r="K307" s="56">
        <v>174.96</v>
      </c>
      <c r="L307" s="56"/>
      <c r="M307" s="56"/>
      <c r="N307" s="56">
        <v>1.05</v>
      </c>
      <c r="O307" s="61">
        <f t="shared" si="34"/>
        <v>173.91</v>
      </c>
      <c r="P307" s="56"/>
      <c r="Q307" s="61">
        <f t="shared" si="33"/>
        <v>317.829999999999</v>
      </c>
      <c r="R307" s="58"/>
      <c r="S307" s="56"/>
    </row>
    <row r="308" ht="20" customHeight="1" spans="2:19">
      <c r="B308" s="42">
        <v>9</v>
      </c>
      <c r="C308" s="42">
        <v>25</v>
      </c>
      <c r="D308" s="42"/>
      <c r="E308" s="44" t="s">
        <v>3499</v>
      </c>
      <c r="F308" s="100" t="s">
        <v>3587</v>
      </c>
      <c r="G308" s="56"/>
      <c r="H308" s="56"/>
      <c r="I308" s="55"/>
      <c r="J308" s="56"/>
      <c r="K308" s="56">
        <v>145.98</v>
      </c>
      <c r="L308" s="56"/>
      <c r="M308" s="56"/>
      <c r="N308" s="56">
        <v>0.88</v>
      </c>
      <c r="O308" s="61">
        <f t="shared" si="34"/>
        <v>145.1</v>
      </c>
      <c r="P308" s="56"/>
      <c r="Q308" s="61">
        <f t="shared" si="33"/>
        <v>462.929999999999</v>
      </c>
      <c r="R308" s="58"/>
      <c r="S308" s="56"/>
    </row>
    <row r="309" ht="20" customHeight="1" spans="2:19">
      <c r="B309" s="42">
        <v>9</v>
      </c>
      <c r="C309" s="42">
        <v>26</v>
      </c>
      <c r="D309" s="42"/>
      <c r="E309" s="44" t="s">
        <v>3499</v>
      </c>
      <c r="F309" s="100" t="s">
        <v>3588</v>
      </c>
      <c r="G309" s="56"/>
      <c r="H309" s="56"/>
      <c r="I309" s="55"/>
      <c r="J309" s="56"/>
      <c r="K309" s="56">
        <v>62.99</v>
      </c>
      <c r="L309" s="56"/>
      <c r="M309" s="56"/>
      <c r="N309" s="56">
        <v>0.38</v>
      </c>
      <c r="O309" s="61">
        <f t="shared" si="34"/>
        <v>62.61</v>
      </c>
      <c r="P309" s="56"/>
      <c r="Q309" s="61">
        <f t="shared" si="33"/>
        <v>525.539999999999</v>
      </c>
      <c r="R309" s="58"/>
      <c r="S309" s="56"/>
    </row>
    <row r="310" ht="20" customHeight="1" spans="2:19">
      <c r="B310" s="42">
        <v>9</v>
      </c>
      <c r="C310" s="42">
        <v>27</v>
      </c>
      <c r="D310" s="42"/>
      <c r="E310" s="44" t="s">
        <v>3499</v>
      </c>
      <c r="F310" s="100" t="s">
        <v>3589</v>
      </c>
      <c r="G310" s="56"/>
      <c r="H310" s="56"/>
      <c r="I310" s="55"/>
      <c r="J310" s="56"/>
      <c r="K310" s="56">
        <v>104.96</v>
      </c>
      <c r="L310" s="56"/>
      <c r="M310" s="56"/>
      <c r="N310" s="56">
        <v>0.63</v>
      </c>
      <c r="O310" s="61">
        <f t="shared" si="34"/>
        <v>104.33</v>
      </c>
      <c r="P310" s="56"/>
      <c r="Q310" s="61">
        <f t="shared" ref="Q309:Q311" si="35">Q309+O310-P310</f>
        <v>629.869999999999</v>
      </c>
      <c r="R310" s="58"/>
      <c r="S310" s="56"/>
    </row>
    <row r="311" ht="20" customHeight="1" spans="2:19">
      <c r="B311" s="42">
        <v>9</v>
      </c>
      <c r="C311" s="42">
        <v>28</v>
      </c>
      <c r="D311" s="42"/>
      <c r="E311" s="44" t="s">
        <v>3499</v>
      </c>
      <c r="F311" s="100" t="s">
        <v>3590</v>
      </c>
      <c r="G311" s="56"/>
      <c r="H311" s="56"/>
      <c r="I311" s="55"/>
      <c r="J311" s="56"/>
      <c r="K311" s="56">
        <v>57.97</v>
      </c>
      <c r="L311" s="56"/>
      <c r="M311" s="56"/>
      <c r="N311" s="56">
        <v>0.35</v>
      </c>
      <c r="O311" s="61">
        <f t="shared" si="34"/>
        <v>57.62</v>
      </c>
      <c r="P311" s="56"/>
      <c r="Q311" s="61">
        <f t="shared" ref="Q311:Q319" si="36">Q310+O311-P311</f>
        <v>687.489999999999</v>
      </c>
      <c r="R311" s="58"/>
      <c r="S311" s="56"/>
    </row>
    <row r="312" ht="20" customHeight="1" spans="2:19">
      <c r="B312" s="42">
        <v>9</v>
      </c>
      <c r="C312" s="42">
        <v>29</v>
      </c>
      <c r="D312" s="42"/>
      <c r="E312" s="44" t="s">
        <v>3591</v>
      </c>
      <c r="F312" s="45"/>
      <c r="G312" s="56"/>
      <c r="H312" s="56"/>
      <c r="I312" s="55"/>
      <c r="J312" s="56">
        <v>18800</v>
      </c>
      <c r="K312" s="56"/>
      <c r="L312" s="56"/>
      <c r="M312" s="56"/>
      <c r="N312" s="56"/>
      <c r="O312" s="61">
        <f t="shared" si="34"/>
        <v>18800</v>
      </c>
      <c r="P312" s="56"/>
      <c r="Q312" s="61">
        <f t="shared" si="36"/>
        <v>19487.49</v>
      </c>
      <c r="R312" s="58"/>
      <c r="S312" s="56"/>
    </row>
    <row r="313" ht="20" customHeight="1" spans="2:19">
      <c r="B313" s="42">
        <v>9</v>
      </c>
      <c r="C313" s="42">
        <v>29</v>
      </c>
      <c r="D313" s="42"/>
      <c r="E313" s="44" t="s">
        <v>3499</v>
      </c>
      <c r="F313" s="100" t="s">
        <v>3592</v>
      </c>
      <c r="G313" s="56"/>
      <c r="H313" s="56"/>
      <c r="I313" s="55"/>
      <c r="J313" s="56"/>
      <c r="K313" s="56">
        <v>204.96</v>
      </c>
      <c r="L313" s="56"/>
      <c r="M313" s="56"/>
      <c r="N313" s="56">
        <v>1.23</v>
      </c>
      <c r="O313" s="61">
        <f t="shared" si="34"/>
        <v>203.73</v>
      </c>
      <c r="P313" s="56"/>
      <c r="Q313" s="61">
        <f t="shared" si="36"/>
        <v>19691.22</v>
      </c>
      <c r="R313" s="58"/>
      <c r="S313" s="56"/>
    </row>
    <row r="314" ht="20" customHeight="1" spans="2:19">
      <c r="B314" s="42">
        <v>9</v>
      </c>
      <c r="C314" s="42">
        <v>30</v>
      </c>
      <c r="D314" s="42" t="s">
        <v>124</v>
      </c>
      <c r="E314" s="93" t="s">
        <v>3374</v>
      </c>
      <c r="F314" s="101" t="s">
        <v>3593</v>
      </c>
      <c r="G314" s="56"/>
      <c r="H314" s="56"/>
      <c r="I314" s="55"/>
      <c r="J314" s="56"/>
      <c r="K314" s="56"/>
      <c r="L314" s="56"/>
      <c r="M314" s="56"/>
      <c r="N314" s="56"/>
      <c r="O314" s="61">
        <f t="shared" si="34"/>
        <v>0</v>
      </c>
      <c r="P314" s="56">
        <v>18356.77</v>
      </c>
      <c r="Q314" s="61">
        <f t="shared" si="36"/>
        <v>1334.45</v>
      </c>
      <c r="R314" s="58"/>
      <c r="S314" s="56"/>
    </row>
    <row r="315" ht="20" customHeight="1" spans="2:19">
      <c r="B315" s="42">
        <v>9</v>
      </c>
      <c r="C315" s="42">
        <v>30</v>
      </c>
      <c r="D315" s="94" t="s">
        <v>69</v>
      </c>
      <c r="E315" s="95" t="s">
        <v>335</v>
      </c>
      <c r="F315" s="95" t="s">
        <v>3534</v>
      </c>
      <c r="G315" s="56"/>
      <c r="H315" s="56"/>
      <c r="I315" s="55"/>
      <c r="J315" s="56"/>
      <c r="K315" s="56"/>
      <c r="L315" s="56"/>
      <c r="M315" s="56"/>
      <c r="N315" s="56"/>
      <c r="O315" s="61">
        <v>25000</v>
      </c>
      <c r="P315" s="56"/>
      <c r="Q315" s="61">
        <f t="shared" si="36"/>
        <v>26334.45</v>
      </c>
      <c r="R315" s="58"/>
      <c r="S315" s="56"/>
    </row>
    <row r="316" ht="20" customHeight="1" spans="2:19">
      <c r="B316" s="42">
        <v>9</v>
      </c>
      <c r="C316" s="42">
        <v>30</v>
      </c>
      <c r="D316" s="42"/>
      <c r="E316" s="44" t="s">
        <v>3499</v>
      </c>
      <c r="F316" s="100" t="s">
        <v>3594</v>
      </c>
      <c r="G316" s="56"/>
      <c r="H316" s="56"/>
      <c r="I316" s="55"/>
      <c r="J316" s="56"/>
      <c r="K316" s="56">
        <v>126.97</v>
      </c>
      <c r="L316" s="56"/>
      <c r="M316" s="56"/>
      <c r="N316" s="56">
        <v>0.76</v>
      </c>
      <c r="O316" s="61">
        <f>SUM(G316:M316)-N316</f>
        <v>126.21</v>
      </c>
      <c r="P316" s="56"/>
      <c r="Q316" s="61">
        <f t="shared" si="36"/>
        <v>26460.66</v>
      </c>
      <c r="R316" s="58"/>
      <c r="S316" s="56"/>
    </row>
    <row r="317" ht="20" customHeight="1" spans="2:19">
      <c r="B317" s="42">
        <v>9</v>
      </c>
      <c r="C317" s="42">
        <v>30</v>
      </c>
      <c r="D317" s="94" t="s">
        <v>16</v>
      </c>
      <c r="E317" s="95" t="s">
        <v>3361</v>
      </c>
      <c r="F317" s="95" t="s">
        <v>478</v>
      </c>
      <c r="G317" s="56"/>
      <c r="H317" s="56"/>
      <c r="I317" s="55"/>
      <c r="J317" s="56"/>
      <c r="K317" s="56"/>
      <c r="L317" s="56"/>
      <c r="M317" s="56"/>
      <c r="N317" s="56"/>
      <c r="O317" s="61">
        <f>SUM(G317:M317)-N317</f>
        <v>0</v>
      </c>
      <c r="P317" s="56">
        <v>5.5</v>
      </c>
      <c r="Q317" s="61">
        <f t="shared" si="36"/>
        <v>26455.16</v>
      </c>
      <c r="R317" s="58"/>
      <c r="S317" s="56"/>
    </row>
    <row r="318" ht="20" customHeight="1" spans="2:19">
      <c r="B318" s="42">
        <v>9</v>
      </c>
      <c r="C318" s="42">
        <v>30</v>
      </c>
      <c r="D318" s="42"/>
      <c r="E318" s="44" t="s">
        <v>3403</v>
      </c>
      <c r="F318" s="45" t="s">
        <v>3595</v>
      </c>
      <c r="G318" s="56"/>
      <c r="H318" s="56"/>
      <c r="I318" s="55"/>
      <c r="J318" s="56"/>
      <c r="K318" s="56"/>
      <c r="L318" s="56"/>
      <c r="M318" s="56"/>
      <c r="N318" s="56"/>
      <c r="O318" s="61">
        <f>SUM(G318:M318)-N318</f>
        <v>0</v>
      </c>
      <c r="P318" s="56">
        <v>4500</v>
      </c>
      <c r="Q318" s="61">
        <f t="shared" si="36"/>
        <v>21955.16</v>
      </c>
      <c r="R318" s="58"/>
      <c r="S318" s="56"/>
    </row>
    <row r="319" ht="20" customHeight="1" spans="2:19">
      <c r="B319" s="42">
        <v>9</v>
      </c>
      <c r="C319" s="42">
        <v>30</v>
      </c>
      <c r="D319" s="42"/>
      <c r="E319" s="44" t="s">
        <v>3364</v>
      </c>
      <c r="F319" s="45" t="s">
        <v>3596</v>
      </c>
      <c r="G319" s="56"/>
      <c r="H319" s="56"/>
      <c r="I319" s="55"/>
      <c r="J319" s="56"/>
      <c r="K319" s="56"/>
      <c r="L319" s="56"/>
      <c r="M319" s="56"/>
      <c r="N319" s="56"/>
      <c r="O319" s="61">
        <f>SUM(G319:M319)-N319</f>
        <v>0</v>
      </c>
      <c r="P319" s="56">
        <v>8684.28</v>
      </c>
      <c r="Q319" s="61">
        <f t="shared" si="36"/>
        <v>13270.88</v>
      </c>
      <c r="R319" s="58"/>
      <c r="S319" s="56"/>
    </row>
    <row r="320" ht="20" customHeight="1" spans="2:19">
      <c r="B320" s="68"/>
      <c r="C320" s="68"/>
      <c r="D320" s="68"/>
      <c r="E320" s="69"/>
      <c r="F320" s="70" t="s">
        <v>22</v>
      </c>
      <c r="G320" s="71">
        <f>SUM(G255:G319)</f>
        <v>81681.83</v>
      </c>
      <c r="H320" s="71">
        <f t="shared" ref="H320:P320" si="37">SUM(H255:H319)</f>
        <v>13628.22</v>
      </c>
      <c r="I320" s="71">
        <f t="shared" si="37"/>
        <v>71</v>
      </c>
      <c r="J320" s="71">
        <f t="shared" si="37"/>
        <v>18800</v>
      </c>
      <c r="K320" s="71">
        <f t="shared" si="37"/>
        <v>4106.13</v>
      </c>
      <c r="L320" s="71">
        <f t="shared" si="37"/>
        <v>500</v>
      </c>
      <c r="M320" s="71">
        <f t="shared" si="37"/>
        <v>1.93</v>
      </c>
      <c r="N320" s="71">
        <f t="shared" si="37"/>
        <v>22.84</v>
      </c>
      <c r="O320" s="71">
        <f t="shared" si="37"/>
        <v>353966.27</v>
      </c>
      <c r="P320" s="71">
        <f t="shared" si="37"/>
        <v>340764.27</v>
      </c>
      <c r="Q320" s="71">
        <f>Q254+O320-P320</f>
        <v>13270.8799999999</v>
      </c>
      <c r="R320" s="72"/>
      <c r="S320" s="71"/>
    </row>
    <row r="321" ht="20" customHeight="1" spans="2:19">
      <c r="B321" s="42">
        <v>10</v>
      </c>
      <c r="C321" s="42">
        <v>1</v>
      </c>
      <c r="D321" s="42"/>
      <c r="E321" s="44" t="s">
        <v>3499</v>
      </c>
      <c r="F321" s="100" t="s">
        <v>3597</v>
      </c>
      <c r="G321" s="56"/>
      <c r="H321" s="56"/>
      <c r="I321" s="55"/>
      <c r="J321" s="56"/>
      <c r="K321" s="56">
        <v>173.96</v>
      </c>
      <c r="L321" s="56"/>
      <c r="M321" s="56"/>
      <c r="N321" s="103">
        <v>1.04</v>
      </c>
      <c r="O321" s="61">
        <f t="shared" ref="O321:O326" si="38">SUM(G321:M321)-N321</f>
        <v>172.92</v>
      </c>
      <c r="P321" s="56"/>
      <c r="Q321" s="61">
        <f>Q320+O321-P321</f>
        <v>13443.7999999999</v>
      </c>
      <c r="R321" s="58"/>
      <c r="S321" s="56"/>
    </row>
    <row r="322" ht="20" customHeight="1" spans="2:19">
      <c r="B322" s="42">
        <v>10</v>
      </c>
      <c r="C322" s="42">
        <v>2</v>
      </c>
      <c r="D322" s="42"/>
      <c r="E322" s="44" t="s">
        <v>3499</v>
      </c>
      <c r="F322" s="100" t="s">
        <v>3598</v>
      </c>
      <c r="G322" s="56"/>
      <c r="H322" s="56"/>
      <c r="I322" s="55"/>
      <c r="J322" s="56"/>
      <c r="K322" s="56">
        <v>21.99</v>
      </c>
      <c r="L322" s="56"/>
      <c r="M322" s="56"/>
      <c r="N322" s="56">
        <v>0.13</v>
      </c>
      <c r="O322" s="61">
        <f t="shared" si="38"/>
        <v>21.86</v>
      </c>
      <c r="P322" s="56"/>
      <c r="Q322" s="61">
        <f t="shared" ref="Q322:Q328" si="39">Q321+O322-P322</f>
        <v>13465.6599999999</v>
      </c>
      <c r="R322" s="58"/>
      <c r="S322" s="56"/>
    </row>
    <row r="323" ht="20" customHeight="1" spans="2:19">
      <c r="B323" s="42">
        <v>10</v>
      </c>
      <c r="C323" s="42">
        <v>3</v>
      </c>
      <c r="D323" s="42"/>
      <c r="E323" s="44" t="s">
        <v>3499</v>
      </c>
      <c r="F323" s="100" t="s">
        <v>3599</v>
      </c>
      <c r="G323" s="56"/>
      <c r="H323" s="56"/>
      <c r="I323" s="55"/>
      <c r="J323" s="56"/>
      <c r="K323" s="56">
        <v>71.97</v>
      </c>
      <c r="L323" s="56"/>
      <c r="M323" s="56"/>
      <c r="N323" s="56">
        <v>0.43</v>
      </c>
      <c r="O323" s="61">
        <f t="shared" si="38"/>
        <v>71.54</v>
      </c>
      <c r="P323" s="56"/>
      <c r="Q323" s="61">
        <f t="shared" si="39"/>
        <v>13537.1999999999</v>
      </c>
      <c r="R323" s="58"/>
      <c r="S323" s="56"/>
    </row>
    <row r="324" ht="20" customHeight="1" spans="2:19">
      <c r="B324" s="42">
        <v>10</v>
      </c>
      <c r="C324" s="42">
        <v>4</v>
      </c>
      <c r="D324" s="42"/>
      <c r="E324" s="44" t="s">
        <v>3499</v>
      </c>
      <c r="F324" s="100" t="s">
        <v>3600</v>
      </c>
      <c r="G324" s="56"/>
      <c r="H324" s="56"/>
      <c r="I324" s="55"/>
      <c r="J324" s="56"/>
      <c r="K324" s="56">
        <v>43.98</v>
      </c>
      <c r="L324" s="56"/>
      <c r="M324" s="56"/>
      <c r="N324" s="56">
        <v>0.26</v>
      </c>
      <c r="O324" s="61">
        <f t="shared" si="38"/>
        <v>43.72</v>
      </c>
      <c r="P324" s="56"/>
      <c r="Q324" s="61">
        <f t="shared" si="39"/>
        <v>13580.9199999999</v>
      </c>
      <c r="R324" s="58"/>
      <c r="S324" s="56"/>
    </row>
    <row r="325" ht="20" customHeight="1" spans="2:19">
      <c r="B325" s="42">
        <v>10</v>
      </c>
      <c r="C325" s="42">
        <v>5</v>
      </c>
      <c r="D325" s="42"/>
      <c r="E325" s="44" t="s">
        <v>3499</v>
      </c>
      <c r="F325" s="100" t="s">
        <v>3601</v>
      </c>
      <c r="G325" s="56"/>
      <c r="H325" s="56"/>
      <c r="I325" s="55"/>
      <c r="J325" s="56"/>
      <c r="K325" s="56">
        <v>77.97</v>
      </c>
      <c r="L325" s="56"/>
      <c r="M325" s="56"/>
      <c r="N325" s="56">
        <v>0.47</v>
      </c>
      <c r="O325" s="61">
        <f t="shared" si="38"/>
        <v>77.5</v>
      </c>
      <c r="P325" s="56"/>
      <c r="Q325" s="61">
        <f t="shared" si="39"/>
        <v>13658.4199999999</v>
      </c>
      <c r="R325" s="58"/>
      <c r="S325" s="56"/>
    </row>
    <row r="326" ht="20" customHeight="1" spans="2:19">
      <c r="B326" s="42">
        <v>10</v>
      </c>
      <c r="C326" s="42">
        <v>5</v>
      </c>
      <c r="D326" s="42" t="s">
        <v>124</v>
      </c>
      <c r="E326" s="93" t="s">
        <v>3374</v>
      </c>
      <c r="F326" s="101" t="s">
        <v>3593</v>
      </c>
      <c r="G326" s="56"/>
      <c r="H326" s="56"/>
      <c r="I326" s="55"/>
      <c r="J326" s="56"/>
      <c r="K326" s="56"/>
      <c r="L326" s="56"/>
      <c r="M326" s="56"/>
      <c r="N326" s="56"/>
      <c r="O326" s="61">
        <f t="shared" si="38"/>
        <v>0</v>
      </c>
      <c r="P326" s="56">
        <v>1169.63</v>
      </c>
      <c r="Q326" s="61">
        <f t="shared" si="39"/>
        <v>12488.7899999999</v>
      </c>
      <c r="R326" s="58"/>
      <c r="S326" s="56"/>
    </row>
    <row r="327" ht="20" customHeight="1" spans="2:19">
      <c r="B327" s="42">
        <v>10</v>
      </c>
      <c r="C327" s="42">
        <v>5</v>
      </c>
      <c r="D327" s="42"/>
      <c r="E327" s="44" t="s">
        <v>3499</v>
      </c>
      <c r="F327" s="100" t="s">
        <v>3602</v>
      </c>
      <c r="G327" s="56"/>
      <c r="H327" s="56"/>
      <c r="I327" s="55"/>
      <c r="J327" s="56"/>
      <c r="K327" s="56">
        <v>68.96</v>
      </c>
      <c r="L327" s="56"/>
      <c r="M327" s="56"/>
      <c r="N327" s="56">
        <v>0.41</v>
      </c>
      <c r="O327" s="61">
        <f t="shared" ref="O327:O353" si="40">SUM(G327:M327)-N327</f>
        <v>68.55</v>
      </c>
      <c r="P327" s="56"/>
      <c r="Q327" s="61">
        <f t="shared" si="39"/>
        <v>12557.3399999999</v>
      </c>
      <c r="R327" s="58"/>
      <c r="S327" s="56"/>
    </row>
    <row r="328" ht="20" customHeight="1" spans="2:19">
      <c r="B328" s="42">
        <v>10</v>
      </c>
      <c r="C328" s="42"/>
      <c r="D328" s="42"/>
      <c r="E328" s="44"/>
      <c r="F328" s="45"/>
      <c r="G328" s="56"/>
      <c r="H328" s="56"/>
      <c r="I328" s="55"/>
      <c r="J328" s="56"/>
      <c r="K328" s="56"/>
      <c r="L328" s="56"/>
      <c r="M328" s="56"/>
      <c r="N328" s="56"/>
      <c r="O328" s="61">
        <f t="shared" si="40"/>
        <v>0</v>
      </c>
      <c r="P328" s="56"/>
      <c r="Q328" s="61">
        <f t="shared" si="39"/>
        <v>12557.3399999999</v>
      </c>
      <c r="R328" s="58"/>
      <c r="S328" s="56"/>
    </row>
    <row r="329" ht="20" customHeight="1" spans="2:19">
      <c r="B329" s="42">
        <v>10</v>
      </c>
      <c r="C329" s="42"/>
      <c r="D329" s="42"/>
      <c r="E329" s="44"/>
      <c r="F329" s="45"/>
      <c r="G329" s="56"/>
      <c r="H329" s="56"/>
      <c r="I329" s="55"/>
      <c r="J329" s="56"/>
      <c r="K329" s="56"/>
      <c r="L329" s="56"/>
      <c r="M329" s="56"/>
      <c r="N329" s="56"/>
      <c r="O329" s="61">
        <f t="shared" si="40"/>
        <v>0</v>
      </c>
      <c r="P329" s="56"/>
      <c r="Q329" s="61">
        <f t="shared" ref="Q329:Q337" si="41">Q328+O329-P329</f>
        <v>12557.3399999999</v>
      </c>
      <c r="R329" s="58"/>
      <c r="S329" s="56"/>
    </row>
    <row r="330" ht="20" customHeight="1" spans="2:19">
      <c r="B330" s="42">
        <v>10</v>
      </c>
      <c r="C330" s="42"/>
      <c r="D330" s="42"/>
      <c r="E330" s="44"/>
      <c r="F330" s="45"/>
      <c r="G330" s="56"/>
      <c r="H330" s="56"/>
      <c r="I330" s="55"/>
      <c r="J330" s="56"/>
      <c r="K330" s="56"/>
      <c r="L330" s="56"/>
      <c r="M330" s="56"/>
      <c r="N330" s="56"/>
      <c r="O330" s="61">
        <f t="shared" si="40"/>
        <v>0</v>
      </c>
      <c r="P330" s="56"/>
      <c r="Q330" s="61">
        <f t="shared" si="41"/>
        <v>12557.3399999999</v>
      </c>
      <c r="R330" s="58"/>
      <c r="S330" s="56"/>
    </row>
    <row r="331" ht="20" customHeight="1" spans="2:19">
      <c r="B331" s="42">
        <v>10</v>
      </c>
      <c r="C331" s="42"/>
      <c r="D331" s="42"/>
      <c r="E331" s="44"/>
      <c r="F331" s="45"/>
      <c r="G331" s="56"/>
      <c r="H331" s="56"/>
      <c r="I331" s="55"/>
      <c r="J331" s="56"/>
      <c r="K331" s="56"/>
      <c r="L331" s="56"/>
      <c r="M331" s="56"/>
      <c r="N331" s="56"/>
      <c r="O331" s="61">
        <f t="shared" si="40"/>
        <v>0</v>
      </c>
      <c r="P331" s="56"/>
      <c r="Q331" s="61">
        <f t="shared" si="41"/>
        <v>12557.3399999999</v>
      </c>
      <c r="R331" s="58"/>
      <c r="S331" s="56"/>
    </row>
    <row r="332" ht="20" customHeight="1" spans="2:19">
      <c r="B332" s="42">
        <v>10</v>
      </c>
      <c r="C332" s="42"/>
      <c r="D332" s="42"/>
      <c r="E332" s="44"/>
      <c r="F332" s="45"/>
      <c r="G332" s="56"/>
      <c r="H332" s="56"/>
      <c r="I332" s="55"/>
      <c r="J332" s="56"/>
      <c r="K332" s="56"/>
      <c r="L332" s="56"/>
      <c r="M332" s="56"/>
      <c r="N332" s="56"/>
      <c r="O332" s="61">
        <f t="shared" si="40"/>
        <v>0</v>
      </c>
      <c r="P332" s="56"/>
      <c r="Q332" s="61">
        <f t="shared" si="41"/>
        <v>12557.3399999999</v>
      </c>
      <c r="R332" s="58"/>
      <c r="S332" s="56"/>
    </row>
    <row r="333" ht="20" customHeight="1" spans="2:19">
      <c r="B333" s="42">
        <v>10</v>
      </c>
      <c r="C333" s="42"/>
      <c r="D333" s="42"/>
      <c r="E333" s="44"/>
      <c r="F333" s="45"/>
      <c r="G333" s="56"/>
      <c r="H333" s="56"/>
      <c r="I333" s="55"/>
      <c r="J333" s="56"/>
      <c r="K333" s="56"/>
      <c r="L333" s="56"/>
      <c r="M333" s="56"/>
      <c r="N333" s="56"/>
      <c r="O333" s="61">
        <f t="shared" si="40"/>
        <v>0</v>
      </c>
      <c r="P333" s="56"/>
      <c r="Q333" s="61">
        <f t="shared" si="41"/>
        <v>12557.3399999999</v>
      </c>
      <c r="R333" s="58"/>
      <c r="S333" s="56"/>
    </row>
    <row r="334" ht="20" customHeight="1" spans="2:19">
      <c r="B334" s="42"/>
      <c r="C334" s="42"/>
      <c r="D334" s="42"/>
      <c r="E334" s="44"/>
      <c r="F334" s="45"/>
      <c r="G334" s="56"/>
      <c r="H334" s="56"/>
      <c r="I334" s="55"/>
      <c r="J334" s="56"/>
      <c r="K334" s="56"/>
      <c r="L334" s="56"/>
      <c r="M334" s="56"/>
      <c r="N334" s="56"/>
      <c r="O334" s="61">
        <f t="shared" si="40"/>
        <v>0</v>
      </c>
      <c r="P334" s="56"/>
      <c r="Q334" s="61">
        <f t="shared" si="41"/>
        <v>12557.3399999999</v>
      </c>
      <c r="R334" s="58"/>
      <c r="S334" s="56"/>
    </row>
    <row r="335" ht="20" customHeight="1" spans="2:19">
      <c r="B335" s="42"/>
      <c r="C335" s="42"/>
      <c r="D335" s="42"/>
      <c r="E335" s="44"/>
      <c r="F335" s="45"/>
      <c r="G335" s="56"/>
      <c r="H335" s="56"/>
      <c r="I335" s="55"/>
      <c r="J335" s="56"/>
      <c r="K335" s="56"/>
      <c r="L335" s="56"/>
      <c r="M335" s="56"/>
      <c r="N335" s="56"/>
      <c r="O335" s="61">
        <f t="shared" si="40"/>
        <v>0</v>
      </c>
      <c r="P335" s="56"/>
      <c r="Q335" s="61">
        <f t="shared" si="41"/>
        <v>12557.3399999999</v>
      </c>
      <c r="R335" s="58"/>
      <c r="S335" s="56"/>
    </row>
    <row r="336" ht="20" customHeight="1" spans="2:19">
      <c r="B336" s="42"/>
      <c r="C336" s="42"/>
      <c r="D336" s="42"/>
      <c r="E336" s="44"/>
      <c r="F336" s="45"/>
      <c r="G336" s="56"/>
      <c r="H336" s="56"/>
      <c r="I336" s="55"/>
      <c r="J336" s="56"/>
      <c r="K336" s="56"/>
      <c r="L336" s="56"/>
      <c r="M336" s="56"/>
      <c r="N336" s="56"/>
      <c r="O336" s="61">
        <f t="shared" si="40"/>
        <v>0</v>
      </c>
      <c r="P336" s="56"/>
      <c r="Q336" s="61">
        <f t="shared" si="41"/>
        <v>12557.3399999999</v>
      </c>
      <c r="R336" s="58"/>
      <c r="S336" s="56"/>
    </row>
    <row r="337" ht="20" customHeight="1" spans="2:19">
      <c r="B337" s="42"/>
      <c r="C337" s="42"/>
      <c r="D337" s="42"/>
      <c r="E337" s="44"/>
      <c r="F337" s="45"/>
      <c r="G337" s="56"/>
      <c r="H337" s="56"/>
      <c r="I337" s="55"/>
      <c r="J337" s="56"/>
      <c r="K337" s="56"/>
      <c r="L337" s="56"/>
      <c r="M337" s="56"/>
      <c r="N337" s="56"/>
      <c r="O337" s="61">
        <f t="shared" si="40"/>
        <v>0</v>
      </c>
      <c r="P337" s="56"/>
      <c r="Q337" s="61">
        <f t="shared" si="41"/>
        <v>12557.3399999999</v>
      </c>
      <c r="R337" s="58"/>
      <c r="S337" s="56"/>
    </row>
    <row r="338" ht="20" customHeight="1" spans="2:19">
      <c r="B338" s="42"/>
      <c r="C338" s="42"/>
      <c r="D338" s="42"/>
      <c r="E338" s="44"/>
      <c r="F338" s="45"/>
      <c r="G338" s="56"/>
      <c r="H338" s="56"/>
      <c r="I338" s="55"/>
      <c r="J338" s="56"/>
      <c r="K338" s="56"/>
      <c r="L338" s="56"/>
      <c r="M338" s="56"/>
      <c r="N338" s="56"/>
      <c r="O338" s="61">
        <f t="shared" si="40"/>
        <v>0</v>
      </c>
      <c r="P338" s="56"/>
      <c r="Q338" s="61"/>
      <c r="R338" s="58"/>
      <c r="S338" s="56"/>
    </row>
    <row r="339" ht="20" customHeight="1" spans="2:19">
      <c r="B339" s="42"/>
      <c r="C339" s="42"/>
      <c r="D339" s="42"/>
      <c r="E339" s="44"/>
      <c r="F339" s="45"/>
      <c r="G339" s="56"/>
      <c r="H339" s="56"/>
      <c r="I339" s="55"/>
      <c r="J339" s="56"/>
      <c r="K339" s="56"/>
      <c r="L339" s="56"/>
      <c r="M339" s="56"/>
      <c r="N339" s="56"/>
      <c r="O339" s="61">
        <f t="shared" si="40"/>
        <v>0</v>
      </c>
      <c r="P339" s="56"/>
      <c r="Q339" s="61"/>
      <c r="R339" s="58"/>
      <c r="S339" s="56"/>
    </row>
    <row r="340" ht="20" customHeight="1" spans="2:19">
      <c r="B340" s="42"/>
      <c r="C340" s="42"/>
      <c r="D340" s="42"/>
      <c r="E340" s="44"/>
      <c r="F340" s="45"/>
      <c r="G340" s="56"/>
      <c r="H340" s="56"/>
      <c r="I340" s="55"/>
      <c r="J340" s="56"/>
      <c r="K340" s="56"/>
      <c r="L340" s="56"/>
      <c r="M340" s="56"/>
      <c r="N340" s="56"/>
      <c r="O340" s="61">
        <f t="shared" si="40"/>
        <v>0</v>
      </c>
      <c r="P340" s="56"/>
      <c r="Q340" s="61"/>
      <c r="R340" s="58"/>
      <c r="S340" s="56"/>
    </row>
    <row r="341" ht="20" customHeight="1" spans="2:19">
      <c r="B341" s="42"/>
      <c r="C341" s="42"/>
      <c r="D341" s="42"/>
      <c r="E341" s="44"/>
      <c r="F341" s="45"/>
      <c r="G341" s="56"/>
      <c r="H341" s="56"/>
      <c r="I341" s="55"/>
      <c r="J341" s="56"/>
      <c r="K341" s="56"/>
      <c r="L341" s="56"/>
      <c r="M341" s="56"/>
      <c r="N341" s="56"/>
      <c r="O341" s="61">
        <f t="shared" si="40"/>
        <v>0</v>
      </c>
      <c r="P341" s="56"/>
      <c r="Q341" s="61"/>
      <c r="R341" s="58"/>
      <c r="S341" s="56"/>
    </row>
    <row r="342" ht="20" customHeight="1" spans="2:19">
      <c r="B342" s="42"/>
      <c r="C342" s="42"/>
      <c r="D342" s="42"/>
      <c r="E342" s="44"/>
      <c r="F342" s="45"/>
      <c r="G342" s="56"/>
      <c r="H342" s="56"/>
      <c r="I342" s="55"/>
      <c r="J342" s="56"/>
      <c r="K342" s="56"/>
      <c r="L342" s="56"/>
      <c r="M342" s="56"/>
      <c r="N342" s="56"/>
      <c r="O342" s="61">
        <f t="shared" si="40"/>
        <v>0</v>
      </c>
      <c r="P342" s="56"/>
      <c r="Q342" s="61"/>
      <c r="R342" s="58"/>
      <c r="S342" s="56"/>
    </row>
    <row r="343" ht="20" customHeight="1" spans="2:19">
      <c r="B343" s="42"/>
      <c r="C343" s="42"/>
      <c r="D343" s="42"/>
      <c r="E343" s="44"/>
      <c r="F343" s="45"/>
      <c r="G343" s="56"/>
      <c r="H343" s="56"/>
      <c r="I343" s="55"/>
      <c r="J343" s="56"/>
      <c r="K343" s="56"/>
      <c r="L343" s="56"/>
      <c r="M343" s="56"/>
      <c r="N343" s="56"/>
      <c r="O343" s="61">
        <f t="shared" si="40"/>
        <v>0</v>
      </c>
      <c r="P343" s="56"/>
      <c r="Q343" s="61">
        <f>Q216+O343-P343</f>
        <v>87.86</v>
      </c>
      <c r="R343" s="58"/>
      <c r="S343" s="56"/>
    </row>
    <row r="344" ht="20" customHeight="1" spans="2:19">
      <c r="B344" s="42"/>
      <c r="C344" s="42"/>
      <c r="D344" s="42"/>
      <c r="E344" s="44"/>
      <c r="F344" s="45"/>
      <c r="G344" s="56"/>
      <c r="H344" s="56"/>
      <c r="I344" s="55"/>
      <c r="J344" s="56"/>
      <c r="K344" s="56"/>
      <c r="L344" s="56"/>
      <c r="M344" s="56"/>
      <c r="N344" s="56"/>
      <c r="O344" s="61">
        <f t="shared" si="40"/>
        <v>0</v>
      </c>
      <c r="P344" s="56"/>
      <c r="Q344" s="61">
        <f t="shared" ref="Q344:Q346" si="42">Q343+O344-P344</f>
        <v>87.86</v>
      </c>
      <c r="R344" s="58"/>
      <c r="S344" s="56"/>
    </row>
    <row r="345" ht="20" customHeight="1" spans="2:19">
      <c r="B345" s="42"/>
      <c r="C345" s="42"/>
      <c r="D345" s="42"/>
      <c r="E345" s="44"/>
      <c r="F345" s="45"/>
      <c r="G345" s="56"/>
      <c r="H345" s="56"/>
      <c r="I345" s="55"/>
      <c r="J345" s="56"/>
      <c r="K345" s="56"/>
      <c r="L345" s="56"/>
      <c r="M345" s="56"/>
      <c r="N345" s="56"/>
      <c r="O345" s="61">
        <f t="shared" si="40"/>
        <v>0</v>
      </c>
      <c r="P345" s="56"/>
      <c r="Q345" s="61">
        <f t="shared" si="42"/>
        <v>87.86</v>
      </c>
      <c r="R345" s="58"/>
      <c r="S345" s="56"/>
    </row>
    <row r="346" ht="20" customHeight="1" spans="2:19">
      <c r="B346" s="42"/>
      <c r="C346" s="42"/>
      <c r="D346" s="42"/>
      <c r="E346" s="44"/>
      <c r="F346" s="45"/>
      <c r="G346" s="56"/>
      <c r="H346" s="56"/>
      <c r="I346" s="55"/>
      <c r="J346" s="56"/>
      <c r="K346" s="56"/>
      <c r="L346" s="56"/>
      <c r="M346" s="56"/>
      <c r="N346" s="56"/>
      <c r="O346" s="61">
        <f t="shared" si="40"/>
        <v>0</v>
      </c>
      <c r="P346" s="56"/>
      <c r="Q346" s="61">
        <f t="shared" si="42"/>
        <v>87.86</v>
      </c>
      <c r="R346" s="58"/>
      <c r="S346" s="56"/>
    </row>
    <row r="347" ht="20" customHeight="1" spans="2:19">
      <c r="B347" s="42"/>
      <c r="C347" s="42"/>
      <c r="D347" s="42"/>
      <c r="E347" s="44"/>
      <c r="F347" s="45"/>
      <c r="G347" s="56"/>
      <c r="H347" s="56"/>
      <c r="I347" s="55"/>
      <c r="J347" s="56"/>
      <c r="K347" s="56"/>
      <c r="L347" s="56"/>
      <c r="M347" s="56"/>
      <c r="N347" s="56"/>
      <c r="O347" s="61">
        <f t="shared" si="40"/>
        <v>0</v>
      </c>
      <c r="P347" s="56"/>
      <c r="Q347" s="61"/>
      <c r="R347" s="58"/>
      <c r="S347" s="56"/>
    </row>
    <row r="348" ht="20" customHeight="1" spans="2:19">
      <c r="B348" s="42"/>
      <c r="C348" s="42"/>
      <c r="D348" s="42"/>
      <c r="E348" s="44"/>
      <c r="F348" s="45"/>
      <c r="G348" s="56"/>
      <c r="H348" s="56"/>
      <c r="I348" s="55"/>
      <c r="J348" s="56"/>
      <c r="K348" s="56"/>
      <c r="L348" s="56"/>
      <c r="M348" s="56"/>
      <c r="N348" s="56"/>
      <c r="O348" s="61">
        <f t="shared" si="40"/>
        <v>0</v>
      </c>
      <c r="P348" s="56"/>
      <c r="Q348" s="61"/>
      <c r="R348" s="58"/>
      <c r="S348" s="56"/>
    </row>
    <row r="349" ht="20" customHeight="1" spans="2:19">
      <c r="B349" s="42"/>
      <c r="C349" s="42"/>
      <c r="D349" s="42"/>
      <c r="E349" s="44"/>
      <c r="F349" s="45"/>
      <c r="G349" s="56"/>
      <c r="H349" s="56"/>
      <c r="I349" s="55"/>
      <c r="J349" s="56"/>
      <c r="K349" s="56"/>
      <c r="L349" s="56"/>
      <c r="M349" s="56"/>
      <c r="N349" s="56"/>
      <c r="O349" s="61">
        <f t="shared" si="40"/>
        <v>0</v>
      </c>
      <c r="P349" s="56"/>
      <c r="Q349" s="61"/>
      <c r="R349" s="58"/>
      <c r="S349" s="56"/>
    </row>
    <row r="350" ht="20" customHeight="1" spans="2:19">
      <c r="B350" s="42"/>
      <c r="C350" s="42"/>
      <c r="D350" s="42"/>
      <c r="E350" s="44"/>
      <c r="F350" s="45"/>
      <c r="G350" s="56"/>
      <c r="H350" s="56"/>
      <c r="I350" s="55"/>
      <c r="J350" s="56"/>
      <c r="K350" s="56"/>
      <c r="L350" s="56"/>
      <c r="M350" s="56"/>
      <c r="N350" s="56"/>
      <c r="O350" s="61">
        <f t="shared" si="40"/>
        <v>0</v>
      </c>
      <c r="P350" s="56"/>
      <c r="Q350" s="61"/>
      <c r="R350" s="58"/>
      <c r="S350" s="56"/>
    </row>
    <row r="351" ht="20" customHeight="1" spans="2:19">
      <c r="B351" s="42"/>
      <c r="C351" s="42"/>
      <c r="D351" s="42"/>
      <c r="E351" s="44"/>
      <c r="F351" s="45"/>
      <c r="G351" s="56"/>
      <c r="H351" s="56"/>
      <c r="I351" s="55"/>
      <c r="J351" s="56"/>
      <c r="K351" s="56"/>
      <c r="L351" s="56"/>
      <c r="M351" s="56"/>
      <c r="N351" s="56"/>
      <c r="O351" s="61">
        <f t="shared" si="40"/>
        <v>0</v>
      </c>
      <c r="P351" s="56"/>
      <c r="Q351" s="61"/>
      <c r="R351" s="58"/>
      <c r="S351" s="56"/>
    </row>
    <row r="352" ht="20" customHeight="1" spans="2:19">
      <c r="B352" s="42"/>
      <c r="C352" s="42"/>
      <c r="D352" s="42"/>
      <c r="E352" s="44"/>
      <c r="F352" s="45"/>
      <c r="G352" s="56"/>
      <c r="H352" s="56"/>
      <c r="I352" s="55"/>
      <c r="J352" s="56"/>
      <c r="K352" s="56"/>
      <c r="L352" s="56"/>
      <c r="M352" s="56"/>
      <c r="N352" s="56"/>
      <c r="O352" s="61">
        <f t="shared" si="40"/>
        <v>0</v>
      </c>
      <c r="P352" s="56"/>
      <c r="Q352" s="61"/>
      <c r="R352" s="58"/>
      <c r="S352" s="56"/>
    </row>
    <row r="353" ht="20" customHeight="1" spans="2:19">
      <c r="B353" s="42"/>
      <c r="C353" s="42"/>
      <c r="D353" s="42"/>
      <c r="E353" s="44"/>
      <c r="F353" s="45"/>
      <c r="G353" s="56"/>
      <c r="H353" s="56"/>
      <c r="I353" s="55"/>
      <c r="J353" s="56"/>
      <c r="K353" s="56"/>
      <c r="L353" s="56"/>
      <c r="M353" s="56"/>
      <c r="N353" s="56"/>
      <c r="O353" s="61">
        <f t="shared" si="40"/>
        <v>0</v>
      </c>
      <c r="P353" s="56"/>
      <c r="Q353" s="61"/>
      <c r="R353" s="58"/>
      <c r="S353" s="56"/>
    </row>
    <row r="1048463" spans="20:20">
      <c r="T1048463"/>
    </row>
    <row r="1048464" spans="20:20">
      <c r="T1048464"/>
    </row>
    <row r="1048465" spans="20:20">
      <c r="T1048465"/>
    </row>
    <row r="1048466" spans="20:20">
      <c r="T1048466"/>
    </row>
    <row r="1048467" spans="20:20">
      <c r="T1048467"/>
    </row>
    <row r="1048468" spans="20:20">
      <c r="T1048468"/>
    </row>
    <row r="1048469" spans="20:20">
      <c r="T1048469"/>
    </row>
    <row r="1048470" spans="20:20">
      <c r="T1048470"/>
    </row>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autoFilter xmlns:etc="http://www.wps.cn/officeDocument/2017/etCustomData" ref="A4:Y353" etc:filterBottomFollowUsedRange="0">
    <extLst/>
  </autoFilter>
  <mergeCells count="5">
    <mergeCell ref="B1:S1"/>
    <mergeCell ref="G3:O3"/>
    <mergeCell ref="P3:P4"/>
    <mergeCell ref="Q3:Q4"/>
    <mergeCell ref="R3:R4"/>
  </mergeCells>
  <dataValidations count="2">
    <dataValidation type="list" allowBlank="1" showInputMessage="1" showErrorMessage="1" sqref="R20 R46 R85 R114 R156 R184 R254 R320">
      <formula1>"易佰兴,林燊,农商银行,城市佰兴财务,物业微信"</formula1>
    </dataValidation>
    <dataValidation type="list" allowBlank="1" showInputMessage="1" showErrorMessage="1" sqref="D5:D353">
      <formula1>付费项!$B$2:$B$77</formula1>
    </dataValidation>
  </dataValidations>
  <pageMargins left="0.75" right="0.75" top="1" bottom="1" header="0.5" footer="0.5"/>
  <pageSetup paperSize="9" orientation="portrait"/>
  <headerFooter/>
  <ignoredErrors>
    <ignoredError sqref="O46" formula="1"/>
  </ignoredError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Y1048474"/>
  <sheetViews>
    <sheetView workbookViewId="0">
      <pane xSplit="3" ySplit="5" topLeftCell="D50" activePane="bottomRight" state="frozen"/>
      <selection/>
      <selection pane="topRight"/>
      <selection pane="bottomLeft"/>
      <selection pane="bottomRight" activeCell="F66" sqref="F66"/>
    </sheetView>
  </sheetViews>
  <sheetFormatPr defaultColWidth="9" defaultRowHeight="13.5"/>
  <cols>
    <col min="1" max="1" width="6.54166666666667" style="3" customWidth="1"/>
    <col min="2" max="3" width="5.26666666666667" style="3" customWidth="1"/>
    <col min="4" max="4" width="9.625" style="3" customWidth="1"/>
    <col min="5" max="5" width="25" style="3" customWidth="1"/>
    <col min="6" max="6" width="49.0916666666667" style="3" customWidth="1"/>
    <col min="7" max="7" width="12" style="3" customWidth="1"/>
    <col min="8" max="8" width="13.125" style="3" customWidth="1"/>
    <col min="9" max="9" width="11" style="3" customWidth="1"/>
    <col min="10" max="10" width="12" style="3" customWidth="1"/>
    <col min="11" max="12" width="9" style="3" customWidth="1"/>
    <col min="13" max="13" width="7.09166666666667" style="3" customWidth="1"/>
    <col min="14" max="14" width="9" style="3" customWidth="1"/>
    <col min="15" max="15" width="13" style="3" customWidth="1"/>
    <col min="16" max="17" width="12.5416666666667" style="3" customWidth="1"/>
    <col min="18" max="18" width="12.3666666666667" style="3" customWidth="1"/>
    <col min="19" max="19" width="31.0916666666667" style="3" customWidth="1"/>
    <col min="20" max="20" width="14.725" style="3"/>
    <col min="21" max="21" width="12.6333333333333" style="3"/>
    <col min="22" max="22" width="10.3666666666667" style="3"/>
    <col min="23" max="16384" width="9" style="3"/>
  </cols>
  <sheetData>
    <row r="1" ht="24.75" spans="1:25">
      <c r="A1" s="46" t="str">
        <f>HYPERLINK("#目录!a1","返回目录")</f>
        <v>返回目录</v>
      </c>
      <c r="B1" s="47" t="s">
        <v>3603</v>
      </c>
      <c r="C1" s="47"/>
      <c r="D1" s="47"/>
      <c r="E1" s="47"/>
      <c r="F1" s="47"/>
      <c r="G1" s="47"/>
      <c r="H1" s="47"/>
      <c r="I1" s="47"/>
      <c r="J1" s="47"/>
      <c r="K1" s="47"/>
      <c r="L1" s="47"/>
      <c r="M1" s="47"/>
      <c r="N1" s="47"/>
      <c r="O1" s="47"/>
      <c r="P1" s="47"/>
      <c r="Q1" s="47"/>
      <c r="R1" s="47"/>
      <c r="S1" s="47"/>
      <c r="T1" s="6"/>
      <c r="U1" s="6"/>
      <c r="V1" s="6"/>
      <c r="W1" s="6"/>
      <c r="X1" s="6"/>
      <c r="Y1" s="6"/>
    </row>
    <row r="2" ht="25.5" spans="1:25">
      <c r="B2" s="48"/>
      <c r="C2" s="48"/>
      <c r="D2" s="48"/>
      <c r="E2" s="48"/>
      <c r="F2" s="48"/>
      <c r="G2" s="48"/>
      <c r="H2" s="48"/>
      <c r="I2" s="48"/>
      <c r="J2" s="48"/>
      <c r="K2" s="48"/>
      <c r="L2" s="48"/>
      <c r="M2" s="48"/>
      <c r="N2" s="48"/>
      <c r="O2" s="48"/>
      <c r="P2" s="48"/>
      <c r="Q2" s="48"/>
      <c r="R2" s="48"/>
      <c r="S2" s="48"/>
      <c r="T2" s="6"/>
      <c r="U2" s="6"/>
      <c r="V2" s="6"/>
      <c r="W2" s="6"/>
      <c r="X2" s="6"/>
      <c r="Y2" s="6"/>
    </row>
    <row r="3" ht="14.25" spans="1:25">
      <c r="A3" s="46"/>
      <c r="B3" s="49"/>
      <c r="C3" s="49"/>
      <c r="D3" s="49"/>
      <c r="E3" s="49"/>
      <c r="F3" s="49"/>
      <c r="G3" s="50" t="s">
        <v>11</v>
      </c>
      <c r="H3" s="51"/>
      <c r="I3" s="51"/>
      <c r="J3" s="51"/>
      <c r="K3" s="51"/>
      <c r="L3" s="51"/>
      <c r="M3" s="51"/>
      <c r="N3" s="51"/>
      <c r="O3" s="52"/>
      <c r="P3" s="49" t="s">
        <v>12</v>
      </c>
      <c r="Q3" s="49" t="s">
        <v>13</v>
      </c>
      <c r="R3" s="49" t="s">
        <v>28</v>
      </c>
      <c r="S3" s="49"/>
    </row>
    <row r="4" ht="14.25" spans="1:25">
      <c r="B4" s="49" t="s">
        <v>6</v>
      </c>
      <c r="C4" s="49" t="s">
        <v>7</v>
      </c>
      <c r="D4" s="49"/>
      <c r="E4" s="49" t="s">
        <v>9</v>
      </c>
      <c r="F4" s="49" t="s">
        <v>10</v>
      </c>
      <c r="G4" s="49" t="s">
        <v>474</v>
      </c>
      <c r="H4" s="49" t="s">
        <v>475</v>
      </c>
      <c r="I4" s="49" t="s">
        <v>124</v>
      </c>
      <c r="J4" s="49" t="s">
        <v>68</v>
      </c>
      <c r="K4" s="49" t="s">
        <v>116</v>
      </c>
      <c r="L4" s="49" t="s">
        <v>3359</v>
      </c>
      <c r="M4" s="49" t="s">
        <v>477</v>
      </c>
      <c r="N4" s="49" t="s">
        <v>478</v>
      </c>
      <c r="O4" s="49" t="s">
        <v>11</v>
      </c>
      <c r="P4" s="53"/>
      <c r="Q4" s="53"/>
      <c r="R4" s="53"/>
      <c r="S4" s="49" t="s">
        <v>14</v>
      </c>
    </row>
    <row r="5" ht="20" customHeight="1" spans="1:25">
      <c r="B5" s="42"/>
      <c r="C5" s="42"/>
      <c r="D5" s="42"/>
      <c r="E5" s="44"/>
      <c r="F5" s="54" t="s">
        <v>15</v>
      </c>
      <c r="G5" s="55"/>
      <c r="H5" s="55"/>
      <c r="I5" s="55"/>
      <c r="J5" s="56"/>
      <c r="K5" s="56"/>
      <c r="L5" s="56"/>
      <c r="M5" s="56"/>
      <c r="N5" s="56"/>
      <c r="O5" s="57"/>
      <c r="P5" s="56"/>
      <c r="Q5" s="58">
        <v>0</v>
      </c>
      <c r="R5" s="58"/>
      <c r="S5" s="59"/>
    </row>
    <row r="6" ht="20.25" customHeight="1" spans="1:25">
      <c r="A6" s="7"/>
      <c r="B6" s="15">
        <v>2</v>
      </c>
      <c r="C6" s="15">
        <v>7</v>
      </c>
      <c r="D6" s="15"/>
      <c r="E6" s="16" t="s">
        <v>2822</v>
      </c>
      <c r="F6" s="43" t="s">
        <v>3604</v>
      </c>
      <c r="G6" s="17">
        <v>12775</v>
      </c>
      <c r="H6" s="17">
        <v>1225</v>
      </c>
      <c r="I6" s="17">
        <v>59.46</v>
      </c>
      <c r="J6" s="18"/>
      <c r="K6" s="23"/>
      <c r="L6" s="23"/>
      <c r="M6" s="23"/>
      <c r="N6" s="23"/>
      <c r="O6" s="60">
        <f t="shared" ref="O6:O15" si="0">SUM(G6:N6)-N6</f>
        <v>14059.46</v>
      </c>
      <c r="P6" s="60"/>
      <c r="Q6" s="61">
        <f t="shared" ref="Q6:Q21" si="1">Q5+O6-P6</f>
        <v>14059.46</v>
      </c>
      <c r="R6" s="20"/>
      <c r="S6" s="21"/>
    </row>
    <row r="7" ht="20.25" customHeight="1" spans="1:25">
      <c r="A7" s="7"/>
      <c r="B7" s="15">
        <v>2</v>
      </c>
      <c r="C7" s="15">
        <v>7</v>
      </c>
      <c r="D7" s="15"/>
      <c r="E7" s="16" t="s">
        <v>3385</v>
      </c>
      <c r="F7" s="43" t="s">
        <v>3605</v>
      </c>
      <c r="G7" s="17">
        <v>1299.83</v>
      </c>
      <c r="H7" s="17">
        <v>79.5</v>
      </c>
      <c r="I7" s="17">
        <v>3.86</v>
      </c>
      <c r="J7" s="18"/>
      <c r="K7" s="23"/>
      <c r="L7" s="23"/>
      <c r="M7" s="23"/>
      <c r="N7" s="23"/>
      <c r="O7" s="60">
        <f t="shared" si="0"/>
        <v>1383.19</v>
      </c>
      <c r="P7" s="60"/>
      <c r="Q7" s="61">
        <f t="shared" si="1"/>
        <v>15442.65</v>
      </c>
      <c r="R7" s="20"/>
      <c r="S7" s="21"/>
    </row>
    <row r="8" ht="20.25" customHeight="1" spans="1:25">
      <c r="A8" s="7"/>
      <c r="B8" s="15">
        <v>2</v>
      </c>
      <c r="C8" s="15">
        <v>9</v>
      </c>
      <c r="D8" s="15"/>
      <c r="E8" s="16" t="s">
        <v>2578</v>
      </c>
      <c r="F8" s="43" t="s">
        <v>3606</v>
      </c>
      <c r="G8" s="18"/>
      <c r="H8" s="17">
        <v>1776.6</v>
      </c>
      <c r="I8" s="17"/>
      <c r="J8" s="18"/>
      <c r="K8" s="23"/>
      <c r="L8" s="23"/>
      <c r="M8" s="23"/>
      <c r="N8" s="23"/>
      <c r="O8" s="60">
        <f t="shared" si="0"/>
        <v>1776.6</v>
      </c>
      <c r="P8" s="60"/>
      <c r="Q8" s="61">
        <f t="shared" si="1"/>
        <v>17219.25</v>
      </c>
      <c r="R8" s="20"/>
      <c r="S8" s="21"/>
    </row>
    <row r="9" s="2" customFormat="1" ht="20.25" customHeight="1" spans="1:25">
      <c r="A9" s="37"/>
      <c r="B9" s="38">
        <v>2</v>
      </c>
      <c r="C9" s="38">
        <v>9</v>
      </c>
      <c r="D9" s="38"/>
      <c r="E9" s="32" t="s">
        <v>3378</v>
      </c>
      <c r="F9" s="62" t="s">
        <v>3607</v>
      </c>
      <c r="G9" s="34">
        <v>3436</v>
      </c>
      <c r="H9" s="34">
        <v>404.16</v>
      </c>
      <c r="I9" s="34"/>
      <c r="J9" s="34"/>
      <c r="K9" s="34"/>
      <c r="L9" s="34"/>
      <c r="M9" s="34"/>
      <c r="N9" s="34"/>
      <c r="O9" s="60">
        <f t="shared" si="0"/>
        <v>3840.16</v>
      </c>
      <c r="P9" s="60"/>
      <c r="Q9" s="61">
        <f t="shared" si="1"/>
        <v>21059.41</v>
      </c>
      <c r="R9" s="39"/>
      <c r="S9" s="40"/>
    </row>
    <row r="10" ht="20.25" customHeight="1" spans="1:25">
      <c r="A10" s="7"/>
      <c r="B10" s="15">
        <v>2</v>
      </c>
      <c r="C10" s="15">
        <v>10</v>
      </c>
      <c r="D10" s="15"/>
      <c r="E10" s="16" t="s">
        <v>3421</v>
      </c>
      <c r="F10" s="43" t="s">
        <v>82</v>
      </c>
      <c r="G10" s="18"/>
      <c r="H10" s="18"/>
      <c r="I10" s="17"/>
      <c r="J10" s="18"/>
      <c r="K10" s="23"/>
      <c r="L10" s="23">
        <v>500</v>
      </c>
      <c r="M10" s="23"/>
      <c r="N10" s="23"/>
      <c r="O10" s="60">
        <f t="shared" si="0"/>
        <v>500</v>
      </c>
      <c r="P10" s="60"/>
      <c r="Q10" s="61">
        <f t="shared" si="1"/>
        <v>21559.41</v>
      </c>
      <c r="R10" s="20"/>
      <c r="S10" s="21"/>
    </row>
    <row r="11" ht="20.25" customHeight="1" spans="1:25">
      <c r="A11" s="7"/>
      <c r="B11" s="15">
        <v>2</v>
      </c>
      <c r="C11" s="15">
        <v>11</v>
      </c>
      <c r="D11" s="15"/>
      <c r="E11" s="16" t="s">
        <v>3388</v>
      </c>
      <c r="F11" s="43" t="s">
        <v>3608</v>
      </c>
      <c r="G11" s="23">
        <v>7194</v>
      </c>
      <c r="H11" s="23">
        <v>2798.4</v>
      </c>
      <c r="I11" s="23"/>
      <c r="J11" s="23"/>
      <c r="K11" s="23"/>
      <c r="L11" s="23"/>
      <c r="M11" s="23"/>
      <c r="N11" s="23"/>
      <c r="O11" s="60">
        <f t="shared" si="0"/>
        <v>9992.4</v>
      </c>
      <c r="P11" s="60"/>
      <c r="Q11" s="61">
        <f t="shared" si="1"/>
        <v>31551.81</v>
      </c>
      <c r="R11" s="20"/>
      <c r="S11" s="21"/>
    </row>
    <row r="12" ht="20.25" customHeight="1" spans="1:25">
      <c r="A12" s="7"/>
      <c r="B12" s="15">
        <v>2</v>
      </c>
      <c r="C12" s="15">
        <v>11</v>
      </c>
      <c r="D12" s="15"/>
      <c r="E12" s="16" t="s">
        <v>3383</v>
      </c>
      <c r="F12" s="43" t="s">
        <v>3609</v>
      </c>
      <c r="G12" s="18">
        <v>8960</v>
      </c>
      <c r="H12" s="18">
        <v>1120</v>
      </c>
      <c r="I12" s="17"/>
      <c r="J12" s="18"/>
      <c r="K12" s="23"/>
      <c r="L12" s="23"/>
      <c r="M12" s="23"/>
      <c r="N12" s="23"/>
      <c r="O12" s="60">
        <f t="shared" si="0"/>
        <v>10080</v>
      </c>
      <c r="P12" s="60"/>
      <c r="Q12" s="61">
        <f t="shared" si="1"/>
        <v>41631.81</v>
      </c>
      <c r="R12" s="20"/>
      <c r="S12" s="21"/>
    </row>
    <row r="13" ht="20.25" customHeight="1" spans="1:25">
      <c r="A13" s="7"/>
      <c r="B13" s="15">
        <v>2</v>
      </c>
      <c r="C13" s="15">
        <v>13</v>
      </c>
      <c r="D13" s="15" t="s">
        <v>69</v>
      </c>
      <c r="E13" s="16" t="s">
        <v>2638</v>
      </c>
      <c r="F13" s="43" t="s">
        <v>3366</v>
      </c>
      <c r="G13" s="23"/>
      <c r="H13" s="23"/>
      <c r="I13" s="23"/>
      <c r="J13" s="23"/>
      <c r="K13" s="23"/>
      <c r="L13" s="23"/>
      <c r="M13" s="23"/>
      <c r="N13" s="23"/>
      <c r="O13" s="60">
        <f t="shared" si="0"/>
        <v>0</v>
      </c>
      <c r="P13" s="60">
        <v>41631.81</v>
      </c>
      <c r="Q13" s="61">
        <f t="shared" si="1"/>
        <v>0</v>
      </c>
      <c r="R13" s="20"/>
      <c r="S13" s="21"/>
    </row>
    <row r="14" ht="20.25" customHeight="1" spans="1:25">
      <c r="A14" s="7"/>
      <c r="B14" s="15">
        <v>2</v>
      </c>
      <c r="C14" s="15">
        <v>2</v>
      </c>
      <c r="D14" s="15"/>
      <c r="E14" s="16" t="s">
        <v>3407</v>
      </c>
      <c r="F14" s="43" t="s">
        <v>3610</v>
      </c>
      <c r="G14" s="63"/>
      <c r="H14" s="63"/>
      <c r="I14" s="63"/>
      <c r="J14" s="63"/>
      <c r="K14" s="63">
        <v>300</v>
      </c>
      <c r="L14" s="63"/>
      <c r="M14" s="63"/>
      <c r="N14" s="63"/>
      <c r="O14" s="64">
        <f t="shared" si="0"/>
        <v>300</v>
      </c>
      <c r="P14" s="64"/>
      <c r="Q14" s="61">
        <f t="shared" si="1"/>
        <v>300</v>
      </c>
      <c r="R14" s="20"/>
      <c r="S14" s="21"/>
    </row>
    <row r="15" ht="33.75" spans="1:25">
      <c r="A15" s="7"/>
      <c r="B15" s="15">
        <v>2</v>
      </c>
      <c r="C15" s="15">
        <v>12</v>
      </c>
      <c r="D15" s="15"/>
      <c r="E15" s="16" t="s">
        <v>3611</v>
      </c>
      <c r="F15" s="43" t="s">
        <v>3612</v>
      </c>
      <c r="G15" s="35"/>
      <c r="H15" s="35"/>
      <c r="I15" s="36"/>
      <c r="J15" s="35"/>
      <c r="K15" s="34"/>
      <c r="L15" s="34"/>
      <c r="M15" s="34"/>
      <c r="N15" s="34"/>
      <c r="O15" s="64">
        <f t="shared" si="0"/>
        <v>0</v>
      </c>
      <c r="P15" s="65">
        <v>948.66</v>
      </c>
      <c r="Q15" s="61">
        <f t="shared" si="1"/>
        <v>-648.66</v>
      </c>
      <c r="R15" s="20"/>
      <c r="S15" s="21"/>
    </row>
    <row r="16" ht="20.25" customHeight="1" spans="1:25">
      <c r="A16" s="7"/>
      <c r="B16" s="15">
        <v>2</v>
      </c>
      <c r="C16" s="15">
        <v>14</v>
      </c>
      <c r="D16" s="15"/>
      <c r="E16" s="16" t="s">
        <v>3521</v>
      </c>
      <c r="F16" s="43" t="s">
        <v>3613</v>
      </c>
      <c r="G16" s="18">
        <v>5069.4</v>
      </c>
      <c r="H16" s="18">
        <v>930.6</v>
      </c>
      <c r="I16" s="17"/>
      <c r="J16" s="18"/>
      <c r="K16" s="23"/>
      <c r="L16" s="23"/>
      <c r="M16" s="23"/>
      <c r="N16" s="23"/>
      <c r="O16" s="64">
        <v>6000</v>
      </c>
      <c r="P16" s="64"/>
      <c r="Q16" s="61">
        <f t="shared" si="1"/>
        <v>5351.34</v>
      </c>
      <c r="R16" s="20"/>
      <c r="S16" s="21"/>
    </row>
    <row r="17" ht="20.25" customHeight="1" spans="1:19">
      <c r="A17" s="7"/>
      <c r="B17" s="15">
        <v>2</v>
      </c>
      <c r="C17" s="15">
        <v>17</v>
      </c>
      <c r="D17" s="15" t="s">
        <v>103</v>
      </c>
      <c r="E17" s="16" t="s">
        <v>164</v>
      </c>
      <c r="F17" s="43" t="s">
        <v>3614</v>
      </c>
      <c r="G17" s="18"/>
      <c r="H17" s="18"/>
      <c r="I17" s="17"/>
      <c r="J17" s="18"/>
      <c r="K17" s="23"/>
      <c r="L17" s="23"/>
      <c r="M17" s="23"/>
      <c r="N17" s="23"/>
      <c r="O17" s="64">
        <f>SUM(G17:N17)-N17</f>
        <v>0</v>
      </c>
      <c r="P17" s="64">
        <v>287.7</v>
      </c>
      <c r="Q17" s="61">
        <f t="shared" si="1"/>
        <v>5063.64</v>
      </c>
      <c r="R17" s="20"/>
      <c r="S17" s="21"/>
    </row>
    <row r="18" ht="20.25" customHeight="1" spans="1:19">
      <c r="A18" s="7"/>
      <c r="B18" s="15">
        <v>2</v>
      </c>
      <c r="C18" s="15">
        <v>17</v>
      </c>
      <c r="D18" s="15" t="s">
        <v>103</v>
      </c>
      <c r="E18" s="16" t="s">
        <v>164</v>
      </c>
      <c r="F18" s="43" t="s">
        <v>3614</v>
      </c>
      <c r="G18" s="23"/>
      <c r="H18" s="23"/>
      <c r="I18" s="23"/>
      <c r="J18" s="23"/>
      <c r="K18" s="23"/>
      <c r="L18" s="23"/>
      <c r="M18" s="23"/>
      <c r="N18" s="18"/>
      <c r="O18" s="64">
        <f>SUM(G18:N18)-N18</f>
        <v>0</v>
      </c>
      <c r="P18" s="64">
        <v>125</v>
      </c>
      <c r="Q18" s="61">
        <f t="shared" si="1"/>
        <v>4938.64</v>
      </c>
      <c r="R18" s="20"/>
      <c r="S18" s="21"/>
    </row>
    <row r="19" ht="20.25" customHeight="1" spans="1:19">
      <c r="A19" s="7"/>
      <c r="B19" s="15">
        <v>2</v>
      </c>
      <c r="C19" s="15">
        <v>26</v>
      </c>
      <c r="D19" s="15" t="s">
        <v>124</v>
      </c>
      <c r="E19" s="16" t="s">
        <v>3615</v>
      </c>
      <c r="F19" s="43" t="s">
        <v>3375</v>
      </c>
      <c r="G19" s="18"/>
      <c r="H19" s="18"/>
      <c r="I19" s="17"/>
      <c r="J19" s="18"/>
      <c r="K19" s="18"/>
      <c r="L19" s="18"/>
      <c r="M19" s="18"/>
      <c r="N19" s="18"/>
      <c r="O19" s="64">
        <f>SUM(G19:N19)-N19</f>
        <v>0</v>
      </c>
      <c r="P19" s="64">
        <v>8180.42</v>
      </c>
      <c r="Q19" s="61">
        <f t="shared" si="1"/>
        <v>-3241.78</v>
      </c>
      <c r="R19" s="20"/>
      <c r="S19" s="21"/>
    </row>
    <row r="20" ht="20.25" customHeight="1" spans="1:19">
      <c r="A20" s="7"/>
      <c r="B20" s="15">
        <v>2</v>
      </c>
      <c r="C20" s="15">
        <v>27</v>
      </c>
      <c r="D20" s="15"/>
      <c r="E20" s="16" t="s">
        <v>3443</v>
      </c>
      <c r="F20" s="43" t="s">
        <v>3616</v>
      </c>
      <c r="G20" s="23"/>
      <c r="H20" s="23">
        <v>13560</v>
      </c>
      <c r="I20" s="23"/>
      <c r="J20" s="23"/>
      <c r="K20" s="23"/>
      <c r="L20" s="23"/>
      <c r="M20" s="23"/>
      <c r="N20" s="18"/>
      <c r="O20" s="64">
        <f>SUM(G20:N20)-N20</f>
        <v>13560</v>
      </c>
      <c r="P20" s="64"/>
      <c r="Q20" s="61">
        <f t="shared" si="1"/>
        <v>10318.22</v>
      </c>
      <c r="R20" s="20"/>
      <c r="S20" s="21"/>
    </row>
    <row r="21" ht="20.25" customHeight="1" spans="1:19">
      <c r="A21" s="7"/>
      <c r="B21" s="15">
        <v>2</v>
      </c>
      <c r="C21" s="15">
        <v>28</v>
      </c>
      <c r="D21" s="15"/>
      <c r="E21" s="16" t="s">
        <v>3443</v>
      </c>
      <c r="F21" s="43" t="s">
        <v>3617</v>
      </c>
      <c r="G21" s="18"/>
      <c r="H21" s="18">
        <v>125517</v>
      </c>
      <c r="I21" s="17"/>
      <c r="J21" s="18"/>
      <c r="K21" s="18"/>
      <c r="L21" s="18"/>
      <c r="M21" s="18"/>
      <c r="N21" s="18"/>
      <c r="O21" s="64">
        <f>SUM(G21:N21)-N21</f>
        <v>125517</v>
      </c>
      <c r="P21" s="64"/>
      <c r="Q21" s="61">
        <f t="shared" si="1"/>
        <v>135835.22</v>
      </c>
      <c r="R21" s="66"/>
      <c r="S21" s="67"/>
    </row>
    <row r="22" ht="20" customHeight="1" spans="1:19">
      <c r="B22" s="68"/>
      <c r="C22" s="68"/>
      <c r="D22" s="68"/>
      <c r="E22" s="69"/>
      <c r="F22" s="70" t="s">
        <v>22</v>
      </c>
      <c r="G22" s="71">
        <f t="shared" ref="G22:P22" si="2">SUM(G6:G21)</f>
        <v>38734.23</v>
      </c>
      <c r="H22" s="71">
        <f t="shared" si="2"/>
        <v>147411.26</v>
      </c>
      <c r="I22" s="71">
        <f t="shared" si="2"/>
        <v>63.32</v>
      </c>
      <c r="J22" s="71">
        <f t="shared" si="2"/>
        <v>0</v>
      </c>
      <c r="K22" s="71">
        <f t="shared" si="2"/>
        <v>300</v>
      </c>
      <c r="L22" s="71">
        <f t="shared" si="2"/>
        <v>500</v>
      </c>
      <c r="M22" s="71">
        <f t="shared" si="2"/>
        <v>0</v>
      </c>
      <c r="N22" s="71">
        <f t="shared" si="2"/>
        <v>0</v>
      </c>
      <c r="O22" s="71">
        <f t="shared" si="2"/>
        <v>187008.81</v>
      </c>
      <c r="P22" s="71">
        <f t="shared" si="2"/>
        <v>51173.59</v>
      </c>
      <c r="Q22" s="72">
        <f>O22-P22</f>
        <v>135835.22</v>
      </c>
      <c r="R22" s="72"/>
      <c r="S22" s="71"/>
    </row>
    <row r="23" ht="20.25" customHeight="1" spans="1:19">
      <c r="A23" s="7"/>
      <c r="B23" s="15">
        <v>3</v>
      </c>
      <c r="C23" s="15">
        <v>2</v>
      </c>
      <c r="D23" s="15"/>
      <c r="E23" s="16" t="s">
        <v>3381</v>
      </c>
      <c r="F23" s="43" t="s">
        <v>3618</v>
      </c>
      <c r="G23" s="18"/>
      <c r="H23" s="18"/>
      <c r="I23" s="18">
        <v>1000</v>
      </c>
      <c r="J23" s="18"/>
      <c r="K23" s="18"/>
      <c r="L23" s="18"/>
      <c r="M23" s="18"/>
      <c r="N23" s="18"/>
      <c r="O23" s="18">
        <f>SUM(G23:N23)-N23</f>
        <v>1000</v>
      </c>
      <c r="P23" s="18"/>
      <c r="Q23" s="18">
        <f t="shared" ref="Q23:Q32" si="3">Q22+O23-P23</f>
        <v>136835.22</v>
      </c>
      <c r="R23" s="20"/>
      <c r="S23" s="21"/>
    </row>
    <row r="24" ht="20.25" customHeight="1" spans="1:19">
      <c r="A24" s="7"/>
      <c r="B24" s="15">
        <v>3</v>
      </c>
      <c r="C24" s="15">
        <v>5</v>
      </c>
      <c r="D24" s="15" t="s">
        <v>69</v>
      </c>
      <c r="E24" s="16" t="s">
        <v>2638</v>
      </c>
      <c r="F24" s="43" t="s">
        <v>3366</v>
      </c>
      <c r="G24" s="18"/>
      <c r="H24" s="18"/>
      <c r="I24" s="18"/>
      <c r="J24" s="18"/>
      <c r="K24" s="18"/>
      <c r="L24" s="18"/>
      <c r="M24" s="18"/>
      <c r="N24" s="18"/>
      <c r="O24" s="18">
        <f>SUM(G24:N24)-N24</f>
        <v>0</v>
      </c>
      <c r="P24" s="17">
        <v>125517</v>
      </c>
      <c r="Q24" s="18">
        <f t="shared" si="3"/>
        <v>11318.22</v>
      </c>
      <c r="R24" s="20"/>
      <c r="S24" s="21"/>
    </row>
    <row r="25" ht="33.75" spans="1:19">
      <c r="A25" s="7"/>
      <c r="B25" s="15">
        <v>3</v>
      </c>
      <c r="C25" s="15">
        <v>10</v>
      </c>
      <c r="D25" s="15" t="s">
        <v>119</v>
      </c>
      <c r="E25" s="16" t="s">
        <v>3611</v>
      </c>
      <c r="F25" s="43" t="s">
        <v>3619</v>
      </c>
      <c r="G25" s="18"/>
      <c r="H25" s="18"/>
      <c r="I25" s="18"/>
      <c r="J25" s="18"/>
      <c r="K25" s="18"/>
      <c r="L25" s="18"/>
      <c r="M25" s="18"/>
      <c r="N25" s="18"/>
      <c r="O25" s="18"/>
      <c r="P25" s="17">
        <v>2275.18</v>
      </c>
      <c r="Q25" s="18">
        <f t="shared" si="3"/>
        <v>9043.04</v>
      </c>
      <c r="R25" s="20"/>
      <c r="S25" s="21"/>
    </row>
    <row r="26" ht="20.25" customHeight="1" spans="1:19">
      <c r="A26" s="7"/>
      <c r="B26" s="15">
        <v>3</v>
      </c>
      <c r="C26" s="15">
        <v>10</v>
      </c>
      <c r="D26" s="15"/>
      <c r="E26" s="16" t="s">
        <v>3407</v>
      </c>
      <c r="F26" s="43" t="s">
        <v>3620</v>
      </c>
      <c r="G26" s="18"/>
      <c r="H26" s="18"/>
      <c r="I26" s="18"/>
      <c r="J26" s="18"/>
      <c r="K26" s="18">
        <v>300</v>
      </c>
      <c r="L26" s="18"/>
      <c r="M26" s="18"/>
      <c r="N26" s="18"/>
      <c r="O26" s="18">
        <f>SUM(G26:N26)-N26</f>
        <v>300</v>
      </c>
      <c r="P26" s="18"/>
      <c r="Q26" s="18">
        <f t="shared" si="3"/>
        <v>9343.04</v>
      </c>
      <c r="R26" s="20"/>
      <c r="S26" s="21"/>
    </row>
    <row r="27" ht="20.25" customHeight="1" spans="1:19">
      <c r="A27" s="7"/>
      <c r="B27" s="15">
        <v>3</v>
      </c>
      <c r="C27" s="15">
        <v>16</v>
      </c>
      <c r="D27" s="15" t="s">
        <v>69</v>
      </c>
      <c r="E27" s="16" t="s">
        <v>2638</v>
      </c>
      <c r="F27" s="43" t="s">
        <v>3621</v>
      </c>
      <c r="G27" s="18"/>
      <c r="H27" s="18"/>
      <c r="I27" s="18"/>
      <c r="J27" s="18"/>
      <c r="K27" s="18"/>
      <c r="L27" s="18"/>
      <c r="M27" s="18"/>
      <c r="N27" s="18"/>
      <c r="O27" s="18">
        <v>24000</v>
      </c>
      <c r="P27" s="18"/>
      <c r="Q27" s="18">
        <f t="shared" si="3"/>
        <v>33343.04</v>
      </c>
      <c r="R27" s="20"/>
      <c r="S27" s="21"/>
    </row>
    <row r="28" ht="20.25" customHeight="1" spans="1:19">
      <c r="A28" s="7"/>
      <c r="B28" s="15">
        <v>3</v>
      </c>
      <c r="C28" s="15">
        <v>16</v>
      </c>
      <c r="D28" s="15" t="s">
        <v>103</v>
      </c>
      <c r="E28" s="16" t="s">
        <v>164</v>
      </c>
      <c r="F28" s="43" t="s">
        <v>3614</v>
      </c>
      <c r="G28" s="18"/>
      <c r="H28" s="18"/>
      <c r="I28" s="18"/>
      <c r="J28" s="18"/>
      <c r="K28" s="18"/>
      <c r="L28" s="18"/>
      <c r="M28" s="18"/>
      <c r="N28" s="18"/>
      <c r="O28" s="18">
        <f>SUM(G28:N28)-N28</f>
        <v>0</v>
      </c>
      <c r="P28" s="17">
        <v>125</v>
      </c>
      <c r="Q28" s="18">
        <f t="shared" si="3"/>
        <v>33218.04</v>
      </c>
      <c r="R28" s="20"/>
      <c r="S28" s="21"/>
    </row>
    <row r="29" ht="20.25" customHeight="1" spans="1:19">
      <c r="A29" s="7"/>
      <c r="B29" s="15">
        <v>3</v>
      </c>
      <c r="C29" s="15">
        <v>16</v>
      </c>
      <c r="D29" s="15" t="s">
        <v>103</v>
      </c>
      <c r="E29" s="16" t="s">
        <v>164</v>
      </c>
      <c r="F29" s="43" t="s">
        <v>3614</v>
      </c>
      <c r="G29" s="18"/>
      <c r="H29" s="18"/>
      <c r="I29" s="18"/>
      <c r="J29" s="18"/>
      <c r="K29" s="18"/>
      <c r="L29" s="18"/>
      <c r="M29" s="18"/>
      <c r="N29" s="18"/>
      <c r="O29" s="18">
        <f>SUM(G29:N29)-N29</f>
        <v>0</v>
      </c>
      <c r="P29" s="17">
        <v>293.06</v>
      </c>
      <c r="Q29" s="18">
        <f t="shared" si="3"/>
        <v>32924.98</v>
      </c>
      <c r="R29" s="20"/>
      <c r="S29" s="21"/>
    </row>
    <row r="30" ht="20.25" customHeight="1" spans="1:19">
      <c r="A30" s="7"/>
      <c r="B30" s="15">
        <v>3</v>
      </c>
      <c r="C30" s="15">
        <v>16</v>
      </c>
      <c r="D30" s="15" t="s">
        <v>92</v>
      </c>
      <c r="E30" s="16" t="s">
        <v>271</v>
      </c>
      <c r="F30" s="43" t="s">
        <v>3622</v>
      </c>
      <c r="G30" s="18"/>
      <c r="H30" s="18"/>
      <c r="I30" s="18"/>
      <c r="J30" s="18"/>
      <c r="K30" s="18"/>
      <c r="L30" s="18"/>
      <c r="M30" s="18"/>
      <c r="N30" s="18"/>
      <c r="O30" s="18">
        <f>SUM(G30:N30)-N30</f>
        <v>0</v>
      </c>
      <c r="P30" s="17">
        <v>34719.06</v>
      </c>
      <c r="Q30" s="18">
        <f t="shared" si="3"/>
        <v>-1794.07999999999</v>
      </c>
      <c r="R30" s="20"/>
      <c r="S30" s="21"/>
    </row>
    <row r="31" ht="20.25" customHeight="1" spans="1:19">
      <c r="A31" s="7"/>
      <c r="B31" s="15">
        <v>3</v>
      </c>
      <c r="C31" s="15">
        <v>16</v>
      </c>
      <c r="D31" s="15"/>
      <c r="E31" s="16" t="s">
        <v>3623</v>
      </c>
      <c r="F31" s="43" t="s">
        <v>3624</v>
      </c>
      <c r="G31" s="18"/>
      <c r="H31" s="18"/>
      <c r="I31" s="18"/>
      <c r="J31" s="18">
        <v>17935.2</v>
      </c>
      <c r="K31" s="18"/>
      <c r="L31" s="18"/>
      <c r="M31" s="18"/>
      <c r="N31" s="18"/>
      <c r="O31" s="18">
        <v>17935.2</v>
      </c>
      <c r="P31" s="18"/>
      <c r="Q31" s="18">
        <f t="shared" si="3"/>
        <v>16141.12</v>
      </c>
      <c r="R31" s="20"/>
      <c r="S31" s="21"/>
    </row>
    <row r="32" ht="20.25" customHeight="1" spans="1:19">
      <c r="A32" s="7"/>
      <c r="B32" s="15">
        <v>3</v>
      </c>
      <c r="C32" s="15">
        <v>16</v>
      </c>
      <c r="D32" s="15" t="s">
        <v>106</v>
      </c>
      <c r="E32" s="16" t="s">
        <v>3625</v>
      </c>
      <c r="F32" s="43" t="s">
        <v>3626</v>
      </c>
      <c r="G32" s="18"/>
      <c r="H32" s="18"/>
      <c r="I32" s="18"/>
      <c r="J32" s="18"/>
      <c r="K32" s="18"/>
      <c r="L32" s="18"/>
      <c r="M32" s="18"/>
      <c r="N32" s="18"/>
      <c r="O32" s="18">
        <f>SUM(G32:N32)-N32</f>
        <v>0</v>
      </c>
      <c r="P32" s="17">
        <v>17935.2</v>
      </c>
      <c r="Q32" s="18">
        <f t="shared" si="3"/>
        <v>-1794.07999999999</v>
      </c>
      <c r="R32" s="20"/>
      <c r="S32" s="21"/>
    </row>
    <row r="33" ht="20" customHeight="1" spans="1:19">
      <c r="B33" s="68"/>
      <c r="C33" s="68"/>
      <c r="D33" s="68"/>
      <c r="E33" s="69"/>
      <c r="F33" s="70" t="s">
        <v>22</v>
      </c>
      <c r="G33" s="71">
        <f t="shared" ref="G33:P33" si="4">SUM(G23:G32)</f>
        <v>0</v>
      </c>
      <c r="H33" s="71">
        <f t="shared" si="4"/>
        <v>0</v>
      </c>
      <c r="I33" s="71">
        <f t="shared" si="4"/>
        <v>1000</v>
      </c>
      <c r="J33" s="71">
        <f t="shared" si="4"/>
        <v>17935.2</v>
      </c>
      <c r="K33" s="71">
        <f t="shared" si="4"/>
        <v>300</v>
      </c>
      <c r="L33" s="71">
        <f t="shared" si="4"/>
        <v>0</v>
      </c>
      <c r="M33" s="71">
        <f t="shared" si="4"/>
        <v>0</v>
      </c>
      <c r="N33" s="71">
        <f t="shared" si="4"/>
        <v>0</v>
      </c>
      <c r="O33" s="71">
        <f t="shared" si="4"/>
        <v>43235.2</v>
      </c>
      <c r="P33" s="71">
        <f t="shared" si="4"/>
        <v>180864.5</v>
      </c>
      <c r="Q33" s="72">
        <f>Q22+O33-P33</f>
        <v>-1794.08000000002</v>
      </c>
      <c r="R33" s="72"/>
      <c r="S33" s="71"/>
    </row>
    <row r="34" s="1" customFormat="1" ht="20.25" customHeight="1" spans="1:19">
      <c r="A34" s="7"/>
      <c r="B34" s="15">
        <v>4</v>
      </c>
      <c r="C34" s="15">
        <v>14</v>
      </c>
      <c r="D34" s="15" t="s">
        <v>103</v>
      </c>
      <c r="E34" s="16" t="s">
        <v>164</v>
      </c>
      <c r="F34" s="43" t="s">
        <v>3614</v>
      </c>
      <c r="G34" s="18"/>
      <c r="H34" s="18"/>
      <c r="I34" s="17"/>
      <c r="J34" s="18"/>
      <c r="K34" s="18"/>
      <c r="L34" s="18"/>
      <c r="M34" s="18"/>
      <c r="N34" s="18"/>
      <c r="O34" s="23">
        <f>SUM(G34:N34)-N34</f>
        <v>0</v>
      </c>
      <c r="P34" s="23">
        <v>287</v>
      </c>
      <c r="Q34" s="18">
        <f t="shared" ref="Q34:Q40" si="5">Q33+O34-P34</f>
        <v>-2081.08000000002</v>
      </c>
      <c r="R34" s="20"/>
      <c r="S34" s="21"/>
    </row>
    <row r="35" ht="20" customHeight="1" spans="1:19">
      <c r="B35" s="15">
        <v>4</v>
      </c>
      <c r="C35" s="15">
        <v>14</v>
      </c>
      <c r="D35" s="15" t="s">
        <v>103</v>
      </c>
      <c r="E35" s="16" t="s">
        <v>164</v>
      </c>
      <c r="F35" s="43" t="s">
        <v>3614</v>
      </c>
      <c r="G35" s="23"/>
      <c r="H35" s="23"/>
      <c r="I35" s="23"/>
      <c r="J35" s="23"/>
      <c r="K35" s="23"/>
      <c r="L35" s="23"/>
      <c r="M35" s="23"/>
      <c r="N35" s="18"/>
      <c r="O35" s="23">
        <f>SUM(G35:N35)-N35</f>
        <v>0</v>
      </c>
      <c r="P35" s="23">
        <v>125</v>
      </c>
      <c r="Q35" s="18">
        <f t="shared" si="5"/>
        <v>-2206.08000000002</v>
      </c>
      <c r="R35" s="58"/>
      <c r="S35" s="56"/>
    </row>
    <row r="36" ht="20" customHeight="1" spans="1:19">
      <c r="B36" s="15">
        <v>4</v>
      </c>
      <c r="C36" s="15">
        <v>15</v>
      </c>
      <c r="D36" s="15" t="s">
        <v>69</v>
      </c>
      <c r="E36" s="16" t="s">
        <v>335</v>
      </c>
      <c r="F36" s="43" t="s">
        <v>3627</v>
      </c>
      <c r="G36" s="18"/>
      <c r="H36" s="18"/>
      <c r="I36" s="17"/>
      <c r="J36" s="18"/>
      <c r="K36" s="18"/>
      <c r="L36" s="18"/>
      <c r="M36" s="18"/>
      <c r="N36" s="18"/>
      <c r="O36" s="23">
        <v>25800</v>
      </c>
      <c r="P36" s="23"/>
      <c r="Q36" s="18">
        <f t="shared" si="5"/>
        <v>23593.92</v>
      </c>
      <c r="R36" s="58"/>
      <c r="S36" s="56"/>
    </row>
    <row r="37" ht="20" customHeight="1" spans="1:19">
      <c r="B37" s="15">
        <v>4</v>
      </c>
      <c r="C37" s="15">
        <v>15</v>
      </c>
      <c r="D37" s="15" t="s">
        <v>92</v>
      </c>
      <c r="E37" s="16" t="s">
        <v>271</v>
      </c>
      <c r="F37" s="43" t="s">
        <v>2848</v>
      </c>
      <c r="G37" s="18"/>
      <c r="H37" s="18"/>
      <c r="I37" s="17"/>
      <c r="J37" s="18"/>
      <c r="K37" s="18"/>
      <c r="L37" s="18"/>
      <c r="M37" s="18"/>
      <c r="N37" s="18"/>
      <c r="O37" s="19"/>
      <c r="P37" s="23">
        <v>25800</v>
      </c>
      <c r="Q37" s="18">
        <f t="shared" si="5"/>
        <v>-2206.08000000002</v>
      </c>
      <c r="R37" s="58"/>
      <c r="S37" s="56"/>
    </row>
    <row r="38" ht="20" customHeight="1" spans="1:19">
      <c r="B38" s="15">
        <v>4</v>
      </c>
      <c r="C38" s="15">
        <v>22</v>
      </c>
      <c r="D38" s="15"/>
      <c r="E38" s="16" t="s">
        <v>3580</v>
      </c>
      <c r="F38" s="43" t="s">
        <v>3628</v>
      </c>
      <c r="G38" s="18">
        <v>31332</v>
      </c>
      <c r="H38" s="18"/>
      <c r="I38" s="17"/>
      <c r="J38" s="18"/>
      <c r="K38" s="18"/>
      <c r="L38" s="18"/>
      <c r="M38" s="18"/>
      <c r="N38" s="18"/>
      <c r="O38" s="23">
        <f>SUM(G38:N38)-N38</f>
        <v>31332</v>
      </c>
      <c r="P38" s="23"/>
      <c r="Q38" s="18">
        <f t="shared" si="5"/>
        <v>29125.92</v>
      </c>
      <c r="R38" s="58"/>
      <c r="S38" s="56"/>
    </row>
    <row r="39" ht="20" customHeight="1" spans="1:19">
      <c r="B39" s="15">
        <v>4</v>
      </c>
      <c r="C39" s="15">
        <v>27</v>
      </c>
      <c r="D39" s="15" t="s">
        <v>69</v>
      </c>
      <c r="E39" s="16" t="s">
        <v>2638</v>
      </c>
      <c r="F39" s="43" t="s">
        <v>3366</v>
      </c>
      <c r="G39" s="23"/>
      <c r="H39" s="23"/>
      <c r="I39" s="23"/>
      <c r="J39" s="23"/>
      <c r="K39" s="23"/>
      <c r="L39" s="23"/>
      <c r="M39" s="23"/>
      <c r="N39" s="18"/>
      <c r="O39" s="23">
        <f>SUM(G39:N39)-N39</f>
        <v>0</v>
      </c>
      <c r="P39" s="23">
        <v>31332</v>
      </c>
      <c r="Q39" s="18">
        <f t="shared" si="5"/>
        <v>-2206.08000000002</v>
      </c>
      <c r="R39" s="58"/>
      <c r="S39" s="56"/>
    </row>
    <row r="40" ht="20" customHeight="1" spans="1:19">
      <c r="B40" s="15">
        <v>4</v>
      </c>
      <c r="C40" s="15">
        <v>30</v>
      </c>
      <c r="D40" s="15"/>
      <c r="E40" s="16" t="s">
        <v>3580</v>
      </c>
      <c r="F40" s="43" t="s">
        <v>3629</v>
      </c>
      <c r="G40" s="18"/>
      <c r="H40" s="18">
        <v>2609.52</v>
      </c>
      <c r="I40" s="23"/>
      <c r="J40" s="23"/>
      <c r="K40" s="23"/>
      <c r="L40" s="23"/>
      <c r="M40" s="23"/>
      <c r="N40" s="18"/>
      <c r="O40" s="23">
        <f>SUM(G40:N40)-N40</f>
        <v>2609.52</v>
      </c>
      <c r="P40" s="23"/>
      <c r="Q40" s="18">
        <f t="shared" si="5"/>
        <v>403.439999999984</v>
      </c>
      <c r="R40" s="58"/>
      <c r="S40" s="56"/>
    </row>
    <row r="41" ht="20" customHeight="1" spans="1:19">
      <c r="B41" s="68"/>
      <c r="C41" s="68"/>
      <c r="D41" s="68"/>
      <c r="E41" s="69"/>
      <c r="F41" s="70" t="s">
        <v>22</v>
      </c>
      <c r="G41" s="71">
        <f t="shared" ref="G41:P41" si="6">SUM(G34:G40)</f>
        <v>31332</v>
      </c>
      <c r="H41" s="71">
        <f t="shared" si="6"/>
        <v>2609.52</v>
      </c>
      <c r="I41" s="71">
        <f t="shared" si="6"/>
        <v>0</v>
      </c>
      <c r="J41" s="71">
        <f t="shared" si="6"/>
        <v>0</v>
      </c>
      <c r="K41" s="71">
        <f t="shared" si="6"/>
        <v>0</v>
      </c>
      <c r="L41" s="71">
        <f t="shared" si="6"/>
        <v>0</v>
      </c>
      <c r="M41" s="71">
        <f t="shared" si="6"/>
        <v>0</v>
      </c>
      <c r="N41" s="71">
        <f t="shared" si="6"/>
        <v>0</v>
      </c>
      <c r="O41" s="71">
        <f t="shared" si="6"/>
        <v>59741.52</v>
      </c>
      <c r="P41" s="71">
        <f t="shared" si="6"/>
        <v>57544</v>
      </c>
      <c r="Q41" s="73">
        <f>Q30+O41-P41</f>
        <v>403.440000000002</v>
      </c>
      <c r="R41" s="72"/>
      <c r="S41" s="71"/>
    </row>
    <row r="42" ht="20" customHeight="1" spans="1:19">
      <c r="B42" s="15">
        <v>5</v>
      </c>
      <c r="C42" s="15">
        <v>15</v>
      </c>
      <c r="D42" s="15" t="s">
        <v>69</v>
      </c>
      <c r="E42" s="16" t="s">
        <v>335</v>
      </c>
      <c r="F42" s="43" t="s">
        <v>3627</v>
      </c>
      <c r="G42" s="18"/>
      <c r="H42" s="18"/>
      <c r="I42" s="17"/>
      <c r="J42" s="18"/>
      <c r="K42" s="18"/>
      <c r="L42" s="18"/>
      <c r="M42" s="18"/>
      <c r="N42" s="18"/>
      <c r="O42" s="17">
        <v>20000</v>
      </c>
      <c r="P42" s="18"/>
      <c r="Q42" s="18">
        <f t="shared" ref="Q42:Q47" si="7">Q41+O42-P42</f>
        <v>20403.44</v>
      </c>
      <c r="R42" s="58"/>
      <c r="S42" s="56"/>
    </row>
    <row r="43" ht="20" customHeight="1" spans="1:19">
      <c r="B43" s="15">
        <v>5</v>
      </c>
      <c r="C43" s="15">
        <v>15</v>
      </c>
      <c r="D43" s="15" t="s">
        <v>92</v>
      </c>
      <c r="E43" s="16" t="s">
        <v>271</v>
      </c>
      <c r="F43" s="43" t="s">
        <v>2947</v>
      </c>
      <c r="G43" s="23"/>
      <c r="H43" s="23"/>
      <c r="I43" s="23"/>
      <c r="J43" s="23"/>
      <c r="K43" s="23"/>
      <c r="L43" s="23"/>
      <c r="M43" s="23"/>
      <c r="N43" s="18"/>
      <c r="O43" s="23">
        <f>SUM(G43:N43)-N43</f>
        <v>0</v>
      </c>
      <c r="P43" s="17">
        <v>22070.73</v>
      </c>
      <c r="Q43" s="18">
        <f t="shared" si="7"/>
        <v>-1667.29</v>
      </c>
      <c r="R43" s="58"/>
      <c r="S43" s="56"/>
    </row>
    <row r="44" ht="20" customHeight="1" spans="1:19">
      <c r="B44" s="15">
        <v>5</v>
      </c>
      <c r="C44" s="15">
        <v>15</v>
      </c>
      <c r="D44" s="15" t="s">
        <v>103</v>
      </c>
      <c r="E44" s="16" t="s">
        <v>164</v>
      </c>
      <c r="F44" s="43" t="s">
        <v>3614</v>
      </c>
      <c r="G44" s="23"/>
      <c r="H44" s="23"/>
      <c r="I44" s="23"/>
      <c r="J44" s="23"/>
      <c r="K44" s="23"/>
      <c r="L44" s="23"/>
      <c r="M44" s="23"/>
      <c r="N44" s="18"/>
      <c r="O44" s="23">
        <v>0</v>
      </c>
      <c r="P44" s="17">
        <v>290</v>
      </c>
      <c r="Q44" s="18">
        <f t="shared" si="7"/>
        <v>-1957.29</v>
      </c>
      <c r="R44" s="58"/>
      <c r="S44" s="56"/>
    </row>
    <row r="45" ht="20" customHeight="1" spans="1:19">
      <c r="B45" s="15">
        <v>5</v>
      </c>
      <c r="C45" s="15">
        <v>15</v>
      </c>
      <c r="D45" s="15" t="s">
        <v>103</v>
      </c>
      <c r="E45" s="16" t="s">
        <v>164</v>
      </c>
      <c r="F45" s="43" t="s">
        <v>3614</v>
      </c>
      <c r="G45" s="23"/>
      <c r="H45" s="23"/>
      <c r="I45" s="23"/>
      <c r="J45" s="23"/>
      <c r="K45" s="23"/>
      <c r="L45" s="23"/>
      <c r="M45" s="23"/>
      <c r="N45" s="18"/>
      <c r="O45" s="23">
        <v>0</v>
      </c>
      <c r="P45" s="17">
        <v>125</v>
      </c>
      <c r="Q45" s="18">
        <f t="shared" si="7"/>
        <v>-2082.29</v>
      </c>
      <c r="R45" s="58"/>
      <c r="S45" s="56"/>
    </row>
    <row r="46" ht="20" customHeight="1" spans="1:19">
      <c r="B46" s="15">
        <v>5</v>
      </c>
      <c r="C46" s="15">
        <v>22</v>
      </c>
      <c r="D46" s="15" t="s">
        <v>69</v>
      </c>
      <c r="E46" s="16" t="s">
        <v>335</v>
      </c>
      <c r="F46" s="43" t="s">
        <v>3627</v>
      </c>
      <c r="G46" s="23"/>
      <c r="H46" s="23"/>
      <c r="I46" s="23"/>
      <c r="J46" s="23"/>
      <c r="K46" s="23"/>
      <c r="L46" s="23"/>
      <c r="M46" s="23"/>
      <c r="N46" s="18"/>
      <c r="O46" s="17">
        <v>4300</v>
      </c>
      <c r="P46" s="18"/>
      <c r="Q46" s="18">
        <f t="shared" si="7"/>
        <v>2217.71</v>
      </c>
      <c r="R46" s="58"/>
      <c r="S46" s="56"/>
    </row>
    <row r="47" ht="20" customHeight="1" spans="1:19">
      <c r="B47" s="15">
        <v>5</v>
      </c>
      <c r="C47" s="15">
        <v>22</v>
      </c>
      <c r="D47" s="15" t="s">
        <v>92</v>
      </c>
      <c r="E47" s="16" t="s">
        <v>271</v>
      </c>
      <c r="F47" s="43" t="s">
        <v>2947</v>
      </c>
      <c r="G47" s="23"/>
      <c r="H47" s="23"/>
      <c r="I47" s="23"/>
      <c r="J47" s="23"/>
      <c r="K47" s="23"/>
      <c r="L47" s="23"/>
      <c r="M47" s="23"/>
      <c r="N47" s="18"/>
      <c r="O47" s="23"/>
      <c r="P47" s="17">
        <v>4300</v>
      </c>
      <c r="Q47" s="18">
        <f t="shared" si="7"/>
        <v>-2082.29</v>
      </c>
      <c r="R47" s="58"/>
      <c r="S47" s="56"/>
    </row>
    <row r="48" ht="20" customHeight="1" spans="1:19">
      <c r="B48" s="68"/>
      <c r="C48" s="68"/>
      <c r="D48" s="68"/>
      <c r="E48" s="69"/>
      <c r="F48" s="70" t="s">
        <v>22</v>
      </c>
      <c r="G48" s="71">
        <f t="shared" ref="G48:P48" si="8">SUM(G42:G47)</f>
        <v>0</v>
      </c>
      <c r="H48" s="71">
        <f t="shared" si="8"/>
        <v>0</v>
      </c>
      <c r="I48" s="71">
        <f t="shared" si="8"/>
        <v>0</v>
      </c>
      <c r="J48" s="71">
        <f t="shared" si="8"/>
        <v>0</v>
      </c>
      <c r="K48" s="71">
        <f t="shared" si="8"/>
        <v>0</v>
      </c>
      <c r="L48" s="71">
        <f t="shared" si="8"/>
        <v>0</v>
      </c>
      <c r="M48" s="71">
        <f t="shared" si="8"/>
        <v>0</v>
      </c>
      <c r="N48" s="71">
        <f t="shared" si="8"/>
        <v>0</v>
      </c>
      <c r="O48" s="71">
        <f t="shared" si="8"/>
        <v>24300</v>
      </c>
      <c r="P48" s="71">
        <f t="shared" si="8"/>
        <v>26785.73</v>
      </c>
      <c r="Q48" s="73">
        <f>Q41+O48-P48</f>
        <v>-2082.29</v>
      </c>
      <c r="R48" s="72"/>
      <c r="S48" s="71"/>
    </row>
    <row r="49" ht="20" customHeight="1" spans="2:19">
      <c r="B49" s="15">
        <v>6</v>
      </c>
      <c r="C49" s="15">
        <v>3</v>
      </c>
      <c r="D49" s="15"/>
      <c r="E49" s="16" t="s">
        <v>3521</v>
      </c>
      <c r="F49" s="43" t="s">
        <v>3630</v>
      </c>
      <c r="G49" s="23">
        <v>5069.4</v>
      </c>
      <c r="H49" s="23">
        <v>930.6</v>
      </c>
      <c r="I49" s="23"/>
      <c r="J49" s="23"/>
      <c r="K49" s="23"/>
      <c r="L49" s="23"/>
      <c r="M49" s="23"/>
      <c r="N49" s="18"/>
      <c r="O49" s="23">
        <f t="shared" ref="O49:O55" si="9">SUM(G49:N49)-N49</f>
        <v>6000</v>
      </c>
      <c r="P49" s="18"/>
      <c r="Q49" s="18">
        <f t="shared" ref="Q49:Q55" si="10">Q48+O49-P49</f>
        <v>3917.71</v>
      </c>
      <c r="R49" s="58"/>
      <c r="S49" s="56"/>
    </row>
    <row r="50" ht="20" customHeight="1" spans="2:19">
      <c r="B50" s="42">
        <v>6</v>
      </c>
      <c r="C50" s="42">
        <v>8</v>
      </c>
      <c r="D50" s="74" t="s">
        <v>69</v>
      </c>
      <c r="E50" s="16" t="s">
        <v>2638</v>
      </c>
      <c r="F50" s="43" t="s">
        <v>3366</v>
      </c>
      <c r="G50" s="18"/>
      <c r="H50" s="18"/>
      <c r="I50" s="17"/>
      <c r="J50" s="18"/>
      <c r="K50" s="18"/>
      <c r="L50" s="18"/>
      <c r="M50" s="18"/>
      <c r="N50" s="18"/>
      <c r="O50" s="23">
        <f t="shared" si="9"/>
        <v>0</v>
      </c>
      <c r="P50" s="17">
        <v>6000</v>
      </c>
      <c r="Q50" s="18">
        <f t="shared" si="10"/>
        <v>-2082.29</v>
      </c>
      <c r="R50" s="58"/>
      <c r="S50" s="56"/>
    </row>
    <row r="51" ht="20" customHeight="1" spans="2:19">
      <c r="B51" s="42">
        <v>6</v>
      </c>
      <c r="C51" s="42">
        <v>14</v>
      </c>
      <c r="D51" s="15" t="s">
        <v>103</v>
      </c>
      <c r="E51" s="16" t="s">
        <v>164</v>
      </c>
      <c r="F51" s="43" t="s">
        <v>3614</v>
      </c>
      <c r="G51" s="23"/>
      <c r="H51" s="23"/>
      <c r="I51" s="23"/>
      <c r="J51" s="23"/>
      <c r="K51" s="23"/>
      <c r="L51" s="23"/>
      <c r="M51" s="23"/>
      <c r="N51" s="18"/>
      <c r="O51" s="23">
        <f t="shared" si="9"/>
        <v>0</v>
      </c>
      <c r="P51" s="17">
        <v>125</v>
      </c>
      <c r="Q51" s="18">
        <f t="shared" si="10"/>
        <v>-2207.29</v>
      </c>
      <c r="R51" s="58"/>
      <c r="S51" s="56"/>
    </row>
    <row r="52" ht="20" customHeight="1" spans="2:19">
      <c r="B52" s="42">
        <v>6</v>
      </c>
      <c r="C52" s="42">
        <v>14</v>
      </c>
      <c r="D52" s="15" t="s">
        <v>103</v>
      </c>
      <c r="E52" s="16" t="s">
        <v>164</v>
      </c>
      <c r="F52" s="43" t="s">
        <v>3614</v>
      </c>
      <c r="G52" s="18"/>
      <c r="H52" s="18"/>
      <c r="I52" s="17"/>
      <c r="J52" s="18"/>
      <c r="K52" s="18"/>
      <c r="L52" s="18"/>
      <c r="M52" s="18"/>
      <c r="N52" s="18"/>
      <c r="O52" s="23">
        <f t="shared" si="9"/>
        <v>0</v>
      </c>
      <c r="P52" s="17">
        <v>311</v>
      </c>
      <c r="Q52" s="18">
        <f t="shared" si="10"/>
        <v>-2518.29</v>
      </c>
      <c r="R52" s="58"/>
      <c r="S52" s="56"/>
    </row>
    <row r="53" ht="20" customHeight="1" spans="2:19">
      <c r="B53" s="42">
        <v>6</v>
      </c>
      <c r="C53" s="42">
        <v>24</v>
      </c>
      <c r="D53" s="42"/>
      <c r="E53" s="16" t="s">
        <v>3580</v>
      </c>
      <c r="F53" s="43" t="s">
        <v>3631</v>
      </c>
      <c r="G53" s="17"/>
      <c r="H53" s="17"/>
      <c r="I53" s="17">
        <v>1400</v>
      </c>
      <c r="J53" s="18"/>
      <c r="K53" s="18"/>
      <c r="L53" s="18"/>
      <c r="M53" s="18"/>
      <c r="N53" s="18"/>
      <c r="O53" s="23">
        <f t="shared" si="9"/>
        <v>1400</v>
      </c>
      <c r="P53" s="18"/>
      <c r="Q53" s="18">
        <f t="shared" si="10"/>
        <v>-1118.29</v>
      </c>
      <c r="R53" s="58"/>
      <c r="S53" s="56"/>
    </row>
    <row r="54" ht="20" customHeight="1" spans="2:19">
      <c r="B54" s="42">
        <v>6</v>
      </c>
      <c r="C54" s="42">
        <v>24</v>
      </c>
      <c r="D54" s="42"/>
      <c r="E54" s="16" t="s">
        <v>3580</v>
      </c>
      <c r="F54" s="43" t="s">
        <v>3631</v>
      </c>
      <c r="G54" s="17"/>
      <c r="H54" s="17"/>
      <c r="I54" s="17">
        <v>1550</v>
      </c>
      <c r="J54" s="18"/>
      <c r="K54" s="18"/>
      <c r="L54" s="18"/>
      <c r="M54" s="18"/>
      <c r="N54" s="18"/>
      <c r="O54" s="23">
        <f t="shared" si="9"/>
        <v>1550</v>
      </c>
      <c r="P54" s="18"/>
      <c r="Q54" s="18">
        <f t="shared" si="10"/>
        <v>431.71</v>
      </c>
      <c r="R54" s="58"/>
      <c r="S54" s="56"/>
    </row>
    <row r="55" ht="20" customHeight="1" spans="2:19">
      <c r="B55" s="42">
        <v>6</v>
      </c>
      <c r="C55" s="42">
        <v>24</v>
      </c>
      <c r="D55" s="42"/>
      <c r="E55" s="16" t="s">
        <v>3580</v>
      </c>
      <c r="F55" s="43" t="s">
        <v>3632</v>
      </c>
      <c r="G55" s="18"/>
      <c r="H55" s="18">
        <v>2609.52</v>
      </c>
      <c r="I55" s="18"/>
      <c r="J55" s="18"/>
      <c r="K55" s="18"/>
      <c r="L55" s="18"/>
      <c r="M55" s="18"/>
      <c r="N55" s="18"/>
      <c r="O55" s="23">
        <f t="shared" si="9"/>
        <v>2609.52</v>
      </c>
      <c r="P55" s="18"/>
      <c r="Q55" s="18">
        <f t="shared" si="10"/>
        <v>3041.23</v>
      </c>
      <c r="R55" s="58"/>
      <c r="S55" s="56"/>
    </row>
    <row r="56" ht="20" customHeight="1" spans="2:19">
      <c r="B56" s="68"/>
      <c r="C56" s="68"/>
      <c r="D56" s="68"/>
      <c r="E56" s="69"/>
      <c r="F56" s="70" t="s">
        <v>22</v>
      </c>
      <c r="G56" s="71">
        <f t="shared" ref="G56:P56" si="11">SUM(G49:G55)</f>
        <v>5069.4</v>
      </c>
      <c r="H56" s="71">
        <f t="shared" si="11"/>
        <v>3540.12</v>
      </c>
      <c r="I56" s="71">
        <f t="shared" si="11"/>
        <v>2950</v>
      </c>
      <c r="J56" s="71">
        <f t="shared" si="11"/>
        <v>0</v>
      </c>
      <c r="K56" s="71">
        <f t="shared" si="11"/>
        <v>0</v>
      </c>
      <c r="L56" s="71">
        <f t="shared" si="11"/>
        <v>0</v>
      </c>
      <c r="M56" s="71">
        <f t="shared" si="11"/>
        <v>0</v>
      </c>
      <c r="N56" s="71">
        <f t="shared" si="11"/>
        <v>0</v>
      </c>
      <c r="O56" s="71">
        <f t="shared" si="11"/>
        <v>11559.52</v>
      </c>
      <c r="P56" s="71">
        <f t="shared" si="11"/>
        <v>6436</v>
      </c>
      <c r="Q56" s="73">
        <f>Q48+O56-P56</f>
        <v>3041.23</v>
      </c>
      <c r="R56" s="72"/>
      <c r="S56" s="71"/>
    </row>
    <row r="57" ht="20" customHeight="1" spans="2:19">
      <c r="B57" s="42">
        <v>7</v>
      </c>
      <c r="C57" s="42">
        <v>10</v>
      </c>
      <c r="D57" s="42"/>
      <c r="E57" s="16" t="s">
        <v>3580</v>
      </c>
      <c r="F57" s="43" t="s">
        <v>3633</v>
      </c>
      <c r="G57" s="18">
        <v>31332</v>
      </c>
      <c r="H57" s="18"/>
      <c r="I57" s="18"/>
      <c r="J57" s="18"/>
      <c r="K57" s="18"/>
      <c r="L57" s="18"/>
      <c r="M57" s="18"/>
      <c r="N57" s="18"/>
      <c r="O57" s="23">
        <f>SUM(G57:N57)-N57</f>
        <v>31332</v>
      </c>
      <c r="P57" s="18"/>
      <c r="Q57" s="18">
        <f>Q56+O57-P57</f>
        <v>34373.23</v>
      </c>
      <c r="R57" s="58"/>
      <c r="S57" s="56"/>
    </row>
    <row r="58" ht="20" customHeight="1" spans="2:19">
      <c r="B58" s="42">
        <v>7</v>
      </c>
      <c r="C58" s="42">
        <v>15</v>
      </c>
      <c r="D58" s="15" t="s">
        <v>103</v>
      </c>
      <c r="E58" s="16" t="s">
        <v>164</v>
      </c>
      <c r="F58" s="43" t="s">
        <v>3614</v>
      </c>
      <c r="G58" s="18"/>
      <c r="H58" s="18"/>
      <c r="I58" s="18"/>
      <c r="J58" s="18"/>
      <c r="K58" s="18"/>
      <c r="L58" s="18"/>
      <c r="M58" s="18"/>
      <c r="N58" s="18"/>
      <c r="O58" s="23">
        <f>SUM(G58:N58)-N58</f>
        <v>0</v>
      </c>
      <c r="P58" s="18">
        <v>276.11</v>
      </c>
      <c r="Q58" s="18">
        <f>Q57+O58-P58</f>
        <v>34097.12</v>
      </c>
      <c r="R58" s="58"/>
      <c r="S58" s="56"/>
    </row>
    <row r="59" ht="20" customHeight="1" spans="2:19">
      <c r="B59" s="42">
        <v>7</v>
      </c>
      <c r="C59" s="42">
        <v>15</v>
      </c>
      <c r="D59" s="15" t="s">
        <v>103</v>
      </c>
      <c r="E59" s="16" t="s">
        <v>164</v>
      </c>
      <c r="F59" s="43" t="s">
        <v>3614</v>
      </c>
      <c r="G59" s="18"/>
      <c r="H59" s="18"/>
      <c r="I59" s="18"/>
      <c r="J59" s="18"/>
      <c r="K59" s="18"/>
      <c r="L59" s="18"/>
      <c r="M59" s="18"/>
      <c r="N59" s="18"/>
      <c r="O59" s="23">
        <f>SUM(G59:N59)-N59</f>
        <v>0</v>
      </c>
      <c r="P59" s="18">
        <v>156.24</v>
      </c>
      <c r="Q59" s="18">
        <f>Q58+O59-P59</f>
        <v>33940.88</v>
      </c>
      <c r="R59" s="58"/>
      <c r="S59" s="56"/>
    </row>
    <row r="60" ht="20" customHeight="1" spans="2:19">
      <c r="B60" s="42">
        <v>7</v>
      </c>
      <c r="C60" s="42">
        <v>17</v>
      </c>
      <c r="D60" s="74" t="s">
        <v>69</v>
      </c>
      <c r="E60" s="44" t="s">
        <v>2638</v>
      </c>
      <c r="F60" s="75" t="s">
        <v>3366</v>
      </c>
      <c r="G60" s="18"/>
      <c r="H60" s="18"/>
      <c r="I60" s="18"/>
      <c r="J60" s="18"/>
      <c r="K60" s="18"/>
      <c r="L60" s="18"/>
      <c r="M60" s="18"/>
      <c r="N60" s="18"/>
      <c r="O60" s="23">
        <f>SUM(G60:N60)-N60</f>
        <v>0</v>
      </c>
      <c r="P60" s="17">
        <v>5559.52</v>
      </c>
      <c r="Q60" s="18">
        <f>Q59+O60-P60</f>
        <v>28381.36</v>
      </c>
      <c r="R60" s="58"/>
      <c r="S60" s="56"/>
    </row>
    <row r="61" ht="20" customHeight="1" spans="2:19">
      <c r="B61" s="68"/>
      <c r="C61" s="68"/>
      <c r="D61" s="68"/>
      <c r="E61" s="69"/>
      <c r="F61" s="70" t="s">
        <v>22</v>
      </c>
      <c r="G61" s="71">
        <f>SUM(G57:G60)</f>
        <v>31332</v>
      </c>
      <c r="H61" s="71">
        <f t="shared" ref="H61:P61" si="12">SUM(H57:H60)</f>
        <v>0</v>
      </c>
      <c r="I61" s="71">
        <f t="shared" si="12"/>
        <v>0</v>
      </c>
      <c r="J61" s="71">
        <f t="shared" si="12"/>
        <v>0</v>
      </c>
      <c r="K61" s="71">
        <f t="shared" si="12"/>
        <v>0</v>
      </c>
      <c r="L61" s="71">
        <f t="shared" si="12"/>
        <v>0</v>
      </c>
      <c r="M61" s="71">
        <f t="shared" si="12"/>
        <v>0</v>
      </c>
      <c r="N61" s="71">
        <f t="shared" si="12"/>
        <v>0</v>
      </c>
      <c r="O61" s="71">
        <f t="shared" si="12"/>
        <v>31332</v>
      </c>
      <c r="P61" s="71">
        <f t="shared" si="12"/>
        <v>5991.87</v>
      </c>
      <c r="Q61" s="73">
        <f>Q56+O61-P61</f>
        <v>28381.36</v>
      </c>
      <c r="R61" s="72"/>
      <c r="S61" s="71"/>
    </row>
    <row r="62" ht="20" customHeight="1" spans="2:19">
      <c r="B62" s="42">
        <v>8</v>
      </c>
      <c r="C62" s="42">
        <v>4</v>
      </c>
      <c r="D62" s="74" t="s">
        <v>69</v>
      </c>
      <c r="E62" s="44" t="s">
        <v>2638</v>
      </c>
      <c r="F62" s="45" t="s">
        <v>3366</v>
      </c>
      <c r="G62" s="56"/>
      <c r="H62" s="56"/>
      <c r="I62" s="55"/>
      <c r="J62" s="56"/>
      <c r="K62" s="56"/>
      <c r="L62" s="56"/>
      <c r="M62" s="56"/>
      <c r="N62" s="56"/>
      <c r="O62" s="23">
        <f>SUM(G62:N62)-N62</f>
        <v>0</v>
      </c>
      <c r="P62" s="56">
        <v>31332</v>
      </c>
      <c r="Q62" s="18">
        <f>Q60+O62-P62</f>
        <v>-2950.64</v>
      </c>
      <c r="R62" s="58"/>
      <c r="S62" s="56"/>
    </row>
    <row r="63" ht="20" customHeight="1" spans="2:19">
      <c r="B63" s="42">
        <v>8</v>
      </c>
      <c r="C63" s="42"/>
      <c r="D63" s="42"/>
      <c r="E63" s="44"/>
      <c r="F63" s="45"/>
      <c r="G63" s="56"/>
      <c r="H63" s="56"/>
      <c r="I63" s="55"/>
      <c r="J63" s="56"/>
      <c r="K63" s="56"/>
      <c r="L63" s="56"/>
      <c r="M63" s="56"/>
      <c r="N63" s="56"/>
      <c r="O63" s="23">
        <f>SUM(G63:N63)-N63</f>
        <v>0</v>
      </c>
      <c r="P63" s="56"/>
      <c r="Q63" s="18">
        <f t="shared" ref="Q62:Q108" si="13">Q62+O63-P63</f>
        <v>-2950.64</v>
      </c>
      <c r="R63" s="58"/>
      <c r="S63" s="56"/>
    </row>
    <row r="64" ht="20" customHeight="1" spans="2:19">
      <c r="B64" s="42">
        <v>8</v>
      </c>
      <c r="C64" s="42"/>
      <c r="D64" s="42"/>
      <c r="E64" s="44"/>
      <c r="F64" s="45"/>
      <c r="G64" s="56"/>
      <c r="H64" s="56"/>
      <c r="I64" s="55"/>
      <c r="J64" s="56"/>
      <c r="K64" s="56"/>
      <c r="L64" s="56"/>
      <c r="M64" s="56"/>
      <c r="N64" s="56"/>
      <c r="O64" s="23">
        <f>SUM(G64:N64)-N64</f>
        <v>0</v>
      </c>
      <c r="P64" s="56"/>
      <c r="Q64" s="18">
        <f t="shared" si="13"/>
        <v>-2950.64</v>
      </c>
      <c r="R64" s="58"/>
      <c r="S64" s="56"/>
    </row>
    <row r="65" ht="20" customHeight="1" spans="2:19">
      <c r="B65" s="42">
        <v>8</v>
      </c>
      <c r="C65" s="42"/>
      <c r="D65" s="42"/>
      <c r="E65" s="44"/>
      <c r="F65" s="45"/>
      <c r="G65" s="56"/>
      <c r="H65" s="56"/>
      <c r="I65" s="55"/>
      <c r="J65" s="56"/>
      <c r="K65" s="56"/>
      <c r="L65" s="56"/>
      <c r="M65" s="56"/>
      <c r="N65" s="56"/>
      <c r="O65" s="23">
        <f>SUM(G65:N65)-N65</f>
        <v>0</v>
      </c>
      <c r="P65" s="56"/>
      <c r="Q65" s="18">
        <f t="shared" si="13"/>
        <v>-2950.64</v>
      </c>
      <c r="R65" s="58"/>
      <c r="S65" s="56"/>
    </row>
    <row r="66" ht="20" customHeight="1" spans="2:19">
      <c r="B66" s="42">
        <v>8</v>
      </c>
      <c r="C66" s="42"/>
      <c r="D66" s="42"/>
      <c r="E66" s="44"/>
      <c r="F66" s="45"/>
      <c r="G66" s="56"/>
      <c r="H66" s="56"/>
      <c r="I66" s="55"/>
      <c r="J66" s="56"/>
      <c r="K66" s="56"/>
      <c r="L66" s="56"/>
      <c r="M66" s="56"/>
      <c r="N66" s="56"/>
      <c r="O66" s="23">
        <f>SUM(G66:N66)-N66</f>
        <v>0</v>
      </c>
      <c r="P66" s="56"/>
      <c r="Q66" s="58">
        <f t="shared" si="13"/>
        <v>-2950.64</v>
      </c>
      <c r="R66" s="58"/>
      <c r="S66" s="56"/>
    </row>
    <row r="67" ht="20" customHeight="1" spans="2:19">
      <c r="B67" s="42">
        <v>8</v>
      </c>
      <c r="C67" s="42"/>
      <c r="D67" s="42"/>
      <c r="E67" s="44"/>
      <c r="F67" s="45"/>
      <c r="G67" s="56"/>
      <c r="H67" s="56"/>
      <c r="I67" s="55"/>
      <c r="J67" s="56"/>
      <c r="K67" s="56"/>
      <c r="L67" s="56"/>
      <c r="M67" s="56"/>
      <c r="N67" s="56"/>
      <c r="O67" s="57"/>
      <c r="P67" s="56"/>
      <c r="Q67" s="58">
        <f t="shared" si="13"/>
        <v>-2950.64</v>
      </c>
      <c r="R67" s="58"/>
      <c r="S67" s="56"/>
    </row>
    <row r="68" ht="20" customHeight="1" spans="2:19">
      <c r="B68" s="42"/>
      <c r="C68" s="42"/>
      <c r="D68" s="42"/>
      <c r="E68" s="44"/>
      <c r="F68" s="45"/>
      <c r="G68" s="56"/>
      <c r="H68" s="56"/>
      <c r="I68" s="55"/>
      <c r="J68" s="56"/>
      <c r="K68" s="56"/>
      <c r="L68" s="56"/>
      <c r="M68" s="56"/>
      <c r="N68" s="56"/>
      <c r="O68" s="57"/>
      <c r="P68" s="56"/>
      <c r="Q68" s="58">
        <f t="shared" si="13"/>
        <v>-2950.64</v>
      </c>
      <c r="R68" s="58"/>
      <c r="S68" s="56"/>
    </row>
    <row r="69" ht="20" customHeight="1" spans="2:19">
      <c r="B69" s="42"/>
      <c r="C69" s="42"/>
      <c r="D69" s="42"/>
      <c r="E69" s="44"/>
      <c r="F69" s="45"/>
      <c r="G69" s="56"/>
      <c r="H69" s="56"/>
      <c r="I69" s="55"/>
      <c r="J69" s="56"/>
      <c r="K69" s="56"/>
      <c r="L69" s="56"/>
      <c r="M69" s="56"/>
      <c r="N69" s="56"/>
      <c r="O69" s="57"/>
      <c r="P69" s="56"/>
      <c r="Q69" s="58">
        <f t="shared" si="13"/>
        <v>-2950.64</v>
      </c>
      <c r="R69" s="58"/>
      <c r="S69" s="56"/>
    </row>
    <row r="70" ht="20" customHeight="1" spans="2:19">
      <c r="B70" s="42"/>
      <c r="C70" s="42"/>
      <c r="D70" s="42"/>
      <c r="E70" s="44"/>
      <c r="F70" s="45"/>
      <c r="G70" s="56"/>
      <c r="H70" s="56"/>
      <c r="I70" s="55"/>
      <c r="J70" s="56"/>
      <c r="K70" s="56"/>
      <c r="L70" s="56"/>
      <c r="M70" s="56"/>
      <c r="N70" s="56"/>
      <c r="O70" s="57"/>
      <c r="P70" s="56"/>
      <c r="Q70" s="58">
        <f t="shared" si="13"/>
        <v>-2950.64</v>
      </c>
      <c r="R70" s="58"/>
      <c r="S70" s="56"/>
    </row>
    <row r="71" ht="20" customHeight="1" spans="2:19">
      <c r="B71" s="42"/>
      <c r="C71" s="42"/>
      <c r="D71" s="42"/>
      <c r="E71" s="44"/>
      <c r="F71" s="45"/>
      <c r="G71" s="56"/>
      <c r="H71" s="56"/>
      <c r="I71" s="55"/>
      <c r="J71" s="56"/>
      <c r="K71" s="56"/>
      <c r="L71" s="56"/>
      <c r="M71" s="56"/>
      <c r="N71" s="56"/>
      <c r="O71" s="57"/>
      <c r="P71" s="56"/>
      <c r="Q71" s="58">
        <f t="shared" si="13"/>
        <v>-2950.64</v>
      </c>
      <c r="R71" s="58"/>
      <c r="S71" s="56"/>
    </row>
    <row r="72" ht="20" customHeight="1" spans="2:19">
      <c r="B72" s="42"/>
      <c r="C72" s="42"/>
      <c r="D72" s="42"/>
      <c r="E72" s="44"/>
      <c r="F72" s="45"/>
      <c r="G72" s="56"/>
      <c r="H72" s="56"/>
      <c r="I72" s="55"/>
      <c r="J72" s="56"/>
      <c r="K72" s="56"/>
      <c r="L72" s="56"/>
      <c r="M72" s="56"/>
      <c r="N72" s="56"/>
      <c r="O72" s="57"/>
      <c r="P72" s="56"/>
      <c r="Q72" s="58">
        <f t="shared" si="13"/>
        <v>-2950.64</v>
      </c>
      <c r="R72" s="58"/>
      <c r="S72" s="56"/>
    </row>
    <row r="73" ht="20" customHeight="1" spans="2:19">
      <c r="B73" s="42"/>
      <c r="C73" s="42"/>
      <c r="D73" s="42"/>
      <c r="E73" s="44"/>
      <c r="F73" s="45"/>
      <c r="G73" s="56"/>
      <c r="H73" s="56"/>
      <c r="I73" s="55"/>
      <c r="J73" s="56"/>
      <c r="K73" s="56"/>
      <c r="L73" s="56"/>
      <c r="M73" s="56"/>
      <c r="N73" s="56"/>
      <c r="O73" s="57"/>
      <c r="P73" s="56"/>
      <c r="Q73" s="58">
        <f t="shared" si="13"/>
        <v>-2950.64</v>
      </c>
      <c r="R73" s="58"/>
      <c r="S73" s="56"/>
    </row>
    <row r="74" ht="20" customHeight="1" spans="2:19">
      <c r="B74" s="42"/>
      <c r="C74" s="42"/>
      <c r="D74" s="42"/>
      <c r="E74" s="44"/>
      <c r="F74" s="45"/>
      <c r="G74" s="56"/>
      <c r="H74" s="56"/>
      <c r="I74" s="55"/>
      <c r="J74" s="56"/>
      <c r="K74" s="56"/>
      <c r="L74" s="56"/>
      <c r="M74" s="56"/>
      <c r="N74" s="56"/>
      <c r="O74" s="57"/>
      <c r="P74" s="56"/>
      <c r="Q74" s="58">
        <f t="shared" si="13"/>
        <v>-2950.64</v>
      </c>
      <c r="R74" s="58"/>
      <c r="S74" s="56"/>
    </row>
    <row r="75" ht="20" customHeight="1" spans="2:19">
      <c r="B75" s="42"/>
      <c r="C75" s="42"/>
      <c r="D75" s="42"/>
      <c r="E75" s="44"/>
      <c r="F75" s="45"/>
      <c r="G75" s="56"/>
      <c r="H75" s="56"/>
      <c r="I75" s="55"/>
      <c r="J75" s="56"/>
      <c r="K75" s="56"/>
      <c r="L75" s="56"/>
      <c r="M75" s="56"/>
      <c r="N75" s="56"/>
      <c r="O75" s="57"/>
      <c r="P75" s="56"/>
      <c r="Q75" s="58">
        <f t="shared" si="13"/>
        <v>-2950.64</v>
      </c>
      <c r="R75" s="58"/>
      <c r="S75" s="56"/>
    </row>
    <row r="76" ht="20" customHeight="1" spans="2:19">
      <c r="B76" s="42"/>
      <c r="C76" s="42"/>
      <c r="D76" s="42"/>
      <c r="E76" s="44"/>
      <c r="F76" s="45"/>
      <c r="G76" s="56"/>
      <c r="H76" s="56"/>
      <c r="I76" s="55"/>
      <c r="J76" s="56"/>
      <c r="K76" s="56"/>
      <c r="L76" s="56"/>
      <c r="M76" s="56"/>
      <c r="N76" s="56"/>
      <c r="O76" s="57"/>
      <c r="P76" s="56"/>
      <c r="Q76" s="58">
        <f t="shared" si="13"/>
        <v>-2950.64</v>
      </c>
      <c r="R76" s="58"/>
      <c r="S76" s="56"/>
    </row>
    <row r="77" ht="20" customHeight="1" spans="2:19">
      <c r="B77" s="42"/>
      <c r="C77" s="42"/>
      <c r="D77" s="42"/>
      <c r="E77" s="44"/>
      <c r="F77" s="45"/>
      <c r="G77" s="56"/>
      <c r="H77" s="56"/>
      <c r="I77" s="55"/>
      <c r="J77" s="56"/>
      <c r="K77" s="56"/>
      <c r="L77" s="56"/>
      <c r="M77" s="56"/>
      <c r="N77" s="56"/>
      <c r="O77" s="57"/>
      <c r="P77" s="56"/>
      <c r="Q77" s="58">
        <f t="shared" si="13"/>
        <v>-2950.64</v>
      </c>
      <c r="R77" s="58"/>
      <c r="S77" s="56"/>
    </row>
    <row r="78" ht="20" customHeight="1" spans="2:19">
      <c r="B78" s="42"/>
      <c r="C78" s="42"/>
      <c r="D78" s="42"/>
      <c r="E78" s="44"/>
      <c r="F78" s="45"/>
      <c r="G78" s="56"/>
      <c r="H78" s="56"/>
      <c r="I78" s="55"/>
      <c r="J78" s="56"/>
      <c r="K78" s="56"/>
      <c r="L78" s="56"/>
      <c r="M78" s="56"/>
      <c r="N78" s="56"/>
      <c r="O78" s="57"/>
      <c r="P78" s="56"/>
      <c r="Q78" s="58">
        <f t="shared" si="13"/>
        <v>-2950.64</v>
      </c>
      <c r="R78" s="58"/>
      <c r="S78" s="56"/>
    </row>
    <row r="79" ht="20" customHeight="1" spans="2:19">
      <c r="B79" s="42"/>
      <c r="C79" s="42"/>
      <c r="D79" s="42"/>
      <c r="E79" s="44"/>
      <c r="F79" s="45"/>
      <c r="G79" s="56"/>
      <c r="H79" s="56"/>
      <c r="I79" s="55"/>
      <c r="J79" s="56"/>
      <c r="K79" s="56"/>
      <c r="L79" s="56"/>
      <c r="M79" s="56"/>
      <c r="N79" s="56"/>
      <c r="O79" s="57"/>
      <c r="P79" s="56"/>
      <c r="Q79" s="58">
        <f t="shared" si="13"/>
        <v>-2950.64</v>
      </c>
      <c r="R79" s="58"/>
      <c r="S79" s="56"/>
    </row>
    <row r="80" ht="20" customHeight="1" spans="2:19">
      <c r="B80" s="42"/>
      <c r="C80" s="42"/>
      <c r="D80" s="42"/>
      <c r="E80" s="44"/>
      <c r="F80" s="45"/>
      <c r="G80" s="56"/>
      <c r="H80" s="56"/>
      <c r="I80" s="55"/>
      <c r="J80" s="56"/>
      <c r="K80" s="56"/>
      <c r="L80" s="56"/>
      <c r="M80" s="56"/>
      <c r="N80" s="56"/>
      <c r="O80" s="57"/>
      <c r="P80" s="56"/>
      <c r="Q80" s="58">
        <f t="shared" si="13"/>
        <v>-2950.64</v>
      </c>
      <c r="R80" s="58"/>
      <c r="S80" s="56"/>
    </row>
    <row r="81" ht="20" customHeight="1" spans="2:19">
      <c r="B81" s="42"/>
      <c r="C81" s="42"/>
      <c r="D81" s="42"/>
      <c r="E81" s="44"/>
      <c r="F81" s="45"/>
      <c r="G81" s="56"/>
      <c r="H81" s="56"/>
      <c r="I81" s="55"/>
      <c r="J81" s="56"/>
      <c r="K81" s="56"/>
      <c r="L81" s="56"/>
      <c r="M81" s="56"/>
      <c r="N81" s="56"/>
      <c r="O81" s="57"/>
      <c r="P81" s="56"/>
      <c r="Q81" s="58">
        <f t="shared" si="13"/>
        <v>-2950.64</v>
      </c>
      <c r="R81" s="58"/>
      <c r="S81" s="56"/>
    </row>
    <row r="82" ht="20" customHeight="1" spans="2:19">
      <c r="B82" s="42"/>
      <c r="C82" s="42"/>
      <c r="D82" s="42"/>
      <c r="E82" s="44"/>
      <c r="F82" s="45"/>
      <c r="G82" s="56"/>
      <c r="H82" s="56"/>
      <c r="I82" s="55"/>
      <c r="J82" s="56"/>
      <c r="K82" s="56"/>
      <c r="L82" s="56"/>
      <c r="M82" s="56"/>
      <c r="N82" s="56"/>
      <c r="O82" s="57"/>
      <c r="P82" s="56"/>
      <c r="Q82" s="58">
        <f t="shared" si="13"/>
        <v>-2950.64</v>
      </c>
      <c r="R82" s="58"/>
      <c r="S82" s="56"/>
    </row>
    <row r="83" ht="20" customHeight="1" spans="2:19">
      <c r="B83" s="42"/>
      <c r="C83" s="42"/>
      <c r="D83" s="42"/>
      <c r="E83" s="44"/>
      <c r="F83" s="45"/>
      <c r="G83" s="56"/>
      <c r="H83" s="56"/>
      <c r="I83" s="55"/>
      <c r="J83" s="56"/>
      <c r="K83" s="56"/>
      <c r="L83" s="56"/>
      <c r="M83" s="56"/>
      <c r="N83" s="56"/>
      <c r="O83" s="57"/>
      <c r="P83" s="56"/>
      <c r="Q83" s="58">
        <f t="shared" si="13"/>
        <v>-2950.64</v>
      </c>
      <c r="R83" s="58"/>
      <c r="S83" s="56"/>
    </row>
    <row r="84" ht="20" customHeight="1" spans="2:19">
      <c r="B84" s="42"/>
      <c r="C84" s="42"/>
      <c r="D84" s="42"/>
      <c r="E84" s="44"/>
      <c r="F84" s="45"/>
      <c r="G84" s="56"/>
      <c r="H84" s="56"/>
      <c r="I84" s="55"/>
      <c r="J84" s="56"/>
      <c r="K84" s="56"/>
      <c r="L84" s="56"/>
      <c r="M84" s="56"/>
      <c r="N84" s="56"/>
      <c r="O84" s="57"/>
      <c r="P84" s="56"/>
      <c r="Q84" s="58">
        <f t="shared" si="13"/>
        <v>-2950.64</v>
      </c>
      <c r="R84" s="58"/>
      <c r="S84" s="56"/>
    </row>
    <row r="85" ht="20" customHeight="1" spans="2:19">
      <c r="B85" s="42"/>
      <c r="C85" s="42"/>
      <c r="D85" s="42"/>
      <c r="E85" s="44"/>
      <c r="F85" s="45"/>
      <c r="G85" s="56"/>
      <c r="H85" s="56"/>
      <c r="I85" s="55"/>
      <c r="J85" s="56"/>
      <c r="K85" s="56"/>
      <c r="L85" s="56"/>
      <c r="M85" s="56"/>
      <c r="N85" s="56"/>
      <c r="O85" s="57"/>
      <c r="P85" s="56"/>
      <c r="Q85" s="58">
        <f t="shared" si="13"/>
        <v>-2950.64</v>
      </c>
      <c r="R85" s="58"/>
      <c r="S85" s="56"/>
    </row>
    <row r="86" ht="20" customHeight="1" spans="2:19">
      <c r="B86" s="42"/>
      <c r="C86" s="42"/>
      <c r="D86" s="42"/>
      <c r="E86" s="44"/>
      <c r="F86" s="45"/>
      <c r="G86" s="56"/>
      <c r="H86" s="56"/>
      <c r="I86" s="55"/>
      <c r="J86" s="56"/>
      <c r="K86" s="56"/>
      <c r="L86" s="56"/>
      <c r="M86" s="56"/>
      <c r="N86" s="56"/>
      <c r="O86" s="57"/>
      <c r="P86" s="56"/>
      <c r="Q86" s="58">
        <f t="shared" si="13"/>
        <v>-2950.64</v>
      </c>
      <c r="R86" s="58"/>
      <c r="S86" s="56"/>
    </row>
    <row r="87" ht="20" customHeight="1" spans="2:19">
      <c r="B87" s="42"/>
      <c r="C87" s="42"/>
      <c r="D87" s="42"/>
      <c r="E87" s="44"/>
      <c r="F87" s="45"/>
      <c r="G87" s="56"/>
      <c r="H87" s="56"/>
      <c r="I87" s="55"/>
      <c r="J87" s="56"/>
      <c r="K87" s="56"/>
      <c r="L87" s="56"/>
      <c r="M87" s="56"/>
      <c r="N87" s="56"/>
      <c r="O87" s="57"/>
      <c r="P87" s="56"/>
      <c r="Q87" s="58">
        <f t="shared" si="13"/>
        <v>-2950.64</v>
      </c>
      <c r="R87" s="58"/>
      <c r="S87" s="56"/>
    </row>
    <row r="88" ht="20" customHeight="1" spans="2:19">
      <c r="B88" s="42"/>
      <c r="C88" s="42"/>
      <c r="D88" s="42"/>
      <c r="E88" s="44"/>
      <c r="F88" s="45"/>
      <c r="G88" s="56"/>
      <c r="H88" s="56"/>
      <c r="I88" s="55"/>
      <c r="J88" s="56"/>
      <c r="K88" s="56"/>
      <c r="L88" s="56"/>
      <c r="M88" s="56"/>
      <c r="N88" s="56"/>
      <c r="O88" s="57"/>
      <c r="P88" s="56"/>
      <c r="Q88" s="58">
        <f t="shared" si="13"/>
        <v>-2950.64</v>
      </c>
      <c r="R88" s="58"/>
      <c r="S88" s="56"/>
    </row>
    <row r="89" ht="20" customHeight="1" spans="2:19">
      <c r="B89" s="42"/>
      <c r="C89" s="42"/>
      <c r="D89" s="42"/>
      <c r="E89" s="44"/>
      <c r="F89" s="45"/>
      <c r="G89" s="56"/>
      <c r="H89" s="56"/>
      <c r="I89" s="55"/>
      <c r="J89" s="56"/>
      <c r="K89" s="56"/>
      <c r="L89" s="56"/>
      <c r="M89" s="56"/>
      <c r="N89" s="56"/>
      <c r="O89" s="57"/>
      <c r="P89" s="56"/>
      <c r="Q89" s="58">
        <f t="shared" si="13"/>
        <v>-2950.64</v>
      </c>
      <c r="R89" s="58"/>
      <c r="S89" s="56"/>
    </row>
    <row r="90" ht="20" customHeight="1" spans="2:19">
      <c r="B90" s="42"/>
      <c r="C90" s="42"/>
      <c r="D90" s="42"/>
      <c r="E90" s="44"/>
      <c r="F90" s="45"/>
      <c r="G90" s="56"/>
      <c r="H90" s="56"/>
      <c r="I90" s="55"/>
      <c r="J90" s="56"/>
      <c r="K90" s="56"/>
      <c r="L90" s="56"/>
      <c r="M90" s="56"/>
      <c r="N90" s="56"/>
      <c r="O90" s="57"/>
      <c r="P90" s="56"/>
      <c r="Q90" s="58">
        <f t="shared" si="13"/>
        <v>-2950.64</v>
      </c>
      <c r="R90" s="58"/>
      <c r="S90" s="56"/>
    </row>
    <row r="91" ht="20" customHeight="1" spans="2:19">
      <c r="B91" s="42"/>
      <c r="C91" s="42"/>
      <c r="D91" s="42"/>
      <c r="E91" s="44"/>
      <c r="F91" s="45"/>
      <c r="G91" s="56"/>
      <c r="H91" s="56"/>
      <c r="I91" s="55"/>
      <c r="J91" s="56"/>
      <c r="K91" s="56"/>
      <c r="L91" s="56"/>
      <c r="M91" s="56"/>
      <c r="N91" s="56"/>
      <c r="O91" s="57"/>
      <c r="P91" s="56"/>
      <c r="Q91" s="58">
        <f t="shared" si="13"/>
        <v>-2950.64</v>
      </c>
      <c r="R91" s="58"/>
      <c r="S91" s="56"/>
    </row>
    <row r="92" ht="20" customHeight="1" spans="2:19">
      <c r="B92" s="42"/>
      <c r="C92" s="42"/>
      <c r="D92" s="42"/>
      <c r="E92" s="44"/>
      <c r="F92" s="45"/>
      <c r="G92" s="56"/>
      <c r="H92" s="56"/>
      <c r="I92" s="55"/>
      <c r="J92" s="56"/>
      <c r="K92" s="56"/>
      <c r="L92" s="56"/>
      <c r="M92" s="56"/>
      <c r="N92" s="56"/>
      <c r="O92" s="57"/>
      <c r="P92" s="56"/>
      <c r="Q92" s="58">
        <f t="shared" si="13"/>
        <v>-2950.64</v>
      </c>
      <c r="R92" s="58"/>
      <c r="S92" s="56"/>
    </row>
    <row r="93" ht="20" customHeight="1" spans="2:19">
      <c r="B93" s="42"/>
      <c r="C93" s="42"/>
      <c r="D93" s="42"/>
      <c r="E93" s="44"/>
      <c r="F93" s="45"/>
      <c r="G93" s="56"/>
      <c r="H93" s="56"/>
      <c r="I93" s="55"/>
      <c r="J93" s="56"/>
      <c r="K93" s="56"/>
      <c r="L93" s="56"/>
      <c r="M93" s="56"/>
      <c r="N93" s="56"/>
      <c r="O93" s="57"/>
      <c r="P93" s="56"/>
      <c r="Q93" s="58">
        <f t="shared" si="13"/>
        <v>-2950.64</v>
      </c>
      <c r="R93" s="58"/>
      <c r="S93" s="56"/>
    </row>
    <row r="94" ht="20" customHeight="1" spans="2:19">
      <c r="B94" s="42"/>
      <c r="C94" s="42"/>
      <c r="D94" s="42"/>
      <c r="E94" s="44"/>
      <c r="F94" s="45"/>
      <c r="G94" s="56"/>
      <c r="H94" s="56"/>
      <c r="I94" s="55"/>
      <c r="J94" s="56"/>
      <c r="K94" s="56"/>
      <c r="L94" s="56"/>
      <c r="M94" s="56"/>
      <c r="N94" s="56"/>
      <c r="O94" s="57"/>
      <c r="P94" s="56"/>
      <c r="Q94" s="58">
        <f t="shared" si="13"/>
        <v>-2950.64</v>
      </c>
      <c r="R94" s="58"/>
      <c r="S94" s="56"/>
    </row>
    <row r="95" ht="20" customHeight="1" spans="2:19">
      <c r="B95" s="42"/>
      <c r="C95" s="42"/>
      <c r="D95" s="42"/>
      <c r="E95" s="44"/>
      <c r="F95" s="45"/>
      <c r="G95" s="56"/>
      <c r="H95" s="56"/>
      <c r="I95" s="55"/>
      <c r="J95" s="56"/>
      <c r="K95" s="56"/>
      <c r="L95" s="56"/>
      <c r="M95" s="56"/>
      <c r="N95" s="56"/>
      <c r="O95" s="57"/>
      <c r="P95" s="56"/>
      <c r="Q95" s="58">
        <f t="shared" si="13"/>
        <v>-2950.64</v>
      </c>
      <c r="R95" s="58"/>
      <c r="S95" s="56"/>
    </row>
    <row r="96" ht="20" customHeight="1" spans="2:19">
      <c r="B96" s="42"/>
      <c r="C96" s="42"/>
      <c r="D96" s="42"/>
      <c r="E96" s="44"/>
      <c r="F96" s="45"/>
      <c r="G96" s="56"/>
      <c r="H96" s="56"/>
      <c r="I96" s="55"/>
      <c r="J96" s="56"/>
      <c r="K96" s="56"/>
      <c r="L96" s="56"/>
      <c r="M96" s="56"/>
      <c r="N96" s="56"/>
      <c r="O96" s="57"/>
      <c r="P96" s="56"/>
      <c r="Q96" s="58">
        <f t="shared" si="13"/>
        <v>-2950.64</v>
      </c>
      <c r="R96" s="58"/>
      <c r="S96" s="56"/>
    </row>
    <row r="97" ht="20" customHeight="1" spans="2:19">
      <c r="B97" s="42"/>
      <c r="C97" s="42"/>
      <c r="D97" s="42"/>
      <c r="E97" s="44"/>
      <c r="F97" s="45"/>
      <c r="G97" s="56"/>
      <c r="H97" s="56"/>
      <c r="I97" s="55"/>
      <c r="J97" s="56"/>
      <c r="K97" s="56"/>
      <c r="L97" s="56"/>
      <c r="M97" s="56"/>
      <c r="N97" s="56"/>
      <c r="O97" s="57"/>
      <c r="P97" s="56"/>
      <c r="Q97" s="58">
        <f t="shared" si="13"/>
        <v>-2950.64</v>
      </c>
      <c r="R97" s="58"/>
      <c r="S97" s="56"/>
    </row>
    <row r="98" ht="20" customHeight="1" spans="2:19">
      <c r="B98" s="42"/>
      <c r="C98" s="42"/>
      <c r="D98" s="42"/>
      <c r="E98" s="44"/>
      <c r="F98" s="45"/>
      <c r="G98" s="56"/>
      <c r="H98" s="56"/>
      <c r="I98" s="55"/>
      <c r="J98" s="56"/>
      <c r="K98" s="56"/>
      <c r="L98" s="56"/>
      <c r="M98" s="56"/>
      <c r="N98" s="56"/>
      <c r="O98" s="57"/>
      <c r="P98" s="56"/>
      <c r="Q98" s="58">
        <f t="shared" si="13"/>
        <v>-2950.64</v>
      </c>
      <c r="R98" s="58"/>
      <c r="S98" s="56"/>
    </row>
    <row r="99" ht="20" customHeight="1" spans="2:19">
      <c r="B99" s="42"/>
      <c r="C99" s="42"/>
      <c r="D99" s="42"/>
      <c r="E99" s="44"/>
      <c r="F99" s="45"/>
      <c r="G99" s="56"/>
      <c r="H99" s="56"/>
      <c r="I99" s="55"/>
      <c r="J99" s="56"/>
      <c r="K99" s="56"/>
      <c r="L99" s="56"/>
      <c r="M99" s="56"/>
      <c r="N99" s="56"/>
      <c r="O99" s="57"/>
      <c r="P99" s="56"/>
      <c r="Q99" s="58">
        <f t="shared" si="13"/>
        <v>-2950.64</v>
      </c>
      <c r="R99" s="58"/>
      <c r="S99" s="56"/>
    </row>
    <row r="100" ht="20" customHeight="1" spans="2:19">
      <c r="B100" s="42"/>
      <c r="C100" s="42"/>
      <c r="D100" s="42"/>
      <c r="E100" s="44"/>
      <c r="F100" s="45"/>
      <c r="G100" s="56"/>
      <c r="H100" s="56"/>
      <c r="I100" s="55"/>
      <c r="J100" s="56"/>
      <c r="K100" s="56"/>
      <c r="L100" s="56"/>
      <c r="M100" s="56"/>
      <c r="N100" s="56"/>
      <c r="O100" s="57"/>
      <c r="P100" s="56"/>
      <c r="Q100" s="58">
        <f t="shared" si="13"/>
        <v>-2950.64</v>
      </c>
      <c r="R100" s="58"/>
      <c r="S100" s="56"/>
    </row>
    <row r="101" ht="20" customHeight="1" spans="2:19">
      <c r="B101" s="42"/>
      <c r="C101" s="42"/>
      <c r="D101" s="42"/>
      <c r="E101" s="44"/>
      <c r="F101" s="45"/>
      <c r="G101" s="56"/>
      <c r="H101" s="56"/>
      <c r="I101" s="55"/>
      <c r="J101" s="56"/>
      <c r="K101" s="56"/>
      <c r="L101" s="56"/>
      <c r="M101" s="56"/>
      <c r="N101" s="56"/>
      <c r="O101" s="57"/>
      <c r="P101" s="56"/>
      <c r="Q101" s="58">
        <f t="shared" si="13"/>
        <v>-2950.64</v>
      </c>
      <c r="R101" s="58"/>
      <c r="S101" s="56"/>
    </row>
    <row r="102" ht="20" customHeight="1" spans="2:19">
      <c r="B102" s="42"/>
      <c r="C102" s="42"/>
      <c r="D102" s="42"/>
      <c r="E102" s="44"/>
      <c r="F102" s="45"/>
      <c r="G102" s="56"/>
      <c r="H102" s="56"/>
      <c r="I102" s="55"/>
      <c r="J102" s="56"/>
      <c r="K102" s="56"/>
      <c r="L102" s="56"/>
      <c r="M102" s="56"/>
      <c r="N102" s="56"/>
      <c r="O102" s="57"/>
      <c r="P102" s="56"/>
      <c r="Q102" s="58">
        <f t="shared" si="13"/>
        <v>-2950.64</v>
      </c>
      <c r="R102" s="58"/>
      <c r="S102" s="56"/>
    </row>
    <row r="103" ht="20" customHeight="1" spans="2:19">
      <c r="B103" s="42"/>
      <c r="C103" s="42"/>
      <c r="D103" s="42"/>
      <c r="E103" s="44"/>
      <c r="F103" s="45"/>
      <c r="G103" s="56"/>
      <c r="H103" s="56"/>
      <c r="I103" s="55"/>
      <c r="J103" s="56"/>
      <c r="K103" s="56"/>
      <c r="L103" s="56"/>
      <c r="M103" s="56"/>
      <c r="N103" s="56"/>
      <c r="O103" s="57"/>
      <c r="P103" s="56"/>
      <c r="Q103" s="58">
        <f t="shared" si="13"/>
        <v>-2950.64</v>
      </c>
      <c r="R103" s="58"/>
      <c r="S103" s="56"/>
    </row>
    <row r="104" ht="20" customHeight="1" spans="2:19">
      <c r="B104" s="42"/>
      <c r="C104" s="42"/>
      <c r="D104" s="42"/>
      <c r="E104" s="44"/>
      <c r="F104" s="45"/>
      <c r="G104" s="56"/>
      <c r="H104" s="56"/>
      <c r="I104" s="55"/>
      <c r="J104" s="56"/>
      <c r="K104" s="56"/>
      <c r="L104" s="56"/>
      <c r="M104" s="56"/>
      <c r="N104" s="56"/>
      <c r="O104" s="57"/>
      <c r="P104" s="56"/>
      <c r="Q104" s="58">
        <f t="shared" si="13"/>
        <v>-2950.64</v>
      </c>
      <c r="R104" s="58"/>
      <c r="S104" s="56"/>
    </row>
    <row r="105" ht="20" customHeight="1" spans="2:19">
      <c r="B105" s="42"/>
      <c r="C105" s="42"/>
      <c r="D105" s="42"/>
      <c r="E105" s="44"/>
      <c r="F105" s="45"/>
      <c r="G105" s="56"/>
      <c r="H105" s="56"/>
      <c r="I105" s="55"/>
      <c r="J105" s="56"/>
      <c r="K105" s="56"/>
      <c r="L105" s="56"/>
      <c r="M105" s="56"/>
      <c r="N105" s="56"/>
      <c r="O105" s="57"/>
      <c r="P105" s="56"/>
      <c r="Q105" s="58">
        <f t="shared" si="13"/>
        <v>-2950.64</v>
      </c>
      <c r="R105" s="58"/>
      <c r="S105" s="56"/>
    </row>
    <row r="106" ht="20" customHeight="1" spans="2:19">
      <c r="B106" s="42"/>
      <c r="C106" s="42"/>
      <c r="D106" s="42"/>
      <c r="E106" s="44"/>
      <c r="F106" s="45"/>
      <c r="G106" s="56"/>
      <c r="H106" s="56"/>
      <c r="I106" s="55"/>
      <c r="J106" s="56"/>
      <c r="K106" s="56"/>
      <c r="L106" s="56"/>
      <c r="M106" s="56"/>
      <c r="N106" s="56"/>
      <c r="O106" s="57"/>
      <c r="P106" s="56"/>
      <c r="Q106" s="58">
        <f t="shared" si="13"/>
        <v>-2950.64</v>
      </c>
      <c r="R106" s="58"/>
      <c r="S106" s="56"/>
    </row>
    <row r="107" ht="20" customHeight="1" spans="2:19">
      <c r="B107" s="42"/>
      <c r="C107" s="42"/>
      <c r="D107" s="42"/>
      <c r="E107" s="44"/>
      <c r="F107" s="45"/>
      <c r="G107" s="56"/>
      <c r="H107" s="56"/>
      <c r="I107" s="55"/>
      <c r="J107" s="56"/>
      <c r="K107" s="56"/>
      <c r="L107" s="56"/>
      <c r="M107" s="56"/>
      <c r="N107" s="56"/>
      <c r="O107" s="57"/>
      <c r="P107" s="56"/>
      <c r="Q107" s="58">
        <f t="shared" si="13"/>
        <v>-2950.64</v>
      </c>
      <c r="R107" s="58"/>
      <c r="S107" s="56"/>
    </row>
    <row r="108" ht="20" customHeight="1" spans="2:19">
      <c r="B108" s="42"/>
      <c r="C108" s="42"/>
      <c r="D108" s="42"/>
      <c r="E108" s="44"/>
      <c r="F108" s="45"/>
      <c r="G108" s="56"/>
      <c r="H108" s="56"/>
      <c r="I108" s="55"/>
      <c r="J108" s="56"/>
      <c r="K108" s="56"/>
      <c r="L108" s="56"/>
      <c r="M108" s="56"/>
      <c r="N108" s="56"/>
      <c r="O108" s="57"/>
      <c r="P108" s="56"/>
      <c r="Q108" s="58">
        <f t="shared" si="13"/>
        <v>-2950.64</v>
      </c>
      <c r="R108" s="58"/>
      <c r="S108" s="56"/>
    </row>
    <row r="1048318" spans="20:20">
      <c r="T1048318"/>
    </row>
    <row r="1048319" spans="20:20">
      <c r="T1048319"/>
    </row>
    <row r="1048320" spans="20:20">
      <c r="T1048320"/>
    </row>
    <row r="1048321" spans="20:20">
      <c r="T1048321"/>
    </row>
    <row r="1048322" spans="20:20">
      <c r="T1048322"/>
    </row>
    <row r="1048323" spans="20:20">
      <c r="T1048323"/>
    </row>
    <row r="1048324" spans="20:20">
      <c r="T1048324"/>
    </row>
    <row r="1048325" spans="20:20">
      <c r="T1048325"/>
    </row>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spans="20:20">
      <c r="T1048467" s="3"/>
    </row>
    <row r="1048468" customFormat="1" spans="20:20">
      <c r="T1048468" s="3"/>
    </row>
    <row r="1048469" customFormat="1" spans="20:20">
      <c r="T1048469" s="3"/>
    </row>
    <row r="1048470" customFormat="1" spans="20:20">
      <c r="T1048470" s="3"/>
    </row>
    <row r="1048471" customFormat="1" spans="20:20">
      <c r="T1048471" s="3"/>
    </row>
    <row r="1048472" customFormat="1" spans="20:20">
      <c r="T1048472" s="3"/>
    </row>
    <row r="1048473" customFormat="1" spans="20:20">
      <c r="T1048473" s="3"/>
    </row>
    <row r="1048474" customFormat="1" spans="20:20">
      <c r="T1048474" s="3"/>
    </row>
  </sheetData>
  <autoFilter xmlns:etc="http://www.wps.cn/officeDocument/2017/etCustomData" ref="A4:Y108" etc:filterBottomFollowUsedRange="0">
    <extLst/>
  </autoFilter>
  <mergeCells count="5">
    <mergeCell ref="B1:S1"/>
    <mergeCell ref="G3:O3"/>
    <mergeCell ref="P3:P4"/>
    <mergeCell ref="Q3:Q4"/>
    <mergeCell ref="R3:R4"/>
  </mergeCells>
  <dataValidations count="2">
    <dataValidation type="list" allowBlank="1" showInputMessage="1" showErrorMessage="1" sqref="R22 R33 R41 R48 R56 R61">
      <formula1>"易佰兴,林燊,农商银行,城市佰兴财务,物业微信"</formula1>
    </dataValidation>
    <dataValidation type="list" allowBlank="1" showInputMessage="1" showErrorMessage="1" sqref="D5:D108">
      <formula1>付费项!$B$2:$B$77</formula1>
    </dataValidation>
  </dataValidations>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27"/>
  <dimension ref="A1:X1048506"/>
  <sheetViews>
    <sheetView workbookViewId="0">
      <pane xSplit="5" ySplit="5" topLeftCell="F105" activePane="bottomRight" state="frozen"/>
      <selection/>
      <selection pane="topRight"/>
      <selection pane="bottomLeft"/>
      <selection pane="bottomRight" activeCell="D122" sqref="D122"/>
    </sheetView>
  </sheetViews>
  <sheetFormatPr defaultColWidth="9" defaultRowHeight="13.5"/>
  <cols>
    <col min="1" max="1" width="8.36666666666667" style="3" customWidth="1"/>
    <col min="2" max="3" width="4.81666666666667" style="3" customWidth="1"/>
    <col min="4" max="4" width="31.5416666666667" style="3" customWidth="1"/>
    <col min="5" max="5" width="43" style="3" customWidth="1"/>
    <col min="6" max="6" width="13.0916666666667" style="3" customWidth="1"/>
    <col min="7" max="7" width="10.9083333333333" style="3" customWidth="1"/>
    <col min="8" max="8" width="10.6333333333333" style="3" customWidth="1"/>
    <col min="9" max="9" width="10.0916666666667" style="3" customWidth="1"/>
    <col min="10" max="11" width="9.36666666666667" style="3" customWidth="1"/>
    <col min="12" max="12" width="10.0916666666667" style="3" customWidth="1"/>
    <col min="13" max="13" width="6.725" style="3" customWidth="1"/>
    <col min="14" max="15" width="13.0916666666667" style="3" customWidth="1"/>
    <col min="16" max="16" width="13.3666666666667" style="3" hidden="1" customWidth="1"/>
    <col min="17" max="17" width="13.3666666666667" style="3" customWidth="1"/>
    <col min="18" max="18" width="25.2666666666667" style="3" customWidth="1"/>
    <col min="19" max="16384" width="9" style="3"/>
  </cols>
  <sheetData>
    <row r="1" ht="27.65" customHeight="1" spans="1:24">
      <c r="A1" s="4" t="str">
        <f>HYPERLINK("#目录!a1","返回目录")</f>
        <v>返回目录</v>
      </c>
      <c r="B1" s="5" t="s">
        <v>3634</v>
      </c>
      <c r="C1" s="5"/>
      <c r="D1" s="5"/>
      <c r="E1" s="5"/>
      <c r="F1" s="5"/>
      <c r="G1" s="5"/>
      <c r="H1" s="5"/>
      <c r="I1" s="5"/>
      <c r="J1" s="5"/>
      <c r="K1" s="5"/>
      <c r="L1" s="5"/>
      <c r="M1" s="5"/>
      <c r="N1" s="5"/>
      <c r="O1" s="5"/>
      <c r="P1" s="5"/>
      <c r="Q1" s="5"/>
      <c r="R1" s="5"/>
      <c r="S1" s="6"/>
      <c r="T1" s="6"/>
      <c r="U1" s="6"/>
      <c r="V1" s="6"/>
      <c r="W1" s="6"/>
      <c r="X1" s="6"/>
    </row>
    <row r="2" ht="20.25" customHeight="1" spans="1:24">
      <c r="A2" s="7"/>
      <c r="B2" s="8"/>
      <c r="C2" s="8"/>
      <c r="D2" s="8"/>
      <c r="E2" s="8"/>
      <c r="F2" s="8"/>
      <c r="G2" s="8"/>
      <c r="H2" s="8"/>
      <c r="I2" s="8"/>
      <c r="J2" s="8"/>
      <c r="K2" s="8"/>
      <c r="L2" s="8"/>
      <c r="M2" s="8"/>
      <c r="N2" s="8"/>
      <c r="O2" s="8"/>
      <c r="P2" s="8"/>
      <c r="Q2" s="8"/>
      <c r="R2" s="8"/>
      <c r="S2" s="6"/>
      <c r="T2" s="6"/>
      <c r="U2" s="6"/>
      <c r="V2" s="6"/>
      <c r="W2" s="6"/>
      <c r="X2" s="6"/>
    </row>
    <row r="3" ht="20.25" customHeight="1" spans="1:24">
      <c r="A3" s="9"/>
      <c r="B3" s="10"/>
      <c r="C3" s="10"/>
      <c r="D3" s="10"/>
      <c r="E3" s="10"/>
      <c r="F3" s="11" t="s">
        <v>11</v>
      </c>
      <c r="G3" s="12"/>
      <c r="H3" s="12"/>
      <c r="I3" s="12"/>
      <c r="J3" s="12"/>
      <c r="K3" s="12"/>
      <c r="L3" s="12"/>
      <c r="M3" s="12"/>
      <c r="N3" s="13"/>
      <c r="O3" s="10" t="s">
        <v>12</v>
      </c>
      <c r="P3" s="10" t="s">
        <v>13</v>
      </c>
      <c r="Q3" s="10" t="s">
        <v>13</v>
      </c>
      <c r="R3" s="10"/>
    </row>
    <row r="4" ht="20.25" customHeight="1" spans="1:24">
      <c r="A4" s="7"/>
      <c r="B4" s="10" t="s">
        <v>6</v>
      </c>
      <c r="C4" s="10" t="s">
        <v>7</v>
      </c>
      <c r="D4" s="10" t="s">
        <v>9</v>
      </c>
      <c r="E4" s="10" t="s">
        <v>10</v>
      </c>
      <c r="F4" s="10" t="s">
        <v>474</v>
      </c>
      <c r="G4" s="10" t="s">
        <v>475</v>
      </c>
      <c r="H4" s="10" t="s">
        <v>124</v>
      </c>
      <c r="I4" s="10" t="s">
        <v>68</v>
      </c>
      <c r="J4" s="10" t="s">
        <v>116</v>
      </c>
      <c r="K4" s="10" t="s">
        <v>3359</v>
      </c>
      <c r="L4" s="10" t="s">
        <v>477</v>
      </c>
      <c r="M4" s="10" t="s">
        <v>478</v>
      </c>
      <c r="N4" s="10" t="s">
        <v>11</v>
      </c>
      <c r="O4" s="14"/>
      <c r="P4" s="14"/>
      <c r="Q4" s="14"/>
      <c r="R4" s="10" t="s">
        <v>14</v>
      </c>
    </row>
    <row r="5" ht="20.25" customHeight="1" spans="1:24">
      <c r="A5" s="7"/>
      <c r="B5" s="15"/>
      <c r="C5" s="15"/>
      <c r="D5" s="16"/>
      <c r="E5" s="15" t="s">
        <v>15</v>
      </c>
      <c r="F5" s="17"/>
      <c r="G5" s="17"/>
      <c r="H5" s="17"/>
      <c r="I5" s="18"/>
      <c r="J5" s="17"/>
      <c r="K5" s="17"/>
      <c r="L5" s="18"/>
      <c r="M5" s="18"/>
      <c r="N5" s="19"/>
      <c r="O5" s="18"/>
      <c r="P5" s="20">
        <v>46768.81</v>
      </c>
      <c r="Q5" s="20">
        <v>46768.81</v>
      </c>
      <c r="R5" s="21"/>
    </row>
    <row r="6" ht="20.25" customHeight="1" spans="1:24">
      <c r="A6" s="7"/>
      <c r="B6" s="15">
        <v>1</v>
      </c>
      <c r="C6" s="15">
        <v>2</v>
      </c>
      <c r="D6" s="16" t="s">
        <v>3615</v>
      </c>
      <c r="E6" s="22" t="s">
        <v>3635</v>
      </c>
      <c r="F6" s="17"/>
      <c r="G6" s="17"/>
      <c r="H6" s="17"/>
      <c r="I6" s="18"/>
      <c r="J6" s="17"/>
      <c r="K6" s="17"/>
      <c r="L6" s="18"/>
      <c r="M6" s="18"/>
      <c r="N6" s="19"/>
      <c r="O6" s="18">
        <v>3011.97</v>
      </c>
      <c r="P6" s="20">
        <f t="shared" ref="P6:P33" si="0">P5+N6-O6</f>
        <v>43756.84</v>
      </c>
      <c r="Q6" s="20">
        <f t="shared" ref="Q6:Q33" si="1">Q5+N6-O6</f>
        <v>43756.84</v>
      </c>
      <c r="R6" s="21"/>
    </row>
    <row r="7" ht="40.5" customHeight="1" spans="1:24">
      <c r="A7" s="7"/>
      <c r="B7" s="15">
        <v>1</v>
      </c>
      <c r="C7" s="15">
        <v>5</v>
      </c>
      <c r="D7" s="16" t="s">
        <v>3636</v>
      </c>
      <c r="E7" s="22" t="s">
        <v>3637</v>
      </c>
      <c r="F7" s="17">
        <v>12775</v>
      </c>
      <c r="G7" s="17">
        <v>1225</v>
      </c>
      <c r="H7" s="23">
        <v>70.49</v>
      </c>
      <c r="I7" s="23"/>
      <c r="J7" s="23"/>
      <c r="K7" s="23"/>
      <c r="L7" s="23"/>
      <c r="M7" s="18"/>
      <c r="N7" s="23">
        <f>SUM(F7:M7)-L7</f>
        <v>14070.49</v>
      </c>
      <c r="O7" s="18"/>
      <c r="P7" s="20">
        <f t="shared" si="0"/>
        <v>57827.33</v>
      </c>
      <c r="Q7" s="20">
        <f t="shared" si="1"/>
        <v>57827.33</v>
      </c>
      <c r="R7" s="24"/>
    </row>
    <row r="8" ht="20.25" customHeight="1" spans="1:24">
      <c r="A8" s="7"/>
      <c r="B8" s="15">
        <v>1</v>
      </c>
      <c r="C8" s="15">
        <v>5</v>
      </c>
      <c r="D8" s="16" t="s">
        <v>3383</v>
      </c>
      <c r="E8" s="22" t="s">
        <v>3638</v>
      </c>
      <c r="F8" s="17">
        <v>8960</v>
      </c>
      <c r="G8" s="17">
        <v>1120</v>
      </c>
      <c r="H8" s="23"/>
      <c r="I8" s="23"/>
      <c r="J8" s="23"/>
      <c r="K8" s="23"/>
      <c r="L8" s="23"/>
      <c r="M8" s="18"/>
      <c r="N8" s="23">
        <f>SUM(F8:M8)-L8</f>
        <v>10080</v>
      </c>
      <c r="O8" s="18"/>
      <c r="P8" s="20">
        <f t="shared" si="0"/>
        <v>67907.33</v>
      </c>
      <c r="Q8" s="20">
        <f t="shared" si="1"/>
        <v>67907.33</v>
      </c>
      <c r="R8" s="25"/>
    </row>
    <row r="9" ht="20.25" customHeight="1" spans="1:24">
      <c r="A9" s="7"/>
      <c r="B9" s="15">
        <v>1</v>
      </c>
      <c r="C9" s="15">
        <v>6</v>
      </c>
      <c r="D9" s="16" t="s">
        <v>3381</v>
      </c>
      <c r="E9" s="22" t="s">
        <v>3639</v>
      </c>
      <c r="F9" s="17">
        <v>9375</v>
      </c>
      <c r="G9" s="17">
        <v>2625</v>
      </c>
      <c r="H9" s="23"/>
      <c r="I9" s="23"/>
      <c r="J9" s="23"/>
      <c r="K9" s="23"/>
      <c r="L9" s="23"/>
      <c r="M9" s="18"/>
      <c r="N9" s="23">
        <f>SUM(F9:M9)-L9</f>
        <v>12000</v>
      </c>
      <c r="O9" s="18"/>
      <c r="P9" s="20">
        <f t="shared" si="0"/>
        <v>79907.33</v>
      </c>
      <c r="Q9" s="20">
        <f t="shared" si="1"/>
        <v>79907.33</v>
      </c>
      <c r="R9" s="21"/>
    </row>
    <row r="10" ht="20.25" customHeight="1" spans="1:24">
      <c r="A10" s="7"/>
      <c r="B10" s="15">
        <v>1</v>
      </c>
      <c r="C10" s="15">
        <v>7</v>
      </c>
      <c r="D10" s="16" t="s">
        <v>3336</v>
      </c>
      <c r="E10" s="22" t="s">
        <v>3640</v>
      </c>
      <c r="F10" s="17"/>
      <c r="G10" s="17"/>
      <c r="H10" s="23"/>
      <c r="I10" s="23"/>
      <c r="J10" s="23"/>
      <c r="K10" s="23"/>
      <c r="L10" s="23"/>
      <c r="M10" s="18"/>
      <c r="N10" s="23">
        <v>100000</v>
      </c>
      <c r="O10" s="18"/>
      <c r="P10" s="20">
        <f t="shared" si="0"/>
        <v>179907.33</v>
      </c>
      <c r="Q10" s="20">
        <f t="shared" si="1"/>
        <v>179907.33</v>
      </c>
      <c r="R10" s="21"/>
    </row>
    <row r="11" ht="20.25" customHeight="1" spans="1:24">
      <c r="A11" s="7"/>
      <c r="B11" s="15">
        <v>1</v>
      </c>
      <c r="C11" s="15">
        <v>7</v>
      </c>
      <c r="D11" s="16" t="s">
        <v>3368</v>
      </c>
      <c r="E11" s="22" t="s">
        <v>3641</v>
      </c>
      <c r="F11" s="23"/>
      <c r="G11" s="23"/>
      <c r="H11" s="23"/>
      <c r="I11" s="23"/>
      <c r="J11" s="23"/>
      <c r="K11" s="23"/>
      <c r="L11" s="23"/>
      <c r="M11" s="18"/>
      <c r="N11" s="23"/>
      <c r="O11" s="18">
        <v>157266.2</v>
      </c>
      <c r="P11" s="20">
        <f t="shared" si="0"/>
        <v>22641.13</v>
      </c>
      <c r="Q11" s="20">
        <f t="shared" si="1"/>
        <v>22641.13</v>
      </c>
      <c r="R11" s="21"/>
    </row>
    <row r="12" ht="20.25" customHeight="1" spans="1:24">
      <c r="A12" s="7"/>
      <c r="B12" s="15">
        <v>1</v>
      </c>
      <c r="C12" s="15">
        <v>7</v>
      </c>
      <c r="D12" s="16" t="s">
        <v>3388</v>
      </c>
      <c r="E12" s="22" t="s">
        <v>3642</v>
      </c>
      <c r="F12" s="23">
        <v>3000</v>
      </c>
      <c r="G12" s="23"/>
      <c r="H12" s="23"/>
      <c r="I12" s="23"/>
      <c r="J12" s="23"/>
      <c r="K12" s="23"/>
      <c r="L12" s="23"/>
      <c r="M12" s="18"/>
      <c r="N12" s="23"/>
      <c r="O12" s="18">
        <v>3000</v>
      </c>
      <c r="P12" s="20">
        <f t="shared" si="0"/>
        <v>19641.13</v>
      </c>
      <c r="Q12" s="20">
        <f t="shared" si="1"/>
        <v>19641.13</v>
      </c>
      <c r="R12" s="21"/>
    </row>
    <row r="13" ht="20.25" customHeight="1" spans="1:24">
      <c r="A13" s="7"/>
      <c r="B13" s="15">
        <v>1</v>
      </c>
      <c r="C13" s="15">
        <v>7</v>
      </c>
      <c r="D13" s="16" t="s">
        <v>3403</v>
      </c>
      <c r="E13" s="22" t="s">
        <v>3643</v>
      </c>
      <c r="F13" s="23"/>
      <c r="G13" s="23"/>
      <c r="H13" s="23"/>
      <c r="I13" s="23"/>
      <c r="J13" s="23"/>
      <c r="K13" s="23"/>
      <c r="L13" s="23"/>
      <c r="M13" s="18"/>
      <c r="N13" s="23"/>
      <c r="O13" s="18">
        <v>4500</v>
      </c>
      <c r="P13" s="20">
        <f t="shared" si="0"/>
        <v>15141.13</v>
      </c>
      <c r="Q13" s="20">
        <f t="shared" si="1"/>
        <v>15141.13</v>
      </c>
      <c r="R13" s="21"/>
    </row>
    <row r="14" ht="20.25" customHeight="1" spans="1:24">
      <c r="A14" s="7"/>
      <c r="B14" s="15">
        <v>1</v>
      </c>
      <c r="C14" s="15">
        <v>7</v>
      </c>
      <c r="D14" s="16" t="s">
        <v>3385</v>
      </c>
      <c r="E14" s="22" t="s">
        <v>3644</v>
      </c>
      <c r="F14" s="17">
        <v>1299.83</v>
      </c>
      <c r="G14" s="17">
        <v>79.5</v>
      </c>
      <c r="H14" s="23">
        <v>4.57</v>
      </c>
      <c r="I14" s="23"/>
      <c r="J14" s="23"/>
      <c r="K14" s="23"/>
      <c r="L14" s="23"/>
      <c r="M14" s="18"/>
      <c r="N14" s="23">
        <f>SUM(F14:M14)-L14</f>
        <v>1383.9</v>
      </c>
      <c r="O14" s="18"/>
      <c r="P14" s="20">
        <f t="shared" si="0"/>
        <v>16525.03</v>
      </c>
      <c r="Q14" s="20">
        <f t="shared" si="1"/>
        <v>16525.03</v>
      </c>
      <c r="R14" s="21"/>
    </row>
    <row r="15" ht="20.25" customHeight="1" spans="1:24">
      <c r="A15" s="7"/>
      <c r="B15" s="15">
        <v>1</v>
      </c>
      <c r="C15" s="15">
        <v>7</v>
      </c>
      <c r="D15" s="16" t="s">
        <v>2806</v>
      </c>
      <c r="E15" s="22" t="s">
        <v>3645</v>
      </c>
      <c r="F15" s="17">
        <v>10769.1</v>
      </c>
      <c r="G15" s="17">
        <v>1230.9</v>
      </c>
      <c r="H15" s="23"/>
      <c r="I15" s="23"/>
      <c r="J15" s="23"/>
      <c r="K15" s="23"/>
      <c r="L15" s="23"/>
      <c r="M15" s="18"/>
      <c r="N15" s="23">
        <f>SUM(F15:M15)-L15</f>
        <v>12000</v>
      </c>
      <c r="O15" s="18"/>
      <c r="P15" s="20">
        <f t="shared" si="0"/>
        <v>28525.03</v>
      </c>
      <c r="Q15" s="20">
        <f t="shared" si="1"/>
        <v>28525.03</v>
      </c>
      <c r="R15" s="21"/>
    </row>
    <row r="16" ht="20.25" customHeight="1" spans="1:24">
      <c r="A16" s="7"/>
      <c r="B16" s="15">
        <v>1</v>
      </c>
      <c r="C16" s="15">
        <v>7</v>
      </c>
      <c r="D16" s="16" t="s">
        <v>3388</v>
      </c>
      <c r="E16" s="22" t="s">
        <v>3646</v>
      </c>
      <c r="F16" s="17">
        <v>7194</v>
      </c>
      <c r="G16" s="17">
        <v>2798.4</v>
      </c>
      <c r="H16" s="23"/>
      <c r="I16" s="23"/>
      <c r="J16" s="23"/>
      <c r="K16" s="23"/>
      <c r="L16" s="23"/>
      <c r="M16" s="18"/>
      <c r="N16" s="23">
        <f>SUM(F16:M16)-L16</f>
        <v>9992.4</v>
      </c>
      <c r="O16" s="18"/>
      <c r="P16" s="20">
        <f t="shared" si="0"/>
        <v>38517.43</v>
      </c>
      <c r="Q16" s="20">
        <f t="shared" si="1"/>
        <v>38517.43</v>
      </c>
      <c r="R16" s="21"/>
    </row>
    <row r="17" ht="20.25" customHeight="1" spans="1:18">
      <c r="A17" s="7"/>
      <c r="B17" s="15">
        <v>1</v>
      </c>
      <c r="C17" s="15">
        <v>10</v>
      </c>
      <c r="D17" s="16" t="s">
        <v>3407</v>
      </c>
      <c r="E17" s="22" t="s">
        <v>3647</v>
      </c>
      <c r="F17" s="17"/>
      <c r="G17" s="17"/>
      <c r="H17" s="23"/>
      <c r="I17" s="23"/>
      <c r="J17" s="17">
        <v>300</v>
      </c>
      <c r="K17" s="17"/>
      <c r="L17" s="23"/>
      <c r="M17" s="18"/>
      <c r="N17" s="23">
        <f>SUM(F17:M17)-L17</f>
        <v>300</v>
      </c>
      <c r="O17" s="18"/>
      <c r="P17" s="20">
        <f t="shared" si="0"/>
        <v>38817.43</v>
      </c>
      <c r="Q17" s="20">
        <f t="shared" si="1"/>
        <v>38817.43</v>
      </c>
      <c r="R17" s="21"/>
    </row>
    <row r="18" ht="20.25" customHeight="1" spans="1:18">
      <c r="A18" s="7"/>
      <c r="B18" s="15">
        <v>1</v>
      </c>
      <c r="C18" s="15">
        <v>14</v>
      </c>
      <c r="D18" s="16" t="s">
        <v>3611</v>
      </c>
      <c r="E18" s="22"/>
      <c r="F18" s="23"/>
      <c r="G18" s="23"/>
      <c r="H18" s="23"/>
      <c r="I18" s="23"/>
      <c r="J18" s="23"/>
      <c r="K18" s="23"/>
      <c r="L18" s="23"/>
      <c r="M18" s="18"/>
      <c r="N18" s="23"/>
      <c r="O18" s="18">
        <v>6</v>
      </c>
      <c r="P18" s="20">
        <f t="shared" si="0"/>
        <v>38811.43</v>
      </c>
      <c r="Q18" s="20">
        <f t="shared" si="1"/>
        <v>38811.43</v>
      </c>
      <c r="R18" s="21"/>
    </row>
    <row r="19" ht="20.25" customHeight="1" spans="1:18">
      <c r="A19" s="7"/>
      <c r="B19" s="15">
        <v>1</v>
      </c>
      <c r="C19" s="15">
        <v>15</v>
      </c>
      <c r="D19" s="16" t="s">
        <v>3611</v>
      </c>
      <c r="E19" s="22"/>
      <c r="F19" s="23"/>
      <c r="G19" s="23"/>
      <c r="H19" s="23"/>
      <c r="I19" s="23"/>
      <c r="J19" s="23"/>
      <c r="K19" s="23"/>
      <c r="L19" s="23"/>
      <c r="M19" s="18"/>
      <c r="N19" s="23"/>
      <c r="O19" s="18">
        <v>1530.18</v>
      </c>
      <c r="P19" s="20">
        <f t="shared" si="0"/>
        <v>37281.25</v>
      </c>
      <c r="Q19" s="20">
        <f t="shared" si="1"/>
        <v>37281.25</v>
      </c>
      <c r="R19" s="21"/>
    </row>
    <row r="20" ht="20.25" customHeight="1" spans="1:18">
      <c r="A20" s="7"/>
      <c r="B20" s="15">
        <v>1</v>
      </c>
      <c r="C20" s="15">
        <v>15</v>
      </c>
      <c r="D20" s="16" t="s">
        <v>3611</v>
      </c>
      <c r="E20" s="22"/>
      <c r="F20" s="23"/>
      <c r="G20" s="23"/>
      <c r="H20" s="23"/>
      <c r="I20" s="23"/>
      <c r="J20" s="23"/>
      <c r="K20" s="23"/>
      <c r="L20" s="23"/>
      <c r="M20" s="18"/>
      <c r="N20" s="23"/>
      <c r="O20" s="18">
        <v>11.3</v>
      </c>
      <c r="P20" s="20">
        <f t="shared" si="0"/>
        <v>37269.95</v>
      </c>
      <c r="Q20" s="20">
        <f t="shared" si="1"/>
        <v>37269.95</v>
      </c>
      <c r="R20" s="21"/>
    </row>
    <row r="21" ht="40.5" customHeight="1" spans="1:18">
      <c r="A21" s="7"/>
      <c r="B21" s="15">
        <v>1</v>
      </c>
      <c r="C21" s="15">
        <v>19</v>
      </c>
      <c r="D21" s="16" t="s">
        <v>2578</v>
      </c>
      <c r="E21" s="22" t="s">
        <v>3648</v>
      </c>
      <c r="F21" s="17">
        <v>38066.78</v>
      </c>
      <c r="G21" s="17"/>
      <c r="H21" s="23"/>
      <c r="I21" s="23"/>
      <c r="J21" s="23"/>
      <c r="K21" s="23"/>
      <c r="L21" s="23"/>
      <c r="M21" s="18"/>
      <c r="N21" s="23">
        <f>SUM(F21:M21)-L21</f>
        <v>38066.78</v>
      </c>
      <c r="O21" s="18"/>
      <c r="P21" s="20">
        <f t="shared" si="0"/>
        <v>75336.73</v>
      </c>
      <c r="Q21" s="20">
        <f t="shared" si="1"/>
        <v>75336.73</v>
      </c>
      <c r="R21" s="21"/>
    </row>
    <row r="22" ht="40.5" customHeight="1" spans="1:18">
      <c r="A22" s="7"/>
      <c r="B22" s="15">
        <v>1</v>
      </c>
      <c r="C22" s="15">
        <v>20</v>
      </c>
      <c r="D22" s="16" t="s">
        <v>3649</v>
      </c>
      <c r="E22" s="22" t="s">
        <v>3650</v>
      </c>
      <c r="F22" s="17">
        <v>5583.6</v>
      </c>
      <c r="G22" s="17">
        <v>846</v>
      </c>
      <c r="H22" s="23">
        <v>150.4</v>
      </c>
      <c r="I22" s="23"/>
      <c r="J22" s="23"/>
      <c r="K22" s="23"/>
      <c r="L22" s="23"/>
      <c r="M22" s="18"/>
      <c r="N22" s="23">
        <f>SUM(F22:M22)-L22</f>
        <v>6580</v>
      </c>
      <c r="O22" s="18"/>
      <c r="P22" s="20">
        <f t="shared" si="0"/>
        <v>81916.73</v>
      </c>
      <c r="Q22" s="20">
        <f t="shared" si="1"/>
        <v>81916.73</v>
      </c>
      <c r="R22" s="21"/>
    </row>
    <row r="23" ht="25" customHeight="1" spans="1:18">
      <c r="A23" s="7"/>
      <c r="B23" s="15">
        <v>1</v>
      </c>
      <c r="C23" s="15">
        <v>21</v>
      </c>
      <c r="D23" s="16" t="s">
        <v>2638</v>
      </c>
      <c r="E23" s="22" t="s">
        <v>3651</v>
      </c>
      <c r="F23" s="23"/>
      <c r="G23" s="23"/>
      <c r="H23" s="23"/>
      <c r="I23" s="23"/>
      <c r="J23" s="23"/>
      <c r="K23" s="23"/>
      <c r="L23" s="23"/>
      <c r="M23" s="18"/>
      <c r="N23" s="23"/>
      <c r="O23" s="18">
        <v>8783.33</v>
      </c>
      <c r="P23" s="20">
        <f t="shared" si="0"/>
        <v>73133.4</v>
      </c>
      <c r="Q23" s="20">
        <f t="shared" si="1"/>
        <v>73133.4</v>
      </c>
      <c r="R23" s="21"/>
    </row>
    <row r="24" ht="20.25" customHeight="1" spans="1:18">
      <c r="A24" s="7"/>
      <c r="B24" s="15">
        <v>1</v>
      </c>
      <c r="C24" s="15">
        <v>21</v>
      </c>
      <c r="D24" s="16" t="s">
        <v>2663</v>
      </c>
      <c r="E24" s="22" t="s">
        <v>3652</v>
      </c>
      <c r="F24" s="17">
        <v>3948</v>
      </c>
      <c r="G24" s="17">
        <v>620</v>
      </c>
      <c r="H24" s="23"/>
      <c r="I24" s="23"/>
      <c r="J24" s="23"/>
      <c r="K24" s="23"/>
      <c r="L24" s="23"/>
      <c r="M24" s="18"/>
      <c r="N24" s="23">
        <f>SUM(F24:M24)-L24</f>
        <v>4568</v>
      </c>
      <c r="O24" s="18"/>
      <c r="P24" s="20">
        <f t="shared" si="0"/>
        <v>77701.4</v>
      </c>
      <c r="Q24" s="20">
        <f t="shared" si="1"/>
        <v>77701.4</v>
      </c>
      <c r="R24" s="21"/>
    </row>
    <row r="25" ht="20.25" customHeight="1" spans="1:18">
      <c r="A25" s="7"/>
      <c r="B25" s="15">
        <v>1</v>
      </c>
      <c r="C25" s="15">
        <v>23</v>
      </c>
      <c r="D25" s="16" t="s">
        <v>3653</v>
      </c>
      <c r="E25" s="22" t="s">
        <v>3654</v>
      </c>
      <c r="F25" s="17">
        <v>3800</v>
      </c>
      <c r="G25" s="17"/>
      <c r="H25" s="23"/>
      <c r="I25" s="23"/>
      <c r="J25" s="23"/>
      <c r="K25" s="23"/>
      <c r="L25" s="23"/>
      <c r="M25" s="18"/>
      <c r="N25" s="23">
        <f>SUM(F25:M25)-L25</f>
        <v>3800</v>
      </c>
      <c r="O25" s="18"/>
      <c r="P25" s="20">
        <f t="shared" si="0"/>
        <v>81501.4</v>
      </c>
      <c r="Q25" s="20">
        <f t="shared" si="1"/>
        <v>81501.4</v>
      </c>
      <c r="R25" s="24" t="s">
        <v>3655</v>
      </c>
    </row>
    <row r="26" ht="20.25" customHeight="1" spans="1:18">
      <c r="A26" s="7"/>
      <c r="B26" s="15">
        <v>1</v>
      </c>
      <c r="C26" s="15">
        <v>24</v>
      </c>
      <c r="D26" s="16" t="s">
        <v>3611</v>
      </c>
      <c r="E26" s="22"/>
      <c r="F26" s="23"/>
      <c r="G26" s="23"/>
      <c r="H26" s="23"/>
      <c r="I26" s="23"/>
      <c r="J26" s="23"/>
      <c r="K26" s="23"/>
      <c r="L26" s="23"/>
      <c r="M26" s="18"/>
      <c r="N26" s="23"/>
      <c r="O26" s="18">
        <v>3031.98</v>
      </c>
      <c r="P26" s="20">
        <f t="shared" si="0"/>
        <v>78469.42</v>
      </c>
      <c r="Q26" s="20">
        <f t="shared" si="1"/>
        <v>78469.42</v>
      </c>
      <c r="R26" s="24"/>
    </row>
    <row r="27" ht="20.25" customHeight="1" spans="1:18">
      <c r="A27" s="7"/>
      <c r="B27" s="15">
        <v>1</v>
      </c>
      <c r="C27" s="15">
        <v>25</v>
      </c>
      <c r="D27" s="16" t="s">
        <v>164</v>
      </c>
      <c r="E27" s="22" t="s">
        <v>3614</v>
      </c>
      <c r="F27" s="23"/>
      <c r="G27" s="23"/>
      <c r="H27" s="23"/>
      <c r="I27" s="23"/>
      <c r="J27" s="23"/>
      <c r="K27" s="23"/>
      <c r="L27" s="23"/>
      <c r="M27" s="18"/>
      <c r="N27" s="23"/>
      <c r="O27" s="18">
        <v>125</v>
      </c>
      <c r="P27" s="20">
        <f t="shared" si="0"/>
        <v>78344.42</v>
      </c>
      <c r="Q27" s="20">
        <f t="shared" si="1"/>
        <v>78344.42</v>
      </c>
      <c r="R27" s="24"/>
    </row>
    <row r="28" ht="20.25" customHeight="1" spans="1:18">
      <c r="A28" s="7"/>
      <c r="B28" s="15">
        <v>1</v>
      </c>
      <c r="C28" s="15">
        <v>25</v>
      </c>
      <c r="D28" s="16" t="s">
        <v>164</v>
      </c>
      <c r="E28" s="22" t="s">
        <v>3614</v>
      </c>
      <c r="F28" s="23"/>
      <c r="G28" s="23"/>
      <c r="H28" s="23"/>
      <c r="I28" s="23"/>
      <c r="J28" s="23"/>
      <c r="K28" s="23"/>
      <c r="L28" s="23"/>
      <c r="M28" s="18"/>
      <c r="N28" s="23"/>
      <c r="O28" s="18">
        <v>309.55</v>
      </c>
      <c r="P28" s="20">
        <f t="shared" si="0"/>
        <v>78034.87</v>
      </c>
      <c r="Q28" s="20">
        <f t="shared" si="1"/>
        <v>78034.87</v>
      </c>
      <c r="R28" s="24"/>
    </row>
    <row r="29" ht="20.25" customHeight="1" spans="1:18">
      <c r="A29" s="7" t="s">
        <v>2044</v>
      </c>
      <c r="B29" s="15">
        <v>1</v>
      </c>
      <c r="C29" s="15">
        <v>26</v>
      </c>
      <c r="D29" s="16" t="s">
        <v>3615</v>
      </c>
      <c r="E29" s="22" t="s">
        <v>3656</v>
      </c>
      <c r="F29" s="23"/>
      <c r="G29" s="23"/>
      <c r="H29" s="23"/>
      <c r="I29" s="23"/>
      <c r="J29" s="23"/>
      <c r="K29" s="23"/>
      <c r="L29" s="23"/>
      <c r="M29" s="18"/>
      <c r="N29" s="23"/>
      <c r="O29" s="26">
        <v>10710.88</v>
      </c>
      <c r="P29" s="20">
        <f t="shared" si="0"/>
        <v>67323.99</v>
      </c>
      <c r="Q29" s="20">
        <f t="shared" si="1"/>
        <v>67323.99</v>
      </c>
      <c r="R29" s="24"/>
    </row>
    <row r="30" ht="20.25" customHeight="1" spans="1:18">
      <c r="A30" s="7"/>
      <c r="B30" s="15">
        <v>1</v>
      </c>
      <c r="C30" s="15">
        <v>26</v>
      </c>
      <c r="D30" s="16" t="s">
        <v>3370</v>
      </c>
      <c r="E30" s="22" t="s">
        <v>3657</v>
      </c>
      <c r="F30" s="23"/>
      <c r="G30" s="23"/>
      <c r="H30" s="23"/>
      <c r="I30" s="23"/>
      <c r="J30" s="23"/>
      <c r="K30" s="23"/>
      <c r="L30" s="23"/>
      <c r="M30" s="18"/>
      <c r="N30" s="23"/>
      <c r="O30" s="18">
        <v>3516.24</v>
      </c>
      <c r="P30" s="20">
        <f t="shared" si="0"/>
        <v>63807.75</v>
      </c>
      <c r="Q30" s="20">
        <f t="shared" si="1"/>
        <v>63807.75</v>
      </c>
      <c r="R30" s="24"/>
    </row>
    <row r="31" ht="20.25" customHeight="1" spans="1:18">
      <c r="A31" s="7"/>
      <c r="B31" s="15">
        <v>1</v>
      </c>
      <c r="C31" s="15">
        <v>27</v>
      </c>
      <c r="D31" s="16" t="s">
        <v>3658</v>
      </c>
      <c r="E31" s="22" t="s">
        <v>3659</v>
      </c>
      <c r="F31" s="17">
        <v>2611</v>
      </c>
      <c r="G31" s="17">
        <v>373</v>
      </c>
      <c r="H31" s="23"/>
      <c r="I31" s="23"/>
      <c r="J31" s="23"/>
      <c r="K31" s="23"/>
      <c r="L31" s="23"/>
      <c r="M31" s="18"/>
      <c r="N31" s="23">
        <f>SUM(F31:M31)-L31</f>
        <v>2984</v>
      </c>
      <c r="O31" s="18"/>
      <c r="P31" s="20">
        <f t="shared" si="0"/>
        <v>66791.75</v>
      </c>
      <c r="Q31" s="20">
        <f t="shared" si="1"/>
        <v>66791.75</v>
      </c>
      <c r="R31" s="21"/>
    </row>
    <row r="32" ht="20.25" customHeight="1" spans="1:18">
      <c r="A32" s="7"/>
      <c r="B32" s="15">
        <v>1</v>
      </c>
      <c r="C32" s="15">
        <v>29</v>
      </c>
      <c r="D32" s="16" t="s">
        <v>3368</v>
      </c>
      <c r="E32" s="22" t="s">
        <v>3660</v>
      </c>
      <c r="F32" s="23"/>
      <c r="G32" s="23"/>
      <c r="H32" s="23"/>
      <c r="I32" s="23"/>
      <c r="J32" s="23"/>
      <c r="K32" s="23"/>
      <c r="L32" s="23"/>
      <c r="M32" s="18"/>
      <c r="N32" s="23"/>
      <c r="O32" s="18">
        <v>50000</v>
      </c>
      <c r="P32" s="20">
        <f t="shared" si="0"/>
        <v>16791.75</v>
      </c>
      <c r="Q32" s="20">
        <f t="shared" si="1"/>
        <v>16791.75</v>
      </c>
      <c r="R32" s="21"/>
    </row>
    <row r="33" ht="20.25" customHeight="1" spans="1:18">
      <c r="A33" s="7"/>
      <c r="B33" s="15">
        <v>1</v>
      </c>
      <c r="C33" s="15">
        <v>30</v>
      </c>
      <c r="D33" s="16" t="s">
        <v>3381</v>
      </c>
      <c r="E33" s="22" t="s">
        <v>3661</v>
      </c>
      <c r="F33" s="17"/>
      <c r="G33" s="17"/>
      <c r="H33" s="23">
        <v>26.68</v>
      </c>
      <c r="I33" s="23"/>
      <c r="J33" s="23"/>
      <c r="K33" s="23"/>
      <c r="L33" s="23"/>
      <c r="M33" s="18"/>
      <c r="N33" s="23">
        <f>SUM(F33:M33)-L33</f>
        <v>26.68</v>
      </c>
      <c r="O33" s="18"/>
      <c r="P33" s="20">
        <f t="shared" si="0"/>
        <v>16818.43</v>
      </c>
      <c r="Q33" s="20">
        <f t="shared" si="1"/>
        <v>16818.43</v>
      </c>
      <c r="R33" s="21"/>
    </row>
    <row r="34" s="1" customFormat="1" ht="20.25" customHeight="1" spans="1:18">
      <c r="A34" s="7"/>
      <c r="B34" s="27"/>
      <c r="C34" s="27"/>
      <c r="D34" s="28"/>
      <c r="E34" s="27" t="s">
        <v>22</v>
      </c>
      <c r="F34" s="29">
        <f>SUM(F6:F33)</f>
        <v>107382.31</v>
      </c>
      <c r="G34" s="29">
        <f>SUM(G6:G33)</f>
        <v>10917.8</v>
      </c>
      <c r="H34" s="29">
        <f>SUM(H6:H33)</f>
        <v>252.14</v>
      </c>
      <c r="I34" s="29">
        <f>SUM(I6:I33)</f>
        <v>0</v>
      </c>
      <c r="J34" s="29">
        <f>SUM(J6:J33)</f>
        <v>300</v>
      </c>
      <c r="K34" s="29"/>
      <c r="L34" s="29">
        <f>SUM(L6:L33)</f>
        <v>0</v>
      </c>
      <c r="M34" s="29">
        <f>SUM(M6:M33)</f>
        <v>0</v>
      </c>
      <c r="N34" s="29">
        <f>SUM(N6:N33)</f>
        <v>215852.25</v>
      </c>
      <c r="O34" s="29">
        <f>SUM(O6:O33)</f>
        <v>245802.63</v>
      </c>
      <c r="P34" s="30">
        <f>P5+N34-O34</f>
        <v>16818.43</v>
      </c>
      <c r="Q34" s="30">
        <f>Q5+N34-O34</f>
        <v>16818.43</v>
      </c>
      <c r="R34" s="31"/>
    </row>
    <row r="35" ht="20.25" customHeight="1" spans="1:18">
      <c r="A35" s="7"/>
      <c r="B35" s="15">
        <v>2</v>
      </c>
      <c r="C35" s="15">
        <v>2</v>
      </c>
      <c r="D35" s="32" t="s">
        <v>3615</v>
      </c>
      <c r="E35" s="33" t="s">
        <v>3656</v>
      </c>
      <c r="F35" s="34"/>
      <c r="G35" s="34"/>
      <c r="H35" s="34"/>
      <c r="I35" s="34"/>
      <c r="J35" s="34"/>
      <c r="K35" s="34"/>
      <c r="L35" s="34"/>
      <c r="M35" s="35"/>
      <c r="N35" s="34">
        <f>SUM(F35:M35)-M35</f>
        <v>0</v>
      </c>
      <c r="O35" s="26">
        <v>4302.61</v>
      </c>
      <c r="P35" s="20">
        <f t="shared" ref="P35:P57" si="2">P34+N35-O35</f>
        <v>12515.82</v>
      </c>
      <c r="Q35" s="20">
        <f t="shared" ref="Q35:Q57" si="3">Q34+N35-O35</f>
        <v>12515.82</v>
      </c>
      <c r="R35" s="21"/>
    </row>
    <row r="36" ht="20.25" customHeight="1" spans="1:18">
      <c r="A36" s="7"/>
      <c r="B36" s="15">
        <v>2</v>
      </c>
      <c r="C36" s="15">
        <v>2</v>
      </c>
      <c r="D36" s="32" t="s">
        <v>3407</v>
      </c>
      <c r="E36" s="33" t="s">
        <v>3610</v>
      </c>
      <c r="F36" s="35"/>
      <c r="G36" s="35"/>
      <c r="H36" s="36"/>
      <c r="I36" s="35"/>
      <c r="J36" s="34">
        <v>300</v>
      </c>
      <c r="K36" s="34"/>
      <c r="L36" s="34"/>
      <c r="M36" s="34"/>
      <c r="N36" s="34">
        <f>SUM(F36:M36)-M36</f>
        <v>300</v>
      </c>
      <c r="O36" s="35"/>
      <c r="P36" s="20">
        <f t="shared" si="2"/>
        <v>12815.82</v>
      </c>
      <c r="Q36" s="20">
        <f t="shared" si="3"/>
        <v>12815.82</v>
      </c>
      <c r="R36" s="21"/>
    </row>
    <row r="37" ht="20.25" customHeight="1" spans="1:18">
      <c r="A37" s="7"/>
      <c r="B37" s="15">
        <v>2</v>
      </c>
      <c r="C37" s="15">
        <v>3</v>
      </c>
      <c r="D37" s="32" t="s">
        <v>3623</v>
      </c>
      <c r="E37" s="33" t="s">
        <v>3662</v>
      </c>
      <c r="F37" s="35"/>
      <c r="G37" s="35"/>
      <c r="H37" s="36"/>
      <c r="I37" s="35"/>
      <c r="J37" s="34"/>
      <c r="K37" s="34"/>
      <c r="L37" s="34"/>
      <c r="M37" s="34"/>
      <c r="N37" s="34">
        <v>100000</v>
      </c>
      <c r="O37" s="35"/>
      <c r="P37" s="20">
        <f t="shared" si="2"/>
        <v>112815.82</v>
      </c>
      <c r="Q37" s="20">
        <f t="shared" si="3"/>
        <v>112815.82</v>
      </c>
      <c r="R37" s="21"/>
    </row>
    <row r="38" ht="20.25" customHeight="1" spans="1:18">
      <c r="A38" s="7"/>
      <c r="B38" s="15">
        <v>2</v>
      </c>
      <c r="C38" s="15">
        <v>3</v>
      </c>
      <c r="D38" s="32" t="s">
        <v>3368</v>
      </c>
      <c r="E38" s="33" t="s">
        <v>3660</v>
      </c>
      <c r="F38" s="34"/>
      <c r="G38" s="34"/>
      <c r="H38" s="34"/>
      <c r="I38" s="34"/>
      <c r="J38" s="34"/>
      <c r="K38" s="34"/>
      <c r="L38" s="34"/>
      <c r="M38" s="34"/>
      <c r="N38" s="34">
        <f>SUM(F38:M38)-M38</f>
        <v>0</v>
      </c>
      <c r="O38" s="35">
        <v>100000</v>
      </c>
      <c r="P38" s="20">
        <f t="shared" si="2"/>
        <v>12815.82</v>
      </c>
      <c r="Q38" s="20">
        <f t="shared" si="3"/>
        <v>12815.82</v>
      </c>
      <c r="R38" s="21"/>
    </row>
    <row r="39" ht="20.25" customHeight="1" spans="1:18">
      <c r="A39" s="7"/>
      <c r="B39" s="15">
        <v>2</v>
      </c>
      <c r="C39" s="15">
        <v>7</v>
      </c>
      <c r="D39" s="32" t="s">
        <v>2822</v>
      </c>
      <c r="E39" s="33" t="s">
        <v>3663</v>
      </c>
      <c r="F39" s="35">
        <v>12775</v>
      </c>
      <c r="G39" s="35">
        <v>1225</v>
      </c>
      <c r="H39" s="34">
        <v>59.46</v>
      </c>
      <c r="I39" s="35"/>
      <c r="J39" s="34"/>
      <c r="K39" s="34"/>
      <c r="L39" s="34"/>
      <c r="M39" s="34"/>
      <c r="N39" s="36">
        <f>SUM(F39:M39)-M39</f>
        <v>14059.46</v>
      </c>
      <c r="O39" s="35"/>
      <c r="P39" s="20">
        <f t="shared" si="2"/>
        <v>26875.28</v>
      </c>
      <c r="Q39" s="20">
        <f t="shared" si="3"/>
        <v>26875.28</v>
      </c>
      <c r="R39" s="21"/>
    </row>
    <row r="40" ht="20.25" customHeight="1" spans="1:18">
      <c r="A40" s="7"/>
      <c r="B40" s="15">
        <v>2</v>
      </c>
      <c r="C40" s="15">
        <v>7</v>
      </c>
      <c r="D40" s="32" t="s">
        <v>3385</v>
      </c>
      <c r="E40" s="33" t="s">
        <v>3664</v>
      </c>
      <c r="F40" s="35">
        <v>1299.83</v>
      </c>
      <c r="G40" s="35">
        <v>79.5</v>
      </c>
      <c r="H40" s="34">
        <v>3.86</v>
      </c>
      <c r="I40" s="35"/>
      <c r="J40" s="34"/>
      <c r="K40" s="34"/>
      <c r="L40" s="34"/>
      <c r="M40" s="34"/>
      <c r="N40" s="36">
        <f>SUM(F40:M40)-M40</f>
        <v>1383.19</v>
      </c>
      <c r="O40" s="35"/>
      <c r="P40" s="20">
        <f t="shared" si="2"/>
        <v>28258.47</v>
      </c>
      <c r="Q40" s="20">
        <f t="shared" si="3"/>
        <v>28258.47</v>
      </c>
      <c r="R40" s="21"/>
    </row>
    <row r="41" ht="20.25" customHeight="1" spans="1:18">
      <c r="A41" s="7"/>
      <c r="B41" s="15">
        <v>2</v>
      </c>
      <c r="C41" s="15">
        <v>9</v>
      </c>
      <c r="D41" s="32" t="s">
        <v>3623</v>
      </c>
      <c r="E41" s="33" t="s">
        <v>3662</v>
      </c>
      <c r="F41" s="34"/>
      <c r="G41" s="34"/>
      <c r="H41" s="34"/>
      <c r="I41" s="34"/>
      <c r="J41" s="34"/>
      <c r="K41" s="34"/>
      <c r="L41" s="34"/>
      <c r="M41" s="34"/>
      <c r="N41" s="34">
        <v>57266.2</v>
      </c>
      <c r="O41" s="35"/>
      <c r="P41" s="20">
        <f t="shared" si="2"/>
        <v>85524.67</v>
      </c>
      <c r="Q41" s="20">
        <f t="shared" si="3"/>
        <v>85524.67</v>
      </c>
      <c r="R41" s="21"/>
    </row>
    <row r="42" ht="20.25" customHeight="1" spans="1:18">
      <c r="A42" s="7"/>
      <c r="B42" s="15">
        <v>2</v>
      </c>
      <c r="C42" s="15">
        <v>9</v>
      </c>
      <c r="D42" s="32" t="s">
        <v>2578</v>
      </c>
      <c r="E42" s="33" t="s">
        <v>3606</v>
      </c>
      <c r="F42" s="35">
        <v>1776.6</v>
      </c>
      <c r="G42" s="35"/>
      <c r="H42" s="36"/>
      <c r="I42" s="35"/>
      <c r="J42" s="34"/>
      <c r="K42" s="34"/>
      <c r="L42" s="34"/>
      <c r="M42" s="34"/>
      <c r="N42" s="36">
        <f t="shared" ref="N42:N50" si="4">SUM(F42:M42)-M42</f>
        <v>1776.6</v>
      </c>
      <c r="O42" s="35"/>
      <c r="P42" s="20">
        <f t="shared" si="2"/>
        <v>87301.27</v>
      </c>
      <c r="Q42" s="20">
        <f t="shared" si="3"/>
        <v>87301.27</v>
      </c>
      <c r="R42" s="21"/>
    </row>
    <row r="43" ht="20.25" customHeight="1" spans="1:18">
      <c r="A43" s="7"/>
      <c r="B43" s="15">
        <v>2</v>
      </c>
      <c r="C43" s="15">
        <v>9</v>
      </c>
      <c r="D43" s="32" t="s">
        <v>3368</v>
      </c>
      <c r="E43" s="33" t="s">
        <v>3660</v>
      </c>
      <c r="F43" s="35"/>
      <c r="G43" s="35"/>
      <c r="H43" s="36"/>
      <c r="I43" s="35"/>
      <c r="J43" s="34"/>
      <c r="K43" s="34"/>
      <c r="L43" s="34"/>
      <c r="M43" s="34"/>
      <c r="N43" s="34">
        <f t="shared" si="4"/>
        <v>0</v>
      </c>
      <c r="O43" s="35">
        <v>57266.2</v>
      </c>
      <c r="P43" s="20">
        <f t="shared" si="2"/>
        <v>30035.07</v>
      </c>
      <c r="Q43" s="20">
        <f t="shared" si="3"/>
        <v>30035.07</v>
      </c>
      <c r="R43" s="21"/>
    </row>
    <row r="44" s="2" customFormat="1" ht="20.25" customHeight="1" spans="1:18">
      <c r="A44" s="37"/>
      <c r="B44" s="38">
        <v>2</v>
      </c>
      <c r="C44" s="38">
        <v>9</v>
      </c>
      <c r="D44" s="32" t="s">
        <v>3378</v>
      </c>
      <c r="E44" s="33" t="s">
        <v>3665</v>
      </c>
      <c r="F44" s="34">
        <v>3436</v>
      </c>
      <c r="G44" s="34">
        <v>404.16</v>
      </c>
      <c r="H44" s="34"/>
      <c r="I44" s="34"/>
      <c r="J44" s="34"/>
      <c r="K44" s="34"/>
      <c r="L44" s="34"/>
      <c r="M44" s="34"/>
      <c r="N44" s="36">
        <f t="shared" si="4"/>
        <v>3840.16</v>
      </c>
      <c r="O44" s="35"/>
      <c r="P44" s="39">
        <f t="shared" si="2"/>
        <v>33875.23</v>
      </c>
      <c r="Q44" s="20">
        <f t="shared" si="3"/>
        <v>33875.23</v>
      </c>
      <c r="R44" s="40"/>
    </row>
    <row r="45" s="2" customFormat="1" ht="20.25" customHeight="1" spans="1:18">
      <c r="A45" s="37"/>
      <c r="B45" s="38">
        <v>2</v>
      </c>
      <c r="C45" s="38">
        <v>10</v>
      </c>
      <c r="D45" s="32" t="s">
        <v>3381</v>
      </c>
      <c r="E45" s="33" t="s">
        <v>3666</v>
      </c>
      <c r="F45" s="35"/>
      <c r="G45" s="35"/>
      <c r="H45" s="34">
        <v>21.24</v>
      </c>
      <c r="I45" s="35"/>
      <c r="J45" s="34"/>
      <c r="K45" s="34"/>
      <c r="L45" s="34"/>
      <c r="M45" s="34"/>
      <c r="N45" s="34">
        <f t="shared" si="4"/>
        <v>21.24</v>
      </c>
      <c r="O45" s="35"/>
      <c r="P45" s="39">
        <f t="shared" si="2"/>
        <v>33896.47</v>
      </c>
      <c r="Q45" s="20">
        <f t="shared" si="3"/>
        <v>33896.47</v>
      </c>
      <c r="R45" s="40"/>
    </row>
    <row r="46" s="2" customFormat="1" ht="20.25" customHeight="1" spans="1:18">
      <c r="A46" s="37"/>
      <c r="B46" s="38">
        <v>2</v>
      </c>
      <c r="C46" s="38">
        <v>10</v>
      </c>
      <c r="D46" s="32" t="s">
        <v>3421</v>
      </c>
      <c r="E46" s="33" t="s">
        <v>82</v>
      </c>
      <c r="F46" s="35"/>
      <c r="G46" s="35"/>
      <c r="H46" s="36"/>
      <c r="I46" s="35"/>
      <c r="J46" s="34"/>
      <c r="K46" s="34">
        <v>500</v>
      </c>
      <c r="L46" s="34"/>
      <c r="M46" s="34"/>
      <c r="N46" s="36">
        <f t="shared" si="4"/>
        <v>500</v>
      </c>
      <c r="O46" s="35"/>
      <c r="P46" s="39">
        <f t="shared" si="2"/>
        <v>34396.47</v>
      </c>
      <c r="Q46" s="20">
        <f t="shared" si="3"/>
        <v>34396.47</v>
      </c>
      <c r="R46" s="40"/>
    </row>
    <row r="47" s="2" customFormat="1" ht="20.25" customHeight="1" spans="1:18">
      <c r="A47" s="37"/>
      <c r="B47" s="38">
        <v>2</v>
      </c>
      <c r="C47" s="38">
        <v>11</v>
      </c>
      <c r="D47" s="32" t="s">
        <v>3388</v>
      </c>
      <c r="E47" s="33" t="s">
        <v>3608</v>
      </c>
      <c r="F47" s="34">
        <v>7194</v>
      </c>
      <c r="G47" s="34">
        <v>2798.4</v>
      </c>
      <c r="H47" s="34"/>
      <c r="I47" s="34"/>
      <c r="J47" s="34"/>
      <c r="K47" s="34"/>
      <c r="L47" s="34"/>
      <c r="M47" s="34"/>
      <c r="N47" s="36">
        <f t="shared" si="4"/>
        <v>9992.4</v>
      </c>
      <c r="O47" s="35"/>
      <c r="P47" s="39">
        <f t="shared" si="2"/>
        <v>44388.87</v>
      </c>
      <c r="Q47" s="20">
        <f t="shared" si="3"/>
        <v>44388.87</v>
      </c>
      <c r="R47" s="40"/>
    </row>
    <row r="48" s="2" customFormat="1" ht="20.25" customHeight="1" spans="1:18">
      <c r="A48" s="37"/>
      <c r="B48" s="38">
        <v>2</v>
      </c>
      <c r="C48" s="38">
        <v>11</v>
      </c>
      <c r="D48" s="32" t="s">
        <v>3383</v>
      </c>
      <c r="E48" s="33" t="s">
        <v>3609</v>
      </c>
      <c r="F48" s="35">
        <v>8960</v>
      </c>
      <c r="G48" s="35">
        <v>1120</v>
      </c>
      <c r="H48" s="36"/>
      <c r="I48" s="35"/>
      <c r="J48" s="34"/>
      <c r="K48" s="34"/>
      <c r="L48" s="34"/>
      <c r="M48" s="34"/>
      <c r="N48" s="36">
        <f t="shared" si="4"/>
        <v>10080</v>
      </c>
      <c r="O48" s="35"/>
      <c r="P48" s="39">
        <f t="shared" si="2"/>
        <v>54468.87</v>
      </c>
      <c r="Q48" s="20">
        <f t="shared" si="3"/>
        <v>54468.87</v>
      </c>
      <c r="R48" s="40"/>
    </row>
    <row r="49" s="2" customFormat="1" ht="40" customHeight="1" spans="1:18">
      <c r="A49" s="37"/>
      <c r="B49" s="38">
        <v>2</v>
      </c>
      <c r="C49" s="38">
        <v>12</v>
      </c>
      <c r="D49" s="32" t="s">
        <v>3611</v>
      </c>
      <c r="E49" s="33" t="s">
        <v>3667</v>
      </c>
      <c r="F49" s="35"/>
      <c r="G49" s="35"/>
      <c r="H49" s="36"/>
      <c r="I49" s="35"/>
      <c r="J49" s="34"/>
      <c r="K49" s="34"/>
      <c r="L49" s="34"/>
      <c r="M49" s="34"/>
      <c r="N49" s="34">
        <f t="shared" si="4"/>
        <v>0</v>
      </c>
      <c r="O49" s="35">
        <v>948.66</v>
      </c>
      <c r="P49" s="39">
        <f t="shared" si="2"/>
        <v>53520.21</v>
      </c>
      <c r="Q49" s="20">
        <f t="shared" si="3"/>
        <v>53520.21</v>
      </c>
      <c r="R49" s="40"/>
    </row>
    <row r="50" s="2" customFormat="1" ht="20.25" customHeight="1" spans="1:18">
      <c r="A50" s="37"/>
      <c r="B50" s="38">
        <v>2</v>
      </c>
      <c r="C50" s="38">
        <v>13</v>
      </c>
      <c r="D50" s="32" t="s">
        <v>2638</v>
      </c>
      <c r="E50" s="33" t="s">
        <v>3366</v>
      </c>
      <c r="F50" s="34"/>
      <c r="G50" s="34"/>
      <c r="H50" s="34"/>
      <c r="I50" s="34"/>
      <c r="J50" s="34"/>
      <c r="K50" s="34"/>
      <c r="L50" s="34"/>
      <c r="M50" s="34"/>
      <c r="N50" s="34">
        <f t="shared" si="4"/>
        <v>0</v>
      </c>
      <c r="O50" s="35">
        <v>41631.81</v>
      </c>
      <c r="P50" s="39">
        <f t="shared" si="2"/>
        <v>11888.4</v>
      </c>
      <c r="Q50" s="20">
        <f t="shared" si="3"/>
        <v>11888.4</v>
      </c>
      <c r="R50" s="40"/>
    </row>
    <row r="51" s="2" customFormat="1" ht="20.25" customHeight="1" spans="1:18">
      <c r="A51" s="37"/>
      <c r="B51" s="38">
        <v>2</v>
      </c>
      <c r="C51" s="38">
        <v>14</v>
      </c>
      <c r="D51" s="32" t="s">
        <v>3521</v>
      </c>
      <c r="E51" s="33" t="s">
        <v>3613</v>
      </c>
      <c r="F51" s="35">
        <v>5069.4</v>
      </c>
      <c r="G51" s="35">
        <v>930.6</v>
      </c>
      <c r="H51" s="36"/>
      <c r="I51" s="35"/>
      <c r="J51" s="34"/>
      <c r="K51" s="34"/>
      <c r="L51" s="34"/>
      <c r="M51" s="34"/>
      <c r="N51" s="34">
        <v>6000</v>
      </c>
      <c r="O51" s="35"/>
      <c r="P51" s="39">
        <f t="shared" si="2"/>
        <v>17888.4</v>
      </c>
      <c r="Q51" s="20">
        <f t="shared" si="3"/>
        <v>17888.4</v>
      </c>
      <c r="R51" s="40"/>
    </row>
    <row r="52" ht="20.25" customHeight="1" spans="1:18">
      <c r="A52" s="7"/>
      <c r="B52" s="15">
        <v>2</v>
      </c>
      <c r="C52" s="15">
        <v>17</v>
      </c>
      <c r="D52" s="32" t="s">
        <v>164</v>
      </c>
      <c r="E52" s="33" t="s">
        <v>3614</v>
      </c>
      <c r="F52" s="35"/>
      <c r="G52" s="35"/>
      <c r="H52" s="36"/>
      <c r="I52" s="35"/>
      <c r="J52" s="34"/>
      <c r="K52" s="34"/>
      <c r="L52" s="34"/>
      <c r="M52" s="34"/>
      <c r="N52" s="34">
        <f>SUM(F52:M52)-M52</f>
        <v>0</v>
      </c>
      <c r="O52" s="35">
        <v>287.7</v>
      </c>
      <c r="P52" s="20">
        <f t="shared" si="2"/>
        <v>17600.7</v>
      </c>
      <c r="Q52" s="20">
        <f t="shared" si="3"/>
        <v>17600.7</v>
      </c>
      <c r="R52" s="21"/>
    </row>
    <row r="53" ht="20.25" customHeight="1" spans="1:18">
      <c r="A53" s="7"/>
      <c r="B53" s="15">
        <v>2</v>
      </c>
      <c r="C53" s="15">
        <v>17</v>
      </c>
      <c r="D53" s="32" t="s">
        <v>164</v>
      </c>
      <c r="E53" s="33" t="s">
        <v>3614</v>
      </c>
      <c r="F53" s="34"/>
      <c r="G53" s="34"/>
      <c r="H53" s="34"/>
      <c r="I53" s="34"/>
      <c r="J53" s="34"/>
      <c r="K53" s="34"/>
      <c r="L53" s="34"/>
      <c r="M53" s="35"/>
      <c r="N53" s="34">
        <f>SUM(F53:M53)-M53</f>
        <v>0</v>
      </c>
      <c r="O53" s="35">
        <v>125</v>
      </c>
      <c r="P53" s="20">
        <f t="shared" si="2"/>
        <v>17475.7</v>
      </c>
      <c r="Q53" s="20">
        <f t="shared" si="3"/>
        <v>17475.7</v>
      </c>
      <c r="R53" s="21"/>
    </row>
    <row r="54" ht="20.25" customHeight="1" spans="1:18">
      <c r="A54" s="7"/>
      <c r="B54" s="15">
        <v>2</v>
      </c>
      <c r="C54" s="15">
        <v>21</v>
      </c>
      <c r="D54" s="32" t="s">
        <v>2638</v>
      </c>
      <c r="E54" s="33" t="s">
        <v>3651</v>
      </c>
      <c r="F54" s="34"/>
      <c r="G54" s="34"/>
      <c r="H54" s="34"/>
      <c r="I54" s="34"/>
      <c r="J54" s="34"/>
      <c r="K54" s="34"/>
      <c r="L54" s="34"/>
      <c r="M54" s="35"/>
      <c r="N54" s="34"/>
      <c r="O54" s="35">
        <v>8783.33</v>
      </c>
      <c r="P54" s="20">
        <f t="shared" si="2"/>
        <v>8692.36999999996</v>
      </c>
      <c r="Q54" s="20">
        <f t="shared" si="3"/>
        <v>8692.36999999996</v>
      </c>
      <c r="R54" s="21"/>
    </row>
    <row r="55" ht="20.25" customHeight="1" spans="1:18">
      <c r="A55" s="7"/>
      <c r="B55" s="15">
        <v>2</v>
      </c>
      <c r="C55" s="15">
        <v>26</v>
      </c>
      <c r="D55" s="32" t="s">
        <v>3615</v>
      </c>
      <c r="E55" s="33" t="s">
        <v>3375</v>
      </c>
      <c r="F55" s="35"/>
      <c r="G55" s="35"/>
      <c r="H55" s="36"/>
      <c r="I55" s="35"/>
      <c r="J55" s="35"/>
      <c r="K55" s="35"/>
      <c r="L55" s="35"/>
      <c r="M55" s="35"/>
      <c r="N55" s="34">
        <f>SUM(F55:M55)-M55</f>
        <v>0</v>
      </c>
      <c r="O55" s="35">
        <v>8180.42</v>
      </c>
      <c r="P55" s="20">
        <f t="shared" si="2"/>
        <v>511.949999999964</v>
      </c>
      <c r="Q55" s="20">
        <f t="shared" si="3"/>
        <v>511.949999999964</v>
      </c>
      <c r="R55" s="21"/>
    </row>
    <row r="56" ht="20.25" customHeight="1" spans="1:18">
      <c r="A56" s="7"/>
      <c r="B56" s="15">
        <v>2</v>
      </c>
      <c r="C56" s="15">
        <v>27</v>
      </c>
      <c r="D56" s="32" t="s">
        <v>3443</v>
      </c>
      <c r="E56" s="33" t="s">
        <v>3616</v>
      </c>
      <c r="F56" s="34"/>
      <c r="G56" s="34"/>
      <c r="H56" s="34"/>
      <c r="I56" s="34"/>
      <c r="J56" s="34"/>
      <c r="K56" s="34"/>
      <c r="L56" s="34"/>
      <c r="M56" s="35"/>
      <c r="N56" s="34">
        <v>13560</v>
      </c>
      <c r="O56" s="35"/>
      <c r="P56" s="20">
        <f t="shared" si="2"/>
        <v>14071.95</v>
      </c>
      <c r="Q56" s="20">
        <f t="shared" si="3"/>
        <v>14071.95</v>
      </c>
      <c r="R56" s="21"/>
    </row>
    <row r="57" ht="20.25" customHeight="1" spans="1:18">
      <c r="A57" s="7"/>
      <c r="B57" s="15">
        <v>2</v>
      </c>
      <c r="C57" s="15">
        <v>28</v>
      </c>
      <c r="D57" s="32" t="s">
        <v>3443</v>
      </c>
      <c r="E57" s="33" t="s">
        <v>3617</v>
      </c>
      <c r="F57" s="35"/>
      <c r="G57" s="35"/>
      <c r="H57" s="36"/>
      <c r="I57" s="35"/>
      <c r="J57" s="35"/>
      <c r="K57" s="35"/>
      <c r="L57" s="35"/>
      <c r="M57" s="35"/>
      <c r="N57" s="34">
        <v>125517</v>
      </c>
      <c r="O57" s="35"/>
      <c r="P57" s="20">
        <f t="shared" si="2"/>
        <v>139588.95</v>
      </c>
      <c r="Q57" s="20">
        <f t="shared" si="3"/>
        <v>139588.95</v>
      </c>
      <c r="R57" s="21"/>
    </row>
    <row r="58" s="1" customFormat="1" ht="20.25" customHeight="1" spans="1:18">
      <c r="A58" s="7"/>
      <c r="B58" s="27"/>
      <c r="C58" s="27"/>
      <c r="D58" s="28"/>
      <c r="E58" s="27" t="s">
        <v>22</v>
      </c>
      <c r="F58" s="29">
        <f t="shared" ref="F58:O58" si="5">SUM(F35:F57)</f>
        <v>40510.83</v>
      </c>
      <c r="G58" s="29">
        <f t="shared" si="5"/>
        <v>6557.66</v>
      </c>
      <c r="H58" s="29">
        <f t="shared" si="5"/>
        <v>84.56</v>
      </c>
      <c r="I58" s="29">
        <f t="shared" si="5"/>
        <v>0</v>
      </c>
      <c r="J58" s="29">
        <f t="shared" si="5"/>
        <v>300</v>
      </c>
      <c r="K58" s="29">
        <f t="shared" si="5"/>
        <v>500</v>
      </c>
      <c r="L58" s="29">
        <f t="shared" si="5"/>
        <v>0</v>
      </c>
      <c r="M58" s="29">
        <f t="shared" si="5"/>
        <v>0</v>
      </c>
      <c r="N58" s="29">
        <f t="shared" si="5"/>
        <v>344296.25</v>
      </c>
      <c r="O58" s="29">
        <f t="shared" si="5"/>
        <v>221525.73</v>
      </c>
      <c r="P58" s="30">
        <f>P34+N58-O58</f>
        <v>139588.95</v>
      </c>
      <c r="Q58" s="30">
        <f>Q34+N58-O58</f>
        <v>139588.95</v>
      </c>
      <c r="R58" s="31"/>
    </row>
    <row r="59" ht="20.25" customHeight="1" spans="1:18">
      <c r="A59" s="7"/>
      <c r="B59" s="15">
        <v>3</v>
      </c>
      <c r="C59" s="15">
        <v>2</v>
      </c>
      <c r="D59" s="16" t="s">
        <v>3381</v>
      </c>
      <c r="E59" s="22" t="s">
        <v>3668</v>
      </c>
      <c r="F59" s="18"/>
      <c r="G59" s="18"/>
      <c r="H59" s="18">
        <v>1000</v>
      </c>
      <c r="I59" s="18"/>
      <c r="J59" s="18"/>
      <c r="K59" s="18"/>
      <c r="L59" s="18"/>
      <c r="M59" s="18"/>
      <c r="N59" s="23">
        <f>SUM(F59:M59)-M59</f>
        <v>1000</v>
      </c>
      <c r="O59" s="18"/>
      <c r="P59" s="20">
        <f>P57+N59-O59</f>
        <v>140588.95</v>
      </c>
      <c r="Q59" s="20">
        <f t="shared" ref="Q59:Q71" si="6">Q58+N59-O59</f>
        <v>140588.95</v>
      </c>
      <c r="R59" s="21"/>
    </row>
    <row r="60" ht="20.25" customHeight="1" spans="1:18">
      <c r="A60" s="7"/>
      <c r="B60" s="15">
        <v>3</v>
      </c>
      <c r="C60" s="15">
        <v>5</v>
      </c>
      <c r="D60" s="16" t="s">
        <v>2638</v>
      </c>
      <c r="E60" s="22" t="s">
        <v>3366</v>
      </c>
      <c r="F60" s="23"/>
      <c r="G60" s="23"/>
      <c r="H60" s="23"/>
      <c r="I60" s="23"/>
      <c r="J60" s="23"/>
      <c r="K60" s="23"/>
      <c r="L60" s="23"/>
      <c r="M60" s="23"/>
      <c r="N60" s="23">
        <f>SUM(F60:M60)-M60</f>
        <v>0</v>
      </c>
      <c r="O60" s="18">
        <v>125517</v>
      </c>
      <c r="P60" s="20">
        <f t="shared" ref="P60:P71" si="7">P59+N60-O60</f>
        <v>15071.95</v>
      </c>
      <c r="Q60" s="20">
        <f t="shared" si="6"/>
        <v>15071.9499999999</v>
      </c>
      <c r="R60" s="21"/>
    </row>
    <row r="61" ht="33.75" spans="1:18">
      <c r="A61" s="7"/>
      <c r="B61" s="15">
        <v>3</v>
      </c>
      <c r="C61" s="15">
        <v>10</v>
      </c>
      <c r="D61" s="16" t="s">
        <v>3611</v>
      </c>
      <c r="E61" s="22" t="s">
        <v>3669</v>
      </c>
      <c r="F61" s="23"/>
      <c r="G61" s="23"/>
      <c r="H61" s="23"/>
      <c r="I61" s="23"/>
      <c r="J61" s="23"/>
      <c r="K61" s="23"/>
      <c r="L61" s="23"/>
      <c r="M61" s="23"/>
      <c r="N61" s="23"/>
      <c r="O61" s="18">
        <v>2275.18</v>
      </c>
      <c r="P61" s="20">
        <f t="shared" si="7"/>
        <v>12796.77</v>
      </c>
      <c r="Q61" s="20">
        <f t="shared" si="6"/>
        <v>12796.7699999999</v>
      </c>
      <c r="R61" s="21"/>
    </row>
    <row r="62" ht="20.25" customHeight="1" spans="1:18">
      <c r="A62" s="7"/>
      <c r="B62" s="15">
        <v>3</v>
      </c>
      <c r="C62" s="15">
        <v>10</v>
      </c>
      <c r="D62" s="16" t="s">
        <v>3407</v>
      </c>
      <c r="E62" s="22" t="s">
        <v>3620</v>
      </c>
      <c r="F62" s="18"/>
      <c r="G62" s="18"/>
      <c r="H62" s="18"/>
      <c r="I62" s="18"/>
      <c r="J62" s="18">
        <v>300</v>
      </c>
      <c r="K62" s="18"/>
      <c r="L62" s="18"/>
      <c r="M62" s="18"/>
      <c r="N62" s="23">
        <f>SUM(F62:M62)-M62</f>
        <v>300</v>
      </c>
      <c r="O62" s="18"/>
      <c r="P62" s="20">
        <f t="shared" si="7"/>
        <v>13096.77</v>
      </c>
      <c r="Q62" s="20">
        <f t="shared" si="6"/>
        <v>13096.7699999999</v>
      </c>
      <c r="R62" s="21"/>
    </row>
    <row r="63" ht="20.25" customHeight="1" spans="1:18">
      <c r="A63" s="7"/>
      <c r="B63" s="15">
        <v>3</v>
      </c>
      <c r="C63" s="15">
        <v>12</v>
      </c>
      <c r="D63" s="16" t="s">
        <v>3623</v>
      </c>
      <c r="E63" s="22" t="s">
        <v>3670</v>
      </c>
      <c r="F63" s="18"/>
      <c r="G63" s="18"/>
      <c r="H63" s="18"/>
      <c r="I63" s="18"/>
      <c r="J63" s="18"/>
      <c r="K63" s="18"/>
      <c r="L63" s="18"/>
      <c r="M63" s="18"/>
      <c r="N63" s="23">
        <v>16716.66</v>
      </c>
      <c r="O63" s="18"/>
      <c r="P63" s="20">
        <f t="shared" si="7"/>
        <v>29813.43</v>
      </c>
      <c r="Q63" s="20">
        <f t="shared" si="6"/>
        <v>29813.4299999999</v>
      </c>
      <c r="R63" s="21"/>
    </row>
    <row r="64" ht="20.25" customHeight="1" spans="1:18">
      <c r="A64" s="7"/>
      <c r="B64" s="15">
        <v>3</v>
      </c>
      <c r="C64" s="15">
        <v>16</v>
      </c>
      <c r="D64" s="16" t="s">
        <v>2638</v>
      </c>
      <c r="E64" s="22" t="s">
        <v>3621</v>
      </c>
      <c r="F64" s="18"/>
      <c r="G64" s="18"/>
      <c r="H64" s="18"/>
      <c r="I64" s="18"/>
      <c r="J64" s="18"/>
      <c r="K64" s="18"/>
      <c r="L64" s="18"/>
      <c r="M64" s="18"/>
      <c r="N64" s="23">
        <v>24000</v>
      </c>
      <c r="O64" s="18"/>
      <c r="P64" s="20">
        <f t="shared" si="7"/>
        <v>53813.4299999999</v>
      </c>
      <c r="Q64" s="20">
        <f t="shared" si="6"/>
        <v>53813.4299999999</v>
      </c>
      <c r="R64" s="21"/>
    </row>
    <row r="65" ht="20.25" customHeight="1" spans="1:18">
      <c r="A65" s="7"/>
      <c r="B65" s="15">
        <v>3</v>
      </c>
      <c r="C65" s="15">
        <v>16</v>
      </c>
      <c r="D65" s="16" t="s">
        <v>164</v>
      </c>
      <c r="E65" s="22" t="s">
        <v>3614</v>
      </c>
      <c r="F65" s="18"/>
      <c r="G65" s="18"/>
      <c r="H65" s="18"/>
      <c r="I65" s="18"/>
      <c r="J65" s="18"/>
      <c r="K65" s="18"/>
      <c r="L65" s="18"/>
      <c r="M65" s="18"/>
      <c r="N65" s="23">
        <f>SUM(F65:M65)-M65</f>
        <v>0</v>
      </c>
      <c r="O65" s="18">
        <v>125</v>
      </c>
      <c r="P65" s="20">
        <f t="shared" si="7"/>
        <v>53688.4299999999</v>
      </c>
      <c r="Q65" s="20">
        <f t="shared" si="6"/>
        <v>53688.4299999999</v>
      </c>
      <c r="R65" s="21"/>
    </row>
    <row r="66" ht="20.25" customHeight="1" spans="1:18">
      <c r="A66" s="7"/>
      <c r="B66" s="15">
        <v>3</v>
      </c>
      <c r="C66" s="15">
        <v>16</v>
      </c>
      <c r="D66" s="16" t="s">
        <v>164</v>
      </c>
      <c r="E66" s="22" t="s">
        <v>3614</v>
      </c>
      <c r="F66" s="18"/>
      <c r="G66" s="18"/>
      <c r="H66" s="18"/>
      <c r="I66" s="18"/>
      <c r="J66" s="18"/>
      <c r="K66" s="18"/>
      <c r="L66" s="18"/>
      <c r="M66" s="18"/>
      <c r="N66" s="23">
        <f>SUM(F66:M66)-M66</f>
        <v>0</v>
      </c>
      <c r="O66" s="18">
        <v>293.06</v>
      </c>
      <c r="P66" s="20">
        <f t="shared" si="7"/>
        <v>53395.37</v>
      </c>
      <c r="Q66" s="20">
        <f t="shared" si="6"/>
        <v>53395.3699999999</v>
      </c>
      <c r="R66" s="21"/>
    </row>
    <row r="67" ht="20.25" customHeight="1" spans="1:18">
      <c r="A67" s="7"/>
      <c r="B67" s="15">
        <v>3</v>
      </c>
      <c r="C67" s="15">
        <v>16</v>
      </c>
      <c r="D67" s="16" t="s">
        <v>271</v>
      </c>
      <c r="E67" s="22" t="s">
        <v>3622</v>
      </c>
      <c r="F67" s="18"/>
      <c r="G67" s="18"/>
      <c r="H67" s="18"/>
      <c r="I67" s="18"/>
      <c r="J67" s="18"/>
      <c r="K67" s="18"/>
      <c r="L67" s="18"/>
      <c r="M67" s="18"/>
      <c r="N67" s="23">
        <f>SUM(F67:M67)-M67</f>
        <v>0</v>
      </c>
      <c r="O67" s="18">
        <v>34719.06</v>
      </c>
      <c r="P67" s="20">
        <f t="shared" si="7"/>
        <v>18676.31</v>
      </c>
      <c r="Q67" s="20">
        <f t="shared" si="6"/>
        <v>18676.3099999999</v>
      </c>
      <c r="R67" s="21"/>
    </row>
    <row r="68" ht="20.25" customHeight="1" spans="1:18">
      <c r="A68" s="7"/>
      <c r="B68" s="15">
        <v>3</v>
      </c>
      <c r="C68" s="15">
        <v>16</v>
      </c>
      <c r="D68" s="16" t="s">
        <v>3623</v>
      </c>
      <c r="E68" s="22" t="s">
        <v>3671</v>
      </c>
      <c r="F68" s="18"/>
      <c r="G68" s="18"/>
      <c r="H68" s="18"/>
      <c r="I68" s="18"/>
      <c r="J68" s="18"/>
      <c r="K68" s="18"/>
      <c r="L68" s="18"/>
      <c r="M68" s="18"/>
      <c r="N68" s="23">
        <v>17935.2</v>
      </c>
      <c r="O68" s="18"/>
      <c r="P68" s="20">
        <f t="shared" si="7"/>
        <v>36611.51</v>
      </c>
      <c r="Q68" s="20">
        <f t="shared" si="6"/>
        <v>36611.5099999999</v>
      </c>
      <c r="R68" s="21"/>
    </row>
    <row r="69" ht="20.25" customHeight="1" spans="1:18">
      <c r="A69" s="7"/>
      <c r="B69" s="15">
        <v>3</v>
      </c>
      <c r="C69" s="15">
        <v>16</v>
      </c>
      <c r="D69" s="16" t="s">
        <v>3625</v>
      </c>
      <c r="E69" s="22" t="s">
        <v>3672</v>
      </c>
      <c r="F69" s="18"/>
      <c r="G69" s="18"/>
      <c r="H69" s="18"/>
      <c r="I69" s="18"/>
      <c r="J69" s="18"/>
      <c r="K69" s="18"/>
      <c r="L69" s="18"/>
      <c r="M69" s="18"/>
      <c r="N69" s="23">
        <f>SUM(F69:M69)-M69</f>
        <v>0</v>
      </c>
      <c r="O69" s="18">
        <v>17935.2</v>
      </c>
      <c r="P69" s="20">
        <f t="shared" si="7"/>
        <v>18676.31</v>
      </c>
      <c r="Q69" s="20">
        <f t="shared" si="6"/>
        <v>18676.3099999999</v>
      </c>
      <c r="R69" s="21"/>
    </row>
    <row r="70" ht="20.25" customHeight="1" spans="1:18">
      <c r="A70" s="7"/>
      <c r="B70" s="15">
        <v>3</v>
      </c>
      <c r="C70" s="15">
        <v>21</v>
      </c>
      <c r="D70" s="16" t="s">
        <v>161</v>
      </c>
      <c r="E70" s="22" t="s">
        <v>29</v>
      </c>
      <c r="F70" s="18"/>
      <c r="G70" s="18"/>
      <c r="H70" s="18"/>
      <c r="I70" s="18"/>
      <c r="J70" s="18"/>
      <c r="K70" s="18"/>
      <c r="L70" s="18">
        <v>4.48</v>
      </c>
      <c r="M70" s="18"/>
      <c r="N70" s="23">
        <f>SUM(F70:M70)-M70</f>
        <v>4.48</v>
      </c>
      <c r="O70" s="18"/>
      <c r="P70" s="20">
        <f t="shared" si="7"/>
        <v>18680.7899999999</v>
      </c>
      <c r="Q70" s="20">
        <f t="shared" si="6"/>
        <v>18680.7899999999</v>
      </c>
      <c r="R70" s="21"/>
    </row>
    <row r="71" ht="20.25" customHeight="1" spans="1:18">
      <c r="A71" s="7"/>
      <c r="B71" s="15">
        <v>3</v>
      </c>
      <c r="C71" s="15">
        <v>21</v>
      </c>
      <c r="D71" s="32" t="s">
        <v>2638</v>
      </c>
      <c r="E71" s="33" t="s">
        <v>3651</v>
      </c>
      <c r="F71" s="18"/>
      <c r="G71" s="18"/>
      <c r="H71" s="18"/>
      <c r="I71" s="18"/>
      <c r="J71" s="18"/>
      <c r="K71" s="18"/>
      <c r="L71" s="18"/>
      <c r="M71" s="18"/>
      <c r="N71" s="23">
        <f>SUM(F71:M71)-M71</f>
        <v>0</v>
      </c>
      <c r="O71" s="18">
        <v>7933.33</v>
      </c>
      <c r="P71" s="20">
        <f t="shared" si="7"/>
        <v>10747.4599999999</v>
      </c>
      <c r="Q71" s="20">
        <f t="shared" si="6"/>
        <v>10747.4599999999</v>
      </c>
      <c r="R71" s="21"/>
    </row>
    <row r="72" s="1" customFormat="1" ht="20.25" customHeight="1" spans="1:18">
      <c r="A72" s="7"/>
      <c r="B72" s="27"/>
      <c r="C72" s="27"/>
      <c r="D72" s="28"/>
      <c r="E72" s="27" t="s">
        <v>22</v>
      </c>
      <c r="F72" s="29">
        <f t="shared" ref="F72:O72" si="8">SUM(F59:F71)</f>
        <v>0</v>
      </c>
      <c r="G72" s="29">
        <f t="shared" si="8"/>
        <v>0</v>
      </c>
      <c r="H72" s="29">
        <f t="shared" si="8"/>
        <v>1000</v>
      </c>
      <c r="I72" s="29">
        <f t="shared" si="8"/>
        <v>0</v>
      </c>
      <c r="J72" s="29">
        <f t="shared" si="8"/>
        <v>300</v>
      </c>
      <c r="K72" s="29">
        <f t="shared" si="8"/>
        <v>0</v>
      </c>
      <c r="L72" s="29">
        <f t="shared" si="8"/>
        <v>4.48</v>
      </c>
      <c r="M72" s="29">
        <f t="shared" si="8"/>
        <v>0</v>
      </c>
      <c r="N72" s="29">
        <f t="shared" si="8"/>
        <v>59956.34</v>
      </c>
      <c r="O72" s="29">
        <f t="shared" si="8"/>
        <v>188797.83</v>
      </c>
      <c r="P72" s="30">
        <f>P48+N72-O72</f>
        <v>-74372.62</v>
      </c>
      <c r="Q72" s="30">
        <f>Q58+N72-O72</f>
        <v>10747.4599999999</v>
      </c>
      <c r="R72" s="31"/>
    </row>
    <row r="73" ht="20.25" customHeight="1" spans="1:18">
      <c r="A73" s="7"/>
      <c r="B73" s="38">
        <v>4</v>
      </c>
      <c r="C73" s="38">
        <v>14</v>
      </c>
      <c r="D73" s="32" t="s">
        <v>164</v>
      </c>
      <c r="E73" s="33" t="s">
        <v>3614</v>
      </c>
      <c r="F73" s="35"/>
      <c r="G73" s="35"/>
      <c r="H73" s="36"/>
      <c r="I73" s="35"/>
      <c r="J73" s="35"/>
      <c r="K73" s="35"/>
      <c r="L73" s="35"/>
      <c r="M73" s="35"/>
      <c r="N73" s="34">
        <f>SUM(F73:M73)-M73</f>
        <v>0</v>
      </c>
      <c r="O73" s="35">
        <v>287</v>
      </c>
      <c r="P73" s="20">
        <f>P71+N73-O73</f>
        <v>10460.4599999999</v>
      </c>
      <c r="Q73" s="20">
        <f>Q71+N73-O73</f>
        <v>10460.4599999999</v>
      </c>
      <c r="R73" s="21"/>
    </row>
    <row r="74" ht="20.25" customHeight="1" spans="1:18">
      <c r="A74" s="7"/>
      <c r="B74" s="38">
        <v>4</v>
      </c>
      <c r="C74" s="38">
        <v>14</v>
      </c>
      <c r="D74" s="32" t="s">
        <v>164</v>
      </c>
      <c r="E74" s="33" t="s">
        <v>3614</v>
      </c>
      <c r="F74" s="34"/>
      <c r="G74" s="34"/>
      <c r="H74" s="34"/>
      <c r="I74" s="34"/>
      <c r="J74" s="34"/>
      <c r="K74" s="34"/>
      <c r="L74" s="34"/>
      <c r="M74" s="35"/>
      <c r="N74" s="34">
        <f>SUM(F74:M74)-M74</f>
        <v>0</v>
      </c>
      <c r="O74" s="35">
        <v>125</v>
      </c>
      <c r="P74" s="20">
        <f>P73+N74-O74</f>
        <v>10335.4599999999</v>
      </c>
      <c r="Q74" s="20">
        <f t="shared" ref="Q74:Q81" si="9">Q73+N74-O74</f>
        <v>10335.4599999999</v>
      </c>
      <c r="R74" s="21"/>
    </row>
    <row r="75" ht="20.25" customHeight="1" spans="1:18">
      <c r="A75" s="7"/>
      <c r="B75" s="38">
        <v>4</v>
      </c>
      <c r="C75" s="38">
        <v>15</v>
      </c>
      <c r="D75" s="32" t="s">
        <v>335</v>
      </c>
      <c r="E75" s="33" t="s">
        <v>3673</v>
      </c>
      <c r="F75" s="35"/>
      <c r="G75" s="35"/>
      <c r="H75" s="36"/>
      <c r="I75" s="35"/>
      <c r="J75" s="35"/>
      <c r="K75" s="35"/>
      <c r="L75" s="35"/>
      <c r="M75" s="35"/>
      <c r="N75" s="34">
        <v>25800</v>
      </c>
      <c r="O75" s="35"/>
      <c r="P75" s="20">
        <f>P74+N75-O75</f>
        <v>36135.4599999999</v>
      </c>
      <c r="Q75" s="20">
        <f t="shared" si="9"/>
        <v>36135.4599999999</v>
      </c>
      <c r="R75" s="21"/>
    </row>
    <row r="76" ht="20.25" customHeight="1" spans="1:18">
      <c r="A76" s="7"/>
      <c r="B76" s="38">
        <v>4</v>
      </c>
      <c r="C76" s="38">
        <v>15</v>
      </c>
      <c r="D76" s="32" t="s">
        <v>271</v>
      </c>
      <c r="E76" s="33" t="s">
        <v>2848</v>
      </c>
      <c r="F76" s="35"/>
      <c r="G76" s="35"/>
      <c r="H76" s="36"/>
      <c r="I76" s="35"/>
      <c r="J76" s="35"/>
      <c r="K76" s="35"/>
      <c r="L76" s="35"/>
      <c r="M76" s="35"/>
      <c r="N76" s="34">
        <f>SUM(F76:M76)-M76</f>
        <v>0</v>
      </c>
      <c r="O76" s="35">
        <v>25800</v>
      </c>
      <c r="P76" s="20">
        <f>P75+N76-O76</f>
        <v>10335.4599999999</v>
      </c>
      <c r="Q76" s="20">
        <f t="shared" si="9"/>
        <v>10335.4599999999</v>
      </c>
      <c r="R76" s="21"/>
    </row>
    <row r="77" ht="20.25" customHeight="1" spans="1:18">
      <c r="A77" s="7"/>
      <c r="B77" s="38">
        <v>4</v>
      </c>
      <c r="C77" s="38">
        <v>20</v>
      </c>
      <c r="D77" s="32" t="s">
        <v>3623</v>
      </c>
      <c r="E77" s="33" t="s">
        <v>3674</v>
      </c>
      <c r="F77" s="34"/>
      <c r="G77" s="34"/>
      <c r="H77" s="34"/>
      <c r="I77" s="34"/>
      <c r="J77" s="34"/>
      <c r="K77" s="34"/>
      <c r="L77" s="34"/>
      <c r="M77" s="35"/>
      <c r="N77" s="34">
        <v>8783.33</v>
      </c>
      <c r="O77" s="35"/>
      <c r="P77" s="20"/>
      <c r="Q77" s="20">
        <f t="shared" si="9"/>
        <v>19118.7899999999</v>
      </c>
      <c r="R77" s="21"/>
    </row>
    <row r="78" ht="20.25" customHeight="1" spans="1:18">
      <c r="A78" s="7"/>
      <c r="B78" s="38">
        <v>4</v>
      </c>
      <c r="C78" s="38">
        <v>21</v>
      </c>
      <c r="D78" s="32" t="s">
        <v>2638</v>
      </c>
      <c r="E78" s="33" t="s">
        <v>3651</v>
      </c>
      <c r="F78" s="35"/>
      <c r="G78" s="35"/>
      <c r="H78" s="36"/>
      <c r="I78" s="35"/>
      <c r="J78" s="35"/>
      <c r="K78" s="35"/>
      <c r="L78" s="35"/>
      <c r="M78" s="35"/>
      <c r="N78" s="34">
        <f>SUM(F78:M78)-M78</f>
        <v>0</v>
      </c>
      <c r="O78" s="35">
        <v>8783.33</v>
      </c>
      <c r="P78" s="20"/>
      <c r="Q78" s="20">
        <f t="shared" si="9"/>
        <v>10335.4599999999</v>
      </c>
      <c r="R78" s="21"/>
    </row>
    <row r="79" ht="20.25" customHeight="1" spans="1:18">
      <c r="A79" s="7"/>
      <c r="B79" s="38">
        <v>4</v>
      </c>
      <c r="C79" s="38">
        <v>22</v>
      </c>
      <c r="D79" s="32" t="s">
        <v>3580</v>
      </c>
      <c r="E79" s="33" t="s">
        <v>3628</v>
      </c>
      <c r="F79" s="35">
        <v>31332</v>
      </c>
      <c r="G79" s="35"/>
      <c r="H79" s="36"/>
      <c r="I79" s="35"/>
      <c r="J79" s="35"/>
      <c r="K79" s="35"/>
      <c r="L79" s="35"/>
      <c r="M79" s="35"/>
      <c r="N79" s="34">
        <f>SUM(F79:M79)-M79</f>
        <v>31332</v>
      </c>
      <c r="O79" s="35"/>
      <c r="P79" s="20"/>
      <c r="Q79" s="20">
        <f t="shared" si="9"/>
        <v>41667.4599999999</v>
      </c>
      <c r="R79" s="21"/>
    </row>
    <row r="80" ht="20.25" customHeight="1" spans="1:18">
      <c r="A80" s="7"/>
      <c r="B80" s="38">
        <v>4</v>
      </c>
      <c r="C80" s="38">
        <v>27</v>
      </c>
      <c r="D80" s="32" t="s">
        <v>2638</v>
      </c>
      <c r="E80" s="33" t="s">
        <v>3366</v>
      </c>
      <c r="F80" s="34"/>
      <c r="G80" s="34"/>
      <c r="H80" s="34"/>
      <c r="I80" s="34"/>
      <c r="J80" s="34"/>
      <c r="K80" s="34"/>
      <c r="L80" s="34"/>
      <c r="M80" s="35"/>
      <c r="N80" s="34">
        <f>SUM(F80:M80)-M80</f>
        <v>0</v>
      </c>
      <c r="O80" s="35">
        <v>31332</v>
      </c>
      <c r="P80" s="20"/>
      <c r="Q80" s="20">
        <f t="shared" si="9"/>
        <v>10335.4599999999</v>
      </c>
      <c r="R80" s="21"/>
    </row>
    <row r="81" ht="20.25" customHeight="1" spans="1:18">
      <c r="A81" s="7"/>
      <c r="B81" s="38">
        <v>4</v>
      </c>
      <c r="C81" s="38">
        <v>30</v>
      </c>
      <c r="D81" s="32" t="s">
        <v>3580</v>
      </c>
      <c r="E81" s="33" t="s">
        <v>3629</v>
      </c>
      <c r="F81" s="35"/>
      <c r="G81" s="35">
        <v>2609.52</v>
      </c>
      <c r="H81" s="36"/>
      <c r="I81" s="35"/>
      <c r="J81" s="35"/>
      <c r="K81" s="35"/>
      <c r="L81" s="35"/>
      <c r="M81" s="35"/>
      <c r="N81" s="34">
        <f>SUM(F81:M81)-M81</f>
        <v>2609.52</v>
      </c>
      <c r="O81" s="35"/>
      <c r="P81" s="20"/>
      <c r="Q81" s="20">
        <f t="shared" si="9"/>
        <v>12944.9799999999</v>
      </c>
      <c r="R81" s="21"/>
    </row>
    <row r="82" s="1" customFormat="1" ht="20.25" customHeight="1" spans="1:18">
      <c r="A82" s="7"/>
      <c r="B82" s="27"/>
      <c r="C82" s="27"/>
      <c r="D82" s="28"/>
      <c r="E82" s="27" t="s">
        <v>22</v>
      </c>
      <c r="F82" s="29">
        <f t="shared" ref="F82:O82" si="10">SUM(F73:F81)</f>
        <v>31332</v>
      </c>
      <c r="G82" s="29">
        <f t="shared" si="10"/>
        <v>2609.52</v>
      </c>
      <c r="H82" s="29">
        <f t="shared" si="10"/>
        <v>0</v>
      </c>
      <c r="I82" s="29">
        <f t="shared" si="10"/>
        <v>0</v>
      </c>
      <c r="J82" s="29">
        <f t="shared" si="10"/>
        <v>0</v>
      </c>
      <c r="K82" s="29">
        <f t="shared" si="10"/>
        <v>0</v>
      </c>
      <c r="L82" s="29">
        <f t="shared" si="10"/>
        <v>0</v>
      </c>
      <c r="M82" s="29">
        <f t="shared" si="10"/>
        <v>0</v>
      </c>
      <c r="N82" s="29">
        <f t="shared" si="10"/>
        <v>68524.85</v>
      </c>
      <c r="O82" s="29">
        <f t="shared" si="10"/>
        <v>66327.33</v>
      </c>
      <c r="P82" s="30">
        <f>P58+N82-O82</f>
        <v>141786.47</v>
      </c>
      <c r="Q82" s="30">
        <f>Q72+N82-O82</f>
        <v>12944.9799999999</v>
      </c>
      <c r="R82" s="31"/>
    </row>
    <row r="83" ht="20.25" customHeight="1" spans="1:18">
      <c r="A83" s="7"/>
      <c r="B83" s="38">
        <v>5</v>
      </c>
      <c r="C83" s="38">
        <v>15</v>
      </c>
      <c r="D83" s="32" t="s">
        <v>335</v>
      </c>
      <c r="E83" s="41" t="s">
        <v>3627</v>
      </c>
      <c r="F83" s="35"/>
      <c r="G83" s="35"/>
      <c r="H83" s="36"/>
      <c r="I83" s="35"/>
      <c r="J83" s="35"/>
      <c r="K83" s="35"/>
      <c r="L83" s="35"/>
      <c r="M83" s="35"/>
      <c r="N83" s="34">
        <v>20000</v>
      </c>
      <c r="O83" s="35"/>
      <c r="P83" s="20"/>
      <c r="Q83" s="20">
        <f t="shared" ref="Q83:Q91" si="11">Q82+N83-O83</f>
        <v>32944.9799999999</v>
      </c>
      <c r="R83" s="21"/>
    </row>
    <row r="84" ht="20.25" customHeight="1" spans="1:18">
      <c r="A84" s="7"/>
      <c r="B84" s="38">
        <v>5</v>
      </c>
      <c r="C84" s="38">
        <v>15</v>
      </c>
      <c r="D84" s="32" t="s">
        <v>164</v>
      </c>
      <c r="E84" s="33" t="s">
        <v>3614</v>
      </c>
      <c r="F84" s="35"/>
      <c r="G84" s="35"/>
      <c r="H84" s="36"/>
      <c r="I84" s="35"/>
      <c r="J84" s="35"/>
      <c r="K84" s="35"/>
      <c r="L84" s="35"/>
      <c r="M84" s="35"/>
      <c r="N84" s="34">
        <f>SUM(F84:M84)-M84</f>
        <v>0</v>
      </c>
      <c r="O84" s="35">
        <v>125</v>
      </c>
      <c r="P84" s="20">
        <f>P82+N84-O84</f>
        <v>141661.47</v>
      </c>
      <c r="Q84" s="20">
        <f t="shared" si="11"/>
        <v>32819.9799999999</v>
      </c>
      <c r="R84" s="21"/>
    </row>
    <row r="85" ht="20.25" customHeight="1" spans="1:18">
      <c r="A85" s="7"/>
      <c r="B85" s="38">
        <v>5</v>
      </c>
      <c r="C85" s="38">
        <v>15</v>
      </c>
      <c r="D85" s="32" t="s">
        <v>164</v>
      </c>
      <c r="E85" s="33" t="s">
        <v>3614</v>
      </c>
      <c r="F85" s="34"/>
      <c r="G85" s="34"/>
      <c r="H85" s="34"/>
      <c r="I85" s="34"/>
      <c r="J85" s="34"/>
      <c r="K85" s="34"/>
      <c r="L85" s="34"/>
      <c r="M85" s="35"/>
      <c r="N85" s="34">
        <f>SUM(F85:M85)-M85</f>
        <v>0</v>
      </c>
      <c r="O85" s="35">
        <v>290</v>
      </c>
      <c r="P85" s="20">
        <f>P84+N85-O85</f>
        <v>141371.47</v>
      </c>
      <c r="Q85" s="20">
        <f t="shared" si="11"/>
        <v>32529.9799999999</v>
      </c>
      <c r="R85" s="21"/>
    </row>
    <row r="86" ht="20.25" customHeight="1" spans="1:18">
      <c r="A86" s="7"/>
      <c r="B86" s="38">
        <v>5</v>
      </c>
      <c r="C86" s="38">
        <v>15</v>
      </c>
      <c r="D86" s="32" t="s">
        <v>271</v>
      </c>
      <c r="E86" s="41" t="s">
        <v>2947</v>
      </c>
      <c r="F86" s="34"/>
      <c r="G86" s="34"/>
      <c r="H86" s="34"/>
      <c r="I86" s="34"/>
      <c r="J86" s="34"/>
      <c r="K86" s="34"/>
      <c r="L86" s="34"/>
      <c r="M86" s="35"/>
      <c r="N86" s="34">
        <f>SUM(F86:M86)-M86</f>
        <v>0</v>
      </c>
      <c r="O86" s="35">
        <v>22070.73</v>
      </c>
      <c r="P86" s="20"/>
      <c r="Q86" s="20">
        <f t="shared" si="11"/>
        <v>10459.2499999999</v>
      </c>
      <c r="R86" s="21"/>
    </row>
    <row r="87" ht="20.25" customHeight="1" spans="1:18">
      <c r="A87" s="7"/>
      <c r="B87" s="38">
        <v>5</v>
      </c>
      <c r="C87" s="38">
        <v>21</v>
      </c>
      <c r="D87" s="32" t="s">
        <v>2638</v>
      </c>
      <c r="E87" s="33" t="s">
        <v>3651</v>
      </c>
      <c r="F87" s="35"/>
      <c r="G87" s="35"/>
      <c r="H87" s="36"/>
      <c r="I87" s="35"/>
      <c r="J87" s="35"/>
      <c r="K87" s="35"/>
      <c r="L87" s="35"/>
      <c r="M87" s="35"/>
      <c r="N87" s="34">
        <f>SUM(F87:M87)-M87</f>
        <v>0</v>
      </c>
      <c r="O87" s="35">
        <v>10459.25</v>
      </c>
      <c r="P87" s="20"/>
      <c r="Q87" s="20">
        <f t="shared" si="11"/>
        <v>-9.09494701772928e-11</v>
      </c>
      <c r="R87" s="21"/>
    </row>
    <row r="88" ht="20.25" customHeight="1" spans="1:18">
      <c r="A88" s="7"/>
      <c r="B88" s="38">
        <v>5</v>
      </c>
      <c r="C88" s="38">
        <v>21</v>
      </c>
      <c r="D88" s="32" t="s">
        <v>3623</v>
      </c>
      <c r="E88" s="33" t="s">
        <v>3674</v>
      </c>
      <c r="F88" s="35"/>
      <c r="G88" s="35"/>
      <c r="H88" s="36"/>
      <c r="I88" s="35"/>
      <c r="J88" s="35"/>
      <c r="K88" s="35"/>
      <c r="L88" s="35"/>
      <c r="M88" s="35"/>
      <c r="N88" s="34">
        <v>58500</v>
      </c>
      <c r="O88" s="35"/>
      <c r="P88" s="20"/>
      <c r="Q88" s="20">
        <f t="shared" si="11"/>
        <v>58499.9999999999</v>
      </c>
      <c r="R88" s="21"/>
    </row>
    <row r="89" ht="20.25" customHeight="1" spans="1:18">
      <c r="A89" s="7"/>
      <c r="B89" s="38">
        <v>5</v>
      </c>
      <c r="C89" s="38">
        <v>21</v>
      </c>
      <c r="D89" s="32" t="s">
        <v>2638</v>
      </c>
      <c r="E89" s="33" t="s">
        <v>3651</v>
      </c>
      <c r="F89" s="34"/>
      <c r="G89" s="34"/>
      <c r="H89" s="34"/>
      <c r="I89" s="34"/>
      <c r="J89" s="34"/>
      <c r="K89" s="34"/>
      <c r="L89" s="34"/>
      <c r="M89" s="35"/>
      <c r="N89" s="34">
        <f>SUM(F89:M89)-M89</f>
        <v>0</v>
      </c>
      <c r="O89" s="35">
        <v>48040.75</v>
      </c>
      <c r="P89" s="20"/>
      <c r="Q89" s="20">
        <f t="shared" si="11"/>
        <v>10459.2499999999</v>
      </c>
      <c r="R89" s="21"/>
    </row>
    <row r="90" ht="20.25" customHeight="1" spans="1:18">
      <c r="A90" s="7"/>
      <c r="B90" s="38">
        <v>5</v>
      </c>
      <c r="C90" s="38">
        <v>22</v>
      </c>
      <c r="D90" s="32" t="s">
        <v>335</v>
      </c>
      <c r="E90" s="41" t="s">
        <v>3627</v>
      </c>
      <c r="F90" s="35"/>
      <c r="G90" s="35"/>
      <c r="H90" s="36"/>
      <c r="I90" s="35"/>
      <c r="J90" s="35"/>
      <c r="K90" s="35"/>
      <c r="L90" s="35"/>
      <c r="M90" s="35"/>
      <c r="N90" s="34">
        <v>4300</v>
      </c>
      <c r="O90" s="35"/>
      <c r="P90" s="20"/>
      <c r="Q90" s="20">
        <f t="shared" si="11"/>
        <v>14759.2499999999</v>
      </c>
      <c r="R90" s="21"/>
    </row>
    <row r="91" ht="20.25" customHeight="1" spans="1:18">
      <c r="A91" s="7"/>
      <c r="B91" s="38">
        <v>5</v>
      </c>
      <c r="C91" s="38">
        <v>22</v>
      </c>
      <c r="D91" s="32" t="s">
        <v>271</v>
      </c>
      <c r="E91" s="41" t="s">
        <v>2947</v>
      </c>
      <c r="F91" s="35"/>
      <c r="G91" s="35"/>
      <c r="H91" s="36"/>
      <c r="I91" s="35"/>
      <c r="J91" s="35"/>
      <c r="K91" s="35"/>
      <c r="L91" s="35"/>
      <c r="M91" s="35"/>
      <c r="N91" s="34">
        <f>SUM(F91:M91)-M91</f>
        <v>0</v>
      </c>
      <c r="O91" s="35">
        <v>4300</v>
      </c>
      <c r="P91" s="20"/>
      <c r="Q91" s="20">
        <f t="shared" si="11"/>
        <v>10459.2499999999</v>
      </c>
      <c r="R91" s="21"/>
    </row>
    <row r="92" s="1" customFormat="1" ht="20.25" customHeight="1" spans="1:18">
      <c r="A92" s="7"/>
      <c r="B92" s="27"/>
      <c r="C92" s="27"/>
      <c r="D92" s="28"/>
      <c r="E92" s="27" t="s">
        <v>22</v>
      </c>
      <c r="F92" s="29">
        <f t="shared" ref="F92:O92" si="12">SUM(F83:F91)</f>
        <v>0</v>
      </c>
      <c r="G92" s="29">
        <f t="shared" si="12"/>
        <v>0</v>
      </c>
      <c r="H92" s="29">
        <f t="shared" si="12"/>
        <v>0</v>
      </c>
      <c r="I92" s="29">
        <f t="shared" si="12"/>
        <v>0</v>
      </c>
      <c r="J92" s="29">
        <f t="shared" si="12"/>
        <v>0</v>
      </c>
      <c r="K92" s="29">
        <f t="shared" si="12"/>
        <v>0</v>
      </c>
      <c r="L92" s="29">
        <f t="shared" si="12"/>
        <v>0</v>
      </c>
      <c r="M92" s="29">
        <f t="shared" si="12"/>
        <v>0</v>
      </c>
      <c r="N92" s="29">
        <f t="shared" si="12"/>
        <v>82800</v>
      </c>
      <c r="O92" s="29">
        <f t="shared" si="12"/>
        <v>85285.73</v>
      </c>
      <c r="P92" s="30">
        <f>P68+N92-O92</f>
        <v>34125.78</v>
      </c>
      <c r="Q92" s="30">
        <f>Q82+N92-O92</f>
        <v>10459.2499999999</v>
      </c>
      <c r="R92" s="31"/>
    </row>
    <row r="93" ht="20.25" customHeight="1" spans="1:18">
      <c r="A93" s="7"/>
      <c r="B93" s="15">
        <v>6</v>
      </c>
      <c r="C93" s="15">
        <v>3</v>
      </c>
      <c r="D93" s="32" t="s">
        <v>3521</v>
      </c>
      <c r="E93" s="33" t="s">
        <v>3630</v>
      </c>
      <c r="F93" s="34">
        <v>5069.4</v>
      </c>
      <c r="G93" s="34">
        <v>930.6</v>
      </c>
      <c r="H93" s="34"/>
      <c r="I93" s="34"/>
      <c r="J93" s="34"/>
      <c r="K93" s="34"/>
      <c r="L93" s="34"/>
      <c r="M93" s="35"/>
      <c r="N93" s="34">
        <f>SUM(F93:M93)-M93</f>
        <v>6000</v>
      </c>
      <c r="O93" s="35"/>
      <c r="P93" s="20"/>
      <c r="Q93" s="20">
        <f>Q91+N93-O93</f>
        <v>16459.2499999999</v>
      </c>
      <c r="R93" s="21"/>
    </row>
    <row r="94" ht="20.25" customHeight="1" spans="1:18">
      <c r="A94" s="7"/>
      <c r="B94" s="15">
        <v>6</v>
      </c>
      <c r="C94" s="15">
        <v>3</v>
      </c>
      <c r="D94" s="32" t="s">
        <v>2638</v>
      </c>
      <c r="E94" s="33" t="s">
        <v>3675</v>
      </c>
      <c r="F94" s="35"/>
      <c r="G94" s="35"/>
      <c r="H94" s="36"/>
      <c r="I94" s="35"/>
      <c r="J94" s="35"/>
      <c r="K94" s="35"/>
      <c r="L94" s="35"/>
      <c r="M94" s="35"/>
      <c r="N94" s="34">
        <f>SUM(F94:M94)-M94</f>
        <v>0</v>
      </c>
      <c r="O94" s="35">
        <v>1465.05</v>
      </c>
      <c r="P94" s="20"/>
      <c r="Q94" s="20">
        <f t="shared" ref="Q94:Q103" si="13">Q93+N94-O94</f>
        <v>14994.1999999999</v>
      </c>
      <c r="R94" s="21"/>
    </row>
    <row r="95" ht="20.25" customHeight="1" spans="1:18">
      <c r="A95" s="7"/>
      <c r="B95" s="15">
        <v>6</v>
      </c>
      <c r="C95" s="15">
        <v>8</v>
      </c>
      <c r="D95" s="32" t="s">
        <v>2638</v>
      </c>
      <c r="E95" s="33" t="s">
        <v>3366</v>
      </c>
      <c r="F95" s="35"/>
      <c r="G95" s="35"/>
      <c r="H95" s="36"/>
      <c r="I95" s="35"/>
      <c r="J95" s="35"/>
      <c r="K95" s="35"/>
      <c r="L95" s="35"/>
      <c r="M95" s="35"/>
      <c r="N95" s="34">
        <f>SUM(F95:M95)-M95</f>
        <v>0</v>
      </c>
      <c r="O95" s="35">
        <v>6000</v>
      </c>
      <c r="P95" s="20"/>
      <c r="Q95" s="20">
        <f t="shared" si="13"/>
        <v>8994.1999999999</v>
      </c>
      <c r="R95" s="21"/>
    </row>
    <row r="96" ht="20.25" customHeight="1" spans="1:18">
      <c r="A96" s="7"/>
      <c r="B96" s="15">
        <v>6</v>
      </c>
      <c r="C96" s="15">
        <v>14</v>
      </c>
      <c r="D96" s="32" t="s">
        <v>164</v>
      </c>
      <c r="E96" s="33" t="s">
        <v>3614</v>
      </c>
      <c r="F96" s="34"/>
      <c r="G96" s="34"/>
      <c r="H96" s="34"/>
      <c r="I96" s="34"/>
      <c r="J96" s="34"/>
      <c r="K96" s="34"/>
      <c r="L96" s="34"/>
      <c r="M96" s="35"/>
      <c r="N96" s="34">
        <f>SUM(F96:M96)-M96</f>
        <v>0</v>
      </c>
      <c r="O96" s="35">
        <v>125</v>
      </c>
      <c r="P96" s="20"/>
      <c r="Q96" s="20">
        <f t="shared" si="13"/>
        <v>8869.1999999999</v>
      </c>
      <c r="R96" s="21"/>
    </row>
    <row r="97" ht="20.25" customHeight="1" spans="1:18">
      <c r="A97" s="7"/>
      <c r="B97" s="15">
        <v>6</v>
      </c>
      <c r="C97" s="15">
        <v>14</v>
      </c>
      <c r="D97" s="32" t="s">
        <v>164</v>
      </c>
      <c r="E97" s="33" t="s">
        <v>3614</v>
      </c>
      <c r="F97" s="35"/>
      <c r="G97" s="35"/>
      <c r="H97" s="36"/>
      <c r="I97" s="35"/>
      <c r="J97" s="35"/>
      <c r="K97" s="35"/>
      <c r="L97" s="35"/>
      <c r="M97" s="35"/>
      <c r="N97" s="34">
        <f>SUM(F97:M97)-M97</f>
        <v>0</v>
      </c>
      <c r="O97" s="35">
        <v>311</v>
      </c>
      <c r="P97" s="20"/>
      <c r="Q97" s="20">
        <f t="shared" si="13"/>
        <v>8558.1999999999</v>
      </c>
      <c r="R97" s="21"/>
    </row>
    <row r="98" ht="20.25" customHeight="1" spans="1:18">
      <c r="A98" s="7"/>
      <c r="B98" s="15">
        <v>6</v>
      </c>
      <c r="C98" s="15">
        <v>18</v>
      </c>
      <c r="D98" s="32" t="s">
        <v>3623</v>
      </c>
      <c r="E98" s="33" t="s">
        <v>3674</v>
      </c>
      <c r="F98" s="35"/>
      <c r="G98" s="35"/>
      <c r="H98" s="36"/>
      <c r="I98" s="35"/>
      <c r="J98" s="35"/>
      <c r="K98" s="35"/>
      <c r="L98" s="35"/>
      <c r="M98" s="35"/>
      <c r="N98" s="34">
        <v>8654.17</v>
      </c>
      <c r="O98" s="35"/>
      <c r="P98" s="20"/>
      <c r="Q98" s="20">
        <f t="shared" si="13"/>
        <v>17212.3699999999</v>
      </c>
      <c r="R98" s="21"/>
    </row>
    <row r="99" ht="20.25" customHeight="1" spans="1:18">
      <c r="A99" s="7"/>
      <c r="B99" s="15">
        <v>6</v>
      </c>
      <c r="C99" s="15">
        <v>21</v>
      </c>
      <c r="D99" s="32" t="s">
        <v>161</v>
      </c>
      <c r="E99" s="33" t="s">
        <v>29</v>
      </c>
      <c r="F99" s="34"/>
      <c r="G99" s="34"/>
      <c r="H99" s="34"/>
      <c r="I99" s="34"/>
      <c r="J99" s="34"/>
      <c r="K99" s="34"/>
      <c r="L99" s="34">
        <v>1.66</v>
      </c>
      <c r="M99" s="35"/>
      <c r="N99" s="34">
        <f>SUM(F99:M99)-M99</f>
        <v>1.66</v>
      </c>
      <c r="O99" s="35"/>
      <c r="P99" s="20"/>
      <c r="Q99" s="20">
        <f t="shared" si="13"/>
        <v>17214.0299999999</v>
      </c>
      <c r="R99" s="21"/>
    </row>
    <row r="100" ht="20.25" customHeight="1" spans="1:18">
      <c r="A100" s="7"/>
      <c r="B100" s="15">
        <v>6</v>
      </c>
      <c r="C100" s="15">
        <v>21</v>
      </c>
      <c r="D100" s="32" t="s">
        <v>2638</v>
      </c>
      <c r="E100" s="33" t="s">
        <v>3651</v>
      </c>
      <c r="F100" s="35"/>
      <c r="G100" s="35"/>
      <c r="H100" s="36"/>
      <c r="I100" s="35"/>
      <c r="J100" s="35"/>
      <c r="K100" s="35"/>
      <c r="L100" s="35"/>
      <c r="M100" s="35"/>
      <c r="N100" s="34">
        <f>SUM(F100:M100)-M100</f>
        <v>0</v>
      </c>
      <c r="O100" s="35">
        <v>8654.17</v>
      </c>
      <c r="P100" s="20"/>
      <c r="Q100" s="20">
        <f t="shared" si="13"/>
        <v>8559.8599999999</v>
      </c>
      <c r="R100" s="21"/>
    </row>
    <row r="101" ht="20.25" customHeight="1" spans="1:18">
      <c r="A101" s="7"/>
      <c r="B101" s="15">
        <v>6</v>
      </c>
      <c r="C101" s="15">
        <v>24</v>
      </c>
      <c r="D101" s="32" t="s">
        <v>3580</v>
      </c>
      <c r="E101" s="33"/>
      <c r="F101" s="35">
        <v>1400</v>
      </c>
      <c r="G101" s="35"/>
      <c r="H101" s="36"/>
      <c r="I101" s="35"/>
      <c r="J101" s="35"/>
      <c r="K101" s="35"/>
      <c r="L101" s="35"/>
      <c r="M101" s="35"/>
      <c r="N101" s="34">
        <f>SUM(F101:M101)-M101</f>
        <v>1400</v>
      </c>
      <c r="O101" s="35"/>
      <c r="P101" s="20"/>
      <c r="Q101" s="20">
        <f t="shared" si="13"/>
        <v>9959.8599999999</v>
      </c>
      <c r="R101" s="21"/>
    </row>
    <row r="102" ht="20.25" customHeight="1" spans="1:18">
      <c r="A102" s="7"/>
      <c r="B102" s="15">
        <v>6</v>
      </c>
      <c r="C102" s="15">
        <v>24</v>
      </c>
      <c r="D102" s="32" t="s">
        <v>3580</v>
      </c>
      <c r="E102" s="33"/>
      <c r="F102" s="34">
        <v>1550</v>
      </c>
      <c r="G102" s="34"/>
      <c r="H102" s="34"/>
      <c r="I102" s="34"/>
      <c r="J102" s="34"/>
      <c r="K102" s="34"/>
      <c r="L102" s="34"/>
      <c r="M102" s="35"/>
      <c r="N102" s="34">
        <f>SUM(F102:M102)-M102</f>
        <v>1550</v>
      </c>
      <c r="O102" s="35"/>
      <c r="P102" s="20"/>
      <c r="Q102" s="20">
        <f t="shared" si="13"/>
        <v>11509.8599999999</v>
      </c>
      <c r="R102" s="21"/>
    </row>
    <row r="103" ht="20.25" customHeight="1" spans="1:18">
      <c r="A103" s="7"/>
      <c r="B103" s="15">
        <v>6</v>
      </c>
      <c r="C103" s="15">
        <v>29</v>
      </c>
      <c r="D103" s="32" t="s">
        <v>3580</v>
      </c>
      <c r="E103" s="33" t="s">
        <v>3633</v>
      </c>
      <c r="F103" s="35"/>
      <c r="G103" s="35">
        <v>2609.52</v>
      </c>
      <c r="H103" s="36"/>
      <c r="I103" s="35"/>
      <c r="J103" s="35"/>
      <c r="K103" s="35"/>
      <c r="L103" s="35"/>
      <c r="M103" s="35"/>
      <c r="N103" s="34">
        <f>SUM(F103:M103)-M103</f>
        <v>2609.52</v>
      </c>
      <c r="O103" s="35"/>
      <c r="P103" s="20"/>
      <c r="Q103" s="20">
        <f t="shared" si="13"/>
        <v>14119.3799999999</v>
      </c>
      <c r="R103" s="21"/>
    </row>
    <row r="104" s="1" customFormat="1" ht="20.25" customHeight="1" spans="1:18">
      <c r="A104" s="7"/>
      <c r="B104" s="27"/>
      <c r="C104" s="27"/>
      <c r="D104" s="28"/>
      <c r="E104" s="27" t="s">
        <v>22</v>
      </c>
      <c r="F104" s="29">
        <f t="shared" ref="F104:O104" si="14">SUM(F93:F103)</f>
        <v>8019.4</v>
      </c>
      <c r="G104" s="29">
        <f t="shared" si="14"/>
        <v>3540.12</v>
      </c>
      <c r="H104" s="29">
        <f t="shared" si="14"/>
        <v>0</v>
      </c>
      <c r="I104" s="29">
        <f t="shared" si="14"/>
        <v>0</v>
      </c>
      <c r="J104" s="29">
        <f t="shared" si="14"/>
        <v>0</v>
      </c>
      <c r="K104" s="29">
        <f t="shared" si="14"/>
        <v>0</v>
      </c>
      <c r="L104" s="29">
        <f t="shared" si="14"/>
        <v>1.66</v>
      </c>
      <c r="M104" s="29">
        <f t="shared" si="14"/>
        <v>0</v>
      </c>
      <c r="N104" s="29">
        <f t="shared" si="14"/>
        <v>20215.35</v>
      </c>
      <c r="O104" s="29">
        <f t="shared" si="14"/>
        <v>16555.22</v>
      </c>
      <c r="P104" s="30">
        <f>P80+N104-O104</f>
        <v>3660.13</v>
      </c>
      <c r="Q104" s="30">
        <f>Q92+N104-O104</f>
        <v>14119.3799999999</v>
      </c>
      <c r="R104" s="31"/>
    </row>
    <row r="105" ht="20.25" customHeight="1" spans="1:18">
      <c r="A105" s="7"/>
      <c r="B105" s="42">
        <v>7</v>
      </c>
      <c r="C105" s="42">
        <v>10</v>
      </c>
      <c r="D105" s="16" t="s">
        <v>3580</v>
      </c>
      <c r="E105" s="22" t="s">
        <v>3633</v>
      </c>
      <c r="F105" s="18">
        <v>31332</v>
      </c>
      <c r="G105" s="18"/>
      <c r="H105" s="18"/>
      <c r="I105" s="18"/>
      <c r="J105" s="18"/>
      <c r="K105" s="18"/>
      <c r="L105" s="18"/>
      <c r="M105" s="18"/>
      <c r="N105" s="23">
        <f>SUM(F105:M105)-M105</f>
        <v>31332</v>
      </c>
      <c r="O105" s="18"/>
      <c r="P105" s="20"/>
      <c r="Q105" s="20">
        <f>Q103+N105-O105</f>
        <v>45451.3799999999</v>
      </c>
      <c r="R105" s="21"/>
    </row>
    <row r="106" ht="20.25" customHeight="1" spans="1:18">
      <c r="A106" s="7"/>
      <c r="B106" s="42">
        <v>7</v>
      </c>
      <c r="C106" s="42">
        <v>15</v>
      </c>
      <c r="D106" s="16" t="s">
        <v>164</v>
      </c>
      <c r="E106" s="43" t="s">
        <v>3614</v>
      </c>
      <c r="F106" s="18"/>
      <c r="G106" s="18"/>
      <c r="H106" s="18"/>
      <c r="I106" s="18"/>
      <c r="J106" s="18"/>
      <c r="K106" s="18"/>
      <c r="L106" s="18"/>
      <c r="M106" s="18"/>
      <c r="N106" s="23">
        <f>SUM(F106:M106)-M106</f>
        <v>0</v>
      </c>
      <c r="O106" s="18">
        <v>276.11</v>
      </c>
      <c r="P106" s="20"/>
      <c r="Q106" s="20">
        <f>Q105+N106-O106</f>
        <v>45175.2699999999</v>
      </c>
      <c r="R106" s="21"/>
    </row>
    <row r="107" ht="20.25" customHeight="1" spans="1:18">
      <c r="A107" s="7"/>
      <c r="B107" s="42">
        <v>7</v>
      </c>
      <c r="C107" s="42">
        <v>15</v>
      </c>
      <c r="D107" s="16" t="s">
        <v>164</v>
      </c>
      <c r="E107" s="43" t="s">
        <v>3614</v>
      </c>
      <c r="F107" s="18"/>
      <c r="G107" s="18"/>
      <c r="H107" s="18"/>
      <c r="I107" s="18"/>
      <c r="J107" s="18"/>
      <c r="K107" s="18"/>
      <c r="L107" s="18"/>
      <c r="M107" s="18"/>
      <c r="N107" s="23">
        <f>SUM(F107:M107)-M107</f>
        <v>0</v>
      </c>
      <c r="O107" s="18">
        <v>156.24</v>
      </c>
      <c r="P107" s="20"/>
      <c r="Q107" s="20">
        <f>Q106+N107-O107</f>
        <v>45019.0299999999</v>
      </c>
      <c r="R107" s="21"/>
    </row>
    <row r="108" ht="20.25" customHeight="1" spans="1:18">
      <c r="A108" s="7"/>
      <c r="B108" s="42">
        <v>7</v>
      </c>
      <c r="C108" s="42">
        <v>17</v>
      </c>
      <c r="D108" s="44" t="s">
        <v>2638</v>
      </c>
      <c r="E108" s="45" t="s">
        <v>3366</v>
      </c>
      <c r="F108" s="18"/>
      <c r="G108" s="18"/>
      <c r="H108" s="18"/>
      <c r="I108" s="18"/>
      <c r="J108" s="18"/>
      <c r="K108" s="18"/>
      <c r="L108" s="18"/>
      <c r="M108" s="18"/>
      <c r="N108" s="23">
        <f>SUM(F108:M108)-M108</f>
        <v>0</v>
      </c>
      <c r="O108" s="18">
        <v>5559.52</v>
      </c>
      <c r="P108" s="20"/>
      <c r="Q108" s="20">
        <f>Q107+N108-O108</f>
        <v>39459.5099999999</v>
      </c>
      <c r="R108" s="21"/>
    </row>
    <row r="109" ht="20.25" customHeight="1" spans="1:18">
      <c r="A109" s="7"/>
      <c r="B109" s="42">
        <v>7</v>
      </c>
      <c r="C109" s="42">
        <v>21</v>
      </c>
      <c r="D109" s="32" t="s">
        <v>2638</v>
      </c>
      <c r="E109" s="33" t="s">
        <v>3651</v>
      </c>
      <c r="F109" s="23"/>
      <c r="G109" s="23"/>
      <c r="H109" s="23"/>
      <c r="I109" s="23"/>
      <c r="J109" s="23"/>
      <c r="K109" s="23"/>
      <c r="L109" s="23"/>
      <c r="M109" s="18"/>
      <c r="N109" s="23">
        <f>SUM(F109:M109)-M109</f>
        <v>0</v>
      </c>
      <c r="O109" s="18">
        <v>8375</v>
      </c>
      <c r="P109" s="20"/>
      <c r="Q109" s="20">
        <f>Q108+N109-O109</f>
        <v>31084.5099999999</v>
      </c>
      <c r="R109" s="21"/>
    </row>
    <row r="110" s="1" customFormat="1" ht="20.25" customHeight="1" spans="1:18">
      <c r="A110" s="7"/>
      <c r="B110" s="27"/>
      <c r="C110" s="27"/>
      <c r="D110" s="28"/>
      <c r="E110" s="27" t="s">
        <v>22</v>
      </c>
      <c r="F110" s="29">
        <f>SUM(F105:F109)</f>
        <v>31332</v>
      </c>
      <c r="G110" s="29">
        <f t="shared" ref="G110:O110" si="15">SUM(G105:G109)</f>
        <v>0</v>
      </c>
      <c r="H110" s="29">
        <f t="shared" si="15"/>
        <v>0</v>
      </c>
      <c r="I110" s="29">
        <f t="shared" si="15"/>
        <v>0</v>
      </c>
      <c r="J110" s="29">
        <f t="shared" si="15"/>
        <v>0</v>
      </c>
      <c r="K110" s="29">
        <f t="shared" si="15"/>
        <v>0</v>
      </c>
      <c r="L110" s="29">
        <f t="shared" si="15"/>
        <v>0</v>
      </c>
      <c r="M110" s="29">
        <f t="shared" si="15"/>
        <v>0</v>
      </c>
      <c r="N110" s="29">
        <f t="shared" si="15"/>
        <v>31332</v>
      </c>
      <c r="O110" s="29">
        <f t="shared" si="15"/>
        <v>14366.87</v>
      </c>
      <c r="P110" s="30">
        <f>P86+N110-O110</f>
        <v>16965.13</v>
      </c>
      <c r="Q110" s="30">
        <f>Q104+N110-O110</f>
        <v>31084.5099999999</v>
      </c>
      <c r="R110" s="31"/>
    </row>
    <row r="111" ht="20.25" customHeight="1" spans="1:18">
      <c r="A111" s="7"/>
      <c r="B111" s="42">
        <v>8</v>
      </c>
      <c r="C111" s="42">
        <v>4</v>
      </c>
      <c r="D111" s="32" t="s">
        <v>3623</v>
      </c>
      <c r="E111" s="33" t="s">
        <v>3674</v>
      </c>
      <c r="F111" s="18"/>
      <c r="G111" s="18"/>
      <c r="H111" s="17"/>
      <c r="I111" s="18"/>
      <c r="J111" s="18"/>
      <c r="K111" s="18"/>
      <c r="L111" s="18"/>
      <c r="M111" s="18"/>
      <c r="N111" s="23">
        <v>8375</v>
      </c>
      <c r="O111" s="18"/>
      <c r="P111" s="20"/>
      <c r="Q111" s="20">
        <f>Q109+N111-O111</f>
        <v>39459.5099999999</v>
      </c>
      <c r="R111" s="21"/>
    </row>
    <row r="112" ht="20.25" customHeight="1" spans="1:18">
      <c r="A112" s="7"/>
      <c r="B112" s="42">
        <v>8</v>
      </c>
      <c r="C112" s="42">
        <v>4</v>
      </c>
      <c r="D112" s="44" t="s">
        <v>2638</v>
      </c>
      <c r="E112" s="45" t="s">
        <v>3366</v>
      </c>
      <c r="F112" s="18"/>
      <c r="G112" s="18"/>
      <c r="H112" s="17"/>
      <c r="I112" s="18"/>
      <c r="J112" s="18"/>
      <c r="K112" s="18"/>
      <c r="L112" s="18"/>
      <c r="M112" s="18"/>
      <c r="N112" s="23">
        <f>SUM(F112:M112)-M112</f>
        <v>0</v>
      </c>
      <c r="O112" s="18">
        <v>31332</v>
      </c>
      <c r="P112" s="20"/>
      <c r="Q112" s="20">
        <f>Q111+N112-O112</f>
        <v>8127.5099999999</v>
      </c>
      <c r="R112" s="21"/>
    </row>
    <row r="113" ht="20.25" customHeight="1" spans="1:18">
      <c r="A113" s="7"/>
      <c r="B113" s="42">
        <v>8</v>
      </c>
      <c r="C113" s="42">
        <v>19</v>
      </c>
      <c r="D113" s="32" t="s">
        <v>3623</v>
      </c>
      <c r="E113" s="33" t="s">
        <v>3674</v>
      </c>
      <c r="F113" s="23"/>
      <c r="G113" s="23"/>
      <c r="H113" s="23"/>
      <c r="I113" s="23"/>
      <c r="J113" s="23"/>
      <c r="K113" s="23"/>
      <c r="L113" s="23"/>
      <c r="M113" s="18"/>
      <c r="N113" s="23">
        <v>8654.17</v>
      </c>
      <c r="O113" s="18"/>
      <c r="P113" s="20"/>
      <c r="Q113" s="20">
        <f>Q112+N113-O113</f>
        <v>16781.6799999999</v>
      </c>
      <c r="R113" s="21"/>
    </row>
    <row r="114" ht="20.25" customHeight="1" spans="1:18">
      <c r="A114" s="7"/>
      <c r="B114" s="42">
        <v>8</v>
      </c>
      <c r="C114" s="42">
        <v>21</v>
      </c>
      <c r="D114" s="32" t="s">
        <v>2638</v>
      </c>
      <c r="E114" s="33" t="s">
        <v>3651</v>
      </c>
      <c r="F114" s="18"/>
      <c r="G114" s="18"/>
      <c r="H114" s="17"/>
      <c r="I114" s="18"/>
      <c r="J114" s="18"/>
      <c r="K114" s="18"/>
      <c r="L114" s="18"/>
      <c r="M114" s="18"/>
      <c r="N114" s="23">
        <f>SUM(F114:M114)-M114</f>
        <v>0</v>
      </c>
      <c r="O114" s="18">
        <v>8654.17</v>
      </c>
      <c r="P114" s="20"/>
      <c r="Q114" s="20">
        <f>Q113+N114-O114</f>
        <v>8127.5099999999</v>
      </c>
      <c r="R114" s="21"/>
    </row>
    <row r="115" s="1" customFormat="1" ht="20.25" customHeight="1" spans="1:18">
      <c r="A115" s="7"/>
      <c r="B115" s="27"/>
      <c r="C115" s="27"/>
      <c r="D115" s="28"/>
      <c r="E115" s="27" t="s">
        <v>22</v>
      </c>
      <c r="F115" s="29">
        <f>SUM(F111:F114)</f>
        <v>0</v>
      </c>
      <c r="G115" s="29">
        <f t="shared" ref="G115:O115" si="16">SUM(G111:G114)</f>
        <v>0</v>
      </c>
      <c r="H115" s="29">
        <f t="shared" si="16"/>
        <v>0</v>
      </c>
      <c r="I115" s="29">
        <f t="shared" si="16"/>
        <v>0</v>
      </c>
      <c r="J115" s="29">
        <f t="shared" si="16"/>
        <v>0</v>
      </c>
      <c r="K115" s="29">
        <f t="shared" si="16"/>
        <v>0</v>
      </c>
      <c r="L115" s="29">
        <f t="shared" si="16"/>
        <v>0</v>
      </c>
      <c r="M115" s="29">
        <f t="shared" si="16"/>
        <v>0</v>
      </c>
      <c r="N115" s="29">
        <f t="shared" si="16"/>
        <v>17029.17</v>
      </c>
      <c r="O115" s="29">
        <f t="shared" si="16"/>
        <v>39986.17</v>
      </c>
      <c r="P115" s="30">
        <f>P91+N115-O115</f>
        <v>-22957</v>
      </c>
      <c r="Q115" s="30">
        <f>Q109+N115-O115</f>
        <v>8127.5099999999</v>
      </c>
      <c r="R115" s="31"/>
    </row>
    <row r="116" ht="20.25" customHeight="1" spans="1:18">
      <c r="A116" s="7"/>
      <c r="B116" s="42">
        <v>9</v>
      </c>
      <c r="C116" s="42"/>
      <c r="D116" s="16"/>
      <c r="E116" s="22"/>
      <c r="F116" s="18"/>
      <c r="G116" s="18"/>
      <c r="H116" s="17"/>
      <c r="I116" s="18"/>
      <c r="J116" s="18"/>
      <c r="K116" s="18"/>
      <c r="L116" s="18"/>
      <c r="M116" s="18"/>
      <c r="N116" s="23">
        <f t="shared" ref="N116:N121" si="17">SUM(F116:M116)-M116</f>
        <v>0</v>
      </c>
      <c r="O116" s="18"/>
      <c r="P116" s="20"/>
      <c r="Q116" s="20">
        <f>Q114+N116-O116</f>
        <v>8127.5099999999</v>
      </c>
      <c r="R116" s="21"/>
    </row>
    <row r="117" ht="20.25" customHeight="1" spans="1:18">
      <c r="A117" s="7"/>
      <c r="B117" s="42"/>
      <c r="C117" s="42"/>
      <c r="D117" s="16"/>
      <c r="E117" s="22"/>
      <c r="F117" s="23"/>
      <c r="G117" s="23"/>
      <c r="H117" s="23"/>
      <c r="I117" s="23"/>
      <c r="J117" s="23"/>
      <c r="K117" s="23"/>
      <c r="L117" s="23"/>
      <c r="M117" s="18"/>
      <c r="N117" s="23">
        <f t="shared" si="17"/>
        <v>0</v>
      </c>
      <c r="O117" s="18"/>
      <c r="P117" s="20"/>
      <c r="Q117" s="20">
        <f>Q116+N117-O117</f>
        <v>8127.5099999999</v>
      </c>
      <c r="R117" s="21"/>
    </row>
    <row r="118" ht="20.25" customHeight="1" spans="1:18">
      <c r="A118" s="7"/>
      <c r="B118" s="42"/>
      <c r="C118" s="42"/>
      <c r="D118" s="16"/>
      <c r="E118" s="22"/>
      <c r="F118" s="18"/>
      <c r="G118" s="18"/>
      <c r="H118" s="17"/>
      <c r="I118" s="18"/>
      <c r="J118" s="18"/>
      <c r="K118" s="18"/>
      <c r="L118" s="18"/>
      <c r="M118" s="18"/>
      <c r="N118" s="23">
        <f t="shared" si="17"/>
        <v>0</v>
      </c>
      <c r="O118" s="18"/>
      <c r="P118" s="20"/>
      <c r="Q118" s="20">
        <f>Q117+N118-O118</f>
        <v>8127.5099999999</v>
      </c>
      <c r="R118" s="21"/>
    </row>
    <row r="119" ht="20.25" customHeight="1" spans="1:18">
      <c r="A119" s="7"/>
      <c r="B119" s="42"/>
      <c r="C119" s="42"/>
      <c r="D119" s="16"/>
      <c r="E119" s="22"/>
      <c r="F119" s="18"/>
      <c r="G119" s="18"/>
      <c r="H119" s="17"/>
      <c r="I119" s="18"/>
      <c r="J119" s="18"/>
      <c r="K119" s="18"/>
      <c r="L119" s="18"/>
      <c r="M119" s="18"/>
      <c r="N119" s="23">
        <f t="shared" si="17"/>
        <v>0</v>
      </c>
      <c r="O119" s="18"/>
      <c r="P119" s="20"/>
      <c r="Q119" s="20"/>
      <c r="R119" s="21"/>
    </row>
    <row r="120" ht="20.25" customHeight="1" spans="1:18">
      <c r="A120" s="7"/>
      <c r="B120" s="42"/>
      <c r="C120" s="42"/>
      <c r="D120" s="16"/>
      <c r="E120" s="22"/>
      <c r="F120" s="23"/>
      <c r="G120" s="23"/>
      <c r="H120" s="23"/>
      <c r="I120" s="23"/>
      <c r="J120" s="23"/>
      <c r="K120" s="23"/>
      <c r="L120" s="23"/>
      <c r="M120" s="18"/>
      <c r="N120" s="23">
        <f t="shared" si="17"/>
        <v>0</v>
      </c>
      <c r="O120" s="18"/>
      <c r="P120" s="20"/>
      <c r="Q120" s="20"/>
      <c r="R120" s="21"/>
    </row>
    <row r="121" ht="20.25" customHeight="1" spans="1:18">
      <c r="A121" s="7"/>
      <c r="B121" s="42"/>
      <c r="C121" s="42"/>
      <c r="D121" s="16"/>
      <c r="E121" s="22"/>
      <c r="F121" s="18"/>
      <c r="G121" s="18"/>
      <c r="H121" s="17"/>
      <c r="I121" s="18"/>
      <c r="J121" s="18"/>
      <c r="K121" s="18"/>
      <c r="L121" s="18"/>
      <c r="M121" s="18"/>
      <c r="N121" s="23">
        <f t="shared" si="17"/>
        <v>0</v>
      </c>
      <c r="O121" s="18"/>
      <c r="P121" s="20"/>
      <c r="Q121" s="20"/>
      <c r="R121" s="21"/>
    </row>
    <row r="122" ht="20.25" customHeight="1" spans="1:18">
      <c r="A122" s="7"/>
      <c r="B122" s="42"/>
      <c r="C122" s="42"/>
      <c r="D122" s="16"/>
      <c r="E122" s="22"/>
      <c r="F122" s="18"/>
      <c r="G122" s="18"/>
      <c r="H122" s="17"/>
      <c r="I122" s="18"/>
      <c r="J122" s="18"/>
      <c r="K122" s="18"/>
      <c r="L122" s="18"/>
      <c r="M122" s="18"/>
      <c r="N122" s="19"/>
      <c r="O122" s="18"/>
      <c r="P122" s="20"/>
      <c r="Q122" s="20"/>
      <c r="R122" s="21"/>
    </row>
    <row r="123" ht="20.25" customHeight="1" spans="1:18">
      <c r="A123" s="7"/>
      <c r="B123" s="42"/>
      <c r="C123" s="42"/>
      <c r="D123" s="16"/>
      <c r="E123" s="22"/>
      <c r="F123" s="23"/>
      <c r="G123" s="23"/>
      <c r="H123" s="23"/>
      <c r="I123" s="23"/>
      <c r="J123" s="23"/>
      <c r="K123" s="23"/>
      <c r="L123" s="23"/>
      <c r="M123" s="18"/>
      <c r="N123" s="23"/>
      <c r="O123" s="18"/>
      <c r="P123" s="20"/>
      <c r="Q123" s="20"/>
      <c r="R123" s="21"/>
    </row>
    <row r="124" ht="20.25" customHeight="1" spans="1:18">
      <c r="A124" s="7"/>
      <c r="B124" s="42"/>
      <c r="C124" s="42"/>
      <c r="D124" s="16"/>
      <c r="E124" s="22"/>
      <c r="F124" s="18"/>
      <c r="G124" s="18"/>
      <c r="H124" s="17"/>
      <c r="I124" s="18"/>
      <c r="J124" s="18"/>
      <c r="K124" s="18"/>
      <c r="L124" s="18"/>
      <c r="M124" s="18"/>
      <c r="N124" s="23"/>
      <c r="O124" s="18"/>
      <c r="P124" s="20"/>
      <c r="Q124" s="20"/>
      <c r="R124" s="21"/>
    </row>
    <row r="125" ht="20.25" customHeight="1" spans="1:18">
      <c r="A125" s="7"/>
      <c r="B125" s="42"/>
      <c r="C125" s="42"/>
      <c r="D125" s="16"/>
      <c r="E125" s="22"/>
      <c r="F125" s="18"/>
      <c r="G125" s="18"/>
      <c r="H125" s="17"/>
      <c r="I125" s="18"/>
      <c r="J125" s="18"/>
      <c r="K125" s="18"/>
      <c r="L125" s="18"/>
      <c r="M125" s="18"/>
      <c r="N125" s="19"/>
      <c r="O125" s="18"/>
      <c r="P125" s="20"/>
      <c r="Q125" s="20"/>
      <c r="R125" s="21"/>
    </row>
    <row r="126" ht="20.25" customHeight="1" spans="1:18">
      <c r="A126" s="7"/>
      <c r="B126" s="42"/>
      <c r="C126" s="42"/>
      <c r="D126" s="16"/>
      <c r="E126" s="22"/>
      <c r="F126" s="23"/>
      <c r="G126" s="23"/>
      <c r="H126" s="23"/>
      <c r="I126" s="23"/>
      <c r="J126" s="23"/>
      <c r="K126" s="23"/>
      <c r="L126" s="23"/>
      <c r="M126" s="18"/>
      <c r="N126" s="23"/>
      <c r="O126" s="18"/>
      <c r="P126" s="20"/>
      <c r="Q126" s="20"/>
      <c r="R126" s="21"/>
    </row>
    <row r="127" ht="20.25" customHeight="1" spans="1:18">
      <c r="A127" s="7"/>
      <c r="B127" s="42"/>
      <c r="C127" s="42"/>
      <c r="D127" s="16"/>
      <c r="E127" s="22"/>
      <c r="F127" s="18"/>
      <c r="G127" s="18"/>
      <c r="H127" s="17"/>
      <c r="I127" s="18"/>
      <c r="J127" s="18"/>
      <c r="K127" s="18"/>
      <c r="L127" s="18"/>
      <c r="M127" s="18"/>
      <c r="N127" s="23"/>
      <c r="O127" s="18"/>
      <c r="P127" s="20"/>
      <c r="Q127" s="20"/>
      <c r="R127" s="21"/>
    </row>
    <row r="128" ht="20.25" customHeight="1" spans="1:18">
      <c r="A128" s="7"/>
      <c r="B128" s="42"/>
      <c r="C128" s="42"/>
      <c r="D128" s="16"/>
      <c r="E128" s="22"/>
      <c r="F128" s="18"/>
      <c r="G128" s="18"/>
      <c r="H128" s="17"/>
      <c r="I128" s="18"/>
      <c r="J128" s="18"/>
      <c r="K128" s="18"/>
      <c r="L128" s="18"/>
      <c r="M128" s="18"/>
      <c r="N128" s="19"/>
      <c r="O128" s="18"/>
      <c r="P128" s="20"/>
      <c r="Q128" s="20"/>
      <c r="R128" s="21"/>
    </row>
    <row r="129" ht="20.25" customHeight="1" spans="1:18">
      <c r="A129" s="7"/>
      <c r="B129" s="42"/>
      <c r="C129" s="42"/>
      <c r="D129" s="16"/>
      <c r="E129" s="22"/>
      <c r="F129" s="23"/>
      <c r="G129" s="23"/>
      <c r="H129" s="23"/>
      <c r="I129" s="23"/>
      <c r="J129" s="23"/>
      <c r="K129" s="23"/>
      <c r="L129" s="23"/>
      <c r="M129" s="18"/>
      <c r="N129" s="23"/>
      <c r="O129" s="18"/>
      <c r="P129" s="20"/>
      <c r="Q129" s="20"/>
      <c r="R129" s="21"/>
    </row>
    <row r="130" ht="20.25" customHeight="1" spans="1:18">
      <c r="A130" s="7"/>
      <c r="B130" s="42"/>
      <c r="C130" s="42"/>
      <c r="D130" s="16"/>
      <c r="E130" s="22"/>
      <c r="F130" s="18"/>
      <c r="G130" s="18"/>
      <c r="H130" s="17"/>
      <c r="I130" s="18"/>
      <c r="J130" s="18"/>
      <c r="K130" s="18"/>
      <c r="L130" s="18"/>
      <c r="M130" s="18"/>
      <c r="N130" s="23"/>
      <c r="O130" s="18"/>
      <c r="P130" s="20"/>
      <c r="Q130" s="20"/>
      <c r="R130" s="21"/>
    </row>
    <row r="131" ht="20.25" customHeight="1" spans="1:18">
      <c r="A131" s="7"/>
      <c r="B131" s="42"/>
      <c r="C131" s="42"/>
      <c r="D131" s="16"/>
      <c r="E131" s="22"/>
      <c r="F131" s="18"/>
      <c r="G131" s="18"/>
      <c r="H131" s="17"/>
      <c r="I131" s="18"/>
      <c r="J131" s="18"/>
      <c r="K131" s="18"/>
      <c r="L131" s="18"/>
      <c r="M131" s="18"/>
      <c r="N131" s="19"/>
      <c r="O131" s="18"/>
      <c r="P131" s="20"/>
      <c r="Q131" s="20"/>
      <c r="R131" s="21"/>
    </row>
    <row r="132" ht="20.25" customHeight="1" spans="1:18">
      <c r="A132" s="7"/>
      <c r="B132" s="42"/>
      <c r="C132" s="42"/>
      <c r="D132" s="16"/>
      <c r="E132" s="22"/>
      <c r="F132" s="23"/>
      <c r="G132" s="23"/>
      <c r="H132" s="23"/>
      <c r="I132" s="23"/>
      <c r="J132" s="23"/>
      <c r="K132" s="23"/>
      <c r="L132" s="23"/>
      <c r="M132" s="18"/>
      <c r="N132" s="23"/>
      <c r="O132" s="18"/>
      <c r="P132" s="20"/>
      <c r="Q132" s="20"/>
      <c r="R132" s="21"/>
    </row>
    <row r="133" ht="20.25" customHeight="1" spans="1:18">
      <c r="A133" s="7"/>
      <c r="B133" s="42"/>
      <c r="C133" s="42"/>
      <c r="D133" s="16"/>
      <c r="E133" s="22"/>
      <c r="F133" s="18"/>
      <c r="G133" s="18"/>
      <c r="H133" s="17"/>
      <c r="I133" s="18"/>
      <c r="J133" s="18"/>
      <c r="K133" s="18"/>
      <c r="L133" s="18"/>
      <c r="M133" s="18"/>
      <c r="N133" s="23"/>
      <c r="O133" s="18"/>
      <c r="P133" s="20"/>
      <c r="Q133" s="20"/>
      <c r="R133" s="21"/>
    </row>
    <row r="134" ht="20.25" customHeight="1" spans="1:18">
      <c r="A134" s="7"/>
      <c r="B134" s="42"/>
      <c r="C134" s="42"/>
      <c r="D134" s="16"/>
      <c r="E134" s="22"/>
      <c r="F134" s="18"/>
      <c r="G134" s="18"/>
      <c r="H134" s="17"/>
      <c r="I134" s="18"/>
      <c r="J134" s="18"/>
      <c r="K134" s="18"/>
      <c r="L134" s="18"/>
      <c r="M134" s="18"/>
      <c r="N134" s="19"/>
      <c r="O134" s="18"/>
      <c r="P134" s="20"/>
      <c r="Q134" s="20"/>
      <c r="R134" s="21"/>
    </row>
    <row r="135" ht="20.25" customHeight="1" spans="1:18">
      <c r="A135" s="7"/>
      <c r="B135" s="42"/>
      <c r="C135" s="42"/>
      <c r="D135" s="16"/>
      <c r="E135" s="22"/>
      <c r="F135" s="23"/>
      <c r="G135" s="23"/>
      <c r="H135" s="23"/>
      <c r="I135" s="23"/>
      <c r="J135" s="23"/>
      <c r="K135" s="23"/>
      <c r="L135" s="23"/>
      <c r="M135" s="18"/>
      <c r="N135" s="23"/>
      <c r="O135" s="18"/>
      <c r="P135" s="20"/>
      <c r="Q135" s="20"/>
      <c r="R135" s="21"/>
    </row>
    <row r="136" ht="20.25" customHeight="1" spans="1:18">
      <c r="A136" s="7"/>
      <c r="B136" s="42"/>
      <c r="C136" s="42"/>
      <c r="D136" s="16"/>
      <c r="E136" s="22"/>
      <c r="F136" s="18"/>
      <c r="G136" s="18"/>
      <c r="H136" s="17"/>
      <c r="I136" s="18"/>
      <c r="J136" s="18"/>
      <c r="K136" s="18"/>
      <c r="L136" s="18"/>
      <c r="M136" s="18"/>
      <c r="N136" s="23"/>
      <c r="O136" s="18"/>
      <c r="P136" s="20"/>
      <c r="Q136" s="20"/>
      <c r="R136" s="21"/>
    </row>
    <row r="137" ht="20.25" customHeight="1" spans="1:18">
      <c r="A137" s="7"/>
      <c r="B137" s="42"/>
      <c r="C137" s="42"/>
      <c r="D137" s="16"/>
      <c r="E137" s="22"/>
      <c r="F137" s="18"/>
      <c r="G137" s="18"/>
      <c r="H137" s="17"/>
      <c r="I137" s="18"/>
      <c r="J137" s="18"/>
      <c r="K137" s="18"/>
      <c r="L137" s="18"/>
      <c r="M137" s="18"/>
      <c r="N137" s="19"/>
      <c r="O137" s="18"/>
      <c r="P137" s="20"/>
      <c r="Q137" s="20"/>
      <c r="R137" s="21"/>
    </row>
    <row r="138" ht="20.25" customHeight="1" spans="1:18">
      <c r="A138" s="7"/>
      <c r="B138" s="15"/>
      <c r="C138" s="15"/>
      <c r="D138" s="16"/>
      <c r="E138" s="22"/>
      <c r="F138" s="23"/>
      <c r="G138" s="23"/>
      <c r="H138" s="23"/>
      <c r="I138" s="23"/>
      <c r="J138" s="23"/>
      <c r="K138" s="23"/>
      <c r="L138" s="23"/>
      <c r="M138" s="18"/>
      <c r="N138" s="23"/>
      <c r="O138" s="18"/>
      <c r="P138" s="20"/>
      <c r="Q138" s="20"/>
      <c r="R138" s="21"/>
    </row>
    <row r="139" ht="20.25" customHeight="1" spans="1:18">
      <c r="A139" s="7"/>
      <c r="B139" s="15"/>
      <c r="C139" s="15"/>
      <c r="D139" s="16"/>
      <c r="E139" s="22"/>
      <c r="F139" s="18"/>
      <c r="G139" s="18"/>
      <c r="H139" s="17"/>
      <c r="I139" s="18"/>
      <c r="J139" s="18"/>
      <c r="K139" s="18"/>
      <c r="L139" s="18"/>
      <c r="M139" s="18"/>
      <c r="N139" s="23"/>
      <c r="O139" s="18"/>
      <c r="P139" s="20"/>
      <c r="Q139" s="20"/>
      <c r="R139" s="21"/>
    </row>
    <row r="140" ht="20.25" customHeight="1" spans="1:18">
      <c r="A140" s="7"/>
      <c r="B140" s="15"/>
      <c r="C140" s="15"/>
      <c r="D140" s="16"/>
      <c r="E140" s="22"/>
      <c r="F140" s="18"/>
      <c r="G140" s="18"/>
      <c r="H140" s="17"/>
      <c r="I140" s="18"/>
      <c r="J140" s="18"/>
      <c r="K140" s="18"/>
      <c r="L140" s="18"/>
      <c r="M140" s="18"/>
      <c r="N140" s="19"/>
      <c r="O140" s="18"/>
      <c r="P140" s="20"/>
      <c r="Q140" s="20"/>
      <c r="R140" s="21"/>
    </row>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sheetData>
  <autoFilter xmlns:etc="http://www.wps.cn/officeDocument/2017/etCustomData" ref="A4:X121" etc:filterBottomFollowUsedRange="0">
    <extLst/>
  </autoFilter>
  <mergeCells count="5">
    <mergeCell ref="B1:R1"/>
    <mergeCell ref="F3:N3"/>
    <mergeCell ref="O3:O4"/>
    <mergeCell ref="P3:P4"/>
    <mergeCell ref="Q3:Q4"/>
  </mergeCells>
  <pageMargins left="0.75" right="0.75" top="1" bottom="1" header="0.5" footer="0.5"/>
  <pageSetup paperSize="9" orientation="portrait"/>
  <headerFooter/>
  <ignoredErrors>
    <ignoredError sqref="N34" formula="1"/>
  </ignoredErrors>
</worksheet>
</file>

<file path=docProps/app.xml><?xml version="1.0" encoding="utf-8"?>
<Properties xmlns="http://schemas.openxmlformats.org/officeDocument/2006/extended-properties" xmlns:vt="http://schemas.openxmlformats.org/officeDocument/2006/docPropsVTypes">
  <Company>微软中国</Company>
  <Application>Microsoft Excel</Application>
  <HeadingPairs>
    <vt:vector size="2" baseType="variant">
      <vt:variant>
        <vt:lpstr>工作表</vt:lpstr>
      </vt:variant>
      <vt:variant>
        <vt:i4>31</vt:i4>
      </vt:variant>
    </vt:vector>
  </HeadingPairs>
  <TitlesOfParts>
    <vt:vector size="31" baseType="lpstr">
      <vt:lpstr>目录</vt:lpstr>
      <vt:lpstr>中策管理海峡银行</vt:lpstr>
      <vt:lpstr>四季快安兴业银行</vt:lpstr>
      <vt:lpstr>汇总</vt:lpstr>
      <vt:lpstr>付费项</vt:lpstr>
      <vt:lpstr>力喆实业中国银行</vt:lpstr>
      <vt:lpstr>力喆产业农商银行</vt:lpstr>
      <vt:lpstr>元生万物建设银行</vt:lpstr>
      <vt:lpstr>言吾言中国银行</vt:lpstr>
      <vt:lpstr>力喆传媒海峡银行</vt:lpstr>
      <vt:lpstr>徐洁招商银行</vt:lpstr>
      <vt:lpstr>力喆贸易建设银行</vt:lpstr>
      <vt:lpstr>古玩城农商银行</vt:lpstr>
      <vt:lpstr>古玩城现金</vt:lpstr>
      <vt:lpstr>艾泊烨海峡银行</vt:lpstr>
      <vt:lpstr>艾泊烨招商银行</vt:lpstr>
      <vt:lpstr>艾泊烨农商银行</vt:lpstr>
      <vt:lpstr>艾泊烨私户银行</vt:lpstr>
      <vt:lpstr>博烨体育农商银行</vt:lpstr>
      <vt:lpstr>博烨私户</vt:lpstr>
      <vt:lpstr>博烨篮球馆 </vt:lpstr>
      <vt:lpstr>博烨羽毛球</vt:lpstr>
      <vt:lpstr>博烨健身房</vt:lpstr>
      <vt:lpstr>博烨匹克球</vt:lpstr>
      <vt:lpstr>Sheet1</vt:lpstr>
      <vt:lpstr>易佰兴趋势民生银行</vt:lpstr>
      <vt:lpstr>易佰兴私户</vt:lpstr>
      <vt:lpstr>易佰兴现金</vt:lpstr>
      <vt:lpstr>易佰兴建行</vt:lpstr>
      <vt:lpstr>易佰兴基本户</vt:lpstr>
      <vt:lpstr>易佰兴农商银行外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Administrator</cp:lastModifiedBy>
  <dcterms:created xsi:type="dcterms:W3CDTF">2008-10-10T03:53:00Z</dcterms:created>
  <dcterms:modified xsi:type="dcterms:W3CDTF">2026-10-13T05:57:19Z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2C5A2C38B4F54A838C96C4E881521B30_13</vt:lpwstr>
  </property>
  <property fmtid="{D5CDD505-2E9C-101B-9397-08002B2CF9AE}" pid="3" name="KSOProductBuildVer">
    <vt:lpwstr>2052-12.1.0.24657</vt:lpwstr>
  </property>
  <property fmtid="{D5CDD505-2E9C-101B-9397-08002B2CF9AE}" pid="4" name="KSOTemplateUUID">
    <vt:lpwstr>v1.0_mb_ljxGWVq/tEwEH5gkAJyXSQ==</vt:lpwstr>
  </property>
  <property fmtid="{D5CDD505-2E9C-101B-9397-08002B2CF9AE}" pid="5" name="CalculationRule">
    <vt:i4>0</vt:i4>
  </property>
  <property fmtid="{D5CDD505-2E9C-101B-9397-08002B2CF9AE}" pid="6" name="KSOReadingLayout">
    <vt:bool>true</vt:bool>
  </property>
</Properties>
</file>