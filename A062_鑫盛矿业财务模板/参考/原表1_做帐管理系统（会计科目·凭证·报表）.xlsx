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F:\微信\xwechat_files\wxid_zxwmsuqw4qi729_d4c6\msg\file\2026-09\"/>
    </mc:Choice>
  </mc:AlternateContent>
  <workbookProtection workbookPassword="A680" lockStructure="1"/>
  <bookViews>
    <workbookView windowWidth="27945" windowHeight="12375" tabRatio="813" firstSheet="2" activeTab="1"/>
  </bookViews>
  <sheets>
    <sheet name="主界面" sheetId="1" r:id="rId1"/>
    <sheet name="基础信息" sheetId="2" r:id="rId2"/>
    <sheet name="会计科目" sheetId="3" r:id="rId3"/>
    <sheet name="凭证录入" sheetId="4" r:id="rId4"/>
    <sheet name="凭证打印" sheetId="5" r:id="rId5"/>
    <sheet name="科目余额表" sheetId="6" r:id="rId6"/>
    <sheet name="资产负债表" sheetId="7" r:id="rId7"/>
    <sheet name="损益表" sheetId="8" r:id="rId8"/>
    <sheet name="表外数据录入" sheetId="9" r:id="rId9"/>
    <sheet name="现金流量表" sheetId="10" r:id="rId10"/>
    <sheet name="丁字账" sheetId="11" r:id="rId11"/>
    <sheet name="使用说明" sheetId="12" r:id="rId12"/>
  </sheets>
  <definedNames>
    <definedName name="_xlnm._FilterDatabase" localSheetId="2" hidden="1">会计科目!$G$1:$BG$76</definedName>
    <definedName name="_xlnm._FilterDatabase" localSheetId="3" hidden="1">凭证录入!$A$4:$J$207</definedName>
    <definedName name="_xlnm._FilterDatabase" localSheetId="10" hidden="1">丁字账!$A$4:$B$77</definedName>
    <definedName name="明细科目">OFFSET(会计科目!$I$2,MATCH(凭证录入!$F1,总账科目,0),1,,COUNTA(OFFSET(会计科目!$J$2:$IV$2,MATCH(凭证录入!$F1,总账科目,0),)))</definedName>
    <definedName name="总账科目">会计科目!$I$3:$I$76</definedName>
    <definedName name="_xlnm.Print_Area" localSheetId="1">基础信息!$A$1:$G$14</definedName>
    <definedName name="_xlnm.Print_Titles" localSheetId="3">凭证录入!$1:$5</definedName>
    <definedName name="_xlnm.Print_Titles" localSheetId="4">凭证打印!$3:$7</definedName>
    <definedName name="_xlnm.Print_Area" localSheetId="4">凭证打印!$C$3:$L$18</definedName>
    <definedName name="_xlnm.Print_Titles" localSheetId="5">科目余额表!$1:$5</definedName>
    <definedName name="_xlnm.Print_Area" localSheetId="5">科目余额表!$A$1:$G$91</definedName>
    <definedName name="_xlnm.Print_Area" localSheetId="6">资产负债表!$A$1:$J$49</definedName>
    <definedName name="_xlnm.Print_Area" localSheetId="7">损益表!$B$1:$G$34</definedName>
    <definedName name="_xlnm.Print_Titles" localSheetId="8">表外数据录入!$2:$3</definedName>
    <definedName name="_xlnm.Print_Area" localSheetId="8">表外数据录入!$A$2:$C$64</definedName>
    <definedName name="_xlnm.Print_Area" localSheetId="9">现金流量表!$B$1:$G$43</definedName>
    <definedName name="_xlnm.Print_Titles" localSheetId="10">丁字账!$1:$5</definedName>
    <definedName name="_xlnm.Print_Area" localSheetId="10">丁字账!$HU$1:$ID$49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D4" authorId="0">
      <text>
        <r>
          <rPr>
            <sz val="10"/>
            <rFont val="宋体"/>
            <charset val="134"/>
          </rPr>
          <t xml:space="preserve">Administrator:
请输入所属财务期间，如：2018年3月
</t>
        </r>
      </text>
    </comment>
  </commentList>
</comments>
</file>

<file path=xl/comments2.xml><?xml version="1.0" encoding="utf-8"?>
<comments xmlns="http://schemas.openxmlformats.org/spreadsheetml/2006/main">
  <authors>
    <author>Administrator</author>
  </authors>
  <commentList>
    <comment ref="H5" authorId="0">
      <text>
        <r>
          <rPr>
            <sz val="10"/>
            <rFont val="宋体"/>
            <charset val="134"/>
          </rPr>
          <t>Administrator:
可以直接输凭证号</t>
        </r>
      </text>
    </comment>
  </commentList>
</comments>
</file>

<file path=xl/comments3.xml><?xml version="1.0" encoding="utf-8"?>
<comments xmlns="http://schemas.openxmlformats.org/spreadsheetml/2006/main">
  <authors>
    <author>作者</author>
  </authors>
  <commentList>
    <comment ref="E17" authorId="0">
      <text>
        <r>
          <rPr>
            <sz val="10"/>
            <rFont val="宋体"/>
            <charset val="134"/>
          </rPr>
          <t xml:space="preserve">提醒:
　　主营业务收入校验公式。
</t>
        </r>
      </text>
    </comment>
    <comment ref="E21" authorId="0">
      <text>
        <r>
          <rPr>
            <sz val="10"/>
            <rFont val="宋体"/>
            <charset val="134"/>
          </rPr>
          <t xml:space="preserve">提醒:
　　主营业务成本校验公式。
</t>
        </r>
      </text>
    </comment>
    <comment ref="E24" authorId="0">
      <text>
        <r>
          <rPr>
            <sz val="10"/>
            <rFont val="宋体"/>
            <charset val="134"/>
          </rPr>
          <t xml:space="preserve">提醒:
　　存货增加额校验公式。
</t>
        </r>
      </text>
    </comment>
    <comment ref="D28" authorId="0">
      <text>
        <r>
          <rPr>
            <sz val="10"/>
            <rFont val="宋体"/>
            <charset val="134"/>
          </rPr>
          <t>提醒:
  所得税税率须根据企业实际税率修改。</t>
        </r>
      </text>
    </comment>
    <comment ref="D44" authorId="0">
      <text>
        <r>
          <rPr>
            <sz val="10"/>
            <rFont val="宋体"/>
            <charset val="134"/>
          </rPr>
          <t xml:space="preserve">提醒:
　　灰色阴影部分须根据企业实际计提比例修改，如是按账龄计提坏账准备，则按实际计提数直接填在坏账准备金额栏。
</t>
        </r>
      </text>
    </comment>
  </commentList>
</comments>
</file>

<file path=xl/comments4.xml><?xml version="1.0" encoding="utf-8"?>
<comments xmlns="http://schemas.openxmlformats.org/spreadsheetml/2006/main">
  <authors>
    <author>作者</author>
  </authors>
  <commentList>
    <comment ref="B2" authorId="0">
      <text>
        <r>
          <rPr>
            <sz val="10"/>
            <rFont val="宋体"/>
            <charset val="134"/>
          </rPr>
          <t>请输入公司名称。</t>
        </r>
      </text>
    </comment>
    <comment ref="J2" authorId="0">
      <text>
        <r>
          <rPr>
            <sz val="10"/>
            <rFont val="宋体"/>
            <charset val="134"/>
          </rPr>
          <t xml:space="preserve">请输入所属财务期间，如：2018年3月
</t>
        </r>
      </text>
    </comment>
    <comment ref="HY2" authorId="0">
      <text>
        <r>
          <rPr>
            <sz val="10"/>
            <rFont val="宋体"/>
            <charset val="134"/>
          </rPr>
          <t xml:space="preserve">填表日期请手动填写，如无需要，删除也可。
</t>
        </r>
      </text>
    </comment>
    <comment ref="B4" authorId="0">
      <text>
        <r>
          <rPr>
            <sz val="10"/>
            <rFont val="宋体"/>
            <charset val="134"/>
          </rPr>
          <t xml:space="preserve">单击以下科目名称会自动跳转到该科目丁字户头。
</t>
        </r>
      </text>
    </comment>
  </commentList>
</comments>
</file>

<file path=xl/sharedStrings.xml><?xml version="1.0" encoding="utf-8"?>
<sst xmlns="http://schemas.openxmlformats.org/spreadsheetml/2006/main" count="2747" uniqueCount="1041">
  <si>
    <t xml:space="preserve">财务记账管理系统
</t>
  </si>
  <si>
    <t>xwchen</t>
  </si>
  <si>
    <t>基本信息录入</t>
  </si>
  <si>
    <t>编制单位：</t>
  </si>
  <si>
    <t>XIN SHENG</t>
  </si>
  <si>
    <t>所属财务期间：</t>
  </si>
  <si>
    <t>填表日期：</t>
  </si>
  <si>
    <t>单位负责人：</t>
  </si>
  <si>
    <t>财务负责人：</t>
  </si>
  <si>
    <t>复核人：</t>
  </si>
  <si>
    <t>制表人：</t>
  </si>
  <si>
    <t xml:space="preserve">   注：以上基本信息录入后，各表相关信息将自动生成，无需再录入。    财务期间格式必须如：2020年6月，否则相关表格会显示错误
　</t>
  </si>
  <si>
    <t>新旧会计科目对照表</t>
  </si>
  <si>
    <t>会计制度使用科目</t>
  </si>
  <si>
    <t>注：以下明细科目可根据需要自行增减或修改，但科目之间不可有空单元格。</t>
  </si>
  <si>
    <t>序号</t>
  </si>
  <si>
    <t>编号</t>
  </si>
  <si>
    <t>新会计准则使用科目</t>
  </si>
  <si>
    <t>原会计制度使用科目</t>
  </si>
  <si>
    <t>核算内容</t>
  </si>
  <si>
    <t>科目代码</t>
  </si>
  <si>
    <t>总账科目</t>
  </si>
  <si>
    <t>明细科目1</t>
  </si>
  <si>
    <t>明细科目2</t>
  </si>
  <si>
    <t>明细科目3</t>
  </si>
  <si>
    <t>明细科目4</t>
  </si>
  <si>
    <t>明细科目5</t>
  </si>
  <si>
    <t>明细科目6</t>
  </si>
  <si>
    <t>明细科目7</t>
  </si>
  <si>
    <t>明细科目8</t>
  </si>
  <si>
    <t>明细科目9</t>
  </si>
  <si>
    <t>明细科目10</t>
  </si>
  <si>
    <t>明细科目11</t>
  </si>
  <si>
    <t>明细科目12</t>
  </si>
  <si>
    <t>明细科目13</t>
  </si>
  <si>
    <t>明细科目14</t>
  </si>
  <si>
    <t>明细科目15</t>
  </si>
  <si>
    <t>明细科目16</t>
  </si>
  <si>
    <t>明细科目17</t>
  </si>
  <si>
    <t>明细科目18</t>
  </si>
  <si>
    <t>明细科目19</t>
  </si>
  <si>
    <t>明细科目20</t>
  </si>
  <si>
    <t>明细科目21</t>
  </si>
  <si>
    <t>明细科目22</t>
  </si>
  <si>
    <t>明细科目23</t>
  </si>
  <si>
    <t>明细科目24</t>
  </si>
  <si>
    <t>明细科目25</t>
  </si>
  <si>
    <t>明细科目26</t>
  </si>
  <si>
    <t>明细科目27</t>
  </si>
  <si>
    <t>明细科目28</t>
  </si>
  <si>
    <t>明细科目29</t>
  </si>
  <si>
    <t>明细科目30</t>
  </si>
  <si>
    <t>明细科目31</t>
  </si>
  <si>
    <t>明细科目32</t>
  </si>
  <si>
    <t>明细科目33</t>
  </si>
  <si>
    <t>明细科目34</t>
  </si>
  <si>
    <t>明细科目35</t>
  </si>
  <si>
    <t>明细科目36</t>
  </si>
  <si>
    <t>明细科目37</t>
  </si>
  <si>
    <t>明细科目38</t>
  </si>
  <si>
    <t>明细科目39</t>
  </si>
  <si>
    <t>明细科目40</t>
  </si>
  <si>
    <t>明细科目41</t>
  </si>
  <si>
    <t>明细科目42</t>
  </si>
  <si>
    <t>明细科目43</t>
  </si>
  <si>
    <t>明细科目44</t>
  </si>
  <si>
    <t>明细科目45</t>
  </si>
  <si>
    <t>明细科目46</t>
  </si>
  <si>
    <t>明细科目47</t>
  </si>
  <si>
    <t>明细科目48</t>
  </si>
  <si>
    <t>明细科目49</t>
  </si>
  <si>
    <t>明细科目50</t>
  </si>
  <si>
    <t>一、资产类</t>
  </si>
  <si>
    <t>库存现金</t>
  </si>
  <si>
    <t>现金</t>
  </si>
  <si>
    <t>企业的库存现金</t>
  </si>
  <si>
    <t>苏姆</t>
  </si>
  <si>
    <t>苏姆【工资卡】</t>
  </si>
  <si>
    <t>人民币【李伟忠卡】</t>
  </si>
  <si>
    <t>美元</t>
  </si>
  <si>
    <t>银行存款</t>
  </si>
  <si>
    <t>企业存入银行或其他金融机构的各种款项</t>
  </si>
  <si>
    <t>国民投资银行（基本户）</t>
  </si>
  <si>
    <t>银行卡1029</t>
  </si>
  <si>
    <t>美元账户</t>
  </si>
  <si>
    <t>定期存款</t>
  </si>
  <si>
    <t>存放中央银行款项</t>
  </si>
  <si>
    <t>※</t>
  </si>
  <si>
    <t>企业（银行）存放于中国人民银行（以下简称“中央银行”）的各种款项，包括业务资金的调拨、办理同城票据交换和异地跨系统资金汇划、提取或缴存现金等。</t>
  </si>
  <si>
    <t>其他货币资金</t>
  </si>
  <si>
    <t>海关账户</t>
  </si>
  <si>
    <t>存放同业</t>
  </si>
  <si>
    <t>企业（银行）存放于境内、境外银行和非银行金融机构的款项</t>
  </si>
  <si>
    <t>短期投资</t>
  </si>
  <si>
    <t>股票</t>
  </si>
  <si>
    <t>债券</t>
  </si>
  <si>
    <t>基金</t>
  </si>
  <si>
    <t>其他</t>
  </si>
  <si>
    <t>企业的银行汇票存款、银行本票存款、信用卡存款、信用证保证金存款、存出投资款、外埠存款等其他货币资金。</t>
  </si>
  <si>
    <t>应收票据</t>
  </si>
  <si>
    <t>结算备付金</t>
  </si>
  <si>
    <t>企业（证券）为证券交易的资金清算与交收而存入指定清算代理机构的款项。企业（证券）向客户收取的结算手续费、向证券交易所支付的结算手续费。</t>
  </si>
  <si>
    <t>应收账款</t>
  </si>
  <si>
    <t>工程款</t>
  </si>
  <si>
    <t>矿石开采服务</t>
  </si>
  <si>
    <t>存出保证金</t>
  </si>
  <si>
    <t>企业（金融）因办理业务需要存出或交纳的各种保证金款项。</t>
  </si>
  <si>
    <t>预付账款</t>
  </si>
  <si>
    <t>交易性金融资产</t>
  </si>
  <si>
    <t>企业为交易目的所持有的债券投资、股票投资、基金投资等交易性金融资产的公允价值</t>
  </si>
  <si>
    <t>应收股利</t>
  </si>
  <si>
    <t>买入返售金融资产</t>
  </si>
  <si>
    <t>企业（金融）按照返售协议约定先买入再按固定价格返售的票据、证券、贷款等金融资产所融出的资金</t>
  </si>
  <si>
    <t>应收利息</t>
  </si>
  <si>
    <t>企业因销售商品、提供劳务等而收到的商业汇票，包括银行承兑汇票和商业承兑汇票。</t>
  </si>
  <si>
    <t>其他应收款</t>
  </si>
  <si>
    <t>项目备用金</t>
  </si>
  <si>
    <t>社保个人部分</t>
  </si>
  <si>
    <t>企业因销售商品、提供劳务等经营活动应收取的款项</t>
  </si>
  <si>
    <t>材料采购</t>
  </si>
  <si>
    <t>企业按照合同规定预付的款项。预付款项情况不多的，也可以不设置本科目，将预付的款项直接记入“应付账款”科目</t>
  </si>
  <si>
    <t>在途物资</t>
  </si>
  <si>
    <t>企业应收取的现金股利和应收取其他单位分配的利润。</t>
  </si>
  <si>
    <t>原材料</t>
  </si>
  <si>
    <t>企业交易性金融资产、持有至到期投资、可供出售金融资产、发放贷款、存放中央银行款项、拆出资金、买入返售金融资产等应收取的利息。</t>
  </si>
  <si>
    <t>材料成本差异</t>
  </si>
  <si>
    <t>应收代位追偿款</t>
  </si>
  <si>
    <t>企业（保险）按照原保险合同约定承担赔付保险金责任后确认的代位追偿款</t>
  </si>
  <si>
    <t>库存商品</t>
  </si>
  <si>
    <t>应收分保账款</t>
  </si>
  <si>
    <t>企业（保险）从事再保险业务应收取的款项</t>
  </si>
  <si>
    <t>商品进销差价</t>
  </si>
  <si>
    <t>应收分保合同准备金</t>
  </si>
  <si>
    <t>企业（再保险分出人）从事再保险业务确认的应收分保未到期责任准备金，以及应向再保险接受人摊回的保险责任准备金</t>
  </si>
  <si>
    <t>委托加工物资</t>
  </si>
  <si>
    <t>企业除存出保证金、买入返售金融资产、应收票据、应收账款、预付账款、应收股利、应收利息、应收代位追偿款、应收分保账款、应收分保合同准备金、长期应收款等以外的其他各种应收及暂付款项。</t>
  </si>
  <si>
    <t>周转材料</t>
  </si>
  <si>
    <t>坏账准备</t>
  </si>
  <si>
    <t>企业应收款项的坏账准备</t>
  </si>
  <si>
    <t>消耗性生物资产</t>
  </si>
  <si>
    <t>贴现资产</t>
  </si>
  <si>
    <t>企业（银行）办理商业票据的贴现、转贴现等业务所融出的资金。</t>
  </si>
  <si>
    <t>长期债券投资</t>
  </si>
  <si>
    <t>债券投资</t>
  </si>
  <si>
    <t>其他债权投资</t>
  </si>
  <si>
    <t>拆出资金</t>
  </si>
  <si>
    <t>企业（金融）拆借给境内、境外其他金融机构的款项</t>
  </si>
  <si>
    <t>长期股权投资</t>
  </si>
  <si>
    <t>股票投资</t>
  </si>
  <si>
    <t>其他股权投资</t>
  </si>
  <si>
    <t>贷款</t>
  </si>
  <si>
    <t>企业（银行）按规定发放的各种客户贷款。</t>
  </si>
  <si>
    <t>固定资产</t>
  </si>
  <si>
    <t>贷款损失准备</t>
  </si>
  <si>
    <t>企业（银行）贷款的减值准备。计提贷款损失准备的资产包括贴现资产、拆出资金、客户贷款、银团贷款、贸易融资、协议透支、信用卡透支、转贷款和垫款等.</t>
  </si>
  <si>
    <t>累计折旧</t>
  </si>
  <si>
    <t>代理兑付证券</t>
  </si>
  <si>
    <t>企业（证券、银行等）接受委托代理兑付到期的证券。</t>
  </si>
  <si>
    <t>在建工程</t>
  </si>
  <si>
    <t>建筑工程</t>
  </si>
  <si>
    <t>安装工程</t>
  </si>
  <si>
    <t>技术改造工程</t>
  </si>
  <si>
    <t>其他支出</t>
  </si>
  <si>
    <t>代理业务资产</t>
  </si>
  <si>
    <t>企业不承担风险的代理业务形成的资产。</t>
  </si>
  <si>
    <t>工程物资</t>
  </si>
  <si>
    <t>物资采购</t>
  </si>
  <si>
    <t>企业采用计划成本进行材料日常核算而购入材料的采购成本。</t>
  </si>
  <si>
    <t>固定资产清理</t>
  </si>
  <si>
    <t>企业采用实际成本（或进价）进行材料、商品等物资的日常核算、货款已付尚未验收入库的在途物资的采购成本。</t>
  </si>
  <si>
    <t>生产性生物资产</t>
  </si>
  <si>
    <t>企业库存的各种材料。</t>
  </si>
  <si>
    <t>生产性生物资产累计折旧</t>
  </si>
  <si>
    <t>企业采用计划成本进行日常核算的材料计划成本与实际成本的差额。</t>
  </si>
  <si>
    <t>临时设施</t>
  </si>
  <si>
    <t>项目部办公区</t>
  </si>
  <si>
    <t>炸药库房</t>
  </si>
  <si>
    <t>管理区</t>
  </si>
  <si>
    <t>工人生活区</t>
  </si>
  <si>
    <t>企业库存的各种商品的实际成本(或进价)或计划成本（或售价）。</t>
  </si>
  <si>
    <t>临时设施累计折旧</t>
  </si>
  <si>
    <t>发出商品</t>
  </si>
  <si>
    <t>分期收款发出商品</t>
  </si>
  <si>
    <t>企业未满足收入确认条件但已发出商品的实际成本（或进价）或计划成本（或售价）。</t>
  </si>
  <si>
    <t>无形资产</t>
  </si>
  <si>
    <t>企业采用售价进行日常核算的商品售价与进价之间的差额。</t>
  </si>
  <si>
    <t>累计摊销</t>
  </si>
  <si>
    <t>企业委托外单位加工的各种材料、商品等物资的实际成本。</t>
  </si>
  <si>
    <t>长期待摊费用</t>
  </si>
  <si>
    <t>包装物、低值易耗品</t>
  </si>
  <si>
    <t>企业周转材料的计划成本或实际成本。</t>
  </si>
  <si>
    <t>待处理财产损溢</t>
  </si>
  <si>
    <t>企业（农业）持有的消耗性生物资产的实际成本。</t>
  </si>
  <si>
    <t>二、负债类</t>
  </si>
  <si>
    <t>贵金属</t>
  </si>
  <si>
    <t>企业（金融）持有的黄金、白银等贵金属存货的成本。</t>
  </si>
  <si>
    <t>短期借款</t>
  </si>
  <si>
    <t>抵债资产</t>
  </si>
  <si>
    <t>企业（金融）依法取得并准备按有关规定进行处置的实物抵债资产的成本。</t>
  </si>
  <si>
    <t>应付票据</t>
  </si>
  <si>
    <t>损余物资</t>
  </si>
  <si>
    <t>企业（保险）按照原保险合同约定承担赔偿保险金责任后取得的损余物资成本</t>
  </si>
  <si>
    <t>应付账款</t>
  </si>
  <si>
    <t>人工费</t>
  </si>
  <si>
    <t>人工费-中籍</t>
  </si>
  <si>
    <t>人工费-外籍</t>
  </si>
  <si>
    <t>人工费-工伤赔偿</t>
  </si>
  <si>
    <t>材料费</t>
  </si>
  <si>
    <t>机械费用</t>
  </si>
  <si>
    <t>融资租赁资产</t>
  </si>
  <si>
    <t>企业（租赁）为开展融资租赁业务取得资产的成本。</t>
  </si>
  <si>
    <t>预收账款</t>
  </si>
  <si>
    <t>存货跌价准备</t>
  </si>
  <si>
    <t>企业存货的跌价准备</t>
  </si>
  <si>
    <t>应付职工薪酬</t>
  </si>
  <si>
    <t>职工工资--中籍</t>
  </si>
  <si>
    <t>职工薪酬--外籍</t>
  </si>
  <si>
    <t>工程部中籍管理人员</t>
  </si>
  <si>
    <t>奖金</t>
  </si>
  <si>
    <t>兼职人员</t>
  </si>
  <si>
    <t>工伤赔偿</t>
  </si>
  <si>
    <t>持有至到期投资</t>
  </si>
  <si>
    <t>企业持有至到期投资的摊余成本。</t>
  </si>
  <si>
    <t>应交税费</t>
  </si>
  <si>
    <t>应交增值税</t>
  </si>
  <si>
    <t>应交增值税-进项税额</t>
  </si>
  <si>
    <t>应交增值税-销项税额的抵减</t>
  </si>
  <si>
    <t>应交增值税-已交税金</t>
  </si>
  <si>
    <t>应交增值税-转出未交增值税</t>
  </si>
  <si>
    <t>应交增值税-减免税款</t>
  </si>
  <si>
    <t>应交增值税-出口抵减内销产品应纳税额</t>
  </si>
  <si>
    <t>应交增值税-销项税额</t>
  </si>
  <si>
    <t>应交增值税-出口退税</t>
  </si>
  <si>
    <t>应交增值税-进项税额转出</t>
  </si>
  <si>
    <t>应交增值税-转出多交增值税</t>
  </si>
  <si>
    <t>未交增值税</t>
  </si>
  <si>
    <t>预交增值税</t>
  </si>
  <si>
    <t>待抵扣进项税额</t>
  </si>
  <si>
    <t>待认证进项税额</t>
  </si>
  <si>
    <t>待转销项税额</t>
  </si>
  <si>
    <t>增值税留抵税额</t>
  </si>
  <si>
    <t>简易计税</t>
  </si>
  <si>
    <t>转让金融商品应交增值税</t>
  </si>
  <si>
    <t>代扣代交增值税</t>
  </si>
  <si>
    <t>应交企业所得税</t>
  </si>
  <si>
    <t>应交个人所得税</t>
  </si>
  <si>
    <t>教育费附加</t>
  </si>
  <si>
    <t>地方教育费附加</t>
  </si>
  <si>
    <t>应交资源税</t>
  </si>
  <si>
    <t>应交土地增值税</t>
  </si>
  <si>
    <t>应交城市维护建设税</t>
  </si>
  <si>
    <t>应交房产税</t>
  </si>
  <si>
    <t>应交土地使用税</t>
  </si>
  <si>
    <t>应交车船使用税</t>
  </si>
  <si>
    <t>应交消费税</t>
  </si>
  <si>
    <t>应交印花税</t>
  </si>
  <si>
    <t>持有至到期投资减值准备</t>
  </si>
  <si>
    <t>企业持有至到期投资的减值准备。</t>
  </si>
  <si>
    <t>应付利息</t>
  </si>
  <si>
    <t>可供出售金融资产</t>
  </si>
  <si>
    <t>企业持有的可供出售金融资产的公允价值。</t>
  </si>
  <si>
    <t>应付利润</t>
  </si>
  <si>
    <t>企业持有的采用成本法和权益法核算的长期股权投资。</t>
  </si>
  <si>
    <t>其他应付款</t>
  </si>
  <si>
    <t>股东</t>
  </si>
  <si>
    <t>瑞斯曼矿业有限公司</t>
  </si>
  <si>
    <t>报销款</t>
  </si>
  <si>
    <t>长期股权投资减值准备</t>
  </si>
  <si>
    <t>长期投资减值准备</t>
  </si>
  <si>
    <t>企业长期股权投资的减值准备。</t>
  </si>
  <si>
    <t>递延收益</t>
  </si>
  <si>
    <t>投资性房地产</t>
  </si>
  <si>
    <t>企业采用成本模式计量的投资性房地产的成本。</t>
  </si>
  <si>
    <t>长期借款</t>
  </si>
  <si>
    <t>长期应收款</t>
  </si>
  <si>
    <t>企业的长期应收款项。</t>
  </si>
  <si>
    <t>长期应付款</t>
  </si>
  <si>
    <t>未实现融资收益</t>
  </si>
  <si>
    <t>企业分期计入租赁收入或利息收入的未实现融资收益。</t>
  </si>
  <si>
    <t>三、所有者权益类</t>
  </si>
  <si>
    <t>存出资本保证金</t>
  </si>
  <si>
    <t>企业（保险）按规定比例缴存的资本保证金。</t>
  </si>
  <si>
    <t>实收资本</t>
  </si>
  <si>
    <t>李伟忠</t>
  </si>
  <si>
    <t>李成远</t>
  </si>
  <si>
    <t>张振东</t>
  </si>
  <si>
    <t>崔保健</t>
  </si>
  <si>
    <t>企业持有的固定资产原价。</t>
  </si>
  <si>
    <t>资本公积</t>
  </si>
  <si>
    <t>资本溢价</t>
  </si>
  <si>
    <t>接受捐赠非现金资产准备</t>
  </si>
  <si>
    <t>外币资本折算差额</t>
  </si>
  <si>
    <t>其他资本公积</t>
  </si>
  <si>
    <t>企业固定资产的累计折旧。</t>
  </si>
  <si>
    <t>盈余公积</t>
  </si>
  <si>
    <t>法定盈余公积</t>
  </si>
  <si>
    <t>任意盈余公积</t>
  </si>
  <si>
    <t>法定公益金</t>
  </si>
  <si>
    <t>固定资产减值准备</t>
  </si>
  <si>
    <t>企业固定资产的减值准备。</t>
  </si>
  <si>
    <t>本年利润</t>
  </si>
  <si>
    <t>企业基建、更新改造等在建工程发生的支出。</t>
  </si>
  <si>
    <t>利润分配</t>
  </si>
  <si>
    <t>其他转入</t>
  </si>
  <si>
    <t>提取法定盈余公积</t>
  </si>
  <si>
    <t>提取法定公益金</t>
  </si>
  <si>
    <t>提取任意盈余公积</t>
  </si>
  <si>
    <t>转作资本的利润</t>
  </si>
  <si>
    <t>未分配利润</t>
  </si>
  <si>
    <t>企业为在建工程准备的各种物资的成本。</t>
  </si>
  <si>
    <t>四、成本类</t>
  </si>
  <si>
    <t>企业因出售、报废、毁损、对外投资、非货币性资产交换、债务重组等原因转出的固定资产价值以及在清理过程中发生的费用等。</t>
  </si>
  <si>
    <t>生产成本</t>
  </si>
  <si>
    <t>基本生产成本</t>
  </si>
  <si>
    <t>辅助生产成本</t>
  </si>
  <si>
    <t>未担保余值</t>
  </si>
  <si>
    <t>企业（租赁）采用融资租赁方式租出资产的未担保余值。</t>
  </si>
  <si>
    <t>制造费用</t>
  </si>
  <si>
    <t>企业（农业）持有的生产性生物资产原价。</t>
  </si>
  <si>
    <t>研发支出</t>
  </si>
  <si>
    <t>企业（农业）成熟生产性生物资产的累计折旧。</t>
  </si>
  <si>
    <t>工程施工</t>
  </si>
  <si>
    <t>合同成本</t>
  </si>
  <si>
    <t>合同成本-人工费</t>
  </si>
  <si>
    <t>合同成本-材料费</t>
  </si>
  <si>
    <t>合同成本-机械使用费</t>
  </si>
  <si>
    <t>合同成本-其他直接费用</t>
  </si>
  <si>
    <t>合同成本-其他直接费用-电费</t>
  </si>
  <si>
    <t>合同成本-其他直接费用-其他</t>
  </si>
  <si>
    <t>间接费用</t>
  </si>
  <si>
    <t>间接费用-培训费</t>
  </si>
  <si>
    <t>间接费用-管理人员工资</t>
  </si>
  <si>
    <t>间接费用-折旧费</t>
  </si>
  <si>
    <t>间接费用-低值易耗品</t>
  </si>
  <si>
    <t>间接费用-水电费</t>
  </si>
  <si>
    <t>间接费用-水电费-水费</t>
  </si>
  <si>
    <t>间接费用-水电费-电费</t>
  </si>
  <si>
    <t>间接费用-矿石化验费</t>
  </si>
  <si>
    <t>间接费用-维修费</t>
  </si>
  <si>
    <t>间接费用-杂运费</t>
  </si>
  <si>
    <t>间接费用-工伤赔偿</t>
  </si>
  <si>
    <t>间接费用-其他</t>
  </si>
  <si>
    <t>合同毛利</t>
  </si>
  <si>
    <t>公益性生物资产</t>
  </si>
  <si>
    <t>企业（农业）持有的公益性生物资产的实际成本。</t>
  </si>
  <si>
    <t>机械作业</t>
  </si>
  <si>
    <t>油气资产</t>
  </si>
  <si>
    <t>企业（石油天然气开采）持有的矿区权益和油气井及相关设施的原价。</t>
  </si>
  <si>
    <t>五、损益类</t>
  </si>
  <si>
    <t>累计折耗</t>
  </si>
  <si>
    <t>企业（石油天然气开采）油气资产的累计折耗。</t>
  </si>
  <si>
    <t>主营业务收入</t>
  </si>
  <si>
    <t>工程收入</t>
  </si>
  <si>
    <t>企业持有的无形资产成本，包括专利权、非专利技术、商标权、著作权、土地使用权等。</t>
  </si>
  <si>
    <t>其他业务收入</t>
  </si>
  <si>
    <t>企业对使用寿命有限的无形资产计提的累计摊销。</t>
  </si>
  <si>
    <t>投资收益</t>
  </si>
  <si>
    <t>无形资产减值准备</t>
  </si>
  <si>
    <t>企业无形资产的减值准备。</t>
  </si>
  <si>
    <t>营业外收入</t>
  </si>
  <si>
    <t>非流动资产处置净收益</t>
  </si>
  <si>
    <t>政府补助</t>
  </si>
  <si>
    <t>捐赠收益</t>
  </si>
  <si>
    <t>盘盈收益</t>
  </si>
  <si>
    <t>汇兑收益</t>
  </si>
  <si>
    <t>商誉</t>
  </si>
  <si>
    <t>企业合并中形成的商誉价值。</t>
  </si>
  <si>
    <t>主营业务成本</t>
  </si>
  <si>
    <t>企业已经发生但应由本期和以后各期负担的分摊期限在1 年以上的各项费用，如以经营租赁方式租入的固定资产发生的改良支出等。</t>
  </si>
  <si>
    <t>其他业务成本</t>
  </si>
  <si>
    <t>递延所得税资产</t>
  </si>
  <si>
    <t>递延所得税</t>
  </si>
  <si>
    <t>企业确认的可抵扣暂时性差异产生的递延所得税资产。</t>
  </si>
  <si>
    <t>税金及附加</t>
  </si>
  <si>
    <t>消费税</t>
  </si>
  <si>
    <t>增值税</t>
  </si>
  <si>
    <t>城市维护建设税</t>
  </si>
  <si>
    <t>资源税</t>
  </si>
  <si>
    <t>土地增值税</t>
  </si>
  <si>
    <t>城镇土地使用税</t>
  </si>
  <si>
    <t>房产税</t>
  </si>
  <si>
    <t>车船税</t>
  </si>
  <si>
    <t>印花税</t>
  </si>
  <si>
    <t>矿产资源补偿费</t>
  </si>
  <si>
    <t>排污费</t>
  </si>
  <si>
    <t>海关税</t>
  </si>
  <si>
    <t>个人所得税</t>
  </si>
  <si>
    <t>独立账户资产</t>
  </si>
  <si>
    <t>企业（保险）对分拆核算的投资连结产品不属于风险保障部分确认的独立账户资产价值。</t>
  </si>
  <si>
    <t>销售费用</t>
  </si>
  <si>
    <t>办公费</t>
  </si>
  <si>
    <t>差旅费</t>
  </si>
  <si>
    <t>矿物检测费</t>
  </si>
  <si>
    <t>邮寄费</t>
  </si>
  <si>
    <t>交际应酬费</t>
  </si>
  <si>
    <t>市内交通费</t>
  </si>
  <si>
    <t>补助</t>
  </si>
  <si>
    <t>通讯费</t>
  </si>
  <si>
    <t>工资</t>
  </si>
  <si>
    <t>佣金</t>
  </si>
  <si>
    <t>保险金</t>
  </si>
  <si>
    <t>福利费</t>
  </si>
  <si>
    <t>商品维修费</t>
  </si>
  <si>
    <t>广告和业务宣传费</t>
  </si>
  <si>
    <t>业务招待费</t>
  </si>
  <si>
    <t>劳务费</t>
  </si>
  <si>
    <t>企业在清查财产过程中查明的各种财产盘盈、盘亏和毁损的价值。物资在运输途中发生的非正常短缺与损耗，也通过本科目核算。</t>
  </si>
  <si>
    <t>管理费用</t>
  </si>
  <si>
    <t>折旧费</t>
  </si>
  <si>
    <t>租赁费</t>
  </si>
  <si>
    <t>租赁费-房租费</t>
  </si>
  <si>
    <t>租赁费-其他租赁费</t>
  </si>
  <si>
    <t>水电费</t>
  </si>
  <si>
    <t>水电费-水费</t>
  </si>
  <si>
    <t>水电费-电费</t>
  </si>
  <si>
    <t>车辆费用</t>
  </si>
  <si>
    <t>车辆费用-加油费</t>
  </si>
  <si>
    <t>车辆费用-停车费</t>
  </si>
  <si>
    <t>车辆费用-车辆维修费</t>
  </si>
  <si>
    <t>车辆费用-其他</t>
  </si>
  <si>
    <t>邮电费</t>
  </si>
  <si>
    <t>邮电费-电话费</t>
  </si>
  <si>
    <t>邮电费-网络费</t>
  </si>
  <si>
    <t>邮电费-快递费</t>
  </si>
  <si>
    <t>职工薪酬</t>
  </si>
  <si>
    <t>职工薪酬-基本工资</t>
  </si>
  <si>
    <t>职工薪酬-年终奖金</t>
  </si>
  <si>
    <t>职工薪酬-工伤赔偿</t>
  </si>
  <si>
    <t>福利费-伙食费</t>
  </si>
  <si>
    <t>福利费-公司承担个税部分</t>
  </si>
  <si>
    <t>福利费-其他</t>
  </si>
  <si>
    <t>交通费</t>
  </si>
  <si>
    <t>机票及签证费</t>
  </si>
  <si>
    <t>保险费</t>
  </si>
  <si>
    <t>保险费-社保费</t>
  </si>
  <si>
    <t>保险费-其他</t>
  </si>
  <si>
    <t>修理费</t>
  </si>
  <si>
    <t>物流费</t>
  </si>
  <si>
    <t>低值易耗品</t>
  </si>
  <si>
    <t>清关代理费</t>
  </si>
  <si>
    <t>临设摊销</t>
  </si>
  <si>
    <t>劳保用品</t>
  </si>
  <si>
    <t>财务费用</t>
  </si>
  <si>
    <t>利息</t>
  </si>
  <si>
    <t>利息-收入</t>
  </si>
  <si>
    <t>利息-支出</t>
  </si>
  <si>
    <t>手续费</t>
  </si>
  <si>
    <t>账户管理费</t>
  </si>
  <si>
    <t>汇兑损益</t>
  </si>
  <si>
    <t>企业向银行或其他金融机构等借入的期限在1 年以下(含1 年)的各种借款。</t>
  </si>
  <si>
    <t>营业外支出</t>
  </si>
  <si>
    <t>存货盘亏毁损</t>
  </si>
  <si>
    <t>非流动资产处置净损失</t>
  </si>
  <si>
    <t>坏账损失</t>
  </si>
  <si>
    <t>无法收回的长期债券投资损失</t>
  </si>
  <si>
    <t>无法收回的长期股权投资损失</t>
  </si>
  <si>
    <t>自然灾害等不可抗力造成的损失</t>
  </si>
  <si>
    <t>税收滞纳金</t>
  </si>
  <si>
    <t>罚金、罚款</t>
  </si>
  <si>
    <t>捐赠支出</t>
  </si>
  <si>
    <t>存入保证金</t>
  </si>
  <si>
    <t>企业（金融）收到客户存入的各种保证金。</t>
  </si>
  <si>
    <t>所得税费用</t>
  </si>
  <si>
    <t>拆入资金</t>
  </si>
  <si>
    <t>企业（金融）从境内、境外金融机构拆入的款项。</t>
  </si>
  <si>
    <t>以前年度损益调整</t>
  </si>
  <si>
    <t>向中央银行借款</t>
  </si>
  <si>
    <t>企业（银行）向中央银行借入的款项。</t>
  </si>
  <si>
    <t>吸收存款</t>
  </si>
  <si>
    <t>企业（银行）吸收的除同业存放款项以外的其他各种存款。</t>
  </si>
  <si>
    <t>同业存放</t>
  </si>
  <si>
    <t>企业（银行）吸收的境内、境外金融机构的存款。</t>
  </si>
  <si>
    <t>贴现负债</t>
  </si>
  <si>
    <t>企业（银行）办理商业票据的转贴现等业务所融入的资金。</t>
  </si>
  <si>
    <t>交易性金融负债</t>
  </si>
  <si>
    <t>企业承担的交易性金融负债的公允价值。</t>
  </si>
  <si>
    <t>卖出回购金融资产款</t>
  </si>
  <si>
    <t>企业（金融）按照回购协议先卖出再按固定价格买入的票据、证券、贷款等金融资产所融入的资金。</t>
  </si>
  <si>
    <t>企业购买材料、商品和接受劳务供应等开出、承兑的商业汇票，包括银行承兑汇票和商业承兑汇票。</t>
  </si>
  <si>
    <t>企业因购买材料、商品和接受劳务等经营活动应支付的款项。</t>
  </si>
  <si>
    <t>企业按照合同规定预收的款项。</t>
  </si>
  <si>
    <t>应付工资</t>
  </si>
  <si>
    <t>企业根据有关规定应付给职工的各种薪酬。本科目可按“工资”、“职工福利”、“社会保险费”、“住房公积金”、“工会经费”、“职工教育经费”、“非货币性福利”、“辞退福利”、“股份支付”等进行明细核算</t>
  </si>
  <si>
    <t>应交税金</t>
  </si>
  <si>
    <t>企业按照税法等规定计算应交纳的各种税费。</t>
  </si>
  <si>
    <t>企业按照合同约定应支付的利息。</t>
  </si>
  <si>
    <t>应付股利</t>
  </si>
  <si>
    <t>企业分配的现金股利或利润。</t>
  </si>
  <si>
    <t>企业除应付票据、应付账款、预收账款、应付职工薪酬、应付利息、应付股利、应交税费、长期应付款等以外的其他各项应付、暂收的款项。</t>
  </si>
  <si>
    <t>应付保单红利</t>
  </si>
  <si>
    <t>企业（保险）按原保险合同约定应付未付投保人的红利。</t>
  </si>
  <si>
    <t>应付分保账款</t>
  </si>
  <si>
    <t>企业（保险）从事再保险业务应付未付的款项。</t>
  </si>
  <si>
    <t>代理买卖证券款</t>
  </si>
  <si>
    <t>企业（证券）接受客户委托，代理客户买卖股票、债券和基金等有价证券而收到的款项。</t>
  </si>
  <si>
    <t>代理承销证券款</t>
  </si>
  <si>
    <t>企业（金融）接受委托，采用承购包销方式或代销方式承销证券所形成的、应付证券发行人的承销资金。</t>
  </si>
  <si>
    <t>代理兑付证券款</t>
  </si>
  <si>
    <t>企业（证券、银行等）接受委托代理兑付证券收到的兑付资金。</t>
  </si>
  <si>
    <t>代理业务负债</t>
  </si>
  <si>
    <t>企业不承担风险的代理业务收到的款项，包括受托投资资金、受托贷款资金等。</t>
  </si>
  <si>
    <t>企业确认的应在以后期间计入当期损益的政府补助。</t>
  </si>
  <si>
    <t>企业向银行或其他金融机构借入的期限在1 年以上(不含1 年)的各项借款。</t>
  </si>
  <si>
    <t>应付债券</t>
  </si>
  <si>
    <t>企业为筹集（长期）资金而发行债券的本金和利息。</t>
  </si>
  <si>
    <t>未到期责任准备金</t>
  </si>
  <si>
    <t>企业（保险）提取的非寿险原保险合同未到期责任准备金。</t>
  </si>
  <si>
    <t>保险责任准备金</t>
  </si>
  <si>
    <t>企业（保险）提取的原保险合同保险责任准备金。</t>
  </si>
  <si>
    <t>保户储金</t>
  </si>
  <si>
    <t>企业（保险）收到投保人以储金本金增值作为保费收入的储金。</t>
  </si>
  <si>
    <t>独立帐户负债</t>
  </si>
  <si>
    <t>企业（保险）对分拆核算的投资连结产品不属于风险保障部分确认的独立账户负债。</t>
  </si>
  <si>
    <t>企业除长期借款和应付债券以外的其他各种长期应付款项。</t>
  </si>
  <si>
    <t>未确认融资费用</t>
  </si>
  <si>
    <t>企业应当分期计入利息费用的未确认融资费用。</t>
  </si>
  <si>
    <t>专项应付款</t>
  </si>
  <si>
    <t>企业取得政府作为企业所有者投入的具有专项或特定用途的款项。</t>
  </si>
  <si>
    <t>预计负债</t>
  </si>
  <si>
    <t>企业确认的对外提供担保、未决诉讼、产品质量保证、重组义务、亏损性合同等预计负债。</t>
  </si>
  <si>
    <t>递延所得税负债</t>
  </si>
  <si>
    <t>递延长税款</t>
  </si>
  <si>
    <t>企业确认的应纳税暂时性差异产生的所得税负债。</t>
  </si>
  <si>
    <t>三、共同类</t>
  </si>
  <si>
    <t>清算资金往来</t>
  </si>
  <si>
    <t>企业（银行）间业务往来的资金清算款项。</t>
  </si>
  <si>
    <t>货币兑换</t>
  </si>
  <si>
    <t>企业（金融）采用分账制核算外币交易所产生的不同币种之间的兑换。</t>
  </si>
  <si>
    <t>衍生工具</t>
  </si>
  <si>
    <t>企业衍生工具的公允价值及其变动形成的衍生资产或衍生负债。</t>
  </si>
  <si>
    <t>套期工具</t>
  </si>
  <si>
    <t>企业开展套期保值业务（包括公允价值套期、现金流量套期和境外经营净投资套期）套期工具公允价值变动形成的资产或负债。</t>
  </si>
  <si>
    <t>被套期项目</t>
  </si>
  <si>
    <t>企业开展套期保值业务被套期项目公允价值变动形成的资产或负债。</t>
  </si>
  <si>
    <t>四、所有者权益</t>
  </si>
  <si>
    <t>实收资本（股本）</t>
  </si>
  <si>
    <t>企业接受投资者投入的实收资本。股份有限公司应将本科目改为“4001 股本”科目。</t>
  </si>
  <si>
    <t>企业收到投资者出资额超出其在注册资本或股本中所占份额的部分。</t>
  </si>
  <si>
    <t>企业从净利润中提取的盈余公积。</t>
  </si>
  <si>
    <t>一般风险准备</t>
  </si>
  <si>
    <t>企业（金融）按规定从净利润中提取的一般风险准备。</t>
  </si>
  <si>
    <t>企业当期实现的净利润(或发生的净亏损)。</t>
  </si>
  <si>
    <t>企业利润的分配(或亏损的弥补)和历年分配(或弥补)后的余额。</t>
  </si>
  <si>
    <t>库存股</t>
  </si>
  <si>
    <t>企业收购、转让或注销的本公司股份金额。</t>
  </si>
  <si>
    <t>五、成本类</t>
  </si>
  <si>
    <t>企业进行工业性生产发生的各项生产成本。</t>
  </si>
  <si>
    <t>企业生产车间（部门）为生产产品和提供劳务而发生的各项间接费用。</t>
  </si>
  <si>
    <t>劳务成本</t>
  </si>
  <si>
    <t>企业对外提供劳务发生的成本。</t>
  </si>
  <si>
    <t>企业进行研究与开发无形资产过程中发生的各项支出。</t>
  </si>
  <si>
    <t>企业（建造承包商）实际发生的合同成本和合同毛利。</t>
  </si>
  <si>
    <t>工程结算</t>
  </si>
  <si>
    <t>企业（建造承包商）根据建造合同约定向业主办理结算的累计金额。</t>
  </si>
  <si>
    <t>企业（建造承包商）及其内部独立核算的施工单位、机械站和运输队使用自有施工机械和运输设备进行机械作业（包括机械化施工和运输作业等）所发生的各项费用。</t>
  </si>
  <si>
    <t>六、损益类</t>
  </si>
  <si>
    <t>企业确认的销售商品、提供劳务等主营业务的收入。</t>
  </si>
  <si>
    <t>利息收入</t>
  </si>
  <si>
    <t>企业（金融）确认的利息收入。</t>
  </si>
  <si>
    <t>手续费及佣金收入</t>
  </si>
  <si>
    <t>企业（金融）确认的手续费及佣金收入。</t>
  </si>
  <si>
    <t>保费收入</t>
  </si>
  <si>
    <t>企业（保险）确认的保费收入。</t>
  </si>
  <si>
    <t>租赁收入</t>
  </si>
  <si>
    <t>企业（租赁）确认的租赁收入。</t>
  </si>
  <si>
    <t>企业确认的除主营业务活动以外的其他经营活动实现的收入。</t>
  </si>
  <si>
    <t>企业（金融）发生的外币交易因汇率变动而产生的汇兑损益。</t>
  </si>
  <si>
    <t>公允价值变动损益</t>
  </si>
  <si>
    <t>企业交易性金融资产、交易性金融负债，以及采用公允价值模式计量的投资性房地产、衍生工具、套期保值业务等公允价值变动形成的应计入当期损益的利得或损失。</t>
  </si>
  <si>
    <t>企业确认的投资收益或投资损失。</t>
  </si>
  <si>
    <t>摊回保险责任准备金</t>
  </si>
  <si>
    <t>企业（再保险分出人）从事再保险业务应向再保险接受人摊回的保险责任准备金。</t>
  </si>
  <si>
    <t>摊回赔付支出</t>
  </si>
  <si>
    <t>企业（再保险分人）向再保险接受人摊回的赔付成本。</t>
  </si>
  <si>
    <t>摊回分保费用</t>
  </si>
  <si>
    <t>企业（再保险分人）向再保险接受人摊回的分保费用。</t>
  </si>
  <si>
    <t>企业发生的各项营业外收入。</t>
  </si>
  <si>
    <t>企业确认销售商品、提供劳务等主营业务收入时应结转的成本。</t>
  </si>
  <si>
    <t>其他业务支出</t>
  </si>
  <si>
    <t>企业确认的除主营业务活动以外的其他经营活动所发生的支出。</t>
  </si>
  <si>
    <t>营业税金及附加</t>
  </si>
  <si>
    <t>主营业务税金及附加</t>
  </si>
  <si>
    <t>企业经营活动发生的营业税、消费税、城市维护建设税、资源税和教育费附加等相关税费。</t>
  </si>
  <si>
    <t>利息支出</t>
  </si>
  <si>
    <t>企业（金融）发生的利息支出</t>
  </si>
  <si>
    <t>手续费及佣金支出</t>
  </si>
  <si>
    <t>企业（金融）发生的与其经营活动相关的各项手续费、佣金等支出。</t>
  </si>
  <si>
    <t>提取未到期责任准备金</t>
  </si>
  <si>
    <t>企业（保险）提取的非寿险原保险合同未到期责任准备金和再保险合同分保未到期责任准备金。</t>
  </si>
  <si>
    <t>提取保险责任准备金</t>
  </si>
  <si>
    <t>赔付支出</t>
  </si>
  <si>
    <t>企业（保险）支付的原保险合同赔付款项和再保险合同赔付款项。</t>
  </si>
  <si>
    <t>保单红利支出</t>
  </si>
  <si>
    <t>企业（保险）按原保险合同约定支付给投保人的红利。</t>
  </si>
  <si>
    <t>退保金</t>
  </si>
  <si>
    <t>企业（保险）寿险原保险合同提前解除时按照约定应当退还投保人的保单现金价值。</t>
  </si>
  <si>
    <t>分出保费</t>
  </si>
  <si>
    <t>企业（再保险分出人）向再保险接受人分出的保费。</t>
  </si>
  <si>
    <t>分保费用</t>
  </si>
  <si>
    <t>企业（再保险接受人）向再保险分出人支付的分保费用。</t>
  </si>
  <si>
    <t>营业费用</t>
  </si>
  <si>
    <t>企业销售商品和材料、提供劳务的过程中发生的各种费用。</t>
  </si>
  <si>
    <t>企业为组织和管理企业生产经营所发生的管理费用。</t>
  </si>
  <si>
    <t>企业为筹集生产经营所需资金等而发生的筹资费用。</t>
  </si>
  <si>
    <t>勘探费用</t>
  </si>
  <si>
    <t>企业（石油天然气开采）在油气勘探过程中发生的地质调查、物理化学勘探各项支出和非成功探井等支出。</t>
  </si>
  <si>
    <t>资产减值损失</t>
  </si>
  <si>
    <t>企业计提各项资产减值准备所形成的损失。</t>
  </si>
  <si>
    <t>企业发生的各项营业外支出。</t>
  </si>
  <si>
    <t>所得税</t>
  </si>
  <si>
    <t>企业确认的应从当期利润总额中扣除的所得税费用。</t>
  </si>
  <si>
    <t>企业本年度发生的调整以前年度损益的事项以及本年度发现的重要前期差错更正涉及调整以前年度损益的事项。</t>
  </si>
  <si>
    <t>说明：①本表列示新旧企业会计准则的会计核算科目对照情况仅供参考。②各科目的确认、计量、报告及披露要求参见新企业会计准则。③附注：※为新科目与旧科目无对应的科目。</t>
  </si>
  <si>
    <t>记 账 凭 证</t>
  </si>
  <si>
    <t>公司名称：</t>
  </si>
  <si>
    <t>试算平衡：</t>
  </si>
  <si>
    <t>凭证字</t>
  </si>
  <si>
    <t>凭证号</t>
  </si>
  <si>
    <t>月</t>
  </si>
  <si>
    <t>日</t>
  </si>
  <si>
    <t>摘要</t>
  </si>
  <si>
    <t>会计科目</t>
  </si>
  <si>
    <t>借方金额</t>
  </si>
  <si>
    <t>贷方金额</t>
  </si>
  <si>
    <t>附件张数</t>
  </si>
  <si>
    <t>明细科目</t>
  </si>
  <si>
    <t>收李伟忠投资款（1500万*43%）</t>
  </si>
  <si>
    <t>人民币</t>
  </si>
  <si>
    <t>收李成远投资款（1500万*18%）</t>
  </si>
  <si>
    <t>收崔保健投资款</t>
  </si>
  <si>
    <t>支郭冬购买烟酒招待费，转账+现金人民币3000</t>
  </si>
  <si>
    <t>收甲方退还人民币现金30000元</t>
  </si>
  <si>
    <t>支人民币3万换苏姆，汇率1792</t>
  </si>
  <si>
    <t>苏姆现金</t>
  </si>
  <si>
    <t>支矿部郭晓岩人民币换苏姆，汇率1800</t>
  </si>
  <si>
    <t>支人民币284738换5亿苏姆，汇率1756</t>
  </si>
  <si>
    <t>支人民币108300换1.5万美金，汇率7.22</t>
  </si>
  <si>
    <t>支曾工、薛工2人7月14天分摊工资</t>
  </si>
  <si>
    <t>支购项目用翻译机一台</t>
  </si>
  <si>
    <t>支西安机场人民币3120兑换400美金，汇率7.8</t>
  </si>
  <si>
    <t>支张迎春工资、差旅费</t>
  </si>
  <si>
    <t>支人民币114285兑换2亿苏姆，汇率1750</t>
  </si>
  <si>
    <t>支付67号矿井溢价款人民币100万</t>
  </si>
  <si>
    <t>支付67号矿井溢价款人民币100万，合计人民币450万</t>
  </si>
  <si>
    <t>支三飞公司（张海勇）代购设备款</t>
  </si>
  <si>
    <t>支李伟忠总等多人差旅费</t>
  </si>
  <si>
    <t>支财务软件人民币3500、笔记本人民币2*4060+4200办公费</t>
  </si>
  <si>
    <t>收荆建明人民币120元换20万苏姆，汇率1666</t>
  </si>
  <si>
    <t>支甲方招待费</t>
  </si>
  <si>
    <t>支杨金江7月工资</t>
  </si>
  <si>
    <t>支肖克7月工资</t>
  </si>
  <si>
    <t>支蔡会计等3人机票差旅费、改签费</t>
  </si>
  <si>
    <t>支荆建明返程机票人民币1491</t>
  </si>
  <si>
    <t>支蔡会计等2人差旅费</t>
  </si>
  <si>
    <t>支侯工设计费</t>
  </si>
  <si>
    <t>支考察机械设备差旅费</t>
  </si>
  <si>
    <t>支李伟忠总7月工资</t>
  </si>
  <si>
    <t>支李成远总7月工资</t>
  </si>
  <si>
    <t>收李成远总退还 2000 美金备用金，汇率 7.22，收回人民币 14440 元</t>
  </si>
  <si>
    <t>支眭相和差旅费人民币13202+2457</t>
  </si>
  <si>
    <t>支蔡会计8月工资</t>
  </si>
  <si>
    <t>支人民币58139换1亿苏姆,汇率 1720</t>
  </si>
  <si>
    <t>支人民币144000换2万美金,汇率 7.2</t>
  </si>
  <si>
    <t>退崔保建入股金人民币10万</t>
  </si>
  <si>
    <t>股东往来</t>
  </si>
  <si>
    <t>支人民币214500换3万美金，汇率 7.15</t>
  </si>
  <si>
    <t>从郭晓岩处换美金，汇率7.13</t>
  </si>
  <si>
    <t>支郭晓岩工程师工资</t>
  </si>
  <si>
    <t>支肖克8月工资尾款</t>
  </si>
  <si>
    <t>支杨金江工资尾款</t>
  </si>
  <si>
    <t>支李成远总8月工资，另付300万苏姆</t>
  </si>
  <si>
    <t>支李伟忠总8月工资，另付400万苏姆</t>
  </si>
  <si>
    <t>支李伟忠总差旅费人民币414+1660+87+1456+1610</t>
  </si>
  <si>
    <t>收杨金江人民币1000兑换苏姆170万，汇率1700</t>
  </si>
  <si>
    <t>支李志荣西安-撒马尔罕机票</t>
  </si>
  <si>
    <t>支揣保力西安-撒马尔罕机票</t>
  </si>
  <si>
    <t>支荆建明西安-撒马尔罕机票</t>
  </si>
  <si>
    <t>支人民币356500换5万美金,汇率7.13</t>
  </si>
  <si>
    <t>支人民币142999换2万美金,汇率7.15</t>
  </si>
  <si>
    <t>肖克预支工资</t>
  </si>
  <si>
    <t>支中秋购买白酒节日费</t>
  </si>
  <si>
    <t>支人民币214200换3万美金，汇率7.14</t>
  </si>
  <si>
    <t>支成远总差旅费</t>
  </si>
  <si>
    <t>支人民币143000换2万美金，汇率7.15</t>
  </si>
  <si>
    <t>支工资尾款</t>
  </si>
  <si>
    <t>支人民币357000换5万美金，汇率7.14</t>
  </si>
  <si>
    <t>支荆建明工资（代订机票)</t>
  </si>
  <si>
    <t>收李志荣人民币500元兑换苏姆85万</t>
  </si>
  <si>
    <t>支人工装卸费</t>
  </si>
  <si>
    <t>支李志荣试用期30天工资</t>
  </si>
  <si>
    <t>支清关公司服务费</t>
  </si>
  <si>
    <t>支人民币142040换2万美金，汇率7.12</t>
  </si>
  <si>
    <t>支蔡会计9月工资</t>
  </si>
  <si>
    <t>支李伟忠总9月工资</t>
  </si>
  <si>
    <t>支李成远总9月工资</t>
  </si>
  <si>
    <t>支李志荣差旅费</t>
  </si>
  <si>
    <t>支蔡会计10月工资</t>
  </si>
  <si>
    <t>支揣保立8-9月工资</t>
  </si>
  <si>
    <t>支张海勇清关装卸费</t>
  </si>
  <si>
    <t>支人民币142400换2万美金，汇率7.12</t>
  </si>
  <si>
    <t>支人民币141600换2万美金，汇率7.08</t>
  </si>
  <si>
    <t>支李成远总10月工资</t>
  </si>
  <si>
    <t>支李伟忠总10月工资</t>
  </si>
  <si>
    <t>收张振东投资款（1500*20%-50万交瑞斯曼）</t>
  </si>
  <si>
    <t>调整投资比例后，李伟忠增资（1500万*59%-645万）</t>
  </si>
  <si>
    <t>调整投资比例后，李成远增资（1500万*21%-270万）</t>
  </si>
  <si>
    <t>支人民币141200换2万美金，汇率7.06</t>
  </si>
  <si>
    <t>支人民币211800换3万美金，汇率7.06</t>
  </si>
  <si>
    <t>支石泽宏分包队工资</t>
  </si>
  <si>
    <t>支周保江分包队工资</t>
  </si>
  <si>
    <t>支付华分包队工资</t>
  </si>
  <si>
    <t>支李成会分包队工资</t>
  </si>
  <si>
    <t>支屈万涛分包队工资</t>
  </si>
  <si>
    <t>支吴名喜分包队工资</t>
  </si>
  <si>
    <t>支杨红红分包队工资</t>
  </si>
  <si>
    <t>支三飞公司尾款</t>
  </si>
  <si>
    <t>支分包队杨金江合同工程款尾款</t>
  </si>
  <si>
    <t>支陈一梁11月工资</t>
  </si>
  <si>
    <t>支李成远总11月工资</t>
  </si>
  <si>
    <t>支李伟忠总11月工资</t>
  </si>
  <si>
    <t>支揣保力11月工资</t>
  </si>
  <si>
    <t>支揣保群11月工资</t>
  </si>
  <si>
    <t>支人民币351000换5万美金，汇率7.02</t>
  </si>
  <si>
    <t>若数据超出1000行，请先撤销保护,再将A列至I列往下拉即可。</t>
  </si>
  <si>
    <t>记  账  凭  证</t>
  </si>
  <si>
    <t>凭证号：</t>
  </si>
  <si>
    <t>附件：</t>
  </si>
  <si>
    <t>张</t>
  </si>
  <si>
    <t>过账：</t>
  </si>
  <si>
    <t>注：打印凭证纸张规格设置为宽21cm、高14cm</t>
  </si>
  <si>
    <t>科目余额表</t>
  </si>
  <si>
    <t>财务期间：</t>
  </si>
  <si>
    <t>单位：元　</t>
  </si>
  <si>
    <t>目录!B1</t>
  </si>
  <si>
    <t>每月报表生成后，请务必将余额表中当月期末余额“数值性粘贴”至下表中相应月份，下月期初余额则自动填入。</t>
  </si>
  <si>
    <t>科目名称</t>
  </si>
  <si>
    <t>期初余额</t>
  </si>
  <si>
    <t>本期发生额</t>
  </si>
  <si>
    <t>方向</t>
  </si>
  <si>
    <t>期末余额</t>
  </si>
  <si>
    <t>上年12月</t>
  </si>
  <si>
    <t>本年2月</t>
  </si>
  <si>
    <t>本年3月</t>
  </si>
  <si>
    <t>本年4月</t>
  </si>
  <si>
    <t>本年5月</t>
  </si>
  <si>
    <t>本年6月</t>
  </si>
  <si>
    <t>本年7月</t>
  </si>
  <si>
    <t>本年8月</t>
  </si>
  <si>
    <t>本年9月</t>
  </si>
  <si>
    <t>本年10月</t>
  </si>
  <si>
    <t>本年11月</t>
  </si>
  <si>
    <t>本年12月</t>
  </si>
  <si>
    <t>借方</t>
  </si>
  <si>
    <t>贷方</t>
  </si>
  <si>
    <t>借</t>
  </si>
  <si>
    <t>贷</t>
  </si>
  <si>
    <t>合计</t>
  </si>
  <si>
    <t>期初余额是否平衡</t>
  </si>
  <si>
    <t>本期发生是否平衡</t>
  </si>
  <si>
    <t>期末余额是否平衡</t>
  </si>
  <si>
    <t>资 产 负 债 表</t>
  </si>
  <si>
    <t>资产</t>
  </si>
  <si>
    <t>行次</t>
  </si>
  <si>
    <t>年初数</t>
  </si>
  <si>
    <t>期末数</t>
  </si>
  <si>
    <t>负债和所有者权益 (或股东权益)</t>
  </si>
  <si>
    <t>流动资产：</t>
  </si>
  <si>
    <t>　</t>
  </si>
  <si>
    <t>流动负债：</t>
  </si>
  <si>
    <t>　货币资金</t>
  </si>
  <si>
    <t>　短期借款</t>
  </si>
  <si>
    <t>　短期投资</t>
  </si>
  <si>
    <t>　应付票据</t>
  </si>
  <si>
    <t>　应收票据</t>
  </si>
  <si>
    <t>　应付账款</t>
  </si>
  <si>
    <t>　应收股利</t>
  </si>
  <si>
    <t>　预收账款</t>
  </si>
  <si>
    <t>　应收利息</t>
  </si>
  <si>
    <t>　应付工资</t>
  </si>
  <si>
    <t>　应收账款</t>
  </si>
  <si>
    <t>　应付福利费</t>
  </si>
  <si>
    <t>　其他应收款</t>
  </si>
  <si>
    <t>　应付股利</t>
  </si>
  <si>
    <t>　预付账款</t>
  </si>
  <si>
    <t>　应交税金</t>
  </si>
  <si>
    <t>　应收补贴款</t>
  </si>
  <si>
    <t>　其他应交款</t>
  </si>
  <si>
    <t>　存货</t>
  </si>
  <si>
    <t>　其他应付款</t>
  </si>
  <si>
    <t>　待摊费用</t>
  </si>
  <si>
    <t>　预提费用</t>
  </si>
  <si>
    <t>　一年内到期的长期债券投资</t>
  </si>
  <si>
    <t>　预计负债</t>
  </si>
  <si>
    <t>　其他流动资产</t>
  </si>
  <si>
    <t>　一年内到期的长期负债</t>
  </si>
  <si>
    <t>　流动资产合计</t>
  </si>
  <si>
    <t>　其他流动负债</t>
  </si>
  <si>
    <t>长期资产：</t>
  </si>
  <si>
    <t>　长期股权投资</t>
  </si>
  <si>
    <t>　流动负债合计</t>
  </si>
  <si>
    <t>　长期债券投资</t>
  </si>
  <si>
    <t>长期负债：</t>
  </si>
  <si>
    <t>　长期投资合计</t>
  </si>
  <si>
    <t>　长期借款</t>
  </si>
  <si>
    <t>固定资产：</t>
  </si>
  <si>
    <t>　应付债券</t>
  </si>
  <si>
    <t>　固定资产原价</t>
  </si>
  <si>
    <t>　长期应付款</t>
  </si>
  <si>
    <t>　　减：累计折旧</t>
  </si>
  <si>
    <t>　专项应付款</t>
  </si>
  <si>
    <t>　固定资产净值</t>
  </si>
  <si>
    <t>　其他长期负债</t>
  </si>
  <si>
    <t>　　减：固定资产减值准备</t>
  </si>
  <si>
    <t>　长期负债合计</t>
  </si>
  <si>
    <t>　固定资产净额</t>
  </si>
  <si>
    <t>递延税项：</t>
  </si>
  <si>
    <t>　工程物资</t>
  </si>
  <si>
    <t>　递延税款贷项</t>
  </si>
  <si>
    <t>　在建工程</t>
  </si>
  <si>
    <t>　负债合计</t>
  </si>
  <si>
    <t>　固定资产清理</t>
  </si>
  <si>
    <t>　固定资产合计</t>
  </si>
  <si>
    <t>所有者权益(或股东权益)：</t>
  </si>
  <si>
    <t>无形资产及其他资产：</t>
  </si>
  <si>
    <t>　实收资本(或股本)</t>
  </si>
  <si>
    <t>　无形资产</t>
  </si>
  <si>
    <t>　　减：已归还投资</t>
  </si>
  <si>
    <t>　长期待摊费用</t>
  </si>
  <si>
    <t>　实收资本(或股本)净额</t>
  </si>
  <si>
    <t>　其他长期资产</t>
  </si>
  <si>
    <t>　资本公积</t>
  </si>
  <si>
    <t>　无形资产及其他资产合计</t>
  </si>
  <si>
    <t>　盈余公积</t>
  </si>
  <si>
    <t>　其中：法定公益金</t>
  </si>
  <si>
    <t>递延税款：</t>
  </si>
  <si>
    <t>　未分配利润</t>
  </si>
  <si>
    <t>　递延税款借项</t>
  </si>
  <si>
    <t>　所有者权益(或股东权益)合计</t>
  </si>
  <si>
    <t>资产总计</t>
  </si>
  <si>
    <t>负债和所有者权益(股东权益)总计</t>
  </si>
  <si>
    <t>补充资料：</t>
  </si>
  <si>
    <t>1.已贴现的商业承兑汇票　　　　元；</t>
  </si>
  <si>
    <t>4.法人资本　　　　元；</t>
  </si>
  <si>
    <t>2.已包括在固定资产原价内的融资租入固定资产原价　　　　元；</t>
  </si>
  <si>
    <t>5.个人资本　　　　元；</t>
  </si>
  <si>
    <t>3.国家资本　　　　元；</t>
  </si>
  <si>
    <t>6.外商资本　　　　元。</t>
  </si>
  <si>
    <t>损 益 表</t>
  </si>
  <si>
    <t>每月报表生成后，请务必将损益表中本月数“数值性粘贴”至下表中相应月份，本年累计数则自动计算。</t>
  </si>
  <si>
    <t>项目</t>
  </si>
  <si>
    <t>本月数</t>
  </si>
  <si>
    <t>本年累计数</t>
  </si>
  <si>
    <t>1月</t>
  </si>
  <si>
    <t>2月</t>
  </si>
  <si>
    <t>3月</t>
  </si>
  <si>
    <t>4月</t>
  </si>
  <si>
    <t>5月</t>
  </si>
  <si>
    <t>6月</t>
  </si>
  <si>
    <t>7月</t>
  </si>
  <si>
    <t>8月</t>
  </si>
  <si>
    <t>9月</t>
  </si>
  <si>
    <t>10月</t>
  </si>
  <si>
    <t>11月</t>
  </si>
  <si>
    <t>12月</t>
  </si>
  <si>
    <t>一、主营业务收入</t>
  </si>
  <si>
    <t>　　减：主营业务成本</t>
  </si>
  <si>
    <t>　　　　主营业务税金及附加</t>
  </si>
  <si>
    <t>二、主营业务利润(亏损以“-”号填列)</t>
  </si>
  <si>
    <t>　　加：其他业务利润(亏损以“-”号填列)</t>
  </si>
  <si>
    <t>　　减：营业费用</t>
  </si>
  <si>
    <t>　　　　管理费用</t>
  </si>
  <si>
    <t>　　　　财务费用</t>
  </si>
  <si>
    <t>三、营业利润(亏损以“-”号填列)</t>
  </si>
  <si>
    <t>　　加：投资收益(亏损以“-”号填列)</t>
  </si>
  <si>
    <t>　　　　补贴收入</t>
  </si>
  <si>
    <t>　　　　营业外收入</t>
  </si>
  <si>
    <t>　　减：营业外支出</t>
  </si>
  <si>
    <t>　　加：以前年度损益调整</t>
  </si>
  <si>
    <t>四、利润总额(亏损以“-”号填列)</t>
  </si>
  <si>
    <t>　　减：所得税</t>
  </si>
  <si>
    <t>五、净利润(亏损以“-”号填列)</t>
  </si>
  <si>
    <t>补充资料</t>
  </si>
  <si>
    <t>上年实际数</t>
  </si>
  <si>
    <t>１．出售、处置部分或投资单位所得收益</t>
  </si>
  <si>
    <t>２．自然灾害发生的损失</t>
  </si>
  <si>
    <t>３．会计政策变更增加（或减少）利润总额</t>
  </si>
  <si>
    <t>４．会计估计变更增加（或减少）利润总额</t>
  </si>
  <si>
    <t>５．债务重组损失</t>
  </si>
  <si>
    <t>６．其他</t>
  </si>
  <si>
    <t>附：利润分配表</t>
  </si>
  <si>
    <t>利润分配表</t>
  </si>
  <si>
    <t>一、净利润(亏损以“-”号填列)</t>
  </si>
  <si>
    <t>　　加：年初未分配利润</t>
  </si>
  <si>
    <t>　　　　其他转入</t>
  </si>
  <si>
    <t>二、可供分配的利润</t>
  </si>
  <si>
    <t>　　减：提取法定盈余公积</t>
  </si>
  <si>
    <t>　　　　提取法定公益金</t>
  </si>
  <si>
    <t>　　　　提取职工奖励及福利基金</t>
  </si>
  <si>
    <t>　　　　提取储备基金</t>
  </si>
  <si>
    <t>　　　　提取企业发展基金</t>
  </si>
  <si>
    <t>　　　　利润归还投资</t>
  </si>
  <si>
    <t>三、可供投资者分配的利润</t>
  </si>
  <si>
    <t>　　减：应付优先股股利</t>
  </si>
  <si>
    <t>　　　　提取任意盈余公积</t>
  </si>
  <si>
    <t>　　　　应付普通股股利</t>
  </si>
  <si>
    <t>　　　　转作资本(或股本)的普通股股利</t>
  </si>
  <si>
    <t>四、未分配利润</t>
  </si>
  <si>
    <t>编制现金流量表所需表外数据录入</t>
  </si>
  <si>
    <t>金额</t>
  </si>
  <si>
    <t>支付给职工的工资、奖金及各项津贴</t>
  </si>
  <si>
    <t>养老保险金</t>
  </si>
  <si>
    <t>医疗保险金</t>
  </si>
  <si>
    <t>失业保险费</t>
  </si>
  <si>
    <t>住房公积金</t>
  </si>
  <si>
    <t>劳动保护费</t>
  </si>
  <si>
    <t>支付给职工的其他福利费</t>
  </si>
  <si>
    <t>支付给职工以及为职工支付的现金合计</t>
  </si>
  <si>
    <t>税率</t>
  </si>
  <si>
    <t>主营业务收入（17％增值税部分）</t>
  </si>
  <si>
    <t>主营业务收入（13％增值税部分）</t>
  </si>
  <si>
    <t>主营业务收入（6％增值税部分）</t>
  </si>
  <si>
    <t>主营业务收入（4％增值税部分）</t>
  </si>
  <si>
    <t>非应税项目主营业务收入(本栏仅供校验勾稽关系不计算销项税额)</t>
  </si>
  <si>
    <t>销项税额合计</t>
  </si>
  <si>
    <t>主营业务成本（17％增值税部分）</t>
  </si>
  <si>
    <t>主营业务成本（13％增值税部分）</t>
  </si>
  <si>
    <t>小规模纳税人主营业务成本(本栏仅供校验勾稽关系不计算进项税额)</t>
  </si>
  <si>
    <t>非增值税行业主营业务成本(本栏仅供校验勾稽关系不计算进项税额)</t>
  </si>
  <si>
    <t>存货增加额（17％部分）</t>
  </si>
  <si>
    <t>存货增加额（13％部分）</t>
  </si>
  <si>
    <t>小规模纳税人进货增加额(本栏仅供校验勾稽关系不计算进项税额)</t>
  </si>
  <si>
    <t>进项税额合计</t>
  </si>
  <si>
    <t>在“主营业务税金及附加”科目列支的各项税金</t>
  </si>
  <si>
    <t>管理费用中列支的税金</t>
  </si>
  <si>
    <t>未通过“应交税金”科目核算的其他税金</t>
  </si>
  <si>
    <t>支付的各项税费合计</t>
  </si>
  <si>
    <t>收到的税费返还合计</t>
  </si>
  <si>
    <t>出口退税</t>
  </si>
  <si>
    <t>增值税返回</t>
  </si>
  <si>
    <t>所得税返回</t>
  </si>
  <si>
    <t>财政扶持补贴</t>
  </si>
  <si>
    <t>其他税收返回</t>
  </si>
  <si>
    <t>分配股利、利润或偿付利息所支付的现金合计</t>
  </si>
  <si>
    <t>分配股利所支付的现金</t>
  </si>
  <si>
    <t>分配利润所支付的现金</t>
  </si>
  <si>
    <t>利息支出(根据财务费用科目明细提取，不抵减利息收入)</t>
  </si>
  <si>
    <t>减：应收票据贴现利息支出</t>
  </si>
  <si>
    <t>非经营性利息净支出</t>
  </si>
  <si>
    <t>计提的资产减值准备合计</t>
  </si>
  <si>
    <t>计提比例</t>
  </si>
  <si>
    <t>坏帐准备</t>
  </si>
  <si>
    <t>短期投资跌价准备</t>
  </si>
  <si>
    <t>在建工程减值准备</t>
  </si>
  <si>
    <t>委托贷款减值准备</t>
  </si>
  <si>
    <t>无形资产摊销</t>
  </si>
  <si>
    <t>长期待摊费用摊销</t>
  </si>
  <si>
    <t>固定资产报废损失</t>
  </si>
  <si>
    <t>处置固定资产、无形资产和其他长期资产的损失(减：损益)</t>
  </si>
  <si>
    <t>收到投资分红或利润</t>
  </si>
  <si>
    <t>处置固定资产和无形资产收回的现金净额</t>
  </si>
  <si>
    <t>处置其他长期资产收回的现金净额</t>
  </si>
  <si>
    <t>处置固定资产、无形资产和其他长期资产所收回的现金净额合计</t>
  </si>
  <si>
    <t>收到的其他与投资活动有关的现金</t>
  </si>
  <si>
    <t>支付的其他与投资活动有关的现金</t>
  </si>
  <si>
    <t>收到的其他与筹资活动有关的现金</t>
  </si>
  <si>
    <t>支付的其他与筹资活动有关的现金</t>
  </si>
  <si>
    <t>现 金 流 量 表</t>
  </si>
  <si>
    <t>一、经营活动产生的现金流量：</t>
  </si>
  <si>
    <t>1、将净利润调节为经营活动现金流量：</t>
  </si>
  <si>
    <t>销售商品、提供劳务收到的现金：</t>
  </si>
  <si>
    <t>净利润</t>
  </si>
  <si>
    <t>收到的税费返还：</t>
  </si>
  <si>
    <t>加：计提的资产减值准备</t>
  </si>
  <si>
    <t>收到的其他与经营活动有关的现金：</t>
  </si>
  <si>
    <t>固定资产折旧</t>
  </si>
  <si>
    <t>现金流入小计</t>
  </si>
  <si>
    <t>购买商品接受劳务支付的现金</t>
  </si>
  <si>
    <t>支付给职工以及为职工支付的现金</t>
  </si>
  <si>
    <t>待摊费用减少（减：增加）</t>
  </si>
  <si>
    <t>支付的各项税费</t>
  </si>
  <si>
    <t>预提费用增加（减：减少）</t>
  </si>
  <si>
    <t>支付的其他与经营活动有关的现金</t>
  </si>
  <si>
    <t>处置固定资产、无形资产和其他长期资产的损失（减：收益）</t>
  </si>
  <si>
    <t>现金流出小计</t>
  </si>
  <si>
    <t>经营活动产生的现金流量净额</t>
  </si>
  <si>
    <t>二、投资活动产生的现金流量：</t>
  </si>
  <si>
    <t>投资损失（减：收益）</t>
  </si>
  <si>
    <t>收回投资所收到的现金</t>
  </si>
  <si>
    <t>递延税款贷项（减：借项）</t>
  </si>
  <si>
    <t>取得投资收益所收到的现金</t>
  </si>
  <si>
    <t>存货的减少（减：增加）</t>
  </si>
  <si>
    <t>处置固定资产、无形资产和其他长期资产所收回的现金净额</t>
  </si>
  <si>
    <t>经营性应收项目的减少（减：增加）</t>
  </si>
  <si>
    <t>经营性应付项目的增加（减：减少）</t>
  </si>
  <si>
    <t>购建固定资产、无形资产和其他长期资产所支付的现金</t>
  </si>
  <si>
    <t>投资所支付的现金</t>
  </si>
  <si>
    <t>投资活动产生的现金流量净额</t>
  </si>
  <si>
    <t>2、不涉及现金收支的投资和筹资活动：</t>
  </si>
  <si>
    <t>三、筹资活动产生的现金流量：</t>
  </si>
  <si>
    <t>债务转为资本</t>
  </si>
  <si>
    <t>吸收投资所收到的现金</t>
  </si>
  <si>
    <t>一年内到期的可转换公司债券</t>
  </si>
  <si>
    <t>取得借款所收到的现金</t>
  </si>
  <si>
    <t>融资租入固定资产</t>
  </si>
  <si>
    <t>偿还债务所支付的现金</t>
  </si>
  <si>
    <t>分配股利、利润和偿付利息所支付的现金</t>
  </si>
  <si>
    <t>3、现金及现金等价物净增加情况</t>
  </si>
  <si>
    <t>现金的期未余额</t>
  </si>
  <si>
    <t>减：现金的期初余额</t>
  </si>
  <si>
    <t>筹资活动产生的现金流量净额</t>
  </si>
  <si>
    <t>加：现金等价物的期未余额</t>
  </si>
  <si>
    <t>四、汇率变动对现金的影响</t>
  </si>
  <si>
    <t>减：现金等价物的期初余额</t>
  </si>
  <si>
    <t>五、现金及现金等价物净增加额</t>
  </si>
  <si>
    <t>现金及现金等价物净增加额</t>
  </si>
  <si>
    <t>加：期初现金及现金等价物余额</t>
  </si>
  <si>
    <t>六、期末现金及现金等价物余额</t>
  </si>
  <si>
    <t>账结法</t>
  </si>
  <si>
    <t>填表日期：2010年1月1日</t>
  </si>
  <si>
    <t>注：本表为丁字账单独工作表，与其他表格无公式链接关系，另紧接丁字账后面附有相关财务报表，报表数据自动生成。（本表仅供部分还需手工汇总科目的财务人员参考使用）</t>
  </si>
  <si>
    <t>实收资本(股本)</t>
  </si>
  <si>
    <t>负债和所有者权益        (或股东权益)</t>
  </si>
  <si>
    <t>复核：</t>
  </si>
  <si>
    <t>制表：</t>
  </si>
  <si>
    <t>负债和所有者权益(或股东权益)总计</t>
  </si>
  <si>
    <t>附</t>
  </si>
  <si>
    <t>财务报表：</t>
  </si>
  <si>
    <t>资产负债表</t>
  </si>
  <si>
    <t>损益表</t>
  </si>
  <si>
    <t>借方合计</t>
  </si>
  <si>
    <t>贷方合计</t>
  </si>
  <si>
    <t>是否平衡</t>
  </si>
  <si>
    <t>使用说明</t>
  </si>
  <si>
    <t>1、使用方法：请先录入基础信息、会计科目设置，如需生成现金流量表，需要填上表外数据。然后只需在“凭证录入”表中逐笔录入会计分录，其他表格数据即自动生成（科目余额表期初数、损益表本年累计数请参照表中说明录入，资产负债表年初数需手工输入）。</t>
  </si>
  <si>
    <t>2、录入凭证时，请在每行会计分录前输入“凭证号”，会计科目可在下拉菜单中选择或手动输入两种方式，先录总账科目再录明细科目，明细科目会自动根据已录总账科目而调出与之对应的预设明细科目。</t>
  </si>
  <si>
    <t>3、所有表中基本上只需填写绿色单元格，填写后自动变色，其余均为公式部分。各表均启用了公式保护，未设密码，如需更改公式，请自行撤销保护，未设密码。</t>
  </si>
  <si>
    <t>4、本表设有凭证打印模板，只需输入需要打印的凭证号即自动调出该凭证号的内容，因每张凭证只设了8行分录，所以在录入凭证时请尽量保持每号凭证分录在8行以内，以便打印。若实在要超出8行，如结转类凭证，则打印该凭证时需在凭证模板最后一行分录后插入若干行，再将公式下拉即可，操作前需撤销工作保护。</t>
  </si>
  <si>
    <t>5、本表会计科目设置采用旧“企业会计制度”使用科目，所有总账科目均已列入“会计科目”表中，如非必要，请勿修改总账科目，如需修改，则相应报表关联公式也要作相应修改。</t>
  </si>
  <si>
    <t>6、明细科目可在总账科目之后自行增减或修改，科目之间不可有空单元格。</t>
  </si>
  <si>
    <t>7、资产负债表和损益表的取数公式适用于账结法，录入凭证时需严格按照“科目余额表”中科目借贷方性质录入，否则报表数据将会出错。如：管理费用，科目性质为借方，冲减时不可做在贷方，而应该做借方红字；主营业务收入，科目性质为贷方，冲减时不可做在借方，而应该做贷方红字。</t>
  </si>
  <si>
    <t>8、最后附张“丁字账”表，此表与其他表格无公式链接关系，紧接丁字账后面附有相关财务报表，报表数据自动生成。（本丁字账表仅供部分还需手工汇总科目的财务人员参考使用，如无需要，整张“丁字账”工作表隐藏或删除亦可。）</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</si>
</sst>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3" formatCode="_ * #,##0.00_ ;_ * \-#,##0.00_ ;_ * &quot;-&quot;??_ ;_ @_ "/>
    <numFmt numFmtId="176" formatCode="_ &quot;￥&quot;* #,##0.00_ ;_ &quot;￥&quot;* \-#,##0.00_ ;_ &quot;￥&quot;* \-??_ ;_ @_ "/>
    <numFmt numFmtId="177" formatCode="_ &quot;￥&quot;* #,##0_ ;_ &quot;￥&quot;* \-#,##0_ ;_ &quot;￥&quot;* \-_ ;_ @_ "/>
    <numFmt numFmtId="178" formatCode=";;;"/>
    <numFmt numFmtId="179" formatCode="0.00_ "/>
    <numFmt numFmtId="180" formatCode="#,##0.00_ "/>
    <numFmt numFmtId="181" formatCode="yyyy&quot;年&quot;m&quot;月&quot;d&quot;日&quot;;@"/>
    <numFmt numFmtId="182" formatCode="yyyy&quot;年&quot;m&quot;月&quot;;@"/>
    <numFmt numFmtId="183" formatCode="[$-409]yyyy\-mm\-dd;@"/>
  </numFmts>
  <fonts count="93">
    <font>
      <sz val="12"/>
      <name val="宋体"/>
      <charset val="134"/>
    </font>
    <font>
      <b/>
      <sz val="16"/>
      <color theme="1" tint="0.35"/>
      <name val="黑体"/>
      <charset val="134"/>
    </font>
    <font>
      <sz val="12"/>
      <color theme="1" tint="0.35"/>
      <name val="晴圆"/>
      <charset val="134"/>
    </font>
    <font>
      <sz val="11"/>
      <name val="微软雅黑"/>
      <charset val="0"/>
    </font>
    <font>
      <sz val="11"/>
      <name val="微软雅黑"/>
      <charset val="134"/>
    </font>
    <font>
      <b/>
      <sz val="20"/>
      <color rgb="FFFFFF00"/>
      <name val="微软雅黑"/>
      <charset val="134"/>
    </font>
    <font>
      <b/>
      <sz val="14"/>
      <color indexed="60"/>
      <name val="微软雅黑"/>
      <charset val="134"/>
    </font>
    <font>
      <b/>
      <sz val="16"/>
      <name val="微软雅黑"/>
      <charset val="134"/>
    </font>
    <font>
      <b/>
      <sz val="11"/>
      <color indexed="17"/>
      <name val="微软雅黑"/>
      <charset val="134"/>
    </font>
    <font>
      <sz val="11"/>
      <color rgb="FFFFFF00"/>
      <name val="微软雅黑"/>
      <charset val="134"/>
    </font>
    <font>
      <b/>
      <sz val="11"/>
      <color theme="1"/>
      <name val="微软雅黑"/>
      <charset val="134"/>
    </font>
    <font>
      <sz val="11"/>
      <color theme="1"/>
      <name val="微软雅黑"/>
      <charset val="134"/>
    </font>
    <font>
      <b/>
      <sz val="11"/>
      <color rgb="FFFFFF00"/>
      <name val="微软雅黑"/>
      <charset val="134"/>
    </font>
    <font>
      <sz val="11"/>
      <color rgb="FFFFFF00"/>
      <name val="微软雅黑"/>
      <charset val="0"/>
    </font>
    <font>
      <b/>
      <sz val="11"/>
      <color rgb="FF0C17FF"/>
      <name val="微软雅黑"/>
      <charset val="134"/>
    </font>
    <font>
      <sz val="11"/>
      <color rgb="FF0C17FF"/>
      <name val="微软雅黑"/>
      <charset val="134"/>
    </font>
    <font>
      <sz val="11"/>
      <color rgb="FF0C17FF"/>
      <name val="微软雅黑"/>
      <charset val="0"/>
    </font>
    <font>
      <sz val="10"/>
      <color rgb="FF0C17FF"/>
      <name val="微软雅黑"/>
      <charset val="134"/>
    </font>
    <font>
      <u/>
      <sz val="12"/>
      <color indexed="12"/>
      <name val="微软雅黑"/>
      <charset val="134"/>
    </font>
    <font>
      <sz val="10"/>
      <name val="微软雅黑"/>
      <charset val="0"/>
    </font>
    <font>
      <sz val="11"/>
      <color indexed="12"/>
      <name val="微软雅黑"/>
      <charset val="0"/>
    </font>
    <font>
      <sz val="11"/>
      <color indexed="12"/>
      <name val="微软雅黑"/>
      <charset val="134"/>
    </font>
    <font>
      <sz val="10"/>
      <name val="微软雅黑"/>
      <charset val="134"/>
    </font>
    <font>
      <sz val="14"/>
      <name val="微软雅黑"/>
      <charset val="134"/>
    </font>
    <font>
      <sz val="12"/>
      <name val="微软雅黑"/>
      <charset val="134"/>
    </font>
    <font>
      <b/>
      <sz val="11"/>
      <name val="微软雅黑"/>
      <charset val="134"/>
    </font>
    <font>
      <b/>
      <sz val="11"/>
      <name val="微软雅黑"/>
      <charset val="0"/>
    </font>
    <font>
      <b/>
      <sz val="11"/>
      <color indexed="12"/>
      <name val="微软雅黑"/>
      <charset val="0"/>
    </font>
    <font>
      <b/>
      <sz val="14"/>
      <name val="黑体"/>
      <charset val="134"/>
    </font>
    <font>
      <sz val="11"/>
      <name val="黑体"/>
      <charset val="134"/>
    </font>
    <font>
      <b/>
      <sz val="10"/>
      <name val="黑体"/>
      <charset val="134"/>
    </font>
    <font>
      <sz val="10"/>
      <name val="黑体"/>
      <charset val="134"/>
    </font>
    <font>
      <sz val="10"/>
      <name val="Arial"/>
      <charset val="0"/>
    </font>
    <font>
      <b/>
      <sz val="18"/>
      <color theme="1"/>
      <name val="微软雅黑"/>
      <charset val="134"/>
    </font>
    <font>
      <b/>
      <sz val="16"/>
      <color rgb="FFFFFF00"/>
      <name val="微软雅黑"/>
      <charset val="134"/>
    </font>
    <font>
      <sz val="12"/>
      <color rgb="FFFFFF00"/>
      <name val="微软雅黑"/>
      <charset val="134"/>
    </font>
    <font>
      <b/>
      <sz val="12"/>
      <color indexed="17"/>
      <name val="微软雅黑"/>
      <charset val="134"/>
    </font>
    <font>
      <sz val="12"/>
      <color rgb="FF0C17FF"/>
      <name val="微软雅黑"/>
      <charset val="134"/>
    </font>
    <font>
      <b/>
      <sz val="12"/>
      <color rgb="FF0C17FF"/>
      <name val="微软雅黑"/>
      <charset val="134"/>
    </font>
    <font>
      <sz val="12"/>
      <name val="微软雅黑"/>
      <charset val="0"/>
    </font>
    <font>
      <b/>
      <sz val="12"/>
      <name val="微软雅黑"/>
      <charset val="0"/>
    </font>
    <font>
      <b/>
      <sz val="12"/>
      <color rgb="FFFFFF00"/>
      <name val="微软雅黑"/>
      <charset val="134"/>
    </font>
    <font>
      <sz val="10"/>
      <color rgb="FFFFFF00"/>
      <name val="微软雅黑"/>
      <charset val="134"/>
    </font>
    <font>
      <sz val="8"/>
      <color rgb="FFFFFF00"/>
      <name val="微软雅黑"/>
      <charset val="134"/>
    </font>
    <font>
      <b/>
      <sz val="12"/>
      <name val="微软雅黑"/>
      <charset val="134"/>
    </font>
    <font>
      <b/>
      <sz val="14"/>
      <color rgb="FFFFFF00"/>
      <name val="微软雅黑"/>
      <charset val="134"/>
    </font>
    <font>
      <sz val="12"/>
      <color rgb="FFFFFF00"/>
      <name val="微软雅黑"/>
      <charset val="0"/>
    </font>
    <font>
      <sz val="12"/>
      <color rgb="FF0C17FF"/>
      <name val="微软雅黑"/>
      <charset val="0"/>
    </font>
    <font>
      <sz val="12"/>
      <color indexed="12"/>
      <name val="微软雅黑"/>
      <charset val="0"/>
    </font>
    <font>
      <b/>
      <sz val="10"/>
      <name val="微软雅黑"/>
      <charset val="0"/>
    </font>
    <font>
      <sz val="11"/>
      <color theme="0"/>
      <name val="微软雅黑"/>
      <charset val="134"/>
    </font>
    <font>
      <b/>
      <sz val="20"/>
      <color rgb="FF0C17FF"/>
      <name val="微软雅黑"/>
      <charset val="134"/>
    </font>
    <font>
      <sz val="9"/>
      <color rgb="FF0C17FF"/>
      <name val="微软雅黑"/>
      <charset val="134"/>
    </font>
    <font>
      <b/>
      <sz val="12"/>
      <color rgb="FF0C17FF"/>
      <name val="微软雅黑"/>
      <charset val="0"/>
    </font>
    <font>
      <sz val="10"/>
      <color indexed="12"/>
      <name val="微软雅黑"/>
      <charset val="134"/>
    </font>
    <font>
      <b/>
      <sz val="11"/>
      <color rgb="FF800080"/>
      <name val="微软雅黑"/>
      <charset val="134"/>
    </font>
    <font>
      <sz val="8"/>
      <name val="微软雅黑"/>
      <charset val="134"/>
    </font>
    <font>
      <sz val="6"/>
      <name val="微软雅黑"/>
      <charset val="134"/>
    </font>
    <font>
      <sz val="10"/>
      <color indexed="10"/>
      <name val="微软雅黑"/>
      <charset val="134"/>
    </font>
    <font>
      <sz val="10"/>
      <color theme="1" tint="0.35"/>
      <name val="微软雅黑"/>
      <charset val="134"/>
    </font>
    <font>
      <b/>
      <sz val="11"/>
      <color indexed="60"/>
      <name val="微软雅黑"/>
      <charset val="134"/>
    </font>
    <font>
      <b/>
      <sz val="10"/>
      <color theme="1" tint="0.35"/>
      <name val="微软雅黑"/>
      <charset val="134"/>
    </font>
    <font>
      <b/>
      <sz val="12"/>
      <color theme="1" tint="0.35"/>
      <name val="微软雅黑"/>
      <charset val="134"/>
    </font>
    <font>
      <b/>
      <sz val="10"/>
      <color indexed="59"/>
      <name val="微软雅黑"/>
      <charset val="134"/>
    </font>
    <font>
      <sz val="10"/>
      <color indexed="16"/>
      <name val="微软雅黑"/>
      <charset val="134"/>
    </font>
    <font>
      <sz val="10"/>
      <color indexed="18"/>
      <name val="微软雅黑"/>
      <charset val="134"/>
    </font>
    <font>
      <sz val="9"/>
      <name val="微软雅黑"/>
      <charset val="134"/>
    </font>
    <font>
      <sz val="11.5"/>
      <name val="宋体"/>
      <charset val="134"/>
    </font>
    <font>
      <sz val="10"/>
      <color indexed="59"/>
      <name val="微软雅黑"/>
      <charset val="134"/>
    </font>
    <font>
      <b/>
      <sz val="24"/>
      <color rgb="FFFFFF00"/>
      <name val="微软雅黑"/>
      <charset val="134"/>
    </font>
    <font>
      <sz val="54"/>
      <color rgb="FFFFC000"/>
      <name val="方正楷体_GBK"/>
      <charset val="134"/>
    </font>
    <font>
      <sz val="12"/>
      <color rgb="FFFFFF00"/>
      <name val="方正楷体_GBK"/>
      <charset val="134"/>
    </font>
    <font>
      <u/>
      <sz val="12"/>
      <color indexed="12"/>
      <name val="宋体"/>
      <charset val="134"/>
    </font>
    <font>
      <u/>
      <sz val="12"/>
      <color indexed="36"/>
      <name val="宋体"/>
      <charset val="134"/>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50">
    <fill>
      <patternFill patternType="none"/>
    </fill>
    <fill>
      <patternFill patternType="gray125"/>
    </fill>
    <fill>
      <patternFill patternType="solid">
        <fgColor theme="0"/>
        <bgColor indexed="64"/>
      </patternFill>
    </fill>
    <fill>
      <patternFill patternType="solid">
        <fgColor rgb="FF66FF99"/>
        <bgColor indexed="64"/>
      </patternFill>
    </fill>
    <fill>
      <patternFill patternType="solid">
        <fgColor rgb="FF00008B"/>
        <bgColor indexed="64"/>
      </patternFill>
    </fill>
    <fill>
      <patternFill patternType="solid">
        <fgColor rgb="FF66FFCC"/>
        <bgColor indexed="64"/>
      </patternFill>
    </fill>
    <fill>
      <patternFill patternType="solid">
        <fgColor rgb="FFFFFF00"/>
        <bgColor indexed="64"/>
      </patternFill>
    </fill>
    <fill>
      <patternFill patternType="solid">
        <fgColor theme="5" tint="0.4"/>
        <bgColor indexed="64"/>
      </patternFill>
    </fill>
    <fill>
      <patternFill patternType="solid">
        <fgColor theme="4"/>
        <bgColor indexed="64"/>
      </patternFill>
    </fill>
    <fill>
      <patternFill patternType="solid">
        <fgColor indexed="45"/>
        <bgColor indexed="64"/>
      </patternFill>
    </fill>
    <fill>
      <patternFill patternType="solid">
        <fgColor indexed="9"/>
        <bgColor indexed="64"/>
      </patternFill>
    </fill>
    <fill>
      <patternFill patternType="solid">
        <fgColor indexed="41"/>
        <bgColor indexed="64"/>
      </patternFill>
    </fill>
    <fill>
      <patternFill patternType="solid">
        <fgColor indexed="46"/>
        <bgColor indexed="64"/>
      </patternFill>
    </fill>
    <fill>
      <patternFill patternType="solid">
        <fgColor indexed="22"/>
        <bgColor indexed="64"/>
      </patternFill>
    </fill>
    <fill>
      <patternFill patternType="solid">
        <fgColor indexed="44"/>
        <bgColor indexed="64"/>
      </patternFill>
    </fill>
    <fill>
      <patternFill patternType="solid">
        <fgColor rgb="FF0C17FF"/>
        <bgColor indexed="64"/>
      </patternFill>
    </fill>
    <fill>
      <patternFill patternType="solid">
        <fgColor theme="7" tint="0.4"/>
        <bgColor indexed="64"/>
      </patternFill>
    </fill>
    <fill>
      <patternFill patternType="solid">
        <fgColor rgb="FF00FF99"/>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1">
    <border>
      <left/>
      <right/>
      <top/>
      <bottom/>
      <diagonal/>
    </border>
    <border>
      <left style="thick">
        <color indexed="9"/>
      </left>
      <right style="thick">
        <color auto="1"/>
      </right>
      <top/>
      <bottom/>
      <diagonal/>
    </border>
    <border>
      <left/>
      <right style="thick">
        <color auto="1"/>
      </right>
      <top/>
      <bottom/>
      <diagonal/>
    </border>
    <border>
      <left style="thick">
        <color indexed="9"/>
      </left>
      <right style="thick">
        <color auto="1"/>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double">
        <color auto="1"/>
      </left>
      <right style="double">
        <color auto="1"/>
      </right>
      <top style="thick">
        <color auto="1"/>
      </top>
      <bottom style="double">
        <color auto="1"/>
      </bottom>
      <diagonal/>
    </border>
    <border>
      <left style="double">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double">
        <color auto="1"/>
      </left>
      <right/>
      <top style="thick">
        <color auto="1"/>
      </top>
      <bottom style="double">
        <color auto="1"/>
      </bottom>
      <diagonal/>
    </border>
    <border>
      <left style="thin">
        <color auto="1"/>
      </left>
      <right style="thick">
        <color auto="1"/>
      </right>
      <top style="thick">
        <color auto="1"/>
      </top>
      <bottom style="double">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n">
        <color auto="1"/>
      </left>
      <right style="double">
        <color auto="1"/>
      </right>
      <top style="thick">
        <color auto="1"/>
      </top>
      <bottom style="thin">
        <color auto="1"/>
      </bottom>
      <diagonal/>
    </border>
    <border>
      <left style="thin">
        <color auto="1"/>
      </left>
      <right style="thick">
        <color auto="1"/>
      </right>
      <top style="thick">
        <color auto="1"/>
      </top>
      <bottom style="thin">
        <color auto="1"/>
      </bottom>
      <diagonal/>
    </border>
    <border>
      <left style="medium">
        <color auto="1"/>
      </left>
      <right style="thin">
        <color auto="1"/>
      </right>
      <top style="medium">
        <color auto="1"/>
      </top>
      <bottom style="thin">
        <color auto="1"/>
      </bottom>
      <diagonal/>
    </border>
    <border>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double">
        <color auto="1"/>
      </right>
      <top style="double">
        <color auto="1"/>
      </top>
      <bottom/>
      <diagonal/>
    </border>
    <border>
      <left style="double">
        <color auto="1"/>
      </left>
      <right/>
      <top style="double">
        <color auto="1"/>
      </top>
      <bottom/>
      <diagonal/>
    </border>
    <border>
      <left style="thick">
        <color auto="1"/>
      </left>
      <right style="thin">
        <color auto="1"/>
      </right>
      <top/>
      <bottom style="thin">
        <color auto="1"/>
      </bottom>
      <diagonal/>
    </border>
    <border>
      <left style="thin">
        <color auto="1"/>
      </left>
      <right/>
      <top/>
      <bottom style="thin">
        <color auto="1"/>
      </bottom>
      <diagonal/>
    </border>
    <border>
      <left style="double">
        <color auto="1"/>
      </left>
      <right style="double">
        <color auto="1"/>
      </right>
      <top/>
      <bottom style="double">
        <color auto="1"/>
      </bottom>
      <diagonal/>
    </border>
    <border>
      <left style="double">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top/>
      <bottom style="double">
        <color auto="1"/>
      </bottom>
      <diagonal/>
    </border>
    <border>
      <left style="thin">
        <color auto="1"/>
      </left>
      <right style="thick">
        <color auto="1"/>
      </right>
      <top/>
      <bottom style="double">
        <color auto="1"/>
      </bottom>
      <diagonal/>
    </border>
    <border>
      <left style="thick">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right/>
      <top/>
      <bottom style="thin">
        <color auto="1"/>
      </bottom>
      <diagonal/>
    </border>
    <border>
      <left style="thin">
        <color auto="1"/>
      </left>
      <right style="thick">
        <color auto="1"/>
      </right>
      <top/>
      <bottom style="thin">
        <color auto="1"/>
      </bottom>
      <diagonal/>
    </border>
    <border>
      <left style="medium">
        <color auto="1"/>
      </left>
      <right/>
      <top/>
      <bottom style="thin">
        <color auto="1"/>
      </bottom>
      <diagonal/>
    </border>
    <border>
      <left style="thin">
        <color auto="1"/>
      </left>
      <right style="medium">
        <color auto="1"/>
      </right>
      <top/>
      <bottom style="thin">
        <color auto="1"/>
      </bottom>
      <diagonal/>
    </border>
    <border>
      <left/>
      <right style="double">
        <color auto="1"/>
      </right>
      <top/>
      <bottom style="hair">
        <color auto="1"/>
      </bottom>
      <diagonal/>
    </border>
    <border>
      <left style="double">
        <color auto="1"/>
      </left>
      <right/>
      <top/>
      <bottom style="hair">
        <color auto="1"/>
      </bottom>
      <diagonal/>
    </border>
    <border>
      <left style="thin">
        <color auto="1"/>
      </left>
      <right/>
      <top style="thin">
        <color auto="1"/>
      </top>
      <bottom style="thin">
        <color auto="1"/>
      </bottom>
      <diagonal/>
    </border>
    <border>
      <left style="double">
        <color auto="1"/>
      </left>
      <right style="double">
        <color auto="1"/>
      </right>
      <top/>
      <bottom style="thin">
        <color auto="1"/>
      </bottom>
      <diagonal/>
    </border>
    <border>
      <left style="double">
        <color auto="1"/>
      </left>
      <right style="thin">
        <color auto="1"/>
      </right>
      <top/>
      <bottom style="thin">
        <color auto="1"/>
      </bottom>
      <diagonal/>
    </border>
    <border>
      <left style="thick">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thin">
        <color auto="1"/>
      </left>
      <right style="thick">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medium">
        <color auto="1"/>
      </right>
      <top style="thin">
        <color auto="1"/>
      </top>
      <bottom style="thin">
        <color auto="1"/>
      </bottom>
      <diagonal/>
    </border>
    <border>
      <left/>
      <right style="double">
        <color auto="1"/>
      </right>
      <top style="hair">
        <color auto="1"/>
      </top>
      <bottom style="hair">
        <color auto="1"/>
      </bottom>
      <diagonal/>
    </border>
    <border>
      <left style="double">
        <color auto="1"/>
      </left>
      <right/>
      <top style="hair">
        <color auto="1"/>
      </top>
      <bottom style="hair">
        <color auto="1"/>
      </bottom>
      <diagonal/>
    </border>
    <border>
      <left style="double">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ck">
        <color auto="1"/>
      </top>
      <bottom style="thin">
        <color auto="1"/>
      </bottom>
      <diagonal/>
    </border>
    <border>
      <left style="thick">
        <color auto="1"/>
      </left>
      <right style="thin">
        <color auto="1"/>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style="double">
        <color auto="1"/>
      </right>
      <top style="thin">
        <color auto="1"/>
      </top>
      <bottom style="thick">
        <color auto="1"/>
      </bottom>
      <diagonal/>
    </border>
    <border>
      <left style="thick">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double">
        <color auto="1"/>
      </left>
      <right style="double">
        <color auto="1"/>
      </right>
      <top style="thin">
        <color auto="1"/>
      </top>
      <bottom style="thick">
        <color auto="1"/>
      </bottom>
      <diagonal/>
    </border>
    <border>
      <left style="double">
        <color auto="1"/>
      </left>
      <right style="thin">
        <color auto="1"/>
      </right>
      <top style="thin">
        <color auto="1"/>
      </top>
      <bottom style="thick">
        <color auto="1"/>
      </bottom>
      <diagonal/>
    </border>
    <border>
      <left style="thin">
        <color auto="1"/>
      </left>
      <right/>
      <top style="thin">
        <color auto="1"/>
      </top>
      <bottom style="thick">
        <color auto="1"/>
      </bottom>
      <diagonal/>
    </border>
    <border>
      <left/>
      <right style="double">
        <color auto="1"/>
      </right>
      <top style="hair">
        <color auto="1"/>
      </top>
      <bottom style="double">
        <color auto="1"/>
      </bottom>
      <diagonal/>
    </border>
    <border>
      <left style="double">
        <color auto="1"/>
      </left>
      <right/>
      <top style="hair">
        <color auto="1"/>
      </top>
      <bottom style="double">
        <color auto="1"/>
      </bottom>
      <diagonal/>
    </border>
    <border>
      <left style="medium">
        <color auto="1"/>
      </left>
      <right/>
      <top style="medium">
        <color auto="1"/>
      </top>
      <bottom style="dashed">
        <color auto="1"/>
      </bottom>
      <diagonal/>
    </border>
    <border>
      <left/>
      <right style="medium">
        <color auto="1"/>
      </right>
      <top style="medium">
        <color auto="1"/>
      </top>
      <bottom style="dashed">
        <color auto="1"/>
      </bottom>
      <diagonal/>
    </border>
    <border>
      <left style="medium">
        <color auto="1"/>
      </left>
      <right/>
      <top style="dashed">
        <color auto="1"/>
      </top>
      <bottom style="medium">
        <color auto="1"/>
      </bottom>
      <diagonal/>
    </border>
    <border>
      <left/>
      <right style="medium">
        <color auto="1"/>
      </right>
      <top style="dashed">
        <color auto="1"/>
      </top>
      <bottom style="medium">
        <color auto="1"/>
      </bottom>
      <diagonal/>
    </border>
    <border>
      <left/>
      <right/>
      <top/>
      <bottom style="double">
        <color auto="1"/>
      </bottom>
      <diagonal/>
    </border>
    <border>
      <left style="double">
        <color auto="1"/>
      </left>
      <right style="hair">
        <color auto="1"/>
      </right>
      <top style="double">
        <color auto="1"/>
      </top>
      <bottom style="hair">
        <color auto="1"/>
      </bottom>
      <diagonal/>
    </border>
    <border>
      <left style="hair">
        <color auto="1"/>
      </left>
      <right style="hair">
        <color auto="1"/>
      </right>
      <top style="double">
        <color auto="1"/>
      </top>
      <bottom style="hair">
        <color auto="1"/>
      </bottom>
      <diagonal/>
    </border>
    <border>
      <left style="hair">
        <color auto="1"/>
      </left>
      <right style="double">
        <color auto="1"/>
      </right>
      <top style="double">
        <color auto="1"/>
      </top>
      <bottom style="hair">
        <color auto="1"/>
      </bottom>
      <diagonal/>
    </border>
    <border>
      <left style="double">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double">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double">
        <color auto="1"/>
      </right>
      <top style="hair">
        <color auto="1"/>
      </top>
      <bottom style="double">
        <color auto="1"/>
      </bottom>
      <diagonal/>
    </border>
    <border>
      <left style="double">
        <color auto="1"/>
      </left>
      <right style="medium">
        <color auto="1"/>
      </right>
      <top/>
      <bottom style="hair">
        <color auto="1"/>
      </bottom>
      <diagonal/>
    </border>
    <border>
      <left style="double">
        <color auto="1"/>
      </left>
      <right style="medium">
        <color auto="1"/>
      </right>
      <top style="hair">
        <color auto="1"/>
      </top>
      <bottom style="hair">
        <color auto="1"/>
      </bottom>
      <diagonal/>
    </border>
    <border>
      <left style="double">
        <color auto="1"/>
      </left>
      <right style="medium">
        <color auto="1"/>
      </right>
      <top style="hair">
        <color auto="1"/>
      </top>
      <bottom style="medium">
        <color auto="1"/>
      </bottom>
      <diagonal/>
    </border>
    <border>
      <left style="double">
        <color indexed="22"/>
      </left>
      <right/>
      <top style="double">
        <color indexed="22"/>
      </top>
      <bottom/>
      <diagonal/>
    </border>
    <border>
      <left/>
      <right/>
      <top style="double">
        <color indexed="22"/>
      </top>
      <bottom/>
      <diagonal/>
    </border>
    <border>
      <left/>
      <right style="double">
        <color indexed="22"/>
      </right>
      <top style="double">
        <color indexed="22"/>
      </top>
      <bottom/>
      <diagonal/>
    </border>
    <border>
      <left style="double">
        <color indexed="22"/>
      </left>
      <right/>
      <top/>
      <bottom/>
      <diagonal/>
    </border>
    <border>
      <left/>
      <right style="double">
        <color indexed="22"/>
      </right>
      <top/>
      <bottom/>
      <diagonal/>
    </border>
    <border>
      <left/>
      <right/>
      <top/>
      <bottom style="double">
        <color indexed="20"/>
      </bottom>
      <diagonal/>
    </border>
    <border>
      <left style="double">
        <color indexed="20"/>
      </left>
      <right style="hair">
        <color indexed="20"/>
      </right>
      <top style="double">
        <color indexed="20"/>
      </top>
      <bottom style="dashed">
        <color auto="1"/>
      </bottom>
      <diagonal/>
    </border>
    <border>
      <left/>
      <right style="hair">
        <color indexed="20"/>
      </right>
      <top style="double">
        <color indexed="20"/>
      </top>
      <bottom/>
      <diagonal/>
    </border>
    <border>
      <left style="hair">
        <color indexed="20"/>
      </left>
      <right style="hair">
        <color indexed="20"/>
      </right>
      <top style="double">
        <color indexed="20"/>
      </top>
      <bottom style="hair">
        <color indexed="60"/>
      </bottom>
      <diagonal/>
    </border>
    <border>
      <left/>
      <right style="hair">
        <color indexed="20"/>
      </right>
      <top style="double">
        <color indexed="20"/>
      </top>
      <bottom style="hair">
        <color indexed="60"/>
      </bottom>
      <diagonal/>
    </border>
    <border>
      <left style="hair">
        <color indexed="20"/>
      </left>
      <right style="hair">
        <color indexed="20"/>
      </right>
      <top style="double">
        <color indexed="20"/>
      </top>
      <bottom/>
      <diagonal/>
    </border>
    <border>
      <left/>
      <right/>
      <top style="double">
        <color indexed="20"/>
      </top>
      <bottom/>
      <diagonal/>
    </border>
    <border>
      <left style="double">
        <color indexed="20"/>
      </left>
      <right/>
      <top/>
      <bottom style="dashed">
        <color auto="1"/>
      </bottom>
      <diagonal/>
    </border>
    <border>
      <left/>
      <right style="hair">
        <color indexed="20"/>
      </right>
      <top/>
      <bottom style="dashed">
        <color auto="1"/>
      </bottom>
      <diagonal/>
    </border>
    <border>
      <left style="hair">
        <color indexed="20"/>
      </left>
      <right style="hair">
        <color indexed="20"/>
      </right>
      <top style="hair">
        <color indexed="60"/>
      </top>
      <bottom style="medium">
        <color indexed="16"/>
      </bottom>
      <diagonal/>
    </border>
    <border>
      <left style="hair">
        <color indexed="20"/>
      </left>
      <right/>
      <top/>
      <bottom/>
      <diagonal/>
    </border>
    <border>
      <left/>
      <right style="hair">
        <color indexed="20"/>
      </right>
      <top/>
      <bottom/>
      <diagonal/>
    </border>
    <border>
      <left style="double">
        <color indexed="20"/>
      </left>
      <right style="hair">
        <color indexed="20"/>
      </right>
      <top style="medium">
        <color indexed="16"/>
      </top>
      <bottom style="hair">
        <color indexed="16"/>
      </bottom>
      <diagonal/>
    </border>
    <border>
      <left/>
      <right style="hair">
        <color indexed="20"/>
      </right>
      <top style="medium">
        <color indexed="16"/>
      </top>
      <bottom style="hair">
        <color indexed="16"/>
      </bottom>
      <diagonal/>
    </border>
    <border>
      <left style="hair">
        <color indexed="20"/>
      </left>
      <right style="hair">
        <color indexed="20"/>
      </right>
      <top style="medium">
        <color indexed="16"/>
      </top>
      <bottom style="hair">
        <color indexed="16"/>
      </bottom>
      <diagonal/>
    </border>
    <border>
      <left/>
      <right/>
      <top style="medium">
        <color indexed="16"/>
      </top>
      <bottom style="hair">
        <color indexed="16"/>
      </bottom>
      <diagonal/>
    </border>
    <border>
      <left style="double">
        <color indexed="20"/>
      </left>
      <right style="hair">
        <color indexed="20"/>
      </right>
      <top style="hair">
        <color indexed="16"/>
      </top>
      <bottom style="hair">
        <color indexed="16"/>
      </bottom>
      <diagonal/>
    </border>
    <border>
      <left/>
      <right style="hair">
        <color indexed="20"/>
      </right>
      <top style="hair">
        <color indexed="16"/>
      </top>
      <bottom style="hair">
        <color indexed="16"/>
      </bottom>
      <diagonal/>
    </border>
    <border>
      <left style="hair">
        <color indexed="20"/>
      </left>
      <right style="hair">
        <color indexed="20"/>
      </right>
      <top style="hair">
        <color indexed="16"/>
      </top>
      <bottom style="hair">
        <color indexed="16"/>
      </bottom>
      <diagonal/>
    </border>
    <border>
      <left/>
      <right/>
      <top style="hair">
        <color indexed="16"/>
      </top>
      <bottom style="hair">
        <color indexed="16"/>
      </bottom>
      <diagonal/>
    </border>
    <border>
      <left style="double">
        <color indexed="20"/>
      </left>
      <right style="hair">
        <color indexed="20"/>
      </right>
      <top style="hair">
        <color indexed="16"/>
      </top>
      <bottom style="medium">
        <color indexed="16"/>
      </bottom>
      <diagonal/>
    </border>
    <border>
      <left/>
      <right style="hair">
        <color indexed="20"/>
      </right>
      <top style="hair">
        <color indexed="16"/>
      </top>
      <bottom style="medium">
        <color indexed="16"/>
      </bottom>
      <diagonal/>
    </border>
    <border>
      <left style="hair">
        <color indexed="20"/>
      </left>
      <right style="hair">
        <color indexed="20"/>
      </right>
      <top style="hair">
        <color indexed="16"/>
      </top>
      <bottom style="medium">
        <color indexed="16"/>
      </bottom>
      <diagonal/>
    </border>
    <border>
      <left/>
      <right/>
      <top style="hair">
        <color indexed="16"/>
      </top>
      <bottom style="medium">
        <color indexed="16"/>
      </bottom>
      <diagonal/>
    </border>
    <border>
      <left style="double">
        <color indexed="20"/>
      </left>
      <right/>
      <top style="medium">
        <color indexed="16"/>
      </top>
      <bottom style="double">
        <color indexed="20"/>
      </bottom>
      <diagonal/>
    </border>
    <border>
      <left/>
      <right style="hair">
        <color indexed="20"/>
      </right>
      <top style="medium">
        <color indexed="16"/>
      </top>
      <bottom style="double">
        <color indexed="20"/>
      </bottom>
      <diagonal/>
    </border>
    <border>
      <left/>
      <right/>
      <top style="medium">
        <color indexed="16"/>
      </top>
      <bottom style="double">
        <color indexed="20"/>
      </bottom>
      <diagonal/>
    </border>
    <border>
      <left style="hair">
        <color indexed="20"/>
      </left>
      <right style="hair">
        <color indexed="20"/>
      </right>
      <top/>
      <bottom style="double">
        <color indexed="20"/>
      </bottom>
      <diagonal/>
    </border>
    <border>
      <left/>
      <right style="hair">
        <color indexed="20"/>
      </right>
      <top/>
      <bottom style="double">
        <color indexed="20"/>
      </bottom>
      <diagonal/>
    </border>
    <border>
      <left style="double">
        <color indexed="22"/>
      </left>
      <right/>
      <top/>
      <bottom style="double">
        <color indexed="22"/>
      </bottom>
      <diagonal/>
    </border>
    <border>
      <left/>
      <right/>
      <top/>
      <bottom style="double">
        <color indexed="22"/>
      </bottom>
      <diagonal/>
    </border>
    <border>
      <left/>
      <right style="double">
        <color indexed="22"/>
      </right>
      <top/>
      <bottom style="double">
        <color indexed="22"/>
      </bottom>
      <diagonal/>
    </border>
    <border>
      <left style="hair">
        <color indexed="14"/>
      </left>
      <right style="hair">
        <color indexed="14"/>
      </right>
      <top/>
      <bottom style="hair">
        <color indexed="14"/>
      </bottom>
      <diagonal/>
    </border>
    <border>
      <left style="hair">
        <color indexed="14"/>
      </left>
      <right style="hair">
        <color indexed="14"/>
      </right>
      <top/>
      <bottom style="double">
        <color theme="1" tint="0.35"/>
      </bottom>
      <diagonal/>
    </border>
    <border>
      <left/>
      <right style="hair">
        <color indexed="14"/>
      </right>
      <top/>
      <bottom style="hair">
        <color indexed="14"/>
      </bottom>
      <diagonal/>
    </border>
    <border>
      <left style="hair">
        <color indexed="14"/>
      </left>
      <right/>
      <top/>
      <bottom style="hair">
        <color indexed="14"/>
      </bottom>
      <diagonal/>
    </border>
    <border>
      <left style="mediumDashDotDot">
        <color indexed="14"/>
      </left>
      <right style="hair">
        <color indexed="14"/>
      </right>
      <top/>
      <bottom style="double">
        <color theme="1" tint="0.35"/>
      </bottom>
      <diagonal/>
    </border>
    <border>
      <left style="hair">
        <color indexed="14"/>
      </left>
      <right style="hair">
        <color indexed="14"/>
      </right>
      <top style="hair">
        <color indexed="14"/>
      </top>
      <bottom style="double">
        <color theme="1" tint="0.35"/>
      </bottom>
      <diagonal/>
    </border>
    <border>
      <left style="hair">
        <color indexed="14"/>
      </left>
      <right style="hair">
        <color indexed="14"/>
      </right>
      <top style="hair">
        <color indexed="14"/>
      </top>
      <bottom style="hair">
        <color indexed="14"/>
      </bottom>
      <diagonal/>
    </border>
    <border>
      <left style="mediumDashDotDot">
        <color indexed="14"/>
      </left>
      <right style="hair">
        <color indexed="14"/>
      </right>
      <top/>
      <bottom style="hair">
        <color indexed="14"/>
      </bottom>
      <diagonal/>
    </border>
    <border>
      <left style="hair">
        <color indexed="14"/>
      </left>
      <right/>
      <top style="hair">
        <color indexed="14"/>
      </top>
      <bottom style="hair">
        <color indexed="14"/>
      </bottom>
      <diagonal/>
    </border>
    <border>
      <left style="mediumDashDotDot">
        <color indexed="14"/>
      </left>
      <right style="hair">
        <color indexed="14"/>
      </right>
      <top style="hair">
        <color indexed="14"/>
      </top>
      <bottom style="hair">
        <color indexed="14"/>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top style="double">
        <color auto="1"/>
      </top>
      <bottom style="thin">
        <color auto="1"/>
      </bottom>
      <diagonal/>
    </border>
    <border>
      <left style="thick">
        <color auto="1"/>
      </left>
      <right/>
      <top style="double">
        <color auto="1"/>
      </top>
      <bottom/>
      <diagonal/>
    </border>
    <border>
      <left style="thin">
        <color auto="1"/>
      </left>
      <right style="thin">
        <color auto="1"/>
      </right>
      <top style="double">
        <color auto="1"/>
      </top>
      <bottom/>
      <diagonal/>
    </border>
    <border>
      <left style="double">
        <color auto="1"/>
      </left>
      <right/>
      <top style="thin">
        <color auto="1"/>
      </top>
      <bottom style="thin">
        <color auto="1"/>
      </bottom>
      <diagonal/>
    </border>
    <border>
      <left style="thick">
        <color auto="1"/>
      </left>
      <right style="hair">
        <color auto="1"/>
      </right>
      <top style="hair">
        <color auto="1"/>
      </top>
      <bottom style="hair">
        <color auto="1"/>
      </bottom>
      <diagonal/>
    </border>
    <border>
      <left style="double">
        <color auto="1"/>
      </left>
      <right style="thin">
        <color auto="1"/>
      </right>
      <top style="thin">
        <color auto="1"/>
      </top>
      <bottom/>
      <diagonal/>
    </border>
    <border>
      <left style="thin">
        <color auto="1"/>
      </left>
      <right style="thin">
        <color auto="1"/>
      </right>
      <top style="thin">
        <color auto="1"/>
      </top>
      <bottom/>
      <diagonal/>
    </border>
    <border>
      <left style="double">
        <color auto="1"/>
      </left>
      <right style="double">
        <color auto="1"/>
      </right>
      <top style="thin">
        <color auto="1"/>
      </top>
      <bottom style="double">
        <color auto="1"/>
      </bottom>
      <diagonal/>
    </border>
    <border>
      <left/>
      <right/>
      <top style="thin">
        <color auto="1"/>
      </top>
      <bottom style="double">
        <color auto="1"/>
      </bottom>
      <diagonal/>
    </border>
    <border>
      <left/>
      <right style="double">
        <color auto="1"/>
      </right>
      <top style="thin">
        <color auto="1"/>
      </top>
      <bottom style="double">
        <color auto="1"/>
      </bottom>
      <diagonal/>
    </border>
    <border>
      <left style="thick">
        <color theme="0"/>
      </left>
      <right style="thick">
        <color theme="0"/>
      </right>
      <top style="thick">
        <color theme="0"/>
      </top>
      <bottom style="thick">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xf numFmtId="176" fontId="0" fillId="0" borderId="0"/>
    <xf numFmtId="9" fontId="0" fillId="0" borderId="0"/>
    <xf numFmtId="41" fontId="0" fillId="0" borderId="0"/>
    <xf numFmtId="177" fontId="0" fillId="0" borderId="0"/>
    <xf numFmtId="0" fontId="72" fillId="0" borderId="0">
      <alignment vertical="top"/>
      <protection locked="0"/>
    </xf>
    <xf numFmtId="0" fontId="73" fillId="0" borderId="0">
      <alignment vertical="top"/>
      <protection locked="0"/>
    </xf>
    <xf numFmtId="0" fontId="74" fillId="20" borderId="153">
      <alignment vertical="center"/>
    </xf>
    <xf numFmtId="0" fontId="75" fillId="0" borderId="0">
      <alignment vertical="center"/>
    </xf>
    <xf numFmtId="0" fontId="76" fillId="0" borderId="0">
      <alignment vertical="center"/>
    </xf>
    <xf numFmtId="0" fontId="77" fillId="0" borderId="0">
      <alignment vertical="center"/>
    </xf>
    <xf numFmtId="0" fontId="78" fillId="0" borderId="154">
      <alignment vertical="center"/>
    </xf>
    <xf numFmtId="0" fontId="79" fillId="0" borderId="154">
      <alignment vertical="center"/>
    </xf>
    <xf numFmtId="0" fontId="80" fillId="0" borderId="155">
      <alignment vertical="center"/>
    </xf>
    <xf numFmtId="0" fontId="80" fillId="0" borderId="0">
      <alignment vertical="center"/>
    </xf>
    <xf numFmtId="0" fontId="81" fillId="21" borderId="156">
      <alignment vertical="center"/>
    </xf>
    <xf numFmtId="0" fontId="82" fillId="22" borderId="157">
      <alignment vertical="center"/>
    </xf>
    <xf numFmtId="0" fontId="83" fillId="22" borderId="156">
      <alignment vertical="center"/>
    </xf>
    <xf numFmtId="0" fontId="84" fillId="23" borderId="158">
      <alignment vertical="center"/>
    </xf>
    <xf numFmtId="0" fontId="85" fillId="0" borderId="159">
      <alignment vertical="center"/>
    </xf>
    <xf numFmtId="0" fontId="86" fillId="0" borderId="160">
      <alignment vertical="center"/>
    </xf>
    <xf numFmtId="0" fontId="87" fillId="24" borderId="0">
      <alignment vertical="center"/>
    </xf>
    <xf numFmtId="0" fontId="88" fillId="25" borderId="0">
      <alignment vertical="center"/>
    </xf>
    <xf numFmtId="0" fontId="89" fillId="26" borderId="0">
      <alignment vertical="center"/>
    </xf>
    <xf numFmtId="0" fontId="90" fillId="8" borderId="0">
      <alignment vertical="center"/>
    </xf>
    <xf numFmtId="0" fontId="91" fillId="27" borderId="0">
      <alignment vertical="center"/>
    </xf>
    <xf numFmtId="0" fontId="91" fillId="28" borderId="0">
      <alignment vertical="center"/>
    </xf>
    <xf numFmtId="0" fontId="90" fillId="29" borderId="0">
      <alignment vertical="center"/>
    </xf>
    <xf numFmtId="0" fontId="90" fillId="30" borderId="0">
      <alignment vertical="center"/>
    </xf>
    <xf numFmtId="0" fontId="91" fillId="31" borderId="0">
      <alignment vertical="center"/>
    </xf>
    <xf numFmtId="0" fontId="91" fillId="32" borderId="0">
      <alignment vertical="center"/>
    </xf>
    <xf numFmtId="0" fontId="90" fillId="33" borderId="0">
      <alignment vertical="center"/>
    </xf>
    <xf numFmtId="0" fontId="90" fillId="34" borderId="0">
      <alignment vertical="center"/>
    </xf>
    <xf numFmtId="0" fontId="91" fillId="35" borderId="0">
      <alignment vertical="center"/>
    </xf>
    <xf numFmtId="0" fontId="91" fillId="36" borderId="0">
      <alignment vertical="center"/>
    </xf>
    <xf numFmtId="0" fontId="90" fillId="37" borderId="0">
      <alignment vertical="center"/>
    </xf>
    <xf numFmtId="0" fontId="90" fillId="38" borderId="0">
      <alignment vertical="center"/>
    </xf>
    <xf numFmtId="0" fontId="91" fillId="39" borderId="0">
      <alignment vertical="center"/>
    </xf>
    <xf numFmtId="0" fontId="91" fillId="40" borderId="0">
      <alignment vertical="center"/>
    </xf>
    <xf numFmtId="0" fontId="90" fillId="41" borderId="0">
      <alignment vertical="center"/>
    </xf>
    <xf numFmtId="0" fontId="90" fillId="42" borderId="0">
      <alignment vertical="center"/>
    </xf>
    <xf numFmtId="0" fontId="91" fillId="43" borderId="0">
      <alignment vertical="center"/>
    </xf>
    <xf numFmtId="0" fontId="91" fillId="44" borderId="0">
      <alignment vertical="center"/>
    </xf>
    <xf numFmtId="0" fontId="90" fillId="45" borderId="0">
      <alignment vertical="center"/>
    </xf>
    <xf numFmtId="0" fontId="90" fillId="46" borderId="0">
      <alignment vertical="center"/>
    </xf>
    <xf numFmtId="0" fontId="91" fillId="47" borderId="0">
      <alignment vertical="center"/>
    </xf>
    <xf numFmtId="0" fontId="91" fillId="48" borderId="0">
      <alignment vertical="center"/>
    </xf>
    <xf numFmtId="0" fontId="90" fillId="49" borderId="0">
      <alignment vertical="center"/>
    </xf>
  </cellStyleXfs>
  <cellXfs count="519">
    <xf numFmtId="0" fontId="0" fillId="0" borderId="0" xfId="0"/>
    <xf numFmtId="0" fontId="0" fillId="2" borderId="0" xfId="0" applyFill="1"/>
    <xf numFmtId="0" fontId="1" fillId="3" borderId="0" xfId="0" applyFont="1" applyFill="1" applyAlignment="1" applyProtection="1">
      <alignment horizontal="center" vertical="center" wrapText="1"/>
      <protection locked="0"/>
    </xf>
    <xf numFmtId="0" fontId="0" fillId="0" borderId="0" xfId="0" applyProtection="1">
      <protection locked="0"/>
    </xf>
    <xf numFmtId="0" fontId="2" fillId="3" borderId="1" xfId="0" applyFont="1" applyFill="1" applyBorder="1" applyAlignment="1" applyProtection="1">
      <alignment horizontal="left" vertical="center" wrapText="1" indent="1"/>
      <protection locked="0"/>
    </xf>
    <xf numFmtId="0" fontId="0" fillId="0" borderId="2" xfId="0" applyBorder="1" applyProtection="1">
      <protection locked="0"/>
    </xf>
    <xf numFmtId="0" fontId="2" fillId="2" borderId="1" xfId="0" applyFont="1" applyFill="1" applyBorder="1" applyAlignment="1" applyProtection="1">
      <alignment horizontal="left" vertical="center" wrapText="1" indent="1"/>
      <protection locked="0"/>
    </xf>
    <xf numFmtId="0" fontId="0" fillId="2" borderId="0" xfId="0" applyFill="1" applyProtection="1">
      <protection locked="0"/>
    </xf>
    <xf numFmtId="0" fontId="0" fillId="2" borderId="2" xfId="0" applyFill="1" applyBorder="1" applyProtection="1">
      <protection locked="0"/>
    </xf>
    <xf numFmtId="0" fontId="2" fillId="3" borderId="3" xfId="0" applyFont="1" applyFill="1" applyBorder="1" applyAlignment="1" applyProtection="1">
      <alignment horizontal="left" vertical="center" wrapText="1" indent="1"/>
      <protection locked="0"/>
    </xf>
    <xf numFmtId="0" fontId="0" fillId="0" borderId="4" xfId="0" applyBorder="1" applyProtection="1">
      <protection locked="0"/>
    </xf>
    <xf numFmtId="0" fontId="0" fillId="0" borderId="5" xfId="0" applyBorder="1" applyProtection="1">
      <protection locked="0"/>
    </xf>
    <xf numFmtId="0" fontId="3" fillId="0" borderId="0" xfId="0" applyFont="1" applyAlignment="1" applyProtection="1">
      <alignment horizontal="center" vertical="center"/>
      <protection locked="0"/>
    </xf>
    <xf numFmtId="0" fontId="4" fillId="0" borderId="0" xfId="0" applyFont="1" applyAlignment="1" applyProtection="1">
      <alignment vertical="center"/>
      <protection locked="0"/>
    </xf>
    <xf numFmtId="0" fontId="3" fillId="0" borderId="0" xfId="0" applyFont="1" applyAlignment="1" applyProtection="1">
      <alignment vertical="center"/>
      <protection locked="0"/>
    </xf>
    <xf numFmtId="0" fontId="5" fillId="4" borderId="0" xfId="0" applyFont="1" applyFill="1" applyAlignment="1" applyProtection="1">
      <alignment horizontal="center" vertical="center"/>
      <protection hidden="1"/>
    </xf>
    <xf numFmtId="0" fontId="0" fillId="0" borderId="0" xfId="0" applyProtection="1">
      <protection hidden="1"/>
    </xf>
    <xf numFmtId="0" fontId="6" fillId="0" borderId="0" xfId="0" applyFont="1" applyAlignment="1" applyProtection="1">
      <alignment horizontal="center" vertical="center"/>
      <protection locked="0"/>
    </xf>
    <xf numFmtId="0" fontId="7" fillId="0" borderId="0" xfId="0" applyFont="1" applyAlignment="1" applyProtection="1">
      <alignment horizontal="center" vertical="center"/>
      <protection locked="0"/>
    </xf>
    <xf numFmtId="0" fontId="8" fillId="0" borderId="0" xfId="0" applyFont="1" applyAlignment="1" applyProtection="1">
      <alignment vertical="center"/>
      <protection locked="0"/>
    </xf>
    <xf numFmtId="0" fontId="9" fillId="4" borderId="0" xfId="0" applyFont="1" applyFill="1" applyAlignment="1" applyProtection="1">
      <alignment vertical="center"/>
      <protection locked="0"/>
    </xf>
    <xf numFmtId="0" fontId="10" fillId="5" borderId="0" xfId="0" applyFont="1" applyFill="1" applyAlignment="1" applyProtection="1">
      <alignment horizontal="left" vertical="center"/>
      <protection locked="0"/>
    </xf>
    <xf numFmtId="0" fontId="11" fillId="4" borderId="0" xfId="0" applyFont="1" applyFill="1" applyAlignment="1" applyProtection="1">
      <alignment vertical="center"/>
      <protection locked="0"/>
    </xf>
    <xf numFmtId="0" fontId="9" fillId="4" borderId="0" xfId="0" applyFont="1" applyFill="1" applyAlignment="1" applyProtection="1">
      <alignment horizontal="right" vertical="center"/>
      <protection locked="0"/>
    </xf>
    <xf numFmtId="0" fontId="12" fillId="4" borderId="0" xfId="0" applyFont="1" applyFill="1" applyAlignment="1" applyProtection="1">
      <alignment horizontal="left" vertical="center" wrapText="1"/>
      <protection locked="0"/>
    </xf>
    <xf numFmtId="0" fontId="3" fillId="4" borderId="0" xfId="0" applyFont="1" applyFill="1" applyAlignment="1" applyProtection="1">
      <alignment vertical="center"/>
      <protection locked="0"/>
    </xf>
    <xf numFmtId="0" fontId="4" fillId="0" borderId="4" xfId="0" applyFont="1" applyBorder="1" applyAlignment="1" applyProtection="1">
      <alignment horizontal="center" vertical="center"/>
      <protection locked="0"/>
    </xf>
    <xf numFmtId="0" fontId="4" fillId="0" borderId="4" xfId="0" applyFont="1" applyBorder="1" applyAlignment="1" applyProtection="1">
      <alignment horizontal="left" vertical="center" wrapText="1"/>
      <protection hidden="1"/>
    </xf>
    <xf numFmtId="0" fontId="4" fillId="0" borderId="4" xfId="0" applyFont="1" applyBorder="1" applyAlignment="1" applyProtection="1">
      <alignment horizontal="center" vertical="center" wrapText="1"/>
      <protection locked="0"/>
    </xf>
    <xf numFmtId="49" fontId="4" fillId="0" borderId="4" xfId="0" applyNumberFormat="1" applyFont="1" applyBorder="1" applyAlignment="1" applyProtection="1">
      <alignment horizontal="center" vertical="center" wrapText="1"/>
      <protection hidden="1"/>
    </xf>
    <xf numFmtId="0" fontId="4" fillId="0" borderId="4" xfId="0" applyFont="1" applyBorder="1" applyAlignment="1" applyProtection="1">
      <alignment horizontal="right" vertical="center"/>
      <protection locked="0"/>
    </xf>
    <xf numFmtId="0" fontId="4" fillId="0" borderId="4" xfId="0" applyFont="1" applyBorder="1" applyAlignment="1" applyProtection="1">
      <alignment horizontal="left" vertical="center"/>
      <protection locked="0"/>
    </xf>
    <xf numFmtId="0" fontId="4" fillId="0" borderId="4" xfId="0" applyFont="1" applyBorder="1" applyAlignment="1" applyProtection="1">
      <alignment horizontal="center" vertical="center"/>
      <protection hidden="1"/>
    </xf>
    <xf numFmtId="0" fontId="4" fillId="0" borderId="0" xfId="0" applyFont="1" applyAlignment="1" applyProtection="1">
      <alignment horizontal="left" vertical="center"/>
      <protection locked="0"/>
    </xf>
    <xf numFmtId="0" fontId="4" fillId="0" borderId="0" xfId="0" applyFont="1" applyAlignment="1" applyProtection="1">
      <alignment horizontal="left" vertical="center" wrapText="1"/>
      <protection hidden="1"/>
    </xf>
    <xf numFmtId="0" fontId="4" fillId="0" borderId="0" xfId="0" applyFont="1" applyAlignment="1" applyProtection="1">
      <alignment horizontal="center" vertical="center"/>
      <protection hidden="1"/>
    </xf>
    <xf numFmtId="0" fontId="4" fillId="0" borderId="0" xfId="0" applyFont="1" applyAlignment="1" applyProtection="1">
      <alignment horizontal="right" vertical="center"/>
      <protection locked="0"/>
    </xf>
    <xf numFmtId="178" fontId="3" fillId="0" borderId="0" xfId="0" applyNumberFormat="1" applyFont="1" applyAlignment="1" applyProtection="1">
      <alignment vertical="center"/>
      <protection hidden="1"/>
    </xf>
    <xf numFmtId="0" fontId="12" fillId="4" borderId="0" xfId="0" applyFont="1" applyFill="1" applyAlignment="1" applyProtection="1">
      <alignment horizontal="left" vertical="center"/>
      <protection locked="0"/>
    </xf>
    <xf numFmtId="49" fontId="12" fillId="4" borderId="0" xfId="0" applyNumberFormat="1" applyFont="1" applyFill="1" applyAlignment="1" applyProtection="1">
      <alignment horizontal="center" vertical="center"/>
      <protection locked="0"/>
    </xf>
    <xf numFmtId="0" fontId="13" fillId="4" borderId="0" xfId="0" applyFont="1" applyFill="1" applyAlignment="1" applyProtection="1">
      <alignment vertical="center"/>
      <protection locked="0"/>
    </xf>
    <xf numFmtId="0" fontId="0" fillId="0" borderId="4" xfId="0" applyBorder="1" applyProtection="1">
      <protection hidden="1"/>
    </xf>
    <xf numFmtId="0" fontId="14" fillId="6" borderId="0" xfId="0" applyFont="1" applyFill="1" applyAlignment="1" applyProtection="1">
      <alignment horizontal="center" vertical="center"/>
      <protection locked="0"/>
    </xf>
    <xf numFmtId="0" fontId="15" fillId="6" borderId="0" xfId="0" applyFont="1" applyFill="1" applyAlignment="1" applyProtection="1">
      <alignment vertical="center"/>
      <protection locked="0"/>
    </xf>
    <xf numFmtId="0" fontId="16" fillId="6" borderId="0" xfId="0" applyFont="1" applyFill="1" applyAlignment="1" applyProtection="1">
      <alignment vertical="center"/>
      <protection locked="0"/>
    </xf>
    <xf numFmtId="0" fontId="14" fillId="6" borderId="6" xfId="0" applyFont="1" applyFill="1" applyBorder="1" applyAlignment="1" applyProtection="1">
      <alignment horizontal="center" vertical="center"/>
      <protection locked="0"/>
    </xf>
    <xf numFmtId="0" fontId="14" fillId="6" borderId="7" xfId="0" applyFont="1" applyFill="1" applyBorder="1" applyAlignment="1" applyProtection="1">
      <alignment horizontal="center" vertical="center"/>
      <protection locked="0"/>
    </xf>
    <xf numFmtId="0" fontId="14" fillId="6" borderId="8" xfId="0" applyFont="1" applyFill="1" applyBorder="1" applyAlignment="1" applyProtection="1">
      <alignment horizontal="center" vertical="center"/>
      <protection locked="0"/>
    </xf>
    <xf numFmtId="0" fontId="14" fillId="6" borderId="9" xfId="0" applyFont="1" applyFill="1" applyBorder="1" applyAlignment="1" applyProtection="1">
      <alignment horizontal="center" vertical="center"/>
      <protection locked="0"/>
    </xf>
    <xf numFmtId="0" fontId="0" fillId="0" borderId="10" xfId="0" applyBorder="1" applyProtection="1">
      <protection locked="0"/>
    </xf>
    <xf numFmtId="0" fontId="14" fillId="6" borderId="11" xfId="0" applyFont="1" applyFill="1" applyBorder="1" applyAlignment="1" applyProtection="1">
      <alignment horizontal="center" vertical="center"/>
      <protection locked="0"/>
    </xf>
    <xf numFmtId="0" fontId="14" fillId="6" borderId="12" xfId="0" applyFont="1" applyFill="1" applyBorder="1" applyAlignment="1" applyProtection="1">
      <alignment horizontal="center" vertical="center"/>
      <protection locked="0"/>
    </xf>
    <xf numFmtId="0" fontId="15" fillId="6" borderId="6" xfId="0" applyFont="1" applyFill="1" applyBorder="1" applyAlignment="1" applyProtection="1">
      <alignment horizontal="center" vertical="center"/>
      <protection locked="0"/>
    </xf>
    <xf numFmtId="0" fontId="0" fillId="0" borderId="13" xfId="0" applyBorder="1" applyProtection="1">
      <protection locked="0"/>
    </xf>
    <xf numFmtId="0" fontId="17" fillId="6" borderId="14" xfId="0" applyFont="1" applyFill="1" applyBorder="1" applyAlignment="1" applyProtection="1">
      <alignment horizontal="center" vertical="center" textRotation="255"/>
      <protection locked="0"/>
    </xf>
    <xf numFmtId="0" fontId="15" fillId="6" borderId="14" xfId="0" applyFont="1" applyFill="1" applyBorder="1" applyAlignment="1" applyProtection="1">
      <alignment horizontal="center" vertical="center"/>
      <protection locked="0"/>
    </xf>
    <xf numFmtId="0" fontId="15" fillId="6" borderId="15" xfId="0" applyFont="1" applyFill="1" applyBorder="1" applyAlignment="1" applyProtection="1">
      <alignment horizontal="center" vertical="center"/>
      <protection locked="0"/>
    </xf>
    <xf numFmtId="0" fontId="15" fillId="6" borderId="10" xfId="0" applyFont="1" applyFill="1" applyBorder="1" applyAlignment="1" applyProtection="1">
      <alignment horizontal="center" vertical="center" wrapText="1"/>
      <protection locked="0"/>
    </xf>
    <xf numFmtId="0" fontId="15" fillId="6" borderId="16" xfId="0" applyFont="1" applyFill="1" applyBorder="1" applyAlignment="1" applyProtection="1">
      <alignment horizontal="center" vertical="center"/>
      <protection locked="0"/>
    </xf>
    <xf numFmtId="0" fontId="15" fillId="6" borderId="17" xfId="0" applyFont="1" applyFill="1" applyBorder="1" applyAlignment="1" applyProtection="1">
      <alignment horizontal="center" vertical="center"/>
      <protection locked="0"/>
    </xf>
    <xf numFmtId="0" fontId="0" fillId="0" borderId="18" xfId="0" applyBorder="1" applyProtection="1">
      <protection locked="0"/>
    </xf>
    <xf numFmtId="0" fontId="0" fillId="0" borderId="19" xfId="0" applyBorder="1" applyProtection="1">
      <protection locked="0"/>
    </xf>
    <xf numFmtId="0" fontId="15" fillId="6" borderId="20" xfId="0" applyFont="1" applyFill="1" applyBorder="1" applyAlignment="1" applyProtection="1">
      <alignment horizontal="center" vertical="center" textRotation="255"/>
      <protection locked="0"/>
    </xf>
    <xf numFmtId="0" fontId="15" fillId="6" borderId="20" xfId="0" applyFont="1" applyFill="1" applyBorder="1" applyAlignment="1" applyProtection="1">
      <alignment horizontal="center" vertical="center"/>
      <protection locked="0"/>
    </xf>
    <xf numFmtId="0" fontId="15" fillId="6" borderId="21" xfId="0" applyFont="1" applyFill="1" applyBorder="1" applyAlignment="1" applyProtection="1">
      <alignment horizontal="center" vertical="center"/>
      <protection locked="0"/>
    </xf>
    <xf numFmtId="0" fontId="14" fillId="6" borderId="22" xfId="0" applyFont="1" applyFill="1" applyBorder="1" applyAlignment="1" applyProtection="1">
      <alignment horizontal="center" vertical="center"/>
      <protection locked="0"/>
    </xf>
    <xf numFmtId="0" fontId="14" fillId="6" borderId="23" xfId="0" applyFont="1" applyFill="1" applyBorder="1" applyAlignment="1" applyProtection="1">
      <alignment horizontal="center" vertical="center"/>
      <protection locked="0"/>
    </xf>
    <xf numFmtId="0" fontId="0" fillId="0" borderId="24" xfId="0" applyBorder="1" applyProtection="1">
      <protection locked="0"/>
    </xf>
    <xf numFmtId="0" fontId="0" fillId="0" borderId="25" xfId="0" applyBorder="1" applyProtection="1">
      <protection locked="0"/>
    </xf>
    <xf numFmtId="0" fontId="0" fillId="0" borderId="26" xfId="0" applyBorder="1" applyProtection="1">
      <protection locked="0"/>
    </xf>
    <xf numFmtId="0" fontId="14" fillId="6" borderId="27" xfId="0" applyFont="1" applyFill="1" applyBorder="1" applyAlignment="1" applyProtection="1">
      <alignment horizontal="center" vertical="center"/>
      <protection locked="0"/>
    </xf>
    <xf numFmtId="0" fontId="14" fillId="6" borderId="28" xfId="0" applyFont="1" applyFill="1" applyBorder="1" applyAlignment="1" applyProtection="1">
      <alignment horizontal="center" vertical="center"/>
      <protection locked="0"/>
    </xf>
    <xf numFmtId="0" fontId="0" fillId="0" borderId="29" xfId="0" applyBorder="1" applyProtection="1">
      <protection locked="0"/>
    </xf>
    <xf numFmtId="0" fontId="0" fillId="0" borderId="30" xfId="0" applyBorder="1" applyProtection="1">
      <protection locked="0"/>
    </xf>
    <xf numFmtId="0" fontId="0" fillId="0" borderId="31" xfId="0" applyBorder="1" applyProtection="1">
      <protection locked="0"/>
    </xf>
    <xf numFmtId="0" fontId="0" fillId="0" borderId="32" xfId="0" applyBorder="1" applyProtection="1">
      <protection locked="0"/>
    </xf>
    <xf numFmtId="0" fontId="0" fillId="0" borderId="33" xfId="0" applyBorder="1" applyProtection="1">
      <protection locked="0"/>
    </xf>
    <xf numFmtId="0" fontId="0" fillId="0" borderId="34" xfId="0" applyBorder="1" applyProtection="1">
      <protection locked="0"/>
    </xf>
    <xf numFmtId="0" fontId="0" fillId="0" borderId="35" xfId="0" applyBorder="1" applyProtection="1">
      <protection locked="0"/>
    </xf>
    <xf numFmtId="0" fontId="0" fillId="0" borderId="36" xfId="0" applyBorder="1" applyProtection="1">
      <protection locked="0"/>
    </xf>
    <xf numFmtId="0" fontId="0" fillId="0" borderId="37" xfId="0" applyBorder="1" applyProtection="1">
      <protection locked="0"/>
    </xf>
    <xf numFmtId="0" fontId="0" fillId="0" borderId="38" xfId="0" applyBorder="1" applyProtection="1">
      <protection locked="0"/>
    </xf>
    <xf numFmtId="0" fontId="16" fillId="7" borderId="0" xfId="0" applyFont="1" applyFill="1" applyAlignment="1" applyProtection="1">
      <alignment horizontal="center" vertical="center"/>
      <protection locked="0"/>
    </xf>
    <xf numFmtId="0" fontId="14" fillId="7" borderId="0" xfId="6" applyFont="1" applyFill="1" applyAlignment="1" applyProtection="1">
      <alignment vertical="center"/>
      <protection locked="0"/>
    </xf>
    <xf numFmtId="0" fontId="18" fillId="8" borderId="0" xfId="6" applyFill="1" applyAlignment="1" applyProtection="1">
      <alignment vertical="center"/>
      <protection locked="0"/>
    </xf>
    <xf numFmtId="0" fontId="19" fillId="0" borderId="39" xfId="0" applyFont="1" applyBorder="1" applyAlignment="1" applyProtection="1">
      <alignment vertical="center"/>
      <protection locked="0"/>
    </xf>
    <xf numFmtId="0" fontId="19" fillId="0" borderId="40" xfId="0" applyFont="1" applyBorder="1" applyAlignment="1" applyProtection="1">
      <alignment vertical="center"/>
      <protection locked="0"/>
    </xf>
    <xf numFmtId="0" fontId="19" fillId="0" borderId="0" xfId="0" applyFont="1" applyAlignment="1" applyProtection="1">
      <alignment vertical="center"/>
      <protection locked="0"/>
    </xf>
    <xf numFmtId="0" fontId="20" fillId="0" borderId="24" xfId="0" applyFont="1" applyBorder="1" applyAlignment="1" applyProtection="1">
      <alignment horizontal="center" vertical="center"/>
      <protection locked="0"/>
    </xf>
    <xf numFmtId="0" fontId="21" fillId="0" borderId="41" xfId="0" applyFont="1" applyBorder="1" applyAlignment="1" applyProtection="1">
      <alignment vertical="center"/>
      <protection locked="0"/>
    </xf>
    <xf numFmtId="179" fontId="3" fillId="0" borderId="42" xfId="0" applyNumberFormat="1" applyFont="1" applyBorder="1" applyAlignment="1" applyProtection="1">
      <alignment vertical="center"/>
      <protection locked="0"/>
    </xf>
    <xf numFmtId="179" fontId="3" fillId="0" borderId="43" xfId="0" applyNumberFormat="1" applyFont="1" applyBorder="1" applyAlignment="1" applyProtection="1">
      <alignment vertical="center"/>
      <protection hidden="1"/>
    </xf>
    <xf numFmtId="179" fontId="3" fillId="0" borderId="34" xfId="0" applyNumberFormat="1" applyFont="1" applyBorder="1" applyAlignment="1" applyProtection="1">
      <alignment vertical="center"/>
      <protection hidden="1"/>
    </xf>
    <xf numFmtId="0" fontId="4" fillId="0" borderId="25" xfId="0" applyFont="1" applyBorder="1" applyAlignment="1" applyProtection="1">
      <alignment horizontal="center" vertical="center"/>
      <protection locked="0"/>
    </xf>
    <xf numFmtId="179" fontId="3" fillId="0" borderId="36" xfId="0" applyNumberFormat="1" applyFont="1" applyBorder="1" applyAlignment="1" applyProtection="1">
      <alignment vertical="center"/>
      <protection hidden="1"/>
    </xf>
    <xf numFmtId="0" fontId="15" fillId="7" borderId="44" xfId="0" applyFont="1" applyFill="1" applyBorder="1" applyAlignment="1" applyProtection="1">
      <alignment horizontal="left" vertical="center" shrinkToFit="1"/>
      <protection locked="0"/>
    </xf>
    <xf numFmtId="0" fontId="0" fillId="0" borderId="45" xfId="0" applyBorder="1" applyProtection="1">
      <protection locked="0"/>
    </xf>
    <xf numFmtId="0" fontId="22" fillId="0" borderId="46" xfId="0" applyFont="1" applyBorder="1" applyAlignment="1" applyProtection="1">
      <alignment horizontal="center" vertical="center"/>
      <protection locked="0"/>
    </xf>
    <xf numFmtId="179" fontId="22" fillId="0" borderId="46" xfId="0" applyNumberFormat="1" applyFont="1" applyBorder="1" applyAlignment="1" applyProtection="1">
      <alignment vertical="center"/>
      <protection locked="0"/>
    </xf>
    <xf numFmtId="179" fontId="22" fillId="0" borderId="47" xfId="0" applyNumberFormat="1" applyFont="1" applyBorder="1" applyAlignment="1" applyProtection="1">
      <alignment vertical="center"/>
      <protection locked="0"/>
    </xf>
    <xf numFmtId="0" fontId="15" fillId="7" borderId="45" xfId="0" applyFont="1" applyFill="1" applyBorder="1" applyAlignment="1" applyProtection="1">
      <alignment horizontal="left" vertical="center" shrinkToFit="1"/>
      <protection locked="0"/>
    </xf>
    <xf numFmtId="179" fontId="22" fillId="0" borderId="48" xfId="0" applyNumberFormat="1" applyFont="1" applyBorder="1" applyAlignment="1" applyProtection="1">
      <alignment vertical="center"/>
      <protection locked="0"/>
    </xf>
    <xf numFmtId="0" fontId="15" fillId="7" borderId="49" xfId="0" applyFont="1" applyFill="1" applyBorder="1" applyAlignment="1" applyProtection="1">
      <alignment horizontal="left" vertical="center"/>
      <protection locked="0"/>
    </xf>
    <xf numFmtId="0" fontId="0" fillId="0" borderId="50" xfId="0" applyBorder="1" applyProtection="1">
      <protection locked="0"/>
    </xf>
    <xf numFmtId="0" fontId="4" fillId="0" borderId="46" xfId="0" applyFont="1" applyBorder="1" applyAlignment="1" applyProtection="1">
      <alignment horizontal="center" vertical="center"/>
      <protection locked="0"/>
    </xf>
    <xf numFmtId="179" fontId="3" fillId="0" borderId="46" xfId="0" applyNumberFormat="1" applyFont="1" applyBorder="1" applyAlignment="1" applyProtection="1">
      <alignment vertical="center"/>
      <protection hidden="1"/>
    </xf>
    <xf numFmtId="179" fontId="3" fillId="0" borderId="51" xfId="0" applyNumberFormat="1" applyFont="1" applyBorder="1" applyAlignment="1" applyProtection="1">
      <alignment vertical="center"/>
      <protection locked="0"/>
    </xf>
    <xf numFmtId="0" fontId="19" fillId="0" borderId="52" xfId="0" applyFont="1" applyBorder="1" applyAlignment="1" applyProtection="1">
      <alignment vertical="center"/>
      <protection locked="0"/>
    </xf>
    <xf numFmtId="0" fontId="19" fillId="0" borderId="53" xfId="0" applyFont="1" applyBorder="1" applyAlignment="1" applyProtection="1">
      <alignment vertical="center"/>
      <protection locked="0"/>
    </xf>
    <xf numFmtId="0" fontId="20" fillId="0" borderId="44" xfId="0" applyFont="1" applyBorder="1" applyAlignment="1" applyProtection="1">
      <alignment horizontal="center" vertical="center"/>
      <protection locked="0"/>
    </xf>
    <xf numFmtId="179" fontId="3" fillId="0" borderId="54" xfId="0" applyNumberFormat="1" applyFont="1" applyBorder="1" applyAlignment="1" applyProtection="1">
      <alignment vertical="center"/>
      <protection hidden="1"/>
    </xf>
    <xf numFmtId="179" fontId="3" fillId="0" borderId="47" xfId="0" applyNumberFormat="1" applyFont="1" applyBorder="1" applyAlignment="1" applyProtection="1">
      <alignment vertical="center"/>
      <protection hidden="1"/>
    </xf>
    <xf numFmtId="179" fontId="19" fillId="0" borderId="46" xfId="0" applyNumberFormat="1" applyFont="1" applyBorder="1" applyAlignment="1" applyProtection="1">
      <alignment vertical="center"/>
      <protection locked="0"/>
    </xf>
    <xf numFmtId="179" fontId="19" fillId="0" borderId="47" xfId="0" applyNumberFormat="1" applyFont="1" applyBorder="1" applyAlignment="1" applyProtection="1">
      <alignment vertical="center"/>
      <protection hidden="1"/>
    </xf>
    <xf numFmtId="179" fontId="19" fillId="0" borderId="48" xfId="0" applyNumberFormat="1" applyFont="1" applyBorder="1" applyAlignment="1" applyProtection="1">
      <alignment vertical="center"/>
      <protection hidden="1"/>
    </xf>
    <xf numFmtId="179" fontId="3" fillId="0" borderId="51" xfId="0" applyNumberFormat="1" applyFont="1" applyBorder="1" applyAlignment="1" applyProtection="1">
      <alignment vertical="center"/>
      <protection hidden="1"/>
    </xf>
    <xf numFmtId="179" fontId="19" fillId="0" borderId="48" xfId="0" applyNumberFormat="1" applyFont="1" applyBorder="1" applyAlignment="1" applyProtection="1">
      <alignment vertical="center"/>
      <protection locked="0"/>
    </xf>
    <xf numFmtId="179" fontId="19" fillId="0" borderId="47" xfId="0" applyNumberFormat="1" applyFont="1" applyBorder="1" applyAlignment="1" applyProtection="1">
      <alignment vertical="center"/>
      <protection locked="0"/>
    </xf>
    <xf numFmtId="179" fontId="3" fillId="0" borderId="46" xfId="0" applyNumberFormat="1" applyFont="1" applyBorder="1" applyAlignment="1" applyProtection="1">
      <alignment vertical="center"/>
      <protection locked="0"/>
    </xf>
    <xf numFmtId="179" fontId="19" fillId="0" borderId="46" xfId="0" applyNumberFormat="1" applyFont="1" applyBorder="1" applyAlignment="1" applyProtection="1">
      <alignment vertical="center"/>
      <protection hidden="1"/>
    </xf>
    <xf numFmtId="0" fontId="15" fillId="7" borderId="55" xfId="0" applyFont="1" applyFill="1" applyBorder="1" applyAlignment="1" applyProtection="1">
      <alignment horizontal="left" vertical="center"/>
      <protection locked="0"/>
    </xf>
    <xf numFmtId="0" fontId="0" fillId="0" borderId="56" xfId="0" applyBorder="1" applyProtection="1">
      <protection locked="0"/>
    </xf>
    <xf numFmtId="0" fontId="0" fillId="0" borderId="57" xfId="0" applyBorder="1" applyProtection="1">
      <protection locked="0"/>
    </xf>
    <xf numFmtId="0" fontId="4" fillId="0" borderId="58" xfId="0" applyFont="1" applyBorder="1" applyAlignment="1" applyProtection="1">
      <alignment horizontal="center" vertical="center"/>
      <protection locked="0"/>
    </xf>
    <xf numFmtId="179" fontId="3" fillId="0" borderId="58" xfId="0" applyNumberFormat="1" applyFont="1" applyBorder="1" applyAlignment="1" applyProtection="1">
      <alignment vertical="center"/>
      <protection hidden="1"/>
    </xf>
    <xf numFmtId="179" fontId="3" fillId="0" borderId="59" xfId="0" applyNumberFormat="1" applyFont="1" applyBorder="1" applyAlignment="1" applyProtection="1">
      <alignment vertical="center"/>
      <protection hidden="1"/>
    </xf>
    <xf numFmtId="0" fontId="23" fillId="0" borderId="0" xfId="0" applyFont="1" applyAlignment="1" applyProtection="1">
      <alignment horizontal="center" vertical="center"/>
      <protection locked="0"/>
    </xf>
    <xf numFmtId="0" fontId="4" fillId="0" borderId="6" xfId="0" applyFont="1" applyBorder="1" applyAlignment="1" applyProtection="1">
      <alignment horizontal="center" vertical="center"/>
      <protection locked="0"/>
    </xf>
    <xf numFmtId="0" fontId="0" fillId="0" borderId="60" xfId="0" applyBorder="1" applyProtection="1">
      <protection locked="0"/>
    </xf>
    <xf numFmtId="0" fontId="4" fillId="0" borderId="14" xfId="0"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0" fontId="15" fillId="7" borderId="44" xfId="0" applyFont="1" applyFill="1" applyBorder="1" applyAlignment="1" applyProtection="1">
      <alignment horizontal="left" vertical="center"/>
      <protection locked="0"/>
    </xf>
    <xf numFmtId="179" fontId="3" fillId="0" borderId="48" xfId="0" applyNumberFormat="1" applyFont="1" applyBorder="1" applyAlignment="1" applyProtection="1">
      <alignment vertical="center"/>
      <protection locked="0"/>
    </xf>
    <xf numFmtId="0" fontId="15" fillId="7" borderId="61" xfId="0" applyFont="1" applyFill="1" applyBorder="1" applyAlignment="1" applyProtection="1">
      <alignment horizontal="left" vertical="center"/>
      <protection locked="0"/>
    </xf>
    <xf numFmtId="0" fontId="0" fillId="0" borderId="62" xfId="0" applyBorder="1" applyProtection="1">
      <protection locked="0"/>
    </xf>
    <xf numFmtId="0" fontId="0" fillId="0" borderId="63" xfId="0" applyBorder="1" applyProtection="1">
      <protection locked="0"/>
    </xf>
    <xf numFmtId="179" fontId="3" fillId="0" borderId="64" xfId="0" applyNumberFormat="1" applyFont="1" applyBorder="1" applyAlignment="1" applyProtection="1">
      <alignment vertical="center"/>
      <protection locked="0"/>
    </xf>
    <xf numFmtId="179" fontId="3" fillId="0" borderId="65" xfId="0" applyNumberFormat="1" applyFont="1" applyBorder="1" applyAlignment="1" applyProtection="1">
      <alignment vertical="center"/>
      <protection locked="0"/>
    </xf>
    <xf numFmtId="0" fontId="4" fillId="9" borderId="0" xfId="0" applyFont="1" applyFill="1" applyAlignment="1" applyProtection="1">
      <alignment vertical="center"/>
      <protection locked="0"/>
    </xf>
    <xf numFmtId="0" fontId="24" fillId="0" borderId="0" xfId="0" applyAlignment="1" applyProtection="1">
      <alignment horizontal="center" vertical="center"/>
      <protection locked="0"/>
    </xf>
    <xf numFmtId="0" fontId="4" fillId="10" borderId="6" xfId="0" applyFont="1" applyFill="1" applyBorder="1" applyAlignment="1" applyProtection="1">
      <alignment horizontal="center" vertical="center"/>
      <protection locked="0"/>
    </xf>
    <xf numFmtId="0" fontId="4" fillId="10" borderId="14" xfId="0" applyFont="1" applyFill="1" applyBorder="1" applyAlignment="1" applyProtection="1">
      <alignment horizontal="center" vertical="center" textRotation="255"/>
      <protection locked="0"/>
    </xf>
    <xf numFmtId="0" fontId="4" fillId="10" borderId="14" xfId="0" applyFont="1" applyFill="1" applyBorder="1" applyAlignment="1" applyProtection="1">
      <alignment horizontal="center" vertical="center"/>
      <protection locked="0"/>
    </xf>
    <xf numFmtId="0" fontId="4" fillId="10" borderId="16" xfId="0" applyFont="1" applyFill="1" applyBorder="1" applyAlignment="1" applyProtection="1">
      <alignment horizontal="center" vertical="center"/>
      <protection locked="0"/>
    </xf>
    <xf numFmtId="0" fontId="4" fillId="7" borderId="44" xfId="0" applyFont="1" applyFill="1" applyBorder="1" applyAlignment="1" applyProtection="1">
      <alignment horizontal="left" vertical="center"/>
      <protection locked="0"/>
    </xf>
    <xf numFmtId="0" fontId="4" fillId="10" borderId="46" xfId="0" applyFont="1" applyFill="1" applyBorder="1" applyAlignment="1" applyProtection="1">
      <alignment horizontal="center" vertical="center"/>
      <protection locked="0"/>
    </xf>
    <xf numFmtId="179" fontId="4" fillId="10" borderId="46" xfId="0" applyNumberFormat="1" applyFont="1" applyFill="1" applyBorder="1" applyAlignment="1" applyProtection="1">
      <alignment vertical="center"/>
      <protection locked="0"/>
    </xf>
    <xf numFmtId="179" fontId="3" fillId="10" borderId="48" xfId="0" applyNumberFormat="1" applyFont="1" applyFill="1" applyBorder="1" applyAlignment="1" applyProtection="1">
      <alignment vertical="center"/>
      <protection locked="0"/>
    </xf>
    <xf numFmtId="0" fontId="3" fillId="8" borderId="0" xfId="0" applyFont="1" applyFill="1" applyAlignment="1" applyProtection="1">
      <alignment vertical="center"/>
      <protection locked="0"/>
    </xf>
    <xf numFmtId="0" fontId="15" fillId="7" borderId="61" xfId="0" applyFont="1" applyFill="1" applyBorder="1" applyAlignment="1" applyProtection="1">
      <alignment horizontal="center" vertical="center" wrapText="1"/>
      <protection locked="0"/>
    </xf>
    <xf numFmtId="0" fontId="22" fillId="0" borderId="64" xfId="0" applyFont="1" applyBorder="1" applyAlignment="1" applyProtection="1">
      <alignment horizontal="center" vertical="center"/>
      <protection locked="0"/>
    </xf>
    <xf numFmtId="179" fontId="19" fillId="0" borderId="64" xfId="0" applyNumberFormat="1" applyFont="1" applyBorder="1" applyAlignment="1" applyProtection="1">
      <alignment vertical="center"/>
      <protection hidden="1"/>
    </xf>
    <xf numFmtId="179" fontId="19" fillId="0" borderId="66" xfId="0" applyNumberFormat="1" applyFont="1" applyBorder="1" applyAlignment="1" applyProtection="1">
      <alignment vertical="center"/>
      <protection hidden="1"/>
    </xf>
    <xf numFmtId="0" fontId="15" fillId="7" borderId="63" xfId="0" applyFont="1" applyFill="1" applyBorder="1" applyAlignment="1" applyProtection="1">
      <alignment horizontal="center" vertical="center" shrinkToFit="1"/>
      <protection locked="0"/>
    </xf>
    <xf numFmtId="179" fontId="19" fillId="0" borderId="65" xfId="0" applyNumberFormat="1" applyFont="1" applyBorder="1" applyAlignment="1" applyProtection="1">
      <alignment vertical="center"/>
      <protection hidden="1"/>
    </xf>
    <xf numFmtId="0" fontId="4" fillId="10" borderId="67" xfId="0" applyFont="1" applyFill="1" applyBorder="1" applyAlignment="1" applyProtection="1">
      <alignment horizontal="left" vertical="center"/>
      <protection locked="0"/>
    </xf>
    <xf numFmtId="0" fontId="0" fillId="0" borderId="68" xfId="0" applyBorder="1" applyProtection="1">
      <protection locked="0"/>
    </xf>
    <xf numFmtId="0" fontId="0" fillId="0" borderId="69" xfId="0" applyBorder="1" applyProtection="1">
      <protection locked="0"/>
    </xf>
    <xf numFmtId="0" fontId="22" fillId="0" borderId="0" xfId="0" applyFont="1" applyAlignment="1" applyProtection="1">
      <alignment horizontal="center" vertical="center"/>
      <protection locked="0"/>
    </xf>
    <xf numFmtId="179" fontId="3" fillId="10" borderId="46" xfId="0" applyNumberFormat="1" applyFont="1" applyFill="1" applyBorder="1" applyAlignment="1" applyProtection="1">
      <alignment vertical="center"/>
      <protection locked="0"/>
    </xf>
    <xf numFmtId="0" fontId="4" fillId="7" borderId="67" xfId="0" applyFont="1" applyFill="1" applyBorder="1" applyAlignment="1" applyProtection="1">
      <alignment horizontal="left" vertical="center"/>
      <protection locked="0"/>
    </xf>
    <xf numFmtId="179" fontId="4" fillId="10" borderId="46" xfId="0" applyNumberFormat="1" applyFont="1" applyFill="1" applyBorder="1" applyAlignment="1" applyProtection="1">
      <alignment vertical="center"/>
      <protection hidden="1"/>
    </xf>
    <xf numFmtId="179" fontId="3" fillId="10" borderId="48" xfId="0" applyNumberFormat="1" applyFont="1" applyFill="1" applyBorder="1" applyAlignment="1" applyProtection="1">
      <alignment vertical="center"/>
      <protection hidden="1"/>
    </xf>
    <xf numFmtId="0" fontId="25" fillId="11" borderId="0" xfId="0" applyFont="1" applyFill="1" applyAlignment="1" applyProtection="1">
      <alignment horizontal="left" vertical="center"/>
      <protection hidden="1"/>
    </xf>
    <xf numFmtId="0" fontId="4" fillId="7" borderId="61" xfId="0" applyFont="1" applyFill="1" applyBorder="1" applyAlignment="1" applyProtection="1">
      <alignment horizontal="left" vertical="center"/>
      <protection locked="0"/>
    </xf>
    <xf numFmtId="0" fontId="4" fillId="10" borderId="64" xfId="0" applyFont="1" applyFill="1" applyBorder="1" applyAlignment="1" applyProtection="1">
      <alignment horizontal="center" vertical="center"/>
      <protection locked="0"/>
    </xf>
    <xf numFmtId="179" fontId="4" fillId="10" borderId="64" xfId="0" applyNumberFormat="1" applyFont="1" applyFill="1" applyBorder="1" applyAlignment="1" applyProtection="1">
      <alignment vertical="center"/>
      <protection hidden="1"/>
    </xf>
    <xf numFmtId="179" fontId="3" fillId="10" borderId="65" xfId="0" applyNumberFormat="1" applyFont="1" applyFill="1" applyBorder="1" applyAlignment="1" applyProtection="1">
      <alignment vertical="center"/>
      <protection hidden="1"/>
    </xf>
    <xf numFmtId="0" fontId="14" fillId="7" borderId="0" xfId="0" applyFont="1" applyFill="1" applyAlignment="1" applyProtection="1">
      <alignment vertical="center"/>
      <protection locked="0"/>
    </xf>
    <xf numFmtId="0" fontId="25" fillId="0" borderId="61" xfId="0" applyFont="1" applyBorder="1" applyAlignment="1" applyProtection="1">
      <alignment horizontal="center" vertical="center"/>
      <protection locked="0"/>
    </xf>
    <xf numFmtId="179" fontId="26" fillId="0" borderId="70" xfId="0" applyNumberFormat="1" applyFont="1" applyBorder="1" applyAlignment="1" applyProtection="1">
      <alignment vertical="center"/>
      <protection hidden="1"/>
    </xf>
    <xf numFmtId="179" fontId="26" fillId="0" borderId="71" xfId="0" applyNumberFormat="1" applyFont="1" applyBorder="1" applyAlignment="1" applyProtection="1">
      <alignment vertical="center"/>
      <protection hidden="1"/>
    </xf>
    <xf numFmtId="179" fontId="26" fillId="0" borderId="66" xfId="0" applyNumberFormat="1" applyFont="1" applyBorder="1" applyAlignment="1" applyProtection="1">
      <alignment vertical="center"/>
      <protection hidden="1"/>
    </xf>
    <xf numFmtId="0" fontId="26" fillId="0" borderId="72" xfId="0" applyFont="1" applyBorder="1" applyAlignment="1" applyProtection="1">
      <alignment vertical="center"/>
      <protection locked="0"/>
    </xf>
    <xf numFmtId="179" fontId="26" fillId="0" borderId="65" xfId="0" applyNumberFormat="1" applyFont="1" applyBorder="1" applyAlignment="1" applyProtection="1">
      <alignment vertical="center"/>
      <protection locked="0"/>
    </xf>
    <xf numFmtId="0" fontId="14" fillId="7" borderId="0" xfId="0" applyFont="1" applyFill="1" applyAlignment="1" applyProtection="1">
      <alignment horizontal="right" vertical="center"/>
      <protection locked="0"/>
    </xf>
    <xf numFmtId="0" fontId="25" fillId="11" borderId="0" xfId="0" applyFont="1" applyFill="1" applyAlignment="1" applyProtection="1">
      <alignment vertical="center"/>
      <protection locked="0"/>
    </xf>
    <xf numFmtId="0" fontId="4" fillId="11" borderId="0" xfId="0" applyFont="1" applyFill="1" applyAlignment="1" applyProtection="1">
      <alignment vertical="center"/>
      <protection locked="0"/>
    </xf>
    <xf numFmtId="0" fontId="15" fillId="7" borderId="0" xfId="0" applyFont="1" applyFill="1" applyAlignment="1" applyProtection="1">
      <alignment vertical="center"/>
      <protection locked="0"/>
    </xf>
    <xf numFmtId="0" fontId="19" fillId="0" borderId="73" xfId="0" applyFont="1" applyBorder="1" applyAlignment="1" applyProtection="1">
      <alignment vertical="center"/>
      <protection locked="0"/>
    </xf>
    <xf numFmtId="0" fontId="19" fillId="0" borderId="74" xfId="0" applyFont="1" applyBorder="1" applyAlignment="1" applyProtection="1">
      <alignment vertical="center"/>
      <protection locked="0"/>
    </xf>
    <xf numFmtId="0" fontId="27" fillId="8" borderId="22" xfId="0" applyFont="1" applyFill="1" applyBorder="1" applyAlignment="1" applyProtection="1">
      <alignment vertical="center"/>
      <protection hidden="1"/>
    </xf>
    <xf numFmtId="0" fontId="27" fillId="8" borderId="23" xfId="0" applyFont="1" applyFill="1" applyBorder="1" applyAlignment="1" applyProtection="1">
      <alignment vertical="center"/>
      <protection hidden="1"/>
    </xf>
    <xf numFmtId="0" fontId="25" fillId="12" borderId="75" xfId="0" applyFont="1" applyFill="1" applyBorder="1" applyAlignment="1" applyProtection="1">
      <alignment vertical="center"/>
      <protection locked="0"/>
    </xf>
    <xf numFmtId="0" fontId="27" fillId="8" borderId="76" xfId="0" applyFont="1" applyFill="1" applyBorder="1" applyAlignment="1" applyProtection="1">
      <alignment vertical="center"/>
      <protection hidden="1"/>
    </xf>
    <xf numFmtId="0" fontId="25" fillId="12" borderId="77" xfId="0" applyFont="1" applyFill="1" applyBorder="1" applyAlignment="1" applyProtection="1">
      <alignment vertical="center"/>
      <protection locked="0"/>
    </xf>
    <xf numFmtId="0" fontId="27" fillId="8" borderId="78" xfId="0" applyFont="1" applyFill="1" applyBorder="1" applyAlignment="1" applyProtection="1">
      <alignment vertical="center"/>
      <protection hidden="1"/>
    </xf>
    <xf numFmtId="0" fontId="0" fillId="0" borderId="0" xfId="0" applyAlignment="1" applyProtection="1">
      <alignment vertical="center"/>
      <protection locked="0"/>
    </xf>
    <xf numFmtId="0" fontId="0" fillId="0" borderId="0" xfId="0" applyAlignment="1" applyProtection="1">
      <alignment horizontal="center" vertical="center"/>
      <protection locked="0"/>
    </xf>
    <xf numFmtId="0" fontId="28" fillId="0" borderId="0" xfId="0" applyFont="1" applyAlignment="1" applyProtection="1">
      <alignment horizontal="center" vertical="center"/>
      <protection locked="0"/>
    </xf>
    <xf numFmtId="0" fontId="29" fillId="0" borderId="0" xfId="0" applyFont="1" applyAlignment="1" applyProtection="1">
      <alignment horizontal="left" vertical="center"/>
      <protection hidden="1"/>
    </xf>
    <xf numFmtId="0" fontId="29" fillId="0" borderId="79" xfId="0" applyFont="1" applyBorder="1" applyAlignment="1" applyProtection="1">
      <alignment horizontal="left" vertical="center" indent="4"/>
      <protection hidden="1"/>
    </xf>
    <xf numFmtId="0" fontId="0" fillId="0" borderId="79" xfId="0" applyBorder="1" applyProtection="1">
      <protection hidden="1"/>
    </xf>
    <xf numFmtId="0" fontId="29" fillId="0" borderId="0" xfId="0" applyFont="1" applyAlignment="1" applyProtection="1">
      <alignment horizontal="right" vertical="center"/>
      <protection locked="0"/>
    </xf>
    <xf numFmtId="0" fontId="30" fillId="5" borderId="80" xfId="0" applyFont="1" applyFill="1" applyBorder="1" applyAlignment="1" applyProtection="1">
      <alignment horizontal="center" vertical="center"/>
      <protection locked="0"/>
    </xf>
    <xf numFmtId="0" fontId="30" fillId="5" borderId="81" xfId="0" applyFont="1" applyFill="1" applyBorder="1" applyAlignment="1" applyProtection="1">
      <alignment horizontal="center" vertical="center"/>
      <protection locked="0"/>
    </xf>
    <xf numFmtId="0" fontId="30" fillId="5" borderId="82" xfId="0" applyFont="1" applyFill="1" applyBorder="1" applyAlignment="1" applyProtection="1">
      <alignment horizontal="center" vertical="center"/>
      <protection locked="0"/>
    </xf>
    <xf numFmtId="0" fontId="30" fillId="10" borderId="83" xfId="0" applyFont="1" applyFill="1" applyBorder="1" applyAlignment="1" applyProtection="1">
      <alignment vertical="center" shrinkToFit="1"/>
      <protection locked="0"/>
    </xf>
    <xf numFmtId="0" fontId="31" fillId="10" borderId="84" xfId="0" applyFont="1" applyFill="1" applyBorder="1" applyAlignment="1" applyProtection="1">
      <alignment horizontal="center" vertical="center"/>
      <protection locked="0"/>
    </xf>
    <xf numFmtId="180" fontId="32" fillId="10" borderId="84" xfId="0" applyNumberFormat="1" applyFont="1" applyFill="1" applyBorder="1" applyAlignment="1" applyProtection="1">
      <alignment vertical="center"/>
      <protection locked="0"/>
    </xf>
    <xf numFmtId="0" fontId="30" fillId="10" borderId="84" xfId="0" applyFont="1" applyFill="1" applyBorder="1" applyAlignment="1" applyProtection="1">
      <alignment vertical="center" shrinkToFit="1"/>
      <protection locked="0"/>
    </xf>
    <xf numFmtId="180" fontId="32" fillId="10" borderId="85" xfId="0" applyNumberFormat="1" applyFont="1" applyFill="1" applyBorder="1" applyAlignment="1" applyProtection="1">
      <alignment vertical="center"/>
      <protection locked="0"/>
    </xf>
    <xf numFmtId="0" fontId="31" fillId="10" borderId="83" xfId="0" applyFont="1" applyFill="1" applyBorder="1" applyAlignment="1" applyProtection="1">
      <alignment horizontal="left" vertical="center" indent="1" shrinkToFit="1"/>
      <protection locked="0"/>
    </xf>
    <xf numFmtId="180" fontId="32" fillId="10" borderId="84" xfId="0" applyNumberFormat="1" applyFont="1" applyFill="1" applyBorder="1" applyAlignment="1" applyProtection="1">
      <alignment vertical="center"/>
      <protection hidden="1"/>
    </xf>
    <xf numFmtId="180" fontId="32" fillId="10" borderId="85" xfId="0" applyNumberFormat="1" applyFont="1" applyFill="1" applyBorder="1" applyAlignment="1" applyProtection="1">
      <alignment vertical="center"/>
      <protection hidden="1"/>
    </xf>
    <xf numFmtId="0" fontId="31" fillId="10" borderId="84" xfId="0" applyFont="1" applyFill="1" applyBorder="1" applyAlignment="1" applyProtection="1">
      <alignment vertical="center" shrinkToFit="1"/>
      <protection locked="0"/>
    </xf>
    <xf numFmtId="0" fontId="31" fillId="10" borderId="84" xfId="0" applyFont="1" applyFill="1" applyBorder="1" applyAlignment="1" applyProtection="1">
      <alignment horizontal="left" vertical="center" indent="1" shrinkToFit="1"/>
      <protection locked="0"/>
    </xf>
    <xf numFmtId="0" fontId="30" fillId="10" borderId="83" xfId="0" applyFont="1" applyFill="1" applyBorder="1" applyAlignment="1" applyProtection="1">
      <alignment horizontal="left" vertical="center" shrinkToFit="1"/>
      <protection locked="0"/>
    </xf>
    <xf numFmtId="0" fontId="30" fillId="10" borderId="86" xfId="0" applyFont="1" applyFill="1" applyBorder="1" applyAlignment="1" applyProtection="1">
      <alignment vertical="center" shrinkToFit="1"/>
      <protection locked="0"/>
    </xf>
    <xf numFmtId="0" fontId="31" fillId="10" borderId="87" xfId="0" applyFont="1" applyFill="1" applyBorder="1" applyAlignment="1" applyProtection="1">
      <alignment horizontal="center" vertical="center"/>
      <protection locked="0"/>
    </xf>
    <xf numFmtId="180" fontId="32" fillId="10" borderId="87" xfId="0" applyNumberFormat="1" applyFont="1" applyFill="1" applyBorder="1" applyAlignment="1" applyProtection="1">
      <alignment vertical="center"/>
      <protection hidden="1"/>
    </xf>
    <xf numFmtId="0" fontId="30" fillId="10" borderId="87" xfId="0" applyFont="1" applyFill="1" applyBorder="1" applyAlignment="1" applyProtection="1">
      <alignment vertical="center" shrinkToFit="1"/>
      <protection locked="0"/>
    </xf>
    <xf numFmtId="180" fontId="32" fillId="10" borderId="88" xfId="0" applyNumberFormat="1" applyFont="1" applyFill="1" applyBorder="1" applyAlignment="1" applyProtection="1">
      <alignment vertical="center"/>
      <protection hidden="1"/>
    </xf>
    <xf numFmtId="0" fontId="31" fillId="13" borderId="0" xfId="0" applyFont="1" applyFill="1" applyAlignment="1" applyProtection="1">
      <alignment vertical="center"/>
      <protection locked="0"/>
    </xf>
    <xf numFmtId="0" fontId="0" fillId="13" borderId="0" xfId="0" applyFill="1" applyAlignment="1" applyProtection="1">
      <alignment horizontal="center" vertical="center"/>
      <protection locked="0"/>
    </xf>
    <xf numFmtId="0" fontId="0" fillId="13" borderId="0" xfId="0" applyFill="1" applyAlignment="1" applyProtection="1">
      <alignment vertical="center"/>
      <protection locked="0"/>
    </xf>
    <xf numFmtId="0" fontId="30" fillId="13" borderId="0" xfId="0" applyFont="1" applyFill="1" applyAlignment="1" applyProtection="1">
      <alignment vertical="center"/>
      <protection locked="0"/>
    </xf>
    <xf numFmtId="0" fontId="31" fillId="0" borderId="0" xfId="0" applyFont="1" applyAlignment="1" applyProtection="1">
      <alignment vertical="center"/>
      <protection hidden="1"/>
    </xf>
    <xf numFmtId="0" fontId="31" fillId="0" borderId="0" xfId="0" applyFont="1" applyAlignment="1" applyProtection="1">
      <alignment vertical="center"/>
      <protection locked="0"/>
    </xf>
    <xf numFmtId="0" fontId="31" fillId="0" borderId="0" xfId="0" applyFont="1" applyAlignment="1" applyProtection="1">
      <alignment horizontal="left" vertical="center" indent="2"/>
      <protection hidden="1"/>
    </xf>
    <xf numFmtId="181" fontId="31" fillId="0" borderId="0" xfId="0" applyNumberFormat="1" applyFont="1" applyAlignment="1" applyProtection="1">
      <alignment vertical="center"/>
      <protection hidden="1"/>
    </xf>
    <xf numFmtId="181" fontId="31" fillId="0" borderId="0" xfId="0" applyNumberFormat="1" applyFont="1" applyAlignment="1" applyProtection="1">
      <alignment vertical="center"/>
      <protection locked="0"/>
    </xf>
    <xf numFmtId="0" fontId="31" fillId="0" borderId="0" xfId="0" applyFont="1" applyAlignment="1" applyProtection="1">
      <alignment horizontal="center" vertical="center"/>
      <protection locked="0"/>
    </xf>
    <xf numFmtId="0" fontId="32" fillId="0" borderId="0" xfId="0" applyFont="1" applyAlignment="1" applyProtection="1">
      <alignment horizontal="center" vertical="center"/>
      <protection locked="0"/>
    </xf>
    <xf numFmtId="0" fontId="33" fillId="10" borderId="0" xfId="0" applyFont="1" applyFill="1" applyAlignment="1" applyProtection="1">
      <alignment horizontal="center" vertical="center"/>
      <protection locked="0"/>
    </xf>
    <xf numFmtId="0" fontId="31" fillId="10" borderId="83" xfId="0" applyFont="1" applyFill="1" applyBorder="1" applyAlignment="1" applyProtection="1">
      <alignment horizontal="center" vertical="center"/>
      <protection locked="0"/>
    </xf>
    <xf numFmtId="0" fontId="31" fillId="10" borderId="84" xfId="0" applyFont="1" applyFill="1" applyBorder="1" applyAlignment="1" applyProtection="1">
      <alignment horizontal="left" vertical="center" wrapText="1" indent="1"/>
      <protection locked="0"/>
    </xf>
    <xf numFmtId="0" fontId="30" fillId="10" borderId="84" xfId="0" applyFont="1" applyFill="1" applyBorder="1" applyAlignment="1" applyProtection="1">
      <alignment vertical="center" wrapText="1"/>
      <protection locked="0"/>
    </xf>
    <xf numFmtId="0" fontId="31" fillId="5" borderId="89" xfId="0" applyFont="1" applyFill="1" applyBorder="1" applyAlignment="1" applyProtection="1">
      <alignment horizontal="center" vertical="center"/>
      <protection locked="0"/>
    </xf>
    <xf numFmtId="10" fontId="32" fillId="5" borderId="90" xfId="0" applyNumberFormat="1" applyFont="1" applyFill="1" applyBorder="1" applyAlignment="1" applyProtection="1">
      <alignment horizontal="center" vertical="center"/>
      <protection locked="0"/>
    </xf>
    <xf numFmtId="0" fontId="32" fillId="5" borderId="90" xfId="0" applyFont="1" applyFill="1" applyBorder="1" applyAlignment="1" applyProtection="1">
      <alignment horizontal="center" vertical="center"/>
      <protection locked="0"/>
    </xf>
    <xf numFmtId="0" fontId="31" fillId="10" borderId="84" xfId="0" applyFont="1" applyFill="1" applyBorder="1" applyAlignment="1" applyProtection="1">
      <alignment vertical="center" wrapText="1"/>
      <protection locked="0"/>
    </xf>
    <xf numFmtId="0" fontId="31" fillId="5" borderId="0" xfId="0" applyFont="1" applyFill="1" applyAlignment="1" applyProtection="1">
      <alignment vertical="center"/>
      <protection hidden="1"/>
    </xf>
    <xf numFmtId="10" fontId="32" fillId="5" borderId="91" xfId="0" applyNumberFormat="1" applyFont="1" applyFill="1" applyBorder="1" applyAlignment="1" applyProtection="1">
      <alignment horizontal="center" vertical="center"/>
      <protection locked="0"/>
    </xf>
    <xf numFmtId="0" fontId="31" fillId="10" borderId="84" xfId="0" applyFont="1" applyFill="1" applyBorder="1" applyAlignment="1" applyProtection="1">
      <alignment horizontal="left" vertical="center" wrapText="1" indent="2"/>
      <protection locked="0"/>
    </xf>
    <xf numFmtId="0" fontId="31" fillId="14" borderId="89" xfId="0" applyFont="1" applyFill="1" applyBorder="1" applyAlignment="1" applyProtection="1">
      <alignment horizontal="center" vertical="center"/>
      <protection locked="0"/>
    </xf>
    <xf numFmtId="10" fontId="32" fillId="13" borderId="90" xfId="0" applyNumberFormat="1" applyFont="1" applyFill="1" applyBorder="1" applyAlignment="1" applyProtection="1">
      <alignment horizontal="center" vertical="center"/>
      <protection locked="0"/>
    </xf>
    <xf numFmtId="10" fontId="32" fillId="13" borderId="91" xfId="0" applyNumberFormat="1" applyFont="1" applyFill="1" applyBorder="1" applyAlignment="1" applyProtection="1">
      <alignment horizontal="center" vertical="center"/>
      <protection locked="0"/>
    </xf>
    <xf numFmtId="0" fontId="31" fillId="10" borderId="86" xfId="0" applyFont="1" applyFill="1" applyBorder="1" applyAlignment="1" applyProtection="1">
      <alignment horizontal="center" vertical="center"/>
      <protection locked="0"/>
    </xf>
    <xf numFmtId="0" fontId="31" fillId="10" borderId="87" xfId="0" applyFont="1" applyFill="1" applyBorder="1" applyAlignment="1" applyProtection="1">
      <alignment vertical="center" wrapText="1"/>
      <protection locked="0"/>
    </xf>
    <xf numFmtId="180" fontId="32" fillId="10" borderId="88" xfId="0" applyNumberFormat="1" applyFont="1" applyFill="1" applyBorder="1" applyAlignment="1" applyProtection="1">
      <alignment vertical="center"/>
      <protection locked="0"/>
    </xf>
    <xf numFmtId="0" fontId="34" fillId="4" borderId="0" xfId="0" applyFont="1" applyFill="1" applyAlignment="1" applyProtection="1">
      <alignment horizontal="center" vertical="center"/>
      <protection locked="0"/>
    </xf>
    <xf numFmtId="178" fontId="4" fillId="0" borderId="0" xfId="0" applyNumberFormat="1" applyFont="1" applyAlignment="1" applyProtection="1">
      <alignment vertical="center"/>
      <protection locked="0"/>
    </xf>
    <xf numFmtId="0" fontId="35" fillId="4" borderId="0" xfId="0" applyFont="1" applyFill="1" applyAlignment="1" applyProtection="1">
      <alignment vertical="center"/>
      <protection locked="0"/>
    </xf>
    <xf numFmtId="0" fontId="35" fillId="4" borderId="0" xfId="0" applyFont="1" applyFill="1" applyAlignment="1" applyProtection="1">
      <alignment vertical="center" wrapText="1"/>
      <protection hidden="1"/>
    </xf>
    <xf numFmtId="14" fontId="35" fillId="4" borderId="0" xfId="0" applyNumberFormat="1" applyFont="1" applyFill="1" applyAlignment="1" applyProtection="1">
      <alignment horizontal="center" vertical="center"/>
      <protection hidden="1"/>
    </xf>
    <xf numFmtId="0" fontId="35" fillId="4" borderId="4" xfId="0" applyFont="1" applyFill="1" applyBorder="1" applyAlignment="1" applyProtection="1">
      <alignment horizontal="right" vertical="center"/>
      <protection hidden="1"/>
    </xf>
    <xf numFmtId="0" fontId="35" fillId="4" borderId="4" xfId="0" applyFont="1" applyFill="1" applyBorder="1" applyAlignment="1" applyProtection="1">
      <alignment horizontal="right" vertical="center"/>
      <protection locked="0"/>
    </xf>
    <xf numFmtId="0" fontId="36" fillId="0" borderId="0" xfId="0" applyFont="1" applyAlignment="1" applyProtection="1">
      <alignment vertical="center"/>
      <protection locked="0"/>
    </xf>
    <xf numFmtId="0" fontId="37" fillId="6" borderId="6" xfId="0" applyFont="1" applyFill="1" applyBorder="1" applyAlignment="1" applyProtection="1">
      <alignment horizontal="center" vertical="center"/>
      <protection locked="0"/>
    </xf>
    <xf numFmtId="0" fontId="37" fillId="6" borderId="14" xfId="0" applyFont="1" applyFill="1" applyBorder="1" applyAlignment="1" applyProtection="1">
      <alignment horizontal="center" vertical="center" textRotation="255"/>
      <protection locked="0"/>
    </xf>
    <xf numFmtId="0" fontId="37" fillId="6" borderId="14" xfId="0" applyFont="1" applyFill="1" applyBorder="1" applyAlignment="1" applyProtection="1">
      <alignment horizontal="center" vertical="center"/>
      <protection locked="0"/>
    </xf>
    <xf numFmtId="0" fontId="37" fillId="6" borderId="16" xfId="0" applyFont="1" applyFill="1" applyBorder="1" applyAlignment="1" applyProtection="1">
      <alignment horizontal="center" vertical="center"/>
      <protection locked="0"/>
    </xf>
    <xf numFmtId="0" fontId="37" fillId="0" borderId="0" xfId="0" applyFont="1" applyAlignment="1" applyProtection="1">
      <alignment vertical="center"/>
      <protection locked="0"/>
    </xf>
    <xf numFmtId="0" fontId="37" fillId="6" borderId="80" xfId="0" applyFont="1" applyFill="1" applyBorder="1" applyAlignment="1" applyProtection="1">
      <alignment horizontal="center" vertical="center"/>
      <protection locked="0"/>
    </xf>
    <xf numFmtId="0" fontId="37" fillId="6" borderId="81" xfId="0" applyFont="1" applyFill="1" applyBorder="1" applyAlignment="1" applyProtection="1">
      <alignment horizontal="center" vertical="center"/>
      <protection locked="0"/>
    </xf>
    <xf numFmtId="0" fontId="37" fillId="6" borderId="82" xfId="0" applyFont="1" applyFill="1" applyBorder="1" applyAlignment="1" applyProtection="1">
      <alignment horizontal="center" vertical="center"/>
      <protection locked="0"/>
    </xf>
    <xf numFmtId="0" fontId="38" fillId="7" borderId="44" xfId="0" applyFont="1" applyFill="1" applyBorder="1" applyAlignment="1" applyProtection="1">
      <alignment horizontal="left" vertical="center"/>
      <protection locked="0"/>
    </xf>
    <xf numFmtId="0" fontId="24" fillId="10" borderId="46" xfId="0" applyFill="1" applyBorder="1" applyAlignment="1" applyProtection="1">
      <alignment horizontal="center" vertical="center"/>
      <protection locked="0"/>
    </xf>
    <xf numFmtId="179" fontId="39" fillId="10" borderId="46" xfId="0" applyNumberFormat="1" applyFont="1" applyFill="1" applyBorder="1" applyAlignment="1" applyProtection="1">
      <alignment vertical="center"/>
      <protection hidden="1"/>
    </xf>
    <xf numFmtId="179" fontId="39" fillId="10" borderId="48" xfId="0" applyNumberFormat="1" applyFont="1" applyFill="1" applyBorder="1" applyAlignment="1" applyProtection="1">
      <alignment vertical="center"/>
      <protection hidden="1"/>
    </xf>
    <xf numFmtId="0" fontId="24" fillId="0" borderId="0" xfId="0" applyAlignment="1" applyProtection="1">
      <alignment vertical="center"/>
      <protection locked="0"/>
    </xf>
    <xf numFmtId="179" fontId="40" fillId="10" borderId="83" xfId="0" applyNumberFormat="1" applyFont="1" applyFill="1" applyBorder="1" applyAlignment="1" applyProtection="1">
      <alignment vertical="center"/>
      <protection hidden="1"/>
    </xf>
    <xf numFmtId="179" fontId="39" fillId="10" borderId="84" xfId="0" applyNumberFormat="1" applyFont="1" applyFill="1" applyBorder="1" applyAlignment="1" applyProtection="1">
      <alignment vertical="center"/>
      <protection locked="0"/>
    </xf>
    <xf numFmtId="179" fontId="39" fillId="10" borderId="85" xfId="0" applyNumberFormat="1" applyFont="1" applyFill="1" applyBorder="1" applyAlignment="1" applyProtection="1">
      <alignment vertical="center"/>
      <protection locked="0"/>
    </xf>
    <xf numFmtId="0" fontId="24" fillId="10" borderId="44" xfId="0" applyFill="1" applyBorder="1" applyAlignment="1" applyProtection="1">
      <alignment horizontal="left" vertical="center"/>
      <protection locked="0"/>
    </xf>
    <xf numFmtId="43" fontId="19" fillId="10" borderId="46" xfId="0" applyNumberFormat="1" applyFont="1" applyFill="1" applyBorder="1" applyAlignment="1" applyProtection="1">
      <alignment vertical="center"/>
      <protection hidden="1"/>
    </xf>
    <xf numFmtId="43" fontId="19" fillId="10" borderId="48" xfId="0" applyNumberFormat="1" applyFont="1" applyFill="1" applyBorder="1" applyAlignment="1" applyProtection="1">
      <alignment vertical="center"/>
      <protection hidden="1"/>
    </xf>
    <xf numFmtId="0" fontId="38" fillId="7" borderId="61" xfId="0" applyFont="1" applyFill="1" applyBorder="1" applyAlignment="1" applyProtection="1">
      <alignment horizontal="left" vertical="center"/>
      <protection locked="0"/>
    </xf>
    <xf numFmtId="0" fontId="24" fillId="10" borderId="64" xfId="0" applyFill="1" applyBorder="1" applyAlignment="1" applyProtection="1">
      <alignment horizontal="center" vertical="center"/>
      <protection locked="0"/>
    </xf>
    <xf numFmtId="43" fontId="19" fillId="10" borderId="64" xfId="0" applyNumberFormat="1" applyFont="1" applyFill="1" applyBorder="1" applyAlignment="1" applyProtection="1">
      <alignment vertical="center"/>
      <protection hidden="1"/>
    </xf>
    <xf numFmtId="43" fontId="19" fillId="10" borderId="65" xfId="0" applyNumberFormat="1" applyFont="1" applyFill="1" applyBorder="1" applyAlignment="1" applyProtection="1">
      <alignment vertical="center"/>
      <protection hidden="1"/>
    </xf>
    <xf numFmtId="179" fontId="40" fillId="10" borderId="86" xfId="0" applyNumberFormat="1" applyFont="1" applyFill="1" applyBorder="1" applyAlignment="1" applyProtection="1">
      <alignment vertical="center"/>
      <protection hidden="1"/>
    </xf>
    <xf numFmtId="179" fontId="39" fillId="10" borderId="87" xfId="0" applyNumberFormat="1" applyFont="1" applyFill="1" applyBorder="1" applyAlignment="1" applyProtection="1">
      <alignment vertical="center"/>
      <protection locked="0"/>
    </xf>
    <xf numFmtId="179" fontId="39" fillId="10" borderId="88" xfId="0" applyNumberFormat="1" applyFont="1" applyFill="1" applyBorder="1" applyAlignment="1" applyProtection="1">
      <alignment vertical="center"/>
      <protection locked="0"/>
    </xf>
    <xf numFmtId="0" fontId="41" fillId="15" borderId="0" xfId="0" applyFont="1" applyFill="1" applyAlignment="1" applyProtection="1">
      <alignment horizontal="center" vertical="center"/>
      <protection locked="0"/>
    </xf>
    <xf numFmtId="179" fontId="39" fillId="10" borderId="46" xfId="0" applyNumberFormat="1" applyFont="1" applyFill="1" applyBorder="1" applyAlignment="1" applyProtection="1">
      <alignment vertical="center"/>
      <protection locked="0"/>
    </xf>
    <xf numFmtId="179" fontId="39" fillId="10" borderId="48" xfId="0" applyNumberFormat="1" applyFont="1" applyFill="1" applyBorder="1" applyAlignment="1" applyProtection="1">
      <alignment vertical="center"/>
      <protection locked="0"/>
    </xf>
    <xf numFmtId="0" fontId="24" fillId="10" borderId="61" xfId="0" applyFill="1" applyBorder="1" applyAlignment="1" applyProtection="1">
      <alignment horizontal="left" vertical="center"/>
      <protection locked="0"/>
    </xf>
    <xf numFmtId="179" fontId="39" fillId="10" borderId="64" xfId="0" applyNumberFormat="1" applyFont="1" applyFill="1" applyBorder="1" applyAlignment="1" applyProtection="1">
      <alignment vertical="center"/>
      <protection locked="0"/>
    </xf>
    <xf numFmtId="179" fontId="39" fillId="10" borderId="65" xfId="0" applyNumberFormat="1" applyFont="1" applyFill="1" applyBorder="1" applyAlignment="1" applyProtection="1">
      <alignment vertical="center"/>
      <protection locked="0"/>
    </xf>
    <xf numFmtId="0" fontId="24" fillId="0" borderId="0" xfId="0" applyAlignment="1" applyProtection="1">
      <alignment vertical="center"/>
      <protection hidden="1"/>
    </xf>
    <xf numFmtId="0" fontId="24" fillId="9" borderId="0" xfId="0" applyFill="1" applyAlignment="1" applyProtection="1">
      <alignment vertical="center"/>
      <protection locked="0"/>
    </xf>
    <xf numFmtId="0" fontId="41" fillId="4" borderId="0" xfId="0" applyFont="1" applyFill="1" applyAlignment="1" applyProtection="1">
      <alignment horizontal="center" vertical="center"/>
      <protection locked="0"/>
    </xf>
    <xf numFmtId="0" fontId="35" fillId="4" borderId="0" xfId="0" applyFont="1" applyFill="1" applyAlignment="1" applyProtection="1">
      <alignment horizontal="center" vertical="center"/>
      <protection hidden="1"/>
    </xf>
    <xf numFmtId="0" fontId="37" fillId="7" borderId="44" xfId="0" applyFont="1" applyFill="1" applyBorder="1" applyAlignment="1" applyProtection="1">
      <alignment horizontal="left" vertical="center"/>
      <protection locked="0"/>
    </xf>
    <xf numFmtId="0" fontId="24" fillId="10" borderId="67" xfId="0" applyFill="1" applyBorder="1" applyAlignment="1" applyProtection="1">
      <alignment horizontal="left" vertical="center"/>
      <protection locked="0"/>
    </xf>
    <xf numFmtId="0" fontId="37" fillId="7" borderId="67" xfId="0" applyFont="1" applyFill="1" applyBorder="1" applyAlignment="1" applyProtection="1">
      <alignment horizontal="left" vertical="center"/>
      <protection locked="0"/>
    </xf>
    <xf numFmtId="0" fontId="37" fillId="7" borderId="61" xfId="0" applyFont="1" applyFill="1" applyBorder="1" applyAlignment="1" applyProtection="1">
      <alignment horizontal="left" vertical="center"/>
      <protection locked="0"/>
    </xf>
    <xf numFmtId="179" fontId="39" fillId="10" borderId="64" xfId="0" applyNumberFormat="1" applyFont="1" applyFill="1" applyBorder="1" applyAlignment="1" applyProtection="1">
      <alignment vertical="center"/>
      <protection hidden="1"/>
    </xf>
    <xf numFmtId="179" fontId="39" fillId="10" borderId="65" xfId="0" applyNumberFormat="1" applyFont="1" applyFill="1" applyBorder="1" applyAlignment="1" applyProtection="1">
      <alignment vertical="center"/>
      <protection hidden="1"/>
    </xf>
    <xf numFmtId="0" fontId="4" fillId="0" borderId="0" xfId="0" applyFont="1" applyAlignment="1" applyProtection="1">
      <alignment horizontal="center" vertical="center"/>
      <protection locked="0"/>
    </xf>
    <xf numFmtId="0" fontId="42" fillId="4" borderId="0" xfId="0" applyFont="1" applyFill="1" applyAlignment="1" applyProtection="1">
      <alignment horizontal="center" vertical="center"/>
      <protection locked="0"/>
    </xf>
    <xf numFmtId="0" fontId="35" fillId="4" borderId="0" xfId="0" applyFont="1" applyFill="1" applyAlignment="1" applyProtection="1">
      <alignment horizontal="center" vertical="center"/>
      <protection locked="0"/>
    </xf>
    <xf numFmtId="0" fontId="35" fillId="4" borderId="4" xfId="0" applyFont="1" applyFill="1" applyBorder="1" applyAlignment="1" applyProtection="1">
      <alignment horizontal="left" vertical="center" wrapText="1"/>
      <protection hidden="1"/>
    </xf>
    <xf numFmtId="182" fontId="35" fillId="4" borderId="4" xfId="0" applyNumberFormat="1" applyFont="1" applyFill="1" applyBorder="1" applyAlignment="1" applyProtection="1">
      <alignment horizontal="center" vertical="center"/>
      <protection hidden="1"/>
    </xf>
    <xf numFmtId="181" fontId="43" fillId="4" borderId="4" xfId="0" applyNumberFormat="1" applyFont="1" applyFill="1" applyBorder="1" applyAlignment="1" applyProtection="1">
      <alignment horizontal="center" vertical="center"/>
      <protection hidden="1"/>
    </xf>
    <xf numFmtId="0" fontId="35" fillId="4" borderId="4" xfId="0" applyFont="1" applyFill="1" applyBorder="1" applyAlignment="1" applyProtection="1">
      <alignment horizontal="center" vertical="center"/>
      <protection hidden="1"/>
    </xf>
    <xf numFmtId="0" fontId="35" fillId="4" borderId="0" xfId="0" applyFont="1" applyFill="1" applyAlignment="1" applyProtection="1">
      <alignment horizontal="right" vertical="center"/>
      <protection locked="0"/>
    </xf>
    <xf numFmtId="0" fontId="37" fillId="6" borderId="15" xfId="0" applyFont="1" applyFill="1" applyBorder="1" applyAlignment="1" applyProtection="1">
      <alignment horizontal="center" vertical="center"/>
      <protection locked="0"/>
    </xf>
    <xf numFmtId="0" fontId="37" fillId="6" borderId="10" xfId="0" applyFont="1" applyFill="1" applyBorder="1" applyAlignment="1" applyProtection="1">
      <alignment horizontal="center" vertical="center" wrapText="1"/>
      <protection locked="0"/>
    </xf>
    <xf numFmtId="0" fontId="44" fillId="16" borderId="44" xfId="0" applyFont="1" applyFill="1" applyBorder="1" applyAlignment="1" applyProtection="1">
      <alignment horizontal="left" vertical="center" wrapText="1"/>
      <protection locked="0"/>
    </xf>
    <xf numFmtId="179" fontId="24" fillId="10" borderId="46" xfId="0" applyNumberFormat="1" applyFill="1" applyBorder="1" applyAlignment="1" applyProtection="1">
      <alignment vertical="center"/>
      <protection locked="0"/>
    </xf>
    <xf numFmtId="179" fontId="39" fillId="10" borderId="47" xfId="0" applyNumberFormat="1" applyFont="1" applyFill="1" applyBorder="1" applyAlignment="1" applyProtection="1">
      <alignment vertical="center"/>
      <protection locked="0"/>
    </xf>
    <xf numFmtId="0" fontId="44" fillId="16" borderId="45" xfId="0" applyFont="1" applyFill="1" applyBorder="1" applyAlignment="1" applyProtection="1">
      <alignment horizontal="left" vertical="center" wrapText="1"/>
      <protection locked="0"/>
    </xf>
    <xf numFmtId="0" fontId="24" fillId="10" borderId="44" xfId="0" applyFill="1" applyBorder="1" applyAlignment="1" applyProtection="1">
      <alignment horizontal="left" vertical="center" wrapText="1"/>
      <protection locked="0"/>
    </xf>
    <xf numFmtId="43" fontId="19" fillId="10" borderId="47" xfId="0" applyNumberFormat="1" applyFont="1" applyFill="1" applyBorder="1" applyAlignment="1" applyProtection="1">
      <alignment vertical="center"/>
      <protection hidden="1"/>
    </xf>
    <xf numFmtId="0" fontId="24" fillId="10" borderId="45" xfId="0" applyFill="1" applyBorder="1" applyAlignment="1" applyProtection="1">
      <alignment horizontal="left" vertical="center" wrapText="1"/>
      <protection locked="0"/>
    </xf>
    <xf numFmtId="179" fontId="39" fillId="10" borderId="47" xfId="0" applyNumberFormat="1" applyFont="1" applyFill="1" applyBorder="1" applyAlignment="1" applyProtection="1">
      <alignment vertical="center"/>
      <protection hidden="1"/>
    </xf>
    <xf numFmtId="0" fontId="24" fillId="10" borderId="61" xfId="0" applyFill="1" applyBorder="1" applyAlignment="1" applyProtection="1">
      <alignment horizontal="center" vertical="center" wrapText="1"/>
      <protection locked="0"/>
    </xf>
    <xf numFmtId="43" fontId="19" fillId="10" borderId="66" xfId="0" applyNumberFormat="1" applyFont="1" applyFill="1" applyBorder="1" applyAlignment="1" applyProtection="1">
      <alignment vertical="center"/>
      <protection hidden="1"/>
    </xf>
    <xf numFmtId="0" fontId="24" fillId="10" borderId="63" xfId="0" applyFill="1" applyBorder="1" applyAlignment="1" applyProtection="1">
      <alignment horizontal="center" vertical="center" wrapText="1"/>
      <protection locked="0"/>
    </xf>
    <xf numFmtId="0" fontId="24" fillId="0" borderId="0" xfId="0" applyAlignment="1" applyProtection="1">
      <alignment horizontal="left" vertical="center"/>
      <protection locked="0"/>
    </xf>
    <xf numFmtId="0" fontId="24" fillId="0" borderId="0" xfId="0" applyAlignment="1" applyProtection="1">
      <alignment horizontal="left" vertical="center"/>
      <protection hidden="1"/>
    </xf>
    <xf numFmtId="0" fontId="44" fillId="11" borderId="0" xfId="0" applyFont="1" applyFill="1" applyAlignment="1" applyProtection="1">
      <alignment horizontal="left" vertical="center"/>
      <protection hidden="1"/>
    </xf>
    <xf numFmtId="0" fontId="45" fillId="4" borderId="0" xfId="0" applyFont="1" applyFill="1" applyAlignment="1" applyProtection="1">
      <alignment horizontal="center" vertical="center"/>
      <protection locked="0"/>
    </xf>
    <xf numFmtId="0" fontId="6" fillId="4" borderId="0" xfId="0" applyFont="1" applyFill="1" applyAlignment="1" applyProtection="1">
      <alignment horizontal="center" vertical="center"/>
      <protection locked="0"/>
    </xf>
    <xf numFmtId="178" fontId="3" fillId="0" borderId="0" xfId="0" applyNumberFormat="1" applyFont="1" applyAlignment="1" applyProtection="1">
      <alignment vertical="center"/>
      <protection locked="0"/>
    </xf>
    <xf numFmtId="0" fontId="35" fillId="4" borderId="4" xfId="0" applyFont="1" applyFill="1" applyBorder="1" applyAlignment="1" applyProtection="1">
      <alignment vertical="center" wrapText="1"/>
      <protection hidden="1"/>
    </xf>
    <xf numFmtId="0" fontId="35" fillId="4" borderId="4" xfId="0" applyFont="1" applyFill="1" applyBorder="1" applyAlignment="1" applyProtection="1">
      <alignment horizontal="right" vertical="center" wrapText="1"/>
      <protection locked="0"/>
    </xf>
    <xf numFmtId="0" fontId="35" fillId="4" borderId="4" xfId="0" applyFont="1" applyFill="1" applyBorder="1" applyAlignment="1" applyProtection="1">
      <alignment horizontal="center" vertical="center" wrapText="1"/>
      <protection hidden="1"/>
    </xf>
    <xf numFmtId="0" fontId="46" fillId="4" borderId="0" xfId="0" applyFont="1" applyFill="1" applyAlignment="1" applyProtection="1">
      <alignment vertical="center"/>
      <protection locked="0"/>
    </xf>
    <xf numFmtId="0" fontId="39" fillId="0" borderId="0" xfId="0" applyFont="1" applyAlignment="1" applyProtection="1">
      <alignment vertical="center"/>
      <protection locked="0"/>
    </xf>
    <xf numFmtId="0" fontId="38" fillId="6" borderId="6" xfId="0" applyFont="1" applyFill="1" applyBorder="1" applyAlignment="1" applyProtection="1">
      <alignment horizontal="center" vertical="center"/>
      <protection locked="0"/>
    </xf>
    <xf numFmtId="0" fontId="38" fillId="6" borderId="7" xfId="0" applyFont="1" applyFill="1" applyBorder="1" applyAlignment="1" applyProtection="1">
      <alignment horizontal="center" vertical="center"/>
      <protection locked="0"/>
    </xf>
    <xf numFmtId="0" fontId="38" fillId="6" borderId="8" xfId="0" applyFont="1" applyFill="1" applyBorder="1" applyAlignment="1" applyProtection="1">
      <alignment horizontal="center" vertical="center"/>
      <protection locked="0"/>
    </xf>
    <xf numFmtId="0" fontId="38" fillId="6" borderId="9" xfId="0" applyFont="1" applyFill="1" applyBorder="1" applyAlignment="1" applyProtection="1">
      <alignment horizontal="center" vertical="center"/>
      <protection locked="0"/>
    </xf>
    <xf numFmtId="0" fontId="38" fillId="6" borderId="11" xfId="0" applyFont="1" applyFill="1" applyBorder="1" applyAlignment="1" applyProtection="1">
      <alignment horizontal="center" vertical="center"/>
      <protection locked="0"/>
    </xf>
    <xf numFmtId="0" fontId="38" fillId="6" borderId="12" xfId="0" applyFont="1" applyFill="1" applyBorder="1" applyAlignment="1" applyProtection="1">
      <alignment horizontal="center" vertical="center"/>
      <protection locked="0"/>
    </xf>
    <xf numFmtId="57" fontId="37" fillId="6" borderId="81" xfId="0" applyNumberFormat="1" applyFont="1" applyFill="1" applyBorder="1" applyAlignment="1" applyProtection="1">
      <alignment horizontal="center" vertical="center"/>
      <protection locked="0"/>
    </xf>
    <xf numFmtId="0" fontId="38" fillId="6" borderId="27" xfId="0" applyFont="1" applyFill="1" applyBorder="1" applyAlignment="1" applyProtection="1">
      <alignment horizontal="center" vertical="center"/>
      <protection locked="0"/>
    </xf>
    <xf numFmtId="0" fontId="38" fillId="6" borderId="28" xfId="0" applyFont="1" applyFill="1" applyBorder="1" applyAlignment="1" applyProtection="1">
      <alignment horizontal="center" vertical="center"/>
      <protection locked="0"/>
    </xf>
    <xf numFmtId="0" fontId="47" fillId="6" borderId="83" xfId="0" applyFont="1" applyFill="1" applyBorder="1" applyAlignment="1" applyProtection="1">
      <alignment horizontal="center" vertical="center"/>
      <protection locked="0"/>
    </xf>
    <xf numFmtId="0" fontId="47" fillId="6" borderId="84" xfId="0" applyFont="1" applyFill="1" applyBorder="1" applyAlignment="1" applyProtection="1">
      <alignment horizontal="center" vertical="center"/>
      <protection locked="0"/>
    </xf>
    <xf numFmtId="0" fontId="47" fillId="6" borderId="85" xfId="0" applyFont="1" applyFill="1" applyBorder="1" applyAlignment="1" applyProtection="1">
      <alignment horizontal="center" vertical="center"/>
      <protection locked="0"/>
    </xf>
    <xf numFmtId="0" fontId="48" fillId="16" borderId="24" xfId="0" applyFont="1" applyFill="1" applyBorder="1" applyAlignment="1" applyProtection="1">
      <alignment horizontal="center" vertical="center"/>
      <protection locked="0"/>
    </xf>
    <xf numFmtId="0" fontId="37" fillId="7" borderId="41" xfId="0" applyFont="1" applyFill="1" applyBorder="1" applyAlignment="1" applyProtection="1">
      <alignment vertical="center"/>
      <protection locked="0"/>
    </xf>
    <xf numFmtId="179" fontId="39" fillId="10" borderId="42" xfId="0" applyNumberFormat="1" applyFont="1" applyFill="1" applyBorder="1" applyAlignment="1" applyProtection="1">
      <alignment vertical="center"/>
      <protection hidden="1"/>
    </xf>
    <xf numFmtId="43" fontId="19" fillId="10" borderId="43" xfId="0" applyNumberFormat="1" applyFont="1" applyFill="1" applyBorder="1" applyAlignment="1" applyProtection="1">
      <alignment vertical="center"/>
      <protection hidden="1"/>
    </xf>
    <xf numFmtId="43" fontId="19" fillId="10" borderId="34" xfId="0" applyNumberFormat="1" applyFont="1" applyFill="1" applyBorder="1" applyAlignment="1" applyProtection="1">
      <alignment vertical="center"/>
      <protection hidden="1"/>
    </xf>
    <xf numFmtId="0" fontId="24" fillId="10" borderId="25" xfId="0" applyFill="1" applyBorder="1" applyAlignment="1" applyProtection="1">
      <alignment horizontal="center" vertical="center"/>
      <protection locked="0"/>
    </xf>
    <xf numFmtId="43" fontId="19" fillId="10" borderId="36" xfId="0" applyNumberFormat="1" applyFont="1" applyFill="1" applyBorder="1" applyAlignment="1" applyProtection="1">
      <alignment vertical="center"/>
      <protection hidden="1"/>
    </xf>
    <xf numFmtId="179" fontId="39" fillId="10" borderId="83" xfId="0" applyNumberFormat="1" applyFont="1" applyFill="1" applyBorder="1" applyAlignment="1" applyProtection="1">
      <alignment vertical="center"/>
      <protection locked="0"/>
    </xf>
    <xf numFmtId="0" fontId="24" fillId="16" borderId="0" xfId="0" applyFill="1" applyAlignment="1" applyProtection="1">
      <alignment horizontal="center" vertical="center"/>
      <protection locked="0"/>
    </xf>
    <xf numFmtId="0" fontId="24" fillId="16" borderId="0" xfId="0" applyFill="1" applyAlignment="1" applyProtection="1">
      <alignment horizontal="center" vertical="center"/>
      <protection hidden="1"/>
    </xf>
    <xf numFmtId="0" fontId="44" fillId="10" borderId="61" xfId="0" applyFont="1" applyFill="1" applyBorder="1" applyAlignment="1" applyProtection="1">
      <alignment horizontal="center" vertical="center"/>
      <protection locked="0"/>
    </xf>
    <xf numFmtId="179" fontId="40" fillId="10" borderId="70" xfId="0" applyNumberFormat="1" applyFont="1" applyFill="1" applyBorder="1" applyAlignment="1" applyProtection="1">
      <alignment vertical="center"/>
      <protection hidden="1"/>
    </xf>
    <xf numFmtId="43" fontId="49" fillId="10" borderId="71" xfId="0" applyNumberFormat="1" applyFont="1" applyFill="1" applyBorder="1" applyAlignment="1" applyProtection="1">
      <alignment vertical="center"/>
      <protection hidden="1"/>
    </xf>
    <xf numFmtId="43" fontId="49" fillId="10" borderId="66" xfId="0" applyNumberFormat="1" applyFont="1" applyFill="1" applyBorder="1" applyAlignment="1" applyProtection="1">
      <alignment vertical="center"/>
      <protection hidden="1"/>
    </xf>
    <xf numFmtId="0" fontId="40" fillId="10" borderId="72" xfId="0" applyFont="1" applyFill="1" applyBorder="1" applyAlignment="1" applyProtection="1">
      <alignment vertical="center"/>
      <protection locked="0"/>
    </xf>
    <xf numFmtId="179" fontId="40" fillId="10" borderId="65" xfId="0" applyNumberFormat="1" applyFont="1" applyFill="1" applyBorder="1" applyAlignment="1" applyProtection="1">
      <alignment vertical="center"/>
      <protection locked="0"/>
    </xf>
    <xf numFmtId="179" fontId="39" fillId="10" borderId="86" xfId="0" applyNumberFormat="1" applyFont="1" applyFill="1" applyBorder="1" applyAlignment="1" applyProtection="1">
      <alignment vertical="center"/>
      <protection locked="0"/>
    </xf>
    <xf numFmtId="0" fontId="50" fillId="4" borderId="0" xfId="0" applyFont="1" applyFill="1" applyAlignment="1" applyProtection="1">
      <alignment vertical="center"/>
      <protection locked="0"/>
    </xf>
    <xf numFmtId="0" fontId="15" fillId="2" borderId="92" xfId="0" applyFont="1" applyFill="1" applyBorder="1" applyAlignment="1" applyProtection="1">
      <alignment vertical="center"/>
      <protection locked="0"/>
    </xf>
    <xf numFmtId="0" fontId="15" fillId="2" borderId="93" xfId="0" applyFont="1" applyFill="1" applyBorder="1" applyAlignment="1" applyProtection="1">
      <alignment vertical="center"/>
      <protection locked="0"/>
    </xf>
    <xf numFmtId="0" fontId="15" fillId="2" borderId="94" xfId="0" applyFont="1" applyFill="1" applyBorder="1" applyAlignment="1" applyProtection="1">
      <alignment vertical="center"/>
      <protection locked="0"/>
    </xf>
    <xf numFmtId="178" fontId="50" fillId="4" borderId="0" xfId="0" applyNumberFormat="1" applyFont="1" applyFill="1" applyAlignment="1" applyProtection="1">
      <alignment vertical="center"/>
      <protection hidden="1"/>
    </xf>
    <xf numFmtId="0" fontId="15" fillId="2" borderId="95" xfId="0" applyFont="1" applyFill="1" applyBorder="1" applyAlignment="1" applyProtection="1">
      <alignment vertical="center"/>
      <protection locked="0"/>
    </xf>
    <xf numFmtId="0" fontId="51" fillId="2" borderId="0" xfId="0" applyFont="1" applyFill="1" applyAlignment="1" applyProtection="1">
      <alignment horizontal="center" vertical="center"/>
      <protection locked="0"/>
    </xf>
    <xf numFmtId="0" fontId="15" fillId="2" borderId="96" xfId="0" applyFont="1" applyFill="1" applyBorder="1" applyAlignment="1" applyProtection="1">
      <alignment vertical="center"/>
      <protection locked="0"/>
    </xf>
    <xf numFmtId="31" fontId="15" fillId="2" borderId="0" xfId="0" applyNumberFormat="1" applyFont="1" applyFill="1" applyAlignment="1" applyProtection="1">
      <alignment horizontal="center" vertical="center"/>
      <protection locked="0"/>
    </xf>
    <xf numFmtId="0" fontId="37" fillId="2" borderId="97" xfId="0" applyFont="1" applyFill="1" applyBorder="1" applyAlignment="1" applyProtection="1">
      <alignment horizontal="left" vertical="center" shrinkToFit="1"/>
      <protection hidden="1"/>
    </xf>
    <xf numFmtId="0" fontId="0" fillId="0" borderId="97" xfId="0" applyBorder="1" applyProtection="1">
      <protection hidden="1"/>
    </xf>
    <xf numFmtId="0" fontId="37" fillId="2" borderId="0" xfId="0" applyFont="1" applyFill="1" applyAlignment="1" applyProtection="1">
      <alignment horizontal="right" vertical="center"/>
      <protection locked="0"/>
    </xf>
    <xf numFmtId="0" fontId="38" fillId="2" borderId="0" xfId="0" applyFont="1" applyFill="1" applyAlignment="1" applyProtection="1">
      <alignment horizontal="center" vertical="center"/>
      <protection locked="0"/>
    </xf>
    <xf numFmtId="0" fontId="37" fillId="2" borderId="0" xfId="0" applyFont="1" applyFill="1" applyAlignment="1" applyProtection="1">
      <alignment vertical="center"/>
      <protection locked="0"/>
    </xf>
    <xf numFmtId="0" fontId="38" fillId="2" borderId="0" xfId="0" applyFont="1" applyFill="1" applyAlignment="1" applyProtection="1">
      <alignment horizontal="center" vertical="center"/>
      <protection hidden="1"/>
    </xf>
    <xf numFmtId="0" fontId="37" fillId="2" borderId="0" xfId="0" applyFont="1" applyFill="1" applyAlignment="1" applyProtection="1">
      <alignment horizontal="left" vertical="center"/>
      <protection locked="0"/>
    </xf>
    <xf numFmtId="0" fontId="37" fillId="2" borderId="96" xfId="0" applyFont="1" applyFill="1" applyBorder="1" applyAlignment="1" applyProtection="1">
      <alignment vertical="center"/>
      <protection locked="0"/>
    </xf>
    <xf numFmtId="0" fontId="50" fillId="4" borderId="0" xfId="0" applyFont="1" applyFill="1" applyAlignment="1" applyProtection="1">
      <alignment horizontal="center" vertical="center"/>
      <protection locked="0"/>
    </xf>
    <xf numFmtId="0" fontId="15" fillId="2" borderId="95" xfId="0" applyFont="1" applyFill="1" applyBorder="1" applyAlignment="1" applyProtection="1">
      <alignment horizontal="center" vertical="center"/>
      <protection locked="0"/>
    </xf>
    <xf numFmtId="0" fontId="37" fillId="2" borderId="98" xfId="0" applyFont="1" applyFill="1" applyBorder="1" applyAlignment="1" applyProtection="1">
      <alignment horizontal="center" vertical="center"/>
      <protection locked="0"/>
    </xf>
    <xf numFmtId="0" fontId="0" fillId="0" borderId="99" xfId="0" applyBorder="1" applyProtection="1">
      <protection locked="0"/>
    </xf>
    <xf numFmtId="0" fontId="37" fillId="2" borderId="100" xfId="0" applyFont="1" applyFill="1" applyBorder="1" applyAlignment="1" applyProtection="1">
      <alignment horizontal="center" vertical="center"/>
      <protection locked="0"/>
    </xf>
    <xf numFmtId="0" fontId="0" fillId="0" borderId="101" xfId="0" applyBorder="1" applyProtection="1">
      <protection locked="0"/>
    </xf>
    <xf numFmtId="0" fontId="37" fillId="2" borderId="102" xfId="0" applyFont="1" applyFill="1" applyBorder="1" applyAlignment="1" applyProtection="1">
      <alignment horizontal="center" vertical="center"/>
      <protection locked="0"/>
    </xf>
    <xf numFmtId="0" fontId="0" fillId="0" borderId="103" xfId="0" applyBorder="1" applyProtection="1">
      <protection locked="0"/>
    </xf>
    <xf numFmtId="0" fontId="37" fillId="2" borderId="96" xfId="0" applyFont="1" applyFill="1" applyBorder="1" applyAlignment="1" applyProtection="1">
      <alignment horizontal="center" vertical="center"/>
      <protection locked="0"/>
    </xf>
    <xf numFmtId="0" fontId="0" fillId="0" borderId="104" xfId="0" applyBorder="1" applyProtection="1">
      <protection locked="0"/>
    </xf>
    <xf numFmtId="0" fontId="0" fillId="0" borderId="105" xfId="0" applyBorder="1" applyProtection="1">
      <protection locked="0"/>
    </xf>
    <xf numFmtId="0" fontId="37" fillId="2" borderId="106" xfId="0" applyFont="1" applyFill="1" applyBorder="1" applyAlignment="1" applyProtection="1">
      <alignment horizontal="center" vertical="center"/>
      <protection locked="0"/>
    </xf>
    <xf numFmtId="0" fontId="0" fillId="0" borderId="107" xfId="0" applyBorder="1" applyProtection="1">
      <protection locked="0"/>
    </xf>
    <xf numFmtId="0" fontId="0" fillId="0" borderId="108" xfId="0" applyBorder="1" applyProtection="1">
      <protection locked="0"/>
    </xf>
    <xf numFmtId="0" fontId="52" fillId="2" borderId="109" xfId="0" applyFont="1" applyFill="1" applyBorder="1" applyAlignment="1" applyProtection="1">
      <alignment horizontal="left" vertical="center" wrapText="1"/>
      <protection hidden="1"/>
    </xf>
    <xf numFmtId="0" fontId="0" fillId="0" borderId="110" xfId="0" applyBorder="1" applyProtection="1">
      <protection hidden="1"/>
    </xf>
    <xf numFmtId="0" fontId="37" fillId="2" borderId="111" xfId="0" applyFont="1" applyFill="1" applyBorder="1" applyAlignment="1" applyProtection="1">
      <alignment horizontal="left" vertical="center" wrapText="1"/>
      <protection hidden="1"/>
    </xf>
    <xf numFmtId="180" fontId="47" fillId="2" borderId="111" xfId="0" applyNumberFormat="1" applyFont="1" applyFill="1" applyBorder="1" applyAlignment="1" applyProtection="1">
      <alignment horizontal="right" vertical="center"/>
      <protection hidden="1"/>
    </xf>
    <xf numFmtId="0" fontId="0" fillId="0" borderId="112" xfId="0" applyBorder="1" applyProtection="1">
      <protection hidden="1"/>
    </xf>
    <xf numFmtId="0" fontId="52" fillId="2" borderId="113" xfId="0" applyFont="1" applyFill="1" applyBorder="1" applyAlignment="1" applyProtection="1">
      <alignment horizontal="left" vertical="center" wrapText="1"/>
      <protection hidden="1"/>
    </xf>
    <xf numFmtId="0" fontId="0" fillId="0" borderId="114" xfId="0" applyBorder="1" applyProtection="1">
      <protection hidden="1"/>
    </xf>
    <xf numFmtId="0" fontId="37" fillId="2" borderId="115" xfId="0" applyFont="1" applyFill="1" applyBorder="1" applyAlignment="1" applyProtection="1">
      <alignment horizontal="left" vertical="center" wrapText="1"/>
      <protection hidden="1"/>
    </xf>
    <xf numFmtId="180" fontId="47" fillId="2" borderId="115" xfId="0" applyNumberFormat="1" applyFont="1" applyFill="1" applyBorder="1" applyAlignment="1" applyProtection="1">
      <alignment horizontal="right" vertical="center"/>
      <protection hidden="1"/>
    </xf>
    <xf numFmtId="0" fontId="0" fillId="0" borderId="116" xfId="0" applyBorder="1" applyProtection="1">
      <protection hidden="1"/>
    </xf>
    <xf numFmtId="0" fontId="37" fillId="2" borderId="113" xfId="0" applyFont="1" applyFill="1" applyBorder="1" applyAlignment="1" applyProtection="1">
      <alignment horizontal="left" vertical="center" wrapText="1"/>
      <protection hidden="1"/>
    </xf>
    <xf numFmtId="0" fontId="37" fillId="2" borderId="117" xfId="0" applyFont="1" applyFill="1" applyBorder="1" applyAlignment="1" applyProtection="1">
      <alignment horizontal="left" vertical="center" wrapText="1"/>
      <protection hidden="1"/>
    </xf>
    <xf numFmtId="0" fontId="0" fillId="0" borderId="118" xfId="0" applyBorder="1" applyProtection="1">
      <protection hidden="1"/>
    </xf>
    <xf numFmtId="0" fontId="37" fillId="2" borderId="119" xfId="0" applyFont="1" applyFill="1" applyBorder="1" applyAlignment="1" applyProtection="1">
      <alignment horizontal="left" vertical="center" wrapText="1"/>
      <protection hidden="1"/>
    </xf>
    <xf numFmtId="180" fontId="47" fillId="2" borderId="119" xfId="0" applyNumberFormat="1" applyFont="1" applyFill="1" applyBorder="1" applyAlignment="1" applyProtection="1">
      <alignment horizontal="right" vertical="center"/>
      <protection hidden="1"/>
    </xf>
    <xf numFmtId="0" fontId="0" fillId="0" borderId="120" xfId="0" applyBorder="1" applyProtection="1">
      <protection hidden="1"/>
    </xf>
    <xf numFmtId="178" fontId="38" fillId="2" borderId="121" xfId="0" applyNumberFormat="1" applyFont="1" applyFill="1" applyBorder="1" applyAlignment="1" applyProtection="1">
      <alignment vertical="center"/>
      <protection hidden="1"/>
    </xf>
    <xf numFmtId="0" fontId="38" fillId="2" borderId="122" xfId="0" applyFont="1" applyFill="1" applyBorder="1" applyAlignment="1" applyProtection="1">
      <alignment horizontal="left" vertical="center"/>
      <protection hidden="1"/>
    </xf>
    <xf numFmtId="0" fontId="0" fillId="0" borderId="123" xfId="0" applyBorder="1" applyProtection="1">
      <protection hidden="1"/>
    </xf>
    <xf numFmtId="0" fontId="0" fillId="0" borderId="122" xfId="0" applyBorder="1" applyProtection="1">
      <protection hidden="1"/>
    </xf>
    <xf numFmtId="180" fontId="53" fillId="2" borderId="124" xfId="0" applyNumberFormat="1" applyFont="1" applyFill="1" applyBorder="1" applyAlignment="1" applyProtection="1">
      <alignment horizontal="right" vertical="center"/>
      <protection hidden="1"/>
    </xf>
    <xf numFmtId="0" fontId="0" fillId="0" borderId="125" xfId="0" applyBorder="1" applyProtection="1">
      <protection hidden="1"/>
    </xf>
    <xf numFmtId="0" fontId="37" fillId="2" borderId="0" xfId="0" applyFont="1" applyFill="1" applyAlignment="1" applyProtection="1">
      <alignment vertical="center"/>
      <protection hidden="1"/>
    </xf>
    <xf numFmtId="0" fontId="37" fillId="2" borderId="0" xfId="0" applyFont="1" applyFill="1" applyAlignment="1" applyProtection="1">
      <alignment horizontal="center" vertical="center"/>
      <protection locked="0"/>
    </xf>
    <xf numFmtId="0" fontId="37" fillId="2" borderId="0" xfId="0" applyFont="1" applyFill="1" applyAlignment="1" applyProtection="1">
      <alignment horizontal="right" vertical="center"/>
      <protection hidden="1"/>
    </xf>
    <xf numFmtId="0" fontId="15" fillId="2" borderId="126" xfId="0" applyFont="1" applyFill="1" applyBorder="1" applyAlignment="1" applyProtection="1">
      <alignment vertical="center"/>
      <protection locked="0"/>
    </xf>
    <xf numFmtId="0" fontId="15" fillId="2" borderId="127" xfId="0" applyFont="1" applyFill="1" applyBorder="1" applyAlignment="1" applyProtection="1">
      <alignment vertical="center"/>
      <protection locked="0"/>
    </xf>
    <xf numFmtId="0" fontId="15" fillId="2" borderId="128" xfId="0" applyFont="1" applyFill="1" applyBorder="1" applyAlignment="1" applyProtection="1">
      <alignment vertical="center"/>
      <protection locked="0"/>
    </xf>
    <xf numFmtId="0" fontId="41" fillId="4" borderId="0" xfId="0" applyFont="1" applyFill="1" applyAlignment="1" applyProtection="1">
      <alignment vertical="center"/>
      <protection locked="0"/>
    </xf>
    <xf numFmtId="0" fontId="22" fillId="0" borderId="0" xfId="0" applyFont="1" applyAlignment="1" applyProtection="1">
      <alignment vertical="center"/>
      <protection locked="0"/>
    </xf>
    <xf numFmtId="0" fontId="22" fillId="0" borderId="0" xfId="0" applyFont="1" applyAlignment="1" applyProtection="1">
      <alignment horizontal="left" vertical="center"/>
      <protection locked="0"/>
    </xf>
    <xf numFmtId="0" fontId="54" fillId="0" borderId="0" xfId="0" applyFont="1" applyAlignment="1" applyProtection="1">
      <alignment vertical="center"/>
      <protection locked="0"/>
    </xf>
    <xf numFmtId="180" fontId="19" fillId="0" borderId="0" xfId="0" applyNumberFormat="1" applyFont="1" applyAlignment="1" applyProtection="1">
      <alignment vertical="center"/>
      <protection locked="0"/>
    </xf>
    <xf numFmtId="0" fontId="5" fillId="4" borderId="46" xfId="0" applyFont="1" applyFill="1" applyBorder="1" applyAlignment="1" applyProtection="1">
      <alignment horizontal="center" vertical="center"/>
      <protection locked="0"/>
    </xf>
    <xf numFmtId="182" fontId="35" fillId="4" borderId="46" xfId="0" applyNumberFormat="1" applyFont="1" applyFill="1" applyBorder="1" applyAlignment="1" applyProtection="1">
      <alignment horizontal="right" vertical="center"/>
      <protection hidden="1"/>
    </xf>
    <xf numFmtId="0" fontId="0" fillId="0" borderId="50" xfId="0" applyBorder="1" applyProtection="1">
      <protection hidden="1"/>
    </xf>
    <xf numFmtId="0" fontId="0" fillId="0" borderId="45" xfId="0" applyBorder="1" applyProtection="1">
      <protection hidden="1"/>
    </xf>
    <xf numFmtId="178" fontId="22" fillId="0" borderId="0" xfId="0" applyNumberFormat="1" applyFont="1" applyAlignment="1" applyProtection="1">
      <alignment vertical="center"/>
      <protection hidden="1"/>
    </xf>
    <xf numFmtId="0" fontId="55" fillId="2" borderId="0" xfId="6" applyFont="1" applyFill="1" applyAlignment="1" applyProtection="1">
      <alignment horizontal="center" vertical="center"/>
      <protection locked="0"/>
    </xf>
    <xf numFmtId="0" fontId="12" fillId="4" borderId="46" xfId="0" applyFont="1" applyFill="1" applyBorder="1" applyAlignment="1" applyProtection="1">
      <alignment horizontal="left" vertical="center" wrapText="1"/>
      <protection hidden="1"/>
    </xf>
    <xf numFmtId="0" fontId="12" fillId="4" borderId="46" xfId="0" applyFont="1" applyFill="1" applyBorder="1" applyAlignment="1" applyProtection="1">
      <alignment horizontal="center" vertical="center" wrapText="1"/>
      <protection hidden="1"/>
    </xf>
    <xf numFmtId="180" fontId="12" fillId="4" borderId="46" xfId="0" applyNumberFormat="1" applyFont="1" applyFill="1" applyBorder="1" applyAlignment="1" applyProtection="1">
      <alignment horizontal="right" vertical="center"/>
      <protection locked="0"/>
    </xf>
    <xf numFmtId="180" fontId="12" fillId="15" borderId="46" xfId="0" applyNumberFormat="1" applyFont="1" applyFill="1" applyBorder="1" applyAlignment="1" applyProtection="1">
      <alignment horizontal="left" vertical="center"/>
      <protection hidden="1"/>
    </xf>
    <xf numFmtId="0" fontId="37" fillId="6" borderId="129" xfId="0" applyFont="1" applyFill="1" applyBorder="1" applyAlignment="1" applyProtection="1">
      <alignment horizontal="center" vertical="center"/>
      <protection locked="0"/>
    </xf>
    <xf numFmtId="0" fontId="37" fillId="6" borderId="130" xfId="0" applyFont="1" applyFill="1" applyBorder="1" applyAlignment="1" applyProtection="1">
      <alignment horizontal="center" vertical="center"/>
      <protection locked="0"/>
    </xf>
    <xf numFmtId="0" fontId="0" fillId="0" borderId="131" xfId="0" applyBorder="1" applyProtection="1">
      <protection locked="0"/>
    </xf>
    <xf numFmtId="180" fontId="37" fillId="6" borderId="129" xfId="0" applyNumberFormat="1" applyFont="1" applyFill="1" applyBorder="1" applyAlignment="1" applyProtection="1">
      <alignment horizontal="center" vertical="center"/>
      <protection locked="0"/>
    </xf>
    <xf numFmtId="180" fontId="37" fillId="6" borderId="132" xfId="0" applyNumberFormat="1" applyFont="1" applyFill="1" applyBorder="1" applyAlignment="1" applyProtection="1">
      <alignment horizontal="center" vertical="center"/>
      <protection locked="0"/>
    </xf>
    <xf numFmtId="0" fontId="37" fillId="6" borderId="133" xfId="0" applyFont="1" applyFill="1" applyBorder="1" applyAlignment="1" applyProtection="1">
      <alignment horizontal="center" vertical="center" wrapText="1"/>
      <protection locked="0"/>
    </xf>
    <xf numFmtId="0" fontId="0" fillId="0" borderId="129" xfId="0" applyBorder="1" applyProtection="1">
      <protection locked="0"/>
    </xf>
    <xf numFmtId="0" fontId="0" fillId="0" borderId="130" xfId="0" applyBorder="1" applyProtection="1">
      <protection locked="0"/>
    </xf>
    <xf numFmtId="0" fontId="37" fillId="6" borderId="134" xfId="0" applyFont="1" applyFill="1" applyBorder="1" applyAlignment="1" applyProtection="1">
      <alignment horizontal="center" vertical="center"/>
      <protection locked="0"/>
    </xf>
    <xf numFmtId="0" fontId="0" fillId="0" borderId="132" xfId="0" applyBorder="1" applyProtection="1">
      <protection locked="0"/>
    </xf>
    <xf numFmtId="0" fontId="0" fillId="0" borderId="133" xfId="0" applyBorder="1" applyProtection="1">
      <protection locked="0"/>
    </xf>
    <xf numFmtId="0" fontId="4" fillId="10" borderId="129" xfId="0" applyFont="1" applyFill="1" applyBorder="1" applyAlignment="1" applyProtection="1">
      <alignment vertical="center"/>
      <protection locked="0"/>
    </xf>
    <xf numFmtId="0" fontId="4" fillId="10" borderId="132" xfId="0" applyFont="1" applyFill="1" applyBorder="1" applyAlignment="1" applyProtection="1">
      <alignment horizontal="center" vertical="center"/>
      <protection locked="0"/>
    </xf>
    <xf numFmtId="0" fontId="56" fillId="10" borderId="132" xfId="0" applyFont="1" applyFill="1" applyBorder="1" applyAlignment="1" applyProtection="1">
      <alignment horizontal="left" vertical="center"/>
      <protection locked="0"/>
    </xf>
    <xf numFmtId="0" fontId="21" fillId="10" borderId="129" xfId="0" applyFont="1" applyFill="1" applyBorder="1" applyAlignment="1" applyProtection="1">
      <alignment vertical="center"/>
      <protection locked="0"/>
    </xf>
    <xf numFmtId="0" fontId="21" fillId="10" borderId="135" xfId="0" applyFont="1" applyFill="1" applyBorder="1" applyAlignment="1" applyProtection="1">
      <alignment vertical="center"/>
      <protection locked="0"/>
    </xf>
    <xf numFmtId="180" fontId="3" fillId="10" borderId="129" xfId="0" applyNumberFormat="1" applyFont="1" applyFill="1" applyBorder="1" applyAlignment="1" applyProtection="1">
      <alignment vertical="center"/>
      <protection locked="0"/>
    </xf>
    <xf numFmtId="180" fontId="3" fillId="10" borderId="132" xfId="0" applyNumberFormat="1" applyFont="1" applyFill="1" applyBorder="1" applyAlignment="1" applyProtection="1">
      <alignment vertical="center"/>
      <protection locked="0"/>
    </xf>
    <xf numFmtId="0" fontId="4" fillId="10" borderId="136" xfId="0" applyFont="1" applyFill="1" applyBorder="1" applyAlignment="1" applyProtection="1">
      <alignment vertical="center"/>
      <protection locked="0"/>
    </xf>
    <xf numFmtId="0" fontId="4" fillId="10" borderId="135" xfId="0" applyFont="1" applyFill="1" applyBorder="1" applyAlignment="1" applyProtection="1">
      <alignment vertical="center"/>
      <protection locked="0"/>
    </xf>
    <xf numFmtId="0" fontId="4" fillId="10" borderId="137" xfId="0" applyFont="1" applyFill="1" applyBorder="1" applyAlignment="1" applyProtection="1">
      <alignment horizontal="center" vertical="center"/>
      <protection locked="0"/>
    </xf>
    <xf numFmtId="0" fontId="56" fillId="10" borderId="137" xfId="0" applyFont="1" applyFill="1" applyBorder="1" applyAlignment="1" applyProtection="1">
      <alignment horizontal="left" vertical="center"/>
      <protection locked="0"/>
    </xf>
    <xf numFmtId="180" fontId="3" fillId="10" borderId="135" xfId="0" applyNumberFormat="1" applyFont="1" applyFill="1" applyBorder="1" applyAlignment="1" applyProtection="1">
      <alignment vertical="center"/>
      <protection locked="0"/>
    </xf>
    <xf numFmtId="0" fontId="4" fillId="10" borderId="138" xfId="0" applyFont="1" applyFill="1" applyBorder="1" applyAlignment="1" applyProtection="1">
      <alignment vertical="center"/>
      <protection locked="0"/>
    </xf>
    <xf numFmtId="180" fontId="3" fillId="10" borderId="137" xfId="0" applyNumberFormat="1" applyFont="1" applyFill="1" applyBorder="1" applyAlignment="1" applyProtection="1">
      <alignment vertical="center"/>
      <protection locked="0"/>
    </xf>
    <xf numFmtId="0" fontId="57" fillId="10" borderId="132" xfId="0" applyFont="1" applyFill="1" applyBorder="1" applyAlignment="1" applyProtection="1">
      <alignment horizontal="left" vertical="center"/>
      <protection locked="0"/>
    </xf>
    <xf numFmtId="0" fontId="4" fillId="10" borderId="137" xfId="0" applyFont="1" applyFill="1" applyBorder="1" applyAlignment="1" applyProtection="1">
      <alignment horizontal="left" vertical="center"/>
      <protection locked="0"/>
    </xf>
    <xf numFmtId="0" fontId="58" fillId="0" borderId="0" xfId="0" applyFont="1" applyAlignment="1" applyProtection="1">
      <alignment vertical="center"/>
      <protection locked="0"/>
    </xf>
    <xf numFmtId="0" fontId="59" fillId="0" borderId="0" xfId="0" applyFont="1" applyAlignment="1" applyProtection="1">
      <alignment vertical="center"/>
      <protection locked="0"/>
    </xf>
    <xf numFmtId="0" fontId="60" fillId="0" borderId="0" xfId="0" applyFont="1" applyAlignment="1">
      <alignment horizontal="center" vertical="center"/>
    </xf>
    <xf numFmtId="0" fontId="34" fillId="4" borderId="79" xfId="0" applyFont="1" applyFill="1" applyBorder="1" applyAlignment="1" applyProtection="1">
      <alignment horizontal="center" vertical="center"/>
      <protection locked="0"/>
    </xf>
    <xf numFmtId="0" fontId="0" fillId="0" borderId="79" xfId="0" applyBorder="1" applyProtection="1">
      <protection locked="0"/>
    </xf>
    <xf numFmtId="0" fontId="12" fillId="4" borderId="0" xfId="0" applyFont="1" applyFill="1" applyAlignment="1" applyProtection="1">
      <alignment vertical="center"/>
      <protection locked="0"/>
    </xf>
    <xf numFmtId="0" fontId="42" fillId="4" borderId="0" xfId="0" applyFont="1" applyFill="1" applyAlignment="1" applyProtection="1">
      <alignment vertical="center"/>
      <protection locked="0"/>
    </xf>
    <xf numFmtId="0" fontId="35" fillId="4" borderId="0" xfId="0" applyFont="1" applyFill="1" applyProtection="1">
      <protection locked="0"/>
    </xf>
    <xf numFmtId="0" fontId="61" fillId="3" borderId="139" xfId="0" applyFont="1" applyFill="1" applyBorder="1" applyAlignment="1">
      <alignment horizontal="center" vertical="center"/>
    </xf>
    <xf numFmtId="0" fontId="61" fillId="3" borderId="140" xfId="0" applyFont="1" applyFill="1" applyBorder="1" applyAlignment="1">
      <alignment horizontal="center" vertical="center"/>
    </xf>
    <xf numFmtId="0" fontId="61" fillId="3" borderId="141" xfId="0" applyFont="1" applyFill="1" applyBorder="1" applyAlignment="1">
      <alignment horizontal="center" vertical="center"/>
    </xf>
    <xf numFmtId="0" fontId="38" fillId="6" borderId="139" xfId="0" applyFont="1" applyFill="1" applyBorder="1" applyAlignment="1" applyProtection="1">
      <alignment horizontal="center" vertical="center"/>
      <protection locked="0"/>
    </xf>
    <xf numFmtId="0" fontId="38" fillId="6" borderId="140" xfId="0" applyFont="1" applyFill="1" applyBorder="1" applyAlignment="1" applyProtection="1">
      <alignment horizontal="center" vertical="center"/>
      <protection locked="0"/>
    </xf>
    <xf numFmtId="0" fontId="38" fillId="6" borderId="142" xfId="0" applyFont="1" applyFill="1" applyBorder="1" applyAlignment="1" applyProtection="1">
      <alignment horizontal="center" vertical="center"/>
      <protection locked="0"/>
    </xf>
    <xf numFmtId="0" fontId="38" fillId="6" borderId="143" xfId="0" applyFont="1" applyFill="1" applyBorder="1" applyAlignment="1" applyProtection="1">
      <alignment horizontal="center" vertical="center"/>
      <protection locked="0"/>
    </xf>
    <xf numFmtId="0" fontId="38" fillId="6" borderId="144" xfId="0" applyFont="1" applyFill="1" applyBorder="1" applyAlignment="1" applyProtection="1">
      <alignment horizontal="center" vertical="center"/>
      <protection locked="0"/>
    </xf>
    <xf numFmtId="0" fontId="62" fillId="17" borderId="144" xfId="0" applyFont="1" applyFill="1" applyBorder="1" applyAlignment="1" applyProtection="1">
      <alignment horizontal="center" vertical="center"/>
      <protection locked="0"/>
    </xf>
    <xf numFmtId="0" fontId="22" fillId="3" borderId="54" xfId="0" applyFont="1" applyFill="1" applyBorder="1" applyAlignment="1">
      <alignment horizontal="center" vertical="center"/>
    </xf>
    <xf numFmtId="0" fontId="22" fillId="3" borderId="46" xfId="0" applyFont="1" applyFill="1" applyBorder="1" applyAlignment="1">
      <alignment horizontal="center" vertical="center"/>
    </xf>
    <xf numFmtId="0" fontId="63" fillId="17" borderId="46" xfId="0" applyFont="1" applyFill="1" applyBorder="1" applyAlignment="1">
      <alignment vertical="center"/>
    </xf>
    <xf numFmtId="0" fontId="22" fillId="0" borderId="46" xfId="0" applyFont="1" applyBorder="1" applyAlignment="1">
      <alignment vertical="center"/>
    </xf>
    <xf numFmtId="0" fontId="22" fillId="0" borderId="47" xfId="0" applyFont="1" applyBorder="1" applyAlignment="1">
      <alignment vertical="center"/>
    </xf>
    <xf numFmtId="0" fontId="45" fillId="15" borderId="145" xfId="0" applyFont="1" applyFill="1" applyBorder="1" applyAlignment="1" applyProtection="1">
      <alignment vertical="center"/>
      <protection locked="0"/>
    </xf>
    <xf numFmtId="0" fontId="45" fillId="15" borderId="45" xfId="0" applyFont="1" applyFill="1" applyBorder="1" applyAlignment="1" applyProtection="1">
      <alignment vertical="center"/>
      <protection locked="0"/>
    </xf>
    <xf numFmtId="0" fontId="37" fillId="18" borderId="41" xfId="0" applyFont="1" applyFill="1" applyBorder="1" applyAlignment="1" applyProtection="1">
      <alignment vertical="center"/>
      <protection locked="0"/>
    </xf>
    <xf numFmtId="0" fontId="24" fillId="0" borderId="146" xfId="0" applyBorder="1" applyAlignment="1" applyProtection="1">
      <alignment vertical="center"/>
      <protection locked="0"/>
    </xf>
    <xf numFmtId="0" fontId="24" fillId="0" borderId="84" xfId="0" applyBorder="1" applyAlignment="1" applyProtection="1">
      <alignment vertical="center"/>
      <protection locked="0"/>
    </xf>
    <xf numFmtId="0" fontId="64" fillId="0" borderId="46" xfId="0" applyFont="1" applyBorder="1" applyAlignment="1">
      <alignment vertical="center"/>
    </xf>
    <xf numFmtId="0" fontId="65" fillId="0" borderId="46" xfId="0" applyFont="1" applyBorder="1" applyAlignment="1">
      <alignment vertical="center"/>
    </xf>
    <xf numFmtId="0" fontId="24" fillId="16" borderId="54" xfId="0" applyFill="1" applyBorder="1" applyAlignment="1" applyProtection="1">
      <alignment horizontal="center" vertical="center"/>
      <protection locked="0"/>
    </xf>
    <xf numFmtId="0" fontId="24" fillId="16" borderId="46" xfId="0" applyFill="1" applyBorder="1" applyAlignment="1" applyProtection="1">
      <alignment horizontal="center" vertical="center"/>
      <protection locked="0"/>
    </xf>
    <xf numFmtId="0" fontId="4" fillId="19" borderId="146" xfId="0" applyFont="1" applyFill="1" applyBorder="1" applyAlignment="1" applyProtection="1">
      <alignment vertical="center"/>
      <protection locked="0"/>
    </xf>
    <xf numFmtId="0" fontId="66" fillId="19" borderId="146" xfId="0" applyFont="1" applyFill="1" applyBorder="1" applyAlignment="1" applyProtection="1">
      <alignment vertical="center"/>
      <protection locked="0"/>
    </xf>
    <xf numFmtId="0" fontId="56" fillId="19" borderId="146" xfId="0" applyFont="1" applyFill="1" applyBorder="1" applyAlignment="1" applyProtection="1">
      <alignment vertical="center"/>
      <protection locked="0"/>
    </xf>
    <xf numFmtId="0" fontId="66" fillId="0" borderId="84" xfId="0" applyFont="1" applyBorder="1" applyAlignment="1" applyProtection="1">
      <alignment vertical="center"/>
      <protection locked="0"/>
    </xf>
    <xf numFmtId="0" fontId="22" fillId="0" borderId="84" xfId="0" applyFont="1" applyBorder="1" applyAlignment="1" applyProtection="1">
      <alignment vertical="center"/>
      <protection locked="0"/>
    </xf>
    <xf numFmtId="0" fontId="57" fillId="0" borderId="84" xfId="0" applyFont="1" applyBorder="1" applyAlignment="1" applyProtection="1">
      <alignment vertical="center"/>
      <protection locked="0"/>
    </xf>
    <xf numFmtId="0" fontId="67" fillId="0" borderId="0" xfId="0" applyFont="1"/>
    <xf numFmtId="0" fontId="56" fillId="0" borderId="84" xfId="0" applyFont="1" applyBorder="1" applyAlignment="1" applyProtection="1">
      <alignment vertical="center"/>
      <protection locked="0"/>
    </xf>
    <xf numFmtId="0" fontId="68" fillId="17" borderId="46" xfId="0" applyFont="1" applyFill="1" applyBorder="1" applyAlignment="1">
      <alignment vertical="center"/>
    </xf>
    <xf numFmtId="0" fontId="45" fillId="4" borderId="145" xfId="0" applyFont="1" applyFill="1" applyBorder="1" applyAlignment="1" applyProtection="1">
      <alignment vertical="center"/>
      <protection locked="0"/>
    </xf>
    <xf numFmtId="0" fontId="45" fillId="4" borderId="45" xfId="0" applyFont="1" applyFill="1" applyBorder="1" applyAlignment="1" applyProtection="1">
      <alignment vertical="center"/>
      <protection locked="0"/>
    </xf>
    <xf numFmtId="0" fontId="37" fillId="4" borderId="41" xfId="0" applyFont="1" applyFill="1" applyBorder="1" applyAlignment="1" applyProtection="1">
      <alignment vertical="center"/>
      <protection locked="0"/>
    </xf>
    <xf numFmtId="0" fontId="22" fillId="3" borderId="147" xfId="0" applyFont="1" applyFill="1" applyBorder="1" applyAlignment="1">
      <alignment horizontal="center" vertical="center"/>
    </xf>
    <xf numFmtId="0" fontId="22" fillId="3" borderId="148" xfId="0" applyFont="1" applyFill="1" applyBorder="1" applyAlignment="1">
      <alignment vertical="center"/>
    </xf>
    <xf numFmtId="0" fontId="64" fillId="0" borderId="148" xfId="0" applyFont="1" applyBorder="1" applyAlignment="1">
      <alignment vertical="center"/>
    </xf>
    <xf numFmtId="0" fontId="65" fillId="0" borderId="148" xfId="0" applyFont="1" applyBorder="1" applyAlignment="1">
      <alignment vertical="center"/>
    </xf>
    <xf numFmtId="0" fontId="24" fillId="16" borderId="71" xfId="0" applyFill="1" applyBorder="1" applyAlignment="1" applyProtection="1">
      <alignment horizontal="center" vertical="center"/>
      <protection locked="0"/>
    </xf>
    <xf numFmtId="0" fontId="24" fillId="16" borderId="64" xfId="0" applyFill="1" applyBorder="1" applyAlignment="1" applyProtection="1">
      <alignment horizontal="center" vertical="center"/>
      <protection locked="0"/>
    </xf>
    <xf numFmtId="0" fontId="37" fillId="18" borderId="65" xfId="0" applyFont="1" applyFill="1" applyBorder="1" applyAlignment="1" applyProtection="1">
      <alignment vertical="center"/>
      <protection locked="0"/>
    </xf>
    <xf numFmtId="0" fontId="22" fillId="0" borderId="149" xfId="0" applyFont="1" applyBorder="1" applyAlignment="1">
      <alignment horizontal="left" vertical="center"/>
    </xf>
    <xf numFmtId="0" fontId="0" fillId="0" borderId="150" xfId="0" applyBorder="1"/>
    <xf numFmtId="0" fontId="0" fillId="0" borderId="151" xfId="0" applyBorder="1"/>
    <xf numFmtId="0" fontId="4" fillId="2" borderId="0" xfId="0" applyFont="1" applyFill="1" applyAlignment="1" applyProtection="1">
      <alignment vertical="center"/>
      <protection locked="0"/>
    </xf>
    <xf numFmtId="178" fontId="9" fillId="4" borderId="0" xfId="0" applyNumberFormat="1" applyFont="1" applyFill="1" applyAlignment="1" applyProtection="1">
      <alignment vertical="center"/>
      <protection hidden="1"/>
    </xf>
    <xf numFmtId="178" fontId="4" fillId="2" borderId="0" xfId="0" applyNumberFormat="1" applyFont="1" applyFill="1" applyAlignment="1" applyProtection="1">
      <alignment vertical="center"/>
      <protection hidden="1"/>
    </xf>
    <xf numFmtId="0" fontId="69" fillId="4" borderId="0" xfId="0" applyFont="1" applyFill="1" applyAlignment="1" applyProtection="1">
      <alignment horizontal="center" vertical="center"/>
      <protection locked="0"/>
    </xf>
    <xf numFmtId="0" fontId="12" fillId="4" borderId="152" xfId="0" applyFont="1" applyFill="1" applyBorder="1" applyAlignment="1" applyProtection="1">
      <alignment horizontal="left" vertical="center" indent="1"/>
      <protection locked="0"/>
    </xf>
    <xf numFmtId="0" fontId="9" fillId="4" borderId="152" xfId="0" applyFont="1" applyFill="1" applyBorder="1" applyAlignment="1" applyProtection="1">
      <alignment vertical="center" wrapText="1"/>
      <protection locked="0"/>
    </xf>
    <xf numFmtId="57" fontId="9" fillId="4" borderId="152" xfId="0" applyNumberFormat="1" applyFont="1" applyFill="1" applyBorder="1" applyAlignment="1" applyProtection="1">
      <alignment horizontal="left" vertical="center" wrapText="1"/>
      <protection locked="0"/>
    </xf>
    <xf numFmtId="183" fontId="9" fillId="4" borderId="152" xfId="0" applyNumberFormat="1" applyFont="1" applyFill="1" applyBorder="1" applyAlignment="1" applyProtection="1">
      <alignment horizontal="left" vertical="center" wrapText="1"/>
      <protection locked="0"/>
    </xf>
    <xf numFmtId="0" fontId="9" fillId="4" borderId="0" xfId="0" applyFont="1" applyFill="1" applyAlignment="1" applyProtection="1">
      <alignment horizontal="left" vertical="center" indent="1"/>
      <protection locked="0"/>
    </xf>
    <xf numFmtId="0" fontId="35" fillId="4" borderId="0" xfId="0" applyFont="1" applyFill="1" applyAlignment="1" applyProtection="1">
      <alignment horizontal="left" vertical="center" wrapText="1"/>
      <protection locked="0"/>
    </xf>
    <xf numFmtId="0" fontId="70" fillId="4" borderId="0" xfId="0" applyFont="1" applyFill="1" applyAlignment="1">
      <alignment horizontal="center" vertical="center" wrapText="1"/>
    </xf>
    <xf numFmtId="0" fontId="0" fillId="2" borderId="0" xfId="0" applyFill="1" applyAlignment="1">
      <alignment horizontal="center"/>
    </xf>
    <xf numFmtId="0" fontId="71" fillId="4" borderId="0" xfId="0" applyFont="1" applyFill="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9">
    <dxf>
      <fill>
        <patternFill patternType="solid">
          <bgColor indexed="42"/>
        </patternFill>
      </fill>
    </dxf>
    <dxf>
      <font>
        <color indexed="17"/>
      </font>
      <fill>
        <patternFill patternType="solid">
          <bgColor indexed="41"/>
        </patternFill>
      </fill>
    </dxf>
    <dxf>
      <font>
        <color indexed="10"/>
      </font>
      <fill>
        <patternFill patternType="solid">
          <bgColor indexed="47"/>
        </patternFill>
      </fill>
    </dxf>
    <dxf>
      <font>
        <color indexed="58"/>
      </font>
    </dxf>
    <dxf>
      <font>
        <color indexed="16"/>
      </font>
    </dxf>
    <dxf>
      <font>
        <color indexed="12"/>
      </font>
    </dxf>
    <dxf>
      <font>
        <color indexed="10"/>
      </font>
    </dxf>
    <dxf>
      <font>
        <color indexed="58"/>
      </font>
    </dxf>
    <dxf>
      <font>
        <color indexed="16"/>
      </font>
    </dxf>
  </dxfs>
  <tableStyles count="0" defaultTableStyle="TableStyleMedium2" defaultPivotStyle="PivotStyleLight16"/>
  <colors>
    <mruColors>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S17"/>
  <sheetViews>
    <sheetView zoomScale="140" zoomScaleNormal="140" workbookViewId="0">
      <selection activeCell="A1" sqref="A1:K1"/>
    </sheetView>
  </sheetViews>
  <sheetFormatPr defaultColWidth="9" defaultRowHeight="14.25"/>
  <cols>
    <col min="8" max="9" width="9" customWidth="1"/>
    <col min="11" max="11" width="10.875" customWidth="1"/>
  </cols>
  <sheetData>
    <row r="1" s="1" customFormat="1" ht="100" customHeight="1" spans="1:19">
      <c r="A1" s="516" t="s">
        <v>0</v>
      </c>
      <c r="L1" s="517"/>
      <c r="M1" s="517"/>
      <c r="N1" s="517"/>
      <c r="O1" s="517"/>
      <c r="P1" s="517"/>
      <c r="Q1" s="517"/>
      <c r="R1" s="517"/>
      <c r="S1" s="517"/>
    </row>
    <row r="2" s="1" customFormat="1" ht="29" customHeight="1" spans="1:19">
      <c r="A2" s="518"/>
      <c r="B2" s="518"/>
      <c r="C2" s="518"/>
      <c r="D2" s="518"/>
      <c r="E2" s="518"/>
      <c r="F2" s="518"/>
      <c r="G2" s="518"/>
      <c r="H2" s="518"/>
      <c r="I2" s="518"/>
      <c r="J2" s="518"/>
      <c r="K2" s="518"/>
      <c r="L2" s="517"/>
      <c r="M2" s="517"/>
      <c r="N2" s="517"/>
      <c r="O2" s="517"/>
      <c r="P2" s="517"/>
      <c r="Q2" s="517"/>
      <c r="R2" s="517"/>
      <c r="S2" s="517"/>
    </row>
    <row r="3" s="1" customFormat="1" ht="29" customHeight="1" spans="1:19">
      <c r="A3" s="518"/>
      <c r="L3" s="517"/>
      <c r="M3" s="517"/>
      <c r="N3" s="517"/>
      <c r="O3" s="517"/>
      <c r="P3" s="517"/>
      <c r="Q3" s="517"/>
      <c r="R3" s="517"/>
      <c r="S3" s="517"/>
    </row>
    <row r="4" s="1" customFormat="1" ht="29" customHeight="1" spans="1:19">
      <c r="A4" s="518"/>
      <c r="B4" s="518"/>
      <c r="C4" s="518"/>
      <c r="D4" s="518"/>
      <c r="E4" s="518"/>
      <c r="F4" s="518"/>
      <c r="G4" s="518"/>
      <c r="H4" s="518"/>
      <c r="I4" s="518"/>
      <c r="J4" s="518"/>
      <c r="K4" s="518"/>
      <c r="L4" s="517"/>
      <c r="M4" s="517"/>
      <c r="N4" s="517"/>
      <c r="O4" s="517"/>
      <c r="P4" s="517"/>
      <c r="Q4" s="517"/>
      <c r="R4" s="517"/>
      <c r="S4" s="517"/>
    </row>
    <row r="5" s="1" customFormat="1" ht="29" customHeight="1" spans="1:19">
      <c r="A5" s="518"/>
      <c r="B5" s="518"/>
      <c r="C5" s="518"/>
      <c r="D5" s="518"/>
      <c r="E5" s="518"/>
      <c r="F5" s="518"/>
      <c r="G5" s="518"/>
      <c r="H5" s="518"/>
      <c r="I5" s="518"/>
      <c r="J5" s="518"/>
      <c r="K5" s="518"/>
      <c r="L5" s="517"/>
      <c r="M5" s="517"/>
      <c r="N5" s="517"/>
      <c r="O5" s="517"/>
      <c r="P5" s="517"/>
      <c r="Q5" s="517"/>
      <c r="R5" s="517"/>
      <c r="S5" s="517"/>
    </row>
    <row r="6" s="1" customFormat="1" ht="29" customHeight="1" spans="1:19">
      <c r="A6" s="518"/>
      <c r="B6" s="518"/>
      <c r="C6" s="518"/>
      <c r="D6" s="518"/>
      <c r="E6" s="518"/>
      <c r="F6" s="518"/>
      <c r="G6" s="518"/>
      <c r="H6" s="518"/>
      <c r="I6" s="518"/>
      <c r="J6" s="518"/>
      <c r="K6" s="518"/>
      <c r="L6" s="517"/>
      <c r="M6" s="517"/>
      <c r="N6" s="517"/>
      <c r="O6" s="517"/>
      <c r="P6" s="517"/>
      <c r="Q6" s="517"/>
      <c r="R6" s="517"/>
      <c r="S6" s="517"/>
    </row>
    <row r="7" s="1" customFormat="1" ht="29" customHeight="1" spans="1:19">
      <c r="A7" s="518"/>
      <c r="B7" s="518"/>
      <c r="C7" s="518"/>
      <c r="D7" s="518"/>
      <c r="E7" s="518"/>
      <c r="F7" s="518"/>
      <c r="G7" s="518"/>
      <c r="H7" s="518"/>
      <c r="I7" s="518"/>
      <c r="J7" s="518"/>
      <c r="K7" s="518"/>
      <c r="L7" s="517"/>
      <c r="M7" s="517"/>
      <c r="N7" s="517"/>
      <c r="O7" s="517"/>
      <c r="P7" s="517"/>
      <c r="Q7" s="517"/>
      <c r="R7" s="517"/>
      <c r="S7" s="517"/>
    </row>
    <row r="8" s="1" customFormat="1" ht="29" customHeight="1" spans="1:19">
      <c r="A8" s="518"/>
      <c r="B8" s="518"/>
      <c r="C8" s="518"/>
      <c r="D8" s="518"/>
      <c r="E8" s="518"/>
      <c r="F8" s="518"/>
      <c r="G8" s="518"/>
      <c r="H8" s="518"/>
      <c r="I8" s="518"/>
      <c r="J8" s="518"/>
      <c r="K8" s="518"/>
      <c r="L8" s="517"/>
      <c r="M8" s="517"/>
      <c r="N8" s="517"/>
      <c r="O8" s="517"/>
      <c r="P8" s="517"/>
      <c r="Q8" s="517"/>
      <c r="R8" s="517"/>
      <c r="S8" s="517"/>
    </row>
    <row r="9" s="1" customFormat="1" ht="29" customHeight="1" spans="1:19">
      <c r="A9" s="518"/>
      <c r="B9" s="518"/>
      <c r="C9" s="518"/>
      <c r="D9" s="518"/>
      <c r="E9" s="518"/>
      <c r="F9" s="518"/>
      <c r="G9" s="518"/>
      <c r="H9" s="518"/>
      <c r="I9" s="518"/>
      <c r="J9" s="518"/>
      <c r="K9" s="518"/>
      <c r="L9" s="517"/>
      <c r="M9" s="517"/>
      <c r="N9" s="517"/>
      <c r="O9" s="517"/>
      <c r="P9" s="517"/>
      <c r="Q9" s="517"/>
      <c r="R9" s="517"/>
      <c r="S9" s="517"/>
    </row>
    <row r="10" s="1" customFormat="1" spans="1:19">
      <c r="A10" s="518"/>
      <c r="B10" s="518"/>
      <c r="C10" s="518"/>
      <c r="D10" s="518"/>
      <c r="E10" s="518"/>
      <c r="F10" s="518"/>
      <c r="G10" s="518"/>
      <c r="H10" s="518"/>
      <c r="I10" s="518"/>
      <c r="J10" s="518"/>
      <c r="K10" s="518"/>
      <c r="L10" s="517"/>
      <c r="M10" s="517"/>
      <c r="N10" s="517"/>
      <c r="O10" s="517"/>
      <c r="P10" s="517"/>
      <c r="Q10" s="517"/>
      <c r="R10" s="517"/>
      <c r="S10" s="517"/>
    </row>
    <row r="11" s="1" customFormat="1" spans="1:19">
      <c r="A11" s="518"/>
      <c r="B11" s="518"/>
      <c r="C11" s="518"/>
      <c r="D11" s="518"/>
      <c r="E11" s="518"/>
      <c r="F11" s="518"/>
      <c r="G11" s="518"/>
      <c r="H11" s="518"/>
      <c r="I11" s="518"/>
      <c r="J11" s="518"/>
      <c r="K11" s="518"/>
      <c r="L11" s="517"/>
      <c r="M11" s="517"/>
      <c r="N11" s="517"/>
      <c r="O11" s="517"/>
      <c r="P11" s="517"/>
      <c r="Q11" s="517"/>
      <c r="R11" s="517"/>
      <c r="S11" s="517"/>
    </row>
    <row r="12" s="1" customFormat="1" spans="1:19">
      <c r="A12" s="518"/>
      <c r="B12" s="518"/>
      <c r="C12" s="518"/>
      <c r="D12" s="518"/>
      <c r="E12" s="518"/>
      <c r="F12" s="518"/>
      <c r="G12" s="518"/>
      <c r="H12" s="518"/>
      <c r="I12" s="518"/>
      <c r="J12" s="518"/>
      <c r="K12" s="518"/>
      <c r="L12" s="517"/>
      <c r="M12" s="517"/>
      <c r="N12" s="517"/>
      <c r="O12" s="517"/>
      <c r="P12" s="517"/>
      <c r="Q12" s="517"/>
      <c r="R12" s="517"/>
      <c r="S12" s="517"/>
    </row>
    <row r="13" s="1" customFormat="1" spans="1:19">
      <c r="A13" s="518"/>
      <c r="B13" s="518"/>
      <c r="C13" s="518"/>
      <c r="D13" s="518"/>
      <c r="E13" s="518"/>
      <c r="F13" s="518"/>
      <c r="G13" s="518"/>
      <c r="H13" s="518"/>
      <c r="I13" s="518"/>
      <c r="J13" s="518"/>
      <c r="K13" s="518"/>
      <c r="L13" s="517"/>
      <c r="M13" s="517"/>
      <c r="N13" s="517"/>
      <c r="O13" s="517"/>
      <c r="P13" s="517"/>
      <c r="Q13" s="517"/>
      <c r="R13" s="517"/>
      <c r="S13" s="517"/>
    </row>
    <row r="14" s="1" customFormat="1" spans="1:19">
      <c r="A14" s="518"/>
      <c r="B14" s="518"/>
      <c r="C14" s="518"/>
      <c r="D14" s="518"/>
      <c r="E14" s="518"/>
      <c r="F14" s="518"/>
      <c r="G14" s="518"/>
      <c r="H14" s="518"/>
      <c r="I14" s="518"/>
      <c r="J14" s="518"/>
      <c r="K14" s="518"/>
      <c r="L14" s="517"/>
      <c r="M14" s="517"/>
      <c r="N14" s="517"/>
      <c r="O14" s="517"/>
      <c r="P14" s="517"/>
      <c r="Q14" s="517"/>
      <c r="R14" s="517"/>
      <c r="S14" s="517"/>
    </row>
    <row r="15" s="1" customFormat="1" spans="1:19">
      <c r="A15" s="518"/>
      <c r="B15" s="518"/>
      <c r="C15" s="518"/>
      <c r="D15" s="518"/>
      <c r="E15" s="518"/>
      <c r="F15" s="518"/>
      <c r="G15" s="518"/>
      <c r="H15" s="518"/>
      <c r="I15" s="518"/>
      <c r="J15" s="518"/>
      <c r="K15" s="518"/>
      <c r="L15" s="517"/>
      <c r="M15" s="517"/>
      <c r="N15" s="517"/>
      <c r="O15" s="517"/>
      <c r="P15" s="517"/>
      <c r="Q15" s="517"/>
      <c r="R15" s="517"/>
      <c r="S15" s="517"/>
    </row>
    <row r="16" s="1" customFormat="1" spans="1:19">
      <c r="A16" s="518"/>
      <c r="B16" s="518"/>
      <c r="C16" s="518"/>
      <c r="D16" s="518"/>
      <c r="E16" s="518"/>
      <c r="F16" s="518"/>
      <c r="G16" s="518"/>
      <c r="H16" s="518"/>
      <c r="I16" s="518"/>
      <c r="J16" s="518"/>
      <c r="K16" s="518"/>
      <c r="L16" s="517"/>
      <c r="M16" s="517"/>
      <c r="N16" s="517"/>
      <c r="O16" s="517"/>
      <c r="P16" s="517"/>
      <c r="Q16" s="517"/>
      <c r="R16" s="517"/>
      <c r="S16" s="517"/>
    </row>
    <row r="17" s="1" customFormat="1" spans="1:19">
      <c r="A17" s="518"/>
      <c r="B17" s="518"/>
      <c r="C17" s="518"/>
      <c r="D17" s="518"/>
      <c r="E17" s="518"/>
      <c r="F17" s="518"/>
      <c r="G17" s="518"/>
      <c r="H17" s="518"/>
      <c r="I17" s="518"/>
      <c r="J17" s="518"/>
      <c r="K17" s="518"/>
      <c r="L17" s="517"/>
      <c r="M17" s="517"/>
      <c r="N17" s="517"/>
      <c r="O17" s="517"/>
      <c r="P17" s="517"/>
      <c r="Q17" s="517"/>
      <c r="R17" s="517"/>
      <c r="S17" s="517"/>
    </row>
  </sheetData>
  <mergeCells count="2">
    <mergeCell ref="A1:K1"/>
    <mergeCell ref="A3:K3"/>
  </mergeCells>
  <pageMargins left="1.49513888888889" right="0.75" top="0.629166666666667" bottom="0.393055555555556" header="0.511805555555556" footer="0.235416666666667"/>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indexed="61"/>
  </sheetPr>
  <dimension ref="A1:IQ13"/>
  <sheetViews>
    <sheetView showGridLines="0" tabSelected="1" zoomScale="145" zoomScaleNormal="145" workbookViewId="0">
      <selection activeCell="XFB12" sqref="XFB12"/>
    </sheetView>
  </sheetViews>
  <sheetFormatPr defaultColWidth="9" defaultRowHeight="16.5" zeroHeight="1"/>
  <cols>
    <col min="1" max="1" width="2.625" style="506" customWidth="1"/>
    <col min="2" max="2" width="7.625" style="506" customWidth="1"/>
    <col min="3" max="3" width="21.25" style="506" customWidth="1"/>
    <col min="4" max="4" width="28.5" style="506" customWidth="1"/>
    <col min="5" max="5" width="5.625" style="506" customWidth="1"/>
    <col min="6" max="6" width="7.625" style="506" customWidth="1"/>
    <col min="7" max="7" width="2.625" style="506" customWidth="1"/>
    <col min="8" max="8" width="12.125" style="506" customWidth="1"/>
    <col min="9" max="16380" width="9" style="506" hidden="1" customWidth="1"/>
    <col min="16381" max="16384" width="9" style="506" customWidth="1"/>
  </cols>
  <sheetData>
    <row r="1" ht="12" customHeight="1" spans="1:251">
      <c r="A1" s="20"/>
      <c r="B1" s="20"/>
      <c r="C1" s="20"/>
      <c r="D1" s="20"/>
      <c r="E1" s="20"/>
      <c r="F1" s="507" t="s">
        <v>1</v>
      </c>
      <c r="G1" s="20"/>
      <c r="H1" s="20"/>
      <c r="IQ1" s="508" t="s">
        <v>1</v>
      </c>
    </row>
    <row r="2" ht="39" customHeight="1" spans="1:251">
      <c r="A2" s="20"/>
      <c r="B2" s="20"/>
      <c r="C2" s="509" t="s">
        <v>2</v>
      </c>
      <c r="D2" s="3"/>
      <c r="E2" s="3"/>
      <c r="F2" s="3"/>
      <c r="G2" s="3"/>
      <c r="H2" s="20"/>
    </row>
    <row r="3" ht="27" customHeight="1" spans="1:251">
      <c r="A3" s="20"/>
      <c r="B3" s="20"/>
      <c r="C3" s="510" t="s">
        <v>3</v>
      </c>
      <c r="D3" s="511" t="s">
        <v>4</v>
      </c>
      <c r="E3" s="20"/>
      <c r="F3" s="20"/>
      <c r="G3" s="20"/>
      <c r="H3" s="20"/>
    </row>
    <row r="4" ht="27" customHeight="1" spans="1:251">
      <c r="A4" s="20"/>
      <c r="B4" s="20"/>
      <c r="C4" s="510" t="s">
        <v>5</v>
      </c>
      <c r="D4" s="512">
        <v>45992</v>
      </c>
      <c r="E4" s="20"/>
      <c r="F4" s="20"/>
      <c r="G4" s="20"/>
      <c r="H4" s="20"/>
    </row>
    <row r="5" ht="27" customHeight="1" spans="1:251">
      <c r="A5" s="20"/>
      <c r="B5" s="20"/>
      <c r="C5" s="510" t="s">
        <v>6</v>
      </c>
      <c r="D5" s="513">
        <v>46022</v>
      </c>
      <c r="E5" s="20"/>
      <c r="F5" s="20"/>
      <c r="G5" s="20"/>
      <c r="H5" s="20"/>
    </row>
    <row r="6" ht="27" customHeight="1" spans="1:251">
      <c r="A6" s="20"/>
      <c r="B6" s="20"/>
      <c r="C6" s="510" t="s">
        <v>7</v>
      </c>
      <c r="D6" s="511"/>
      <c r="E6" s="20"/>
      <c r="F6" s="20"/>
      <c r="G6" s="20"/>
      <c r="H6" s="20"/>
    </row>
    <row r="7" ht="27" customHeight="1" spans="1:251">
      <c r="A7" s="20"/>
      <c r="B7" s="20"/>
      <c r="C7" s="510" t="s">
        <v>8</v>
      </c>
      <c r="D7" s="511"/>
      <c r="E7" s="20"/>
      <c r="F7" s="20"/>
      <c r="G7" s="20"/>
      <c r="H7" s="20"/>
    </row>
    <row r="8" ht="27" customHeight="1" spans="1:251">
      <c r="A8" s="20"/>
      <c r="B8" s="20"/>
      <c r="C8" s="510" t="s">
        <v>9</v>
      </c>
      <c r="D8" s="511"/>
      <c r="E8" s="20"/>
      <c r="F8" s="20"/>
      <c r="G8" s="20"/>
      <c r="H8" s="20"/>
    </row>
    <row r="9" ht="27" customHeight="1" spans="1:251">
      <c r="A9" s="20"/>
      <c r="B9" s="20"/>
      <c r="C9" s="510" t="s">
        <v>10</v>
      </c>
      <c r="D9" s="511"/>
      <c r="E9" s="20"/>
      <c r="F9" s="20"/>
      <c r="G9" s="20"/>
      <c r="H9" s="20"/>
    </row>
    <row r="10" ht="27" customHeight="1" spans="1:251">
      <c r="A10" s="20"/>
      <c r="B10" s="20"/>
      <c r="C10" s="514"/>
      <c r="D10" s="20"/>
      <c r="E10" s="20"/>
      <c r="F10" s="20"/>
      <c r="G10" s="20"/>
      <c r="H10" s="20"/>
    </row>
    <row r="11" ht="27" customHeight="1" spans="1:251">
      <c r="A11" s="20"/>
      <c r="B11" s="20"/>
      <c r="C11" s="515" t="s">
        <v>11</v>
      </c>
      <c r="D11" s="3"/>
      <c r="E11" s="3"/>
      <c r="F11" s="3"/>
      <c r="G11" s="20"/>
      <c r="H11" s="20"/>
    </row>
    <row r="12" ht="27" customHeight="1" spans="1:251">
      <c r="A12" s="20"/>
      <c r="B12" s="20"/>
      <c r="C12" s="3"/>
      <c r="D12" s="3"/>
      <c r="E12" s="3"/>
      <c r="F12" s="3"/>
      <c r="G12" s="20"/>
      <c r="H12" s="20"/>
    </row>
    <row r="13" ht="27" customHeight="1" spans="1:251">
      <c r="A13" s="20"/>
      <c r="B13" s="20"/>
      <c r="C13" s="3"/>
      <c r="D13" s="3"/>
      <c r="E13" s="3"/>
      <c r="F13" s="3"/>
      <c r="G13" s="20"/>
      <c r="H13" s="20"/>
    </row>
  </sheetData>
  <mergeCells count="2">
    <mergeCell ref="C2:G2"/>
    <mergeCell ref="C11:F13"/>
  </mergeCells>
  <conditionalFormatting sqref="D3:D9">
    <cfRule type="cellIs" dxfId="0" priority="1" stopIfTrue="1" operator="equal">
      <formula>""</formula>
    </cfRule>
  </conditionalFormatting>
  <printOptions horizontalCentered="1"/>
  <pageMargins left="0.393055555555556" right="0.393055555555556" top="0.196527777777778" bottom="0.393055555555556" header="0.510416666666667" footer="0.196527777777778"/>
  <pageSetup paperSize="9" orientation="landscape" horizontalDpi="600" verticalDpi="600"/>
  <headerFooter alignWithMargins="0" scaleWithDoc="0">
    <oddFooter>&amp;C&amp;"黑体,常规"&amp;10 第 &amp;P 页，共 &amp;N 页</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indexed="41"/>
  </sheetPr>
  <dimension ref="A1:BG169"/>
  <sheetViews>
    <sheetView showGridLines="0" zoomScale="115" zoomScaleNormal="115" topLeftCell="F1" workbookViewId="0">
      <pane xSplit="4" ySplit="2" topLeftCell="J49" activePane="bottomRight" state="frozen"/>
      <selection/>
      <selection pane="topRight"/>
      <selection pane="bottomLeft"/>
      <selection pane="bottomRight" activeCell="W70" sqref="W70"/>
    </sheetView>
  </sheetViews>
  <sheetFormatPr defaultColWidth="9" defaultRowHeight="16.5" customHeight="1" zeroHeight="1"/>
  <cols>
    <col min="1" max="1" width="4.625" style="412" hidden="1" customWidth="1"/>
    <col min="2" max="2" width="6.625" style="412" hidden="1" customWidth="1"/>
    <col min="3" max="4" width="20.625" style="412" hidden="1" customWidth="1"/>
    <col min="5" max="5" width="84.625" style="412" hidden="1" customWidth="1"/>
    <col min="6" max="6" width="2.625" style="412" customWidth="1"/>
    <col min="7" max="7" width="5.625" style="158" customWidth="1"/>
    <col min="8" max="8" width="8.625" style="158" customWidth="1"/>
    <col min="9" max="9" width="21" style="412" customWidth="1"/>
    <col min="10" max="35" width="14.75" style="412" customWidth="1"/>
    <col min="36" max="59" width="14.75" style="412" hidden="1" customWidth="1"/>
    <col min="60" max="62" width="9" style="412" customWidth="1"/>
    <col min="63" max="16384" width="9" style="412" hidden="1" customWidth="1"/>
  </cols>
  <sheetData>
    <row r="1" ht="36" customHeight="1" spans="1:59">
      <c r="A1" s="455" t="s">
        <v>12</v>
      </c>
      <c r="G1" s="456" t="s">
        <v>13</v>
      </c>
      <c r="H1" s="457"/>
      <c r="I1" s="457"/>
      <c r="J1" s="458" t="s">
        <v>14</v>
      </c>
      <c r="K1" s="459"/>
      <c r="L1" s="459"/>
      <c r="M1" s="459"/>
      <c r="N1" s="459"/>
      <c r="O1" s="459"/>
      <c r="P1" s="459"/>
      <c r="Q1" s="459"/>
      <c r="R1" s="460"/>
      <c r="S1" s="459"/>
      <c r="T1" s="459"/>
      <c r="U1" s="459"/>
      <c r="V1" s="459"/>
      <c r="W1" s="459"/>
      <c r="X1" s="459"/>
      <c r="Y1" s="459"/>
      <c r="Z1" s="459"/>
      <c r="AA1" s="459"/>
      <c r="AB1" s="459"/>
      <c r="AC1" s="459"/>
      <c r="AD1" s="459"/>
      <c r="AE1" s="459"/>
      <c r="AF1" s="459"/>
      <c r="AG1" s="459"/>
      <c r="AH1" s="459"/>
      <c r="AI1" s="459"/>
    </row>
    <row r="2" s="454" customFormat="1" ht="25" customHeight="1" spans="1:59">
      <c r="A2" s="461" t="s">
        <v>15</v>
      </c>
      <c r="B2" s="462" t="s">
        <v>16</v>
      </c>
      <c r="C2" s="462" t="s">
        <v>17</v>
      </c>
      <c r="D2" s="462" t="s">
        <v>18</v>
      </c>
      <c r="E2" s="463" t="s">
        <v>19</v>
      </c>
      <c r="G2" s="464" t="s">
        <v>15</v>
      </c>
      <c r="H2" s="465" t="s">
        <v>20</v>
      </c>
      <c r="I2" s="466" t="s">
        <v>21</v>
      </c>
      <c r="J2" s="467" t="s">
        <v>22</v>
      </c>
      <c r="K2" s="468" t="s">
        <v>23</v>
      </c>
      <c r="L2" s="468" t="s">
        <v>24</v>
      </c>
      <c r="M2" s="468" t="s">
        <v>25</v>
      </c>
      <c r="N2" s="468" t="s">
        <v>26</v>
      </c>
      <c r="O2" s="468" t="s">
        <v>27</v>
      </c>
      <c r="P2" s="468" t="s">
        <v>28</v>
      </c>
      <c r="Q2" s="468" t="s">
        <v>29</v>
      </c>
      <c r="R2" s="468" t="s">
        <v>30</v>
      </c>
      <c r="S2" s="468" t="s">
        <v>31</v>
      </c>
      <c r="T2" s="468" t="s">
        <v>32</v>
      </c>
      <c r="U2" s="468" t="s">
        <v>33</v>
      </c>
      <c r="V2" s="468" t="s">
        <v>34</v>
      </c>
      <c r="W2" s="468" t="s">
        <v>35</v>
      </c>
      <c r="X2" s="468" t="s">
        <v>36</v>
      </c>
      <c r="Y2" s="468" t="s">
        <v>37</v>
      </c>
      <c r="Z2" s="468" t="s">
        <v>38</v>
      </c>
      <c r="AA2" s="468" t="s">
        <v>39</v>
      </c>
      <c r="AB2" s="468" t="s">
        <v>40</v>
      </c>
      <c r="AC2" s="468" t="s">
        <v>41</v>
      </c>
      <c r="AD2" s="468" t="s">
        <v>42</v>
      </c>
      <c r="AE2" s="468" t="s">
        <v>43</v>
      </c>
      <c r="AF2" s="468" t="s">
        <v>44</v>
      </c>
      <c r="AG2" s="468" t="s">
        <v>45</v>
      </c>
      <c r="AH2" s="468" t="s">
        <v>46</v>
      </c>
      <c r="AI2" s="468" t="s">
        <v>47</v>
      </c>
      <c r="AJ2" s="469" t="s">
        <v>48</v>
      </c>
      <c r="AK2" s="469" t="s">
        <v>49</v>
      </c>
      <c r="AL2" s="469" t="s">
        <v>50</v>
      </c>
      <c r="AM2" s="469" t="s">
        <v>51</v>
      </c>
      <c r="AN2" s="469" t="s">
        <v>52</v>
      </c>
      <c r="AO2" s="469" t="s">
        <v>53</v>
      </c>
      <c r="AP2" s="469" t="s">
        <v>54</v>
      </c>
      <c r="AQ2" s="469" t="s">
        <v>55</v>
      </c>
      <c r="AR2" s="469" t="s">
        <v>56</v>
      </c>
      <c r="AS2" s="469" t="s">
        <v>57</v>
      </c>
      <c r="AT2" s="469" t="s">
        <v>58</v>
      </c>
      <c r="AU2" s="469" t="s">
        <v>59</v>
      </c>
      <c r="AV2" s="469" t="s">
        <v>60</v>
      </c>
      <c r="AW2" s="469" t="s">
        <v>61</v>
      </c>
      <c r="AX2" s="469" t="s">
        <v>62</v>
      </c>
      <c r="AY2" s="469" t="s">
        <v>63</v>
      </c>
      <c r="AZ2" s="469" t="s">
        <v>64</v>
      </c>
      <c r="BA2" s="469" t="s">
        <v>65</v>
      </c>
      <c r="BB2" s="469" t="s">
        <v>66</v>
      </c>
      <c r="BC2" s="469" t="s">
        <v>67</v>
      </c>
      <c r="BD2" s="469" t="s">
        <v>68</v>
      </c>
      <c r="BE2" s="469" t="s">
        <v>69</v>
      </c>
      <c r="BF2" s="469" t="s">
        <v>70</v>
      </c>
      <c r="BG2" s="469" t="s">
        <v>71</v>
      </c>
    </row>
    <row r="3" ht="22" customHeight="1" spans="1:59">
      <c r="A3" s="470"/>
      <c r="B3" s="471"/>
      <c r="C3" s="472" t="s">
        <v>72</v>
      </c>
      <c r="D3" s="473"/>
      <c r="E3" s="474"/>
      <c r="G3" s="475" t="s">
        <v>72</v>
      </c>
      <c r="H3" s="476"/>
      <c r="I3" s="477"/>
      <c r="J3" s="478"/>
      <c r="K3" s="479"/>
      <c r="L3" s="479"/>
      <c r="M3" s="479"/>
      <c r="N3" s="479"/>
      <c r="O3" s="479"/>
      <c r="P3" s="479"/>
      <c r="Q3" s="479"/>
      <c r="R3" s="479"/>
      <c r="S3" s="479"/>
      <c r="T3" s="479"/>
      <c r="U3" s="479"/>
      <c r="V3" s="479"/>
      <c r="W3" s="479"/>
      <c r="X3" s="479"/>
      <c r="Y3" s="479"/>
      <c r="Z3" s="479"/>
      <c r="AA3" s="479"/>
      <c r="AB3" s="479"/>
      <c r="AC3" s="479"/>
      <c r="AD3" s="479"/>
      <c r="AE3" s="479"/>
      <c r="AF3" s="479"/>
      <c r="AG3" s="479"/>
      <c r="AH3" s="479"/>
      <c r="AI3" s="479"/>
      <c r="AJ3" s="479"/>
      <c r="AK3" s="479"/>
      <c r="AL3" s="479"/>
      <c r="AM3" s="479"/>
      <c r="AN3" s="479"/>
      <c r="AO3" s="479"/>
      <c r="AP3" s="479"/>
      <c r="AQ3" s="479"/>
      <c r="AR3" s="479"/>
      <c r="AS3" s="479"/>
      <c r="AT3" s="479"/>
      <c r="AU3" s="479"/>
      <c r="AV3" s="479"/>
      <c r="AW3" s="479"/>
      <c r="AX3" s="479"/>
      <c r="AY3" s="479"/>
      <c r="AZ3" s="479"/>
      <c r="BA3" s="479"/>
      <c r="BB3" s="479"/>
      <c r="BC3" s="479"/>
      <c r="BD3" s="479"/>
      <c r="BE3" s="479"/>
      <c r="BF3" s="479"/>
      <c r="BG3" s="479"/>
    </row>
    <row r="4" ht="14" customHeight="1" spans="1:59">
      <c r="A4" s="470">
        <v>1</v>
      </c>
      <c r="B4" s="471">
        <v>1001</v>
      </c>
      <c r="C4" s="480" t="s">
        <v>73</v>
      </c>
      <c r="D4" s="481" t="s">
        <v>74</v>
      </c>
      <c r="E4" s="474" t="s">
        <v>75</v>
      </c>
      <c r="G4" s="482">
        <v>1</v>
      </c>
      <c r="H4" s="483">
        <v>1001</v>
      </c>
      <c r="I4" s="477" t="s">
        <v>73</v>
      </c>
      <c r="J4" s="484" t="s">
        <v>76</v>
      </c>
      <c r="K4" s="485" t="s">
        <v>77</v>
      </c>
      <c r="L4" s="485" t="s">
        <v>78</v>
      </c>
      <c r="M4" s="479"/>
      <c r="N4" s="485" t="s">
        <v>79</v>
      </c>
      <c r="O4" s="479"/>
      <c r="P4" s="479"/>
      <c r="Q4" s="479"/>
      <c r="R4" s="479"/>
      <c r="S4" s="479"/>
      <c r="T4" s="479"/>
      <c r="U4" s="479"/>
      <c r="V4" s="479"/>
      <c r="W4" s="479"/>
      <c r="X4" s="479"/>
      <c r="Y4" s="479"/>
      <c r="Z4" s="479"/>
      <c r="AA4" s="479"/>
      <c r="AB4" s="479"/>
      <c r="AC4" s="479"/>
      <c r="AD4" s="479"/>
      <c r="AE4" s="479"/>
      <c r="AF4" s="479"/>
      <c r="AG4" s="479"/>
      <c r="AH4" s="479"/>
      <c r="AI4" s="479"/>
      <c r="AJ4" s="479"/>
      <c r="AK4" s="479"/>
      <c r="AL4" s="479"/>
      <c r="AM4" s="479"/>
      <c r="AN4" s="479"/>
      <c r="AO4" s="479"/>
      <c r="AP4" s="479"/>
      <c r="AQ4" s="479"/>
      <c r="AR4" s="479"/>
      <c r="AS4" s="479"/>
      <c r="AT4" s="479"/>
      <c r="AU4" s="479"/>
      <c r="AV4" s="479"/>
      <c r="AW4" s="479"/>
      <c r="AX4" s="479"/>
      <c r="AY4" s="479"/>
      <c r="AZ4" s="479"/>
      <c r="BA4" s="479"/>
      <c r="BB4" s="479"/>
      <c r="BC4" s="479"/>
      <c r="BD4" s="479"/>
      <c r="BE4" s="479"/>
      <c r="BF4" s="479"/>
      <c r="BG4" s="479"/>
    </row>
    <row r="5" ht="14" customHeight="1" spans="1:59">
      <c r="A5" s="470">
        <v>2</v>
      </c>
      <c r="B5" s="471">
        <v>1002</v>
      </c>
      <c r="C5" s="480" t="s">
        <v>80</v>
      </c>
      <c r="D5" s="481" t="s">
        <v>80</v>
      </c>
      <c r="E5" s="474" t="s">
        <v>81</v>
      </c>
      <c r="G5" s="482">
        <v>2</v>
      </c>
      <c r="H5" s="483">
        <v>1002</v>
      </c>
      <c r="I5" s="477" t="s">
        <v>80</v>
      </c>
      <c r="J5" s="486" t="s">
        <v>82</v>
      </c>
      <c r="K5" s="479"/>
      <c r="L5" s="484" t="s">
        <v>83</v>
      </c>
      <c r="M5" s="479"/>
      <c r="N5" s="484" t="s">
        <v>84</v>
      </c>
      <c r="O5" s="479" t="s">
        <v>85</v>
      </c>
      <c r="P5" s="479"/>
      <c r="Q5" s="479"/>
      <c r="R5" s="479"/>
      <c r="S5" s="479"/>
      <c r="T5" s="479"/>
      <c r="U5" s="479"/>
      <c r="V5" s="479"/>
      <c r="W5" s="479"/>
      <c r="X5" s="479"/>
      <c r="Y5" s="479"/>
      <c r="Z5" s="479"/>
      <c r="AA5" s="479"/>
      <c r="AB5" s="479"/>
      <c r="AC5" s="479"/>
      <c r="AD5" s="479"/>
      <c r="AE5" s="479"/>
      <c r="AF5" s="479"/>
      <c r="AG5" s="479"/>
      <c r="AH5" s="479"/>
      <c r="AI5" s="479"/>
      <c r="AJ5" s="479"/>
      <c r="AK5" s="479"/>
      <c r="AL5" s="479"/>
      <c r="AM5" s="479"/>
      <c r="AN5" s="479"/>
      <c r="AO5" s="479"/>
      <c r="AP5" s="479"/>
      <c r="AQ5" s="479"/>
      <c r="AR5" s="479"/>
      <c r="AS5" s="479"/>
      <c r="AT5" s="479"/>
      <c r="AU5" s="479"/>
      <c r="AV5" s="479"/>
      <c r="AW5" s="479"/>
      <c r="AX5" s="479"/>
      <c r="AY5" s="479"/>
      <c r="AZ5" s="479"/>
      <c r="BA5" s="479"/>
      <c r="BB5" s="479"/>
      <c r="BC5" s="479"/>
      <c r="BD5" s="479"/>
      <c r="BE5" s="479"/>
      <c r="BF5" s="479"/>
      <c r="BG5" s="479"/>
    </row>
    <row r="6" ht="14" customHeight="1" spans="1:59">
      <c r="A6" s="470">
        <v>3</v>
      </c>
      <c r="B6" s="471">
        <v>1003</v>
      </c>
      <c r="C6" s="480" t="s">
        <v>86</v>
      </c>
      <c r="D6" s="481" t="s">
        <v>87</v>
      </c>
      <c r="E6" s="474" t="s">
        <v>88</v>
      </c>
      <c r="G6" s="482">
        <v>3</v>
      </c>
      <c r="H6" s="483">
        <v>1012</v>
      </c>
      <c r="I6" s="477" t="s">
        <v>89</v>
      </c>
      <c r="J6" s="484" t="s">
        <v>90</v>
      </c>
      <c r="K6" s="479"/>
      <c r="L6" s="484"/>
      <c r="M6" s="479"/>
      <c r="N6" s="484"/>
      <c r="O6" s="479"/>
      <c r="P6" s="479"/>
      <c r="Q6" s="479"/>
      <c r="R6" s="479"/>
      <c r="S6" s="479"/>
      <c r="T6" s="479"/>
      <c r="U6" s="479"/>
      <c r="V6" s="479"/>
      <c r="W6" s="479"/>
      <c r="X6" s="479"/>
      <c r="Y6" s="479"/>
      <c r="Z6" s="479"/>
      <c r="AA6" s="479"/>
      <c r="AB6" s="479"/>
      <c r="AC6" s="479"/>
      <c r="AD6" s="479"/>
      <c r="AE6" s="479"/>
      <c r="AF6" s="479"/>
      <c r="AG6" s="479"/>
      <c r="AH6" s="479"/>
      <c r="AI6" s="479"/>
      <c r="AJ6" s="479"/>
      <c r="AK6" s="479"/>
      <c r="AL6" s="479"/>
      <c r="AM6" s="479"/>
      <c r="AN6" s="479"/>
      <c r="AO6" s="479"/>
      <c r="AP6" s="479"/>
      <c r="AQ6" s="479"/>
      <c r="AR6" s="479"/>
      <c r="AS6" s="479"/>
      <c r="AT6" s="479"/>
      <c r="AU6" s="479"/>
      <c r="AV6" s="479"/>
      <c r="AW6" s="479"/>
      <c r="AX6" s="479"/>
      <c r="AY6" s="479"/>
      <c r="AZ6" s="479"/>
      <c r="BA6" s="479"/>
      <c r="BB6" s="479"/>
      <c r="BC6" s="479"/>
      <c r="BD6" s="479"/>
      <c r="BE6" s="479"/>
      <c r="BF6" s="479"/>
      <c r="BG6" s="479"/>
    </row>
    <row r="7" ht="14" customHeight="1" spans="1:59">
      <c r="A7" s="470">
        <v>4</v>
      </c>
      <c r="B7" s="471">
        <v>1011</v>
      </c>
      <c r="C7" s="480" t="s">
        <v>91</v>
      </c>
      <c r="D7" s="481" t="s">
        <v>87</v>
      </c>
      <c r="E7" s="474" t="s">
        <v>92</v>
      </c>
      <c r="G7" s="482">
        <v>4</v>
      </c>
      <c r="H7" s="483">
        <v>1101</v>
      </c>
      <c r="I7" s="477" t="s">
        <v>93</v>
      </c>
      <c r="J7" s="484" t="s">
        <v>94</v>
      </c>
      <c r="K7" s="479" t="s">
        <v>95</v>
      </c>
      <c r="L7" s="484" t="s">
        <v>96</v>
      </c>
      <c r="M7" s="479" t="s">
        <v>97</v>
      </c>
      <c r="N7" s="484"/>
      <c r="O7" s="479"/>
      <c r="P7" s="479"/>
      <c r="Q7" s="479"/>
      <c r="R7" s="479"/>
      <c r="S7" s="479"/>
      <c r="T7" s="479"/>
      <c r="U7" s="479"/>
      <c r="V7" s="479"/>
      <c r="W7" s="479"/>
      <c r="X7" s="479"/>
      <c r="Y7" s="479"/>
      <c r="Z7" s="479"/>
      <c r="AA7" s="479"/>
      <c r="AB7" s="479"/>
      <c r="AC7" s="479"/>
      <c r="AD7" s="479"/>
      <c r="AE7" s="479"/>
      <c r="AF7" s="479"/>
      <c r="AG7" s="479"/>
      <c r="AH7" s="479"/>
      <c r="AI7" s="479"/>
      <c r="AJ7" s="479"/>
      <c r="AK7" s="479"/>
      <c r="AL7" s="479"/>
      <c r="AM7" s="479"/>
      <c r="AN7" s="479"/>
      <c r="AO7" s="479"/>
      <c r="AP7" s="479"/>
      <c r="AQ7" s="479"/>
      <c r="AR7" s="479"/>
      <c r="AS7" s="479"/>
      <c r="AT7" s="479"/>
      <c r="AU7" s="479"/>
      <c r="AV7" s="479"/>
      <c r="AW7" s="479"/>
      <c r="AX7" s="479"/>
      <c r="AY7" s="479"/>
      <c r="AZ7" s="479"/>
      <c r="BA7" s="479"/>
      <c r="BB7" s="479"/>
      <c r="BC7" s="479"/>
      <c r="BD7" s="479"/>
      <c r="BE7" s="479"/>
      <c r="BF7" s="479"/>
      <c r="BG7" s="479"/>
    </row>
    <row r="8" ht="14" customHeight="1" spans="1:59">
      <c r="A8" s="470">
        <v>5</v>
      </c>
      <c r="B8" s="471">
        <v>1012</v>
      </c>
      <c r="C8" s="480" t="s">
        <v>89</v>
      </c>
      <c r="D8" s="481" t="s">
        <v>89</v>
      </c>
      <c r="E8" s="474" t="s">
        <v>98</v>
      </c>
      <c r="G8" s="482">
        <v>5</v>
      </c>
      <c r="H8" s="483">
        <v>1121</v>
      </c>
      <c r="I8" s="477" t="s">
        <v>99</v>
      </c>
      <c r="J8" s="484"/>
      <c r="K8" s="479"/>
      <c r="L8" s="484"/>
      <c r="M8" s="479"/>
      <c r="N8" s="484"/>
      <c r="O8" s="479"/>
      <c r="P8" s="479"/>
      <c r="Q8" s="479"/>
      <c r="R8" s="479"/>
      <c r="S8" s="479"/>
      <c r="T8" s="479"/>
      <c r="U8" s="479"/>
      <c r="V8" s="479"/>
      <c r="W8" s="479"/>
      <c r="X8" s="479"/>
      <c r="Y8" s="479"/>
      <c r="Z8" s="479"/>
      <c r="AA8" s="479"/>
      <c r="AB8" s="479"/>
      <c r="AC8" s="479"/>
      <c r="AD8" s="479"/>
      <c r="AE8" s="479"/>
      <c r="AF8" s="479"/>
      <c r="AG8" s="479"/>
      <c r="AH8" s="479"/>
      <c r="AI8" s="479"/>
      <c r="AJ8" s="479"/>
      <c r="AK8" s="479"/>
      <c r="AL8" s="479"/>
      <c r="AM8" s="479"/>
      <c r="AN8" s="479"/>
      <c r="AO8" s="479"/>
      <c r="AP8" s="479"/>
      <c r="AQ8" s="479"/>
      <c r="AR8" s="479"/>
      <c r="AS8" s="479"/>
      <c r="AT8" s="479"/>
      <c r="AU8" s="479"/>
      <c r="AV8" s="479"/>
      <c r="AW8" s="479"/>
      <c r="AX8" s="479"/>
      <c r="AY8" s="479"/>
      <c r="AZ8" s="479"/>
      <c r="BA8" s="479"/>
      <c r="BB8" s="479"/>
      <c r="BC8" s="479"/>
      <c r="BD8" s="479"/>
      <c r="BE8" s="479"/>
      <c r="BF8" s="479"/>
      <c r="BG8" s="479"/>
    </row>
    <row r="9" ht="14" customHeight="1" spans="1:59">
      <c r="A9" s="470">
        <v>6</v>
      </c>
      <c r="B9" s="471">
        <v>1021</v>
      </c>
      <c r="C9" s="480" t="s">
        <v>100</v>
      </c>
      <c r="D9" s="481" t="s">
        <v>87</v>
      </c>
      <c r="E9" s="474" t="s">
        <v>101</v>
      </c>
      <c r="G9" s="482">
        <v>6</v>
      </c>
      <c r="H9" s="483">
        <v>1122</v>
      </c>
      <c r="I9" s="477" t="s">
        <v>102</v>
      </c>
      <c r="J9" s="484" t="s">
        <v>103</v>
      </c>
      <c r="K9" s="479" t="s">
        <v>104</v>
      </c>
      <c r="L9" s="484"/>
      <c r="M9" s="479"/>
      <c r="N9" s="484"/>
      <c r="O9" s="479"/>
      <c r="P9" s="479"/>
      <c r="Q9" s="479"/>
      <c r="R9" s="479"/>
      <c r="S9" s="479"/>
      <c r="T9" s="479"/>
      <c r="U9" s="479"/>
      <c r="V9" s="479"/>
      <c r="W9" s="479"/>
      <c r="X9" s="479"/>
      <c r="Y9" s="479"/>
      <c r="Z9" s="479"/>
      <c r="AA9" s="479"/>
      <c r="AB9" s="479"/>
      <c r="AC9" s="479"/>
      <c r="AD9" s="479"/>
      <c r="AE9" s="479"/>
      <c r="AF9" s="479"/>
      <c r="AG9" s="479"/>
      <c r="AH9" s="479"/>
      <c r="AI9" s="479"/>
      <c r="AJ9" s="479"/>
      <c r="AK9" s="479"/>
      <c r="AL9" s="479"/>
      <c r="AM9" s="479"/>
      <c r="AN9" s="479"/>
      <c r="AO9" s="479"/>
      <c r="AP9" s="479"/>
      <c r="AQ9" s="479"/>
      <c r="AR9" s="479"/>
      <c r="AS9" s="479"/>
      <c r="AT9" s="479"/>
      <c r="AU9" s="479"/>
      <c r="AV9" s="479"/>
      <c r="AW9" s="479"/>
      <c r="AX9" s="479"/>
      <c r="AY9" s="479"/>
      <c r="AZ9" s="479"/>
      <c r="BA9" s="479"/>
      <c r="BB9" s="479"/>
      <c r="BC9" s="479"/>
      <c r="BD9" s="479"/>
      <c r="BE9" s="479"/>
      <c r="BF9" s="479"/>
      <c r="BG9" s="479"/>
    </row>
    <row r="10" ht="14" customHeight="1" spans="1:59">
      <c r="A10" s="470">
        <v>7</v>
      </c>
      <c r="B10" s="471">
        <v>1031</v>
      </c>
      <c r="C10" s="480" t="s">
        <v>105</v>
      </c>
      <c r="D10" s="481" t="s">
        <v>87</v>
      </c>
      <c r="E10" s="474" t="s">
        <v>106</v>
      </c>
      <c r="G10" s="482">
        <v>7</v>
      </c>
      <c r="H10" s="483">
        <v>1123</v>
      </c>
      <c r="I10" s="477" t="s">
        <v>107</v>
      </c>
      <c r="J10" s="484"/>
      <c r="K10" s="479"/>
      <c r="L10" s="484"/>
      <c r="M10" s="479"/>
      <c r="N10" s="484"/>
      <c r="O10" s="479"/>
      <c r="P10" s="479"/>
      <c r="Q10" s="479"/>
      <c r="R10" s="479"/>
      <c r="S10" s="479"/>
      <c r="T10" s="479"/>
      <c r="U10" s="479"/>
      <c r="V10" s="479"/>
      <c r="W10" s="479"/>
      <c r="X10" s="479"/>
      <c r="Y10" s="479"/>
      <c r="Z10" s="479"/>
      <c r="AA10" s="479"/>
      <c r="AB10" s="479"/>
      <c r="AC10" s="479"/>
      <c r="AD10" s="479"/>
      <c r="AE10" s="479"/>
      <c r="AF10" s="479"/>
      <c r="AG10" s="479"/>
      <c r="AH10" s="479"/>
      <c r="AI10" s="479"/>
      <c r="AJ10" s="479"/>
      <c r="AK10" s="479"/>
      <c r="AL10" s="479"/>
      <c r="AM10" s="479"/>
      <c r="AN10" s="479"/>
      <c r="AO10" s="479"/>
      <c r="AP10" s="479"/>
      <c r="AQ10" s="479"/>
      <c r="AR10" s="479"/>
      <c r="AS10" s="479"/>
      <c r="AT10" s="479"/>
      <c r="AU10" s="479"/>
      <c r="AV10" s="479"/>
      <c r="AW10" s="479"/>
      <c r="AX10" s="479"/>
      <c r="AY10" s="479"/>
      <c r="AZ10" s="479"/>
      <c r="BA10" s="479"/>
      <c r="BB10" s="479"/>
      <c r="BC10" s="479"/>
      <c r="BD10" s="479"/>
      <c r="BE10" s="479"/>
      <c r="BF10" s="479"/>
      <c r="BG10" s="479"/>
    </row>
    <row r="11" ht="14" customHeight="1" spans="1:59">
      <c r="A11" s="470">
        <v>8</v>
      </c>
      <c r="B11" s="471">
        <v>1101</v>
      </c>
      <c r="C11" s="480" t="s">
        <v>108</v>
      </c>
      <c r="D11" s="481" t="s">
        <v>93</v>
      </c>
      <c r="E11" s="474" t="s">
        <v>109</v>
      </c>
      <c r="G11" s="482">
        <v>8</v>
      </c>
      <c r="H11" s="483">
        <v>1131</v>
      </c>
      <c r="I11" s="477" t="s">
        <v>110</v>
      </c>
      <c r="J11" s="484"/>
      <c r="K11" s="479"/>
      <c r="L11" s="484"/>
      <c r="M11" s="479"/>
      <c r="N11" s="484"/>
      <c r="O11" s="479"/>
      <c r="P11" s="479"/>
      <c r="Q11" s="479"/>
      <c r="R11" s="479"/>
      <c r="S11" s="479"/>
      <c r="T11" s="479"/>
      <c r="U11" s="479"/>
      <c r="V11" s="479"/>
      <c r="W11" s="479"/>
      <c r="X11" s="479"/>
      <c r="Y11" s="479"/>
      <c r="Z11" s="479"/>
      <c r="AA11" s="479"/>
      <c r="AB11" s="479"/>
      <c r="AC11" s="479"/>
      <c r="AD11" s="479"/>
      <c r="AE11" s="479"/>
      <c r="AF11" s="479"/>
      <c r="AG11" s="479"/>
      <c r="AH11" s="479"/>
      <c r="AI11" s="479"/>
      <c r="AJ11" s="479"/>
      <c r="AK11" s="479"/>
      <c r="AL11" s="479"/>
      <c r="AM11" s="479"/>
      <c r="AN11" s="479"/>
      <c r="AO11" s="479"/>
      <c r="AP11" s="479"/>
      <c r="AQ11" s="479"/>
      <c r="AR11" s="479"/>
      <c r="AS11" s="479"/>
      <c r="AT11" s="479"/>
      <c r="AU11" s="479"/>
      <c r="AV11" s="479"/>
      <c r="AW11" s="479"/>
      <c r="AX11" s="479"/>
      <c r="AY11" s="479"/>
      <c r="AZ11" s="479"/>
      <c r="BA11" s="479"/>
      <c r="BB11" s="479"/>
      <c r="BC11" s="479"/>
      <c r="BD11" s="479"/>
      <c r="BE11" s="479"/>
      <c r="BF11" s="479"/>
      <c r="BG11" s="479"/>
    </row>
    <row r="12" ht="14" customHeight="1" spans="1:59">
      <c r="A12" s="470">
        <v>9</v>
      </c>
      <c r="B12" s="471">
        <v>1111</v>
      </c>
      <c r="C12" s="480" t="s">
        <v>111</v>
      </c>
      <c r="D12" s="481" t="s">
        <v>87</v>
      </c>
      <c r="E12" s="474" t="s">
        <v>112</v>
      </c>
      <c r="G12" s="482">
        <v>9</v>
      </c>
      <c r="H12" s="483">
        <v>1132</v>
      </c>
      <c r="I12" s="477" t="s">
        <v>113</v>
      </c>
      <c r="J12" s="484"/>
      <c r="K12" s="479"/>
      <c r="L12" s="484"/>
      <c r="M12" s="479"/>
      <c r="N12" s="484"/>
      <c r="O12" s="479"/>
      <c r="P12" s="479"/>
      <c r="Q12" s="479"/>
      <c r="R12" s="479"/>
      <c r="S12" s="479"/>
      <c r="T12" s="479"/>
      <c r="U12" s="479"/>
      <c r="V12" s="479"/>
      <c r="W12" s="479"/>
      <c r="X12" s="479"/>
      <c r="Y12" s="479"/>
      <c r="Z12" s="479"/>
      <c r="AA12" s="479"/>
      <c r="AB12" s="479"/>
      <c r="AC12" s="479"/>
      <c r="AD12" s="479"/>
      <c r="AE12" s="479"/>
      <c r="AF12" s="479"/>
      <c r="AG12" s="479"/>
      <c r="AH12" s="479"/>
      <c r="AI12" s="479"/>
      <c r="AJ12" s="479"/>
      <c r="AK12" s="479"/>
      <c r="AL12" s="479"/>
      <c r="AM12" s="479"/>
      <c r="AN12" s="479"/>
      <c r="AO12" s="479"/>
      <c r="AP12" s="479"/>
      <c r="AQ12" s="479"/>
      <c r="AR12" s="479"/>
      <c r="AS12" s="479"/>
      <c r="AT12" s="479"/>
      <c r="AU12" s="479"/>
      <c r="AV12" s="479"/>
      <c r="AW12" s="479"/>
      <c r="AX12" s="479"/>
      <c r="AY12" s="479"/>
      <c r="AZ12" s="479"/>
      <c r="BA12" s="479"/>
      <c r="BB12" s="479"/>
      <c r="BC12" s="479"/>
      <c r="BD12" s="479"/>
      <c r="BE12" s="479"/>
      <c r="BF12" s="479"/>
      <c r="BG12" s="479"/>
    </row>
    <row r="13" ht="14" customHeight="1" spans="1:59">
      <c r="A13" s="470">
        <v>10</v>
      </c>
      <c r="B13" s="471">
        <v>1121</v>
      </c>
      <c r="C13" s="480" t="s">
        <v>99</v>
      </c>
      <c r="D13" s="481" t="s">
        <v>99</v>
      </c>
      <c r="E13" s="474" t="s">
        <v>114</v>
      </c>
      <c r="G13" s="482">
        <v>10</v>
      </c>
      <c r="H13" s="483">
        <v>1221</v>
      </c>
      <c r="I13" s="477" t="s">
        <v>115</v>
      </c>
      <c r="J13" s="484" t="s">
        <v>116</v>
      </c>
      <c r="K13" s="479" t="s">
        <v>117</v>
      </c>
      <c r="L13" s="484" t="s">
        <v>97</v>
      </c>
      <c r="M13" s="479"/>
      <c r="N13" s="484"/>
      <c r="O13" s="479"/>
      <c r="P13" s="479"/>
      <c r="Q13" s="479"/>
      <c r="R13" s="479"/>
      <c r="S13" s="479"/>
      <c r="T13" s="479"/>
      <c r="U13" s="479"/>
      <c r="V13" s="479"/>
      <c r="W13" s="479"/>
      <c r="X13" s="479"/>
      <c r="Y13" s="479"/>
      <c r="Z13" s="479"/>
      <c r="AA13" s="479"/>
      <c r="AB13" s="479"/>
      <c r="AC13" s="479"/>
      <c r="AD13" s="479"/>
      <c r="AE13" s="479"/>
      <c r="AF13" s="479"/>
      <c r="AG13" s="479"/>
      <c r="AH13" s="479"/>
      <c r="AI13" s="479"/>
      <c r="AJ13" s="479"/>
      <c r="AK13" s="479"/>
      <c r="AL13" s="479"/>
      <c r="AM13" s="479"/>
      <c r="AN13" s="479"/>
      <c r="AO13" s="479"/>
      <c r="AP13" s="479"/>
      <c r="AQ13" s="479"/>
      <c r="AR13" s="479"/>
      <c r="AS13" s="479"/>
      <c r="AT13" s="479"/>
      <c r="AU13" s="479"/>
      <c r="AV13" s="479"/>
      <c r="AW13" s="479"/>
      <c r="AX13" s="479"/>
      <c r="AY13" s="479"/>
      <c r="AZ13" s="479"/>
      <c r="BA13" s="479"/>
      <c r="BB13" s="479"/>
      <c r="BC13" s="479"/>
      <c r="BD13" s="479"/>
      <c r="BE13" s="479"/>
      <c r="BF13" s="479"/>
      <c r="BG13" s="479"/>
    </row>
    <row r="14" ht="14" customHeight="1" spans="1:59">
      <c r="A14" s="470">
        <v>11</v>
      </c>
      <c r="B14" s="471">
        <v>1122</v>
      </c>
      <c r="C14" s="480" t="s">
        <v>102</v>
      </c>
      <c r="D14" s="481" t="s">
        <v>102</v>
      </c>
      <c r="E14" s="474" t="s">
        <v>118</v>
      </c>
      <c r="G14" s="482">
        <v>11</v>
      </c>
      <c r="H14" s="483">
        <v>1401</v>
      </c>
      <c r="I14" s="477" t="s">
        <v>119</v>
      </c>
      <c r="J14" s="484"/>
      <c r="K14" s="479"/>
      <c r="L14" s="484"/>
      <c r="M14" s="479"/>
      <c r="N14" s="484"/>
      <c r="O14" s="479"/>
      <c r="P14" s="479"/>
      <c r="Q14" s="479"/>
      <c r="R14" s="479"/>
      <c r="S14" s="479"/>
      <c r="T14" s="479"/>
      <c r="U14" s="479"/>
      <c r="V14" s="479"/>
      <c r="W14" s="479"/>
      <c r="X14" s="479"/>
      <c r="Y14" s="479"/>
      <c r="Z14" s="479"/>
      <c r="AA14" s="479"/>
      <c r="AB14" s="479"/>
      <c r="AC14" s="479"/>
      <c r="AD14" s="479"/>
      <c r="AE14" s="479"/>
      <c r="AF14" s="479"/>
      <c r="AG14" s="479"/>
      <c r="AH14" s="479"/>
      <c r="AI14" s="479"/>
      <c r="AJ14" s="479"/>
      <c r="AK14" s="479"/>
      <c r="AL14" s="479"/>
      <c r="AM14" s="479"/>
      <c r="AN14" s="479"/>
      <c r="AO14" s="479"/>
      <c r="AP14" s="479"/>
      <c r="AQ14" s="479"/>
      <c r="AR14" s="479"/>
      <c r="AS14" s="479"/>
      <c r="AT14" s="479"/>
      <c r="AU14" s="479"/>
      <c r="AV14" s="479"/>
      <c r="AW14" s="479"/>
      <c r="AX14" s="479"/>
      <c r="AY14" s="479"/>
      <c r="AZ14" s="479"/>
      <c r="BA14" s="479"/>
      <c r="BB14" s="479"/>
      <c r="BC14" s="479"/>
      <c r="BD14" s="479"/>
      <c r="BE14" s="479"/>
      <c r="BF14" s="479"/>
      <c r="BG14" s="479"/>
    </row>
    <row r="15" ht="14" customHeight="1" spans="1:59">
      <c r="A15" s="470">
        <v>12</v>
      </c>
      <c r="B15" s="471">
        <v>1123</v>
      </c>
      <c r="C15" s="480" t="s">
        <v>107</v>
      </c>
      <c r="D15" s="481" t="s">
        <v>107</v>
      </c>
      <c r="E15" s="474" t="s">
        <v>120</v>
      </c>
      <c r="G15" s="482">
        <v>12</v>
      </c>
      <c r="H15" s="483">
        <v>1402</v>
      </c>
      <c r="I15" s="477" t="s">
        <v>121</v>
      </c>
      <c r="J15" s="484"/>
      <c r="K15" s="479"/>
      <c r="L15" s="484"/>
      <c r="M15" s="479"/>
      <c r="N15" s="484"/>
      <c r="O15" s="479"/>
      <c r="P15" s="479"/>
      <c r="Q15" s="479"/>
      <c r="R15" s="479"/>
      <c r="S15" s="479"/>
      <c r="T15" s="479"/>
      <c r="U15" s="479"/>
      <c r="V15" s="479"/>
      <c r="W15" s="479"/>
      <c r="X15" s="479"/>
      <c r="Y15" s="479"/>
      <c r="Z15" s="479"/>
      <c r="AA15" s="479"/>
      <c r="AB15" s="479"/>
      <c r="AC15" s="479"/>
      <c r="AD15" s="479"/>
      <c r="AE15" s="479"/>
      <c r="AF15" s="479"/>
      <c r="AG15" s="479"/>
      <c r="AH15" s="479"/>
      <c r="AI15" s="479"/>
      <c r="AJ15" s="479"/>
      <c r="AK15" s="479"/>
      <c r="AL15" s="479"/>
      <c r="AM15" s="479"/>
      <c r="AN15" s="479"/>
      <c r="AO15" s="479"/>
      <c r="AP15" s="479"/>
      <c r="AQ15" s="479"/>
      <c r="AR15" s="479"/>
      <c r="AS15" s="479"/>
      <c r="AT15" s="479"/>
      <c r="AU15" s="479"/>
      <c r="AV15" s="479"/>
      <c r="AW15" s="479"/>
      <c r="AX15" s="479"/>
      <c r="AY15" s="479"/>
      <c r="AZ15" s="479"/>
      <c r="BA15" s="479"/>
      <c r="BB15" s="479"/>
      <c r="BC15" s="479"/>
      <c r="BD15" s="479"/>
      <c r="BE15" s="479"/>
      <c r="BF15" s="479"/>
      <c r="BG15" s="479"/>
    </row>
    <row r="16" ht="14" customHeight="1" spans="1:59">
      <c r="A16" s="470">
        <v>13</v>
      </c>
      <c r="B16" s="471">
        <v>1131</v>
      </c>
      <c r="C16" s="480" t="s">
        <v>110</v>
      </c>
      <c r="D16" s="481" t="s">
        <v>110</v>
      </c>
      <c r="E16" s="474" t="s">
        <v>122</v>
      </c>
      <c r="G16" s="482">
        <v>13</v>
      </c>
      <c r="H16" s="483">
        <v>1403</v>
      </c>
      <c r="I16" s="477" t="s">
        <v>123</v>
      </c>
      <c r="J16" s="484"/>
      <c r="K16" s="479"/>
      <c r="L16" s="484"/>
      <c r="M16" s="479"/>
      <c r="N16" s="484"/>
      <c r="O16" s="479"/>
      <c r="P16" s="479"/>
      <c r="Q16" s="479"/>
      <c r="R16" s="479"/>
      <c r="S16" s="479"/>
      <c r="T16" s="479"/>
      <c r="U16" s="479"/>
      <c r="V16" s="479"/>
      <c r="W16" s="479"/>
      <c r="X16" s="479"/>
      <c r="Y16" s="479"/>
      <c r="Z16" s="479"/>
      <c r="AA16" s="479"/>
      <c r="AB16" s="479"/>
      <c r="AC16" s="479"/>
      <c r="AD16" s="479"/>
      <c r="AE16" s="479"/>
      <c r="AF16" s="479"/>
      <c r="AG16" s="479"/>
      <c r="AH16" s="479"/>
      <c r="AI16" s="479"/>
      <c r="AJ16" s="479"/>
      <c r="AK16" s="479"/>
      <c r="AL16" s="479"/>
      <c r="AM16" s="479"/>
      <c r="AN16" s="479"/>
      <c r="AO16" s="479"/>
      <c r="AP16" s="479"/>
      <c r="AQ16" s="479"/>
      <c r="AR16" s="479"/>
      <c r="AS16" s="479"/>
      <c r="AT16" s="479"/>
      <c r="AU16" s="479"/>
      <c r="AV16" s="479"/>
      <c r="AW16" s="479"/>
      <c r="AX16" s="479"/>
      <c r="AY16" s="479"/>
      <c r="AZ16" s="479"/>
      <c r="BA16" s="479"/>
      <c r="BB16" s="479"/>
      <c r="BC16" s="479"/>
      <c r="BD16" s="479"/>
      <c r="BE16" s="479"/>
      <c r="BF16" s="479"/>
      <c r="BG16" s="479"/>
    </row>
    <row r="17" ht="14" customHeight="1" spans="1:59">
      <c r="A17" s="470">
        <v>14</v>
      </c>
      <c r="B17" s="471">
        <v>1132</v>
      </c>
      <c r="C17" s="480" t="s">
        <v>113</v>
      </c>
      <c r="D17" s="481" t="s">
        <v>113</v>
      </c>
      <c r="E17" s="474" t="s">
        <v>124</v>
      </c>
      <c r="G17" s="482">
        <v>14</v>
      </c>
      <c r="H17" s="483">
        <v>1404</v>
      </c>
      <c r="I17" s="477" t="s">
        <v>125</v>
      </c>
      <c r="J17" s="484"/>
      <c r="K17" s="479"/>
      <c r="L17" s="484"/>
      <c r="M17" s="479"/>
      <c r="N17" s="484"/>
      <c r="O17" s="479"/>
      <c r="P17" s="479"/>
      <c r="Q17" s="479"/>
      <c r="R17" s="479"/>
      <c r="S17" s="479"/>
      <c r="T17" s="479"/>
      <c r="U17" s="479"/>
      <c r="V17" s="479"/>
      <c r="W17" s="479"/>
      <c r="X17" s="479"/>
      <c r="Y17" s="479"/>
      <c r="Z17" s="479"/>
      <c r="AA17" s="479"/>
      <c r="AB17" s="479"/>
      <c r="AC17" s="479"/>
      <c r="AD17" s="479"/>
      <c r="AE17" s="479"/>
      <c r="AF17" s="479"/>
      <c r="AG17" s="479"/>
      <c r="AH17" s="479"/>
      <c r="AI17" s="479"/>
      <c r="AJ17" s="479"/>
      <c r="AK17" s="479"/>
      <c r="AL17" s="479"/>
      <c r="AM17" s="479"/>
      <c r="AN17" s="479"/>
      <c r="AO17" s="479"/>
      <c r="AP17" s="479"/>
      <c r="AQ17" s="479"/>
      <c r="AR17" s="479"/>
      <c r="AS17" s="479"/>
      <c r="AT17" s="479"/>
      <c r="AU17" s="479"/>
      <c r="AV17" s="479"/>
      <c r="AW17" s="479"/>
      <c r="AX17" s="479"/>
      <c r="AY17" s="479"/>
      <c r="AZ17" s="479"/>
      <c r="BA17" s="479"/>
      <c r="BB17" s="479"/>
      <c r="BC17" s="479"/>
      <c r="BD17" s="479"/>
      <c r="BE17" s="479"/>
      <c r="BF17" s="479"/>
      <c r="BG17" s="479"/>
    </row>
    <row r="18" ht="14" customHeight="1" spans="1:59">
      <c r="A18" s="470">
        <v>15</v>
      </c>
      <c r="B18" s="471">
        <v>1201</v>
      </c>
      <c r="C18" s="480" t="s">
        <v>126</v>
      </c>
      <c r="D18" s="481" t="s">
        <v>115</v>
      </c>
      <c r="E18" s="474" t="s">
        <v>127</v>
      </c>
      <c r="G18" s="482">
        <v>15</v>
      </c>
      <c r="H18" s="483">
        <v>1405</v>
      </c>
      <c r="I18" s="477" t="s">
        <v>128</v>
      </c>
      <c r="J18" s="484"/>
      <c r="K18" s="479"/>
      <c r="L18" s="484"/>
      <c r="M18" s="479"/>
      <c r="N18" s="484"/>
      <c r="O18" s="479"/>
      <c r="P18" s="479"/>
      <c r="Q18" s="479"/>
      <c r="R18" s="479"/>
      <c r="S18" s="479"/>
      <c r="T18" s="479"/>
      <c r="U18" s="479"/>
      <c r="V18" s="479"/>
      <c r="W18" s="479"/>
      <c r="X18" s="479"/>
      <c r="Y18" s="479"/>
      <c r="Z18" s="479"/>
      <c r="AA18" s="479"/>
      <c r="AB18" s="479"/>
      <c r="AC18" s="479"/>
      <c r="AD18" s="479"/>
      <c r="AE18" s="479"/>
      <c r="AF18" s="479"/>
      <c r="AG18" s="479"/>
      <c r="AH18" s="479"/>
      <c r="AI18" s="479"/>
      <c r="AJ18" s="479"/>
      <c r="AK18" s="479"/>
      <c r="AL18" s="479"/>
      <c r="AM18" s="479"/>
      <c r="AN18" s="479"/>
      <c r="AO18" s="479"/>
      <c r="AP18" s="479"/>
      <c r="AQ18" s="479"/>
      <c r="AR18" s="479"/>
      <c r="AS18" s="479"/>
      <c r="AT18" s="479"/>
      <c r="AU18" s="479"/>
      <c r="AV18" s="479"/>
      <c r="AW18" s="479"/>
      <c r="AX18" s="479"/>
      <c r="AY18" s="479"/>
      <c r="AZ18" s="479"/>
      <c r="BA18" s="479"/>
      <c r="BB18" s="479"/>
      <c r="BC18" s="479"/>
      <c r="BD18" s="479"/>
      <c r="BE18" s="479"/>
      <c r="BF18" s="479"/>
      <c r="BG18" s="479"/>
    </row>
    <row r="19" ht="14" customHeight="1" spans="1:59">
      <c r="A19" s="470">
        <v>16</v>
      </c>
      <c r="B19" s="471">
        <v>1211</v>
      </c>
      <c r="C19" s="480" t="s">
        <v>129</v>
      </c>
      <c r="D19" s="481" t="s">
        <v>87</v>
      </c>
      <c r="E19" s="474" t="s">
        <v>130</v>
      </c>
      <c r="G19" s="482">
        <v>16</v>
      </c>
      <c r="H19" s="483">
        <v>1407</v>
      </c>
      <c r="I19" s="477" t="s">
        <v>131</v>
      </c>
      <c r="J19" s="484"/>
      <c r="K19" s="479"/>
      <c r="L19" s="484"/>
      <c r="M19" s="479"/>
      <c r="N19" s="484"/>
      <c r="O19" s="479"/>
      <c r="P19" s="479"/>
      <c r="Q19" s="479"/>
      <c r="R19" s="479"/>
      <c r="S19" s="479"/>
      <c r="T19" s="479"/>
      <c r="U19" s="479"/>
      <c r="V19" s="479"/>
      <c r="W19" s="479"/>
      <c r="X19" s="479"/>
      <c r="Y19" s="479"/>
      <c r="Z19" s="479"/>
      <c r="AA19" s="479"/>
      <c r="AB19" s="479"/>
      <c r="AC19" s="479"/>
      <c r="AD19" s="479"/>
      <c r="AE19" s="479"/>
      <c r="AF19" s="479"/>
      <c r="AG19" s="479"/>
      <c r="AH19" s="479"/>
      <c r="AI19" s="479"/>
      <c r="AJ19" s="479"/>
      <c r="AK19" s="479"/>
      <c r="AL19" s="479"/>
      <c r="AM19" s="479"/>
      <c r="AN19" s="479"/>
      <c r="AO19" s="479"/>
      <c r="AP19" s="479"/>
      <c r="AQ19" s="479"/>
      <c r="AR19" s="479"/>
      <c r="AS19" s="479"/>
      <c r="AT19" s="479"/>
      <c r="AU19" s="479"/>
      <c r="AV19" s="479"/>
      <c r="AW19" s="479"/>
      <c r="AX19" s="479"/>
      <c r="AY19" s="479"/>
      <c r="AZ19" s="479"/>
      <c r="BA19" s="479"/>
      <c r="BB19" s="479"/>
      <c r="BC19" s="479"/>
      <c r="BD19" s="479"/>
      <c r="BE19" s="479"/>
      <c r="BF19" s="479"/>
      <c r="BG19" s="479"/>
    </row>
    <row r="20" ht="14" customHeight="1" spans="1:59">
      <c r="A20" s="470">
        <v>17</v>
      </c>
      <c r="B20" s="471">
        <v>1212</v>
      </c>
      <c r="C20" s="480" t="s">
        <v>132</v>
      </c>
      <c r="D20" s="481" t="s">
        <v>87</v>
      </c>
      <c r="E20" s="474" t="s">
        <v>133</v>
      </c>
      <c r="G20" s="482">
        <v>17</v>
      </c>
      <c r="H20" s="483">
        <v>1408</v>
      </c>
      <c r="I20" s="477" t="s">
        <v>134</v>
      </c>
      <c r="J20" s="484"/>
      <c r="K20" s="479"/>
      <c r="L20" s="484"/>
      <c r="M20" s="479"/>
      <c r="N20" s="484"/>
      <c r="O20" s="479"/>
      <c r="P20" s="479"/>
      <c r="Q20" s="479"/>
      <c r="R20" s="479"/>
      <c r="S20" s="479"/>
      <c r="T20" s="479"/>
      <c r="U20" s="479"/>
      <c r="V20" s="479"/>
      <c r="W20" s="479"/>
      <c r="X20" s="479"/>
      <c r="Y20" s="479"/>
      <c r="Z20" s="479"/>
      <c r="AA20" s="479"/>
      <c r="AB20" s="479"/>
      <c r="AC20" s="479"/>
      <c r="AD20" s="479"/>
      <c r="AE20" s="479"/>
      <c r="AF20" s="479"/>
      <c r="AG20" s="479"/>
      <c r="AH20" s="479"/>
      <c r="AI20" s="479"/>
      <c r="AJ20" s="479"/>
      <c r="AK20" s="479"/>
      <c r="AL20" s="479"/>
      <c r="AM20" s="479"/>
      <c r="AN20" s="479"/>
      <c r="AO20" s="479"/>
      <c r="AP20" s="479"/>
      <c r="AQ20" s="479"/>
      <c r="AR20" s="479"/>
      <c r="AS20" s="479"/>
      <c r="AT20" s="479"/>
      <c r="AU20" s="479"/>
      <c r="AV20" s="479"/>
      <c r="AW20" s="479"/>
      <c r="AX20" s="479"/>
      <c r="AY20" s="479"/>
      <c r="AZ20" s="479"/>
      <c r="BA20" s="479"/>
      <c r="BB20" s="479"/>
      <c r="BC20" s="479"/>
      <c r="BD20" s="479"/>
      <c r="BE20" s="479"/>
      <c r="BF20" s="479"/>
      <c r="BG20" s="479"/>
    </row>
    <row r="21" ht="14" customHeight="1" spans="1:59">
      <c r="A21" s="470">
        <v>18</v>
      </c>
      <c r="B21" s="471">
        <v>1221</v>
      </c>
      <c r="C21" s="480" t="s">
        <v>115</v>
      </c>
      <c r="D21" s="481" t="s">
        <v>87</v>
      </c>
      <c r="E21" s="474" t="s">
        <v>135</v>
      </c>
      <c r="G21" s="482">
        <v>18</v>
      </c>
      <c r="H21" s="483">
        <v>1411</v>
      </c>
      <c r="I21" s="477" t="s">
        <v>136</v>
      </c>
      <c r="J21" s="484"/>
      <c r="K21" s="479"/>
      <c r="L21" s="484"/>
      <c r="M21" s="479"/>
      <c r="N21" s="484"/>
      <c r="O21" s="479"/>
      <c r="P21" s="479"/>
      <c r="Q21" s="479"/>
      <c r="R21" s="479"/>
      <c r="S21" s="479"/>
      <c r="T21" s="479"/>
      <c r="U21" s="479"/>
      <c r="V21" s="479"/>
      <c r="W21" s="479"/>
      <c r="X21" s="479"/>
      <c r="Y21" s="479"/>
      <c r="Z21" s="479"/>
      <c r="AA21" s="479"/>
      <c r="AB21" s="479"/>
      <c r="AC21" s="479"/>
      <c r="AD21" s="479"/>
      <c r="AE21" s="479"/>
      <c r="AF21" s="479"/>
      <c r="AG21" s="479"/>
      <c r="AH21" s="479"/>
      <c r="AI21" s="479"/>
      <c r="AJ21" s="479"/>
      <c r="AK21" s="479"/>
      <c r="AL21" s="479"/>
      <c r="AM21" s="479"/>
      <c r="AN21" s="479"/>
      <c r="AO21" s="479"/>
      <c r="AP21" s="479"/>
      <c r="AQ21" s="479"/>
      <c r="AR21" s="479"/>
      <c r="AS21" s="479"/>
      <c r="AT21" s="479"/>
      <c r="AU21" s="479"/>
      <c r="AV21" s="479"/>
      <c r="AW21" s="479"/>
      <c r="AX21" s="479"/>
      <c r="AY21" s="479"/>
      <c r="AZ21" s="479"/>
      <c r="BA21" s="479"/>
      <c r="BB21" s="479"/>
      <c r="BC21" s="479"/>
      <c r="BD21" s="479"/>
      <c r="BE21" s="479"/>
      <c r="BF21" s="479"/>
      <c r="BG21" s="479"/>
    </row>
    <row r="22" ht="14" customHeight="1" spans="1:59">
      <c r="A22" s="470">
        <v>19</v>
      </c>
      <c r="B22" s="471">
        <v>1231</v>
      </c>
      <c r="C22" s="480" t="s">
        <v>137</v>
      </c>
      <c r="D22" s="481" t="s">
        <v>137</v>
      </c>
      <c r="E22" s="474" t="s">
        <v>138</v>
      </c>
      <c r="G22" s="482">
        <v>19</v>
      </c>
      <c r="H22" s="483">
        <v>1421</v>
      </c>
      <c r="I22" s="477" t="s">
        <v>139</v>
      </c>
      <c r="J22" s="484"/>
      <c r="K22" s="479"/>
      <c r="L22" s="484"/>
      <c r="M22" s="479"/>
      <c r="N22" s="484"/>
      <c r="O22" s="479"/>
      <c r="P22" s="479"/>
      <c r="Q22" s="479"/>
      <c r="R22" s="479"/>
      <c r="S22" s="479"/>
      <c r="T22" s="479"/>
      <c r="U22" s="479"/>
      <c r="V22" s="479"/>
      <c r="W22" s="479"/>
      <c r="X22" s="479"/>
      <c r="Y22" s="479"/>
      <c r="Z22" s="479"/>
      <c r="AA22" s="479"/>
      <c r="AB22" s="479"/>
      <c r="AC22" s="479"/>
      <c r="AD22" s="479"/>
      <c r="AE22" s="479"/>
      <c r="AF22" s="479"/>
      <c r="AG22" s="479"/>
      <c r="AH22" s="479"/>
      <c r="AI22" s="479"/>
      <c r="AJ22" s="479"/>
      <c r="AK22" s="479"/>
      <c r="AL22" s="479"/>
      <c r="AM22" s="479"/>
      <c r="AN22" s="479"/>
      <c r="AO22" s="479"/>
      <c r="AP22" s="479"/>
      <c r="AQ22" s="479"/>
      <c r="AR22" s="479"/>
      <c r="AS22" s="479"/>
      <c r="AT22" s="479"/>
      <c r="AU22" s="479"/>
      <c r="AV22" s="479"/>
      <c r="AW22" s="479"/>
      <c r="AX22" s="479"/>
      <c r="AY22" s="479"/>
      <c r="AZ22" s="479"/>
      <c r="BA22" s="479"/>
      <c r="BB22" s="479"/>
      <c r="BC22" s="479"/>
      <c r="BD22" s="479"/>
      <c r="BE22" s="479"/>
      <c r="BF22" s="479"/>
      <c r="BG22" s="479"/>
    </row>
    <row r="23" ht="14" customHeight="1" spans="1:59">
      <c r="A23" s="470">
        <v>20</v>
      </c>
      <c r="B23" s="471">
        <v>1301</v>
      </c>
      <c r="C23" s="480" t="s">
        <v>140</v>
      </c>
      <c r="D23" s="481" t="s">
        <v>87</v>
      </c>
      <c r="E23" s="474" t="s">
        <v>141</v>
      </c>
      <c r="G23" s="482">
        <v>20</v>
      </c>
      <c r="H23" s="483">
        <v>1501</v>
      </c>
      <c r="I23" s="477" t="s">
        <v>142</v>
      </c>
      <c r="J23" s="484" t="s">
        <v>143</v>
      </c>
      <c r="K23" s="479" t="s">
        <v>144</v>
      </c>
      <c r="L23" s="484"/>
      <c r="M23" s="479"/>
      <c r="N23" s="484"/>
      <c r="O23" s="479"/>
      <c r="P23" s="479"/>
      <c r="Q23" s="479"/>
      <c r="R23" s="479"/>
      <c r="S23" s="479"/>
      <c r="T23" s="479"/>
      <c r="U23" s="479"/>
      <c r="V23" s="479"/>
      <c r="W23" s="479"/>
      <c r="X23" s="479"/>
      <c r="Y23" s="479"/>
      <c r="Z23" s="479"/>
      <c r="AA23" s="479"/>
      <c r="AB23" s="479"/>
      <c r="AC23" s="479"/>
      <c r="AD23" s="479"/>
      <c r="AE23" s="479"/>
      <c r="AF23" s="479"/>
      <c r="AG23" s="479"/>
      <c r="AH23" s="479"/>
      <c r="AI23" s="479"/>
      <c r="AJ23" s="479"/>
      <c r="AK23" s="479"/>
      <c r="AL23" s="479"/>
      <c r="AM23" s="479"/>
      <c r="AN23" s="479"/>
      <c r="AO23" s="479"/>
      <c r="AP23" s="479"/>
      <c r="AQ23" s="479"/>
      <c r="AR23" s="479"/>
      <c r="AS23" s="479"/>
      <c r="AT23" s="479"/>
      <c r="AU23" s="479"/>
      <c r="AV23" s="479"/>
      <c r="AW23" s="479"/>
      <c r="AX23" s="479"/>
      <c r="AY23" s="479"/>
      <c r="AZ23" s="479"/>
      <c r="BA23" s="479"/>
      <c r="BB23" s="479"/>
      <c r="BC23" s="479"/>
      <c r="BD23" s="479"/>
      <c r="BE23" s="479"/>
      <c r="BF23" s="479"/>
      <c r="BG23" s="479"/>
    </row>
    <row r="24" ht="14" customHeight="1" spans="1:59">
      <c r="A24" s="470">
        <v>21</v>
      </c>
      <c r="B24" s="471">
        <v>1302</v>
      </c>
      <c r="C24" s="480" t="s">
        <v>145</v>
      </c>
      <c r="D24" s="481" t="s">
        <v>87</v>
      </c>
      <c r="E24" s="474" t="s">
        <v>146</v>
      </c>
      <c r="G24" s="482">
        <v>21</v>
      </c>
      <c r="H24" s="483">
        <v>1511</v>
      </c>
      <c r="I24" s="477" t="s">
        <v>147</v>
      </c>
      <c r="J24" s="484" t="s">
        <v>148</v>
      </c>
      <c r="K24" s="479" t="s">
        <v>149</v>
      </c>
      <c r="L24" s="484"/>
      <c r="M24" s="479"/>
      <c r="N24" s="484"/>
      <c r="O24" s="479"/>
      <c r="P24" s="479"/>
      <c r="Q24" s="479"/>
      <c r="R24" s="479"/>
      <c r="S24" s="479"/>
      <c r="T24" s="479"/>
      <c r="U24" s="479"/>
      <c r="V24" s="479"/>
      <c r="W24" s="479"/>
      <c r="X24" s="479"/>
      <c r="Y24" s="479"/>
      <c r="Z24" s="479"/>
      <c r="AA24" s="479"/>
      <c r="AB24" s="479"/>
      <c r="AC24" s="479"/>
      <c r="AD24" s="479"/>
      <c r="AE24" s="479"/>
      <c r="AF24" s="479"/>
      <c r="AG24" s="479"/>
      <c r="AH24" s="479"/>
      <c r="AI24" s="479"/>
      <c r="AJ24" s="479"/>
      <c r="AK24" s="479"/>
      <c r="AL24" s="479"/>
      <c r="AM24" s="479"/>
      <c r="AN24" s="479"/>
      <c r="AO24" s="479"/>
      <c r="AP24" s="479"/>
      <c r="AQ24" s="479"/>
      <c r="AR24" s="479"/>
      <c r="AS24" s="479"/>
      <c r="AT24" s="479"/>
      <c r="AU24" s="479"/>
      <c r="AV24" s="479"/>
      <c r="AW24" s="479"/>
      <c r="AX24" s="479"/>
      <c r="AY24" s="479"/>
      <c r="AZ24" s="479"/>
      <c r="BA24" s="479"/>
      <c r="BB24" s="479"/>
      <c r="BC24" s="479"/>
      <c r="BD24" s="479"/>
      <c r="BE24" s="479"/>
      <c r="BF24" s="479"/>
      <c r="BG24" s="479"/>
    </row>
    <row r="25" ht="14" customHeight="1" spans="1:59">
      <c r="A25" s="470">
        <v>22</v>
      </c>
      <c r="B25" s="471">
        <v>1303</v>
      </c>
      <c r="C25" s="480" t="s">
        <v>150</v>
      </c>
      <c r="D25" s="481" t="s">
        <v>87</v>
      </c>
      <c r="E25" s="474" t="s">
        <v>151</v>
      </c>
      <c r="G25" s="482">
        <v>22</v>
      </c>
      <c r="H25" s="483">
        <v>1601</v>
      </c>
      <c r="I25" s="477" t="s">
        <v>152</v>
      </c>
      <c r="J25" s="484"/>
      <c r="K25" s="479"/>
      <c r="L25" s="484"/>
      <c r="M25" s="479"/>
      <c r="N25" s="484"/>
      <c r="O25" s="479"/>
      <c r="P25" s="479"/>
      <c r="Q25" s="479"/>
      <c r="R25" s="479"/>
      <c r="S25" s="479"/>
      <c r="T25" s="479"/>
      <c r="U25" s="479"/>
      <c r="V25" s="479"/>
      <c r="W25" s="479"/>
      <c r="X25" s="479"/>
      <c r="Y25" s="479"/>
      <c r="Z25" s="479"/>
      <c r="AA25" s="479"/>
      <c r="AB25" s="479"/>
      <c r="AC25" s="479"/>
      <c r="AD25" s="479"/>
      <c r="AE25" s="479"/>
      <c r="AF25" s="479"/>
      <c r="AG25" s="479"/>
      <c r="AH25" s="479"/>
      <c r="AI25" s="479"/>
      <c r="AJ25" s="479"/>
      <c r="AK25" s="479"/>
      <c r="AL25" s="479"/>
      <c r="AM25" s="479"/>
      <c r="AN25" s="479"/>
      <c r="AO25" s="479"/>
      <c r="AP25" s="479"/>
      <c r="AQ25" s="479"/>
      <c r="AR25" s="479"/>
      <c r="AS25" s="479"/>
      <c r="AT25" s="479"/>
      <c r="AU25" s="479"/>
      <c r="AV25" s="479"/>
      <c r="AW25" s="479"/>
      <c r="AX25" s="479"/>
      <c r="AY25" s="479"/>
      <c r="AZ25" s="479"/>
      <c r="BA25" s="479"/>
      <c r="BB25" s="479"/>
      <c r="BC25" s="479"/>
      <c r="BD25" s="479"/>
      <c r="BE25" s="479"/>
      <c r="BF25" s="479"/>
      <c r="BG25" s="479"/>
    </row>
    <row r="26" ht="14" customHeight="1" spans="1:59">
      <c r="A26" s="470">
        <v>23</v>
      </c>
      <c r="B26" s="471">
        <v>1304</v>
      </c>
      <c r="C26" s="480" t="s">
        <v>153</v>
      </c>
      <c r="D26" s="481" t="s">
        <v>87</v>
      </c>
      <c r="E26" s="474" t="s">
        <v>154</v>
      </c>
      <c r="G26" s="482">
        <v>23</v>
      </c>
      <c r="H26" s="483">
        <v>1602</v>
      </c>
      <c r="I26" s="477" t="s">
        <v>155</v>
      </c>
      <c r="J26" s="484"/>
      <c r="K26" s="479"/>
      <c r="L26" s="484"/>
      <c r="M26" s="479"/>
      <c r="N26" s="484"/>
      <c r="O26" s="479"/>
      <c r="P26" s="479"/>
      <c r="Q26" s="479"/>
      <c r="R26" s="479"/>
      <c r="S26" s="479"/>
      <c r="T26" s="479"/>
      <c r="U26" s="479"/>
      <c r="V26" s="479"/>
      <c r="W26" s="479"/>
      <c r="X26" s="479"/>
      <c r="Y26" s="479"/>
      <c r="Z26" s="479"/>
      <c r="AA26" s="479"/>
      <c r="AB26" s="479"/>
      <c r="AC26" s="479"/>
      <c r="AD26" s="479"/>
      <c r="AE26" s="479"/>
      <c r="AF26" s="479"/>
      <c r="AG26" s="479"/>
      <c r="AH26" s="479"/>
      <c r="AI26" s="479"/>
      <c r="AJ26" s="479"/>
      <c r="AK26" s="479"/>
      <c r="AL26" s="479"/>
      <c r="AM26" s="479"/>
      <c r="AN26" s="479"/>
      <c r="AO26" s="479"/>
      <c r="AP26" s="479"/>
      <c r="AQ26" s="479"/>
      <c r="AR26" s="479"/>
      <c r="AS26" s="479"/>
      <c r="AT26" s="479"/>
      <c r="AU26" s="479"/>
      <c r="AV26" s="479"/>
      <c r="AW26" s="479"/>
      <c r="AX26" s="479"/>
      <c r="AY26" s="479"/>
      <c r="AZ26" s="479"/>
      <c r="BA26" s="479"/>
      <c r="BB26" s="479"/>
      <c r="BC26" s="479"/>
      <c r="BD26" s="479"/>
      <c r="BE26" s="479"/>
      <c r="BF26" s="479"/>
      <c r="BG26" s="479"/>
    </row>
    <row r="27" ht="14" customHeight="1" spans="1:59">
      <c r="A27" s="470">
        <v>24</v>
      </c>
      <c r="B27" s="471">
        <v>1311</v>
      </c>
      <c r="C27" s="480" t="s">
        <v>156</v>
      </c>
      <c r="D27" s="481" t="s">
        <v>87</v>
      </c>
      <c r="E27" s="474" t="s">
        <v>157</v>
      </c>
      <c r="G27" s="482">
        <v>24</v>
      </c>
      <c r="H27" s="483">
        <v>1604</v>
      </c>
      <c r="I27" s="477" t="s">
        <v>158</v>
      </c>
      <c r="J27" s="484" t="s">
        <v>159</v>
      </c>
      <c r="K27" s="479" t="s">
        <v>160</v>
      </c>
      <c r="L27" s="484" t="s">
        <v>161</v>
      </c>
      <c r="M27" s="479" t="s">
        <v>162</v>
      </c>
      <c r="N27" s="484"/>
      <c r="O27" s="479"/>
      <c r="P27" s="479"/>
      <c r="Q27" s="479"/>
      <c r="R27" s="479"/>
      <c r="S27" s="479"/>
      <c r="T27" s="479"/>
      <c r="U27" s="479"/>
      <c r="V27" s="479"/>
      <c r="W27" s="479"/>
      <c r="X27" s="479"/>
      <c r="Y27" s="479"/>
      <c r="Z27" s="479"/>
      <c r="AA27" s="479"/>
      <c r="AB27" s="479"/>
      <c r="AC27" s="479"/>
      <c r="AD27" s="479"/>
      <c r="AE27" s="479"/>
      <c r="AF27" s="479"/>
      <c r="AG27" s="479"/>
      <c r="AH27" s="479"/>
      <c r="AI27" s="479"/>
      <c r="AJ27" s="479"/>
      <c r="AK27" s="479"/>
      <c r="AL27" s="479"/>
      <c r="AM27" s="479"/>
      <c r="AN27" s="479"/>
      <c r="AO27" s="479"/>
      <c r="AP27" s="479"/>
      <c r="AQ27" s="479"/>
      <c r="AR27" s="479"/>
      <c r="AS27" s="479"/>
      <c r="AT27" s="479"/>
      <c r="AU27" s="479"/>
      <c r="AV27" s="479"/>
      <c r="AW27" s="479"/>
      <c r="AX27" s="479"/>
      <c r="AY27" s="479"/>
      <c r="AZ27" s="479"/>
      <c r="BA27" s="479"/>
      <c r="BB27" s="479"/>
      <c r="BC27" s="479"/>
      <c r="BD27" s="479"/>
      <c r="BE27" s="479"/>
      <c r="BF27" s="479"/>
      <c r="BG27" s="479"/>
    </row>
    <row r="28" ht="14" customHeight="1" spans="1:59">
      <c r="A28" s="470">
        <v>25</v>
      </c>
      <c r="B28" s="471">
        <v>1321</v>
      </c>
      <c r="C28" s="480" t="s">
        <v>163</v>
      </c>
      <c r="D28" s="481" t="s">
        <v>87</v>
      </c>
      <c r="E28" s="474" t="s">
        <v>164</v>
      </c>
      <c r="G28" s="482">
        <v>25</v>
      </c>
      <c r="H28" s="483">
        <v>1605</v>
      </c>
      <c r="I28" s="477" t="s">
        <v>165</v>
      </c>
      <c r="J28" s="484"/>
      <c r="K28" s="479"/>
      <c r="L28" s="484"/>
      <c r="M28" s="479"/>
      <c r="N28" s="484"/>
      <c r="O28" s="479"/>
      <c r="P28" s="479"/>
      <c r="Q28" s="479"/>
      <c r="R28" s="479"/>
      <c r="S28" s="479"/>
      <c r="T28" s="479"/>
      <c r="U28" s="479"/>
      <c r="V28" s="479"/>
      <c r="W28" s="479"/>
      <c r="X28" s="479"/>
      <c r="Y28" s="479"/>
      <c r="Z28" s="479"/>
      <c r="AA28" s="479"/>
      <c r="AB28" s="479"/>
      <c r="AC28" s="479"/>
      <c r="AD28" s="479"/>
      <c r="AE28" s="479"/>
      <c r="AF28" s="479"/>
      <c r="AG28" s="479"/>
      <c r="AH28" s="479"/>
      <c r="AI28" s="479"/>
      <c r="AJ28" s="479"/>
      <c r="AK28" s="479"/>
      <c r="AL28" s="479"/>
      <c r="AM28" s="479"/>
      <c r="AN28" s="479"/>
      <c r="AO28" s="479"/>
      <c r="AP28" s="479"/>
      <c r="AQ28" s="479"/>
      <c r="AR28" s="479"/>
      <c r="AS28" s="479"/>
      <c r="AT28" s="479"/>
      <c r="AU28" s="479"/>
      <c r="AV28" s="479"/>
      <c r="AW28" s="479"/>
      <c r="AX28" s="479"/>
      <c r="AY28" s="479"/>
      <c r="AZ28" s="479"/>
      <c r="BA28" s="479"/>
      <c r="BB28" s="479"/>
      <c r="BC28" s="479"/>
      <c r="BD28" s="479"/>
      <c r="BE28" s="479"/>
      <c r="BF28" s="479"/>
      <c r="BG28" s="479"/>
    </row>
    <row r="29" ht="14" customHeight="1" spans="1:59">
      <c r="A29" s="470">
        <v>26</v>
      </c>
      <c r="B29" s="471">
        <v>1401</v>
      </c>
      <c r="C29" s="480" t="s">
        <v>119</v>
      </c>
      <c r="D29" s="481" t="s">
        <v>166</v>
      </c>
      <c r="E29" s="474" t="s">
        <v>167</v>
      </c>
      <c r="G29" s="482">
        <v>26</v>
      </c>
      <c r="H29" s="483">
        <v>1606</v>
      </c>
      <c r="I29" s="477" t="s">
        <v>168</v>
      </c>
      <c r="J29" s="484"/>
      <c r="K29" s="479"/>
      <c r="L29" s="484"/>
      <c r="M29" s="479"/>
      <c r="N29" s="484"/>
      <c r="O29" s="479"/>
      <c r="P29" s="479"/>
      <c r="Q29" s="479"/>
      <c r="R29" s="479"/>
      <c r="S29" s="479"/>
      <c r="T29" s="479"/>
      <c r="U29" s="479"/>
      <c r="V29" s="479"/>
      <c r="W29" s="479"/>
      <c r="X29" s="479"/>
      <c r="Y29" s="479"/>
      <c r="Z29" s="479"/>
      <c r="AA29" s="479"/>
      <c r="AB29" s="479"/>
      <c r="AC29" s="479"/>
      <c r="AD29" s="479"/>
      <c r="AE29" s="479"/>
      <c r="AF29" s="479"/>
      <c r="AG29" s="479"/>
      <c r="AH29" s="479"/>
      <c r="AI29" s="479"/>
      <c r="AJ29" s="479"/>
      <c r="AK29" s="479"/>
      <c r="AL29" s="479"/>
      <c r="AM29" s="479"/>
      <c r="AN29" s="479"/>
      <c r="AO29" s="479"/>
      <c r="AP29" s="479"/>
      <c r="AQ29" s="479"/>
      <c r="AR29" s="479"/>
      <c r="AS29" s="479"/>
      <c r="AT29" s="479"/>
      <c r="AU29" s="479"/>
      <c r="AV29" s="479"/>
      <c r="AW29" s="479"/>
      <c r="AX29" s="479"/>
      <c r="AY29" s="479"/>
      <c r="AZ29" s="479"/>
      <c r="BA29" s="479"/>
      <c r="BB29" s="479"/>
      <c r="BC29" s="479"/>
      <c r="BD29" s="479"/>
      <c r="BE29" s="479"/>
      <c r="BF29" s="479"/>
      <c r="BG29" s="479"/>
    </row>
    <row r="30" ht="14" customHeight="1" spans="1:59">
      <c r="A30" s="470">
        <v>27</v>
      </c>
      <c r="B30" s="471">
        <v>1402</v>
      </c>
      <c r="C30" s="480" t="s">
        <v>121</v>
      </c>
      <c r="D30" s="481" t="s">
        <v>121</v>
      </c>
      <c r="E30" s="474" t="s">
        <v>169</v>
      </c>
      <c r="G30" s="482">
        <v>27</v>
      </c>
      <c r="H30" s="483">
        <v>1621</v>
      </c>
      <c r="I30" s="477" t="s">
        <v>170</v>
      </c>
      <c r="J30" s="484"/>
      <c r="K30" s="479"/>
      <c r="L30" s="484"/>
      <c r="M30" s="479"/>
      <c r="N30" s="484"/>
      <c r="O30" s="479"/>
      <c r="P30" s="479"/>
      <c r="Q30" s="479"/>
      <c r="R30" s="479"/>
      <c r="S30" s="479"/>
      <c r="T30" s="479"/>
      <c r="U30" s="479"/>
      <c r="V30" s="479"/>
      <c r="W30" s="479"/>
      <c r="X30" s="479"/>
      <c r="Y30" s="479"/>
      <c r="Z30" s="479"/>
      <c r="AA30" s="479"/>
      <c r="AB30" s="479"/>
      <c r="AC30" s="479"/>
      <c r="AD30" s="479"/>
      <c r="AE30" s="479"/>
      <c r="AF30" s="479"/>
      <c r="AG30" s="479"/>
      <c r="AH30" s="479"/>
      <c r="AI30" s="479"/>
      <c r="AJ30" s="479"/>
      <c r="AK30" s="479"/>
      <c r="AL30" s="479"/>
      <c r="AM30" s="479"/>
      <c r="AN30" s="479"/>
      <c r="AO30" s="479"/>
      <c r="AP30" s="479"/>
      <c r="AQ30" s="479"/>
      <c r="AR30" s="479"/>
      <c r="AS30" s="479"/>
      <c r="AT30" s="479"/>
      <c r="AU30" s="479"/>
      <c r="AV30" s="479"/>
      <c r="AW30" s="479"/>
      <c r="AX30" s="479"/>
      <c r="AY30" s="479"/>
      <c r="AZ30" s="479"/>
      <c r="BA30" s="479"/>
      <c r="BB30" s="479"/>
      <c r="BC30" s="479"/>
      <c r="BD30" s="479"/>
      <c r="BE30" s="479"/>
      <c r="BF30" s="479"/>
      <c r="BG30" s="479"/>
    </row>
    <row r="31" ht="14" customHeight="1" spans="1:59">
      <c r="A31" s="470">
        <v>28</v>
      </c>
      <c r="B31" s="471">
        <v>1403</v>
      </c>
      <c r="C31" s="480" t="s">
        <v>123</v>
      </c>
      <c r="D31" s="481" t="s">
        <v>123</v>
      </c>
      <c r="E31" s="474" t="s">
        <v>171</v>
      </c>
      <c r="G31" s="482">
        <v>28</v>
      </c>
      <c r="H31" s="483">
        <v>1622</v>
      </c>
      <c r="I31" s="477" t="s">
        <v>172</v>
      </c>
      <c r="J31" s="484"/>
      <c r="K31" s="479"/>
      <c r="L31" s="484"/>
      <c r="M31" s="479"/>
      <c r="N31" s="484"/>
      <c r="O31" s="479"/>
      <c r="P31" s="479"/>
      <c r="Q31" s="479"/>
      <c r="R31" s="479"/>
      <c r="S31" s="479"/>
      <c r="T31" s="479"/>
      <c r="U31" s="479"/>
      <c r="V31" s="479"/>
      <c r="W31" s="479"/>
      <c r="X31" s="479"/>
      <c r="Y31" s="479"/>
      <c r="Z31" s="479"/>
      <c r="AA31" s="479"/>
      <c r="AB31" s="479"/>
      <c r="AC31" s="479"/>
      <c r="AD31" s="479"/>
      <c r="AE31" s="479"/>
      <c r="AF31" s="479"/>
      <c r="AG31" s="479"/>
      <c r="AH31" s="479"/>
      <c r="AI31" s="479"/>
      <c r="AJ31" s="479"/>
      <c r="AK31" s="479"/>
      <c r="AL31" s="479"/>
      <c r="AM31" s="479"/>
      <c r="AN31" s="479"/>
      <c r="AO31" s="479"/>
      <c r="AP31" s="479"/>
      <c r="AQ31" s="479"/>
      <c r="AR31" s="479"/>
      <c r="AS31" s="479"/>
      <c r="AT31" s="479"/>
      <c r="AU31" s="479"/>
      <c r="AV31" s="479"/>
      <c r="AW31" s="479"/>
      <c r="AX31" s="479"/>
      <c r="AY31" s="479"/>
      <c r="AZ31" s="479"/>
      <c r="BA31" s="479"/>
      <c r="BB31" s="479"/>
      <c r="BC31" s="479"/>
      <c r="BD31" s="479"/>
      <c r="BE31" s="479"/>
      <c r="BF31" s="479"/>
      <c r="BG31" s="479"/>
    </row>
    <row r="32" ht="14" customHeight="1" spans="1:59">
      <c r="A32" s="470">
        <v>29</v>
      </c>
      <c r="B32" s="471">
        <v>1404</v>
      </c>
      <c r="C32" s="480" t="s">
        <v>125</v>
      </c>
      <c r="D32" s="481" t="s">
        <v>125</v>
      </c>
      <c r="E32" s="474" t="s">
        <v>173</v>
      </c>
      <c r="G32" s="482">
        <v>29</v>
      </c>
      <c r="H32" s="483">
        <v>1631</v>
      </c>
      <c r="I32" s="477" t="s">
        <v>174</v>
      </c>
      <c r="J32" s="484" t="s">
        <v>175</v>
      </c>
      <c r="K32" s="479" t="s">
        <v>176</v>
      </c>
      <c r="L32" s="484" t="s">
        <v>177</v>
      </c>
      <c r="M32" s="479" t="s">
        <v>178</v>
      </c>
      <c r="N32" s="484"/>
      <c r="O32" s="479"/>
      <c r="P32" s="479"/>
      <c r="Q32" s="479"/>
      <c r="R32" s="479"/>
      <c r="S32" s="479"/>
      <c r="T32" s="479"/>
      <c r="U32" s="479"/>
      <c r="V32" s="479"/>
      <c r="W32" s="479"/>
      <c r="X32" s="479"/>
      <c r="Y32" s="479"/>
      <c r="Z32" s="479"/>
      <c r="AA32" s="479"/>
      <c r="AB32" s="479"/>
      <c r="AC32" s="479"/>
      <c r="AD32" s="479"/>
      <c r="AE32" s="479"/>
      <c r="AF32" s="479"/>
      <c r="AG32" s="479"/>
      <c r="AH32" s="479"/>
      <c r="AI32" s="479"/>
      <c r="AJ32" s="479"/>
      <c r="AK32" s="479"/>
      <c r="AL32" s="479"/>
      <c r="AM32" s="479"/>
      <c r="AN32" s="479"/>
      <c r="AO32" s="479"/>
      <c r="AP32" s="479"/>
      <c r="AQ32" s="479"/>
      <c r="AR32" s="479"/>
      <c r="AS32" s="479"/>
      <c r="AT32" s="479"/>
      <c r="AU32" s="479"/>
      <c r="AV32" s="479"/>
      <c r="AW32" s="479"/>
      <c r="AX32" s="479"/>
      <c r="AY32" s="479"/>
      <c r="AZ32" s="479"/>
      <c r="BA32" s="479"/>
      <c r="BB32" s="479"/>
      <c r="BC32" s="479"/>
      <c r="BD32" s="479"/>
      <c r="BE32" s="479"/>
      <c r="BF32" s="479"/>
      <c r="BG32" s="479"/>
    </row>
    <row r="33" ht="14" customHeight="1" spans="1:59">
      <c r="A33" s="470">
        <v>30</v>
      </c>
      <c r="B33" s="471">
        <v>1405</v>
      </c>
      <c r="C33" s="480" t="s">
        <v>128</v>
      </c>
      <c r="D33" s="481" t="s">
        <v>128</v>
      </c>
      <c r="E33" s="474" t="s">
        <v>179</v>
      </c>
      <c r="G33" s="482">
        <v>30</v>
      </c>
      <c r="H33" s="483">
        <v>1632</v>
      </c>
      <c r="I33" s="477" t="s">
        <v>180</v>
      </c>
      <c r="J33" s="484"/>
      <c r="K33" s="479"/>
      <c r="L33" s="484"/>
      <c r="M33" s="479"/>
      <c r="N33" s="484"/>
      <c r="O33" s="479"/>
      <c r="P33" s="479"/>
      <c r="Q33" s="479"/>
      <c r="R33" s="479"/>
      <c r="S33" s="479"/>
      <c r="T33" s="479"/>
      <c r="U33" s="479"/>
      <c r="V33" s="479"/>
      <c r="W33" s="479"/>
      <c r="X33" s="479"/>
      <c r="Y33" s="479"/>
      <c r="Z33" s="479"/>
      <c r="AA33" s="479"/>
      <c r="AB33" s="479"/>
      <c r="AC33" s="479"/>
      <c r="AD33" s="479"/>
      <c r="AE33" s="479"/>
      <c r="AF33" s="479"/>
      <c r="AG33" s="479"/>
      <c r="AH33" s="479"/>
      <c r="AI33" s="479"/>
      <c r="AJ33" s="479"/>
      <c r="AK33" s="479"/>
      <c r="AL33" s="479"/>
      <c r="AM33" s="479"/>
      <c r="AN33" s="479"/>
      <c r="AO33" s="479"/>
      <c r="AP33" s="479"/>
      <c r="AQ33" s="479"/>
      <c r="AR33" s="479"/>
      <c r="AS33" s="479"/>
      <c r="AT33" s="479"/>
      <c r="AU33" s="479"/>
      <c r="AV33" s="479"/>
      <c r="AW33" s="479"/>
      <c r="AX33" s="479"/>
      <c r="AY33" s="479"/>
      <c r="AZ33" s="479"/>
      <c r="BA33" s="479"/>
      <c r="BB33" s="479"/>
      <c r="BC33" s="479"/>
      <c r="BD33" s="479"/>
      <c r="BE33" s="479"/>
      <c r="BF33" s="479"/>
      <c r="BG33" s="479"/>
    </row>
    <row r="34" ht="14" customHeight="1" spans="1:59">
      <c r="A34" s="470">
        <v>31</v>
      </c>
      <c r="B34" s="471">
        <v>1406</v>
      </c>
      <c r="C34" s="480" t="s">
        <v>181</v>
      </c>
      <c r="D34" s="481" t="s">
        <v>182</v>
      </c>
      <c r="E34" s="474" t="s">
        <v>183</v>
      </c>
      <c r="G34" s="482">
        <v>31</v>
      </c>
      <c r="H34" s="483">
        <v>1701</v>
      </c>
      <c r="I34" s="477" t="s">
        <v>184</v>
      </c>
      <c r="J34" s="484"/>
      <c r="K34" s="479"/>
      <c r="L34" s="484"/>
      <c r="M34" s="479"/>
      <c r="N34" s="484"/>
      <c r="O34" s="479"/>
      <c r="P34" s="479"/>
      <c r="Q34" s="479"/>
      <c r="R34" s="479"/>
      <c r="S34" s="479"/>
      <c r="T34" s="479"/>
      <c r="U34" s="479"/>
      <c r="V34" s="479"/>
      <c r="W34" s="479"/>
      <c r="X34" s="479"/>
      <c r="Y34" s="479"/>
      <c r="Z34" s="479"/>
      <c r="AA34" s="479"/>
      <c r="AB34" s="479"/>
      <c r="AC34" s="479"/>
      <c r="AD34" s="479"/>
      <c r="AE34" s="479"/>
      <c r="AF34" s="479"/>
      <c r="AG34" s="479"/>
      <c r="AH34" s="479"/>
      <c r="AI34" s="479"/>
      <c r="AJ34" s="479"/>
      <c r="AK34" s="479"/>
      <c r="AL34" s="479"/>
      <c r="AM34" s="479"/>
      <c r="AN34" s="479"/>
      <c r="AO34" s="479"/>
      <c r="AP34" s="479"/>
      <c r="AQ34" s="479"/>
      <c r="AR34" s="479"/>
      <c r="AS34" s="479"/>
      <c r="AT34" s="479"/>
      <c r="AU34" s="479"/>
      <c r="AV34" s="479"/>
      <c r="AW34" s="479"/>
      <c r="AX34" s="479"/>
      <c r="AY34" s="479"/>
      <c r="AZ34" s="479"/>
      <c r="BA34" s="479"/>
      <c r="BB34" s="479"/>
      <c r="BC34" s="479"/>
      <c r="BD34" s="479"/>
      <c r="BE34" s="479"/>
      <c r="BF34" s="479"/>
      <c r="BG34" s="479"/>
    </row>
    <row r="35" ht="14" customHeight="1" spans="1:59">
      <c r="A35" s="470">
        <v>32</v>
      </c>
      <c r="B35" s="471">
        <v>1407</v>
      </c>
      <c r="C35" s="480" t="s">
        <v>131</v>
      </c>
      <c r="D35" s="481" t="s">
        <v>131</v>
      </c>
      <c r="E35" s="474" t="s">
        <v>185</v>
      </c>
      <c r="G35" s="482">
        <v>32</v>
      </c>
      <c r="H35" s="483">
        <v>1702</v>
      </c>
      <c r="I35" s="477" t="s">
        <v>186</v>
      </c>
      <c r="J35" s="484"/>
      <c r="K35" s="479"/>
      <c r="L35" s="484"/>
      <c r="M35" s="479"/>
      <c r="N35" s="484"/>
      <c r="O35" s="479"/>
      <c r="P35" s="479"/>
      <c r="Q35" s="479"/>
      <c r="R35" s="479"/>
      <c r="S35" s="479"/>
      <c r="T35" s="479"/>
      <c r="U35" s="479"/>
      <c r="V35" s="479"/>
      <c r="W35" s="479"/>
      <c r="X35" s="479"/>
      <c r="Y35" s="479"/>
      <c r="Z35" s="479"/>
      <c r="AA35" s="479"/>
      <c r="AB35" s="479"/>
      <c r="AC35" s="479"/>
      <c r="AD35" s="479"/>
      <c r="AE35" s="479"/>
      <c r="AF35" s="479"/>
      <c r="AG35" s="479"/>
      <c r="AH35" s="479"/>
      <c r="AI35" s="479"/>
      <c r="AJ35" s="479"/>
      <c r="AK35" s="479"/>
      <c r="AL35" s="479"/>
      <c r="AM35" s="479"/>
      <c r="AN35" s="479"/>
      <c r="AO35" s="479"/>
      <c r="AP35" s="479"/>
      <c r="AQ35" s="479"/>
      <c r="AR35" s="479"/>
      <c r="AS35" s="479"/>
      <c r="AT35" s="479"/>
      <c r="AU35" s="479"/>
      <c r="AV35" s="479"/>
      <c r="AW35" s="479"/>
      <c r="AX35" s="479"/>
      <c r="AY35" s="479"/>
      <c r="AZ35" s="479"/>
      <c r="BA35" s="479"/>
      <c r="BB35" s="479"/>
      <c r="BC35" s="479"/>
      <c r="BD35" s="479"/>
      <c r="BE35" s="479"/>
      <c r="BF35" s="479"/>
      <c r="BG35" s="479"/>
    </row>
    <row r="36" ht="14" customHeight="1" spans="1:59">
      <c r="A36" s="470">
        <v>33</v>
      </c>
      <c r="B36" s="471">
        <v>1408</v>
      </c>
      <c r="C36" s="480" t="s">
        <v>134</v>
      </c>
      <c r="D36" s="481" t="s">
        <v>134</v>
      </c>
      <c r="E36" s="474" t="s">
        <v>187</v>
      </c>
      <c r="G36" s="482">
        <v>33</v>
      </c>
      <c r="H36" s="483">
        <v>1801</v>
      </c>
      <c r="I36" s="477" t="s">
        <v>188</v>
      </c>
      <c r="J36" s="484"/>
      <c r="K36" s="479"/>
      <c r="L36" s="484"/>
      <c r="M36" s="479"/>
      <c r="N36" s="484"/>
      <c r="O36" s="479"/>
      <c r="P36" s="479"/>
      <c r="Q36" s="479"/>
      <c r="R36" s="479"/>
      <c r="S36" s="479"/>
      <c r="T36" s="479"/>
      <c r="U36" s="479"/>
      <c r="V36" s="479"/>
      <c r="W36" s="479"/>
      <c r="X36" s="479"/>
      <c r="Y36" s="479"/>
      <c r="Z36" s="479"/>
      <c r="AA36" s="479"/>
      <c r="AB36" s="479"/>
      <c r="AC36" s="479"/>
      <c r="AD36" s="479"/>
      <c r="AE36" s="479"/>
      <c r="AF36" s="479"/>
      <c r="AG36" s="479"/>
      <c r="AH36" s="479"/>
      <c r="AI36" s="479"/>
      <c r="AJ36" s="479"/>
      <c r="AK36" s="479"/>
      <c r="AL36" s="479"/>
      <c r="AM36" s="479"/>
      <c r="AN36" s="479"/>
      <c r="AO36" s="479"/>
      <c r="AP36" s="479"/>
      <c r="AQ36" s="479"/>
      <c r="AR36" s="479"/>
      <c r="AS36" s="479"/>
      <c r="AT36" s="479"/>
      <c r="AU36" s="479"/>
      <c r="AV36" s="479"/>
      <c r="AW36" s="479"/>
      <c r="AX36" s="479"/>
      <c r="AY36" s="479"/>
      <c r="AZ36" s="479"/>
      <c r="BA36" s="479"/>
      <c r="BB36" s="479"/>
      <c r="BC36" s="479"/>
      <c r="BD36" s="479"/>
      <c r="BE36" s="479"/>
      <c r="BF36" s="479"/>
      <c r="BG36" s="479"/>
    </row>
    <row r="37" ht="14" customHeight="1" spans="1:59">
      <c r="A37" s="470">
        <v>34</v>
      </c>
      <c r="B37" s="471">
        <v>1411</v>
      </c>
      <c r="C37" s="480" t="s">
        <v>136</v>
      </c>
      <c r="D37" s="481" t="s">
        <v>189</v>
      </c>
      <c r="E37" s="474" t="s">
        <v>190</v>
      </c>
      <c r="G37" s="482">
        <v>34</v>
      </c>
      <c r="H37" s="483">
        <v>1901</v>
      </c>
      <c r="I37" s="477" t="s">
        <v>191</v>
      </c>
      <c r="J37" s="484"/>
      <c r="K37" s="479"/>
      <c r="L37" s="484"/>
      <c r="M37" s="479"/>
      <c r="N37" s="484"/>
      <c r="O37" s="479"/>
      <c r="P37" s="479"/>
      <c r="Q37" s="479"/>
      <c r="R37" s="479"/>
      <c r="S37" s="479"/>
      <c r="T37" s="479"/>
      <c r="U37" s="479"/>
      <c r="V37" s="479"/>
      <c r="W37" s="479"/>
      <c r="X37" s="479"/>
      <c r="Y37" s="479"/>
      <c r="Z37" s="479"/>
      <c r="AA37" s="479"/>
      <c r="AB37" s="479"/>
      <c r="AC37" s="479"/>
      <c r="AD37" s="479"/>
      <c r="AE37" s="479"/>
      <c r="AF37" s="479"/>
      <c r="AG37" s="479"/>
      <c r="AH37" s="479"/>
      <c r="AI37" s="479"/>
      <c r="AJ37" s="479"/>
      <c r="AK37" s="479"/>
      <c r="AL37" s="479"/>
      <c r="AM37" s="479"/>
      <c r="AN37" s="479"/>
      <c r="AO37" s="479"/>
      <c r="AP37" s="479"/>
      <c r="AQ37" s="479"/>
      <c r="AR37" s="479"/>
      <c r="AS37" s="479"/>
      <c r="AT37" s="479"/>
      <c r="AU37" s="479"/>
      <c r="AV37" s="479"/>
      <c r="AW37" s="479"/>
      <c r="AX37" s="479"/>
      <c r="AY37" s="479"/>
      <c r="AZ37" s="479"/>
      <c r="BA37" s="479"/>
      <c r="BB37" s="479"/>
      <c r="BC37" s="479"/>
      <c r="BD37" s="479"/>
      <c r="BE37" s="479"/>
      <c r="BF37" s="479"/>
      <c r="BG37" s="479"/>
    </row>
    <row r="38" ht="22" customHeight="1" spans="1:59">
      <c r="A38" s="470">
        <v>35</v>
      </c>
      <c r="B38" s="471">
        <v>1421</v>
      </c>
      <c r="C38" s="480" t="s">
        <v>139</v>
      </c>
      <c r="D38" s="481" t="s">
        <v>87</v>
      </c>
      <c r="E38" s="474" t="s">
        <v>192</v>
      </c>
      <c r="G38" s="475" t="s">
        <v>193</v>
      </c>
      <c r="H38" s="476"/>
      <c r="I38" s="477"/>
      <c r="J38" s="478"/>
      <c r="K38" s="479"/>
      <c r="L38" s="479"/>
      <c r="M38" s="479"/>
      <c r="N38" s="479"/>
      <c r="O38" s="479"/>
      <c r="P38" s="479"/>
      <c r="Q38" s="479"/>
      <c r="R38" s="479"/>
      <c r="S38" s="479"/>
      <c r="T38" s="479"/>
      <c r="U38" s="479"/>
      <c r="V38" s="479"/>
      <c r="W38" s="479"/>
      <c r="X38" s="479"/>
      <c r="Y38" s="479"/>
      <c r="Z38" s="479"/>
      <c r="AA38" s="479"/>
      <c r="AB38" s="479"/>
      <c r="AC38" s="479"/>
      <c r="AD38" s="479"/>
      <c r="AE38" s="479"/>
      <c r="AF38" s="479"/>
      <c r="AG38" s="479"/>
      <c r="AH38" s="479"/>
      <c r="AI38" s="479"/>
      <c r="AJ38" s="479"/>
      <c r="AK38" s="479"/>
      <c r="AL38" s="479"/>
      <c r="AM38" s="479"/>
      <c r="AN38" s="479"/>
      <c r="AO38" s="479"/>
      <c r="AP38" s="479"/>
      <c r="AQ38" s="479"/>
      <c r="AR38" s="479"/>
      <c r="AS38" s="479"/>
      <c r="AT38" s="479"/>
      <c r="AU38" s="479"/>
      <c r="AV38" s="479"/>
      <c r="AW38" s="479"/>
      <c r="AX38" s="479"/>
      <c r="AY38" s="479"/>
      <c r="AZ38" s="479"/>
      <c r="BA38" s="479"/>
      <c r="BB38" s="479"/>
      <c r="BC38" s="479"/>
      <c r="BD38" s="479"/>
      <c r="BE38" s="479"/>
      <c r="BF38" s="479"/>
      <c r="BG38" s="479"/>
    </row>
    <row r="39" ht="14" customHeight="1" spans="1:59">
      <c r="A39" s="470">
        <v>36</v>
      </c>
      <c r="B39" s="471">
        <v>1431</v>
      </c>
      <c r="C39" s="480" t="s">
        <v>194</v>
      </c>
      <c r="D39" s="481" t="s">
        <v>87</v>
      </c>
      <c r="E39" s="474" t="s">
        <v>195</v>
      </c>
      <c r="G39" s="482">
        <v>35</v>
      </c>
      <c r="H39" s="483">
        <v>2001</v>
      </c>
      <c r="I39" s="477" t="s">
        <v>196</v>
      </c>
      <c r="J39" s="484"/>
      <c r="K39" s="479"/>
      <c r="L39" s="484"/>
      <c r="M39" s="479"/>
      <c r="N39" s="484"/>
      <c r="O39" s="479"/>
      <c r="P39" s="479"/>
      <c r="Q39" s="479"/>
      <c r="R39" s="479"/>
      <c r="S39" s="479"/>
      <c r="T39" s="479"/>
      <c r="U39" s="479"/>
      <c r="V39" s="479"/>
      <c r="W39" s="479"/>
      <c r="X39" s="479"/>
      <c r="Y39" s="479"/>
      <c r="Z39" s="479"/>
      <c r="AA39" s="479"/>
      <c r="AB39" s="479"/>
      <c r="AC39" s="479"/>
      <c r="AD39" s="479"/>
      <c r="AE39" s="479"/>
      <c r="AF39" s="479"/>
      <c r="AG39" s="479"/>
      <c r="AH39" s="479"/>
      <c r="AI39" s="479"/>
      <c r="AJ39" s="479"/>
      <c r="AK39" s="479"/>
      <c r="AL39" s="479"/>
      <c r="AM39" s="479"/>
      <c r="AN39" s="479"/>
      <c r="AO39" s="479"/>
      <c r="AP39" s="479"/>
      <c r="AQ39" s="479"/>
      <c r="AR39" s="479"/>
      <c r="AS39" s="479"/>
      <c r="AT39" s="479"/>
      <c r="AU39" s="479"/>
      <c r="AV39" s="479"/>
      <c r="AW39" s="479"/>
      <c r="AX39" s="479"/>
      <c r="AY39" s="479"/>
      <c r="AZ39" s="479"/>
      <c r="BA39" s="479"/>
      <c r="BB39" s="479"/>
      <c r="BC39" s="479"/>
      <c r="BD39" s="479"/>
      <c r="BE39" s="479"/>
      <c r="BF39" s="479"/>
      <c r="BG39" s="479"/>
    </row>
    <row r="40" ht="14" customHeight="1" spans="1:59">
      <c r="A40" s="470">
        <v>37</v>
      </c>
      <c r="B40" s="471">
        <v>1441</v>
      </c>
      <c r="C40" s="480" t="s">
        <v>197</v>
      </c>
      <c r="D40" s="481" t="s">
        <v>87</v>
      </c>
      <c r="E40" s="474" t="s">
        <v>198</v>
      </c>
      <c r="G40" s="482">
        <v>36</v>
      </c>
      <c r="H40" s="483">
        <v>2201</v>
      </c>
      <c r="I40" s="477" t="s">
        <v>199</v>
      </c>
      <c r="J40" s="484"/>
      <c r="K40" s="479"/>
      <c r="L40" s="484"/>
      <c r="M40" s="479"/>
      <c r="N40" s="484"/>
      <c r="O40" s="479"/>
      <c r="P40" s="479"/>
      <c r="Q40" s="479"/>
      <c r="R40" s="479"/>
      <c r="S40" s="479"/>
      <c r="T40" s="479"/>
      <c r="U40" s="479"/>
      <c r="V40" s="479"/>
      <c r="W40" s="479"/>
      <c r="X40" s="479"/>
      <c r="Y40" s="479"/>
      <c r="Z40" s="479"/>
      <c r="AA40" s="479"/>
      <c r="AB40" s="479"/>
      <c r="AC40" s="479"/>
      <c r="AD40" s="479"/>
      <c r="AE40" s="479"/>
      <c r="AF40" s="479"/>
      <c r="AG40" s="479"/>
      <c r="AH40" s="479"/>
      <c r="AI40" s="479"/>
      <c r="AJ40" s="479"/>
      <c r="AK40" s="479"/>
      <c r="AL40" s="479"/>
      <c r="AM40" s="479"/>
      <c r="AN40" s="479"/>
      <c r="AO40" s="479"/>
      <c r="AP40" s="479"/>
      <c r="AQ40" s="479"/>
      <c r="AR40" s="479"/>
      <c r="AS40" s="479"/>
      <c r="AT40" s="479"/>
      <c r="AU40" s="479"/>
      <c r="AV40" s="479"/>
      <c r="AW40" s="479"/>
      <c r="AX40" s="479"/>
      <c r="AY40" s="479"/>
      <c r="AZ40" s="479"/>
      <c r="BA40" s="479"/>
      <c r="BB40" s="479"/>
      <c r="BC40" s="479"/>
      <c r="BD40" s="479"/>
      <c r="BE40" s="479"/>
      <c r="BF40" s="479"/>
      <c r="BG40" s="479"/>
    </row>
    <row r="41" ht="14" customHeight="1" spans="1:59">
      <c r="A41" s="470">
        <v>38</v>
      </c>
      <c r="B41" s="471">
        <v>1451</v>
      </c>
      <c r="C41" s="480" t="s">
        <v>200</v>
      </c>
      <c r="D41" s="481" t="s">
        <v>87</v>
      </c>
      <c r="E41" s="474" t="s">
        <v>201</v>
      </c>
      <c r="G41" s="482">
        <v>37</v>
      </c>
      <c r="H41" s="483">
        <v>2202</v>
      </c>
      <c r="I41" s="477" t="s">
        <v>202</v>
      </c>
      <c r="J41" s="484" t="s">
        <v>203</v>
      </c>
      <c r="K41" s="479" t="s">
        <v>204</v>
      </c>
      <c r="L41" s="484" t="s">
        <v>205</v>
      </c>
      <c r="M41" s="487" t="s">
        <v>206</v>
      </c>
      <c r="N41" s="484" t="s">
        <v>207</v>
      </c>
      <c r="O41" s="479" t="s">
        <v>208</v>
      </c>
      <c r="P41" s="479" t="s">
        <v>97</v>
      </c>
      <c r="Q41" s="479"/>
      <c r="R41" s="479"/>
      <c r="S41" s="479"/>
      <c r="T41" s="479"/>
      <c r="U41" s="479"/>
      <c r="V41" s="479"/>
      <c r="W41" s="479"/>
      <c r="X41" s="479"/>
      <c r="Y41" s="479"/>
      <c r="Z41" s="479"/>
      <c r="AA41" s="479"/>
      <c r="AB41" s="479"/>
      <c r="AC41" s="479"/>
      <c r="AD41" s="479"/>
      <c r="AE41" s="479"/>
      <c r="AF41" s="479"/>
      <c r="AG41" s="479"/>
      <c r="AH41" s="479"/>
      <c r="AI41" s="479"/>
      <c r="AJ41" s="479"/>
      <c r="AK41" s="479"/>
      <c r="AL41" s="479"/>
      <c r="AM41" s="479"/>
      <c r="AN41" s="479"/>
      <c r="AO41" s="479"/>
      <c r="AP41" s="479"/>
      <c r="AQ41" s="479"/>
      <c r="AR41" s="479"/>
      <c r="AS41" s="479"/>
      <c r="AT41" s="479"/>
      <c r="AU41" s="479"/>
      <c r="AV41" s="479"/>
      <c r="AW41" s="479"/>
      <c r="AX41" s="479"/>
      <c r="AY41" s="479"/>
      <c r="AZ41" s="479"/>
      <c r="BA41" s="479"/>
      <c r="BB41" s="479"/>
      <c r="BC41" s="479"/>
      <c r="BD41" s="479"/>
      <c r="BE41" s="479"/>
      <c r="BF41" s="479"/>
      <c r="BG41" s="479"/>
    </row>
    <row r="42" ht="14" customHeight="1" spans="1:59">
      <c r="A42" s="470">
        <v>39</v>
      </c>
      <c r="B42" s="471">
        <v>1461</v>
      </c>
      <c r="C42" s="480" t="s">
        <v>209</v>
      </c>
      <c r="D42" s="481" t="s">
        <v>87</v>
      </c>
      <c r="E42" s="474" t="s">
        <v>210</v>
      </c>
      <c r="G42" s="482">
        <v>38</v>
      </c>
      <c r="H42" s="483">
        <v>2203</v>
      </c>
      <c r="I42" s="477" t="s">
        <v>211</v>
      </c>
      <c r="J42" s="484"/>
      <c r="K42" s="479"/>
      <c r="L42" s="484"/>
      <c r="M42" s="479"/>
      <c r="N42" s="484"/>
      <c r="O42" s="479"/>
      <c r="P42" s="479"/>
      <c r="Q42" s="479"/>
      <c r="R42" s="479"/>
      <c r="S42" s="479"/>
      <c r="T42" s="479"/>
      <c r="U42" s="479"/>
      <c r="V42" s="479"/>
      <c r="W42" s="479"/>
      <c r="X42" s="479"/>
      <c r="Y42" s="479"/>
      <c r="Z42" s="479"/>
      <c r="AA42" s="479"/>
      <c r="AB42" s="479"/>
      <c r="AC42" s="479"/>
      <c r="AD42" s="479"/>
      <c r="AE42" s="479"/>
      <c r="AF42" s="479"/>
      <c r="AG42" s="479"/>
      <c r="AH42" s="479"/>
      <c r="AI42" s="479"/>
      <c r="AJ42" s="479"/>
      <c r="AK42" s="479"/>
      <c r="AL42" s="479"/>
      <c r="AM42" s="479"/>
      <c r="AN42" s="479"/>
      <c r="AO42" s="479"/>
      <c r="AP42" s="479"/>
      <c r="AQ42" s="479"/>
      <c r="AR42" s="479"/>
      <c r="AS42" s="479"/>
      <c r="AT42" s="479"/>
      <c r="AU42" s="479"/>
      <c r="AV42" s="479"/>
      <c r="AW42" s="479"/>
      <c r="AX42" s="479"/>
      <c r="AY42" s="479"/>
      <c r="AZ42" s="479"/>
      <c r="BA42" s="479"/>
      <c r="BB42" s="479"/>
      <c r="BC42" s="479"/>
      <c r="BD42" s="479"/>
      <c r="BE42" s="479"/>
      <c r="BF42" s="479"/>
      <c r="BG42" s="479"/>
    </row>
    <row r="43" ht="14" customHeight="1" spans="1:59">
      <c r="A43" s="470">
        <v>40</v>
      </c>
      <c r="B43" s="471">
        <v>1471</v>
      </c>
      <c r="C43" s="480" t="s">
        <v>212</v>
      </c>
      <c r="D43" s="481" t="s">
        <v>212</v>
      </c>
      <c r="E43" s="474" t="s">
        <v>213</v>
      </c>
      <c r="G43" s="482">
        <v>39</v>
      </c>
      <c r="H43" s="483">
        <v>2211</v>
      </c>
      <c r="I43" s="477" t="s">
        <v>214</v>
      </c>
      <c r="J43" s="484" t="s">
        <v>215</v>
      </c>
      <c r="K43" s="479" t="s">
        <v>216</v>
      </c>
      <c r="L43" s="484" t="s">
        <v>217</v>
      </c>
      <c r="M43" s="479" t="s">
        <v>218</v>
      </c>
      <c r="N43" s="484" t="s">
        <v>219</v>
      </c>
      <c r="O43" s="479" t="s">
        <v>220</v>
      </c>
      <c r="P43" s="479"/>
      <c r="Q43" s="479"/>
      <c r="R43" s="479"/>
      <c r="S43" s="479"/>
      <c r="T43" s="479"/>
      <c r="U43" s="479"/>
      <c r="V43" s="479"/>
      <c r="W43" s="479"/>
      <c r="X43" s="479"/>
      <c r="Y43" s="479"/>
      <c r="Z43" s="479"/>
      <c r="AA43" s="479"/>
      <c r="AB43" s="479"/>
      <c r="AC43" s="479"/>
      <c r="AD43" s="479"/>
      <c r="AE43" s="479"/>
      <c r="AF43" s="479"/>
      <c r="AG43" s="479"/>
      <c r="AH43" s="479"/>
      <c r="AI43" s="479"/>
      <c r="AJ43" s="479"/>
      <c r="AK43" s="479"/>
      <c r="AL43" s="479"/>
      <c r="AM43" s="479"/>
      <c r="AN43" s="479"/>
      <c r="AO43" s="479"/>
      <c r="AP43" s="479"/>
      <c r="AQ43" s="479"/>
      <c r="AR43" s="479"/>
      <c r="AS43" s="479"/>
      <c r="AT43" s="479"/>
      <c r="AU43" s="479"/>
      <c r="AV43" s="479"/>
      <c r="AW43" s="479"/>
      <c r="AX43" s="479"/>
      <c r="AY43" s="479"/>
      <c r="AZ43" s="479"/>
      <c r="BA43" s="479"/>
      <c r="BB43" s="479"/>
      <c r="BC43" s="479"/>
      <c r="BD43" s="479"/>
      <c r="BE43" s="479"/>
      <c r="BF43" s="479"/>
      <c r="BG43" s="479"/>
    </row>
    <row r="44" ht="14" customHeight="1" spans="1:59">
      <c r="A44" s="470">
        <v>41</v>
      </c>
      <c r="B44" s="471">
        <v>1501</v>
      </c>
      <c r="C44" s="480" t="s">
        <v>221</v>
      </c>
      <c r="D44" s="481" t="s">
        <v>87</v>
      </c>
      <c r="E44" s="474" t="s">
        <v>222</v>
      </c>
      <c r="G44" s="482">
        <v>40</v>
      </c>
      <c r="H44" s="483">
        <v>2221</v>
      </c>
      <c r="I44" s="477" t="s">
        <v>223</v>
      </c>
      <c r="J44" s="484" t="s">
        <v>224</v>
      </c>
      <c r="K44" s="479" t="s">
        <v>225</v>
      </c>
      <c r="L44" s="484" t="s">
        <v>226</v>
      </c>
      <c r="M44" s="479" t="s">
        <v>227</v>
      </c>
      <c r="N44" s="484" t="s">
        <v>228</v>
      </c>
      <c r="O44" s="487" t="s">
        <v>229</v>
      </c>
      <c r="P44" s="479" t="s">
        <v>230</v>
      </c>
      <c r="Q44" s="479" t="s">
        <v>231</v>
      </c>
      <c r="R44" s="479" t="s">
        <v>232</v>
      </c>
      <c r="S44" s="479" t="s">
        <v>233</v>
      </c>
      <c r="T44" s="479" t="s">
        <v>234</v>
      </c>
      <c r="U44" s="479" t="s">
        <v>235</v>
      </c>
      <c r="V44" s="479" t="s">
        <v>236</v>
      </c>
      <c r="W44" s="479" t="s">
        <v>237</v>
      </c>
      <c r="X44" s="479" t="s">
        <v>238</v>
      </c>
      <c r="Y44" s="479" t="s">
        <v>239</v>
      </c>
      <c r="Z44" s="479" t="s">
        <v>240</v>
      </c>
      <c r="AA44" s="479" t="s">
        <v>241</v>
      </c>
      <c r="AB44" s="479" t="s">
        <v>242</v>
      </c>
      <c r="AC44" s="479" t="s">
        <v>243</v>
      </c>
      <c r="AD44" s="479" t="s">
        <v>244</v>
      </c>
      <c r="AE44" s="479" t="s">
        <v>245</v>
      </c>
      <c r="AF44" s="479" t="s">
        <v>246</v>
      </c>
      <c r="AG44" s="479" t="s">
        <v>247</v>
      </c>
      <c r="AH44" s="479" t="s">
        <v>248</v>
      </c>
      <c r="AI44" s="479" t="s">
        <v>249</v>
      </c>
      <c r="AJ44" s="479" t="s">
        <v>250</v>
      </c>
      <c r="AK44" s="479" t="s">
        <v>251</v>
      </c>
      <c r="AL44" s="479" t="s">
        <v>252</v>
      </c>
      <c r="AM44" s="479" t="s">
        <v>253</v>
      </c>
      <c r="AN44" s="479" t="s">
        <v>254</v>
      </c>
      <c r="AO44" s="479" t="s">
        <v>255</v>
      </c>
      <c r="AP44" s="479"/>
      <c r="AQ44" s="479"/>
      <c r="AR44" s="479"/>
      <c r="AS44" s="479"/>
      <c r="AT44" s="479"/>
      <c r="AU44" s="479"/>
      <c r="AV44" s="479"/>
      <c r="AW44" s="479"/>
      <c r="AX44" s="479"/>
      <c r="AY44" s="479"/>
      <c r="AZ44" s="479"/>
      <c r="BA44" s="479"/>
      <c r="BB44" s="479"/>
      <c r="BC44" s="479"/>
      <c r="BD44" s="479"/>
      <c r="BE44" s="479"/>
      <c r="BF44" s="479"/>
      <c r="BG44" s="479"/>
    </row>
    <row r="45" ht="14" customHeight="1" spans="1:59">
      <c r="A45" s="470">
        <v>42</v>
      </c>
      <c r="B45" s="471">
        <v>1502</v>
      </c>
      <c r="C45" s="480" t="s">
        <v>256</v>
      </c>
      <c r="D45" s="481" t="s">
        <v>87</v>
      </c>
      <c r="E45" s="474" t="s">
        <v>257</v>
      </c>
      <c r="G45" s="482">
        <v>41</v>
      </c>
      <c r="H45" s="483">
        <v>2231</v>
      </c>
      <c r="I45" s="477" t="s">
        <v>258</v>
      </c>
      <c r="J45" s="484"/>
      <c r="K45" s="479"/>
      <c r="L45" s="484"/>
      <c r="M45" s="479"/>
      <c r="N45" s="484"/>
      <c r="O45" s="479"/>
      <c r="P45" s="479"/>
      <c r="Q45" s="479"/>
      <c r="R45" s="479"/>
      <c r="S45" s="479"/>
      <c r="T45" s="479"/>
      <c r="U45" s="479"/>
      <c r="V45" s="479"/>
      <c r="W45" s="479"/>
      <c r="X45" s="479"/>
      <c r="Y45" s="479"/>
      <c r="Z45" s="479"/>
      <c r="AA45" s="479"/>
      <c r="AB45" s="479"/>
      <c r="AC45" s="479"/>
      <c r="AD45" s="479"/>
      <c r="AE45" s="479"/>
      <c r="AF45" s="479"/>
      <c r="AG45" s="479"/>
      <c r="AH45" s="479"/>
      <c r="AI45" s="479"/>
      <c r="AJ45" s="479"/>
      <c r="AK45" s="479"/>
      <c r="AL45" s="479"/>
      <c r="AM45" s="479"/>
      <c r="AN45" s="479"/>
      <c r="AO45" s="479"/>
      <c r="AP45" s="479"/>
      <c r="AQ45" s="479"/>
      <c r="AR45" s="479"/>
      <c r="AS45" s="479"/>
      <c r="AT45" s="479"/>
      <c r="AU45" s="479"/>
      <c r="AV45" s="479"/>
      <c r="AW45" s="479"/>
      <c r="AX45" s="479"/>
      <c r="AY45" s="479"/>
      <c r="AZ45" s="479"/>
      <c r="BA45" s="479"/>
      <c r="BB45" s="479"/>
      <c r="BC45" s="479"/>
      <c r="BD45" s="479"/>
      <c r="BE45" s="479"/>
      <c r="BF45" s="479"/>
      <c r="BG45" s="479"/>
    </row>
    <row r="46" ht="14" customHeight="1" spans="1:59">
      <c r="A46" s="470">
        <v>43</v>
      </c>
      <c r="B46" s="471">
        <v>1503</v>
      </c>
      <c r="C46" s="480" t="s">
        <v>259</v>
      </c>
      <c r="D46" s="481" t="s">
        <v>87</v>
      </c>
      <c r="E46" s="474" t="s">
        <v>260</v>
      </c>
      <c r="G46" s="482">
        <v>42</v>
      </c>
      <c r="H46" s="483">
        <v>2232</v>
      </c>
      <c r="I46" s="477" t="s">
        <v>261</v>
      </c>
      <c r="J46" s="484"/>
      <c r="K46" s="479"/>
      <c r="L46" s="484"/>
      <c r="M46" s="479"/>
      <c r="N46" s="484"/>
      <c r="O46" s="479"/>
      <c r="P46" s="479"/>
      <c r="Q46" s="479"/>
      <c r="R46" s="479"/>
      <c r="S46" s="479"/>
      <c r="T46" s="479"/>
      <c r="U46" s="479"/>
      <c r="V46" s="479"/>
      <c r="W46" s="479"/>
      <c r="X46" s="479"/>
      <c r="Y46" s="479"/>
      <c r="Z46" s="479"/>
      <c r="AA46" s="479"/>
      <c r="AB46" s="479"/>
      <c r="AC46" s="479"/>
      <c r="AD46" s="479"/>
      <c r="AE46" s="479"/>
      <c r="AF46" s="479"/>
      <c r="AG46" s="479"/>
      <c r="AH46" s="479"/>
      <c r="AI46" s="479"/>
      <c r="AJ46" s="479"/>
      <c r="AK46" s="479"/>
      <c r="AL46" s="479"/>
      <c r="AM46" s="479"/>
      <c r="AN46" s="479"/>
      <c r="AO46" s="479"/>
      <c r="AP46" s="479"/>
      <c r="AQ46" s="479"/>
      <c r="AR46" s="479"/>
      <c r="AS46" s="479"/>
      <c r="AT46" s="479"/>
      <c r="AU46" s="479"/>
      <c r="AV46" s="479"/>
      <c r="AW46" s="479"/>
      <c r="AX46" s="479"/>
      <c r="AY46" s="479"/>
      <c r="AZ46" s="479"/>
      <c r="BA46" s="479"/>
      <c r="BB46" s="479"/>
      <c r="BC46" s="479"/>
      <c r="BD46" s="479"/>
      <c r="BE46" s="479"/>
      <c r="BF46" s="479"/>
      <c r="BG46" s="479"/>
    </row>
    <row r="47" ht="14" customHeight="1" spans="1:59">
      <c r="A47" s="470">
        <v>44</v>
      </c>
      <c r="B47" s="471">
        <v>1511</v>
      </c>
      <c r="C47" s="480" t="s">
        <v>147</v>
      </c>
      <c r="D47" s="481" t="s">
        <v>147</v>
      </c>
      <c r="E47" s="474" t="s">
        <v>262</v>
      </c>
      <c r="G47" s="482">
        <v>43</v>
      </c>
      <c r="H47" s="483">
        <v>2241</v>
      </c>
      <c r="I47" s="477" t="s">
        <v>263</v>
      </c>
      <c r="J47" s="484" t="s">
        <v>264</v>
      </c>
      <c r="K47" s="487" t="s">
        <v>265</v>
      </c>
      <c r="L47" s="484" t="s">
        <v>97</v>
      </c>
      <c r="M47" s="479" t="s">
        <v>266</v>
      </c>
      <c r="N47" s="484"/>
      <c r="O47" s="479"/>
      <c r="P47" s="479"/>
      <c r="Q47" s="479"/>
      <c r="R47" s="479"/>
      <c r="S47" s="479"/>
      <c r="T47" s="479"/>
      <c r="U47" s="479"/>
      <c r="V47" s="479"/>
      <c r="W47" s="479"/>
      <c r="X47" s="479"/>
      <c r="Y47" s="479"/>
      <c r="Z47" s="479"/>
      <c r="AA47" s="479"/>
      <c r="AB47" s="479"/>
      <c r="AC47" s="479"/>
      <c r="AD47" s="479"/>
      <c r="AE47" s="479"/>
      <c r="AF47" s="479"/>
      <c r="AG47" s="479"/>
      <c r="AH47" s="479"/>
      <c r="AI47" s="479"/>
      <c r="AJ47" s="479"/>
      <c r="AK47" s="479"/>
      <c r="AL47" s="479"/>
      <c r="AM47" s="479"/>
      <c r="AN47" s="479"/>
      <c r="AO47" s="479"/>
      <c r="AP47" s="479"/>
      <c r="AQ47" s="479"/>
      <c r="AR47" s="479"/>
      <c r="AS47" s="479"/>
      <c r="AT47" s="479"/>
      <c r="AU47" s="479"/>
      <c r="AV47" s="479"/>
      <c r="AW47" s="479"/>
      <c r="AX47" s="479"/>
      <c r="AY47" s="479"/>
      <c r="AZ47" s="479"/>
      <c r="BA47" s="479"/>
      <c r="BB47" s="479"/>
      <c r="BC47" s="479"/>
      <c r="BD47" s="479"/>
      <c r="BE47" s="479"/>
      <c r="BF47" s="479"/>
      <c r="BG47" s="479"/>
    </row>
    <row r="48" ht="14" customHeight="1" spans="1:59">
      <c r="A48" s="470">
        <v>45</v>
      </c>
      <c r="B48" s="471">
        <v>1512</v>
      </c>
      <c r="C48" s="480" t="s">
        <v>267</v>
      </c>
      <c r="D48" s="481" t="s">
        <v>268</v>
      </c>
      <c r="E48" s="474" t="s">
        <v>269</v>
      </c>
      <c r="G48" s="482">
        <v>44</v>
      </c>
      <c r="H48" s="483">
        <v>2401</v>
      </c>
      <c r="I48" s="477" t="s">
        <v>270</v>
      </c>
      <c r="J48" s="484"/>
      <c r="K48" s="479"/>
      <c r="L48" s="484"/>
      <c r="M48" s="479"/>
      <c r="N48" s="484"/>
      <c r="O48" s="479"/>
      <c r="P48" s="479"/>
      <c r="Q48" s="479"/>
      <c r="R48" s="479"/>
      <c r="S48" s="479"/>
      <c r="T48" s="479"/>
      <c r="U48" s="479"/>
      <c r="V48" s="479"/>
      <c r="W48" s="479"/>
      <c r="X48" s="479"/>
      <c r="Y48" s="479"/>
      <c r="Z48" s="479"/>
      <c r="AA48" s="479"/>
      <c r="AB48" s="479"/>
      <c r="AC48" s="479"/>
      <c r="AD48" s="479"/>
      <c r="AE48" s="479"/>
      <c r="AF48" s="479"/>
      <c r="AG48" s="479"/>
      <c r="AH48" s="479"/>
      <c r="AI48" s="479"/>
      <c r="AJ48" s="479"/>
      <c r="AK48" s="479"/>
      <c r="AL48" s="479"/>
      <c r="AM48" s="479"/>
      <c r="AN48" s="479"/>
      <c r="AO48" s="479"/>
      <c r="AP48" s="479"/>
      <c r="AQ48" s="479"/>
      <c r="AR48" s="479"/>
      <c r="AS48" s="479"/>
      <c r="AT48" s="479"/>
      <c r="AU48" s="479"/>
      <c r="AV48" s="479"/>
      <c r="AW48" s="479"/>
      <c r="AX48" s="479"/>
      <c r="AY48" s="479"/>
      <c r="AZ48" s="479"/>
      <c r="BA48" s="479"/>
      <c r="BB48" s="479"/>
      <c r="BC48" s="479"/>
      <c r="BD48" s="479"/>
      <c r="BE48" s="479"/>
      <c r="BF48" s="479"/>
      <c r="BG48" s="479"/>
    </row>
    <row r="49" ht="14" customHeight="1" spans="1:59">
      <c r="A49" s="470">
        <v>46</v>
      </c>
      <c r="B49" s="471">
        <v>1521</v>
      </c>
      <c r="C49" s="480" t="s">
        <v>271</v>
      </c>
      <c r="D49" s="481" t="s">
        <v>87</v>
      </c>
      <c r="E49" s="474" t="s">
        <v>272</v>
      </c>
      <c r="G49" s="482">
        <v>45</v>
      </c>
      <c r="H49" s="483">
        <v>2501</v>
      </c>
      <c r="I49" s="477" t="s">
        <v>273</v>
      </c>
      <c r="J49" s="484"/>
      <c r="K49" s="479"/>
      <c r="L49" s="484"/>
      <c r="M49" s="479"/>
      <c r="N49" s="484"/>
      <c r="O49" s="479"/>
      <c r="P49" s="479"/>
      <c r="Q49" s="479"/>
      <c r="R49" s="479"/>
      <c r="S49" s="479"/>
      <c r="T49" s="479"/>
      <c r="U49" s="479"/>
      <c r="V49" s="479"/>
      <c r="W49" s="479"/>
      <c r="X49" s="479"/>
      <c r="Y49" s="479"/>
      <c r="Z49" s="479"/>
      <c r="AA49" s="479"/>
      <c r="AB49" s="479"/>
      <c r="AC49" s="479"/>
      <c r="AD49" s="479"/>
      <c r="AE49" s="479"/>
      <c r="AF49" s="479"/>
      <c r="AG49" s="479"/>
      <c r="AH49" s="479"/>
      <c r="AI49" s="479"/>
      <c r="AJ49" s="479"/>
      <c r="AK49" s="479"/>
      <c r="AL49" s="479"/>
      <c r="AM49" s="479"/>
      <c r="AN49" s="479"/>
      <c r="AO49" s="479"/>
      <c r="AP49" s="479"/>
      <c r="AQ49" s="479"/>
      <c r="AR49" s="479"/>
      <c r="AS49" s="479"/>
      <c r="AT49" s="479"/>
      <c r="AU49" s="479"/>
      <c r="AV49" s="479"/>
      <c r="AW49" s="479"/>
      <c r="AX49" s="479"/>
      <c r="AY49" s="479"/>
      <c r="AZ49" s="479"/>
      <c r="BA49" s="479"/>
      <c r="BB49" s="479"/>
      <c r="BC49" s="479"/>
      <c r="BD49" s="479"/>
      <c r="BE49" s="479"/>
      <c r="BF49" s="479"/>
      <c r="BG49" s="479"/>
    </row>
    <row r="50" ht="14" customHeight="1" spans="1:59">
      <c r="A50" s="470">
        <v>47</v>
      </c>
      <c r="B50" s="471">
        <v>1531</v>
      </c>
      <c r="C50" s="480" t="s">
        <v>274</v>
      </c>
      <c r="D50" s="481" t="s">
        <v>274</v>
      </c>
      <c r="E50" s="474" t="s">
        <v>275</v>
      </c>
      <c r="G50" s="482">
        <v>46</v>
      </c>
      <c r="H50" s="483">
        <v>2701</v>
      </c>
      <c r="I50" s="477" t="s">
        <v>276</v>
      </c>
      <c r="J50" s="484"/>
      <c r="K50" s="479"/>
      <c r="L50" s="484"/>
      <c r="M50" s="479"/>
      <c r="N50" s="484"/>
      <c r="O50" s="479"/>
      <c r="P50" s="479"/>
      <c r="Q50" s="479"/>
      <c r="R50" s="479"/>
      <c r="S50" s="479"/>
      <c r="T50" s="479"/>
      <c r="U50" s="479"/>
      <c r="V50" s="479"/>
      <c r="W50" s="479"/>
      <c r="X50" s="479"/>
      <c r="Y50" s="479"/>
      <c r="Z50" s="479"/>
      <c r="AA50" s="479"/>
      <c r="AB50" s="479"/>
      <c r="AC50" s="479"/>
      <c r="AD50" s="479"/>
      <c r="AE50" s="479"/>
      <c r="AF50" s="479"/>
      <c r="AG50" s="479"/>
      <c r="AH50" s="479"/>
      <c r="AI50" s="479"/>
      <c r="AJ50" s="479"/>
      <c r="AK50" s="479"/>
      <c r="AL50" s="479"/>
      <c r="AM50" s="479"/>
      <c r="AN50" s="479"/>
      <c r="AO50" s="479"/>
      <c r="AP50" s="479"/>
      <c r="AQ50" s="479"/>
      <c r="AR50" s="479"/>
      <c r="AS50" s="479"/>
      <c r="AT50" s="479"/>
      <c r="AU50" s="479"/>
      <c r="AV50" s="479"/>
      <c r="AW50" s="479"/>
      <c r="AX50" s="479"/>
      <c r="AY50" s="479"/>
      <c r="AZ50" s="479"/>
      <c r="BA50" s="479"/>
      <c r="BB50" s="479"/>
      <c r="BC50" s="479"/>
      <c r="BD50" s="479"/>
      <c r="BE50" s="479"/>
      <c r="BF50" s="479"/>
      <c r="BG50" s="479"/>
    </row>
    <row r="51" ht="22" customHeight="1" spans="1:59">
      <c r="A51" s="470">
        <v>48</v>
      </c>
      <c r="B51" s="471">
        <v>1532</v>
      </c>
      <c r="C51" s="480" t="s">
        <v>277</v>
      </c>
      <c r="D51" s="481" t="s">
        <v>87</v>
      </c>
      <c r="E51" s="474" t="s">
        <v>278</v>
      </c>
      <c r="G51" s="475" t="s">
        <v>279</v>
      </c>
      <c r="H51" s="476"/>
      <c r="I51" s="477"/>
      <c r="J51" s="478"/>
      <c r="K51" s="479"/>
      <c r="L51" s="479"/>
      <c r="M51" s="479"/>
      <c r="N51" s="479"/>
      <c r="O51" s="479"/>
      <c r="P51" s="479"/>
      <c r="Q51" s="479"/>
      <c r="R51" s="479"/>
      <c r="S51" s="479"/>
      <c r="T51" s="479"/>
      <c r="U51" s="479"/>
      <c r="V51" s="479"/>
      <c r="W51" s="479"/>
      <c r="X51" s="479"/>
      <c r="Y51" s="479"/>
      <c r="Z51" s="479"/>
      <c r="AA51" s="479"/>
      <c r="AB51" s="479"/>
      <c r="AC51" s="479"/>
      <c r="AD51" s="479"/>
      <c r="AE51" s="479"/>
      <c r="AF51" s="479"/>
      <c r="AG51" s="479"/>
      <c r="AH51" s="479"/>
      <c r="AI51" s="479"/>
      <c r="AJ51" s="479"/>
      <c r="AK51" s="479"/>
      <c r="AL51" s="479"/>
      <c r="AM51" s="479"/>
      <c r="AN51" s="479"/>
      <c r="AO51" s="479"/>
      <c r="AP51" s="479"/>
      <c r="AQ51" s="479"/>
      <c r="AR51" s="479"/>
      <c r="AS51" s="479"/>
      <c r="AT51" s="479"/>
      <c r="AU51" s="479"/>
      <c r="AV51" s="479"/>
      <c r="AW51" s="479"/>
      <c r="AX51" s="479"/>
      <c r="AY51" s="479"/>
      <c r="AZ51" s="479"/>
      <c r="BA51" s="479"/>
      <c r="BB51" s="479"/>
      <c r="BC51" s="479"/>
      <c r="BD51" s="479"/>
      <c r="BE51" s="479"/>
      <c r="BF51" s="479"/>
      <c r="BG51" s="479"/>
    </row>
    <row r="52" ht="14" customHeight="1" spans="1:59">
      <c r="A52" s="470">
        <v>49</v>
      </c>
      <c r="B52" s="471">
        <v>1541</v>
      </c>
      <c r="C52" s="480" t="s">
        <v>280</v>
      </c>
      <c r="D52" s="481" t="s">
        <v>87</v>
      </c>
      <c r="E52" s="474" t="s">
        <v>281</v>
      </c>
      <c r="G52" s="482">
        <v>47</v>
      </c>
      <c r="H52" s="483">
        <v>3001</v>
      </c>
      <c r="I52" s="477" t="s">
        <v>282</v>
      </c>
      <c r="J52" s="484" t="s">
        <v>283</v>
      </c>
      <c r="K52" s="484" t="s">
        <v>284</v>
      </c>
      <c r="L52" s="484" t="s">
        <v>285</v>
      </c>
      <c r="M52" s="484" t="s">
        <v>286</v>
      </c>
      <c r="N52" s="484"/>
      <c r="O52" s="479"/>
      <c r="P52" s="479"/>
      <c r="Q52" s="479"/>
      <c r="R52" s="479"/>
      <c r="S52" s="479"/>
      <c r="T52" s="479"/>
      <c r="U52" s="479"/>
      <c r="V52" s="479"/>
      <c r="W52" s="479"/>
      <c r="X52" s="479"/>
      <c r="Y52" s="479"/>
      <c r="Z52" s="479"/>
      <c r="AA52" s="479"/>
      <c r="AB52" s="479"/>
      <c r="AC52" s="479"/>
      <c r="AD52" s="479"/>
      <c r="AE52" s="479"/>
      <c r="AF52" s="479"/>
      <c r="AG52" s="479"/>
      <c r="AH52" s="479"/>
      <c r="AI52" s="479"/>
      <c r="AJ52" s="479"/>
      <c r="AK52" s="479"/>
      <c r="AL52" s="479"/>
      <c r="AM52" s="479"/>
      <c r="AN52" s="479"/>
      <c r="AO52" s="479"/>
      <c r="AP52" s="479"/>
      <c r="AQ52" s="479"/>
      <c r="AR52" s="479"/>
      <c r="AS52" s="479"/>
      <c r="AT52" s="479"/>
      <c r="AU52" s="479"/>
      <c r="AV52" s="479"/>
      <c r="AW52" s="479"/>
      <c r="AX52" s="479"/>
      <c r="AY52" s="479"/>
      <c r="AZ52" s="479"/>
      <c r="BA52" s="479"/>
      <c r="BB52" s="479"/>
      <c r="BC52" s="479"/>
      <c r="BD52" s="479"/>
      <c r="BE52" s="479"/>
      <c r="BF52" s="479"/>
      <c r="BG52" s="479"/>
    </row>
    <row r="53" ht="14" customHeight="1" spans="1:59">
      <c r="A53" s="470">
        <v>50</v>
      </c>
      <c r="B53" s="471">
        <v>1601</v>
      </c>
      <c r="C53" s="480" t="s">
        <v>152</v>
      </c>
      <c r="D53" s="481" t="s">
        <v>152</v>
      </c>
      <c r="E53" s="474" t="s">
        <v>287</v>
      </c>
      <c r="G53" s="482">
        <v>48</v>
      </c>
      <c r="H53" s="483">
        <v>3002</v>
      </c>
      <c r="I53" s="477" t="s">
        <v>288</v>
      </c>
      <c r="J53" s="484" t="s">
        <v>289</v>
      </c>
      <c r="K53" s="479" t="s">
        <v>290</v>
      </c>
      <c r="L53" s="484" t="s">
        <v>291</v>
      </c>
      <c r="M53" s="479" t="s">
        <v>292</v>
      </c>
      <c r="N53" s="484"/>
      <c r="O53" s="479"/>
      <c r="P53" s="479"/>
      <c r="Q53" s="479"/>
      <c r="R53" s="479"/>
      <c r="S53" s="479"/>
      <c r="T53" s="479"/>
      <c r="U53" s="479"/>
      <c r="V53" s="479"/>
      <c r="W53" s="479"/>
      <c r="X53" s="479"/>
      <c r="Y53" s="479"/>
      <c r="Z53" s="479"/>
      <c r="AA53" s="479"/>
      <c r="AB53" s="479"/>
      <c r="AC53" s="479"/>
      <c r="AD53" s="479"/>
      <c r="AE53" s="479"/>
      <c r="AF53" s="479"/>
      <c r="AG53" s="479"/>
      <c r="AH53" s="479"/>
      <c r="AI53" s="479"/>
      <c r="AJ53" s="479"/>
      <c r="AK53" s="479"/>
      <c r="AL53" s="479"/>
      <c r="AM53" s="479"/>
      <c r="AN53" s="479"/>
      <c r="AO53" s="479"/>
      <c r="AP53" s="479"/>
      <c r="AQ53" s="479"/>
      <c r="AR53" s="479"/>
      <c r="AS53" s="479"/>
      <c r="AT53" s="479"/>
      <c r="AU53" s="479"/>
      <c r="AV53" s="479"/>
      <c r="AW53" s="479"/>
      <c r="AX53" s="479"/>
      <c r="AY53" s="479"/>
      <c r="AZ53" s="479"/>
      <c r="BA53" s="479"/>
      <c r="BB53" s="479"/>
      <c r="BC53" s="479"/>
      <c r="BD53" s="479"/>
      <c r="BE53" s="479"/>
      <c r="BF53" s="479"/>
      <c r="BG53" s="479"/>
    </row>
    <row r="54" ht="14" customHeight="1" spans="1:59">
      <c r="A54" s="470">
        <v>51</v>
      </c>
      <c r="B54" s="471">
        <v>1602</v>
      </c>
      <c r="C54" s="480" t="s">
        <v>155</v>
      </c>
      <c r="D54" s="481" t="s">
        <v>155</v>
      </c>
      <c r="E54" s="474" t="s">
        <v>293</v>
      </c>
      <c r="G54" s="482">
        <v>49</v>
      </c>
      <c r="H54" s="483">
        <v>3101</v>
      </c>
      <c r="I54" s="477" t="s">
        <v>294</v>
      </c>
      <c r="J54" s="484" t="s">
        <v>295</v>
      </c>
      <c r="K54" s="479" t="s">
        <v>296</v>
      </c>
      <c r="L54" s="484" t="s">
        <v>297</v>
      </c>
      <c r="M54" s="479"/>
      <c r="N54" s="484"/>
      <c r="O54" s="479"/>
      <c r="P54" s="479"/>
      <c r="Q54" s="479"/>
      <c r="R54" s="479"/>
      <c r="S54" s="479"/>
      <c r="T54" s="479"/>
      <c r="U54" s="479"/>
      <c r="V54" s="479"/>
      <c r="W54" s="479"/>
      <c r="X54" s="479"/>
      <c r="Y54" s="479"/>
      <c r="Z54" s="479"/>
      <c r="AA54" s="479"/>
      <c r="AB54" s="479"/>
      <c r="AC54" s="479"/>
      <c r="AD54" s="479"/>
      <c r="AE54" s="479"/>
      <c r="AF54" s="479"/>
      <c r="AG54" s="479"/>
      <c r="AH54" s="479"/>
      <c r="AI54" s="479"/>
      <c r="AJ54" s="479"/>
      <c r="AK54" s="479"/>
      <c r="AL54" s="479"/>
      <c r="AM54" s="479"/>
      <c r="AN54" s="479"/>
      <c r="AO54" s="479"/>
      <c r="AP54" s="479"/>
      <c r="AQ54" s="479"/>
      <c r="AR54" s="479"/>
      <c r="AS54" s="479"/>
      <c r="AT54" s="479"/>
      <c r="AU54" s="479"/>
      <c r="AV54" s="479"/>
      <c r="AW54" s="479"/>
      <c r="AX54" s="479"/>
      <c r="AY54" s="479"/>
      <c r="AZ54" s="479"/>
      <c r="BA54" s="479"/>
      <c r="BB54" s="479"/>
      <c r="BC54" s="479"/>
      <c r="BD54" s="479"/>
      <c r="BE54" s="479"/>
      <c r="BF54" s="479"/>
      <c r="BG54" s="479"/>
    </row>
    <row r="55" ht="14" customHeight="1" spans="1:59">
      <c r="A55" s="470">
        <v>52</v>
      </c>
      <c r="B55" s="471">
        <v>1603</v>
      </c>
      <c r="C55" s="480" t="s">
        <v>298</v>
      </c>
      <c r="D55" s="481" t="s">
        <v>298</v>
      </c>
      <c r="E55" s="474" t="s">
        <v>299</v>
      </c>
      <c r="G55" s="482">
        <v>50</v>
      </c>
      <c r="H55" s="483">
        <v>3103</v>
      </c>
      <c r="I55" s="477" t="s">
        <v>300</v>
      </c>
      <c r="J55" s="484"/>
      <c r="K55" s="479"/>
      <c r="L55" s="484"/>
      <c r="M55" s="479"/>
      <c r="N55" s="484"/>
      <c r="O55" s="479"/>
      <c r="P55" s="479"/>
      <c r="Q55" s="479"/>
      <c r="R55" s="479"/>
      <c r="S55" s="479"/>
      <c r="T55" s="479"/>
      <c r="U55" s="479"/>
      <c r="V55" s="479"/>
      <c r="W55" s="479"/>
      <c r="X55" s="479"/>
      <c r="Y55" s="479"/>
      <c r="Z55" s="479"/>
      <c r="AA55" s="479"/>
      <c r="AB55" s="479"/>
      <c r="AC55" s="479"/>
      <c r="AD55" s="479"/>
      <c r="AE55" s="479"/>
      <c r="AF55" s="479"/>
      <c r="AG55" s="479"/>
      <c r="AH55" s="479"/>
      <c r="AI55" s="479"/>
      <c r="AJ55" s="479"/>
      <c r="AK55" s="479"/>
      <c r="AL55" s="479"/>
      <c r="AM55" s="479"/>
      <c r="AN55" s="479"/>
      <c r="AO55" s="479"/>
      <c r="AP55" s="479"/>
      <c r="AQ55" s="479"/>
      <c r="AR55" s="479"/>
      <c r="AS55" s="479"/>
      <c r="AT55" s="479"/>
      <c r="AU55" s="479"/>
      <c r="AV55" s="479"/>
      <c r="AW55" s="479"/>
      <c r="AX55" s="479"/>
      <c r="AY55" s="479"/>
      <c r="AZ55" s="479"/>
      <c r="BA55" s="479"/>
      <c r="BB55" s="479"/>
      <c r="BC55" s="479"/>
      <c r="BD55" s="479"/>
      <c r="BE55" s="479"/>
      <c r="BF55" s="479"/>
      <c r="BG55" s="479"/>
    </row>
    <row r="56" ht="14" customHeight="1" spans="1:59">
      <c r="A56" s="470">
        <v>53</v>
      </c>
      <c r="B56" s="471">
        <v>1604</v>
      </c>
      <c r="C56" s="480" t="s">
        <v>158</v>
      </c>
      <c r="D56" s="481" t="s">
        <v>158</v>
      </c>
      <c r="E56" s="474" t="s">
        <v>301</v>
      </c>
      <c r="G56" s="482">
        <v>51</v>
      </c>
      <c r="H56" s="483">
        <v>3104</v>
      </c>
      <c r="I56" s="477" t="s">
        <v>302</v>
      </c>
      <c r="J56" s="484" t="s">
        <v>303</v>
      </c>
      <c r="K56" s="479" t="s">
        <v>304</v>
      </c>
      <c r="L56" s="484" t="s">
        <v>305</v>
      </c>
      <c r="M56" s="479" t="s">
        <v>306</v>
      </c>
      <c r="N56" s="484" t="s">
        <v>261</v>
      </c>
      <c r="O56" s="479" t="s">
        <v>307</v>
      </c>
      <c r="P56" s="479" t="s">
        <v>308</v>
      </c>
      <c r="Q56" s="479"/>
      <c r="R56" s="479"/>
      <c r="S56" s="479"/>
      <c r="T56" s="479"/>
      <c r="U56" s="479"/>
      <c r="V56" s="479"/>
      <c r="W56" s="479"/>
      <c r="X56" s="479"/>
      <c r="Y56" s="479"/>
      <c r="Z56" s="479"/>
      <c r="AA56" s="479"/>
      <c r="AB56" s="479"/>
      <c r="AC56" s="479"/>
      <c r="AD56" s="479"/>
      <c r="AE56" s="479"/>
      <c r="AF56" s="479"/>
      <c r="AG56" s="479"/>
      <c r="AH56" s="479"/>
      <c r="AI56" s="479"/>
      <c r="AJ56" s="479"/>
      <c r="AK56" s="479"/>
      <c r="AL56" s="479"/>
      <c r="AM56" s="479"/>
      <c r="AN56" s="479"/>
      <c r="AO56" s="479"/>
      <c r="AP56" s="479"/>
      <c r="AQ56" s="479"/>
      <c r="AR56" s="479"/>
      <c r="AS56" s="479"/>
      <c r="AT56" s="479"/>
      <c r="AU56" s="479"/>
      <c r="AV56" s="479"/>
      <c r="AW56" s="479"/>
      <c r="AX56" s="479"/>
      <c r="AY56" s="479"/>
      <c r="AZ56" s="479"/>
      <c r="BA56" s="479"/>
      <c r="BB56" s="479"/>
      <c r="BC56" s="479"/>
      <c r="BD56" s="479"/>
      <c r="BE56" s="479"/>
      <c r="BF56" s="479"/>
      <c r="BG56" s="479"/>
    </row>
    <row r="57" ht="22" customHeight="1" spans="1:59">
      <c r="A57" s="470">
        <v>54</v>
      </c>
      <c r="B57" s="471">
        <v>1605</v>
      </c>
      <c r="C57" s="480" t="s">
        <v>165</v>
      </c>
      <c r="D57" s="481" t="s">
        <v>165</v>
      </c>
      <c r="E57" s="474" t="s">
        <v>309</v>
      </c>
      <c r="G57" s="475" t="s">
        <v>310</v>
      </c>
      <c r="H57" s="476"/>
      <c r="I57" s="477"/>
      <c r="J57" s="478"/>
      <c r="K57" s="479"/>
      <c r="L57" s="479"/>
      <c r="M57" s="479"/>
      <c r="N57" s="479"/>
      <c r="O57" s="479"/>
      <c r="P57" s="479"/>
      <c r="Q57" s="479"/>
      <c r="R57" s="479"/>
      <c r="S57" s="479"/>
      <c r="T57" s="479"/>
      <c r="U57" s="479"/>
      <c r="V57" s="479"/>
      <c r="W57" s="479"/>
      <c r="X57" s="479"/>
      <c r="Y57" s="479"/>
      <c r="Z57" s="479"/>
      <c r="AA57" s="479"/>
      <c r="AB57" s="479"/>
      <c r="AC57" s="479"/>
      <c r="AD57" s="479"/>
      <c r="AE57" s="479"/>
      <c r="AF57" s="479"/>
      <c r="AG57" s="479"/>
      <c r="AH57" s="479"/>
      <c r="AI57" s="479"/>
      <c r="AJ57" s="479"/>
      <c r="AK57" s="479"/>
      <c r="AL57" s="479"/>
      <c r="AM57" s="479"/>
      <c r="AN57" s="479"/>
      <c r="AO57" s="479"/>
      <c r="AP57" s="479"/>
      <c r="AQ57" s="479"/>
      <c r="AR57" s="479"/>
      <c r="AS57" s="479"/>
      <c r="AT57" s="479"/>
      <c r="AU57" s="479"/>
      <c r="AV57" s="479"/>
      <c r="AW57" s="479"/>
      <c r="AX57" s="479"/>
      <c r="AY57" s="479"/>
      <c r="AZ57" s="479"/>
      <c r="BA57" s="479"/>
      <c r="BB57" s="479"/>
      <c r="BC57" s="479"/>
      <c r="BD57" s="479"/>
      <c r="BE57" s="479"/>
      <c r="BF57" s="479"/>
      <c r="BG57" s="479"/>
    </row>
    <row r="58" ht="14" customHeight="1" spans="1:59">
      <c r="A58" s="470">
        <v>55</v>
      </c>
      <c r="B58" s="471">
        <v>1606</v>
      </c>
      <c r="C58" s="480" t="s">
        <v>168</v>
      </c>
      <c r="D58" s="481" t="s">
        <v>168</v>
      </c>
      <c r="E58" s="474" t="s">
        <v>311</v>
      </c>
      <c r="G58" s="482">
        <v>52</v>
      </c>
      <c r="H58" s="483">
        <v>4001</v>
      </c>
      <c r="I58" s="477" t="s">
        <v>312</v>
      </c>
      <c r="J58" s="484" t="s">
        <v>313</v>
      </c>
      <c r="K58" s="479" t="s">
        <v>314</v>
      </c>
      <c r="L58" s="484"/>
      <c r="M58" s="479"/>
      <c r="N58" s="484"/>
      <c r="O58" s="479"/>
      <c r="P58" s="479"/>
      <c r="Q58" s="479"/>
      <c r="R58" s="479"/>
      <c r="S58" s="479"/>
      <c r="T58" s="479"/>
      <c r="U58" s="479"/>
      <c r="V58" s="479"/>
      <c r="W58" s="479"/>
      <c r="X58" s="479"/>
      <c r="Y58" s="479"/>
      <c r="Z58" s="479"/>
      <c r="AA58" s="479"/>
      <c r="AB58" s="479"/>
      <c r="AC58" s="479"/>
      <c r="AD58" s="479"/>
      <c r="AE58" s="479"/>
      <c r="AF58" s="479"/>
      <c r="AG58" s="479"/>
      <c r="AH58" s="479"/>
      <c r="AI58" s="479"/>
      <c r="AJ58" s="479"/>
      <c r="AK58" s="479"/>
      <c r="AL58" s="479"/>
      <c r="AM58" s="479"/>
      <c r="AN58" s="479"/>
      <c r="AO58" s="479"/>
      <c r="AP58" s="479"/>
      <c r="AQ58" s="479"/>
      <c r="AR58" s="479"/>
      <c r="AS58" s="479"/>
      <c r="AT58" s="479"/>
      <c r="AU58" s="479"/>
      <c r="AV58" s="479"/>
      <c r="AW58" s="479"/>
      <c r="AX58" s="479"/>
      <c r="AY58" s="479"/>
      <c r="AZ58" s="479"/>
      <c r="BA58" s="479"/>
      <c r="BB58" s="479"/>
      <c r="BC58" s="479"/>
      <c r="BD58" s="479"/>
      <c r="BE58" s="479"/>
      <c r="BF58" s="479"/>
      <c r="BG58" s="479"/>
    </row>
    <row r="59" ht="14" customHeight="1" spans="1:59">
      <c r="A59" s="470">
        <v>56</v>
      </c>
      <c r="B59" s="471">
        <v>1611</v>
      </c>
      <c r="C59" s="480" t="s">
        <v>315</v>
      </c>
      <c r="D59" s="481" t="s">
        <v>87</v>
      </c>
      <c r="E59" s="474" t="s">
        <v>316</v>
      </c>
      <c r="G59" s="482">
        <v>53</v>
      </c>
      <c r="H59" s="483">
        <v>4101</v>
      </c>
      <c r="I59" s="477" t="s">
        <v>317</v>
      </c>
      <c r="J59" s="484"/>
      <c r="K59" s="479"/>
      <c r="L59" s="484"/>
      <c r="M59" s="479"/>
      <c r="N59" s="484"/>
      <c r="O59" s="479"/>
      <c r="P59" s="479"/>
      <c r="Q59" s="479"/>
      <c r="R59" s="479"/>
      <c r="S59" s="479"/>
      <c r="T59" s="479"/>
      <c r="U59" s="479"/>
      <c r="V59" s="479"/>
      <c r="W59" s="479"/>
      <c r="X59" s="479"/>
      <c r="Y59" s="479"/>
      <c r="Z59" s="479"/>
      <c r="AA59" s="479"/>
      <c r="AB59" s="479"/>
      <c r="AC59" s="479"/>
      <c r="AD59" s="479"/>
      <c r="AE59" s="479"/>
      <c r="AF59" s="479"/>
      <c r="AG59" s="479"/>
      <c r="AH59" s="479"/>
      <c r="AI59" s="479"/>
      <c r="AJ59" s="479"/>
      <c r="AK59" s="479"/>
      <c r="AL59" s="479"/>
      <c r="AM59" s="479"/>
      <c r="AN59" s="479"/>
      <c r="AO59" s="479"/>
      <c r="AP59" s="479"/>
      <c r="AQ59" s="479"/>
      <c r="AR59" s="479"/>
      <c r="AS59" s="479"/>
      <c r="AT59" s="479"/>
      <c r="AU59" s="479"/>
      <c r="AV59" s="479"/>
      <c r="AW59" s="479"/>
      <c r="AX59" s="479"/>
      <c r="AY59" s="479"/>
      <c r="AZ59" s="479"/>
      <c r="BA59" s="479"/>
      <c r="BB59" s="479"/>
      <c r="BC59" s="479"/>
      <c r="BD59" s="479"/>
      <c r="BE59" s="479"/>
      <c r="BF59" s="479"/>
      <c r="BG59" s="479"/>
    </row>
    <row r="60" ht="14" customHeight="1" spans="1:59">
      <c r="A60" s="470">
        <v>57</v>
      </c>
      <c r="B60" s="471">
        <v>1621</v>
      </c>
      <c r="C60" s="480" t="s">
        <v>170</v>
      </c>
      <c r="D60" s="481" t="s">
        <v>87</v>
      </c>
      <c r="E60" s="474" t="s">
        <v>318</v>
      </c>
      <c r="G60" s="482">
        <v>54</v>
      </c>
      <c r="H60" s="483">
        <v>4301</v>
      </c>
      <c r="I60" s="477" t="s">
        <v>319</v>
      </c>
      <c r="J60" s="484"/>
      <c r="K60" s="479"/>
      <c r="L60" s="484"/>
      <c r="M60" s="479"/>
      <c r="N60" s="484"/>
      <c r="O60" s="479"/>
      <c r="P60" s="479"/>
      <c r="Q60" s="479"/>
      <c r="R60" s="479"/>
      <c r="S60" s="479"/>
      <c r="T60" s="479"/>
      <c r="U60" s="479"/>
      <c r="V60" s="479"/>
      <c r="W60" s="479"/>
      <c r="X60" s="479"/>
      <c r="Y60" s="479"/>
      <c r="Z60" s="479"/>
      <c r="AA60" s="479"/>
      <c r="AB60" s="479"/>
      <c r="AC60" s="479"/>
      <c r="AD60" s="479"/>
      <c r="AE60" s="479"/>
      <c r="AF60" s="479"/>
      <c r="AG60" s="479"/>
      <c r="AH60" s="479"/>
      <c r="AI60" s="479"/>
      <c r="AJ60" s="479"/>
      <c r="AK60" s="479"/>
      <c r="AL60" s="479"/>
      <c r="AM60" s="479"/>
      <c r="AN60" s="479"/>
      <c r="AO60" s="479"/>
      <c r="AP60" s="479"/>
      <c r="AQ60" s="479"/>
      <c r="AR60" s="479"/>
      <c r="AS60" s="479"/>
      <c r="AT60" s="479"/>
      <c r="AU60" s="479"/>
      <c r="AV60" s="479"/>
      <c r="AW60" s="479"/>
      <c r="AX60" s="479"/>
      <c r="AY60" s="479"/>
      <c r="AZ60" s="479"/>
      <c r="BA60" s="479"/>
      <c r="BB60" s="479"/>
      <c r="BC60" s="479"/>
      <c r="BD60" s="479"/>
      <c r="BE60" s="479"/>
      <c r="BF60" s="479"/>
      <c r="BG60" s="479"/>
    </row>
    <row r="61" ht="14" customHeight="1" spans="1:59">
      <c r="A61" s="470">
        <v>58</v>
      </c>
      <c r="B61" s="471">
        <v>1622</v>
      </c>
      <c r="C61" s="480" t="s">
        <v>172</v>
      </c>
      <c r="D61" s="481" t="s">
        <v>87</v>
      </c>
      <c r="E61" s="474" t="s">
        <v>320</v>
      </c>
      <c r="G61" s="482">
        <v>55</v>
      </c>
      <c r="H61" s="483">
        <v>4401</v>
      </c>
      <c r="I61" s="477" t="s">
        <v>321</v>
      </c>
      <c r="J61" s="484" t="s">
        <v>322</v>
      </c>
      <c r="K61" s="488" t="s">
        <v>323</v>
      </c>
      <c r="L61" s="484" t="s">
        <v>324</v>
      </c>
      <c r="M61" s="488" t="s">
        <v>325</v>
      </c>
      <c r="N61" s="484" t="s">
        <v>326</v>
      </c>
      <c r="O61" s="488" t="s">
        <v>327</v>
      </c>
      <c r="P61" s="489" t="s">
        <v>328</v>
      </c>
      <c r="Q61" s="479" t="s">
        <v>329</v>
      </c>
      <c r="R61" s="479" t="s">
        <v>330</v>
      </c>
      <c r="S61" s="479" t="s">
        <v>331</v>
      </c>
      <c r="T61" s="479" t="s">
        <v>332</v>
      </c>
      <c r="U61" s="479" t="s">
        <v>333</v>
      </c>
      <c r="V61" s="479" t="s">
        <v>334</v>
      </c>
      <c r="W61" s="479" t="s">
        <v>335</v>
      </c>
      <c r="X61" s="479" t="s">
        <v>336</v>
      </c>
      <c r="Y61" s="479" t="s">
        <v>337</v>
      </c>
      <c r="Z61" s="479" t="s">
        <v>338</v>
      </c>
      <c r="AA61" s="479" t="s">
        <v>339</v>
      </c>
      <c r="AB61" s="479" t="s">
        <v>340</v>
      </c>
      <c r="AC61" s="479" t="s">
        <v>341</v>
      </c>
      <c r="AD61" s="479" t="s">
        <v>342</v>
      </c>
      <c r="AE61" s="479"/>
      <c r="AF61" s="479"/>
      <c r="AG61" s="479"/>
      <c r="AH61" s="479"/>
      <c r="AI61" s="479"/>
      <c r="AJ61" s="479"/>
      <c r="AK61" s="479"/>
      <c r="AL61" s="479"/>
      <c r="AM61" s="479"/>
      <c r="AN61" s="479"/>
      <c r="AO61" s="479"/>
      <c r="AP61" s="479"/>
      <c r="AQ61" s="479"/>
      <c r="AR61" s="479"/>
      <c r="AS61" s="479"/>
      <c r="AT61" s="479"/>
      <c r="AU61" s="479"/>
      <c r="AV61" s="479"/>
      <c r="AW61" s="479"/>
      <c r="AX61" s="479"/>
      <c r="AY61" s="479"/>
      <c r="AZ61" s="479"/>
      <c r="BA61" s="479"/>
      <c r="BB61" s="479"/>
      <c r="BC61" s="479"/>
      <c r="BD61" s="479"/>
      <c r="BE61" s="479"/>
      <c r="BF61" s="479"/>
      <c r="BG61" s="479"/>
    </row>
    <row r="62" ht="14" customHeight="1" spans="1:59">
      <c r="A62" s="470">
        <v>59</v>
      </c>
      <c r="B62" s="471">
        <v>1623</v>
      </c>
      <c r="C62" s="480" t="s">
        <v>343</v>
      </c>
      <c r="D62" s="481" t="s">
        <v>87</v>
      </c>
      <c r="E62" s="474" t="s">
        <v>344</v>
      </c>
      <c r="G62" s="482">
        <v>56</v>
      </c>
      <c r="H62" s="483">
        <v>4403</v>
      </c>
      <c r="I62" s="477" t="s">
        <v>345</v>
      </c>
      <c r="J62" s="484"/>
      <c r="K62" s="479"/>
      <c r="L62" s="484"/>
      <c r="M62" s="479"/>
      <c r="N62" s="484"/>
      <c r="O62" s="479"/>
      <c r="P62" s="479"/>
      <c r="Q62" s="479"/>
      <c r="R62" s="479"/>
      <c r="S62" s="479"/>
      <c r="T62" s="479"/>
      <c r="U62" s="479"/>
      <c r="V62" s="479"/>
      <c r="W62" s="479"/>
      <c r="X62" s="479"/>
      <c r="Y62" s="479"/>
      <c r="Z62" s="479"/>
      <c r="AA62" s="479"/>
      <c r="AB62" s="479"/>
      <c r="AC62" s="479"/>
      <c r="AD62" s="479"/>
      <c r="AE62" s="479"/>
      <c r="AF62" s="479"/>
      <c r="AG62" s="479"/>
      <c r="AH62" s="479"/>
      <c r="AI62" s="479"/>
      <c r="AJ62" s="479"/>
      <c r="AK62" s="479"/>
      <c r="AL62" s="479"/>
      <c r="AM62" s="479"/>
      <c r="AN62" s="479"/>
      <c r="AO62" s="479"/>
      <c r="AP62" s="479"/>
      <c r="AQ62" s="479"/>
      <c r="AR62" s="479"/>
      <c r="AS62" s="479"/>
      <c r="AT62" s="479"/>
      <c r="AU62" s="479"/>
      <c r="AV62" s="479"/>
      <c r="AW62" s="479"/>
      <c r="AX62" s="479"/>
      <c r="AY62" s="479"/>
      <c r="AZ62" s="479"/>
      <c r="BA62" s="479"/>
      <c r="BB62" s="479"/>
      <c r="BC62" s="479"/>
      <c r="BD62" s="479"/>
      <c r="BE62" s="479"/>
      <c r="BF62" s="479"/>
      <c r="BG62" s="479"/>
    </row>
    <row r="63" ht="22" customHeight="1" spans="1:59">
      <c r="A63" s="470">
        <v>60</v>
      </c>
      <c r="B63" s="471">
        <v>1631</v>
      </c>
      <c r="C63" s="480" t="s">
        <v>346</v>
      </c>
      <c r="D63" s="481" t="s">
        <v>87</v>
      </c>
      <c r="E63" s="474" t="s">
        <v>347</v>
      </c>
      <c r="G63" s="475" t="s">
        <v>348</v>
      </c>
      <c r="H63" s="476"/>
      <c r="I63" s="477"/>
      <c r="J63" s="478"/>
      <c r="K63" s="479"/>
      <c r="L63" s="479"/>
      <c r="M63" s="479"/>
      <c r="N63" s="479"/>
      <c r="O63" s="479"/>
      <c r="P63" s="479"/>
      <c r="Q63" s="479"/>
      <c r="R63" s="479"/>
      <c r="S63" s="479"/>
      <c r="T63" s="479"/>
      <c r="U63" s="479"/>
      <c r="V63" s="479"/>
      <c r="W63" s="479"/>
      <c r="X63" s="479"/>
      <c r="Y63" s="479"/>
      <c r="Z63" s="479"/>
      <c r="AA63" s="479"/>
      <c r="AB63" s="479"/>
      <c r="AC63" s="479"/>
      <c r="AD63" s="479"/>
      <c r="AE63" s="479"/>
      <c r="AF63" s="479"/>
      <c r="AG63" s="479"/>
      <c r="AH63" s="479"/>
      <c r="AI63" s="479"/>
      <c r="AJ63" s="479"/>
      <c r="AK63" s="479"/>
      <c r="AL63" s="479"/>
      <c r="AM63" s="479"/>
      <c r="AN63" s="479"/>
      <c r="AO63" s="479"/>
      <c r="AP63" s="479"/>
      <c r="AQ63" s="479"/>
      <c r="AR63" s="479"/>
      <c r="AS63" s="479"/>
      <c r="AT63" s="479"/>
      <c r="AU63" s="479"/>
      <c r="AV63" s="479"/>
      <c r="AW63" s="479"/>
      <c r="AX63" s="479"/>
      <c r="AY63" s="479"/>
      <c r="AZ63" s="479"/>
      <c r="BA63" s="479"/>
      <c r="BB63" s="479"/>
      <c r="BC63" s="479"/>
      <c r="BD63" s="479"/>
      <c r="BE63" s="479"/>
      <c r="BF63" s="479"/>
      <c r="BG63" s="479"/>
    </row>
    <row r="64" ht="14" customHeight="1" spans="1:59">
      <c r="A64" s="470">
        <v>61</v>
      </c>
      <c r="B64" s="471">
        <v>1632</v>
      </c>
      <c r="C64" s="480" t="s">
        <v>349</v>
      </c>
      <c r="D64" s="481" t="s">
        <v>87</v>
      </c>
      <c r="E64" s="474" t="s">
        <v>350</v>
      </c>
      <c r="G64" s="482">
        <v>57</v>
      </c>
      <c r="H64" s="483">
        <v>5001</v>
      </c>
      <c r="I64" s="477" t="s">
        <v>351</v>
      </c>
      <c r="J64" s="484" t="s">
        <v>352</v>
      </c>
      <c r="K64" s="479" t="s">
        <v>104</v>
      </c>
      <c r="L64" s="484"/>
      <c r="M64" s="479"/>
      <c r="N64" s="484"/>
      <c r="O64" s="479"/>
      <c r="P64" s="479"/>
      <c r="Q64" s="479"/>
      <c r="R64" s="479"/>
      <c r="S64" s="479"/>
      <c r="T64" s="479"/>
      <c r="U64" s="479"/>
      <c r="V64" s="479"/>
      <c r="W64" s="479"/>
      <c r="X64" s="479"/>
      <c r="Y64" s="479"/>
      <c r="Z64" s="479"/>
      <c r="AA64" s="479"/>
      <c r="AB64" s="479"/>
      <c r="AC64" s="479"/>
      <c r="AD64" s="479"/>
      <c r="AE64" s="479"/>
      <c r="AF64" s="479"/>
      <c r="AG64" s="479"/>
      <c r="AH64" s="479"/>
      <c r="AI64" s="479"/>
      <c r="AJ64" s="479"/>
      <c r="AK64" s="479"/>
      <c r="AL64" s="479"/>
      <c r="AM64" s="479"/>
      <c r="AN64" s="479"/>
      <c r="AO64" s="479"/>
      <c r="AP64" s="479"/>
      <c r="AQ64" s="479"/>
      <c r="AR64" s="479"/>
      <c r="AS64" s="479"/>
      <c r="AT64" s="479"/>
      <c r="AU64" s="479"/>
      <c r="AV64" s="479"/>
      <c r="AW64" s="479"/>
      <c r="AX64" s="479"/>
      <c r="AY64" s="479"/>
      <c r="AZ64" s="479"/>
      <c r="BA64" s="479"/>
      <c r="BB64" s="479"/>
      <c r="BC64" s="479"/>
      <c r="BD64" s="479"/>
      <c r="BE64" s="479"/>
      <c r="BF64" s="479"/>
      <c r="BG64" s="479"/>
    </row>
    <row r="65" ht="14" customHeight="1" spans="1:59">
      <c r="A65" s="470">
        <v>62</v>
      </c>
      <c r="B65" s="471">
        <v>1701</v>
      </c>
      <c r="C65" s="480" t="s">
        <v>184</v>
      </c>
      <c r="D65" s="481" t="s">
        <v>184</v>
      </c>
      <c r="E65" s="474" t="s">
        <v>353</v>
      </c>
      <c r="G65" s="482">
        <v>58</v>
      </c>
      <c r="H65" s="483">
        <v>5051</v>
      </c>
      <c r="I65" s="477" t="s">
        <v>354</v>
      </c>
      <c r="J65" s="484"/>
      <c r="K65" s="479"/>
      <c r="L65" s="484"/>
      <c r="M65" s="479"/>
      <c r="N65" s="484"/>
      <c r="O65" s="479"/>
      <c r="P65" s="479"/>
      <c r="Q65" s="479"/>
      <c r="R65" s="479"/>
      <c r="S65" s="479"/>
      <c r="T65" s="479"/>
      <c r="U65" s="479"/>
      <c r="V65" s="479"/>
      <c r="W65" s="479"/>
      <c r="X65" s="479"/>
      <c r="Y65" s="479"/>
      <c r="Z65" s="479"/>
      <c r="AA65" s="479"/>
      <c r="AB65" s="479"/>
      <c r="AC65" s="479"/>
      <c r="AD65" s="479"/>
      <c r="AE65" s="479"/>
      <c r="AF65" s="479"/>
      <c r="AG65" s="479"/>
      <c r="AH65" s="479"/>
      <c r="AI65" s="479"/>
      <c r="AJ65" s="479"/>
      <c r="AK65" s="479"/>
      <c r="AL65" s="479"/>
      <c r="AM65" s="479"/>
      <c r="AN65" s="479"/>
      <c r="AO65" s="479"/>
      <c r="AP65" s="479"/>
      <c r="AQ65" s="479"/>
      <c r="AR65" s="479"/>
      <c r="AS65" s="479"/>
      <c r="AT65" s="479"/>
      <c r="AU65" s="479"/>
      <c r="AV65" s="479"/>
      <c r="AW65" s="479"/>
      <c r="AX65" s="479"/>
      <c r="AY65" s="479"/>
      <c r="AZ65" s="479"/>
      <c r="BA65" s="479"/>
      <c r="BB65" s="479"/>
      <c r="BC65" s="479"/>
      <c r="BD65" s="479"/>
      <c r="BE65" s="479"/>
      <c r="BF65" s="479"/>
      <c r="BG65" s="479"/>
    </row>
    <row r="66" ht="14" customHeight="1" spans="1:59">
      <c r="A66" s="470">
        <v>63</v>
      </c>
      <c r="B66" s="471">
        <v>1702</v>
      </c>
      <c r="C66" s="480" t="s">
        <v>186</v>
      </c>
      <c r="D66" s="481" t="s">
        <v>87</v>
      </c>
      <c r="E66" s="474" t="s">
        <v>355</v>
      </c>
      <c r="G66" s="482">
        <v>59</v>
      </c>
      <c r="H66" s="483">
        <v>5111</v>
      </c>
      <c r="I66" s="477" t="s">
        <v>356</v>
      </c>
      <c r="J66" s="484"/>
      <c r="K66" s="479"/>
      <c r="L66" s="484"/>
      <c r="M66" s="479"/>
      <c r="N66" s="484"/>
      <c r="O66" s="479"/>
      <c r="P66" s="479"/>
      <c r="Q66" s="479"/>
      <c r="R66" s="479"/>
      <c r="S66" s="479"/>
      <c r="T66" s="479"/>
      <c r="U66" s="479"/>
      <c r="V66" s="479"/>
      <c r="W66" s="479"/>
      <c r="X66" s="479"/>
      <c r="Y66" s="479"/>
      <c r="Z66" s="479"/>
      <c r="AA66" s="479"/>
      <c r="AB66" s="479"/>
      <c r="AC66" s="479"/>
      <c r="AD66" s="479"/>
      <c r="AE66" s="479"/>
      <c r="AF66" s="479"/>
      <c r="AG66" s="479"/>
      <c r="AH66" s="479"/>
      <c r="AI66" s="479"/>
      <c r="AJ66" s="479"/>
      <c r="AK66" s="479"/>
      <c r="AL66" s="479"/>
      <c r="AM66" s="479"/>
      <c r="AN66" s="479"/>
      <c r="AO66" s="479"/>
      <c r="AP66" s="479"/>
      <c r="AQ66" s="479"/>
      <c r="AR66" s="479"/>
      <c r="AS66" s="479"/>
      <c r="AT66" s="479"/>
      <c r="AU66" s="479"/>
      <c r="AV66" s="479"/>
      <c r="AW66" s="479"/>
      <c r="AX66" s="479"/>
      <c r="AY66" s="479"/>
      <c r="AZ66" s="479"/>
      <c r="BA66" s="479"/>
      <c r="BB66" s="479"/>
      <c r="BC66" s="479"/>
      <c r="BD66" s="479"/>
      <c r="BE66" s="479"/>
      <c r="BF66" s="479"/>
      <c r="BG66" s="479"/>
    </row>
    <row r="67" ht="14" customHeight="1" spans="1:59">
      <c r="A67" s="470">
        <v>64</v>
      </c>
      <c r="B67" s="471">
        <v>1703</v>
      </c>
      <c r="C67" s="480" t="s">
        <v>357</v>
      </c>
      <c r="D67" s="481" t="s">
        <v>357</v>
      </c>
      <c r="E67" s="474" t="s">
        <v>358</v>
      </c>
      <c r="G67" s="482">
        <v>60</v>
      </c>
      <c r="H67" s="483">
        <v>5301</v>
      </c>
      <c r="I67" s="477" t="s">
        <v>359</v>
      </c>
      <c r="J67" s="484" t="s">
        <v>360</v>
      </c>
      <c r="K67" s="479" t="s">
        <v>361</v>
      </c>
      <c r="L67" s="484" t="s">
        <v>362</v>
      </c>
      <c r="M67" s="479" t="s">
        <v>363</v>
      </c>
      <c r="N67" s="484" t="s">
        <v>97</v>
      </c>
      <c r="O67" s="490" t="s">
        <v>364</v>
      </c>
      <c r="P67" s="479"/>
      <c r="Q67" s="479"/>
      <c r="R67" s="479"/>
      <c r="S67" s="479"/>
      <c r="T67" s="479"/>
      <c r="U67" s="479"/>
      <c r="V67" s="479"/>
      <c r="W67" s="479"/>
      <c r="X67" s="479"/>
      <c r="Y67" s="479"/>
      <c r="Z67" s="479"/>
      <c r="AA67" s="479"/>
      <c r="AB67" s="479"/>
      <c r="AC67" s="479"/>
      <c r="AD67" s="479"/>
      <c r="AE67" s="479"/>
      <c r="AF67" s="479"/>
      <c r="AG67" s="479"/>
      <c r="AH67" s="479"/>
      <c r="AI67" s="479"/>
      <c r="AJ67" s="479"/>
      <c r="AK67" s="479"/>
      <c r="AL67" s="479"/>
      <c r="AM67" s="479"/>
      <c r="AN67" s="479"/>
      <c r="AO67" s="479"/>
      <c r="AP67" s="479"/>
      <c r="AQ67" s="479"/>
      <c r="AR67" s="479"/>
      <c r="AS67" s="479"/>
      <c r="AT67" s="479"/>
      <c r="AU67" s="479"/>
      <c r="AV67" s="479"/>
      <c r="AW67" s="479"/>
      <c r="AX67" s="479"/>
      <c r="AY67" s="479"/>
      <c r="AZ67" s="479"/>
      <c r="BA67" s="479"/>
      <c r="BB67" s="479"/>
      <c r="BC67" s="479"/>
      <c r="BD67" s="479"/>
      <c r="BE67" s="479"/>
      <c r="BF67" s="479"/>
      <c r="BG67" s="479"/>
    </row>
    <row r="68" ht="14" customHeight="1" spans="1:59">
      <c r="A68" s="470">
        <v>65</v>
      </c>
      <c r="B68" s="471">
        <v>1711</v>
      </c>
      <c r="C68" s="480" t="s">
        <v>365</v>
      </c>
      <c r="D68" s="481" t="s">
        <v>87</v>
      </c>
      <c r="E68" s="474" t="s">
        <v>366</v>
      </c>
      <c r="G68" s="482">
        <v>61</v>
      </c>
      <c r="H68" s="483">
        <v>5401</v>
      </c>
      <c r="I68" s="477" t="s">
        <v>367</v>
      </c>
      <c r="J68" s="484"/>
      <c r="K68" s="479"/>
      <c r="L68" s="484"/>
      <c r="M68" s="479"/>
      <c r="N68" s="484"/>
      <c r="O68" s="479"/>
      <c r="P68" s="479"/>
      <c r="Q68" s="479"/>
      <c r="R68" s="479"/>
      <c r="S68" s="479"/>
      <c r="T68" s="479"/>
      <c r="U68" s="479"/>
      <c r="V68" s="479"/>
      <c r="W68" s="479"/>
      <c r="X68" s="479"/>
      <c r="Y68" s="479"/>
      <c r="Z68" s="479"/>
      <c r="AA68" s="479"/>
      <c r="AB68" s="479"/>
      <c r="AC68" s="479"/>
      <c r="AD68" s="479"/>
      <c r="AE68" s="479"/>
      <c r="AF68" s="479"/>
      <c r="AG68" s="479"/>
      <c r="AH68" s="479"/>
      <c r="AI68" s="479"/>
      <c r="AJ68" s="479"/>
      <c r="AK68" s="479"/>
      <c r="AL68" s="479"/>
      <c r="AM68" s="479"/>
      <c r="AN68" s="479"/>
      <c r="AO68" s="479"/>
      <c r="AP68" s="479"/>
      <c r="AQ68" s="479"/>
      <c r="AR68" s="479"/>
      <c r="AS68" s="479"/>
      <c r="AT68" s="479"/>
      <c r="AU68" s="479"/>
      <c r="AV68" s="479"/>
      <c r="AW68" s="479"/>
      <c r="AX68" s="479"/>
      <c r="AY68" s="479"/>
      <c r="AZ68" s="479"/>
      <c r="BA68" s="479"/>
      <c r="BB68" s="479"/>
      <c r="BC68" s="479"/>
      <c r="BD68" s="479"/>
      <c r="BE68" s="479"/>
      <c r="BF68" s="479"/>
      <c r="BG68" s="479"/>
    </row>
    <row r="69" ht="14" customHeight="1" spans="1:59">
      <c r="A69" s="470">
        <v>66</v>
      </c>
      <c r="B69" s="471">
        <v>1801</v>
      </c>
      <c r="C69" s="480" t="s">
        <v>188</v>
      </c>
      <c r="D69" s="481" t="s">
        <v>188</v>
      </c>
      <c r="E69" s="474" t="s">
        <v>368</v>
      </c>
      <c r="G69" s="482">
        <v>62</v>
      </c>
      <c r="H69" s="483">
        <v>5402</v>
      </c>
      <c r="I69" s="477" t="s">
        <v>369</v>
      </c>
      <c r="J69" s="484"/>
      <c r="K69" s="479"/>
      <c r="L69" s="484"/>
      <c r="M69" s="479"/>
      <c r="N69" s="484"/>
      <c r="O69" s="479"/>
      <c r="P69" s="479"/>
      <c r="Q69" s="479"/>
      <c r="R69" s="479"/>
      <c r="S69" s="479"/>
      <c r="T69" s="479"/>
      <c r="U69" s="479"/>
      <c r="V69" s="479"/>
      <c r="W69" s="479"/>
      <c r="X69" s="479"/>
      <c r="Y69" s="479"/>
      <c r="Z69" s="479"/>
      <c r="AA69" s="479"/>
      <c r="AB69" s="479"/>
      <c r="AC69" s="479"/>
      <c r="AD69" s="479"/>
      <c r="AE69" s="479"/>
      <c r="AF69" s="479"/>
      <c r="AG69" s="479"/>
      <c r="AH69" s="479"/>
      <c r="AI69" s="479"/>
      <c r="AJ69" s="479"/>
      <c r="AK69" s="479"/>
      <c r="AL69" s="479"/>
      <c r="AM69" s="479"/>
      <c r="AN69" s="479"/>
      <c r="AO69" s="479"/>
      <c r="AP69" s="479"/>
      <c r="AQ69" s="479"/>
      <c r="AR69" s="479"/>
      <c r="AS69" s="479"/>
      <c r="AT69" s="479"/>
      <c r="AU69" s="479"/>
      <c r="AV69" s="479"/>
      <c r="AW69" s="479"/>
      <c r="AX69" s="479"/>
      <c r="AY69" s="479"/>
      <c r="AZ69" s="479"/>
      <c r="BA69" s="479"/>
      <c r="BB69" s="479"/>
      <c r="BC69" s="479"/>
      <c r="BD69" s="479"/>
      <c r="BE69" s="479"/>
      <c r="BF69" s="479"/>
      <c r="BG69" s="479"/>
    </row>
    <row r="70" ht="14" customHeight="1" spans="1:59">
      <c r="A70" s="470">
        <v>67</v>
      </c>
      <c r="B70" s="471">
        <v>1811</v>
      </c>
      <c r="C70" s="480" t="s">
        <v>370</v>
      </c>
      <c r="D70" s="481" t="s">
        <v>371</v>
      </c>
      <c r="E70" s="474" t="s">
        <v>372</v>
      </c>
      <c r="G70" s="482">
        <v>63</v>
      </c>
      <c r="H70" s="483">
        <v>5403</v>
      </c>
      <c r="I70" s="477" t="s">
        <v>373</v>
      </c>
      <c r="J70" s="484" t="s">
        <v>374</v>
      </c>
      <c r="K70" s="491" t="s">
        <v>375</v>
      </c>
      <c r="L70" s="486" t="s">
        <v>376</v>
      </c>
      <c r="M70" s="491" t="s">
        <v>377</v>
      </c>
      <c r="N70" s="486" t="s">
        <v>378</v>
      </c>
      <c r="O70" s="491" t="s">
        <v>379</v>
      </c>
      <c r="P70" s="491" t="s">
        <v>380</v>
      </c>
      <c r="Q70" s="491" t="s">
        <v>381</v>
      </c>
      <c r="R70" s="479" t="s">
        <v>382</v>
      </c>
      <c r="S70" s="479" t="s">
        <v>246</v>
      </c>
      <c r="T70" s="479" t="s">
        <v>383</v>
      </c>
      <c r="U70" s="479" t="s">
        <v>384</v>
      </c>
      <c r="V70" s="479" t="s">
        <v>247</v>
      </c>
      <c r="W70" s="479" t="s">
        <v>385</v>
      </c>
      <c r="X70" s="479" t="s">
        <v>386</v>
      </c>
      <c r="Y70" s="479" t="s">
        <v>97</v>
      </c>
      <c r="Z70" s="479"/>
      <c r="AA70" s="479"/>
      <c r="AB70" s="479"/>
      <c r="AC70" s="479"/>
      <c r="AD70" s="479"/>
      <c r="AE70" s="479"/>
      <c r="AF70" s="479"/>
      <c r="AG70" s="479"/>
      <c r="AH70" s="479"/>
      <c r="AI70" s="479"/>
      <c r="AJ70" s="479"/>
      <c r="AK70" s="479"/>
      <c r="AL70" s="479"/>
      <c r="AM70" s="479"/>
      <c r="AN70" s="479"/>
      <c r="AO70" s="479"/>
      <c r="AP70" s="479"/>
      <c r="AQ70" s="479"/>
      <c r="AR70" s="479"/>
      <c r="AS70" s="479"/>
      <c r="AT70" s="479"/>
      <c r="AU70" s="479"/>
      <c r="AV70" s="479"/>
      <c r="AW70" s="479"/>
      <c r="AX70" s="479"/>
      <c r="AY70" s="479"/>
      <c r="AZ70" s="479"/>
      <c r="BA70" s="479"/>
      <c r="BB70" s="479"/>
      <c r="BC70" s="479"/>
      <c r="BD70" s="479"/>
      <c r="BE70" s="479"/>
      <c r="BF70" s="479"/>
      <c r="BG70" s="479"/>
    </row>
    <row r="71" ht="14" customHeight="1" spans="1:59">
      <c r="A71" s="470">
        <v>68</v>
      </c>
      <c r="B71" s="471">
        <v>1821</v>
      </c>
      <c r="C71" s="480" t="s">
        <v>387</v>
      </c>
      <c r="D71" s="481" t="s">
        <v>87</v>
      </c>
      <c r="E71" s="474" t="s">
        <v>388</v>
      </c>
      <c r="G71" s="482">
        <v>64</v>
      </c>
      <c r="H71" s="483">
        <v>5601</v>
      </c>
      <c r="I71" s="477" t="s">
        <v>389</v>
      </c>
      <c r="J71" s="484" t="s">
        <v>390</v>
      </c>
      <c r="K71" s="491" t="s">
        <v>391</v>
      </c>
      <c r="L71" s="486" t="s">
        <v>392</v>
      </c>
      <c r="M71" s="491" t="s">
        <v>393</v>
      </c>
      <c r="N71" s="486" t="s">
        <v>394</v>
      </c>
      <c r="O71" s="491" t="s">
        <v>395</v>
      </c>
      <c r="P71" s="491" t="s">
        <v>396</v>
      </c>
      <c r="Q71" s="491" t="s">
        <v>397</v>
      </c>
      <c r="R71" s="479" t="s">
        <v>398</v>
      </c>
      <c r="S71" s="479" t="s">
        <v>399</v>
      </c>
      <c r="T71" s="479" t="s">
        <v>400</v>
      </c>
      <c r="U71" s="479" t="s">
        <v>401</v>
      </c>
      <c r="V71" s="479" t="s">
        <v>155</v>
      </c>
      <c r="W71" s="479" t="s">
        <v>402</v>
      </c>
      <c r="X71" s="479" t="s">
        <v>403</v>
      </c>
      <c r="Y71" s="479" t="s">
        <v>404</v>
      </c>
      <c r="Z71" s="479" t="s">
        <v>405</v>
      </c>
      <c r="AA71" s="479" t="s">
        <v>97</v>
      </c>
      <c r="AB71" s="479"/>
      <c r="AC71" s="479"/>
      <c r="AD71" s="479"/>
      <c r="AE71" s="479"/>
      <c r="AF71" s="479"/>
      <c r="AG71" s="479"/>
      <c r="AH71" s="479"/>
      <c r="AI71" s="479"/>
      <c r="AJ71" s="479"/>
      <c r="AK71" s="479"/>
      <c r="AL71" s="479"/>
      <c r="AM71" s="479"/>
      <c r="AN71" s="479"/>
      <c r="AO71" s="479"/>
      <c r="AP71" s="479"/>
      <c r="AQ71" s="479"/>
      <c r="AR71" s="479"/>
      <c r="AS71" s="479"/>
      <c r="AT71" s="479"/>
      <c r="AU71" s="479"/>
      <c r="AV71" s="479"/>
      <c r="AW71" s="479"/>
      <c r="AX71" s="479"/>
      <c r="AY71" s="479"/>
      <c r="AZ71" s="479"/>
      <c r="BA71" s="479"/>
      <c r="BB71" s="479"/>
      <c r="BC71" s="479"/>
      <c r="BD71" s="479"/>
      <c r="BE71" s="479"/>
      <c r="BF71" s="479"/>
      <c r="BG71" s="479"/>
    </row>
    <row r="72" ht="14" customHeight="1" spans="1:59">
      <c r="A72" s="470">
        <v>69</v>
      </c>
      <c r="B72" s="471">
        <v>1901</v>
      </c>
      <c r="C72" s="480" t="s">
        <v>191</v>
      </c>
      <c r="D72" s="481" t="s">
        <v>191</v>
      </c>
      <c r="E72" s="474" t="s">
        <v>406</v>
      </c>
      <c r="G72" s="482">
        <v>65</v>
      </c>
      <c r="H72" s="483">
        <v>5602</v>
      </c>
      <c r="I72" s="477" t="s">
        <v>407</v>
      </c>
      <c r="J72" s="484" t="s">
        <v>390</v>
      </c>
      <c r="K72" s="491" t="s">
        <v>408</v>
      </c>
      <c r="L72" s="486" t="s">
        <v>409</v>
      </c>
      <c r="M72" s="491" t="s">
        <v>410</v>
      </c>
      <c r="N72" s="486" t="s">
        <v>411</v>
      </c>
      <c r="O72" s="491" t="s">
        <v>412</v>
      </c>
      <c r="P72" s="491" t="s">
        <v>413</v>
      </c>
      <c r="Q72" s="491" t="s">
        <v>414</v>
      </c>
      <c r="R72" s="479" t="s">
        <v>404</v>
      </c>
      <c r="S72" s="479" t="s">
        <v>415</v>
      </c>
      <c r="T72" s="479" t="s">
        <v>416</v>
      </c>
      <c r="U72" s="479" t="s">
        <v>417</v>
      </c>
      <c r="V72" s="479" t="s">
        <v>418</v>
      </c>
      <c r="W72" s="479" t="s">
        <v>419</v>
      </c>
      <c r="X72" s="479" t="s">
        <v>391</v>
      </c>
      <c r="Y72" s="479" t="s">
        <v>420</v>
      </c>
      <c r="Z72" s="479" t="s">
        <v>421</v>
      </c>
      <c r="AA72" s="479" t="s">
        <v>422</v>
      </c>
      <c r="AB72" s="479" t="s">
        <v>423</v>
      </c>
      <c r="AC72" s="479" t="s">
        <v>424</v>
      </c>
      <c r="AD72" s="479" t="s">
        <v>425</v>
      </c>
      <c r="AE72" s="479" t="s">
        <v>426</v>
      </c>
      <c r="AF72" s="479" t="s">
        <v>427</v>
      </c>
      <c r="AG72" s="479" t="s">
        <v>401</v>
      </c>
      <c r="AH72" s="479" t="s">
        <v>428</v>
      </c>
      <c r="AI72" s="479" t="s">
        <v>429</v>
      </c>
      <c r="AJ72" s="479" t="s">
        <v>430</v>
      </c>
      <c r="AK72" s="479" t="s">
        <v>431</v>
      </c>
      <c r="AL72" s="479" t="s">
        <v>432</v>
      </c>
      <c r="AM72" s="479" t="s">
        <v>433</v>
      </c>
      <c r="AN72" s="479" t="s">
        <v>434</v>
      </c>
      <c r="AO72" s="479" t="s">
        <v>435</v>
      </c>
      <c r="AP72" s="479" t="s">
        <v>436</v>
      </c>
      <c r="AQ72" s="479" t="s">
        <v>437</v>
      </c>
      <c r="AR72" s="479" t="s">
        <v>438</v>
      </c>
      <c r="AS72" s="479" t="s">
        <v>439</v>
      </c>
      <c r="AT72" s="479" t="s">
        <v>440</v>
      </c>
      <c r="AU72" s="479" t="s">
        <v>441</v>
      </c>
      <c r="AV72" s="479" t="s">
        <v>97</v>
      </c>
      <c r="AW72" s="479"/>
      <c r="AX72" s="479"/>
      <c r="AY72" s="479"/>
      <c r="AZ72" s="479"/>
      <c r="BA72" s="479"/>
      <c r="BB72" s="479"/>
      <c r="BC72" s="479"/>
      <c r="BD72" s="479"/>
      <c r="BE72" s="479"/>
      <c r="BF72" s="479"/>
      <c r="BG72" s="479"/>
    </row>
    <row r="73" ht="14" customHeight="1" spans="1:59">
      <c r="A73" s="470"/>
      <c r="B73" s="471"/>
      <c r="C73" s="492" t="s">
        <v>193</v>
      </c>
      <c r="D73" s="473"/>
      <c r="E73" s="474"/>
      <c r="G73" s="482">
        <v>66</v>
      </c>
      <c r="H73" s="483">
        <v>5603</v>
      </c>
      <c r="I73" s="477" t="s">
        <v>442</v>
      </c>
      <c r="J73" s="484" t="s">
        <v>443</v>
      </c>
      <c r="K73" s="491" t="s">
        <v>444</v>
      </c>
      <c r="L73" s="486" t="s">
        <v>445</v>
      </c>
      <c r="M73" s="491" t="s">
        <v>446</v>
      </c>
      <c r="N73" s="486" t="s">
        <v>447</v>
      </c>
      <c r="O73" s="491" t="s">
        <v>448</v>
      </c>
      <c r="P73" s="491" t="s">
        <v>97</v>
      </c>
      <c r="Q73" s="491"/>
      <c r="R73" s="479"/>
      <c r="S73" s="479"/>
      <c r="T73" s="479"/>
      <c r="U73" s="479"/>
      <c r="V73" s="479"/>
      <c r="W73" s="479"/>
      <c r="X73" s="479"/>
      <c r="Y73" s="479"/>
      <c r="Z73" s="479"/>
      <c r="AA73" s="479"/>
      <c r="AB73" s="479"/>
      <c r="AC73" s="479"/>
      <c r="AD73" s="479"/>
      <c r="AE73" s="479"/>
      <c r="AF73" s="479"/>
      <c r="AG73" s="479"/>
      <c r="AH73" s="479"/>
      <c r="AI73" s="479"/>
      <c r="AJ73" s="479"/>
      <c r="AK73" s="479"/>
      <c r="AL73" s="479"/>
      <c r="AM73" s="479"/>
      <c r="AN73" s="479"/>
      <c r="AO73" s="479"/>
      <c r="AP73" s="479"/>
      <c r="AQ73" s="479"/>
      <c r="AR73" s="479"/>
      <c r="AS73" s="479"/>
      <c r="AT73" s="479"/>
      <c r="AU73" s="479"/>
      <c r="AV73" s="479"/>
      <c r="AW73" s="479"/>
      <c r="AX73" s="479"/>
      <c r="AY73" s="479"/>
      <c r="AZ73" s="479"/>
      <c r="BA73" s="479"/>
      <c r="BB73" s="479"/>
      <c r="BC73" s="479"/>
      <c r="BD73" s="479"/>
      <c r="BE73" s="479"/>
      <c r="BF73" s="479"/>
      <c r="BG73" s="479"/>
    </row>
    <row r="74" ht="14" customHeight="1" spans="1:59">
      <c r="A74" s="470">
        <v>70</v>
      </c>
      <c r="B74" s="471">
        <v>2001</v>
      </c>
      <c r="C74" s="480" t="s">
        <v>196</v>
      </c>
      <c r="D74" s="481" t="s">
        <v>196</v>
      </c>
      <c r="E74" s="474" t="s">
        <v>449</v>
      </c>
      <c r="G74" s="482">
        <v>67</v>
      </c>
      <c r="H74" s="483">
        <v>5711</v>
      </c>
      <c r="I74" s="477" t="s">
        <v>450</v>
      </c>
      <c r="J74" s="484" t="s">
        <v>451</v>
      </c>
      <c r="K74" s="491" t="s">
        <v>452</v>
      </c>
      <c r="L74" s="486" t="s">
        <v>453</v>
      </c>
      <c r="M74" s="491" t="s">
        <v>454</v>
      </c>
      <c r="N74" s="486" t="s">
        <v>455</v>
      </c>
      <c r="O74" s="489" t="s">
        <v>456</v>
      </c>
      <c r="P74" s="491" t="s">
        <v>457</v>
      </c>
      <c r="Q74" s="491" t="s">
        <v>458</v>
      </c>
      <c r="R74" s="479" t="s">
        <v>459</v>
      </c>
      <c r="S74" s="479" t="s">
        <v>97</v>
      </c>
      <c r="T74" s="479"/>
      <c r="U74" s="479"/>
      <c r="V74" s="479"/>
      <c r="W74" s="479"/>
      <c r="X74" s="479"/>
      <c r="Y74" s="479"/>
      <c r="Z74" s="479"/>
      <c r="AA74" s="479"/>
      <c r="AB74" s="479"/>
      <c r="AC74" s="479"/>
      <c r="AD74" s="479"/>
      <c r="AE74" s="479"/>
      <c r="AF74" s="479"/>
      <c r="AG74" s="479"/>
      <c r="AH74" s="479"/>
      <c r="AI74" s="479"/>
      <c r="AJ74" s="479"/>
      <c r="AK74" s="479"/>
      <c r="AL74" s="479"/>
      <c r="AM74" s="479"/>
      <c r="AN74" s="479"/>
      <c r="AO74" s="479"/>
      <c r="AP74" s="479"/>
      <c r="AQ74" s="479"/>
      <c r="AR74" s="479"/>
      <c r="AS74" s="479"/>
      <c r="AT74" s="479"/>
      <c r="AU74" s="479"/>
      <c r="AV74" s="479"/>
      <c r="AW74" s="479"/>
      <c r="AX74" s="479"/>
      <c r="AY74" s="479"/>
      <c r="AZ74" s="479"/>
      <c r="BA74" s="479"/>
      <c r="BB74" s="479"/>
      <c r="BC74" s="479"/>
      <c r="BD74" s="479"/>
      <c r="BE74" s="479"/>
      <c r="BF74" s="479"/>
      <c r="BG74" s="479"/>
    </row>
    <row r="75" ht="14" customHeight="1" spans="1:59">
      <c r="A75" s="470">
        <v>71</v>
      </c>
      <c r="B75" s="471">
        <v>2002</v>
      </c>
      <c r="C75" s="480" t="s">
        <v>460</v>
      </c>
      <c r="D75" s="481" t="s">
        <v>87</v>
      </c>
      <c r="E75" s="474" t="s">
        <v>461</v>
      </c>
      <c r="G75" s="482">
        <v>68</v>
      </c>
      <c r="H75" s="483">
        <v>5801</v>
      </c>
      <c r="I75" s="477" t="s">
        <v>462</v>
      </c>
      <c r="J75" s="484"/>
      <c r="K75" s="479"/>
      <c r="L75" s="484"/>
      <c r="M75" s="479"/>
      <c r="N75" s="484"/>
      <c r="O75" s="479"/>
      <c r="P75" s="479"/>
      <c r="Q75" s="479"/>
      <c r="R75" s="479"/>
      <c r="S75" s="479"/>
      <c r="T75" s="479"/>
      <c r="U75" s="479"/>
      <c r="V75" s="479"/>
      <c r="W75" s="479"/>
      <c r="X75" s="479"/>
      <c r="Y75" s="479"/>
      <c r="Z75" s="479"/>
      <c r="AA75" s="479"/>
      <c r="AB75" s="479"/>
      <c r="AC75" s="479"/>
      <c r="AD75" s="479"/>
      <c r="AE75" s="479"/>
      <c r="AF75" s="479"/>
      <c r="AG75" s="479"/>
      <c r="AH75" s="479"/>
      <c r="AI75" s="479"/>
      <c r="AJ75" s="479"/>
      <c r="AK75" s="479"/>
      <c r="AL75" s="479"/>
      <c r="AM75" s="479"/>
      <c r="AN75" s="479"/>
      <c r="AO75" s="479"/>
      <c r="AP75" s="479"/>
      <c r="AQ75" s="479"/>
      <c r="AR75" s="479"/>
      <c r="AS75" s="479"/>
      <c r="AT75" s="479"/>
      <c r="AU75" s="479"/>
      <c r="AV75" s="479"/>
      <c r="AW75" s="479"/>
      <c r="AX75" s="479"/>
      <c r="AY75" s="479"/>
      <c r="AZ75" s="479"/>
      <c r="BA75" s="479"/>
      <c r="BB75" s="479"/>
      <c r="BC75" s="479"/>
      <c r="BD75" s="479"/>
      <c r="BE75" s="479"/>
      <c r="BF75" s="479"/>
      <c r="BG75" s="479"/>
    </row>
    <row r="76" ht="14" customHeight="1" spans="1:59">
      <c r="A76" s="470">
        <v>72</v>
      </c>
      <c r="B76" s="471">
        <v>2003</v>
      </c>
      <c r="C76" s="480" t="s">
        <v>463</v>
      </c>
      <c r="D76" s="481" t="s">
        <v>87</v>
      </c>
      <c r="E76" s="474" t="s">
        <v>464</v>
      </c>
      <c r="G76" s="482">
        <v>69</v>
      </c>
      <c r="H76" s="483">
        <v>6000</v>
      </c>
      <c r="I76" s="477" t="s">
        <v>465</v>
      </c>
      <c r="J76" s="484"/>
      <c r="K76" s="479"/>
      <c r="L76" s="484"/>
      <c r="M76" s="479"/>
      <c r="N76" s="484"/>
      <c r="O76" s="479"/>
      <c r="P76" s="479"/>
      <c r="Q76" s="479"/>
      <c r="R76" s="479"/>
      <c r="S76" s="479"/>
      <c r="T76" s="479"/>
      <c r="U76" s="479"/>
      <c r="V76" s="479"/>
      <c r="W76" s="479"/>
      <c r="X76" s="479"/>
      <c r="Y76" s="479"/>
      <c r="Z76" s="479"/>
      <c r="AA76" s="479"/>
      <c r="AB76" s="479"/>
      <c r="AC76" s="479"/>
      <c r="AD76" s="479"/>
      <c r="AE76" s="479"/>
      <c r="AF76" s="479"/>
      <c r="AG76" s="479"/>
      <c r="AH76" s="479"/>
      <c r="AI76" s="479"/>
      <c r="AJ76" s="479"/>
      <c r="AK76" s="479"/>
      <c r="AL76" s="479"/>
      <c r="AM76" s="479"/>
      <c r="AN76" s="479"/>
      <c r="AO76" s="479"/>
      <c r="AP76" s="479"/>
      <c r="AQ76" s="479"/>
      <c r="AR76" s="479"/>
      <c r="AS76" s="479"/>
      <c r="AT76" s="479"/>
      <c r="AU76" s="479"/>
      <c r="AV76" s="479"/>
      <c r="AW76" s="479"/>
      <c r="AX76" s="479"/>
      <c r="AY76" s="479"/>
      <c r="AZ76" s="479"/>
      <c r="BA76" s="479"/>
      <c r="BB76" s="479"/>
      <c r="BC76" s="479"/>
      <c r="BD76" s="479"/>
      <c r="BE76" s="479"/>
      <c r="BF76" s="479"/>
      <c r="BG76" s="479"/>
    </row>
    <row r="77" ht="14" customHeight="1" spans="1:59">
      <c r="A77" s="470">
        <v>73</v>
      </c>
      <c r="B77" s="471">
        <v>2004</v>
      </c>
      <c r="C77" s="480" t="s">
        <v>466</v>
      </c>
      <c r="D77" s="481" t="s">
        <v>87</v>
      </c>
      <c r="E77" s="474" t="s">
        <v>467</v>
      </c>
      <c r="G77" s="482"/>
      <c r="H77" s="483"/>
      <c r="I77" s="477"/>
      <c r="J77" s="478"/>
      <c r="K77" s="479"/>
      <c r="L77" s="479"/>
      <c r="M77" s="479"/>
      <c r="N77" s="479"/>
      <c r="O77" s="479"/>
      <c r="P77" s="479"/>
      <c r="Q77" s="479"/>
      <c r="R77" s="479"/>
      <c r="S77" s="479"/>
      <c r="T77" s="479"/>
      <c r="U77" s="479"/>
      <c r="V77" s="479"/>
      <c r="W77" s="479"/>
      <c r="X77" s="479"/>
      <c r="Y77" s="479"/>
      <c r="Z77" s="479"/>
      <c r="AA77" s="479"/>
      <c r="AB77" s="479"/>
      <c r="AC77" s="479"/>
      <c r="AD77" s="479"/>
      <c r="AE77" s="479"/>
      <c r="AF77" s="479"/>
      <c r="AG77" s="479"/>
      <c r="AH77" s="479"/>
      <c r="AI77" s="479"/>
      <c r="AJ77" s="479"/>
      <c r="AK77" s="479"/>
      <c r="AL77" s="479"/>
      <c r="AM77" s="479"/>
      <c r="AN77" s="479"/>
      <c r="AO77" s="479"/>
      <c r="AP77" s="479"/>
      <c r="AQ77" s="479"/>
      <c r="AR77" s="479"/>
      <c r="AS77" s="479"/>
      <c r="AT77" s="479"/>
      <c r="AU77" s="479"/>
      <c r="AV77" s="479"/>
      <c r="AW77" s="479"/>
      <c r="AX77" s="479"/>
      <c r="AY77" s="479"/>
      <c r="AZ77" s="479"/>
      <c r="BA77" s="479"/>
      <c r="BB77" s="479"/>
      <c r="BC77" s="479"/>
      <c r="BD77" s="479"/>
      <c r="BE77" s="479"/>
      <c r="BF77" s="479"/>
      <c r="BG77" s="479"/>
    </row>
    <row r="78" ht="23" customHeight="1" spans="1:59">
      <c r="A78" s="470">
        <v>74</v>
      </c>
      <c r="B78" s="471">
        <v>2011</v>
      </c>
      <c r="C78" s="480" t="s">
        <v>468</v>
      </c>
      <c r="D78" s="481" t="s">
        <v>87</v>
      </c>
      <c r="E78" s="474" t="s">
        <v>469</v>
      </c>
      <c r="G78" s="493"/>
      <c r="H78" s="494"/>
      <c r="I78" s="495"/>
      <c r="J78" s="478"/>
      <c r="K78" s="479"/>
      <c r="L78" s="479"/>
      <c r="M78" s="479"/>
      <c r="N78" s="479"/>
      <c r="O78" s="479"/>
      <c r="P78" s="479"/>
      <c r="Q78" s="479"/>
      <c r="R78" s="479"/>
      <c r="S78" s="479"/>
      <c r="T78" s="479"/>
      <c r="U78" s="479"/>
      <c r="V78" s="479"/>
      <c r="W78" s="479"/>
      <c r="X78" s="479"/>
      <c r="Y78" s="479"/>
      <c r="Z78" s="479"/>
      <c r="AA78" s="479"/>
      <c r="AB78" s="479"/>
      <c r="AC78" s="479"/>
      <c r="AD78" s="479"/>
      <c r="AE78" s="479"/>
      <c r="AF78" s="479"/>
      <c r="AG78" s="479"/>
      <c r="AH78" s="479"/>
      <c r="AI78" s="479"/>
      <c r="AJ78" s="479"/>
      <c r="AK78" s="479"/>
      <c r="AL78" s="479"/>
      <c r="AM78" s="479"/>
      <c r="AN78" s="479"/>
      <c r="AO78" s="479"/>
      <c r="AP78" s="479"/>
      <c r="AQ78" s="479"/>
      <c r="AR78" s="479"/>
      <c r="AS78" s="479"/>
      <c r="AT78" s="479"/>
      <c r="AU78" s="479"/>
      <c r="AV78" s="479"/>
      <c r="AW78" s="479"/>
      <c r="AX78" s="479"/>
      <c r="AY78" s="479"/>
      <c r="AZ78" s="479"/>
      <c r="BA78" s="479"/>
      <c r="BB78" s="479"/>
      <c r="BC78" s="479"/>
      <c r="BD78" s="479"/>
      <c r="BE78" s="479"/>
      <c r="BF78" s="479"/>
      <c r="BG78" s="479"/>
    </row>
    <row r="79" ht="14" customHeight="1" spans="1:59">
      <c r="A79" s="470">
        <v>75</v>
      </c>
      <c r="B79" s="471">
        <v>2012</v>
      </c>
      <c r="C79" s="480" t="s">
        <v>470</v>
      </c>
      <c r="D79" s="481" t="s">
        <v>87</v>
      </c>
      <c r="E79" s="474" t="s">
        <v>471</v>
      </c>
      <c r="G79" s="482"/>
      <c r="H79" s="483"/>
      <c r="I79" s="477"/>
      <c r="J79" s="478"/>
      <c r="K79" s="478"/>
      <c r="L79" s="479"/>
      <c r="M79" s="479"/>
      <c r="N79" s="479"/>
      <c r="O79" s="479"/>
      <c r="P79" s="479"/>
      <c r="Q79" s="479"/>
      <c r="R79" s="479"/>
      <c r="S79" s="479"/>
      <c r="T79" s="479"/>
      <c r="U79" s="479"/>
      <c r="V79" s="479"/>
      <c r="W79" s="479"/>
      <c r="X79" s="479"/>
      <c r="Y79" s="479"/>
      <c r="Z79" s="479"/>
      <c r="AA79" s="479"/>
      <c r="AB79" s="479"/>
      <c r="AC79" s="479"/>
      <c r="AD79" s="479"/>
      <c r="AE79" s="479"/>
      <c r="AF79" s="479"/>
      <c r="AG79" s="479"/>
      <c r="AH79" s="479"/>
      <c r="AI79" s="479"/>
      <c r="AJ79" s="479"/>
      <c r="AK79" s="479"/>
      <c r="AL79" s="479"/>
      <c r="AM79" s="479"/>
      <c r="AN79" s="479"/>
      <c r="AO79" s="479"/>
      <c r="AP79" s="479"/>
      <c r="AQ79" s="479"/>
      <c r="AR79" s="479"/>
      <c r="AS79" s="479"/>
      <c r="AT79" s="479"/>
      <c r="AU79" s="479"/>
      <c r="AV79" s="479"/>
      <c r="AW79" s="479"/>
      <c r="AX79" s="479"/>
      <c r="AY79" s="479"/>
      <c r="AZ79" s="479"/>
      <c r="BA79" s="479"/>
      <c r="BB79" s="479"/>
      <c r="BC79" s="479"/>
      <c r="BD79" s="479"/>
      <c r="BE79" s="479"/>
      <c r="BF79" s="479"/>
      <c r="BG79" s="479"/>
    </row>
    <row r="80" ht="14" customHeight="1" spans="1:59">
      <c r="A80" s="470">
        <v>76</v>
      </c>
      <c r="B80" s="471">
        <v>2021</v>
      </c>
      <c r="C80" s="480" t="s">
        <v>472</v>
      </c>
      <c r="D80" s="481" t="s">
        <v>87</v>
      </c>
      <c r="E80" s="474" t="s">
        <v>473</v>
      </c>
      <c r="G80" s="482"/>
      <c r="H80" s="483"/>
      <c r="I80" s="477"/>
      <c r="J80" s="478"/>
      <c r="K80" s="479"/>
      <c r="L80" s="479"/>
      <c r="M80" s="479"/>
      <c r="N80" s="479"/>
      <c r="O80" s="479"/>
      <c r="P80" s="479"/>
      <c r="Q80" s="479"/>
      <c r="R80" s="479"/>
      <c r="S80" s="479"/>
      <c r="T80" s="479"/>
      <c r="U80" s="479"/>
      <c r="V80" s="479"/>
      <c r="W80" s="479"/>
      <c r="X80" s="479"/>
      <c r="Y80" s="479"/>
      <c r="Z80" s="479"/>
      <c r="AA80" s="479"/>
      <c r="AB80" s="479"/>
      <c r="AC80" s="479"/>
      <c r="AD80" s="479"/>
      <c r="AE80" s="479"/>
      <c r="AF80" s="479"/>
      <c r="AG80" s="479"/>
      <c r="AH80" s="479"/>
      <c r="AI80" s="479"/>
      <c r="AJ80" s="479"/>
      <c r="AK80" s="479"/>
      <c r="AL80" s="479"/>
      <c r="AM80" s="479"/>
      <c r="AN80" s="479"/>
      <c r="AO80" s="479"/>
      <c r="AP80" s="479"/>
      <c r="AQ80" s="479"/>
      <c r="AR80" s="479"/>
      <c r="AS80" s="479"/>
      <c r="AT80" s="479"/>
      <c r="AU80" s="479"/>
      <c r="AV80" s="479"/>
      <c r="AW80" s="479"/>
      <c r="AX80" s="479"/>
      <c r="AY80" s="479"/>
      <c r="AZ80" s="479"/>
      <c r="BA80" s="479"/>
      <c r="BB80" s="479"/>
      <c r="BC80" s="479"/>
      <c r="BD80" s="479"/>
      <c r="BE80" s="479"/>
      <c r="BF80" s="479"/>
      <c r="BG80" s="479"/>
    </row>
    <row r="81" ht="14" customHeight="1" spans="1:59">
      <c r="A81" s="470">
        <v>77</v>
      </c>
      <c r="B81" s="471">
        <v>2101</v>
      </c>
      <c r="C81" s="480" t="s">
        <v>474</v>
      </c>
      <c r="D81" s="481" t="s">
        <v>87</v>
      </c>
      <c r="E81" s="474" t="s">
        <v>475</v>
      </c>
      <c r="G81" s="482"/>
      <c r="H81" s="483"/>
      <c r="I81" s="477"/>
      <c r="J81" s="478"/>
      <c r="K81" s="479"/>
      <c r="L81" s="479"/>
      <c r="M81" s="479"/>
      <c r="N81" s="479"/>
      <c r="O81" s="479"/>
      <c r="P81" s="479"/>
      <c r="Q81" s="479"/>
      <c r="R81" s="479"/>
      <c r="S81" s="479"/>
      <c r="T81" s="479"/>
      <c r="U81" s="479"/>
      <c r="V81" s="479"/>
      <c r="W81" s="479"/>
      <c r="X81" s="479"/>
      <c r="Y81" s="479"/>
      <c r="Z81" s="479"/>
      <c r="AA81" s="479"/>
      <c r="AB81" s="479"/>
      <c r="AC81" s="479"/>
      <c r="AD81" s="479"/>
      <c r="AE81" s="479"/>
      <c r="AF81" s="479"/>
      <c r="AG81" s="479"/>
      <c r="AH81" s="479"/>
      <c r="AI81" s="479"/>
      <c r="AJ81" s="479"/>
      <c r="AK81" s="479"/>
      <c r="AL81" s="479"/>
      <c r="AM81" s="479"/>
      <c r="AN81" s="479"/>
      <c r="AO81" s="479"/>
      <c r="AP81" s="479"/>
      <c r="AQ81" s="479"/>
      <c r="AR81" s="479"/>
      <c r="AS81" s="479"/>
      <c r="AT81" s="479"/>
      <c r="AU81" s="479"/>
      <c r="AV81" s="479"/>
      <c r="AW81" s="479"/>
      <c r="AX81" s="479"/>
      <c r="AY81" s="479"/>
      <c r="AZ81" s="479"/>
      <c r="BA81" s="479"/>
      <c r="BB81" s="479"/>
      <c r="BC81" s="479"/>
      <c r="BD81" s="479"/>
      <c r="BE81" s="479"/>
      <c r="BF81" s="479"/>
      <c r="BG81" s="479"/>
    </row>
    <row r="82" ht="14" customHeight="1" spans="1:59">
      <c r="A82" s="470">
        <v>78</v>
      </c>
      <c r="B82" s="471">
        <v>2111</v>
      </c>
      <c r="C82" s="480" t="s">
        <v>476</v>
      </c>
      <c r="D82" s="481" t="s">
        <v>87</v>
      </c>
      <c r="E82" s="474" t="s">
        <v>477</v>
      </c>
      <c r="G82" s="482"/>
      <c r="H82" s="483"/>
      <c r="I82" s="477"/>
      <c r="J82" s="478"/>
      <c r="K82" s="479"/>
      <c r="L82" s="479"/>
      <c r="M82" s="479"/>
      <c r="N82" s="479"/>
      <c r="O82" s="479"/>
      <c r="P82" s="479"/>
      <c r="Q82" s="479"/>
      <c r="R82" s="479"/>
      <c r="S82" s="479"/>
      <c r="T82" s="479"/>
      <c r="U82" s="479"/>
      <c r="V82" s="479"/>
      <c r="W82" s="479"/>
      <c r="X82" s="479"/>
      <c r="Y82" s="479"/>
      <c r="Z82" s="479"/>
      <c r="AA82" s="479"/>
      <c r="AB82" s="479"/>
      <c r="AC82" s="479"/>
      <c r="AD82" s="479"/>
      <c r="AE82" s="479"/>
      <c r="AF82" s="479"/>
      <c r="AG82" s="479"/>
      <c r="AH82" s="479"/>
      <c r="AI82" s="479"/>
      <c r="AJ82" s="479"/>
      <c r="AK82" s="479"/>
      <c r="AL82" s="479"/>
      <c r="AM82" s="479"/>
      <c r="AN82" s="479"/>
      <c r="AO82" s="479"/>
      <c r="AP82" s="479"/>
      <c r="AQ82" s="479"/>
      <c r="AR82" s="479"/>
      <c r="AS82" s="479"/>
      <c r="AT82" s="479"/>
      <c r="AU82" s="479"/>
      <c r="AV82" s="479"/>
      <c r="AW82" s="479"/>
      <c r="AX82" s="479"/>
      <c r="AY82" s="479"/>
      <c r="AZ82" s="479"/>
      <c r="BA82" s="479"/>
      <c r="BB82" s="479"/>
      <c r="BC82" s="479"/>
      <c r="BD82" s="479"/>
      <c r="BE82" s="479"/>
      <c r="BF82" s="479"/>
      <c r="BG82" s="479"/>
    </row>
    <row r="83" ht="14" customHeight="1" spans="1:59">
      <c r="A83" s="470">
        <v>79</v>
      </c>
      <c r="B83" s="471">
        <v>2201</v>
      </c>
      <c r="C83" s="480" t="s">
        <v>199</v>
      </c>
      <c r="D83" s="481" t="s">
        <v>199</v>
      </c>
      <c r="E83" s="474" t="s">
        <v>478</v>
      </c>
      <c r="G83" s="482"/>
      <c r="H83" s="483"/>
      <c r="I83" s="477"/>
      <c r="J83" s="478"/>
      <c r="K83" s="479"/>
      <c r="L83" s="479"/>
      <c r="M83" s="479"/>
      <c r="N83" s="479"/>
      <c r="O83" s="479"/>
      <c r="P83" s="479"/>
      <c r="Q83" s="479"/>
      <c r="R83" s="479"/>
      <c r="S83" s="479"/>
      <c r="T83" s="479"/>
      <c r="U83" s="479"/>
      <c r="V83" s="479"/>
      <c r="W83" s="479"/>
      <c r="X83" s="479"/>
      <c r="Y83" s="479"/>
      <c r="Z83" s="479"/>
      <c r="AA83" s="479"/>
      <c r="AB83" s="479"/>
      <c r="AC83" s="479"/>
      <c r="AD83" s="479"/>
      <c r="AE83" s="479"/>
      <c r="AF83" s="479"/>
      <c r="AG83" s="479"/>
      <c r="AH83" s="479"/>
      <c r="AI83" s="479"/>
      <c r="AJ83" s="479"/>
      <c r="AK83" s="479"/>
      <c r="AL83" s="479"/>
      <c r="AM83" s="479"/>
      <c r="AN83" s="479"/>
      <c r="AO83" s="479"/>
      <c r="AP83" s="479"/>
      <c r="AQ83" s="479"/>
      <c r="AR83" s="479"/>
      <c r="AS83" s="479"/>
      <c r="AT83" s="479"/>
      <c r="AU83" s="479"/>
      <c r="AV83" s="479"/>
      <c r="AW83" s="479"/>
      <c r="AX83" s="479"/>
      <c r="AY83" s="479"/>
      <c r="AZ83" s="479"/>
      <c r="BA83" s="479"/>
      <c r="BB83" s="479"/>
      <c r="BC83" s="479"/>
      <c r="BD83" s="479"/>
      <c r="BE83" s="479"/>
      <c r="BF83" s="479"/>
      <c r="BG83" s="479"/>
    </row>
    <row r="84" ht="14" customHeight="1" spans="1:59">
      <c r="A84" s="470">
        <v>80</v>
      </c>
      <c r="B84" s="471">
        <v>2202</v>
      </c>
      <c r="C84" s="480" t="s">
        <v>202</v>
      </c>
      <c r="D84" s="481" t="s">
        <v>202</v>
      </c>
      <c r="E84" s="474" t="s">
        <v>479</v>
      </c>
      <c r="G84" s="482"/>
      <c r="H84" s="483"/>
      <c r="I84" s="477"/>
      <c r="J84" s="478"/>
      <c r="K84" s="479"/>
      <c r="L84" s="479"/>
      <c r="M84" s="479"/>
      <c r="N84" s="479"/>
      <c r="O84" s="479"/>
      <c r="P84" s="479"/>
      <c r="Q84" s="479"/>
      <c r="R84" s="479"/>
      <c r="S84" s="479"/>
      <c r="T84" s="479"/>
      <c r="U84" s="479"/>
      <c r="V84" s="479"/>
      <c r="W84" s="479"/>
      <c r="X84" s="479"/>
      <c r="Y84" s="479"/>
      <c r="Z84" s="479"/>
      <c r="AA84" s="479"/>
      <c r="AB84" s="479"/>
      <c r="AC84" s="479"/>
      <c r="AD84" s="479"/>
      <c r="AE84" s="479"/>
      <c r="AF84" s="479"/>
      <c r="AG84" s="479"/>
      <c r="AH84" s="479"/>
      <c r="AI84" s="479"/>
      <c r="AJ84" s="479"/>
      <c r="AK84" s="479"/>
      <c r="AL84" s="479"/>
      <c r="AM84" s="479"/>
      <c r="AN84" s="479"/>
      <c r="AO84" s="479"/>
      <c r="AP84" s="479"/>
      <c r="AQ84" s="479"/>
      <c r="AR84" s="479"/>
      <c r="AS84" s="479"/>
      <c r="AT84" s="479"/>
      <c r="AU84" s="479"/>
      <c r="AV84" s="479"/>
      <c r="AW84" s="479"/>
      <c r="AX84" s="479"/>
      <c r="AY84" s="479"/>
      <c r="AZ84" s="479"/>
      <c r="BA84" s="479"/>
      <c r="BB84" s="479"/>
      <c r="BC84" s="479"/>
      <c r="BD84" s="479"/>
      <c r="BE84" s="479"/>
      <c r="BF84" s="479"/>
      <c r="BG84" s="479"/>
    </row>
    <row r="85" ht="14" customHeight="1" spans="1:59">
      <c r="A85" s="470">
        <v>81</v>
      </c>
      <c r="B85" s="471">
        <v>2203</v>
      </c>
      <c r="C85" s="480" t="s">
        <v>211</v>
      </c>
      <c r="D85" s="481" t="s">
        <v>211</v>
      </c>
      <c r="E85" s="474" t="s">
        <v>480</v>
      </c>
      <c r="G85" s="482"/>
      <c r="H85" s="483"/>
      <c r="I85" s="477"/>
      <c r="J85" s="478"/>
      <c r="K85" s="479"/>
      <c r="L85" s="479"/>
      <c r="M85" s="479"/>
      <c r="N85" s="479"/>
      <c r="O85" s="479"/>
      <c r="P85" s="479"/>
      <c r="Q85" s="479"/>
      <c r="R85" s="479"/>
      <c r="S85" s="479"/>
      <c r="T85" s="479"/>
      <c r="U85" s="479"/>
      <c r="V85" s="479"/>
      <c r="W85" s="479"/>
      <c r="X85" s="479"/>
      <c r="Y85" s="479"/>
      <c r="Z85" s="479"/>
      <c r="AA85" s="479"/>
      <c r="AB85" s="479"/>
      <c r="AC85" s="479"/>
      <c r="AD85" s="479"/>
      <c r="AE85" s="479"/>
      <c r="AF85" s="479"/>
      <c r="AG85" s="479"/>
      <c r="AH85" s="479"/>
      <c r="AI85" s="479"/>
      <c r="AJ85" s="479"/>
      <c r="AK85" s="479"/>
      <c r="AL85" s="479"/>
      <c r="AM85" s="479"/>
      <c r="AN85" s="479"/>
      <c r="AO85" s="479"/>
      <c r="AP85" s="479"/>
      <c r="AQ85" s="479"/>
      <c r="AR85" s="479"/>
      <c r="AS85" s="479"/>
      <c r="AT85" s="479"/>
      <c r="AU85" s="479"/>
      <c r="AV85" s="479"/>
      <c r="AW85" s="479"/>
      <c r="AX85" s="479"/>
      <c r="AY85" s="479"/>
      <c r="AZ85" s="479"/>
      <c r="BA85" s="479"/>
      <c r="BB85" s="479"/>
      <c r="BC85" s="479"/>
      <c r="BD85" s="479"/>
      <c r="BE85" s="479"/>
      <c r="BF85" s="479"/>
      <c r="BG85" s="479"/>
    </row>
    <row r="86" ht="14" customHeight="1" spans="1:59">
      <c r="A86" s="470">
        <v>82</v>
      </c>
      <c r="B86" s="471">
        <v>2211</v>
      </c>
      <c r="C86" s="480" t="s">
        <v>214</v>
      </c>
      <c r="D86" s="481" t="s">
        <v>481</v>
      </c>
      <c r="E86" s="474" t="s">
        <v>482</v>
      </c>
      <c r="G86" s="482"/>
      <c r="H86" s="483"/>
      <c r="I86" s="477"/>
      <c r="J86" s="478"/>
      <c r="K86" s="479"/>
      <c r="L86" s="479"/>
      <c r="M86" s="479"/>
      <c r="N86" s="479"/>
      <c r="O86" s="479"/>
      <c r="P86" s="479"/>
      <c r="Q86" s="479"/>
      <c r="R86" s="479"/>
      <c r="S86" s="479"/>
      <c r="T86" s="479"/>
      <c r="U86" s="479"/>
      <c r="V86" s="479"/>
      <c r="W86" s="479"/>
      <c r="X86" s="479"/>
      <c r="Y86" s="479"/>
      <c r="Z86" s="479"/>
      <c r="AA86" s="479"/>
      <c r="AB86" s="479"/>
      <c r="AC86" s="479"/>
      <c r="AD86" s="479"/>
      <c r="AE86" s="479"/>
      <c r="AF86" s="479"/>
      <c r="AG86" s="479"/>
      <c r="AH86" s="479"/>
      <c r="AI86" s="479"/>
      <c r="AJ86" s="479"/>
      <c r="AK86" s="479"/>
      <c r="AL86" s="479"/>
      <c r="AM86" s="479"/>
      <c r="AN86" s="479"/>
      <c r="AO86" s="479"/>
      <c r="AP86" s="479"/>
      <c r="AQ86" s="479"/>
      <c r="AR86" s="479"/>
      <c r="AS86" s="479"/>
      <c r="AT86" s="479"/>
      <c r="AU86" s="479"/>
      <c r="AV86" s="479"/>
      <c r="AW86" s="479"/>
      <c r="AX86" s="479"/>
      <c r="AY86" s="479"/>
      <c r="AZ86" s="479"/>
      <c r="BA86" s="479"/>
      <c r="BB86" s="479"/>
      <c r="BC86" s="479"/>
      <c r="BD86" s="479"/>
      <c r="BE86" s="479"/>
      <c r="BF86" s="479"/>
      <c r="BG86" s="479"/>
    </row>
    <row r="87" ht="14" customHeight="1" spans="1:59">
      <c r="A87" s="470">
        <v>83</v>
      </c>
      <c r="B87" s="471">
        <v>2221</v>
      </c>
      <c r="C87" s="480" t="s">
        <v>223</v>
      </c>
      <c r="D87" s="481" t="s">
        <v>483</v>
      </c>
      <c r="E87" s="474" t="s">
        <v>484</v>
      </c>
      <c r="G87" s="482"/>
      <c r="H87" s="483"/>
      <c r="I87" s="477"/>
      <c r="J87" s="478"/>
      <c r="K87" s="479"/>
      <c r="L87" s="479"/>
      <c r="M87" s="479"/>
      <c r="N87" s="479"/>
      <c r="O87" s="479"/>
      <c r="P87" s="479"/>
      <c r="Q87" s="479"/>
      <c r="R87" s="479"/>
      <c r="S87" s="479"/>
      <c r="T87" s="479"/>
      <c r="U87" s="479"/>
      <c r="V87" s="479"/>
      <c r="W87" s="479"/>
      <c r="X87" s="479"/>
      <c r="Y87" s="479"/>
      <c r="Z87" s="479"/>
      <c r="AA87" s="479"/>
      <c r="AB87" s="479"/>
      <c r="AC87" s="479"/>
      <c r="AD87" s="479"/>
      <c r="AE87" s="479"/>
      <c r="AF87" s="479"/>
      <c r="AG87" s="479"/>
      <c r="AH87" s="479"/>
      <c r="AI87" s="479"/>
      <c r="AJ87" s="479"/>
      <c r="AK87" s="479"/>
      <c r="AL87" s="479"/>
      <c r="AM87" s="479"/>
      <c r="AN87" s="479"/>
      <c r="AO87" s="479"/>
      <c r="AP87" s="479"/>
      <c r="AQ87" s="479"/>
      <c r="AR87" s="479"/>
      <c r="AS87" s="479"/>
      <c r="AT87" s="479"/>
      <c r="AU87" s="479"/>
      <c r="AV87" s="479"/>
      <c r="AW87" s="479"/>
      <c r="AX87" s="479"/>
      <c r="AY87" s="479"/>
      <c r="AZ87" s="479"/>
      <c r="BA87" s="479"/>
      <c r="BB87" s="479"/>
      <c r="BC87" s="479"/>
      <c r="BD87" s="479"/>
      <c r="BE87" s="479"/>
      <c r="BF87" s="479"/>
      <c r="BG87" s="479"/>
    </row>
    <row r="88" ht="14" customHeight="1" spans="1:59">
      <c r="A88" s="470">
        <v>84</v>
      </c>
      <c r="B88" s="471">
        <v>2231</v>
      </c>
      <c r="C88" s="480" t="s">
        <v>258</v>
      </c>
      <c r="D88" s="481" t="s">
        <v>258</v>
      </c>
      <c r="E88" s="474" t="s">
        <v>485</v>
      </c>
      <c r="G88" s="482"/>
      <c r="H88" s="483"/>
      <c r="I88" s="477"/>
      <c r="J88" s="478"/>
      <c r="K88" s="479"/>
      <c r="L88" s="479"/>
      <c r="M88" s="479"/>
      <c r="N88" s="479"/>
      <c r="O88" s="479"/>
      <c r="P88" s="479"/>
      <c r="Q88" s="479"/>
      <c r="R88" s="479"/>
      <c r="S88" s="479"/>
      <c r="T88" s="479"/>
      <c r="U88" s="479"/>
      <c r="V88" s="479"/>
      <c r="W88" s="479"/>
      <c r="X88" s="479"/>
      <c r="Y88" s="479"/>
      <c r="Z88" s="479"/>
      <c r="AA88" s="479"/>
      <c r="AB88" s="479"/>
      <c r="AC88" s="479"/>
      <c r="AD88" s="479"/>
      <c r="AE88" s="479"/>
      <c r="AF88" s="479"/>
      <c r="AG88" s="479"/>
      <c r="AH88" s="479"/>
      <c r="AI88" s="479"/>
      <c r="AJ88" s="479"/>
      <c r="AK88" s="479"/>
      <c r="AL88" s="479"/>
      <c r="AM88" s="479"/>
      <c r="AN88" s="479"/>
      <c r="AO88" s="479"/>
      <c r="AP88" s="479"/>
      <c r="AQ88" s="479"/>
      <c r="AR88" s="479"/>
      <c r="AS88" s="479"/>
      <c r="AT88" s="479"/>
      <c r="AU88" s="479"/>
      <c r="AV88" s="479"/>
      <c r="AW88" s="479"/>
      <c r="AX88" s="479"/>
      <c r="AY88" s="479"/>
      <c r="AZ88" s="479"/>
      <c r="BA88" s="479"/>
      <c r="BB88" s="479"/>
      <c r="BC88" s="479"/>
      <c r="BD88" s="479"/>
      <c r="BE88" s="479"/>
      <c r="BF88" s="479"/>
      <c r="BG88" s="479"/>
    </row>
    <row r="89" ht="14" customHeight="1" spans="1:59">
      <c r="A89" s="470">
        <v>85</v>
      </c>
      <c r="B89" s="471">
        <v>2232</v>
      </c>
      <c r="C89" s="480" t="s">
        <v>486</v>
      </c>
      <c r="D89" s="481" t="s">
        <v>486</v>
      </c>
      <c r="E89" s="474" t="s">
        <v>487</v>
      </c>
      <c r="G89" s="482"/>
      <c r="H89" s="483"/>
      <c r="I89" s="477"/>
      <c r="J89" s="478"/>
      <c r="K89" s="479"/>
      <c r="L89" s="479"/>
      <c r="M89" s="479"/>
      <c r="N89" s="479"/>
      <c r="O89" s="479"/>
      <c r="P89" s="479"/>
      <c r="Q89" s="479"/>
      <c r="R89" s="479"/>
      <c r="S89" s="479"/>
      <c r="T89" s="479"/>
      <c r="U89" s="479"/>
      <c r="V89" s="479"/>
      <c r="W89" s="479"/>
      <c r="X89" s="479"/>
      <c r="Y89" s="479"/>
      <c r="Z89" s="479"/>
      <c r="AA89" s="479"/>
      <c r="AB89" s="479"/>
      <c r="AC89" s="479"/>
      <c r="AD89" s="479"/>
      <c r="AE89" s="479"/>
      <c r="AF89" s="479"/>
      <c r="AG89" s="479"/>
      <c r="AH89" s="479"/>
      <c r="AI89" s="479"/>
      <c r="AJ89" s="479"/>
      <c r="AK89" s="479"/>
      <c r="AL89" s="479"/>
      <c r="AM89" s="479"/>
      <c r="AN89" s="479"/>
      <c r="AO89" s="479"/>
      <c r="AP89" s="479"/>
      <c r="AQ89" s="479"/>
      <c r="AR89" s="479"/>
      <c r="AS89" s="479"/>
      <c r="AT89" s="479"/>
      <c r="AU89" s="479"/>
      <c r="AV89" s="479"/>
      <c r="AW89" s="479"/>
      <c r="AX89" s="479"/>
      <c r="AY89" s="479"/>
      <c r="AZ89" s="479"/>
      <c r="BA89" s="479"/>
      <c r="BB89" s="479"/>
      <c r="BC89" s="479"/>
      <c r="BD89" s="479"/>
      <c r="BE89" s="479"/>
      <c r="BF89" s="479"/>
      <c r="BG89" s="479"/>
    </row>
    <row r="90" ht="14" customHeight="1" spans="1:59">
      <c r="A90" s="470">
        <v>86</v>
      </c>
      <c r="B90" s="471">
        <v>2241</v>
      </c>
      <c r="C90" s="480" t="s">
        <v>263</v>
      </c>
      <c r="D90" s="481" t="s">
        <v>263</v>
      </c>
      <c r="E90" s="474" t="s">
        <v>488</v>
      </c>
      <c r="G90" s="482"/>
      <c r="H90" s="483"/>
      <c r="I90" s="477"/>
      <c r="J90" s="478"/>
      <c r="K90" s="479"/>
      <c r="L90" s="479"/>
      <c r="M90" s="479"/>
      <c r="N90" s="479"/>
      <c r="O90" s="479"/>
      <c r="P90" s="479"/>
      <c r="Q90" s="479"/>
      <c r="R90" s="479"/>
      <c r="S90" s="479"/>
      <c r="T90" s="479"/>
      <c r="U90" s="479"/>
      <c r="V90" s="479"/>
      <c r="W90" s="479"/>
      <c r="X90" s="479"/>
      <c r="Y90" s="479"/>
      <c r="Z90" s="479"/>
      <c r="AA90" s="479"/>
      <c r="AB90" s="479"/>
      <c r="AC90" s="479"/>
      <c r="AD90" s="479"/>
      <c r="AE90" s="479"/>
      <c r="AF90" s="479"/>
      <c r="AG90" s="479"/>
      <c r="AH90" s="479"/>
      <c r="AI90" s="479"/>
      <c r="AJ90" s="479"/>
      <c r="AK90" s="479"/>
      <c r="AL90" s="479"/>
      <c r="AM90" s="479"/>
      <c r="AN90" s="479"/>
      <c r="AO90" s="479"/>
      <c r="AP90" s="479"/>
      <c r="AQ90" s="479"/>
      <c r="AR90" s="479"/>
      <c r="AS90" s="479"/>
      <c r="AT90" s="479"/>
      <c r="AU90" s="479"/>
      <c r="AV90" s="479"/>
      <c r="AW90" s="479"/>
      <c r="AX90" s="479"/>
      <c r="AY90" s="479"/>
      <c r="AZ90" s="479"/>
      <c r="BA90" s="479"/>
      <c r="BB90" s="479"/>
      <c r="BC90" s="479"/>
      <c r="BD90" s="479"/>
      <c r="BE90" s="479"/>
      <c r="BF90" s="479"/>
      <c r="BG90" s="479"/>
    </row>
    <row r="91" ht="14" customHeight="1" spans="1:59">
      <c r="A91" s="496">
        <v>87</v>
      </c>
      <c r="B91" s="497">
        <v>2251</v>
      </c>
      <c r="C91" s="498" t="s">
        <v>489</v>
      </c>
      <c r="D91" s="499" t="s">
        <v>87</v>
      </c>
      <c r="E91" s="474" t="s">
        <v>490</v>
      </c>
      <c r="G91" s="482"/>
      <c r="H91" s="483"/>
      <c r="I91" s="477"/>
      <c r="J91" s="478"/>
      <c r="K91" s="479"/>
      <c r="L91" s="479"/>
      <c r="M91" s="479"/>
      <c r="N91" s="479"/>
      <c r="O91" s="479"/>
      <c r="P91" s="479"/>
      <c r="Q91" s="479"/>
      <c r="R91" s="479"/>
      <c r="S91" s="479"/>
      <c r="T91" s="479"/>
      <c r="U91" s="479"/>
      <c r="V91" s="479"/>
      <c r="W91" s="479"/>
      <c r="X91" s="479"/>
      <c r="Y91" s="479"/>
      <c r="Z91" s="479"/>
      <c r="AA91" s="479"/>
      <c r="AB91" s="479"/>
      <c r="AC91" s="479"/>
      <c r="AD91" s="479"/>
      <c r="AE91" s="479"/>
      <c r="AF91" s="479"/>
      <c r="AG91" s="479"/>
      <c r="AH91" s="479"/>
      <c r="AI91" s="479"/>
      <c r="AJ91" s="479"/>
      <c r="AK91" s="479"/>
      <c r="AL91" s="479"/>
      <c r="AM91" s="479"/>
      <c r="AN91" s="479"/>
      <c r="AO91" s="479"/>
      <c r="AP91" s="479"/>
      <c r="AQ91" s="479"/>
      <c r="AR91" s="479"/>
      <c r="AS91" s="479"/>
      <c r="AT91" s="479"/>
      <c r="AU91" s="479"/>
      <c r="AV91" s="479"/>
      <c r="AW91" s="479"/>
      <c r="AX91" s="479"/>
      <c r="AY91" s="479"/>
      <c r="AZ91" s="479"/>
      <c r="BA91" s="479"/>
      <c r="BB91" s="479"/>
      <c r="BC91" s="479"/>
      <c r="BD91" s="479"/>
      <c r="BE91" s="479"/>
      <c r="BF91" s="479"/>
      <c r="BG91" s="479"/>
    </row>
    <row r="92" ht="14" customHeight="1" spans="1:59">
      <c r="A92" s="470">
        <v>88</v>
      </c>
      <c r="B92" s="471">
        <v>2261</v>
      </c>
      <c r="C92" s="480" t="s">
        <v>491</v>
      </c>
      <c r="D92" s="481" t="s">
        <v>87</v>
      </c>
      <c r="E92" s="474" t="s">
        <v>492</v>
      </c>
      <c r="G92" s="500"/>
      <c r="H92" s="501"/>
      <c r="I92" s="502"/>
      <c r="J92" s="478"/>
      <c r="K92" s="479"/>
      <c r="L92" s="479"/>
      <c r="M92" s="479"/>
      <c r="N92" s="479"/>
      <c r="O92" s="479"/>
      <c r="P92" s="479"/>
      <c r="Q92" s="479"/>
      <c r="R92" s="479"/>
      <c r="S92" s="479"/>
      <c r="T92" s="479"/>
      <c r="U92" s="479"/>
      <c r="V92" s="479"/>
      <c r="W92" s="479"/>
      <c r="X92" s="479"/>
      <c r="Y92" s="479"/>
      <c r="Z92" s="479"/>
      <c r="AA92" s="479"/>
      <c r="AB92" s="479"/>
      <c r="AC92" s="479"/>
      <c r="AD92" s="479"/>
      <c r="AE92" s="479"/>
      <c r="AF92" s="479"/>
      <c r="AG92" s="479"/>
      <c r="AH92" s="479"/>
      <c r="AI92" s="479"/>
      <c r="AJ92" s="479"/>
      <c r="AK92" s="479"/>
      <c r="AL92" s="479"/>
      <c r="AM92" s="479"/>
      <c r="AN92" s="479"/>
      <c r="AO92" s="479"/>
      <c r="AP92" s="479"/>
      <c r="AQ92" s="479"/>
      <c r="AR92" s="479"/>
      <c r="AS92" s="479"/>
      <c r="AT92" s="479"/>
      <c r="AU92" s="479"/>
      <c r="AV92" s="479"/>
      <c r="AW92" s="479"/>
      <c r="AX92" s="479"/>
      <c r="AY92" s="479"/>
      <c r="AZ92" s="479"/>
      <c r="BA92" s="479"/>
      <c r="BB92" s="479"/>
      <c r="BC92" s="479"/>
      <c r="BD92" s="479"/>
      <c r="BE92" s="479"/>
      <c r="BF92" s="479"/>
      <c r="BG92" s="479"/>
    </row>
    <row r="93" ht="14.25" customHeight="1" spans="1:59">
      <c r="A93" s="470">
        <v>89</v>
      </c>
      <c r="B93" s="471">
        <v>2311</v>
      </c>
      <c r="C93" s="480" t="s">
        <v>493</v>
      </c>
      <c r="D93" s="481" t="s">
        <v>87</v>
      </c>
      <c r="E93" s="474" t="s">
        <v>494</v>
      </c>
    </row>
    <row r="94" ht="14.25" customHeight="1" spans="1:59">
      <c r="A94" s="470">
        <v>90</v>
      </c>
      <c r="B94" s="471">
        <v>2312</v>
      </c>
      <c r="C94" s="480" t="s">
        <v>495</v>
      </c>
      <c r="D94" s="481" t="s">
        <v>87</v>
      </c>
      <c r="E94" s="474" t="s">
        <v>496</v>
      </c>
    </row>
    <row r="95" ht="14.25" customHeight="1" spans="1:59">
      <c r="A95" s="470">
        <v>91</v>
      </c>
      <c r="B95" s="471">
        <v>2313</v>
      </c>
      <c r="C95" s="480" t="s">
        <v>497</v>
      </c>
      <c r="D95" s="481" t="s">
        <v>87</v>
      </c>
      <c r="E95" s="474" t="s">
        <v>498</v>
      </c>
    </row>
    <row r="96" ht="14.25" customHeight="1" spans="1:59">
      <c r="A96" s="470">
        <v>92</v>
      </c>
      <c r="B96" s="471">
        <v>2314</v>
      </c>
      <c r="C96" s="480" t="s">
        <v>499</v>
      </c>
      <c r="D96" s="481" t="s">
        <v>87</v>
      </c>
      <c r="E96" s="474" t="s">
        <v>500</v>
      </c>
    </row>
    <row r="97" ht="14.25" customHeight="1" spans="1:5">
      <c r="A97" s="470">
        <v>93</v>
      </c>
      <c r="B97" s="471">
        <v>2401</v>
      </c>
      <c r="C97" s="480" t="s">
        <v>270</v>
      </c>
      <c r="D97" s="481" t="s">
        <v>87</v>
      </c>
      <c r="E97" s="474" t="s">
        <v>501</v>
      </c>
    </row>
    <row r="98" ht="14.25" customHeight="1" spans="1:5">
      <c r="A98" s="470">
        <v>94</v>
      </c>
      <c r="B98" s="471">
        <v>2501</v>
      </c>
      <c r="C98" s="480" t="s">
        <v>273</v>
      </c>
      <c r="D98" s="481" t="s">
        <v>273</v>
      </c>
      <c r="E98" s="474" t="s">
        <v>502</v>
      </c>
    </row>
    <row r="99" ht="14.25" customHeight="1" spans="1:5">
      <c r="A99" s="470">
        <v>95</v>
      </c>
      <c r="B99" s="471">
        <v>2502</v>
      </c>
      <c r="C99" s="480" t="s">
        <v>503</v>
      </c>
      <c r="D99" s="481" t="s">
        <v>503</v>
      </c>
      <c r="E99" s="474" t="s">
        <v>504</v>
      </c>
    </row>
    <row r="100" ht="14.25" customHeight="1" spans="1:5">
      <c r="A100" s="470">
        <v>96</v>
      </c>
      <c r="B100" s="471">
        <v>2601</v>
      </c>
      <c r="C100" s="480" t="s">
        <v>505</v>
      </c>
      <c r="D100" s="481" t="s">
        <v>87</v>
      </c>
      <c r="E100" s="474" t="s">
        <v>506</v>
      </c>
    </row>
    <row r="101" ht="14.25" customHeight="1" spans="1:5">
      <c r="A101" s="470">
        <v>97</v>
      </c>
      <c r="B101" s="471">
        <v>2602</v>
      </c>
      <c r="C101" s="480" t="s">
        <v>507</v>
      </c>
      <c r="D101" s="481" t="s">
        <v>87</v>
      </c>
      <c r="E101" s="474" t="s">
        <v>508</v>
      </c>
    </row>
    <row r="102" ht="14.25" customHeight="1" spans="1:5">
      <c r="A102" s="470">
        <v>98</v>
      </c>
      <c r="B102" s="471">
        <v>2611</v>
      </c>
      <c r="C102" s="480" t="s">
        <v>509</v>
      </c>
      <c r="D102" s="481" t="s">
        <v>87</v>
      </c>
      <c r="E102" s="474" t="s">
        <v>510</v>
      </c>
    </row>
    <row r="103" ht="14.25" customHeight="1" spans="1:5">
      <c r="A103" s="470">
        <v>99</v>
      </c>
      <c r="B103" s="471">
        <v>2621</v>
      </c>
      <c r="C103" s="480" t="s">
        <v>511</v>
      </c>
      <c r="D103" s="481" t="s">
        <v>87</v>
      </c>
      <c r="E103" s="474" t="s">
        <v>512</v>
      </c>
    </row>
    <row r="104" ht="14.25" customHeight="1" spans="1:5">
      <c r="A104" s="470">
        <v>100</v>
      </c>
      <c r="B104" s="471">
        <v>2701</v>
      </c>
      <c r="C104" s="480" t="s">
        <v>276</v>
      </c>
      <c r="D104" s="481" t="s">
        <v>276</v>
      </c>
      <c r="E104" s="474" t="s">
        <v>513</v>
      </c>
    </row>
    <row r="105" ht="14.25" customHeight="1" spans="1:5">
      <c r="A105" s="470">
        <v>101</v>
      </c>
      <c r="B105" s="471">
        <v>2702</v>
      </c>
      <c r="C105" s="480" t="s">
        <v>514</v>
      </c>
      <c r="D105" s="481" t="s">
        <v>87</v>
      </c>
      <c r="E105" s="474" t="s">
        <v>515</v>
      </c>
    </row>
    <row r="106" ht="14.25" customHeight="1" spans="1:5">
      <c r="A106" s="470">
        <v>102</v>
      </c>
      <c r="B106" s="471">
        <v>2711</v>
      </c>
      <c r="C106" s="480" t="s">
        <v>516</v>
      </c>
      <c r="D106" s="481" t="s">
        <v>516</v>
      </c>
      <c r="E106" s="474" t="s">
        <v>517</v>
      </c>
    </row>
    <row r="107" ht="14.25" customHeight="1" spans="1:5">
      <c r="A107" s="470">
        <v>103</v>
      </c>
      <c r="B107" s="471">
        <v>2801</v>
      </c>
      <c r="C107" s="480" t="s">
        <v>518</v>
      </c>
      <c r="D107" s="481" t="s">
        <v>518</v>
      </c>
      <c r="E107" s="474" t="s">
        <v>519</v>
      </c>
    </row>
    <row r="108" ht="14.25" customHeight="1" spans="1:5">
      <c r="A108" s="470">
        <v>104</v>
      </c>
      <c r="B108" s="471">
        <v>2901</v>
      </c>
      <c r="C108" s="480" t="s">
        <v>520</v>
      </c>
      <c r="D108" s="481" t="s">
        <v>521</v>
      </c>
      <c r="E108" s="474" t="s">
        <v>522</v>
      </c>
    </row>
    <row r="109" ht="14.25" customHeight="1" spans="1:5">
      <c r="A109" s="470"/>
      <c r="B109" s="471"/>
      <c r="C109" s="492" t="s">
        <v>523</v>
      </c>
      <c r="D109" s="473"/>
      <c r="E109" s="474"/>
    </row>
    <row r="110" ht="14.25" customHeight="1" spans="1:5">
      <c r="A110" s="470">
        <v>105</v>
      </c>
      <c r="B110" s="471">
        <v>3001</v>
      </c>
      <c r="C110" s="480" t="s">
        <v>524</v>
      </c>
      <c r="D110" s="481" t="s">
        <v>87</v>
      </c>
      <c r="E110" s="474" t="s">
        <v>525</v>
      </c>
    </row>
    <row r="111" ht="14.25" customHeight="1" spans="1:5">
      <c r="A111" s="470">
        <v>106</v>
      </c>
      <c r="B111" s="471">
        <v>3002</v>
      </c>
      <c r="C111" s="480" t="s">
        <v>526</v>
      </c>
      <c r="D111" s="481" t="s">
        <v>87</v>
      </c>
      <c r="E111" s="474" t="s">
        <v>527</v>
      </c>
    </row>
    <row r="112" ht="14.25" customHeight="1" spans="1:5">
      <c r="A112" s="470">
        <v>107</v>
      </c>
      <c r="B112" s="471">
        <v>3101</v>
      </c>
      <c r="C112" s="480" t="s">
        <v>528</v>
      </c>
      <c r="D112" s="481" t="s">
        <v>87</v>
      </c>
      <c r="E112" s="474" t="s">
        <v>529</v>
      </c>
    </row>
    <row r="113" ht="14.25" customHeight="1" spans="1:5">
      <c r="A113" s="470">
        <v>108</v>
      </c>
      <c r="B113" s="471">
        <v>3201</v>
      </c>
      <c r="C113" s="480" t="s">
        <v>530</v>
      </c>
      <c r="D113" s="481" t="s">
        <v>87</v>
      </c>
      <c r="E113" s="474" t="s">
        <v>531</v>
      </c>
    </row>
    <row r="114" ht="14.25" customHeight="1" spans="1:5">
      <c r="A114" s="470">
        <v>109</v>
      </c>
      <c r="B114" s="471">
        <v>3202</v>
      </c>
      <c r="C114" s="480" t="s">
        <v>532</v>
      </c>
      <c r="D114" s="481" t="s">
        <v>87</v>
      </c>
      <c r="E114" s="474" t="s">
        <v>533</v>
      </c>
    </row>
    <row r="115" ht="14.25" customHeight="1" spans="1:5">
      <c r="A115" s="470"/>
      <c r="B115" s="471"/>
      <c r="C115" s="492" t="s">
        <v>534</v>
      </c>
      <c r="D115" s="473"/>
      <c r="E115" s="474"/>
    </row>
    <row r="116" ht="14.25" customHeight="1" spans="1:5">
      <c r="A116" s="470">
        <v>110</v>
      </c>
      <c r="B116" s="471">
        <v>4001</v>
      </c>
      <c r="C116" s="480" t="s">
        <v>282</v>
      </c>
      <c r="D116" s="481" t="s">
        <v>535</v>
      </c>
      <c r="E116" s="474" t="s">
        <v>536</v>
      </c>
    </row>
    <row r="117" ht="14.25" customHeight="1" spans="1:5">
      <c r="A117" s="470">
        <v>111</v>
      </c>
      <c r="B117" s="471">
        <v>4002</v>
      </c>
      <c r="C117" s="480" t="s">
        <v>288</v>
      </c>
      <c r="D117" s="481" t="s">
        <v>288</v>
      </c>
      <c r="E117" s="474" t="s">
        <v>537</v>
      </c>
    </row>
    <row r="118" ht="14.25" customHeight="1" spans="1:5">
      <c r="A118" s="470">
        <v>112</v>
      </c>
      <c r="B118" s="471">
        <v>4101</v>
      </c>
      <c r="C118" s="480" t="s">
        <v>294</v>
      </c>
      <c r="D118" s="481" t="s">
        <v>294</v>
      </c>
      <c r="E118" s="474" t="s">
        <v>538</v>
      </c>
    </row>
    <row r="119" ht="14.25" customHeight="1" spans="1:5">
      <c r="A119" s="470">
        <v>113</v>
      </c>
      <c r="B119" s="471">
        <v>4102</v>
      </c>
      <c r="C119" s="480" t="s">
        <v>539</v>
      </c>
      <c r="D119" s="481" t="s">
        <v>87</v>
      </c>
      <c r="E119" s="474" t="s">
        <v>540</v>
      </c>
    </row>
    <row r="120" ht="14.25" customHeight="1" spans="1:5">
      <c r="A120" s="470">
        <v>114</v>
      </c>
      <c r="B120" s="471">
        <v>4103</v>
      </c>
      <c r="C120" s="480" t="s">
        <v>300</v>
      </c>
      <c r="D120" s="481" t="s">
        <v>300</v>
      </c>
      <c r="E120" s="474" t="s">
        <v>541</v>
      </c>
    </row>
    <row r="121" ht="14.25" customHeight="1" spans="1:5">
      <c r="A121" s="470">
        <v>115</v>
      </c>
      <c r="B121" s="471">
        <v>4104</v>
      </c>
      <c r="C121" s="480" t="s">
        <v>302</v>
      </c>
      <c r="D121" s="481" t="s">
        <v>302</v>
      </c>
      <c r="E121" s="474" t="s">
        <v>542</v>
      </c>
    </row>
    <row r="122" ht="14.25" customHeight="1" spans="1:5">
      <c r="A122" s="470">
        <v>116</v>
      </c>
      <c r="B122" s="471">
        <v>4201</v>
      </c>
      <c r="C122" s="480" t="s">
        <v>543</v>
      </c>
      <c r="D122" s="481" t="s">
        <v>87</v>
      </c>
      <c r="E122" s="474" t="s">
        <v>544</v>
      </c>
    </row>
    <row r="123" ht="14.25" customHeight="1" spans="1:5">
      <c r="A123" s="470"/>
      <c r="B123" s="471"/>
      <c r="C123" s="492" t="s">
        <v>545</v>
      </c>
      <c r="D123" s="473"/>
      <c r="E123" s="474"/>
    </row>
    <row r="124" ht="14.25" customHeight="1" spans="1:5">
      <c r="A124" s="470">
        <v>117</v>
      </c>
      <c r="B124" s="471">
        <v>5001</v>
      </c>
      <c r="C124" s="480" t="s">
        <v>312</v>
      </c>
      <c r="D124" s="481" t="s">
        <v>312</v>
      </c>
      <c r="E124" s="474" t="s">
        <v>546</v>
      </c>
    </row>
    <row r="125" ht="14.25" customHeight="1" spans="1:5">
      <c r="A125" s="470">
        <v>118</v>
      </c>
      <c r="B125" s="471">
        <v>5101</v>
      </c>
      <c r="C125" s="480" t="s">
        <v>317</v>
      </c>
      <c r="D125" s="481" t="s">
        <v>317</v>
      </c>
      <c r="E125" s="474" t="s">
        <v>547</v>
      </c>
    </row>
    <row r="126" ht="14.25" customHeight="1" spans="1:5">
      <c r="A126" s="470">
        <v>119</v>
      </c>
      <c r="B126" s="471">
        <v>5201</v>
      </c>
      <c r="C126" s="480" t="s">
        <v>548</v>
      </c>
      <c r="D126" s="481" t="s">
        <v>548</v>
      </c>
      <c r="E126" s="474" t="s">
        <v>549</v>
      </c>
    </row>
    <row r="127" ht="14.25" customHeight="1" spans="1:5">
      <c r="A127" s="470">
        <v>120</v>
      </c>
      <c r="B127" s="471">
        <v>5301</v>
      </c>
      <c r="C127" s="480" t="s">
        <v>319</v>
      </c>
      <c r="D127" s="481" t="s">
        <v>87</v>
      </c>
      <c r="E127" s="474" t="s">
        <v>550</v>
      </c>
    </row>
    <row r="128" ht="14.25" customHeight="1" spans="1:5">
      <c r="A128" s="470">
        <v>121</v>
      </c>
      <c r="B128" s="471">
        <v>5401</v>
      </c>
      <c r="C128" s="480" t="s">
        <v>321</v>
      </c>
      <c r="D128" s="481" t="s">
        <v>87</v>
      </c>
      <c r="E128" s="474" t="s">
        <v>551</v>
      </c>
    </row>
    <row r="129" ht="14.25" customHeight="1" spans="1:5">
      <c r="A129" s="470">
        <v>122</v>
      </c>
      <c r="B129" s="471">
        <v>5402</v>
      </c>
      <c r="C129" s="480" t="s">
        <v>552</v>
      </c>
      <c r="D129" s="481" t="s">
        <v>87</v>
      </c>
      <c r="E129" s="474" t="s">
        <v>553</v>
      </c>
    </row>
    <row r="130" ht="14.25" customHeight="1" spans="1:5">
      <c r="A130" s="470">
        <v>123</v>
      </c>
      <c r="B130" s="471">
        <v>5403</v>
      </c>
      <c r="C130" s="480" t="s">
        <v>345</v>
      </c>
      <c r="D130" s="481" t="s">
        <v>87</v>
      </c>
      <c r="E130" s="474" t="s">
        <v>554</v>
      </c>
    </row>
    <row r="131" ht="14.25" customHeight="1" spans="1:5">
      <c r="A131" s="470"/>
      <c r="B131" s="471"/>
      <c r="C131" s="492" t="s">
        <v>555</v>
      </c>
      <c r="D131" s="473"/>
      <c r="E131" s="474"/>
    </row>
    <row r="132" ht="14.25" customHeight="1" spans="1:5">
      <c r="A132" s="470">
        <v>124</v>
      </c>
      <c r="B132" s="471">
        <v>6001</v>
      </c>
      <c r="C132" s="480" t="s">
        <v>351</v>
      </c>
      <c r="D132" s="481" t="s">
        <v>351</v>
      </c>
      <c r="E132" s="474" t="s">
        <v>556</v>
      </c>
    </row>
    <row r="133" ht="14.25" customHeight="1" spans="1:5">
      <c r="A133" s="470">
        <v>125</v>
      </c>
      <c r="B133" s="471">
        <v>6011</v>
      </c>
      <c r="C133" s="480" t="s">
        <v>557</v>
      </c>
      <c r="D133" s="481" t="s">
        <v>557</v>
      </c>
      <c r="E133" s="474" t="s">
        <v>558</v>
      </c>
    </row>
    <row r="134" ht="14.25" customHeight="1" spans="1:5">
      <c r="A134" s="470">
        <v>126</v>
      </c>
      <c r="B134" s="471">
        <v>6021</v>
      </c>
      <c r="C134" s="480" t="s">
        <v>559</v>
      </c>
      <c r="D134" s="481" t="s">
        <v>87</v>
      </c>
      <c r="E134" s="474" t="s">
        <v>560</v>
      </c>
    </row>
    <row r="135" ht="14.25" customHeight="1" spans="1:5">
      <c r="A135" s="470">
        <v>127</v>
      </c>
      <c r="B135" s="471">
        <v>6031</v>
      </c>
      <c r="C135" s="480" t="s">
        <v>561</v>
      </c>
      <c r="D135" s="481" t="s">
        <v>87</v>
      </c>
      <c r="E135" s="474" t="s">
        <v>562</v>
      </c>
    </row>
    <row r="136" ht="14.25" customHeight="1" spans="1:5">
      <c r="A136" s="470">
        <v>128</v>
      </c>
      <c r="B136" s="471">
        <v>6041</v>
      </c>
      <c r="C136" s="480" t="s">
        <v>563</v>
      </c>
      <c r="D136" s="481" t="s">
        <v>87</v>
      </c>
      <c r="E136" s="474" t="s">
        <v>564</v>
      </c>
    </row>
    <row r="137" ht="14.25" customHeight="1" spans="1:5">
      <c r="A137" s="470">
        <v>129</v>
      </c>
      <c r="B137" s="471">
        <v>6051</v>
      </c>
      <c r="C137" s="480" t="s">
        <v>354</v>
      </c>
      <c r="D137" s="481" t="s">
        <v>354</v>
      </c>
      <c r="E137" s="474" t="s">
        <v>565</v>
      </c>
    </row>
    <row r="138" ht="14.25" customHeight="1" spans="1:5">
      <c r="A138" s="470">
        <v>130</v>
      </c>
      <c r="B138" s="471">
        <v>6061</v>
      </c>
      <c r="C138" s="480" t="s">
        <v>448</v>
      </c>
      <c r="D138" s="481" t="s">
        <v>87</v>
      </c>
      <c r="E138" s="474" t="s">
        <v>566</v>
      </c>
    </row>
    <row r="139" ht="14.25" customHeight="1" spans="1:5">
      <c r="A139" s="470">
        <v>131</v>
      </c>
      <c r="B139" s="471">
        <v>6101</v>
      </c>
      <c r="C139" s="480" t="s">
        <v>567</v>
      </c>
      <c r="D139" s="481" t="s">
        <v>87</v>
      </c>
      <c r="E139" s="474" t="s">
        <v>568</v>
      </c>
    </row>
    <row r="140" ht="14.25" customHeight="1" spans="1:5">
      <c r="A140" s="470">
        <v>132</v>
      </c>
      <c r="B140" s="471">
        <v>6111</v>
      </c>
      <c r="C140" s="480" t="s">
        <v>356</v>
      </c>
      <c r="D140" s="481" t="s">
        <v>356</v>
      </c>
      <c r="E140" s="474" t="s">
        <v>569</v>
      </c>
    </row>
    <row r="141" ht="14.25" customHeight="1" spans="1:5">
      <c r="A141" s="470">
        <v>133</v>
      </c>
      <c r="B141" s="471">
        <v>6201</v>
      </c>
      <c r="C141" s="480" t="s">
        <v>570</v>
      </c>
      <c r="D141" s="481" t="s">
        <v>87</v>
      </c>
      <c r="E141" s="474" t="s">
        <v>571</v>
      </c>
    </row>
    <row r="142" ht="14.25" customHeight="1" spans="1:5">
      <c r="A142" s="470">
        <v>134</v>
      </c>
      <c r="B142" s="471">
        <v>6202</v>
      </c>
      <c r="C142" s="480" t="s">
        <v>572</v>
      </c>
      <c r="D142" s="481" t="s">
        <v>87</v>
      </c>
      <c r="E142" s="474" t="s">
        <v>573</v>
      </c>
    </row>
    <row r="143" ht="14.25" customHeight="1" spans="1:5">
      <c r="A143" s="470">
        <v>135</v>
      </c>
      <c r="B143" s="471">
        <v>6203</v>
      </c>
      <c r="C143" s="480" t="s">
        <v>574</v>
      </c>
      <c r="D143" s="481" t="s">
        <v>87</v>
      </c>
      <c r="E143" s="474" t="s">
        <v>575</v>
      </c>
    </row>
    <row r="144" ht="14.25" customHeight="1" spans="1:5">
      <c r="A144" s="470">
        <v>136</v>
      </c>
      <c r="B144" s="471">
        <v>6301</v>
      </c>
      <c r="C144" s="480" t="s">
        <v>359</v>
      </c>
      <c r="D144" s="481" t="s">
        <v>359</v>
      </c>
      <c r="E144" s="474" t="s">
        <v>576</v>
      </c>
    </row>
    <row r="145" ht="14.25" customHeight="1" spans="1:5">
      <c r="A145" s="470">
        <v>137</v>
      </c>
      <c r="B145" s="471">
        <v>6401</v>
      </c>
      <c r="C145" s="480" t="s">
        <v>367</v>
      </c>
      <c r="D145" s="481" t="s">
        <v>367</v>
      </c>
      <c r="E145" s="474" t="s">
        <v>577</v>
      </c>
    </row>
    <row r="146" ht="14.25" customHeight="1" spans="1:5">
      <c r="A146" s="470">
        <v>138</v>
      </c>
      <c r="B146" s="471">
        <v>6402</v>
      </c>
      <c r="C146" s="480" t="s">
        <v>369</v>
      </c>
      <c r="D146" s="481" t="s">
        <v>578</v>
      </c>
      <c r="E146" s="474" t="s">
        <v>579</v>
      </c>
    </row>
    <row r="147" ht="14.25" customHeight="1" spans="1:5">
      <c r="A147" s="470">
        <v>139</v>
      </c>
      <c r="B147" s="471">
        <v>6403</v>
      </c>
      <c r="C147" s="480" t="s">
        <v>580</v>
      </c>
      <c r="D147" s="481" t="s">
        <v>581</v>
      </c>
      <c r="E147" s="474" t="s">
        <v>582</v>
      </c>
    </row>
    <row r="148" ht="14.25" customHeight="1" spans="1:5">
      <c r="A148" s="470">
        <v>140</v>
      </c>
      <c r="B148" s="471">
        <v>6411</v>
      </c>
      <c r="C148" s="480" t="s">
        <v>583</v>
      </c>
      <c r="D148" s="481" t="s">
        <v>87</v>
      </c>
      <c r="E148" s="474" t="s">
        <v>584</v>
      </c>
    </row>
    <row r="149" ht="14.25" customHeight="1" spans="1:5">
      <c r="A149" s="470">
        <v>141</v>
      </c>
      <c r="B149" s="471">
        <v>6421</v>
      </c>
      <c r="C149" s="480" t="s">
        <v>585</v>
      </c>
      <c r="D149" s="481" t="s">
        <v>87</v>
      </c>
      <c r="E149" s="474" t="s">
        <v>586</v>
      </c>
    </row>
    <row r="150" ht="14.25" customHeight="1" spans="1:5">
      <c r="A150" s="470">
        <v>142</v>
      </c>
      <c r="B150" s="471">
        <v>6501</v>
      </c>
      <c r="C150" s="480" t="s">
        <v>587</v>
      </c>
      <c r="D150" s="481" t="s">
        <v>87</v>
      </c>
      <c r="E150" s="474" t="s">
        <v>588</v>
      </c>
    </row>
    <row r="151" ht="14.25" customHeight="1" spans="1:5">
      <c r="A151" s="470">
        <v>143</v>
      </c>
      <c r="B151" s="471">
        <v>6502</v>
      </c>
      <c r="C151" s="480" t="s">
        <v>589</v>
      </c>
      <c r="D151" s="481" t="s">
        <v>87</v>
      </c>
      <c r="E151" s="474" t="s">
        <v>508</v>
      </c>
    </row>
    <row r="152" ht="14.25" customHeight="1" spans="1:5">
      <c r="A152" s="470">
        <v>144</v>
      </c>
      <c r="B152" s="471">
        <v>6511</v>
      </c>
      <c r="C152" s="480" t="s">
        <v>590</v>
      </c>
      <c r="D152" s="481" t="s">
        <v>87</v>
      </c>
      <c r="E152" s="474" t="s">
        <v>591</v>
      </c>
    </row>
    <row r="153" ht="14.25" customHeight="1" spans="1:5">
      <c r="A153" s="470">
        <v>145</v>
      </c>
      <c r="B153" s="471">
        <v>6521</v>
      </c>
      <c r="C153" s="480" t="s">
        <v>592</v>
      </c>
      <c r="D153" s="481" t="s">
        <v>87</v>
      </c>
      <c r="E153" s="474" t="s">
        <v>593</v>
      </c>
    </row>
    <row r="154" ht="14.25" customHeight="1" spans="1:5">
      <c r="A154" s="470">
        <v>146</v>
      </c>
      <c r="B154" s="471">
        <v>6531</v>
      </c>
      <c r="C154" s="480" t="s">
        <v>594</v>
      </c>
      <c r="D154" s="481" t="s">
        <v>87</v>
      </c>
      <c r="E154" s="474" t="s">
        <v>595</v>
      </c>
    </row>
    <row r="155" ht="14.25" customHeight="1" spans="1:5">
      <c r="A155" s="470">
        <v>147</v>
      </c>
      <c r="B155" s="471">
        <v>6541</v>
      </c>
      <c r="C155" s="480" t="s">
        <v>596</v>
      </c>
      <c r="D155" s="481" t="s">
        <v>87</v>
      </c>
      <c r="E155" s="474" t="s">
        <v>597</v>
      </c>
    </row>
    <row r="156" ht="14.25" customHeight="1" spans="1:5">
      <c r="A156" s="470">
        <v>148</v>
      </c>
      <c r="B156" s="471">
        <v>6542</v>
      </c>
      <c r="C156" s="480" t="s">
        <v>598</v>
      </c>
      <c r="D156" s="481" t="s">
        <v>87</v>
      </c>
      <c r="E156" s="474" t="s">
        <v>599</v>
      </c>
    </row>
    <row r="157" ht="14.25" customHeight="1" spans="1:5">
      <c r="A157" s="470">
        <v>149</v>
      </c>
      <c r="B157" s="471">
        <v>6601</v>
      </c>
      <c r="C157" s="480" t="s">
        <v>389</v>
      </c>
      <c r="D157" s="481" t="s">
        <v>600</v>
      </c>
      <c r="E157" s="474" t="s">
        <v>601</v>
      </c>
    </row>
    <row r="158" ht="14.25" customHeight="1" spans="1:5">
      <c r="A158" s="470">
        <v>150</v>
      </c>
      <c r="B158" s="471">
        <v>6602</v>
      </c>
      <c r="C158" s="480" t="s">
        <v>407</v>
      </c>
      <c r="D158" s="481" t="s">
        <v>407</v>
      </c>
      <c r="E158" s="474" t="s">
        <v>602</v>
      </c>
    </row>
    <row r="159" ht="14.25" customHeight="1" spans="1:5">
      <c r="A159" s="470">
        <v>151</v>
      </c>
      <c r="B159" s="471">
        <v>6603</v>
      </c>
      <c r="C159" s="480" t="s">
        <v>442</v>
      </c>
      <c r="D159" s="481" t="s">
        <v>442</v>
      </c>
      <c r="E159" s="474" t="s">
        <v>603</v>
      </c>
    </row>
    <row r="160" ht="14.25" customHeight="1" spans="1:5">
      <c r="A160" s="470">
        <v>152</v>
      </c>
      <c r="B160" s="471">
        <v>6604</v>
      </c>
      <c r="C160" s="480" t="s">
        <v>604</v>
      </c>
      <c r="D160" s="481" t="s">
        <v>87</v>
      </c>
      <c r="E160" s="474" t="s">
        <v>605</v>
      </c>
    </row>
    <row r="161" ht="14.25" customHeight="1" spans="1:5">
      <c r="A161" s="470">
        <v>153</v>
      </c>
      <c r="B161" s="471">
        <v>6701</v>
      </c>
      <c r="C161" s="480" t="s">
        <v>606</v>
      </c>
      <c r="D161" s="481" t="s">
        <v>87</v>
      </c>
      <c r="E161" s="474" t="s">
        <v>607</v>
      </c>
    </row>
    <row r="162" ht="14.25" customHeight="1" spans="1:5">
      <c r="A162" s="470">
        <v>154</v>
      </c>
      <c r="B162" s="471">
        <v>6711</v>
      </c>
      <c r="C162" s="480" t="s">
        <v>450</v>
      </c>
      <c r="D162" s="481" t="s">
        <v>450</v>
      </c>
      <c r="E162" s="474" t="s">
        <v>608</v>
      </c>
    </row>
    <row r="163" ht="14.25" customHeight="1" spans="1:5">
      <c r="A163" s="470">
        <v>155</v>
      </c>
      <c r="B163" s="471">
        <v>6801</v>
      </c>
      <c r="C163" s="480" t="s">
        <v>462</v>
      </c>
      <c r="D163" s="481" t="s">
        <v>609</v>
      </c>
      <c r="E163" s="474" t="s">
        <v>610</v>
      </c>
    </row>
    <row r="164" ht="14.25" customHeight="1" spans="1:5">
      <c r="A164" s="470">
        <v>156</v>
      </c>
      <c r="B164" s="471">
        <v>6901</v>
      </c>
      <c r="C164" s="480" t="s">
        <v>465</v>
      </c>
      <c r="D164" s="481" t="s">
        <v>465</v>
      </c>
      <c r="E164" s="474" t="s">
        <v>611</v>
      </c>
    </row>
    <row r="165" ht="14.25" customHeight="1" spans="1:5">
      <c r="A165" s="503" t="s">
        <v>612</v>
      </c>
      <c r="B165" s="504"/>
      <c r="C165" s="504"/>
      <c r="D165" s="504"/>
      <c r="E165" s="505"/>
    </row>
    <row r="166" ht="14.25" customHeight="1"/>
    <row r="167" ht="14.25" customHeight="1"/>
    <row r="168" ht="14.25" customHeight="1"/>
    <row r="169" ht="14.25" customHeight="1"/>
  </sheetData>
  <autoFilter xmlns:etc="http://www.wps.cn/officeDocument/2017/etCustomData" ref="G1:BG76" etc:filterBottomFollowUsedRange="0">
    <extLst/>
  </autoFilter>
  <mergeCells count="3">
    <mergeCell ref="A1:E1"/>
    <mergeCell ref="G1:I1"/>
    <mergeCell ref="A165:E165"/>
  </mergeCells>
  <conditionalFormatting sqref="I3:BG92">
    <cfRule type="cellIs" dxfId="0" priority="1" stopIfTrue="1" operator="equal">
      <formula>""</formula>
    </cfRule>
  </conditionalFormatting>
  <printOptions horizontalCentered="1"/>
  <pageMargins left="0" right="0" top="0.393055555555556" bottom="0.393055555555556" header="0.510416666666667" footer="0.196527777777778"/>
  <pageSetup paperSize="9" orientation="landscape" horizontalDpi="600" verticalDpi="600"/>
  <headerFooter alignWithMargins="0" scaleWithDoc="0">
    <oddFooter>&amp;C&amp;"黑体,常规"&amp;10 第 &amp;P 页，共 &amp;N 页</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indexed="46"/>
  </sheetPr>
  <dimension ref="A1:L1000"/>
  <sheetViews>
    <sheetView showGridLines="0" zoomScale="115" zoomScaleNormal="115" workbookViewId="0">
      <pane ySplit="5" topLeftCell="A158" activePane="bottomLeft" state="frozen"/>
      <selection/>
      <selection pane="bottomLeft" activeCell="E172" sqref="E172"/>
    </sheetView>
  </sheetViews>
  <sheetFormatPr defaultColWidth="9" defaultRowHeight="16.5"/>
  <cols>
    <col min="1" max="1" width="10.75" style="412" customWidth="1"/>
    <col min="2" max="2" width="5.625" style="158" customWidth="1"/>
    <col min="3" max="4" width="4.375" style="158" customWidth="1"/>
    <col min="5" max="5" width="43.7333333333333" style="413" customWidth="1"/>
    <col min="6" max="6" width="18.5583333333333" style="414" customWidth="1"/>
    <col min="7" max="7" width="17.2083333333333" style="414" customWidth="1"/>
    <col min="8" max="8" width="14" style="415" customWidth="1"/>
    <col min="9" max="9" width="13.5" style="415" customWidth="1"/>
    <col min="10" max="10" width="5.125" style="412" customWidth="1"/>
    <col min="11" max="13" width="9" style="412" customWidth="1"/>
    <col min="14" max="16384" width="9" style="412" hidden="1" customWidth="1"/>
  </cols>
  <sheetData>
    <row r="1" ht="28" customHeight="1" spans="1:12">
      <c r="A1" s="416" t="s">
        <v>613</v>
      </c>
      <c r="B1" s="103"/>
      <c r="C1" s="103"/>
      <c r="D1" s="103"/>
      <c r="E1" s="103"/>
      <c r="F1" s="103"/>
      <c r="G1" s="103"/>
      <c r="H1" s="103"/>
      <c r="I1" s="103"/>
      <c r="J1" s="96"/>
    </row>
    <row r="2" ht="15" customHeight="1" spans="1:12">
      <c r="A2" s="417" t="str">
        <f>"财务期间："&amp;TEXT(基础信息!D4,"yyyy年m月")</f>
        <v>财务期间：2025年12月</v>
      </c>
      <c r="B2" s="418"/>
      <c r="C2" s="418"/>
      <c r="D2" s="418"/>
      <c r="E2" s="418"/>
      <c r="F2" s="418"/>
      <c r="G2" s="418"/>
      <c r="H2" s="418"/>
      <c r="I2" s="418"/>
      <c r="J2" s="419"/>
      <c r="K2" s="420" t="s">
        <v>1</v>
      </c>
      <c r="L2" s="421"/>
    </row>
    <row r="3" ht="30" customHeight="1" spans="1:12">
      <c r="A3" s="422" t="s">
        <v>614</v>
      </c>
      <c r="B3" s="419"/>
      <c r="C3" s="423" t="str">
        <f>基础信息!D3</f>
        <v>XIN SHENG</v>
      </c>
      <c r="D3" s="418"/>
      <c r="E3" s="418"/>
      <c r="F3" s="419"/>
      <c r="G3" s="424" t="s">
        <v>615</v>
      </c>
      <c r="H3" s="425" t="str">
        <f>IF(AND(SUM(H6:H65536)-SUM(I6:I65536)&gt;=-0.0001,SUM(H6:H65536)-SUM(I6:I65536)&lt;=0.0001),"借贷平衡","借贷不平衡，差异"&amp;SUM(H6:H65536)-SUM(I6:I65536))</f>
        <v>借贷平衡</v>
      </c>
      <c r="I3" s="418"/>
      <c r="J3" s="419"/>
    </row>
    <row r="4" s="158" customFormat="1" ht="20" customHeight="1" spans="1:12">
      <c r="A4" s="426" t="s">
        <v>616</v>
      </c>
      <c r="B4" s="426" t="s">
        <v>617</v>
      </c>
      <c r="C4" s="427" t="s">
        <v>618</v>
      </c>
      <c r="D4" s="427" t="s">
        <v>619</v>
      </c>
      <c r="E4" s="427" t="s">
        <v>620</v>
      </c>
      <c r="F4" s="426" t="s">
        <v>621</v>
      </c>
      <c r="G4" s="428"/>
      <c r="H4" s="429" t="s">
        <v>622</v>
      </c>
      <c r="I4" s="430" t="s">
        <v>623</v>
      </c>
      <c r="J4" s="431" t="s">
        <v>624</v>
      </c>
    </row>
    <row r="5" s="158" customFormat="1" ht="20" customHeight="1" spans="1:12">
      <c r="A5" s="432"/>
      <c r="B5" s="432"/>
      <c r="C5" s="433"/>
      <c r="D5" s="433"/>
      <c r="E5" s="433"/>
      <c r="F5" s="434" t="s">
        <v>21</v>
      </c>
      <c r="G5" s="434" t="s">
        <v>625</v>
      </c>
      <c r="H5" s="432"/>
      <c r="I5" s="435"/>
      <c r="J5" s="436"/>
    </row>
    <row r="6" ht="15" customHeight="1" spans="1:12">
      <c r="A6" s="437" t="s">
        <v>613</v>
      </c>
      <c r="B6" s="438">
        <v>1</v>
      </c>
      <c r="C6" s="438">
        <v>8</v>
      </c>
      <c r="D6" s="438">
        <v>1</v>
      </c>
      <c r="E6" s="439" t="s">
        <v>626</v>
      </c>
      <c r="F6" s="440" t="s">
        <v>73</v>
      </c>
      <c r="G6" s="441" t="s">
        <v>627</v>
      </c>
      <c r="H6" s="442">
        <v>6450000</v>
      </c>
      <c r="I6" s="443"/>
      <c r="J6" s="444"/>
    </row>
    <row r="7" ht="15" customHeight="1" spans="1:12">
      <c r="A7" s="445" t="s">
        <v>613</v>
      </c>
      <c r="B7" s="446">
        <v>1</v>
      </c>
      <c r="C7" s="446">
        <v>8</v>
      </c>
      <c r="D7" s="446">
        <v>1</v>
      </c>
      <c r="E7" s="447" t="s">
        <v>626</v>
      </c>
      <c r="F7" s="441" t="s">
        <v>282</v>
      </c>
      <c r="G7" s="441" t="s">
        <v>283</v>
      </c>
      <c r="H7" s="448"/>
      <c r="I7" s="442">
        <v>6450000</v>
      </c>
      <c r="J7" s="449"/>
    </row>
    <row r="8" ht="15" customHeight="1" spans="1:12">
      <c r="A8" s="445" t="s">
        <v>613</v>
      </c>
      <c r="B8" s="446">
        <v>2</v>
      </c>
      <c r="C8" s="438">
        <v>8</v>
      </c>
      <c r="D8" s="446">
        <v>1</v>
      </c>
      <c r="E8" s="447" t="s">
        <v>628</v>
      </c>
      <c r="F8" s="441" t="s">
        <v>73</v>
      </c>
      <c r="G8" s="441" t="s">
        <v>627</v>
      </c>
      <c r="H8" s="448">
        <v>2700000</v>
      </c>
      <c r="I8" s="450"/>
      <c r="J8" s="449"/>
    </row>
    <row r="9" ht="15" customHeight="1" spans="1:12">
      <c r="A9" s="445" t="s">
        <v>613</v>
      </c>
      <c r="B9" s="446">
        <v>2</v>
      </c>
      <c r="C9" s="446">
        <v>8</v>
      </c>
      <c r="D9" s="446">
        <v>1</v>
      </c>
      <c r="E9" s="439" t="s">
        <v>628</v>
      </c>
      <c r="F9" s="441" t="s">
        <v>282</v>
      </c>
      <c r="G9" s="441" t="s">
        <v>284</v>
      </c>
      <c r="H9" s="448"/>
      <c r="I9" s="450">
        <v>2700000</v>
      </c>
      <c r="J9" s="449"/>
    </row>
    <row r="10" ht="15" customHeight="1" spans="1:12">
      <c r="A10" s="445" t="s">
        <v>613</v>
      </c>
      <c r="B10" s="446">
        <v>3</v>
      </c>
      <c r="C10" s="438">
        <v>8</v>
      </c>
      <c r="D10" s="446">
        <v>1</v>
      </c>
      <c r="E10" s="439" t="s">
        <v>629</v>
      </c>
      <c r="F10" s="441" t="s">
        <v>73</v>
      </c>
      <c r="G10" s="441" t="s">
        <v>627</v>
      </c>
      <c r="H10" s="448">
        <v>100000</v>
      </c>
      <c r="I10" s="450"/>
      <c r="J10" s="449"/>
    </row>
    <row r="11" ht="15" customHeight="1" spans="1:12">
      <c r="A11" s="445" t="s">
        <v>613</v>
      </c>
      <c r="B11" s="446">
        <v>3</v>
      </c>
      <c r="C11" s="446">
        <v>8</v>
      </c>
      <c r="D11" s="446">
        <v>1</v>
      </c>
      <c r="E11" s="439" t="s">
        <v>629</v>
      </c>
      <c r="F11" s="441" t="s">
        <v>282</v>
      </c>
      <c r="G11" s="441" t="s">
        <v>286</v>
      </c>
      <c r="H11" s="448"/>
      <c r="I11" s="450">
        <v>100000</v>
      </c>
      <c r="J11" s="449"/>
    </row>
    <row r="12" ht="15" customHeight="1" spans="1:12">
      <c r="A12" s="445" t="s">
        <v>613</v>
      </c>
      <c r="B12" s="446">
        <v>4</v>
      </c>
      <c r="C12" s="438">
        <v>5</v>
      </c>
      <c r="D12" s="446">
        <v>17</v>
      </c>
      <c r="E12" s="439" t="s">
        <v>630</v>
      </c>
      <c r="F12" s="441" t="s">
        <v>407</v>
      </c>
      <c r="G12" s="441" t="s">
        <v>404</v>
      </c>
      <c r="H12" s="448">
        <v>38600</v>
      </c>
      <c r="I12" s="450"/>
      <c r="J12" s="449"/>
    </row>
    <row r="13" ht="15" customHeight="1" spans="1:12">
      <c r="A13" s="445" t="s">
        <v>613</v>
      </c>
      <c r="B13" s="446">
        <v>4</v>
      </c>
      <c r="C13" s="446">
        <v>5</v>
      </c>
      <c r="D13" s="446">
        <v>17</v>
      </c>
      <c r="E13" s="439" t="s">
        <v>630</v>
      </c>
      <c r="F13" s="441" t="s">
        <v>73</v>
      </c>
      <c r="G13" s="441" t="s">
        <v>627</v>
      </c>
      <c r="H13" s="448"/>
      <c r="I13" s="450">
        <v>38600</v>
      </c>
      <c r="J13" s="449"/>
    </row>
    <row r="14" ht="15" customHeight="1" spans="1:12">
      <c r="A14" s="445" t="s">
        <v>613</v>
      </c>
      <c r="B14" s="446">
        <v>5</v>
      </c>
      <c r="C14" s="446">
        <v>8</v>
      </c>
      <c r="D14" s="446">
        <v>1</v>
      </c>
      <c r="E14" s="439" t="s">
        <v>631</v>
      </c>
      <c r="F14" s="441" t="s">
        <v>73</v>
      </c>
      <c r="G14" s="441" t="s">
        <v>627</v>
      </c>
      <c r="H14" s="448">
        <v>30000</v>
      </c>
      <c r="I14" s="450"/>
      <c r="J14" s="449"/>
    </row>
    <row r="15" ht="15" customHeight="1" spans="1:12">
      <c r="A15" s="445" t="s">
        <v>613</v>
      </c>
      <c r="B15" s="446">
        <v>5</v>
      </c>
      <c r="C15" s="446">
        <v>8</v>
      </c>
      <c r="D15" s="446">
        <v>1</v>
      </c>
      <c r="E15" s="439" t="s">
        <v>631</v>
      </c>
      <c r="F15" s="441" t="s">
        <v>115</v>
      </c>
      <c r="G15" s="441"/>
      <c r="H15" s="448"/>
      <c r="I15" s="450">
        <v>30000</v>
      </c>
      <c r="J15" s="449"/>
    </row>
    <row r="16" ht="15" customHeight="1" spans="1:12">
      <c r="A16" s="445" t="s">
        <v>613</v>
      </c>
      <c r="B16" s="446">
        <v>6</v>
      </c>
      <c r="C16" s="446">
        <v>8</v>
      </c>
      <c r="D16" s="446">
        <v>1</v>
      </c>
      <c r="E16" s="439" t="s">
        <v>632</v>
      </c>
      <c r="F16" s="441" t="s">
        <v>73</v>
      </c>
      <c r="G16" s="441" t="s">
        <v>633</v>
      </c>
      <c r="H16" s="448">
        <v>30000</v>
      </c>
      <c r="I16" s="450"/>
      <c r="J16" s="449"/>
    </row>
    <row r="17" ht="15" customHeight="1" spans="1:10">
      <c r="A17" s="445" t="s">
        <v>613</v>
      </c>
      <c r="B17" s="446">
        <v>6</v>
      </c>
      <c r="C17" s="446">
        <v>8</v>
      </c>
      <c r="D17" s="446">
        <v>1</v>
      </c>
      <c r="E17" s="439" t="s">
        <v>632</v>
      </c>
      <c r="F17" s="441" t="s">
        <v>73</v>
      </c>
      <c r="G17" s="441" t="s">
        <v>627</v>
      </c>
      <c r="H17" s="448"/>
      <c r="I17" s="450">
        <v>30000</v>
      </c>
      <c r="J17" s="449"/>
    </row>
    <row r="18" ht="15" customHeight="1" spans="1:10">
      <c r="A18" s="445" t="s">
        <v>613</v>
      </c>
      <c r="B18" s="446">
        <v>7</v>
      </c>
      <c r="C18" s="446">
        <v>6</v>
      </c>
      <c r="D18" s="446">
        <v>9</v>
      </c>
      <c r="E18" s="439" t="s">
        <v>634</v>
      </c>
      <c r="F18" s="441" t="s">
        <v>73</v>
      </c>
      <c r="G18" s="441" t="s">
        <v>76</v>
      </c>
      <c r="H18" s="448">
        <v>11907</v>
      </c>
      <c r="I18" s="450"/>
      <c r="J18" s="449"/>
    </row>
    <row r="19" ht="15" customHeight="1" spans="1:10">
      <c r="A19" s="445" t="s">
        <v>613</v>
      </c>
      <c r="B19" s="446">
        <v>7</v>
      </c>
      <c r="C19" s="446">
        <v>6</v>
      </c>
      <c r="D19" s="446">
        <v>9</v>
      </c>
      <c r="E19" s="439" t="s">
        <v>634</v>
      </c>
      <c r="F19" s="441" t="s">
        <v>73</v>
      </c>
      <c r="G19" s="441" t="s">
        <v>627</v>
      </c>
      <c r="H19" s="448"/>
      <c r="I19" s="450">
        <v>11907</v>
      </c>
      <c r="J19" s="449"/>
    </row>
    <row r="20" ht="15" customHeight="1" spans="1:10">
      <c r="A20" s="445" t="s">
        <v>613</v>
      </c>
      <c r="B20" s="446">
        <v>8</v>
      </c>
      <c r="C20" s="446">
        <v>7</v>
      </c>
      <c r="D20" s="446">
        <v>22</v>
      </c>
      <c r="E20" s="439" t="s">
        <v>635</v>
      </c>
      <c r="F20" s="441" t="s">
        <v>73</v>
      </c>
      <c r="G20" s="441" t="s">
        <v>76</v>
      </c>
      <c r="H20" s="448">
        <v>284738</v>
      </c>
      <c r="I20" s="450"/>
      <c r="J20" s="449"/>
    </row>
    <row r="21" ht="15" customHeight="1" spans="1:10">
      <c r="A21" s="445" t="s">
        <v>613</v>
      </c>
      <c r="B21" s="446">
        <v>8</v>
      </c>
      <c r="C21" s="446">
        <v>7</v>
      </c>
      <c r="D21" s="446">
        <v>22</v>
      </c>
      <c r="E21" s="439" t="s">
        <v>635</v>
      </c>
      <c r="F21" s="441" t="s">
        <v>73</v>
      </c>
      <c r="G21" s="441" t="s">
        <v>627</v>
      </c>
      <c r="H21" s="448"/>
      <c r="I21" s="450">
        <v>284738</v>
      </c>
      <c r="J21" s="449"/>
    </row>
    <row r="22" ht="15" customHeight="1" spans="1:10">
      <c r="A22" s="445" t="s">
        <v>613</v>
      </c>
      <c r="B22" s="446">
        <v>9</v>
      </c>
      <c r="C22" s="446">
        <v>8</v>
      </c>
      <c r="D22" s="446">
        <v>1</v>
      </c>
      <c r="E22" s="439" t="s">
        <v>636</v>
      </c>
      <c r="F22" s="441" t="s">
        <v>73</v>
      </c>
      <c r="G22" s="441" t="s">
        <v>79</v>
      </c>
      <c r="H22" s="448">
        <v>108300</v>
      </c>
      <c r="I22" s="450"/>
      <c r="J22" s="449"/>
    </row>
    <row r="23" ht="15" customHeight="1" spans="1:10">
      <c r="A23" s="445" t="s">
        <v>613</v>
      </c>
      <c r="B23" s="446">
        <v>9</v>
      </c>
      <c r="C23" s="446">
        <v>8</v>
      </c>
      <c r="D23" s="446">
        <v>1</v>
      </c>
      <c r="E23" s="439" t="s">
        <v>636</v>
      </c>
      <c r="F23" s="441" t="s">
        <v>73</v>
      </c>
      <c r="G23" s="441" t="s">
        <v>627</v>
      </c>
      <c r="H23" s="448"/>
      <c r="I23" s="450">
        <v>108300</v>
      </c>
      <c r="J23" s="449"/>
    </row>
    <row r="24" ht="15" customHeight="1" spans="1:10">
      <c r="A24" s="445" t="s">
        <v>613</v>
      </c>
      <c r="B24" s="446">
        <v>10</v>
      </c>
      <c r="C24" s="446">
        <v>8</v>
      </c>
      <c r="D24" s="446">
        <v>1</v>
      </c>
      <c r="E24" s="439" t="s">
        <v>636</v>
      </c>
      <c r="F24" s="441" t="s">
        <v>73</v>
      </c>
      <c r="G24" s="441" t="s">
        <v>79</v>
      </c>
      <c r="H24" s="448">
        <v>108300</v>
      </c>
      <c r="I24" s="450"/>
      <c r="J24" s="449"/>
    </row>
    <row r="25" ht="15" customHeight="1" spans="1:10">
      <c r="A25" s="445" t="s">
        <v>613</v>
      </c>
      <c r="B25" s="446">
        <v>10</v>
      </c>
      <c r="C25" s="446">
        <v>8</v>
      </c>
      <c r="D25" s="446">
        <v>1</v>
      </c>
      <c r="E25" s="439" t="s">
        <v>636</v>
      </c>
      <c r="F25" s="441" t="s">
        <v>73</v>
      </c>
      <c r="G25" s="441" t="s">
        <v>627</v>
      </c>
      <c r="H25" s="448"/>
      <c r="I25" s="450">
        <v>108300</v>
      </c>
      <c r="J25" s="449"/>
    </row>
    <row r="26" ht="15" customHeight="1" spans="1:10">
      <c r="A26" s="445" t="s">
        <v>613</v>
      </c>
      <c r="B26" s="446">
        <v>11</v>
      </c>
      <c r="C26" s="446">
        <v>8</v>
      </c>
      <c r="D26" s="446">
        <v>10</v>
      </c>
      <c r="E26" s="439" t="s">
        <v>637</v>
      </c>
      <c r="F26" s="441" t="s">
        <v>214</v>
      </c>
      <c r="G26" s="441" t="s">
        <v>215</v>
      </c>
      <c r="H26" s="448">
        <v>11148</v>
      </c>
      <c r="I26" s="450"/>
      <c r="J26" s="449"/>
    </row>
    <row r="27" ht="15" customHeight="1" spans="1:10">
      <c r="A27" s="445" t="s">
        <v>613</v>
      </c>
      <c r="B27" s="446">
        <v>11</v>
      </c>
      <c r="C27" s="446">
        <v>8</v>
      </c>
      <c r="D27" s="446">
        <v>10</v>
      </c>
      <c r="E27" s="439" t="s">
        <v>637</v>
      </c>
      <c r="F27" s="441" t="s">
        <v>73</v>
      </c>
      <c r="G27" s="441" t="s">
        <v>627</v>
      </c>
      <c r="H27" s="448"/>
      <c r="I27" s="450">
        <v>11148</v>
      </c>
      <c r="J27" s="449"/>
    </row>
    <row r="28" ht="15" customHeight="1" spans="1:10">
      <c r="A28" s="445" t="s">
        <v>613</v>
      </c>
      <c r="B28" s="446">
        <v>12</v>
      </c>
      <c r="C28" s="446">
        <v>6</v>
      </c>
      <c r="D28" s="446">
        <v>5</v>
      </c>
      <c r="E28" s="439" t="s">
        <v>638</v>
      </c>
      <c r="F28" s="441" t="s">
        <v>407</v>
      </c>
      <c r="G28" s="441" t="s">
        <v>97</v>
      </c>
      <c r="H28" s="448">
        <v>5500</v>
      </c>
      <c r="I28" s="450"/>
      <c r="J28" s="449"/>
    </row>
    <row r="29" ht="15" customHeight="1" spans="1:10">
      <c r="A29" s="445" t="s">
        <v>613</v>
      </c>
      <c r="B29" s="446">
        <v>12</v>
      </c>
      <c r="C29" s="446">
        <v>6</v>
      </c>
      <c r="D29" s="446">
        <v>5</v>
      </c>
      <c r="E29" s="439" t="s">
        <v>638</v>
      </c>
      <c r="F29" s="441" t="s">
        <v>73</v>
      </c>
      <c r="G29" s="441" t="s">
        <v>627</v>
      </c>
      <c r="H29" s="448"/>
      <c r="I29" s="450">
        <v>5500</v>
      </c>
      <c r="J29" s="449"/>
    </row>
    <row r="30" ht="15" customHeight="1" spans="1:10">
      <c r="A30" s="445" t="s">
        <v>613</v>
      </c>
      <c r="B30" s="446">
        <v>13</v>
      </c>
      <c r="C30" s="446">
        <v>8</v>
      </c>
      <c r="D30" s="446">
        <v>1</v>
      </c>
      <c r="E30" s="439" t="s">
        <v>639</v>
      </c>
      <c r="F30" s="441" t="s">
        <v>73</v>
      </c>
      <c r="G30" s="441" t="s">
        <v>79</v>
      </c>
      <c r="H30" s="448">
        <v>3120</v>
      </c>
      <c r="I30" s="450"/>
      <c r="J30" s="449"/>
    </row>
    <row r="31" ht="15" customHeight="1" spans="1:10">
      <c r="A31" s="445" t="s">
        <v>613</v>
      </c>
      <c r="B31" s="446">
        <v>13</v>
      </c>
      <c r="C31" s="446">
        <v>8</v>
      </c>
      <c r="D31" s="446">
        <v>1</v>
      </c>
      <c r="E31" s="439" t="s">
        <v>639</v>
      </c>
      <c r="F31" s="441" t="s">
        <v>73</v>
      </c>
      <c r="G31" s="441" t="s">
        <v>627</v>
      </c>
      <c r="H31" s="448"/>
      <c r="I31" s="450">
        <v>3120</v>
      </c>
      <c r="J31" s="449"/>
    </row>
    <row r="32" ht="15" customHeight="1" spans="1:10">
      <c r="A32" s="445" t="s">
        <v>613</v>
      </c>
      <c r="B32" s="446">
        <v>14</v>
      </c>
      <c r="C32" s="446">
        <v>7</v>
      </c>
      <c r="D32" s="446">
        <v>31</v>
      </c>
      <c r="E32" s="439" t="s">
        <v>640</v>
      </c>
      <c r="F32" s="441" t="s">
        <v>214</v>
      </c>
      <c r="G32" s="441" t="s">
        <v>215</v>
      </c>
      <c r="H32" s="448">
        <v>41500</v>
      </c>
      <c r="I32" s="450"/>
      <c r="J32" s="449"/>
    </row>
    <row r="33" ht="15" customHeight="1" spans="1:10">
      <c r="A33" s="445" t="s">
        <v>613</v>
      </c>
      <c r="B33" s="446">
        <v>14</v>
      </c>
      <c r="C33" s="446">
        <v>7</v>
      </c>
      <c r="D33" s="446">
        <v>31</v>
      </c>
      <c r="E33" s="439" t="s">
        <v>640</v>
      </c>
      <c r="F33" s="441" t="s">
        <v>73</v>
      </c>
      <c r="G33" s="441" t="s">
        <v>627</v>
      </c>
      <c r="H33" s="448"/>
      <c r="I33" s="450">
        <v>41500</v>
      </c>
      <c r="J33" s="449"/>
    </row>
    <row r="34" ht="15" customHeight="1" spans="1:10">
      <c r="A34" s="445" t="s">
        <v>613</v>
      </c>
      <c r="B34" s="446">
        <v>15</v>
      </c>
      <c r="C34" s="446">
        <v>8</v>
      </c>
      <c r="D34" s="446">
        <v>15</v>
      </c>
      <c r="E34" s="439" t="s">
        <v>641</v>
      </c>
      <c r="F34" s="441" t="s">
        <v>73</v>
      </c>
      <c r="G34" s="441" t="s">
        <v>76</v>
      </c>
      <c r="H34" s="448">
        <v>114285</v>
      </c>
      <c r="I34" s="450"/>
      <c r="J34" s="449"/>
    </row>
    <row r="35" ht="15" customHeight="1" spans="1:10">
      <c r="A35" s="445" t="s">
        <v>613</v>
      </c>
      <c r="B35" s="446">
        <v>15</v>
      </c>
      <c r="C35" s="446">
        <v>8</v>
      </c>
      <c r="D35" s="446">
        <v>15</v>
      </c>
      <c r="E35" s="439" t="s">
        <v>641</v>
      </c>
      <c r="F35" s="441" t="s">
        <v>73</v>
      </c>
      <c r="G35" s="441" t="s">
        <v>627</v>
      </c>
      <c r="H35" s="448"/>
      <c r="I35" s="450">
        <v>114285</v>
      </c>
      <c r="J35" s="449"/>
    </row>
    <row r="36" ht="15" customHeight="1" spans="1:10">
      <c r="A36" s="445" t="s">
        <v>613</v>
      </c>
      <c r="B36" s="446">
        <v>16</v>
      </c>
      <c r="C36" s="446">
        <v>5</v>
      </c>
      <c r="D36" s="446">
        <v>9</v>
      </c>
      <c r="E36" s="439" t="s">
        <v>642</v>
      </c>
      <c r="F36" s="441" t="s">
        <v>407</v>
      </c>
      <c r="G36" s="441" t="s">
        <v>97</v>
      </c>
      <c r="H36" s="448">
        <v>1000000</v>
      </c>
      <c r="I36" s="450"/>
      <c r="J36" s="449"/>
    </row>
    <row r="37" ht="15" customHeight="1" spans="1:10">
      <c r="A37" s="445" t="s">
        <v>613</v>
      </c>
      <c r="B37" s="446">
        <v>16</v>
      </c>
      <c r="C37" s="446">
        <v>5</v>
      </c>
      <c r="D37" s="446">
        <v>9</v>
      </c>
      <c r="E37" s="439" t="s">
        <v>642</v>
      </c>
      <c r="F37" s="441" t="s">
        <v>73</v>
      </c>
      <c r="G37" s="441" t="s">
        <v>627</v>
      </c>
      <c r="H37" s="448"/>
      <c r="I37" s="450">
        <v>1000000</v>
      </c>
      <c r="J37" s="449"/>
    </row>
    <row r="38" ht="15" customHeight="1" spans="1:10">
      <c r="A38" s="445" t="s">
        <v>613</v>
      </c>
      <c r="B38" s="446">
        <v>17</v>
      </c>
      <c r="C38" s="446">
        <v>5</v>
      </c>
      <c r="D38" s="446">
        <v>10</v>
      </c>
      <c r="E38" s="439" t="s">
        <v>642</v>
      </c>
      <c r="F38" s="441" t="s">
        <v>407</v>
      </c>
      <c r="G38" s="441" t="s">
        <v>97</v>
      </c>
      <c r="H38" s="448">
        <v>1000000</v>
      </c>
      <c r="I38" s="450"/>
      <c r="J38" s="449"/>
    </row>
    <row r="39" ht="15" customHeight="1" spans="1:10">
      <c r="A39" s="445" t="s">
        <v>613</v>
      </c>
      <c r="B39" s="446">
        <v>17</v>
      </c>
      <c r="C39" s="446">
        <v>5</v>
      </c>
      <c r="D39" s="446">
        <v>10</v>
      </c>
      <c r="E39" s="439" t="s">
        <v>642</v>
      </c>
      <c r="F39" s="441" t="s">
        <v>73</v>
      </c>
      <c r="G39" s="441" t="s">
        <v>627</v>
      </c>
      <c r="H39" s="448"/>
      <c r="I39" s="450">
        <v>1000000</v>
      </c>
      <c r="J39" s="449"/>
    </row>
    <row r="40" ht="15" customHeight="1" spans="1:10">
      <c r="A40" s="445" t="s">
        <v>613</v>
      </c>
      <c r="B40" s="446">
        <v>18</v>
      </c>
      <c r="C40" s="446">
        <v>5</v>
      </c>
      <c r="D40" s="446">
        <v>11</v>
      </c>
      <c r="E40" s="439" t="s">
        <v>642</v>
      </c>
      <c r="F40" s="441" t="s">
        <v>407</v>
      </c>
      <c r="G40" s="441" t="s">
        <v>97</v>
      </c>
      <c r="H40" s="448">
        <v>1000000</v>
      </c>
      <c r="I40" s="450"/>
      <c r="J40" s="449"/>
    </row>
    <row r="41" ht="15" customHeight="1" spans="1:10">
      <c r="A41" s="445" t="s">
        <v>613</v>
      </c>
      <c r="B41" s="446">
        <v>18</v>
      </c>
      <c r="C41" s="446">
        <v>5</v>
      </c>
      <c r="D41" s="446">
        <v>11</v>
      </c>
      <c r="E41" s="439" t="s">
        <v>642</v>
      </c>
      <c r="F41" s="441" t="s">
        <v>73</v>
      </c>
      <c r="G41" s="441" t="s">
        <v>627</v>
      </c>
      <c r="H41" s="448"/>
      <c r="I41" s="450">
        <v>1000000</v>
      </c>
      <c r="J41" s="449"/>
    </row>
    <row r="42" ht="15" customHeight="1" spans="1:10">
      <c r="A42" s="445" t="s">
        <v>613</v>
      </c>
      <c r="B42" s="446">
        <v>19</v>
      </c>
      <c r="C42" s="446">
        <v>8</v>
      </c>
      <c r="D42" s="446">
        <v>4</v>
      </c>
      <c r="E42" s="439" t="s">
        <v>643</v>
      </c>
      <c r="F42" s="441" t="s">
        <v>407</v>
      </c>
      <c r="G42" s="441" t="s">
        <v>97</v>
      </c>
      <c r="H42" s="448">
        <v>1500000</v>
      </c>
      <c r="I42" s="450"/>
      <c r="J42" s="449"/>
    </row>
    <row r="43" ht="15" customHeight="1" spans="1:10">
      <c r="A43" s="445" t="s">
        <v>613</v>
      </c>
      <c r="B43" s="446">
        <v>19</v>
      </c>
      <c r="C43" s="446">
        <v>8</v>
      </c>
      <c r="D43" s="446">
        <v>4</v>
      </c>
      <c r="E43" s="439" t="s">
        <v>643</v>
      </c>
      <c r="F43" s="441" t="s">
        <v>73</v>
      </c>
      <c r="G43" s="441" t="s">
        <v>627</v>
      </c>
      <c r="H43" s="448"/>
      <c r="I43" s="450">
        <v>1500000</v>
      </c>
      <c r="J43" s="449"/>
    </row>
    <row r="44" ht="15" customHeight="1" spans="1:10">
      <c r="A44" s="445" t="s">
        <v>613</v>
      </c>
      <c r="B44" s="446">
        <v>20</v>
      </c>
      <c r="C44" s="446">
        <v>8</v>
      </c>
      <c r="D44" s="446">
        <v>10</v>
      </c>
      <c r="E44" s="439" t="s">
        <v>644</v>
      </c>
      <c r="F44" s="441" t="s">
        <v>152</v>
      </c>
      <c r="G44" s="441"/>
      <c r="H44" s="448">
        <v>1000000</v>
      </c>
      <c r="I44" s="450"/>
      <c r="J44" s="449"/>
    </row>
    <row r="45" ht="15" customHeight="1" spans="1:10">
      <c r="A45" s="445" t="s">
        <v>613</v>
      </c>
      <c r="B45" s="446">
        <v>20</v>
      </c>
      <c r="C45" s="446">
        <v>8</v>
      </c>
      <c r="D45" s="446">
        <v>10</v>
      </c>
      <c r="E45" s="439" t="s">
        <v>644</v>
      </c>
      <c r="F45" s="441" t="s">
        <v>73</v>
      </c>
      <c r="G45" s="441" t="s">
        <v>627</v>
      </c>
      <c r="H45" s="448"/>
      <c r="I45" s="450">
        <v>1000000</v>
      </c>
      <c r="J45" s="449"/>
    </row>
    <row r="46" ht="15" customHeight="1" spans="1:10">
      <c r="A46" s="445" t="s">
        <v>613</v>
      </c>
      <c r="B46" s="446">
        <v>21</v>
      </c>
      <c r="C46" s="446">
        <v>8</v>
      </c>
      <c r="D46" s="446">
        <v>6</v>
      </c>
      <c r="E46" s="439" t="s">
        <v>644</v>
      </c>
      <c r="F46" s="441" t="s">
        <v>152</v>
      </c>
      <c r="G46" s="441"/>
      <c r="H46" s="448">
        <v>1000000</v>
      </c>
      <c r="I46" s="450"/>
      <c r="J46" s="449"/>
    </row>
    <row r="47" ht="15" customHeight="1" spans="1:10">
      <c r="A47" s="445" t="s">
        <v>613</v>
      </c>
      <c r="B47" s="446">
        <v>21</v>
      </c>
      <c r="C47" s="446">
        <v>8</v>
      </c>
      <c r="D47" s="446">
        <v>6</v>
      </c>
      <c r="E47" s="439" t="s">
        <v>644</v>
      </c>
      <c r="F47" s="441" t="s">
        <v>73</v>
      </c>
      <c r="G47" s="441" t="s">
        <v>627</v>
      </c>
      <c r="H47" s="448"/>
      <c r="I47" s="450">
        <v>1000000</v>
      </c>
      <c r="J47" s="449"/>
    </row>
    <row r="48" ht="15" customHeight="1" spans="1:10">
      <c r="A48" s="445" t="s">
        <v>613</v>
      </c>
      <c r="B48" s="446">
        <v>22</v>
      </c>
      <c r="C48" s="446">
        <v>8</v>
      </c>
      <c r="D48" s="446">
        <v>12</v>
      </c>
      <c r="E48" s="439" t="s">
        <v>645</v>
      </c>
      <c r="F48" s="441" t="s">
        <v>407</v>
      </c>
      <c r="G48" s="441" t="s">
        <v>391</v>
      </c>
      <c r="H48" s="448">
        <v>49160</v>
      </c>
      <c r="I48" s="450"/>
      <c r="J48" s="449"/>
    </row>
    <row r="49" ht="15" customHeight="1" spans="1:10">
      <c r="A49" s="445" t="s">
        <v>613</v>
      </c>
      <c r="B49" s="446">
        <v>22</v>
      </c>
      <c r="C49" s="446">
        <v>8</v>
      </c>
      <c r="D49" s="446">
        <v>12</v>
      </c>
      <c r="E49" s="439" t="s">
        <v>645</v>
      </c>
      <c r="F49" s="441" t="s">
        <v>73</v>
      </c>
      <c r="G49" s="441" t="s">
        <v>627</v>
      </c>
      <c r="H49" s="448"/>
      <c r="I49" s="450">
        <v>49160</v>
      </c>
      <c r="J49" s="449"/>
    </row>
    <row r="50" ht="15" customHeight="1" spans="1:10">
      <c r="A50" s="445" t="s">
        <v>613</v>
      </c>
      <c r="B50" s="446">
        <v>23</v>
      </c>
      <c r="C50" s="446">
        <v>8</v>
      </c>
      <c r="D50" s="446">
        <v>27</v>
      </c>
      <c r="E50" s="439" t="s">
        <v>646</v>
      </c>
      <c r="F50" s="441" t="s">
        <v>407</v>
      </c>
      <c r="G50" s="441" t="s">
        <v>390</v>
      </c>
      <c r="H50" s="448">
        <v>15820</v>
      </c>
      <c r="I50" s="450"/>
      <c r="J50" s="449"/>
    </row>
    <row r="51" ht="15" customHeight="1" spans="1:10">
      <c r="A51" s="445" t="s">
        <v>613</v>
      </c>
      <c r="B51" s="446">
        <v>23</v>
      </c>
      <c r="C51" s="446">
        <v>8</v>
      </c>
      <c r="D51" s="446">
        <v>27</v>
      </c>
      <c r="E51" s="439" t="s">
        <v>646</v>
      </c>
      <c r="F51" s="441" t="s">
        <v>73</v>
      </c>
      <c r="G51" s="441" t="s">
        <v>627</v>
      </c>
      <c r="H51" s="448"/>
      <c r="I51" s="450">
        <v>15820</v>
      </c>
      <c r="J51" s="449"/>
    </row>
    <row r="52" ht="15" customHeight="1" spans="1:10">
      <c r="A52" s="445" t="s">
        <v>613</v>
      </c>
      <c r="B52" s="446">
        <v>24</v>
      </c>
      <c r="C52" s="446">
        <v>8</v>
      </c>
      <c r="D52" s="446">
        <v>18</v>
      </c>
      <c r="E52" s="439" t="s">
        <v>647</v>
      </c>
      <c r="F52" s="441" t="s">
        <v>73</v>
      </c>
      <c r="G52" s="441" t="s">
        <v>627</v>
      </c>
      <c r="H52" s="448">
        <v>120</v>
      </c>
      <c r="I52" s="450"/>
      <c r="J52" s="449"/>
    </row>
    <row r="53" ht="15" customHeight="1" spans="1:10">
      <c r="A53" s="445" t="s">
        <v>613</v>
      </c>
      <c r="B53" s="446">
        <v>24</v>
      </c>
      <c r="C53" s="446">
        <v>8</v>
      </c>
      <c r="D53" s="446">
        <v>18</v>
      </c>
      <c r="E53" s="439" t="s">
        <v>647</v>
      </c>
      <c r="F53" s="441" t="s">
        <v>73</v>
      </c>
      <c r="G53" s="441" t="s">
        <v>76</v>
      </c>
      <c r="H53" s="448"/>
      <c r="I53" s="450">
        <v>120</v>
      </c>
      <c r="J53" s="449"/>
    </row>
    <row r="54" ht="15" customHeight="1" spans="1:10">
      <c r="A54" s="445" t="s">
        <v>613</v>
      </c>
      <c r="B54" s="446">
        <v>25</v>
      </c>
      <c r="C54" s="446">
        <v>8</v>
      </c>
      <c r="D54" s="446">
        <v>19</v>
      </c>
      <c r="E54" s="439" t="s">
        <v>648</v>
      </c>
      <c r="F54" s="441" t="s">
        <v>407</v>
      </c>
      <c r="G54" s="441" t="s">
        <v>404</v>
      </c>
      <c r="H54" s="448">
        <v>14350</v>
      </c>
      <c r="I54" s="450"/>
      <c r="J54" s="449"/>
    </row>
    <row r="55" ht="15" customHeight="1" spans="1:10">
      <c r="A55" s="445" t="s">
        <v>613</v>
      </c>
      <c r="B55" s="446">
        <v>25</v>
      </c>
      <c r="C55" s="446">
        <v>8</v>
      </c>
      <c r="D55" s="446">
        <v>19</v>
      </c>
      <c r="E55" s="439" t="s">
        <v>648</v>
      </c>
      <c r="F55" s="441" t="s">
        <v>73</v>
      </c>
      <c r="G55" s="441" t="s">
        <v>627</v>
      </c>
      <c r="H55" s="448"/>
      <c r="I55" s="450">
        <v>14350</v>
      </c>
      <c r="J55" s="449"/>
    </row>
    <row r="56" ht="15" customHeight="1" spans="1:10">
      <c r="A56" s="445" t="s">
        <v>613</v>
      </c>
      <c r="B56" s="446">
        <v>26</v>
      </c>
      <c r="C56" s="446">
        <v>8</v>
      </c>
      <c r="D56" s="446">
        <v>19</v>
      </c>
      <c r="E56" s="439" t="s">
        <v>649</v>
      </c>
      <c r="F56" s="441" t="s">
        <v>214</v>
      </c>
      <c r="G56" s="441" t="s">
        <v>215</v>
      </c>
      <c r="H56" s="448">
        <v>1657</v>
      </c>
      <c r="I56" s="450"/>
      <c r="J56" s="449"/>
    </row>
    <row r="57" ht="15" customHeight="1" spans="1:10">
      <c r="A57" s="445" t="s">
        <v>613</v>
      </c>
      <c r="B57" s="446">
        <v>26</v>
      </c>
      <c r="C57" s="446">
        <v>8</v>
      </c>
      <c r="D57" s="446">
        <v>19</v>
      </c>
      <c r="E57" s="439" t="s">
        <v>649</v>
      </c>
      <c r="F57" s="441" t="s">
        <v>73</v>
      </c>
      <c r="G57" s="441" t="s">
        <v>627</v>
      </c>
      <c r="H57" s="448"/>
      <c r="I57" s="450">
        <v>1657</v>
      </c>
      <c r="J57" s="449"/>
    </row>
    <row r="58" ht="15" customHeight="1" spans="1:10">
      <c r="A58" s="445" t="s">
        <v>613</v>
      </c>
      <c r="B58" s="446">
        <v>27</v>
      </c>
      <c r="C58" s="446">
        <v>8</v>
      </c>
      <c r="D58" s="446">
        <v>18</v>
      </c>
      <c r="E58" s="439" t="s">
        <v>650</v>
      </c>
      <c r="F58" s="441" t="s">
        <v>214</v>
      </c>
      <c r="G58" s="441" t="s">
        <v>215</v>
      </c>
      <c r="H58" s="448">
        <v>3333</v>
      </c>
      <c r="I58" s="450"/>
      <c r="J58" s="449"/>
    </row>
    <row r="59" ht="15" customHeight="1" spans="1:10">
      <c r="A59" s="445" t="s">
        <v>613</v>
      </c>
      <c r="B59" s="446">
        <v>27</v>
      </c>
      <c r="C59" s="446">
        <v>8</v>
      </c>
      <c r="D59" s="446">
        <v>18</v>
      </c>
      <c r="E59" s="439" t="s">
        <v>650</v>
      </c>
      <c r="F59" s="441" t="s">
        <v>73</v>
      </c>
      <c r="G59" s="441" t="s">
        <v>627</v>
      </c>
      <c r="H59" s="448"/>
      <c r="I59" s="450">
        <v>3333</v>
      </c>
      <c r="J59" s="449"/>
    </row>
    <row r="60" ht="15" customHeight="1" spans="1:10">
      <c r="A60" s="445" t="s">
        <v>613</v>
      </c>
      <c r="B60" s="446">
        <v>28</v>
      </c>
      <c r="C60" s="446">
        <v>8</v>
      </c>
      <c r="D60" s="446">
        <v>22</v>
      </c>
      <c r="E60" s="439" t="s">
        <v>651</v>
      </c>
      <c r="F60" s="441" t="s">
        <v>407</v>
      </c>
      <c r="G60" s="441" t="s">
        <v>391</v>
      </c>
      <c r="H60" s="448">
        <v>6319</v>
      </c>
      <c r="I60" s="450"/>
      <c r="J60" s="449"/>
    </row>
    <row r="61" ht="15" customHeight="1" spans="1:10">
      <c r="A61" s="445" t="s">
        <v>613</v>
      </c>
      <c r="B61" s="446">
        <v>28</v>
      </c>
      <c r="C61" s="446">
        <v>8</v>
      </c>
      <c r="D61" s="446">
        <v>22</v>
      </c>
      <c r="E61" s="439" t="s">
        <v>651</v>
      </c>
      <c r="F61" s="441" t="s">
        <v>73</v>
      </c>
      <c r="G61" s="441" t="s">
        <v>627</v>
      </c>
      <c r="H61" s="448"/>
      <c r="I61" s="450">
        <v>6319</v>
      </c>
      <c r="J61" s="449"/>
    </row>
    <row r="62" ht="15" customHeight="1" spans="1:10">
      <c r="A62" s="445" t="s">
        <v>613</v>
      </c>
      <c r="B62" s="446">
        <v>29</v>
      </c>
      <c r="C62" s="446">
        <v>8</v>
      </c>
      <c r="D62" s="446">
        <v>19</v>
      </c>
      <c r="E62" s="439" t="s">
        <v>652</v>
      </c>
      <c r="F62" s="441" t="s">
        <v>407</v>
      </c>
      <c r="G62" s="441" t="s">
        <v>391</v>
      </c>
      <c r="H62" s="448">
        <v>1491</v>
      </c>
      <c r="I62" s="450"/>
      <c r="J62" s="449"/>
    </row>
    <row r="63" ht="15" customHeight="1" spans="1:10">
      <c r="A63" s="445" t="s">
        <v>613</v>
      </c>
      <c r="B63" s="446">
        <v>29</v>
      </c>
      <c r="C63" s="446">
        <v>8</v>
      </c>
      <c r="D63" s="446">
        <v>19</v>
      </c>
      <c r="E63" s="439" t="s">
        <v>652</v>
      </c>
      <c r="F63" s="441" t="s">
        <v>73</v>
      </c>
      <c r="G63" s="441" t="s">
        <v>627</v>
      </c>
      <c r="H63" s="448"/>
      <c r="I63" s="450">
        <v>1491</v>
      </c>
      <c r="J63" s="449"/>
    </row>
    <row r="64" ht="15" customHeight="1" spans="1:10">
      <c r="A64" s="445" t="s">
        <v>613</v>
      </c>
      <c r="B64" s="446">
        <v>30</v>
      </c>
      <c r="C64" s="446">
        <v>8</v>
      </c>
      <c r="D64" s="446">
        <v>19</v>
      </c>
      <c r="E64" s="439" t="s">
        <v>653</v>
      </c>
      <c r="F64" s="441" t="s">
        <v>407</v>
      </c>
      <c r="G64" s="441" t="s">
        <v>391</v>
      </c>
      <c r="H64" s="448">
        <v>972</v>
      </c>
      <c r="I64" s="450"/>
      <c r="J64" s="449"/>
    </row>
    <row r="65" ht="15" customHeight="1" spans="1:10">
      <c r="A65" s="445" t="s">
        <v>613</v>
      </c>
      <c r="B65" s="446">
        <v>30</v>
      </c>
      <c r="C65" s="446">
        <v>8</v>
      </c>
      <c r="D65" s="446">
        <v>19</v>
      </c>
      <c r="E65" s="439" t="s">
        <v>653</v>
      </c>
      <c r="F65" s="441" t="s">
        <v>73</v>
      </c>
      <c r="G65" s="441" t="s">
        <v>627</v>
      </c>
      <c r="H65" s="448"/>
      <c r="I65" s="450">
        <v>972</v>
      </c>
      <c r="J65" s="449"/>
    </row>
    <row r="66" ht="15" customHeight="1" spans="1:10">
      <c r="A66" s="445" t="s">
        <v>613</v>
      </c>
      <c r="B66" s="446">
        <v>31</v>
      </c>
      <c r="C66" s="446">
        <v>6</v>
      </c>
      <c r="D66" s="446">
        <v>20</v>
      </c>
      <c r="E66" s="439" t="s">
        <v>654</v>
      </c>
      <c r="F66" s="441" t="s">
        <v>407</v>
      </c>
      <c r="G66" s="441" t="s">
        <v>97</v>
      </c>
      <c r="H66" s="448">
        <v>1400</v>
      </c>
      <c r="I66" s="450"/>
      <c r="J66" s="449"/>
    </row>
    <row r="67" ht="15" customHeight="1" spans="1:10">
      <c r="A67" s="445" t="s">
        <v>613</v>
      </c>
      <c r="B67" s="446">
        <v>31</v>
      </c>
      <c r="C67" s="446">
        <v>6</v>
      </c>
      <c r="D67" s="446">
        <v>20</v>
      </c>
      <c r="E67" s="439" t="s">
        <v>654</v>
      </c>
      <c r="F67" s="441" t="s">
        <v>73</v>
      </c>
      <c r="G67" s="441" t="s">
        <v>627</v>
      </c>
      <c r="H67" s="448"/>
      <c r="I67" s="450">
        <v>1400</v>
      </c>
      <c r="J67" s="449"/>
    </row>
    <row r="68" ht="15" customHeight="1" spans="1:10">
      <c r="A68" s="445" t="s">
        <v>613</v>
      </c>
      <c r="B68" s="446">
        <v>32</v>
      </c>
      <c r="C68" s="446">
        <v>8</v>
      </c>
      <c r="D68" s="446">
        <v>22</v>
      </c>
      <c r="E68" s="439" t="s">
        <v>655</v>
      </c>
      <c r="F68" s="441" t="s">
        <v>407</v>
      </c>
      <c r="G68" s="441" t="s">
        <v>391</v>
      </c>
      <c r="H68" s="448">
        <v>5350</v>
      </c>
      <c r="I68" s="450"/>
      <c r="J68" s="449"/>
    </row>
    <row r="69" ht="15" customHeight="1" spans="1:10">
      <c r="A69" s="445" t="s">
        <v>613</v>
      </c>
      <c r="B69" s="446">
        <v>32</v>
      </c>
      <c r="C69" s="446">
        <v>8</v>
      </c>
      <c r="D69" s="446">
        <v>22</v>
      </c>
      <c r="E69" s="439" t="s">
        <v>655</v>
      </c>
      <c r="F69" s="441" t="s">
        <v>73</v>
      </c>
      <c r="G69" s="441" t="s">
        <v>627</v>
      </c>
      <c r="H69" s="448"/>
      <c r="I69" s="450">
        <v>5350</v>
      </c>
      <c r="J69" s="449"/>
    </row>
    <row r="70" ht="15" customHeight="1" spans="1:10">
      <c r="A70" s="445" t="s">
        <v>613</v>
      </c>
      <c r="B70" s="446">
        <v>33</v>
      </c>
      <c r="C70" s="446">
        <v>8</v>
      </c>
      <c r="D70" s="446">
        <v>24</v>
      </c>
      <c r="E70" s="439" t="s">
        <v>656</v>
      </c>
      <c r="F70" s="441" t="s">
        <v>214</v>
      </c>
      <c r="G70" s="441" t="s">
        <v>215</v>
      </c>
      <c r="H70" s="448">
        <v>30000</v>
      </c>
      <c r="I70" s="450"/>
      <c r="J70" s="449"/>
    </row>
    <row r="71" ht="15" customHeight="1" spans="1:10">
      <c r="A71" s="445" t="s">
        <v>613</v>
      </c>
      <c r="B71" s="446">
        <v>33</v>
      </c>
      <c r="C71" s="446">
        <v>8</v>
      </c>
      <c r="D71" s="446">
        <v>24</v>
      </c>
      <c r="E71" s="439" t="s">
        <v>656</v>
      </c>
      <c r="F71" s="441" t="s">
        <v>73</v>
      </c>
      <c r="G71" s="441" t="s">
        <v>627</v>
      </c>
      <c r="H71" s="448"/>
      <c r="I71" s="450">
        <v>30000</v>
      </c>
      <c r="J71" s="449"/>
    </row>
    <row r="72" ht="15" customHeight="1" spans="1:10">
      <c r="A72" s="445" t="s">
        <v>613</v>
      </c>
      <c r="B72" s="446">
        <v>34</v>
      </c>
      <c r="C72" s="446">
        <v>8</v>
      </c>
      <c r="D72" s="446">
        <v>24</v>
      </c>
      <c r="E72" s="439" t="s">
        <v>657</v>
      </c>
      <c r="F72" s="441" t="s">
        <v>214</v>
      </c>
      <c r="G72" s="441" t="s">
        <v>215</v>
      </c>
      <c r="H72" s="448">
        <v>30000</v>
      </c>
      <c r="I72" s="450"/>
      <c r="J72" s="449"/>
    </row>
    <row r="73" ht="15" customHeight="1" spans="1:10">
      <c r="A73" s="445" t="s">
        <v>613</v>
      </c>
      <c r="B73" s="446">
        <v>34</v>
      </c>
      <c r="C73" s="446">
        <v>8</v>
      </c>
      <c r="D73" s="446">
        <v>24</v>
      </c>
      <c r="E73" s="439" t="s">
        <v>657</v>
      </c>
      <c r="F73" s="441" t="s">
        <v>73</v>
      </c>
      <c r="G73" s="441" t="s">
        <v>627</v>
      </c>
      <c r="H73" s="448"/>
      <c r="I73" s="450">
        <v>30000</v>
      </c>
      <c r="J73" s="449"/>
    </row>
    <row r="74" ht="15" customHeight="1" spans="1:10">
      <c r="A74" s="445" t="s">
        <v>613</v>
      </c>
      <c r="B74" s="446">
        <v>35</v>
      </c>
      <c r="C74" s="446">
        <v>7</v>
      </c>
      <c r="D74" s="446">
        <v>18</v>
      </c>
      <c r="E74" s="439" t="s">
        <v>645</v>
      </c>
      <c r="F74" s="441" t="s">
        <v>407</v>
      </c>
      <c r="G74" s="441" t="s">
        <v>391</v>
      </c>
      <c r="H74" s="448">
        <v>22553</v>
      </c>
      <c r="I74" s="450"/>
      <c r="J74" s="449"/>
    </row>
    <row r="75" ht="15" customHeight="1" spans="1:10">
      <c r="A75" s="445" t="s">
        <v>613</v>
      </c>
      <c r="B75" s="446">
        <v>35</v>
      </c>
      <c r="C75" s="446">
        <v>7</v>
      </c>
      <c r="D75" s="446">
        <v>18</v>
      </c>
      <c r="E75" s="439" t="s">
        <v>645</v>
      </c>
      <c r="F75" s="441" t="s">
        <v>73</v>
      </c>
      <c r="G75" s="441" t="s">
        <v>627</v>
      </c>
      <c r="H75" s="448"/>
      <c r="I75" s="450">
        <v>22553</v>
      </c>
      <c r="J75" s="449"/>
    </row>
    <row r="76" ht="15" customHeight="1" spans="1:10">
      <c r="A76" s="445" t="s">
        <v>613</v>
      </c>
      <c r="B76" s="446">
        <v>36</v>
      </c>
      <c r="C76" s="446">
        <v>8</v>
      </c>
      <c r="D76" s="446">
        <v>24</v>
      </c>
      <c r="E76" s="439" t="s">
        <v>658</v>
      </c>
      <c r="F76" s="441" t="s">
        <v>73</v>
      </c>
      <c r="G76" s="441" t="s">
        <v>627</v>
      </c>
      <c r="H76" s="448">
        <v>14440</v>
      </c>
      <c r="I76" s="450"/>
      <c r="J76" s="449"/>
    </row>
    <row r="77" ht="15" customHeight="1" spans="1:10">
      <c r="A77" s="445" t="s">
        <v>613</v>
      </c>
      <c r="B77" s="446">
        <v>36</v>
      </c>
      <c r="C77" s="446">
        <v>8</v>
      </c>
      <c r="D77" s="446">
        <v>24</v>
      </c>
      <c r="E77" s="439" t="s">
        <v>658</v>
      </c>
      <c r="F77" s="441" t="s">
        <v>115</v>
      </c>
      <c r="G77" s="441"/>
      <c r="H77" s="448"/>
      <c r="I77" s="450">
        <v>14440</v>
      </c>
      <c r="J77" s="449"/>
    </row>
    <row r="78" ht="15" customHeight="1" spans="1:10">
      <c r="A78" s="445" t="s">
        <v>613</v>
      </c>
      <c r="B78" s="446">
        <v>37</v>
      </c>
      <c r="C78" s="446">
        <v>5</v>
      </c>
      <c r="D78" s="446">
        <v>13</v>
      </c>
      <c r="E78" s="439" t="s">
        <v>659</v>
      </c>
      <c r="F78" s="441" t="s">
        <v>407</v>
      </c>
      <c r="G78" s="441" t="s">
        <v>391</v>
      </c>
      <c r="H78" s="448">
        <v>15659</v>
      </c>
      <c r="I78" s="450"/>
      <c r="J78" s="449"/>
    </row>
    <row r="79" ht="15" customHeight="1" spans="1:10">
      <c r="A79" s="445" t="s">
        <v>613</v>
      </c>
      <c r="B79" s="446">
        <v>37</v>
      </c>
      <c r="C79" s="446">
        <v>5</v>
      </c>
      <c r="D79" s="446">
        <v>13</v>
      </c>
      <c r="E79" s="439" t="s">
        <v>659</v>
      </c>
      <c r="F79" s="441" t="s">
        <v>73</v>
      </c>
      <c r="G79" s="441" t="s">
        <v>627</v>
      </c>
      <c r="H79" s="448"/>
      <c r="I79" s="450">
        <v>15659</v>
      </c>
      <c r="J79" s="449"/>
    </row>
    <row r="80" ht="15" customHeight="1" spans="1:10">
      <c r="A80" s="445" t="s">
        <v>613</v>
      </c>
      <c r="B80" s="446">
        <v>38</v>
      </c>
      <c r="C80" s="446">
        <v>8</v>
      </c>
      <c r="D80" s="446">
        <v>27</v>
      </c>
      <c r="E80" s="439" t="s">
        <v>660</v>
      </c>
      <c r="F80" s="441" t="s">
        <v>214</v>
      </c>
      <c r="G80" s="441" t="s">
        <v>215</v>
      </c>
      <c r="H80" s="448">
        <v>7500</v>
      </c>
      <c r="I80" s="450"/>
      <c r="J80" s="449"/>
    </row>
    <row r="81" ht="15" customHeight="1" spans="1:10">
      <c r="A81" s="445" t="s">
        <v>613</v>
      </c>
      <c r="B81" s="446">
        <v>38</v>
      </c>
      <c r="C81" s="446">
        <v>8</v>
      </c>
      <c r="D81" s="446">
        <v>27</v>
      </c>
      <c r="E81" s="439" t="s">
        <v>660</v>
      </c>
      <c r="F81" s="441" t="s">
        <v>73</v>
      </c>
      <c r="G81" s="441" t="s">
        <v>627</v>
      </c>
      <c r="H81" s="448"/>
      <c r="I81" s="450">
        <v>7500</v>
      </c>
      <c r="J81" s="449"/>
    </row>
    <row r="82" ht="15" customHeight="1" spans="1:10">
      <c r="A82" s="445" t="s">
        <v>613</v>
      </c>
      <c r="B82" s="446">
        <v>39</v>
      </c>
      <c r="C82" s="446">
        <v>8</v>
      </c>
      <c r="D82" s="446">
        <v>30</v>
      </c>
      <c r="E82" s="439" t="s">
        <v>661</v>
      </c>
      <c r="F82" s="441" t="s">
        <v>73</v>
      </c>
      <c r="G82" s="441" t="s">
        <v>76</v>
      </c>
      <c r="H82" s="448">
        <v>58139</v>
      </c>
      <c r="I82" s="450"/>
      <c r="J82" s="449"/>
    </row>
    <row r="83" ht="15" customHeight="1" spans="1:10">
      <c r="A83" s="445" t="s">
        <v>613</v>
      </c>
      <c r="B83" s="446">
        <v>39</v>
      </c>
      <c r="C83" s="446">
        <v>8</v>
      </c>
      <c r="D83" s="446">
        <v>30</v>
      </c>
      <c r="E83" s="439" t="s">
        <v>661</v>
      </c>
      <c r="F83" s="441" t="s">
        <v>73</v>
      </c>
      <c r="G83" s="441" t="s">
        <v>627</v>
      </c>
      <c r="H83" s="448"/>
      <c r="I83" s="450">
        <v>58139</v>
      </c>
      <c r="J83" s="449"/>
    </row>
    <row r="84" ht="15" customHeight="1" spans="1:10">
      <c r="A84" s="445" t="s">
        <v>613</v>
      </c>
      <c r="B84" s="446">
        <v>40</v>
      </c>
      <c r="C84" s="446">
        <v>8</v>
      </c>
      <c r="D84" s="446">
        <v>30</v>
      </c>
      <c r="E84" s="439" t="s">
        <v>662</v>
      </c>
      <c r="F84" s="441" t="s">
        <v>73</v>
      </c>
      <c r="G84" s="441" t="s">
        <v>79</v>
      </c>
      <c r="H84" s="448">
        <v>144000</v>
      </c>
      <c r="I84" s="450"/>
      <c r="J84" s="449"/>
    </row>
    <row r="85" ht="15" customHeight="1" spans="1:10">
      <c r="A85" s="445" t="s">
        <v>613</v>
      </c>
      <c r="B85" s="446">
        <v>40</v>
      </c>
      <c r="C85" s="446">
        <v>8</v>
      </c>
      <c r="D85" s="446">
        <v>30</v>
      </c>
      <c r="E85" s="439" t="s">
        <v>662</v>
      </c>
      <c r="F85" s="441" t="s">
        <v>73</v>
      </c>
      <c r="G85" s="441" t="s">
        <v>627</v>
      </c>
      <c r="H85" s="448"/>
      <c r="I85" s="450">
        <v>144000</v>
      </c>
      <c r="J85" s="449"/>
    </row>
    <row r="86" ht="15" customHeight="1" spans="1:10">
      <c r="A86" s="445" t="s">
        <v>613</v>
      </c>
      <c r="B86" s="446">
        <v>41</v>
      </c>
      <c r="C86" s="446">
        <v>9</v>
      </c>
      <c r="D86" s="446">
        <v>1</v>
      </c>
      <c r="E86" s="439" t="s">
        <v>663</v>
      </c>
      <c r="F86" s="441" t="s">
        <v>263</v>
      </c>
      <c r="G86" s="441" t="s">
        <v>664</v>
      </c>
      <c r="H86" s="448">
        <v>100000</v>
      </c>
      <c r="I86" s="450"/>
      <c r="J86" s="449"/>
    </row>
    <row r="87" ht="15" customHeight="1" spans="1:10">
      <c r="A87" s="445" t="s">
        <v>613</v>
      </c>
      <c r="B87" s="446">
        <v>41</v>
      </c>
      <c r="C87" s="446">
        <v>9</v>
      </c>
      <c r="D87" s="446">
        <v>1</v>
      </c>
      <c r="E87" s="439" t="s">
        <v>663</v>
      </c>
      <c r="F87" s="441" t="s">
        <v>73</v>
      </c>
      <c r="G87" s="441" t="s">
        <v>627</v>
      </c>
      <c r="H87" s="448"/>
      <c r="I87" s="450">
        <v>100000</v>
      </c>
      <c r="J87" s="449"/>
    </row>
    <row r="88" ht="15" customHeight="1" spans="1:10">
      <c r="A88" s="445" t="s">
        <v>613</v>
      </c>
      <c r="B88" s="446">
        <v>42</v>
      </c>
      <c r="C88" s="446">
        <v>9</v>
      </c>
      <c r="D88" s="446">
        <v>9</v>
      </c>
      <c r="E88" s="439" t="s">
        <v>665</v>
      </c>
      <c r="F88" s="441" t="s">
        <v>73</v>
      </c>
      <c r="G88" s="441" t="s">
        <v>79</v>
      </c>
      <c r="H88" s="448">
        <v>214500</v>
      </c>
      <c r="I88" s="450"/>
      <c r="J88" s="449"/>
    </row>
    <row r="89" ht="15" customHeight="1" spans="1:10">
      <c r="A89" s="445" t="s">
        <v>613</v>
      </c>
      <c r="B89" s="446">
        <v>42</v>
      </c>
      <c r="C89" s="446">
        <v>9</v>
      </c>
      <c r="D89" s="446">
        <v>9</v>
      </c>
      <c r="E89" s="439" t="s">
        <v>665</v>
      </c>
      <c r="F89" s="441" t="s">
        <v>73</v>
      </c>
      <c r="G89" s="441" t="s">
        <v>627</v>
      </c>
      <c r="H89" s="448"/>
      <c r="I89" s="450">
        <v>214500</v>
      </c>
      <c r="J89" s="449"/>
    </row>
    <row r="90" ht="15" customHeight="1" spans="1:10">
      <c r="A90" s="445" t="s">
        <v>613</v>
      </c>
      <c r="B90" s="446">
        <v>43</v>
      </c>
      <c r="C90" s="446">
        <v>9</v>
      </c>
      <c r="D90" s="446">
        <v>8</v>
      </c>
      <c r="E90" s="439" t="s">
        <v>644</v>
      </c>
      <c r="F90" s="441" t="s">
        <v>152</v>
      </c>
      <c r="G90" s="441"/>
      <c r="H90" s="448">
        <v>500000</v>
      </c>
      <c r="I90" s="450"/>
      <c r="J90" s="449"/>
    </row>
    <row r="91" ht="15" customHeight="1" spans="1:10">
      <c r="A91" s="445" t="s">
        <v>613</v>
      </c>
      <c r="B91" s="446">
        <v>43</v>
      </c>
      <c r="C91" s="446">
        <v>9</v>
      </c>
      <c r="D91" s="446">
        <v>8</v>
      </c>
      <c r="E91" s="439" t="s">
        <v>644</v>
      </c>
      <c r="F91" s="441" t="s">
        <v>73</v>
      </c>
      <c r="G91" s="441" t="s">
        <v>627</v>
      </c>
      <c r="H91" s="448"/>
      <c r="I91" s="450">
        <v>500000</v>
      </c>
      <c r="J91" s="449"/>
    </row>
    <row r="92" ht="15" customHeight="1" spans="1:10">
      <c r="A92" s="445" t="s">
        <v>613</v>
      </c>
      <c r="B92" s="446">
        <v>44</v>
      </c>
      <c r="C92" s="446">
        <v>9</v>
      </c>
      <c r="D92" s="446">
        <v>9</v>
      </c>
      <c r="E92" s="439" t="s">
        <v>666</v>
      </c>
      <c r="F92" s="441" t="s">
        <v>73</v>
      </c>
      <c r="G92" s="441" t="s">
        <v>79</v>
      </c>
      <c r="H92" s="448">
        <v>99322</v>
      </c>
      <c r="I92" s="450"/>
      <c r="J92" s="449"/>
    </row>
    <row r="93" ht="15" customHeight="1" spans="1:10">
      <c r="A93" s="445" t="s">
        <v>613</v>
      </c>
      <c r="B93" s="446">
        <v>44</v>
      </c>
      <c r="C93" s="446">
        <v>9</v>
      </c>
      <c r="D93" s="446">
        <v>9</v>
      </c>
      <c r="E93" s="439" t="s">
        <v>666</v>
      </c>
      <c r="F93" s="441" t="s">
        <v>73</v>
      </c>
      <c r="G93" s="441" t="s">
        <v>627</v>
      </c>
      <c r="H93" s="448"/>
      <c r="I93" s="450">
        <v>99322</v>
      </c>
      <c r="J93" s="449"/>
    </row>
    <row r="94" ht="15" customHeight="1" spans="1:10">
      <c r="A94" s="445" t="s">
        <v>613</v>
      </c>
      <c r="B94" s="446">
        <v>45</v>
      </c>
      <c r="C94" s="446">
        <v>9</v>
      </c>
      <c r="D94" s="446">
        <v>11</v>
      </c>
      <c r="E94" s="439" t="s">
        <v>667</v>
      </c>
      <c r="F94" s="441" t="s">
        <v>214</v>
      </c>
      <c r="G94" s="441" t="s">
        <v>215</v>
      </c>
      <c r="H94" s="448">
        <v>21500</v>
      </c>
      <c r="I94" s="450"/>
      <c r="J94" s="449"/>
    </row>
    <row r="95" ht="15" customHeight="1" spans="1:10">
      <c r="A95" s="445" t="s">
        <v>613</v>
      </c>
      <c r="B95" s="446">
        <v>45</v>
      </c>
      <c r="C95" s="446">
        <v>9</v>
      </c>
      <c r="D95" s="446">
        <v>11</v>
      </c>
      <c r="E95" s="439" t="s">
        <v>667</v>
      </c>
      <c r="F95" s="441" t="s">
        <v>73</v>
      </c>
      <c r="G95" s="441" t="s">
        <v>627</v>
      </c>
      <c r="H95" s="448"/>
      <c r="I95" s="450">
        <v>21500</v>
      </c>
      <c r="J95" s="449"/>
    </row>
    <row r="96" ht="15" customHeight="1" spans="1:10">
      <c r="A96" s="445" t="s">
        <v>613</v>
      </c>
      <c r="B96" s="446">
        <v>46</v>
      </c>
      <c r="C96" s="446">
        <v>9</v>
      </c>
      <c r="D96" s="446">
        <v>11</v>
      </c>
      <c r="E96" s="439" t="s">
        <v>668</v>
      </c>
      <c r="F96" s="441" t="s">
        <v>214</v>
      </c>
      <c r="G96" s="441" t="s">
        <v>215</v>
      </c>
      <c r="H96" s="448">
        <v>9000</v>
      </c>
      <c r="I96" s="450"/>
      <c r="J96" s="449"/>
    </row>
    <row r="97" ht="15" customHeight="1" spans="1:10">
      <c r="A97" s="445" t="s">
        <v>613</v>
      </c>
      <c r="B97" s="446">
        <v>46</v>
      </c>
      <c r="C97" s="446">
        <v>9</v>
      </c>
      <c r="D97" s="446">
        <v>11</v>
      </c>
      <c r="E97" s="439" t="s">
        <v>668</v>
      </c>
      <c r="F97" s="441" t="s">
        <v>73</v>
      </c>
      <c r="G97" s="441" t="s">
        <v>627</v>
      </c>
      <c r="H97" s="448"/>
      <c r="I97" s="450">
        <v>9000</v>
      </c>
      <c r="J97" s="449"/>
    </row>
    <row r="98" ht="15" customHeight="1" spans="1:10">
      <c r="A98" s="445" t="s">
        <v>613</v>
      </c>
      <c r="B98" s="446">
        <v>47</v>
      </c>
      <c r="C98" s="446">
        <v>9</v>
      </c>
      <c r="D98" s="446">
        <v>11</v>
      </c>
      <c r="E98" s="439" t="s">
        <v>669</v>
      </c>
      <c r="F98" s="441" t="s">
        <v>214</v>
      </c>
      <c r="G98" s="441" t="s">
        <v>215</v>
      </c>
      <c r="H98" s="448">
        <v>6000</v>
      </c>
      <c r="I98" s="450"/>
      <c r="J98" s="449"/>
    </row>
    <row r="99" ht="15" customHeight="1" spans="1:10">
      <c r="A99" s="445" t="s">
        <v>613</v>
      </c>
      <c r="B99" s="446">
        <v>47</v>
      </c>
      <c r="C99" s="446">
        <v>9</v>
      </c>
      <c r="D99" s="446">
        <v>11</v>
      </c>
      <c r="E99" s="439" t="s">
        <v>669</v>
      </c>
      <c r="F99" s="441" t="s">
        <v>73</v>
      </c>
      <c r="G99" s="441" t="s">
        <v>627</v>
      </c>
      <c r="H99" s="448"/>
      <c r="I99" s="450">
        <v>6000</v>
      </c>
      <c r="J99" s="449"/>
    </row>
    <row r="100" ht="15" customHeight="1" spans="1:10">
      <c r="A100" s="445" t="s">
        <v>613</v>
      </c>
      <c r="B100" s="446">
        <v>48</v>
      </c>
      <c r="C100" s="446">
        <v>9</v>
      </c>
      <c r="D100" s="446">
        <v>11</v>
      </c>
      <c r="E100" s="439" t="s">
        <v>670</v>
      </c>
      <c r="F100" s="441" t="s">
        <v>214</v>
      </c>
      <c r="G100" s="441" t="s">
        <v>215</v>
      </c>
      <c r="H100" s="448">
        <v>28271</v>
      </c>
      <c r="I100" s="450"/>
      <c r="J100" s="449"/>
    </row>
    <row r="101" ht="15" customHeight="1" spans="1:10">
      <c r="A101" s="445" t="s">
        <v>613</v>
      </c>
      <c r="B101" s="446">
        <v>48</v>
      </c>
      <c r="C101" s="446">
        <v>9</v>
      </c>
      <c r="D101" s="446">
        <v>11</v>
      </c>
      <c r="E101" s="439" t="s">
        <v>670</v>
      </c>
      <c r="F101" s="441" t="s">
        <v>73</v>
      </c>
      <c r="G101" s="441" t="s">
        <v>627</v>
      </c>
      <c r="H101" s="448"/>
      <c r="I101" s="450">
        <v>28271</v>
      </c>
      <c r="J101" s="449"/>
    </row>
    <row r="102" ht="15" customHeight="1" spans="1:10">
      <c r="A102" s="445" t="s">
        <v>613</v>
      </c>
      <c r="B102" s="446">
        <v>49</v>
      </c>
      <c r="C102" s="446">
        <v>9</v>
      </c>
      <c r="D102" s="446">
        <v>11</v>
      </c>
      <c r="E102" s="439" t="s">
        <v>671</v>
      </c>
      <c r="F102" s="441" t="s">
        <v>214</v>
      </c>
      <c r="G102" s="441" t="s">
        <v>215</v>
      </c>
      <c r="H102" s="448">
        <v>27695</v>
      </c>
      <c r="I102" s="450"/>
      <c r="J102" s="449"/>
    </row>
    <row r="103" ht="15" customHeight="1" spans="1:10">
      <c r="A103" s="445" t="s">
        <v>613</v>
      </c>
      <c r="B103" s="446">
        <v>49</v>
      </c>
      <c r="C103" s="446">
        <v>9</v>
      </c>
      <c r="D103" s="446">
        <v>11</v>
      </c>
      <c r="E103" s="439" t="s">
        <v>671</v>
      </c>
      <c r="F103" s="441" t="s">
        <v>73</v>
      </c>
      <c r="G103" s="441" t="s">
        <v>627</v>
      </c>
      <c r="H103" s="448"/>
      <c r="I103" s="450">
        <v>27695</v>
      </c>
      <c r="J103" s="449"/>
    </row>
    <row r="104" ht="15" customHeight="1" spans="1:10">
      <c r="A104" s="445" t="s">
        <v>613</v>
      </c>
      <c r="B104" s="446">
        <v>50</v>
      </c>
      <c r="C104" s="446">
        <v>9</v>
      </c>
      <c r="D104" s="446">
        <v>13</v>
      </c>
      <c r="E104" s="439" t="s">
        <v>644</v>
      </c>
      <c r="F104" s="441" t="s">
        <v>152</v>
      </c>
      <c r="G104" s="441"/>
      <c r="H104" s="448">
        <v>300000</v>
      </c>
      <c r="I104" s="450"/>
      <c r="J104" s="449"/>
    </row>
    <row r="105" ht="15" customHeight="1" spans="1:10">
      <c r="A105" s="445" t="s">
        <v>613</v>
      </c>
      <c r="B105" s="446">
        <v>50</v>
      </c>
      <c r="C105" s="446">
        <v>9</v>
      </c>
      <c r="D105" s="446">
        <v>13</v>
      </c>
      <c r="E105" s="439" t="s">
        <v>644</v>
      </c>
      <c r="F105" s="441" t="s">
        <v>73</v>
      </c>
      <c r="G105" s="441" t="s">
        <v>627</v>
      </c>
      <c r="H105" s="448"/>
      <c r="I105" s="450">
        <v>300000</v>
      </c>
      <c r="J105" s="449"/>
    </row>
    <row r="106" ht="15" customHeight="1" spans="1:10">
      <c r="A106" s="445" t="s">
        <v>613</v>
      </c>
      <c r="B106" s="446">
        <v>51</v>
      </c>
      <c r="C106" s="446">
        <v>9</v>
      </c>
      <c r="D106" s="446">
        <v>15</v>
      </c>
      <c r="E106" s="439" t="s">
        <v>672</v>
      </c>
      <c r="F106" s="441" t="s">
        <v>407</v>
      </c>
      <c r="G106" s="441" t="s">
        <v>391</v>
      </c>
      <c r="H106" s="448">
        <v>5227</v>
      </c>
      <c r="I106" s="450"/>
      <c r="J106" s="449"/>
    </row>
    <row r="107" ht="15" customHeight="1" spans="1:10">
      <c r="A107" s="445" t="s">
        <v>613</v>
      </c>
      <c r="B107" s="446">
        <v>51</v>
      </c>
      <c r="C107" s="446">
        <v>9</v>
      </c>
      <c r="D107" s="446">
        <v>15</v>
      </c>
      <c r="E107" s="439" t="s">
        <v>672</v>
      </c>
      <c r="F107" s="441" t="s">
        <v>73</v>
      </c>
      <c r="G107" s="441" t="s">
        <v>627</v>
      </c>
      <c r="H107" s="448"/>
      <c r="I107" s="450">
        <v>5227</v>
      </c>
      <c r="J107" s="449"/>
    </row>
    <row r="108" ht="15" customHeight="1" spans="1:10">
      <c r="A108" s="445" t="s">
        <v>613</v>
      </c>
      <c r="B108" s="446">
        <v>52</v>
      </c>
      <c r="C108" s="446">
        <v>9</v>
      </c>
      <c r="D108" s="446">
        <v>18</v>
      </c>
      <c r="E108" s="439" t="s">
        <v>673</v>
      </c>
      <c r="F108" s="441" t="s">
        <v>73</v>
      </c>
      <c r="G108" s="441" t="s">
        <v>627</v>
      </c>
      <c r="H108" s="448">
        <v>1000</v>
      </c>
      <c r="I108" s="450"/>
      <c r="J108" s="449"/>
    </row>
    <row r="109" ht="15" customHeight="1" spans="1:10">
      <c r="A109" s="445" t="s">
        <v>613</v>
      </c>
      <c r="B109" s="446">
        <v>52</v>
      </c>
      <c r="C109" s="446">
        <v>9</v>
      </c>
      <c r="D109" s="446">
        <v>18</v>
      </c>
      <c r="E109" s="439" t="s">
        <v>673</v>
      </c>
      <c r="F109" s="441" t="s">
        <v>73</v>
      </c>
      <c r="G109" s="441" t="s">
        <v>76</v>
      </c>
      <c r="H109" s="448"/>
      <c r="I109" s="450">
        <v>1000</v>
      </c>
      <c r="J109" s="449"/>
    </row>
    <row r="110" ht="15" customHeight="1" spans="1:10">
      <c r="A110" s="445" t="s">
        <v>613</v>
      </c>
      <c r="B110" s="446">
        <v>53</v>
      </c>
      <c r="C110" s="446">
        <v>9</v>
      </c>
      <c r="D110" s="446">
        <v>28</v>
      </c>
      <c r="E110" s="439" t="s">
        <v>674</v>
      </c>
      <c r="F110" s="441" t="s">
        <v>407</v>
      </c>
      <c r="G110" s="441" t="s">
        <v>391</v>
      </c>
      <c r="H110" s="448">
        <v>3399</v>
      </c>
      <c r="I110" s="450"/>
      <c r="J110" s="449"/>
    </row>
    <row r="111" ht="15" customHeight="1" spans="1:10">
      <c r="A111" s="445" t="s">
        <v>613</v>
      </c>
      <c r="B111" s="446">
        <v>53</v>
      </c>
      <c r="C111" s="446">
        <v>9</v>
      </c>
      <c r="D111" s="446">
        <v>28</v>
      </c>
      <c r="E111" s="439" t="s">
        <v>674</v>
      </c>
      <c r="F111" s="441" t="s">
        <v>73</v>
      </c>
      <c r="G111" s="441" t="s">
        <v>627</v>
      </c>
      <c r="H111" s="448"/>
      <c r="I111" s="450">
        <v>3399</v>
      </c>
      <c r="J111" s="449"/>
    </row>
    <row r="112" ht="15" customHeight="1" spans="1:10">
      <c r="A112" s="445" t="s">
        <v>613</v>
      </c>
      <c r="B112" s="446">
        <v>54</v>
      </c>
      <c r="C112" s="446">
        <v>10</v>
      </c>
      <c r="D112" s="446">
        <v>5</v>
      </c>
      <c r="E112" s="439" t="s">
        <v>675</v>
      </c>
      <c r="F112" s="441" t="s">
        <v>407</v>
      </c>
      <c r="G112" s="441" t="s">
        <v>391</v>
      </c>
      <c r="H112" s="448">
        <v>2253</v>
      </c>
      <c r="I112" s="450"/>
      <c r="J112" s="449"/>
    </row>
    <row r="113" ht="15" customHeight="1" spans="1:10">
      <c r="A113" s="445" t="s">
        <v>613</v>
      </c>
      <c r="B113" s="446">
        <v>54</v>
      </c>
      <c r="C113" s="446">
        <v>10</v>
      </c>
      <c r="D113" s="446">
        <v>5</v>
      </c>
      <c r="E113" s="439" t="s">
        <v>675</v>
      </c>
      <c r="F113" s="441" t="s">
        <v>73</v>
      </c>
      <c r="G113" s="441" t="s">
        <v>627</v>
      </c>
      <c r="H113" s="448"/>
      <c r="I113" s="450">
        <v>2253</v>
      </c>
      <c r="J113" s="449"/>
    </row>
    <row r="114" ht="15" customHeight="1" spans="1:10">
      <c r="A114" s="445" t="s">
        <v>613</v>
      </c>
      <c r="B114" s="446">
        <v>55</v>
      </c>
      <c r="C114" s="446">
        <v>10</v>
      </c>
      <c r="D114" s="446">
        <v>5</v>
      </c>
      <c r="E114" s="439" t="s">
        <v>676</v>
      </c>
      <c r="F114" s="441" t="s">
        <v>407</v>
      </c>
      <c r="G114" s="441" t="s">
        <v>391</v>
      </c>
      <c r="H114" s="448">
        <v>1590</v>
      </c>
      <c r="I114" s="450"/>
      <c r="J114" s="449"/>
    </row>
    <row r="115" ht="15" customHeight="1" spans="1:10">
      <c r="A115" s="445" t="s">
        <v>613</v>
      </c>
      <c r="B115" s="446">
        <v>55</v>
      </c>
      <c r="C115" s="446">
        <v>10</v>
      </c>
      <c r="D115" s="446">
        <v>5</v>
      </c>
      <c r="E115" s="439" t="s">
        <v>676</v>
      </c>
      <c r="F115" s="441" t="s">
        <v>73</v>
      </c>
      <c r="G115" s="441" t="s">
        <v>627</v>
      </c>
      <c r="H115" s="448"/>
      <c r="I115" s="450">
        <v>1590</v>
      </c>
      <c r="J115" s="449"/>
    </row>
    <row r="116" ht="15" customHeight="1" spans="1:10">
      <c r="A116" s="445" t="s">
        <v>613</v>
      </c>
      <c r="B116" s="446">
        <v>56</v>
      </c>
      <c r="C116" s="446">
        <v>9</v>
      </c>
      <c r="D116" s="446">
        <v>28</v>
      </c>
      <c r="E116" s="439" t="s">
        <v>677</v>
      </c>
      <c r="F116" s="441" t="s">
        <v>73</v>
      </c>
      <c r="G116" s="441" t="s">
        <v>79</v>
      </c>
      <c r="H116" s="448">
        <v>356500</v>
      </c>
      <c r="I116" s="450"/>
      <c r="J116" s="449"/>
    </row>
    <row r="117" ht="15" customHeight="1" spans="1:10">
      <c r="A117" s="445" t="s">
        <v>613</v>
      </c>
      <c r="B117" s="446">
        <v>56</v>
      </c>
      <c r="C117" s="446">
        <v>9</v>
      </c>
      <c r="D117" s="446">
        <v>28</v>
      </c>
      <c r="E117" s="439" t="s">
        <v>677</v>
      </c>
      <c r="F117" s="441" t="s">
        <v>73</v>
      </c>
      <c r="G117" s="441" t="s">
        <v>627</v>
      </c>
      <c r="H117" s="448"/>
      <c r="I117" s="450">
        <v>356500</v>
      </c>
      <c r="J117" s="449"/>
    </row>
    <row r="118" ht="15" customHeight="1" spans="1:10">
      <c r="A118" s="445" t="s">
        <v>613</v>
      </c>
      <c r="B118" s="446">
        <v>57</v>
      </c>
      <c r="C118" s="446">
        <v>9</v>
      </c>
      <c r="D118" s="446">
        <v>30</v>
      </c>
      <c r="E118" s="439" t="s">
        <v>678</v>
      </c>
      <c r="F118" s="441" t="s">
        <v>73</v>
      </c>
      <c r="G118" s="441" t="s">
        <v>79</v>
      </c>
      <c r="H118" s="448">
        <v>142999</v>
      </c>
      <c r="I118" s="450"/>
      <c r="J118" s="449"/>
    </row>
    <row r="119" ht="15" customHeight="1" spans="1:10">
      <c r="A119" s="445" t="s">
        <v>613</v>
      </c>
      <c r="B119" s="446">
        <v>57</v>
      </c>
      <c r="C119" s="446">
        <v>9</v>
      </c>
      <c r="D119" s="446">
        <v>30</v>
      </c>
      <c r="E119" s="439" t="s">
        <v>678</v>
      </c>
      <c r="F119" s="441" t="s">
        <v>73</v>
      </c>
      <c r="G119" s="441" t="s">
        <v>627</v>
      </c>
      <c r="H119" s="448"/>
      <c r="I119" s="450">
        <v>142999</v>
      </c>
      <c r="J119" s="449"/>
    </row>
    <row r="120" ht="15" customHeight="1" spans="1:10">
      <c r="A120" s="445" t="s">
        <v>613</v>
      </c>
      <c r="B120" s="446">
        <v>58</v>
      </c>
      <c r="C120" s="446">
        <v>10</v>
      </c>
      <c r="D120" s="446">
        <v>3</v>
      </c>
      <c r="E120" s="439" t="s">
        <v>679</v>
      </c>
      <c r="F120" s="441" t="s">
        <v>214</v>
      </c>
      <c r="G120" s="441" t="s">
        <v>215</v>
      </c>
      <c r="H120" s="448">
        <v>3000</v>
      </c>
      <c r="I120" s="450"/>
      <c r="J120" s="449"/>
    </row>
    <row r="121" ht="15" customHeight="1" spans="1:10">
      <c r="A121" s="445" t="s">
        <v>613</v>
      </c>
      <c r="B121" s="446">
        <v>58</v>
      </c>
      <c r="C121" s="446">
        <v>10</v>
      </c>
      <c r="D121" s="446">
        <v>3</v>
      </c>
      <c r="E121" s="439" t="s">
        <v>679</v>
      </c>
      <c r="F121" s="441" t="s">
        <v>73</v>
      </c>
      <c r="G121" s="441" t="s">
        <v>627</v>
      </c>
      <c r="H121" s="448"/>
      <c r="I121" s="450">
        <v>3000</v>
      </c>
      <c r="J121" s="449"/>
    </row>
    <row r="122" ht="15" customHeight="1" spans="1:10">
      <c r="A122" s="445" t="s">
        <v>613</v>
      </c>
      <c r="B122" s="446">
        <v>59</v>
      </c>
      <c r="C122" s="446">
        <v>10</v>
      </c>
      <c r="D122" s="446">
        <v>6</v>
      </c>
      <c r="E122" s="439" t="s">
        <v>680</v>
      </c>
      <c r="F122" s="441" t="s">
        <v>407</v>
      </c>
      <c r="G122" s="441" t="s">
        <v>97</v>
      </c>
      <c r="H122" s="448">
        <v>260</v>
      </c>
      <c r="I122" s="450"/>
      <c r="J122" s="449"/>
    </row>
    <row r="123" ht="15" customHeight="1" spans="1:10">
      <c r="A123" s="445" t="s">
        <v>613</v>
      </c>
      <c r="B123" s="446">
        <v>59</v>
      </c>
      <c r="C123" s="446">
        <v>10</v>
      </c>
      <c r="D123" s="446">
        <v>6</v>
      </c>
      <c r="E123" s="439" t="s">
        <v>680</v>
      </c>
      <c r="F123" s="441" t="s">
        <v>73</v>
      </c>
      <c r="G123" s="441" t="s">
        <v>627</v>
      </c>
      <c r="H123" s="448"/>
      <c r="I123" s="450">
        <v>260</v>
      </c>
      <c r="J123" s="449"/>
    </row>
    <row r="124" ht="15" customHeight="1" spans="1:10">
      <c r="A124" s="445" t="s">
        <v>613</v>
      </c>
      <c r="B124" s="446">
        <v>60</v>
      </c>
      <c r="C124" s="446">
        <v>10</v>
      </c>
      <c r="D124" s="446">
        <v>10</v>
      </c>
      <c r="E124" s="439" t="s">
        <v>681</v>
      </c>
      <c r="F124" s="441" t="s">
        <v>73</v>
      </c>
      <c r="G124" s="441" t="s">
        <v>79</v>
      </c>
      <c r="H124" s="448">
        <v>214200</v>
      </c>
      <c r="I124" s="450"/>
      <c r="J124" s="449"/>
    </row>
    <row r="125" ht="15" customHeight="1" spans="1:10">
      <c r="A125" s="445" t="s">
        <v>613</v>
      </c>
      <c r="B125" s="446">
        <v>60</v>
      </c>
      <c r="C125" s="446">
        <v>10</v>
      </c>
      <c r="D125" s="446">
        <v>10</v>
      </c>
      <c r="E125" s="439" t="s">
        <v>681</v>
      </c>
      <c r="F125" s="441" t="s">
        <v>73</v>
      </c>
      <c r="G125" s="441" t="s">
        <v>627</v>
      </c>
      <c r="H125" s="448"/>
      <c r="I125" s="450">
        <v>214200</v>
      </c>
      <c r="J125" s="449"/>
    </row>
    <row r="126" ht="15" customHeight="1" spans="1:10">
      <c r="A126" s="445" t="s">
        <v>613</v>
      </c>
      <c r="B126" s="446">
        <v>61</v>
      </c>
      <c r="C126" s="446">
        <v>10</v>
      </c>
      <c r="D126" s="446">
        <v>11</v>
      </c>
      <c r="E126" s="439" t="s">
        <v>682</v>
      </c>
      <c r="F126" s="441" t="s">
        <v>407</v>
      </c>
      <c r="G126" s="441" t="s">
        <v>391</v>
      </c>
      <c r="H126" s="448">
        <v>6709</v>
      </c>
      <c r="I126" s="450"/>
      <c r="J126" s="449"/>
    </row>
    <row r="127" ht="15" customHeight="1" spans="1:10">
      <c r="A127" s="445" t="s">
        <v>613</v>
      </c>
      <c r="B127" s="446">
        <v>61</v>
      </c>
      <c r="C127" s="446">
        <v>10</v>
      </c>
      <c r="D127" s="446">
        <v>11</v>
      </c>
      <c r="E127" s="439" t="s">
        <v>682</v>
      </c>
      <c r="F127" s="441" t="s">
        <v>73</v>
      </c>
      <c r="G127" s="441" t="s">
        <v>627</v>
      </c>
      <c r="H127" s="448"/>
      <c r="I127" s="450">
        <v>6709</v>
      </c>
      <c r="J127" s="449"/>
    </row>
    <row r="128" ht="15" customHeight="1" spans="1:10">
      <c r="A128" s="445" t="s">
        <v>613</v>
      </c>
      <c r="B128" s="446">
        <v>62</v>
      </c>
      <c r="C128" s="446">
        <v>10</v>
      </c>
      <c r="D128" s="446">
        <v>14</v>
      </c>
      <c r="E128" s="439" t="s">
        <v>683</v>
      </c>
      <c r="F128" s="441" t="s">
        <v>73</v>
      </c>
      <c r="G128" s="441" t="s">
        <v>79</v>
      </c>
      <c r="H128" s="448">
        <v>143000</v>
      </c>
      <c r="I128" s="450"/>
      <c r="J128" s="449"/>
    </row>
    <row r="129" ht="15" customHeight="1" spans="1:10">
      <c r="A129" s="445" t="s">
        <v>613</v>
      </c>
      <c r="B129" s="446">
        <v>62</v>
      </c>
      <c r="C129" s="446">
        <v>10</v>
      </c>
      <c r="D129" s="446">
        <v>14</v>
      </c>
      <c r="E129" s="439" t="s">
        <v>683</v>
      </c>
      <c r="F129" s="441" t="s">
        <v>73</v>
      </c>
      <c r="G129" s="441" t="s">
        <v>627</v>
      </c>
      <c r="H129" s="448"/>
      <c r="I129" s="450">
        <v>143000</v>
      </c>
      <c r="J129" s="449"/>
    </row>
    <row r="130" ht="15" customHeight="1" spans="1:10">
      <c r="A130" s="445" t="s">
        <v>613</v>
      </c>
      <c r="B130" s="446">
        <v>63</v>
      </c>
      <c r="C130" s="446">
        <v>10</v>
      </c>
      <c r="D130" s="446">
        <v>16</v>
      </c>
      <c r="E130" s="439" t="s">
        <v>684</v>
      </c>
      <c r="F130" s="441" t="s">
        <v>214</v>
      </c>
      <c r="G130" s="441" t="s">
        <v>215</v>
      </c>
      <c r="H130" s="448">
        <v>3920</v>
      </c>
      <c r="I130" s="450"/>
      <c r="J130" s="449"/>
    </row>
    <row r="131" ht="15" customHeight="1" spans="1:10">
      <c r="A131" s="445" t="s">
        <v>613</v>
      </c>
      <c r="B131" s="446">
        <v>63</v>
      </c>
      <c r="C131" s="446">
        <v>10</v>
      </c>
      <c r="D131" s="446">
        <v>16</v>
      </c>
      <c r="E131" s="439" t="s">
        <v>684</v>
      </c>
      <c r="F131" s="441" t="s">
        <v>73</v>
      </c>
      <c r="G131" s="441" t="s">
        <v>627</v>
      </c>
      <c r="H131" s="448"/>
      <c r="I131" s="450">
        <v>3920</v>
      </c>
      <c r="J131" s="449"/>
    </row>
    <row r="132" ht="15" customHeight="1" spans="1:10">
      <c r="A132" s="445" t="s">
        <v>613</v>
      </c>
      <c r="B132" s="446">
        <v>64</v>
      </c>
      <c r="C132" s="446">
        <v>10</v>
      </c>
      <c r="D132" s="446">
        <v>18</v>
      </c>
      <c r="E132" s="439" t="s">
        <v>685</v>
      </c>
      <c r="F132" s="441" t="s">
        <v>73</v>
      </c>
      <c r="G132" s="441" t="s">
        <v>79</v>
      </c>
      <c r="H132" s="448">
        <v>357000</v>
      </c>
      <c r="I132" s="450"/>
      <c r="J132" s="449"/>
    </row>
    <row r="133" ht="15" customHeight="1" spans="1:10">
      <c r="A133" s="445" t="s">
        <v>613</v>
      </c>
      <c r="B133" s="446">
        <v>64</v>
      </c>
      <c r="C133" s="446">
        <v>10</v>
      </c>
      <c r="D133" s="446">
        <v>18</v>
      </c>
      <c r="E133" s="439" t="s">
        <v>685</v>
      </c>
      <c r="F133" s="441" t="s">
        <v>73</v>
      </c>
      <c r="G133" s="441" t="s">
        <v>627</v>
      </c>
      <c r="H133" s="448"/>
      <c r="I133" s="450">
        <v>357000</v>
      </c>
      <c r="J133" s="449"/>
    </row>
    <row r="134" ht="15" customHeight="1" spans="1:10">
      <c r="A134" s="445" t="s">
        <v>613</v>
      </c>
      <c r="B134" s="446">
        <v>65</v>
      </c>
      <c r="C134" s="446">
        <v>10</v>
      </c>
      <c r="D134" s="446">
        <v>20</v>
      </c>
      <c r="E134" s="439" t="s">
        <v>686</v>
      </c>
      <c r="F134" s="441" t="s">
        <v>214</v>
      </c>
      <c r="G134" s="441" t="s">
        <v>215</v>
      </c>
      <c r="H134" s="448">
        <v>2148</v>
      </c>
      <c r="I134" s="450"/>
      <c r="J134" s="449"/>
    </row>
    <row r="135" ht="15" customHeight="1" spans="1:10">
      <c r="A135" s="445" t="s">
        <v>613</v>
      </c>
      <c r="B135" s="446">
        <v>65</v>
      </c>
      <c r="C135" s="446">
        <v>10</v>
      </c>
      <c r="D135" s="446">
        <v>20</v>
      </c>
      <c r="E135" s="439" t="s">
        <v>686</v>
      </c>
      <c r="F135" s="441" t="s">
        <v>73</v>
      </c>
      <c r="G135" s="441" t="s">
        <v>627</v>
      </c>
      <c r="H135" s="448"/>
      <c r="I135" s="450">
        <v>2148</v>
      </c>
      <c r="J135" s="449"/>
    </row>
    <row r="136" ht="15" customHeight="1" spans="1:10">
      <c r="A136" s="445" t="s">
        <v>613</v>
      </c>
      <c r="B136" s="446">
        <v>66</v>
      </c>
      <c r="C136" s="446">
        <v>10</v>
      </c>
      <c r="D136" s="446">
        <v>23</v>
      </c>
      <c r="E136" s="439" t="s">
        <v>687</v>
      </c>
      <c r="F136" s="441" t="s">
        <v>73</v>
      </c>
      <c r="G136" s="441" t="s">
        <v>627</v>
      </c>
      <c r="H136" s="448">
        <v>500</v>
      </c>
      <c r="I136" s="450"/>
      <c r="J136" s="449"/>
    </row>
    <row r="137" ht="15" customHeight="1" spans="1:10">
      <c r="A137" s="445" t="s">
        <v>613</v>
      </c>
      <c r="B137" s="446">
        <v>66</v>
      </c>
      <c r="C137" s="446">
        <v>10</v>
      </c>
      <c r="D137" s="446">
        <v>23</v>
      </c>
      <c r="E137" s="451" t="s">
        <v>687</v>
      </c>
      <c r="F137" s="441" t="s">
        <v>73</v>
      </c>
      <c r="G137" s="441" t="s">
        <v>76</v>
      </c>
      <c r="H137" s="448"/>
      <c r="I137" s="450">
        <v>500</v>
      </c>
      <c r="J137" s="449"/>
    </row>
    <row r="138" ht="15" customHeight="1" spans="1:10">
      <c r="A138" s="445" t="s">
        <v>613</v>
      </c>
      <c r="B138" s="446">
        <v>67</v>
      </c>
      <c r="C138" s="446">
        <v>10</v>
      </c>
      <c r="D138" s="446">
        <v>23</v>
      </c>
      <c r="E138" s="439" t="s">
        <v>688</v>
      </c>
      <c r="F138" s="441" t="s">
        <v>407</v>
      </c>
      <c r="G138" s="441" t="s">
        <v>97</v>
      </c>
      <c r="H138" s="448">
        <v>830</v>
      </c>
      <c r="I138" s="450"/>
      <c r="J138" s="449"/>
    </row>
    <row r="139" ht="15" customHeight="1" spans="1:10">
      <c r="A139" s="445" t="s">
        <v>613</v>
      </c>
      <c r="B139" s="446">
        <v>67</v>
      </c>
      <c r="C139" s="446">
        <v>10</v>
      </c>
      <c r="D139" s="446">
        <v>23</v>
      </c>
      <c r="E139" s="439" t="s">
        <v>688</v>
      </c>
      <c r="F139" s="441" t="s">
        <v>73</v>
      </c>
      <c r="G139" s="441" t="s">
        <v>627</v>
      </c>
      <c r="H139" s="448"/>
      <c r="I139" s="450">
        <v>830</v>
      </c>
      <c r="J139" s="449"/>
    </row>
    <row r="140" ht="15" customHeight="1" spans="1:10">
      <c r="A140" s="445" t="s">
        <v>613</v>
      </c>
      <c r="B140" s="446">
        <v>68</v>
      </c>
      <c r="C140" s="446">
        <v>10</v>
      </c>
      <c r="D140" s="446">
        <v>26</v>
      </c>
      <c r="E140" s="439" t="s">
        <v>689</v>
      </c>
      <c r="F140" s="441" t="s">
        <v>214</v>
      </c>
      <c r="G140" s="441" t="s">
        <v>215</v>
      </c>
      <c r="H140" s="448">
        <v>6000</v>
      </c>
      <c r="I140" s="450"/>
      <c r="J140" s="449"/>
    </row>
    <row r="141" ht="15" customHeight="1" spans="1:10">
      <c r="A141" s="445" t="s">
        <v>613</v>
      </c>
      <c r="B141" s="446">
        <v>68</v>
      </c>
      <c r="C141" s="446">
        <v>10</v>
      </c>
      <c r="D141" s="446">
        <v>26</v>
      </c>
      <c r="E141" s="439" t="s">
        <v>689</v>
      </c>
      <c r="F141" s="441" t="s">
        <v>73</v>
      </c>
      <c r="G141" s="441" t="s">
        <v>627</v>
      </c>
      <c r="H141" s="448"/>
      <c r="I141" s="450">
        <v>6000</v>
      </c>
      <c r="J141" s="449"/>
    </row>
    <row r="142" ht="15" customHeight="1" spans="1:10">
      <c r="A142" s="445" t="s">
        <v>613</v>
      </c>
      <c r="B142" s="446">
        <v>69</v>
      </c>
      <c r="C142" s="446">
        <v>10</v>
      </c>
      <c r="D142" s="446">
        <v>26</v>
      </c>
      <c r="E142" s="439" t="s">
        <v>690</v>
      </c>
      <c r="F142" s="441" t="s">
        <v>407</v>
      </c>
      <c r="G142" s="441" t="s">
        <v>97</v>
      </c>
      <c r="H142" s="448">
        <v>10000</v>
      </c>
      <c r="I142" s="450"/>
      <c r="J142" s="449"/>
    </row>
    <row r="143" ht="15" customHeight="1" spans="1:10">
      <c r="A143" s="445" t="s">
        <v>613</v>
      </c>
      <c r="B143" s="446">
        <v>69</v>
      </c>
      <c r="C143" s="446">
        <v>10</v>
      </c>
      <c r="D143" s="446">
        <v>26</v>
      </c>
      <c r="E143" s="439" t="s">
        <v>690</v>
      </c>
      <c r="F143" s="441" t="s">
        <v>73</v>
      </c>
      <c r="G143" s="441" t="s">
        <v>627</v>
      </c>
      <c r="H143" s="448"/>
      <c r="I143" s="450">
        <v>10000</v>
      </c>
      <c r="J143" s="449"/>
    </row>
    <row r="144" ht="15" customHeight="1" spans="1:10">
      <c r="A144" s="445" t="s">
        <v>613</v>
      </c>
      <c r="B144" s="446">
        <v>70</v>
      </c>
      <c r="C144" s="446">
        <v>10</v>
      </c>
      <c r="D144" s="446">
        <v>30</v>
      </c>
      <c r="E144" s="439" t="s">
        <v>691</v>
      </c>
      <c r="F144" s="441" t="s">
        <v>73</v>
      </c>
      <c r="G144" s="441" t="s">
        <v>79</v>
      </c>
      <c r="H144" s="448">
        <v>142400</v>
      </c>
      <c r="I144" s="450"/>
      <c r="J144" s="449"/>
    </row>
    <row r="145" ht="15" customHeight="1" spans="1:10">
      <c r="A145" s="445" t="s">
        <v>613</v>
      </c>
      <c r="B145" s="446">
        <v>70</v>
      </c>
      <c r="C145" s="446">
        <v>10</v>
      </c>
      <c r="D145" s="446">
        <v>30</v>
      </c>
      <c r="E145" s="439" t="s">
        <v>691</v>
      </c>
      <c r="F145" s="441" t="s">
        <v>73</v>
      </c>
      <c r="G145" s="441" t="s">
        <v>627</v>
      </c>
      <c r="H145" s="448"/>
      <c r="I145" s="450">
        <v>142400</v>
      </c>
      <c r="J145" s="449"/>
    </row>
    <row r="146" ht="15" customHeight="1" spans="1:10">
      <c r="A146" s="445" t="s">
        <v>613</v>
      </c>
      <c r="B146" s="446">
        <v>71</v>
      </c>
      <c r="C146" s="446">
        <v>11</v>
      </c>
      <c r="D146" s="446">
        <v>4</v>
      </c>
      <c r="E146" s="439" t="s">
        <v>692</v>
      </c>
      <c r="F146" s="441" t="s">
        <v>214</v>
      </c>
      <c r="G146" s="441" t="s">
        <v>215</v>
      </c>
      <c r="H146" s="448">
        <v>6000</v>
      </c>
      <c r="I146" s="450"/>
      <c r="J146" s="449"/>
    </row>
    <row r="147" ht="15" customHeight="1" spans="1:10">
      <c r="A147" s="445" t="s">
        <v>613</v>
      </c>
      <c r="B147" s="446">
        <v>71</v>
      </c>
      <c r="C147" s="446">
        <v>11</v>
      </c>
      <c r="D147" s="446">
        <v>4</v>
      </c>
      <c r="E147" s="439" t="s">
        <v>692</v>
      </c>
      <c r="F147" s="441" t="s">
        <v>73</v>
      </c>
      <c r="G147" s="441" t="s">
        <v>627</v>
      </c>
      <c r="H147" s="448"/>
      <c r="I147" s="450">
        <v>6000</v>
      </c>
      <c r="J147" s="449"/>
    </row>
    <row r="148" ht="15" customHeight="1" spans="1:10">
      <c r="A148" s="445" t="s">
        <v>613</v>
      </c>
      <c r="B148" s="446">
        <v>72</v>
      </c>
      <c r="C148" s="446">
        <v>11</v>
      </c>
      <c r="D148" s="446">
        <v>4</v>
      </c>
      <c r="E148" s="439" t="s">
        <v>693</v>
      </c>
      <c r="F148" s="441" t="s">
        <v>214</v>
      </c>
      <c r="G148" s="441" t="s">
        <v>215</v>
      </c>
      <c r="H148" s="448">
        <v>27695</v>
      </c>
      <c r="I148" s="450"/>
      <c r="J148" s="449"/>
    </row>
    <row r="149" ht="15" customHeight="1" spans="1:10">
      <c r="A149" s="445" t="s">
        <v>613</v>
      </c>
      <c r="B149" s="446">
        <v>72</v>
      </c>
      <c r="C149" s="446">
        <v>11</v>
      </c>
      <c r="D149" s="446">
        <v>4</v>
      </c>
      <c r="E149" s="439" t="s">
        <v>693</v>
      </c>
      <c r="F149" s="441" t="s">
        <v>73</v>
      </c>
      <c r="G149" s="441" t="s">
        <v>627</v>
      </c>
      <c r="H149" s="448"/>
      <c r="I149" s="450">
        <v>27695</v>
      </c>
      <c r="J149" s="449"/>
    </row>
    <row r="150" ht="15" customHeight="1" spans="1:10">
      <c r="A150" s="445" t="s">
        <v>613</v>
      </c>
      <c r="B150" s="446">
        <v>73</v>
      </c>
      <c r="C150" s="446">
        <v>11</v>
      </c>
      <c r="D150" s="446">
        <v>4</v>
      </c>
      <c r="E150" s="439" t="s">
        <v>694</v>
      </c>
      <c r="F150" s="441" t="s">
        <v>214</v>
      </c>
      <c r="G150" s="441" t="s">
        <v>215</v>
      </c>
      <c r="H150" s="448">
        <v>28271</v>
      </c>
      <c r="I150" s="450"/>
      <c r="J150" s="449"/>
    </row>
    <row r="151" ht="15" customHeight="1" spans="1:10">
      <c r="A151" s="445" t="s">
        <v>613</v>
      </c>
      <c r="B151" s="446">
        <v>73</v>
      </c>
      <c r="C151" s="446">
        <v>11</v>
      </c>
      <c r="D151" s="446">
        <v>4</v>
      </c>
      <c r="E151" s="439" t="s">
        <v>694</v>
      </c>
      <c r="F151" s="441" t="s">
        <v>73</v>
      </c>
      <c r="G151" s="441" t="s">
        <v>627</v>
      </c>
      <c r="H151" s="448"/>
      <c r="I151" s="450">
        <v>28271</v>
      </c>
      <c r="J151" s="449"/>
    </row>
    <row r="152" ht="15" customHeight="1" spans="1:10">
      <c r="A152" s="445" t="s">
        <v>613</v>
      </c>
      <c r="B152" s="446">
        <v>74</v>
      </c>
      <c r="C152" s="446">
        <v>11</v>
      </c>
      <c r="D152" s="446">
        <v>4</v>
      </c>
      <c r="E152" s="439" t="s">
        <v>695</v>
      </c>
      <c r="F152" s="441" t="s">
        <v>407</v>
      </c>
      <c r="G152" s="441" t="s">
        <v>391</v>
      </c>
      <c r="H152" s="448">
        <v>400</v>
      </c>
      <c r="I152" s="450"/>
      <c r="J152" s="449"/>
    </row>
    <row r="153" ht="15" customHeight="1" spans="1:10">
      <c r="A153" s="445" t="s">
        <v>613</v>
      </c>
      <c r="B153" s="446">
        <v>74</v>
      </c>
      <c r="C153" s="446">
        <v>11</v>
      </c>
      <c r="D153" s="446">
        <v>4</v>
      </c>
      <c r="E153" s="439" t="s">
        <v>695</v>
      </c>
      <c r="F153" s="441" t="s">
        <v>73</v>
      </c>
      <c r="G153" s="441" t="s">
        <v>627</v>
      </c>
      <c r="H153" s="448"/>
      <c r="I153" s="450">
        <v>400</v>
      </c>
      <c r="J153" s="449"/>
    </row>
    <row r="154" ht="15" customHeight="1" spans="1:10">
      <c r="A154" s="445" t="s">
        <v>613</v>
      </c>
      <c r="B154" s="446">
        <v>75</v>
      </c>
      <c r="C154" s="446">
        <v>11</v>
      </c>
      <c r="D154" s="446">
        <v>4</v>
      </c>
      <c r="E154" s="439" t="s">
        <v>696</v>
      </c>
      <c r="F154" s="441" t="s">
        <v>214</v>
      </c>
      <c r="G154" s="441" t="s">
        <v>215</v>
      </c>
      <c r="H154" s="448">
        <v>6000</v>
      </c>
      <c r="I154" s="450"/>
      <c r="J154" s="449"/>
    </row>
    <row r="155" ht="15" customHeight="1" spans="1:10">
      <c r="A155" s="445" t="s">
        <v>613</v>
      </c>
      <c r="B155" s="446">
        <v>75</v>
      </c>
      <c r="C155" s="446">
        <v>11</v>
      </c>
      <c r="D155" s="446">
        <v>4</v>
      </c>
      <c r="E155" s="439" t="s">
        <v>696</v>
      </c>
      <c r="F155" s="441" t="s">
        <v>73</v>
      </c>
      <c r="G155" s="441" t="s">
        <v>627</v>
      </c>
      <c r="H155" s="448"/>
      <c r="I155" s="450">
        <v>6000</v>
      </c>
      <c r="J155" s="449"/>
    </row>
    <row r="156" ht="15" customHeight="1" spans="1:10">
      <c r="A156" s="445" t="s">
        <v>613</v>
      </c>
      <c r="B156" s="446">
        <v>76</v>
      </c>
      <c r="C156" s="446">
        <v>11</v>
      </c>
      <c r="D156" s="446">
        <v>4</v>
      </c>
      <c r="E156" s="439" t="s">
        <v>697</v>
      </c>
      <c r="F156" s="441" t="s">
        <v>214</v>
      </c>
      <c r="G156" s="441" t="s">
        <v>215</v>
      </c>
      <c r="H156" s="448">
        <v>21600</v>
      </c>
      <c r="I156" s="450"/>
      <c r="J156" s="449"/>
    </row>
    <row r="157" ht="15" customHeight="1" spans="1:10">
      <c r="A157" s="445" t="s">
        <v>613</v>
      </c>
      <c r="B157" s="446">
        <v>76</v>
      </c>
      <c r="C157" s="446">
        <v>11</v>
      </c>
      <c r="D157" s="446">
        <v>4</v>
      </c>
      <c r="E157" s="439" t="s">
        <v>697</v>
      </c>
      <c r="F157" s="441" t="s">
        <v>73</v>
      </c>
      <c r="G157" s="441" t="s">
        <v>627</v>
      </c>
      <c r="H157" s="448"/>
      <c r="I157" s="450">
        <v>21600</v>
      </c>
      <c r="J157" s="449"/>
    </row>
    <row r="158" ht="15" customHeight="1" spans="1:10">
      <c r="A158" s="445" t="s">
        <v>613</v>
      </c>
      <c r="B158" s="446">
        <v>77</v>
      </c>
      <c r="C158" s="446">
        <v>11</v>
      </c>
      <c r="D158" s="446">
        <v>4</v>
      </c>
      <c r="E158" s="439" t="s">
        <v>698</v>
      </c>
      <c r="F158" s="441" t="s">
        <v>407</v>
      </c>
      <c r="G158" s="441" t="s">
        <v>97</v>
      </c>
      <c r="H158" s="448">
        <v>3400</v>
      </c>
      <c r="I158" s="450"/>
      <c r="J158" s="449"/>
    </row>
    <row r="159" ht="15" customHeight="1" spans="1:10">
      <c r="A159" s="445" t="s">
        <v>613</v>
      </c>
      <c r="B159" s="446">
        <v>77</v>
      </c>
      <c r="C159" s="446">
        <v>11</v>
      </c>
      <c r="D159" s="446">
        <v>4</v>
      </c>
      <c r="E159" s="439" t="s">
        <v>698</v>
      </c>
      <c r="F159" s="441" t="s">
        <v>73</v>
      </c>
      <c r="G159" s="441" t="s">
        <v>627</v>
      </c>
      <c r="H159" s="448"/>
      <c r="I159" s="450">
        <v>3400</v>
      </c>
      <c r="J159" s="449"/>
    </row>
    <row r="160" ht="15" customHeight="1" spans="1:10">
      <c r="A160" s="445" t="s">
        <v>613</v>
      </c>
      <c r="B160" s="446">
        <v>78</v>
      </c>
      <c r="C160" s="446">
        <v>11</v>
      </c>
      <c r="D160" s="446">
        <v>19</v>
      </c>
      <c r="E160" s="439" t="s">
        <v>699</v>
      </c>
      <c r="F160" s="441" t="s">
        <v>73</v>
      </c>
      <c r="G160" s="441" t="s">
        <v>79</v>
      </c>
      <c r="H160" s="448">
        <v>142400</v>
      </c>
      <c r="I160" s="450"/>
      <c r="J160" s="449"/>
    </row>
    <row r="161" ht="15" customHeight="1" spans="1:10">
      <c r="A161" s="445" t="s">
        <v>613</v>
      </c>
      <c r="B161" s="446">
        <v>78</v>
      </c>
      <c r="C161" s="446">
        <v>11</v>
      </c>
      <c r="D161" s="446">
        <v>19</v>
      </c>
      <c r="E161" s="439" t="s">
        <v>699</v>
      </c>
      <c r="F161" s="441" t="s">
        <v>73</v>
      </c>
      <c r="G161" s="441" t="s">
        <v>627</v>
      </c>
      <c r="H161" s="448"/>
      <c r="I161" s="450">
        <v>142400</v>
      </c>
      <c r="J161" s="449"/>
    </row>
    <row r="162" ht="15" customHeight="1" spans="1:10">
      <c r="A162" s="445" t="s">
        <v>613</v>
      </c>
      <c r="B162" s="446">
        <v>79</v>
      </c>
      <c r="C162" s="446">
        <v>12</v>
      </c>
      <c r="D162" s="446">
        <v>4</v>
      </c>
      <c r="E162" s="439" t="s">
        <v>700</v>
      </c>
      <c r="F162" s="441" t="s">
        <v>73</v>
      </c>
      <c r="G162" s="441" t="s">
        <v>79</v>
      </c>
      <c r="H162" s="448">
        <v>141600</v>
      </c>
      <c r="I162" s="450"/>
      <c r="J162" s="449"/>
    </row>
    <row r="163" ht="15" customHeight="1" spans="1:10">
      <c r="A163" s="445" t="s">
        <v>613</v>
      </c>
      <c r="B163" s="446">
        <v>79</v>
      </c>
      <c r="C163" s="446">
        <v>12</v>
      </c>
      <c r="D163" s="446">
        <v>4</v>
      </c>
      <c r="E163" s="439" t="s">
        <v>700</v>
      </c>
      <c r="F163" s="441" t="s">
        <v>73</v>
      </c>
      <c r="G163" s="441" t="s">
        <v>627</v>
      </c>
      <c r="H163" s="448"/>
      <c r="I163" s="450">
        <v>141600</v>
      </c>
      <c r="J163" s="449"/>
    </row>
    <row r="164" ht="15" customHeight="1" spans="1:10">
      <c r="A164" s="445" t="s">
        <v>613</v>
      </c>
      <c r="B164" s="446">
        <v>80</v>
      </c>
      <c r="C164" s="446">
        <v>12</v>
      </c>
      <c r="D164" s="446">
        <v>5</v>
      </c>
      <c r="E164" s="439" t="s">
        <v>701</v>
      </c>
      <c r="F164" s="441" t="s">
        <v>214</v>
      </c>
      <c r="G164" s="441" t="s">
        <v>215</v>
      </c>
      <c r="H164" s="448">
        <v>28271</v>
      </c>
      <c r="I164" s="450"/>
      <c r="J164" s="449"/>
    </row>
    <row r="165" ht="15" customHeight="1" spans="1:10">
      <c r="A165" s="445" t="s">
        <v>613</v>
      </c>
      <c r="B165" s="446">
        <v>80</v>
      </c>
      <c r="C165" s="446">
        <v>12</v>
      </c>
      <c r="D165" s="446">
        <v>5</v>
      </c>
      <c r="E165" s="439" t="s">
        <v>701</v>
      </c>
      <c r="F165" s="441" t="s">
        <v>73</v>
      </c>
      <c r="G165" s="441" t="s">
        <v>627</v>
      </c>
      <c r="H165" s="448"/>
      <c r="I165" s="450">
        <v>28271</v>
      </c>
      <c r="J165" s="449"/>
    </row>
    <row r="166" ht="15" customHeight="1" spans="1:10">
      <c r="A166" s="445" t="s">
        <v>613</v>
      </c>
      <c r="B166" s="446">
        <v>81</v>
      </c>
      <c r="C166" s="446">
        <v>12</v>
      </c>
      <c r="D166" s="446">
        <v>5</v>
      </c>
      <c r="E166" s="439" t="s">
        <v>702</v>
      </c>
      <c r="F166" s="441" t="s">
        <v>214</v>
      </c>
      <c r="G166" s="441" t="s">
        <v>215</v>
      </c>
      <c r="H166" s="448">
        <v>27695</v>
      </c>
      <c r="I166" s="450"/>
      <c r="J166" s="449"/>
    </row>
    <row r="167" ht="15" customHeight="1" spans="1:10">
      <c r="A167" s="445" t="s">
        <v>613</v>
      </c>
      <c r="B167" s="446">
        <v>81</v>
      </c>
      <c r="C167" s="446">
        <v>12</v>
      </c>
      <c r="D167" s="446">
        <v>5</v>
      </c>
      <c r="E167" s="439" t="s">
        <v>702</v>
      </c>
      <c r="F167" s="441" t="s">
        <v>73</v>
      </c>
      <c r="G167" s="441" t="s">
        <v>627</v>
      </c>
      <c r="H167" s="448"/>
      <c r="I167" s="450">
        <v>27695</v>
      </c>
      <c r="J167" s="449"/>
    </row>
    <row r="168" ht="15" customHeight="1" spans="1:10">
      <c r="A168" s="445" t="s">
        <v>613</v>
      </c>
      <c r="B168" s="446">
        <v>82</v>
      </c>
      <c r="C168" s="446">
        <v>12</v>
      </c>
      <c r="D168" s="446">
        <v>9</v>
      </c>
      <c r="E168" s="439" t="s">
        <v>703</v>
      </c>
      <c r="F168" s="441" t="s">
        <v>73</v>
      </c>
      <c r="G168" s="441" t="s">
        <v>627</v>
      </c>
      <c r="H168" s="448">
        <v>2500000</v>
      </c>
      <c r="I168" s="450"/>
      <c r="J168" s="449"/>
    </row>
    <row r="169" ht="15" customHeight="1" spans="1:10">
      <c r="A169" s="445" t="s">
        <v>613</v>
      </c>
      <c r="B169" s="446">
        <v>82</v>
      </c>
      <c r="C169" s="446">
        <v>12</v>
      </c>
      <c r="D169" s="446">
        <v>9</v>
      </c>
      <c r="E169" s="439" t="s">
        <v>703</v>
      </c>
      <c r="F169" s="441" t="s">
        <v>282</v>
      </c>
      <c r="G169" s="441" t="s">
        <v>285</v>
      </c>
      <c r="H169" s="448"/>
      <c r="I169" s="450">
        <v>2500000</v>
      </c>
      <c r="J169" s="449"/>
    </row>
    <row r="170" ht="15" customHeight="1" spans="1:10">
      <c r="A170" s="445" t="s">
        <v>613</v>
      </c>
      <c r="B170" s="446">
        <v>83</v>
      </c>
      <c r="C170" s="446">
        <v>12</v>
      </c>
      <c r="D170" s="446">
        <v>9</v>
      </c>
      <c r="E170" s="439" t="s">
        <v>704</v>
      </c>
      <c r="F170" s="441" t="s">
        <v>73</v>
      </c>
      <c r="G170" s="441" t="s">
        <v>627</v>
      </c>
      <c r="H170" s="448">
        <v>2400000</v>
      </c>
      <c r="I170" s="450"/>
      <c r="J170" s="449"/>
    </row>
    <row r="171" ht="15" customHeight="1" spans="1:10">
      <c r="A171" s="445" t="s">
        <v>613</v>
      </c>
      <c r="B171" s="446">
        <v>83</v>
      </c>
      <c r="C171" s="446">
        <v>12</v>
      </c>
      <c r="D171" s="446">
        <v>9</v>
      </c>
      <c r="E171" s="439" t="s">
        <v>704</v>
      </c>
      <c r="F171" s="441" t="s">
        <v>282</v>
      </c>
      <c r="G171" s="441" t="s">
        <v>283</v>
      </c>
      <c r="H171" s="448"/>
      <c r="I171" s="450">
        <v>2400000</v>
      </c>
      <c r="J171" s="449"/>
    </row>
    <row r="172" ht="15" customHeight="1" spans="1:10">
      <c r="A172" s="445" t="s">
        <v>613</v>
      </c>
      <c r="B172" s="446">
        <v>84</v>
      </c>
      <c r="C172" s="446">
        <v>12</v>
      </c>
      <c r="D172" s="446">
        <v>9</v>
      </c>
      <c r="E172" s="439" t="s">
        <v>705</v>
      </c>
      <c r="F172" s="441" t="s">
        <v>73</v>
      </c>
      <c r="G172" s="441" t="s">
        <v>627</v>
      </c>
      <c r="H172" s="448">
        <v>450000</v>
      </c>
      <c r="I172" s="450"/>
      <c r="J172" s="449"/>
    </row>
    <row r="173" ht="15" customHeight="1" spans="1:10">
      <c r="A173" s="445" t="s">
        <v>613</v>
      </c>
      <c r="B173" s="446">
        <v>84</v>
      </c>
      <c r="C173" s="446">
        <v>12</v>
      </c>
      <c r="D173" s="446">
        <v>9</v>
      </c>
      <c r="E173" s="439" t="s">
        <v>705</v>
      </c>
      <c r="F173" s="441" t="s">
        <v>282</v>
      </c>
      <c r="G173" s="441" t="s">
        <v>284</v>
      </c>
      <c r="H173" s="448"/>
      <c r="I173" s="450">
        <v>450000</v>
      </c>
      <c r="J173" s="449"/>
    </row>
    <row r="174" ht="15" customHeight="1" spans="1:10">
      <c r="A174" s="445" t="s">
        <v>613</v>
      </c>
      <c r="B174" s="446">
        <v>85</v>
      </c>
      <c r="C174" s="446">
        <v>12</v>
      </c>
      <c r="D174" s="446">
        <v>16</v>
      </c>
      <c r="E174" s="439" t="s">
        <v>706</v>
      </c>
      <c r="F174" s="441" t="s">
        <v>73</v>
      </c>
      <c r="G174" s="441" t="s">
        <v>79</v>
      </c>
      <c r="H174" s="448">
        <v>141200</v>
      </c>
      <c r="I174" s="450"/>
      <c r="J174" s="449"/>
    </row>
    <row r="175" ht="15" customHeight="1" spans="1:10">
      <c r="A175" s="445" t="s">
        <v>613</v>
      </c>
      <c r="B175" s="446">
        <v>85</v>
      </c>
      <c r="C175" s="446">
        <v>12</v>
      </c>
      <c r="D175" s="446">
        <v>16</v>
      </c>
      <c r="E175" s="439" t="s">
        <v>706</v>
      </c>
      <c r="F175" s="441" t="s">
        <v>73</v>
      </c>
      <c r="G175" s="441" t="s">
        <v>627</v>
      </c>
      <c r="H175" s="448"/>
      <c r="I175" s="450">
        <v>141200</v>
      </c>
      <c r="J175" s="449"/>
    </row>
    <row r="176" ht="15" customHeight="1" spans="1:10">
      <c r="A176" s="445" t="s">
        <v>613</v>
      </c>
      <c r="B176" s="446">
        <v>86</v>
      </c>
      <c r="C176" s="446">
        <v>12</v>
      </c>
      <c r="D176" s="446">
        <v>17</v>
      </c>
      <c r="E176" s="439" t="s">
        <v>707</v>
      </c>
      <c r="F176" s="441" t="s">
        <v>73</v>
      </c>
      <c r="G176" s="441" t="s">
        <v>79</v>
      </c>
      <c r="H176" s="448">
        <v>211800</v>
      </c>
      <c r="I176" s="450"/>
      <c r="J176" s="449"/>
    </row>
    <row r="177" ht="15" customHeight="1" spans="1:10">
      <c r="A177" s="445" t="s">
        <v>613</v>
      </c>
      <c r="B177" s="446">
        <v>86</v>
      </c>
      <c r="C177" s="446">
        <v>12</v>
      </c>
      <c r="D177" s="446">
        <v>17</v>
      </c>
      <c r="E177" s="439" t="s">
        <v>707</v>
      </c>
      <c r="F177" s="441" t="s">
        <v>73</v>
      </c>
      <c r="G177" s="441" t="s">
        <v>627</v>
      </c>
      <c r="H177" s="448"/>
      <c r="I177" s="450">
        <v>211800</v>
      </c>
      <c r="J177" s="449"/>
    </row>
    <row r="178" ht="15" customHeight="1" spans="1:10">
      <c r="A178" s="445" t="s">
        <v>613</v>
      </c>
      <c r="B178" s="446">
        <v>87</v>
      </c>
      <c r="C178" s="446">
        <v>12</v>
      </c>
      <c r="D178" s="446">
        <v>18</v>
      </c>
      <c r="E178" s="439" t="s">
        <v>708</v>
      </c>
      <c r="F178" s="441" t="s">
        <v>214</v>
      </c>
      <c r="G178" s="441" t="s">
        <v>215</v>
      </c>
      <c r="H178" s="448">
        <v>55955</v>
      </c>
      <c r="I178" s="450"/>
      <c r="J178" s="449"/>
    </row>
    <row r="179" ht="15" customHeight="1" spans="1:10">
      <c r="A179" s="445" t="s">
        <v>613</v>
      </c>
      <c r="B179" s="446">
        <v>87</v>
      </c>
      <c r="C179" s="446">
        <v>12</v>
      </c>
      <c r="D179" s="446">
        <v>18</v>
      </c>
      <c r="E179" s="439" t="s">
        <v>708</v>
      </c>
      <c r="F179" s="441" t="s">
        <v>73</v>
      </c>
      <c r="G179" s="441" t="s">
        <v>627</v>
      </c>
      <c r="H179" s="448"/>
      <c r="I179" s="450">
        <v>55955</v>
      </c>
      <c r="J179" s="449"/>
    </row>
    <row r="180" ht="15" customHeight="1" spans="1:10">
      <c r="A180" s="445" t="s">
        <v>613</v>
      </c>
      <c r="B180" s="446">
        <v>88</v>
      </c>
      <c r="C180" s="446">
        <v>12</v>
      </c>
      <c r="D180" s="446">
        <v>18</v>
      </c>
      <c r="E180" s="439" t="s">
        <v>709</v>
      </c>
      <c r="F180" s="441" t="s">
        <v>214</v>
      </c>
      <c r="G180" s="441" t="s">
        <v>215</v>
      </c>
      <c r="H180" s="448">
        <v>56573</v>
      </c>
      <c r="I180" s="450"/>
      <c r="J180" s="449"/>
    </row>
    <row r="181" ht="15" customHeight="1" spans="1:10">
      <c r="A181" s="445" t="s">
        <v>613</v>
      </c>
      <c r="B181" s="446">
        <v>88</v>
      </c>
      <c r="C181" s="446">
        <v>12</v>
      </c>
      <c r="D181" s="446">
        <v>18</v>
      </c>
      <c r="E181" s="439" t="s">
        <v>709</v>
      </c>
      <c r="F181" s="441" t="s">
        <v>73</v>
      </c>
      <c r="G181" s="441" t="s">
        <v>627</v>
      </c>
      <c r="H181" s="448"/>
      <c r="I181" s="450">
        <v>56573</v>
      </c>
      <c r="J181" s="449"/>
    </row>
    <row r="182" ht="15" customHeight="1" spans="1:10">
      <c r="A182" s="445" t="s">
        <v>613</v>
      </c>
      <c r="B182" s="446">
        <v>89</v>
      </c>
      <c r="C182" s="446">
        <v>12</v>
      </c>
      <c r="D182" s="446">
        <v>18</v>
      </c>
      <c r="E182" s="439" t="s">
        <v>710</v>
      </c>
      <c r="F182" s="441" t="s">
        <v>214</v>
      </c>
      <c r="G182" s="441" t="s">
        <v>215</v>
      </c>
      <c r="H182" s="448">
        <v>23451</v>
      </c>
      <c r="I182" s="450"/>
      <c r="J182" s="449"/>
    </row>
    <row r="183" ht="15" customHeight="1" spans="1:10">
      <c r="A183" s="445" t="s">
        <v>613</v>
      </c>
      <c r="B183" s="446">
        <v>89</v>
      </c>
      <c r="C183" s="446">
        <v>12</v>
      </c>
      <c r="D183" s="446">
        <v>18</v>
      </c>
      <c r="E183" s="439" t="s">
        <v>710</v>
      </c>
      <c r="F183" s="441" t="s">
        <v>73</v>
      </c>
      <c r="G183" s="441" t="s">
        <v>627</v>
      </c>
      <c r="H183" s="448"/>
      <c r="I183" s="450">
        <v>23451</v>
      </c>
      <c r="J183" s="449"/>
    </row>
    <row r="184" ht="15" customHeight="1" spans="1:10">
      <c r="A184" s="445" t="s">
        <v>613</v>
      </c>
      <c r="B184" s="446">
        <v>90</v>
      </c>
      <c r="C184" s="446">
        <v>12</v>
      </c>
      <c r="D184" s="446">
        <v>18</v>
      </c>
      <c r="E184" s="439" t="s">
        <v>711</v>
      </c>
      <c r="F184" s="441" t="s">
        <v>214</v>
      </c>
      <c r="G184" s="441" t="s">
        <v>215</v>
      </c>
      <c r="H184" s="448">
        <v>22980</v>
      </c>
      <c r="I184" s="450"/>
      <c r="J184" s="449"/>
    </row>
    <row r="185" ht="15" customHeight="1" spans="1:10">
      <c r="A185" s="445" t="s">
        <v>613</v>
      </c>
      <c r="B185" s="446">
        <v>90</v>
      </c>
      <c r="C185" s="446">
        <v>12</v>
      </c>
      <c r="D185" s="446">
        <v>18</v>
      </c>
      <c r="E185" s="439" t="s">
        <v>711</v>
      </c>
      <c r="F185" s="441" t="s">
        <v>73</v>
      </c>
      <c r="G185" s="441" t="s">
        <v>627</v>
      </c>
      <c r="H185" s="448"/>
      <c r="I185" s="450">
        <v>22980</v>
      </c>
      <c r="J185" s="449"/>
    </row>
    <row r="186" ht="15" customHeight="1" spans="1:10">
      <c r="A186" s="445" t="s">
        <v>613</v>
      </c>
      <c r="B186" s="446">
        <v>91</v>
      </c>
      <c r="C186" s="446">
        <v>12</v>
      </c>
      <c r="D186" s="446">
        <v>18</v>
      </c>
      <c r="E186" s="439" t="s">
        <v>712</v>
      </c>
      <c r="F186" s="441" t="s">
        <v>214</v>
      </c>
      <c r="G186" s="441" t="s">
        <v>215</v>
      </c>
      <c r="H186" s="448">
        <v>54595</v>
      </c>
      <c r="I186" s="450"/>
      <c r="J186" s="449"/>
    </row>
    <row r="187" ht="15" customHeight="1" spans="1:10">
      <c r="A187" s="445" t="s">
        <v>613</v>
      </c>
      <c r="B187" s="446">
        <v>91</v>
      </c>
      <c r="C187" s="446">
        <v>12</v>
      </c>
      <c r="D187" s="446">
        <v>18</v>
      </c>
      <c r="E187" s="439" t="s">
        <v>712</v>
      </c>
      <c r="F187" s="441" t="s">
        <v>73</v>
      </c>
      <c r="G187" s="441" t="s">
        <v>627</v>
      </c>
      <c r="H187" s="448"/>
      <c r="I187" s="450">
        <v>54595</v>
      </c>
      <c r="J187" s="449"/>
    </row>
    <row r="188" ht="15" customHeight="1" spans="1:10">
      <c r="A188" s="445" t="s">
        <v>613</v>
      </c>
      <c r="B188" s="446">
        <v>92</v>
      </c>
      <c r="C188" s="446">
        <v>12</v>
      </c>
      <c r="D188" s="446">
        <v>18</v>
      </c>
      <c r="E188" s="439" t="s">
        <v>713</v>
      </c>
      <c r="F188" s="441" t="s">
        <v>214</v>
      </c>
      <c r="G188" s="441" t="s">
        <v>215</v>
      </c>
      <c r="H188" s="448">
        <v>58083</v>
      </c>
      <c r="I188" s="450"/>
      <c r="J188" s="449"/>
    </row>
    <row r="189" ht="15" customHeight="1" spans="1:10">
      <c r="A189" s="445" t="s">
        <v>613</v>
      </c>
      <c r="B189" s="446">
        <v>92</v>
      </c>
      <c r="C189" s="446">
        <v>12</v>
      </c>
      <c r="D189" s="446">
        <v>18</v>
      </c>
      <c r="E189" s="439" t="s">
        <v>713</v>
      </c>
      <c r="F189" s="441" t="s">
        <v>73</v>
      </c>
      <c r="G189" s="441" t="s">
        <v>627</v>
      </c>
      <c r="H189" s="448"/>
      <c r="I189" s="450">
        <v>58083</v>
      </c>
      <c r="J189" s="449"/>
    </row>
    <row r="190" ht="15" customHeight="1" spans="1:10">
      <c r="A190" s="445" t="s">
        <v>613</v>
      </c>
      <c r="B190" s="446">
        <v>93</v>
      </c>
      <c r="C190" s="446">
        <v>12</v>
      </c>
      <c r="D190" s="446">
        <v>18</v>
      </c>
      <c r="E190" s="439" t="s">
        <v>714</v>
      </c>
      <c r="F190" s="441" t="s">
        <v>214</v>
      </c>
      <c r="G190" s="441" t="s">
        <v>215</v>
      </c>
      <c r="H190" s="448">
        <v>58646</v>
      </c>
      <c r="I190" s="450"/>
      <c r="J190" s="449"/>
    </row>
    <row r="191" ht="15" customHeight="1" spans="1:10">
      <c r="A191" s="445" t="s">
        <v>613</v>
      </c>
      <c r="B191" s="446">
        <v>93</v>
      </c>
      <c r="C191" s="446">
        <v>12</v>
      </c>
      <c r="D191" s="446">
        <v>18</v>
      </c>
      <c r="E191" s="439" t="s">
        <v>714</v>
      </c>
      <c r="F191" s="441" t="s">
        <v>73</v>
      </c>
      <c r="G191" s="441" t="s">
        <v>627</v>
      </c>
      <c r="H191" s="448"/>
      <c r="I191" s="450">
        <v>58646</v>
      </c>
      <c r="J191" s="449"/>
    </row>
    <row r="192" ht="15" customHeight="1" spans="1:10">
      <c r="A192" s="445" t="s">
        <v>613</v>
      </c>
      <c r="B192" s="446">
        <v>94</v>
      </c>
      <c r="C192" s="446">
        <v>12</v>
      </c>
      <c r="D192" s="446">
        <v>19</v>
      </c>
      <c r="E192" s="439" t="s">
        <v>715</v>
      </c>
      <c r="F192" s="441" t="s">
        <v>152</v>
      </c>
      <c r="G192" s="441"/>
      <c r="H192" s="448">
        <v>300843</v>
      </c>
      <c r="I192" s="450"/>
      <c r="J192" s="449"/>
    </row>
    <row r="193" ht="15" customHeight="1" spans="1:10">
      <c r="A193" s="445" t="s">
        <v>613</v>
      </c>
      <c r="B193" s="446">
        <v>94</v>
      </c>
      <c r="C193" s="446">
        <v>12</v>
      </c>
      <c r="D193" s="446">
        <v>19</v>
      </c>
      <c r="E193" s="439" t="s">
        <v>715</v>
      </c>
      <c r="F193" s="441" t="s">
        <v>73</v>
      </c>
      <c r="G193" s="441" t="s">
        <v>627</v>
      </c>
      <c r="H193" s="448"/>
      <c r="I193" s="450">
        <v>300843</v>
      </c>
      <c r="J193" s="449"/>
    </row>
    <row r="194" ht="15" customHeight="1" spans="1:10">
      <c r="A194" s="445" t="s">
        <v>613</v>
      </c>
      <c r="B194" s="446">
        <v>95</v>
      </c>
      <c r="C194" s="446">
        <v>12</v>
      </c>
      <c r="D194" s="446">
        <v>21</v>
      </c>
      <c r="E194" s="439" t="s">
        <v>716</v>
      </c>
      <c r="F194" s="441" t="s">
        <v>407</v>
      </c>
      <c r="G194" s="441" t="s">
        <v>97</v>
      </c>
      <c r="H194" s="448">
        <v>120400</v>
      </c>
      <c r="I194" s="450"/>
      <c r="J194" s="449"/>
    </row>
    <row r="195" ht="15" customHeight="1" spans="1:10">
      <c r="A195" s="445" t="s">
        <v>613</v>
      </c>
      <c r="B195" s="446">
        <v>95</v>
      </c>
      <c r="C195" s="446">
        <v>12</v>
      </c>
      <c r="D195" s="446">
        <v>21</v>
      </c>
      <c r="E195" s="439" t="s">
        <v>716</v>
      </c>
      <c r="F195" s="441" t="s">
        <v>73</v>
      </c>
      <c r="G195" s="441" t="s">
        <v>627</v>
      </c>
      <c r="H195" s="448"/>
      <c r="I195" s="450">
        <v>120400</v>
      </c>
      <c r="J195" s="449"/>
    </row>
    <row r="196" ht="15" customHeight="1" spans="1:10">
      <c r="A196" s="445" t="s">
        <v>613</v>
      </c>
      <c r="B196" s="446">
        <v>96</v>
      </c>
      <c r="C196" s="446">
        <v>12</v>
      </c>
      <c r="D196" s="446">
        <v>28</v>
      </c>
      <c r="E196" s="439" t="s">
        <v>717</v>
      </c>
      <c r="F196" s="441" t="s">
        <v>214</v>
      </c>
      <c r="G196" s="441" t="s">
        <v>215</v>
      </c>
      <c r="H196" s="448">
        <v>15000</v>
      </c>
      <c r="I196" s="450"/>
      <c r="J196" s="449"/>
    </row>
    <row r="197" ht="15" customHeight="1" spans="1:10">
      <c r="A197" s="445" t="s">
        <v>613</v>
      </c>
      <c r="B197" s="446">
        <v>96</v>
      </c>
      <c r="C197" s="446">
        <v>12</v>
      </c>
      <c r="D197" s="446">
        <v>28</v>
      </c>
      <c r="E197" s="439" t="s">
        <v>717</v>
      </c>
      <c r="F197" s="441" t="s">
        <v>73</v>
      </c>
      <c r="G197" s="441" t="s">
        <v>627</v>
      </c>
      <c r="H197" s="448"/>
      <c r="I197" s="450">
        <v>15000</v>
      </c>
      <c r="J197" s="449"/>
    </row>
    <row r="198" ht="15" customHeight="1" spans="1:10">
      <c r="A198" s="445" t="s">
        <v>613</v>
      </c>
      <c r="B198" s="446">
        <v>97</v>
      </c>
      <c r="C198" s="446">
        <v>12</v>
      </c>
      <c r="D198" s="446">
        <v>28</v>
      </c>
      <c r="E198" s="439" t="s">
        <v>718</v>
      </c>
      <c r="F198" s="441" t="s">
        <v>214</v>
      </c>
      <c r="G198" s="441" t="s">
        <v>215</v>
      </c>
      <c r="H198" s="448">
        <v>28271</v>
      </c>
      <c r="I198" s="450"/>
      <c r="J198" s="449"/>
    </row>
    <row r="199" ht="15" customHeight="1" spans="1:10">
      <c r="A199" s="445" t="s">
        <v>613</v>
      </c>
      <c r="B199" s="446">
        <v>97</v>
      </c>
      <c r="C199" s="446">
        <v>12</v>
      </c>
      <c r="D199" s="446">
        <v>28</v>
      </c>
      <c r="E199" s="439" t="s">
        <v>718</v>
      </c>
      <c r="F199" s="441" t="s">
        <v>73</v>
      </c>
      <c r="G199" s="441" t="s">
        <v>627</v>
      </c>
      <c r="H199" s="448"/>
      <c r="I199" s="450">
        <v>28271</v>
      </c>
      <c r="J199" s="449"/>
    </row>
    <row r="200" ht="15" customHeight="1" spans="1:10">
      <c r="A200" s="445" t="s">
        <v>613</v>
      </c>
      <c r="B200" s="446">
        <v>98</v>
      </c>
      <c r="C200" s="446">
        <v>12</v>
      </c>
      <c r="D200" s="446">
        <v>28</v>
      </c>
      <c r="E200" s="439" t="s">
        <v>719</v>
      </c>
      <c r="F200" s="441" t="s">
        <v>214</v>
      </c>
      <c r="G200" s="441" t="s">
        <v>215</v>
      </c>
      <c r="H200" s="448">
        <v>27695</v>
      </c>
      <c r="I200" s="450"/>
      <c r="J200" s="449"/>
    </row>
    <row r="201" ht="15" customHeight="1" spans="1:10">
      <c r="A201" s="445" t="s">
        <v>613</v>
      </c>
      <c r="B201" s="446">
        <v>98</v>
      </c>
      <c r="C201" s="446">
        <v>12</v>
      </c>
      <c r="D201" s="446">
        <v>28</v>
      </c>
      <c r="E201" s="439" t="s">
        <v>719</v>
      </c>
      <c r="F201" s="441" t="s">
        <v>73</v>
      </c>
      <c r="G201" s="441" t="s">
        <v>627</v>
      </c>
      <c r="H201" s="448"/>
      <c r="I201" s="450">
        <v>27695</v>
      </c>
      <c r="J201" s="449"/>
    </row>
    <row r="202" ht="15" customHeight="1" spans="1:10">
      <c r="A202" s="445" t="s">
        <v>613</v>
      </c>
      <c r="B202" s="446">
        <v>99</v>
      </c>
      <c r="C202" s="446">
        <v>12</v>
      </c>
      <c r="D202" s="446">
        <v>28</v>
      </c>
      <c r="E202" s="439" t="s">
        <v>720</v>
      </c>
      <c r="F202" s="441" t="s">
        <v>214</v>
      </c>
      <c r="G202" s="441" t="s">
        <v>215</v>
      </c>
      <c r="H202" s="448">
        <v>4766</v>
      </c>
      <c r="I202" s="450"/>
      <c r="J202" s="449"/>
    </row>
    <row r="203" ht="15" customHeight="1" spans="1:10">
      <c r="A203" s="445" t="s">
        <v>613</v>
      </c>
      <c r="B203" s="446">
        <v>99</v>
      </c>
      <c r="C203" s="446">
        <v>12</v>
      </c>
      <c r="D203" s="446">
        <v>28</v>
      </c>
      <c r="E203" s="439" t="s">
        <v>720</v>
      </c>
      <c r="F203" s="441" t="s">
        <v>73</v>
      </c>
      <c r="G203" s="441" t="s">
        <v>627</v>
      </c>
      <c r="H203" s="448"/>
      <c r="I203" s="450">
        <v>4766</v>
      </c>
      <c r="J203" s="449"/>
    </row>
    <row r="204" ht="15" customHeight="1" spans="1:10">
      <c r="A204" s="445" t="s">
        <v>613</v>
      </c>
      <c r="B204" s="446">
        <v>100</v>
      </c>
      <c r="C204" s="446">
        <v>12</v>
      </c>
      <c r="D204" s="446">
        <v>28</v>
      </c>
      <c r="E204" s="439" t="s">
        <v>721</v>
      </c>
      <c r="F204" s="441" t="s">
        <v>214</v>
      </c>
      <c r="G204" s="441" t="s">
        <v>215</v>
      </c>
      <c r="H204" s="448">
        <v>4766</v>
      </c>
      <c r="I204" s="450"/>
      <c r="J204" s="449"/>
    </row>
    <row r="205" ht="15" customHeight="1" spans="1:10">
      <c r="A205" s="445" t="s">
        <v>613</v>
      </c>
      <c r="B205" s="446">
        <v>100</v>
      </c>
      <c r="C205" s="446">
        <v>12</v>
      </c>
      <c r="D205" s="446">
        <v>28</v>
      </c>
      <c r="E205" s="439" t="s">
        <v>721</v>
      </c>
      <c r="F205" s="441" t="s">
        <v>73</v>
      </c>
      <c r="G205" s="441" t="s">
        <v>627</v>
      </c>
      <c r="H205" s="448"/>
      <c r="I205" s="450">
        <v>4766</v>
      </c>
      <c r="J205" s="449"/>
    </row>
    <row r="206" ht="15" customHeight="1" spans="1:10">
      <c r="A206" s="445" t="s">
        <v>613</v>
      </c>
      <c r="B206" s="446">
        <v>101</v>
      </c>
      <c r="C206" s="446">
        <v>12</v>
      </c>
      <c r="D206" s="446">
        <v>28</v>
      </c>
      <c r="E206" s="439" t="s">
        <v>722</v>
      </c>
      <c r="F206" s="441" t="s">
        <v>73</v>
      </c>
      <c r="G206" s="441" t="s">
        <v>79</v>
      </c>
      <c r="H206" s="448">
        <v>351000</v>
      </c>
      <c r="I206" s="450"/>
      <c r="J206" s="449"/>
    </row>
    <row r="207" ht="15" customHeight="1" spans="1:10">
      <c r="A207" s="445" t="s">
        <v>613</v>
      </c>
      <c r="B207" s="446">
        <v>101</v>
      </c>
      <c r="C207" s="446">
        <v>12</v>
      </c>
      <c r="D207" s="446">
        <v>28</v>
      </c>
      <c r="E207" s="439" t="s">
        <v>722</v>
      </c>
      <c r="F207" s="441" t="s">
        <v>73</v>
      </c>
      <c r="G207" s="441" t="s">
        <v>627</v>
      </c>
      <c r="H207" s="448"/>
      <c r="I207" s="450">
        <v>351000</v>
      </c>
      <c r="J207" s="449"/>
    </row>
    <row r="208" ht="15" customHeight="1" spans="1:10">
      <c r="A208" s="445"/>
      <c r="B208" s="446"/>
      <c r="C208" s="446"/>
      <c r="D208" s="446"/>
      <c r="E208" s="452"/>
      <c r="F208" s="441"/>
      <c r="G208" s="441"/>
      <c r="H208" s="448"/>
      <c r="I208" s="450"/>
      <c r="J208" s="449"/>
    </row>
    <row r="209" ht="15" customHeight="1" spans="1:10">
      <c r="A209" s="445"/>
      <c r="B209" s="446"/>
      <c r="C209" s="446"/>
      <c r="D209" s="446"/>
      <c r="E209" s="452"/>
      <c r="F209" s="441"/>
      <c r="G209" s="441"/>
      <c r="H209" s="448"/>
      <c r="I209" s="450"/>
      <c r="J209" s="449"/>
    </row>
    <row r="210" ht="15" customHeight="1" spans="1:10">
      <c r="A210" s="445"/>
      <c r="B210" s="446"/>
      <c r="C210" s="446"/>
      <c r="D210" s="446"/>
      <c r="E210" s="452"/>
      <c r="F210" s="441"/>
      <c r="G210" s="441"/>
      <c r="H210" s="448"/>
      <c r="I210" s="450"/>
      <c r="J210" s="449"/>
    </row>
    <row r="211" ht="15" customHeight="1" spans="1:10">
      <c r="A211" s="445"/>
      <c r="B211" s="446"/>
      <c r="C211" s="446"/>
      <c r="D211" s="446"/>
      <c r="E211" s="452"/>
      <c r="F211" s="441"/>
      <c r="G211" s="441"/>
      <c r="H211" s="448"/>
      <c r="I211" s="450"/>
      <c r="J211" s="449"/>
    </row>
    <row r="212" ht="15" customHeight="1" spans="1:10">
      <c r="A212" s="445"/>
      <c r="B212" s="446"/>
      <c r="C212" s="446"/>
      <c r="D212" s="446"/>
      <c r="E212" s="452"/>
      <c r="F212" s="441"/>
      <c r="G212" s="441"/>
      <c r="H212" s="448"/>
      <c r="I212" s="450"/>
      <c r="J212" s="449"/>
    </row>
    <row r="213" ht="15" customHeight="1" spans="1:10">
      <c r="A213" s="445"/>
      <c r="B213" s="446"/>
      <c r="C213" s="446"/>
      <c r="D213" s="446"/>
      <c r="E213" s="452"/>
      <c r="F213" s="441"/>
      <c r="G213" s="441"/>
      <c r="H213" s="448"/>
      <c r="I213" s="450"/>
      <c r="J213" s="449"/>
    </row>
    <row r="214" ht="15" customHeight="1" spans="1:10">
      <c r="A214" s="445"/>
      <c r="B214" s="446"/>
      <c r="C214" s="446"/>
      <c r="D214" s="446"/>
      <c r="E214" s="452"/>
      <c r="F214" s="441"/>
      <c r="G214" s="441"/>
      <c r="H214" s="448"/>
      <c r="I214" s="450"/>
      <c r="J214" s="449"/>
    </row>
    <row r="215" ht="15" customHeight="1" spans="1:10">
      <c r="A215" s="445"/>
      <c r="B215" s="446"/>
      <c r="C215" s="446"/>
      <c r="D215" s="446"/>
      <c r="E215" s="452"/>
      <c r="F215" s="441"/>
      <c r="G215" s="441"/>
      <c r="H215" s="448"/>
      <c r="I215" s="450"/>
      <c r="J215" s="449"/>
    </row>
    <row r="216" ht="15" customHeight="1" spans="1:10">
      <c r="A216" s="445"/>
      <c r="B216" s="446"/>
      <c r="C216" s="446"/>
      <c r="D216" s="446"/>
      <c r="E216" s="452"/>
      <c r="F216" s="441"/>
      <c r="G216" s="441"/>
      <c r="H216" s="448"/>
      <c r="I216" s="450"/>
      <c r="J216" s="449"/>
    </row>
    <row r="217" ht="15" customHeight="1" spans="1:10">
      <c r="A217" s="445"/>
      <c r="B217" s="446"/>
      <c r="C217" s="446"/>
      <c r="D217" s="446"/>
      <c r="E217" s="452"/>
      <c r="F217" s="441"/>
      <c r="G217" s="441"/>
      <c r="H217" s="448"/>
      <c r="I217" s="450"/>
      <c r="J217" s="449"/>
    </row>
    <row r="218" ht="15" customHeight="1" spans="1:10">
      <c r="A218" s="445"/>
      <c r="B218" s="446"/>
      <c r="C218" s="446"/>
      <c r="D218" s="446"/>
      <c r="E218" s="452"/>
      <c r="F218" s="441"/>
      <c r="G218" s="441"/>
      <c r="H218" s="448"/>
      <c r="I218" s="450"/>
      <c r="J218" s="449"/>
    </row>
    <row r="219" ht="15" customHeight="1" spans="1:10">
      <c r="A219" s="445"/>
      <c r="B219" s="446"/>
      <c r="C219" s="446"/>
      <c r="D219" s="446"/>
      <c r="E219" s="452"/>
      <c r="F219" s="441"/>
      <c r="G219" s="441"/>
      <c r="H219" s="448"/>
      <c r="I219" s="450"/>
      <c r="J219" s="449"/>
    </row>
    <row r="220" ht="15" customHeight="1" spans="1:10">
      <c r="A220" s="445"/>
      <c r="B220" s="446"/>
      <c r="C220" s="446"/>
      <c r="D220" s="446"/>
      <c r="E220" s="452"/>
      <c r="F220" s="441"/>
      <c r="G220" s="441"/>
      <c r="H220" s="448"/>
      <c r="I220" s="450"/>
      <c r="J220" s="449"/>
    </row>
    <row r="221" ht="15" customHeight="1" spans="1:10">
      <c r="A221" s="445"/>
      <c r="B221" s="446"/>
      <c r="C221" s="446"/>
      <c r="D221" s="446"/>
      <c r="E221" s="452"/>
      <c r="F221" s="441"/>
      <c r="G221" s="441"/>
      <c r="H221" s="448"/>
      <c r="I221" s="450"/>
      <c r="J221" s="449"/>
    </row>
    <row r="222" ht="15" customHeight="1" spans="1:10">
      <c r="A222" s="445"/>
      <c r="B222" s="446"/>
      <c r="C222" s="446"/>
      <c r="D222" s="446"/>
      <c r="E222" s="452"/>
      <c r="F222" s="441"/>
      <c r="G222" s="441"/>
      <c r="H222" s="448"/>
      <c r="I222" s="450"/>
      <c r="J222" s="449"/>
    </row>
    <row r="223" ht="15" customHeight="1" spans="1:10">
      <c r="A223" s="445"/>
      <c r="B223" s="446"/>
      <c r="C223" s="446"/>
      <c r="D223" s="446"/>
      <c r="E223" s="452"/>
      <c r="F223" s="441"/>
      <c r="G223" s="441"/>
      <c r="H223" s="448"/>
      <c r="I223" s="450"/>
      <c r="J223" s="449"/>
    </row>
    <row r="224" ht="15" customHeight="1" spans="1:10">
      <c r="A224" s="445"/>
      <c r="B224" s="446"/>
      <c r="C224" s="446"/>
      <c r="D224" s="446"/>
      <c r="E224" s="452"/>
      <c r="F224" s="441"/>
      <c r="G224" s="441"/>
      <c r="H224" s="448"/>
      <c r="I224" s="450"/>
      <c r="J224" s="449"/>
    </row>
    <row r="225" ht="15" customHeight="1" spans="1:10">
      <c r="A225" s="445"/>
      <c r="B225" s="446"/>
      <c r="C225" s="446"/>
      <c r="D225" s="446"/>
      <c r="E225" s="452"/>
      <c r="F225" s="441"/>
      <c r="G225" s="441"/>
      <c r="H225" s="448"/>
      <c r="I225" s="450"/>
      <c r="J225" s="449"/>
    </row>
    <row r="226" ht="15" customHeight="1" spans="1:10">
      <c r="A226" s="445"/>
      <c r="B226" s="446"/>
      <c r="C226" s="446"/>
      <c r="D226" s="446"/>
      <c r="E226" s="452"/>
      <c r="F226" s="441"/>
      <c r="G226" s="441"/>
      <c r="H226" s="448"/>
      <c r="I226" s="450"/>
      <c r="J226" s="449"/>
    </row>
    <row r="227" ht="15" customHeight="1" spans="1:10">
      <c r="A227" s="445"/>
      <c r="B227" s="446"/>
      <c r="C227" s="446"/>
      <c r="D227" s="446"/>
      <c r="E227" s="452"/>
      <c r="F227" s="441"/>
      <c r="G227" s="441"/>
      <c r="H227" s="448"/>
      <c r="I227" s="450"/>
      <c r="J227" s="449"/>
    </row>
    <row r="228" ht="15" customHeight="1" spans="1:10">
      <c r="A228" s="445"/>
      <c r="B228" s="446"/>
      <c r="C228" s="446"/>
      <c r="D228" s="446"/>
      <c r="E228" s="452"/>
      <c r="F228" s="441"/>
      <c r="G228" s="441"/>
      <c r="H228" s="448"/>
      <c r="I228" s="450"/>
      <c r="J228" s="449"/>
    </row>
    <row r="229" ht="15" customHeight="1" spans="1:10">
      <c r="A229" s="445"/>
      <c r="B229" s="446"/>
      <c r="C229" s="446"/>
      <c r="D229" s="446"/>
      <c r="E229" s="452"/>
      <c r="F229" s="441"/>
      <c r="G229" s="441"/>
      <c r="H229" s="448"/>
      <c r="I229" s="450"/>
      <c r="J229" s="449"/>
    </row>
    <row r="230" ht="15" customHeight="1" spans="1:10">
      <c r="A230" s="445"/>
      <c r="B230" s="446"/>
      <c r="C230" s="446"/>
      <c r="D230" s="446"/>
      <c r="E230" s="452"/>
      <c r="F230" s="441"/>
      <c r="G230" s="441"/>
      <c r="H230" s="448"/>
      <c r="I230" s="450"/>
      <c r="J230" s="449"/>
    </row>
    <row r="231" ht="15" customHeight="1" spans="1:10">
      <c r="A231" s="445"/>
      <c r="B231" s="446"/>
      <c r="C231" s="446"/>
      <c r="D231" s="446"/>
      <c r="E231" s="452"/>
      <c r="F231" s="441"/>
      <c r="G231" s="441"/>
      <c r="H231" s="448"/>
      <c r="I231" s="450"/>
      <c r="J231" s="449"/>
    </row>
    <row r="232" ht="15" customHeight="1" spans="1:10">
      <c r="A232" s="445"/>
      <c r="B232" s="446"/>
      <c r="C232" s="446"/>
      <c r="D232" s="446"/>
      <c r="E232" s="452"/>
      <c r="F232" s="441"/>
      <c r="G232" s="441"/>
      <c r="H232" s="448"/>
      <c r="I232" s="450"/>
      <c r="J232" s="449"/>
    </row>
    <row r="233" ht="15" customHeight="1" spans="1:10">
      <c r="A233" s="445"/>
      <c r="B233" s="446"/>
      <c r="C233" s="446"/>
      <c r="D233" s="446"/>
      <c r="E233" s="452"/>
      <c r="F233" s="441"/>
      <c r="G233" s="441"/>
      <c r="H233" s="448"/>
      <c r="I233" s="450"/>
      <c r="J233" s="449"/>
    </row>
    <row r="234" ht="15" customHeight="1" spans="1:10">
      <c r="A234" s="445"/>
      <c r="B234" s="446"/>
      <c r="C234" s="446"/>
      <c r="D234" s="446"/>
      <c r="E234" s="452"/>
      <c r="F234" s="441"/>
      <c r="G234" s="441"/>
      <c r="H234" s="448"/>
      <c r="I234" s="450"/>
      <c r="J234" s="449"/>
    </row>
    <row r="235" ht="15" customHeight="1" spans="1:10">
      <c r="A235" s="445"/>
      <c r="B235" s="446"/>
      <c r="C235" s="446"/>
      <c r="D235" s="446"/>
      <c r="E235" s="452"/>
      <c r="F235" s="441"/>
      <c r="G235" s="441"/>
      <c r="H235" s="448"/>
      <c r="I235" s="450"/>
      <c r="J235" s="449"/>
    </row>
    <row r="236" ht="15" customHeight="1" spans="1:10">
      <c r="A236" s="445"/>
      <c r="B236" s="446"/>
      <c r="C236" s="446"/>
      <c r="D236" s="446"/>
      <c r="E236" s="452"/>
      <c r="F236" s="441"/>
      <c r="G236" s="441"/>
      <c r="H236" s="448"/>
      <c r="I236" s="450"/>
      <c r="J236" s="449"/>
    </row>
    <row r="237" ht="15" customHeight="1" spans="1:10">
      <c r="A237" s="445"/>
      <c r="B237" s="446"/>
      <c r="C237" s="446"/>
      <c r="D237" s="446"/>
      <c r="E237" s="452"/>
      <c r="F237" s="441"/>
      <c r="G237" s="441"/>
      <c r="H237" s="448"/>
      <c r="I237" s="450"/>
      <c r="J237" s="449"/>
    </row>
    <row r="238" ht="15" customHeight="1" spans="1:10">
      <c r="A238" s="445"/>
      <c r="B238" s="446"/>
      <c r="C238" s="446"/>
      <c r="D238" s="446"/>
      <c r="E238" s="452"/>
      <c r="F238" s="441"/>
      <c r="G238" s="441"/>
      <c r="H238" s="448"/>
      <c r="I238" s="450"/>
      <c r="J238" s="449"/>
    </row>
    <row r="239" ht="15" customHeight="1" spans="1:10">
      <c r="A239" s="445"/>
      <c r="B239" s="446"/>
      <c r="C239" s="446"/>
      <c r="D239" s="446"/>
      <c r="E239" s="452"/>
      <c r="F239" s="441"/>
      <c r="G239" s="441"/>
      <c r="H239" s="448"/>
      <c r="I239" s="450"/>
      <c r="J239" s="449"/>
    </row>
    <row r="240" ht="15" customHeight="1" spans="1:10">
      <c r="A240" s="445"/>
      <c r="B240" s="446"/>
      <c r="C240" s="446"/>
      <c r="D240" s="446"/>
      <c r="E240" s="452"/>
      <c r="F240" s="441"/>
      <c r="G240" s="441"/>
      <c r="H240" s="448"/>
      <c r="I240" s="450"/>
      <c r="J240" s="449"/>
    </row>
    <row r="241" ht="15" customHeight="1" spans="1:10">
      <c r="A241" s="445"/>
      <c r="B241" s="446"/>
      <c r="C241" s="446"/>
      <c r="D241" s="446"/>
      <c r="E241" s="452"/>
      <c r="F241" s="441"/>
      <c r="G241" s="441"/>
      <c r="H241" s="448"/>
      <c r="I241" s="450"/>
      <c r="J241" s="449"/>
    </row>
    <row r="242" ht="15" customHeight="1" spans="1:10">
      <c r="A242" s="445"/>
      <c r="B242" s="446"/>
      <c r="C242" s="446"/>
      <c r="D242" s="446"/>
      <c r="E242" s="452"/>
      <c r="F242" s="441"/>
      <c r="G242" s="441"/>
      <c r="H242" s="448"/>
      <c r="I242" s="450"/>
      <c r="J242" s="449"/>
    </row>
    <row r="243" ht="15" customHeight="1" spans="1:10">
      <c r="A243" s="445"/>
      <c r="B243" s="446"/>
      <c r="C243" s="446"/>
      <c r="D243" s="446"/>
      <c r="E243" s="452"/>
      <c r="F243" s="441"/>
      <c r="G243" s="441"/>
      <c r="H243" s="448"/>
      <c r="I243" s="450"/>
      <c r="J243" s="449"/>
    </row>
    <row r="244" ht="15" customHeight="1" spans="1:10">
      <c r="A244" s="445"/>
      <c r="B244" s="446"/>
      <c r="C244" s="446"/>
      <c r="D244" s="446"/>
      <c r="E244" s="452"/>
      <c r="F244" s="441"/>
      <c r="G244" s="441"/>
      <c r="H244" s="448"/>
      <c r="I244" s="450"/>
      <c r="J244" s="449"/>
    </row>
    <row r="245" ht="15" customHeight="1" spans="1:10">
      <c r="A245" s="445"/>
      <c r="B245" s="446"/>
      <c r="C245" s="446"/>
      <c r="D245" s="446"/>
      <c r="E245" s="452"/>
      <c r="F245" s="441"/>
      <c r="G245" s="441"/>
      <c r="H245" s="448"/>
      <c r="I245" s="450"/>
      <c r="J245" s="449"/>
    </row>
    <row r="246" ht="15" customHeight="1" spans="1:10">
      <c r="A246" s="445"/>
      <c r="B246" s="446"/>
      <c r="C246" s="446"/>
      <c r="D246" s="446"/>
      <c r="E246" s="452"/>
      <c r="F246" s="441"/>
      <c r="G246" s="441"/>
      <c r="H246" s="448"/>
      <c r="I246" s="450"/>
      <c r="J246" s="449"/>
    </row>
    <row r="247" ht="15" customHeight="1" spans="1:10">
      <c r="A247" s="445"/>
      <c r="B247" s="446"/>
      <c r="C247" s="446"/>
      <c r="D247" s="446"/>
      <c r="E247" s="452"/>
      <c r="F247" s="441"/>
      <c r="G247" s="441"/>
      <c r="H247" s="448"/>
      <c r="I247" s="450"/>
      <c r="J247" s="449"/>
    </row>
    <row r="248" ht="15" customHeight="1" spans="1:10">
      <c r="A248" s="445"/>
      <c r="B248" s="446"/>
      <c r="C248" s="446"/>
      <c r="D248" s="446"/>
      <c r="E248" s="452"/>
      <c r="F248" s="441"/>
      <c r="G248" s="441"/>
      <c r="H248" s="448"/>
      <c r="I248" s="450"/>
      <c r="J248" s="449"/>
    </row>
    <row r="249" ht="15" customHeight="1" spans="1:10">
      <c r="A249" s="445"/>
      <c r="B249" s="446"/>
      <c r="C249" s="446"/>
      <c r="D249" s="446"/>
      <c r="E249" s="452"/>
      <c r="F249" s="441"/>
      <c r="G249" s="441"/>
      <c r="H249" s="448"/>
      <c r="I249" s="450"/>
      <c r="J249" s="449"/>
    </row>
    <row r="250" ht="15" customHeight="1" spans="1:10">
      <c r="A250" s="445"/>
      <c r="B250" s="446"/>
      <c r="C250" s="446"/>
      <c r="D250" s="446"/>
      <c r="E250" s="452"/>
      <c r="F250" s="441"/>
      <c r="G250" s="441"/>
      <c r="H250" s="448"/>
      <c r="I250" s="450"/>
      <c r="J250" s="449"/>
    </row>
    <row r="251" ht="15" customHeight="1" spans="1:10">
      <c r="A251" s="445"/>
      <c r="B251" s="446"/>
      <c r="C251" s="446"/>
      <c r="D251" s="446"/>
      <c r="E251" s="452"/>
      <c r="F251" s="441"/>
      <c r="G251" s="441"/>
      <c r="H251" s="448"/>
      <c r="I251" s="450"/>
      <c r="J251" s="449"/>
    </row>
    <row r="252" ht="15" customHeight="1" spans="1:10">
      <c r="A252" s="445"/>
      <c r="B252" s="446"/>
      <c r="C252" s="446"/>
      <c r="D252" s="446"/>
      <c r="E252" s="452"/>
      <c r="F252" s="441"/>
      <c r="G252" s="441"/>
      <c r="H252" s="448"/>
      <c r="I252" s="450"/>
      <c r="J252" s="449"/>
    </row>
    <row r="253" ht="15" customHeight="1" spans="1:10">
      <c r="A253" s="445"/>
      <c r="B253" s="446"/>
      <c r="C253" s="446"/>
      <c r="D253" s="446"/>
      <c r="E253" s="452"/>
      <c r="F253" s="441"/>
      <c r="G253" s="441"/>
      <c r="H253" s="448"/>
      <c r="I253" s="450"/>
      <c r="J253" s="449"/>
    </row>
    <row r="254" ht="15" customHeight="1" spans="1:10">
      <c r="A254" s="445"/>
      <c r="B254" s="446"/>
      <c r="C254" s="446"/>
      <c r="D254" s="446"/>
      <c r="E254" s="452"/>
      <c r="F254" s="441"/>
      <c r="G254" s="441"/>
      <c r="H254" s="448"/>
      <c r="I254" s="450"/>
      <c r="J254" s="449"/>
    </row>
    <row r="255" ht="15" customHeight="1" spans="1:10">
      <c r="A255" s="445"/>
      <c r="B255" s="446"/>
      <c r="C255" s="446"/>
      <c r="D255" s="446"/>
      <c r="E255" s="452"/>
      <c r="F255" s="441"/>
      <c r="G255" s="441"/>
      <c r="H255" s="448"/>
      <c r="I255" s="450"/>
      <c r="J255" s="449"/>
    </row>
    <row r="256" ht="15" customHeight="1" spans="1:10">
      <c r="A256" s="445"/>
      <c r="B256" s="446"/>
      <c r="C256" s="446"/>
      <c r="D256" s="446"/>
      <c r="E256" s="452"/>
      <c r="F256" s="441"/>
      <c r="G256" s="441"/>
      <c r="H256" s="448"/>
      <c r="I256" s="450"/>
      <c r="J256" s="449"/>
    </row>
    <row r="257" ht="15" customHeight="1" spans="1:10">
      <c r="A257" s="445"/>
      <c r="B257" s="446"/>
      <c r="C257" s="446"/>
      <c r="D257" s="446"/>
      <c r="E257" s="452"/>
      <c r="F257" s="441"/>
      <c r="G257" s="441"/>
      <c r="H257" s="448"/>
      <c r="I257" s="450"/>
      <c r="J257" s="449"/>
    </row>
    <row r="258" ht="15" customHeight="1" spans="1:10">
      <c r="A258" s="445"/>
      <c r="B258" s="446"/>
      <c r="C258" s="446"/>
      <c r="D258" s="446"/>
      <c r="E258" s="452"/>
      <c r="F258" s="441"/>
      <c r="G258" s="441"/>
      <c r="H258" s="448"/>
      <c r="I258" s="450"/>
      <c r="J258" s="449"/>
    </row>
    <row r="259" ht="15" customHeight="1" spans="1:10">
      <c r="A259" s="445"/>
      <c r="B259" s="446"/>
      <c r="C259" s="446"/>
      <c r="D259" s="446"/>
      <c r="E259" s="452"/>
      <c r="F259" s="441"/>
      <c r="G259" s="441"/>
      <c r="H259" s="448"/>
      <c r="I259" s="450"/>
      <c r="J259" s="449"/>
    </row>
    <row r="260" ht="15" customHeight="1" spans="1:10">
      <c r="A260" s="445"/>
      <c r="B260" s="446"/>
      <c r="C260" s="446"/>
      <c r="D260" s="446"/>
      <c r="E260" s="452"/>
      <c r="F260" s="441"/>
      <c r="G260" s="441"/>
      <c r="H260" s="448"/>
      <c r="I260" s="450"/>
      <c r="J260" s="449"/>
    </row>
    <row r="261" ht="15" customHeight="1" spans="1:10">
      <c r="A261" s="445"/>
      <c r="B261" s="446"/>
      <c r="C261" s="446"/>
      <c r="D261" s="446"/>
      <c r="E261" s="452"/>
      <c r="F261" s="441"/>
      <c r="G261" s="441"/>
      <c r="H261" s="448"/>
      <c r="I261" s="450"/>
      <c r="J261" s="449"/>
    </row>
    <row r="262" ht="15" customHeight="1" spans="1:10">
      <c r="A262" s="445"/>
      <c r="B262" s="446"/>
      <c r="C262" s="446"/>
      <c r="D262" s="446"/>
      <c r="E262" s="452"/>
      <c r="F262" s="441"/>
      <c r="G262" s="441"/>
      <c r="H262" s="448"/>
      <c r="I262" s="450"/>
      <c r="J262" s="449"/>
    </row>
    <row r="263" ht="15" customHeight="1" spans="1:10">
      <c r="A263" s="445"/>
      <c r="B263" s="446"/>
      <c r="C263" s="446"/>
      <c r="D263" s="446"/>
      <c r="E263" s="452"/>
      <c r="F263" s="441"/>
      <c r="G263" s="441"/>
      <c r="H263" s="448"/>
      <c r="I263" s="450"/>
      <c r="J263" s="449"/>
    </row>
    <row r="264" ht="15" customHeight="1" spans="1:10">
      <c r="A264" s="445"/>
      <c r="B264" s="446"/>
      <c r="C264" s="446"/>
      <c r="D264" s="446"/>
      <c r="E264" s="452"/>
      <c r="F264" s="441"/>
      <c r="G264" s="441"/>
      <c r="H264" s="448"/>
      <c r="I264" s="450"/>
      <c r="J264" s="449"/>
    </row>
    <row r="265" ht="15" customHeight="1" spans="1:10">
      <c r="A265" s="445"/>
      <c r="B265" s="446"/>
      <c r="C265" s="446"/>
      <c r="D265" s="446"/>
      <c r="E265" s="452"/>
      <c r="F265" s="441"/>
      <c r="G265" s="441"/>
      <c r="H265" s="448"/>
      <c r="I265" s="450"/>
      <c r="J265" s="449"/>
    </row>
    <row r="266" ht="15" customHeight="1" spans="1:10">
      <c r="A266" s="445"/>
      <c r="B266" s="446"/>
      <c r="C266" s="446"/>
      <c r="D266" s="446"/>
      <c r="E266" s="452"/>
      <c r="F266" s="441"/>
      <c r="G266" s="441"/>
      <c r="H266" s="448"/>
      <c r="I266" s="450"/>
      <c r="J266" s="449"/>
    </row>
    <row r="267" ht="15" customHeight="1" spans="1:10">
      <c r="A267" s="445"/>
      <c r="B267" s="446"/>
      <c r="C267" s="446"/>
      <c r="D267" s="446"/>
      <c r="E267" s="452"/>
      <c r="F267" s="441"/>
      <c r="G267" s="441"/>
      <c r="H267" s="448"/>
      <c r="I267" s="450"/>
      <c r="J267" s="449"/>
    </row>
    <row r="268" ht="15" customHeight="1" spans="1:10">
      <c r="A268" s="445"/>
      <c r="B268" s="446"/>
      <c r="C268" s="446"/>
      <c r="D268" s="446"/>
      <c r="E268" s="452"/>
      <c r="F268" s="441"/>
      <c r="G268" s="441"/>
      <c r="H268" s="448"/>
      <c r="I268" s="450"/>
      <c r="J268" s="449"/>
    </row>
    <row r="269" ht="15" customHeight="1" spans="1:10">
      <c r="A269" s="445"/>
      <c r="B269" s="446"/>
      <c r="C269" s="446"/>
      <c r="D269" s="446"/>
      <c r="E269" s="452"/>
      <c r="F269" s="441"/>
      <c r="G269" s="441"/>
      <c r="H269" s="448"/>
      <c r="I269" s="450"/>
      <c r="J269" s="449"/>
    </row>
    <row r="270" ht="15" customHeight="1" spans="1:10">
      <c r="A270" s="445"/>
      <c r="B270" s="446"/>
      <c r="C270" s="446"/>
      <c r="D270" s="446"/>
      <c r="E270" s="452"/>
      <c r="F270" s="441"/>
      <c r="G270" s="441"/>
      <c r="H270" s="448"/>
      <c r="I270" s="450"/>
      <c r="J270" s="449"/>
    </row>
    <row r="271" ht="15" customHeight="1" spans="1:10">
      <c r="A271" s="445"/>
      <c r="B271" s="446"/>
      <c r="C271" s="446"/>
      <c r="D271" s="446"/>
      <c r="E271" s="452"/>
      <c r="F271" s="441"/>
      <c r="G271" s="441"/>
      <c r="H271" s="448"/>
      <c r="I271" s="450"/>
      <c r="J271" s="449"/>
    </row>
    <row r="272" ht="15" customHeight="1" spans="1:10">
      <c r="A272" s="445"/>
      <c r="B272" s="446"/>
      <c r="C272" s="446"/>
      <c r="D272" s="446"/>
      <c r="E272" s="452"/>
      <c r="F272" s="441"/>
      <c r="G272" s="441"/>
      <c r="H272" s="448"/>
      <c r="I272" s="450"/>
      <c r="J272" s="449"/>
    </row>
    <row r="273" ht="15" customHeight="1" spans="1:10">
      <c r="A273" s="445"/>
      <c r="B273" s="446"/>
      <c r="C273" s="446"/>
      <c r="D273" s="446"/>
      <c r="E273" s="452"/>
      <c r="F273" s="441"/>
      <c r="G273" s="441"/>
      <c r="H273" s="448"/>
      <c r="I273" s="450"/>
      <c r="J273" s="449"/>
    </row>
    <row r="274" ht="15" customHeight="1" spans="1:10">
      <c r="A274" s="445"/>
      <c r="B274" s="446"/>
      <c r="C274" s="446"/>
      <c r="D274" s="446"/>
      <c r="E274" s="452"/>
      <c r="F274" s="441"/>
      <c r="G274" s="441"/>
      <c r="H274" s="448"/>
      <c r="I274" s="450"/>
      <c r="J274" s="449"/>
    </row>
    <row r="275" ht="15" customHeight="1" spans="1:10">
      <c r="A275" s="445"/>
      <c r="B275" s="446"/>
      <c r="C275" s="446"/>
      <c r="D275" s="446"/>
      <c r="E275" s="452"/>
      <c r="F275" s="441"/>
      <c r="G275" s="441"/>
      <c r="H275" s="448"/>
      <c r="I275" s="450"/>
      <c r="J275" s="449"/>
    </row>
    <row r="276" ht="15" customHeight="1" spans="1:10">
      <c r="A276" s="445"/>
      <c r="B276" s="446"/>
      <c r="C276" s="446"/>
      <c r="D276" s="446"/>
      <c r="E276" s="452"/>
      <c r="F276" s="441"/>
      <c r="G276" s="441"/>
      <c r="H276" s="448"/>
      <c r="I276" s="450"/>
      <c r="J276" s="449"/>
    </row>
    <row r="277" ht="15" customHeight="1" spans="1:10">
      <c r="A277" s="445"/>
      <c r="B277" s="446"/>
      <c r="C277" s="446"/>
      <c r="D277" s="446"/>
      <c r="E277" s="452"/>
      <c r="F277" s="441"/>
      <c r="G277" s="441"/>
      <c r="H277" s="448"/>
      <c r="I277" s="450"/>
      <c r="J277" s="449"/>
    </row>
    <row r="278" ht="15" customHeight="1" spans="1:10">
      <c r="A278" s="445"/>
      <c r="B278" s="446"/>
      <c r="C278" s="446"/>
      <c r="D278" s="446"/>
      <c r="E278" s="452"/>
      <c r="F278" s="441"/>
      <c r="G278" s="441"/>
      <c r="H278" s="448"/>
      <c r="I278" s="450"/>
      <c r="J278" s="449"/>
    </row>
    <row r="279" ht="15" customHeight="1" spans="1:10">
      <c r="A279" s="445"/>
      <c r="B279" s="446"/>
      <c r="C279" s="446"/>
      <c r="D279" s="446"/>
      <c r="E279" s="452"/>
      <c r="F279" s="441"/>
      <c r="G279" s="441"/>
      <c r="H279" s="448"/>
      <c r="I279" s="450"/>
      <c r="J279" s="449"/>
    </row>
    <row r="280" ht="15" customHeight="1" spans="1:10">
      <c r="A280" s="445"/>
      <c r="B280" s="446"/>
      <c r="C280" s="446"/>
      <c r="D280" s="446"/>
      <c r="E280" s="452"/>
      <c r="F280" s="441"/>
      <c r="G280" s="441"/>
      <c r="H280" s="448"/>
      <c r="I280" s="450"/>
      <c r="J280" s="449"/>
    </row>
    <row r="281" ht="15" customHeight="1" spans="1:10">
      <c r="A281" s="445"/>
      <c r="B281" s="446"/>
      <c r="C281" s="446"/>
      <c r="D281" s="446"/>
      <c r="E281" s="452"/>
      <c r="F281" s="441"/>
      <c r="G281" s="441"/>
      <c r="H281" s="448"/>
      <c r="I281" s="450"/>
      <c r="J281" s="449"/>
    </row>
    <row r="282" ht="15" customHeight="1" spans="1:10">
      <c r="A282" s="445"/>
      <c r="B282" s="446"/>
      <c r="C282" s="446"/>
      <c r="D282" s="446"/>
      <c r="E282" s="452"/>
      <c r="F282" s="441"/>
      <c r="G282" s="441"/>
      <c r="H282" s="448"/>
      <c r="I282" s="450"/>
      <c r="J282" s="449"/>
    </row>
    <row r="283" ht="15" customHeight="1" spans="1:10">
      <c r="A283" s="445"/>
      <c r="B283" s="446"/>
      <c r="C283" s="446"/>
      <c r="D283" s="446"/>
      <c r="E283" s="452"/>
      <c r="F283" s="441"/>
      <c r="G283" s="441"/>
      <c r="H283" s="448"/>
      <c r="I283" s="450"/>
      <c r="J283" s="449"/>
    </row>
    <row r="284" ht="15" customHeight="1" spans="1:10">
      <c r="A284" s="445"/>
      <c r="B284" s="446"/>
      <c r="C284" s="446"/>
      <c r="D284" s="446"/>
      <c r="E284" s="452"/>
      <c r="F284" s="441"/>
      <c r="G284" s="441"/>
      <c r="H284" s="448"/>
      <c r="I284" s="450"/>
      <c r="J284" s="449"/>
    </row>
    <row r="285" ht="15" customHeight="1" spans="1:10">
      <c r="A285" s="445"/>
      <c r="B285" s="446"/>
      <c r="C285" s="446"/>
      <c r="D285" s="446"/>
      <c r="E285" s="452"/>
      <c r="F285" s="441"/>
      <c r="G285" s="441"/>
      <c r="H285" s="448"/>
      <c r="I285" s="450"/>
      <c r="J285" s="449"/>
    </row>
    <row r="286" ht="15" customHeight="1" spans="1:10">
      <c r="A286" s="445"/>
      <c r="B286" s="446"/>
      <c r="C286" s="446"/>
      <c r="D286" s="446"/>
      <c r="E286" s="452"/>
      <c r="F286" s="441"/>
      <c r="G286" s="441"/>
      <c r="H286" s="448"/>
      <c r="I286" s="450"/>
      <c r="J286" s="449"/>
    </row>
    <row r="287" ht="15" customHeight="1" spans="1:10">
      <c r="A287" s="445"/>
      <c r="B287" s="446"/>
      <c r="C287" s="446"/>
      <c r="D287" s="446"/>
      <c r="E287" s="452"/>
      <c r="F287" s="441"/>
      <c r="G287" s="441"/>
      <c r="H287" s="448"/>
      <c r="I287" s="450"/>
      <c r="J287" s="449"/>
    </row>
    <row r="288" ht="15" customHeight="1" spans="1:10">
      <c r="A288" s="445"/>
      <c r="B288" s="446"/>
      <c r="C288" s="446"/>
      <c r="D288" s="446"/>
      <c r="E288" s="452"/>
      <c r="F288" s="441"/>
      <c r="G288" s="441"/>
      <c r="H288" s="448"/>
      <c r="I288" s="450"/>
      <c r="J288" s="449"/>
    </row>
    <row r="289" ht="15" customHeight="1" spans="1:10">
      <c r="A289" s="445"/>
      <c r="B289" s="446"/>
      <c r="C289" s="446"/>
      <c r="D289" s="446"/>
      <c r="E289" s="452"/>
      <c r="F289" s="441"/>
      <c r="G289" s="441"/>
      <c r="H289" s="448"/>
      <c r="I289" s="450"/>
      <c r="J289" s="449"/>
    </row>
    <row r="290" ht="15" customHeight="1" spans="1:10">
      <c r="A290" s="445"/>
      <c r="B290" s="446"/>
      <c r="C290" s="446"/>
      <c r="D290" s="446"/>
      <c r="E290" s="452"/>
      <c r="F290" s="441"/>
      <c r="G290" s="441"/>
      <c r="H290" s="448"/>
      <c r="I290" s="450"/>
      <c r="J290" s="449"/>
    </row>
    <row r="291" ht="15" customHeight="1" spans="1:10">
      <c r="A291" s="445"/>
      <c r="B291" s="446"/>
      <c r="C291" s="446"/>
      <c r="D291" s="446"/>
      <c r="E291" s="452"/>
      <c r="F291" s="441"/>
      <c r="G291" s="441"/>
      <c r="H291" s="448"/>
      <c r="I291" s="450"/>
      <c r="J291" s="449"/>
    </row>
    <row r="292" ht="15" customHeight="1" spans="1:10">
      <c r="A292" s="445"/>
      <c r="B292" s="446"/>
      <c r="C292" s="446"/>
      <c r="D292" s="446"/>
      <c r="E292" s="452"/>
      <c r="F292" s="441"/>
      <c r="G292" s="441"/>
      <c r="H292" s="448"/>
      <c r="I292" s="450"/>
      <c r="J292" s="449"/>
    </row>
    <row r="293" ht="15" customHeight="1" spans="1:10">
      <c r="A293" s="445"/>
      <c r="B293" s="446"/>
      <c r="C293" s="446"/>
      <c r="D293" s="446"/>
      <c r="E293" s="452"/>
      <c r="F293" s="441"/>
      <c r="G293" s="441"/>
      <c r="H293" s="448"/>
      <c r="I293" s="450"/>
      <c r="J293" s="449"/>
    </row>
    <row r="294" ht="15" customHeight="1" spans="1:10">
      <c r="A294" s="445"/>
      <c r="B294" s="446"/>
      <c r="C294" s="446"/>
      <c r="D294" s="446"/>
      <c r="E294" s="452"/>
      <c r="F294" s="441"/>
      <c r="G294" s="441"/>
      <c r="H294" s="448"/>
      <c r="I294" s="450"/>
      <c r="J294" s="449"/>
    </row>
    <row r="295" ht="15" customHeight="1" spans="1:10">
      <c r="A295" s="445"/>
      <c r="B295" s="446"/>
      <c r="C295" s="446"/>
      <c r="D295" s="446"/>
      <c r="E295" s="452"/>
      <c r="F295" s="441"/>
      <c r="G295" s="441"/>
      <c r="H295" s="448"/>
      <c r="I295" s="450"/>
      <c r="J295" s="449"/>
    </row>
    <row r="296" ht="15" customHeight="1" spans="1:10">
      <c r="A296" s="445"/>
      <c r="B296" s="446"/>
      <c r="C296" s="446"/>
      <c r="D296" s="446"/>
      <c r="E296" s="452"/>
      <c r="F296" s="441"/>
      <c r="G296" s="441"/>
      <c r="H296" s="448"/>
      <c r="I296" s="450"/>
      <c r="J296" s="449"/>
    </row>
    <row r="297" ht="15" customHeight="1" spans="1:10">
      <c r="A297" s="445"/>
      <c r="B297" s="446"/>
      <c r="C297" s="446"/>
      <c r="D297" s="446"/>
      <c r="E297" s="452"/>
      <c r="F297" s="441"/>
      <c r="G297" s="441"/>
      <c r="H297" s="448"/>
      <c r="I297" s="450"/>
      <c r="J297" s="449"/>
    </row>
    <row r="298" ht="15" customHeight="1" spans="1:10">
      <c r="A298" s="445"/>
      <c r="B298" s="446"/>
      <c r="C298" s="446"/>
      <c r="D298" s="446"/>
      <c r="E298" s="452"/>
      <c r="F298" s="441"/>
      <c r="G298" s="441"/>
      <c r="H298" s="448"/>
      <c r="I298" s="450"/>
      <c r="J298" s="449"/>
    </row>
    <row r="299" ht="15" customHeight="1" spans="1:10">
      <c r="A299" s="445"/>
      <c r="B299" s="446"/>
      <c r="C299" s="446"/>
      <c r="D299" s="446"/>
      <c r="E299" s="452"/>
      <c r="F299" s="441"/>
      <c r="G299" s="441"/>
      <c r="H299" s="448"/>
      <c r="I299" s="450"/>
      <c r="J299" s="449"/>
    </row>
    <row r="300" ht="15" customHeight="1" spans="1:10">
      <c r="A300" s="445"/>
      <c r="B300" s="446"/>
      <c r="C300" s="446"/>
      <c r="D300" s="446"/>
      <c r="E300" s="452"/>
      <c r="F300" s="441"/>
      <c r="G300" s="441"/>
      <c r="H300" s="448"/>
      <c r="I300" s="450"/>
      <c r="J300" s="449"/>
    </row>
    <row r="301" ht="15" customHeight="1" spans="1:10">
      <c r="A301" s="445"/>
      <c r="B301" s="446"/>
      <c r="C301" s="446"/>
      <c r="D301" s="446"/>
      <c r="E301" s="452"/>
      <c r="F301" s="441"/>
      <c r="G301" s="441"/>
      <c r="H301" s="448"/>
      <c r="I301" s="450"/>
      <c r="J301" s="449"/>
    </row>
    <row r="302" ht="15" customHeight="1" spans="1:10">
      <c r="A302" s="445"/>
      <c r="B302" s="446"/>
      <c r="C302" s="446"/>
      <c r="D302" s="446"/>
      <c r="E302" s="452"/>
      <c r="F302" s="441"/>
      <c r="G302" s="441"/>
      <c r="H302" s="448"/>
      <c r="I302" s="450"/>
      <c r="J302" s="449"/>
    </row>
    <row r="303" ht="15" customHeight="1" spans="1:10">
      <c r="A303" s="445"/>
      <c r="B303" s="446"/>
      <c r="C303" s="446"/>
      <c r="D303" s="446"/>
      <c r="E303" s="452"/>
      <c r="F303" s="441"/>
      <c r="G303" s="441"/>
      <c r="H303" s="448"/>
      <c r="I303" s="450"/>
      <c r="J303" s="449"/>
    </row>
    <row r="304" ht="15" customHeight="1" spans="1:10">
      <c r="A304" s="445"/>
      <c r="B304" s="446"/>
      <c r="C304" s="446"/>
      <c r="D304" s="446"/>
      <c r="E304" s="452"/>
      <c r="F304" s="441"/>
      <c r="G304" s="441"/>
      <c r="H304" s="448"/>
      <c r="I304" s="450"/>
      <c r="J304" s="449"/>
    </row>
    <row r="305" ht="15" customHeight="1" spans="1:10">
      <c r="A305" s="445"/>
      <c r="B305" s="446"/>
      <c r="C305" s="446"/>
      <c r="D305" s="446"/>
      <c r="E305" s="452"/>
      <c r="F305" s="441"/>
      <c r="G305" s="441"/>
      <c r="H305" s="448"/>
      <c r="I305" s="450"/>
      <c r="J305" s="449"/>
    </row>
    <row r="306" ht="15" customHeight="1" spans="1:10">
      <c r="A306" s="445"/>
      <c r="B306" s="446"/>
      <c r="C306" s="446"/>
      <c r="D306" s="446"/>
      <c r="E306" s="452"/>
      <c r="F306" s="441"/>
      <c r="G306" s="441"/>
      <c r="H306" s="448"/>
      <c r="I306" s="450"/>
      <c r="J306" s="449"/>
    </row>
    <row r="307" ht="15" customHeight="1" spans="1:10">
      <c r="A307" s="445"/>
      <c r="B307" s="446"/>
      <c r="C307" s="446"/>
      <c r="D307" s="446"/>
      <c r="E307" s="452"/>
      <c r="F307" s="441"/>
      <c r="G307" s="441"/>
      <c r="H307" s="448"/>
      <c r="I307" s="450"/>
      <c r="J307" s="449"/>
    </row>
    <row r="308" ht="15" customHeight="1" spans="1:10">
      <c r="A308" s="445"/>
      <c r="B308" s="446"/>
      <c r="C308" s="446"/>
      <c r="D308" s="446"/>
      <c r="E308" s="452"/>
      <c r="F308" s="441"/>
      <c r="G308" s="441"/>
      <c r="H308" s="448"/>
      <c r="I308" s="450"/>
      <c r="J308" s="449"/>
    </row>
    <row r="309" ht="15" customHeight="1" spans="1:10">
      <c r="A309" s="445"/>
      <c r="B309" s="446"/>
      <c r="C309" s="446"/>
      <c r="D309" s="446"/>
      <c r="E309" s="452"/>
      <c r="F309" s="441"/>
      <c r="G309" s="441"/>
      <c r="H309" s="448"/>
      <c r="I309" s="450"/>
      <c r="J309" s="449"/>
    </row>
    <row r="310" ht="15" customHeight="1" spans="1:10">
      <c r="A310" s="445"/>
      <c r="B310" s="446"/>
      <c r="C310" s="446"/>
      <c r="D310" s="446"/>
      <c r="E310" s="452"/>
      <c r="F310" s="441"/>
      <c r="G310" s="441"/>
      <c r="H310" s="448"/>
      <c r="I310" s="450"/>
      <c r="J310" s="449"/>
    </row>
    <row r="311" ht="15" customHeight="1" spans="1:10">
      <c r="A311" s="445"/>
      <c r="B311" s="446"/>
      <c r="C311" s="446"/>
      <c r="D311" s="446"/>
      <c r="E311" s="452"/>
      <c r="F311" s="441"/>
      <c r="G311" s="441"/>
      <c r="H311" s="448"/>
      <c r="I311" s="450"/>
      <c r="J311" s="449"/>
    </row>
    <row r="312" ht="15" customHeight="1" spans="1:10">
      <c r="A312" s="445"/>
      <c r="B312" s="446"/>
      <c r="C312" s="446"/>
      <c r="D312" s="446"/>
      <c r="E312" s="452"/>
      <c r="F312" s="441"/>
      <c r="G312" s="441"/>
      <c r="H312" s="448"/>
      <c r="I312" s="450"/>
      <c r="J312" s="449"/>
    </row>
    <row r="313" ht="15" customHeight="1" spans="1:10">
      <c r="A313" s="445"/>
      <c r="B313" s="446"/>
      <c r="C313" s="446"/>
      <c r="D313" s="446"/>
      <c r="E313" s="452"/>
      <c r="F313" s="441"/>
      <c r="G313" s="441"/>
      <c r="H313" s="448"/>
      <c r="I313" s="450"/>
      <c r="J313" s="449"/>
    </row>
    <row r="314" ht="15" customHeight="1" spans="1:10">
      <c r="A314" s="445"/>
      <c r="B314" s="446"/>
      <c r="C314" s="446"/>
      <c r="D314" s="446"/>
      <c r="E314" s="452"/>
      <c r="F314" s="441"/>
      <c r="G314" s="441"/>
      <c r="H314" s="448"/>
      <c r="I314" s="450"/>
      <c r="J314" s="449"/>
    </row>
    <row r="315" ht="15" customHeight="1" spans="1:10">
      <c r="A315" s="445"/>
      <c r="B315" s="446"/>
      <c r="C315" s="446"/>
      <c r="D315" s="446"/>
      <c r="E315" s="452"/>
      <c r="F315" s="441"/>
      <c r="G315" s="441"/>
      <c r="H315" s="448"/>
      <c r="I315" s="450"/>
      <c r="J315" s="449"/>
    </row>
    <row r="316" ht="15" customHeight="1" spans="1:10">
      <c r="A316" s="445"/>
      <c r="B316" s="446"/>
      <c r="C316" s="446"/>
      <c r="D316" s="446"/>
      <c r="E316" s="452"/>
      <c r="F316" s="441"/>
      <c r="G316" s="441"/>
      <c r="H316" s="448"/>
      <c r="I316" s="450"/>
      <c r="J316" s="449"/>
    </row>
    <row r="317" ht="15" customHeight="1" spans="1:10">
      <c r="A317" s="445"/>
      <c r="B317" s="446"/>
      <c r="C317" s="446"/>
      <c r="D317" s="446"/>
      <c r="E317" s="452"/>
      <c r="F317" s="441"/>
      <c r="G317" s="441"/>
      <c r="H317" s="448"/>
      <c r="I317" s="450"/>
      <c r="J317" s="449"/>
    </row>
    <row r="318" ht="15" customHeight="1" spans="1:10">
      <c r="A318" s="445"/>
      <c r="B318" s="446"/>
      <c r="C318" s="446"/>
      <c r="D318" s="446"/>
      <c r="E318" s="452"/>
      <c r="F318" s="441"/>
      <c r="G318" s="441"/>
      <c r="H318" s="448"/>
      <c r="I318" s="450"/>
      <c r="J318" s="449"/>
    </row>
    <row r="319" ht="15" customHeight="1" spans="1:10">
      <c r="A319" s="445"/>
      <c r="B319" s="446"/>
      <c r="C319" s="446"/>
      <c r="D319" s="446"/>
      <c r="E319" s="452"/>
      <c r="F319" s="441"/>
      <c r="G319" s="441"/>
      <c r="H319" s="448"/>
      <c r="I319" s="450"/>
      <c r="J319" s="449"/>
    </row>
    <row r="320" ht="15" customHeight="1" spans="1:10">
      <c r="A320" s="445"/>
      <c r="B320" s="446"/>
      <c r="C320" s="446"/>
      <c r="D320" s="446"/>
      <c r="E320" s="452"/>
      <c r="F320" s="441"/>
      <c r="G320" s="441"/>
      <c r="H320" s="448"/>
      <c r="I320" s="450"/>
      <c r="J320" s="449"/>
    </row>
    <row r="321" ht="15" customHeight="1" spans="1:10">
      <c r="A321" s="445"/>
      <c r="B321" s="446"/>
      <c r="C321" s="446"/>
      <c r="D321" s="446"/>
      <c r="E321" s="452"/>
      <c r="F321" s="441"/>
      <c r="G321" s="441"/>
      <c r="H321" s="448"/>
      <c r="I321" s="450"/>
      <c r="J321" s="449"/>
    </row>
    <row r="322" ht="15" customHeight="1" spans="1:10">
      <c r="A322" s="445"/>
      <c r="B322" s="446"/>
      <c r="C322" s="446"/>
      <c r="D322" s="446"/>
      <c r="E322" s="452"/>
      <c r="F322" s="441"/>
      <c r="G322" s="441"/>
      <c r="H322" s="448"/>
      <c r="I322" s="450"/>
      <c r="J322" s="449"/>
    </row>
    <row r="323" ht="15" customHeight="1" spans="1:10">
      <c r="A323" s="445"/>
      <c r="B323" s="446"/>
      <c r="C323" s="446"/>
      <c r="D323" s="446"/>
      <c r="E323" s="452"/>
      <c r="F323" s="441"/>
      <c r="G323" s="441"/>
      <c r="H323" s="448"/>
      <c r="I323" s="450"/>
      <c r="J323" s="449"/>
    </row>
    <row r="324" ht="15" customHeight="1" spans="1:10">
      <c r="A324" s="445"/>
      <c r="B324" s="446"/>
      <c r="C324" s="446"/>
      <c r="D324" s="446"/>
      <c r="E324" s="452"/>
      <c r="F324" s="441"/>
      <c r="G324" s="441"/>
      <c r="H324" s="448"/>
      <c r="I324" s="450"/>
      <c r="J324" s="449"/>
    </row>
    <row r="325" ht="15" customHeight="1" spans="1:10">
      <c r="A325" s="445"/>
      <c r="B325" s="446"/>
      <c r="C325" s="446"/>
      <c r="D325" s="446"/>
      <c r="E325" s="452"/>
      <c r="F325" s="441"/>
      <c r="G325" s="441"/>
      <c r="H325" s="448"/>
      <c r="I325" s="450"/>
      <c r="J325" s="449"/>
    </row>
    <row r="326" ht="15" customHeight="1" spans="1:10">
      <c r="A326" s="445"/>
      <c r="B326" s="446"/>
      <c r="C326" s="446"/>
      <c r="D326" s="446"/>
      <c r="E326" s="452"/>
      <c r="F326" s="441"/>
      <c r="G326" s="441"/>
      <c r="H326" s="448"/>
      <c r="I326" s="450"/>
      <c r="J326" s="449"/>
    </row>
    <row r="327" ht="15" customHeight="1" spans="1:10">
      <c r="A327" s="445"/>
      <c r="B327" s="446"/>
      <c r="C327" s="446"/>
      <c r="D327" s="446"/>
      <c r="E327" s="452"/>
      <c r="F327" s="441"/>
      <c r="G327" s="441"/>
      <c r="H327" s="448"/>
      <c r="I327" s="450"/>
      <c r="J327" s="449"/>
    </row>
    <row r="328" ht="15" customHeight="1" spans="1:10">
      <c r="A328" s="445"/>
      <c r="B328" s="446"/>
      <c r="C328" s="446"/>
      <c r="D328" s="446"/>
      <c r="E328" s="452"/>
      <c r="F328" s="441"/>
      <c r="G328" s="441"/>
      <c r="H328" s="448"/>
      <c r="I328" s="450"/>
      <c r="J328" s="449"/>
    </row>
    <row r="329" ht="15" customHeight="1" spans="1:10">
      <c r="A329" s="445"/>
      <c r="B329" s="446"/>
      <c r="C329" s="446"/>
      <c r="D329" s="446"/>
      <c r="E329" s="452"/>
      <c r="F329" s="441"/>
      <c r="G329" s="441"/>
      <c r="H329" s="448"/>
      <c r="I329" s="450"/>
      <c r="J329" s="449"/>
    </row>
    <row r="330" ht="15" customHeight="1" spans="1:10">
      <c r="A330" s="445"/>
      <c r="B330" s="446"/>
      <c r="C330" s="446"/>
      <c r="D330" s="446"/>
      <c r="E330" s="452"/>
      <c r="F330" s="441"/>
      <c r="G330" s="441"/>
      <c r="H330" s="448"/>
      <c r="I330" s="450"/>
      <c r="J330" s="449"/>
    </row>
    <row r="331" ht="15" customHeight="1" spans="1:10">
      <c r="A331" s="445"/>
      <c r="B331" s="446"/>
      <c r="C331" s="446"/>
      <c r="D331" s="446"/>
      <c r="E331" s="452"/>
      <c r="F331" s="441"/>
      <c r="G331" s="441"/>
      <c r="H331" s="448"/>
      <c r="I331" s="450"/>
      <c r="J331" s="449"/>
    </row>
    <row r="332" ht="15" customHeight="1" spans="1:10">
      <c r="A332" s="445"/>
      <c r="B332" s="446"/>
      <c r="C332" s="446"/>
      <c r="D332" s="446"/>
      <c r="E332" s="452"/>
      <c r="F332" s="441"/>
      <c r="G332" s="441"/>
      <c r="H332" s="448"/>
      <c r="I332" s="450"/>
      <c r="J332" s="449"/>
    </row>
    <row r="333" ht="15" customHeight="1" spans="1:10">
      <c r="A333" s="445"/>
      <c r="B333" s="446"/>
      <c r="C333" s="446"/>
      <c r="D333" s="446"/>
      <c r="E333" s="452"/>
      <c r="F333" s="441"/>
      <c r="G333" s="441"/>
      <c r="H333" s="448"/>
      <c r="I333" s="450"/>
      <c r="J333" s="449"/>
    </row>
    <row r="334" ht="15" customHeight="1" spans="1:10">
      <c r="A334" s="445"/>
      <c r="B334" s="446"/>
      <c r="C334" s="446"/>
      <c r="D334" s="446"/>
      <c r="E334" s="452"/>
      <c r="F334" s="441"/>
      <c r="G334" s="441"/>
      <c r="H334" s="448"/>
      <c r="I334" s="450"/>
      <c r="J334" s="449"/>
    </row>
    <row r="335" ht="15" customHeight="1" spans="1:10">
      <c r="A335" s="445"/>
      <c r="B335" s="446"/>
      <c r="C335" s="446"/>
      <c r="D335" s="446"/>
      <c r="E335" s="452"/>
      <c r="F335" s="441"/>
      <c r="G335" s="441"/>
      <c r="H335" s="448"/>
      <c r="I335" s="450"/>
      <c r="J335" s="449"/>
    </row>
    <row r="336" ht="15" customHeight="1" spans="1:10">
      <c r="A336" s="445"/>
      <c r="B336" s="446"/>
      <c r="C336" s="446"/>
      <c r="D336" s="446"/>
      <c r="E336" s="452"/>
      <c r="F336" s="441"/>
      <c r="G336" s="441"/>
      <c r="H336" s="448"/>
      <c r="I336" s="450"/>
      <c r="J336" s="449"/>
    </row>
    <row r="337" ht="15" customHeight="1" spans="1:10">
      <c r="A337" s="445"/>
      <c r="B337" s="446"/>
      <c r="C337" s="446"/>
      <c r="D337" s="446"/>
      <c r="E337" s="452"/>
      <c r="F337" s="441"/>
      <c r="G337" s="441"/>
      <c r="H337" s="448"/>
      <c r="I337" s="450"/>
      <c r="J337" s="449"/>
    </row>
    <row r="338" ht="15" customHeight="1" spans="1:10">
      <c r="A338" s="445"/>
      <c r="B338" s="446"/>
      <c r="C338" s="446"/>
      <c r="D338" s="446"/>
      <c r="E338" s="452"/>
      <c r="F338" s="441"/>
      <c r="G338" s="441"/>
      <c r="H338" s="448"/>
      <c r="I338" s="450"/>
      <c r="J338" s="449"/>
    </row>
    <row r="339" ht="15" customHeight="1" spans="1:10">
      <c r="A339" s="445"/>
      <c r="B339" s="446"/>
      <c r="C339" s="446"/>
      <c r="D339" s="446"/>
      <c r="E339" s="452"/>
      <c r="F339" s="441"/>
      <c r="G339" s="441"/>
      <c r="H339" s="448"/>
      <c r="I339" s="450"/>
      <c r="J339" s="449"/>
    </row>
    <row r="340" ht="15" customHeight="1" spans="1:10">
      <c r="A340" s="445"/>
      <c r="B340" s="446"/>
      <c r="C340" s="446"/>
      <c r="D340" s="446"/>
      <c r="E340" s="452"/>
      <c r="F340" s="441"/>
      <c r="G340" s="441"/>
      <c r="H340" s="448"/>
      <c r="I340" s="450"/>
      <c r="J340" s="449"/>
    </row>
    <row r="341" ht="15" customHeight="1" spans="1:10">
      <c r="A341" s="445"/>
      <c r="B341" s="446"/>
      <c r="C341" s="446"/>
      <c r="D341" s="446"/>
      <c r="E341" s="452"/>
      <c r="F341" s="441"/>
      <c r="G341" s="441"/>
      <c r="H341" s="448"/>
      <c r="I341" s="450"/>
      <c r="J341" s="449"/>
    </row>
    <row r="342" ht="15" customHeight="1" spans="1:10">
      <c r="A342" s="445"/>
      <c r="B342" s="446"/>
      <c r="C342" s="446"/>
      <c r="D342" s="446"/>
      <c r="E342" s="452"/>
      <c r="F342" s="441"/>
      <c r="G342" s="441"/>
      <c r="H342" s="448"/>
      <c r="I342" s="450"/>
      <c r="J342" s="449"/>
    </row>
    <row r="343" ht="15" customHeight="1" spans="1:10">
      <c r="A343" s="445"/>
      <c r="B343" s="446"/>
      <c r="C343" s="446"/>
      <c r="D343" s="446"/>
      <c r="E343" s="452"/>
      <c r="F343" s="441"/>
      <c r="G343" s="441"/>
      <c r="H343" s="448"/>
      <c r="I343" s="450"/>
      <c r="J343" s="449"/>
    </row>
    <row r="344" ht="15" customHeight="1" spans="1:10">
      <c r="A344" s="445"/>
      <c r="B344" s="446"/>
      <c r="C344" s="446"/>
      <c r="D344" s="446"/>
      <c r="E344" s="452"/>
      <c r="F344" s="441"/>
      <c r="G344" s="441"/>
      <c r="H344" s="448"/>
      <c r="I344" s="450"/>
      <c r="J344" s="449"/>
    </row>
    <row r="345" ht="15" customHeight="1" spans="1:10">
      <c r="A345" s="445"/>
      <c r="B345" s="446"/>
      <c r="C345" s="446"/>
      <c r="D345" s="446"/>
      <c r="E345" s="452"/>
      <c r="F345" s="441"/>
      <c r="G345" s="441"/>
      <c r="H345" s="448"/>
      <c r="I345" s="450"/>
      <c r="J345" s="449"/>
    </row>
    <row r="346" ht="15" customHeight="1" spans="1:10">
      <c r="A346" s="445"/>
      <c r="B346" s="446"/>
      <c r="C346" s="446"/>
      <c r="D346" s="446"/>
      <c r="E346" s="452"/>
      <c r="F346" s="441"/>
      <c r="G346" s="441"/>
      <c r="H346" s="448"/>
      <c r="I346" s="450"/>
      <c r="J346" s="449"/>
    </row>
    <row r="347" ht="15" customHeight="1" spans="1:10">
      <c r="A347" s="445"/>
      <c r="B347" s="446"/>
      <c r="C347" s="446"/>
      <c r="D347" s="446"/>
      <c r="E347" s="452"/>
      <c r="F347" s="441"/>
      <c r="G347" s="441"/>
      <c r="H347" s="448"/>
      <c r="I347" s="450"/>
      <c r="J347" s="449"/>
    </row>
    <row r="348" ht="15" customHeight="1" spans="1:10">
      <c r="A348" s="445"/>
      <c r="B348" s="446"/>
      <c r="C348" s="446"/>
      <c r="D348" s="446"/>
      <c r="E348" s="452"/>
      <c r="F348" s="441"/>
      <c r="G348" s="441"/>
      <c r="H348" s="448"/>
      <c r="I348" s="450"/>
      <c r="J348" s="449"/>
    </row>
    <row r="349" ht="15" customHeight="1" spans="1:10">
      <c r="A349" s="445"/>
      <c r="B349" s="446"/>
      <c r="C349" s="446"/>
      <c r="D349" s="446"/>
      <c r="E349" s="452"/>
      <c r="F349" s="441"/>
      <c r="G349" s="441"/>
      <c r="H349" s="448"/>
      <c r="I349" s="450"/>
      <c r="J349" s="449"/>
    </row>
    <row r="350" ht="15" customHeight="1" spans="1:10">
      <c r="A350" s="445"/>
      <c r="B350" s="446"/>
      <c r="C350" s="446"/>
      <c r="D350" s="446"/>
      <c r="E350" s="452"/>
      <c r="F350" s="441"/>
      <c r="G350" s="441"/>
      <c r="H350" s="448"/>
      <c r="I350" s="450"/>
      <c r="J350" s="449"/>
    </row>
    <row r="351" ht="15" customHeight="1" spans="1:10">
      <c r="A351" s="445"/>
      <c r="B351" s="446"/>
      <c r="C351" s="446"/>
      <c r="D351" s="446"/>
      <c r="E351" s="452"/>
      <c r="F351" s="441"/>
      <c r="G351" s="441"/>
      <c r="H351" s="448"/>
      <c r="I351" s="450"/>
      <c r="J351" s="449"/>
    </row>
    <row r="352" ht="15" customHeight="1" spans="1:10">
      <c r="A352" s="445"/>
      <c r="B352" s="446"/>
      <c r="C352" s="446"/>
      <c r="D352" s="446"/>
      <c r="E352" s="452"/>
      <c r="F352" s="441"/>
      <c r="G352" s="441"/>
      <c r="H352" s="448"/>
      <c r="I352" s="450"/>
      <c r="J352" s="449"/>
    </row>
    <row r="353" ht="15" customHeight="1" spans="1:10">
      <c r="A353" s="445"/>
      <c r="B353" s="446"/>
      <c r="C353" s="446"/>
      <c r="D353" s="446"/>
      <c r="E353" s="452"/>
      <c r="F353" s="441"/>
      <c r="G353" s="441"/>
      <c r="H353" s="448"/>
      <c r="I353" s="450"/>
      <c r="J353" s="449"/>
    </row>
    <row r="354" ht="15" customHeight="1" spans="1:10">
      <c r="A354" s="445"/>
      <c r="B354" s="446"/>
      <c r="C354" s="446"/>
      <c r="D354" s="446"/>
      <c r="E354" s="452"/>
      <c r="F354" s="441"/>
      <c r="G354" s="441"/>
      <c r="H354" s="448"/>
      <c r="I354" s="450"/>
      <c r="J354" s="449"/>
    </row>
    <row r="355" ht="15" customHeight="1" spans="1:10">
      <c r="A355" s="445"/>
      <c r="B355" s="446"/>
      <c r="C355" s="446"/>
      <c r="D355" s="446"/>
      <c r="E355" s="452"/>
      <c r="F355" s="441"/>
      <c r="G355" s="441"/>
      <c r="H355" s="448"/>
      <c r="I355" s="450"/>
      <c r="J355" s="449"/>
    </row>
    <row r="356" ht="15" customHeight="1" spans="1:10">
      <c r="A356" s="445"/>
      <c r="B356" s="446"/>
      <c r="C356" s="446"/>
      <c r="D356" s="446"/>
      <c r="E356" s="452"/>
      <c r="F356" s="441"/>
      <c r="G356" s="441"/>
      <c r="H356" s="448"/>
      <c r="I356" s="450"/>
      <c r="J356" s="449"/>
    </row>
    <row r="357" ht="15" customHeight="1" spans="1:10">
      <c r="A357" s="445"/>
      <c r="B357" s="446"/>
      <c r="C357" s="446"/>
      <c r="D357" s="446"/>
      <c r="E357" s="452"/>
      <c r="F357" s="441"/>
      <c r="G357" s="441"/>
      <c r="H357" s="448"/>
      <c r="I357" s="450"/>
      <c r="J357" s="449"/>
    </row>
    <row r="358" ht="15" customHeight="1" spans="1:10">
      <c r="A358" s="445"/>
      <c r="B358" s="446"/>
      <c r="C358" s="446"/>
      <c r="D358" s="446"/>
      <c r="E358" s="452"/>
      <c r="F358" s="441"/>
      <c r="G358" s="441"/>
      <c r="H358" s="448"/>
      <c r="I358" s="450"/>
      <c r="J358" s="449"/>
    </row>
    <row r="359" ht="15" customHeight="1" spans="1:10">
      <c r="A359" s="445"/>
      <c r="B359" s="446"/>
      <c r="C359" s="446"/>
      <c r="D359" s="446"/>
      <c r="E359" s="452"/>
      <c r="F359" s="441"/>
      <c r="G359" s="441"/>
      <c r="H359" s="448"/>
      <c r="I359" s="450"/>
      <c r="J359" s="449"/>
    </row>
    <row r="360" ht="15" customHeight="1" spans="1:10">
      <c r="A360" s="445"/>
      <c r="B360" s="446"/>
      <c r="C360" s="446"/>
      <c r="D360" s="446"/>
      <c r="E360" s="452"/>
      <c r="F360" s="441"/>
      <c r="G360" s="441"/>
      <c r="H360" s="448"/>
      <c r="I360" s="450"/>
      <c r="J360" s="449"/>
    </row>
    <row r="361" ht="15" customHeight="1" spans="1:10">
      <c r="A361" s="445"/>
      <c r="B361" s="446"/>
      <c r="C361" s="446"/>
      <c r="D361" s="446"/>
      <c r="E361" s="452"/>
      <c r="F361" s="441"/>
      <c r="G361" s="441"/>
      <c r="H361" s="448"/>
      <c r="I361" s="450"/>
      <c r="J361" s="449"/>
    </row>
    <row r="362" ht="15" customHeight="1" spans="1:10">
      <c r="A362" s="445"/>
      <c r="B362" s="446"/>
      <c r="C362" s="446"/>
      <c r="D362" s="446"/>
      <c r="E362" s="452"/>
      <c r="F362" s="441"/>
      <c r="G362" s="441"/>
      <c r="H362" s="448"/>
      <c r="I362" s="450"/>
      <c r="J362" s="449"/>
    </row>
    <row r="363" ht="15" customHeight="1" spans="1:10">
      <c r="A363" s="445"/>
      <c r="B363" s="446"/>
      <c r="C363" s="446"/>
      <c r="D363" s="446"/>
      <c r="E363" s="452"/>
      <c r="F363" s="441"/>
      <c r="G363" s="441"/>
      <c r="H363" s="448"/>
      <c r="I363" s="450"/>
      <c r="J363" s="449"/>
    </row>
    <row r="364" ht="15" customHeight="1" spans="1:10">
      <c r="A364" s="445"/>
      <c r="B364" s="446"/>
      <c r="C364" s="446"/>
      <c r="D364" s="446"/>
      <c r="E364" s="452"/>
      <c r="F364" s="441"/>
      <c r="G364" s="441"/>
      <c r="H364" s="448"/>
      <c r="I364" s="450"/>
      <c r="J364" s="449"/>
    </row>
    <row r="365" ht="15" customHeight="1" spans="1:10">
      <c r="A365" s="445"/>
      <c r="B365" s="446"/>
      <c r="C365" s="446"/>
      <c r="D365" s="446"/>
      <c r="E365" s="452"/>
      <c r="F365" s="441"/>
      <c r="G365" s="441"/>
      <c r="H365" s="448"/>
      <c r="I365" s="450"/>
      <c r="J365" s="449"/>
    </row>
    <row r="366" ht="15" customHeight="1" spans="1:10">
      <c r="A366" s="445"/>
      <c r="B366" s="446"/>
      <c r="C366" s="446"/>
      <c r="D366" s="446"/>
      <c r="E366" s="452"/>
      <c r="F366" s="441"/>
      <c r="G366" s="441"/>
      <c r="H366" s="448"/>
      <c r="I366" s="450"/>
      <c r="J366" s="449"/>
    </row>
    <row r="367" ht="15" customHeight="1" spans="1:10">
      <c r="A367" s="445"/>
      <c r="B367" s="446"/>
      <c r="C367" s="446"/>
      <c r="D367" s="446"/>
      <c r="E367" s="452"/>
      <c r="F367" s="441"/>
      <c r="G367" s="441"/>
      <c r="H367" s="448"/>
      <c r="I367" s="450"/>
      <c r="J367" s="449"/>
    </row>
    <row r="368" ht="15" customHeight="1" spans="1:10">
      <c r="A368" s="445"/>
      <c r="B368" s="446"/>
      <c r="C368" s="446"/>
      <c r="D368" s="446"/>
      <c r="E368" s="452"/>
      <c r="F368" s="441"/>
      <c r="G368" s="441"/>
      <c r="H368" s="448"/>
      <c r="I368" s="450"/>
      <c r="J368" s="449"/>
    </row>
    <row r="369" ht="15" customHeight="1" spans="1:10">
      <c r="A369" s="445"/>
      <c r="B369" s="446"/>
      <c r="C369" s="446"/>
      <c r="D369" s="446"/>
      <c r="E369" s="452"/>
      <c r="F369" s="441"/>
      <c r="G369" s="441"/>
      <c r="H369" s="448"/>
      <c r="I369" s="450"/>
      <c r="J369" s="449"/>
    </row>
    <row r="370" ht="15" customHeight="1" spans="1:10">
      <c r="A370" s="445"/>
      <c r="B370" s="446"/>
      <c r="C370" s="446"/>
      <c r="D370" s="446"/>
      <c r="E370" s="452"/>
      <c r="F370" s="441"/>
      <c r="G370" s="441"/>
      <c r="H370" s="448"/>
      <c r="I370" s="450"/>
      <c r="J370" s="449"/>
    </row>
    <row r="371" ht="15" customHeight="1" spans="1:10">
      <c r="A371" s="445"/>
      <c r="B371" s="446"/>
      <c r="C371" s="446"/>
      <c r="D371" s="446"/>
      <c r="E371" s="452"/>
      <c r="F371" s="441"/>
      <c r="G371" s="441"/>
      <c r="H371" s="448"/>
      <c r="I371" s="450"/>
      <c r="J371" s="449"/>
    </row>
    <row r="372" ht="15" customHeight="1" spans="1:10">
      <c r="A372" s="445"/>
      <c r="B372" s="446"/>
      <c r="C372" s="446"/>
      <c r="D372" s="446"/>
      <c r="E372" s="452"/>
      <c r="F372" s="441"/>
      <c r="G372" s="441"/>
      <c r="H372" s="448"/>
      <c r="I372" s="450"/>
      <c r="J372" s="449"/>
    </row>
    <row r="373" ht="15" customHeight="1" spans="1:10">
      <c r="A373" s="445"/>
      <c r="B373" s="446"/>
      <c r="C373" s="446"/>
      <c r="D373" s="446"/>
      <c r="E373" s="452"/>
      <c r="F373" s="441"/>
      <c r="G373" s="441"/>
      <c r="H373" s="448"/>
      <c r="I373" s="450"/>
      <c r="J373" s="449"/>
    </row>
    <row r="374" ht="15" customHeight="1" spans="1:10">
      <c r="A374" s="445"/>
      <c r="B374" s="446"/>
      <c r="C374" s="446"/>
      <c r="D374" s="446"/>
      <c r="E374" s="452"/>
      <c r="F374" s="441"/>
      <c r="G374" s="441"/>
      <c r="H374" s="448"/>
      <c r="I374" s="450"/>
      <c r="J374" s="449"/>
    </row>
    <row r="375" ht="15" customHeight="1" spans="1:10">
      <c r="A375" s="445"/>
      <c r="B375" s="446"/>
      <c r="C375" s="446"/>
      <c r="D375" s="446"/>
      <c r="E375" s="452"/>
      <c r="F375" s="441"/>
      <c r="G375" s="441"/>
      <c r="H375" s="448"/>
      <c r="I375" s="450"/>
      <c r="J375" s="449"/>
    </row>
    <row r="376" ht="15" customHeight="1" spans="1:10">
      <c r="A376" s="445"/>
      <c r="B376" s="446"/>
      <c r="C376" s="446"/>
      <c r="D376" s="446"/>
      <c r="E376" s="452"/>
      <c r="F376" s="441"/>
      <c r="G376" s="441"/>
      <c r="H376" s="448"/>
      <c r="I376" s="450"/>
      <c r="J376" s="449"/>
    </row>
    <row r="377" ht="15" customHeight="1" spans="1:10">
      <c r="A377" s="445"/>
      <c r="B377" s="446"/>
      <c r="C377" s="446"/>
      <c r="D377" s="446"/>
      <c r="E377" s="452"/>
      <c r="F377" s="441"/>
      <c r="G377" s="441"/>
      <c r="H377" s="448"/>
      <c r="I377" s="450"/>
      <c r="J377" s="449"/>
    </row>
    <row r="378" ht="15" customHeight="1" spans="1:10">
      <c r="A378" s="445"/>
      <c r="B378" s="446"/>
      <c r="C378" s="446"/>
      <c r="D378" s="446"/>
      <c r="E378" s="452"/>
      <c r="F378" s="441"/>
      <c r="G378" s="441"/>
      <c r="H378" s="448"/>
      <c r="I378" s="450"/>
      <c r="J378" s="449"/>
    </row>
    <row r="379" ht="15" customHeight="1" spans="1:10">
      <c r="A379" s="445"/>
      <c r="B379" s="446"/>
      <c r="C379" s="446"/>
      <c r="D379" s="446"/>
      <c r="E379" s="452"/>
      <c r="F379" s="441"/>
      <c r="G379" s="441"/>
      <c r="H379" s="448"/>
      <c r="I379" s="450"/>
      <c r="J379" s="449"/>
    </row>
    <row r="380" ht="15" customHeight="1" spans="1:10">
      <c r="A380" s="445"/>
      <c r="B380" s="446"/>
      <c r="C380" s="446"/>
      <c r="D380" s="446"/>
      <c r="E380" s="452"/>
      <c r="F380" s="441"/>
      <c r="G380" s="441"/>
      <c r="H380" s="448"/>
      <c r="I380" s="450"/>
      <c r="J380" s="449"/>
    </row>
    <row r="381" ht="15" customHeight="1" spans="1:10">
      <c r="A381" s="445"/>
      <c r="B381" s="446"/>
      <c r="C381" s="446"/>
      <c r="D381" s="446"/>
      <c r="E381" s="452"/>
      <c r="F381" s="441"/>
      <c r="G381" s="441"/>
      <c r="H381" s="448"/>
      <c r="I381" s="450"/>
      <c r="J381" s="449"/>
    </row>
    <row r="382" ht="15" customHeight="1" spans="1:10">
      <c r="A382" s="445"/>
      <c r="B382" s="446"/>
      <c r="C382" s="446"/>
      <c r="D382" s="446"/>
      <c r="E382" s="452"/>
      <c r="F382" s="441"/>
      <c r="G382" s="441"/>
      <c r="H382" s="448"/>
      <c r="I382" s="450"/>
      <c r="J382" s="449"/>
    </row>
    <row r="383" ht="15" customHeight="1" spans="1:10">
      <c r="A383" s="445"/>
      <c r="B383" s="446"/>
      <c r="C383" s="446"/>
      <c r="D383" s="446"/>
      <c r="E383" s="452"/>
      <c r="F383" s="441"/>
      <c r="G383" s="441"/>
      <c r="H383" s="448"/>
      <c r="I383" s="450"/>
      <c r="J383" s="449"/>
    </row>
    <row r="384" ht="15" customHeight="1" spans="1:10">
      <c r="A384" s="445"/>
      <c r="B384" s="446"/>
      <c r="C384" s="446"/>
      <c r="D384" s="446"/>
      <c r="E384" s="452"/>
      <c r="F384" s="441"/>
      <c r="G384" s="441"/>
      <c r="H384" s="448"/>
      <c r="I384" s="450"/>
      <c r="J384" s="449"/>
    </row>
    <row r="385" ht="15" customHeight="1" spans="1:10">
      <c r="A385" s="445"/>
      <c r="B385" s="446"/>
      <c r="C385" s="446"/>
      <c r="D385" s="446"/>
      <c r="E385" s="452"/>
      <c r="F385" s="441"/>
      <c r="G385" s="441"/>
      <c r="H385" s="448"/>
      <c r="I385" s="450"/>
      <c r="J385" s="449"/>
    </row>
    <row r="386" ht="15" customHeight="1" spans="1:10">
      <c r="A386" s="445"/>
      <c r="B386" s="446"/>
      <c r="C386" s="446"/>
      <c r="D386" s="446"/>
      <c r="E386" s="452"/>
      <c r="F386" s="441"/>
      <c r="G386" s="441"/>
      <c r="H386" s="448"/>
      <c r="I386" s="450"/>
      <c r="J386" s="449"/>
    </row>
    <row r="387" ht="15" customHeight="1" spans="1:10">
      <c r="A387" s="445"/>
      <c r="B387" s="446"/>
      <c r="C387" s="446"/>
      <c r="D387" s="446"/>
      <c r="E387" s="452"/>
      <c r="F387" s="441"/>
      <c r="G387" s="441"/>
      <c r="H387" s="448"/>
      <c r="I387" s="450"/>
      <c r="J387" s="449"/>
    </row>
    <row r="388" ht="15" customHeight="1" spans="1:10">
      <c r="A388" s="445"/>
      <c r="B388" s="446"/>
      <c r="C388" s="446"/>
      <c r="D388" s="446"/>
      <c r="E388" s="452"/>
      <c r="F388" s="441"/>
      <c r="G388" s="441"/>
      <c r="H388" s="448"/>
      <c r="I388" s="450"/>
      <c r="J388" s="449"/>
    </row>
    <row r="389" ht="15" customHeight="1" spans="1:10">
      <c r="A389" s="445"/>
      <c r="B389" s="446"/>
      <c r="C389" s="446"/>
      <c r="D389" s="446"/>
      <c r="E389" s="452"/>
      <c r="F389" s="441"/>
      <c r="G389" s="441"/>
      <c r="H389" s="448"/>
      <c r="I389" s="450"/>
      <c r="J389" s="449"/>
    </row>
    <row r="390" ht="15" customHeight="1" spans="1:10">
      <c r="A390" s="445"/>
      <c r="B390" s="446"/>
      <c r="C390" s="446"/>
      <c r="D390" s="446"/>
      <c r="E390" s="452"/>
      <c r="F390" s="441"/>
      <c r="G390" s="441"/>
      <c r="H390" s="448"/>
      <c r="I390" s="450"/>
      <c r="J390" s="449"/>
    </row>
    <row r="391" ht="15" customHeight="1" spans="1:10">
      <c r="A391" s="445"/>
      <c r="B391" s="446"/>
      <c r="C391" s="446"/>
      <c r="D391" s="446"/>
      <c r="E391" s="452"/>
      <c r="F391" s="441"/>
      <c r="G391" s="441"/>
      <c r="H391" s="448"/>
      <c r="I391" s="450"/>
      <c r="J391" s="449"/>
    </row>
    <row r="392" ht="15" customHeight="1" spans="1:10">
      <c r="A392" s="445"/>
      <c r="B392" s="446"/>
      <c r="C392" s="446"/>
      <c r="D392" s="446"/>
      <c r="E392" s="452"/>
      <c r="F392" s="441"/>
      <c r="G392" s="441"/>
      <c r="H392" s="448"/>
      <c r="I392" s="450"/>
      <c r="J392" s="449"/>
    </row>
    <row r="393" ht="15" customHeight="1" spans="1:10">
      <c r="A393" s="445"/>
      <c r="B393" s="446"/>
      <c r="C393" s="446"/>
      <c r="D393" s="446"/>
      <c r="E393" s="452"/>
      <c r="F393" s="441"/>
      <c r="G393" s="441"/>
      <c r="H393" s="448"/>
      <c r="I393" s="450"/>
      <c r="J393" s="449"/>
    </row>
    <row r="394" ht="15" customHeight="1" spans="1:10">
      <c r="A394" s="445"/>
      <c r="B394" s="446"/>
      <c r="C394" s="446"/>
      <c r="D394" s="446"/>
      <c r="E394" s="452"/>
      <c r="F394" s="441"/>
      <c r="G394" s="441"/>
      <c r="H394" s="448"/>
      <c r="I394" s="450"/>
      <c r="J394" s="449"/>
    </row>
    <row r="395" ht="15" customHeight="1" spans="1:10">
      <c r="A395" s="445"/>
      <c r="B395" s="446"/>
      <c r="C395" s="446"/>
      <c r="D395" s="446"/>
      <c r="E395" s="452"/>
      <c r="F395" s="441"/>
      <c r="G395" s="441"/>
      <c r="H395" s="448"/>
      <c r="I395" s="450"/>
      <c r="J395" s="449"/>
    </row>
    <row r="396" ht="15" customHeight="1" spans="1:10">
      <c r="A396" s="445"/>
      <c r="B396" s="446"/>
      <c r="C396" s="446"/>
      <c r="D396" s="446"/>
      <c r="E396" s="452"/>
      <c r="F396" s="441"/>
      <c r="G396" s="441"/>
      <c r="H396" s="448"/>
      <c r="I396" s="450"/>
      <c r="J396" s="449"/>
    </row>
    <row r="397" ht="15" customHeight="1" spans="1:10">
      <c r="A397" s="445"/>
      <c r="B397" s="446"/>
      <c r="C397" s="446"/>
      <c r="D397" s="446"/>
      <c r="E397" s="452"/>
      <c r="F397" s="441"/>
      <c r="G397" s="441"/>
      <c r="H397" s="448"/>
      <c r="I397" s="450"/>
      <c r="J397" s="449"/>
    </row>
    <row r="398" ht="15" customHeight="1" spans="1:10">
      <c r="A398" s="445"/>
      <c r="B398" s="446"/>
      <c r="C398" s="446"/>
      <c r="D398" s="446"/>
      <c r="E398" s="452"/>
      <c r="F398" s="441"/>
      <c r="G398" s="441"/>
      <c r="H398" s="448"/>
      <c r="I398" s="450"/>
      <c r="J398" s="449"/>
    </row>
    <row r="399" ht="15" customHeight="1" spans="1:10">
      <c r="A399" s="445"/>
      <c r="B399" s="446"/>
      <c r="C399" s="446"/>
      <c r="D399" s="446"/>
      <c r="E399" s="452"/>
      <c r="F399" s="441"/>
      <c r="G399" s="441"/>
      <c r="H399" s="448"/>
      <c r="I399" s="450"/>
      <c r="J399" s="449"/>
    </row>
    <row r="400" ht="15" customHeight="1" spans="1:10">
      <c r="A400" s="445"/>
      <c r="B400" s="446"/>
      <c r="C400" s="446"/>
      <c r="D400" s="446"/>
      <c r="E400" s="452"/>
      <c r="F400" s="441"/>
      <c r="G400" s="441"/>
      <c r="H400" s="448"/>
      <c r="I400" s="450"/>
      <c r="J400" s="449"/>
    </row>
    <row r="401" ht="15" customHeight="1" spans="1:10">
      <c r="A401" s="445"/>
      <c r="B401" s="446"/>
      <c r="C401" s="446"/>
      <c r="D401" s="446"/>
      <c r="E401" s="452"/>
      <c r="F401" s="441"/>
      <c r="G401" s="441"/>
      <c r="H401" s="448"/>
      <c r="I401" s="450"/>
      <c r="J401" s="449"/>
    </row>
    <row r="402" ht="15" customHeight="1" spans="1:10">
      <c r="A402" s="445"/>
      <c r="B402" s="446"/>
      <c r="C402" s="446"/>
      <c r="D402" s="446"/>
      <c r="E402" s="452"/>
      <c r="F402" s="441"/>
      <c r="G402" s="441"/>
      <c r="H402" s="448"/>
      <c r="I402" s="450"/>
      <c r="J402" s="449"/>
    </row>
    <row r="403" ht="15" customHeight="1" spans="1:10">
      <c r="A403" s="445"/>
      <c r="B403" s="446"/>
      <c r="C403" s="446"/>
      <c r="D403" s="446"/>
      <c r="E403" s="452"/>
      <c r="F403" s="441"/>
      <c r="G403" s="441"/>
      <c r="H403" s="448"/>
      <c r="I403" s="450"/>
      <c r="J403" s="449"/>
    </row>
    <row r="404" ht="15" customHeight="1" spans="1:10">
      <c r="A404" s="445"/>
      <c r="B404" s="446"/>
      <c r="C404" s="446"/>
      <c r="D404" s="446"/>
      <c r="E404" s="452"/>
      <c r="F404" s="441"/>
      <c r="G404" s="441"/>
      <c r="H404" s="448"/>
      <c r="I404" s="450"/>
      <c r="J404" s="449"/>
    </row>
    <row r="405" ht="15" customHeight="1" spans="1:10">
      <c r="A405" s="445"/>
      <c r="B405" s="446"/>
      <c r="C405" s="446"/>
      <c r="D405" s="446"/>
      <c r="E405" s="452"/>
      <c r="F405" s="441"/>
      <c r="G405" s="441"/>
      <c r="H405" s="448"/>
      <c r="I405" s="450"/>
      <c r="J405" s="449"/>
    </row>
    <row r="406" ht="15" customHeight="1" spans="1:10">
      <c r="A406" s="445"/>
      <c r="B406" s="446"/>
      <c r="C406" s="446"/>
      <c r="D406" s="446"/>
      <c r="E406" s="452"/>
      <c r="F406" s="441"/>
      <c r="G406" s="441"/>
      <c r="H406" s="448"/>
      <c r="I406" s="450"/>
      <c r="J406" s="449"/>
    </row>
    <row r="407" ht="15" customHeight="1" spans="1:10">
      <c r="A407" s="445"/>
      <c r="B407" s="446"/>
      <c r="C407" s="446"/>
      <c r="D407" s="446"/>
      <c r="E407" s="452"/>
      <c r="F407" s="441"/>
      <c r="G407" s="441"/>
      <c r="H407" s="448"/>
      <c r="I407" s="450"/>
      <c r="J407" s="449"/>
    </row>
    <row r="408" ht="15" customHeight="1" spans="1:10">
      <c r="A408" s="445"/>
      <c r="B408" s="446"/>
      <c r="C408" s="446"/>
      <c r="D408" s="446"/>
      <c r="E408" s="452"/>
      <c r="F408" s="441"/>
      <c r="G408" s="441"/>
      <c r="H408" s="448"/>
      <c r="I408" s="450"/>
      <c r="J408" s="449"/>
    </row>
    <row r="409" ht="15" customHeight="1" spans="1:10">
      <c r="A409" s="445"/>
      <c r="B409" s="446"/>
      <c r="C409" s="446"/>
      <c r="D409" s="446"/>
      <c r="E409" s="452"/>
      <c r="F409" s="441"/>
      <c r="G409" s="441"/>
      <c r="H409" s="448"/>
      <c r="I409" s="450"/>
      <c r="J409" s="449"/>
    </row>
    <row r="410" ht="15" customHeight="1" spans="1:10">
      <c r="A410" s="445"/>
      <c r="B410" s="446"/>
      <c r="C410" s="446"/>
      <c r="D410" s="446"/>
      <c r="E410" s="452"/>
      <c r="F410" s="441"/>
      <c r="G410" s="441"/>
      <c r="H410" s="448"/>
      <c r="I410" s="450"/>
      <c r="J410" s="449"/>
    </row>
    <row r="411" ht="15" customHeight="1" spans="1:10">
      <c r="A411" s="445"/>
      <c r="B411" s="446"/>
      <c r="C411" s="446"/>
      <c r="D411" s="446"/>
      <c r="E411" s="452"/>
      <c r="F411" s="441"/>
      <c r="G411" s="441"/>
      <c r="H411" s="448"/>
      <c r="I411" s="450"/>
      <c r="J411" s="449"/>
    </row>
    <row r="412" ht="15" customHeight="1" spans="1:10">
      <c r="A412" s="445"/>
      <c r="B412" s="446"/>
      <c r="C412" s="446"/>
      <c r="D412" s="446"/>
      <c r="E412" s="452"/>
      <c r="F412" s="441"/>
      <c r="G412" s="441"/>
      <c r="H412" s="448"/>
      <c r="I412" s="450"/>
      <c r="J412" s="449"/>
    </row>
    <row r="413" ht="15" customHeight="1" spans="1:10">
      <c r="A413" s="445"/>
      <c r="B413" s="446"/>
      <c r="C413" s="446"/>
      <c r="D413" s="446"/>
      <c r="E413" s="452"/>
      <c r="F413" s="441"/>
      <c r="G413" s="441"/>
      <c r="H413" s="448"/>
      <c r="I413" s="450"/>
      <c r="J413" s="449"/>
    </row>
    <row r="414" ht="15" customHeight="1" spans="1:10">
      <c r="A414" s="445"/>
      <c r="B414" s="446"/>
      <c r="C414" s="446"/>
      <c r="D414" s="446"/>
      <c r="E414" s="452"/>
      <c r="F414" s="441"/>
      <c r="G414" s="441"/>
      <c r="H414" s="448"/>
      <c r="I414" s="450"/>
      <c r="J414" s="449"/>
    </row>
    <row r="415" ht="15" customHeight="1" spans="1:10">
      <c r="A415" s="445"/>
      <c r="B415" s="446"/>
      <c r="C415" s="446"/>
      <c r="D415" s="446"/>
      <c r="E415" s="452"/>
      <c r="F415" s="441"/>
      <c r="G415" s="441"/>
      <c r="H415" s="448"/>
      <c r="I415" s="450"/>
      <c r="J415" s="449"/>
    </row>
    <row r="416" ht="15" customHeight="1" spans="1:10">
      <c r="A416" s="445"/>
      <c r="B416" s="446"/>
      <c r="C416" s="446"/>
      <c r="D416" s="446"/>
      <c r="E416" s="452"/>
      <c r="F416" s="441"/>
      <c r="G416" s="441"/>
      <c r="H416" s="448"/>
      <c r="I416" s="450"/>
      <c r="J416" s="449"/>
    </row>
    <row r="417" ht="15" customHeight="1" spans="1:10">
      <c r="A417" s="445"/>
      <c r="B417" s="446"/>
      <c r="C417" s="446"/>
      <c r="D417" s="446"/>
      <c r="E417" s="452"/>
      <c r="F417" s="441"/>
      <c r="G417" s="441"/>
      <c r="H417" s="448"/>
      <c r="I417" s="450"/>
      <c r="J417" s="449"/>
    </row>
    <row r="418" ht="15" customHeight="1" spans="1:10">
      <c r="A418" s="445"/>
      <c r="B418" s="446"/>
      <c r="C418" s="446"/>
      <c r="D418" s="446"/>
      <c r="E418" s="452"/>
      <c r="F418" s="441"/>
      <c r="G418" s="441"/>
      <c r="H418" s="448"/>
      <c r="I418" s="450"/>
      <c r="J418" s="449"/>
    </row>
    <row r="419" ht="15" customHeight="1" spans="1:10">
      <c r="A419" s="445"/>
      <c r="B419" s="446"/>
      <c r="C419" s="446"/>
      <c r="D419" s="446"/>
      <c r="E419" s="452"/>
      <c r="F419" s="441"/>
      <c r="G419" s="441"/>
      <c r="H419" s="448"/>
      <c r="I419" s="450"/>
      <c r="J419" s="449"/>
    </row>
    <row r="420" ht="15" customHeight="1" spans="1:10">
      <c r="A420" s="445"/>
      <c r="B420" s="446"/>
      <c r="C420" s="446"/>
      <c r="D420" s="446"/>
      <c r="E420" s="452"/>
      <c r="F420" s="441"/>
      <c r="G420" s="441"/>
      <c r="H420" s="448"/>
      <c r="I420" s="450"/>
      <c r="J420" s="449"/>
    </row>
    <row r="421" ht="15" customHeight="1" spans="1:10">
      <c r="A421" s="445"/>
      <c r="B421" s="446"/>
      <c r="C421" s="446"/>
      <c r="D421" s="446"/>
      <c r="E421" s="452"/>
      <c r="F421" s="441"/>
      <c r="G421" s="441"/>
      <c r="H421" s="448"/>
      <c r="I421" s="450"/>
      <c r="J421" s="449"/>
    </row>
    <row r="422" ht="15" customHeight="1" spans="1:10">
      <c r="A422" s="445"/>
      <c r="B422" s="446"/>
      <c r="C422" s="446"/>
      <c r="D422" s="446"/>
      <c r="E422" s="452"/>
      <c r="F422" s="441"/>
      <c r="G422" s="441"/>
      <c r="H422" s="448"/>
      <c r="I422" s="450"/>
      <c r="J422" s="449"/>
    </row>
    <row r="423" ht="15" customHeight="1" spans="1:10">
      <c r="A423" s="445"/>
      <c r="B423" s="446"/>
      <c r="C423" s="446"/>
      <c r="D423" s="446"/>
      <c r="E423" s="452"/>
      <c r="F423" s="441"/>
      <c r="G423" s="441"/>
      <c r="H423" s="448"/>
      <c r="I423" s="450"/>
      <c r="J423" s="449"/>
    </row>
    <row r="424" ht="15" customHeight="1" spans="1:10">
      <c r="A424" s="445"/>
      <c r="B424" s="446"/>
      <c r="C424" s="446"/>
      <c r="D424" s="446"/>
      <c r="E424" s="452"/>
      <c r="F424" s="441"/>
      <c r="G424" s="441"/>
      <c r="H424" s="448"/>
      <c r="I424" s="450"/>
      <c r="J424" s="449"/>
    </row>
    <row r="425" ht="15" customHeight="1" spans="1:10">
      <c r="A425" s="445"/>
      <c r="B425" s="446"/>
      <c r="C425" s="446"/>
      <c r="D425" s="446"/>
      <c r="E425" s="452"/>
      <c r="F425" s="441"/>
      <c r="G425" s="441"/>
      <c r="H425" s="448"/>
      <c r="I425" s="450"/>
      <c r="J425" s="449"/>
    </row>
    <row r="426" ht="15" customHeight="1" spans="1:10">
      <c r="A426" s="445"/>
      <c r="B426" s="446"/>
      <c r="C426" s="446"/>
      <c r="D426" s="446"/>
      <c r="E426" s="452"/>
      <c r="F426" s="441"/>
      <c r="G426" s="441"/>
      <c r="H426" s="448"/>
      <c r="I426" s="450"/>
      <c r="J426" s="449"/>
    </row>
    <row r="427" ht="15" customHeight="1" spans="1:10">
      <c r="A427" s="445"/>
      <c r="B427" s="446"/>
      <c r="C427" s="446"/>
      <c r="D427" s="446"/>
      <c r="E427" s="452"/>
      <c r="F427" s="441"/>
      <c r="G427" s="441"/>
      <c r="H427" s="448"/>
      <c r="I427" s="450"/>
      <c r="J427" s="449"/>
    </row>
    <row r="428" ht="15" customHeight="1" spans="1:10">
      <c r="A428" s="445"/>
      <c r="B428" s="446"/>
      <c r="C428" s="446"/>
      <c r="D428" s="446"/>
      <c r="E428" s="452"/>
      <c r="F428" s="441"/>
      <c r="G428" s="441"/>
      <c r="H428" s="448"/>
      <c r="I428" s="450"/>
      <c r="J428" s="449"/>
    </row>
    <row r="429" ht="15" customHeight="1" spans="1:10">
      <c r="A429" s="445"/>
      <c r="B429" s="446"/>
      <c r="C429" s="446"/>
      <c r="D429" s="446"/>
      <c r="E429" s="452"/>
      <c r="F429" s="441"/>
      <c r="G429" s="441"/>
      <c r="H429" s="448"/>
      <c r="I429" s="450"/>
      <c r="J429" s="449"/>
    </row>
    <row r="430" ht="15" customHeight="1" spans="1:10">
      <c r="A430" s="445"/>
      <c r="B430" s="446"/>
      <c r="C430" s="446"/>
      <c r="D430" s="446"/>
      <c r="E430" s="452"/>
      <c r="F430" s="441"/>
      <c r="G430" s="441"/>
      <c r="H430" s="448"/>
      <c r="I430" s="450"/>
      <c r="J430" s="449"/>
    </row>
    <row r="431" ht="15" customHeight="1" spans="1:10">
      <c r="A431" s="445"/>
      <c r="B431" s="446"/>
      <c r="C431" s="446"/>
      <c r="D431" s="446"/>
      <c r="E431" s="452"/>
      <c r="F431" s="441"/>
      <c r="G431" s="441"/>
      <c r="H431" s="448"/>
      <c r="I431" s="450"/>
      <c r="J431" s="449"/>
    </row>
    <row r="432" ht="15" customHeight="1" spans="1:10">
      <c r="A432" s="445"/>
      <c r="B432" s="446"/>
      <c r="C432" s="446"/>
      <c r="D432" s="446"/>
      <c r="E432" s="452"/>
      <c r="F432" s="441"/>
      <c r="G432" s="441"/>
      <c r="H432" s="448"/>
      <c r="I432" s="450"/>
      <c r="J432" s="449"/>
    </row>
    <row r="433" ht="15" customHeight="1" spans="1:10">
      <c r="A433" s="445"/>
      <c r="B433" s="446"/>
      <c r="C433" s="446"/>
      <c r="D433" s="446"/>
      <c r="E433" s="452"/>
      <c r="F433" s="441"/>
      <c r="G433" s="441"/>
      <c r="H433" s="448"/>
      <c r="I433" s="450"/>
      <c r="J433" s="449"/>
    </row>
    <row r="434" ht="15" customHeight="1" spans="1:10">
      <c r="A434" s="445"/>
      <c r="B434" s="446"/>
      <c r="C434" s="446"/>
      <c r="D434" s="446"/>
      <c r="E434" s="452"/>
      <c r="F434" s="441"/>
      <c r="G434" s="441"/>
      <c r="H434" s="448"/>
      <c r="I434" s="450"/>
      <c r="J434" s="449"/>
    </row>
    <row r="435" ht="15" customHeight="1" spans="1:10">
      <c r="A435" s="445"/>
      <c r="B435" s="446"/>
      <c r="C435" s="446"/>
      <c r="D435" s="446"/>
      <c r="E435" s="452"/>
      <c r="F435" s="441"/>
      <c r="G435" s="441"/>
      <c r="H435" s="448"/>
      <c r="I435" s="450"/>
      <c r="J435" s="449"/>
    </row>
    <row r="436" ht="15" customHeight="1" spans="1:10">
      <c r="A436" s="445"/>
      <c r="B436" s="446"/>
      <c r="C436" s="446"/>
      <c r="D436" s="446"/>
      <c r="E436" s="452"/>
      <c r="F436" s="441"/>
      <c r="G436" s="441"/>
      <c r="H436" s="448"/>
      <c r="I436" s="450"/>
      <c r="J436" s="449"/>
    </row>
    <row r="437" ht="15" customHeight="1" spans="1:10">
      <c r="A437" s="445"/>
      <c r="B437" s="446"/>
      <c r="C437" s="446"/>
      <c r="D437" s="446"/>
      <c r="E437" s="452"/>
      <c r="F437" s="441"/>
      <c r="G437" s="441"/>
      <c r="H437" s="448"/>
      <c r="I437" s="450"/>
      <c r="J437" s="449"/>
    </row>
    <row r="438" ht="15" customHeight="1" spans="1:10">
      <c r="A438" s="445"/>
      <c r="B438" s="446"/>
      <c r="C438" s="446"/>
      <c r="D438" s="446"/>
      <c r="E438" s="452"/>
      <c r="F438" s="441"/>
      <c r="G438" s="441"/>
      <c r="H438" s="448"/>
      <c r="I438" s="450"/>
      <c r="J438" s="449"/>
    </row>
    <row r="439" ht="15" customHeight="1" spans="1:10">
      <c r="A439" s="445"/>
      <c r="B439" s="446"/>
      <c r="C439" s="446"/>
      <c r="D439" s="446"/>
      <c r="E439" s="452"/>
      <c r="F439" s="441"/>
      <c r="G439" s="441"/>
      <c r="H439" s="448"/>
      <c r="I439" s="450"/>
      <c r="J439" s="449"/>
    </row>
    <row r="440" ht="15" customHeight="1" spans="1:10">
      <c r="A440" s="445"/>
      <c r="B440" s="446"/>
      <c r="C440" s="446"/>
      <c r="D440" s="446"/>
      <c r="E440" s="452"/>
      <c r="F440" s="441"/>
      <c r="G440" s="441"/>
      <c r="H440" s="448"/>
      <c r="I440" s="450"/>
      <c r="J440" s="449"/>
    </row>
    <row r="441" ht="15" customHeight="1" spans="1:10">
      <c r="A441" s="445"/>
      <c r="B441" s="446"/>
      <c r="C441" s="446"/>
      <c r="D441" s="446"/>
      <c r="E441" s="452"/>
      <c r="F441" s="441"/>
      <c r="G441" s="441"/>
      <c r="H441" s="448"/>
      <c r="I441" s="450"/>
      <c r="J441" s="449"/>
    </row>
    <row r="442" ht="15" customHeight="1" spans="1:10">
      <c r="A442" s="445"/>
      <c r="B442" s="446"/>
      <c r="C442" s="446"/>
      <c r="D442" s="446"/>
      <c r="E442" s="452"/>
      <c r="F442" s="441"/>
      <c r="G442" s="441"/>
      <c r="H442" s="448"/>
      <c r="I442" s="450"/>
      <c r="J442" s="449"/>
    </row>
    <row r="443" ht="15" customHeight="1" spans="1:10">
      <c r="A443" s="445"/>
      <c r="B443" s="446"/>
      <c r="C443" s="446"/>
      <c r="D443" s="446"/>
      <c r="E443" s="452"/>
      <c r="F443" s="441"/>
      <c r="G443" s="441"/>
      <c r="H443" s="448"/>
      <c r="I443" s="450"/>
      <c r="J443" s="449"/>
    </row>
    <row r="444" ht="15" customHeight="1" spans="1:10">
      <c r="A444" s="445"/>
      <c r="B444" s="446"/>
      <c r="C444" s="446"/>
      <c r="D444" s="446"/>
      <c r="E444" s="452"/>
      <c r="F444" s="441"/>
      <c r="G444" s="441"/>
      <c r="H444" s="448"/>
      <c r="I444" s="450"/>
      <c r="J444" s="449"/>
    </row>
    <row r="445" ht="15" customHeight="1" spans="1:10">
      <c r="A445" s="445"/>
      <c r="B445" s="446"/>
      <c r="C445" s="446"/>
      <c r="D445" s="446"/>
      <c r="E445" s="452"/>
      <c r="F445" s="441"/>
      <c r="G445" s="441"/>
      <c r="H445" s="448"/>
      <c r="I445" s="450"/>
      <c r="J445" s="449"/>
    </row>
    <row r="446" ht="15" customHeight="1" spans="1:10">
      <c r="A446" s="445"/>
      <c r="B446" s="446"/>
      <c r="C446" s="446"/>
      <c r="D446" s="446"/>
      <c r="E446" s="452"/>
      <c r="F446" s="441"/>
      <c r="G446" s="441"/>
      <c r="H446" s="448"/>
      <c r="I446" s="450"/>
      <c r="J446" s="449"/>
    </row>
    <row r="447" ht="15" customHeight="1" spans="1:10">
      <c r="A447" s="445"/>
      <c r="B447" s="446"/>
      <c r="C447" s="446"/>
      <c r="D447" s="446"/>
      <c r="E447" s="452"/>
      <c r="F447" s="441"/>
      <c r="G447" s="441"/>
      <c r="H447" s="448"/>
      <c r="I447" s="450"/>
      <c r="J447" s="449"/>
    </row>
    <row r="448" ht="15" customHeight="1" spans="1:10">
      <c r="A448" s="445"/>
      <c r="B448" s="446"/>
      <c r="C448" s="446"/>
      <c r="D448" s="446"/>
      <c r="E448" s="452"/>
      <c r="F448" s="441"/>
      <c r="G448" s="441"/>
      <c r="H448" s="448"/>
      <c r="I448" s="450"/>
      <c r="J448" s="449"/>
    </row>
    <row r="449" ht="15" customHeight="1" spans="1:10">
      <c r="A449" s="445"/>
      <c r="B449" s="446"/>
      <c r="C449" s="446"/>
      <c r="D449" s="446"/>
      <c r="E449" s="452"/>
      <c r="F449" s="441"/>
      <c r="G449" s="441"/>
      <c r="H449" s="448"/>
      <c r="I449" s="450"/>
      <c r="J449" s="449"/>
    </row>
    <row r="450" ht="15" customHeight="1" spans="1:10">
      <c r="A450" s="445"/>
      <c r="B450" s="446"/>
      <c r="C450" s="446"/>
      <c r="D450" s="446"/>
      <c r="E450" s="452"/>
      <c r="F450" s="441"/>
      <c r="G450" s="441"/>
      <c r="H450" s="448"/>
      <c r="I450" s="450"/>
      <c r="J450" s="449"/>
    </row>
    <row r="451" ht="15" customHeight="1" spans="1:10">
      <c r="A451" s="445"/>
      <c r="B451" s="446"/>
      <c r="C451" s="446"/>
      <c r="D451" s="446"/>
      <c r="E451" s="452"/>
      <c r="F451" s="441"/>
      <c r="G451" s="441"/>
      <c r="H451" s="448"/>
      <c r="I451" s="450"/>
      <c r="J451" s="449"/>
    </row>
    <row r="452" ht="15" customHeight="1" spans="1:10">
      <c r="A452" s="445"/>
      <c r="B452" s="446"/>
      <c r="C452" s="446"/>
      <c r="D452" s="446"/>
      <c r="E452" s="452"/>
      <c r="F452" s="441"/>
      <c r="G452" s="441"/>
      <c r="H452" s="448"/>
      <c r="I452" s="450"/>
      <c r="J452" s="449"/>
    </row>
    <row r="453" ht="15" customHeight="1" spans="1:10">
      <c r="A453" s="445"/>
      <c r="B453" s="446"/>
      <c r="C453" s="446"/>
      <c r="D453" s="446"/>
      <c r="E453" s="452"/>
      <c r="F453" s="441"/>
      <c r="G453" s="441"/>
      <c r="H453" s="448"/>
      <c r="I453" s="450"/>
      <c r="J453" s="449"/>
    </row>
    <row r="454" ht="15" customHeight="1" spans="1:10">
      <c r="A454" s="445"/>
      <c r="B454" s="446"/>
      <c r="C454" s="446"/>
      <c r="D454" s="446"/>
      <c r="E454" s="452"/>
      <c r="F454" s="441"/>
      <c r="G454" s="441"/>
      <c r="H454" s="448"/>
      <c r="I454" s="450"/>
      <c r="J454" s="449"/>
    </row>
    <row r="455" ht="15" customHeight="1" spans="1:10">
      <c r="A455" s="445"/>
      <c r="B455" s="446"/>
      <c r="C455" s="446"/>
      <c r="D455" s="446"/>
      <c r="E455" s="452"/>
      <c r="F455" s="441"/>
      <c r="G455" s="441"/>
      <c r="H455" s="448"/>
      <c r="I455" s="450"/>
      <c r="J455" s="449"/>
    </row>
    <row r="456" ht="15" customHeight="1" spans="1:10">
      <c r="A456" s="445"/>
      <c r="B456" s="446"/>
      <c r="C456" s="446"/>
      <c r="D456" s="446"/>
      <c r="E456" s="452"/>
      <c r="F456" s="441"/>
      <c r="G456" s="441"/>
      <c r="H456" s="448"/>
      <c r="I456" s="450"/>
      <c r="J456" s="449"/>
    </row>
    <row r="457" ht="15" customHeight="1" spans="1:10">
      <c r="A457" s="445"/>
      <c r="B457" s="446"/>
      <c r="C457" s="446"/>
      <c r="D457" s="446"/>
      <c r="E457" s="452"/>
      <c r="F457" s="441"/>
      <c r="G457" s="441"/>
      <c r="H457" s="448"/>
      <c r="I457" s="450"/>
      <c r="J457" s="449"/>
    </row>
    <row r="458" ht="15" customHeight="1" spans="1:10">
      <c r="A458" s="445"/>
      <c r="B458" s="446"/>
      <c r="C458" s="446"/>
      <c r="D458" s="446"/>
      <c r="E458" s="452"/>
      <c r="F458" s="441"/>
      <c r="G458" s="441"/>
      <c r="H458" s="448"/>
      <c r="I458" s="450"/>
      <c r="J458" s="449"/>
    </row>
    <row r="459" ht="15" customHeight="1" spans="1:10">
      <c r="A459" s="445"/>
      <c r="B459" s="446"/>
      <c r="C459" s="446"/>
      <c r="D459" s="446"/>
      <c r="E459" s="452"/>
      <c r="F459" s="441"/>
      <c r="G459" s="441"/>
      <c r="H459" s="448"/>
      <c r="I459" s="450"/>
      <c r="J459" s="449"/>
    </row>
    <row r="460" ht="15" customHeight="1" spans="1:10">
      <c r="A460" s="445"/>
      <c r="B460" s="446"/>
      <c r="C460" s="446"/>
      <c r="D460" s="446"/>
      <c r="E460" s="452"/>
      <c r="F460" s="441"/>
      <c r="G460" s="441"/>
      <c r="H460" s="448"/>
      <c r="I460" s="450"/>
      <c r="J460" s="449"/>
    </row>
    <row r="461" ht="15" customHeight="1" spans="1:10">
      <c r="A461" s="445"/>
      <c r="B461" s="446"/>
      <c r="C461" s="446"/>
      <c r="D461" s="446"/>
      <c r="E461" s="452"/>
      <c r="F461" s="441"/>
      <c r="G461" s="441"/>
      <c r="H461" s="448"/>
      <c r="I461" s="450"/>
      <c r="J461" s="449"/>
    </row>
    <row r="462" ht="15" customHeight="1" spans="1:10">
      <c r="A462" s="445"/>
      <c r="B462" s="446"/>
      <c r="C462" s="446"/>
      <c r="D462" s="446"/>
      <c r="E462" s="452"/>
      <c r="F462" s="441"/>
      <c r="G462" s="441"/>
      <c r="H462" s="448"/>
      <c r="I462" s="450"/>
      <c r="J462" s="449"/>
    </row>
    <row r="463" ht="15" customHeight="1" spans="1:10">
      <c r="A463" s="445"/>
      <c r="B463" s="446"/>
      <c r="C463" s="446"/>
      <c r="D463" s="446"/>
      <c r="E463" s="452"/>
      <c r="F463" s="441"/>
      <c r="G463" s="441"/>
      <c r="H463" s="448"/>
      <c r="I463" s="450"/>
      <c r="J463" s="449"/>
    </row>
    <row r="464" ht="15" customHeight="1" spans="1:10">
      <c r="A464" s="445"/>
      <c r="B464" s="446"/>
      <c r="C464" s="446"/>
      <c r="D464" s="446"/>
      <c r="E464" s="452"/>
      <c r="F464" s="441"/>
      <c r="G464" s="441"/>
      <c r="H464" s="448"/>
      <c r="I464" s="450"/>
      <c r="J464" s="449"/>
    </row>
    <row r="465" ht="15" customHeight="1" spans="1:10">
      <c r="A465" s="445"/>
      <c r="B465" s="446"/>
      <c r="C465" s="446"/>
      <c r="D465" s="446"/>
      <c r="E465" s="452"/>
      <c r="F465" s="441"/>
      <c r="G465" s="441"/>
      <c r="H465" s="448"/>
      <c r="I465" s="450"/>
      <c r="J465" s="449"/>
    </row>
    <row r="466" ht="15" customHeight="1" spans="1:10">
      <c r="A466" s="445"/>
      <c r="B466" s="446"/>
      <c r="C466" s="446"/>
      <c r="D466" s="446"/>
      <c r="E466" s="452"/>
      <c r="F466" s="441"/>
      <c r="G466" s="441"/>
      <c r="H466" s="448"/>
      <c r="I466" s="450"/>
      <c r="J466" s="449"/>
    </row>
    <row r="467" ht="15" customHeight="1" spans="1:10">
      <c r="A467" s="445"/>
      <c r="B467" s="446"/>
      <c r="C467" s="446"/>
      <c r="D467" s="446"/>
      <c r="E467" s="452"/>
      <c r="F467" s="441"/>
      <c r="G467" s="441"/>
      <c r="H467" s="448"/>
      <c r="I467" s="450"/>
      <c r="J467" s="449"/>
    </row>
    <row r="468" ht="15" customHeight="1" spans="1:10">
      <c r="A468" s="445"/>
      <c r="B468" s="446"/>
      <c r="C468" s="446"/>
      <c r="D468" s="446"/>
      <c r="E468" s="452"/>
      <c r="F468" s="441"/>
      <c r="G468" s="441"/>
      <c r="H468" s="448"/>
      <c r="I468" s="450"/>
      <c r="J468" s="449"/>
    </row>
    <row r="469" ht="15" customHeight="1" spans="1:10">
      <c r="A469" s="445"/>
      <c r="B469" s="446"/>
      <c r="C469" s="446"/>
      <c r="D469" s="446"/>
      <c r="E469" s="452"/>
      <c r="F469" s="441"/>
      <c r="G469" s="441"/>
      <c r="H469" s="448"/>
      <c r="I469" s="450"/>
      <c r="J469" s="449"/>
    </row>
    <row r="470" ht="15" customHeight="1" spans="1:10">
      <c r="A470" s="445"/>
      <c r="B470" s="446"/>
      <c r="C470" s="446"/>
      <c r="D470" s="446"/>
      <c r="E470" s="452"/>
      <c r="F470" s="441"/>
      <c r="G470" s="441"/>
      <c r="H470" s="448"/>
      <c r="I470" s="450"/>
      <c r="J470" s="449"/>
    </row>
    <row r="471" ht="15" customHeight="1" spans="1:10">
      <c r="A471" s="445"/>
      <c r="B471" s="446"/>
      <c r="C471" s="446"/>
      <c r="D471" s="446"/>
      <c r="E471" s="452"/>
      <c r="F471" s="441"/>
      <c r="G471" s="441"/>
      <c r="H471" s="448"/>
      <c r="I471" s="450"/>
      <c r="J471" s="449"/>
    </row>
    <row r="472" ht="15" customHeight="1" spans="1:10">
      <c r="A472" s="445"/>
      <c r="B472" s="446"/>
      <c r="C472" s="446"/>
      <c r="D472" s="446"/>
      <c r="E472" s="452"/>
      <c r="F472" s="441"/>
      <c r="G472" s="441"/>
      <c r="H472" s="448"/>
      <c r="I472" s="450"/>
      <c r="J472" s="449"/>
    </row>
    <row r="473" ht="15" customHeight="1" spans="1:10">
      <c r="A473" s="445"/>
      <c r="B473" s="446"/>
      <c r="C473" s="446"/>
      <c r="D473" s="446"/>
      <c r="E473" s="452"/>
      <c r="F473" s="441"/>
      <c r="G473" s="441"/>
      <c r="H473" s="448"/>
      <c r="I473" s="450"/>
      <c r="J473" s="449"/>
    </row>
    <row r="474" ht="15" customHeight="1" spans="1:10">
      <c r="A474" s="445"/>
      <c r="B474" s="446"/>
      <c r="C474" s="446"/>
      <c r="D474" s="446"/>
      <c r="E474" s="452"/>
      <c r="F474" s="441"/>
      <c r="G474" s="441"/>
      <c r="H474" s="448"/>
      <c r="I474" s="450"/>
      <c r="J474" s="449"/>
    </row>
    <row r="475" ht="15" customHeight="1" spans="1:10">
      <c r="A475" s="445"/>
      <c r="B475" s="446"/>
      <c r="C475" s="446"/>
      <c r="D475" s="446"/>
      <c r="E475" s="452"/>
      <c r="F475" s="441"/>
      <c r="G475" s="441"/>
      <c r="H475" s="448"/>
      <c r="I475" s="450"/>
      <c r="J475" s="449"/>
    </row>
    <row r="476" ht="15" customHeight="1" spans="1:10">
      <c r="A476" s="445"/>
      <c r="B476" s="446"/>
      <c r="C476" s="446"/>
      <c r="D476" s="446"/>
      <c r="E476" s="452"/>
      <c r="F476" s="441"/>
      <c r="G476" s="441"/>
      <c r="H476" s="448"/>
      <c r="I476" s="450"/>
      <c r="J476" s="449"/>
    </row>
    <row r="477" ht="15" customHeight="1" spans="1:10">
      <c r="A477" s="445"/>
      <c r="B477" s="446"/>
      <c r="C477" s="446"/>
      <c r="D477" s="446"/>
      <c r="E477" s="452"/>
      <c r="F477" s="441"/>
      <c r="G477" s="441"/>
      <c r="H477" s="448"/>
      <c r="I477" s="450"/>
      <c r="J477" s="449"/>
    </row>
    <row r="478" ht="15" customHeight="1" spans="1:10">
      <c r="A478" s="445"/>
      <c r="B478" s="446"/>
      <c r="C478" s="446"/>
      <c r="D478" s="446"/>
      <c r="E478" s="452"/>
      <c r="F478" s="441"/>
      <c r="G478" s="441"/>
      <c r="H478" s="448"/>
      <c r="I478" s="450"/>
      <c r="J478" s="449"/>
    </row>
    <row r="479" ht="15" customHeight="1" spans="1:10">
      <c r="A479" s="445"/>
      <c r="B479" s="446"/>
      <c r="C479" s="446"/>
      <c r="D479" s="446"/>
      <c r="E479" s="452"/>
      <c r="F479" s="441"/>
      <c r="G479" s="441"/>
      <c r="H479" s="448"/>
      <c r="I479" s="450"/>
      <c r="J479" s="449"/>
    </row>
    <row r="480" ht="15" customHeight="1" spans="1:10">
      <c r="A480" s="445"/>
      <c r="B480" s="446"/>
      <c r="C480" s="446"/>
      <c r="D480" s="446"/>
      <c r="E480" s="452"/>
      <c r="F480" s="441"/>
      <c r="G480" s="441"/>
      <c r="H480" s="448"/>
      <c r="I480" s="450"/>
      <c r="J480" s="449"/>
    </row>
    <row r="481" ht="15" customHeight="1" spans="1:10">
      <c r="A481" s="445"/>
      <c r="B481" s="446"/>
      <c r="C481" s="446"/>
      <c r="D481" s="446"/>
      <c r="E481" s="452"/>
      <c r="F481" s="441"/>
      <c r="G481" s="441"/>
      <c r="H481" s="448"/>
      <c r="I481" s="450"/>
      <c r="J481" s="449"/>
    </row>
    <row r="482" ht="15" customHeight="1" spans="1:10">
      <c r="A482" s="445"/>
      <c r="B482" s="446"/>
      <c r="C482" s="446"/>
      <c r="D482" s="446"/>
      <c r="E482" s="452"/>
      <c r="F482" s="441"/>
      <c r="G482" s="441"/>
      <c r="H482" s="448"/>
      <c r="I482" s="450"/>
      <c r="J482" s="449"/>
    </row>
    <row r="483" ht="15" customHeight="1" spans="1:10">
      <c r="A483" s="445"/>
      <c r="B483" s="446"/>
      <c r="C483" s="446"/>
      <c r="D483" s="446"/>
      <c r="E483" s="452"/>
      <c r="F483" s="441"/>
      <c r="G483" s="441"/>
      <c r="H483" s="448"/>
      <c r="I483" s="450"/>
      <c r="J483" s="449"/>
    </row>
    <row r="484" ht="15" customHeight="1" spans="1:10">
      <c r="A484" s="445"/>
      <c r="B484" s="446"/>
      <c r="C484" s="446"/>
      <c r="D484" s="446"/>
      <c r="E484" s="452"/>
      <c r="F484" s="441"/>
      <c r="G484" s="441"/>
      <c r="H484" s="448"/>
      <c r="I484" s="450"/>
      <c r="J484" s="449"/>
    </row>
    <row r="485" ht="15" customHeight="1" spans="1:10">
      <c r="A485" s="445"/>
      <c r="B485" s="446"/>
      <c r="C485" s="446"/>
      <c r="D485" s="446"/>
      <c r="E485" s="452"/>
      <c r="F485" s="441"/>
      <c r="G485" s="441"/>
      <c r="H485" s="448"/>
      <c r="I485" s="450"/>
      <c r="J485" s="449"/>
    </row>
    <row r="486" ht="15" customHeight="1" spans="1:10">
      <c r="A486" s="445"/>
      <c r="B486" s="446"/>
      <c r="C486" s="446"/>
      <c r="D486" s="446"/>
      <c r="E486" s="452"/>
      <c r="F486" s="441"/>
      <c r="G486" s="441"/>
      <c r="H486" s="448"/>
      <c r="I486" s="450"/>
      <c r="J486" s="449"/>
    </row>
    <row r="487" ht="15" customHeight="1" spans="1:10">
      <c r="A487" s="445"/>
      <c r="B487" s="446"/>
      <c r="C487" s="446"/>
      <c r="D487" s="446"/>
      <c r="E487" s="452"/>
      <c r="F487" s="441"/>
      <c r="G487" s="441"/>
      <c r="H487" s="448"/>
      <c r="I487" s="450"/>
      <c r="J487" s="449"/>
    </row>
    <row r="488" ht="15" customHeight="1" spans="1:10">
      <c r="A488" s="445"/>
      <c r="B488" s="446"/>
      <c r="C488" s="446"/>
      <c r="D488" s="446"/>
      <c r="E488" s="452"/>
      <c r="F488" s="441"/>
      <c r="G488" s="441"/>
      <c r="H488" s="448"/>
      <c r="I488" s="450"/>
      <c r="J488" s="449"/>
    </row>
    <row r="489" ht="15" customHeight="1" spans="1:10">
      <c r="A489" s="445"/>
      <c r="B489" s="446"/>
      <c r="C489" s="446"/>
      <c r="D489" s="446"/>
      <c r="E489" s="452"/>
      <c r="F489" s="441"/>
      <c r="G489" s="441"/>
      <c r="H489" s="448"/>
      <c r="I489" s="450"/>
      <c r="J489" s="449"/>
    </row>
    <row r="490" ht="15" customHeight="1" spans="1:10">
      <c r="A490" s="445"/>
      <c r="B490" s="446"/>
      <c r="C490" s="446"/>
      <c r="D490" s="446"/>
      <c r="E490" s="452"/>
      <c r="F490" s="441"/>
      <c r="G490" s="441"/>
      <c r="H490" s="448"/>
      <c r="I490" s="450"/>
      <c r="J490" s="449"/>
    </row>
    <row r="491" ht="15" customHeight="1" spans="1:10">
      <c r="A491" s="445"/>
      <c r="B491" s="446"/>
      <c r="C491" s="446"/>
      <c r="D491" s="446"/>
      <c r="E491" s="452"/>
      <c r="F491" s="441"/>
      <c r="G491" s="441"/>
      <c r="H491" s="448"/>
      <c r="I491" s="450"/>
      <c r="J491" s="449"/>
    </row>
    <row r="492" ht="15" customHeight="1" spans="1:10">
      <c r="A492" s="445"/>
      <c r="B492" s="446"/>
      <c r="C492" s="446"/>
      <c r="D492" s="446"/>
      <c r="E492" s="452"/>
      <c r="F492" s="441"/>
      <c r="G492" s="441"/>
      <c r="H492" s="448"/>
      <c r="I492" s="450"/>
      <c r="J492" s="449"/>
    </row>
    <row r="493" ht="15" customHeight="1" spans="1:10">
      <c r="A493" s="445"/>
      <c r="B493" s="446"/>
      <c r="C493" s="446"/>
      <c r="D493" s="446"/>
      <c r="E493" s="452"/>
      <c r="F493" s="441"/>
      <c r="G493" s="441"/>
      <c r="H493" s="448"/>
      <c r="I493" s="450"/>
      <c r="J493" s="449"/>
    </row>
    <row r="494" ht="15" customHeight="1" spans="1:10">
      <c r="A494" s="445"/>
      <c r="B494" s="446"/>
      <c r="C494" s="446"/>
      <c r="D494" s="446"/>
      <c r="E494" s="452"/>
      <c r="F494" s="441"/>
      <c r="G494" s="441"/>
      <c r="H494" s="448"/>
      <c r="I494" s="450"/>
      <c r="J494" s="449"/>
    </row>
    <row r="495" ht="15" customHeight="1" spans="1:10">
      <c r="A495" s="445"/>
      <c r="B495" s="446"/>
      <c r="C495" s="446"/>
      <c r="D495" s="446"/>
      <c r="E495" s="452"/>
      <c r="F495" s="441"/>
      <c r="G495" s="441"/>
      <c r="H495" s="448"/>
      <c r="I495" s="450"/>
      <c r="J495" s="449"/>
    </row>
    <row r="496" ht="15" customHeight="1" spans="1:10">
      <c r="A496" s="445"/>
      <c r="B496" s="446"/>
      <c r="C496" s="446"/>
      <c r="D496" s="446"/>
      <c r="E496" s="452"/>
      <c r="F496" s="441"/>
      <c r="G496" s="441"/>
      <c r="H496" s="448"/>
      <c r="I496" s="450"/>
      <c r="J496" s="449"/>
    </row>
    <row r="497" ht="15" customHeight="1" spans="1:10">
      <c r="A497" s="445"/>
      <c r="B497" s="446"/>
      <c r="C497" s="446"/>
      <c r="D497" s="446"/>
      <c r="E497" s="452"/>
      <c r="F497" s="441"/>
      <c r="G497" s="441"/>
      <c r="H497" s="448"/>
      <c r="I497" s="450"/>
      <c r="J497" s="449"/>
    </row>
    <row r="498" ht="15" customHeight="1" spans="1:10">
      <c r="A498" s="445"/>
      <c r="B498" s="446"/>
      <c r="C498" s="446"/>
      <c r="D498" s="446"/>
      <c r="E498" s="452"/>
      <c r="F498" s="441"/>
      <c r="G498" s="441"/>
      <c r="H498" s="448"/>
      <c r="I498" s="450"/>
      <c r="J498" s="449"/>
    </row>
    <row r="499" ht="15" customHeight="1" spans="1:10">
      <c r="A499" s="445"/>
      <c r="B499" s="446"/>
      <c r="C499" s="446"/>
      <c r="D499" s="446"/>
      <c r="E499" s="452"/>
      <c r="F499" s="441"/>
      <c r="G499" s="441"/>
      <c r="H499" s="448"/>
      <c r="I499" s="450"/>
      <c r="J499" s="449"/>
    </row>
    <row r="500" ht="15" customHeight="1" spans="1:10">
      <c r="A500" s="445"/>
      <c r="B500" s="446"/>
      <c r="C500" s="446"/>
      <c r="D500" s="446"/>
      <c r="E500" s="452"/>
      <c r="F500" s="441"/>
      <c r="G500" s="441"/>
      <c r="H500" s="448"/>
      <c r="I500" s="450"/>
      <c r="J500" s="449"/>
    </row>
    <row r="501" ht="15" customHeight="1" spans="1:10">
      <c r="A501" s="445"/>
      <c r="B501" s="446"/>
      <c r="C501" s="446"/>
      <c r="D501" s="446"/>
      <c r="E501" s="452"/>
      <c r="F501" s="441"/>
      <c r="G501" s="441"/>
      <c r="H501" s="448"/>
      <c r="I501" s="450"/>
      <c r="J501" s="449"/>
    </row>
    <row r="502" ht="15" customHeight="1" spans="1:10">
      <c r="A502" s="445"/>
      <c r="B502" s="446"/>
      <c r="C502" s="446"/>
      <c r="D502" s="446"/>
      <c r="E502" s="452"/>
      <c r="F502" s="441"/>
      <c r="G502" s="441"/>
      <c r="H502" s="448"/>
      <c r="I502" s="450"/>
      <c r="J502" s="449"/>
    </row>
    <row r="503" ht="15" customHeight="1" spans="1:10">
      <c r="A503" s="445"/>
      <c r="B503" s="446"/>
      <c r="C503" s="446"/>
      <c r="D503" s="446"/>
      <c r="E503" s="452"/>
      <c r="F503" s="441"/>
      <c r="G503" s="441"/>
      <c r="H503" s="448"/>
      <c r="I503" s="450"/>
      <c r="J503" s="449"/>
    </row>
    <row r="504" ht="15" customHeight="1" spans="1:10">
      <c r="A504" s="445"/>
      <c r="B504" s="446"/>
      <c r="C504" s="446"/>
      <c r="D504" s="446"/>
      <c r="E504" s="452"/>
      <c r="F504" s="441"/>
      <c r="G504" s="441"/>
      <c r="H504" s="448"/>
      <c r="I504" s="450"/>
      <c r="J504" s="449"/>
    </row>
    <row r="505" ht="15" customHeight="1" spans="1:10">
      <c r="A505" s="445"/>
      <c r="B505" s="446"/>
      <c r="C505" s="446"/>
      <c r="D505" s="446"/>
      <c r="E505" s="452"/>
      <c r="F505" s="441"/>
      <c r="G505" s="441"/>
      <c r="H505" s="448"/>
      <c r="I505" s="450"/>
      <c r="J505" s="449"/>
    </row>
    <row r="506" ht="15" customHeight="1" spans="1:10">
      <c r="A506" s="445"/>
      <c r="B506" s="446"/>
      <c r="C506" s="446"/>
      <c r="D506" s="446"/>
      <c r="E506" s="452"/>
      <c r="F506" s="441"/>
      <c r="G506" s="441"/>
      <c r="H506" s="448"/>
      <c r="I506" s="450"/>
      <c r="J506" s="449"/>
    </row>
    <row r="507" ht="15" customHeight="1" spans="1:10">
      <c r="A507" s="445"/>
      <c r="B507" s="446"/>
      <c r="C507" s="446"/>
      <c r="D507" s="446"/>
      <c r="E507" s="452"/>
      <c r="F507" s="441"/>
      <c r="G507" s="441"/>
      <c r="H507" s="448"/>
      <c r="I507" s="450"/>
      <c r="J507" s="449"/>
    </row>
    <row r="508" ht="15" customHeight="1" spans="1:10">
      <c r="A508" s="445"/>
      <c r="B508" s="446"/>
      <c r="C508" s="446"/>
      <c r="D508" s="446"/>
      <c r="E508" s="452"/>
      <c r="F508" s="441"/>
      <c r="G508" s="441"/>
      <c r="H508" s="448"/>
      <c r="I508" s="450"/>
      <c r="J508" s="449"/>
    </row>
    <row r="509" ht="15" customHeight="1" spans="1:10">
      <c r="A509" s="445"/>
      <c r="B509" s="446"/>
      <c r="C509" s="446"/>
      <c r="D509" s="446"/>
      <c r="E509" s="452"/>
      <c r="F509" s="441"/>
      <c r="G509" s="441"/>
      <c r="H509" s="448"/>
      <c r="I509" s="450"/>
      <c r="J509" s="449"/>
    </row>
    <row r="510" ht="15" customHeight="1" spans="1:10">
      <c r="A510" s="445"/>
      <c r="B510" s="446"/>
      <c r="C510" s="446"/>
      <c r="D510" s="446"/>
      <c r="E510" s="452"/>
      <c r="F510" s="441"/>
      <c r="G510" s="441"/>
      <c r="H510" s="448"/>
      <c r="I510" s="450"/>
      <c r="J510" s="449"/>
    </row>
    <row r="511" ht="15" customHeight="1" spans="1:10">
      <c r="A511" s="445"/>
      <c r="B511" s="446"/>
      <c r="C511" s="446"/>
      <c r="D511" s="446"/>
      <c r="E511" s="452"/>
      <c r="F511" s="441"/>
      <c r="G511" s="441"/>
      <c r="H511" s="448"/>
      <c r="I511" s="450"/>
      <c r="J511" s="449"/>
    </row>
    <row r="512" ht="15" customHeight="1" spans="1:10">
      <c r="A512" s="445"/>
      <c r="B512" s="446"/>
      <c r="C512" s="446"/>
      <c r="D512" s="446"/>
      <c r="E512" s="452"/>
      <c r="F512" s="441"/>
      <c r="G512" s="441"/>
      <c r="H512" s="448"/>
      <c r="I512" s="450"/>
      <c r="J512" s="449"/>
    </row>
    <row r="513" ht="15" customHeight="1" spans="1:10">
      <c r="A513" s="445"/>
      <c r="B513" s="446"/>
      <c r="C513" s="446"/>
      <c r="D513" s="446"/>
      <c r="E513" s="452"/>
      <c r="F513" s="441"/>
      <c r="G513" s="441"/>
      <c r="H513" s="448"/>
      <c r="I513" s="450"/>
      <c r="J513" s="449"/>
    </row>
    <row r="514" ht="15" customHeight="1" spans="1:10">
      <c r="A514" s="445"/>
      <c r="B514" s="446"/>
      <c r="C514" s="446"/>
      <c r="D514" s="446"/>
      <c r="E514" s="452"/>
      <c r="F514" s="441"/>
      <c r="G514" s="441"/>
      <c r="H514" s="448"/>
      <c r="I514" s="450"/>
      <c r="J514" s="449"/>
    </row>
    <row r="515" ht="15" customHeight="1" spans="1:10">
      <c r="A515" s="445"/>
      <c r="B515" s="446"/>
      <c r="C515" s="446"/>
      <c r="D515" s="446"/>
      <c r="E515" s="452"/>
      <c r="F515" s="441"/>
      <c r="G515" s="441"/>
      <c r="H515" s="448"/>
      <c r="I515" s="450"/>
      <c r="J515" s="449"/>
    </row>
    <row r="516" ht="15" customHeight="1" spans="1:10">
      <c r="A516" s="445"/>
      <c r="B516" s="446"/>
      <c r="C516" s="446"/>
      <c r="D516" s="446"/>
      <c r="E516" s="452"/>
      <c r="F516" s="441"/>
      <c r="G516" s="441"/>
      <c r="H516" s="448"/>
      <c r="I516" s="450"/>
      <c r="J516" s="449"/>
    </row>
    <row r="517" ht="15" customHeight="1" spans="1:10">
      <c r="A517" s="445"/>
      <c r="B517" s="446"/>
      <c r="C517" s="446"/>
      <c r="D517" s="446"/>
      <c r="E517" s="452"/>
      <c r="F517" s="441"/>
      <c r="G517" s="441"/>
      <c r="H517" s="448"/>
      <c r="I517" s="450"/>
      <c r="J517" s="449"/>
    </row>
    <row r="518" ht="15" customHeight="1" spans="1:10">
      <c r="A518" s="445"/>
      <c r="B518" s="446"/>
      <c r="C518" s="446"/>
      <c r="D518" s="446"/>
      <c r="E518" s="452"/>
      <c r="F518" s="441"/>
      <c r="G518" s="441"/>
      <c r="H518" s="448"/>
      <c r="I518" s="450"/>
      <c r="J518" s="449"/>
    </row>
    <row r="519" ht="15" customHeight="1" spans="1:10">
      <c r="A519" s="445"/>
      <c r="B519" s="446"/>
      <c r="C519" s="446"/>
      <c r="D519" s="446"/>
      <c r="E519" s="452"/>
      <c r="F519" s="441"/>
      <c r="G519" s="441"/>
      <c r="H519" s="448"/>
      <c r="I519" s="450"/>
      <c r="J519" s="449"/>
    </row>
    <row r="520" ht="15" customHeight="1" spans="1:10">
      <c r="A520" s="445"/>
      <c r="B520" s="446"/>
      <c r="C520" s="446"/>
      <c r="D520" s="446"/>
      <c r="E520" s="452"/>
      <c r="F520" s="441"/>
      <c r="G520" s="441"/>
      <c r="H520" s="448"/>
      <c r="I520" s="450"/>
      <c r="J520" s="449"/>
    </row>
    <row r="521" ht="15" customHeight="1" spans="1:10">
      <c r="A521" s="445"/>
      <c r="B521" s="446"/>
      <c r="C521" s="446"/>
      <c r="D521" s="446"/>
      <c r="E521" s="452"/>
      <c r="F521" s="441"/>
      <c r="G521" s="441"/>
      <c r="H521" s="448"/>
      <c r="I521" s="450"/>
      <c r="J521" s="449"/>
    </row>
    <row r="522" ht="15" customHeight="1" spans="1:10">
      <c r="A522" s="445"/>
      <c r="B522" s="446"/>
      <c r="C522" s="446"/>
      <c r="D522" s="446"/>
      <c r="E522" s="452"/>
      <c r="F522" s="441"/>
      <c r="G522" s="441"/>
      <c r="H522" s="448"/>
      <c r="I522" s="450"/>
      <c r="J522" s="449"/>
    </row>
    <row r="523" ht="15" customHeight="1" spans="1:10">
      <c r="A523" s="445"/>
      <c r="B523" s="446"/>
      <c r="C523" s="446"/>
      <c r="D523" s="446"/>
      <c r="E523" s="452"/>
      <c r="F523" s="441"/>
      <c r="G523" s="441"/>
      <c r="H523" s="448"/>
      <c r="I523" s="450"/>
      <c r="J523" s="449"/>
    </row>
    <row r="524" ht="15" customHeight="1" spans="1:10">
      <c r="A524" s="445"/>
      <c r="B524" s="446"/>
      <c r="C524" s="446"/>
      <c r="D524" s="446"/>
      <c r="E524" s="452"/>
      <c r="F524" s="441"/>
      <c r="G524" s="441"/>
      <c r="H524" s="448"/>
      <c r="I524" s="450"/>
      <c r="J524" s="449"/>
    </row>
    <row r="525" ht="15" customHeight="1" spans="1:10">
      <c r="A525" s="445"/>
      <c r="B525" s="446"/>
      <c r="C525" s="446"/>
      <c r="D525" s="446"/>
      <c r="E525" s="452"/>
      <c r="F525" s="441"/>
      <c r="G525" s="441"/>
      <c r="H525" s="448"/>
      <c r="I525" s="450"/>
      <c r="J525" s="449"/>
    </row>
    <row r="526" ht="15" customHeight="1" spans="1:10">
      <c r="A526" s="445"/>
      <c r="B526" s="446"/>
      <c r="C526" s="446"/>
      <c r="D526" s="446"/>
      <c r="E526" s="452"/>
      <c r="F526" s="441"/>
      <c r="G526" s="441"/>
      <c r="H526" s="448"/>
      <c r="I526" s="450"/>
      <c r="J526" s="449"/>
    </row>
    <row r="527" ht="15" customHeight="1" spans="1:10">
      <c r="A527" s="445"/>
      <c r="B527" s="446"/>
      <c r="C527" s="446"/>
      <c r="D527" s="446"/>
      <c r="E527" s="452"/>
      <c r="F527" s="441"/>
      <c r="G527" s="441"/>
      <c r="H527" s="448"/>
      <c r="I527" s="450"/>
      <c r="J527" s="449"/>
    </row>
    <row r="528" ht="15" customHeight="1" spans="1:10">
      <c r="A528" s="445"/>
      <c r="B528" s="446"/>
      <c r="C528" s="446"/>
      <c r="D528" s="446"/>
      <c r="E528" s="452"/>
      <c r="F528" s="441"/>
      <c r="G528" s="441"/>
      <c r="H528" s="448"/>
      <c r="I528" s="450"/>
      <c r="J528" s="449"/>
    </row>
    <row r="529" ht="15" customHeight="1" spans="1:10">
      <c r="A529" s="445"/>
      <c r="B529" s="446"/>
      <c r="C529" s="446"/>
      <c r="D529" s="446"/>
      <c r="E529" s="452"/>
      <c r="F529" s="441"/>
      <c r="G529" s="441"/>
      <c r="H529" s="448"/>
      <c r="I529" s="450"/>
      <c r="J529" s="449"/>
    </row>
    <row r="530" ht="15" customHeight="1" spans="1:10">
      <c r="A530" s="445"/>
      <c r="B530" s="446"/>
      <c r="C530" s="446"/>
      <c r="D530" s="446"/>
      <c r="E530" s="452"/>
      <c r="F530" s="441"/>
      <c r="G530" s="441"/>
      <c r="H530" s="448"/>
      <c r="I530" s="450"/>
      <c r="J530" s="449"/>
    </row>
    <row r="531" ht="15" customHeight="1" spans="1:10">
      <c r="A531" s="445"/>
      <c r="B531" s="446"/>
      <c r="C531" s="446"/>
      <c r="D531" s="446"/>
      <c r="E531" s="452"/>
      <c r="F531" s="441"/>
      <c r="G531" s="441"/>
      <c r="H531" s="448"/>
      <c r="I531" s="450"/>
      <c r="J531" s="449"/>
    </row>
    <row r="532" ht="15" customHeight="1" spans="1:10">
      <c r="A532" s="445"/>
      <c r="B532" s="446"/>
      <c r="C532" s="446"/>
      <c r="D532" s="446"/>
      <c r="E532" s="452"/>
      <c r="F532" s="441"/>
      <c r="G532" s="441"/>
      <c r="H532" s="448"/>
      <c r="I532" s="450"/>
      <c r="J532" s="449"/>
    </row>
    <row r="533" ht="15" customHeight="1" spans="1:10">
      <c r="A533" s="445"/>
      <c r="B533" s="446"/>
      <c r="C533" s="446"/>
      <c r="D533" s="446"/>
      <c r="E533" s="452"/>
      <c r="F533" s="441"/>
      <c r="G533" s="441"/>
      <c r="H533" s="448"/>
      <c r="I533" s="450"/>
      <c r="J533" s="449"/>
    </row>
    <row r="534" ht="15" customHeight="1" spans="1:10">
      <c r="A534" s="445"/>
      <c r="B534" s="446"/>
      <c r="C534" s="446"/>
      <c r="D534" s="446"/>
      <c r="E534" s="452"/>
      <c r="F534" s="441"/>
      <c r="G534" s="441"/>
      <c r="H534" s="448"/>
      <c r="I534" s="450"/>
      <c r="J534" s="449"/>
    </row>
    <row r="535" ht="15" customHeight="1" spans="1:10">
      <c r="A535" s="445"/>
      <c r="B535" s="446"/>
      <c r="C535" s="446"/>
      <c r="D535" s="446"/>
      <c r="E535" s="452"/>
      <c r="F535" s="441"/>
      <c r="G535" s="441"/>
      <c r="H535" s="448"/>
      <c r="I535" s="450"/>
      <c r="J535" s="449"/>
    </row>
    <row r="536" ht="15" customHeight="1" spans="1:10">
      <c r="A536" s="445"/>
      <c r="B536" s="446"/>
      <c r="C536" s="446"/>
      <c r="D536" s="446"/>
      <c r="E536" s="452"/>
      <c r="F536" s="441"/>
      <c r="G536" s="441"/>
      <c r="H536" s="448"/>
      <c r="I536" s="450"/>
      <c r="J536" s="449"/>
    </row>
    <row r="537" ht="15" customHeight="1" spans="1:10">
      <c r="A537" s="445"/>
      <c r="B537" s="446"/>
      <c r="C537" s="446"/>
      <c r="D537" s="446"/>
      <c r="E537" s="452"/>
      <c r="F537" s="441"/>
      <c r="G537" s="441"/>
      <c r="H537" s="448"/>
      <c r="I537" s="450"/>
      <c r="J537" s="449"/>
    </row>
    <row r="538" ht="15" customHeight="1" spans="1:10">
      <c r="A538" s="445"/>
      <c r="B538" s="446"/>
      <c r="C538" s="446"/>
      <c r="D538" s="446"/>
      <c r="E538" s="452"/>
      <c r="F538" s="441"/>
      <c r="G538" s="441"/>
      <c r="H538" s="448"/>
      <c r="I538" s="450"/>
      <c r="J538" s="449"/>
    </row>
    <row r="539" ht="15" customHeight="1" spans="1:10">
      <c r="A539" s="445"/>
      <c r="B539" s="446"/>
      <c r="C539" s="446"/>
      <c r="D539" s="446"/>
      <c r="E539" s="452"/>
      <c r="F539" s="441"/>
      <c r="G539" s="441"/>
      <c r="H539" s="448"/>
      <c r="I539" s="450"/>
      <c r="J539" s="449"/>
    </row>
    <row r="540" ht="15" customHeight="1" spans="1:10">
      <c r="A540" s="445"/>
      <c r="B540" s="446"/>
      <c r="C540" s="446"/>
      <c r="D540" s="446"/>
      <c r="E540" s="452"/>
      <c r="F540" s="441"/>
      <c r="G540" s="441"/>
      <c r="H540" s="448"/>
      <c r="I540" s="450"/>
      <c r="J540" s="449"/>
    </row>
    <row r="541" ht="15" customHeight="1" spans="1:10">
      <c r="A541" s="445"/>
      <c r="B541" s="446"/>
      <c r="C541" s="446"/>
      <c r="D541" s="446"/>
      <c r="E541" s="452"/>
      <c r="F541" s="441"/>
      <c r="G541" s="441"/>
      <c r="H541" s="448"/>
      <c r="I541" s="450"/>
      <c r="J541" s="449"/>
    </row>
    <row r="542" ht="15" customHeight="1" spans="1:10">
      <c r="A542" s="445"/>
      <c r="B542" s="446"/>
      <c r="C542" s="446"/>
      <c r="D542" s="446"/>
      <c r="E542" s="452"/>
      <c r="F542" s="441"/>
      <c r="G542" s="441"/>
      <c r="H542" s="448"/>
      <c r="I542" s="450"/>
      <c r="J542" s="449"/>
    </row>
    <row r="543" ht="15" customHeight="1" spans="1:10">
      <c r="A543" s="445"/>
      <c r="B543" s="446"/>
      <c r="C543" s="446"/>
      <c r="D543" s="446"/>
      <c r="E543" s="452"/>
      <c r="F543" s="441"/>
      <c r="G543" s="441"/>
      <c r="H543" s="448"/>
      <c r="I543" s="450"/>
      <c r="J543" s="449"/>
    </row>
    <row r="544" ht="15" customHeight="1" spans="1:10">
      <c r="A544" s="445"/>
      <c r="B544" s="446"/>
      <c r="C544" s="446"/>
      <c r="D544" s="446"/>
      <c r="E544" s="452"/>
      <c r="F544" s="441"/>
      <c r="G544" s="441"/>
      <c r="H544" s="448"/>
      <c r="I544" s="450"/>
      <c r="J544" s="449"/>
    </row>
    <row r="545" ht="15" customHeight="1" spans="1:10">
      <c r="A545" s="445"/>
      <c r="B545" s="446"/>
      <c r="C545" s="446"/>
      <c r="D545" s="446"/>
      <c r="E545" s="452"/>
      <c r="F545" s="441"/>
      <c r="G545" s="441"/>
      <c r="H545" s="448"/>
      <c r="I545" s="450"/>
      <c r="J545" s="449"/>
    </row>
    <row r="546" ht="15" customHeight="1" spans="1:10">
      <c r="A546" s="445"/>
      <c r="B546" s="446"/>
      <c r="C546" s="446"/>
      <c r="D546" s="446"/>
      <c r="E546" s="452"/>
      <c r="F546" s="441"/>
      <c r="G546" s="441"/>
      <c r="H546" s="448"/>
      <c r="I546" s="450"/>
      <c r="J546" s="449"/>
    </row>
    <row r="547" ht="15" customHeight="1" spans="1:10">
      <c r="A547" s="445"/>
      <c r="B547" s="446"/>
      <c r="C547" s="446"/>
      <c r="D547" s="446"/>
      <c r="E547" s="452"/>
      <c r="F547" s="441"/>
      <c r="G547" s="441"/>
      <c r="H547" s="448"/>
      <c r="I547" s="450"/>
      <c r="J547" s="449"/>
    </row>
    <row r="548" ht="15" customHeight="1" spans="1:10">
      <c r="A548" s="445"/>
      <c r="B548" s="446"/>
      <c r="C548" s="446"/>
      <c r="D548" s="446"/>
      <c r="E548" s="452"/>
      <c r="F548" s="441"/>
      <c r="G548" s="441"/>
      <c r="H548" s="448"/>
      <c r="I548" s="450"/>
      <c r="J548" s="449"/>
    </row>
    <row r="549" ht="15" customHeight="1" spans="1:10">
      <c r="A549" s="445"/>
      <c r="B549" s="446"/>
      <c r="C549" s="446"/>
      <c r="D549" s="446"/>
      <c r="E549" s="452"/>
      <c r="F549" s="441"/>
      <c r="G549" s="441"/>
      <c r="H549" s="448"/>
      <c r="I549" s="450"/>
      <c r="J549" s="449"/>
    </row>
    <row r="550" ht="15" customHeight="1" spans="1:10">
      <c r="A550" s="445"/>
      <c r="B550" s="446"/>
      <c r="C550" s="446"/>
      <c r="D550" s="446"/>
      <c r="E550" s="452"/>
      <c r="F550" s="441"/>
      <c r="G550" s="441"/>
      <c r="H550" s="448"/>
      <c r="I550" s="450"/>
      <c r="J550" s="449"/>
    </row>
    <row r="551" ht="15" customHeight="1" spans="1:10">
      <c r="A551" s="445"/>
      <c r="B551" s="446"/>
      <c r="C551" s="446"/>
      <c r="D551" s="446"/>
      <c r="E551" s="452"/>
      <c r="F551" s="441"/>
      <c r="G551" s="441"/>
      <c r="H551" s="448"/>
      <c r="I551" s="450"/>
      <c r="J551" s="449"/>
    </row>
    <row r="552" ht="15" customHeight="1" spans="1:10">
      <c r="A552" s="445"/>
      <c r="B552" s="446"/>
      <c r="C552" s="446"/>
      <c r="D552" s="446"/>
      <c r="E552" s="452"/>
      <c r="F552" s="441"/>
      <c r="G552" s="441"/>
      <c r="H552" s="448"/>
      <c r="I552" s="450"/>
      <c r="J552" s="449"/>
    </row>
    <row r="553" ht="15" customHeight="1" spans="1:10">
      <c r="A553" s="445"/>
      <c r="B553" s="446"/>
      <c r="C553" s="446"/>
      <c r="D553" s="446"/>
      <c r="E553" s="452"/>
      <c r="F553" s="441"/>
      <c r="G553" s="441"/>
      <c r="H553" s="448"/>
      <c r="I553" s="450"/>
      <c r="J553" s="449"/>
    </row>
    <row r="554" ht="15" customHeight="1" spans="1:10">
      <c r="A554" s="445"/>
      <c r="B554" s="446"/>
      <c r="C554" s="446"/>
      <c r="D554" s="446"/>
      <c r="E554" s="452"/>
      <c r="F554" s="441"/>
      <c r="G554" s="441"/>
      <c r="H554" s="448"/>
      <c r="I554" s="450"/>
      <c r="J554" s="449"/>
    </row>
    <row r="555" ht="15" customHeight="1" spans="1:10">
      <c r="A555" s="445"/>
      <c r="B555" s="446"/>
      <c r="C555" s="446"/>
      <c r="D555" s="446"/>
      <c r="E555" s="452"/>
      <c r="F555" s="441"/>
      <c r="G555" s="441"/>
      <c r="H555" s="448"/>
      <c r="I555" s="450"/>
      <c r="J555" s="449"/>
    </row>
    <row r="556" ht="15" customHeight="1" spans="1:10">
      <c r="A556" s="445"/>
      <c r="B556" s="446"/>
      <c r="C556" s="446"/>
      <c r="D556" s="446"/>
      <c r="E556" s="452"/>
      <c r="F556" s="441"/>
      <c r="G556" s="441"/>
      <c r="H556" s="448"/>
      <c r="I556" s="450"/>
      <c r="J556" s="449"/>
    </row>
    <row r="557" ht="15" customHeight="1" spans="1:10">
      <c r="A557" s="445"/>
      <c r="B557" s="446"/>
      <c r="C557" s="446"/>
      <c r="D557" s="446"/>
      <c r="E557" s="452"/>
      <c r="F557" s="441"/>
      <c r="G557" s="441"/>
      <c r="H557" s="448"/>
      <c r="I557" s="450"/>
      <c r="J557" s="449"/>
    </row>
    <row r="558" ht="15" customHeight="1" spans="1:10">
      <c r="A558" s="445"/>
      <c r="B558" s="446"/>
      <c r="C558" s="446"/>
      <c r="D558" s="446"/>
      <c r="E558" s="452"/>
      <c r="F558" s="441"/>
      <c r="G558" s="441"/>
      <c r="H558" s="448"/>
      <c r="I558" s="450"/>
      <c r="J558" s="449"/>
    </row>
    <row r="559" ht="15" customHeight="1" spans="1:10">
      <c r="A559" s="445"/>
      <c r="B559" s="446"/>
      <c r="C559" s="446"/>
      <c r="D559" s="446"/>
      <c r="E559" s="452"/>
      <c r="F559" s="441"/>
      <c r="G559" s="441"/>
      <c r="H559" s="448"/>
      <c r="I559" s="450"/>
      <c r="J559" s="449"/>
    </row>
    <row r="560" ht="15" customHeight="1" spans="1:10">
      <c r="A560" s="445"/>
      <c r="B560" s="446"/>
      <c r="C560" s="446"/>
      <c r="D560" s="446"/>
      <c r="E560" s="452"/>
      <c r="F560" s="441"/>
      <c r="G560" s="441"/>
      <c r="H560" s="448"/>
      <c r="I560" s="450"/>
      <c r="J560" s="449"/>
    </row>
    <row r="561" ht="15" customHeight="1" spans="1:10">
      <c r="A561" s="445"/>
      <c r="B561" s="446"/>
      <c r="C561" s="446"/>
      <c r="D561" s="446"/>
      <c r="E561" s="452"/>
      <c r="F561" s="441"/>
      <c r="G561" s="441"/>
      <c r="H561" s="448"/>
      <c r="I561" s="450"/>
      <c r="J561" s="449"/>
    </row>
    <row r="562" ht="15" customHeight="1" spans="1:10">
      <c r="A562" s="445"/>
      <c r="B562" s="446"/>
      <c r="C562" s="446"/>
      <c r="D562" s="446"/>
      <c r="E562" s="452"/>
      <c r="F562" s="441"/>
      <c r="G562" s="441"/>
      <c r="H562" s="448"/>
      <c r="I562" s="450"/>
      <c r="J562" s="449"/>
    </row>
    <row r="563" ht="15" customHeight="1" spans="1:10">
      <c r="A563" s="445"/>
      <c r="B563" s="446"/>
      <c r="C563" s="446"/>
      <c r="D563" s="446"/>
      <c r="E563" s="452"/>
      <c r="F563" s="441"/>
      <c r="G563" s="441"/>
      <c r="H563" s="448"/>
      <c r="I563" s="450"/>
      <c r="J563" s="449"/>
    </row>
    <row r="564" ht="15" customHeight="1" spans="1:10">
      <c r="A564" s="445"/>
      <c r="B564" s="446"/>
      <c r="C564" s="446"/>
      <c r="D564" s="446"/>
      <c r="E564" s="452"/>
      <c r="F564" s="441"/>
      <c r="G564" s="441"/>
      <c r="H564" s="448"/>
      <c r="I564" s="450"/>
      <c r="J564" s="449"/>
    </row>
    <row r="565" ht="15" customHeight="1" spans="1:10">
      <c r="A565" s="445"/>
      <c r="B565" s="446"/>
      <c r="C565" s="446"/>
      <c r="D565" s="446"/>
      <c r="E565" s="452"/>
      <c r="F565" s="441"/>
      <c r="G565" s="441"/>
      <c r="H565" s="448"/>
      <c r="I565" s="450"/>
      <c r="J565" s="449"/>
    </row>
    <row r="566" ht="15" customHeight="1" spans="1:10">
      <c r="A566" s="445"/>
      <c r="B566" s="446"/>
      <c r="C566" s="446"/>
      <c r="D566" s="446"/>
      <c r="E566" s="452"/>
      <c r="F566" s="441"/>
      <c r="G566" s="441"/>
      <c r="H566" s="448"/>
      <c r="I566" s="450"/>
      <c r="J566" s="449"/>
    </row>
    <row r="567" ht="15" customHeight="1" spans="1:10">
      <c r="A567" s="445"/>
      <c r="B567" s="446"/>
      <c r="C567" s="446"/>
      <c r="D567" s="446"/>
      <c r="E567" s="452"/>
      <c r="F567" s="441"/>
      <c r="G567" s="441"/>
      <c r="H567" s="448"/>
      <c r="I567" s="450"/>
      <c r="J567" s="449"/>
    </row>
    <row r="568" ht="15" customHeight="1" spans="1:10">
      <c r="A568" s="445"/>
      <c r="B568" s="446"/>
      <c r="C568" s="446"/>
      <c r="D568" s="446"/>
      <c r="E568" s="452"/>
      <c r="F568" s="441"/>
      <c r="G568" s="441"/>
      <c r="H568" s="448"/>
      <c r="I568" s="450"/>
      <c r="J568" s="449"/>
    </row>
    <row r="569" ht="15" customHeight="1" spans="1:10">
      <c r="A569" s="445"/>
      <c r="B569" s="446"/>
      <c r="C569" s="446"/>
      <c r="D569" s="446"/>
      <c r="E569" s="452"/>
      <c r="F569" s="441"/>
      <c r="G569" s="441"/>
      <c r="H569" s="448"/>
      <c r="I569" s="450"/>
      <c r="J569" s="449"/>
    </row>
    <row r="570" ht="15" customHeight="1" spans="1:10">
      <c r="A570" s="445"/>
      <c r="B570" s="446"/>
      <c r="C570" s="446"/>
      <c r="D570" s="446"/>
      <c r="E570" s="452"/>
      <c r="F570" s="441"/>
      <c r="G570" s="441"/>
      <c r="H570" s="448"/>
      <c r="I570" s="450"/>
      <c r="J570" s="449"/>
    </row>
    <row r="571" ht="15" customHeight="1" spans="1:10">
      <c r="A571" s="445"/>
      <c r="B571" s="446"/>
      <c r="C571" s="446"/>
      <c r="D571" s="446"/>
      <c r="E571" s="452"/>
      <c r="F571" s="441"/>
      <c r="G571" s="441"/>
      <c r="H571" s="448"/>
      <c r="I571" s="450"/>
      <c r="J571" s="449"/>
    </row>
    <row r="572" ht="15" customHeight="1" spans="1:10">
      <c r="A572" s="445"/>
      <c r="B572" s="446"/>
      <c r="C572" s="446"/>
      <c r="D572" s="446"/>
      <c r="E572" s="452"/>
      <c r="F572" s="441"/>
      <c r="G572" s="441"/>
      <c r="H572" s="448"/>
      <c r="I572" s="450"/>
      <c r="J572" s="449"/>
    </row>
    <row r="573" ht="15" customHeight="1" spans="1:10">
      <c r="A573" s="445"/>
      <c r="B573" s="446"/>
      <c r="C573" s="446"/>
      <c r="D573" s="446"/>
      <c r="E573" s="452"/>
      <c r="F573" s="441"/>
      <c r="G573" s="441"/>
      <c r="H573" s="448"/>
      <c r="I573" s="450"/>
      <c r="J573" s="449"/>
    </row>
    <row r="574" ht="15" customHeight="1" spans="1:10">
      <c r="A574" s="445"/>
      <c r="B574" s="446"/>
      <c r="C574" s="446"/>
      <c r="D574" s="446"/>
      <c r="E574" s="452"/>
      <c r="F574" s="441"/>
      <c r="G574" s="441"/>
      <c r="H574" s="448"/>
      <c r="I574" s="450"/>
      <c r="J574" s="449"/>
    </row>
    <row r="575" ht="15" customHeight="1" spans="1:10">
      <c r="A575" s="445"/>
      <c r="B575" s="446"/>
      <c r="C575" s="446"/>
      <c r="D575" s="446"/>
      <c r="E575" s="452"/>
      <c r="F575" s="441"/>
      <c r="G575" s="441"/>
      <c r="H575" s="448"/>
      <c r="I575" s="450"/>
      <c r="J575" s="449"/>
    </row>
    <row r="576" ht="15" customHeight="1" spans="1:10">
      <c r="A576" s="445"/>
      <c r="B576" s="446"/>
      <c r="C576" s="446"/>
      <c r="D576" s="446"/>
      <c r="E576" s="452"/>
      <c r="F576" s="441"/>
      <c r="G576" s="441"/>
      <c r="H576" s="448"/>
      <c r="I576" s="450"/>
      <c r="J576" s="449"/>
    </row>
    <row r="577" ht="15" customHeight="1" spans="1:10">
      <c r="A577" s="445"/>
      <c r="B577" s="446"/>
      <c r="C577" s="446"/>
      <c r="D577" s="446"/>
      <c r="E577" s="452"/>
      <c r="F577" s="441"/>
      <c r="G577" s="441"/>
      <c r="H577" s="448"/>
      <c r="I577" s="450"/>
      <c r="J577" s="449"/>
    </row>
    <row r="578" ht="15" customHeight="1" spans="1:10">
      <c r="A578" s="445"/>
      <c r="B578" s="446"/>
      <c r="C578" s="446"/>
      <c r="D578" s="446"/>
      <c r="E578" s="452"/>
      <c r="F578" s="441"/>
      <c r="G578" s="441"/>
      <c r="H578" s="448"/>
      <c r="I578" s="450"/>
      <c r="J578" s="449"/>
    </row>
    <row r="579" ht="15" customHeight="1" spans="1:10">
      <c r="A579" s="445"/>
      <c r="B579" s="446"/>
      <c r="C579" s="446"/>
      <c r="D579" s="446"/>
      <c r="E579" s="452"/>
      <c r="F579" s="441"/>
      <c r="G579" s="441"/>
      <c r="H579" s="448"/>
      <c r="I579" s="450"/>
      <c r="J579" s="449"/>
    </row>
    <row r="580" ht="15" customHeight="1" spans="1:10">
      <c r="A580" s="445"/>
      <c r="B580" s="446"/>
      <c r="C580" s="446"/>
      <c r="D580" s="446"/>
      <c r="E580" s="452"/>
      <c r="F580" s="441"/>
      <c r="G580" s="441"/>
      <c r="H580" s="448"/>
      <c r="I580" s="450"/>
      <c r="J580" s="449"/>
    </row>
    <row r="581" ht="15" customHeight="1" spans="1:10">
      <c r="A581" s="445"/>
      <c r="B581" s="446"/>
      <c r="C581" s="446"/>
      <c r="D581" s="446"/>
      <c r="E581" s="452"/>
      <c r="F581" s="441"/>
      <c r="G581" s="441"/>
      <c r="H581" s="448"/>
      <c r="I581" s="450"/>
      <c r="J581" s="449"/>
    </row>
    <row r="582" ht="15" customHeight="1" spans="1:10">
      <c r="A582" s="445"/>
      <c r="B582" s="446"/>
      <c r="C582" s="446"/>
      <c r="D582" s="446"/>
      <c r="E582" s="452"/>
      <c r="F582" s="441"/>
      <c r="G582" s="441"/>
      <c r="H582" s="448"/>
      <c r="I582" s="450"/>
      <c r="J582" s="449"/>
    </row>
    <row r="583" ht="15" customHeight="1" spans="1:10">
      <c r="A583" s="445"/>
      <c r="B583" s="446"/>
      <c r="C583" s="446"/>
      <c r="D583" s="446"/>
      <c r="E583" s="452"/>
      <c r="F583" s="441"/>
      <c r="G583" s="441"/>
      <c r="H583" s="448"/>
      <c r="I583" s="450"/>
      <c r="J583" s="449"/>
    </row>
    <row r="584" ht="15" customHeight="1" spans="1:10">
      <c r="A584" s="445"/>
      <c r="B584" s="446"/>
      <c r="C584" s="446"/>
      <c r="D584" s="446"/>
      <c r="E584" s="452"/>
      <c r="F584" s="441"/>
      <c r="G584" s="441"/>
      <c r="H584" s="448"/>
      <c r="I584" s="450"/>
      <c r="J584" s="449"/>
    </row>
    <row r="585" ht="15" customHeight="1" spans="1:10">
      <c r="A585" s="445"/>
      <c r="B585" s="446"/>
      <c r="C585" s="446"/>
      <c r="D585" s="446"/>
      <c r="E585" s="452"/>
      <c r="F585" s="441"/>
      <c r="G585" s="441"/>
      <c r="H585" s="448"/>
      <c r="I585" s="450"/>
      <c r="J585" s="449"/>
    </row>
    <row r="586" ht="15" customHeight="1" spans="1:10">
      <c r="A586" s="445"/>
      <c r="B586" s="446"/>
      <c r="C586" s="446"/>
      <c r="D586" s="446"/>
      <c r="E586" s="452"/>
      <c r="F586" s="441"/>
      <c r="G586" s="441"/>
      <c r="H586" s="448"/>
      <c r="I586" s="450"/>
      <c r="J586" s="449"/>
    </row>
    <row r="587" ht="15" customHeight="1" spans="1:10">
      <c r="A587" s="445"/>
      <c r="B587" s="446"/>
      <c r="C587" s="446"/>
      <c r="D587" s="446"/>
      <c r="E587" s="452"/>
      <c r="F587" s="441"/>
      <c r="G587" s="441"/>
      <c r="H587" s="448"/>
      <c r="I587" s="450"/>
      <c r="J587" s="449"/>
    </row>
    <row r="588" ht="15" customHeight="1" spans="1:10">
      <c r="A588" s="445"/>
      <c r="B588" s="446"/>
      <c r="C588" s="446"/>
      <c r="D588" s="446"/>
      <c r="E588" s="452"/>
      <c r="F588" s="441"/>
      <c r="G588" s="441"/>
      <c r="H588" s="448"/>
      <c r="I588" s="450"/>
      <c r="J588" s="449"/>
    </row>
    <row r="589" ht="15" customHeight="1" spans="1:10">
      <c r="A589" s="445"/>
      <c r="B589" s="446"/>
      <c r="C589" s="446"/>
      <c r="D589" s="446"/>
      <c r="E589" s="452"/>
      <c r="F589" s="441"/>
      <c r="G589" s="441"/>
      <c r="H589" s="448"/>
      <c r="I589" s="450"/>
      <c r="J589" s="449"/>
    </row>
    <row r="590" ht="15" customHeight="1" spans="1:10">
      <c r="A590" s="445"/>
      <c r="B590" s="446"/>
      <c r="C590" s="446"/>
      <c r="D590" s="446"/>
      <c r="E590" s="452"/>
      <c r="F590" s="441"/>
      <c r="G590" s="441"/>
      <c r="H590" s="448"/>
      <c r="I590" s="450"/>
      <c r="J590" s="449"/>
    </row>
    <row r="591" ht="15" customHeight="1" spans="1:10">
      <c r="A591" s="445"/>
      <c r="B591" s="446"/>
      <c r="C591" s="446"/>
      <c r="D591" s="446"/>
      <c r="E591" s="452"/>
      <c r="F591" s="441"/>
      <c r="G591" s="441"/>
      <c r="H591" s="448"/>
      <c r="I591" s="450"/>
      <c r="J591" s="449"/>
    </row>
    <row r="592" ht="15" customHeight="1" spans="1:10">
      <c r="A592" s="445"/>
      <c r="B592" s="446"/>
      <c r="C592" s="446"/>
      <c r="D592" s="446"/>
      <c r="E592" s="452"/>
      <c r="F592" s="441"/>
      <c r="G592" s="441"/>
      <c r="H592" s="448"/>
      <c r="I592" s="450"/>
      <c r="J592" s="449"/>
    </row>
    <row r="593" ht="15" customHeight="1" spans="1:10">
      <c r="A593" s="445"/>
      <c r="B593" s="446"/>
      <c r="C593" s="446"/>
      <c r="D593" s="446"/>
      <c r="E593" s="452"/>
      <c r="F593" s="441"/>
      <c r="G593" s="441"/>
      <c r="H593" s="448"/>
      <c r="I593" s="450"/>
      <c r="J593" s="449"/>
    </row>
    <row r="594" ht="15" customHeight="1" spans="1:10">
      <c r="A594" s="445"/>
      <c r="B594" s="446"/>
      <c r="C594" s="446"/>
      <c r="D594" s="446"/>
      <c r="E594" s="452"/>
      <c r="F594" s="441"/>
      <c r="G594" s="441"/>
      <c r="H594" s="448"/>
      <c r="I594" s="450"/>
      <c r="J594" s="449"/>
    </row>
    <row r="595" ht="15" customHeight="1" spans="1:10">
      <c r="A595" s="445"/>
      <c r="B595" s="446"/>
      <c r="C595" s="446"/>
      <c r="D595" s="446"/>
      <c r="E595" s="452"/>
      <c r="F595" s="441"/>
      <c r="G595" s="441"/>
      <c r="H595" s="448"/>
      <c r="I595" s="450"/>
      <c r="J595" s="449"/>
    </row>
    <row r="596" ht="15" customHeight="1" spans="1:10">
      <c r="A596" s="445"/>
      <c r="B596" s="446"/>
      <c r="C596" s="446"/>
      <c r="D596" s="446"/>
      <c r="E596" s="452"/>
      <c r="F596" s="441"/>
      <c r="G596" s="441"/>
      <c r="H596" s="448"/>
      <c r="I596" s="450"/>
      <c r="J596" s="449"/>
    </row>
    <row r="597" ht="15" customHeight="1" spans="1:10">
      <c r="A597" s="445"/>
      <c r="B597" s="446"/>
      <c r="C597" s="446"/>
      <c r="D597" s="446"/>
      <c r="E597" s="452"/>
      <c r="F597" s="441"/>
      <c r="G597" s="441"/>
      <c r="H597" s="448"/>
      <c r="I597" s="450"/>
      <c r="J597" s="449"/>
    </row>
    <row r="598" ht="15" customHeight="1" spans="1:10">
      <c r="A598" s="445"/>
      <c r="B598" s="446"/>
      <c r="C598" s="446"/>
      <c r="D598" s="446"/>
      <c r="E598" s="452"/>
      <c r="F598" s="441"/>
      <c r="G598" s="441"/>
      <c r="H598" s="448"/>
      <c r="I598" s="450"/>
      <c r="J598" s="449"/>
    </row>
    <row r="599" ht="15" customHeight="1" spans="1:10">
      <c r="A599" s="445"/>
      <c r="B599" s="446"/>
      <c r="C599" s="446"/>
      <c r="D599" s="446"/>
      <c r="E599" s="452"/>
      <c r="F599" s="441"/>
      <c r="G599" s="441"/>
      <c r="H599" s="448"/>
      <c r="I599" s="450"/>
      <c r="J599" s="449"/>
    </row>
    <row r="600" ht="15" customHeight="1" spans="1:10">
      <c r="A600" s="445"/>
      <c r="B600" s="446"/>
      <c r="C600" s="446"/>
      <c r="D600" s="446"/>
      <c r="E600" s="452"/>
      <c r="F600" s="441"/>
      <c r="G600" s="441"/>
      <c r="H600" s="448"/>
      <c r="I600" s="450"/>
      <c r="J600" s="449"/>
    </row>
    <row r="601" ht="15" customHeight="1" spans="1:10">
      <c r="A601" s="445"/>
      <c r="B601" s="446"/>
      <c r="C601" s="446"/>
      <c r="D601" s="446"/>
      <c r="E601" s="452"/>
      <c r="F601" s="441"/>
      <c r="G601" s="441"/>
      <c r="H601" s="448"/>
      <c r="I601" s="450"/>
      <c r="J601" s="449"/>
    </row>
    <row r="602" ht="15" customHeight="1" spans="1:10">
      <c r="A602" s="445"/>
      <c r="B602" s="446"/>
      <c r="C602" s="446"/>
      <c r="D602" s="446"/>
      <c r="E602" s="452"/>
      <c r="F602" s="441"/>
      <c r="G602" s="441"/>
      <c r="H602" s="448"/>
      <c r="I602" s="450"/>
      <c r="J602" s="449"/>
    </row>
    <row r="603" ht="15" customHeight="1" spans="1:10">
      <c r="A603" s="445"/>
      <c r="B603" s="446"/>
      <c r="C603" s="446"/>
      <c r="D603" s="446"/>
      <c r="E603" s="452"/>
      <c r="F603" s="441"/>
      <c r="G603" s="441"/>
      <c r="H603" s="448"/>
      <c r="I603" s="450"/>
      <c r="J603" s="449"/>
    </row>
    <row r="604" ht="15" customHeight="1" spans="1:10">
      <c r="A604" s="445"/>
      <c r="B604" s="446"/>
      <c r="C604" s="446"/>
      <c r="D604" s="446"/>
      <c r="E604" s="452"/>
      <c r="F604" s="441"/>
      <c r="G604" s="441"/>
      <c r="H604" s="448"/>
      <c r="I604" s="450"/>
      <c r="J604" s="449"/>
    </row>
    <row r="605" ht="15" customHeight="1" spans="1:10">
      <c r="A605" s="445"/>
      <c r="B605" s="446"/>
      <c r="C605" s="446"/>
      <c r="D605" s="446"/>
      <c r="E605" s="452"/>
      <c r="F605" s="441"/>
      <c r="G605" s="441"/>
      <c r="H605" s="448"/>
      <c r="I605" s="450"/>
      <c r="J605" s="449"/>
    </row>
    <row r="606" ht="15" customHeight="1" spans="1:10">
      <c r="A606" s="445"/>
      <c r="B606" s="446"/>
      <c r="C606" s="446"/>
      <c r="D606" s="446"/>
      <c r="E606" s="452"/>
      <c r="F606" s="441"/>
      <c r="G606" s="441"/>
      <c r="H606" s="448"/>
      <c r="I606" s="450"/>
      <c r="J606" s="449"/>
    </row>
    <row r="607" ht="15" customHeight="1" spans="1:10">
      <c r="A607" s="445"/>
      <c r="B607" s="446"/>
      <c r="C607" s="446"/>
      <c r="D607" s="446"/>
      <c r="E607" s="452"/>
      <c r="F607" s="441"/>
      <c r="G607" s="441"/>
      <c r="H607" s="448"/>
      <c r="I607" s="450"/>
      <c r="J607" s="449"/>
    </row>
    <row r="608" ht="15" customHeight="1" spans="1:10">
      <c r="A608" s="445"/>
      <c r="B608" s="446"/>
      <c r="C608" s="446"/>
      <c r="D608" s="446"/>
      <c r="E608" s="452"/>
      <c r="F608" s="441"/>
      <c r="G608" s="441"/>
      <c r="H608" s="448"/>
      <c r="I608" s="450"/>
      <c r="J608" s="449"/>
    </row>
    <row r="609" ht="15" customHeight="1" spans="1:10">
      <c r="A609" s="445"/>
      <c r="B609" s="446"/>
      <c r="C609" s="446"/>
      <c r="D609" s="446"/>
      <c r="E609" s="452"/>
      <c r="F609" s="441"/>
      <c r="G609" s="441"/>
      <c r="H609" s="448"/>
      <c r="I609" s="450"/>
      <c r="J609" s="449"/>
    </row>
    <row r="610" ht="15" customHeight="1" spans="1:10">
      <c r="A610" s="445"/>
      <c r="B610" s="446"/>
      <c r="C610" s="446"/>
      <c r="D610" s="446"/>
      <c r="E610" s="452"/>
      <c r="F610" s="441"/>
      <c r="G610" s="441"/>
      <c r="H610" s="448"/>
      <c r="I610" s="450"/>
      <c r="J610" s="449"/>
    </row>
    <row r="611" ht="15" customHeight="1" spans="1:10">
      <c r="A611" s="445"/>
      <c r="B611" s="446"/>
      <c r="C611" s="446"/>
      <c r="D611" s="446"/>
      <c r="E611" s="452"/>
      <c r="F611" s="441"/>
      <c r="G611" s="441"/>
      <c r="H611" s="448"/>
      <c r="I611" s="450"/>
      <c r="J611" s="449"/>
    </row>
    <row r="612" ht="15" customHeight="1" spans="1:10">
      <c r="A612" s="445"/>
      <c r="B612" s="446"/>
      <c r="C612" s="446"/>
      <c r="D612" s="446"/>
      <c r="E612" s="452"/>
      <c r="F612" s="441"/>
      <c r="G612" s="441"/>
      <c r="H612" s="448"/>
      <c r="I612" s="450"/>
      <c r="J612" s="449"/>
    </row>
    <row r="613" ht="15" customHeight="1" spans="1:10">
      <c r="A613" s="445"/>
      <c r="B613" s="446"/>
      <c r="C613" s="446"/>
      <c r="D613" s="446"/>
      <c r="E613" s="452"/>
      <c r="F613" s="441"/>
      <c r="G613" s="441"/>
      <c r="H613" s="448"/>
      <c r="I613" s="450"/>
      <c r="J613" s="449"/>
    </row>
    <row r="614" ht="15" customHeight="1" spans="1:10">
      <c r="A614" s="445"/>
      <c r="B614" s="446"/>
      <c r="C614" s="446"/>
      <c r="D614" s="446"/>
      <c r="E614" s="452"/>
      <c r="F614" s="441"/>
      <c r="G614" s="441"/>
      <c r="H614" s="448"/>
      <c r="I614" s="450"/>
      <c r="J614" s="449"/>
    </row>
    <row r="615" ht="15" customHeight="1" spans="1:10">
      <c r="A615" s="445"/>
      <c r="B615" s="446"/>
      <c r="C615" s="446"/>
      <c r="D615" s="446"/>
      <c r="E615" s="452"/>
      <c r="F615" s="441"/>
      <c r="G615" s="441"/>
      <c r="H615" s="448"/>
      <c r="I615" s="450"/>
      <c r="J615" s="449"/>
    </row>
    <row r="616" ht="15" customHeight="1" spans="1:10">
      <c r="A616" s="445"/>
      <c r="B616" s="446"/>
      <c r="C616" s="446"/>
      <c r="D616" s="446"/>
      <c r="E616" s="452"/>
      <c r="F616" s="441"/>
      <c r="G616" s="441"/>
      <c r="H616" s="448"/>
      <c r="I616" s="450"/>
      <c r="J616" s="449"/>
    </row>
    <row r="617" ht="15" customHeight="1" spans="1:10">
      <c r="A617" s="445"/>
      <c r="B617" s="446"/>
      <c r="C617" s="446"/>
      <c r="D617" s="446"/>
      <c r="E617" s="452"/>
      <c r="F617" s="441"/>
      <c r="G617" s="441"/>
      <c r="H617" s="448"/>
      <c r="I617" s="450"/>
      <c r="J617" s="449"/>
    </row>
    <row r="618" ht="15" customHeight="1" spans="1:10">
      <c r="A618" s="445"/>
      <c r="B618" s="446"/>
      <c r="C618" s="446"/>
      <c r="D618" s="446"/>
      <c r="E618" s="452"/>
      <c r="F618" s="441"/>
      <c r="G618" s="441"/>
      <c r="H618" s="448"/>
      <c r="I618" s="450"/>
      <c r="J618" s="449"/>
    </row>
    <row r="619" ht="15" customHeight="1" spans="1:10">
      <c r="A619" s="445"/>
      <c r="B619" s="446"/>
      <c r="C619" s="446"/>
      <c r="D619" s="446"/>
      <c r="E619" s="452"/>
      <c r="F619" s="441"/>
      <c r="G619" s="441"/>
      <c r="H619" s="448"/>
      <c r="I619" s="450"/>
      <c r="J619" s="449"/>
    </row>
    <row r="620" ht="15" customHeight="1" spans="1:10">
      <c r="A620" s="445"/>
      <c r="B620" s="446"/>
      <c r="C620" s="446"/>
      <c r="D620" s="446"/>
      <c r="E620" s="452"/>
      <c r="F620" s="441"/>
      <c r="G620" s="441"/>
      <c r="H620" s="448"/>
      <c r="I620" s="450"/>
      <c r="J620" s="449"/>
    </row>
    <row r="621" ht="15" customHeight="1" spans="1:10">
      <c r="A621" s="445"/>
      <c r="B621" s="446"/>
      <c r="C621" s="446"/>
      <c r="D621" s="446"/>
      <c r="E621" s="452"/>
      <c r="F621" s="441"/>
      <c r="G621" s="441"/>
      <c r="H621" s="448"/>
      <c r="I621" s="450"/>
      <c r="J621" s="449"/>
    </row>
    <row r="622" ht="15" customHeight="1" spans="1:10">
      <c r="A622" s="445"/>
      <c r="B622" s="446"/>
      <c r="C622" s="446"/>
      <c r="D622" s="446"/>
      <c r="E622" s="452"/>
      <c r="F622" s="441"/>
      <c r="G622" s="441"/>
      <c r="H622" s="448"/>
      <c r="I622" s="450"/>
      <c r="J622" s="449"/>
    </row>
    <row r="623" ht="15" customHeight="1" spans="1:10">
      <c r="A623" s="445"/>
      <c r="B623" s="446"/>
      <c r="C623" s="446"/>
      <c r="D623" s="446"/>
      <c r="E623" s="452"/>
      <c r="F623" s="441"/>
      <c r="G623" s="441"/>
      <c r="H623" s="448"/>
      <c r="I623" s="450"/>
      <c r="J623" s="449"/>
    </row>
    <row r="624" ht="15" customHeight="1" spans="1:10">
      <c r="A624" s="445"/>
      <c r="B624" s="446"/>
      <c r="C624" s="446"/>
      <c r="D624" s="446"/>
      <c r="E624" s="452"/>
      <c r="F624" s="441"/>
      <c r="G624" s="441"/>
      <c r="H624" s="448"/>
      <c r="I624" s="450"/>
      <c r="J624" s="449"/>
    </row>
    <row r="625" ht="15" customHeight="1" spans="1:10">
      <c r="A625" s="445"/>
      <c r="B625" s="446"/>
      <c r="C625" s="446"/>
      <c r="D625" s="446"/>
      <c r="E625" s="452"/>
      <c r="F625" s="441"/>
      <c r="G625" s="441"/>
      <c r="H625" s="448"/>
      <c r="I625" s="450"/>
      <c r="J625" s="449"/>
    </row>
    <row r="626" ht="15" customHeight="1" spans="1:10">
      <c r="A626" s="445"/>
      <c r="B626" s="446"/>
      <c r="C626" s="446"/>
      <c r="D626" s="446"/>
      <c r="E626" s="452"/>
      <c r="F626" s="441"/>
      <c r="G626" s="441"/>
      <c r="H626" s="448"/>
      <c r="I626" s="450"/>
      <c r="J626" s="449"/>
    </row>
    <row r="627" ht="15" customHeight="1" spans="1:10">
      <c r="A627" s="445"/>
      <c r="B627" s="446"/>
      <c r="C627" s="446"/>
      <c r="D627" s="446"/>
      <c r="E627" s="452"/>
      <c r="F627" s="441"/>
      <c r="G627" s="441"/>
      <c r="H627" s="448"/>
      <c r="I627" s="450"/>
      <c r="J627" s="449"/>
    </row>
    <row r="628" ht="15" customHeight="1" spans="1:10">
      <c r="A628" s="445"/>
      <c r="B628" s="446"/>
      <c r="C628" s="446"/>
      <c r="D628" s="446"/>
      <c r="E628" s="452"/>
      <c r="F628" s="441"/>
      <c r="G628" s="441"/>
      <c r="H628" s="448"/>
      <c r="I628" s="450"/>
      <c r="J628" s="449"/>
    </row>
    <row r="629" ht="15" customHeight="1" spans="1:10">
      <c r="A629" s="445"/>
      <c r="B629" s="446"/>
      <c r="C629" s="446"/>
      <c r="D629" s="446"/>
      <c r="E629" s="452"/>
      <c r="F629" s="441"/>
      <c r="G629" s="441"/>
      <c r="H629" s="448"/>
      <c r="I629" s="450"/>
      <c r="J629" s="449"/>
    </row>
    <row r="630" ht="15" customHeight="1" spans="1:10">
      <c r="A630" s="445"/>
      <c r="B630" s="446"/>
      <c r="C630" s="446"/>
      <c r="D630" s="446"/>
      <c r="E630" s="452"/>
      <c r="F630" s="441"/>
      <c r="G630" s="441"/>
      <c r="H630" s="448"/>
      <c r="I630" s="450"/>
      <c r="J630" s="449"/>
    </row>
    <row r="631" ht="15" customHeight="1" spans="1:10">
      <c r="A631" s="445"/>
      <c r="B631" s="446"/>
      <c r="C631" s="446"/>
      <c r="D631" s="446"/>
      <c r="E631" s="452"/>
      <c r="F631" s="441"/>
      <c r="G631" s="441"/>
      <c r="H631" s="448"/>
      <c r="I631" s="450"/>
      <c r="J631" s="449"/>
    </row>
    <row r="632" ht="15" customHeight="1" spans="1:10">
      <c r="A632" s="445"/>
      <c r="B632" s="446"/>
      <c r="C632" s="446"/>
      <c r="D632" s="446"/>
      <c r="E632" s="452"/>
      <c r="F632" s="441"/>
      <c r="G632" s="441"/>
      <c r="H632" s="448"/>
      <c r="I632" s="450"/>
      <c r="J632" s="449"/>
    </row>
    <row r="633" ht="15" customHeight="1" spans="1:10">
      <c r="A633" s="445"/>
      <c r="B633" s="446"/>
      <c r="C633" s="446"/>
      <c r="D633" s="446"/>
      <c r="E633" s="452"/>
      <c r="F633" s="441"/>
      <c r="G633" s="441"/>
      <c r="H633" s="448"/>
      <c r="I633" s="450"/>
      <c r="J633" s="449"/>
    </row>
    <row r="634" ht="15" customHeight="1" spans="1:10">
      <c r="A634" s="445"/>
      <c r="B634" s="446"/>
      <c r="C634" s="446"/>
      <c r="D634" s="446"/>
      <c r="E634" s="452"/>
      <c r="F634" s="441"/>
      <c r="G634" s="441"/>
      <c r="H634" s="448"/>
      <c r="I634" s="450"/>
      <c r="J634" s="449"/>
    </row>
    <row r="635" ht="15" customHeight="1" spans="1:10">
      <c r="A635" s="445"/>
      <c r="B635" s="446"/>
      <c r="C635" s="446"/>
      <c r="D635" s="446"/>
      <c r="E635" s="452"/>
      <c r="F635" s="441"/>
      <c r="G635" s="441"/>
      <c r="H635" s="448"/>
      <c r="I635" s="450"/>
      <c r="J635" s="449"/>
    </row>
    <row r="636" ht="15" customHeight="1" spans="1:10">
      <c r="A636" s="445"/>
      <c r="B636" s="446"/>
      <c r="C636" s="446"/>
      <c r="D636" s="446"/>
      <c r="E636" s="452"/>
      <c r="F636" s="441"/>
      <c r="G636" s="441"/>
      <c r="H636" s="448"/>
      <c r="I636" s="450"/>
      <c r="J636" s="449"/>
    </row>
    <row r="637" ht="15" customHeight="1" spans="1:10">
      <c r="A637" s="445"/>
      <c r="B637" s="446"/>
      <c r="C637" s="446"/>
      <c r="D637" s="446"/>
      <c r="E637" s="452"/>
      <c r="F637" s="441"/>
      <c r="G637" s="441"/>
      <c r="H637" s="448"/>
      <c r="I637" s="450"/>
      <c r="J637" s="449"/>
    </row>
    <row r="638" ht="15" customHeight="1" spans="1:10">
      <c r="A638" s="445"/>
      <c r="B638" s="446"/>
      <c r="C638" s="446"/>
      <c r="D638" s="446"/>
      <c r="E638" s="452"/>
      <c r="F638" s="441"/>
      <c r="G638" s="441"/>
      <c r="H638" s="448"/>
      <c r="I638" s="450"/>
      <c r="J638" s="449"/>
    </row>
    <row r="639" ht="15" customHeight="1" spans="1:10">
      <c r="A639" s="445"/>
      <c r="B639" s="446"/>
      <c r="C639" s="446"/>
      <c r="D639" s="446"/>
      <c r="E639" s="452"/>
      <c r="F639" s="441"/>
      <c r="G639" s="441"/>
      <c r="H639" s="448"/>
      <c r="I639" s="450"/>
      <c r="J639" s="449"/>
    </row>
    <row r="640" ht="15" customHeight="1" spans="1:10">
      <c r="A640" s="445"/>
      <c r="B640" s="446"/>
      <c r="C640" s="446"/>
      <c r="D640" s="446"/>
      <c r="E640" s="452"/>
      <c r="F640" s="441"/>
      <c r="G640" s="441"/>
      <c r="H640" s="448"/>
      <c r="I640" s="450"/>
      <c r="J640" s="449"/>
    </row>
    <row r="641" ht="15" customHeight="1" spans="1:10">
      <c r="A641" s="445"/>
      <c r="B641" s="446"/>
      <c r="C641" s="446"/>
      <c r="D641" s="446"/>
      <c r="E641" s="452"/>
      <c r="F641" s="441"/>
      <c r="G641" s="441"/>
      <c r="H641" s="448"/>
      <c r="I641" s="450"/>
      <c r="J641" s="449"/>
    </row>
    <row r="642" ht="15" customHeight="1" spans="1:10">
      <c r="A642" s="445"/>
      <c r="B642" s="446"/>
      <c r="C642" s="446"/>
      <c r="D642" s="446"/>
      <c r="E642" s="452"/>
      <c r="F642" s="441"/>
      <c r="G642" s="441"/>
      <c r="H642" s="448"/>
      <c r="I642" s="450"/>
      <c r="J642" s="449"/>
    </row>
    <row r="643" ht="15" customHeight="1" spans="1:10">
      <c r="A643" s="445"/>
      <c r="B643" s="446"/>
      <c r="C643" s="446"/>
      <c r="D643" s="446"/>
      <c r="E643" s="452"/>
      <c r="F643" s="441"/>
      <c r="G643" s="441"/>
      <c r="H643" s="448"/>
      <c r="I643" s="450"/>
      <c r="J643" s="449"/>
    </row>
    <row r="644" ht="15" customHeight="1" spans="1:10">
      <c r="A644" s="445"/>
      <c r="B644" s="446"/>
      <c r="C644" s="446"/>
      <c r="D644" s="446"/>
      <c r="E644" s="452"/>
      <c r="F644" s="441"/>
      <c r="G644" s="441"/>
      <c r="H644" s="448"/>
      <c r="I644" s="450"/>
      <c r="J644" s="449"/>
    </row>
    <row r="645" ht="15" customHeight="1" spans="1:10">
      <c r="A645" s="445"/>
      <c r="B645" s="446"/>
      <c r="C645" s="446"/>
      <c r="D645" s="446"/>
      <c r="E645" s="452"/>
      <c r="F645" s="441"/>
      <c r="G645" s="441"/>
      <c r="H645" s="448"/>
      <c r="I645" s="450"/>
      <c r="J645" s="449"/>
    </row>
    <row r="646" ht="15" customHeight="1" spans="1:10">
      <c r="A646" s="445"/>
      <c r="B646" s="446"/>
      <c r="C646" s="446"/>
      <c r="D646" s="446"/>
      <c r="E646" s="452"/>
      <c r="F646" s="441"/>
      <c r="G646" s="441"/>
      <c r="H646" s="448"/>
      <c r="I646" s="450"/>
      <c r="J646" s="449"/>
    </row>
    <row r="647" ht="15" customHeight="1" spans="1:10">
      <c r="A647" s="445"/>
      <c r="B647" s="446"/>
      <c r="C647" s="446"/>
      <c r="D647" s="446"/>
      <c r="E647" s="452"/>
      <c r="F647" s="441"/>
      <c r="G647" s="441"/>
      <c r="H647" s="448"/>
      <c r="I647" s="450"/>
      <c r="J647" s="449"/>
    </row>
    <row r="648" ht="15" customHeight="1" spans="1:10">
      <c r="A648" s="445"/>
      <c r="B648" s="446"/>
      <c r="C648" s="446"/>
      <c r="D648" s="446"/>
      <c r="E648" s="452"/>
      <c r="F648" s="441"/>
      <c r="G648" s="441"/>
      <c r="H648" s="448"/>
      <c r="I648" s="450"/>
      <c r="J648" s="449"/>
    </row>
    <row r="649" ht="15" customHeight="1" spans="1:10">
      <c r="A649" s="445"/>
      <c r="B649" s="446"/>
      <c r="C649" s="446"/>
      <c r="D649" s="446"/>
      <c r="E649" s="452"/>
      <c r="F649" s="441"/>
      <c r="G649" s="441"/>
      <c r="H649" s="448"/>
      <c r="I649" s="450"/>
      <c r="J649" s="449"/>
    </row>
    <row r="650" ht="15" customHeight="1" spans="1:10">
      <c r="A650" s="445"/>
      <c r="B650" s="446"/>
      <c r="C650" s="446"/>
      <c r="D650" s="446"/>
      <c r="E650" s="452"/>
      <c r="F650" s="441"/>
      <c r="G650" s="441"/>
      <c r="H650" s="448"/>
      <c r="I650" s="450"/>
      <c r="J650" s="449"/>
    </row>
    <row r="651" ht="15" customHeight="1" spans="1:10">
      <c r="A651" s="445"/>
      <c r="B651" s="446"/>
      <c r="C651" s="446"/>
      <c r="D651" s="446"/>
      <c r="E651" s="452"/>
      <c r="F651" s="441"/>
      <c r="G651" s="441"/>
      <c r="H651" s="448"/>
      <c r="I651" s="450"/>
      <c r="J651" s="449"/>
    </row>
    <row r="652" ht="15" customHeight="1" spans="1:10">
      <c r="A652" s="445"/>
      <c r="B652" s="446"/>
      <c r="C652" s="446"/>
      <c r="D652" s="446"/>
      <c r="E652" s="452"/>
      <c r="F652" s="441"/>
      <c r="G652" s="441"/>
      <c r="H652" s="448"/>
      <c r="I652" s="450"/>
      <c r="J652" s="449"/>
    </row>
    <row r="653" ht="15" customHeight="1" spans="1:10">
      <c r="A653" s="445"/>
      <c r="B653" s="446"/>
      <c r="C653" s="446"/>
      <c r="D653" s="446"/>
      <c r="E653" s="452"/>
      <c r="F653" s="441"/>
      <c r="G653" s="441"/>
      <c r="H653" s="448"/>
      <c r="I653" s="450"/>
      <c r="J653" s="449"/>
    </row>
    <row r="654" ht="15" customHeight="1" spans="1:10">
      <c r="A654" s="445"/>
      <c r="B654" s="446"/>
      <c r="C654" s="446"/>
      <c r="D654" s="446"/>
      <c r="E654" s="452"/>
      <c r="F654" s="441"/>
      <c r="G654" s="441"/>
      <c r="H654" s="448"/>
      <c r="I654" s="450"/>
      <c r="J654" s="449"/>
    </row>
    <row r="655" ht="15" customHeight="1" spans="1:10">
      <c r="A655" s="445"/>
      <c r="B655" s="446"/>
      <c r="C655" s="446"/>
      <c r="D655" s="446"/>
      <c r="E655" s="452"/>
      <c r="F655" s="441"/>
      <c r="G655" s="441"/>
      <c r="H655" s="448"/>
      <c r="I655" s="450"/>
      <c r="J655" s="449"/>
    </row>
    <row r="656" ht="15" customHeight="1" spans="1:10">
      <c r="A656" s="445"/>
      <c r="B656" s="446"/>
      <c r="C656" s="446"/>
      <c r="D656" s="446"/>
      <c r="E656" s="452"/>
      <c r="F656" s="441"/>
      <c r="G656" s="441"/>
      <c r="H656" s="448"/>
      <c r="I656" s="450"/>
      <c r="J656" s="449"/>
    </row>
    <row r="657" ht="15" customHeight="1" spans="1:10">
      <c r="A657" s="445"/>
      <c r="B657" s="446"/>
      <c r="C657" s="446"/>
      <c r="D657" s="446"/>
      <c r="E657" s="452"/>
      <c r="F657" s="441"/>
      <c r="G657" s="441"/>
      <c r="H657" s="448"/>
      <c r="I657" s="450"/>
      <c r="J657" s="449"/>
    </row>
    <row r="658" ht="15" customHeight="1" spans="1:10">
      <c r="A658" s="445"/>
      <c r="B658" s="446"/>
      <c r="C658" s="446"/>
      <c r="D658" s="446"/>
      <c r="E658" s="452"/>
      <c r="F658" s="441"/>
      <c r="G658" s="441"/>
      <c r="H658" s="448"/>
      <c r="I658" s="450"/>
      <c r="J658" s="449"/>
    </row>
    <row r="659" ht="15" customHeight="1" spans="1:10">
      <c r="A659" s="445"/>
      <c r="B659" s="446"/>
      <c r="C659" s="446"/>
      <c r="D659" s="446"/>
      <c r="E659" s="452"/>
      <c r="F659" s="441"/>
      <c r="G659" s="441"/>
      <c r="H659" s="448"/>
      <c r="I659" s="450"/>
      <c r="J659" s="449"/>
    </row>
    <row r="660" ht="15" customHeight="1" spans="1:10">
      <c r="A660" s="445"/>
      <c r="B660" s="446"/>
      <c r="C660" s="446"/>
      <c r="D660" s="446"/>
      <c r="E660" s="452"/>
      <c r="F660" s="441"/>
      <c r="G660" s="441"/>
      <c r="H660" s="448"/>
      <c r="I660" s="450"/>
      <c r="J660" s="449"/>
    </row>
    <row r="661" ht="15" customHeight="1" spans="1:10">
      <c r="A661" s="445"/>
      <c r="B661" s="446"/>
      <c r="C661" s="446"/>
      <c r="D661" s="446"/>
      <c r="E661" s="452"/>
      <c r="F661" s="441"/>
      <c r="G661" s="441"/>
      <c r="H661" s="448"/>
      <c r="I661" s="450"/>
      <c r="J661" s="449"/>
    </row>
    <row r="662" ht="15" customHeight="1" spans="1:10">
      <c r="A662" s="445"/>
      <c r="B662" s="446"/>
      <c r="C662" s="446"/>
      <c r="D662" s="446"/>
      <c r="E662" s="452"/>
      <c r="F662" s="441"/>
      <c r="G662" s="441"/>
      <c r="H662" s="448"/>
      <c r="I662" s="450"/>
      <c r="J662" s="449"/>
    </row>
    <row r="663" ht="15" customHeight="1" spans="1:10">
      <c r="A663" s="445"/>
      <c r="B663" s="446"/>
      <c r="C663" s="446"/>
      <c r="D663" s="446"/>
      <c r="E663" s="452"/>
      <c r="F663" s="441"/>
      <c r="G663" s="441"/>
      <c r="H663" s="448"/>
      <c r="I663" s="450"/>
      <c r="J663" s="449"/>
    </row>
    <row r="664" ht="15" customHeight="1" spans="1:10">
      <c r="A664" s="445"/>
      <c r="B664" s="446"/>
      <c r="C664" s="446"/>
      <c r="D664" s="446"/>
      <c r="E664" s="452"/>
      <c r="F664" s="441"/>
      <c r="G664" s="441"/>
      <c r="H664" s="448"/>
      <c r="I664" s="450"/>
      <c r="J664" s="449"/>
    </row>
    <row r="665" ht="15" customHeight="1" spans="1:10">
      <c r="A665" s="445"/>
      <c r="B665" s="446"/>
      <c r="C665" s="446"/>
      <c r="D665" s="446"/>
      <c r="E665" s="452"/>
      <c r="F665" s="441"/>
      <c r="G665" s="441"/>
      <c r="H665" s="448"/>
      <c r="I665" s="450"/>
      <c r="J665" s="449"/>
    </row>
    <row r="666" ht="15" customHeight="1" spans="1:10">
      <c r="A666" s="445"/>
      <c r="B666" s="446"/>
      <c r="C666" s="446"/>
      <c r="D666" s="446"/>
      <c r="E666" s="452"/>
      <c r="F666" s="441"/>
      <c r="G666" s="441"/>
      <c r="H666" s="448"/>
      <c r="I666" s="450"/>
      <c r="J666" s="449"/>
    </row>
    <row r="667" ht="15" customHeight="1" spans="1:10">
      <c r="A667" s="445"/>
      <c r="B667" s="446"/>
      <c r="C667" s="446"/>
      <c r="D667" s="446"/>
      <c r="E667" s="452"/>
      <c r="F667" s="441"/>
      <c r="G667" s="441"/>
      <c r="H667" s="448"/>
      <c r="I667" s="450"/>
      <c r="J667" s="449"/>
    </row>
    <row r="668" ht="15" customHeight="1" spans="1:10">
      <c r="A668" s="445"/>
      <c r="B668" s="446"/>
      <c r="C668" s="446"/>
      <c r="D668" s="446"/>
      <c r="E668" s="452"/>
      <c r="F668" s="441"/>
      <c r="G668" s="441"/>
      <c r="H668" s="448"/>
      <c r="I668" s="450"/>
      <c r="J668" s="449"/>
    </row>
    <row r="669" ht="15" customHeight="1" spans="1:10">
      <c r="A669" s="445"/>
      <c r="B669" s="446"/>
      <c r="C669" s="446"/>
      <c r="D669" s="446"/>
      <c r="E669" s="452"/>
      <c r="F669" s="441"/>
      <c r="G669" s="441"/>
      <c r="H669" s="448"/>
      <c r="I669" s="450"/>
      <c r="J669" s="449"/>
    </row>
    <row r="670" ht="15" customHeight="1" spans="1:10">
      <c r="A670" s="445"/>
      <c r="B670" s="446"/>
      <c r="C670" s="446"/>
      <c r="D670" s="446"/>
      <c r="E670" s="452"/>
      <c r="F670" s="441"/>
      <c r="G670" s="441"/>
      <c r="H670" s="448"/>
      <c r="I670" s="450"/>
      <c r="J670" s="449"/>
    </row>
    <row r="671" ht="15" customHeight="1" spans="1:10">
      <c r="A671" s="445"/>
      <c r="B671" s="446"/>
      <c r="C671" s="446"/>
      <c r="D671" s="446"/>
      <c r="E671" s="452"/>
      <c r="F671" s="441"/>
      <c r="G671" s="441"/>
      <c r="H671" s="448"/>
      <c r="I671" s="450"/>
      <c r="J671" s="449"/>
    </row>
    <row r="672" ht="15" customHeight="1" spans="1:10">
      <c r="A672" s="445"/>
      <c r="B672" s="446"/>
      <c r="C672" s="446"/>
      <c r="D672" s="446"/>
      <c r="E672" s="452"/>
      <c r="F672" s="441"/>
      <c r="G672" s="441"/>
      <c r="H672" s="448"/>
      <c r="I672" s="450"/>
      <c r="J672" s="449"/>
    </row>
    <row r="673" ht="15" customHeight="1" spans="1:10">
      <c r="A673" s="445"/>
      <c r="B673" s="446"/>
      <c r="C673" s="446"/>
      <c r="D673" s="446"/>
      <c r="E673" s="452"/>
      <c r="F673" s="441"/>
      <c r="G673" s="441"/>
      <c r="H673" s="448"/>
      <c r="I673" s="450"/>
      <c r="J673" s="449"/>
    </row>
    <row r="674" ht="15" customHeight="1" spans="1:10">
      <c r="A674" s="445"/>
      <c r="B674" s="446"/>
      <c r="C674" s="446"/>
      <c r="D674" s="446"/>
      <c r="E674" s="452"/>
      <c r="F674" s="441"/>
      <c r="G674" s="441"/>
      <c r="H674" s="448"/>
      <c r="I674" s="450"/>
      <c r="J674" s="449"/>
    </row>
    <row r="675" ht="15" customHeight="1" spans="1:10">
      <c r="A675" s="445"/>
      <c r="B675" s="446"/>
      <c r="C675" s="446"/>
      <c r="D675" s="446"/>
      <c r="E675" s="452"/>
      <c r="F675" s="441"/>
      <c r="G675" s="441"/>
      <c r="H675" s="448"/>
      <c r="I675" s="450"/>
      <c r="J675" s="449"/>
    </row>
    <row r="676" ht="15" customHeight="1" spans="1:10">
      <c r="A676" s="445"/>
      <c r="B676" s="446"/>
      <c r="C676" s="446"/>
      <c r="D676" s="446"/>
      <c r="E676" s="452"/>
      <c r="F676" s="441"/>
      <c r="G676" s="441"/>
      <c r="H676" s="448"/>
      <c r="I676" s="450"/>
      <c r="J676" s="449"/>
    </row>
    <row r="677" ht="15" customHeight="1" spans="1:10">
      <c r="A677" s="445"/>
      <c r="B677" s="446"/>
      <c r="C677" s="446"/>
      <c r="D677" s="446"/>
      <c r="E677" s="452"/>
      <c r="F677" s="441"/>
      <c r="G677" s="441"/>
      <c r="H677" s="448"/>
      <c r="I677" s="450"/>
      <c r="J677" s="449"/>
    </row>
    <row r="678" ht="15" customHeight="1" spans="1:10">
      <c r="A678" s="445"/>
      <c r="B678" s="446"/>
      <c r="C678" s="446"/>
      <c r="D678" s="446"/>
      <c r="E678" s="452"/>
      <c r="F678" s="441"/>
      <c r="G678" s="441"/>
      <c r="H678" s="448"/>
      <c r="I678" s="450"/>
      <c r="J678" s="449"/>
    </row>
    <row r="679" ht="15" customHeight="1" spans="1:10">
      <c r="A679" s="445"/>
      <c r="B679" s="446"/>
      <c r="C679" s="446"/>
      <c r="D679" s="446"/>
      <c r="E679" s="452"/>
      <c r="F679" s="441"/>
      <c r="G679" s="441"/>
      <c r="H679" s="448"/>
      <c r="I679" s="450"/>
      <c r="J679" s="449"/>
    </row>
    <row r="680" ht="15" customHeight="1" spans="1:10">
      <c r="A680" s="445"/>
      <c r="B680" s="446"/>
      <c r="C680" s="446"/>
      <c r="D680" s="446"/>
      <c r="E680" s="452"/>
      <c r="F680" s="441"/>
      <c r="G680" s="441"/>
      <c r="H680" s="448"/>
      <c r="I680" s="450"/>
      <c r="J680" s="449"/>
    </row>
    <row r="681" ht="15" customHeight="1" spans="1:10">
      <c r="A681" s="445"/>
      <c r="B681" s="446"/>
      <c r="C681" s="446"/>
      <c r="D681" s="446"/>
      <c r="E681" s="452"/>
      <c r="F681" s="441"/>
      <c r="G681" s="441"/>
      <c r="H681" s="448"/>
      <c r="I681" s="450"/>
      <c r="J681" s="449"/>
    </row>
    <row r="682" ht="15" customHeight="1" spans="1:10">
      <c r="A682" s="445"/>
      <c r="B682" s="446"/>
      <c r="C682" s="446"/>
      <c r="D682" s="446"/>
      <c r="E682" s="452"/>
      <c r="F682" s="441"/>
      <c r="G682" s="441"/>
      <c r="H682" s="448"/>
      <c r="I682" s="450"/>
      <c r="J682" s="449"/>
    </row>
    <row r="683" ht="15" customHeight="1" spans="1:10">
      <c r="A683" s="445"/>
      <c r="B683" s="446"/>
      <c r="C683" s="446"/>
      <c r="D683" s="446"/>
      <c r="E683" s="452"/>
      <c r="F683" s="441"/>
      <c r="G683" s="441"/>
      <c r="H683" s="448"/>
      <c r="I683" s="450"/>
      <c r="J683" s="449"/>
    </row>
    <row r="684" ht="15" customHeight="1" spans="1:10">
      <c r="A684" s="445"/>
      <c r="B684" s="446"/>
      <c r="C684" s="446"/>
      <c r="D684" s="446"/>
      <c r="E684" s="452"/>
      <c r="F684" s="441"/>
      <c r="G684" s="441"/>
      <c r="H684" s="448"/>
      <c r="I684" s="450"/>
      <c r="J684" s="449"/>
    </row>
    <row r="685" ht="15" customHeight="1" spans="1:10">
      <c r="A685" s="445"/>
      <c r="B685" s="446"/>
      <c r="C685" s="446"/>
      <c r="D685" s="446"/>
      <c r="E685" s="452"/>
      <c r="F685" s="441"/>
      <c r="G685" s="441"/>
      <c r="H685" s="448"/>
      <c r="I685" s="450"/>
      <c r="J685" s="449"/>
    </row>
    <row r="686" ht="15" customHeight="1" spans="1:10">
      <c r="A686" s="445"/>
      <c r="B686" s="446"/>
      <c r="C686" s="446"/>
      <c r="D686" s="446"/>
      <c r="E686" s="452"/>
      <c r="F686" s="441"/>
      <c r="G686" s="441"/>
      <c r="H686" s="448"/>
      <c r="I686" s="450"/>
      <c r="J686" s="449"/>
    </row>
    <row r="687" ht="15" customHeight="1" spans="1:10">
      <c r="A687" s="445"/>
      <c r="B687" s="446"/>
      <c r="C687" s="446"/>
      <c r="D687" s="446"/>
      <c r="E687" s="452"/>
      <c r="F687" s="441"/>
      <c r="G687" s="441"/>
      <c r="H687" s="448"/>
      <c r="I687" s="450"/>
      <c r="J687" s="449"/>
    </row>
    <row r="688" ht="15" customHeight="1" spans="1:10">
      <c r="A688" s="445"/>
      <c r="B688" s="446"/>
      <c r="C688" s="446"/>
      <c r="D688" s="446"/>
      <c r="E688" s="452"/>
      <c r="F688" s="441"/>
      <c r="G688" s="441"/>
      <c r="H688" s="448"/>
      <c r="I688" s="450"/>
      <c r="J688" s="449"/>
    </row>
    <row r="689" ht="15" customHeight="1" spans="1:10">
      <c r="A689" s="445"/>
      <c r="B689" s="446"/>
      <c r="C689" s="446"/>
      <c r="D689" s="446"/>
      <c r="E689" s="452"/>
      <c r="F689" s="441"/>
      <c r="G689" s="441"/>
      <c r="H689" s="448"/>
      <c r="I689" s="450"/>
      <c r="J689" s="449"/>
    </row>
    <row r="690" ht="15" customHeight="1" spans="1:10">
      <c r="A690" s="445"/>
      <c r="B690" s="446"/>
      <c r="C690" s="446"/>
      <c r="D690" s="446"/>
      <c r="E690" s="452"/>
      <c r="F690" s="441"/>
      <c r="G690" s="441"/>
      <c r="H690" s="448"/>
      <c r="I690" s="450"/>
      <c r="J690" s="449"/>
    </row>
    <row r="691" ht="15" customHeight="1" spans="1:10">
      <c r="A691" s="445"/>
      <c r="B691" s="446"/>
      <c r="C691" s="446"/>
      <c r="D691" s="446"/>
      <c r="E691" s="452"/>
      <c r="F691" s="441"/>
      <c r="G691" s="441"/>
      <c r="H691" s="448"/>
      <c r="I691" s="450"/>
      <c r="J691" s="449"/>
    </row>
    <row r="692" ht="15" customHeight="1" spans="1:10">
      <c r="A692" s="445"/>
      <c r="B692" s="446"/>
      <c r="C692" s="446"/>
      <c r="D692" s="446"/>
      <c r="E692" s="452"/>
      <c r="F692" s="441"/>
      <c r="G692" s="441"/>
      <c r="H692" s="448"/>
      <c r="I692" s="450"/>
      <c r="J692" s="449"/>
    </row>
    <row r="693" ht="15" customHeight="1" spans="1:10">
      <c r="A693" s="445"/>
      <c r="B693" s="446"/>
      <c r="C693" s="446"/>
      <c r="D693" s="446"/>
      <c r="E693" s="452"/>
      <c r="F693" s="441"/>
      <c r="G693" s="441"/>
      <c r="H693" s="448"/>
      <c r="I693" s="450"/>
      <c r="J693" s="449"/>
    </row>
    <row r="694" ht="15" customHeight="1" spans="1:10">
      <c r="A694" s="445"/>
      <c r="B694" s="446"/>
      <c r="C694" s="446"/>
      <c r="D694" s="446"/>
      <c r="E694" s="452"/>
      <c r="F694" s="441"/>
      <c r="G694" s="441"/>
      <c r="H694" s="448"/>
      <c r="I694" s="450"/>
      <c r="J694" s="449"/>
    </row>
    <row r="695" ht="15" customHeight="1" spans="1:10">
      <c r="A695" s="445"/>
      <c r="B695" s="446"/>
      <c r="C695" s="446"/>
      <c r="D695" s="446"/>
      <c r="E695" s="452"/>
      <c r="F695" s="441"/>
      <c r="G695" s="441"/>
      <c r="H695" s="448"/>
      <c r="I695" s="450"/>
      <c r="J695" s="449"/>
    </row>
    <row r="696" ht="15" customHeight="1" spans="1:10">
      <c r="A696" s="445"/>
      <c r="B696" s="446"/>
      <c r="C696" s="446"/>
      <c r="D696" s="446"/>
      <c r="E696" s="452"/>
      <c r="F696" s="441"/>
      <c r="G696" s="441"/>
      <c r="H696" s="448"/>
      <c r="I696" s="450"/>
      <c r="J696" s="449"/>
    </row>
    <row r="697" ht="15" customHeight="1" spans="1:10">
      <c r="A697" s="445"/>
      <c r="B697" s="446"/>
      <c r="C697" s="446"/>
      <c r="D697" s="446"/>
      <c r="E697" s="452"/>
      <c r="F697" s="441"/>
      <c r="G697" s="441"/>
      <c r="H697" s="448"/>
      <c r="I697" s="450"/>
      <c r="J697" s="449"/>
    </row>
    <row r="698" ht="15" customHeight="1" spans="1:10">
      <c r="A698" s="445"/>
      <c r="B698" s="446"/>
      <c r="C698" s="446"/>
      <c r="D698" s="446"/>
      <c r="E698" s="452"/>
      <c r="F698" s="441"/>
      <c r="G698" s="441"/>
      <c r="H698" s="448"/>
      <c r="I698" s="450"/>
      <c r="J698" s="449"/>
    </row>
    <row r="699" ht="15" customHeight="1" spans="1:10">
      <c r="A699" s="445"/>
      <c r="B699" s="446"/>
      <c r="C699" s="446"/>
      <c r="D699" s="446"/>
      <c r="E699" s="452"/>
      <c r="F699" s="441"/>
      <c r="G699" s="441"/>
      <c r="H699" s="448"/>
      <c r="I699" s="450"/>
      <c r="J699" s="449"/>
    </row>
    <row r="700" ht="15" customHeight="1" spans="1:10">
      <c r="A700" s="445"/>
      <c r="B700" s="446"/>
      <c r="C700" s="446"/>
      <c r="D700" s="446"/>
      <c r="E700" s="452"/>
      <c r="F700" s="441"/>
      <c r="G700" s="441"/>
      <c r="H700" s="448"/>
      <c r="I700" s="450"/>
      <c r="J700" s="449"/>
    </row>
    <row r="701" ht="15" customHeight="1" spans="1:10">
      <c r="A701" s="445"/>
      <c r="B701" s="446"/>
      <c r="C701" s="446"/>
      <c r="D701" s="446"/>
      <c r="E701" s="452"/>
      <c r="F701" s="441"/>
      <c r="G701" s="441"/>
      <c r="H701" s="448"/>
      <c r="I701" s="450"/>
      <c r="J701" s="449"/>
    </row>
    <row r="702" ht="15" customHeight="1" spans="1:10">
      <c r="A702" s="445"/>
      <c r="B702" s="446"/>
      <c r="C702" s="446"/>
      <c r="D702" s="446"/>
      <c r="E702" s="452"/>
      <c r="F702" s="441"/>
      <c r="G702" s="441"/>
      <c r="H702" s="448"/>
      <c r="I702" s="450"/>
      <c r="J702" s="449"/>
    </row>
    <row r="703" ht="15" customHeight="1" spans="1:10">
      <c r="A703" s="445"/>
      <c r="B703" s="446"/>
      <c r="C703" s="446"/>
      <c r="D703" s="446"/>
      <c r="E703" s="452"/>
      <c r="F703" s="441"/>
      <c r="G703" s="441"/>
      <c r="H703" s="448"/>
      <c r="I703" s="450"/>
      <c r="J703" s="449"/>
    </row>
    <row r="704" ht="15" customHeight="1" spans="1:10">
      <c r="A704" s="445"/>
      <c r="B704" s="446"/>
      <c r="C704" s="446"/>
      <c r="D704" s="446"/>
      <c r="E704" s="452"/>
      <c r="F704" s="441"/>
      <c r="G704" s="441"/>
      <c r="H704" s="448"/>
      <c r="I704" s="450"/>
      <c r="J704" s="449"/>
    </row>
    <row r="705" ht="15" customHeight="1" spans="1:10">
      <c r="A705" s="445"/>
      <c r="B705" s="446"/>
      <c r="C705" s="446"/>
      <c r="D705" s="446"/>
      <c r="E705" s="452"/>
      <c r="F705" s="441"/>
      <c r="G705" s="441"/>
      <c r="H705" s="448"/>
      <c r="I705" s="450"/>
      <c r="J705" s="449"/>
    </row>
    <row r="706" ht="15" customHeight="1" spans="1:10">
      <c r="A706" s="445"/>
      <c r="B706" s="446"/>
      <c r="C706" s="446"/>
      <c r="D706" s="446"/>
      <c r="E706" s="452"/>
      <c r="F706" s="441"/>
      <c r="G706" s="441"/>
      <c r="H706" s="448"/>
      <c r="I706" s="450"/>
      <c r="J706" s="449"/>
    </row>
    <row r="707" ht="15" customHeight="1" spans="1:10">
      <c r="A707" s="445"/>
      <c r="B707" s="446"/>
      <c r="C707" s="446"/>
      <c r="D707" s="446"/>
      <c r="E707" s="452"/>
      <c r="F707" s="441"/>
      <c r="G707" s="441"/>
      <c r="H707" s="448"/>
      <c r="I707" s="450"/>
      <c r="J707" s="449"/>
    </row>
    <row r="708" ht="15" customHeight="1" spans="1:10">
      <c r="A708" s="445"/>
      <c r="B708" s="446"/>
      <c r="C708" s="446"/>
      <c r="D708" s="446"/>
      <c r="E708" s="452"/>
      <c r="F708" s="441"/>
      <c r="G708" s="441"/>
      <c r="H708" s="448"/>
      <c r="I708" s="450"/>
      <c r="J708" s="449"/>
    </row>
    <row r="709" ht="15" customHeight="1" spans="1:10">
      <c r="A709" s="445"/>
      <c r="B709" s="446"/>
      <c r="C709" s="446"/>
      <c r="D709" s="446"/>
      <c r="E709" s="452"/>
      <c r="F709" s="441"/>
      <c r="G709" s="441"/>
      <c r="H709" s="448"/>
      <c r="I709" s="450"/>
      <c r="J709" s="449"/>
    </row>
    <row r="710" ht="15" customHeight="1" spans="1:10">
      <c r="A710" s="445"/>
      <c r="B710" s="446"/>
      <c r="C710" s="446"/>
      <c r="D710" s="446"/>
      <c r="E710" s="452"/>
      <c r="F710" s="441"/>
      <c r="G710" s="441"/>
      <c r="H710" s="448"/>
      <c r="I710" s="450"/>
      <c r="J710" s="449"/>
    </row>
    <row r="711" ht="15" customHeight="1" spans="1:10">
      <c r="A711" s="445"/>
      <c r="B711" s="446"/>
      <c r="C711" s="446"/>
      <c r="D711" s="446"/>
      <c r="E711" s="452"/>
      <c r="F711" s="441"/>
      <c r="G711" s="441"/>
      <c r="H711" s="448"/>
      <c r="I711" s="450"/>
      <c r="J711" s="449"/>
    </row>
    <row r="712" ht="15" customHeight="1" spans="1:10">
      <c r="A712" s="445"/>
      <c r="B712" s="446"/>
      <c r="C712" s="446"/>
      <c r="D712" s="446"/>
      <c r="E712" s="452"/>
      <c r="F712" s="441"/>
      <c r="G712" s="441"/>
      <c r="H712" s="448"/>
      <c r="I712" s="450"/>
      <c r="J712" s="449"/>
    </row>
    <row r="713" ht="15" customHeight="1" spans="1:10">
      <c r="A713" s="445"/>
      <c r="B713" s="446"/>
      <c r="C713" s="446"/>
      <c r="D713" s="446"/>
      <c r="E713" s="452"/>
      <c r="F713" s="441"/>
      <c r="G713" s="441"/>
      <c r="H713" s="448"/>
      <c r="I713" s="450"/>
      <c r="J713" s="449"/>
    </row>
    <row r="714" ht="15" customHeight="1" spans="1:10">
      <c r="A714" s="445"/>
      <c r="B714" s="446"/>
      <c r="C714" s="446"/>
      <c r="D714" s="446"/>
      <c r="E714" s="452"/>
      <c r="F714" s="441"/>
      <c r="G714" s="441"/>
      <c r="H714" s="448"/>
      <c r="I714" s="450"/>
      <c r="J714" s="449"/>
    </row>
    <row r="715" ht="15" customHeight="1" spans="1:10">
      <c r="A715" s="445"/>
      <c r="B715" s="446"/>
      <c r="C715" s="446"/>
      <c r="D715" s="446"/>
      <c r="E715" s="452"/>
      <c r="F715" s="441"/>
      <c r="G715" s="441"/>
      <c r="H715" s="448"/>
      <c r="I715" s="450"/>
      <c r="J715" s="449"/>
    </row>
    <row r="716" ht="15" customHeight="1" spans="1:10">
      <c r="A716" s="445"/>
      <c r="B716" s="446"/>
      <c r="C716" s="446"/>
      <c r="D716" s="446"/>
      <c r="E716" s="452"/>
      <c r="F716" s="441"/>
      <c r="G716" s="441"/>
      <c r="H716" s="448"/>
      <c r="I716" s="450"/>
      <c r="J716" s="449"/>
    </row>
    <row r="717" ht="15" customHeight="1" spans="1:10">
      <c r="A717" s="445"/>
      <c r="B717" s="446"/>
      <c r="C717" s="446"/>
      <c r="D717" s="446"/>
      <c r="E717" s="452"/>
      <c r="F717" s="441"/>
      <c r="G717" s="441"/>
      <c r="H717" s="448"/>
      <c r="I717" s="450"/>
      <c r="J717" s="449"/>
    </row>
    <row r="718" ht="15" customHeight="1" spans="1:10">
      <c r="A718" s="445"/>
      <c r="B718" s="446"/>
      <c r="C718" s="446"/>
      <c r="D718" s="446"/>
      <c r="E718" s="452"/>
      <c r="F718" s="441"/>
      <c r="G718" s="441"/>
      <c r="H718" s="448"/>
      <c r="I718" s="450"/>
      <c r="J718" s="449"/>
    </row>
    <row r="719" ht="15" customHeight="1" spans="1:10">
      <c r="A719" s="445"/>
      <c r="B719" s="446"/>
      <c r="C719" s="446"/>
      <c r="D719" s="446"/>
      <c r="E719" s="452"/>
      <c r="F719" s="441"/>
      <c r="G719" s="441"/>
      <c r="H719" s="448"/>
      <c r="I719" s="450"/>
      <c r="J719" s="449"/>
    </row>
    <row r="720" ht="15" customHeight="1" spans="1:10">
      <c r="A720" s="445"/>
      <c r="B720" s="446"/>
      <c r="C720" s="446"/>
      <c r="D720" s="446"/>
      <c r="E720" s="452"/>
      <c r="F720" s="441"/>
      <c r="G720" s="441"/>
      <c r="H720" s="448"/>
      <c r="I720" s="450"/>
      <c r="J720" s="449"/>
    </row>
    <row r="721" ht="15" customHeight="1" spans="1:10">
      <c r="A721" s="445"/>
      <c r="B721" s="446"/>
      <c r="C721" s="446"/>
      <c r="D721" s="446"/>
      <c r="E721" s="452"/>
      <c r="F721" s="441"/>
      <c r="G721" s="441"/>
      <c r="H721" s="448"/>
      <c r="I721" s="450"/>
      <c r="J721" s="449"/>
    </row>
    <row r="722" ht="15" customHeight="1" spans="1:10">
      <c r="A722" s="445"/>
      <c r="B722" s="446"/>
      <c r="C722" s="446"/>
      <c r="D722" s="446"/>
      <c r="E722" s="452"/>
      <c r="F722" s="441"/>
      <c r="G722" s="441"/>
      <c r="H722" s="448"/>
      <c r="I722" s="450"/>
      <c r="J722" s="449"/>
    </row>
    <row r="723" ht="15" customHeight="1" spans="1:10">
      <c r="A723" s="445"/>
      <c r="B723" s="446"/>
      <c r="C723" s="446"/>
      <c r="D723" s="446"/>
      <c r="E723" s="452"/>
      <c r="F723" s="441"/>
      <c r="G723" s="441"/>
      <c r="H723" s="448"/>
      <c r="I723" s="450"/>
      <c r="J723" s="449"/>
    </row>
    <row r="724" ht="15" customHeight="1" spans="1:10">
      <c r="A724" s="445"/>
      <c r="B724" s="446"/>
      <c r="C724" s="446"/>
      <c r="D724" s="446"/>
      <c r="E724" s="452"/>
      <c r="F724" s="441"/>
      <c r="G724" s="441"/>
      <c r="H724" s="448"/>
      <c r="I724" s="450"/>
      <c r="J724" s="449"/>
    </row>
    <row r="725" ht="15" customHeight="1" spans="1:10">
      <c r="A725" s="445"/>
      <c r="B725" s="446"/>
      <c r="C725" s="446"/>
      <c r="D725" s="446"/>
      <c r="E725" s="452"/>
      <c r="F725" s="441"/>
      <c r="G725" s="441"/>
      <c r="H725" s="448"/>
      <c r="I725" s="450"/>
      <c r="J725" s="449"/>
    </row>
    <row r="726" ht="15" customHeight="1" spans="1:10">
      <c r="A726" s="445"/>
      <c r="B726" s="446"/>
      <c r="C726" s="446"/>
      <c r="D726" s="446"/>
      <c r="E726" s="452"/>
      <c r="F726" s="441"/>
      <c r="G726" s="441"/>
      <c r="H726" s="448"/>
      <c r="I726" s="450"/>
      <c r="J726" s="449"/>
    </row>
    <row r="727" ht="15" customHeight="1" spans="1:10">
      <c r="A727" s="445"/>
      <c r="B727" s="446"/>
      <c r="C727" s="446"/>
      <c r="D727" s="446"/>
      <c r="E727" s="452"/>
      <c r="F727" s="441"/>
      <c r="G727" s="441"/>
      <c r="H727" s="448"/>
      <c r="I727" s="450"/>
      <c r="J727" s="449"/>
    </row>
    <row r="728" ht="15" customHeight="1" spans="1:10">
      <c r="A728" s="445"/>
      <c r="B728" s="446"/>
      <c r="C728" s="446"/>
      <c r="D728" s="446"/>
      <c r="E728" s="452"/>
      <c r="F728" s="441"/>
      <c r="G728" s="441"/>
      <c r="H728" s="448"/>
      <c r="I728" s="450"/>
      <c r="J728" s="449"/>
    </row>
    <row r="729" ht="15" customHeight="1" spans="1:10">
      <c r="A729" s="445"/>
      <c r="B729" s="446"/>
      <c r="C729" s="446"/>
      <c r="D729" s="446"/>
      <c r="E729" s="452"/>
      <c r="F729" s="441"/>
      <c r="G729" s="441"/>
      <c r="H729" s="448"/>
      <c r="I729" s="450"/>
      <c r="J729" s="449"/>
    </row>
    <row r="730" ht="15" customHeight="1" spans="1:10">
      <c r="A730" s="445"/>
      <c r="B730" s="446"/>
      <c r="C730" s="446"/>
      <c r="D730" s="446"/>
      <c r="E730" s="452"/>
      <c r="F730" s="441"/>
      <c r="G730" s="441"/>
      <c r="H730" s="448"/>
      <c r="I730" s="450"/>
      <c r="J730" s="449"/>
    </row>
    <row r="731" ht="15" customHeight="1" spans="1:10">
      <c r="A731" s="445"/>
      <c r="B731" s="446"/>
      <c r="C731" s="446"/>
      <c r="D731" s="446"/>
      <c r="E731" s="452"/>
      <c r="F731" s="441"/>
      <c r="G731" s="441"/>
      <c r="H731" s="448"/>
      <c r="I731" s="450"/>
      <c r="J731" s="449"/>
    </row>
    <row r="732" ht="15" customHeight="1" spans="1:10">
      <c r="A732" s="445"/>
      <c r="B732" s="446"/>
      <c r="C732" s="446"/>
      <c r="D732" s="446"/>
      <c r="E732" s="452"/>
      <c r="F732" s="441"/>
      <c r="G732" s="441"/>
      <c r="H732" s="448"/>
      <c r="I732" s="450"/>
      <c r="J732" s="449"/>
    </row>
    <row r="733" ht="15" customHeight="1" spans="1:10">
      <c r="A733" s="445"/>
      <c r="B733" s="446"/>
      <c r="C733" s="446"/>
      <c r="D733" s="446"/>
      <c r="E733" s="452"/>
      <c r="F733" s="441"/>
      <c r="G733" s="441"/>
      <c r="H733" s="448"/>
      <c r="I733" s="450"/>
      <c r="J733" s="449"/>
    </row>
    <row r="734" ht="15" customHeight="1" spans="1:10">
      <c r="A734" s="445"/>
      <c r="B734" s="446"/>
      <c r="C734" s="446"/>
      <c r="D734" s="446"/>
      <c r="E734" s="452"/>
      <c r="F734" s="441"/>
      <c r="G734" s="441"/>
      <c r="H734" s="448"/>
      <c r="I734" s="450"/>
      <c r="J734" s="449"/>
    </row>
    <row r="735" ht="15" customHeight="1" spans="1:10">
      <c r="A735" s="445"/>
      <c r="B735" s="446"/>
      <c r="C735" s="446"/>
      <c r="D735" s="446"/>
      <c r="E735" s="452"/>
      <c r="F735" s="441"/>
      <c r="G735" s="441"/>
      <c r="H735" s="448"/>
      <c r="I735" s="450"/>
      <c r="J735" s="449"/>
    </row>
    <row r="736" ht="15" customHeight="1" spans="1:10">
      <c r="A736" s="445"/>
      <c r="B736" s="446"/>
      <c r="C736" s="446"/>
      <c r="D736" s="446"/>
      <c r="E736" s="452"/>
      <c r="F736" s="441"/>
      <c r="G736" s="441"/>
      <c r="H736" s="448"/>
      <c r="I736" s="450"/>
      <c r="J736" s="449"/>
    </row>
    <row r="737" ht="15" customHeight="1" spans="1:10">
      <c r="A737" s="445"/>
      <c r="B737" s="446"/>
      <c r="C737" s="446"/>
      <c r="D737" s="446"/>
      <c r="E737" s="452"/>
      <c r="F737" s="441"/>
      <c r="G737" s="441"/>
      <c r="H737" s="448"/>
      <c r="I737" s="450"/>
      <c r="J737" s="449"/>
    </row>
    <row r="738" ht="15" customHeight="1" spans="1:10">
      <c r="A738" s="445"/>
      <c r="B738" s="446"/>
      <c r="C738" s="446"/>
      <c r="D738" s="446"/>
      <c r="E738" s="452"/>
      <c r="F738" s="441"/>
      <c r="G738" s="441"/>
      <c r="H738" s="448"/>
      <c r="I738" s="450"/>
      <c r="J738" s="449"/>
    </row>
    <row r="739" ht="15" customHeight="1" spans="1:10">
      <c r="A739" s="445"/>
      <c r="B739" s="446"/>
      <c r="C739" s="446"/>
      <c r="D739" s="446"/>
      <c r="E739" s="452"/>
      <c r="F739" s="441"/>
      <c r="G739" s="441"/>
      <c r="H739" s="448"/>
      <c r="I739" s="450"/>
      <c r="J739" s="449"/>
    </row>
    <row r="740" ht="15" customHeight="1" spans="1:10">
      <c r="A740" s="445"/>
      <c r="B740" s="446"/>
      <c r="C740" s="446"/>
      <c r="D740" s="446"/>
      <c r="E740" s="452"/>
      <c r="F740" s="441"/>
      <c r="G740" s="441"/>
      <c r="H740" s="448"/>
      <c r="I740" s="450"/>
      <c r="J740" s="449"/>
    </row>
    <row r="741" ht="15" customHeight="1" spans="1:10">
      <c r="A741" s="445"/>
      <c r="B741" s="446"/>
      <c r="C741" s="446"/>
      <c r="D741" s="446"/>
      <c r="E741" s="452"/>
      <c r="F741" s="441"/>
      <c r="G741" s="441"/>
      <c r="H741" s="448"/>
      <c r="I741" s="450"/>
      <c r="J741" s="449"/>
    </row>
    <row r="742" ht="15" customHeight="1" spans="1:10">
      <c r="A742" s="445"/>
      <c r="B742" s="446"/>
      <c r="C742" s="446"/>
      <c r="D742" s="446"/>
      <c r="E742" s="452"/>
      <c r="F742" s="441"/>
      <c r="G742" s="441"/>
      <c r="H742" s="448"/>
      <c r="I742" s="450"/>
      <c r="J742" s="449"/>
    </row>
    <row r="743" ht="15" customHeight="1" spans="1:10">
      <c r="A743" s="445"/>
      <c r="B743" s="446"/>
      <c r="C743" s="446"/>
      <c r="D743" s="446"/>
      <c r="E743" s="452"/>
      <c r="F743" s="441"/>
      <c r="G743" s="441"/>
      <c r="H743" s="448"/>
      <c r="I743" s="450"/>
      <c r="J743" s="449"/>
    </row>
    <row r="744" ht="15" customHeight="1" spans="1:10">
      <c r="A744" s="445"/>
      <c r="B744" s="446"/>
      <c r="C744" s="446"/>
      <c r="D744" s="446"/>
      <c r="E744" s="452"/>
      <c r="F744" s="441"/>
      <c r="G744" s="441"/>
      <c r="H744" s="448"/>
      <c r="I744" s="450"/>
      <c r="J744" s="449"/>
    </row>
    <row r="745" ht="15" customHeight="1" spans="1:10">
      <c r="A745" s="445"/>
      <c r="B745" s="446"/>
      <c r="C745" s="446"/>
      <c r="D745" s="446"/>
      <c r="E745" s="452"/>
      <c r="F745" s="441"/>
      <c r="G745" s="441"/>
      <c r="H745" s="448"/>
      <c r="I745" s="450"/>
      <c r="J745" s="449"/>
    </row>
    <row r="746" ht="15" customHeight="1" spans="1:10">
      <c r="A746" s="445"/>
      <c r="B746" s="446"/>
      <c r="C746" s="446"/>
      <c r="D746" s="446"/>
      <c r="E746" s="452"/>
      <c r="F746" s="441"/>
      <c r="G746" s="441"/>
      <c r="H746" s="448"/>
      <c r="I746" s="450"/>
      <c r="J746" s="449"/>
    </row>
    <row r="747" ht="15" customHeight="1" spans="1:10">
      <c r="A747" s="445"/>
      <c r="B747" s="446"/>
      <c r="C747" s="446"/>
      <c r="D747" s="446"/>
      <c r="E747" s="452"/>
      <c r="F747" s="441"/>
      <c r="G747" s="441"/>
      <c r="H747" s="448"/>
      <c r="I747" s="450"/>
      <c r="J747" s="449"/>
    </row>
    <row r="748" ht="15" customHeight="1" spans="1:10">
      <c r="A748" s="445"/>
      <c r="B748" s="446"/>
      <c r="C748" s="446"/>
      <c r="D748" s="446"/>
      <c r="E748" s="452"/>
      <c r="F748" s="441"/>
      <c r="G748" s="441"/>
      <c r="H748" s="448"/>
      <c r="I748" s="450"/>
      <c r="J748" s="449"/>
    </row>
    <row r="749" ht="15" customHeight="1" spans="1:10">
      <c r="A749" s="445"/>
      <c r="B749" s="446"/>
      <c r="C749" s="446"/>
      <c r="D749" s="446"/>
      <c r="E749" s="452"/>
      <c r="F749" s="441"/>
      <c r="G749" s="441"/>
      <c r="H749" s="448"/>
      <c r="I749" s="450"/>
      <c r="J749" s="449"/>
    </row>
    <row r="750" ht="15" customHeight="1" spans="1:10">
      <c r="A750" s="445"/>
      <c r="B750" s="446"/>
      <c r="C750" s="446"/>
      <c r="D750" s="446"/>
      <c r="E750" s="452"/>
      <c r="F750" s="441"/>
      <c r="G750" s="441"/>
      <c r="H750" s="448"/>
      <c r="I750" s="450"/>
      <c r="J750" s="449"/>
    </row>
    <row r="751" ht="15" customHeight="1" spans="1:10">
      <c r="A751" s="445"/>
      <c r="B751" s="446"/>
      <c r="C751" s="446"/>
      <c r="D751" s="446"/>
      <c r="E751" s="452"/>
      <c r="F751" s="441"/>
      <c r="G751" s="441"/>
      <c r="H751" s="448"/>
      <c r="I751" s="450"/>
      <c r="J751" s="449"/>
    </row>
    <row r="752" ht="15" customHeight="1" spans="1:10">
      <c r="A752" s="445"/>
      <c r="B752" s="446"/>
      <c r="C752" s="446"/>
      <c r="D752" s="446"/>
      <c r="E752" s="452"/>
      <c r="F752" s="441"/>
      <c r="G752" s="441"/>
      <c r="H752" s="448"/>
      <c r="I752" s="450"/>
      <c r="J752" s="449"/>
    </row>
    <row r="753" ht="15" customHeight="1" spans="1:10">
      <c r="A753" s="445"/>
      <c r="B753" s="446"/>
      <c r="C753" s="446"/>
      <c r="D753" s="446"/>
      <c r="E753" s="452"/>
      <c r="F753" s="441"/>
      <c r="G753" s="441"/>
      <c r="H753" s="448"/>
      <c r="I753" s="450"/>
      <c r="J753" s="449"/>
    </row>
    <row r="754" ht="15" customHeight="1" spans="1:10">
      <c r="A754" s="445"/>
      <c r="B754" s="446"/>
      <c r="C754" s="446"/>
      <c r="D754" s="446"/>
      <c r="E754" s="452"/>
      <c r="F754" s="441"/>
      <c r="G754" s="441"/>
      <c r="H754" s="448"/>
      <c r="I754" s="450"/>
      <c r="J754" s="449"/>
    </row>
    <row r="755" ht="15" customHeight="1" spans="1:10">
      <c r="A755" s="445"/>
      <c r="B755" s="446"/>
      <c r="C755" s="446"/>
      <c r="D755" s="446"/>
      <c r="E755" s="452"/>
      <c r="F755" s="441"/>
      <c r="G755" s="441"/>
      <c r="H755" s="448"/>
      <c r="I755" s="450"/>
      <c r="J755" s="449"/>
    </row>
    <row r="756" ht="15" customHeight="1" spans="1:10">
      <c r="A756" s="445"/>
      <c r="B756" s="446"/>
      <c r="C756" s="446"/>
      <c r="D756" s="446"/>
      <c r="E756" s="452"/>
      <c r="F756" s="441"/>
      <c r="G756" s="441"/>
      <c r="H756" s="448"/>
      <c r="I756" s="450"/>
      <c r="J756" s="449"/>
    </row>
    <row r="757" ht="15" customHeight="1" spans="1:10">
      <c r="A757" s="445"/>
      <c r="B757" s="446"/>
      <c r="C757" s="446"/>
      <c r="D757" s="446"/>
      <c r="E757" s="452"/>
      <c r="F757" s="441"/>
      <c r="G757" s="441"/>
      <c r="H757" s="448"/>
      <c r="I757" s="450"/>
      <c r="J757" s="449"/>
    </row>
    <row r="758" ht="15" customHeight="1" spans="1:10">
      <c r="A758" s="445"/>
      <c r="B758" s="446"/>
      <c r="C758" s="446"/>
      <c r="D758" s="446"/>
      <c r="E758" s="452"/>
      <c r="F758" s="441"/>
      <c r="G758" s="441"/>
      <c r="H758" s="448"/>
      <c r="I758" s="450"/>
      <c r="J758" s="449"/>
    </row>
    <row r="759" ht="15" customHeight="1" spans="1:10">
      <c r="A759" s="445"/>
      <c r="B759" s="446"/>
      <c r="C759" s="446"/>
      <c r="D759" s="446"/>
      <c r="E759" s="452"/>
      <c r="F759" s="441"/>
      <c r="G759" s="441"/>
      <c r="H759" s="448"/>
      <c r="I759" s="450"/>
      <c r="J759" s="449"/>
    </row>
    <row r="760" ht="15" customHeight="1" spans="1:10">
      <c r="A760" s="445"/>
      <c r="B760" s="446"/>
      <c r="C760" s="446"/>
      <c r="D760" s="446"/>
      <c r="E760" s="452"/>
      <c r="F760" s="441"/>
      <c r="G760" s="441"/>
      <c r="H760" s="448"/>
      <c r="I760" s="450"/>
      <c r="J760" s="449"/>
    </row>
    <row r="761" ht="15" customHeight="1" spans="1:10">
      <c r="A761" s="445"/>
      <c r="B761" s="446"/>
      <c r="C761" s="446"/>
      <c r="D761" s="446"/>
      <c r="E761" s="452"/>
      <c r="F761" s="441"/>
      <c r="G761" s="441"/>
      <c r="H761" s="448"/>
      <c r="I761" s="450"/>
      <c r="J761" s="449"/>
    </row>
    <row r="762" ht="15" customHeight="1" spans="1:10">
      <c r="A762" s="445"/>
      <c r="B762" s="446"/>
      <c r="C762" s="446"/>
      <c r="D762" s="446"/>
      <c r="E762" s="452"/>
      <c r="F762" s="441"/>
      <c r="G762" s="441"/>
      <c r="H762" s="448"/>
      <c r="I762" s="450"/>
      <c r="J762" s="449"/>
    </row>
    <row r="763" ht="15" customHeight="1" spans="1:10">
      <c r="A763" s="445"/>
      <c r="B763" s="446"/>
      <c r="C763" s="446"/>
      <c r="D763" s="446"/>
      <c r="E763" s="452"/>
      <c r="F763" s="441"/>
      <c r="G763" s="441"/>
      <c r="H763" s="448"/>
      <c r="I763" s="450"/>
      <c r="J763" s="449"/>
    </row>
    <row r="764" ht="15" customHeight="1" spans="1:10">
      <c r="A764" s="445"/>
      <c r="B764" s="446"/>
      <c r="C764" s="446"/>
      <c r="D764" s="446"/>
      <c r="E764" s="452"/>
      <c r="F764" s="441"/>
      <c r="G764" s="441"/>
      <c r="H764" s="448"/>
      <c r="I764" s="450"/>
      <c r="J764" s="449"/>
    </row>
    <row r="765" ht="15" customHeight="1" spans="1:10">
      <c r="A765" s="445"/>
      <c r="B765" s="446"/>
      <c r="C765" s="446"/>
      <c r="D765" s="446"/>
      <c r="E765" s="452"/>
      <c r="F765" s="441"/>
      <c r="G765" s="441"/>
      <c r="H765" s="448"/>
      <c r="I765" s="450"/>
      <c r="J765" s="449"/>
    </row>
    <row r="766" ht="15" customHeight="1" spans="1:10">
      <c r="A766" s="445"/>
      <c r="B766" s="446"/>
      <c r="C766" s="446"/>
      <c r="D766" s="446"/>
      <c r="E766" s="452"/>
      <c r="F766" s="441"/>
      <c r="G766" s="441"/>
      <c r="H766" s="448"/>
      <c r="I766" s="450"/>
      <c r="J766" s="449"/>
    </row>
    <row r="767" ht="15" customHeight="1" spans="1:10">
      <c r="A767" s="445"/>
      <c r="B767" s="446"/>
      <c r="C767" s="446"/>
      <c r="D767" s="446"/>
      <c r="E767" s="452"/>
      <c r="F767" s="441"/>
      <c r="G767" s="441"/>
      <c r="H767" s="448"/>
      <c r="I767" s="450"/>
      <c r="J767" s="449"/>
    </row>
    <row r="768" ht="15" customHeight="1" spans="1:10">
      <c r="A768" s="445"/>
      <c r="B768" s="446"/>
      <c r="C768" s="446"/>
      <c r="D768" s="446"/>
      <c r="E768" s="452"/>
      <c r="F768" s="441"/>
      <c r="G768" s="441"/>
      <c r="H768" s="448"/>
      <c r="I768" s="450"/>
      <c r="J768" s="449"/>
    </row>
    <row r="769" ht="15" customHeight="1" spans="1:10">
      <c r="A769" s="445"/>
      <c r="B769" s="446"/>
      <c r="C769" s="446"/>
      <c r="D769" s="446"/>
      <c r="E769" s="452"/>
      <c r="F769" s="441"/>
      <c r="G769" s="441"/>
      <c r="H769" s="448"/>
      <c r="I769" s="450"/>
      <c r="J769" s="449"/>
    </row>
    <row r="770" ht="15" customHeight="1" spans="1:10">
      <c r="A770" s="445"/>
      <c r="B770" s="446"/>
      <c r="C770" s="446"/>
      <c r="D770" s="446"/>
      <c r="E770" s="452"/>
      <c r="F770" s="441"/>
      <c r="G770" s="441"/>
      <c r="H770" s="448"/>
      <c r="I770" s="450"/>
      <c r="J770" s="449"/>
    </row>
    <row r="771" ht="15" customHeight="1" spans="1:10">
      <c r="A771" s="445"/>
      <c r="B771" s="446"/>
      <c r="C771" s="446"/>
      <c r="D771" s="446"/>
      <c r="E771" s="452"/>
      <c r="F771" s="441"/>
      <c r="G771" s="441"/>
      <c r="H771" s="448"/>
      <c r="I771" s="450"/>
      <c r="J771" s="449"/>
    </row>
    <row r="772" ht="15" customHeight="1" spans="1:10">
      <c r="A772" s="445"/>
      <c r="B772" s="446"/>
      <c r="C772" s="446"/>
      <c r="D772" s="446"/>
      <c r="E772" s="452"/>
      <c r="F772" s="441"/>
      <c r="G772" s="441"/>
      <c r="H772" s="448"/>
      <c r="I772" s="450"/>
      <c r="J772" s="449"/>
    </row>
    <row r="773" ht="15" customHeight="1" spans="1:10">
      <c r="A773" s="445"/>
      <c r="B773" s="446"/>
      <c r="C773" s="446"/>
      <c r="D773" s="446"/>
      <c r="E773" s="452"/>
      <c r="F773" s="441"/>
      <c r="G773" s="441"/>
      <c r="H773" s="448"/>
      <c r="I773" s="450"/>
      <c r="J773" s="449"/>
    </row>
    <row r="774" ht="15" customHeight="1" spans="1:10">
      <c r="A774" s="445"/>
      <c r="B774" s="446"/>
      <c r="C774" s="446"/>
      <c r="D774" s="446"/>
      <c r="E774" s="452"/>
      <c r="F774" s="441"/>
      <c r="G774" s="441"/>
      <c r="H774" s="448"/>
      <c r="I774" s="450"/>
      <c r="J774" s="449"/>
    </row>
    <row r="775" ht="15" customHeight="1" spans="1:10">
      <c r="A775" s="445"/>
      <c r="B775" s="446"/>
      <c r="C775" s="446"/>
      <c r="D775" s="446"/>
      <c r="E775" s="452"/>
      <c r="F775" s="441"/>
      <c r="G775" s="441"/>
      <c r="H775" s="448"/>
      <c r="I775" s="450"/>
      <c r="J775" s="449"/>
    </row>
    <row r="776" ht="15" customHeight="1" spans="1:10">
      <c r="A776" s="445"/>
      <c r="B776" s="446"/>
      <c r="C776" s="446"/>
      <c r="D776" s="446"/>
      <c r="E776" s="452"/>
      <c r="F776" s="441"/>
      <c r="G776" s="441"/>
      <c r="H776" s="448"/>
      <c r="I776" s="450"/>
      <c r="J776" s="449"/>
    </row>
    <row r="777" ht="15" customHeight="1" spans="1:10">
      <c r="A777" s="445"/>
      <c r="B777" s="446"/>
      <c r="C777" s="446"/>
      <c r="D777" s="446"/>
      <c r="E777" s="452"/>
      <c r="F777" s="441"/>
      <c r="G777" s="441"/>
      <c r="H777" s="448"/>
      <c r="I777" s="450"/>
      <c r="J777" s="449"/>
    </row>
    <row r="778" ht="15" customHeight="1" spans="1:10">
      <c r="A778" s="445"/>
      <c r="B778" s="446"/>
      <c r="C778" s="446"/>
      <c r="D778" s="446"/>
      <c r="E778" s="452"/>
      <c r="F778" s="441"/>
      <c r="G778" s="441"/>
      <c r="H778" s="448"/>
      <c r="I778" s="450"/>
      <c r="J778" s="449"/>
    </row>
    <row r="779" ht="15" customHeight="1" spans="1:10">
      <c r="A779" s="445"/>
      <c r="B779" s="446"/>
      <c r="C779" s="446"/>
      <c r="D779" s="446"/>
      <c r="E779" s="452"/>
      <c r="F779" s="441"/>
      <c r="G779" s="441"/>
      <c r="H779" s="448"/>
      <c r="I779" s="450"/>
      <c r="J779" s="449"/>
    </row>
    <row r="780" ht="15" customHeight="1" spans="1:10">
      <c r="A780" s="445"/>
      <c r="B780" s="446"/>
      <c r="C780" s="446"/>
      <c r="D780" s="446"/>
      <c r="E780" s="452"/>
      <c r="F780" s="441"/>
      <c r="G780" s="441"/>
      <c r="H780" s="448"/>
      <c r="I780" s="450"/>
      <c r="J780" s="449"/>
    </row>
    <row r="781" ht="15" customHeight="1" spans="1:10">
      <c r="A781" s="445"/>
      <c r="B781" s="446"/>
      <c r="C781" s="446"/>
      <c r="D781" s="446"/>
      <c r="E781" s="452"/>
      <c r="F781" s="441"/>
      <c r="G781" s="441"/>
      <c r="H781" s="448"/>
      <c r="I781" s="450"/>
      <c r="J781" s="449"/>
    </row>
    <row r="782" ht="15" customHeight="1" spans="1:10">
      <c r="A782" s="445"/>
      <c r="B782" s="446"/>
      <c r="C782" s="446"/>
      <c r="D782" s="446"/>
      <c r="E782" s="452"/>
      <c r="F782" s="441"/>
      <c r="G782" s="441"/>
      <c r="H782" s="448"/>
      <c r="I782" s="450"/>
      <c r="J782" s="449"/>
    </row>
    <row r="783" ht="15" customHeight="1" spans="1:10">
      <c r="A783" s="445"/>
      <c r="B783" s="446"/>
      <c r="C783" s="446"/>
      <c r="D783" s="446"/>
      <c r="E783" s="452"/>
      <c r="F783" s="441"/>
      <c r="G783" s="441"/>
      <c r="H783" s="448"/>
      <c r="I783" s="450"/>
      <c r="J783" s="449"/>
    </row>
    <row r="784" ht="15" customHeight="1" spans="1:10">
      <c r="A784" s="445"/>
      <c r="B784" s="446"/>
      <c r="C784" s="446"/>
      <c r="D784" s="446"/>
      <c r="E784" s="452"/>
      <c r="F784" s="441"/>
      <c r="G784" s="441"/>
      <c r="H784" s="448"/>
      <c r="I784" s="450"/>
      <c r="J784" s="449"/>
    </row>
    <row r="785" ht="15" customHeight="1" spans="1:10">
      <c r="A785" s="445"/>
      <c r="B785" s="446"/>
      <c r="C785" s="446"/>
      <c r="D785" s="446"/>
      <c r="E785" s="452"/>
      <c r="F785" s="441"/>
      <c r="G785" s="441"/>
      <c r="H785" s="448"/>
      <c r="I785" s="450"/>
      <c r="J785" s="449"/>
    </row>
    <row r="786" ht="15" customHeight="1" spans="1:10">
      <c r="A786" s="445"/>
      <c r="B786" s="446"/>
      <c r="C786" s="446"/>
      <c r="D786" s="446"/>
      <c r="E786" s="452"/>
      <c r="F786" s="441"/>
      <c r="G786" s="441"/>
      <c r="H786" s="448"/>
      <c r="I786" s="450"/>
      <c r="J786" s="449"/>
    </row>
    <row r="787" ht="15" customHeight="1" spans="1:10">
      <c r="A787" s="445"/>
      <c r="B787" s="446"/>
      <c r="C787" s="446"/>
      <c r="D787" s="446"/>
      <c r="E787" s="452"/>
      <c r="F787" s="441"/>
      <c r="G787" s="441"/>
      <c r="H787" s="448"/>
      <c r="I787" s="450"/>
      <c r="J787" s="449"/>
    </row>
    <row r="788" ht="15" customHeight="1" spans="1:10">
      <c r="A788" s="445"/>
      <c r="B788" s="446"/>
      <c r="C788" s="446"/>
      <c r="D788" s="446"/>
      <c r="E788" s="452"/>
      <c r="F788" s="441"/>
      <c r="G788" s="441"/>
      <c r="H788" s="448"/>
      <c r="I788" s="450"/>
      <c r="J788" s="449"/>
    </row>
    <row r="789" ht="15" customHeight="1" spans="1:10">
      <c r="A789" s="445"/>
      <c r="B789" s="446"/>
      <c r="C789" s="446"/>
      <c r="D789" s="446"/>
      <c r="E789" s="452"/>
      <c r="F789" s="441"/>
      <c r="G789" s="441"/>
      <c r="H789" s="448"/>
      <c r="I789" s="450"/>
      <c r="J789" s="449"/>
    </row>
    <row r="790" ht="15" customHeight="1" spans="1:10">
      <c r="A790" s="445"/>
      <c r="B790" s="446"/>
      <c r="C790" s="446"/>
      <c r="D790" s="446"/>
      <c r="E790" s="452"/>
      <c r="F790" s="441"/>
      <c r="G790" s="441"/>
      <c r="H790" s="448"/>
      <c r="I790" s="450"/>
      <c r="J790" s="449"/>
    </row>
    <row r="791" ht="15" customHeight="1" spans="1:10">
      <c r="A791" s="445"/>
      <c r="B791" s="446"/>
      <c r="C791" s="446"/>
      <c r="D791" s="446"/>
      <c r="E791" s="452"/>
      <c r="F791" s="441"/>
      <c r="G791" s="441"/>
      <c r="H791" s="448"/>
      <c r="I791" s="450"/>
      <c r="J791" s="449"/>
    </row>
    <row r="792" ht="15" customHeight="1" spans="1:10">
      <c r="A792" s="445"/>
      <c r="B792" s="446"/>
      <c r="C792" s="446"/>
      <c r="D792" s="446"/>
      <c r="E792" s="452"/>
      <c r="F792" s="441"/>
      <c r="G792" s="441"/>
      <c r="H792" s="448"/>
      <c r="I792" s="450"/>
      <c r="J792" s="449"/>
    </row>
    <row r="793" ht="15" customHeight="1" spans="1:10">
      <c r="A793" s="445"/>
      <c r="B793" s="446"/>
      <c r="C793" s="446"/>
      <c r="D793" s="446"/>
      <c r="E793" s="452"/>
      <c r="F793" s="441"/>
      <c r="G793" s="441"/>
      <c r="H793" s="448"/>
      <c r="I793" s="450"/>
      <c r="J793" s="449"/>
    </row>
    <row r="794" ht="15" customHeight="1" spans="1:10">
      <c r="A794" s="445"/>
      <c r="B794" s="446"/>
      <c r="C794" s="446"/>
      <c r="D794" s="446"/>
      <c r="E794" s="452"/>
      <c r="F794" s="441"/>
      <c r="G794" s="441"/>
      <c r="H794" s="448"/>
      <c r="I794" s="450"/>
      <c r="J794" s="449"/>
    </row>
    <row r="795" ht="15" customHeight="1" spans="1:10">
      <c r="A795" s="445"/>
      <c r="B795" s="446"/>
      <c r="C795" s="446"/>
      <c r="D795" s="446"/>
      <c r="E795" s="452"/>
      <c r="F795" s="441"/>
      <c r="G795" s="441"/>
      <c r="H795" s="448"/>
      <c r="I795" s="450"/>
      <c r="J795" s="449"/>
    </row>
    <row r="796" ht="15" customHeight="1" spans="1:10">
      <c r="A796" s="445"/>
      <c r="B796" s="446"/>
      <c r="C796" s="446"/>
      <c r="D796" s="446"/>
      <c r="E796" s="452"/>
      <c r="F796" s="441"/>
      <c r="G796" s="441"/>
      <c r="H796" s="448"/>
      <c r="I796" s="450"/>
      <c r="J796" s="449"/>
    </row>
    <row r="797" ht="15" customHeight="1" spans="1:10">
      <c r="A797" s="445"/>
      <c r="B797" s="446"/>
      <c r="C797" s="446"/>
      <c r="D797" s="446"/>
      <c r="E797" s="452"/>
      <c r="F797" s="441"/>
      <c r="G797" s="441"/>
      <c r="H797" s="448"/>
      <c r="I797" s="450"/>
      <c r="J797" s="449"/>
    </row>
    <row r="798" ht="15" customHeight="1" spans="1:10">
      <c r="A798" s="445"/>
      <c r="B798" s="446"/>
      <c r="C798" s="446"/>
      <c r="D798" s="446"/>
      <c r="E798" s="452"/>
      <c r="F798" s="441"/>
      <c r="G798" s="441"/>
      <c r="H798" s="448"/>
      <c r="I798" s="450"/>
      <c r="J798" s="449"/>
    </row>
    <row r="799" ht="15" customHeight="1" spans="1:10">
      <c r="A799" s="445"/>
      <c r="B799" s="446"/>
      <c r="C799" s="446"/>
      <c r="D799" s="446"/>
      <c r="E799" s="452"/>
      <c r="F799" s="441"/>
      <c r="G799" s="441"/>
      <c r="H799" s="448"/>
      <c r="I799" s="450"/>
      <c r="J799" s="449"/>
    </row>
    <row r="800" ht="15" customHeight="1" spans="1:10">
      <c r="A800" s="445"/>
      <c r="B800" s="446"/>
      <c r="C800" s="446"/>
      <c r="D800" s="446"/>
      <c r="E800" s="452"/>
      <c r="F800" s="441"/>
      <c r="G800" s="441"/>
      <c r="H800" s="448"/>
      <c r="I800" s="450"/>
      <c r="J800" s="449"/>
    </row>
    <row r="801" ht="15" customHeight="1" spans="1:10">
      <c r="A801" s="445"/>
      <c r="B801" s="446"/>
      <c r="C801" s="446"/>
      <c r="D801" s="446"/>
      <c r="E801" s="452"/>
      <c r="F801" s="441"/>
      <c r="G801" s="441"/>
      <c r="H801" s="448"/>
      <c r="I801" s="450"/>
      <c r="J801" s="449"/>
    </row>
    <row r="802" ht="15" customHeight="1" spans="1:10">
      <c r="A802" s="445"/>
      <c r="B802" s="446"/>
      <c r="C802" s="446"/>
      <c r="D802" s="446"/>
      <c r="E802" s="452"/>
      <c r="F802" s="441"/>
      <c r="G802" s="441"/>
      <c r="H802" s="448"/>
      <c r="I802" s="450"/>
      <c r="J802" s="449"/>
    </row>
    <row r="803" ht="15" customHeight="1" spans="1:10">
      <c r="A803" s="445"/>
      <c r="B803" s="446"/>
      <c r="C803" s="446"/>
      <c r="D803" s="446"/>
      <c r="E803" s="452"/>
      <c r="F803" s="441"/>
      <c r="G803" s="441"/>
      <c r="H803" s="448"/>
      <c r="I803" s="450"/>
      <c r="J803" s="449"/>
    </row>
    <row r="804" ht="15" customHeight="1" spans="1:10">
      <c r="A804" s="445"/>
      <c r="B804" s="446"/>
      <c r="C804" s="446"/>
      <c r="D804" s="446"/>
      <c r="E804" s="452"/>
      <c r="F804" s="441"/>
      <c r="G804" s="441"/>
      <c r="H804" s="448"/>
      <c r="I804" s="450"/>
      <c r="J804" s="449"/>
    </row>
    <row r="805" ht="15" customHeight="1" spans="1:10">
      <c r="A805" s="445"/>
      <c r="B805" s="446"/>
      <c r="C805" s="446"/>
      <c r="D805" s="446"/>
      <c r="E805" s="452"/>
      <c r="F805" s="441"/>
      <c r="G805" s="441"/>
      <c r="H805" s="448"/>
      <c r="I805" s="450"/>
      <c r="J805" s="449"/>
    </row>
    <row r="806" ht="15" customHeight="1" spans="1:10">
      <c r="A806" s="445"/>
      <c r="B806" s="446"/>
      <c r="C806" s="446"/>
      <c r="D806" s="446"/>
      <c r="E806" s="452"/>
      <c r="F806" s="441"/>
      <c r="G806" s="441"/>
      <c r="H806" s="448"/>
      <c r="I806" s="450"/>
      <c r="J806" s="449"/>
    </row>
    <row r="807" ht="15" customHeight="1" spans="1:10">
      <c r="A807" s="445"/>
      <c r="B807" s="446"/>
      <c r="C807" s="446"/>
      <c r="D807" s="446"/>
      <c r="E807" s="452"/>
      <c r="F807" s="441"/>
      <c r="G807" s="441"/>
      <c r="H807" s="448"/>
      <c r="I807" s="450"/>
      <c r="J807" s="449"/>
    </row>
    <row r="808" ht="15" customHeight="1" spans="1:10">
      <c r="A808" s="445"/>
      <c r="B808" s="446"/>
      <c r="C808" s="446"/>
      <c r="D808" s="446"/>
      <c r="E808" s="452"/>
      <c r="F808" s="441"/>
      <c r="G808" s="441"/>
      <c r="H808" s="448"/>
      <c r="I808" s="450"/>
      <c r="J808" s="449"/>
    </row>
    <row r="809" ht="15" customHeight="1" spans="1:10">
      <c r="A809" s="445"/>
      <c r="B809" s="446"/>
      <c r="C809" s="446"/>
      <c r="D809" s="446"/>
      <c r="E809" s="452"/>
      <c r="F809" s="441"/>
      <c r="G809" s="441"/>
      <c r="H809" s="448"/>
      <c r="I809" s="450"/>
      <c r="J809" s="449"/>
    </row>
    <row r="810" ht="15" customHeight="1" spans="1:10">
      <c r="A810" s="445"/>
      <c r="B810" s="446"/>
      <c r="C810" s="446"/>
      <c r="D810" s="446"/>
      <c r="E810" s="452"/>
      <c r="F810" s="441"/>
      <c r="G810" s="441"/>
      <c r="H810" s="448"/>
      <c r="I810" s="450"/>
      <c r="J810" s="449"/>
    </row>
    <row r="811" ht="15" customHeight="1" spans="1:10">
      <c r="A811" s="445"/>
      <c r="B811" s="446"/>
      <c r="C811" s="446"/>
      <c r="D811" s="446"/>
      <c r="E811" s="452"/>
      <c r="F811" s="441"/>
      <c r="G811" s="441"/>
      <c r="H811" s="448"/>
      <c r="I811" s="450"/>
      <c r="J811" s="449"/>
    </row>
    <row r="812" ht="15" customHeight="1" spans="1:10">
      <c r="A812" s="445"/>
      <c r="B812" s="446"/>
      <c r="C812" s="446"/>
      <c r="D812" s="446"/>
      <c r="E812" s="452"/>
      <c r="F812" s="441"/>
      <c r="G812" s="441"/>
      <c r="H812" s="448"/>
      <c r="I812" s="450"/>
      <c r="J812" s="449"/>
    </row>
    <row r="813" ht="15" customHeight="1" spans="1:10">
      <c r="A813" s="445"/>
      <c r="B813" s="446"/>
      <c r="C813" s="446"/>
      <c r="D813" s="446"/>
      <c r="E813" s="452"/>
      <c r="F813" s="441"/>
      <c r="G813" s="441"/>
      <c r="H813" s="448"/>
      <c r="I813" s="450"/>
      <c r="J813" s="449"/>
    </row>
    <row r="814" ht="15" customHeight="1" spans="1:10">
      <c r="A814" s="445"/>
      <c r="B814" s="446"/>
      <c r="C814" s="446"/>
      <c r="D814" s="446"/>
      <c r="E814" s="452"/>
      <c r="F814" s="441"/>
      <c r="G814" s="441"/>
      <c r="H814" s="448"/>
      <c r="I814" s="450"/>
      <c r="J814" s="449"/>
    </row>
    <row r="815" ht="15" customHeight="1" spans="1:10">
      <c r="A815" s="445"/>
      <c r="B815" s="446"/>
      <c r="C815" s="446"/>
      <c r="D815" s="446"/>
      <c r="E815" s="452"/>
      <c r="F815" s="441"/>
      <c r="G815" s="441"/>
      <c r="H815" s="448"/>
      <c r="I815" s="450"/>
      <c r="J815" s="449"/>
    </row>
    <row r="816" ht="15" customHeight="1" spans="1:10">
      <c r="A816" s="445"/>
      <c r="B816" s="446"/>
      <c r="C816" s="446"/>
      <c r="D816" s="446"/>
      <c r="E816" s="452"/>
      <c r="F816" s="441"/>
      <c r="G816" s="441"/>
      <c r="H816" s="448"/>
      <c r="I816" s="450"/>
      <c r="J816" s="449"/>
    </row>
    <row r="817" ht="15" customHeight="1" spans="1:10">
      <c r="A817" s="445"/>
      <c r="B817" s="446"/>
      <c r="C817" s="446"/>
      <c r="D817" s="446"/>
      <c r="E817" s="452"/>
      <c r="F817" s="441"/>
      <c r="G817" s="441"/>
      <c r="H817" s="448"/>
      <c r="I817" s="450"/>
      <c r="J817" s="449"/>
    </row>
    <row r="818" ht="15" customHeight="1" spans="1:10">
      <c r="A818" s="445"/>
      <c r="B818" s="446"/>
      <c r="C818" s="446"/>
      <c r="D818" s="446"/>
      <c r="E818" s="452"/>
      <c r="F818" s="441"/>
      <c r="G818" s="441"/>
      <c r="H818" s="448"/>
      <c r="I818" s="450"/>
      <c r="J818" s="449"/>
    </row>
    <row r="819" ht="15" customHeight="1" spans="1:10">
      <c r="A819" s="445"/>
      <c r="B819" s="446"/>
      <c r="C819" s="446"/>
      <c r="D819" s="446"/>
      <c r="E819" s="452"/>
      <c r="F819" s="441"/>
      <c r="G819" s="441"/>
      <c r="H819" s="448"/>
      <c r="I819" s="450"/>
      <c r="J819" s="449"/>
    </row>
    <row r="820" ht="15" customHeight="1" spans="1:10">
      <c r="A820" s="445"/>
      <c r="B820" s="446"/>
      <c r="C820" s="446"/>
      <c r="D820" s="446"/>
      <c r="E820" s="452"/>
      <c r="F820" s="441"/>
      <c r="G820" s="441"/>
      <c r="H820" s="448"/>
      <c r="I820" s="450"/>
      <c r="J820" s="449"/>
    </row>
    <row r="821" ht="15" customHeight="1" spans="1:10">
      <c r="A821" s="445"/>
      <c r="B821" s="446"/>
      <c r="C821" s="446"/>
      <c r="D821" s="446"/>
      <c r="E821" s="452"/>
      <c r="F821" s="441"/>
      <c r="G821" s="441"/>
      <c r="H821" s="448"/>
      <c r="I821" s="450"/>
      <c r="J821" s="449"/>
    </row>
    <row r="822" ht="15" customHeight="1" spans="1:10">
      <c r="A822" s="445"/>
      <c r="B822" s="446"/>
      <c r="C822" s="446"/>
      <c r="D822" s="446"/>
      <c r="E822" s="452"/>
      <c r="F822" s="441"/>
      <c r="G822" s="441"/>
      <c r="H822" s="448"/>
      <c r="I822" s="450"/>
      <c r="J822" s="449"/>
    </row>
    <row r="823" ht="15" customHeight="1" spans="1:10">
      <c r="A823" s="445"/>
      <c r="B823" s="446"/>
      <c r="C823" s="446"/>
      <c r="D823" s="446"/>
      <c r="E823" s="452"/>
      <c r="F823" s="441"/>
      <c r="G823" s="441"/>
      <c r="H823" s="448"/>
      <c r="I823" s="450"/>
      <c r="J823" s="449"/>
    </row>
    <row r="824" ht="15" customHeight="1" spans="1:10">
      <c r="A824" s="445"/>
      <c r="B824" s="446"/>
      <c r="C824" s="446"/>
      <c r="D824" s="446"/>
      <c r="E824" s="452"/>
      <c r="F824" s="441"/>
      <c r="G824" s="441"/>
      <c r="H824" s="448"/>
      <c r="I824" s="450"/>
      <c r="J824" s="449"/>
    </row>
    <row r="825" ht="15" customHeight="1" spans="1:10">
      <c r="A825" s="445"/>
      <c r="B825" s="446"/>
      <c r="C825" s="446"/>
      <c r="D825" s="446"/>
      <c r="E825" s="452"/>
      <c r="F825" s="441"/>
      <c r="G825" s="441"/>
      <c r="H825" s="448"/>
      <c r="I825" s="450"/>
      <c r="J825" s="449"/>
    </row>
    <row r="826" ht="15" customHeight="1" spans="1:10">
      <c r="A826" s="445"/>
      <c r="B826" s="446"/>
      <c r="C826" s="446"/>
      <c r="D826" s="446"/>
      <c r="E826" s="452"/>
      <c r="F826" s="441"/>
      <c r="G826" s="441"/>
      <c r="H826" s="448"/>
      <c r="I826" s="450"/>
      <c r="J826" s="449"/>
    </row>
    <row r="827" ht="15" customHeight="1" spans="1:10">
      <c r="A827" s="445"/>
      <c r="B827" s="446"/>
      <c r="C827" s="446"/>
      <c r="D827" s="446"/>
      <c r="E827" s="452"/>
      <c r="F827" s="441"/>
      <c r="G827" s="441"/>
      <c r="H827" s="448"/>
      <c r="I827" s="450"/>
      <c r="J827" s="449"/>
    </row>
    <row r="828" ht="15" customHeight="1" spans="1:10">
      <c r="A828" s="445"/>
      <c r="B828" s="446"/>
      <c r="C828" s="446"/>
      <c r="D828" s="446"/>
      <c r="E828" s="452"/>
      <c r="F828" s="441"/>
      <c r="G828" s="441"/>
      <c r="H828" s="448"/>
      <c r="I828" s="450"/>
      <c r="J828" s="449"/>
    </row>
    <row r="829" ht="15" customHeight="1" spans="1:10">
      <c r="A829" s="445"/>
      <c r="B829" s="446"/>
      <c r="C829" s="446"/>
      <c r="D829" s="446"/>
      <c r="E829" s="452"/>
      <c r="F829" s="441"/>
      <c r="G829" s="441"/>
      <c r="H829" s="448"/>
      <c r="I829" s="450"/>
      <c r="J829" s="449"/>
    </row>
    <row r="830" ht="15" customHeight="1" spans="1:10">
      <c r="A830" s="445"/>
      <c r="B830" s="446"/>
      <c r="C830" s="446"/>
      <c r="D830" s="446"/>
      <c r="E830" s="452"/>
      <c r="F830" s="441"/>
      <c r="G830" s="441"/>
      <c r="H830" s="448"/>
      <c r="I830" s="450"/>
      <c r="J830" s="449"/>
    </row>
    <row r="831" ht="15" customHeight="1" spans="1:10">
      <c r="A831" s="445"/>
      <c r="B831" s="446"/>
      <c r="C831" s="446"/>
      <c r="D831" s="446"/>
      <c r="E831" s="452"/>
      <c r="F831" s="441"/>
      <c r="G831" s="441"/>
      <c r="H831" s="448"/>
      <c r="I831" s="450"/>
      <c r="J831" s="449"/>
    </row>
    <row r="832" ht="15" customHeight="1" spans="1:10">
      <c r="A832" s="445"/>
      <c r="B832" s="446"/>
      <c r="C832" s="446"/>
      <c r="D832" s="446"/>
      <c r="E832" s="452"/>
      <c r="F832" s="441"/>
      <c r="G832" s="441"/>
      <c r="H832" s="448"/>
      <c r="I832" s="450"/>
      <c r="J832" s="449"/>
    </row>
    <row r="833" ht="15" customHeight="1" spans="1:10">
      <c r="A833" s="445"/>
      <c r="B833" s="446"/>
      <c r="C833" s="446"/>
      <c r="D833" s="446"/>
      <c r="E833" s="452"/>
      <c r="F833" s="441"/>
      <c r="G833" s="441"/>
      <c r="H833" s="448"/>
      <c r="I833" s="450"/>
      <c r="J833" s="449"/>
    </row>
    <row r="834" ht="15" customHeight="1" spans="1:10">
      <c r="A834" s="445"/>
      <c r="B834" s="446"/>
      <c r="C834" s="446"/>
      <c r="D834" s="446"/>
      <c r="E834" s="452"/>
      <c r="F834" s="441"/>
      <c r="G834" s="441"/>
      <c r="H834" s="448"/>
      <c r="I834" s="450"/>
      <c r="J834" s="449"/>
    </row>
    <row r="835" ht="15" customHeight="1" spans="1:10">
      <c r="A835" s="445"/>
      <c r="B835" s="446"/>
      <c r="C835" s="446"/>
      <c r="D835" s="446"/>
      <c r="E835" s="452"/>
      <c r="F835" s="441"/>
      <c r="G835" s="441"/>
      <c r="H835" s="448"/>
      <c r="I835" s="450"/>
      <c r="J835" s="449"/>
    </row>
    <row r="836" ht="15" customHeight="1" spans="1:10">
      <c r="A836" s="445"/>
      <c r="B836" s="446"/>
      <c r="C836" s="446"/>
      <c r="D836" s="446"/>
      <c r="E836" s="452"/>
      <c r="F836" s="441"/>
      <c r="G836" s="441"/>
      <c r="H836" s="448"/>
      <c r="I836" s="450"/>
      <c r="J836" s="449"/>
    </row>
    <row r="837" ht="15" customHeight="1" spans="1:10">
      <c r="A837" s="445"/>
      <c r="B837" s="446"/>
      <c r="C837" s="446"/>
      <c r="D837" s="446"/>
      <c r="E837" s="452"/>
      <c r="F837" s="441"/>
      <c r="G837" s="441"/>
      <c r="H837" s="448"/>
      <c r="I837" s="450"/>
      <c r="J837" s="449"/>
    </row>
    <row r="838" ht="15" customHeight="1" spans="1:10">
      <c r="A838" s="445"/>
      <c r="B838" s="446"/>
      <c r="C838" s="446"/>
      <c r="D838" s="446"/>
      <c r="E838" s="452"/>
      <c r="F838" s="441"/>
      <c r="G838" s="441"/>
      <c r="H838" s="448"/>
      <c r="I838" s="450"/>
      <c r="J838" s="449"/>
    </row>
    <row r="839" ht="15" customHeight="1" spans="1:10">
      <c r="A839" s="445"/>
      <c r="B839" s="446"/>
      <c r="C839" s="446"/>
      <c r="D839" s="446"/>
      <c r="E839" s="452"/>
      <c r="F839" s="441"/>
      <c r="G839" s="441"/>
      <c r="H839" s="448"/>
      <c r="I839" s="450"/>
      <c r="J839" s="449"/>
    </row>
    <row r="840" ht="15" customHeight="1" spans="1:10">
      <c r="A840" s="445"/>
      <c r="B840" s="446"/>
      <c r="C840" s="446"/>
      <c r="D840" s="446"/>
      <c r="E840" s="452"/>
      <c r="F840" s="441"/>
      <c r="G840" s="441"/>
      <c r="H840" s="448"/>
      <c r="I840" s="450"/>
      <c r="J840" s="449"/>
    </row>
    <row r="841" ht="15" customHeight="1" spans="1:10">
      <c r="A841" s="445"/>
      <c r="B841" s="446"/>
      <c r="C841" s="446"/>
      <c r="D841" s="446"/>
      <c r="E841" s="452"/>
      <c r="F841" s="441"/>
      <c r="G841" s="441"/>
      <c r="H841" s="448"/>
      <c r="I841" s="450"/>
      <c r="J841" s="449"/>
    </row>
    <row r="842" ht="15" customHeight="1" spans="1:10">
      <c r="A842" s="445"/>
      <c r="B842" s="446"/>
      <c r="C842" s="446"/>
      <c r="D842" s="446"/>
      <c r="E842" s="452"/>
      <c r="F842" s="441"/>
      <c r="G842" s="441"/>
      <c r="H842" s="448"/>
      <c r="I842" s="450"/>
      <c r="J842" s="449"/>
    </row>
    <row r="843" ht="15" customHeight="1" spans="1:10">
      <c r="A843" s="445"/>
      <c r="B843" s="446"/>
      <c r="C843" s="446"/>
      <c r="D843" s="446"/>
      <c r="E843" s="452"/>
      <c r="F843" s="441"/>
      <c r="G843" s="441"/>
      <c r="H843" s="448"/>
      <c r="I843" s="450"/>
      <c r="J843" s="449"/>
    </row>
    <row r="844" ht="15" customHeight="1" spans="1:10">
      <c r="A844" s="445"/>
      <c r="B844" s="446"/>
      <c r="C844" s="446"/>
      <c r="D844" s="446"/>
      <c r="E844" s="452"/>
      <c r="F844" s="441"/>
      <c r="G844" s="441"/>
      <c r="H844" s="448"/>
      <c r="I844" s="450"/>
      <c r="J844" s="449"/>
    </row>
    <row r="845" ht="15" customHeight="1" spans="1:10">
      <c r="A845" s="445"/>
      <c r="B845" s="446"/>
      <c r="C845" s="446"/>
      <c r="D845" s="446"/>
      <c r="E845" s="452"/>
      <c r="F845" s="441"/>
      <c r="G845" s="441"/>
      <c r="H845" s="448"/>
      <c r="I845" s="450"/>
      <c r="J845" s="449"/>
    </row>
    <row r="846" ht="15" customHeight="1" spans="1:10">
      <c r="A846" s="445"/>
      <c r="B846" s="446"/>
      <c r="C846" s="446"/>
      <c r="D846" s="446"/>
      <c r="E846" s="452"/>
      <c r="F846" s="441"/>
      <c r="G846" s="441"/>
      <c r="H846" s="448"/>
      <c r="I846" s="450"/>
      <c r="J846" s="449"/>
    </row>
    <row r="847" ht="15" customHeight="1" spans="1:10">
      <c r="A847" s="445"/>
      <c r="B847" s="446"/>
      <c r="C847" s="446"/>
      <c r="D847" s="446"/>
      <c r="E847" s="452"/>
      <c r="F847" s="441"/>
      <c r="G847" s="441"/>
      <c r="H847" s="448"/>
      <c r="I847" s="450"/>
      <c r="J847" s="449"/>
    </row>
    <row r="848" ht="15" customHeight="1" spans="1:10">
      <c r="A848" s="445"/>
      <c r="B848" s="446"/>
      <c r="C848" s="446"/>
      <c r="D848" s="446"/>
      <c r="E848" s="452"/>
      <c r="F848" s="441"/>
      <c r="G848" s="441"/>
      <c r="H848" s="448"/>
      <c r="I848" s="450"/>
      <c r="J848" s="449"/>
    </row>
    <row r="849" ht="15" customHeight="1" spans="1:10">
      <c r="A849" s="445"/>
      <c r="B849" s="446"/>
      <c r="C849" s="446"/>
      <c r="D849" s="446"/>
      <c r="E849" s="452"/>
      <c r="F849" s="441"/>
      <c r="G849" s="441"/>
      <c r="H849" s="448"/>
      <c r="I849" s="450"/>
      <c r="J849" s="449"/>
    </row>
    <row r="850" ht="15" customHeight="1" spans="1:10">
      <c r="A850" s="445"/>
      <c r="B850" s="446"/>
      <c r="C850" s="446"/>
      <c r="D850" s="446"/>
      <c r="E850" s="452"/>
      <c r="F850" s="441"/>
      <c r="G850" s="441"/>
      <c r="H850" s="448"/>
      <c r="I850" s="450"/>
      <c r="J850" s="449"/>
    </row>
    <row r="851" ht="15" customHeight="1" spans="1:10">
      <c r="A851" s="445"/>
      <c r="B851" s="446"/>
      <c r="C851" s="446"/>
      <c r="D851" s="446"/>
      <c r="E851" s="452"/>
      <c r="F851" s="441"/>
      <c r="G851" s="441"/>
      <c r="H851" s="448"/>
      <c r="I851" s="450"/>
      <c r="J851" s="449"/>
    </row>
    <row r="852" ht="15" customHeight="1" spans="1:10">
      <c r="A852" s="445"/>
      <c r="B852" s="446"/>
      <c r="C852" s="446"/>
      <c r="D852" s="446"/>
      <c r="E852" s="452"/>
      <c r="F852" s="441"/>
      <c r="G852" s="441"/>
      <c r="H852" s="448"/>
      <c r="I852" s="450"/>
      <c r="J852" s="449"/>
    </row>
    <row r="853" ht="15" customHeight="1" spans="1:10">
      <c r="A853" s="445"/>
      <c r="B853" s="446"/>
      <c r="C853" s="446"/>
      <c r="D853" s="446"/>
      <c r="E853" s="452"/>
      <c r="F853" s="441"/>
      <c r="G853" s="441"/>
      <c r="H853" s="448"/>
      <c r="I853" s="450"/>
      <c r="J853" s="449"/>
    </row>
    <row r="854" ht="15" customHeight="1" spans="1:10">
      <c r="A854" s="445"/>
      <c r="B854" s="446"/>
      <c r="C854" s="446"/>
      <c r="D854" s="446"/>
      <c r="E854" s="452"/>
      <c r="F854" s="441"/>
      <c r="G854" s="441"/>
      <c r="H854" s="448"/>
      <c r="I854" s="450"/>
      <c r="J854" s="449"/>
    </row>
    <row r="855" ht="15" customHeight="1" spans="1:10">
      <c r="A855" s="445"/>
      <c r="B855" s="446"/>
      <c r="C855" s="446"/>
      <c r="D855" s="446"/>
      <c r="E855" s="452"/>
      <c r="F855" s="441"/>
      <c r="G855" s="441"/>
      <c r="H855" s="448"/>
      <c r="I855" s="450"/>
      <c r="J855" s="449"/>
    </row>
    <row r="856" ht="15" customHeight="1" spans="1:10">
      <c r="A856" s="445"/>
      <c r="B856" s="446"/>
      <c r="C856" s="446"/>
      <c r="D856" s="446"/>
      <c r="E856" s="452"/>
      <c r="F856" s="441"/>
      <c r="G856" s="441"/>
      <c r="H856" s="448"/>
      <c r="I856" s="450"/>
      <c r="J856" s="449"/>
    </row>
    <row r="857" ht="15" customHeight="1" spans="1:10">
      <c r="A857" s="445"/>
      <c r="B857" s="446"/>
      <c r="C857" s="446"/>
      <c r="D857" s="446"/>
      <c r="E857" s="452"/>
      <c r="F857" s="441"/>
      <c r="G857" s="441"/>
      <c r="H857" s="448"/>
      <c r="I857" s="450"/>
      <c r="J857" s="449"/>
    </row>
    <row r="858" ht="15" customHeight="1" spans="1:10">
      <c r="A858" s="445"/>
      <c r="B858" s="446"/>
      <c r="C858" s="446"/>
      <c r="D858" s="446"/>
      <c r="E858" s="452"/>
      <c r="F858" s="441"/>
      <c r="G858" s="441"/>
      <c r="H858" s="448"/>
      <c r="I858" s="450"/>
      <c r="J858" s="449"/>
    </row>
    <row r="859" ht="15" customHeight="1" spans="1:10">
      <c r="A859" s="445"/>
      <c r="B859" s="446"/>
      <c r="C859" s="446"/>
      <c r="D859" s="446"/>
      <c r="E859" s="452"/>
      <c r="F859" s="441"/>
      <c r="G859" s="441"/>
      <c r="H859" s="448"/>
      <c r="I859" s="450"/>
      <c r="J859" s="449"/>
    </row>
    <row r="860" ht="15" customHeight="1" spans="1:10">
      <c r="A860" s="445"/>
      <c r="B860" s="446"/>
      <c r="C860" s="446"/>
      <c r="D860" s="446"/>
      <c r="E860" s="452"/>
      <c r="F860" s="441"/>
      <c r="G860" s="441"/>
      <c r="H860" s="448"/>
      <c r="I860" s="450"/>
      <c r="J860" s="449"/>
    </row>
    <row r="861" ht="15" customHeight="1" spans="1:10">
      <c r="A861" s="445"/>
      <c r="B861" s="446"/>
      <c r="C861" s="446"/>
      <c r="D861" s="446"/>
      <c r="E861" s="452"/>
      <c r="F861" s="441"/>
      <c r="G861" s="441"/>
      <c r="H861" s="448"/>
      <c r="I861" s="450"/>
      <c r="J861" s="449"/>
    </row>
    <row r="862" ht="15" customHeight="1" spans="1:10">
      <c r="A862" s="445"/>
      <c r="B862" s="446"/>
      <c r="C862" s="446"/>
      <c r="D862" s="446"/>
      <c r="E862" s="452"/>
      <c r="F862" s="441"/>
      <c r="G862" s="441"/>
      <c r="H862" s="448"/>
      <c r="I862" s="450"/>
      <c r="J862" s="449"/>
    </row>
    <row r="863" ht="15" customHeight="1" spans="1:10">
      <c r="A863" s="445"/>
      <c r="B863" s="446"/>
      <c r="C863" s="446"/>
      <c r="D863" s="446"/>
      <c r="E863" s="452"/>
      <c r="F863" s="441"/>
      <c r="G863" s="441"/>
      <c r="H863" s="448"/>
      <c r="I863" s="450"/>
      <c r="J863" s="449"/>
    </row>
    <row r="864" ht="15" customHeight="1" spans="1:10">
      <c r="A864" s="445"/>
      <c r="B864" s="446"/>
      <c r="C864" s="446"/>
      <c r="D864" s="446"/>
      <c r="E864" s="452"/>
      <c r="F864" s="441"/>
      <c r="G864" s="441"/>
      <c r="H864" s="448"/>
      <c r="I864" s="450"/>
      <c r="J864" s="449"/>
    </row>
    <row r="865" ht="15" customHeight="1" spans="1:10">
      <c r="A865" s="445"/>
      <c r="B865" s="446"/>
      <c r="C865" s="446"/>
      <c r="D865" s="446"/>
      <c r="E865" s="452"/>
      <c r="F865" s="441"/>
      <c r="G865" s="441"/>
      <c r="H865" s="448"/>
      <c r="I865" s="450"/>
      <c r="J865" s="449"/>
    </row>
    <row r="866" ht="15" customHeight="1" spans="1:10">
      <c r="A866" s="445"/>
      <c r="B866" s="446"/>
      <c r="C866" s="446"/>
      <c r="D866" s="446"/>
      <c r="E866" s="452"/>
      <c r="F866" s="441"/>
      <c r="G866" s="441"/>
      <c r="H866" s="448"/>
      <c r="I866" s="450"/>
      <c r="J866" s="449"/>
    </row>
    <row r="867" ht="15" customHeight="1" spans="1:10">
      <c r="A867" s="445"/>
      <c r="B867" s="446"/>
      <c r="C867" s="446"/>
      <c r="D867" s="446"/>
      <c r="E867" s="452"/>
      <c r="F867" s="441"/>
      <c r="G867" s="441"/>
      <c r="H867" s="448"/>
      <c r="I867" s="450"/>
      <c r="J867" s="449"/>
    </row>
    <row r="868" ht="15" customHeight="1" spans="1:10">
      <c r="A868" s="445"/>
      <c r="B868" s="446"/>
      <c r="C868" s="446"/>
      <c r="D868" s="446"/>
      <c r="E868" s="452"/>
      <c r="F868" s="441"/>
      <c r="G868" s="441"/>
      <c r="H868" s="448"/>
      <c r="I868" s="450"/>
      <c r="J868" s="449"/>
    </row>
    <row r="869" ht="15" customHeight="1" spans="1:10">
      <c r="A869" s="445"/>
      <c r="B869" s="446"/>
      <c r="C869" s="446"/>
      <c r="D869" s="446"/>
      <c r="E869" s="452"/>
      <c r="F869" s="441"/>
      <c r="G869" s="441"/>
      <c r="H869" s="448"/>
      <c r="I869" s="450"/>
      <c r="J869" s="449"/>
    </row>
    <row r="870" ht="15" customHeight="1" spans="1:10">
      <c r="A870" s="445"/>
      <c r="B870" s="446"/>
      <c r="C870" s="446"/>
      <c r="D870" s="446"/>
      <c r="E870" s="452"/>
      <c r="F870" s="441"/>
      <c r="G870" s="441"/>
      <c r="H870" s="448"/>
      <c r="I870" s="450"/>
      <c r="J870" s="449"/>
    </row>
    <row r="871" ht="15" customHeight="1" spans="1:10">
      <c r="A871" s="445"/>
      <c r="B871" s="446"/>
      <c r="C871" s="446"/>
      <c r="D871" s="446"/>
      <c r="E871" s="452"/>
      <c r="F871" s="441"/>
      <c r="G871" s="441"/>
      <c r="H871" s="448"/>
      <c r="I871" s="450"/>
      <c r="J871" s="449"/>
    </row>
    <row r="872" ht="15" customHeight="1" spans="1:10">
      <c r="A872" s="445"/>
      <c r="B872" s="446"/>
      <c r="C872" s="446"/>
      <c r="D872" s="446"/>
      <c r="E872" s="452"/>
      <c r="F872" s="441"/>
      <c r="G872" s="441"/>
      <c r="H872" s="448"/>
      <c r="I872" s="450"/>
      <c r="J872" s="449"/>
    </row>
    <row r="873" ht="15" customHeight="1" spans="1:10">
      <c r="A873" s="445"/>
      <c r="B873" s="446"/>
      <c r="C873" s="446"/>
      <c r="D873" s="446"/>
      <c r="E873" s="452"/>
      <c r="F873" s="441"/>
      <c r="G873" s="441"/>
      <c r="H873" s="448"/>
      <c r="I873" s="450"/>
      <c r="J873" s="449"/>
    </row>
    <row r="874" ht="15" customHeight="1" spans="1:10">
      <c r="A874" s="445"/>
      <c r="B874" s="446"/>
      <c r="C874" s="446"/>
      <c r="D874" s="446"/>
      <c r="E874" s="452"/>
      <c r="F874" s="441"/>
      <c r="G874" s="441"/>
      <c r="H874" s="448"/>
      <c r="I874" s="450"/>
      <c r="J874" s="449"/>
    </row>
    <row r="875" ht="15" customHeight="1" spans="1:10">
      <c r="A875" s="445"/>
      <c r="B875" s="446"/>
      <c r="C875" s="446"/>
      <c r="D875" s="446"/>
      <c r="E875" s="452"/>
      <c r="F875" s="441"/>
      <c r="G875" s="441"/>
      <c r="H875" s="448"/>
      <c r="I875" s="450"/>
      <c r="J875" s="449"/>
    </row>
    <row r="876" ht="15" customHeight="1" spans="1:10">
      <c r="A876" s="445"/>
      <c r="B876" s="446"/>
      <c r="C876" s="446"/>
      <c r="D876" s="446"/>
      <c r="E876" s="452"/>
      <c r="F876" s="441"/>
      <c r="G876" s="441"/>
      <c r="H876" s="448"/>
      <c r="I876" s="450"/>
      <c r="J876" s="449"/>
    </row>
    <row r="877" ht="15" customHeight="1" spans="1:10">
      <c r="A877" s="445"/>
      <c r="B877" s="446"/>
      <c r="C877" s="446"/>
      <c r="D877" s="446"/>
      <c r="E877" s="452"/>
      <c r="F877" s="441"/>
      <c r="G877" s="441"/>
      <c r="H877" s="448"/>
      <c r="I877" s="450"/>
      <c r="J877" s="449"/>
    </row>
    <row r="878" ht="15" customHeight="1" spans="1:10">
      <c r="A878" s="445"/>
      <c r="B878" s="446"/>
      <c r="C878" s="446"/>
      <c r="D878" s="446"/>
      <c r="E878" s="452"/>
      <c r="F878" s="441"/>
      <c r="G878" s="441"/>
      <c r="H878" s="448"/>
      <c r="I878" s="450"/>
      <c r="J878" s="449"/>
    </row>
    <row r="879" ht="15" customHeight="1" spans="1:10">
      <c r="A879" s="445"/>
      <c r="B879" s="446"/>
      <c r="C879" s="446"/>
      <c r="D879" s="446"/>
      <c r="E879" s="452"/>
      <c r="F879" s="441"/>
      <c r="G879" s="441"/>
      <c r="H879" s="448"/>
      <c r="I879" s="450"/>
      <c r="J879" s="449"/>
    </row>
    <row r="880" ht="15" customHeight="1" spans="1:10">
      <c r="A880" s="445"/>
      <c r="B880" s="446"/>
      <c r="C880" s="446"/>
      <c r="D880" s="446"/>
      <c r="E880" s="452"/>
      <c r="F880" s="441"/>
      <c r="G880" s="441"/>
      <c r="H880" s="448"/>
      <c r="I880" s="450"/>
      <c r="J880" s="449"/>
    </row>
    <row r="881" ht="15" customHeight="1" spans="1:10">
      <c r="A881" s="445"/>
      <c r="B881" s="446"/>
      <c r="C881" s="446"/>
      <c r="D881" s="446"/>
      <c r="E881" s="452"/>
      <c r="F881" s="441"/>
      <c r="G881" s="441"/>
      <c r="H881" s="448"/>
      <c r="I881" s="450"/>
      <c r="J881" s="449"/>
    </row>
    <row r="882" ht="15" customHeight="1" spans="1:10">
      <c r="A882" s="445"/>
      <c r="B882" s="446"/>
      <c r="C882" s="446"/>
      <c r="D882" s="446"/>
      <c r="E882" s="452"/>
      <c r="F882" s="441"/>
      <c r="G882" s="441"/>
      <c r="H882" s="448"/>
      <c r="I882" s="450"/>
      <c r="J882" s="449"/>
    </row>
    <row r="883" ht="15" customHeight="1" spans="1:10">
      <c r="A883" s="445"/>
      <c r="B883" s="446"/>
      <c r="C883" s="446"/>
      <c r="D883" s="446"/>
      <c r="E883" s="452"/>
      <c r="F883" s="441"/>
      <c r="G883" s="441"/>
      <c r="H883" s="448"/>
      <c r="I883" s="450"/>
      <c r="J883" s="449"/>
    </row>
    <row r="884" ht="15" customHeight="1" spans="1:10">
      <c r="A884" s="445"/>
      <c r="B884" s="446"/>
      <c r="C884" s="446"/>
      <c r="D884" s="446"/>
      <c r="E884" s="452"/>
      <c r="F884" s="441"/>
      <c r="G884" s="441"/>
      <c r="H884" s="448"/>
      <c r="I884" s="450"/>
      <c r="J884" s="449"/>
    </row>
    <row r="885" ht="15" customHeight="1" spans="1:10">
      <c r="A885" s="445"/>
      <c r="B885" s="446"/>
      <c r="C885" s="446"/>
      <c r="D885" s="446"/>
      <c r="E885" s="452"/>
      <c r="F885" s="441"/>
      <c r="G885" s="441"/>
      <c r="H885" s="448"/>
      <c r="I885" s="450"/>
      <c r="J885" s="449"/>
    </row>
    <row r="886" ht="15" customHeight="1" spans="1:10">
      <c r="A886" s="445"/>
      <c r="B886" s="446"/>
      <c r="C886" s="446"/>
      <c r="D886" s="446"/>
      <c r="E886" s="452"/>
      <c r="F886" s="441"/>
      <c r="G886" s="441"/>
      <c r="H886" s="448"/>
      <c r="I886" s="450"/>
      <c r="J886" s="449"/>
    </row>
    <row r="887" ht="15" customHeight="1" spans="1:10">
      <c r="A887" s="445"/>
      <c r="B887" s="446"/>
      <c r="C887" s="446"/>
      <c r="D887" s="446"/>
      <c r="E887" s="452"/>
      <c r="F887" s="441"/>
      <c r="G887" s="441"/>
      <c r="H887" s="448"/>
      <c r="I887" s="450"/>
      <c r="J887" s="449"/>
    </row>
    <row r="888" ht="15" customHeight="1" spans="1:10">
      <c r="A888" s="445"/>
      <c r="B888" s="446"/>
      <c r="C888" s="446"/>
      <c r="D888" s="446"/>
      <c r="E888" s="452"/>
      <c r="F888" s="441"/>
      <c r="G888" s="441"/>
      <c r="H888" s="448"/>
      <c r="I888" s="450"/>
      <c r="J888" s="449"/>
    </row>
    <row r="889" ht="15" customHeight="1" spans="1:10">
      <c r="A889" s="445"/>
      <c r="B889" s="446"/>
      <c r="C889" s="446"/>
      <c r="D889" s="446"/>
      <c r="E889" s="452"/>
      <c r="F889" s="441"/>
      <c r="G889" s="441"/>
      <c r="H889" s="448"/>
      <c r="I889" s="450"/>
      <c r="J889" s="449"/>
    </row>
    <row r="890" ht="15" customHeight="1" spans="1:10">
      <c r="A890" s="445"/>
      <c r="B890" s="446"/>
      <c r="C890" s="446"/>
      <c r="D890" s="446"/>
      <c r="E890" s="452"/>
      <c r="F890" s="441"/>
      <c r="G890" s="441"/>
      <c r="H890" s="448"/>
      <c r="I890" s="450"/>
      <c r="J890" s="449"/>
    </row>
    <row r="891" ht="15" customHeight="1" spans="1:10">
      <c r="A891" s="445"/>
      <c r="B891" s="446"/>
      <c r="C891" s="446"/>
      <c r="D891" s="446"/>
      <c r="E891" s="452"/>
      <c r="F891" s="441"/>
      <c r="G891" s="441"/>
      <c r="H891" s="448"/>
      <c r="I891" s="450"/>
      <c r="J891" s="449"/>
    </row>
    <row r="892" ht="15" customHeight="1" spans="1:10">
      <c r="A892" s="445"/>
      <c r="B892" s="446"/>
      <c r="C892" s="446"/>
      <c r="D892" s="446"/>
      <c r="E892" s="452"/>
      <c r="F892" s="441"/>
      <c r="G892" s="441"/>
      <c r="H892" s="448"/>
      <c r="I892" s="450"/>
      <c r="J892" s="449"/>
    </row>
    <row r="893" ht="15" customHeight="1" spans="1:10">
      <c r="A893" s="445"/>
      <c r="B893" s="446"/>
      <c r="C893" s="446"/>
      <c r="D893" s="446"/>
      <c r="E893" s="452"/>
      <c r="F893" s="441"/>
      <c r="G893" s="441"/>
      <c r="H893" s="448"/>
      <c r="I893" s="450"/>
      <c r="J893" s="449"/>
    </row>
    <row r="894" ht="15" customHeight="1" spans="1:10">
      <c r="A894" s="445"/>
      <c r="B894" s="446"/>
      <c r="C894" s="446"/>
      <c r="D894" s="446"/>
      <c r="E894" s="452"/>
      <c r="F894" s="441"/>
      <c r="G894" s="441"/>
      <c r="H894" s="448"/>
      <c r="I894" s="450"/>
      <c r="J894" s="449"/>
    </row>
    <row r="895" ht="15" customHeight="1" spans="1:10">
      <c r="A895" s="445"/>
      <c r="B895" s="446"/>
      <c r="C895" s="446"/>
      <c r="D895" s="446"/>
      <c r="E895" s="452"/>
      <c r="F895" s="441"/>
      <c r="G895" s="441"/>
      <c r="H895" s="448"/>
      <c r="I895" s="450"/>
      <c r="J895" s="449"/>
    </row>
    <row r="896" ht="15" customHeight="1" spans="1:10">
      <c r="A896" s="445"/>
      <c r="B896" s="446"/>
      <c r="C896" s="446"/>
      <c r="D896" s="446"/>
      <c r="E896" s="452"/>
      <c r="F896" s="441"/>
      <c r="G896" s="441"/>
      <c r="H896" s="448"/>
      <c r="I896" s="450"/>
      <c r="J896" s="449"/>
    </row>
    <row r="897" ht="15" customHeight="1" spans="1:10">
      <c r="A897" s="445"/>
      <c r="B897" s="446"/>
      <c r="C897" s="446"/>
      <c r="D897" s="446"/>
      <c r="E897" s="452"/>
      <c r="F897" s="441"/>
      <c r="G897" s="441"/>
      <c r="H897" s="448"/>
      <c r="I897" s="450"/>
      <c r="J897" s="449"/>
    </row>
    <row r="898" ht="15" customHeight="1" spans="1:10">
      <c r="A898" s="445"/>
      <c r="B898" s="446"/>
      <c r="C898" s="446"/>
      <c r="D898" s="446"/>
      <c r="E898" s="452"/>
      <c r="F898" s="441"/>
      <c r="G898" s="441"/>
      <c r="H898" s="448"/>
      <c r="I898" s="450"/>
      <c r="J898" s="449"/>
    </row>
    <row r="899" ht="15" customHeight="1" spans="1:10">
      <c r="A899" s="445"/>
      <c r="B899" s="446"/>
      <c r="C899" s="446"/>
      <c r="D899" s="446"/>
      <c r="E899" s="452"/>
      <c r="F899" s="441"/>
      <c r="G899" s="441"/>
      <c r="H899" s="448"/>
      <c r="I899" s="450"/>
      <c r="J899" s="449"/>
    </row>
    <row r="900" ht="15" customHeight="1" spans="1:10">
      <c r="A900" s="445"/>
      <c r="B900" s="446"/>
      <c r="C900" s="446"/>
      <c r="D900" s="446"/>
      <c r="E900" s="452"/>
      <c r="F900" s="441"/>
      <c r="G900" s="441"/>
      <c r="H900" s="448"/>
      <c r="I900" s="450"/>
      <c r="J900" s="449"/>
    </row>
    <row r="901" ht="15" customHeight="1" spans="1:10">
      <c r="A901" s="445"/>
      <c r="B901" s="446"/>
      <c r="C901" s="446"/>
      <c r="D901" s="446"/>
      <c r="E901" s="452"/>
      <c r="F901" s="441"/>
      <c r="G901" s="441"/>
      <c r="H901" s="448"/>
      <c r="I901" s="450"/>
      <c r="J901" s="449"/>
    </row>
    <row r="902" ht="15" customHeight="1" spans="1:10">
      <c r="A902" s="445"/>
      <c r="B902" s="446"/>
      <c r="C902" s="446"/>
      <c r="D902" s="446"/>
      <c r="E902" s="452"/>
      <c r="F902" s="441"/>
      <c r="G902" s="441"/>
      <c r="H902" s="448"/>
      <c r="I902" s="450"/>
      <c r="J902" s="449"/>
    </row>
    <row r="903" ht="15" customHeight="1" spans="1:10">
      <c r="A903" s="445"/>
      <c r="B903" s="446"/>
      <c r="C903" s="446"/>
      <c r="D903" s="446"/>
      <c r="E903" s="452"/>
      <c r="F903" s="441"/>
      <c r="G903" s="441"/>
      <c r="H903" s="448"/>
      <c r="I903" s="450"/>
      <c r="J903" s="449"/>
    </row>
    <row r="904" ht="15" customHeight="1" spans="1:10">
      <c r="A904" s="445"/>
      <c r="B904" s="446"/>
      <c r="C904" s="446"/>
      <c r="D904" s="446"/>
      <c r="E904" s="452"/>
      <c r="F904" s="441"/>
      <c r="G904" s="441"/>
      <c r="H904" s="448"/>
      <c r="I904" s="450"/>
      <c r="J904" s="449"/>
    </row>
    <row r="905" ht="15" customHeight="1" spans="1:10">
      <c r="A905" s="445"/>
      <c r="B905" s="446"/>
      <c r="C905" s="446"/>
      <c r="D905" s="446"/>
      <c r="E905" s="452"/>
      <c r="F905" s="441"/>
      <c r="G905" s="441"/>
      <c r="H905" s="448"/>
      <c r="I905" s="450"/>
      <c r="J905" s="449"/>
    </row>
    <row r="906" ht="15" customHeight="1" spans="1:10">
      <c r="A906" s="445"/>
      <c r="B906" s="446"/>
      <c r="C906" s="446"/>
      <c r="D906" s="446"/>
      <c r="E906" s="452"/>
      <c r="F906" s="441"/>
      <c r="G906" s="441"/>
      <c r="H906" s="448"/>
      <c r="I906" s="450"/>
      <c r="J906" s="449"/>
    </row>
    <row r="907" ht="15" customHeight="1" spans="1:10">
      <c r="A907" s="445"/>
      <c r="B907" s="446"/>
      <c r="C907" s="446"/>
      <c r="D907" s="446"/>
      <c r="E907" s="452"/>
      <c r="F907" s="441"/>
      <c r="G907" s="441"/>
      <c r="H907" s="448"/>
      <c r="I907" s="450"/>
      <c r="J907" s="449"/>
    </row>
    <row r="908" ht="15" customHeight="1" spans="1:10">
      <c r="A908" s="445"/>
      <c r="B908" s="446"/>
      <c r="C908" s="446"/>
      <c r="D908" s="446"/>
      <c r="E908" s="452"/>
      <c r="F908" s="441"/>
      <c r="G908" s="441"/>
      <c r="H908" s="448"/>
      <c r="I908" s="450"/>
      <c r="J908" s="449"/>
    </row>
    <row r="909" ht="15" customHeight="1" spans="1:10">
      <c r="A909" s="445"/>
      <c r="B909" s="446"/>
      <c r="C909" s="446"/>
      <c r="D909" s="446"/>
      <c r="E909" s="452"/>
      <c r="F909" s="441"/>
      <c r="G909" s="441"/>
      <c r="H909" s="448"/>
      <c r="I909" s="450"/>
      <c r="J909" s="449"/>
    </row>
    <row r="910" ht="15" customHeight="1" spans="1:10">
      <c r="A910" s="445"/>
      <c r="B910" s="446"/>
      <c r="C910" s="446"/>
      <c r="D910" s="446"/>
      <c r="E910" s="452"/>
      <c r="F910" s="441"/>
      <c r="G910" s="441"/>
      <c r="H910" s="448"/>
      <c r="I910" s="450"/>
      <c r="J910" s="449"/>
    </row>
    <row r="911" ht="15" customHeight="1" spans="1:10">
      <c r="A911" s="445"/>
      <c r="B911" s="446"/>
      <c r="C911" s="446"/>
      <c r="D911" s="446"/>
      <c r="E911" s="452"/>
      <c r="F911" s="441"/>
      <c r="G911" s="441"/>
      <c r="H911" s="448"/>
      <c r="I911" s="450"/>
      <c r="J911" s="449"/>
    </row>
    <row r="912" ht="15" customHeight="1" spans="1:10">
      <c r="A912" s="445"/>
      <c r="B912" s="446"/>
      <c r="C912" s="446"/>
      <c r="D912" s="446"/>
      <c r="E912" s="452"/>
      <c r="F912" s="441"/>
      <c r="G912" s="441"/>
      <c r="H912" s="448"/>
      <c r="I912" s="450"/>
      <c r="J912" s="449"/>
    </row>
    <row r="913" ht="15" customHeight="1" spans="1:10">
      <c r="A913" s="445"/>
      <c r="B913" s="446"/>
      <c r="C913" s="446"/>
      <c r="D913" s="446"/>
      <c r="E913" s="452"/>
      <c r="F913" s="441"/>
      <c r="G913" s="441"/>
      <c r="H913" s="448"/>
      <c r="I913" s="450"/>
      <c r="J913" s="449"/>
    </row>
    <row r="914" ht="15" customHeight="1" spans="1:10">
      <c r="A914" s="445"/>
      <c r="B914" s="446"/>
      <c r="C914" s="446"/>
      <c r="D914" s="446"/>
      <c r="E914" s="452"/>
      <c r="F914" s="441"/>
      <c r="G914" s="441"/>
      <c r="H914" s="448"/>
      <c r="I914" s="450"/>
      <c r="J914" s="449"/>
    </row>
    <row r="915" ht="15" customHeight="1" spans="1:10">
      <c r="A915" s="445"/>
      <c r="B915" s="446"/>
      <c r="C915" s="446"/>
      <c r="D915" s="446"/>
      <c r="E915" s="452"/>
      <c r="F915" s="441"/>
      <c r="G915" s="441"/>
      <c r="H915" s="448"/>
      <c r="I915" s="450"/>
      <c r="J915" s="449"/>
    </row>
    <row r="916" ht="15" customHeight="1" spans="1:10">
      <c r="A916" s="445"/>
      <c r="B916" s="446"/>
      <c r="C916" s="446"/>
      <c r="D916" s="446"/>
      <c r="E916" s="452"/>
      <c r="F916" s="441"/>
      <c r="G916" s="441"/>
      <c r="H916" s="448"/>
      <c r="I916" s="450"/>
      <c r="J916" s="449"/>
    </row>
    <row r="917" ht="15" customHeight="1" spans="1:10">
      <c r="A917" s="445"/>
      <c r="B917" s="446"/>
      <c r="C917" s="446"/>
      <c r="D917" s="446"/>
      <c r="E917" s="452"/>
      <c r="F917" s="441"/>
      <c r="G917" s="441"/>
      <c r="H917" s="448"/>
      <c r="I917" s="450"/>
      <c r="J917" s="449"/>
    </row>
    <row r="918" ht="15" customHeight="1" spans="1:10">
      <c r="A918" s="445"/>
      <c r="B918" s="446"/>
      <c r="C918" s="446"/>
      <c r="D918" s="446"/>
      <c r="E918" s="452"/>
      <c r="F918" s="441"/>
      <c r="G918" s="441"/>
      <c r="H918" s="448"/>
      <c r="I918" s="450"/>
      <c r="J918" s="449"/>
    </row>
    <row r="919" ht="15" customHeight="1" spans="1:10">
      <c r="A919" s="445"/>
      <c r="B919" s="446"/>
      <c r="C919" s="446"/>
      <c r="D919" s="446"/>
      <c r="E919" s="452"/>
      <c r="F919" s="441"/>
      <c r="G919" s="441"/>
      <c r="H919" s="448"/>
      <c r="I919" s="450"/>
      <c r="J919" s="449"/>
    </row>
    <row r="920" ht="15" customHeight="1" spans="1:10">
      <c r="A920" s="445"/>
      <c r="B920" s="446"/>
      <c r="C920" s="446"/>
      <c r="D920" s="446"/>
      <c r="E920" s="452"/>
      <c r="F920" s="441"/>
      <c r="G920" s="441"/>
      <c r="H920" s="448"/>
      <c r="I920" s="450"/>
      <c r="J920" s="449"/>
    </row>
    <row r="921" ht="15" customHeight="1" spans="1:10">
      <c r="A921" s="445"/>
      <c r="B921" s="446"/>
      <c r="C921" s="446"/>
      <c r="D921" s="446"/>
      <c r="E921" s="452"/>
      <c r="F921" s="441"/>
      <c r="G921" s="441"/>
      <c r="H921" s="448"/>
      <c r="I921" s="450"/>
      <c r="J921" s="449"/>
    </row>
    <row r="922" ht="15" customHeight="1" spans="1:10">
      <c r="A922" s="445"/>
      <c r="B922" s="446"/>
      <c r="C922" s="446"/>
      <c r="D922" s="446"/>
      <c r="E922" s="452"/>
      <c r="F922" s="441"/>
      <c r="G922" s="441"/>
      <c r="H922" s="448"/>
      <c r="I922" s="450"/>
      <c r="J922" s="449"/>
    </row>
    <row r="923" ht="15" customHeight="1" spans="1:10">
      <c r="A923" s="445"/>
      <c r="B923" s="446"/>
      <c r="C923" s="446"/>
      <c r="D923" s="446"/>
      <c r="E923" s="452"/>
      <c r="F923" s="441"/>
      <c r="G923" s="441"/>
      <c r="H923" s="448"/>
      <c r="I923" s="450"/>
      <c r="J923" s="449"/>
    </row>
    <row r="924" ht="15" customHeight="1" spans="1:10">
      <c r="A924" s="445"/>
      <c r="B924" s="446"/>
      <c r="C924" s="446"/>
      <c r="D924" s="446"/>
      <c r="E924" s="452"/>
      <c r="F924" s="441"/>
      <c r="G924" s="441"/>
      <c r="H924" s="448"/>
      <c r="I924" s="450"/>
      <c r="J924" s="449"/>
    </row>
    <row r="925" ht="15" customHeight="1" spans="1:10">
      <c r="A925" s="445"/>
      <c r="B925" s="446"/>
      <c r="C925" s="446"/>
      <c r="D925" s="446"/>
      <c r="E925" s="452"/>
      <c r="F925" s="441"/>
      <c r="G925" s="441"/>
      <c r="H925" s="448"/>
      <c r="I925" s="450"/>
      <c r="J925" s="449"/>
    </row>
    <row r="926" ht="15" customHeight="1" spans="1:10">
      <c r="A926" s="445"/>
      <c r="B926" s="446"/>
      <c r="C926" s="446"/>
      <c r="D926" s="446"/>
      <c r="E926" s="452"/>
      <c r="F926" s="441"/>
      <c r="G926" s="441"/>
      <c r="H926" s="448"/>
      <c r="I926" s="450"/>
      <c r="J926" s="449"/>
    </row>
    <row r="927" ht="15" customHeight="1" spans="1:10">
      <c r="A927" s="445"/>
      <c r="B927" s="446"/>
      <c r="C927" s="446"/>
      <c r="D927" s="446"/>
      <c r="E927" s="452"/>
      <c r="F927" s="441"/>
      <c r="G927" s="441"/>
      <c r="H927" s="448"/>
      <c r="I927" s="450"/>
      <c r="J927" s="449"/>
    </row>
    <row r="928" ht="15" customHeight="1" spans="1:10">
      <c r="A928" s="445"/>
      <c r="B928" s="446"/>
      <c r="C928" s="446"/>
      <c r="D928" s="446"/>
      <c r="E928" s="452"/>
      <c r="F928" s="441"/>
      <c r="G928" s="441"/>
      <c r="H928" s="448"/>
      <c r="I928" s="450"/>
      <c r="J928" s="449"/>
    </row>
    <row r="929" ht="15" customHeight="1" spans="1:10">
      <c r="A929" s="445"/>
      <c r="B929" s="446"/>
      <c r="C929" s="446"/>
      <c r="D929" s="446"/>
      <c r="E929" s="452"/>
      <c r="F929" s="441"/>
      <c r="G929" s="441"/>
      <c r="H929" s="448"/>
      <c r="I929" s="450"/>
      <c r="J929" s="449"/>
    </row>
    <row r="930" ht="15" customHeight="1" spans="1:10">
      <c r="A930" s="445"/>
      <c r="B930" s="446"/>
      <c r="C930" s="446"/>
      <c r="D930" s="446"/>
      <c r="E930" s="452"/>
      <c r="F930" s="441"/>
      <c r="G930" s="441"/>
      <c r="H930" s="448"/>
      <c r="I930" s="450"/>
      <c r="J930" s="449"/>
    </row>
    <row r="931" ht="15" customHeight="1" spans="1:10">
      <c r="A931" s="445"/>
      <c r="B931" s="446"/>
      <c r="C931" s="446"/>
      <c r="D931" s="446"/>
      <c r="E931" s="452"/>
      <c r="F931" s="441"/>
      <c r="G931" s="441"/>
      <c r="H931" s="448"/>
      <c r="I931" s="450"/>
      <c r="J931" s="449"/>
    </row>
    <row r="932" ht="15" customHeight="1" spans="1:10">
      <c r="A932" s="445"/>
      <c r="B932" s="446"/>
      <c r="C932" s="446"/>
      <c r="D932" s="446"/>
      <c r="E932" s="452"/>
      <c r="F932" s="441"/>
      <c r="G932" s="441"/>
      <c r="H932" s="448"/>
      <c r="I932" s="450"/>
      <c r="J932" s="449"/>
    </row>
    <row r="933" ht="15" customHeight="1" spans="1:10">
      <c r="A933" s="445"/>
      <c r="B933" s="446"/>
      <c r="C933" s="446"/>
      <c r="D933" s="446"/>
      <c r="E933" s="452"/>
      <c r="F933" s="441"/>
      <c r="G933" s="441"/>
      <c r="H933" s="448"/>
      <c r="I933" s="450"/>
      <c r="J933" s="449"/>
    </row>
    <row r="934" ht="15" customHeight="1" spans="1:10">
      <c r="A934" s="445"/>
      <c r="B934" s="446"/>
      <c r="C934" s="446"/>
      <c r="D934" s="446"/>
      <c r="E934" s="452"/>
      <c r="F934" s="441"/>
      <c r="G934" s="441"/>
      <c r="H934" s="448"/>
      <c r="I934" s="450"/>
      <c r="J934" s="449"/>
    </row>
    <row r="935" ht="15" customHeight="1" spans="1:10">
      <c r="A935" s="445"/>
      <c r="B935" s="446"/>
      <c r="C935" s="446"/>
      <c r="D935" s="446"/>
      <c r="E935" s="452"/>
      <c r="F935" s="441"/>
      <c r="G935" s="441"/>
      <c r="H935" s="448"/>
      <c r="I935" s="450"/>
      <c r="J935" s="449"/>
    </row>
    <row r="936" ht="15" customHeight="1" spans="1:10">
      <c r="A936" s="445"/>
      <c r="B936" s="446"/>
      <c r="C936" s="446"/>
      <c r="D936" s="446"/>
      <c r="E936" s="452"/>
      <c r="F936" s="441"/>
      <c r="G936" s="441"/>
      <c r="H936" s="448"/>
      <c r="I936" s="450"/>
      <c r="J936" s="449"/>
    </row>
    <row r="937" ht="15" customHeight="1" spans="1:10">
      <c r="A937" s="445"/>
      <c r="B937" s="446"/>
      <c r="C937" s="446"/>
      <c r="D937" s="446"/>
      <c r="E937" s="452"/>
      <c r="F937" s="441"/>
      <c r="G937" s="441"/>
      <c r="H937" s="448"/>
      <c r="I937" s="450"/>
      <c r="J937" s="449"/>
    </row>
    <row r="938" ht="15" customHeight="1" spans="1:10">
      <c r="A938" s="445"/>
      <c r="B938" s="446"/>
      <c r="C938" s="446"/>
      <c r="D938" s="446"/>
      <c r="E938" s="452"/>
      <c r="F938" s="441"/>
      <c r="G938" s="441"/>
      <c r="H938" s="448"/>
      <c r="I938" s="450"/>
      <c r="J938" s="449"/>
    </row>
    <row r="939" ht="15" customHeight="1" spans="1:10">
      <c r="A939" s="445"/>
      <c r="B939" s="446"/>
      <c r="C939" s="446"/>
      <c r="D939" s="446"/>
      <c r="E939" s="452"/>
      <c r="F939" s="441"/>
      <c r="G939" s="441"/>
      <c r="H939" s="448"/>
      <c r="I939" s="450"/>
      <c r="J939" s="449"/>
    </row>
    <row r="940" ht="15" customHeight="1" spans="1:10">
      <c r="A940" s="445"/>
      <c r="B940" s="446"/>
      <c r="C940" s="446"/>
      <c r="D940" s="446"/>
      <c r="E940" s="452"/>
      <c r="F940" s="441"/>
      <c r="G940" s="441"/>
      <c r="H940" s="448"/>
      <c r="I940" s="450"/>
      <c r="J940" s="449"/>
    </row>
    <row r="941" ht="15" customHeight="1" spans="1:10">
      <c r="A941" s="445"/>
      <c r="B941" s="446"/>
      <c r="C941" s="446"/>
      <c r="D941" s="446"/>
      <c r="E941" s="452"/>
      <c r="F941" s="441"/>
      <c r="G941" s="441"/>
      <c r="H941" s="448"/>
      <c r="I941" s="450"/>
      <c r="J941" s="449"/>
    </row>
    <row r="942" ht="15" customHeight="1" spans="1:10">
      <c r="A942" s="445"/>
      <c r="B942" s="446"/>
      <c r="C942" s="446"/>
      <c r="D942" s="446"/>
      <c r="E942" s="452"/>
      <c r="F942" s="441"/>
      <c r="G942" s="441"/>
      <c r="H942" s="448"/>
      <c r="I942" s="450"/>
      <c r="J942" s="449"/>
    </row>
    <row r="943" ht="15" customHeight="1" spans="1:10">
      <c r="A943" s="445"/>
      <c r="B943" s="446"/>
      <c r="C943" s="446"/>
      <c r="D943" s="446"/>
      <c r="E943" s="452"/>
      <c r="F943" s="441"/>
      <c r="G943" s="441"/>
      <c r="H943" s="448"/>
      <c r="I943" s="450"/>
      <c r="J943" s="449"/>
    </row>
    <row r="944" ht="15" customHeight="1" spans="1:10">
      <c r="A944" s="445"/>
      <c r="B944" s="446"/>
      <c r="C944" s="446"/>
      <c r="D944" s="446"/>
      <c r="E944" s="452"/>
      <c r="F944" s="441"/>
      <c r="G944" s="441"/>
      <c r="H944" s="448"/>
      <c r="I944" s="450"/>
      <c r="J944" s="449"/>
    </row>
    <row r="945" ht="15" customHeight="1" spans="1:10">
      <c r="A945" s="445"/>
      <c r="B945" s="446"/>
      <c r="C945" s="446"/>
      <c r="D945" s="446"/>
      <c r="E945" s="452"/>
      <c r="F945" s="441"/>
      <c r="G945" s="441"/>
      <c r="H945" s="448"/>
      <c r="I945" s="450"/>
      <c r="J945" s="449"/>
    </row>
    <row r="946" ht="15" customHeight="1" spans="1:10">
      <c r="A946" s="445"/>
      <c r="B946" s="446"/>
      <c r="C946" s="446"/>
      <c r="D946" s="446"/>
      <c r="E946" s="452"/>
      <c r="F946" s="441"/>
      <c r="G946" s="441"/>
      <c r="H946" s="448"/>
      <c r="I946" s="450"/>
      <c r="J946" s="449"/>
    </row>
    <row r="947" ht="15" customHeight="1" spans="1:10">
      <c r="A947" s="445"/>
      <c r="B947" s="446"/>
      <c r="C947" s="446"/>
      <c r="D947" s="446"/>
      <c r="E947" s="452"/>
      <c r="F947" s="441"/>
      <c r="G947" s="441"/>
      <c r="H947" s="448"/>
      <c r="I947" s="450"/>
      <c r="J947" s="449"/>
    </row>
    <row r="948" ht="15" customHeight="1" spans="1:10">
      <c r="A948" s="445"/>
      <c r="B948" s="446"/>
      <c r="C948" s="446"/>
      <c r="D948" s="446"/>
      <c r="E948" s="452"/>
      <c r="F948" s="441"/>
      <c r="G948" s="441"/>
      <c r="H948" s="448"/>
      <c r="I948" s="450"/>
      <c r="J948" s="449"/>
    </row>
    <row r="949" ht="15" customHeight="1" spans="1:10">
      <c r="A949" s="445"/>
      <c r="B949" s="446"/>
      <c r="C949" s="446"/>
      <c r="D949" s="446"/>
      <c r="E949" s="452"/>
      <c r="F949" s="441"/>
      <c r="G949" s="441"/>
      <c r="H949" s="448"/>
      <c r="I949" s="450"/>
      <c r="J949" s="449"/>
    </row>
    <row r="950" ht="15" customHeight="1" spans="1:10">
      <c r="A950" s="445"/>
      <c r="B950" s="446"/>
      <c r="C950" s="446"/>
      <c r="D950" s="446"/>
      <c r="E950" s="452"/>
      <c r="F950" s="441"/>
      <c r="G950" s="441"/>
      <c r="H950" s="448"/>
      <c r="I950" s="450"/>
      <c r="J950" s="449"/>
    </row>
    <row r="951" ht="15" customHeight="1" spans="1:10">
      <c r="A951" s="445"/>
      <c r="B951" s="446"/>
      <c r="C951" s="446"/>
      <c r="D951" s="446"/>
      <c r="E951" s="452"/>
      <c r="F951" s="441"/>
      <c r="G951" s="441"/>
      <c r="H951" s="448"/>
      <c r="I951" s="450"/>
      <c r="J951" s="449"/>
    </row>
    <row r="952" ht="15" customHeight="1" spans="1:10">
      <c r="A952" s="445"/>
      <c r="B952" s="446"/>
      <c r="C952" s="446"/>
      <c r="D952" s="446"/>
      <c r="E952" s="452"/>
      <c r="F952" s="441"/>
      <c r="G952" s="441"/>
      <c r="H952" s="448"/>
      <c r="I952" s="450"/>
      <c r="J952" s="449"/>
    </row>
    <row r="953" ht="15" customHeight="1" spans="1:10">
      <c r="A953" s="445"/>
      <c r="B953" s="446"/>
      <c r="C953" s="446"/>
      <c r="D953" s="446"/>
      <c r="E953" s="452"/>
      <c r="F953" s="441"/>
      <c r="G953" s="441"/>
      <c r="H953" s="448"/>
      <c r="I953" s="450"/>
      <c r="J953" s="449"/>
    </row>
    <row r="954" ht="15" customHeight="1" spans="1:10">
      <c r="A954" s="445"/>
      <c r="B954" s="446"/>
      <c r="C954" s="446"/>
      <c r="D954" s="446"/>
      <c r="E954" s="452"/>
      <c r="F954" s="441"/>
      <c r="G954" s="441"/>
      <c r="H954" s="448"/>
      <c r="I954" s="450"/>
      <c r="J954" s="449"/>
    </row>
    <row r="955" ht="15" customHeight="1" spans="1:10">
      <c r="A955" s="445"/>
      <c r="B955" s="446"/>
      <c r="C955" s="446"/>
      <c r="D955" s="446"/>
      <c r="E955" s="452"/>
      <c r="F955" s="441"/>
      <c r="G955" s="441"/>
      <c r="H955" s="448"/>
      <c r="I955" s="450"/>
      <c r="J955" s="449"/>
    </row>
    <row r="956" ht="15" customHeight="1" spans="1:10">
      <c r="A956" s="445"/>
      <c r="B956" s="446"/>
      <c r="C956" s="446"/>
      <c r="D956" s="446"/>
      <c r="E956" s="452"/>
      <c r="F956" s="441"/>
      <c r="G956" s="441"/>
      <c r="H956" s="448"/>
      <c r="I956" s="450"/>
      <c r="J956" s="449"/>
    </row>
    <row r="957" ht="15" customHeight="1" spans="1:10">
      <c r="A957" s="445"/>
      <c r="B957" s="446"/>
      <c r="C957" s="446"/>
      <c r="D957" s="446"/>
      <c r="E957" s="452"/>
      <c r="F957" s="441"/>
      <c r="G957" s="441"/>
      <c r="H957" s="448"/>
      <c r="I957" s="450"/>
      <c r="J957" s="449"/>
    </row>
    <row r="958" ht="15" customHeight="1" spans="1:10">
      <c r="A958" s="445"/>
      <c r="B958" s="446"/>
      <c r="C958" s="446"/>
      <c r="D958" s="446"/>
      <c r="E958" s="452"/>
      <c r="F958" s="441"/>
      <c r="G958" s="441"/>
      <c r="H958" s="448"/>
      <c r="I958" s="450"/>
      <c r="J958" s="449"/>
    </row>
    <row r="959" ht="15" customHeight="1" spans="1:10">
      <c r="A959" s="445"/>
      <c r="B959" s="446"/>
      <c r="C959" s="446"/>
      <c r="D959" s="446"/>
      <c r="E959" s="452"/>
      <c r="F959" s="441"/>
      <c r="G959" s="441"/>
      <c r="H959" s="448"/>
      <c r="I959" s="450"/>
      <c r="J959" s="449"/>
    </row>
    <row r="960" ht="15" customHeight="1" spans="1:10">
      <c r="A960" s="445"/>
      <c r="B960" s="446"/>
      <c r="C960" s="446"/>
      <c r="D960" s="446"/>
      <c r="E960" s="452"/>
      <c r="F960" s="441"/>
      <c r="G960" s="441"/>
      <c r="H960" s="448"/>
      <c r="I960" s="450"/>
      <c r="J960" s="449"/>
    </row>
    <row r="961" ht="15" customHeight="1" spans="1:10">
      <c r="A961" s="445"/>
      <c r="B961" s="446"/>
      <c r="C961" s="446"/>
      <c r="D961" s="446"/>
      <c r="E961" s="452"/>
      <c r="F961" s="441"/>
      <c r="G961" s="441"/>
      <c r="H961" s="448"/>
      <c r="I961" s="450"/>
      <c r="J961" s="449"/>
    </row>
    <row r="962" ht="15" customHeight="1" spans="1:10">
      <c r="A962" s="445"/>
      <c r="B962" s="446"/>
      <c r="C962" s="446"/>
      <c r="D962" s="446"/>
      <c r="E962" s="452"/>
      <c r="F962" s="441"/>
      <c r="G962" s="441"/>
      <c r="H962" s="448"/>
      <c r="I962" s="450"/>
      <c r="J962" s="449"/>
    </row>
    <row r="963" ht="15" customHeight="1" spans="1:10">
      <c r="A963" s="445"/>
      <c r="B963" s="446"/>
      <c r="C963" s="446"/>
      <c r="D963" s="446"/>
      <c r="E963" s="452"/>
      <c r="F963" s="441"/>
      <c r="G963" s="441"/>
      <c r="H963" s="448"/>
      <c r="I963" s="450"/>
      <c r="J963" s="449"/>
    </row>
    <row r="964" ht="15" customHeight="1" spans="1:10">
      <c r="A964" s="445"/>
      <c r="B964" s="446"/>
      <c r="C964" s="446"/>
      <c r="D964" s="446"/>
      <c r="E964" s="452"/>
      <c r="F964" s="441"/>
      <c r="G964" s="441"/>
      <c r="H964" s="448"/>
      <c r="I964" s="450"/>
      <c r="J964" s="449"/>
    </row>
    <row r="965" ht="15" customHeight="1" spans="1:10">
      <c r="A965" s="445"/>
      <c r="B965" s="446"/>
      <c r="C965" s="446"/>
      <c r="D965" s="446"/>
      <c r="E965" s="452"/>
      <c r="F965" s="441"/>
      <c r="G965" s="441"/>
      <c r="H965" s="448"/>
      <c r="I965" s="450"/>
      <c r="J965" s="449"/>
    </row>
    <row r="966" ht="15" customHeight="1" spans="1:10">
      <c r="A966" s="445"/>
      <c r="B966" s="446"/>
      <c r="C966" s="446"/>
      <c r="D966" s="446"/>
      <c r="E966" s="452"/>
      <c r="F966" s="441"/>
      <c r="G966" s="441"/>
      <c r="H966" s="448"/>
      <c r="I966" s="450"/>
      <c r="J966" s="449"/>
    </row>
    <row r="967" ht="15" customHeight="1" spans="1:10">
      <c r="A967" s="445"/>
      <c r="B967" s="446"/>
      <c r="C967" s="446"/>
      <c r="D967" s="446"/>
      <c r="E967" s="452"/>
      <c r="F967" s="441"/>
      <c r="G967" s="441"/>
      <c r="H967" s="448"/>
      <c r="I967" s="450"/>
      <c r="J967" s="449"/>
    </row>
    <row r="968" ht="15" customHeight="1" spans="1:10">
      <c r="A968" s="445"/>
      <c r="B968" s="446"/>
      <c r="C968" s="446"/>
      <c r="D968" s="446"/>
      <c r="E968" s="452"/>
      <c r="F968" s="441"/>
      <c r="G968" s="441"/>
      <c r="H968" s="448"/>
      <c r="I968" s="450"/>
      <c r="J968" s="449"/>
    </row>
    <row r="969" ht="15" customHeight="1" spans="1:10">
      <c r="A969" s="445"/>
      <c r="B969" s="446"/>
      <c r="C969" s="446"/>
      <c r="D969" s="446"/>
      <c r="E969" s="452"/>
      <c r="F969" s="441"/>
      <c r="G969" s="441"/>
      <c r="H969" s="448"/>
      <c r="I969" s="450"/>
      <c r="J969" s="449"/>
    </row>
    <row r="970" ht="15" customHeight="1" spans="1:10">
      <c r="A970" s="445"/>
      <c r="B970" s="446"/>
      <c r="C970" s="446"/>
      <c r="D970" s="446"/>
      <c r="E970" s="452"/>
      <c r="F970" s="441"/>
      <c r="G970" s="441"/>
      <c r="H970" s="448"/>
      <c r="I970" s="450"/>
      <c r="J970" s="449"/>
    </row>
    <row r="971" ht="15" customHeight="1" spans="1:10">
      <c r="A971" s="445"/>
      <c r="B971" s="446"/>
      <c r="C971" s="446"/>
      <c r="D971" s="446"/>
      <c r="E971" s="452"/>
      <c r="F971" s="441"/>
      <c r="G971" s="441"/>
      <c r="H971" s="448"/>
      <c r="I971" s="450"/>
      <c r="J971" s="449"/>
    </row>
    <row r="972" ht="15" customHeight="1" spans="1:10">
      <c r="A972" s="445"/>
      <c r="B972" s="446"/>
      <c r="C972" s="446"/>
      <c r="D972" s="446"/>
      <c r="E972" s="452"/>
      <c r="F972" s="441"/>
      <c r="G972" s="441"/>
      <c r="H972" s="448"/>
      <c r="I972" s="450"/>
      <c r="J972" s="449"/>
    </row>
    <row r="973" ht="15" customHeight="1" spans="1:10">
      <c r="A973" s="445"/>
      <c r="B973" s="446"/>
      <c r="C973" s="446"/>
      <c r="D973" s="446"/>
      <c r="E973" s="452"/>
      <c r="F973" s="441"/>
      <c r="G973" s="441"/>
      <c r="H973" s="448"/>
      <c r="I973" s="450"/>
      <c r="J973" s="449"/>
    </row>
    <row r="974" ht="15" customHeight="1" spans="1:10">
      <c r="A974" s="445"/>
      <c r="B974" s="446"/>
      <c r="C974" s="446"/>
      <c r="D974" s="446"/>
      <c r="E974" s="452"/>
      <c r="F974" s="441"/>
      <c r="G974" s="441"/>
      <c r="H974" s="448"/>
      <c r="I974" s="450"/>
      <c r="J974" s="449"/>
    </row>
    <row r="975" ht="15" customHeight="1" spans="1:10">
      <c r="A975" s="445"/>
      <c r="B975" s="446"/>
      <c r="C975" s="446"/>
      <c r="D975" s="446"/>
      <c r="E975" s="452"/>
      <c r="F975" s="441"/>
      <c r="G975" s="441"/>
      <c r="H975" s="448"/>
      <c r="I975" s="450"/>
      <c r="J975" s="449"/>
    </row>
    <row r="976" ht="15" customHeight="1" spans="1:10">
      <c r="A976" s="445"/>
      <c r="B976" s="446"/>
      <c r="C976" s="446"/>
      <c r="D976" s="446"/>
      <c r="E976" s="452"/>
      <c r="F976" s="441"/>
      <c r="G976" s="441"/>
      <c r="H976" s="448"/>
      <c r="I976" s="450"/>
      <c r="J976" s="449"/>
    </row>
    <row r="977" ht="15" customHeight="1" spans="1:10">
      <c r="A977" s="445"/>
      <c r="B977" s="446"/>
      <c r="C977" s="446"/>
      <c r="D977" s="446"/>
      <c r="E977" s="452"/>
      <c r="F977" s="441"/>
      <c r="G977" s="441"/>
      <c r="H977" s="448"/>
      <c r="I977" s="450"/>
      <c r="J977" s="449"/>
    </row>
    <row r="978" ht="15" customHeight="1" spans="1:10">
      <c r="A978" s="445"/>
      <c r="B978" s="446"/>
      <c r="C978" s="446"/>
      <c r="D978" s="446"/>
      <c r="E978" s="452"/>
      <c r="F978" s="441"/>
      <c r="G978" s="441"/>
      <c r="H978" s="448"/>
      <c r="I978" s="450"/>
      <c r="J978" s="449"/>
    </row>
    <row r="979" ht="15" customHeight="1" spans="1:10">
      <c r="A979" s="445"/>
      <c r="B979" s="446"/>
      <c r="C979" s="446"/>
      <c r="D979" s="446"/>
      <c r="E979" s="452"/>
      <c r="F979" s="441"/>
      <c r="G979" s="441"/>
      <c r="H979" s="448"/>
      <c r="I979" s="450"/>
      <c r="J979" s="449"/>
    </row>
    <row r="980" ht="15" customHeight="1" spans="1:10">
      <c r="A980" s="445"/>
      <c r="B980" s="446"/>
      <c r="C980" s="446"/>
      <c r="D980" s="446"/>
      <c r="E980" s="452"/>
      <c r="F980" s="441"/>
      <c r="G980" s="441"/>
      <c r="H980" s="448"/>
      <c r="I980" s="450"/>
      <c r="J980" s="449"/>
    </row>
    <row r="981" ht="15" customHeight="1" spans="1:10">
      <c r="A981" s="445"/>
      <c r="B981" s="446"/>
      <c r="C981" s="446"/>
      <c r="D981" s="446"/>
      <c r="E981" s="452"/>
      <c r="F981" s="441"/>
      <c r="G981" s="441"/>
      <c r="H981" s="448"/>
      <c r="I981" s="450"/>
      <c r="J981" s="449"/>
    </row>
    <row r="982" ht="15" customHeight="1" spans="1:10">
      <c r="A982" s="445"/>
      <c r="B982" s="446"/>
      <c r="C982" s="446"/>
      <c r="D982" s="446"/>
      <c r="E982" s="452"/>
      <c r="F982" s="441"/>
      <c r="G982" s="441"/>
      <c r="H982" s="448"/>
      <c r="I982" s="450"/>
      <c r="J982" s="449"/>
    </row>
    <row r="983" ht="15" customHeight="1" spans="1:10">
      <c r="A983" s="445"/>
      <c r="B983" s="446"/>
      <c r="C983" s="446"/>
      <c r="D983" s="446"/>
      <c r="E983" s="452"/>
      <c r="F983" s="441"/>
      <c r="G983" s="441"/>
      <c r="H983" s="448"/>
      <c r="I983" s="450"/>
      <c r="J983" s="449"/>
    </row>
    <row r="984" ht="15" customHeight="1" spans="1:10">
      <c r="A984" s="445"/>
      <c r="B984" s="446"/>
      <c r="C984" s="446"/>
      <c r="D984" s="446"/>
      <c r="E984" s="452"/>
      <c r="F984" s="441"/>
      <c r="G984" s="441"/>
      <c r="H984" s="448"/>
      <c r="I984" s="450"/>
      <c r="J984" s="449"/>
    </row>
    <row r="985" ht="15" customHeight="1" spans="1:10">
      <c r="A985" s="445"/>
      <c r="B985" s="446"/>
      <c r="C985" s="446"/>
      <c r="D985" s="446"/>
      <c r="E985" s="452"/>
      <c r="F985" s="441"/>
      <c r="G985" s="441"/>
      <c r="H985" s="448"/>
      <c r="I985" s="450"/>
      <c r="J985" s="449"/>
    </row>
    <row r="986" ht="15" customHeight="1" spans="1:10">
      <c r="A986" s="445"/>
      <c r="B986" s="446"/>
      <c r="C986" s="446"/>
      <c r="D986" s="446"/>
      <c r="E986" s="452"/>
      <c r="F986" s="441"/>
      <c r="G986" s="441"/>
      <c r="H986" s="448"/>
      <c r="I986" s="450"/>
      <c r="J986" s="449"/>
    </row>
    <row r="987" ht="15" customHeight="1" spans="1:10">
      <c r="A987" s="445"/>
      <c r="B987" s="446"/>
      <c r="C987" s="446"/>
      <c r="D987" s="446"/>
      <c r="E987" s="452"/>
      <c r="F987" s="441"/>
      <c r="G987" s="441"/>
      <c r="H987" s="448"/>
      <c r="I987" s="450"/>
      <c r="J987" s="449"/>
    </row>
    <row r="988" ht="15" customHeight="1" spans="1:10">
      <c r="A988" s="445"/>
      <c r="B988" s="446"/>
      <c r="C988" s="446"/>
      <c r="D988" s="446"/>
      <c r="E988" s="452"/>
      <c r="F988" s="441"/>
      <c r="G988" s="441"/>
      <c r="H988" s="448"/>
      <c r="I988" s="450"/>
      <c r="J988" s="449"/>
    </row>
    <row r="989" ht="15" customHeight="1" spans="1:10">
      <c r="A989" s="445"/>
      <c r="B989" s="446"/>
      <c r="C989" s="446"/>
      <c r="D989" s="446"/>
      <c r="E989" s="452"/>
      <c r="F989" s="441"/>
      <c r="G989" s="441"/>
      <c r="H989" s="448"/>
      <c r="I989" s="450"/>
      <c r="J989" s="449"/>
    </row>
    <row r="990" ht="15" customHeight="1" spans="1:10">
      <c r="A990" s="445"/>
      <c r="B990" s="446"/>
      <c r="C990" s="446"/>
      <c r="D990" s="446"/>
      <c r="E990" s="452"/>
      <c r="F990" s="441"/>
      <c r="G990" s="441"/>
      <c r="H990" s="448"/>
      <c r="I990" s="450"/>
      <c r="J990" s="449"/>
    </row>
    <row r="991" ht="15" customHeight="1" spans="1:10">
      <c r="A991" s="445"/>
      <c r="B991" s="446"/>
      <c r="C991" s="446"/>
      <c r="D991" s="446"/>
      <c r="E991" s="452"/>
      <c r="F991" s="441"/>
      <c r="G991" s="441"/>
      <c r="H991" s="448"/>
      <c r="I991" s="450"/>
      <c r="J991" s="449"/>
    </row>
    <row r="992" ht="15" customHeight="1" spans="1:10">
      <c r="A992" s="445"/>
      <c r="B992" s="446"/>
      <c r="C992" s="446"/>
      <c r="D992" s="446"/>
      <c r="E992" s="452"/>
      <c r="F992" s="441"/>
      <c r="G992" s="441"/>
      <c r="H992" s="448"/>
      <c r="I992" s="450"/>
      <c r="J992" s="449"/>
    </row>
    <row r="993" ht="15" customHeight="1" spans="1:11">
      <c r="A993" s="445"/>
      <c r="B993" s="446"/>
      <c r="C993" s="446"/>
      <c r="D993" s="446"/>
      <c r="E993" s="452"/>
      <c r="F993" s="441"/>
      <c r="G993" s="441"/>
      <c r="H993" s="448"/>
      <c r="I993" s="450"/>
      <c r="J993" s="449"/>
    </row>
    <row r="994" ht="15" customHeight="1" spans="1:11">
      <c r="A994" s="445"/>
      <c r="B994" s="446"/>
      <c r="C994" s="446"/>
      <c r="D994" s="446"/>
      <c r="E994" s="452"/>
      <c r="F994" s="441"/>
      <c r="G994" s="441"/>
      <c r="H994" s="448"/>
      <c r="I994" s="450"/>
      <c r="J994" s="449"/>
    </row>
    <row r="995" ht="15" customHeight="1" spans="1:11">
      <c r="A995" s="445"/>
      <c r="B995" s="446"/>
      <c r="C995" s="446"/>
      <c r="D995" s="446"/>
      <c r="E995" s="452"/>
      <c r="F995" s="441"/>
      <c r="G995" s="441"/>
      <c r="H995" s="448"/>
      <c r="I995" s="450"/>
      <c r="J995" s="449"/>
    </row>
    <row r="996" ht="15" customHeight="1" spans="1:11">
      <c r="A996" s="445"/>
      <c r="B996" s="446"/>
      <c r="C996" s="446"/>
      <c r="D996" s="446"/>
      <c r="E996" s="452"/>
      <c r="F996" s="441"/>
      <c r="G996" s="441"/>
      <c r="H996" s="448"/>
      <c r="I996" s="450"/>
      <c r="J996" s="449"/>
    </row>
    <row r="997" ht="15" customHeight="1" spans="1:11">
      <c r="A997" s="445"/>
      <c r="B997" s="446"/>
      <c r="C997" s="446"/>
      <c r="D997" s="446"/>
      <c r="E997" s="452"/>
      <c r="F997" s="441"/>
      <c r="G997" s="441"/>
      <c r="H997" s="448"/>
      <c r="I997" s="450"/>
      <c r="J997" s="449"/>
    </row>
    <row r="998" ht="15" customHeight="1" spans="1:11">
      <c r="A998" s="445"/>
      <c r="B998" s="446"/>
      <c r="C998" s="446"/>
      <c r="D998" s="446"/>
      <c r="E998" s="452"/>
      <c r="F998" s="441"/>
      <c r="G998" s="441"/>
      <c r="H998" s="448"/>
      <c r="I998" s="450"/>
      <c r="J998" s="449"/>
    </row>
    <row r="999" ht="15" customHeight="1" spans="1:11">
      <c r="A999" s="445"/>
      <c r="B999" s="446"/>
      <c r="C999" s="446"/>
      <c r="D999" s="446"/>
      <c r="E999" s="452"/>
      <c r="F999" s="441"/>
      <c r="G999" s="441"/>
      <c r="H999" s="448"/>
      <c r="I999" s="450"/>
      <c r="J999" s="449"/>
    </row>
    <row r="1000" ht="15" customHeight="1" spans="1:11">
      <c r="A1000" s="445"/>
      <c r="B1000" s="446"/>
      <c r="C1000" s="446"/>
      <c r="D1000" s="446"/>
      <c r="E1000" s="452"/>
      <c r="F1000" s="441"/>
      <c r="G1000" s="441"/>
      <c r="H1000" s="448"/>
      <c r="I1000" s="450"/>
      <c r="J1000" s="449"/>
      <c r="K1000" s="453" t="s">
        <v>723</v>
      </c>
    </row>
  </sheetData>
  <autoFilter xmlns:etc="http://www.wps.cn/officeDocument/2017/etCustomData" ref="A4:J207" etc:filterBottomFollowUsedRange="0">
    <extLst/>
  </autoFilter>
  <mergeCells count="14">
    <mergeCell ref="A1:J1"/>
    <mergeCell ref="A2:J2"/>
    <mergeCell ref="A3:B3"/>
    <mergeCell ref="C3:F3"/>
    <mergeCell ref="H3:J3"/>
    <mergeCell ref="F4:G4"/>
    <mergeCell ref="A4:A5"/>
    <mergeCell ref="B4:B5"/>
    <mergeCell ref="C4:C5"/>
    <mergeCell ref="D4:D5"/>
    <mergeCell ref="E4:E5"/>
    <mergeCell ref="H4:H5"/>
    <mergeCell ref="I4:I5"/>
    <mergeCell ref="J4:J5"/>
  </mergeCells>
  <conditionalFormatting sqref="H3:J3">
    <cfRule type="expression" dxfId="1" priority="1" stopIfTrue="1">
      <formula>AND(SUM(H6:H1048576)-SUM(I6:I1048576)&gt;=-0.0001,SUM(H6:H1048576)-SUM(I6:I1048576)&lt;=0.0001)</formula>
    </cfRule>
    <cfRule type="expression" dxfId="2" priority="2" stopIfTrue="1">
      <formula>OR(SUM(H6:H1048576)-SUM(I6:I1048576)&lt;-0.0001,SUM(H6:H1048576)-SUM(I6:I1048576)&gt;0.0001)</formula>
    </cfRule>
  </conditionalFormatting>
  <conditionalFormatting sqref="A1 A4:B65536 C4:D4 C6:D65536 E4:F65536 G3:G65536 H4:J65536">
    <cfRule type="cellIs" dxfId="0" priority="3" stopIfTrue="1" operator="equal">
      <formula>""</formula>
    </cfRule>
  </conditionalFormatting>
  <dataValidations count="2">
    <dataValidation type="list" showInputMessage="1" showErrorMessage="1" sqref="F6:F1000">
      <formula1>总账科目</formula1>
    </dataValidation>
    <dataValidation type="list" showInputMessage="1" showErrorMessage="1" sqref="G6:G1000">
      <formula1>明细科目</formula1>
    </dataValidation>
  </dataValidations>
  <printOptions horizontalCentered="1"/>
  <pageMargins left="0" right="0" top="0.313888888888889" bottom="0.590277777777778" header="0.510416666666667" footer="0.393055555555556"/>
  <pageSetup paperSize="126" scale="95" orientation="landscape" blackAndWhite="1" horizontalDpi="180" verticalDpi="180"/>
  <headerFooter alignWithMargins="0" scaleWithDoc="0">
    <oddFooter>&amp;C&amp;"黑体,常规"&amp;10 第 &amp;P 页，共 &amp;N 页</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indexed="46"/>
    <pageSetUpPr fitToPage="1"/>
  </sheetPr>
  <dimension ref="A1:P23"/>
  <sheetViews>
    <sheetView showGridLines="0" showZeros="0" zoomScale="130" zoomScaleNormal="130" workbookViewId="0">
      <selection activeCell="C9" sqref="C9:D9"/>
    </sheetView>
  </sheetViews>
  <sheetFormatPr defaultColWidth="9" defaultRowHeight="16.5" zeroHeight="1"/>
  <cols>
    <col min="1" max="1" width="3.625" style="13" customWidth="1"/>
    <col min="2" max="2" width="3.125" style="13" customWidth="1"/>
    <col min="3" max="3" width="2" style="13" customWidth="1"/>
    <col min="4" max="4" width="16.625" style="13" customWidth="1"/>
    <col min="5" max="6" width="17.625" style="13" customWidth="1"/>
    <col min="7" max="7" width="9.625" style="13" customWidth="1"/>
    <col min="8" max="8" width="4.625" style="13" customWidth="1"/>
    <col min="9" max="9" width="2.625" style="13" customWidth="1"/>
    <col min="10" max="10" width="7.625" style="13" customWidth="1"/>
    <col min="11" max="12" width="4.625" style="13" customWidth="1"/>
    <col min="13" max="13" width="3.125" style="13" customWidth="1"/>
    <col min="14" max="16" width="9" style="13" customWidth="1"/>
    <col min="17" max="16384" width="9" style="13" hidden="1" customWidth="1"/>
  </cols>
  <sheetData>
    <row r="1" ht="16.05" customHeight="1" spans="1:16">
      <c r="A1" s="352"/>
      <c r="B1" s="352"/>
      <c r="C1" s="352"/>
      <c r="D1" s="352"/>
      <c r="E1" s="352"/>
      <c r="F1" s="352"/>
      <c r="G1" s="352"/>
      <c r="H1" s="352"/>
      <c r="I1" s="352"/>
      <c r="J1" s="352"/>
      <c r="K1" s="352"/>
      <c r="L1" s="352"/>
      <c r="M1" s="352"/>
      <c r="N1" s="352"/>
      <c r="O1" s="352"/>
      <c r="P1" s="352"/>
    </row>
    <row r="2" ht="18.75" customHeight="1" spans="1:16">
      <c r="A2" s="352"/>
      <c r="B2" s="353"/>
      <c r="C2" s="354"/>
      <c r="D2" s="354"/>
      <c r="E2" s="354"/>
      <c r="F2" s="354"/>
      <c r="G2" s="354"/>
      <c r="H2" s="354"/>
      <c r="I2" s="354"/>
      <c r="J2" s="354"/>
      <c r="K2" s="354"/>
      <c r="L2" s="354"/>
      <c r="M2" s="355"/>
      <c r="N2" s="352"/>
      <c r="O2" s="356" t="s">
        <v>1</v>
      </c>
      <c r="P2" s="352"/>
    </row>
    <row r="3" ht="28.5" customHeight="1" spans="1:16">
      <c r="A3" s="352"/>
      <c r="B3" s="357"/>
      <c r="C3" s="358" t="s">
        <v>724</v>
      </c>
      <c r="D3" s="3"/>
      <c r="E3" s="3"/>
      <c r="F3" s="3"/>
      <c r="G3" s="3"/>
      <c r="H3" s="3"/>
      <c r="I3" s="3"/>
      <c r="J3" s="3"/>
      <c r="K3" s="3"/>
      <c r="L3" s="3"/>
      <c r="M3" s="359"/>
      <c r="N3" s="352"/>
      <c r="O3" s="356" t="s">
        <v>1</v>
      </c>
      <c r="P3" s="352"/>
    </row>
    <row r="4" spans="1:16">
      <c r="A4" s="352"/>
      <c r="B4" s="357"/>
      <c r="C4" s="360" t="str">
        <f>"财务期间："&amp;TEXT(基础信息!D4,"yyyy年m月")</f>
        <v>财务期间：2025年12月</v>
      </c>
      <c r="D4" s="3"/>
      <c r="E4" s="3"/>
      <c r="F4" s="3"/>
      <c r="G4" s="3"/>
      <c r="H4" s="3"/>
      <c r="I4" s="3"/>
      <c r="J4" s="3"/>
      <c r="K4" s="3"/>
      <c r="L4" s="3"/>
      <c r="M4" s="359"/>
      <c r="N4" s="352"/>
      <c r="O4" s="352"/>
      <c r="P4" s="352"/>
    </row>
    <row r="5" ht="20.25" customHeight="1" spans="1:16">
      <c r="A5" s="352"/>
      <c r="B5" s="357"/>
      <c r="C5" s="361" t="str">
        <f>"公司名称："&amp;基础信息!D3</f>
        <v>公司名称：XIN SHENG</v>
      </c>
      <c r="D5" s="362"/>
      <c r="E5" s="362"/>
      <c r="F5" s="362"/>
      <c r="G5" s="363" t="s">
        <v>725</v>
      </c>
      <c r="H5" s="364">
        <v>1</v>
      </c>
      <c r="I5" s="365"/>
      <c r="J5" s="363" t="s">
        <v>726</v>
      </c>
      <c r="K5" s="366">
        <f>IF(ISERROR(VLOOKUP($H$5,凭证录入!$B$4:$J$65536,9,0)),"",VLOOKUP($H$5,凭证录入!$B$4:$J$65536,9,0))</f>
        <v>0</v>
      </c>
      <c r="L5" s="367" t="s">
        <v>727</v>
      </c>
      <c r="M5" s="368"/>
      <c r="N5" s="352"/>
      <c r="O5" s="352"/>
      <c r="P5" s="352"/>
    </row>
    <row r="6" s="291" customFormat="1" customHeight="1" spans="1:16">
      <c r="A6" s="369"/>
      <c r="B6" s="370"/>
      <c r="C6" s="371" t="s">
        <v>620</v>
      </c>
      <c r="D6" s="372"/>
      <c r="E6" s="373" t="s">
        <v>621</v>
      </c>
      <c r="F6" s="374"/>
      <c r="G6" s="375" t="s">
        <v>622</v>
      </c>
      <c r="H6" s="376"/>
      <c r="I6" s="372"/>
      <c r="J6" s="375" t="s">
        <v>623</v>
      </c>
      <c r="K6" s="376"/>
      <c r="L6" s="372"/>
      <c r="M6" s="377"/>
      <c r="N6" s="369"/>
      <c r="O6" s="369"/>
      <c r="P6" s="369"/>
    </row>
    <row r="7" s="291" customFormat="1" customHeight="1" spans="1:16">
      <c r="A7" s="369"/>
      <c r="B7" s="370"/>
      <c r="C7" s="378"/>
      <c r="D7" s="379"/>
      <c r="E7" s="380" t="s">
        <v>21</v>
      </c>
      <c r="F7" s="380" t="s">
        <v>625</v>
      </c>
      <c r="G7" s="381"/>
      <c r="H7" s="3"/>
      <c r="I7" s="382"/>
      <c r="J7" s="381"/>
      <c r="K7" s="3"/>
      <c r="L7" s="382"/>
      <c r="M7" s="377">
        <v>0</v>
      </c>
      <c r="N7" s="369"/>
      <c r="O7" s="369"/>
      <c r="P7" s="369"/>
    </row>
    <row r="8" ht="24.75" customHeight="1" spans="1:16">
      <c r="A8" s="352"/>
      <c r="B8" s="357"/>
      <c r="C8" s="383" t="str">
        <f ca="1">IF(COUNTIF(凭证录入!$B$6:$B$65536,$H$5)-$M7&gt;0,OFFSET(凭证录入!$E$5,MATCH($H$5,凭证录入!$B$6:$B$65536,0)+$M7,0)&amp;"",0)</f>
        <v>收李伟忠投资款（1500万*43%）</v>
      </c>
      <c r="D8" s="384"/>
      <c r="E8" s="385" t="str">
        <f ca="1">IF(COUNTIF(凭证录入!$B$6:$B$65536,$H$5)-$M7&gt;0,OFFSET(凭证录入!$E$5,MATCH($H$5,凭证录入!$B$6:$B$65536,0)+$M7,1)&amp;"",0)</f>
        <v>库存现金</v>
      </c>
      <c r="F8" s="385" t="str">
        <f ca="1">IF(COUNTIF(凭证录入!$B$6:$B$65536,$H$5)-$M7&gt;0,OFFSET(凭证录入!$E$5,MATCH($H$5,凭证录入!$B$6:$B$65536,0)+$M7,2)&amp;"",0)</f>
        <v>人民币</v>
      </c>
      <c r="G8" s="386">
        <f ca="1">IF(COUNTIF(凭证录入!$B$6:$B$65536,$H$5)-$M7&gt;0,OFFSET(凭证录入!$E$5,MATCH($H$5,凭证录入!$B$6:$B$65536,0)+$M7,3),0)</f>
        <v>6450000</v>
      </c>
      <c r="H8" s="387"/>
      <c r="I8" s="384"/>
      <c r="J8" s="386">
        <f ca="1">IF(COUNTIF(凭证录入!$B$6:$B$65536,$H$5)-$M7&gt;0,OFFSET(凭证录入!$E$5,MATCH($H$5,凭证录入!$B$6:$B$65536,0)+$M7,4),0)</f>
        <v>0</v>
      </c>
      <c r="K8" s="387"/>
      <c r="L8" s="384"/>
      <c r="M8" s="377">
        <v>1</v>
      </c>
      <c r="N8" s="352"/>
      <c r="O8" s="352"/>
      <c r="P8" s="352"/>
    </row>
    <row r="9" ht="24.75" customHeight="1" spans="1:16">
      <c r="A9" s="352"/>
      <c r="B9" s="357"/>
      <c r="C9" s="388" t="str">
        <f ca="1">IF(COUNTIF(凭证录入!$B$6:$B$65536,$H$5)-$M8&gt;0,OFFSET(凭证录入!$E$5,MATCH($H$5,凭证录入!$B$6:$B$65536,0)+$M8,0)&amp;"",0)</f>
        <v>收李伟忠投资款（1500万*43%）</v>
      </c>
      <c r="D9" s="389"/>
      <c r="E9" s="390" t="str">
        <f ca="1">IF(COUNTIF(凭证录入!$B$6:$B$65536,$H$5)-$M8&gt;0,OFFSET(凭证录入!$E$5,MATCH($H$5,凭证录入!$B$6:$B$65536,0)+$M8,1)&amp;"",0)</f>
        <v>实收资本</v>
      </c>
      <c r="F9" s="390" t="str">
        <f ca="1">IF(COUNTIF(凭证录入!$B$6:$B$65536,$H$5)-$M8&gt;0,OFFSET(凭证录入!$E$5,MATCH($H$5,凭证录入!$B$6:$B$65536,0)+$M8,2)&amp;"",0)</f>
        <v>李伟忠</v>
      </c>
      <c r="G9" s="391">
        <f ca="1">IF(COUNTIF(凭证录入!$B$6:$B$65536,$H$5)-$M8&gt;0,OFFSET(凭证录入!$E$5,MATCH($H$5,凭证录入!$B$6:$B$65536,0)+$M8,3),0)</f>
        <v>0</v>
      </c>
      <c r="H9" s="392"/>
      <c r="I9" s="389"/>
      <c r="J9" s="391">
        <f ca="1">IF(COUNTIF(凭证录入!$B$6:$B$65536,$H$5)-$M8&gt;0,OFFSET(凭证录入!$E$5,MATCH($H$5,凭证录入!$B$6:$B$65536,0)+$M8,4),0)</f>
        <v>6450000</v>
      </c>
      <c r="K9" s="392"/>
      <c r="L9" s="389"/>
      <c r="M9" s="377">
        <v>2</v>
      </c>
      <c r="N9" s="352"/>
      <c r="O9" s="352"/>
      <c r="P9" s="352"/>
    </row>
    <row r="10" ht="24.75" customHeight="1" spans="1:16">
      <c r="A10" s="352"/>
      <c r="B10" s="357"/>
      <c r="C10" s="393">
        <f ca="1">IF(COUNTIF(凭证录入!$B$6:$B$65536,$H$5)-$M9&gt;0,OFFSET(凭证录入!$E$5,MATCH($H$5,凭证录入!$B$6:$B$65536,0)+$M9,0)&amp;"",0)</f>
        <v>0</v>
      </c>
      <c r="D10" s="389"/>
      <c r="E10" s="390">
        <f ca="1">IF(COUNTIF(凭证录入!$B$6:$B$65536,$H$5)-$M9&gt;0,OFFSET(凭证录入!$E$5,MATCH($H$5,凭证录入!$B$6:$B$65536,0)+$M9,1)&amp;"",0)</f>
        <v>0</v>
      </c>
      <c r="F10" s="390">
        <f ca="1">IF(COUNTIF(凭证录入!$B$6:$B$65536,$H$5)-$M9&gt;0,OFFSET(凭证录入!$E$5,MATCH($H$5,凭证录入!$B$6:$B$65536,0)+$M9,2)&amp;"",0)</f>
        <v>0</v>
      </c>
      <c r="G10" s="391">
        <f ca="1">IF(COUNTIF(凭证录入!$B$6:$B$65536,$H$5)-$M9&gt;0,OFFSET(凭证录入!$E$5,MATCH($H$5,凭证录入!$B$6:$B$65536,0)+$M9,3),0)</f>
        <v>0</v>
      </c>
      <c r="H10" s="392"/>
      <c r="I10" s="389"/>
      <c r="J10" s="391">
        <f ca="1">IF(COUNTIF(凭证录入!$B$6:$B$65536,$H$5)-$M9&gt;0,OFFSET(凭证录入!$E$5,MATCH($H$5,凭证录入!$B$6:$B$65536,0)+$M9,4),0)</f>
        <v>0</v>
      </c>
      <c r="K10" s="392"/>
      <c r="L10" s="389"/>
      <c r="M10" s="377">
        <v>3</v>
      </c>
      <c r="N10" s="352"/>
      <c r="O10" s="352"/>
      <c r="P10" s="352"/>
    </row>
    <row r="11" ht="24.75" customHeight="1" spans="1:16">
      <c r="A11" s="352"/>
      <c r="B11" s="357"/>
      <c r="C11" s="393">
        <f ca="1">IF(COUNTIF(凭证录入!$B$6:$B$65536,$H$5)-$M10&gt;0,OFFSET(凭证录入!$E$5,MATCH($H$5,凭证录入!$B$6:$B$65536,0)+$M10,0)&amp;"",0)</f>
        <v>0</v>
      </c>
      <c r="D11" s="389"/>
      <c r="E11" s="390">
        <f ca="1">IF(COUNTIF(凭证录入!$B$6:$B$65536,$H$5)-$M10&gt;0,OFFSET(凭证录入!$E$5,MATCH($H$5,凭证录入!$B$6:$B$65536,0)+$M10,1)&amp;"",0)</f>
        <v>0</v>
      </c>
      <c r="F11" s="390">
        <f ca="1">IF(COUNTIF(凭证录入!$B$6:$B$65536,$H$5)-$M10&gt;0,OFFSET(凭证录入!$E$5,MATCH($H$5,凭证录入!$B$6:$B$65536,0)+$M10,2)&amp;"",0)</f>
        <v>0</v>
      </c>
      <c r="G11" s="391">
        <f ca="1">IF(COUNTIF(凭证录入!$B$6:$B$65536,$H$5)-$M10&gt;0,OFFSET(凭证录入!$E$5,MATCH($H$5,凭证录入!$B$6:$B$65536,0)+$M10,3),0)</f>
        <v>0</v>
      </c>
      <c r="H11" s="392"/>
      <c r="I11" s="389"/>
      <c r="J11" s="391">
        <f ca="1">IF(COUNTIF(凭证录入!$B$6:$B$65536,$H$5)-$M10&gt;0,OFFSET(凭证录入!$E$5,MATCH($H$5,凭证录入!$B$6:$B$65536,0)+$M10,4),0)</f>
        <v>0</v>
      </c>
      <c r="K11" s="392"/>
      <c r="L11" s="389"/>
      <c r="M11" s="377">
        <v>4</v>
      </c>
      <c r="N11" s="352"/>
      <c r="O11" s="352"/>
      <c r="P11" s="352"/>
    </row>
    <row r="12" ht="24.75" customHeight="1" spans="1:16">
      <c r="A12" s="352"/>
      <c r="B12" s="357"/>
      <c r="C12" s="393">
        <f ca="1">IF(COUNTIF(凭证录入!$B$6:$B$65536,$H$5)-$M11&gt;0,OFFSET(凭证录入!$E$5,MATCH($H$5,凭证录入!$B$6:$B$65536,0)+$M11,0)&amp;"",0)</f>
        <v>0</v>
      </c>
      <c r="D12" s="389"/>
      <c r="E12" s="390">
        <f ca="1">IF(COUNTIF(凭证录入!$B$6:$B$65536,$H$5)-$M11&gt;0,OFFSET(凭证录入!$E$5,MATCH($H$5,凭证录入!$B$6:$B$65536,0)+$M11,1)&amp;"",0)</f>
        <v>0</v>
      </c>
      <c r="F12" s="390">
        <f ca="1">IF(COUNTIF(凭证录入!$B$6:$B$65536,$H$5)-$M11&gt;0,OFFSET(凭证录入!$E$5,MATCH($H$5,凭证录入!$B$6:$B$65536,0)+$M11,2)&amp;"",0)</f>
        <v>0</v>
      </c>
      <c r="G12" s="391">
        <f ca="1">IF(COUNTIF(凭证录入!$B$6:$B$65536,$H$5)-$M11&gt;0,OFFSET(凭证录入!$E$5,MATCH($H$5,凭证录入!$B$6:$B$65536,0)+$M11,3),0)</f>
        <v>0</v>
      </c>
      <c r="H12" s="392"/>
      <c r="I12" s="389"/>
      <c r="J12" s="391">
        <f ca="1">IF(COUNTIF(凭证录入!$B$6:$B$65536,$H$5)-$M11&gt;0,OFFSET(凭证录入!$E$5,MATCH($H$5,凭证录入!$B$6:$B$65536,0)+$M11,4),0)</f>
        <v>0</v>
      </c>
      <c r="K12" s="392"/>
      <c r="L12" s="389"/>
      <c r="M12" s="377">
        <v>5</v>
      </c>
      <c r="N12" s="352"/>
      <c r="O12" s="352"/>
      <c r="P12" s="352"/>
    </row>
    <row r="13" ht="24.75" customHeight="1" spans="1:16">
      <c r="A13" s="352"/>
      <c r="B13" s="357"/>
      <c r="C13" s="393">
        <f ca="1">IF(COUNTIF(凭证录入!$B$6:$B$65536,$H$5)-$M12&gt;0,OFFSET(凭证录入!$E$5,MATCH($H$5,凭证录入!$B$6:$B$65536,0)+$M12,0)&amp;"",0)</f>
        <v>0</v>
      </c>
      <c r="D13" s="389"/>
      <c r="E13" s="390">
        <f ca="1">IF(COUNTIF(凭证录入!$B$6:$B$65536,$H$5)-$M12&gt;0,OFFSET(凭证录入!$E$5,MATCH($H$5,凭证录入!$B$6:$B$65536,0)+$M12,1)&amp;"",0)</f>
        <v>0</v>
      </c>
      <c r="F13" s="390">
        <f ca="1">IF(COUNTIF(凭证录入!$B$6:$B$65536,$H$5)-$M12&gt;0,OFFSET(凭证录入!$E$5,MATCH($H$5,凭证录入!$B$6:$B$65536,0)+$M12,2)&amp;"",0)</f>
        <v>0</v>
      </c>
      <c r="G13" s="391">
        <f ca="1">IF(COUNTIF(凭证录入!$B$6:$B$65536,$H$5)-$M12&gt;0,OFFSET(凭证录入!$E$5,MATCH($H$5,凭证录入!$B$6:$B$65536,0)+$M12,3),0)</f>
        <v>0</v>
      </c>
      <c r="H13" s="392"/>
      <c r="I13" s="389"/>
      <c r="J13" s="391">
        <f ca="1">IF(COUNTIF(凭证录入!$B$6:$B$65536,$H$5)-$M12&gt;0,OFFSET(凭证录入!$E$5,MATCH($H$5,凭证录入!$B$6:$B$65536,0)+$M12,4),0)</f>
        <v>0</v>
      </c>
      <c r="K13" s="392"/>
      <c r="L13" s="389"/>
      <c r="M13" s="377">
        <v>6</v>
      </c>
      <c r="N13" s="352"/>
      <c r="O13" s="352"/>
      <c r="P13" s="352"/>
    </row>
    <row r="14" ht="24.75" customHeight="1" spans="1:16">
      <c r="A14" s="352"/>
      <c r="B14" s="357"/>
      <c r="C14" s="393">
        <f ca="1">IF(COUNTIF(凭证录入!$B$6:$B$65536,$H$5)-$M13&gt;0,OFFSET(凭证录入!$E$5,MATCH($H$5,凭证录入!$B$6:$B$65536,0)+$M13,0)&amp;"",0)</f>
        <v>0</v>
      </c>
      <c r="D14" s="389"/>
      <c r="E14" s="390">
        <f ca="1">IF(COUNTIF(凭证录入!$B$6:$B$65536,$H$5)-$M13&gt;0,OFFSET(凭证录入!$E$5,MATCH($H$5,凭证录入!$B$6:$B$65536,0)+$M13,1)&amp;"",0)</f>
        <v>0</v>
      </c>
      <c r="F14" s="390">
        <f ca="1">IF(COUNTIF(凭证录入!$B$6:$B$65536,$H$5)-$M13&gt;0,OFFSET(凭证录入!$E$5,MATCH($H$5,凭证录入!$B$6:$B$65536,0)+$M13,2)&amp;"",0)</f>
        <v>0</v>
      </c>
      <c r="G14" s="391">
        <f ca="1">IF(COUNTIF(凭证录入!$B$6:$B$65536,$H$5)-$M13&gt;0,OFFSET(凭证录入!$E$5,MATCH($H$5,凭证录入!$B$6:$B$65536,0)+$M13,3),0)</f>
        <v>0</v>
      </c>
      <c r="H14" s="392"/>
      <c r="I14" s="389"/>
      <c r="J14" s="391">
        <f ca="1">IF(COUNTIF(凭证录入!$B$6:$B$65536,$H$5)-$M13&gt;0,OFFSET(凭证录入!$E$5,MATCH($H$5,凭证录入!$B$6:$B$65536,0)+$M13,4),0)</f>
        <v>0</v>
      </c>
      <c r="K14" s="392"/>
      <c r="L14" s="389"/>
      <c r="M14" s="377">
        <v>7</v>
      </c>
      <c r="N14" s="352"/>
      <c r="O14" s="352"/>
      <c r="P14" s="352"/>
    </row>
    <row r="15" ht="24.75" customHeight="1" spans="1:16">
      <c r="A15" s="352"/>
      <c r="B15" s="357"/>
      <c r="C15" s="394">
        <f ca="1">IF(COUNTIF(凭证录入!$B$6:$B$65536,$H$5)-$M14&gt;0,OFFSET(凭证录入!$E$5,MATCH($H$5,凭证录入!$B$6:$B$65536,0)+$M14,0)&amp;"",0)</f>
        <v>0</v>
      </c>
      <c r="D15" s="395"/>
      <c r="E15" s="396">
        <f ca="1">IF(COUNTIF(凭证录入!$B$6:$B$65536,$H$5)-$M14&gt;0,OFFSET(凭证录入!$E$5,MATCH($H$5,凭证录入!$B$6:$B$65536,0)+$M14,1)&amp;"",0)</f>
        <v>0</v>
      </c>
      <c r="F15" s="396">
        <f ca="1">IF(COUNTIF(凭证录入!$B$6:$B$65536,$H$5)-$M14&gt;0,OFFSET(凭证录入!$E$5,MATCH($H$5,凭证录入!$B$6:$B$65536,0)+$M14,2)&amp;"",0)</f>
        <v>0</v>
      </c>
      <c r="G15" s="397">
        <f ca="1">IF(COUNTIF(凭证录入!$B$6:$B$65536,$H$5)-$M14&gt;0,OFFSET(凭证录入!$E$5,MATCH($H$5,凭证录入!$B$6:$B$65536,0)+$M14,3),0)</f>
        <v>0</v>
      </c>
      <c r="H15" s="398"/>
      <c r="I15" s="395"/>
      <c r="J15" s="397">
        <f ca="1">IF(COUNTIF(凭证录入!$B$6:$B$65536,$H$5)-$M14&gt;0,OFFSET(凭证录入!$E$5,MATCH($H$5,凭证录入!$B$6:$B$65536,0)+$M14,4),0)</f>
        <v>0</v>
      </c>
      <c r="K15" s="398"/>
      <c r="L15" s="395"/>
      <c r="M15" s="377">
        <v>8</v>
      </c>
      <c r="N15" s="352"/>
      <c r="O15" s="352"/>
      <c r="P15" s="352"/>
    </row>
    <row r="16" ht="18.75" customHeight="1" spans="1:16">
      <c r="A16" s="352"/>
      <c r="B16" s="357"/>
      <c r="C16" s="399">
        <f ca="1">IF(AND(G16-J16&gt;=-0.0001,G16-J16&lt;=0.0001),G16,0)</f>
        <v>6450000</v>
      </c>
      <c r="D16" s="400" t="str">
        <f ca="1">"合计："&amp;IF(C16&lt;0,"负",)&amp;SUBSTITUTE(SUBSTITUTE(TEXT(INT(ABS(C16)),"[dbnum2]")&amp;"元"&amp;SUBSTITUTE(SUBSTITUTE(SUBSTITUTE(TEXT(RIGHT(TEXT(C16,".00"),2),"[dbnum2]0角0分"),"零角","零"),"零分","整"),"零整","整"),"零元零",),"零元",)</f>
        <v>合计：陆佰肆拾伍万元整</v>
      </c>
      <c r="E16" s="401"/>
      <c r="F16" s="402"/>
      <c r="G16" s="403">
        <f ca="1">IF(ISERROR(SUM(G8:I15)),0,SUM(G8:I15))</f>
        <v>6450000</v>
      </c>
      <c r="H16" s="362"/>
      <c r="I16" s="404"/>
      <c r="J16" s="403">
        <f ca="1">IF(ISERROR(SUM(J8:L15)),0,SUM(J8:L15))</f>
        <v>6450000</v>
      </c>
      <c r="K16" s="362"/>
      <c r="L16" s="404"/>
      <c r="M16" s="377"/>
      <c r="N16" s="352"/>
      <c r="O16" s="352"/>
      <c r="P16" s="352"/>
    </row>
    <row r="17" ht="6" customHeight="1" spans="1:16">
      <c r="A17" s="352"/>
      <c r="B17" s="357"/>
      <c r="C17" s="365"/>
      <c r="D17" s="365"/>
      <c r="E17" s="365"/>
      <c r="F17" s="365"/>
      <c r="G17" s="365"/>
      <c r="H17" s="365"/>
      <c r="I17" s="365"/>
      <c r="J17" s="365"/>
      <c r="K17" s="365"/>
      <c r="L17" s="365"/>
      <c r="M17" s="368"/>
      <c r="N17" s="352"/>
      <c r="O17" s="352"/>
      <c r="P17" s="352"/>
    </row>
    <row r="18" customHeight="1" spans="1:16">
      <c r="A18" s="352"/>
      <c r="B18" s="357"/>
      <c r="C18" s="405" t="str">
        <f>"会计主管："&amp;基础信息!D7</f>
        <v>会计主管：</v>
      </c>
      <c r="D18" s="365"/>
      <c r="E18" s="406" t="s">
        <v>728</v>
      </c>
      <c r="F18" s="407" t="str">
        <f>"复核："&amp;基础信息!D8</f>
        <v>复核：</v>
      </c>
      <c r="G18" s="365"/>
      <c r="H18" s="365"/>
      <c r="I18" s="365"/>
      <c r="J18" s="405" t="str">
        <f>"制单："&amp;基础信息!D9</f>
        <v>制单：</v>
      </c>
      <c r="K18" s="365"/>
      <c r="L18" s="365"/>
      <c r="M18" s="368"/>
      <c r="N18" s="352"/>
      <c r="O18" s="352"/>
      <c r="P18" s="352"/>
    </row>
    <row r="19" ht="18.75" customHeight="1" spans="1:16">
      <c r="A19" s="352"/>
      <c r="B19" s="408"/>
      <c r="C19" s="409"/>
      <c r="D19" s="409"/>
      <c r="E19" s="409"/>
      <c r="F19" s="409"/>
      <c r="G19" s="409"/>
      <c r="H19" s="409"/>
      <c r="I19" s="409"/>
      <c r="J19" s="409"/>
      <c r="K19" s="409"/>
      <c r="L19" s="409"/>
      <c r="M19" s="410"/>
      <c r="N19" s="352"/>
      <c r="O19" s="352"/>
      <c r="P19" s="352"/>
    </row>
    <row r="20" ht="17.25" customHeight="1" spans="1:16">
      <c r="A20" s="352"/>
      <c r="B20" s="352"/>
      <c r="C20" s="411" t="s">
        <v>729</v>
      </c>
      <c r="D20" s="20"/>
      <c r="E20" s="20"/>
      <c r="F20" s="20"/>
      <c r="G20" s="352"/>
      <c r="H20" s="352"/>
      <c r="I20" s="352"/>
      <c r="J20" s="352"/>
      <c r="K20" s="352"/>
      <c r="L20" s="352"/>
      <c r="M20" s="352"/>
      <c r="N20" s="352"/>
      <c r="O20" s="352"/>
      <c r="P20" s="352"/>
    </row>
    <row r="21" spans="1:16">
      <c r="A21" s="352"/>
      <c r="B21" s="352"/>
      <c r="C21" s="352"/>
      <c r="D21" s="352"/>
      <c r="E21" s="352"/>
      <c r="F21" s="352"/>
      <c r="G21" s="352"/>
      <c r="H21" s="352"/>
      <c r="I21" s="352"/>
      <c r="J21" s="352"/>
      <c r="K21" s="352"/>
      <c r="L21" s="352"/>
      <c r="M21" s="352"/>
      <c r="N21" s="352"/>
      <c r="O21" s="352"/>
      <c r="P21" s="352"/>
    </row>
    <row r="22" spans="1:16">
      <c r="A22" s="352"/>
      <c r="B22" s="352"/>
      <c r="C22" s="352"/>
      <c r="D22" s="352"/>
      <c r="E22" s="352"/>
      <c r="F22" s="352"/>
      <c r="G22" s="352"/>
      <c r="H22" s="352"/>
      <c r="I22" s="352"/>
      <c r="J22" s="352"/>
      <c r="K22" s="352"/>
      <c r="L22" s="352"/>
      <c r="M22" s="352"/>
      <c r="N22" s="352"/>
      <c r="O22" s="352"/>
      <c r="P22" s="352"/>
    </row>
    <row r="23" spans="1:16">
      <c r="A23" s="352"/>
      <c r="B23" s="352"/>
      <c r="C23" s="352"/>
      <c r="D23" s="352"/>
      <c r="E23" s="352"/>
      <c r="F23" s="352"/>
      <c r="G23" s="352"/>
      <c r="H23" s="352"/>
      <c r="I23" s="352"/>
      <c r="J23" s="352"/>
      <c r="K23" s="352"/>
      <c r="L23" s="352"/>
      <c r="M23" s="352"/>
      <c r="N23" s="352"/>
      <c r="O23" s="352"/>
      <c r="P23" s="352"/>
    </row>
  </sheetData>
  <mergeCells count="34">
    <mergeCell ref="C3:L3"/>
    <mergeCell ref="C4:L4"/>
    <mergeCell ref="C5:F5"/>
    <mergeCell ref="E6:F6"/>
    <mergeCell ref="C8:D8"/>
    <mergeCell ref="G8:I8"/>
    <mergeCell ref="J8:L8"/>
    <mergeCell ref="C9:D9"/>
    <mergeCell ref="G9:I9"/>
    <mergeCell ref="J9:L9"/>
    <mergeCell ref="C10:D10"/>
    <mergeCell ref="G10:I10"/>
    <mergeCell ref="J10:L10"/>
    <mergeCell ref="C11:D11"/>
    <mergeCell ref="G11:I11"/>
    <mergeCell ref="J11:L11"/>
    <mergeCell ref="C12:D12"/>
    <mergeCell ref="G12:I12"/>
    <mergeCell ref="J12:L12"/>
    <mergeCell ref="C13:D13"/>
    <mergeCell ref="G13:I13"/>
    <mergeCell ref="J13:L13"/>
    <mergeCell ref="C14:D14"/>
    <mergeCell ref="G14:I14"/>
    <mergeCell ref="J14:L14"/>
    <mergeCell ref="C15:D15"/>
    <mergeCell ref="G15:I15"/>
    <mergeCell ref="J15:L15"/>
    <mergeCell ref="D16:F16"/>
    <mergeCell ref="G16:I16"/>
    <mergeCell ref="J16:L16"/>
    <mergeCell ref="G6:I7"/>
    <mergeCell ref="J6:L7"/>
    <mergeCell ref="C6:D7"/>
  </mergeCells>
  <hyperlinks>
    <hyperlink ref="O2" location="目录!B1" display="xwchen"/>
  </hyperlinks>
  <printOptions horizontalCentered="1"/>
  <pageMargins left="0" right="0" top="0.393055555555556" bottom="0.393055555555556" header="0.510416666666667" footer="0.510416666666667"/>
  <pageSetup paperSize="126" scale="58" orientation="landscape" blackAndWhite="1" horizontalDpi="180" verticalDpi="18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indexed="46"/>
  </sheetPr>
  <dimension ref="A1:W96"/>
  <sheetViews>
    <sheetView showGridLines="0" showZeros="0" zoomScale="115" zoomScaleNormal="115" workbookViewId="0">
      <pane xSplit="2" ySplit="5" topLeftCell="C58" activePane="bottomRight" state="frozen"/>
      <selection/>
      <selection pane="topRight"/>
      <selection pane="bottomLeft"/>
      <selection pane="bottomRight" activeCell="C68" sqref="C68"/>
    </sheetView>
  </sheetViews>
  <sheetFormatPr defaultColWidth="9" defaultRowHeight="16.5"/>
  <cols>
    <col min="1" max="1" width="9.625" style="14" customWidth="1"/>
    <col min="2" max="2" width="18.625" style="14" customWidth="1"/>
    <col min="3" max="3" width="12.625" style="14" customWidth="1"/>
    <col min="4" max="4" width="14.75" style="14" customWidth="1"/>
    <col min="5" max="5" width="14.625" style="14" customWidth="1"/>
    <col min="6" max="6" width="5.625" style="14" customWidth="1"/>
    <col min="7" max="7" width="14.5" style="14" customWidth="1"/>
    <col min="8" max="8" width="2" style="14" customWidth="1"/>
    <col min="9" max="13" width="12.5" style="14" customWidth="1"/>
    <col min="14" max="18" width="12.5" style="14" hidden="1" customWidth="1"/>
    <col min="19" max="21" width="12.5" style="14" customWidth="1"/>
    <col min="22" max="24" width="9" style="14" customWidth="1"/>
    <col min="25" max="16384" width="9" style="14" hidden="1" customWidth="1"/>
  </cols>
  <sheetData>
    <row r="1" ht="19.8" customHeight="1" spans="1:23">
      <c r="A1" s="315" t="s">
        <v>730</v>
      </c>
      <c r="B1" s="3"/>
      <c r="C1" s="3"/>
      <c r="D1" s="3"/>
      <c r="E1" s="3"/>
      <c r="F1" s="3"/>
      <c r="G1" s="3"/>
    </row>
    <row r="2" ht="0.75" customHeight="1" spans="1:23">
      <c r="A2" s="316"/>
      <c r="B2" s="316"/>
      <c r="C2" s="316"/>
      <c r="D2" s="316"/>
      <c r="E2" s="316"/>
      <c r="F2" s="316"/>
      <c r="G2" s="316"/>
      <c r="W2" s="317" t="s">
        <v>1</v>
      </c>
    </row>
    <row r="3" ht="30" customHeight="1" spans="1:23">
      <c r="A3" s="293" t="s">
        <v>3</v>
      </c>
      <c r="B3" s="318" t="str">
        <f>基础信息!D3</f>
        <v>XIN SHENG</v>
      </c>
      <c r="C3" s="319" t="s">
        <v>731</v>
      </c>
      <c r="D3" s="320" t="str">
        <f>TEXT(基础信息!D4,"yyyy年m月")</f>
        <v>2025年12月</v>
      </c>
      <c r="E3" s="321"/>
      <c r="F3" s="321"/>
      <c r="G3" s="298" t="s">
        <v>732</v>
      </c>
      <c r="H3" s="322" t="s">
        <v>733</v>
      </c>
      <c r="I3" s="243" t="s">
        <v>734</v>
      </c>
      <c r="J3" s="321"/>
      <c r="K3" s="321"/>
      <c r="L3" s="321"/>
      <c r="M3" s="321"/>
      <c r="N3" s="321"/>
      <c r="O3" s="321"/>
      <c r="P3" s="321"/>
      <c r="Q3" s="321"/>
      <c r="R3" s="321"/>
      <c r="S3" s="321"/>
      <c r="T3" s="321"/>
      <c r="U3" s="321"/>
    </row>
    <row r="4" ht="17.25" customHeight="1" spans="1:23">
      <c r="A4" s="323" t="s">
        <v>20</v>
      </c>
      <c r="B4" s="324" t="s">
        <v>735</v>
      </c>
      <c r="C4" s="325" t="s">
        <v>736</v>
      </c>
      <c r="D4" s="326" t="s">
        <v>737</v>
      </c>
      <c r="E4" s="49"/>
      <c r="F4" s="327" t="s">
        <v>738</v>
      </c>
      <c r="G4" s="328" t="s">
        <v>739</v>
      </c>
      <c r="H4" s="322"/>
      <c r="I4" s="254" t="s">
        <v>740</v>
      </c>
      <c r="J4" s="329">
        <v>45658</v>
      </c>
      <c r="K4" s="255" t="s">
        <v>741</v>
      </c>
      <c r="L4" s="255" t="s">
        <v>742</v>
      </c>
      <c r="M4" s="255" t="s">
        <v>743</v>
      </c>
      <c r="N4" s="255" t="s">
        <v>744</v>
      </c>
      <c r="O4" s="255" t="s">
        <v>745</v>
      </c>
      <c r="P4" s="255" t="s">
        <v>746</v>
      </c>
      <c r="Q4" s="255" t="s">
        <v>747</v>
      </c>
      <c r="R4" s="255" t="s">
        <v>748</v>
      </c>
      <c r="S4" s="255" t="s">
        <v>749</v>
      </c>
      <c r="T4" s="255" t="s">
        <v>750</v>
      </c>
      <c r="U4" s="256" t="s">
        <v>751</v>
      </c>
    </row>
    <row r="5" ht="17.25" customHeight="1" spans="1:23">
      <c r="A5" s="67"/>
      <c r="B5" s="68"/>
      <c r="C5" s="69"/>
      <c r="D5" s="330" t="s">
        <v>752</v>
      </c>
      <c r="E5" s="331" t="s">
        <v>753</v>
      </c>
      <c r="F5" s="72"/>
      <c r="G5" s="73"/>
      <c r="H5" s="322"/>
      <c r="I5" s="332">
        <v>0</v>
      </c>
      <c r="J5" s="333">
        <v>1</v>
      </c>
      <c r="K5" s="333">
        <v>2</v>
      </c>
      <c r="L5" s="333">
        <v>3</v>
      </c>
      <c r="M5" s="333">
        <v>4</v>
      </c>
      <c r="N5" s="333">
        <v>5</v>
      </c>
      <c r="O5" s="333">
        <v>6</v>
      </c>
      <c r="P5" s="333">
        <v>7</v>
      </c>
      <c r="Q5" s="333">
        <v>8</v>
      </c>
      <c r="R5" s="333">
        <v>9</v>
      </c>
      <c r="S5" s="333">
        <v>10</v>
      </c>
      <c r="T5" s="333">
        <v>11</v>
      </c>
      <c r="U5" s="334">
        <v>12</v>
      </c>
    </row>
    <row r="6" ht="17.25" customHeight="1" spans="1:23">
      <c r="A6" s="335">
        <f>会计科目!H4</f>
        <v>1001</v>
      </c>
      <c r="B6" s="336" t="str">
        <f>会计科目!I4</f>
        <v>库存现金</v>
      </c>
      <c r="C6" s="337">
        <f>HLOOKUP(MONTH(基础信息!$D$4)-1,$I$5:$U$74,ROW(A2))</f>
        <v>0</v>
      </c>
      <c r="D6" s="338">
        <f>SUMIF(凭证录入!$F$6:$F$65536,科目余额表!$B6,凭证录入!$H$6:$H$65536)</f>
        <v>18166770</v>
      </c>
      <c r="E6" s="339">
        <f>SUMIF(凭证录入!$F$6:$F$65536,科目余额表!$B6,凭证录入!$I$6:$I$65536)</f>
        <v>12343800</v>
      </c>
      <c r="F6" s="340" t="s">
        <v>754</v>
      </c>
      <c r="G6" s="341">
        <f t="shared" ref="G6:G69" si="0">IF(F6="借",C6+D6-E6,C6+E6-D6)</f>
        <v>5822970</v>
      </c>
      <c r="H6" s="322"/>
      <c r="I6" s="342"/>
      <c r="J6" s="263"/>
      <c r="K6" s="263"/>
      <c r="L6" s="263"/>
      <c r="M6" s="263"/>
      <c r="N6" s="263"/>
      <c r="O6" s="263"/>
      <c r="P6" s="263"/>
      <c r="Q6" s="263"/>
      <c r="R6" s="263"/>
      <c r="S6" s="263"/>
      <c r="T6" s="263"/>
      <c r="U6" s="264"/>
    </row>
    <row r="7" ht="17.25" customHeight="1" spans="1:23">
      <c r="A7" s="335">
        <f>会计科目!H5</f>
        <v>1002</v>
      </c>
      <c r="B7" s="336" t="str">
        <f>会计科目!I5</f>
        <v>银行存款</v>
      </c>
      <c r="C7" s="337">
        <f>HLOOKUP(MONTH(基础信息!$D$4)-1,$I$5:$U$74,ROW(A3))</f>
        <v>0</v>
      </c>
      <c r="D7" s="338">
        <f>SUMIF(凭证录入!$F$6:$F$65536,科目余额表!$B7,凭证录入!$H$6:$H$65536)</f>
        <v>0</v>
      </c>
      <c r="E7" s="339">
        <f>SUMIF(凭证录入!$F$6:$F$65536,科目余额表!$B7,凭证录入!$I$6:$I$65536)</f>
        <v>0</v>
      </c>
      <c r="F7" s="340" t="s">
        <v>754</v>
      </c>
      <c r="G7" s="341">
        <f t="shared" si="0"/>
        <v>0</v>
      </c>
      <c r="H7" s="322"/>
      <c r="I7" s="342"/>
      <c r="J7" s="263"/>
      <c r="K7" s="263"/>
      <c r="L7" s="263"/>
      <c r="M7" s="263"/>
      <c r="N7" s="263"/>
      <c r="O7" s="263"/>
      <c r="P7" s="263"/>
      <c r="Q7" s="263"/>
      <c r="R7" s="263"/>
      <c r="S7" s="263"/>
      <c r="T7" s="263"/>
      <c r="U7" s="264"/>
    </row>
    <row r="8" ht="17.25" customHeight="1" spans="1:23">
      <c r="A8" s="335">
        <f>会计科目!H6</f>
        <v>1012</v>
      </c>
      <c r="B8" s="336" t="str">
        <f>会计科目!I6</f>
        <v>其他货币资金</v>
      </c>
      <c r="C8" s="337">
        <f>HLOOKUP(MONTH(基础信息!$D$4)-1,$I$5:$U$74,ROW(A4))</f>
        <v>0</v>
      </c>
      <c r="D8" s="338">
        <f>SUMIF(凭证录入!$F$6:$F$65536,科目余额表!$B8,凭证录入!$H$6:$H$65536)</f>
        <v>0</v>
      </c>
      <c r="E8" s="339">
        <f>SUMIF(凭证录入!$F$6:$F$65536,科目余额表!$B8,凭证录入!$I$6:$I$65536)</f>
        <v>0</v>
      </c>
      <c r="F8" s="340" t="s">
        <v>754</v>
      </c>
      <c r="G8" s="341">
        <f t="shared" si="0"/>
        <v>0</v>
      </c>
      <c r="H8" s="322"/>
      <c r="I8" s="342"/>
      <c r="J8" s="263"/>
      <c r="K8" s="263"/>
      <c r="L8" s="263"/>
      <c r="M8" s="263"/>
      <c r="N8" s="263"/>
      <c r="O8" s="263"/>
      <c r="P8" s="263"/>
      <c r="Q8" s="263"/>
      <c r="R8" s="263"/>
      <c r="S8" s="263"/>
      <c r="T8" s="263"/>
      <c r="U8" s="264"/>
    </row>
    <row r="9" ht="17.25" customHeight="1" spans="1:23">
      <c r="A9" s="335">
        <f>会计科目!H7</f>
        <v>1101</v>
      </c>
      <c r="B9" s="336" t="str">
        <f>会计科目!I7</f>
        <v>短期投资</v>
      </c>
      <c r="C9" s="337">
        <f>HLOOKUP(MONTH(基础信息!$D$4)-1,$I$5:$U$74,ROW(A5))</f>
        <v>0</v>
      </c>
      <c r="D9" s="338">
        <f>SUMIF(凭证录入!$F$6:$F$65536,科目余额表!$B9,凭证录入!$H$6:$H$65536)</f>
        <v>0</v>
      </c>
      <c r="E9" s="339">
        <f>SUMIF(凭证录入!$F$6:$F$65536,科目余额表!$B9,凭证录入!$I$6:$I$65536)</f>
        <v>0</v>
      </c>
      <c r="F9" s="340" t="s">
        <v>754</v>
      </c>
      <c r="G9" s="341">
        <f t="shared" si="0"/>
        <v>0</v>
      </c>
      <c r="H9" s="322"/>
      <c r="I9" s="342"/>
      <c r="J9" s="263"/>
      <c r="K9" s="263"/>
      <c r="L9" s="263"/>
      <c r="M9" s="263"/>
      <c r="N9" s="263"/>
      <c r="O9" s="263"/>
      <c r="P9" s="263"/>
      <c r="Q9" s="263"/>
      <c r="R9" s="263"/>
      <c r="S9" s="263"/>
      <c r="T9" s="263"/>
      <c r="U9" s="264"/>
    </row>
    <row r="10" ht="17.25" customHeight="1" spans="1:23">
      <c r="A10" s="335">
        <f>会计科目!H8</f>
        <v>1121</v>
      </c>
      <c r="B10" s="336" t="str">
        <f>会计科目!I8</f>
        <v>应收票据</v>
      </c>
      <c r="C10" s="337">
        <f>HLOOKUP(MONTH(基础信息!$D$4)-1,$I$5:$U$74,ROW(A6))</f>
        <v>0</v>
      </c>
      <c r="D10" s="338">
        <f>SUMIF(凭证录入!$F$6:$F$65536,科目余额表!$B10,凭证录入!$H$6:$H$65536)</f>
        <v>0</v>
      </c>
      <c r="E10" s="339">
        <f>SUMIF(凭证录入!$F$6:$F$65536,科目余额表!$B10,凭证录入!$I$6:$I$65536)</f>
        <v>0</v>
      </c>
      <c r="F10" s="340" t="s">
        <v>754</v>
      </c>
      <c r="G10" s="341">
        <f t="shared" si="0"/>
        <v>0</v>
      </c>
      <c r="H10" s="322"/>
      <c r="I10" s="342"/>
      <c r="J10" s="263"/>
      <c r="K10" s="263"/>
      <c r="L10" s="263"/>
      <c r="M10" s="263"/>
      <c r="N10" s="263"/>
      <c r="O10" s="263"/>
      <c r="P10" s="263"/>
      <c r="Q10" s="263"/>
      <c r="R10" s="263"/>
      <c r="S10" s="263"/>
      <c r="T10" s="263"/>
      <c r="U10" s="264"/>
    </row>
    <row r="11" ht="17.25" customHeight="1" spans="1:23">
      <c r="A11" s="335">
        <f>会计科目!H9</f>
        <v>1122</v>
      </c>
      <c r="B11" s="336" t="str">
        <f>会计科目!I9</f>
        <v>应收账款</v>
      </c>
      <c r="C11" s="337">
        <f>HLOOKUP(MONTH(基础信息!$D$4)-1,$I$5:$U$74,ROW(A7))</f>
        <v>0</v>
      </c>
      <c r="D11" s="338">
        <f>SUMIF(凭证录入!$F$6:$F$65536,科目余额表!$B11,凭证录入!$H$6:$H$65536)</f>
        <v>0</v>
      </c>
      <c r="E11" s="339">
        <f>SUMIF(凭证录入!$F$6:$F$65536,科目余额表!$B11,凭证录入!$I$6:$I$65536)</f>
        <v>0</v>
      </c>
      <c r="F11" s="340" t="s">
        <v>754</v>
      </c>
      <c r="G11" s="341">
        <f t="shared" si="0"/>
        <v>0</v>
      </c>
      <c r="H11" s="322"/>
      <c r="I11" s="342"/>
      <c r="J11" s="263"/>
      <c r="K11" s="263"/>
      <c r="L11" s="263"/>
      <c r="M11" s="263"/>
      <c r="N11" s="263"/>
      <c r="O11" s="263"/>
      <c r="P11" s="263"/>
      <c r="Q11" s="263"/>
      <c r="R11" s="263"/>
      <c r="S11" s="263"/>
      <c r="T11" s="263"/>
      <c r="U11" s="264"/>
    </row>
    <row r="12" ht="17.25" customHeight="1" spans="1:23">
      <c r="A12" s="335">
        <f>会计科目!H10</f>
        <v>1123</v>
      </c>
      <c r="B12" s="336" t="str">
        <f>会计科目!I10</f>
        <v>预付账款</v>
      </c>
      <c r="C12" s="337">
        <f>HLOOKUP(MONTH(基础信息!$D$4)-1,$I$5:$U$74,ROW(A8))</f>
        <v>0</v>
      </c>
      <c r="D12" s="338">
        <f>SUMIF(凭证录入!$F$6:$F$65536,科目余额表!$B12,凭证录入!$H$6:$H$65536)</f>
        <v>0</v>
      </c>
      <c r="E12" s="339">
        <f>SUMIF(凭证录入!$F$6:$F$65536,科目余额表!$B12,凭证录入!$I$6:$I$65536)</f>
        <v>0</v>
      </c>
      <c r="F12" s="340" t="s">
        <v>754</v>
      </c>
      <c r="G12" s="341">
        <f t="shared" si="0"/>
        <v>0</v>
      </c>
      <c r="H12" s="322"/>
      <c r="I12" s="342"/>
      <c r="J12" s="263"/>
      <c r="K12" s="263"/>
      <c r="L12" s="263"/>
      <c r="M12" s="263"/>
      <c r="N12" s="263"/>
      <c r="O12" s="263"/>
      <c r="P12" s="263"/>
      <c r="Q12" s="263"/>
      <c r="R12" s="263"/>
      <c r="S12" s="263"/>
      <c r="T12" s="263"/>
      <c r="U12" s="264"/>
    </row>
    <row r="13" ht="17.25" customHeight="1" spans="1:23">
      <c r="A13" s="335">
        <f>会计科目!H11</f>
        <v>1131</v>
      </c>
      <c r="B13" s="336" t="str">
        <f>会计科目!I11</f>
        <v>应收股利</v>
      </c>
      <c r="C13" s="337">
        <f>HLOOKUP(MONTH(基础信息!$D$4)-1,$I$5:$U$74,ROW(A9))</f>
        <v>0</v>
      </c>
      <c r="D13" s="338">
        <f>SUMIF(凭证录入!$F$6:$F$65536,科目余额表!$B13,凭证录入!$H$6:$H$65536)</f>
        <v>0</v>
      </c>
      <c r="E13" s="339">
        <f>SUMIF(凭证录入!$F$6:$F$65536,科目余额表!$B13,凭证录入!$I$6:$I$65536)</f>
        <v>0</v>
      </c>
      <c r="F13" s="340" t="s">
        <v>754</v>
      </c>
      <c r="G13" s="341">
        <f t="shared" si="0"/>
        <v>0</v>
      </c>
      <c r="H13" s="322"/>
      <c r="I13" s="342"/>
      <c r="J13" s="263"/>
      <c r="K13" s="263"/>
      <c r="L13" s="263"/>
      <c r="M13" s="263"/>
      <c r="N13" s="263"/>
      <c r="O13" s="263"/>
      <c r="P13" s="263"/>
      <c r="Q13" s="263"/>
      <c r="R13" s="263"/>
      <c r="S13" s="263"/>
      <c r="T13" s="263"/>
      <c r="U13" s="264"/>
    </row>
    <row r="14" ht="17.25" customHeight="1" spans="1:23">
      <c r="A14" s="335">
        <f>会计科目!H12</f>
        <v>1132</v>
      </c>
      <c r="B14" s="336" t="str">
        <f>会计科目!I12</f>
        <v>应收利息</v>
      </c>
      <c r="C14" s="337">
        <f>HLOOKUP(MONTH(基础信息!$D$4)-1,$I$5:$U$74,ROW(A10))</f>
        <v>0</v>
      </c>
      <c r="D14" s="338">
        <f>SUMIF(凭证录入!$F$6:$F$65536,科目余额表!$B14,凭证录入!$H$6:$H$65536)</f>
        <v>0</v>
      </c>
      <c r="E14" s="339">
        <f>SUMIF(凭证录入!$F$6:$F$65536,科目余额表!$B14,凭证录入!$I$6:$I$65536)</f>
        <v>0</v>
      </c>
      <c r="F14" s="340" t="s">
        <v>754</v>
      </c>
      <c r="G14" s="341">
        <f t="shared" si="0"/>
        <v>0</v>
      </c>
      <c r="H14" s="322"/>
      <c r="I14" s="342"/>
      <c r="J14" s="263"/>
      <c r="K14" s="263"/>
      <c r="L14" s="263"/>
      <c r="M14" s="263"/>
      <c r="N14" s="263"/>
      <c r="O14" s="263"/>
      <c r="P14" s="263"/>
      <c r="Q14" s="263"/>
      <c r="R14" s="263"/>
      <c r="S14" s="263"/>
      <c r="T14" s="263"/>
      <c r="U14" s="264"/>
    </row>
    <row r="15" ht="17.25" customHeight="1" spans="1:23">
      <c r="A15" s="335">
        <f>会计科目!H13</f>
        <v>1221</v>
      </c>
      <c r="B15" s="336" t="str">
        <f>会计科目!I13</f>
        <v>其他应收款</v>
      </c>
      <c r="C15" s="337">
        <f>HLOOKUP(MONTH(基础信息!$D$4)-1,$I$5:$U$74,ROW(A11))</f>
        <v>0</v>
      </c>
      <c r="D15" s="338">
        <f>SUMIF(凭证录入!$F$6:$F$65536,科目余额表!$B15,凭证录入!$H$6:$H$65536)</f>
        <v>0</v>
      </c>
      <c r="E15" s="339">
        <f>SUMIF(凭证录入!$F$6:$F$65536,科目余额表!$B15,凭证录入!$I$6:$I$65536)</f>
        <v>44440</v>
      </c>
      <c r="F15" s="340" t="s">
        <v>754</v>
      </c>
      <c r="G15" s="341">
        <f t="shared" si="0"/>
        <v>-44440</v>
      </c>
      <c r="H15" s="322"/>
      <c r="I15" s="342"/>
      <c r="J15" s="263"/>
      <c r="K15" s="263"/>
      <c r="L15" s="263"/>
      <c r="M15" s="263"/>
      <c r="N15" s="263"/>
      <c r="O15" s="263"/>
      <c r="P15" s="263"/>
      <c r="Q15" s="263"/>
      <c r="R15" s="263"/>
      <c r="S15" s="263"/>
      <c r="T15" s="263"/>
      <c r="U15" s="264"/>
    </row>
    <row r="16" ht="17.25" customHeight="1" spans="1:23">
      <c r="A16" s="335">
        <f>会计科目!H14</f>
        <v>1401</v>
      </c>
      <c r="B16" s="336" t="str">
        <f>会计科目!I14</f>
        <v>材料采购</v>
      </c>
      <c r="C16" s="337">
        <f>HLOOKUP(MONTH(基础信息!$D$4)-1,$I$5:$U$74,ROW(A12))</f>
        <v>0</v>
      </c>
      <c r="D16" s="338">
        <f>SUMIF(凭证录入!$F$6:$F$65536,科目余额表!$B16,凭证录入!$H$6:$H$65536)</f>
        <v>0</v>
      </c>
      <c r="E16" s="339">
        <f>SUMIF(凭证录入!$F$6:$F$65536,科目余额表!$B16,凭证录入!$I$6:$I$65536)</f>
        <v>0</v>
      </c>
      <c r="F16" s="340" t="s">
        <v>754</v>
      </c>
      <c r="G16" s="341">
        <f t="shared" si="0"/>
        <v>0</v>
      </c>
      <c r="H16" s="322"/>
      <c r="I16" s="342"/>
      <c r="J16" s="263"/>
      <c r="K16" s="263"/>
      <c r="L16" s="263"/>
      <c r="M16" s="263"/>
      <c r="N16" s="263"/>
      <c r="O16" s="263"/>
      <c r="P16" s="263"/>
      <c r="Q16" s="263"/>
      <c r="R16" s="263"/>
      <c r="S16" s="263"/>
      <c r="T16" s="263"/>
      <c r="U16" s="264"/>
    </row>
    <row r="17" ht="17.25" customHeight="1" spans="1:21">
      <c r="A17" s="335">
        <f>会计科目!H15</f>
        <v>1402</v>
      </c>
      <c r="B17" s="336" t="str">
        <f>会计科目!I15</f>
        <v>在途物资</v>
      </c>
      <c r="C17" s="337">
        <f>HLOOKUP(MONTH(基础信息!$D$4)-1,$I$5:$U$74,ROW(A13))</f>
        <v>0</v>
      </c>
      <c r="D17" s="338">
        <f>SUMIF(凭证录入!$F$6:$F$65536,科目余额表!$B17,凭证录入!$H$6:$H$65536)</f>
        <v>0</v>
      </c>
      <c r="E17" s="339">
        <f>SUMIF(凭证录入!$F$6:$F$65536,科目余额表!$B17,凭证录入!$I$6:$I$65536)</f>
        <v>0</v>
      </c>
      <c r="F17" s="340" t="s">
        <v>754</v>
      </c>
      <c r="G17" s="341">
        <f t="shared" si="0"/>
        <v>0</v>
      </c>
      <c r="H17" s="322"/>
      <c r="I17" s="342"/>
      <c r="J17" s="263"/>
      <c r="K17" s="263"/>
      <c r="L17" s="263"/>
      <c r="M17" s="263"/>
      <c r="N17" s="263"/>
      <c r="O17" s="263"/>
      <c r="P17" s="263"/>
      <c r="Q17" s="263"/>
      <c r="R17" s="263"/>
      <c r="S17" s="263"/>
      <c r="T17" s="263"/>
      <c r="U17" s="264"/>
    </row>
    <row r="18" ht="17.25" customHeight="1" spans="1:21">
      <c r="A18" s="335">
        <f>会计科目!H16</f>
        <v>1403</v>
      </c>
      <c r="B18" s="336" t="str">
        <f>会计科目!I16</f>
        <v>原材料</v>
      </c>
      <c r="C18" s="337">
        <f>HLOOKUP(MONTH(基础信息!$D$4)-1,$I$5:$U$74,ROW(A14))</f>
        <v>0</v>
      </c>
      <c r="D18" s="338">
        <f>SUMIF(凭证录入!$F$6:$F$65536,科目余额表!$B18,凭证录入!$H$6:$H$65536)</f>
        <v>0</v>
      </c>
      <c r="E18" s="339">
        <f>SUMIF(凭证录入!$F$6:$F$65536,科目余额表!$B18,凭证录入!$I$6:$I$65536)</f>
        <v>0</v>
      </c>
      <c r="F18" s="340" t="s">
        <v>754</v>
      </c>
      <c r="G18" s="341">
        <f t="shared" si="0"/>
        <v>0</v>
      </c>
      <c r="H18" s="322"/>
      <c r="I18" s="342"/>
      <c r="J18" s="263"/>
      <c r="K18" s="263"/>
      <c r="L18" s="263"/>
      <c r="M18" s="263"/>
      <c r="N18" s="263"/>
      <c r="O18" s="263"/>
      <c r="P18" s="263"/>
      <c r="Q18" s="263"/>
      <c r="R18" s="263"/>
      <c r="S18" s="263"/>
      <c r="T18" s="263"/>
      <c r="U18" s="264"/>
    </row>
    <row r="19" ht="17.25" customHeight="1" spans="1:21">
      <c r="A19" s="335">
        <f>会计科目!H17</f>
        <v>1404</v>
      </c>
      <c r="B19" s="336" t="str">
        <f>会计科目!I17</f>
        <v>材料成本差异</v>
      </c>
      <c r="C19" s="337">
        <f>HLOOKUP(MONTH(基础信息!$D$4)-1,$I$5:$U$74,ROW(A15))</f>
        <v>0</v>
      </c>
      <c r="D19" s="338">
        <f>SUMIF(凭证录入!$F$6:$F$65536,科目余额表!$B19,凭证录入!$H$6:$H$65536)</f>
        <v>0</v>
      </c>
      <c r="E19" s="339">
        <f>SUMIF(凭证录入!$F$6:$F$65536,科目余额表!$B19,凭证录入!$I$6:$I$65536)</f>
        <v>0</v>
      </c>
      <c r="F19" s="340" t="s">
        <v>754</v>
      </c>
      <c r="G19" s="341">
        <f t="shared" si="0"/>
        <v>0</v>
      </c>
      <c r="H19" s="322"/>
      <c r="I19" s="342"/>
      <c r="J19" s="263"/>
      <c r="K19" s="263"/>
      <c r="L19" s="263"/>
      <c r="M19" s="263"/>
      <c r="N19" s="263"/>
      <c r="O19" s="263"/>
      <c r="P19" s="263"/>
      <c r="Q19" s="263"/>
      <c r="R19" s="263"/>
      <c r="S19" s="263"/>
      <c r="T19" s="263"/>
      <c r="U19" s="264"/>
    </row>
    <row r="20" ht="17.25" customHeight="1" spans="1:21">
      <c r="A20" s="335">
        <f>会计科目!H18</f>
        <v>1405</v>
      </c>
      <c r="B20" s="336" t="str">
        <f>会计科目!I18</f>
        <v>库存商品</v>
      </c>
      <c r="C20" s="337">
        <f>HLOOKUP(MONTH(基础信息!$D$4)-1,$I$5:$U$74,ROW(A16))</f>
        <v>0</v>
      </c>
      <c r="D20" s="338">
        <f>SUMIF(凭证录入!$F$6:$F$65536,科目余额表!$B20,凭证录入!$H$6:$H$65536)</f>
        <v>0</v>
      </c>
      <c r="E20" s="339">
        <f>SUMIF(凭证录入!$F$6:$F$65536,科目余额表!$B20,凭证录入!$I$6:$I$65536)</f>
        <v>0</v>
      </c>
      <c r="F20" s="340" t="s">
        <v>754</v>
      </c>
      <c r="G20" s="341">
        <f t="shared" si="0"/>
        <v>0</v>
      </c>
      <c r="H20" s="322"/>
      <c r="I20" s="342"/>
      <c r="J20" s="263"/>
      <c r="K20" s="263"/>
      <c r="L20" s="263"/>
      <c r="M20" s="263"/>
      <c r="N20" s="263"/>
      <c r="O20" s="263"/>
      <c r="P20" s="263"/>
      <c r="Q20" s="263"/>
      <c r="R20" s="263"/>
      <c r="S20" s="263"/>
      <c r="T20" s="263"/>
      <c r="U20" s="264"/>
    </row>
    <row r="21" ht="17.25" customHeight="1" spans="1:21">
      <c r="A21" s="335">
        <f>会计科目!H19</f>
        <v>1407</v>
      </c>
      <c r="B21" s="336" t="str">
        <f>会计科目!I19</f>
        <v>商品进销差价</v>
      </c>
      <c r="C21" s="337">
        <f>HLOOKUP(MONTH(基础信息!$D$4)-1,$I$5:$U$74,ROW(A17))</f>
        <v>0</v>
      </c>
      <c r="D21" s="338">
        <f>SUMIF(凭证录入!$F$6:$F$65536,科目余额表!$B21,凭证录入!$H$6:$H$65536)</f>
        <v>0</v>
      </c>
      <c r="E21" s="339">
        <f>SUMIF(凭证录入!$F$6:$F$65536,科目余额表!$B21,凭证录入!$I$6:$I$65536)</f>
        <v>0</v>
      </c>
      <c r="F21" s="340" t="s">
        <v>755</v>
      </c>
      <c r="G21" s="341">
        <f t="shared" si="0"/>
        <v>0</v>
      </c>
      <c r="H21" s="322"/>
      <c r="I21" s="342"/>
      <c r="J21" s="263"/>
      <c r="K21" s="263"/>
      <c r="L21" s="263"/>
      <c r="M21" s="263"/>
      <c r="N21" s="263"/>
      <c r="O21" s="263"/>
      <c r="P21" s="263"/>
      <c r="Q21" s="263"/>
      <c r="R21" s="263"/>
      <c r="S21" s="263"/>
      <c r="T21" s="263"/>
      <c r="U21" s="264"/>
    </row>
    <row r="22" ht="17.25" customHeight="1" spans="1:21">
      <c r="A22" s="335">
        <f>会计科目!H20</f>
        <v>1408</v>
      </c>
      <c r="B22" s="336" t="str">
        <f>会计科目!I20</f>
        <v>委托加工物资</v>
      </c>
      <c r="C22" s="337">
        <f>HLOOKUP(MONTH(基础信息!$D$4)-1,$I$5:$U$74,ROW(A18))</f>
        <v>0</v>
      </c>
      <c r="D22" s="338">
        <f>SUMIF(凭证录入!$F$6:$F$65536,科目余额表!$B22,凭证录入!$H$6:$H$65536)</f>
        <v>0</v>
      </c>
      <c r="E22" s="339">
        <f>SUMIF(凭证录入!$F$6:$F$65536,科目余额表!$B22,凭证录入!$I$6:$I$65536)</f>
        <v>0</v>
      </c>
      <c r="F22" s="340" t="s">
        <v>754</v>
      </c>
      <c r="G22" s="341">
        <f t="shared" si="0"/>
        <v>0</v>
      </c>
      <c r="H22" s="322"/>
      <c r="I22" s="342"/>
      <c r="J22" s="263"/>
      <c r="K22" s="263"/>
      <c r="L22" s="263"/>
      <c r="M22" s="263"/>
      <c r="N22" s="263"/>
      <c r="O22" s="263"/>
      <c r="P22" s="263"/>
      <c r="Q22" s="263"/>
      <c r="R22" s="263"/>
      <c r="S22" s="263"/>
      <c r="T22" s="263"/>
      <c r="U22" s="264"/>
    </row>
    <row r="23" ht="17.25" customHeight="1" spans="1:21">
      <c r="A23" s="335">
        <f>会计科目!H21</f>
        <v>1411</v>
      </c>
      <c r="B23" s="336" t="str">
        <f>会计科目!I21</f>
        <v>周转材料</v>
      </c>
      <c r="C23" s="337">
        <f>HLOOKUP(MONTH(基础信息!$D$4)-1,$I$5:$U$74,ROW(A19))</f>
        <v>0</v>
      </c>
      <c r="D23" s="338">
        <f>SUMIF(凭证录入!$F$6:$F$65536,科目余额表!$B23,凭证录入!$H$6:$H$65536)</f>
        <v>0</v>
      </c>
      <c r="E23" s="339">
        <f>SUMIF(凭证录入!$F$6:$F$65536,科目余额表!$B23,凭证录入!$I$6:$I$65536)</f>
        <v>0</v>
      </c>
      <c r="F23" s="340" t="s">
        <v>754</v>
      </c>
      <c r="G23" s="341">
        <f t="shared" si="0"/>
        <v>0</v>
      </c>
      <c r="H23" s="322"/>
      <c r="I23" s="342"/>
      <c r="J23" s="263"/>
      <c r="K23" s="263"/>
      <c r="L23" s="263"/>
      <c r="M23" s="263"/>
      <c r="N23" s="263"/>
      <c r="O23" s="263"/>
      <c r="P23" s="263"/>
      <c r="Q23" s="263"/>
      <c r="R23" s="263"/>
      <c r="S23" s="263"/>
      <c r="T23" s="263"/>
      <c r="U23" s="264"/>
    </row>
    <row r="24" ht="17.25" customHeight="1" spans="1:21">
      <c r="A24" s="335">
        <f>会计科目!H22</f>
        <v>1421</v>
      </c>
      <c r="B24" s="336" t="str">
        <f>会计科目!I22</f>
        <v>消耗性生物资产</v>
      </c>
      <c r="C24" s="337">
        <f>HLOOKUP(MONTH(基础信息!$D$4)-1,$I$5:$U$74,ROW(A20))</f>
        <v>0</v>
      </c>
      <c r="D24" s="338">
        <f>SUMIF(凭证录入!$F$6:$F$65536,科目余额表!$B24,凭证录入!$H$6:$H$65536)</f>
        <v>0</v>
      </c>
      <c r="E24" s="339">
        <f>SUMIF(凭证录入!$F$6:$F$65536,科目余额表!$B24,凭证录入!$I$6:$I$65536)</f>
        <v>0</v>
      </c>
      <c r="F24" s="340" t="s">
        <v>754</v>
      </c>
      <c r="G24" s="341">
        <f t="shared" si="0"/>
        <v>0</v>
      </c>
      <c r="H24" s="322"/>
      <c r="I24" s="342"/>
      <c r="J24" s="263"/>
      <c r="K24" s="263"/>
      <c r="L24" s="263"/>
      <c r="M24" s="263"/>
      <c r="N24" s="263"/>
      <c r="O24" s="263"/>
      <c r="P24" s="263"/>
      <c r="Q24" s="263"/>
      <c r="R24" s="263"/>
      <c r="S24" s="263"/>
      <c r="T24" s="263"/>
      <c r="U24" s="264"/>
    </row>
    <row r="25" ht="17.25" customHeight="1" spans="1:21">
      <c r="A25" s="335">
        <f>会计科目!H23</f>
        <v>1501</v>
      </c>
      <c r="B25" s="336" t="str">
        <f>会计科目!I23</f>
        <v>长期债券投资</v>
      </c>
      <c r="C25" s="337">
        <f>HLOOKUP(MONTH(基础信息!$D$4)-1,$I$5:$U$74,ROW(A21))</f>
        <v>0</v>
      </c>
      <c r="D25" s="338">
        <f>SUMIF(凭证录入!$F$6:$F$65536,科目余额表!$B25,凭证录入!$H$6:$H$65536)</f>
        <v>0</v>
      </c>
      <c r="E25" s="339">
        <f>SUMIF(凭证录入!$F$6:$F$65536,科目余额表!$B25,凭证录入!$I$6:$I$65536)</f>
        <v>0</v>
      </c>
      <c r="F25" s="340" t="s">
        <v>754</v>
      </c>
      <c r="G25" s="341">
        <f t="shared" si="0"/>
        <v>0</v>
      </c>
      <c r="H25" s="322"/>
      <c r="I25" s="342"/>
      <c r="J25" s="263"/>
      <c r="K25" s="263"/>
      <c r="L25" s="263"/>
      <c r="M25" s="263"/>
      <c r="N25" s="263"/>
      <c r="O25" s="263"/>
      <c r="P25" s="263"/>
      <c r="Q25" s="263"/>
      <c r="R25" s="263"/>
      <c r="S25" s="263"/>
      <c r="T25" s="263"/>
      <c r="U25" s="264"/>
    </row>
    <row r="26" ht="17.25" customHeight="1" spans="1:21">
      <c r="A26" s="335">
        <f>会计科目!H24</f>
        <v>1511</v>
      </c>
      <c r="B26" s="336" t="str">
        <f>会计科目!I24</f>
        <v>长期股权投资</v>
      </c>
      <c r="C26" s="337">
        <f>HLOOKUP(MONTH(基础信息!$D$4)-1,$I$5:$U$74,ROW(A22))</f>
        <v>0</v>
      </c>
      <c r="D26" s="338">
        <f>SUMIF(凭证录入!$F$6:$F$65536,科目余额表!$B26,凭证录入!$H$6:$H$65536)</f>
        <v>0</v>
      </c>
      <c r="E26" s="339">
        <f>SUMIF(凭证录入!$F$6:$F$65536,科目余额表!$B26,凭证录入!$I$6:$I$65536)</f>
        <v>0</v>
      </c>
      <c r="F26" s="340" t="s">
        <v>754</v>
      </c>
      <c r="G26" s="341">
        <f t="shared" si="0"/>
        <v>0</v>
      </c>
      <c r="H26" s="322"/>
      <c r="I26" s="342"/>
      <c r="J26" s="263"/>
      <c r="K26" s="263"/>
      <c r="L26" s="263"/>
      <c r="M26" s="263"/>
      <c r="N26" s="263"/>
      <c r="O26" s="263"/>
      <c r="P26" s="263"/>
      <c r="Q26" s="263"/>
      <c r="R26" s="263"/>
      <c r="S26" s="263"/>
      <c r="T26" s="263"/>
      <c r="U26" s="264"/>
    </row>
    <row r="27" ht="17.25" customHeight="1" spans="1:21">
      <c r="A27" s="335">
        <f>会计科目!H25</f>
        <v>1601</v>
      </c>
      <c r="B27" s="336" t="str">
        <f>会计科目!I25</f>
        <v>固定资产</v>
      </c>
      <c r="C27" s="337">
        <f>HLOOKUP(MONTH(基础信息!$D$4)-1,$I$5:$U$74,ROW(A23))</f>
        <v>0</v>
      </c>
      <c r="D27" s="338">
        <f>SUMIF(凭证录入!$F$6:$F$65536,科目余额表!$B27,凭证录入!$H$6:$H$65536)</f>
        <v>3100843</v>
      </c>
      <c r="E27" s="339">
        <f>SUMIF(凭证录入!$F$6:$F$65536,科目余额表!$B27,凭证录入!$I$6:$I$65536)</f>
        <v>0</v>
      </c>
      <c r="F27" s="340" t="s">
        <v>754</v>
      </c>
      <c r="G27" s="341">
        <f t="shared" si="0"/>
        <v>3100843</v>
      </c>
      <c r="H27" s="322"/>
      <c r="I27" s="342"/>
      <c r="J27" s="263"/>
      <c r="K27" s="263"/>
      <c r="L27" s="263"/>
      <c r="M27" s="263"/>
      <c r="N27" s="263"/>
      <c r="O27" s="263"/>
      <c r="P27" s="263"/>
      <c r="Q27" s="263"/>
      <c r="R27" s="263"/>
      <c r="S27" s="263"/>
      <c r="T27" s="263"/>
      <c r="U27" s="264"/>
    </row>
    <row r="28" ht="17.25" customHeight="1" spans="1:21">
      <c r="A28" s="335">
        <f>会计科目!H26</f>
        <v>1602</v>
      </c>
      <c r="B28" s="336" t="str">
        <f>会计科目!I26</f>
        <v>累计折旧</v>
      </c>
      <c r="C28" s="337">
        <f>HLOOKUP(MONTH(基础信息!$D$4)-1,$I$5:$U$74,ROW(A24))</f>
        <v>0</v>
      </c>
      <c r="D28" s="338">
        <f>SUMIF(凭证录入!$F$6:$F$65536,科目余额表!$B28,凭证录入!$H$6:$H$65536)</f>
        <v>0</v>
      </c>
      <c r="E28" s="339">
        <f>SUMIF(凭证录入!$F$6:$F$65536,科目余额表!$B28,凭证录入!$I$6:$I$65536)</f>
        <v>0</v>
      </c>
      <c r="F28" s="340" t="s">
        <v>755</v>
      </c>
      <c r="G28" s="341">
        <f t="shared" si="0"/>
        <v>0</v>
      </c>
      <c r="H28" s="322"/>
      <c r="I28" s="342"/>
      <c r="J28" s="263"/>
      <c r="K28" s="263"/>
      <c r="L28" s="263"/>
      <c r="M28" s="263"/>
      <c r="N28" s="263"/>
      <c r="O28" s="263"/>
      <c r="P28" s="263"/>
      <c r="Q28" s="263"/>
      <c r="R28" s="263"/>
      <c r="S28" s="263"/>
      <c r="T28" s="263"/>
      <c r="U28" s="264"/>
    </row>
    <row r="29" ht="17.25" customHeight="1" spans="1:21">
      <c r="A29" s="335">
        <f>会计科目!H27</f>
        <v>1604</v>
      </c>
      <c r="B29" s="336" t="str">
        <f>会计科目!I27</f>
        <v>在建工程</v>
      </c>
      <c r="C29" s="337">
        <f>HLOOKUP(MONTH(基础信息!$D$4)-1,$I$5:$U$74,ROW(A25))</f>
        <v>0</v>
      </c>
      <c r="D29" s="338">
        <f>SUMIF(凭证录入!$F$6:$F$65536,科目余额表!$B29,凭证录入!$H$6:$H$65536)</f>
        <v>0</v>
      </c>
      <c r="E29" s="339">
        <f>SUMIF(凭证录入!$F$6:$F$65536,科目余额表!$B29,凭证录入!$I$6:$I$65536)</f>
        <v>0</v>
      </c>
      <c r="F29" s="340" t="s">
        <v>754</v>
      </c>
      <c r="G29" s="341">
        <f t="shared" si="0"/>
        <v>0</v>
      </c>
      <c r="H29" s="322"/>
      <c r="I29" s="342"/>
      <c r="J29" s="263"/>
      <c r="K29" s="263"/>
      <c r="L29" s="263"/>
      <c r="M29" s="263"/>
      <c r="N29" s="263"/>
      <c r="O29" s="263"/>
      <c r="P29" s="263"/>
      <c r="Q29" s="263"/>
      <c r="R29" s="263"/>
      <c r="S29" s="263"/>
      <c r="T29" s="263"/>
      <c r="U29" s="264"/>
    </row>
    <row r="30" ht="17.25" customHeight="1" spans="1:21">
      <c r="A30" s="335">
        <f>会计科目!H28</f>
        <v>1605</v>
      </c>
      <c r="B30" s="336" t="str">
        <f>会计科目!I28</f>
        <v>工程物资</v>
      </c>
      <c r="C30" s="337">
        <f>HLOOKUP(MONTH(基础信息!$D$4)-1,$I$5:$U$74,ROW(A26))</f>
        <v>0</v>
      </c>
      <c r="D30" s="338">
        <f>SUMIF(凭证录入!$F$6:$F$65536,科目余额表!$B30,凭证录入!$H$6:$H$65536)</f>
        <v>0</v>
      </c>
      <c r="E30" s="339">
        <f>SUMIF(凭证录入!$F$6:$F$65536,科目余额表!$B30,凭证录入!$I$6:$I$65536)</f>
        <v>0</v>
      </c>
      <c r="F30" s="340" t="s">
        <v>754</v>
      </c>
      <c r="G30" s="341">
        <f t="shared" si="0"/>
        <v>0</v>
      </c>
      <c r="H30" s="322"/>
      <c r="I30" s="342"/>
      <c r="J30" s="263"/>
      <c r="K30" s="263"/>
      <c r="L30" s="263"/>
      <c r="M30" s="263"/>
      <c r="N30" s="263"/>
      <c r="O30" s="263"/>
      <c r="P30" s="263"/>
      <c r="Q30" s="263"/>
      <c r="R30" s="263"/>
      <c r="S30" s="263"/>
      <c r="T30" s="263"/>
      <c r="U30" s="264"/>
    </row>
    <row r="31" ht="17.25" customHeight="1" spans="1:21">
      <c r="A31" s="335">
        <f>会计科目!H29</f>
        <v>1606</v>
      </c>
      <c r="B31" s="336" t="str">
        <f>会计科目!I29</f>
        <v>固定资产清理</v>
      </c>
      <c r="C31" s="337">
        <f>HLOOKUP(MONTH(基础信息!$D$4)-1,$I$5:$U$74,ROW(A27))</f>
        <v>0</v>
      </c>
      <c r="D31" s="338">
        <f>SUMIF(凭证录入!$F$6:$F$65536,科目余额表!$B31,凭证录入!$H$6:$H$65536)</f>
        <v>0</v>
      </c>
      <c r="E31" s="339">
        <f>SUMIF(凭证录入!$F$6:$F$65536,科目余额表!$B31,凭证录入!$I$6:$I$65536)</f>
        <v>0</v>
      </c>
      <c r="F31" s="340" t="s">
        <v>754</v>
      </c>
      <c r="G31" s="341">
        <f t="shared" si="0"/>
        <v>0</v>
      </c>
      <c r="H31" s="322"/>
      <c r="I31" s="342"/>
      <c r="J31" s="263"/>
      <c r="K31" s="263"/>
      <c r="L31" s="263"/>
      <c r="M31" s="263"/>
      <c r="N31" s="263"/>
      <c r="O31" s="263"/>
      <c r="P31" s="263"/>
      <c r="Q31" s="263"/>
      <c r="R31" s="263"/>
      <c r="S31" s="263"/>
      <c r="T31" s="263"/>
      <c r="U31" s="264"/>
    </row>
    <row r="32" ht="17.25" customHeight="1" spans="1:21">
      <c r="A32" s="335">
        <f>会计科目!H30</f>
        <v>1621</v>
      </c>
      <c r="B32" s="336" t="str">
        <f>会计科目!I30</f>
        <v>生产性生物资产</v>
      </c>
      <c r="C32" s="337">
        <f>HLOOKUP(MONTH(基础信息!$D$4)-1,$I$5:$U$74,ROW(A28))</f>
        <v>0</v>
      </c>
      <c r="D32" s="338">
        <f>SUMIF(凭证录入!$F$6:$F$65536,科目余额表!$B32,凭证录入!$H$6:$H$65536)</f>
        <v>0</v>
      </c>
      <c r="E32" s="339">
        <f>SUMIF(凭证录入!$F$6:$F$65536,科目余额表!$B32,凭证录入!$I$6:$I$65536)</f>
        <v>0</v>
      </c>
      <c r="F32" s="340" t="s">
        <v>754</v>
      </c>
      <c r="G32" s="341">
        <f t="shared" si="0"/>
        <v>0</v>
      </c>
      <c r="H32" s="322"/>
      <c r="I32" s="342"/>
      <c r="J32" s="263"/>
      <c r="K32" s="263"/>
      <c r="L32" s="263"/>
      <c r="M32" s="263"/>
      <c r="N32" s="263"/>
      <c r="O32" s="263"/>
      <c r="P32" s="263"/>
      <c r="Q32" s="263"/>
      <c r="R32" s="263"/>
      <c r="S32" s="263"/>
      <c r="T32" s="263"/>
      <c r="U32" s="264"/>
    </row>
    <row r="33" ht="17.25" customHeight="1" spans="1:21">
      <c r="A33" s="335">
        <f>会计科目!H31</f>
        <v>1622</v>
      </c>
      <c r="B33" s="336" t="str">
        <f>会计科目!I31</f>
        <v>生产性生物资产累计折旧</v>
      </c>
      <c r="C33" s="337">
        <f>HLOOKUP(MONTH(基础信息!$D$4)-1,$I$5:$U$74,ROW(A29))</f>
        <v>0</v>
      </c>
      <c r="D33" s="338">
        <f>SUMIF(凭证录入!$F$6:$F$65536,科目余额表!$B33,凭证录入!$H$6:$H$65536)</f>
        <v>0</v>
      </c>
      <c r="E33" s="339">
        <f>SUMIF(凭证录入!$F$6:$F$65536,科目余额表!$B33,凭证录入!$I$6:$I$65536)</f>
        <v>0</v>
      </c>
      <c r="F33" s="340" t="s">
        <v>755</v>
      </c>
      <c r="G33" s="341">
        <f t="shared" si="0"/>
        <v>0</v>
      </c>
      <c r="H33" s="322"/>
      <c r="I33" s="342"/>
      <c r="J33" s="263"/>
      <c r="K33" s="263"/>
      <c r="L33" s="263"/>
      <c r="M33" s="263"/>
      <c r="N33" s="263"/>
      <c r="O33" s="263"/>
      <c r="P33" s="263"/>
      <c r="Q33" s="263"/>
      <c r="R33" s="263"/>
      <c r="S33" s="263"/>
      <c r="T33" s="263"/>
      <c r="U33" s="264"/>
    </row>
    <row r="34" ht="17.25" customHeight="1" spans="1:21">
      <c r="A34" s="335">
        <f>会计科目!H32</f>
        <v>1631</v>
      </c>
      <c r="B34" s="336" t="str">
        <f>会计科目!I32</f>
        <v>临时设施</v>
      </c>
      <c r="C34" s="337">
        <f>HLOOKUP(MONTH(基础信息!$D$4)-1,$I$5:$U$74,ROW(A30))</f>
        <v>0</v>
      </c>
      <c r="D34" s="338">
        <f>SUMIF(凭证录入!$F$6:$F$65536,科目余额表!$B34,凭证录入!$H$6:$H$65536)</f>
        <v>0</v>
      </c>
      <c r="E34" s="339">
        <f>SUMIF(凭证录入!$F$6:$F$65536,科目余额表!$B34,凭证录入!$I$6:$I$65536)</f>
        <v>0</v>
      </c>
      <c r="F34" s="340" t="s">
        <v>754</v>
      </c>
      <c r="G34" s="341">
        <f t="shared" si="0"/>
        <v>0</v>
      </c>
      <c r="H34" s="322"/>
      <c r="I34" s="342"/>
      <c r="J34" s="263"/>
      <c r="K34" s="263"/>
      <c r="L34" s="263"/>
      <c r="M34" s="263"/>
      <c r="N34" s="263"/>
      <c r="O34" s="263"/>
      <c r="P34" s="263"/>
      <c r="Q34" s="263"/>
      <c r="R34" s="263"/>
      <c r="S34" s="263"/>
      <c r="T34" s="263"/>
      <c r="U34" s="264"/>
    </row>
    <row r="35" ht="17.25" customHeight="1" spans="1:21">
      <c r="A35" s="335">
        <f>会计科目!H33</f>
        <v>1632</v>
      </c>
      <c r="B35" s="336" t="str">
        <f>会计科目!I33</f>
        <v>临时设施累计折旧</v>
      </c>
      <c r="C35" s="337">
        <f>HLOOKUP(MONTH(基础信息!$D$4)-1,$I$5:$U$74,ROW(A31))</f>
        <v>0</v>
      </c>
      <c r="D35" s="338">
        <f>SUMIF(凭证录入!$F$6:$F$65536,科目余额表!$B35,凭证录入!$H$6:$H$65536)</f>
        <v>0</v>
      </c>
      <c r="E35" s="339">
        <f>SUMIF(凭证录入!$F$6:$F$65536,科目余额表!$B35,凭证录入!$I$6:$I$65536)</f>
        <v>0</v>
      </c>
      <c r="F35" s="340" t="s">
        <v>755</v>
      </c>
      <c r="G35" s="341">
        <f t="shared" si="0"/>
        <v>0</v>
      </c>
      <c r="H35" s="322"/>
      <c r="I35" s="342"/>
      <c r="J35" s="263"/>
      <c r="K35" s="263"/>
      <c r="L35" s="263"/>
      <c r="M35" s="263"/>
      <c r="N35" s="263"/>
      <c r="O35" s="263"/>
      <c r="P35" s="263"/>
      <c r="Q35" s="263"/>
      <c r="R35" s="263"/>
      <c r="S35" s="263"/>
      <c r="T35" s="263"/>
      <c r="U35" s="264"/>
    </row>
    <row r="36" ht="17.25" customHeight="1" spans="1:21">
      <c r="A36" s="335">
        <f>会计科目!H34</f>
        <v>1701</v>
      </c>
      <c r="B36" s="336" t="str">
        <f>会计科目!I34</f>
        <v>无形资产</v>
      </c>
      <c r="C36" s="337">
        <f>HLOOKUP(MONTH(基础信息!$D$4)-1,$I$5:$U$74,ROW(A32))</f>
        <v>0</v>
      </c>
      <c r="D36" s="338">
        <f>SUMIF(凭证录入!$F$6:$F$65536,科目余额表!$B36,凭证录入!$H$6:$H$65536)</f>
        <v>0</v>
      </c>
      <c r="E36" s="339">
        <f>SUMIF(凭证录入!$F$6:$F$65536,科目余额表!$B36,凭证录入!$I$6:$I$65536)</f>
        <v>0</v>
      </c>
      <c r="F36" s="340" t="s">
        <v>754</v>
      </c>
      <c r="G36" s="341">
        <f t="shared" si="0"/>
        <v>0</v>
      </c>
      <c r="H36" s="322"/>
      <c r="I36" s="342"/>
      <c r="J36" s="263"/>
      <c r="K36" s="263"/>
      <c r="L36" s="263"/>
      <c r="M36" s="263"/>
      <c r="N36" s="263"/>
      <c r="O36" s="263"/>
      <c r="P36" s="263"/>
      <c r="Q36" s="263"/>
      <c r="R36" s="263"/>
      <c r="S36" s="263"/>
      <c r="T36" s="263"/>
      <c r="U36" s="264"/>
    </row>
    <row r="37" ht="17.25" customHeight="1" spans="1:21">
      <c r="A37" s="335">
        <f>会计科目!H35</f>
        <v>1702</v>
      </c>
      <c r="B37" s="336" t="str">
        <f>会计科目!I35</f>
        <v>累计摊销</v>
      </c>
      <c r="C37" s="337">
        <f>HLOOKUP(MONTH(基础信息!$D$4)-1,$I$5:$U$74,ROW(A33))</f>
        <v>0</v>
      </c>
      <c r="D37" s="338">
        <f>SUMIF(凭证录入!$F$6:$F$65536,科目余额表!$B37,凭证录入!$H$6:$H$65536)</f>
        <v>0</v>
      </c>
      <c r="E37" s="339">
        <f>SUMIF(凭证录入!$F$6:$F$65536,科目余额表!$B37,凭证录入!$I$6:$I$65536)</f>
        <v>0</v>
      </c>
      <c r="F37" s="340" t="s">
        <v>755</v>
      </c>
      <c r="G37" s="341">
        <f t="shared" si="0"/>
        <v>0</v>
      </c>
      <c r="H37" s="322"/>
      <c r="I37" s="342"/>
      <c r="J37" s="263"/>
      <c r="K37" s="263"/>
      <c r="L37" s="263"/>
      <c r="M37" s="263"/>
      <c r="N37" s="263"/>
      <c r="O37" s="263"/>
      <c r="P37" s="263"/>
      <c r="Q37" s="263"/>
      <c r="R37" s="263"/>
      <c r="S37" s="263"/>
      <c r="T37" s="263"/>
      <c r="U37" s="264"/>
    </row>
    <row r="38" ht="17.25" customHeight="1" spans="1:21">
      <c r="A38" s="335">
        <f>会计科目!H36</f>
        <v>1801</v>
      </c>
      <c r="B38" s="336" t="str">
        <f>会计科目!I36</f>
        <v>长期待摊费用</v>
      </c>
      <c r="C38" s="337">
        <f>HLOOKUP(MONTH(基础信息!$D$4)-1,$I$5:$U$74,ROW(A34))</f>
        <v>0</v>
      </c>
      <c r="D38" s="338">
        <f>SUMIF(凭证录入!$F$6:$F$65536,科目余额表!$B38,凭证录入!$H$6:$H$65536)</f>
        <v>0</v>
      </c>
      <c r="E38" s="339">
        <f>SUMIF(凭证录入!$F$6:$F$65536,科目余额表!$B38,凭证录入!$I$6:$I$65536)</f>
        <v>0</v>
      </c>
      <c r="F38" s="340" t="s">
        <v>754</v>
      </c>
      <c r="G38" s="341">
        <f t="shared" si="0"/>
        <v>0</v>
      </c>
      <c r="H38" s="322"/>
      <c r="I38" s="342"/>
      <c r="J38" s="263"/>
      <c r="K38" s="263"/>
      <c r="L38" s="263"/>
      <c r="M38" s="263"/>
      <c r="N38" s="263"/>
      <c r="O38" s="263"/>
      <c r="P38" s="263"/>
      <c r="Q38" s="263"/>
      <c r="R38" s="263"/>
      <c r="S38" s="263"/>
      <c r="T38" s="263"/>
      <c r="U38" s="264"/>
    </row>
    <row r="39" ht="17.25" customHeight="1" spans="1:21">
      <c r="A39" s="335">
        <f>会计科目!H37</f>
        <v>1901</v>
      </c>
      <c r="B39" s="336" t="str">
        <f>会计科目!I37</f>
        <v>待处理财产损溢</v>
      </c>
      <c r="C39" s="337">
        <f>HLOOKUP(MONTH(基础信息!$D$4)-1,$I$5:$U$74,ROW(A35))</f>
        <v>0</v>
      </c>
      <c r="D39" s="338">
        <f>SUMIF(凭证录入!$F$6:$F$65536,科目余额表!$B39,凭证录入!$H$6:$H$65536)</f>
        <v>0</v>
      </c>
      <c r="E39" s="339">
        <f>SUMIF(凭证录入!$F$6:$F$65536,科目余额表!$B39,凭证录入!$I$6:$I$65536)</f>
        <v>0</v>
      </c>
      <c r="F39" s="340" t="s">
        <v>754</v>
      </c>
      <c r="G39" s="341">
        <f t="shared" si="0"/>
        <v>0</v>
      </c>
      <c r="H39" s="322"/>
      <c r="I39" s="342"/>
      <c r="J39" s="263"/>
      <c r="K39" s="263"/>
      <c r="L39" s="263"/>
      <c r="M39" s="263"/>
      <c r="N39" s="263"/>
      <c r="O39" s="263"/>
      <c r="P39" s="263"/>
      <c r="Q39" s="263"/>
      <c r="R39" s="263"/>
      <c r="S39" s="263"/>
      <c r="T39" s="263"/>
      <c r="U39" s="264"/>
    </row>
    <row r="40" ht="17.25" customHeight="1" spans="1:21">
      <c r="A40" s="335">
        <f>会计科目!H39</f>
        <v>2001</v>
      </c>
      <c r="B40" s="336" t="str">
        <f>会计科目!I39</f>
        <v>短期借款</v>
      </c>
      <c r="C40" s="337">
        <f>HLOOKUP(MONTH(基础信息!$D$4)-1,$I$5:$U$74,ROW(A36))</f>
        <v>0</v>
      </c>
      <c r="D40" s="338">
        <f>SUMIF(凭证录入!$F$6:$F$65536,科目余额表!$B40,凭证录入!$H$6:$H$65536)</f>
        <v>0</v>
      </c>
      <c r="E40" s="339">
        <f>SUMIF(凭证录入!$F$6:$F$65536,科目余额表!$B40,凭证录入!$I$6:$I$65536)</f>
        <v>0</v>
      </c>
      <c r="F40" s="340" t="s">
        <v>755</v>
      </c>
      <c r="G40" s="341">
        <f t="shared" si="0"/>
        <v>0</v>
      </c>
      <c r="H40" s="322"/>
      <c r="I40" s="342"/>
      <c r="J40" s="263"/>
      <c r="K40" s="263"/>
      <c r="L40" s="263"/>
      <c r="M40" s="263"/>
      <c r="N40" s="263"/>
      <c r="O40" s="263"/>
      <c r="P40" s="263"/>
      <c r="Q40" s="263"/>
      <c r="R40" s="263"/>
      <c r="S40" s="263"/>
      <c r="T40" s="263"/>
      <c r="U40" s="264"/>
    </row>
    <row r="41" ht="17.25" customHeight="1" spans="1:21">
      <c r="A41" s="335">
        <f>会计科目!H40</f>
        <v>2201</v>
      </c>
      <c r="B41" s="336" t="str">
        <f>会计科目!I40</f>
        <v>应付票据</v>
      </c>
      <c r="C41" s="337">
        <f>HLOOKUP(MONTH(基础信息!$D$4)-1,$I$5:$U$74,ROW(A37))</f>
        <v>0</v>
      </c>
      <c r="D41" s="338">
        <f>SUMIF(凭证录入!$F$6:$F$65536,科目余额表!$B41,凭证录入!$H$6:$H$65536)</f>
        <v>0</v>
      </c>
      <c r="E41" s="339">
        <f>SUMIF(凭证录入!$F$6:$F$65536,科目余额表!$B41,凭证录入!$I$6:$I$65536)</f>
        <v>0</v>
      </c>
      <c r="F41" s="340" t="s">
        <v>755</v>
      </c>
      <c r="G41" s="341">
        <f t="shared" si="0"/>
        <v>0</v>
      </c>
      <c r="H41" s="322"/>
      <c r="I41" s="342"/>
      <c r="J41" s="263"/>
      <c r="K41" s="263"/>
      <c r="L41" s="263"/>
      <c r="M41" s="263"/>
      <c r="N41" s="263"/>
      <c r="O41" s="263"/>
      <c r="P41" s="263"/>
      <c r="Q41" s="263"/>
      <c r="R41" s="263"/>
      <c r="S41" s="263"/>
      <c r="T41" s="263"/>
      <c r="U41" s="264"/>
    </row>
    <row r="42" ht="17.25" customHeight="1" spans="1:21">
      <c r="A42" s="335">
        <f>会计科目!H41</f>
        <v>2202</v>
      </c>
      <c r="B42" s="336" t="str">
        <f>会计科目!I41</f>
        <v>应付账款</v>
      </c>
      <c r="C42" s="337">
        <f>HLOOKUP(MONTH(基础信息!$D$4)-1,$I$5:$U$74,ROW(A38))</f>
        <v>0</v>
      </c>
      <c r="D42" s="338">
        <f>SUMIF(凭证录入!$F$6:$F$65536,科目余额表!$B42,凭证录入!$H$6:$H$65536)</f>
        <v>0</v>
      </c>
      <c r="E42" s="339">
        <f>SUMIF(凭证录入!$F$6:$F$65536,科目余额表!$B42,凭证录入!$I$6:$I$65536)</f>
        <v>0</v>
      </c>
      <c r="F42" s="340" t="s">
        <v>755</v>
      </c>
      <c r="G42" s="341">
        <f t="shared" si="0"/>
        <v>0</v>
      </c>
      <c r="H42" s="322"/>
      <c r="I42" s="342"/>
      <c r="J42" s="263"/>
      <c r="K42" s="263"/>
      <c r="L42" s="263"/>
      <c r="M42" s="263"/>
      <c r="N42" s="263"/>
      <c r="O42" s="263"/>
      <c r="P42" s="263"/>
      <c r="Q42" s="263"/>
      <c r="R42" s="263"/>
      <c r="S42" s="263"/>
      <c r="T42" s="263"/>
      <c r="U42" s="264"/>
    </row>
    <row r="43" ht="17.25" customHeight="1" spans="1:21">
      <c r="A43" s="335">
        <f>会计科目!H42</f>
        <v>2203</v>
      </c>
      <c r="B43" s="336" t="str">
        <f>会计科目!I42</f>
        <v>预收账款</v>
      </c>
      <c r="C43" s="337">
        <f>HLOOKUP(MONTH(基础信息!$D$4)-1,$I$5:$U$74,ROW(A39))</f>
        <v>0</v>
      </c>
      <c r="D43" s="338">
        <f>SUMIF(凭证录入!$F$6:$F$65536,科目余额表!$B43,凭证录入!$H$6:$H$65536)</f>
        <v>0</v>
      </c>
      <c r="E43" s="339">
        <f>SUMIF(凭证录入!$F$6:$F$65536,科目余额表!$B43,凭证录入!$I$6:$I$65536)</f>
        <v>0</v>
      </c>
      <c r="F43" s="340" t="s">
        <v>755</v>
      </c>
      <c r="G43" s="341">
        <f t="shared" si="0"/>
        <v>0</v>
      </c>
      <c r="H43" s="322"/>
      <c r="I43" s="342"/>
      <c r="J43" s="263"/>
      <c r="K43" s="263"/>
      <c r="L43" s="263"/>
      <c r="M43" s="263"/>
      <c r="N43" s="263"/>
      <c r="O43" s="263"/>
      <c r="P43" s="263"/>
      <c r="Q43" s="263"/>
      <c r="R43" s="263"/>
      <c r="S43" s="263"/>
      <c r="T43" s="263"/>
      <c r="U43" s="264"/>
    </row>
    <row r="44" ht="17.25" customHeight="1" spans="1:21">
      <c r="A44" s="335">
        <f>会计科目!H43</f>
        <v>2211</v>
      </c>
      <c r="B44" s="336" t="str">
        <f>会计科目!I43</f>
        <v>应付职工薪酬</v>
      </c>
      <c r="C44" s="337">
        <f>HLOOKUP(MONTH(基础信息!$D$4)-1,$I$5:$U$74,ROW(A40))</f>
        <v>0</v>
      </c>
      <c r="D44" s="338">
        <f>SUMIF(凭证录入!$F$6:$F$65536,科目余额表!$B44,凭证录入!$H$6:$H$65536)</f>
        <v>788985</v>
      </c>
      <c r="E44" s="339">
        <f>SUMIF(凭证录入!$F$6:$F$65536,科目余额表!$B44,凭证录入!$I$6:$I$65536)</f>
        <v>0</v>
      </c>
      <c r="F44" s="340" t="s">
        <v>755</v>
      </c>
      <c r="G44" s="341">
        <f t="shared" si="0"/>
        <v>-788985</v>
      </c>
      <c r="H44" s="322"/>
      <c r="I44" s="342"/>
      <c r="J44" s="263"/>
      <c r="K44" s="263"/>
      <c r="L44" s="263"/>
      <c r="M44" s="263"/>
      <c r="N44" s="263"/>
      <c r="O44" s="263"/>
      <c r="P44" s="263"/>
      <c r="Q44" s="263"/>
      <c r="R44" s="263"/>
      <c r="S44" s="263"/>
      <c r="T44" s="263"/>
      <c r="U44" s="264"/>
    </row>
    <row r="45" ht="17.25" customHeight="1" spans="1:21">
      <c r="A45" s="335">
        <f>会计科目!H44</f>
        <v>2221</v>
      </c>
      <c r="B45" s="336" t="str">
        <f>会计科目!I44</f>
        <v>应交税费</v>
      </c>
      <c r="C45" s="337">
        <f>HLOOKUP(MONTH(基础信息!$D$4)-1,$I$5:$U$74,ROW(A41))</f>
        <v>0</v>
      </c>
      <c r="D45" s="338">
        <f>SUMIF(凭证录入!$F$6:$F$65536,科目余额表!$B45,凭证录入!$H$6:$H$65536)</f>
        <v>0</v>
      </c>
      <c r="E45" s="339">
        <f>SUMIF(凭证录入!$F$6:$F$65536,科目余额表!$B45,凭证录入!$I$6:$I$65536)</f>
        <v>0</v>
      </c>
      <c r="F45" s="340" t="s">
        <v>755</v>
      </c>
      <c r="G45" s="341">
        <f t="shared" si="0"/>
        <v>0</v>
      </c>
      <c r="H45" s="322"/>
      <c r="I45" s="342"/>
      <c r="J45" s="263"/>
      <c r="K45" s="263"/>
      <c r="L45" s="263"/>
      <c r="M45" s="263"/>
      <c r="N45" s="263"/>
      <c r="O45" s="263"/>
      <c r="P45" s="263"/>
      <c r="Q45" s="263"/>
      <c r="R45" s="263"/>
      <c r="S45" s="263"/>
      <c r="T45" s="263"/>
      <c r="U45" s="264"/>
    </row>
    <row r="46" ht="17.25" customHeight="1" spans="1:21">
      <c r="A46" s="335">
        <f>会计科目!H45</f>
        <v>2231</v>
      </c>
      <c r="B46" s="336" t="str">
        <f>会计科目!I45</f>
        <v>应付利息</v>
      </c>
      <c r="C46" s="337">
        <f>HLOOKUP(MONTH(基础信息!$D$4)-1,$I$5:$U$74,ROW(A42))</f>
        <v>0</v>
      </c>
      <c r="D46" s="338">
        <f>SUMIF(凭证录入!$F$6:$F$65536,科目余额表!$B46,凭证录入!$H$6:$H$65536)</f>
        <v>0</v>
      </c>
      <c r="E46" s="339">
        <f>SUMIF(凭证录入!$F$6:$F$65536,科目余额表!$B46,凭证录入!$I$6:$I$65536)</f>
        <v>0</v>
      </c>
      <c r="F46" s="340" t="s">
        <v>755</v>
      </c>
      <c r="G46" s="341">
        <f t="shared" si="0"/>
        <v>0</v>
      </c>
      <c r="H46" s="322"/>
      <c r="I46" s="342"/>
      <c r="J46" s="263"/>
      <c r="K46" s="263"/>
      <c r="L46" s="263"/>
      <c r="M46" s="263"/>
      <c r="N46" s="263"/>
      <c r="O46" s="263"/>
      <c r="P46" s="263"/>
      <c r="Q46" s="263"/>
      <c r="R46" s="263"/>
      <c r="S46" s="263"/>
      <c r="T46" s="263"/>
      <c r="U46" s="264"/>
    </row>
    <row r="47" ht="17.25" customHeight="1" spans="1:21">
      <c r="A47" s="335">
        <f>会计科目!H46</f>
        <v>2232</v>
      </c>
      <c r="B47" s="336" t="str">
        <f>会计科目!I46</f>
        <v>应付利润</v>
      </c>
      <c r="C47" s="337">
        <f>HLOOKUP(MONTH(基础信息!$D$4)-1,$I$5:$U$74,ROW(A43))</f>
        <v>0</v>
      </c>
      <c r="D47" s="338">
        <f>SUMIF(凭证录入!$F$6:$F$65536,科目余额表!$B47,凭证录入!$H$6:$H$65536)</f>
        <v>0</v>
      </c>
      <c r="E47" s="339">
        <f>SUMIF(凭证录入!$F$6:$F$65536,科目余额表!$B47,凭证录入!$I$6:$I$65536)</f>
        <v>0</v>
      </c>
      <c r="F47" s="340" t="s">
        <v>755</v>
      </c>
      <c r="G47" s="341">
        <f t="shared" si="0"/>
        <v>0</v>
      </c>
      <c r="H47" s="322"/>
      <c r="I47" s="342"/>
      <c r="J47" s="263"/>
      <c r="K47" s="263"/>
      <c r="L47" s="263"/>
      <c r="M47" s="263"/>
      <c r="N47" s="263"/>
      <c r="O47" s="263"/>
      <c r="P47" s="263"/>
      <c r="Q47" s="263"/>
      <c r="R47" s="263"/>
      <c r="S47" s="263"/>
      <c r="T47" s="263"/>
      <c r="U47" s="264"/>
    </row>
    <row r="48" ht="17.25" customHeight="1" spans="1:21">
      <c r="A48" s="335">
        <f>会计科目!H47</f>
        <v>2241</v>
      </c>
      <c r="B48" s="336" t="str">
        <f>会计科目!I47</f>
        <v>其他应付款</v>
      </c>
      <c r="C48" s="337">
        <f>HLOOKUP(MONTH(基础信息!$D$4)-1,$I$5:$U$74,ROW(A44))</f>
        <v>0</v>
      </c>
      <c r="D48" s="338">
        <f>SUMIF(凭证录入!$F$6:$F$65536,科目余额表!$B48,凭证录入!$H$6:$H$65536)</f>
        <v>100000</v>
      </c>
      <c r="E48" s="339">
        <f>SUMIF(凭证录入!$F$6:$F$65536,科目余额表!$B48,凭证录入!$I$6:$I$65536)</f>
        <v>0</v>
      </c>
      <c r="F48" s="340" t="s">
        <v>755</v>
      </c>
      <c r="G48" s="341">
        <f t="shared" si="0"/>
        <v>-100000</v>
      </c>
      <c r="H48" s="322"/>
      <c r="I48" s="342"/>
      <c r="J48" s="263"/>
      <c r="K48" s="263"/>
      <c r="L48" s="263"/>
      <c r="M48" s="263"/>
      <c r="N48" s="263"/>
      <c r="O48" s="263"/>
      <c r="P48" s="263"/>
      <c r="Q48" s="263"/>
      <c r="R48" s="263"/>
      <c r="S48" s="263"/>
      <c r="T48" s="263"/>
      <c r="U48" s="264"/>
    </row>
    <row r="49" ht="17.25" customHeight="1" spans="1:21">
      <c r="A49" s="335">
        <f>会计科目!H48</f>
        <v>2401</v>
      </c>
      <c r="B49" s="336" t="str">
        <f>会计科目!I48</f>
        <v>递延收益</v>
      </c>
      <c r="C49" s="337">
        <f>HLOOKUP(MONTH(基础信息!$D$4)-1,$I$5:$U$74,ROW(A45))</f>
        <v>0</v>
      </c>
      <c r="D49" s="338">
        <f>SUMIF(凭证录入!$F$6:$F$65536,科目余额表!$B49,凭证录入!$H$6:$H$65536)</f>
        <v>0</v>
      </c>
      <c r="E49" s="339">
        <f>SUMIF(凭证录入!$F$6:$F$65536,科目余额表!$B49,凭证录入!$I$6:$I$65536)</f>
        <v>0</v>
      </c>
      <c r="F49" s="340" t="s">
        <v>755</v>
      </c>
      <c r="G49" s="341">
        <f t="shared" si="0"/>
        <v>0</v>
      </c>
      <c r="H49" s="322"/>
      <c r="I49" s="342"/>
      <c r="J49" s="263"/>
      <c r="K49" s="263"/>
      <c r="L49" s="263"/>
      <c r="M49" s="263"/>
      <c r="N49" s="263"/>
      <c r="O49" s="263"/>
      <c r="P49" s="263"/>
      <c r="Q49" s="263"/>
      <c r="R49" s="263"/>
      <c r="S49" s="263"/>
      <c r="T49" s="263"/>
      <c r="U49" s="264"/>
    </row>
    <row r="50" ht="17.25" customHeight="1" spans="1:21">
      <c r="A50" s="335">
        <f>会计科目!H49</f>
        <v>2501</v>
      </c>
      <c r="B50" s="336" t="str">
        <f>会计科目!I49</f>
        <v>长期借款</v>
      </c>
      <c r="C50" s="337">
        <f>HLOOKUP(MONTH(基础信息!$D$4)-1,$I$5:$U$74,ROW(A46))</f>
        <v>0</v>
      </c>
      <c r="D50" s="338">
        <f>SUMIF(凭证录入!$F$6:$F$65536,科目余额表!$B50,凭证录入!$H$6:$H$65536)</f>
        <v>0</v>
      </c>
      <c r="E50" s="339">
        <f>SUMIF(凭证录入!$F$6:$F$65536,科目余额表!$B50,凭证录入!$I$6:$I$65536)</f>
        <v>0</v>
      </c>
      <c r="F50" s="340" t="s">
        <v>755</v>
      </c>
      <c r="G50" s="341">
        <f t="shared" si="0"/>
        <v>0</v>
      </c>
      <c r="H50" s="322"/>
      <c r="I50" s="342"/>
      <c r="J50" s="263"/>
      <c r="K50" s="263"/>
      <c r="L50" s="263"/>
      <c r="M50" s="263"/>
      <c r="N50" s="263"/>
      <c r="O50" s="263"/>
      <c r="P50" s="263"/>
      <c r="Q50" s="263"/>
      <c r="R50" s="263"/>
      <c r="S50" s="263"/>
      <c r="T50" s="263"/>
      <c r="U50" s="264"/>
    </row>
    <row r="51" ht="17.25" customHeight="1" spans="1:21">
      <c r="A51" s="335">
        <f>会计科目!H50</f>
        <v>2701</v>
      </c>
      <c r="B51" s="336" t="str">
        <f>会计科目!I50</f>
        <v>长期应付款</v>
      </c>
      <c r="C51" s="337">
        <f>HLOOKUP(MONTH(基础信息!$D$4)-1,$I$5:$U$74,ROW(A47))</f>
        <v>0</v>
      </c>
      <c r="D51" s="338">
        <f>SUMIF(凭证录入!$F$6:$F$65536,科目余额表!$B51,凭证录入!$H$6:$H$65536)</f>
        <v>0</v>
      </c>
      <c r="E51" s="339">
        <f>SUMIF(凭证录入!$F$6:$F$65536,科目余额表!$B51,凭证录入!$I$6:$I$65536)</f>
        <v>0</v>
      </c>
      <c r="F51" s="340" t="s">
        <v>755</v>
      </c>
      <c r="G51" s="341">
        <f t="shared" si="0"/>
        <v>0</v>
      </c>
      <c r="H51" s="322"/>
      <c r="I51" s="342"/>
      <c r="J51" s="263"/>
      <c r="K51" s="263"/>
      <c r="L51" s="263"/>
      <c r="M51" s="263"/>
      <c r="N51" s="263"/>
      <c r="O51" s="263"/>
      <c r="P51" s="263"/>
      <c r="Q51" s="263"/>
      <c r="R51" s="263"/>
      <c r="S51" s="263"/>
      <c r="T51" s="263"/>
      <c r="U51" s="264"/>
    </row>
    <row r="52" ht="17.25" customHeight="1" spans="1:21">
      <c r="A52" s="335">
        <f>会计科目!H52</f>
        <v>3001</v>
      </c>
      <c r="B52" s="336" t="str">
        <f>会计科目!I52</f>
        <v>实收资本</v>
      </c>
      <c r="C52" s="337">
        <f>HLOOKUP(MONTH(基础信息!$D$4)-1,$I$5:$U$74,ROW(A48))</f>
        <v>0</v>
      </c>
      <c r="D52" s="338">
        <f>SUMIF(凭证录入!$F$6:$F$65536,科目余额表!$B52,凭证录入!$H$6:$H$65536)</f>
        <v>0</v>
      </c>
      <c r="E52" s="339">
        <f>SUMIF(凭证录入!$F$6:$F$65536,科目余额表!$B52,凭证录入!$I$6:$I$65536)</f>
        <v>14600000</v>
      </c>
      <c r="F52" s="340" t="s">
        <v>755</v>
      </c>
      <c r="G52" s="341">
        <f t="shared" si="0"/>
        <v>14600000</v>
      </c>
      <c r="H52" s="322"/>
      <c r="I52" s="342"/>
      <c r="J52" s="263"/>
      <c r="K52" s="263"/>
      <c r="L52" s="263"/>
      <c r="M52" s="263"/>
      <c r="N52" s="263"/>
      <c r="O52" s="263"/>
      <c r="P52" s="263"/>
      <c r="Q52" s="263"/>
      <c r="R52" s="263"/>
      <c r="S52" s="263"/>
      <c r="T52" s="263"/>
      <c r="U52" s="264"/>
    </row>
    <row r="53" ht="17.25" customHeight="1" spans="1:21">
      <c r="A53" s="335">
        <f>会计科目!H53</f>
        <v>3002</v>
      </c>
      <c r="B53" s="336" t="str">
        <f>会计科目!I53</f>
        <v>资本公积</v>
      </c>
      <c r="C53" s="337">
        <f>HLOOKUP(MONTH(基础信息!$D$4)-1,$I$5:$U$74,ROW(A49))</f>
        <v>0</v>
      </c>
      <c r="D53" s="338">
        <f>SUMIF(凭证录入!$F$6:$F$65536,科目余额表!$B53,凭证录入!$H$6:$H$65536)</f>
        <v>0</v>
      </c>
      <c r="E53" s="339">
        <f>SUMIF(凭证录入!$F$6:$F$65536,科目余额表!$B53,凭证录入!$I$6:$I$65536)</f>
        <v>0</v>
      </c>
      <c r="F53" s="340" t="s">
        <v>755</v>
      </c>
      <c r="G53" s="341">
        <f t="shared" si="0"/>
        <v>0</v>
      </c>
      <c r="H53" s="322"/>
      <c r="I53" s="342"/>
      <c r="J53" s="263"/>
      <c r="K53" s="263"/>
      <c r="L53" s="263"/>
      <c r="M53" s="263"/>
      <c r="N53" s="263"/>
      <c r="O53" s="263"/>
      <c r="P53" s="263"/>
      <c r="Q53" s="263"/>
      <c r="R53" s="263"/>
      <c r="S53" s="263"/>
      <c r="T53" s="263"/>
      <c r="U53" s="264"/>
    </row>
    <row r="54" ht="17.25" customHeight="1" spans="1:21">
      <c r="A54" s="335">
        <f>会计科目!H54</f>
        <v>3101</v>
      </c>
      <c r="B54" s="336" t="str">
        <f>会计科目!I54</f>
        <v>盈余公积</v>
      </c>
      <c r="C54" s="337">
        <f>HLOOKUP(MONTH(基础信息!$D$4)-1,$I$5:$U$74,ROW(A50))</f>
        <v>0</v>
      </c>
      <c r="D54" s="338">
        <f>SUMIF(凭证录入!$F$6:$F$65536,科目余额表!$B54,凭证录入!$H$6:$H$65536)</f>
        <v>0</v>
      </c>
      <c r="E54" s="339">
        <f>SUMIF(凭证录入!$F$6:$F$65536,科目余额表!$B54,凭证录入!$I$6:$I$65536)</f>
        <v>0</v>
      </c>
      <c r="F54" s="340" t="s">
        <v>755</v>
      </c>
      <c r="G54" s="341">
        <f t="shared" si="0"/>
        <v>0</v>
      </c>
      <c r="H54" s="322"/>
      <c r="I54" s="342"/>
      <c r="J54" s="263"/>
      <c r="K54" s="263"/>
      <c r="L54" s="263"/>
      <c r="M54" s="263"/>
      <c r="N54" s="263"/>
      <c r="O54" s="263"/>
      <c r="P54" s="263"/>
      <c r="Q54" s="263"/>
      <c r="R54" s="263"/>
      <c r="S54" s="263"/>
      <c r="T54" s="263"/>
      <c r="U54" s="264"/>
    </row>
    <row r="55" ht="17.25" customHeight="1" spans="1:21">
      <c r="A55" s="335">
        <f>会计科目!H55</f>
        <v>3103</v>
      </c>
      <c r="B55" s="336" t="str">
        <f>会计科目!I55</f>
        <v>本年利润</v>
      </c>
      <c r="C55" s="337">
        <f>HLOOKUP(MONTH(基础信息!$D$4)-1,$I$5:$U$74,ROW(A51))</f>
        <v>0</v>
      </c>
      <c r="D55" s="338">
        <f>SUMIF(凭证录入!$F$6:$F$65536,科目余额表!$B55,凭证录入!$H$6:$H$65536)</f>
        <v>0</v>
      </c>
      <c r="E55" s="339">
        <f>SUMIF(凭证录入!$F$6:$F$65536,科目余额表!$B55,凭证录入!$I$6:$I$65536)</f>
        <v>0</v>
      </c>
      <c r="F55" s="340" t="s">
        <v>755</v>
      </c>
      <c r="G55" s="341">
        <f t="shared" si="0"/>
        <v>0</v>
      </c>
      <c r="H55" s="322"/>
      <c r="I55" s="342"/>
      <c r="J55" s="263"/>
      <c r="K55" s="263"/>
      <c r="L55" s="263"/>
      <c r="M55" s="263"/>
      <c r="N55" s="263"/>
      <c r="O55" s="263"/>
      <c r="P55" s="263"/>
      <c r="Q55" s="263"/>
      <c r="R55" s="263"/>
      <c r="S55" s="263"/>
      <c r="T55" s="263"/>
      <c r="U55" s="264"/>
    </row>
    <row r="56" ht="17.25" customHeight="1" spans="1:21">
      <c r="A56" s="335">
        <f>会计科目!H56</f>
        <v>3104</v>
      </c>
      <c r="B56" s="336" t="str">
        <f>会计科目!I56</f>
        <v>利润分配</v>
      </c>
      <c r="C56" s="337">
        <f>HLOOKUP(MONTH(基础信息!$D$4)-1,$I$5:$U$74,ROW(A52))</f>
        <v>0</v>
      </c>
      <c r="D56" s="338">
        <f>SUMIF(凭证录入!$F$6:$F$65536,科目余额表!$B56,凭证录入!$H$6:$H$65536)</f>
        <v>0</v>
      </c>
      <c r="E56" s="339">
        <f>SUMIF(凭证录入!$F$6:$F$65536,科目余额表!$B56,凭证录入!$I$6:$I$65536)</f>
        <v>0</v>
      </c>
      <c r="F56" s="340" t="s">
        <v>755</v>
      </c>
      <c r="G56" s="341">
        <f t="shared" si="0"/>
        <v>0</v>
      </c>
      <c r="H56" s="322"/>
      <c r="I56" s="342"/>
      <c r="J56" s="263"/>
      <c r="K56" s="263"/>
      <c r="L56" s="263"/>
      <c r="M56" s="263"/>
      <c r="N56" s="263"/>
      <c r="O56" s="263"/>
      <c r="P56" s="263"/>
      <c r="Q56" s="263"/>
      <c r="R56" s="263"/>
      <c r="S56" s="263"/>
      <c r="T56" s="263"/>
      <c r="U56" s="264"/>
    </row>
    <row r="57" ht="17.25" customHeight="1" spans="1:21">
      <c r="A57" s="335">
        <f>会计科目!H58</f>
        <v>4001</v>
      </c>
      <c r="B57" s="336" t="str">
        <f>会计科目!I58</f>
        <v>生产成本</v>
      </c>
      <c r="C57" s="337">
        <f>HLOOKUP(MONTH(基础信息!$D$4)-1,$I$5:$U$74,ROW(A53))</f>
        <v>0</v>
      </c>
      <c r="D57" s="338">
        <f>SUMIF(凭证录入!$F$6:$F$65536,科目余额表!$B57,凭证录入!$H$6:$H$65536)</f>
        <v>0</v>
      </c>
      <c r="E57" s="339">
        <f>SUMIF(凭证录入!$F$6:$F$65536,科目余额表!$B57,凭证录入!$I$6:$I$65536)</f>
        <v>0</v>
      </c>
      <c r="F57" s="340" t="s">
        <v>754</v>
      </c>
      <c r="G57" s="341">
        <f t="shared" si="0"/>
        <v>0</v>
      </c>
      <c r="H57" s="322"/>
      <c r="I57" s="342"/>
      <c r="J57" s="263"/>
      <c r="K57" s="263"/>
      <c r="L57" s="263"/>
      <c r="M57" s="263"/>
      <c r="N57" s="263"/>
      <c r="O57" s="263"/>
      <c r="P57" s="263"/>
      <c r="Q57" s="263"/>
      <c r="R57" s="263"/>
      <c r="S57" s="263"/>
      <c r="T57" s="263"/>
      <c r="U57" s="264"/>
    </row>
    <row r="58" ht="17.25" customHeight="1" spans="1:21">
      <c r="A58" s="335">
        <f>会计科目!H59</f>
        <v>4101</v>
      </c>
      <c r="B58" s="336" t="str">
        <f>会计科目!I59</f>
        <v>制造费用</v>
      </c>
      <c r="C58" s="337">
        <f>HLOOKUP(MONTH(基础信息!$D$4)-1,$I$5:$U$74,ROW(A54))</f>
        <v>0</v>
      </c>
      <c r="D58" s="338">
        <f>SUMIF(凭证录入!$F$6:$F$65536,科目余额表!$B58,凭证录入!$H$6:$H$65536)</f>
        <v>0</v>
      </c>
      <c r="E58" s="339">
        <f>SUMIF(凭证录入!$F$6:$F$65536,科目余额表!$B58,凭证录入!$I$6:$I$65536)</f>
        <v>0</v>
      </c>
      <c r="F58" s="340" t="s">
        <v>754</v>
      </c>
      <c r="G58" s="341">
        <f t="shared" si="0"/>
        <v>0</v>
      </c>
      <c r="H58" s="322"/>
      <c r="I58" s="342"/>
      <c r="J58" s="263"/>
      <c r="K58" s="263"/>
      <c r="L58" s="263"/>
      <c r="M58" s="263"/>
      <c r="N58" s="263"/>
      <c r="O58" s="263"/>
      <c r="P58" s="263"/>
      <c r="Q58" s="263"/>
      <c r="R58" s="263"/>
      <c r="S58" s="263"/>
      <c r="T58" s="263"/>
      <c r="U58" s="264"/>
    </row>
    <row r="59" ht="17.25" customHeight="1" spans="1:21">
      <c r="A59" s="335">
        <f>会计科目!H60</f>
        <v>4301</v>
      </c>
      <c r="B59" s="336" t="str">
        <f>会计科目!I60</f>
        <v>研发支出</v>
      </c>
      <c r="C59" s="337">
        <f>HLOOKUP(MONTH(基础信息!$D$4)-1,$I$5:$U$74,ROW(A55))</f>
        <v>0</v>
      </c>
      <c r="D59" s="338">
        <f>SUMIF(凭证录入!$F$6:$F$65536,科目余额表!$B59,凭证录入!$H$6:$H$65536)</f>
        <v>0</v>
      </c>
      <c r="E59" s="339">
        <f>SUMIF(凭证录入!$F$6:$F$65536,科目余额表!$B59,凭证录入!$I$6:$I$65536)</f>
        <v>0</v>
      </c>
      <c r="F59" s="340" t="s">
        <v>754</v>
      </c>
      <c r="G59" s="341">
        <f t="shared" si="0"/>
        <v>0</v>
      </c>
      <c r="H59" s="322"/>
      <c r="I59" s="342"/>
      <c r="J59" s="263"/>
      <c r="K59" s="263"/>
      <c r="L59" s="263"/>
      <c r="M59" s="263"/>
      <c r="N59" s="263"/>
      <c r="O59" s="263"/>
      <c r="P59" s="263"/>
      <c r="Q59" s="263"/>
      <c r="R59" s="263"/>
      <c r="S59" s="263"/>
      <c r="T59" s="263"/>
      <c r="U59" s="264"/>
    </row>
    <row r="60" ht="17.25" customHeight="1" spans="1:21">
      <c r="A60" s="335">
        <f>会计科目!H61</f>
        <v>4401</v>
      </c>
      <c r="B60" s="336" t="str">
        <f>会计科目!I61</f>
        <v>工程施工</v>
      </c>
      <c r="C60" s="337">
        <f>HLOOKUP(MONTH(基础信息!$D$4)-1,$I$5:$U$74,ROW(A56))</f>
        <v>0</v>
      </c>
      <c r="D60" s="338">
        <f>SUMIF(凭证录入!$F$6:$F$65536,科目余额表!$B60,凭证录入!$H$6:$H$65536)</f>
        <v>0</v>
      </c>
      <c r="E60" s="339">
        <f>SUMIF(凭证录入!$F$6:$F$65536,科目余额表!$B60,凭证录入!$I$6:$I$65536)</f>
        <v>0</v>
      </c>
      <c r="F60" s="340" t="s">
        <v>754</v>
      </c>
      <c r="G60" s="341">
        <f t="shared" si="0"/>
        <v>0</v>
      </c>
      <c r="H60" s="322"/>
      <c r="I60" s="342"/>
      <c r="J60" s="263"/>
      <c r="K60" s="263"/>
      <c r="L60" s="263"/>
      <c r="M60" s="263"/>
      <c r="N60" s="263"/>
      <c r="O60" s="263"/>
      <c r="P60" s="263"/>
      <c r="Q60" s="263"/>
      <c r="R60" s="263"/>
      <c r="S60" s="263"/>
      <c r="T60" s="263"/>
      <c r="U60" s="264"/>
    </row>
    <row r="61" ht="17.25" customHeight="1" spans="1:21">
      <c r="A61" s="335">
        <f>会计科目!H62</f>
        <v>4403</v>
      </c>
      <c r="B61" s="336" t="str">
        <f>会计科目!I62</f>
        <v>机械作业</v>
      </c>
      <c r="C61" s="337">
        <f>HLOOKUP(MONTH(基础信息!$D$4)-1,$I$5:$U$74,ROW(A57))</f>
        <v>0</v>
      </c>
      <c r="D61" s="338">
        <f>SUMIF(凭证录入!$F$6:$F$65536,科目余额表!$B61,凭证录入!$H$6:$H$65536)</f>
        <v>0</v>
      </c>
      <c r="E61" s="339">
        <f>SUMIF(凭证录入!$F$6:$F$65536,科目余额表!$B61,凭证录入!$I$6:$I$65536)</f>
        <v>0</v>
      </c>
      <c r="F61" s="340" t="s">
        <v>754</v>
      </c>
      <c r="G61" s="341">
        <f t="shared" si="0"/>
        <v>0</v>
      </c>
      <c r="H61" s="322"/>
      <c r="I61" s="342"/>
      <c r="J61" s="263"/>
      <c r="K61" s="263"/>
      <c r="L61" s="263"/>
      <c r="M61" s="263"/>
      <c r="N61" s="263"/>
      <c r="O61" s="263"/>
      <c r="P61" s="263"/>
      <c r="Q61" s="263"/>
      <c r="R61" s="263"/>
      <c r="S61" s="263"/>
      <c r="T61" s="263"/>
      <c r="U61" s="264"/>
    </row>
    <row r="62" ht="17.25" customHeight="1" spans="1:21">
      <c r="A62" s="335">
        <f>会计科目!H64</f>
        <v>5001</v>
      </c>
      <c r="B62" s="336" t="str">
        <f>会计科目!I64</f>
        <v>主营业务收入</v>
      </c>
      <c r="C62" s="337">
        <f>HLOOKUP(MONTH(基础信息!$D$4)-1,$I$5:$U$74,ROW(A58))</f>
        <v>0</v>
      </c>
      <c r="D62" s="338">
        <f>SUMIF(凭证录入!$F$6:$F$65536,科目余额表!$B62,凭证录入!$H$6:$H$65536)</f>
        <v>0</v>
      </c>
      <c r="E62" s="339">
        <f>SUMIF(凭证录入!$F$6:$F$65536,科目余额表!$B62,凭证录入!$I$6:$I$65536)</f>
        <v>0</v>
      </c>
      <c r="F62" s="340" t="s">
        <v>755</v>
      </c>
      <c r="G62" s="341">
        <f t="shared" si="0"/>
        <v>0</v>
      </c>
      <c r="H62" s="322"/>
      <c r="I62" s="342"/>
      <c r="J62" s="263"/>
      <c r="K62" s="263"/>
      <c r="L62" s="263"/>
      <c r="M62" s="263"/>
      <c r="N62" s="263"/>
      <c r="O62" s="263"/>
      <c r="P62" s="263"/>
      <c r="Q62" s="263"/>
      <c r="R62" s="263"/>
      <c r="S62" s="263"/>
      <c r="T62" s="263"/>
      <c r="U62" s="264"/>
    </row>
    <row r="63" ht="17.25" customHeight="1" spans="1:21">
      <c r="A63" s="335">
        <f>会计科目!H65</f>
        <v>5051</v>
      </c>
      <c r="B63" s="336" t="str">
        <f>会计科目!I65</f>
        <v>其他业务收入</v>
      </c>
      <c r="C63" s="337">
        <f>HLOOKUP(MONTH(基础信息!$D$4)-1,$I$5:$U$74,ROW(A59))</f>
        <v>0</v>
      </c>
      <c r="D63" s="338">
        <f>SUMIF(凭证录入!$F$6:$F$65536,科目余额表!$B63,凭证录入!$H$6:$H$65536)</f>
        <v>0</v>
      </c>
      <c r="E63" s="339">
        <f>SUMIF(凭证录入!$F$6:$F$65536,科目余额表!$B63,凭证录入!$I$6:$I$65536)</f>
        <v>0</v>
      </c>
      <c r="F63" s="340" t="s">
        <v>755</v>
      </c>
      <c r="G63" s="341">
        <f t="shared" si="0"/>
        <v>0</v>
      </c>
      <c r="H63" s="322"/>
      <c r="I63" s="342"/>
      <c r="J63" s="263"/>
      <c r="K63" s="263"/>
      <c r="L63" s="263"/>
      <c r="M63" s="263"/>
      <c r="N63" s="263"/>
      <c r="O63" s="263"/>
      <c r="P63" s="263"/>
      <c r="Q63" s="263"/>
      <c r="R63" s="263"/>
      <c r="S63" s="263"/>
      <c r="T63" s="263"/>
      <c r="U63" s="264"/>
    </row>
    <row r="64" ht="17.25" customHeight="1" spans="1:21">
      <c r="A64" s="335">
        <f>会计科目!H66</f>
        <v>5111</v>
      </c>
      <c r="B64" s="336" t="str">
        <f>会计科目!I66</f>
        <v>投资收益</v>
      </c>
      <c r="C64" s="337">
        <f>HLOOKUP(MONTH(基础信息!$D$4)-1,$I$5:$U$74,ROW(A60))</f>
        <v>0</v>
      </c>
      <c r="D64" s="338">
        <f>SUMIF(凭证录入!$F$6:$F$65536,科目余额表!$B64,凭证录入!$H$6:$H$65536)</f>
        <v>0</v>
      </c>
      <c r="E64" s="339">
        <f>SUMIF(凭证录入!$F$6:$F$65536,科目余额表!$B64,凭证录入!$I$6:$I$65536)</f>
        <v>0</v>
      </c>
      <c r="F64" s="340" t="s">
        <v>755</v>
      </c>
      <c r="G64" s="341">
        <f t="shared" si="0"/>
        <v>0</v>
      </c>
      <c r="H64" s="322"/>
      <c r="I64" s="342"/>
      <c r="J64" s="263"/>
      <c r="K64" s="263"/>
      <c r="L64" s="263"/>
      <c r="M64" s="263"/>
      <c r="N64" s="263"/>
      <c r="O64" s="263"/>
      <c r="P64" s="263"/>
      <c r="Q64" s="263"/>
      <c r="R64" s="263"/>
      <c r="S64" s="263"/>
      <c r="T64" s="263"/>
      <c r="U64" s="264"/>
    </row>
    <row r="65" ht="17.25" customHeight="1" spans="1:21">
      <c r="A65" s="335">
        <f>会计科目!H67</f>
        <v>5301</v>
      </c>
      <c r="B65" s="336" t="str">
        <f>会计科目!I67</f>
        <v>营业外收入</v>
      </c>
      <c r="C65" s="337">
        <f>HLOOKUP(MONTH(基础信息!$D$4)-1,$I$5:$U$74,ROW(A61))</f>
        <v>0</v>
      </c>
      <c r="D65" s="338">
        <f>SUMIF(凭证录入!$F$6:$F$65536,科目余额表!$B65,凭证录入!$H$6:$H$65536)</f>
        <v>0</v>
      </c>
      <c r="E65" s="339">
        <f>SUMIF(凭证录入!$F$6:$F$65536,科目余额表!$B65,凭证录入!$I$6:$I$65536)</f>
        <v>0</v>
      </c>
      <c r="F65" s="340" t="s">
        <v>755</v>
      </c>
      <c r="G65" s="341">
        <f t="shared" si="0"/>
        <v>0</v>
      </c>
      <c r="H65" s="322"/>
      <c r="I65" s="342"/>
      <c r="J65" s="263"/>
      <c r="K65" s="263"/>
      <c r="L65" s="263"/>
      <c r="M65" s="263"/>
      <c r="N65" s="263"/>
      <c r="O65" s="263"/>
      <c r="P65" s="263"/>
      <c r="Q65" s="263"/>
      <c r="R65" s="263"/>
      <c r="S65" s="263"/>
      <c r="T65" s="263"/>
      <c r="U65" s="264"/>
    </row>
    <row r="66" ht="17.25" customHeight="1" spans="1:21">
      <c r="A66" s="335">
        <f>会计科目!H68</f>
        <v>5401</v>
      </c>
      <c r="B66" s="336" t="str">
        <f>会计科目!I68</f>
        <v>主营业务成本</v>
      </c>
      <c r="C66" s="337">
        <f>HLOOKUP(MONTH(基础信息!$D$4)-1,$I$5:$U$74,ROW(A62))</f>
        <v>0</v>
      </c>
      <c r="D66" s="338">
        <f>SUMIF(凭证录入!$F$6:$F$65536,科目余额表!$B66,凭证录入!$H$6:$H$65536)</f>
        <v>0</v>
      </c>
      <c r="E66" s="339">
        <f>SUMIF(凭证录入!$F$6:$F$65536,科目余额表!$B66,凭证录入!$I$6:$I$65536)</f>
        <v>0</v>
      </c>
      <c r="F66" s="340" t="s">
        <v>754</v>
      </c>
      <c r="G66" s="341">
        <f t="shared" si="0"/>
        <v>0</v>
      </c>
      <c r="H66" s="322"/>
      <c r="I66" s="342"/>
      <c r="J66" s="263"/>
      <c r="K66" s="263"/>
      <c r="L66" s="263"/>
      <c r="M66" s="263"/>
      <c r="N66" s="263"/>
      <c r="O66" s="263"/>
      <c r="P66" s="263"/>
      <c r="Q66" s="263"/>
      <c r="R66" s="263"/>
      <c r="S66" s="263"/>
      <c r="T66" s="263"/>
      <c r="U66" s="264"/>
    </row>
    <row r="67" ht="17.25" customHeight="1" spans="1:21">
      <c r="A67" s="335">
        <f>会计科目!H69</f>
        <v>5402</v>
      </c>
      <c r="B67" s="336" t="str">
        <f>会计科目!I69</f>
        <v>其他业务成本</v>
      </c>
      <c r="C67" s="337">
        <f>HLOOKUP(MONTH(基础信息!$D$4)-1,$I$5:$U$74,ROW(A63))</f>
        <v>0</v>
      </c>
      <c r="D67" s="338">
        <f>SUMIF(凭证录入!$F$6:$F$65536,科目余额表!$B67,凭证录入!$H$6:$H$65536)</f>
        <v>0</v>
      </c>
      <c r="E67" s="339">
        <f>SUMIF(凭证录入!$F$6:$F$65536,科目余额表!$B67,凭证录入!$I$6:$I$65536)</f>
        <v>0</v>
      </c>
      <c r="F67" s="340" t="s">
        <v>754</v>
      </c>
      <c r="G67" s="341">
        <f t="shared" si="0"/>
        <v>0</v>
      </c>
      <c r="H67" s="322"/>
      <c r="I67" s="342"/>
      <c r="J67" s="263"/>
      <c r="K67" s="263"/>
      <c r="L67" s="263"/>
      <c r="M67" s="263"/>
      <c r="N67" s="263"/>
      <c r="O67" s="263"/>
      <c r="P67" s="263"/>
      <c r="Q67" s="263"/>
      <c r="R67" s="263"/>
      <c r="S67" s="263"/>
      <c r="T67" s="263"/>
      <c r="U67" s="264"/>
    </row>
    <row r="68" ht="17.25" customHeight="1" spans="1:21">
      <c r="A68" s="335">
        <f>会计科目!H70</f>
        <v>5403</v>
      </c>
      <c r="B68" s="336" t="str">
        <f>会计科目!I70</f>
        <v>税金及附加</v>
      </c>
      <c r="C68" s="337">
        <f>HLOOKUP(MONTH(基础信息!$D$4)-1,$I$5:$U$74,ROW(A64))</f>
        <v>0</v>
      </c>
      <c r="D68" s="338">
        <f>SUMIF(凭证录入!$F$6:$F$65536,科目余额表!$B68,凭证录入!$H$6:$H$65536)</f>
        <v>0</v>
      </c>
      <c r="E68" s="339">
        <f>SUMIF(凭证录入!$F$6:$F$65536,科目余额表!$B68,凭证录入!$I$6:$I$65536)</f>
        <v>0</v>
      </c>
      <c r="F68" s="340" t="s">
        <v>754</v>
      </c>
      <c r="G68" s="341">
        <f t="shared" si="0"/>
        <v>0</v>
      </c>
      <c r="H68" s="322"/>
      <c r="I68" s="342"/>
      <c r="J68" s="263"/>
      <c r="K68" s="263"/>
      <c r="L68" s="263"/>
      <c r="M68" s="263"/>
      <c r="N68" s="263"/>
      <c r="O68" s="263"/>
      <c r="P68" s="263"/>
      <c r="Q68" s="263"/>
      <c r="R68" s="263"/>
      <c r="S68" s="263"/>
      <c r="T68" s="263"/>
      <c r="U68" s="264"/>
    </row>
    <row r="69" ht="17.25" customHeight="1" spans="1:21">
      <c r="A69" s="335">
        <f>会计科目!H71</f>
        <v>5601</v>
      </c>
      <c r="B69" s="336" t="str">
        <f>会计科目!I71</f>
        <v>销售费用</v>
      </c>
      <c r="C69" s="337">
        <f>HLOOKUP(MONTH(基础信息!$D$4)-1,$I$5:$U$74,ROW(A65))</f>
        <v>0</v>
      </c>
      <c r="D69" s="338">
        <f>SUMIF(凭证录入!$F$6:$F$65536,科目余额表!$B69,凭证录入!$H$6:$H$65536)</f>
        <v>0</v>
      </c>
      <c r="E69" s="339">
        <f>SUMIF(凭证录入!$F$6:$F$65536,科目余额表!$B69,凭证录入!$I$6:$I$65536)</f>
        <v>0</v>
      </c>
      <c r="F69" s="340" t="s">
        <v>754</v>
      </c>
      <c r="G69" s="341">
        <f t="shared" si="0"/>
        <v>0</v>
      </c>
      <c r="H69" s="322"/>
      <c r="I69" s="342"/>
      <c r="J69" s="263"/>
      <c r="K69" s="263"/>
      <c r="L69" s="263"/>
      <c r="M69" s="263"/>
      <c r="N69" s="263"/>
      <c r="O69" s="263"/>
      <c r="P69" s="263"/>
      <c r="Q69" s="263"/>
      <c r="R69" s="263"/>
      <c r="S69" s="263"/>
      <c r="T69" s="263"/>
      <c r="U69" s="264"/>
    </row>
    <row r="70" ht="17.25" customHeight="1" spans="1:21">
      <c r="A70" s="335">
        <f>会计科目!H72</f>
        <v>5602</v>
      </c>
      <c r="B70" s="336" t="str">
        <f>会计科目!I72</f>
        <v>管理费用</v>
      </c>
      <c r="C70" s="337">
        <f>HLOOKUP(MONTH(基础信息!$D$4)-1,$I$5:$U$74,ROW(A66))</f>
        <v>0</v>
      </c>
      <c r="D70" s="338">
        <f>SUMIF(凭证录入!$F$6:$F$65536,科目余额表!$B70,凭证录入!$H$6:$H$65536)</f>
        <v>4831642</v>
      </c>
      <c r="E70" s="339">
        <f>SUMIF(凭证录入!$F$6:$F$65536,科目余额表!$B70,凭证录入!$I$6:$I$65536)</f>
        <v>0</v>
      </c>
      <c r="F70" s="340" t="s">
        <v>754</v>
      </c>
      <c r="G70" s="341">
        <f>IF(F70="借",C70+D70-E70,C70+E70-D70)</f>
        <v>4831642</v>
      </c>
      <c r="H70" s="322"/>
      <c r="I70" s="342"/>
      <c r="J70" s="263"/>
      <c r="K70" s="263"/>
      <c r="L70" s="263"/>
      <c r="M70" s="263"/>
      <c r="N70" s="263"/>
      <c r="O70" s="263"/>
      <c r="P70" s="263"/>
      <c r="Q70" s="263"/>
      <c r="R70" s="263"/>
      <c r="S70" s="263"/>
      <c r="T70" s="263"/>
      <c r="U70" s="264"/>
    </row>
    <row r="71" ht="17.25" customHeight="1" spans="1:21">
      <c r="A71" s="335">
        <f>会计科目!H73</f>
        <v>5603</v>
      </c>
      <c r="B71" s="336" t="str">
        <f>会计科目!I73</f>
        <v>财务费用</v>
      </c>
      <c r="C71" s="337">
        <f>HLOOKUP(MONTH(基础信息!$D$4)-1,$I$5:$U$74,ROW(A67))</f>
        <v>0</v>
      </c>
      <c r="D71" s="338">
        <f>SUMIF(凭证录入!$F$6:$F$65536,科目余额表!$B71,凭证录入!$H$6:$H$65536)</f>
        <v>0</v>
      </c>
      <c r="E71" s="339">
        <f>SUMIF(凭证录入!$F$6:$F$65536,科目余额表!$B71,凭证录入!$I$6:$I$65536)</f>
        <v>0</v>
      </c>
      <c r="F71" s="340" t="s">
        <v>754</v>
      </c>
      <c r="G71" s="341">
        <f>IF(F71="借",C71+D71-E71,C71+E71-D71)</f>
        <v>0</v>
      </c>
      <c r="H71" s="322"/>
      <c r="I71" s="342"/>
      <c r="J71" s="263"/>
      <c r="K71" s="263"/>
      <c r="L71" s="263"/>
      <c r="M71" s="263"/>
      <c r="N71" s="263"/>
      <c r="O71" s="263"/>
      <c r="P71" s="263"/>
      <c r="Q71" s="263"/>
      <c r="R71" s="263"/>
      <c r="S71" s="263"/>
      <c r="T71" s="263"/>
      <c r="U71" s="264"/>
    </row>
    <row r="72" ht="17.25" customHeight="1" spans="1:21">
      <c r="A72" s="335">
        <f>会计科目!H74</f>
        <v>5711</v>
      </c>
      <c r="B72" s="336" t="str">
        <f>会计科目!I74</f>
        <v>营业外支出</v>
      </c>
      <c r="C72" s="337">
        <f>HLOOKUP(MONTH(基础信息!$D$4)-1,$I$5:$U$74,ROW(A68))</f>
        <v>0</v>
      </c>
      <c r="D72" s="338">
        <f>SUMIF(凭证录入!$F$6:$F$65536,科目余额表!$B72,凭证录入!$H$6:$H$65536)</f>
        <v>0</v>
      </c>
      <c r="E72" s="339">
        <f>SUMIF(凭证录入!$F$6:$F$65536,科目余额表!$B72,凭证录入!$I$6:$I$65536)</f>
        <v>0</v>
      </c>
      <c r="F72" s="340" t="s">
        <v>754</v>
      </c>
      <c r="G72" s="341">
        <f>IF(F72="借",C72+D72-E72,C72+E72-D72)</f>
        <v>0</v>
      </c>
      <c r="H72" s="322"/>
      <c r="I72" s="342"/>
      <c r="J72" s="263"/>
      <c r="K72" s="263"/>
      <c r="L72" s="263"/>
      <c r="M72" s="263"/>
      <c r="N72" s="263"/>
      <c r="O72" s="263"/>
      <c r="P72" s="263"/>
      <c r="Q72" s="263"/>
      <c r="R72" s="263"/>
      <c r="S72" s="263"/>
      <c r="T72" s="263"/>
      <c r="U72" s="264"/>
    </row>
    <row r="73" ht="17.25" customHeight="1" spans="1:21">
      <c r="A73" s="335">
        <f>会计科目!H75</f>
        <v>5801</v>
      </c>
      <c r="B73" s="336" t="str">
        <f>会计科目!I75</f>
        <v>所得税费用</v>
      </c>
      <c r="C73" s="337">
        <f>HLOOKUP(MONTH(基础信息!$D$4)-1,$I$5:$U$74,ROW(A69))</f>
        <v>0</v>
      </c>
      <c r="D73" s="338">
        <f>SUMIF(凭证录入!$F$6:$F$65536,科目余额表!$B73,凭证录入!$H$6:$H$65536)</f>
        <v>0</v>
      </c>
      <c r="E73" s="339">
        <f>SUMIF(凭证录入!$F$6:$F$65536,科目余额表!$B73,凭证录入!$I$6:$I$65536)</f>
        <v>0</v>
      </c>
      <c r="F73" s="340" t="s">
        <v>754</v>
      </c>
      <c r="G73" s="341">
        <f>IF(F73="借",C73+D73-E73,C73+E73-D73)</f>
        <v>0</v>
      </c>
      <c r="H73" s="322"/>
      <c r="I73" s="342"/>
      <c r="J73" s="263"/>
      <c r="K73" s="263"/>
      <c r="L73" s="263"/>
      <c r="M73" s="263"/>
      <c r="N73" s="263"/>
      <c r="O73" s="263"/>
      <c r="P73" s="263"/>
      <c r="Q73" s="263"/>
      <c r="R73" s="263"/>
      <c r="S73" s="263"/>
      <c r="T73" s="263"/>
      <c r="U73" s="264"/>
    </row>
    <row r="74" ht="17.25" customHeight="1" spans="1:21">
      <c r="A74" s="335">
        <f>会计科目!H76</f>
        <v>6000</v>
      </c>
      <c r="B74" s="336" t="str">
        <f>会计科目!I76</f>
        <v>以前年度损益调整</v>
      </c>
      <c r="C74" s="337">
        <f>HLOOKUP(MONTH(基础信息!$D$4)-1,$I$5:$U$74,ROW(A70))</f>
        <v>0</v>
      </c>
      <c r="D74" s="338">
        <f>SUMIF(凭证录入!$F$6:$F$65536,科目余额表!$B74,凭证录入!$H$6:$H$65536)</f>
        <v>0</v>
      </c>
      <c r="E74" s="339">
        <f>SUMIF(凭证录入!$F$6:$F$65536,科目余额表!$B74,凭证录入!$I$6:$I$65536)</f>
        <v>0</v>
      </c>
      <c r="F74" s="340" t="s">
        <v>754</v>
      </c>
      <c r="G74" s="341">
        <f>IF(F74="借",C74+D74-E74,C74+E74-D74)</f>
        <v>0</v>
      </c>
      <c r="H74" s="322"/>
      <c r="I74" s="342"/>
      <c r="J74" s="263"/>
      <c r="K74" s="263"/>
      <c r="L74" s="263"/>
      <c r="M74" s="263"/>
      <c r="N74" s="263"/>
      <c r="O74" s="263"/>
      <c r="P74" s="263"/>
      <c r="Q74" s="263"/>
      <c r="R74" s="263"/>
      <c r="S74" s="263"/>
      <c r="T74" s="263"/>
      <c r="U74" s="264"/>
    </row>
    <row r="75" customHeight="1" spans="1:21">
      <c r="A75" s="343"/>
      <c r="B75" s="343"/>
      <c r="C75" s="344"/>
      <c r="D75" s="344"/>
      <c r="E75" s="344"/>
      <c r="F75" s="343"/>
      <c r="G75" s="344"/>
      <c r="H75" s="343"/>
      <c r="I75" s="343"/>
      <c r="J75" s="343"/>
      <c r="K75" s="343"/>
      <c r="L75" s="343"/>
      <c r="M75" s="343"/>
      <c r="N75" s="343"/>
      <c r="O75" s="343"/>
      <c r="P75" s="343"/>
      <c r="Q75" s="343"/>
      <c r="R75" s="343"/>
      <c r="S75" s="343"/>
      <c r="T75" s="343"/>
      <c r="U75" s="343"/>
    </row>
    <row r="76" customHeight="1" spans="1:21">
      <c r="A76" s="343"/>
      <c r="B76" s="343"/>
      <c r="C76" s="344"/>
      <c r="D76" s="344"/>
      <c r="E76" s="344"/>
      <c r="F76" s="343"/>
      <c r="G76" s="344"/>
      <c r="H76" s="343"/>
      <c r="I76" s="343"/>
      <c r="J76" s="343"/>
      <c r="K76" s="343"/>
      <c r="L76" s="343"/>
      <c r="M76" s="343"/>
      <c r="N76" s="343"/>
      <c r="O76" s="343"/>
      <c r="P76" s="343"/>
      <c r="Q76" s="343"/>
      <c r="R76" s="343"/>
      <c r="S76" s="343"/>
      <c r="T76" s="343"/>
      <c r="U76" s="343"/>
    </row>
    <row r="77" customHeight="1" spans="1:21">
      <c r="A77" s="343"/>
      <c r="B77" s="343"/>
      <c r="C77" s="344"/>
      <c r="D77" s="344"/>
      <c r="E77" s="344"/>
      <c r="F77" s="343"/>
      <c r="G77" s="344"/>
      <c r="H77" s="343"/>
      <c r="I77" s="343"/>
      <c r="J77" s="343"/>
      <c r="K77" s="343"/>
      <c r="L77" s="343"/>
      <c r="M77" s="343"/>
      <c r="N77" s="343"/>
      <c r="O77" s="343"/>
      <c r="P77" s="343"/>
      <c r="Q77" s="343"/>
      <c r="R77" s="343"/>
      <c r="S77" s="343"/>
      <c r="T77" s="343"/>
      <c r="U77" s="343"/>
    </row>
    <row r="78" customHeight="1" spans="1:21">
      <c r="A78" s="343"/>
      <c r="B78" s="343"/>
      <c r="C78" s="344"/>
      <c r="D78" s="344"/>
      <c r="E78" s="344"/>
      <c r="F78" s="343"/>
      <c r="G78" s="344"/>
      <c r="H78" s="343"/>
      <c r="I78" s="343"/>
      <c r="J78" s="343"/>
      <c r="K78" s="343"/>
      <c r="L78" s="343"/>
      <c r="M78" s="343"/>
      <c r="N78" s="343"/>
      <c r="O78" s="343"/>
      <c r="P78" s="343"/>
      <c r="Q78" s="343"/>
      <c r="R78" s="343"/>
      <c r="S78" s="343"/>
      <c r="T78" s="343"/>
      <c r="U78" s="343"/>
    </row>
    <row r="79" customHeight="1" spans="1:21">
      <c r="A79" s="343"/>
      <c r="B79" s="343"/>
      <c r="C79" s="344"/>
      <c r="D79" s="344"/>
      <c r="E79" s="344"/>
      <c r="F79" s="343"/>
      <c r="G79" s="344"/>
      <c r="H79" s="343"/>
      <c r="I79" s="343"/>
      <c r="J79" s="343"/>
      <c r="K79" s="343"/>
      <c r="L79" s="343"/>
      <c r="M79" s="343"/>
      <c r="N79" s="343"/>
      <c r="O79" s="343"/>
      <c r="P79" s="343"/>
      <c r="Q79" s="343"/>
      <c r="R79" s="343"/>
      <c r="S79" s="343"/>
      <c r="T79" s="343"/>
      <c r="U79" s="343"/>
    </row>
    <row r="80" customHeight="1" spans="1:21">
      <c r="A80" s="343"/>
      <c r="B80" s="343"/>
      <c r="C80" s="344"/>
      <c r="D80" s="344"/>
      <c r="E80" s="344"/>
      <c r="F80" s="343"/>
      <c r="G80" s="344"/>
      <c r="H80" s="343"/>
      <c r="I80" s="343"/>
      <c r="J80" s="343"/>
      <c r="K80" s="343"/>
      <c r="L80" s="343"/>
      <c r="M80" s="343"/>
      <c r="N80" s="343"/>
      <c r="O80" s="343"/>
      <c r="P80" s="343"/>
      <c r="Q80" s="343"/>
      <c r="R80" s="343"/>
      <c r="S80" s="343"/>
      <c r="T80" s="343"/>
      <c r="U80" s="343"/>
    </row>
    <row r="81" customHeight="1" spans="1:21">
      <c r="A81" s="343"/>
      <c r="B81" s="343"/>
      <c r="C81" s="344"/>
      <c r="D81" s="344"/>
      <c r="E81" s="344"/>
      <c r="F81" s="343"/>
      <c r="G81" s="344"/>
      <c r="H81" s="343"/>
      <c r="I81" s="343"/>
      <c r="J81" s="343"/>
      <c r="K81" s="343"/>
      <c r="L81" s="343"/>
      <c r="M81" s="343"/>
      <c r="N81" s="343"/>
      <c r="O81" s="343"/>
      <c r="P81" s="343"/>
      <c r="Q81" s="343"/>
      <c r="R81" s="343"/>
      <c r="S81" s="343"/>
      <c r="T81" s="343"/>
      <c r="U81" s="343"/>
    </row>
    <row r="82" customHeight="1" spans="1:21">
      <c r="A82" s="343"/>
      <c r="B82" s="343"/>
      <c r="C82" s="344"/>
      <c r="D82" s="344"/>
      <c r="E82" s="344"/>
      <c r="F82" s="343"/>
      <c r="G82" s="344"/>
      <c r="H82" s="343"/>
      <c r="I82" s="343"/>
      <c r="J82" s="343"/>
      <c r="K82" s="343"/>
      <c r="L82" s="343"/>
      <c r="M82" s="343"/>
      <c r="N82" s="343"/>
      <c r="O82" s="343"/>
      <c r="P82" s="343"/>
      <c r="Q82" s="343"/>
      <c r="R82" s="343"/>
      <c r="S82" s="343"/>
      <c r="T82" s="343"/>
      <c r="U82" s="343"/>
    </row>
    <row r="83" customHeight="1" spans="1:21">
      <c r="A83" s="343"/>
      <c r="B83" s="343"/>
      <c r="C83" s="344"/>
      <c r="D83" s="344"/>
      <c r="E83" s="344"/>
      <c r="F83" s="343"/>
      <c r="G83" s="344"/>
      <c r="H83" s="343"/>
      <c r="I83" s="343"/>
      <c r="J83" s="343"/>
      <c r="K83" s="343"/>
      <c r="L83" s="343"/>
      <c r="M83" s="343"/>
      <c r="N83" s="343"/>
      <c r="O83" s="343"/>
      <c r="P83" s="343"/>
      <c r="Q83" s="343"/>
      <c r="R83" s="343"/>
      <c r="S83" s="343"/>
      <c r="T83" s="343"/>
      <c r="U83" s="343"/>
    </row>
    <row r="84" customHeight="1" spans="1:21">
      <c r="A84" s="343"/>
      <c r="B84" s="343"/>
      <c r="C84" s="344"/>
      <c r="D84" s="344"/>
      <c r="E84" s="344"/>
      <c r="F84" s="343"/>
      <c r="G84" s="344"/>
      <c r="H84" s="343"/>
      <c r="I84" s="343"/>
      <c r="J84" s="343"/>
      <c r="K84" s="343"/>
      <c r="L84" s="343"/>
      <c r="M84" s="343"/>
      <c r="N84" s="343"/>
      <c r="O84" s="343"/>
      <c r="P84" s="343"/>
      <c r="Q84" s="343"/>
      <c r="R84" s="343"/>
      <c r="S84" s="343"/>
      <c r="T84" s="343"/>
      <c r="U84" s="343"/>
    </row>
    <row r="85" customHeight="1" spans="1:21">
      <c r="A85" s="343"/>
      <c r="B85" s="343"/>
      <c r="C85" s="344"/>
      <c r="D85" s="344"/>
      <c r="E85" s="344"/>
      <c r="F85" s="343"/>
      <c r="G85" s="344"/>
      <c r="H85" s="343"/>
      <c r="I85" s="343"/>
      <c r="J85" s="343"/>
      <c r="K85" s="343"/>
      <c r="L85" s="343"/>
      <c r="M85" s="343"/>
      <c r="N85" s="343"/>
      <c r="O85" s="343"/>
      <c r="P85" s="343"/>
      <c r="Q85" s="343"/>
      <c r="R85" s="343"/>
      <c r="S85" s="343"/>
      <c r="T85" s="343"/>
      <c r="U85" s="343"/>
    </row>
    <row r="86" customHeight="1" spans="1:21">
      <c r="A86" s="343"/>
      <c r="B86" s="343"/>
      <c r="C86" s="344"/>
      <c r="D86" s="344"/>
      <c r="E86" s="344"/>
      <c r="F86" s="343"/>
      <c r="G86" s="344"/>
      <c r="H86" s="343"/>
      <c r="I86" s="343"/>
      <c r="J86" s="343"/>
      <c r="K86" s="343"/>
      <c r="L86" s="343"/>
      <c r="M86" s="343"/>
      <c r="N86" s="343"/>
      <c r="O86" s="343"/>
      <c r="P86" s="343"/>
      <c r="Q86" s="343"/>
      <c r="R86" s="343"/>
      <c r="S86" s="343"/>
      <c r="T86" s="343"/>
      <c r="U86" s="343"/>
    </row>
    <row r="87" customHeight="1" spans="1:21">
      <c r="A87" s="343"/>
      <c r="B87" s="343"/>
      <c r="C87" s="344"/>
      <c r="D87" s="344"/>
      <c r="E87" s="344"/>
      <c r="F87" s="343"/>
      <c r="G87" s="344"/>
      <c r="H87" s="343"/>
      <c r="I87" s="343"/>
      <c r="J87" s="343"/>
      <c r="K87" s="343"/>
      <c r="L87" s="343"/>
      <c r="M87" s="343"/>
      <c r="N87" s="343"/>
      <c r="O87" s="343"/>
      <c r="P87" s="343"/>
      <c r="Q87" s="343"/>
      <c r="R87" s="343"/>
      <c r="S87" s="343"/>
      <c r="T87" s="343"/>
      <c r="U87" s="343"/>
    </row>
    <row r="88" customHeight="1" spans="1:21">
      <c r="A88" s="343"/>
      <c r="B88" s="343"/>
      <c r="C88" s="344"/>
      <c r="D88" s="344"/>
      <c r="E88" s="344"/>
      <c r="F88" s="343"/>
      <c r="G88" s="344"/>
      <c r="H88" s="343"/>
      <c r="I88" s="343"/>
      <c r="J88" s="343"/>
      <c r="K88" s="343"/>
      <c r="L88" s="343"/>
      <c r="M88" s="343"/>
      <c r="N88" s="343"/>
      <c r="O88" s="343"/>
      <c r="P88" s="343"/>
      <c r="Q88" s="343"/>
      <c r="R88" s="343"/>
      <c r="S88" s="343"/>
      <c r="T88" s="343"/>
      <c r="U88" s="343"/>
    </row>
    <row r="89" customHeight="1" spans="1:21">
      <c r="A89" s="343"/>
      <c r="B89" s="343"/>
      <c r="C89" s="344"/>
      <c r="D89" s="344"/>
      <c r="E89" s="344"/>
      <c r="F89" s="343"/>
      <c r="G89" s="344"/>
      <c r="H89" s="343"/>
      <c r="I89" s="343"/>
      <c r="J89" s="343"/>
      <c r="K89" s="343"/>
      <c r="L89" s="343"/>
      <c r="M89" s="343"/>
      <c r="N89" s="343"/>
      <c r="O89" s="343"/>
      <c r="P89" s="343"/>
      <c r="Q89" s="343"/>
      <c r="R89" s="343"/>
      <c r="S89" s="343"/>
      <c r="T89" s="343"/>
      <c r="U89" s="343"/>
    </row>
    <row r="90" customHeight="1" spans="1:21">
      <c r="A90" s="343"/>
      <c r="B90" s="343"/>
      <c r="C90" s="344"/>
      <c r="D90" s="344"/>
      <c r="E90" s="344"/>
      <c r="F90" s="343"/>
      <c r="G90" s="344"/>
      <c r="H90" s="343"/>
      <c r="I90" s="343"/>
      <c r="J90" s="343"/>
      <c r="K90" s="343"/>
      <c r="L90" s="343"/>
      <c r="M90" s="343"/>
      <c r="N90" s="343"/>
      <c r="O90" s="343"/>
      <c r="P90" s="343"/>
      <c r="Q90" s="343"/>
      <c r="R90" s="343"/>
      <c r="S90" s="343"/>
      <c r="T90" s="343"/>
      <c r="U90" s="343"/>
    </row>
    <row r="91" ht="17.25" customHeight="1" spans="1:21">
      <c r="A91" s="345" t="s">
        <v>756</v>
      </c>
      <c r="B91" s="135"/>
      <c r="C91" s="346">
        <f>SUM(C6:C74)</f>
        <v>0</v>
      </c>
      <c r="D91" s="347">
        <f>SUM(D6:D74)</f>
        <v>26988240</v>
      </c>
      <c r="E91" s="348">
        <f>SUM(E6:E74)</f>
        <v>26988240</v>
      </c>
      <c r="F91" s="349"/>
      <c r="G91" s="350"/>
      <c r="H91" s="322"/>
      <c r="I91" s="351"/>
      <c r="J91" s="273"/>
      <c r="K91" s="273"/>
      <c r="L91" s="273"/>
      <c r="M91" s="273"/>
      <c r="N91" s="273"/>
      <c r="O91" s="273"/>
      <c r="P91" s="273"/>
      <c r="Q91" s="273"/>
      <c r="R91" s="273"/>
      <c r="S91" s="273"/>
      <c r="T91" s="273"/>
      <c r="U91" s="274"/>
    </row>
    <row r="92" ht="16.05" customHeight="1"/>
    <row r="93" ht="16.2" customHeight="1" spans="1:21">
      <c r="D93" s="13"/>
      <c r="E93" s="176" t="s">
        <v>757</v>
      </c>
      <c r="F93" s="177"/>
      <c r="G93" s="163" t="str">
        <f>IF(AND(SUMIF($F$6:$F$74,"借",C6:C74)-SUMIF($F$6:$F$74,"贷",C6:C74)&gt;=-0.0001,SUMIF($F$6:$F$74,"借",C6:C74)-SUMIF($F$6:$F$74,"贷",C6:C74)&lt;=0.0001),"试算平衡","试算不平衡，借贷差异"&amp;SUMIF($F$6:$F$74,"借",C6:C74)-SUMIF($F$6:$F$74,"贷",C6:C74)&amp;"元")</f>
        <v>试算平衡</v>
      </c>
    </row>
    <row r="94" ht="16.2" customHeight="1" spans="1:21">
      <c r="D94" s="13"/>
      <c r="E94" s="176" t="s">
        <v>758</v>
      </c>
      <c r="F94" s="177"/>
      <c r="G94" s="163" t="str">
        <f>IF(AND(D91-E91&gt;=-0.0001,D91-E91&lt;=0.0001),"试算平衡","试算不平衡，借贷差异"&amp;D91-E91&amp;"元")</f>
        <v>试算平衡</v>
      </c>
    </row>
    <row r="95" ht="16.2" customHeight="1" spans="1:21">
      <c r="D95" s="13"/>
      <c r="E95" s="176" t="s">
        <v>759</v>
      </c>
      <c r="F95" s="177"/>
      <c r="G95" s="163" t="str">
        <f>IF(AND(SUMIF($F$6:$F$74,"借",G6:G74)-SUMIF($F$6:$F$74,"贷",G6:G74)&gt;=-0.0001,SUMIF($F$6:$F$74,"借",G6:G74)-SUMIF($F$6:$F$74,"贷",G6:G74)&lt;=0.0001),"试算平衡","试算不平衡，借贷差异"&amp;SUMIF($F$6:$F$74,"借",G6:G74)-SUMIF($F$6:$F$74,"贷",G6:G74)&amp;"元")</f>
        <v>试算平衡</v>
      </c>
    </row>
    <row r="96" spans="1:21">
      <c r="D96" s="13"/>
      <c r="E96" s="13"/>
      <c r="F96" s="13"/>
      <c r="G96" s="13"/>
    </row>
  </sheetData>
  <sheetProtection sheet="1" formatCells="0" formatColumns="0" formatRows="0" insertHyperlinks="0" sort="0" autoFilter="0" pivotTables="0" objects="1"/>
  <mergeCells count="8">
    <mergeCell ref="A1:G1"/>
    <mergeCell ref="D4:E4"/>
    <mergeCell ref="A91:B91"/>
    <mergeCell ref="A4:A5"/>
    <mergeCell ref="B4:B5"/>
    <mergeCell ref="C4:C5"/>
    <mergeCell ref="F4:F5"/>
    <mergeCell ref="G4:G5"/>
  </mergeCells>
  <conditionalFormatting sqref="G93">
    <cfRule type="expression" dxfId="3" priority="1" stopIfTrue="1">
      <formula>AND(SUMIF($F$6:$F$90,"借",C6:C90)-SUMIF($F$6:$F$90,"贷",C6:C90)&gt;=-0.0001,SUMIF($F$6:$F$90,"借",C6:C90)-SUMIF($F$6:$F$90,"贷",C6:C90)&lt;=0.0001)</formula>
    </cfRule>
    <cfRule type="expression" dxfId="4" priority="2" stopIfTrue="1">
      <formula>OR(SUMIF($F$6:$F$90,"借",C6:C90)-SUMIF($F$6:$F$90,"贷",C6:C90)&lt;-0.0001,SUMIF($F$6:$F$90,"借",C6:C90)-SUMIF($F$6:$F$90,"贷",C6:C90)&gt;0.0001)</formula>
    </cfRule>
  </conditionalFormatting>
  <conditionalFormatting sqref="G94">
    <cfRule type="expression" dxfId="3" priority="3" stopIfTrue="1">
      <formula>AND(D91-E91&gt;=-0.0001,D91-E91&lt;=0.0001)</formula>
    </cfRule>
    <cfRule type="expression" dxfId="4" priority="4" stopIfTrue="1">
      <formula>OR(D91-E91&lt;-0.0001,D91-E91&gt;0.0001)</formula>
    </cfRule>
  </conditionalFormatting>
  <conditionalFormatting sqref="G95">
    <cfRule type="expression" dxfId="3" priority="5" stopIfTrue="1">
      <formula>AND(SUMIF($F$6:$F$90,"借",G6:G90)-SUMIF($F$6:$F$90,"贷",G6:G90)&gt;=-0.0001,SUMIF($F$6:$F$90,"借",G6:G90)-SUMIF($F$6:$F$90,"贷",G6:G90)&lt;=0.0001)</formula>
    </cfRule>
    <cfRule type="expression" dxfId="4" priority="6" stopIfTrue="1">
      <formula>OR(SUMIF($F$6:$F$90,"借",G6:G90)-SUMIF($F$6:$F$90,"贷",G6:G90)&lt;-0.0001,SUMIF($F$6:$F$90,"借",G6:G90)-SUMIF($F$6:$F$90,"贷",G6:G90)&gt;0.0001)</formula>
    </cfRule>
  </conditionalFormatting>
  <conditionalFormatting sqref="F6:F90">
    <cfRule type="cellIs" dxfId="0" priority="8" stopIfTrue="1" operator="equal">
      <formula>""</formula>
    </cfRule>
    <cfRule type="cellIs" dxfId="5" priority="9" stopIfTrue="1" operator="equal">
      <formula>"借"</formula>
    </cfRule>
    <cfRule type="cellIs" dxfId="6" priority="10" stopIfTrue="1" operator="equal">
      <formula>"贷"</formula>
    </cfRule>
  </conditionalFormatting>
  <conditionalFormatting sqref="C6:E90 C91:G91 G6:G90 I4:U91">
    <cfRule type="cellIs" dxfId="0" priority="7" stopIfTrue="1" operator="equal">
      <formula>""</formula>
    </cfRule>
  </conditionalFormatting>
  <hyperlinks>
    <hyperlink ref="H3" location="目录!B1" display="目录!B1"/>
  </hyperlinks>
  <printOptions horizontalCentered="1"/>
  <pageMargins left="0" right="0" top="0.393055555555556" bottom="0.590277777777778" header="0.510416666666667" footer="0.393055555555556"/>
  <pageSetup paperSize="9" scale="96" orientation="portrait" horizontalDpi="600" verticalDpi="600"/>
  <headerFooter alignWithMargins="0" scaleWithDoc="0">
    <oddFooter>&amp;C&amp;"黑体,常规"&amp;10 第 &amp;P 页，共 &amp;N 页</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indexed="46"/>
    <pageSetUpPr fitToPage="1"/>
  </sheetPr>
  <dimension ref="A1:L52"/>
  <sheetViews>
    <sheetView showGridLines="0" showZeros="0" workbookViewId="0">
      <pane ySplit="5" topLeftCell="A6" activePane="bottomLeft" state="frozen"/>
      <selection/>
      <selection pane="bottomLeft" activeCell="E27" sqref="E27"/>
    </sheetView>
  </sheetViews>
  <sheetFormatPr defaultColWidth="9" defaultRowHeight="16.5" zeroHeight="1"/>
  <cols>
    <col min="1" max="1" width="11.125" style="13" customWidth="1"/>
    <col min="2" max="2" width="15.8666666666667" style="13" customWidth="1"/>
    <col min="3" max="3" width="3.625" style="158" customWidth="1"/>
    <col min="4" max="6" width="12.625" style="13" customWidth="1"/>
    <col min="7" max="7" width="16.7416666666667" style="13" customWidth="1"/>
    <col min="8" max="8" width="6.40833333333333" style="158" customWidth="1"/>
    <col min="9" max="10" width="12.625" style="13" customWidth="1"/>
    <col min="11" max="13" width="9" style="13" customWidth="1"/>
    <col min="14" max="16384" width="9" style="13" hidden="1" customWidth="1"/>
  </cols>
  <sheetData>
    <row r="1" ht="22.2" customHeight="1" spans="1:12">
      <c r="A1" s="241" t="s">
        <v>760</v>
      </c>
      <c r="B1" s="3"/>
      <c r="C1" s="3"/>
      <c r="D1" s="3"/>
      <c r="E1" s="3"/>
      <c r="F1" s="3"/>
      <c r="G1" s="3"/>
      <c r="H1" s="3"/>
      <c r="I1" s="3"/>
      <c r="J1" s="3"/>
    </row>
    <row r="2" ht="0.75" customHeight="1" spans="1:12">
      <c r="A2" s="241"/>
      <c r="B2" s="241"/>
      <c r="C2" s="241"/>
      <c r="D2" s="241"/>
      <c r="E2" s="241"/>
      <c r="F2" s="241"/>
      <c r="G2" s="241"/>
      <c r="H2" s="241"/>
      <c r="I2" s="241"/>
      <c r="J2" s="241"/>
      <c r="L2" s="242" t="s">
        <v>1</v>
      </c>
    </row>
    <row r="3" ht="15" hidden="1" customHeight="1" spans="1:12">
      <c r="A3" s="20"/>
      <c r="B3" s="20"/>
      <c r="C3" s="292"/>
      <c r="D3" s="20"/>
      <c r="E3" s="20"/>
      <c r="F3" s="20"/>
      <c r="G3" s="20"/>
      <c r="H3" s="292"/>
      <c r="I3" s="20"/>
      <c r="J3" s="20"/>
    </row>
    <row r="4" ht="36" customHeight="1" spans="1:12">
      <c r="A4" s="293" t="s">
        <v>3</v>
      </c>
      <c r="B4" s="294" t="str">
        <f>基础信息!D3</f>
        <v>XIN SHENG</v>
      </c>
      <c r="C4" s="41"/>
      <c r="D4" s="41"/>
      <c r="E4" s="295" t="s">
        <v>6</v>
      </c>
      <c r="F4" s="296">
        <f>基础信息!D5</f>
        <v>46022</v>
      </c>
      <c r="G4" s="297" t="str">
        <f>TEXT(基础信息!D4,"yyyy年m月")</f>
        <v>2025年12月</v>
      </c>
      <c r="H4" s="41"/>
      <c r="I4" s="41"/>
      <c r="J4" s="298" t="s">
        <v>732</v>
      </c>
      <c r="L4" t="s">
        <v>733</v>
      </c>
    </row>
    <row r="5" s="291" customFormat="1" ht="36" customHeight="1" spans="1:12">
      <c r="A5" s="249" t="s">
        <v>761</v>
      </c>
      <c r="B5" s="49"/>
      <c r="C5" s="250" t="s">
        <v>762</v>
      </c>
      <c r="D5" s="251" t="s">
        <v>763</v>
      </c>
      <c r="E5" s="299" t="s">
        <v>764</v>
      </c>
      <c r="F5" s="300" t="s">
        <v>765</v>
      </c>
      <c r="G5" s="49"/>
      <c r="H5" s="250" t="s">
        <v>762</v>
      </c>
      <c r="I5" s="251" t="s">
        <v>763</v>
      </c>
      <c r="J5" s="252" t="s">
        <v>764</v>
      </c>
    </row>
    <row r="6" customHeight="1" spans="1:12">
      <c r="A6" s="301" t="s">
        <v>766</v>
      </c>
      <c r="B6" s="96"/>
      <c r="C6" s="258"/>
      <c r="D6" s="302" t="s">
        <v>767</v>
      </c>
      <c r="E6" s="303" t="s">
        <v>767</v>
      </c>
      <c r="F6" s="304" t="s">
        <v>768</v>
      </c>
      <c r="G6" s="96"/>
      <c r="H6" s="258"/>
      <c r="I6" s="276" t="s">
        <v>767</v>
      </c>
      <c r="J6" s="277" t="s">
        <v>767</v>
      </c>
    </row>
    <row r="7" customHeight="1" spans="1:12">
      <c r="A7" s="305" t="s">
        <v>769</v>
      </c>
      <c r="B7" s="96"/>
      <c r="C7" s="258">
        <v>1</v>
      </c>
      <c r="D7" s="276"/>
      <c r="E7" s="306">
        <f>科目余额表!G6+科目余额表!G7+科目余额表!G8</f>
        <v>5822970</v>
      </c>
      <c r="F7" s="307" t="s">
        <v>770</v>
      </c>
      <c r="G7" s="96"/>
      <c r="H7" s="258">
        <v>68</v>
      </c>
      <c r="I7" s="276"/>
      <c r="J7" s="260">
        <f>科目余额表!G40</f>
        <v>0</v>
      </c>
    </row>
    <row r="8" customHeight="1" spans="1:12">
      <c r="A8" s="305" t="s">
        <v>771</v>
      </c>
      <c r="B8" s="96"/>
      <c r="C8" s="258">
        <v>2</v>
      </c>
      <c r="D8" s="276"/>
      <c r="E8" s="308">
        <f>科目余额表!G9</f>
        <v>0</v>
      </c>
      <c r="F8" s="307" t="s">
        <v>772</v>
      </c>
      <c r="G8" s="96"/>
      <c r="H8" s="258">
        <v>69</v>
      </c>
      <c r="I8" s="276"/>
      <c r="J8" s="260">
        <f>科目余额表!G41</f>
        <v>0</v>
      </c>
    </row>
    <row r="9" customHeight="1" spans="1:12">
      <c r="A9" s="305" t="s">
        <v>773</v>
      </c>
      <c r="B9" s="96"/>
      <c r="C9" s="258">
        <v>3</v>
      </c>
      <c r="D9" s="276"/>
      <c r="E9" s="308">
        <f>科目余额表!G10</f>
        <v>0</v>
      </c>
      <c r="F9" s="307" t="s">
        <v>774</v>
      </c>
      <c r="G9" s="96"/>
      <c r="H9" s="258">
        <v>70</v>
      </c>
      <c r="I9" s="276"/>
      <c r="J9" s="260">
        <f>科目余额表!G42</f>
        <v>0</v>
      </c>
    </row>
    <row r="10" customHeight="1" spans="1:12">
      <c r="A10" s="305" t="s">
        <v>775</v>
      </c>
      <c r="B10" s="96"/>
      <c r="C10" s="258">
        <v>4</v>
      </c>
      <c r="D10" s="276"/>
      <c r="E10" s="308">
        <f>科目余额表!G13</f>
        <v>0</v>
      </c>
      <c r="F10" s="307" t="s">
        <v>776</v>
      </c>
      <c r="G10" s="96"/>
      <c r="H10" s="258">
        <v>71</v>
      </c>
      <c r="I10" s="276"/>
      <c r="J10" s="260">
        <f>科目余额表!G43</f>
        <v>0</v>
      </c>
    </row>
    <row r="11" customHeight="1" spans="1:12">
      <c r="A11" s="305" t="s">
        <v>777</v>
      </c>
      <c r="B11" s="96"/>
      <c r="C11" s="258">
        <v>5</v>
      </c>
      <c r="D11" s="276"/>
      <c r="E11" s="308">
        <f>科目余额表!G14</f>
        <v>0</v>
      </c>
      <c r="F11" s="307" t="s">
        <v>778</v>
      </c>
      <c r="G11" s="96"/>
      <c r="H11" s="258">
        <v>72</v>
      </c>
      <c r="I11" s="276"/>
      <c r="J11" s="267">
        <f>科目余额表!G44</f>
        <v>-788985</v>
      </c>
    </row>
    <row r="12" customHeight="1" spans="1:12">
      <c r="A12" s="305" t="s">
        <v>779</v>
      </c>
      <c r="B12" s="96"/>
      <c r="C12" s="258">
        <v>6</v>
      </c>
      <c r="D12" s="276"/>
      <c r="E12" s="308">
        <f>科目余额表!G11</f>
        <v>0</v>
      </c>
      <c r="F12" s="307" t="s">
        <v>780</v>
      </c>
      <c r="G12" s="96"/>
      <c r="H12" s="258">
        <v>73</v>
      </c>
      <c r="I12" s="276"/>
      <c r="J12" s="260"/>
    </row>
    <row r="13" customHeight="1" spans="1:12">
      <c r="A13" s="305" t="s">
        <v>781</v>
      </c>
      <c r="B13" s="96"/>
      <c r="C13" s="258">
        <v>7</v>
      </c>
      <c r="D13" s="276"/>
      <c r="E13" s="306">
        <f>科目余额表!G15</f>
        <v>-44440</v>
      </c>
      <c r="F13" s="307" t="s">
        <v>782</v>
      </c>
      <c r="G13" s="96"/>
      <c r="H13" s="258">
        <v>74</v>
      </c>
      <c r="I13" s="276"/>
      <c r="J13" s="260">
        <f>科目余额表!G47</f>
        <v>0</v>
      </c>
    </row>
    <row r="14" customHeight="1" spans="1:12">
      <c r="A14" s="305" t="s">
        <v>783</v>
      </c>
      <c r="B14" s="96"/>
      <c r="C14" s="258">
        <v>8</v>
      </c>
      <c r="D14" s="276"/>
      <c r="E14" s="308">
        <f>科目余额表!G12</f>
        <v>0</v>
      </c>
      <c r="F14" s="307" t="s">
        <v>784</v>
      </c>
      <c r="G14" s="96"/>
      <c r="H14" s="258">
        <v>75</v>
      </c>
      <c r="I14" s="276"/>
      <c r="J14" s="260">
        <f>科目余额表!G45</f>
        <v>0</v>
      </c>
    </row>
    <row r="15" customHeight="1" spans="1:12">
      <c r="A15" s="305" t="s">
        <v>785</v>
      </c>
      <c r="B15" s="96"/>
      <c r="C15" s="258">
        <v>9</v>
      </c>
      <c r="D15" s="276"/>
      <c r="E15" s="308"/>
      <c r="F15" s="307" t="s">
        <v>786</v>
      </c>
      <c r="G15" s="96"/>
      <c r="H15" s="258">
        <v>80</v>
      </c>
      <c r="I15" s="276"/>
      <c r="J15" s="260"/>
    </row>
    <row r="16" customHeight="1" spans="1:12">
      <c r="A16" s="305" t="s">
        <v>787</v>
      </c>
      <c r="B16" s="96"/>
      <c r="C16" s="258">
        <v>10</v>
      </c>
      <c r="D16" s="276"/>
      <c r="E16" s="308">
        <f ca="1">SUM(科目余额表!G16:科目余额表!G24)</f>
        <v>0</v>
      </c>
      <c r="F16" s="307" t="s">
        <v>788</v>
      </c>
      <c r="G16" s="96"/>
      <c r="H16" s="258">
        <v>81</v>
      </c>
      <c r="I16" s="276"/>
      <c r="J16" s="267">
        <f>科目余额表!G48</f>
        <v>-100000</v>
      </c>
    </row>
    <row r="17" customHeight="1" spans="1:10">
      <c r="A17" s="305" t="s">
        <v>789</v>
      </c>
      <c r="B17" s="96"/>
      <c r="C17" s="258">
        <v>11</v>
      </c>
      <c r="D17" s="276"/>
      <c r="E17" s="308"/>
      <c r="F17" s="307" t="s">
        <v>790</v>
      </c>
      <c r="G17" s="96"/>
      <c r="H17" s="258">
        <v>82</v>
      </c>
      <c r="I17" s="276"/>
      <c r="J17" s="260"/>
    </row>
    <row r="18" ht="27" customHeight="1" spans="1:10">
      <c r="A18" s="305" t="s">
        <v>791</v>
      </c>
      <c r="B18" s="96"/>
      <c r="C18" s="258">
        <v>21</v>
      </c>
      <c r="D18" s="276"/>
      <c r="E18" s="303"/>
      <c r="F18" s="307" t="s">
        <v>792</v>
      </c>
      <c r="G18" s="96"/>
      <c r="H18" s="258">
        <v>83</v>
      </c>
      <c r="I18" s="276"/>
      <c r="J18" s="260"/>
    </row>
    <row r="19" ht="27" customHeight="1" spans="1:10">
      <c r="A19" s="305" t="s">
        <v>793</v>
      </c>
      <c r="B19" s="96"/>
      <c r="C19" s="258">
        <v>24</v>
      </c>
      <c r="D19" s="276"/>
      <c r="E19" s="303">
        <f>科目余额表!G39</f>
        <v>0</v>
      </c>
      <c r="F19" s="307" t="s">
        <v>794</v>
      </c>
      <c r="G19" s="96"/>
      <c r="H19" s="258">
        <v>86</v>
      </c>
      <c r="I19" s="276"/>
      <c r="J19" s="277"/>
    </row>
    <row r="20" customHeight="1" spans="1:10">
      <c r="A20" s="305" t="s">
        <v>795</v>
      </c>
      <c r="B20" s="96"/>
      <c r="C20" s="258">
        <v>31</v>
      </c>
      <c r="D20" s="259">
        <f>SUM(D7:D19)</f>
        <v>0</v>
      </c>
      <c r="E20" s="306">
        <f ca="1">SUM(E7:E19)</f>
        <v>5778530</v>
      </c>
      <c r="F20" s="307" t="s">
        <v>796</v>
      </c>
      <c r="G20" s="96"/>
      <c r="H20" s="258">
        <v>90</v>
      </c>
      <c r="I20" s="276"/>
      <c r="J20" s="277">
        <f>科目余额表!G49</f>
        <v>0</v>
      </c>
    </row>
    <row r="21" customHeight="1" spans="1:10">
      <c r="A21" s="301" t="s">
        <v>797</v>
      </c>
      <c r="B21" s="96"/>
      <c r="C21" s="258"/>
      <c r="D21" s="276" t="s">
        <v>767</v>
      </c>
      <c r="E21" s="303" t="s">
        <v>767</v>
      </c>
      <c r="F21" s="307"/>
      <c r="G21" s="96"/>
      <c r="H21" s="258"/>
      <c r="I21" s="276"/>
      <c r="J21" s="277"/>
    </row>
    <row r="22" customHeight="1" spans="1:10">
      <c r="A22" s="305" t="s">
        <v>798</v>
      </c>
      <c r="B22" s="96"/>
      <c r="C22" s="258">
        <v>32</v>
      </c>
      <c r="D22" s="276"/>
      <c r="E22" s="308">
        <f>科目余额表!G26</f>
        <v>0</v>
      </c>
      <c r="F22" s="307" t="s">
        <v>799</v>
      </c>
      <c r="G22" s="96"/>
      <c r="H22" s="258">
        <v>100</v>
      </c>
      <c r="I22" s="259">
        <f>SUM(I7:I21)</f>
        <v>0</v>
      </c>
      <c r="J22" s="267">
        <f>SUM(J7:J21)</f>
        <v>-888985</v>
      </c>
    </row>
    <row r="23" customHeight="1" spans="1:10">
      <c r="A23" s="305" t="s">
        <v>800</v>
      </c>
      <c r="B23" s="96"/>
      <c r="C23" s="258">
        <v>34</v>
      </c>
      <c r="D23" s="276"/>
      <c r="E23" s="308">
        <f>科目余额表!G25</f>
        <v>0</v>
      </c>
      <c r="F23" s="304" t="s">
        <v>801</v>
      </c>
      <c r="G23" s="96"/>
      <c r="H23" s="258"/>
      <c r="I23" s="276" t="s">
        <v>767</v>
      </c>
      <c r="J23" s="277" t="s">
        <v>767</v>
      </c>
    </row>
    <row r="24" customHeight="1" spans="1:10">
      <c r="A24" s="305" t="s">
        <v>802</v>
      </c>
      <c r="B24" s="96"/>
      <c r="C24" s="258">
        <v>38</v>
      </c>
      <c r="D24" s="259">
        <f>SUM(D22:D23)</f>
        <v>0</v>
      </c>
      <c r="E24" s="308">
        <f>SUM(E22:E23)</f>
        <v>0</v>
      </c>
      <c r="F24" s="307" t="s">
        <v>803</v>
      </c>
      <c r="G24" s="96"/>
      <c r="H24" s="258">
        <v>101</v>
      </c>
      <c r="I24" s="276"/>
      <c r="J24" s="260">
        <f>科目余额表!G50</f>
        <v>0</v>
      </c>
    </row>
    <row r="25" customHeight="1" spans="1:10">
      <c r="A25" s="301" t="s">
        <v>804</v>
      </c>
      <c r="B25" s="96"/>
      <c r="C25" s="258"/>
      <c r="D25" s="276" t="s">
        <v>767</v>
      </c>
      <c r="E25" s="303" t="s">
        <v>767</v>
      </c>
      <c r="F25" s="307" t="s">
        <v>805</v>
      </c>
      <c r="G25" s="96"/>
      <c r="H25" s="258">
        <v>102</v>
      </c>
      <c r="I25" s="276"/>
      <c r="J25" s="260"/>
    </row>
    <row r="26" customHeight="1" spans="1:10">
      <c r="A26" s="305" t="s">
        <v>806</v>
      </c>
      <c r="B26" s="96"/>
      <c r="C26" s="258">
        <v>39</v>
      </c>
      <c r="D26" s="276"/>
      <c r="E26" s="306">
        <f>科目余额表!G27</f>
        <v>3100843</v>
      </c>
      <c r="F26" s="307" t="s">
        <v>807</v>
      </c>
      <c r="G26" s="96"/>
      <c r="H26" s="258">
        <v>103</v>
      </c>
      <c r="I26" s="276"/>
      <c r="J26" s="260">
        <f>科目余额表!G51</f>
        <v>0</v>
      </c>
    </row>
    <row r="27" customHeight="1" spans="1:10">
      <c r="A27" s="305" t="s">
        <v>808</v>
      </c>
      <c r="B27" s="96"/>
      <c r="C27" s="258">
        <v>40</v>
      </c>
      <c r="D27" s="276"/>
      <c r="E27" s="306">
        <f>科目余额表!G28</f>
        <v>0</v>
      </c>
      <c r="F27" s="307" t="s">
        <v>809</v>
      </c>
      <c r="G27" s="96"/>
      <c r="H27" s="258">
        <v>106</v>
      </c>
      <c r="I27" s="276"/>
      <c r="J27" s="260"/>
    </row>
    <row r="28" customHeight="1" spans="1:10">
      <c r="A28" s="305" t="s">
        <v>810</v>
      </c>
      <c r="B28" s="96"/>
      <c r="C28" s="258">
        <v>41</v>
      </c>
      <c r="D28" s="259">
        <f>D26-D27</f>
        <v>0</v>
      </c>
      <c r="E28" s="306">
        <f>E26-E27</f>
        <v>3100843</v>
      </c>
      <c r="F28" s="307" t="s">
        <v>811</v>
      </c>
      <c r="G28" s="96"/>
      <c r="H28" s="258">
        <v>108</v>
      </c>
      <c r="I28" s="276"/>
      <c r="J28" s="277"/>
    </row>
    <row r="29" ht="27" customHeight="1" spans="1:10">
      <c r="A29" s="305" t="s">
        <v>812</v>
      </c>
      <c r="B29" s="96"/>
      <c r="C29" s="258">
        <v>42</v>
      </c>
      <c r="D29" s="276"/>
      <c r="E29" s="306"/>
      <c r="F29" s="307" t="s">
        <v>813</v>
      </c>
      <c r="G29" s="96"/>
      <c r="H29" s="258">
        <v>110</v>
      </c>
      <c r="I29" s="259">
        <f>SUM(I24:I28)</f>
        <v>0</v>
      </c>
      <c r="J29" s="260">
        <f>SUM(J24:J28)</f>
        <v>0</v>
      </c>
    </row>
    <row r="30" customHeight="1" spans="1:10">
      <c r="A30" s="305" t="s">
        <v>814</v>
      </c>
      <c r="B30" s="96"/>
      <c r="C30" s="258">
        <v>43</v>
      </c>
      <c r="D30" s="259">
        <f>D28-D29</f>
        <v>0</v>
      </c>
      <c r="E30" s="306">
        <f>E28-E29</f>
        <v>3100843</v>
      </c>
      <c r="F30" s="304" t="s">
        <v>815</v>
      </c>
      <c r="G30" s="96"/>
      <c r="H30" s="258"/>
      <c r="I30" s="276" t="s">
        <v>767</v>
      </c>
      <c r="J30" s="277" t="s">
        <v>767</v>
      </c>
    </row>
    <row r="31" customHeight="1" spans="1:10">
      <c r="A31" s="305" t="s">
        <v>816</v>
      </c>
      <c r="B31" s="96"/>
      <c r="C31" s="258">
        <v>44</v>
      </c>
      <c r="D31" s="276"/>
      <c r="E31" s="308">
        <f>科目余额表!G30</f>
        <v>0</v>
      </c>
      <c r="F31" s="307" t="s">
        <v>817</v>
      </c>
      <c r="G31" s="96"/>
      <c r="H31" s="258">
        <v>111</v>
      </c>
      <c r="I31" s="276"/>
      <c r="J31" s="277"/>
    </row>
    <row r="32" customHeight="1" spans="1:10">
      <c r="A32" s="305" t="s">
        <v>818</v>
      </c>
      <c r="B32" s="96"/>
      <c r="C32" s="258">
        <v>45</v>
      </c>
      <c r="D32" s="276"/>
      <c r="E32" s="308">
        <f>科目余额表!G29</f>
        <v>0</v>
      </c>
      <c r="F32" s="307" t="s">
        <v>819</v>
      </c>
      <c r="G32" s="96"/>
      <c r="H32" s="258">
        <v>114</v>
      </c>
      <c r="I32" s="259">
        <f>SUM(I22,I29,I31)</f>
        <v>0</v>
      </c>
      <c r="J32" s="267">
        <f>SUM(J22,J29,J31)</f>
        <v>-888985</v>
      </c>
    </row>
    <row r="33" customHeight="1" spans="1:10">
      <c r="A33" s="305" t="s">
        <v>820</v>
      </c>
      <c r="B33" s="96"/>
      <c r="C33" s="258">
        <v>46</v>
      </c>
      <c r="D33" s="276"/>
      <c r="E33" s="308">
        <f>科目余额表!G31</f>
        <v>0</v>
      </c>
      <c r="F33" s="307"/>
      <c r="G33" s="96"/>
      <c r="H33" s="258"/>
      <c r="I33" s="276"/>
      <c r="J33" s="277"/>
    </row>
    <row r="34" ht="27" customHeight="1" spans="1:10">
      <c r="A34" s="305" t="s">
        <v>821</v>
      </c>
      <c r="B34" s="96"/>
      <c r="C34" s="258">
        <v>50</v>
      </c>
      <c r="D34" s="259">
        <f>SUM(D30:D33)</f>
        <v>0</v>
      </c>
      <c r="E34" s="306">
        <f>SUM(E30:E33)+(科目余额表!G32-科目余额表!G33)+(科目余额表!G34-科目余额表!G35)</f>
        <v>3100843</v>
      </c>
      <c r="F34" s="304" t="s">
        <v>822</v>
      </c>
      <c r="G34" s="96"/>
      <c r="H34" s="258"/>
      <c r="I34" s="276" t="s">
        <v>767</v>
      </c>
      <c r="J34" s="277" t="s">
        <v>767</v>
      </c>
    </row>
    <row r="35" ht="35" customHeight="1" spans="1:10">
      <c r="A35" s="301" t="s">
        <v>823</v>
      </c>
      <c r="B35" s="96"/>
      <c r="C35" s="258"/>
      <c r="D35" s="276" t="s">
        <v>767</v>
      </c>
      <c r="E35" s="303" t="s">
        <v>767</v>
      </c>
      <c r="F35" s="307" t="s">
        <v>824</v>
      </c>
      <c r="G35" s="96"/>
      <c r="H35" s="258">
        <v>115</v>
      </c>
      <c r="I35" s="276"/>
      <c r="J35" s="267">
        <f>科目余额表!G52</f>
        <v>14600000</v>
      </c>
    </row>
    <row r="36" customHeight="1" spans="1:10">
      <c r="A36" s="305" t="s">
        <v>825</v>
      </c>
      <c r="B36" s="96"/>
      <c r="C36" s="258">
        <v>51</v>
      </c>
      <c r="D36" s="276"/>
      <c r="E36" s="308">
        <f>科目余额表!G36-科目余额表!G37</f>
        <v>0</v>
      </c>
      <c r="F36" s="307" t="s">
        <v>826</v>
      </c>
      <c r="G36" s="96"/>
      <c r="H36" s="258">
        <v>116</v>
      </c>
      <c r="I36" s="276"/>
      <c r="J36" s="260"/>
    </row>
    <row r="37" ht="27" customHeight="1" spans="1:10">
      <c r="A37" s="305" t="s">
        <v>827</v>
      </c>
      <c r="B37" s="96"/>
      <c r="C37" s="258">
        <v>52</v>
      </c>
      <c r="D37" s="276"/>
      <c r="E37" s="308">
        <f>科目余额表!G38</f>
        <v>0</v>
      </c>
      <c r="F37" s="307" t="s">
        <v>828</v>
      </c>
      <c r="G37" s="96"/>
      <c r="H37" s="258">
        <v>117</v>
      </c>
      <c r="I37" s="259">
        <f>I35-I36</f>
        <v>0</v>
      </c>
      <c r="J37" s="267">
        <f>J35-J36</f>
        <v>14600000</v>
      </c>
    </row>
    <row r="38" customHeight="1" spans="1:10">
      <c r="A38" s="305" t="s">
        <v>829</v>
      </c>
      <c r="B38" s="96"/>
      <c r="C38" s="258">
        <v>53</v>
      </c>
      <c r="D38" s="276"/>
      <c r="E38" s="303"/>
      <c r="F38" s="307" t="s">
        <v>830</v>
      </c>
      <c r="G38" s="96"/>
      <c r="H38" s="258">
        <v>118</v>
      </c>
      <c r="I38" s="276"/>
      <c r="J38" s="260">
        <f>科目余额表!G53</f>
        <v>0</v>
      </c>
    </row>
    <row r="39" ht="33" customHeight="1" spans="1:10">
      <c r="A39" s="305" t="s">
        <v>831</v>
      </c>
      <c r="B39" s="96"/>
      <c r="C39" s="258">
        <v>60</v>
      </c>
      <c r="D39" s="259">
        <f>SUM(D36:D38)</f>
        <v>0</v>
      </c>
      <c r="E39" s="308">
        <f>SUM(E36:E38)</f>
        <v>0</v>
      </c>
      <c r="F39" s="307" t="s">
        <v>832</v>
      </c>
      <c r="G39" s="96"/>
      <c r="H39" s="258">
        <v>119</v>
      </c>
      <c r="I39" s="276"/>
      <c r="J39" s="260">
        <f>科目余额表!G54</f>
        <v>0</v>
      </c>
    </row>
    <row r="40" customHeight="1" spans="1:10">
      <c r="A40" s="305"/>
      <c r="B40" s="96"/>
      <c r="C40" s="258"/>
      <c r="D40" s="276"/>
      <c r="E40" s="303"/>
      <c r="F40" s="307" t="s">
        <v>833</v>
      </c>
      <c r="G40" s="96"/>
      <c r="H40" s="258">
        <v>120</v>
      </c>
      <c r="I40" s="276"/>
      <c r="J40" s="277"/>
    </row>
    <row r="41" customHeight="1" spans="1:10">
      <c r="A41" s="301" t="s">
        <v>834</v>
      </c>
      <c r="B41" s="96"/>
      <c r="C41" s="258"/>
      <c r="D41" s="276" t="s">
        <v>767</v>
      </c>
      <c r="E41" s="303" t="s">
        <v>767</v>
      </c>
      <c r="F41" s="307" t="s">
        <v>835</v>
      </c>
      <c r="G41" s="96"/>
      <c r="H41" s="258">
        <v>121</v>
      </c>
      <c r="I41" s="276"/>
      <c r="J41" s="267">
        <f>科目余额表!G56+损益表!G22</f>
        <v>-4831642</v>
      </c>
    </row>
    <row r="42" ht="39" customHeight="1" spans="1:10">
      <c r="A42" s="305" t="s">
        <v>836</v>
      </c>
      <c r="B42" s="96"/>
      <c r="C42" s="258">
        <v>61</v>
      </c>
      <c r="D42" s="276"/>
      <c r="E42" s="303"/>
      <c r="F42" s="307" t="s">
        <v>837</v>
      </c>
      <c r="G42" s="96"/>
      <c r="H42" s="258">
        <v>122</v>
      </c>
      <c r="I42" s="259">
        <f>SUM(I41,I39,I38,I37)</f>
        <v>0</v>
      </c>
      <c r="J42" s="267">
        <f>SUM(J41,J39,J38,J37)</f>
        <v>9768358</v>
      </c>
    </row>
    <row r="43" ht="42" customHeight="1" spans="1:10">
      <c r="A43" s="309" t="s">
        <v>838</v>
      </c>
      <c r="B43" s="135"/>
      <c r="C43" s="269">
        <v>67</v>
      </c>
      <c r="D43" s="289">
        <f>SUM(D20,D24,D34,D39,D42)</f>
        <v>0</v>
      </c>
      <c r="E43" s="310">
        <f ca="1">SUM(E20,E24,E34,E39,E42)</f>
        <v>8879373</v>
      </c>
      <c r="F43" s="311" t="s">
        <v>839</v>
      </c>
      <c r="G43" s="135"/>
      <c r="H43" s="269">
        <v>135</v>
      </c>
      <c r="I43" s="289">
        <f>SUM(I32,I42)</f>
        <v>0</v>
      </c>
      <c r="J43" s="271">
        <f>SUM(J32,J42)</f>
        <v>8879373</v>
      </c>
    </row>
    <row r="44" ht="6" customHeight="1" spans="1:10">
      <c r="A44" s="261"/>
      <c r="B44" s="261"/>
      <c r="C44" s="139"/>
      <c r="D44" s="261"/>
      <c r="E44" s="261"/>
      <c r="F44" s="261"/>
      <c r="G44" s="261"/>
      <c r="H44" s="139"/>
      <c r="I44" s="261"/>
      <c r="J44" s="261"/>
    </row>
    <row r="45" ht="14.25" customHeight="1" spans="1:10">
      <c r="A45" s="312" t="s">
        <v>840</v>
      </c>
      <c r="B45" s="261" t="s">
        <v>841</v>
      </c>
      <c r="C45" s="139"/>
      <c r="D45" s="261"/>
      <c r="E45" s="261"/>
      <c r="F45" s="261"/>
      <c r="G45" s="261"/>
      <c r="H45" s="139"/>
      <c r="I45" s="261" t="s">
        <v>842</v>
      </c>
      <c r="J45" s="261"/>
    </row>
    <row r="46" ht="14.25" customHeight="1" spans="1:10">
      <c r="A46" s="261"/>
      <c r="B46" s="261" t="s">
        <v>843</v>
      </c>
      <c r="C46" s="139"/>
      <c r="D46" s="261"/>
      <c r="E46" s="261"/>
      <c r="F46" s="261"/>
      <c r="G46" s="261"/>
      <c r="H46" s="139"/>
      <c r="I46" s="261" t="s">
        <v>844</v>
      </c>
      <c r="J46" s="261"/>
    </row>
    <row r="47" ht="14.25" customHeight="1" spans="1:10">
      <c r="A47" s="261"/>
      <c r="B47" s="261" t="s">
        <v>845</v>
      </c>
      <c r="C47" s="139"/>
      <c r="D47" s="261"/>
      <c r="E47" s="261"/>
      <c r="F47" s="261"/>
      <c r="G47" s="261"/>
      <c r="H47" s="139"/>
      <c r="I47" s="261" t="s">
        <v>846</v>
      </c>
      <c r="J47" s="261"/>
    </row>
    <row r="48" customHeight="1" spans="1:10">
      <c r="A48" s="261"/>
      <c r="B48" s="261"/>
      <c r="C48" s="139"/>
      <c r="D48" s="261"/>
      <c r="E48" s="261"/>
      <c r="F48" s="261"/>
      <c r="G48" s="261"/>
      <c r="H48" s="139"/>
      <c r="I48" s="261"/>
      <c r="J48" s="261"/>
    </row>
    <row r="49" customHeight="1" spans="1:10">
      <c r="A49" s="281" t="str">
        <f>"单位负责人："&amp;基础信息!D6</f>
        <v>单位负责人：</v>
      </c>
      <c r="B49" s="261"/>
      <c r="C49" s="139"/>
      <c r="D49" s="261"/>
      <c r="E49" s="281" t="str">
        <f>"财务负责人："&amp;基础信息!D7</f>
        <v>财务负责人：</v>
      </c>
      <c r="F49" s="261"/>
      <c r="G49" s="281" t="str">
        <f>"复核："&amp;基础信息!D8</f>
        <v>复核：</v>
      </c>
      <c r="H49" s="139"/>
      <c r="I49" s="261"/>
      <c r="J49" s="313" t="str">
        <f>"制表："&amp;基础信息!D9</f>
        <v>制表：</v>
      </c>
    </row>
    <row r="50" customHeight="1" spans="1:10">
      <c r="A50" s="261"/>
      <c r="B50" s="261"/>
      <c r="C50" s="139"/>
      <c r="D50" s="261"/>
      <c r="E50" s="261"/>
      <c r="F50" s="261"/>
      <c r="G50" s="261"/>
      <c r="H50" s="139"/>
      <c r="I50" s="261"/>
      <c r="J50" s="261"/>
    </row>
    <row r="51" ht="14.25" customHeight="1" spans="1:10">
      <c r="A51" s="261"/>
      <c r="B51" s="261"/>
      <c r="C51" s="139"/>
      <c r="D51" s="261"/>
      <c r="E51" s="261"/>
      <c r="F51" s="314" t="str">
        <f>IF(AND($D$43-$I$43&gt;=-0.0001,$D$43-$I$43&lt;=0.0001),"报表年初数 平","报表年初数 不平,差异金额"&amp;$D$43-$I$43)</f>
        <v>报表年初数 平</v>
      </c>
      <c r="G51" s="16"/>
      <c r="H51" s="16"/>
      <c r="I51" s="16"/>
      <c r="J51" s="16"/>
    </row>
    <row r="52" customHeight="1" spans="1:10">
      <c r="A52" s="261"/>
      <c r="B52" s="261"/>
      <c r="C52" s="139"/>
      <c r="D52" s="261"/>
      <c r="E52" s="261"/>
      <c r="F52" s="314" t="str">
        <f ca="1">IF(AND($E$43-$J$43&gt;=-0.0001,$E$43-$J$43&lt;=0.0001),"报表期末数 平","报表期末数 不平,差异金额"&amp;$E$43-$J$43)</f>
        <v>报表期末数 平</v>
      </c>
      <c r="G52" s="16"/>
      <c r="H52" s="16"/>
      <c r="I52" s="16"/>
      <c r="J52" s="16"/>
    </row>
  </sheetData>
  <sheetProtection sheet="1" formatCells="0" formatColumns="0" formatRows="0" insertHyperlinks="0" sort="0" autoFilter="0" pivotTables="0" objects="1"/>
  <mergeCells count="83">
    <mergeCell ref="A1:J1"/>
    <mergeCell ref="B4:D4"/>
    <mergeCell ref="G4:I4"/>
    <mergeCell ref="A5:B5"/>
    <mergeCell ref="F5:G5"/>
    <mergeCell ref="A6:B6"/>
    <mergeCell ref="F6:G6"/>
    <mergeCell ref="A7:B7"/>
    <mergeCell ref="F7:G7"/>
    <mergeCell ref="A8:B8"/>
    <mergeCell ref="F8:G8"/>
    <mergeCell ref="A9:B9"/>
    <mergeCell ref="F9:G9"/>
    <mergeCell ref="A10:B10"/>
    <mergeCell ref="F10:G10"/>
    <mergeCell ref="A11:B11"/>
    <mergeCell ref="F11:G11"/>
    <mergeCell ref="A12:B12"/>
    <mergeCell ref="F12:G12"/>
    <mergeCell ref="A13:B13"/>
    <mergeCell ref="F13:G13"/>
    <mergeCell ref="A14:B14"/>
    <mergeCell ref="F14:G14"/>
    <mergeCell ref="A15:B15"/>
    <mergeCell ref="F15:G15"/>
    <mergeCell ref="A16:B16"/>
    <mergeCell ref="F16:G16"/>
    <mergeCell ref="A17:B17"/>
    <mergeCell ref="F17:G17"/>
    <mergeCell ref="A18:B18"/>
    <mergeCell ref="F18:G18"/>
    <mergeCell ref="A19:B19"/>
    <mergeCell ref="F19:G19"/>
    <mergeCell ref="A20:B20"/>
    <mergeCell ref="F20:G20"/>
    <mergeCell ref="A21:B21"/>
    <mergeCell ref="F21:G21"/>
    <mergeCell ref="A22:B22"/>
    <mergeCell ref="F22:G22"/>
    <mergeCell ref="A23:B23"/>
    <mergeCell ref="F23:G23"/>
    <mergeCell ref="A24:B24"/>
    <mergeCell ref="F24:G24"/>
    <mergeCell ref="A25:B25"/>
    <mergeCell ref="F25:G25"/>
    <mergeCell ref="A26:B26"/>
    <mergeCell ref="F26:G26"/>
    <mergeCell ref="A27:B27"/>
    <mergeCell ref="F27:G27"/>
    <mergeCell ref="A28:B28"/>
    <mergeCell ref="F28:G28"/>
    <mergeCell ref="A29:B29"/>
    <mergeCell ref="F29:G29"/>
    <mergeCell ref="A30:B30"/>
    <mergeCell ref="F30:G30"/>
    <mergeCell ref="A31:B31"/>
    <mergeCell ref="F31:G31"/>
    <mergeCell ref="A32:B32"/>
    <mergeCell ref="F32:G32"/>
    <mergeCell ref="A33:B33"/>
    <mergeCell ref="F33:G33"/>
    <mergeCell ref="A34:B34"/>
    <mergeCell ref="F34:G34"/>
    <mergeCell ref="A35:B35"/>
    <mergeCell ref="F35:G35"/>
    <mergeCell ref="A36:B36"/>
    <mergeCell ref="F36:G36"/>
    <mergeCell ref="A37:B37"/>
    <mergeCell ref="F37:G37"/>
    <mergeCell ref="A38:B38"/>
    <mergeCell ref="F38:G38"/>
    <mergeCell ref="A39:B39"/>
    <mergeCell ref="F39:G39"/>
    <mergeCell ref="A40:B40"/>
    <mergeCell ref="F40:G40"/>
    <mergeCell ref="A41:B41"/>
    <mergeCell ref="F41:G41"/>
    <mergeCell ref="A42:B42"/>
    <mergeCell ref="F42:G42"/>
    <mergeCell ref="A43:B43"/>
    <mergeCell ref="F43:G43"/>
    <mergeCell ref="F51:J51"/>
    <mergeCell ref="F52:J52"/>
  </mergeCells>
  <conditionalFormatting sqref="F51:J51">
    <cfRule type="expression" dxfId="3" priority="2" stopIfTrue="1">
      <formula>AND($D$43-$I$43&gt;=-0.0001,$D$43-$I$43&lt;=0.0001)</formula>
    </cfRule>
    <cfRule type="expression" dxfId="4" priority="3" stopIfTrue="1">
      <formula>OR($D$43-$I$43&lt;-0.0001,$D$43-$I$43&gt;0.0001)</formula>
    </cfRule>
  </conditionalFormatting>
  <conditionalFormatting sqref="F52:J52">
    <cfRule type="expression" dxfId="3" priority="4" stopIfTrue="1">
      <formula>AND($E$43-$J$43&gt;=-0.0001,$E$43-$J$43&lt;=0.0001)</formula>
    </cfRule>
    <cfRule type="expression" dxfId="4" priority="5" stopIfTrue="1">
      <formula>OR($E$43-$J$43&lt;-0.0001,$E$43-$J$43&gt;0.0001)</formula>
    </cfRule>
  </conditionalFormatting>
  <conditionalFormatting sqref="D6:E43 I6:J43">
    <cfRule type="cellIs" dxfId="0" priority="1" stopIfTrue="1" operator="equal">
      <formula>""</formula>
    </cfRule>
  </conditionalFormatting>
  <hyperlinks>
    <hyperlink ref="L4" location="目录!B1" display="目录!B1"/>
  </hyperlinks>
  <printOptions horizontalCentered="1"/>
  <pageMargins left="0" right="0" top="0.393055555555556" bottom="0.196527777777778" header="0.510416666666667" footer="0.196527777777778"/>
  <pageSetup paperSize="9" scale="84" orientation="portrait" blackAndWhite="1" horizontalDpi="180" verticalDpi="18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indexed="46"/>
  </sheetPr>
  <dimension ref="B1:W60"/>
  <sheetViews>
    <sheetView showGridLines="0" showZeros="0" zoomScale="90" zoomScaleNormal="90" workbookViewId="0">
      <pane ySplit="5" topLeftCell="A6" activePane="bottomLeft" state="frozen"/>
      <selection/>
      <selection pane="bottomLeft" activeCell="F12" sqref="F12"/>
    </sheetView>
  </sheetViews>
  <sheetFormatPr defaultColWidth="9" defaultRowHeight="16.5" zeroHeight="1"/>
  <cols>
    <col min="1" max="1" width="9" style="13" customWidth="1"/>
    <col min="2" max="2" width="10.125" style="13" customWidth="1"/>
    <col min="3" max="3" width="21.625" style="13" customWidth="1"/>
    <col min="4" max="4" width="24.375" style="13" customWidth="1"/>
    <col min="5" max="5" width="3.125" style="13" customWidth="1"/>
    <col min="6" max="7" width="14.625" style="13" customWidth="1"/>
    <col min="8" max="8" width="2.75" style="13" customWidth="1"/>
    <col min="9" max="9" width="13.125" style="13" customWidth="1"/>
    <col min="10" max="11" width="12.5" style="13" customWidth="1"/>
    <col min="12" max="17" width="12.5" style="13" hidden="1" customWidth="1"/>
    <col min="18" max="18" width="10.75" style="13" customWidth="1"/>
    <col min="19" max="19" width="13.5" style="13" customWidth="1"/>
    <col min="20" max="21" width="12.5" style="13" customWidth="1"/>
    <col min="22" max="25" width="9" style="13" customWidth="1"/>
    <col min="26" max="16384" width="9" style="13" hidden="1" customWidth="1"/>
  </cols>
  <sheetData>
    <row r="1" ht="27" customHeight="1" spans="2:23">
      <c r="B1" s="241" t="s">
        <v>847</v>
      </c>
      <c r="C1" s="3"/>
      <c r="D1" s="3"/>
      <c r="E1" s="3"/>
      <c r="F1" s="3"/>
      <c r="G1" s="3"/>
      <c r="H1" s="19"/>
    </row>
    <row r="2" ht="3" customHeight="1" spans="2:23">
      <c r="B2" s="241"/>
      <c r="C2" s="241"/>
      <c r="D2" s="241"/>
      <c r="E2" s="241"/>
      <c r="F2" s="241"/>
      <c r="G2" s="241"/>
      <c r="H2" s="19"/>
      <c r="W2" s="242" t="s">
        <v>1</v>
      </c>
    </row>
    <row r="3" ht="3" customHeight="1" spans="2:23">
      <c r="B3" s="20"/>
      <c r="C3" s="20"/>
      <c r="D3" s="20"/>
      <c r="E3" s="20"/>
      <c r="F3" s="20"/>
      <c r="G3" s="20"/>
      <c r="H3" s="19"/>
    </row>
    <row r="4" ht="25" customHeight="1" spans="2:23">
      <c r="B4" s="243" t="s">
        <v>3</v>
      </c>
      <c r="C4" s="244" t="str">
        <f>资产负债表!B4</f>
        <v>XIN SHENG</v>
      </c>
      <c r="D4" s="245">
        <f>基础信息!D5</f>
        <v>46022</v>
      </c>
      <c r="E4" s="246" t="str">
        <f>资产负债表!G4</f>
        <v>2025年12月</v>
      </c>
      <c r="F4" s="41"/>
      <c r="G4" s="247" t="s">
        <v>732</v>
      </c>
      <c r="H4" s="248"/>
      <c r="I4" s="243" t="s">
        <v>848</v>
      </c>
      <c r="J4" s="243"/>
      <c r="K4" s="243"/>
      <c r="L4" s="243"/>
      <c r="M4" s="243"/>
      <c r="N4" s="243"/>
      <c r="O4" s="243"/>
      <c r="P4" s="243"/>
      <c r="Q4" s="243"/>
      <c r="R4" s="243"/>
      <c r="S4" s="243"/>
      <c r="T4" s="243"/>
      <c r="U4" s="243"/>
    </row>
    <row r="5" ht="35.55" customHeight="1" spans="2:23">
      <c r="B5" s="249" t="s">
        <v>849</v>
      </c>
      <c r="C5" s="128"/>
      <c r="D5" s="49"/>
      <c r="E5" s="250" t="s">
        <v>762</v>
      </c>
      <c r="F5" s="251" t="s">
        <v>850</v>
      </c>
      <c r="G5" s="252" t="s">
        <v>851</v>
      </c>
      <c r="H5" s="253"/>
      <c r="I5" s="254" t="s">
        <v>851</v>
      </c>
      <c r="J5" s="255" t="s">
        <v>852</v>
      </c>
      <c r="K5" s="255" t="s">
        <v>853</v>
      </c>
      <c r="L5" s="255" t="s">
        <v>854</v>
      </c>
      <c r="M5" s="255" t="s">
        <v>855</v>
      </c>
      <c r="N5" s="255" t="s">
        <v>856</v>
      </c>
      <c r="O5" s="255" t="s">
        <v>857</v>
      </c>
      <c r="P5" s="255" t="s">
        <v>858</v>
      </c>
      <c r="Q5" s="255" t="s">
        <v>859</v>
      </c>
      <c r="R5" s="255" t="s">
        <v>860</v>
      </c>
      <c r="S5" s="255" t="s">
        <v>861</v>
      </c>
      <c r="T5" s="255" t="s">
        <v>862</v>
      </c>
      <c r="U5" s="256" t="s">
        <v>863</v>
      </c>
    </row>
    <row r="6" ht="18" customHeight="1" spans="2:23">
      <c r="B6" s="257" t="s">
        <v>864</v>
      </c>
      <c r="C6" s="103"/>
      <c r="D6" s="96"/>
      <c r="E6" s="258">
        <v>1</v>
      </c>
      <c r="F6" s="259">
        <f>科目余额表!E62</f>
        <v>0</v>
      </c>
      <c r="G6" s="260">
        <f>科目余额表!G62</f>
        <v>0</v>
      </c>
      <c r="H6" s="261"/>
      <c r="I6" s="262">
        <f t="shared" ref="I6:I22" si="0">SUM(J6:U6)</f>
        <v>0</v>
      </c>
      <c r="J6" s="263"/>
      <c r="K6" s="263"/>
      <c r="L6" s="263"/>
      <c r="M6" s="263"/>
      <c r="N6" s="263"/>
      <c r="O6" s="263"/>
      <c r="P6" s="263"/>
      <c r="Q6" s="263"/>
      <c r="R6" s="263"/>
      <c r="S6" s="263"/>
      <c r="T6" s="263"/>
      <c r="U6" s="264"/>
    </row>
    <row r="7" ht="18" customHeight="1" spans="2:23">
      <c r="B7" s="265" t="s">
        <v>865</v>
      </c>
      <c r="C7" s="103"/>
      <c r="D7" s="96"/>
      <c r="E7" s="258">
        <v>4</v>
      </c>
      <c r="F7" s="259">
        <f>科目余额表!D66</f>
        <v>0</v>
      </c>
      <c r="G7" s="260">
        <f>科目余额表!G66</f>
        <v>0</v>
      </c>
      <c r="H7" s="261"/>
      <c r="I7" s="262">
        <f t="shared" si="0"/>
        <v>0</v>
      </c>
      <c r="J7" s="263"/>
      <c r="K7" s="263"/>
      <c r="L7" s="263"/>
      <c r="M7" s="263"/>
      <c r="N7" s="263"/>
      <c r="O7" s="263"/>
      <c r="P7" s="263"/>
      <c r="Q7" s="263"/>
      <c r="R7" s="263"/>
      <c r="S7" s="263"/>
      <c r="T7" s="263"/>
      <c r="U7" s="264"/>
    </row>
    <row r="8" ht="18" customHeight="1" spans="2:23">
      <c r="B8" s="265" t="s">
        <v>866</v>
      </c>
      <c r="C8" s="103"/>
      <c r="D8" s="96"/>
      <c r="E8" s="258">
        <v>5</v>
      </c>
      <c r="F8" s="259">
        <f>科目余额表!D68</f>
        <v>0</v>
      </c>
      <c r="G8" s="260">
        <f>科目余额表!G68</f>
        <v>0</v>
      </c>
      <c r="H8" s="261"/>
      <c r="I8" s="262">
        <f t="shared" si="0"/>
        <v>0</v>
      </c>
      <c r="J8" s="263"/>
      <c r="K8" s="263"/>
      <c r="L8" s="263"/>
      <c r="M8" s="263"/>
      <c r="N8" s="263"/>
      <c r="O8" s="263"/>
      <c r="P8" s="263"/>
      <c r="Q8" s="263"/>
      <c r="R8" s="263"/>
      <c r="S8" s="263"/>
      <c r="T8" s="263"/>
      <c r="U8" s="264"/>
    </row>
    <row r="9" ht="18" customHeight="1" spans="2:23">
      <c r="B9" s="257" t="s">
        <v>867</v>
      </c>
      <c r="C9" s="103"/>
      <c r="D9" s="96"/>
      <c r="E9" s="258">
        <v>10</v>
      </c>
      <c r="F9" s="259">
        <f>F6-F7-F8</f>
        <v>0</v>
      </c>
      <c r="G9" s="260">
        <f>G6-G7-G8</f>
        <v>0</v>
      </c>
      <c r="H9" s="261"/>
      <c r="I9" s="262">
        <f t="shared" si="0"/>
        <v>0</v>
      </c>
      <c r="J9" s="263"/>
      <c r="K9" s="263"/>
      <c r="L9" s="263"/>
      <c r="M9" s="263"/>
      <c r="N9" s="263"/>
      <c r="O9" s="263"/>
      <c r="P9" s="263"/>
      <c r="Q9" s="263"/>
      <c r="R9" s="263"/>
      <c r="S9" s="263"/>
      <c r="T9" s="263"/>
      <c r="U9" s="264"/>
    </row>
    <row r="10" ht="18" customHeight="1" spans="2:23">
      <c r="B10" s="265" t="s">
        <v>868</v>
      </c>
      <c r="C10" s="103"/>
      <c r="D10" s="96"/>
      <c r="E10" s="258">
        <v>11</v>
      </c>
      <c r="F10" s="259">
        <f>科目余额表!E63-科目余额表!D67</f>
        <v>0</v>
      </c>
      <c r="G10" s="260">
        <f>科目余额表!G63-科目余额表!G67</f>
        <v>0</v>
      </c>
      <c r="H10" s="261"/>
      <c r="I10" s="262">
        <f t="shared" si="0"/>
        <v>0</v>
      </c>
      <c r="J10" s="263"/>
      <c r="K10" s="263"/>
      <c r="L10" s="263"/>
      <c r="M10" s="263"/>
      <c r="N10" s="263"/>
      <c r="O10" s="263"/>
      <c r="P10" s="263"/>
      <c r="Q10" s="263"/>
      <c r="R10" s="263"/>
      <c r="S10" s="263"/>
      <c r="T10" s="263"/>
      <c r="U10" s="264"/>
    </row>
    <row r="11" ht="18" customHeight="1" spans="2:23">
      <c r="B11" s="265" t="s">
        <v>869</v>
      </c>
      <c r="C11" s="103"/>
      <c r="D11" s="96"/>
      <c r="E11" s="258">
        <v>14</v>
      </c>
      <c r="F11" s="259">
        <f>科目余额表!D69</f>
        <v>0</v>
      </c>
      <c r="G11" s="260">
        <f>科目余额表!G69</f>
        <v>0</v>
      </c>
      <c r="H11" s="261"/>
      <c r="I11" s="262">
        <f t="shared" si="0"/>
        <v>0</v>
      </c>
      <c r="J11" s="263"/>
      <c r="K11" s="263"/>
      <c r="L11" s="263"/>
      <c r="M11" s="263"/>
      <c r="N11" s="263"/>
      <c r="O11" s="263"/>
      <c r="P11" s="263"/>
      <c r="Q11" s="263"/>
      <c r="R11" s="263"/>
      <c r="S11" s="263"/>
      <c r="T11" s="263"/>
      <c r="U11" s="264"/>
    </row>
    <row r="12" ht="18" customHeight="1" spans="2:23">
      <c r="B12" s="265" t="s">
        <v>870</v>
      </c>
      <c r="C12" s="103"/>
      <c r="D12" s="96"/>
      <c r="E12" s="258">
        <v>15</v>
      </c>
      <c r="F12" s="266">
        <f>科目余额表!D70</f>
        <v>4831642</v>
      </c>
      <c r="G12" s="267">
        <f>科目余额表!G70</f>
        <v>4831642</v>
      </c>
      <c r="H12" s="261"/>
      <c r="I12" s="262">
        <f t="shared" si="0"/>
        <v>9000</v>
      </c>
      <c r="J12" s="263"/>
      <c r="K12" s="263"/>
      <c r="L12" s="263"/>
      <c r="M12" s="263"/>
      <c r="N12" s="263"/>
      <c r="O12" s="263"/>
      <c r="P12" s="263"/>
      <c r="Q12" s="263"/>
      <c r="R12" s="263"/>
      <c r="S12" s="263"/>
      <c r="T12" s="263"/>
      <c r="U12" s="264">
        <v>9000</v>
      </c>
    </row>
    <row r="13" ht="18" customHeight="1" spans="2:23">
      <c r="B13" s="265" t="s">
        <v>871</v>
      </c>
      <c r="C13" s="103"/>
      <c r="D13" s="96"/>
      <c r="E13" s="258">
        <v>16</v>
      </c>
      <c r="F13" s="259">
        <f>科目余额表!D71</f>
        <v>0</v>
      </c>
      <c r="G13" s="260">
        <f>科目余额表!G71</f>
        <v>0</v>
      </c>
      <c r="H13" s="261"/>
      <c r="I13" s="262">
        <f t="shared" si="0"/>
        <v>0</v>
      </c>
      <c r="J13" s="263"/>
      <c r="K13" s="263"/>
      <c r="L13" s="263"/>
      <c r="M13" s="263"/>
      <c r="N13" s="263"/>
      <c r="O13" s="263"/>
      <c r="P13" s="263"/>
      <c r="Q13" s="263"/>
      <c r="R13" s="263"/>
      <c r="S13" s="263"/>
      <c r="T13" s="263"/>
      <c r="U13" s="264">
        <v>0</v>
      </c>
    </row>
    <row r="14" ht="18" customHeight="1" spans="2:23">
      <c r="B14" s="257" t="s">
        <v>872</v>
      </c>
      <c r="C14" s="103"/>
      <c r="D14" s="96"/>
      <c r="E14" s="258">
        <v>18</v>
      </c>
      <c r="F14" s="266">
        <f>F9+F10-F11-F12-F13</f>
        <v>-4831642</v>
      </c>
      <c r="G14" s="267">
        <f>G9+G10-G11-G12-G13</f>
        <v>-4831642</v>
      </c>
      <c r="H14" s="261"/>
      <c r="I14" s="262">
        <f t="shared" si="0"/>
        <v>-9000</v>
      </c>
      <c r="J14" s="263"/>
      <c r="K14" s="263"/>
      <c r="L14" s="263"/>
      <c r="M14" s="263"/>
      <c r="N14" s="263"/>
      <c r="O14" s="263"/>
      <c r="P14" s="263"/>
      <c r="Q14" s="263"/>
      <c r="R14" s="263"/>
      <c r="S14" s="263"/>
      <c r="T14" s="263"/>
      <c r="U14" s="264">
        <v>-9000</v>
      </c>
    </row>
    <row r="15" ht="18" customHeight="1" spans="2:23">
      <c r="B15" s="265" t="s">
        <v>873</v>
      </c>
      <c r="C15" s="103"/>
      <c r="D15" s="96"/>
      <c r="E15" s="258">
        <v>19</v>
      </c>
      <c r="F15" s="259">
        <f>科目余额表!E64</f>
        <v>0</v>
      </c>
      <c r="G15" s="260">
        <f>科目余额表!G64</f>
        <v>0</v>
      </c>
      <c r="H15" s="261"/>
      <c r="I15" s="262">
        <f t="shared" si="0"/>
        <v>0</v>
      </c>
      <c r="J15" s="263"/>
      <c r="K15" s="263"/>
      <c r="L15" s="263"/>
      <c r="M15" s="263"/>
      <c r="N15" s="263"/>
      <c r="O15" s="263"/>
      <c r="P15" s="263"/>
      <c r="Q15" s="263"/>
      <c r="R15" s="263"/>
      <c r="S15" s="263"/>
      <c r="T15" s="263"/>
      <c r="U15" s="264">
        <v>0</v>
      </c>
    </row>
    <row r="16" ht="18" customHeight="1" spans="2:23">
      <c r="B16" s="265" t="s">
        <v>874</v>
      </c>
      <c r="C16" s="103"/>
      <c r="D16" s="96"/>
      <c r="E16" s="258">
        <v>22</v>
      </c>
      <c r="F16" s="259"/>
      <c r="G16" s="260"/>
      <c r="H16" s="261"/>
      <c r="I16" s="262">
        <f t="shared" si="0"/>
        <v>0</v>
      </c>
      <c r="J16" s="263"/>
      <c r="K16" s="263"/>
      <c r="L16" s="263"/>
      <c r="M16" s="263"/>
      <c r="N16" s="263"/>
      <c r="O16" s="263"/>
      <c r="P16" s="263"/>
      <c r="Q16" s="263"/>
      <c r="R16" s="263"/>
      <c r="S16" s="263"/>
      <c r="T16" s="263"/>
      <c r="U16" s="264">
        <v>0</v>
      </c>
    </row>
    <row r="17" ht="18" customHeight="1" spans="2:21">
      <c r="B17" s="265" t="s">
        <v>875</v>
      </c>
      <c r="C17" s="103"/>
      <c r="D17" s="96"/>
      <c r="E17" s="258">
        <v>23</v>
      </c>
      <c r="F17" s="259">
        <f>科目余额表!E65</f>
        <v>0</v>
      </c>
      <c r="G17" s="260">
        <f>科目余额表!G65</f>
        <v>0</v>
      </c>
      <c r="H17" s="261"/>
      <c r="I17" s="262">
        <f t="shared" si="0"/>
        <v>0</v>
      </c>
      <c r="J17" s="263"/>
      <c r="K17" s="263"/>
      <c r="L17" s="263"/>
      <c r="M17" s="263"/>
      <c r="N17" s="263"/>
      <c r="O17" s="263"/>
      <c r="P17" s="263"/>
      <c r="Q17" s="263"/>
      <c r="R17" s="263"/>
      <c r="S17" s="263"/>
      <c r="T17" s="263"/>
      <c r="U17" s="264">
        <v>0</v>
      </c>
    </row>
    <row r="18" ht="18" customHeight="1" spans="2:21">
      <c r="B18" s="265" t="s">
        <v>876</v>
      </c>
      <c r="C18" s="103"/>
      <c r="D18" s="96"/>
      <c r="E18" s="258">
        <v>25</v>
      </c>
      <c r="F18" s="259">
        <f>科目余额表!D72</f>
        <v>0</v>
      </c>
      <c r="G18" s="260">
        <f>科目余额表!G72</f>
        <v>0</v>
      </c>
      <c r="H18" s="261"/>
      <c r="I18" s="262">
        <f t="shared" si="0"/>
        <v>0</v>
      </c>
      <c r="J18" s="263"/>
      <c r="K18" s="263"/>
      <c r="L18" s="263"/>
      <c r="M18" s="263"/>
      <c r="N18" s="263"/>
      <c r="O18" s="263"/>
      <c r="P18" s="263"/>
      <c r="Q18" s="263"/>
      <c r="R18" s="263"/>
      <c r="S18" s="263"/>
      <c r="T18" s="263"/>
      <c r="U18" s="264">
        <v>0</v>
      </c>
    </row>
    <row r="19" ht="18" customHeight="1" spans="2:21">
      <c r="B19" s="265" t="s">
        <v>877</v>
      </c>
      <c r="C19" s="103"/>
      <c r="D19" s="96"/>
      <c r="E19" s="258">
        <v>26</v>
      </c>
      <c r="F19" s="259">
        <f>科目余额表!D74</f>
        <v>0</v>
      </c>
      <c r="G19" s="260">
        <f>科目余额表!G74</f>
        <v>0</v>
      </c>
      <c r="H19" s="261"/>
      <c r="I19" s="262">
        <f t="shared" si="0"/>
        <v>0</v>
      </c>
      <c r="J19" s="263"/>
      <c r="K19" s="263"/>
      <c r="L19" s="263"/>
      <c r="M19" s="263"/>
      <c r="N19" s="263"/>
      <c r="O19" s="263"/>
      <c r="P19" s="263"/>
      <c r="Q19" s="263"/>
      <c r="R19" s="263"/>
      <c r="S19" s="263"/>
      <c r="T19" s="263"/>
      <c r="U19" s="264">
        <v>0</v>
      </c>
    </row>
    <row r="20" ht="18" customHeight="1" spans="2:21">
      <c r="B20" s="257" t="s">
        <v>878</v>
      </c>
      <c r="C20" s="103"/>
      <c r="D20" s="96"/>
      <c r="E20" s="258">
        <v>27</v>
      </c>
      <c r="F20" s="266">
        <f>F14+F15+F16+F17-F18+F19</f>
        <v>-4831642</v>
      </c>
      <c r="G20" s="267">
        <f>G14+G15+G16+G17-G18+G19</f>
        <v>-4831642</v>
      </c>
      <c r="H20" s="261"/>
      <c r="I20" s="262">
        <f t="shared" si="0"/>
        <v>-9000</v>
      </c>
      <c r="J20" s="263"/>
      <c r="K20" s="263"/>
      <c r="L20" s="263"/>
      <c r="M20" s="263"/>
      <c r="N20" s="263"/>
      <c r="O20" s="263"/>
      <c r="P20" s="263"/>
      <c r="Q20" s="263"/>
      <c r="R20" s="263"/>
      <c r="S20" s="263"/>
      <c r="T20" s="263"/>
      <c r="U20" s="264">
        <v>-9000</v>
      </c>
    </row>
    <row r="21" ht="18" customHeight="1" spans="2:21">
      <c r="B21" s="265" t="s">
        <v>879</v>
      </c>
      <c r="C21" s="103"/>
      <c r="D21" s="96"/>
      <c r="E21" s="258">
        <v>28</v>
      </c>
      <c r="F21" s="259">
        <f>科目余额表!D73</f>
        <v>0</v>
      </c>
      <c r="G21" s="260">
        <f>科目余额表!G73</f>
        <v>0</v>
      </c>
      <c r="H21" s="261"/>
      <c r="I21" s="262">
        <f t="shared" si="0"/>
        <v>0</v>
      </c>
      <c r="J21" s="263"/>
      <c r="K21" s="263"/>
      <c r="L21" s="263"/>
      <c r="M21" s="263"/>
      <c r="N21" s="263"/>
      <c r="O21" s="263"/>
      <c r="P21" s="263"/>
      <c r="Q21" s="263"/>
      <c r="R21" s="263"/>
      <c r="S21" s="263"/>
      <c r="T21" s="263"/>
      <c r="U21" s="264">
        <v>0</v>
      </c>
    </row>
    <row r="22" ht="18" customHeight="1" spans="2:21">
      <c r="B22" s="268" t="s">
        <v>880</v>
      </c>
      <c r="C22" s="134"/>
      <c r="D22" s="135"/>
      <c r="E22" s="269">
        <v>30</v>
      </c>
      <c r="F22" s="270">
        <f>F20-F21</f>
        <v>-4831642</v>
      </c>
      <c r="G22" s="271">
        <f>G20-G21</f>
        <v>-4831642</v>
      </c>
      <c r="H22" s="261"/>
      <c r="I22" s="272">
        <f t="shared" si="0"/>
        <v>-9000</v>
      </c>
      <c r="J22" s="273"/>
      <c r="K22" s="273"/>
      <c r="L22" s="273"/>
      <c r="M22" s="273"/>
      <c r="N22" s="273"/>
      <c r="O22" s="273"/>
      <c r="P22" s="273"/>
      <c r="Q22" s="273"/>
      <c r="R22" s="273"/>
      <c r="S22" s="273"/>
      <c r="T22" s="273"/>
      <c r="U22" s="274">
        <v>-9000</v>
      </c>
    </row>
    <row r="23" ht="17.25" customHeight="1" spans="2:21">
      <c r="B23" s="261"/>
      <c r="C23" s="261"/>
      <c r="D23" s="261"/>
      <c r="E23" s="261"/>
      <c r="F23" s="261"/>
      <c r="G23" s="261"/>
      <c r="H23" s="261"/>
      <c r="I23" s="261"/>
      <c r="J23" s="261"/>
      <c r="K23" s="261"/>
      <c r="L23" s="261"/>
      <c r="M23" s="261"/>
      <c r="N23" s="261"/>
      <c r="O23" s="261"/>
      <c r="P23" s="261"/>
      <c r="Q23" s="261"/>
      <c r="R23" s="261"/>
      <c r="S23" s="261"/>
      <c r="T23" s="261"/>
      <c r="U23" s="261"/>
    </row>
    <row r="24" ht="24" customHeight="1" spans="2:21">
      <c r="B24" s="275" t="s">
        <v>881</v>
      </c>
      <c r="C24" s="3"/>
      <c r="D24" s="3"/>
      <c r="E24" s="3"/>
      <c r="F24" s="3"/>
      <c r="G24" s="3"/>
      <c r="H24" s="261"/>
      <c r="I24" s="261"/>
      <c r="J24" s="261"/>
      <c r="K24" s="261"/>
      <c r="L24" s="261"/>
      <c r="M24" s="261"/>
      <c r="N24" s="261"/>
      <c r="O24" s="261"/>
      <c r="P24" s="261"/>
      <c r="Q24" s="261"/>
      <c r="R24" s="261"/>
      <c r="S24" s="261"/>
      <c r="T24" s="261"/>
      <c r="U24" s="261"/>
    </row>
    <row r="25" ht="17.25" hidden="1" customHeight="1" spans="2:21">
      <c r="B25" s="261"/>
      <c r="C25" s="261"/>
      <c r="D25" s="261"/>
      <c r="E25" s="261"/>
      <c r="F25" s="261"/>
      <c r="G25" s="261"/>
      <c r="H25" s="261"/>
      <c r="I25" s="261"/>
      <c r="J25" s="261"/>
      <c r="K25" s="261"/>
      <c r="L25" s="261"/>
      <c r="M25" s="261"/>
      <c r="N25" s="261"/>
      <c r="O25" s="261"/>
      <c r="P25" s="261"/>
      <c r="Q25" s="261"/>
      <c r="R25" s="261"/>
      <c r="S25" s="261"/>
      <c r="T25" s="261"/>
      <c r="U25" s="261"/>
    </row>
    <row r="26" ht="29.25" customHeight="1" spans="2:21">
      <c r="B26" s="249" t="s">
        <v>849</v>
      </c>
      <c r="C26" s="128"/>
      <c r="D26" s="128"/>
      <c r="E26" s="49"/>
      <c r="F26" s="251" t="s">
        <v>851</v>
      </c>
      <c r="G26" s="252" t="s">
        <v>882</v>
      </c>
      <c r="H26" s="261"/>
      <c r="I26" s="261"/>
      <c r="J26" s="261"/>
      <c r="K26" s="261"/>
      <c r="L26" s="261"/>
      <c r="M26" s="261"/>
      <c r="N26" s="261"/>
      <c r="O26" s="261"/>
      <c r="P26" s="261"/>
      <c r="Q26" s="261"/>
      <c r="R26" s="261"/>
      <c r="S26" s="261"/>
      <c r="T26" s="261"/>
      <c r="U26" s="261"/>
    </row>
    <row r="27" ht="18" customHeight="1" spans="2:21">
      <c r="B27" s="265" t="s">
        <v>883</v>
      </c>
      <c r="C27" s="103"/>
      <c r="D27" s="103"/>
      <c r="E27" s="96"/>
      <c r="F27" s="276"/>
      <c r="G27" s="277"/>
      <c r="H27" s="261"/>
      <c r="I27" s="261"/>
      <c r="J27" s="261"/>
      <c r="K27" s="261"/>
      <c r="L27" s="261"/>
      <c r="M27" s="261"/>
      <c r="N27" s="261"/>
      <c r="O27" s="261"/>
      <c r="P27" s="261"/>
      <c r="Q27" s="261"/>
      <c r="R27" s="261"/>
      <c r="S27" s="261"/>
      <c r="T27" s="261"/>
      <c r="U27" s="261"/>
    </row>
    <row r="28" ht="18" customHeight="1" spans="2:21">
      <c r="B28" s="265" t="s">
        <v>884</v>
      </c>
      <c r="C28" s="103"/>
      <c r="D28" s="103"/>
      <c r="E28" s="96"/>
      <c r="F28" s="276"/>
      <c r="G28" s="277"/>
      <c r="H28" s="261"/>
      <c r="I28" s="261"/>
      <c r="J28" s="261"/>
      <c r="K28" s="261"/>
      <c r="L28" s="261"/>
      <c r="M28" s="261"/>
      <c r="N28" s="261"/>
      <c r="O28" s="261"/>
      <c r="P28" s="261"/>
      <c r="Q28" s="261"/>
      <c r="R28" s="261"/>
      <c r="S28" s="261"/>
      <c r="T28" s="261"/>
      <c r="U28" s="261"/>
    </row>
    <row r="29" ht="18" customHeight="1" spans="2:21">
      <c r="B29" s="265" t="s">
        <v>885</v>
      </c>
      <c r="C29" s="103"/>
      <c r="D29" s="103"/>
      <c r="E29" s="96"/>
      <c r="F29" s="276"/>
      <c r="G29" s="277"/>
      <c r="H29" s="261"/>
      <c r="I29" s="261"/>
      <c r="J29" s="261"/>
      <c r="K29" s="261"/>
      <c r="L29" s="261"/>
      <c r="M29" s="261"/>
      <c r="N29" s="261"/>
      <c r="O29" s="261"/>
      <c r="P29" s="261"/>
      <c r="Q29" s="261"/>
      <c r="R29" s="261"/>
      <c r="S29" s="261"/>
      <c r="T29" s="261"/>
      <c r="U29" s="261"/>
    </row>
    <row r="30" ht="18" customHeight="1" spans="2:21">
      <c r="B30" s="265" t="s">
        <v>886</v>
      </c>
      <c r="C30" s="103"/>
      <c r="D30" s="103"/>
      <c r="E30" s="96"/>
      <c r="F30" s="276"/>
      <c r="G30" s="277"/>
      <c r="H30" s="261"/>
      <c r="I30" s="261"/>
      <c r="J30" s="261"/>
      <c r="K30" s="261"/>
      <c r="L30" s="261"/>
      <c r="M30" s="261"/>
      <c r="N30" s="261"/>
      <c r="O30" s="261"/>
      <c r="P30" s="261"/>
      <c r="Q30" s="261"/>
      <c r="R30" s="261"/>
      <c r="S30" s="261"/>
      <c r="T30" s="261"/>
      <c r="U30" s="261"/>
    </row>
    <row r="31" ht="18" customHeight="1" spans="2:21">
      <c r="B31" s="265" t="s">
        <v>887</v>
      </c>
      <c r="C31" s="103"/>
      <c r="D31" s="103"/>
      <c r="E31" s="96"/>
      <c r="F31" s="276"/>
      <c r="G31" s="277"/>
      <c r="H31" s="261"/>
      <c r="I31" s="261"/>
      <c r="J31" s="261"/>
      <c r="K31" s="261"/>
      <c r="L31" s="261"/>
      <c r="M31" s="261"/>
      <c r="N31" s="261"/>
      <c r="O31" s="261"/>
      <c r="P31" s="261"/>
      <c r="Q31" s="261"/>
      <c r="R31" s="261"/>
      <c r="S31" s="261"/>
      <c r="T31" s="261"/>
      <c r="U31" s="261"/>
    </row>
    <row r="32" ht="18" customHeight="1" spans="2:21">
      <c r="B32" s="278" t="s">
        <v>888</v>
      </c>
      <c r="C32" s="134"/>
      <c r="D32" s="134"/>
      <c r="E32" s="135"/>
      <c r="F32" s="279"/>
      <c r="G32" s="280"/>
      <c r="H32" s="261"/>
      <c r="I32" s="261"/>
      <c r="J32" s="261"/>
      <c r="K32" s="261"/>
      <c r="L32" s="261"/>
      <c r="M32" s="261"/>
      <c r="N32" s="261"/>
      <c r="O32" s="261"/>
      <c r="P32" s="261"/>
      <c r="Q32" s="261"/>
      <c r="R32" s="261"/>
      <c r="S32" s="261"/>
      <c r="T32" s="261"/>
      <c r="U32" s="261"/>
    </row>
    <row r="33" ht="17.25" hidden="1" customHeight="1" spans="2:21">
      <c r="B33" s="261"/>
      <c r="C33" s="261"/>
      <c r="D33" s="261"/>
      <c r="E33" s="261"/>
      <c r="F33" s="261"/>
      <c r="G33" s="261"/>
      <c r="H33" s="261"/>
      <c r="I33" s="261"/>
      <c r="J33" s="261"/>
      <c r="K33" s="261"/>
      <c r="L33" s="261"/>
      <c r="M33" s="261"/>
      <c r="N33" s="261"/>
      <c r="O33" s="261"/>
      <c r="P33" s="261"/>
      <c r="Q33" s="261"/>
      <c r="R33" s="261"/>
      <c r="S33" s="261"/>
      <c r="T33" s="261"/>
      <c r="U33" s="261"/>
    </row>
    <row r="34" ht="17.25" customHeight="1" spans="2:21">
      <c r="B34" s="281" t="str">
        <f>"单位负责人："&amp;基础信息!D6</f>
        <v>单位负责人：</v>
      </c>
      <c r="C34" s="261"/>
      <c r="D34" s="281" t="str">
        <f>"财务负责人："&amp;基础信息!D7</f>
        <v>财务负责人：</v>
      </c>
      <c r="E34" s="281" t="str">
        <f>"复核："&amp;基础信息!D8</f>
        <v>复核：</v>
      </c>
      <c r="F34" s="261"/>
      <c r="G34" s="281" t="str">
        <f>"制表："&amp;基础信息!D9</f>
        <v>制表：</v>
      </c>
      <c r="H34" s="261"/>
      <c r="I34" s="261"/>
      <c r="J34" s="261"/>
      <c r="K34" s="261"/>
      <c r="L34" s="261"/>
      <c r="M34" s="261"/>
      <c r="N34" s="261"/>
      <c r="O34" s="261"/>
      <c r="P34" s="261"/>
      <c r="Q34" s="261"/>
      <c r="R34" s="261"/>
      <c r="S34" s="261"/>
      <c r="T34" s="261"/>
      <c r="U34" s="261"/>
    </row>
    <row r="35" hidden="1" customHeight="1" spans="2:21">
      <c r="B35" s="261"/>
      <c r="C35" s="261"/>
      <c r="D35" s="261"/>
      <c r="E35" s="261"/>
      <c r="F35" s="261"/>
      <c r="G35" s="261"/>
      <c r="H35" s="261"/>
      <c r="I35" s="261"/>
      <c r="J35" s="261"/>
      <c r="K35" s="261"/>
      <c r="L35" s="261"/>
      <c r="M35" s="261"/>
      <c r="N35" s="261"/>
      <c r="O35" s="261"/>
      <c r="P35" s="261"/>
      <c r="Q35" s="261"/>
      <c r="R35" s="261"/>
      <c r="S35" s="261"/>
      <c r="T35" s="261"/>
      <c r="U35" s="261"/>
    </row>
    <row r="36" ht="14" customHeight="1" spans="2:21">
      <c r="B36" s="261"/>
      <c r="C36" s="261"/>
      <c r="D36" s="261"/>
      <c r="E36" s="261"/>
      <c r="F36" s="261"/>
      <c r="G36" s="261"/>
      <c r="H36" s="261"/>
      <c r="I36" s="261"/>
      <c r="J36" s="261"/>
      <c r="K36" s="261"/>
      <c r="L36" s="261"/>
      <c r="M36" s="261"/>
      <c r="N36" s="261"/>
      <c r="O36" s="261"/>
      <c r="P36" s="261"/>
      <c r="Q36" s="261"/>
      <c r="R36" s="261"/>
      <c r="S36" s="261"/>
      <c r="T36" s="261"/>
      <c r="U36" s="261"/>
    </row>
    <row r="37" customHeight="1" spans="2:21">
      <c r="B37" s="282" t="s">
        <v>889</v>
      </c>
      <c r="C37" s="282"/>
      <c r="D37" s="282"/>
      <c r="E37" s="282"/>
      <c r="F37" s="282"/>
      <c r="G37" s="282"/>
      <c r="H37" s="261"/>
      <c r="I37" s="261"/>
      <c r="J37" s="261"/>
      <c r="K37" s="261"/>
      <c r="L37" s="261"/>
      <c r="M37" s="261"/>
      <c r="N37" s="261"/>
      <c r="O37" s="261"/>
      <c r="P37" s="261"/>
      <c r="Q37" s="261"/>
      <c r="R37" s="261"/>
      <c r="S37" s="261"/>
      <c r="T37" s="261"/>
      <c r="U37" s="261"/>
    </row>
    <row r="38" ht="27" customHeight="1" spans="2:21">
      <c r="B38" s="241" t="s">
        <v>890</v>
      </c>
      <c r="C38" s="3"/>
      <c r="D38" s="3"/>
      <c r="E38" s="3"/>
      <c r="F38" s="3"/>
      <c r="G38" s="3"/>
      <c r="H38" s="261"/>
      <c r="I38" s="261"/>
      <c r="J38" s="261"/>
      <c r="K38" s="261"/>
      <c r="L38" s="261"/>
      <c r="M38" s="261"/>
      <c r="N38" s="261"/>
      <c r="O38" s="261"/>
      <c r="P38" s="261"/>
      <c r="Q38" s="261"/>
      <c r="R38" s="261"/>
      <c r="S38" s="261"/>
      <c r="T38" s="261"/>
      <c r="U38" s="261"/>
    </row>
    <row r="39" ht="3.75" customHeight="1" spans="2:21">
      <c r="B39" s="283"/>
      <c r="C39" s="283"/>
      <c r="D39" s="283"/>
      <c r="E39" s="283"/>
      <c r="F39" s="283"/>
      <c r="G39" s="283"/>
      <c r="H39" s="261"/>
      <c r="I39" s="261"/>
      <c r="J39" s="261"/>
      <c r="K39" s="261"/>
      <c r="L39" s="261"/>
      <c r="M39" s="261"/>
      <c r="N39" s="261"/>
      <c r="O39" s="261"/>
      <c r="P39" s="261"/>
      <c r="Q39" s="261"/>
      <c r="R39" s="261"/>
      <c r="S39" s="261"/>
      <c r="T39" s="261"/>
      <c r="U39" s="261"/>
    </row>
    <row r="40" ht="26" customHeight="1" spans="2:21">
      <c r="B40" s="243" t="s">
        <v>3</v>
      </c>
      <c r="C40" s="244" t="str">
        <f>资产负债表!B4</f>
        <v>XIN SHENG</v>
      </c>
      <c r="D40" s="284" t="str">
        <f>YEAR(基础信息!D4)&amp;"年度"</f>
        <v>2025年度</v>
      </c>
      <c r="E40" s="283"/>
      <c r="F40" s="283"/>
      <c r="G40" s="247" t="s">
        <v>732</v>
      </c>
      <c r="H40" s="261"/>
      <c r="I40" s="261"/>
      <c r="J40" s="261"/>
      <c r="K40" s="261"/>
      <c r="L40" s="261"/>
      <c r="M40" s="261"/>
      <c r="N40" s="261"/>
      <c r="O40" s="261"/>
      <c r="P40" s="261"/>
      <c r="Q40" s="261"/>
      <c r="R40" s="261"/>
      <c r="S40" s="261"/>
      <c r="T40" s="261"/>
      <c r="U40" s="261"/>
    </row>
    <row r="41" ht="35.55" customHeight="1" spans="2:21">
      <c r="B41" s="249" t="s">
        <v>849</v>
      </c>
      <c r="C41" s="128"/>
      <c r="D41" s="49"/>
      <c r="E41" s="250" t="s">
        <v>762</v>
      </c>
      <c r="F41" s="251" t="s">
        <v>851</v>
      </c>
      <c r="G41" s="252" t="s">
        <v>882</v>
      </c>
      <c r="H41" s="261"/>
      <c r="I41" s="261"/>
      <c r="J41" s="261"/>
      <c r="K41" s="261"/>
      <c r="L41" s="261"/>
      <c r="M41" s="261"/>
      <c r="N41" s="261"/>
      <c r="O41" s="261"/>
      <c r="P41" s="261"/>
      <c r="Q41" s="261"/>
      <c r="R41" s="261"/>
      <c r="S41" s="261"/>
      <c r="T41" s="261"/>
      <c r="U41" s="261"/>
    </row>
    <row r="42" ht="18" customHeight="1" spans="2:21">
      <c r="B42" s="285" t="s">
        <v>891</v>
      </c>
      <c r="C42" s="103"/>
      <c r="D42" s="96"/>
      <c r="E42" s="258">
        <v>1</v>
      </c>
      <c r="F42" s="259">
        <f>G22</f>
        <v>-4831642</v>
      </c>
      <c r="G42" s="277"/>
      <c r="H42" s="261"/>
      <c r="I42" s="261"/>
      <c r="J42" s="261"/>
      <c r="K42" s="261"/>
      <c r="L42" s="261"/>
      <c r="M42" s="261"/>
      <c r="N42" s="261"/>
      <c r="O42" s="261"/>
      <c r="P42" s="261"/>
      <c r="Q42" s="261"/>
      <c r="R42" s="261"/>
      <c r="S42" s="261"/>
      <c r="T42" s="261"/>
      <c r="U42" s="261"/>
    </row>
    <row r="43" ht="18" customHeight="1" spans="2:21">
      <c r="B43" s="286" t="s">
        <v>892</v>
      </c>
      <c r="C43" s="156"/>
      <c r="D43" s="157"/>
      <c r="E43" s="258">
        <v>2</v>
      </c>
      <c r="F43" s="276"/>
      <c r="G43" s="277"/>
      <c r="H43" s="261"/>
      <c r="I43" s="261"/>
      <c r="J43" s="261"/>
      <c r="K43" s="261"/>
      <c r="L43" s="261"/>
      <c r="M43" s="261"/>
      <c r="N43" s="261"/>
      <c r="O43" s="261"/>
      <c r="P43" s="261"/>
      <c r="Q43" s="261"/>
      <c r="R43" s="261"/>
      <c r="S43" s="261"/>
      <c r="T43" s="261"/>
      <c r="U43" s="261"/>
    </row>
    <row r="44" ht="18" customHeight="1" spans="2:21">
      <c r="B44" s="286" t="s">
        <v>893</v>
      </c>
      <c r="C44" s="156"/>
      <c r="D44" s="157"/>
      <c r="E44" s="258">
        <v>4</v>
      </c>
      <c r="F44" s="276"/>
      <c r="G44" s="277"/>
      <c r="H44" s="261"/>
      <c r="I44" s="261"/>
      <c r="J44" s="261"/>
      <c r="K44" s="261"/>
      <c r="L44" s="261"/>
      <c r="M44" s="261"/>
      <c r="N44" s="261"/>
      <c r="O44" s="261"/>
      <c r="P44" s="261"/>
      <c r="Q44" s="261"/>
      <c r="R44" s="261"/>
      <c r="S44" s="261"/>
      <c r="T44" s="261"/>
      <c r="U44" s="261"/>
    </row>
    <row r="45" ht="18" customHeight="1" spans="2:21">
      <c r="B45" s="287" t="s">
        <v>894</v>
      </c>
      <c r="C45" s="156"/>
      <c r="D45" s="157"/>
      <c r="E45" s="258">
        <v>8</v>
      </c>
      <c r="F45" s="259">
        <f>F42+F43+F44</f>
        <v>-4831642</v>
      </c>
      <c r="G45" s="260">
        <f>G42+G43+G44</f>
        <v>0</v>
      </c>
      <c r="H45" s="261"/>
      <c r="I45" s="261"/>
      <c r="J45" s="261"/>
      <c r="K45" s="261"/>
      <c r="L45" s="261"/>
      <c r="M45" s="261"/>
      <c r="N45" s="261"/>
      <c r="O45" s="261"/>
      <c r="P45" s="261"/>
      <c r="Q45" s="261"/>
      <c r="R45" s="261"/>
      <c r="S45" s="261"/>
      <c r="T45" s="261"/>
      <c r="U45" s="261"/>
    </row>
    <row r="46" ht="18" customHeight="1" spans="2:21">
      <c r="B46" s="286" t="s">
        <v>895</v>
      </c>
      <c r="C46" s="156"/>
      <c r="D46" s="157"/>
      <c r="E46" s="258">
        <v>9</v>
      </c>
      <c r="F46" s="276"/>
      <c r="G46" s="277"/>
      <c r="H46" s="261"/>
      <c r="I46" s="261"/>
      <c r="J46" s="261"/>
      <c r="K46" s="261"/>
      <c r="L46" s="261"/>
      <c r="M46" s="261"/>
      <c r="N46" s="261"/>
      <c r="O46" s="261"/>
      <c r="P46" s="261"/>
      <c r="Q46" s="261"/>
      <c r="R46" s="261"/>
      <c r="S46" s="261"/>
      <c r="T46" s="261"/>
      <c r="U46" s="261"/>
    </row>
    <row r="47" ht="18" customHeight="1" spans="2:21">
      <c r="B47" s="286" t="s">
        <v>896</v>
      </c>
      <c r="C47" s="156"/>
      <c r="D47" s="157"/>
      <c r="E47" s="258">
        <v>10</v>
      </c>
      <c r="F47" s="276"/>
      <c r="G47" s="277"/>
      <c r="H47" s="261"/>
      <c r="I47" s="261"/>
      <c r="J47" s="261"/>
      <c r="K47" s="261"/>
      <c r="L47" s="261"/>
      <c r="M47" s="261"/>
      <c r="N47" s="261"/>
      <c r="O47" s="261"/>
      <c r="P47" s="261"/>
      <c r="Q47" s="261"/>
      <c r="R47" s="261"/>
      <c r="S47" s="261"/>
      <c r="T47" s="261"/>
      <c r="U47" s="261"/>
    </row>
    <row r="48" ht="18" customHeight="1" spans="2:21">
      <c r="B48" s="286" t="s">
        <v>897</v>
      </c>
      <c r="C48" s="156"/>
      <c r="D48" s="157"/>
      <c r="E48" s="258">
        <v>11</v>
      </c>
      <c r="F48" s="276"/>
      <c r="G48" s="277"/>
      <c r="H48" s="261"/>
      <c r="I48" s="261"/>
      <c r="J48" s="261"/>
      <c r="K48" s="261"/>
      <c r="L48" s="261"/>
      <c r="M48" s="261"/>
      <c r="N48" s="261"/>
      <c r="O48" s="261"/>
      <c r="P48" s="261"/>
      <c r="Q48" s="261"/>
      <c r="R48" s="261"/>
      <c r="S48" s="261"/>
      <c r="T48" s="261"/>
      <c r="U48" s="261"/>
    </row>
    <row r="49" ht="18" customHeight="1" spans="2:21">
      <c r="B49" s="286" t="s">
        <v>898</v>
      </c>
      <c r="C49" s="156"/>
      <c r="D49" s="157"/>
      <c r="E49" s="258">
        <v>12</v>
      </c>
      <c r="F49" s="276"/>
      <c r="G49" s="277"/>
      <c r="H49" s="261"/>
      <c r="I49" s="261"/>
      <c r="J49" s="261"/>
      <c r="K49" s="261"/>
      <c r="L49" s="261"/>
      <c r="M49" s="261"/>
      <c r="N49" s="261"/>
      <c r="O49" s="261"/>
      <c r="P49" s="261"/>
      <c r="Q49" s="261"/>
      <c r="R49" s="261"/>
      <c r="S49" s="261"/>
      <c r="T49" s="261"/>
      <c r="U49" s="261"/>
    </row>
    <row r="50" ht="18" customHeight="1" spans="2:21">
      <c r="B50" s="286" t="s">
        <v>899</v>
      </c>
      <c r="C50" s="156"/>
      <c r="D50" s="157"/>
      <c r="E50" s="258">
        <v>13</v>
      </c>
      <c r="F50" s="276"/>
      <c r="G50" s="277"/>
      <c r="H50" s="261"/>
      <c r="I50" s="261"/>
      <c r="J50" s="261"/>
      <c r="K50" s="261"/>
      <c r="L50" s="261"/>
      <c r="M50" s="261"/>
      <c r="N50" s="261"/>
      <c r="O50" s="261"/>
      <c r="P50" s="261"/>
      <c r="Q50" s="261"/>
      <c r="R50" s="261"/>
      <c r="S50" s="261"/>
      <c r="T50" s="261"/>
      <c r="U50" s="261"/>
    </row>
    <row r="51" ht="18" customHeight="1" spans="2:21">
      <c r="B51" s="286" t="s">
        <v>900</v>
      </c>
      <c r="C51" s="156"/>
      <c r="D51" s="157"/>
      <c r="E51" s="258">
        <v>14</v>
      </c>
      <c r="F51" s="276"/>
      <c r="G51" s="277"/>
      <c r="H51" s="261"/>
      <c r="I51" s="261"/>
      <c r="J51" s="261"/>
      <c r="K51" s="261"/>
      <c r="L51" s="261"/>
      <c r="M51" s="261"/>
      <c r="N51" s="261"/>
      <c r="O51" s="261"/>
      <c r="P51" s="261"/>
      <c r="Q51" s="261"/>
      <c r="R51" s="261"/>
      <c r="S51" s="261"/>
      <c r="T51" s="261"/>
      <c r="U51" s="261"/>
    </row>
    <row r="52" ht="18" customHeight="1" spans="2:21">
      <c r="B52" s="287" t="s">
        <v>901</v>
      </c>
      <c r="C52" s="156"/>
      <c r="D52" s="157"/>
      <c r="E52" s="258">
        <v>16</v>
      </c>
      <c r="F52" s="259">
        <f>F45-F46-F47-F48-F49-F50-F51</f>
        <v>-4831642</v>
      </c>
      <c r="G52" s="260">
        <f>G45-G46-G47-G48-G49-G50-G51</f>
        <v>0</v>
      </c>
      <c r="H52" s="261"/>
      <c r="I52" s="261"/>
      <c r="J52" s="261"/>
      <c r="K52" s="261"/>
      <c r="L52" s="261"/>
      <c r="M52" s="261"/>
      <c r="N52" s="261"/>
      <c r="O52" s="261"/>
      <c r="P52" s="261"/>
      <c r="Q52" s="261"/>
      <c r="R52" s="261"/>
      <c r="S52" s="261"/>
      <c r="T52" s="261"/>
      <c r="U52" s="261"/>
    </row>
    <row r="53" ht="18" customHeight="1" spans="2:21">
      <c r="B53" s="286" t="s">
        <v>902</v>
      </c>
      <c r="C53" s="156"/>
      <c r="D53" s="157"/>
      <c r="E53" s="258">
        <v>17</v>
      </c>
      <c r="F53" s="276"/>
      <c r="G53" s="277"/>
      <c r="H53" s="261"/>
      <c r="I53" s="261"/>
      <c r="J53" s="261"/>
      <c r="K53" s="261"/>
      <c r="L53" s="261"/>
      <c r="M53" s="261"/>
      <c r="N53" s="261"/>
      <c r="O53" s="261"/>
      <c r="P53" s="261"/>
      <c r="Q53" s="261"/>
      <c r="R53" s="261"/>
      <c r="S53" s="261"/>
      <c r="T53" s="261"/>
      <c r="U53" s="261"/>
    </row>
    <row r="54" ht="18" customHeight="1" spans="2:21">
      <c r="B54" s="286" t="s">
        <v>903</v>
      </c>
      <c r="C54" s="156"/>
      <c r="D54" s="157"/>
      <c r="E54" s="258">
        <v>18</v>
      </c>
      <c r="F54" s="276"/>
      <c r="G54" s="277"/>
      <c r="H54" s="261"/>
      <c r="I54" s="261"/>
      <c r="J54" s="261"/>
      <c r="K54" s="261"/>
      <c r="L54" s="261"/>
      <c r="M54" s="261"/>
      <c r="N54" s="261"/>
      <c r="O54" s="261"/>
      <c r="P54" s="261"/>
      <c r="Q54" s="261"/>
      <c r="R54" s="261"/>
      <c r="S54" s="261"/>
      <c r="T54" s="261"/>
      <c r="U54" s="261"/>
    </row>
    <row r="55" ht="18" customHeight="1" spans="2:21">
      <c r="B55" s="286" t="s">
        <v>904</v>
      </c>
      <c r="C55" s="156"/>
      <c r="D55" s="157"/>
      <c r="E55" s="258">
        <v>19</v>
      </c>
      <c r="F55" s="276"/>
      <c r="G55" s="277"/>
      <c r="H55" s="261"/>
      <c r="I55" s="261"/>
      <c r="J55" s="261"/>
      <c r="K55" s="261"/>
      <c r="L55" s="261"/>
      <c r="M55" s="261"/>
      <c r="N55" s="261"/>
      <c r="O55" s="261"/>
      <c r="P55" s="261"/>
      <c r="Q55" s="261"/>
      <c r="R55" s="261"/>
      <c r="S55" s="261"/>
      <c r="T55" s="261"/>
      <c r="U55" s="261"/>
    </row>
    <row r="56" ht="18" customHeight="1" spans="2:21">
      <c r="B56" s="286" t="s">
        <v>905</v>
      </c>
      <c r="C56" s="156"/>
      <c r="D56" s="157"/>
      <c r="E56" s="258">
        <v>20</v>
      </c>
      <c r="F56" s="276"/>
      <c r="G56" s="277"/>
      <c r="H56" s="261"/>
      <c r="I56" s="261"/>
      <c r="J56" s="261"/>
      <c r="K56" s="261"/>
      <c r="L56" s="261"/>
      <c r="M56" s="261"/>
      <c r="N56" s="261"/>
      <c r="O56" s="261"/>
      <c r="P56" s="261"/>
      <c r="Q56" s="261"/>
      <c r="R56" s="261"/>
      <c r="S56" s="261"/>
      <c r="T56" s="261"/>
      <c r="U56" s="261"/>
    </row>
    <row r="57" ht="18" customHeight="1" spans="2:21">
      <c r="B57" s="288" t="s">
        <v>906</v>
      </c>
      <c r="C57" s="134"/>
      <c r="D57" s="135"/>
      <c r="E57" s="269">
        <v>25</v>
      </c>
      <c r="F57" s="289">
        <f>F52-F53-F54-F55-F56</f>
        <v>-4831642</v>
      </c>
      <c r="G57" s="290">
        <f>G52-G53-G54-G55-G56</f>
        <v>0</v>
      </c>
      <c r="H57" s="261"/>
      <c r="I57" s="261"/>
      <c r="J57" s="261"/>
      <c r="K57" s="261"/>
      <c r="L57" s="261"/>
      <c r="M57" s="261"/>
      <c r="N57" s="261"/>
      <c r="O57" s="261"/>
      <c r="P57" s="261"/>
      <c r="Q57" s="261"/>
      <c r="R57" s="261"/>
      <c r="S57" s="261"/>
      <c r="T57" s="261"/>
      <c r="U57" s="261"/>
    </row>
    <row r="58" ht="17.25" hidden="1" customHeight="1" spans="2:21">
      <c r="B58" s="261"/>
      <c r="C58" s="261"/>
      <c r="D58" s="261"/>
      <c r="E58" s="261"/>
      <c r="F58" s="261"/>
      <c r="G58" s="261"/>
      <c r="H58" s="261"/>
      <c r="I58" s="261"/>
      <c r="J58" s="261"/>
      <c r="K58" s="261"/>
      <c r="L58" s="261"/>
      <c r="M58" s="261"/>
      <c r="N58" s="261"/>
      <c r="O58" s="261"/>
      <c r="P58" s="261"/>
      <c r="Q58" s="261"/>
      <c r="R58" s="261"/>
      <c r="S58" s="261"/>
      <c r="T58" s="261"/>
      <c r="U58" s="261"/>
    </row>
    <row r="59" ht="17.25" customHeight="1" spans="2:21">
      <c r="B59" s="281" t="str">
        <f>"单位负责人："&amp;基础信息!D6</f>
        <v>单位负责人：</v>
      </c>
      <c r="C59" s="261"/>
      <c r="D59" s="281" t="str">
        <f>"财务负责人："&amp;基础信息!D7</f>
        <v>财务负责人：</v>
      </c>
      <c r="E59" s="281" t="str">
        <f>"复核："&amp;基础信息!D8</f>
        <v>复核：</v>
      </c>
      <c r="F59" s="261"/>
      <c r="G59" s="281" t="str">
        <f>"制表："&amp;基础信息!D9</f>
        <v>制表：</v>
      </c>
      <c r="H59" s="261"/>
      <c r="I59" s="261"/>
      <c r="J59" s="261"/>
      <c r="K59" s="261"/>
      <c r="L59" s="261"/>
      <c r="M59" s="261"/>
      <c r="N59" s="261"/>
      <c r="O59" s="261"/>
      <c r="P59" s="261"/>
      <c r="Q59" s="261"/>
      <c r="R59" s="261"/>
      <c r="S59" s="261"/>
      <c r="T59" s="261"/>
      <c r="U59" s="261"/>
    </row>
    <row r="60" customHeight="1" spans="2:21">
      <c r="B60" s="261"/>
      <c r="C60" s="261"/>
      <c r="D60" s="261"/>
      <c r="E60" s="261"/>
      <c r="F60" s="261"/>
      <c r="G60" s="261"/>
      <c r="H60" s="261"/>
      <c r="I60" s="261"/>
      <c r="J60" s="261"/>
      <c r="K60" s="261"/>
      <c r="L60" s="261"/>
      <c r="M60" s="261"/>
      <c r="N60" s="261"/>
      <c r="O60" s="261"/>
      <c r="P60" s="261"/>
      <c r="Q60" s="261"/>
      <c r="R60" s="261"/>
      <c r="S60" s="261"/>
      <c r="T60" s="261"/>
      <c r="U60" s="261"/>
    </row>
  </sheetData>
  <mergeCells count="46">
    <mergeCell ref="B1:G1"/>
    <mergeCell ref="E4:F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4:G24"/>
    <mergeCell ref="B26:E26"/>
    <mergeCell ref="B27:E27"/>
    <mergeCell ref="B28:E28"/>
    <mergeCell ref="B29:E29"/>
    <mergeCell ref="B30:E30"/>
    <mergeCell ref="B31:E31"/>
    <mergeCell ref="B32:E32"/>
    <mergeCell ref="B38:G38"/>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s>
  <conditionalFormatting sqref="F6:G22 F27:G32 F42:G57 I5:U22">
    <cfRule type="cellIs" dxfId="0" priority="1" stopIfTrue="1" operator="equal">
      <formula>""</formula>
    </cfRule>
  </conditionalFormatting>
  <dataValidations count="7">
    <dataValidation showInputMessage="1" showErrorMessage="1" promptTitle="填写说明：" prompt="净利润项目，根据“本年利润”账户年终结转入“利润分配-未分配利润”账户的发生额填列。如为净亏损，应以负数填列，且其数字与利润表中“本年累计数”栏的净利润项目一致。" sqref="F42"/>
    <dataValidation showInputMessage="1" showErrorMessage="1" promptTitle="填写说明：" prompt="年初未分配利润、未分配利润项目，分别根据“利润分配-未分配利润”账户的年初、年末余额填列。" sqref="F43"/>
    <dataValidation showInputMessage="1" showErrorMessage="1" promptTitle="填写说明：" prompt="“其他转入”项目，应根据“利润分配”账户所属该明细账户的本年贷方发生额填列。" sqref="F44"/>
    <dataValidation showInputMessage="1" showErrorMessage="1" promptTitle="填写说明：" prompt="可供分配的利润=净利润+年初未分配利润+其他转入" sqref="F45"/>
    <dataValidation showInputMessage="1" showErrorMessage="1" promptTitle="填写说明：" prompt="可供投资者分配的利润=可供分配的利润-(提取法定盈余公积+提取法定公益金+提取职工奖励及福利基金+提取储备基金+提取企业发展基金+利润归还投资)" sqref="F52"/>
    <dataValidation showInputMessage="1" showErrorMessage="1" promptTitle="填写说明：" prompt="未分配利润=可供投资者分配的利润-[应付优先股股利+提取任意盈余公积+应付普通股股利+转作资本(或股本)的普通股股利]" sqref="F57"/>
    <dataValidation showInputMessage="1" showErrorMessage="1" promptTitle="填写说明：" prompt="各项目应分别根据“利润分配”账户所属各该明细账户的本年借方发生额填列。" sqref="F46:F51 F53:F56"/>
  </dataValidations>
  <printOptions horizontalCentered="1"/>
  <pageMargins left="0" right="0" top="0.786805555555556" bottom="0.393055555555556" header="0.510416666666667" footer="0.196527777777778"/>
  <pageSetup paperSize="9" orientation="portrait" blackAndWhite="1" horizontalDpi="180" verticalDpi="18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indexed="46"/>
    <pageSetUpPr fitToPage="1"/>
  </sheetPr>
  <dimension ref="A1:F65"/>
  <sheetViews>
    <sheetView showGridLines="0" showZeros="0" workbookViewId="0">
      <pane ySplit="3" topLeftCell="A30" activePane="bottomLeft" state="frozen"/>
      <selection/>
      <selection pane="bottomLeft" activeCell="B46" sqref="B46"/>
    </sheetView>
  </sheetViews>
  <sheetFormatPr defaultColWidth="9" defaultRowHeight="12.75" zeroHeight="1" outlineLevelCol="5"/>
  <cols>
    <col min="1" max="1" width="6.375" style="222" customWidth="1"/>
    <col min="2" max="2" width="55.625" style="218" customWidth="1"/>
    <col min="3" max="3" width="18.75" style="218" customWidth="1"/>
    <col min="4" max="4" width="11.625" style="223" customWidth="1"/>
    <col min="5" max="9" width="9" style="218" customWidth="1"/>
    <col min="10" max="16384" width="9" style="218" hidden="1" customWidth="1"/>
  </cols>
  <sheetData>
    <row r="1" ht="12" customHeight="1"/>
    <row r="2" ht="29.25" customHeight="1" spans="1:6">
      <c r="A2" s="224" t="s">
        <v>907</v>
      </c>
      <c r="B2" s="3"/>
      <c r="C2" s="3"/>
      <c r="F2" t="s">
        <v>733</v>
      </c>
    </row>
    <row r="3" s="222" customFormat="1" ht="18" customHeight="1" spans="1:6">
      <c r="A3" s="194" t="s">
        <v>15</v>
      </c>
      <c r="B3" s="195" t="s">
        <v>849</v>
      </c>
      <c r="C3" s="196" t="s">
        <v>908</v>
      </c>
      <c r="D3" s="223"/>
    </row>
    <row r="4" spans="1:6">
      <c r="A4" s="225">
        <v>1</v>
      </c>
      <c r="B4" s="226" t="s">
        <v>909</v>
      </c>
      <c r="C4" s="201">
        <v>6000</v>
      </c>
    </row>
    <row r="5" spans="1:6">
      <c r="A5" s="225"/>
      <c r="B5" s="226" t="s">
        <v>910</v>
      </c>
      <c r="C5" s="201"/>
    </row>
    <row r="6" spans="1:6">
      <c r="A6" s="225"/>
      <c r="B6" s="226" t="s">
        <v>911</v>
      </c>
      <c r="C6" s="201"/>
    </row>
    <row r="7" spans="1:6">
      <c r="A7" s="225"/>
      <c r="B7" s="226" t="s">
        <v>912</v>
      </c>
      <c r="C7" s="201"/>
    </row>
    <row r="8" spans="1:6">
      <c r="A8" s="225"/>
      <c r="B8" s="226" t="s">
        <v>913</v>
      </c>
      <c r="C8" s="201"/>
    </row>
    <row r="9" spans="1:6">
      <c r="A9" s="225"/>
      <c r="B9" s="226" t="s">
        <v>914</v>
      </c>
      <c r="C9" s="201"/>
    </row>
    <row r="10" spans="1:6">
      <c r="A10" s="225"/>
      <c r="B10" s="226" t="s">
        <v>915</v>
      </c>
      <c r="C10" s="201"/>
    </row>
    <row r="11" spans="1:6">
      <c r="A11" s="225"/>
      <c r="B11" s="227" t="s">
        <v>916</v>
      </c>
      <c r="C11" s="204">
        <f>SUM(C4:C10)</f>
        <v>6000</v>
      </c>
      <c r="D11" s="228" t="s">
        <v>917</v>
      </c>
    </row>
    <row r="12" spans="1:6">
      <c r="A12" s="225">
        <v>2</v>
      </c>
      <c r="B12" s="226" t="s">
        <v>918</v>
      </c>
      <c r="C12" s="201"/>
      <c r="D12" s="229">
        <v>0.17</v>
      </c>
    </row>
    <row r="13" spans="1:6">
      <c r="A13" s="225"/>
      <c r="B13" s="226" t="s">
        <v>919</v>
      </c>
      <c r="C13" s="201"/>
      <c r="D13" s="229">
        <v>0.13</v>
      </c>
    </row>
    <row r="14" spans="1:6">
      <c r="A14" s="225"/>
      <c r="B14" s="226" t="s">
        <v>920</v>
      </c>
      <c r="C14" s="201"/>
      <c r="D14" s="229">
        <v>0.06</v>
      </c>
    </row>
    <row r="15" spans="1:6">
      <c r="A15" s="225"/>
      <c r="B15" s="226" t="s">
        <v>921</v>
      </c>
      <c r="C15" s="201"/>
      <c r="D15" s="229">
        <v>0.04</v>
      </c>
    </row>
    <row r="16" spans="1:6">
      <c r="A16" s="225"/>
      <c r="B16" s="226" t="s">
        <v>922</v>
      </c>
      <c r="C16" s="201"/>
      <c r="D16" s="230"/>
    </row>
    <row r="17" spans="1:5">
      <c r="A17" s="225"/>
      <c r="B17" s="231" t="s">
        <v>923</v>
      </c>
      <c r="C17" s="204">
        <f>C12*D12+C13*D13+C14*D14+C15*D15</f>
        <v>0</v>
      </c>
      <c r="D17" s="230"/>
      <c r="E17" s="232" t="str">
        <f>IF(SUM(C12:C16)=损益表!G6,"","主营业务收入合计与利润表不符！")</f>
        <v/>
      </c>
    </row>
    <row r="18" spans="1:5">
      <c r="A18" s="225"/>
      <c r="B18" s="226" t="s">
        <v>924</v>
      </c>
      <c r="C18" s="201"/>
      <c r="D18" s="229">
        <v>0.17</v>
      </c>
    </row>
    <row r="19" spans="1:5">
      <c r="A19" s="225"/>
      <c r="B19" s="226" t="s">
        <v>925</v>
      </c>
      <c r="C19" s="201"/>
      <c r="D19" s="229">
        <v>0.13</v>
      </c>
    </row>
    <row r="20" spans="1:5">
      <c r="A20" s="225"/>
      <c r="B20" s="226" t="s">
        <v>926</v>
      </c>
      <c r="C20" s="201"/>
      <c r="D20" s="230"/>
    </row>
    <row r="21" spans="1:5">
      <c r="A21" s="225"/>
      <c r="B21" s="226" t="s">
        <v>927</v>
      </c>
      <c r="C21" s="201"/>
      <c r="D21" s="230"/>
      <c r="E21" s="232" t="str">
        <f>IF(SUM(C18:C21)=损益表!G7,"","主营业务成本合计与利润表不符！")</f>
        <v/>
      </c>
    </row>
    <row r="22" spans="1:5">
      <c r="A22" s="225"/>
      <c r="B22" s="226" t="s">
        <v>928</v>
      </c>
      <c r="C22" s="201"/>
      <c r="D22" s="229">
        <v>0.17</v>
      </c>
    </row>
    <row r="23" spans="1:5">
      <c r="A23" s="225"/>
      <c r="B23" s="226" t="s">
        <v>929</v>
      </c>
      <c r="C23" s="201"/>
      <c r="D23" s="229">
        <v>0.13</v>
      </c>
    </row>
    <row r="24" spans="1:5">
      <c r="A24" s="225"/>
      <c r="B24" s="226" t="s">
        <v>930</v>
      </c>
      <c r="C24" s="201"/>
      <c r="D24" s="230"/>
      <c r="E24" s="232" t="str">
        <f ca="1">IF(SUM(C22:C24)=资产负债表!E16-资产负债表!D16,"","存货增加额与资产负债表不符！")</f>
        <v/>
      </c>
    </row>
    <row r="25" spans="1:5">
      <c r="A25" s="225"/>
      <c r="B25" s="231" t="s">
        <v>931</v>
      </c>
      <c r="C25" s="204">
        <f>C18*D18+C19*D19+C22*D22+C23*D23</f>
        <v>0</v>
      </c>
      <c r="D25" s="230"/>
    </row>
    <row r="26" spans="1:5">
      <c r="A26" s="225"/>
      <c r="B26" s="226" t="s">
        <v>224</v>
      </c>
      <c r="C26" s="201"/>
      <c r="D26" s="230"/>
    </row>
    <row r="27" spans="1:5">
      <c r="A27" s="225"/>
      <c r="B27" s="226" t="s">
        <v>932</v>
      </c>
      <c r="C27" s="204">
        <f>损益表!G8</f>
        <v>0</v>
      </c>
      <c r="D27" s="230"/>
    </row>
    <row r="28" ht="13.65" customHeight="1" spans="1:5">
      <c r="A28" s="225"/>
      <c r="B28" s="226" t="s">
        <v>609</v>
      </c>
      <c r="C28" s="201"/>
      <c r="D28" s="233">
        <v>0.15</v>
      </c>
    </row>
    <row r="29" spans="1:5">
      <c r="A29" s="225"/>
      <c r="B29" s="226" t="s">
        <v>933</v>
      </c>
      <c r="C29" s="201"/>
    </row>
    <row r="30" spans="1:5">
      <c r="A30" s="225"/>
      <c r="B30" s="226" t="s">
        <v>934</v>
      </c>
      <c r="C30" s="201"/>
    </row>
    <row r="31" spans="1:5">
      <c r="A31" s="225"/>
      <c r="B31" s="227" t="s">
        <v>935</v>
      </c>
      <c r="C31" s="201"/>
    </row>
    <row r="32" spans="1:5">
      <c r="A32" s="225">
        <v>3</v>
      </c>
      <c r="B32" s="227" t="s">
        <v>936</v>
      </c>
      <c r="C32" s="204">
        <f>SUM(C33:C37)</f>
        <v>0</v>
      </c>
    </row>
    <row r="33" spans="1:4">
      <c r="A33" s="225"/>
      <c r="B33" s="226" t="s">
        <v>937</v>
      </c>
      <c r="C33" s="201"/>
    </row>
    <row r="34" spans="1:4">
      <c r="A34" s="225"/>
      <c r="B34" s="226" t="s">
        <v>938</v>
      </c>
      <c r="C34" s="201"/>
    </row>
    <row r="35" spans="1:4">
      <c r="A35" s="225"/>
      <c r="B35" s="226" t="s">
        <v>939</v>
      </c>
      <c r="C35" s="201"/>
    </row>
    <row r="36" spans="1:4">
      <c r="A36" s="225"/>
      <c r="B36" s="226" t="s">
        <v>940</v>
      </c>
      <c r="C36" s="201"/>
    </row>
    <row r="37" spans="1:4">
      <c r="A37" s="225"/>
      <c r="B37" s="226" t="s">
        <v>941</v>
      </c>
      <c r="C37" s="201"/>
    </row>
    <row r="38" spans="1:4">
      <c r="A38" s="225">
        <v>4</v>
      </c>
      <c r="B38" s="227" t="s">
        <v>942</v>
      </c>
      <c r="C38" s="204">
        <f>C39+C40+C43</f>
        <v>0</v>
      </c>
    </row>
    <row r="39" spans="1:4">
      <c r="A39" s="225"/>
      <c r="B39" s="226" t="s">
        <v>943</v>
      </c>
      <c r="C39" s="201"/>
    </row>
    <row r="40" spans="1:4">
      <c r="A40" s="225"/>
      <c r="B40" s="226" t="s">
        <v>944</v>
      </c>
      <c r="C40" s="201"/>
    </row>
    <row r="41" spans="1:4">
      <c r="A41" s="225"/>
      <c r="B41" s="226" t="s">
        <v>945</v>
      </c>
      <c r="C41" s="201"/>
    </row>
    <row r="42" spans="1:4">
      <c r="A42" s="225"/>
      <c r="B42" s="234" t="s">
        <v>946</v>
      </c>
      <c r="C42" s="201"/>
    </row>
    <row r="43" spans="1:4">
      <c r="A43" s="225"/>
      <c r="B43" s="226" t="s">
        <v>947</v>
      </c>
      <c r="C43" s="204">
        <f>C41-C42</f>
        <v>0</v>
      </c>
    </row>
    <row r="44" spans="1:4">
      <c r="A44" s="225">
        <v>5</v>
      </c>
      <c r="B44" s="227" t="s">
        <v>948</v>
      </c>
      <c r="C44" s="204">
        <f>SUM(C45:C52)</f>
        <v>0</v>
      </c>
      <c r="D44" s="235" t="s">
        <v>949</v>
      </c>
    </row>
    <row r="45" spans="1:4">
      <c r="A45" s="225"/>
      <c r="B45" s="226" t="s">
        <v>950</v>
      </c>
      <c r="C45" s="201"/>
      <c r="D45" s="236">
        <v>0.005</v>
      </c>
    </row>
    <row r="46" spans="1:4">
      <c r="A46" s="225"/>
      <c r="B46" s="226" t="s">
        <v>951</v>
      </c>
      <c r="C46" s="201"/>
      <c r="D46" s="236"/>
    </row>
    <row r="47" spans="1:4">
      <c r="A47" s="225"/>
      <c r="B47" s="226" t="s">
        <v>212</v>
      </c>
      <c r="C47" s="201"/>
      <c r="D47" s="236"/>
    </row>
    <row r="48" spans="1:4">
      <c r="A48" s="225"/>
      <c r="B48" s="226" t="s">
        <v>268</v>
      </c>
      <c r="C48" s="201"/>
      <c r="D48" s="236"/>
    </row>
    <row r="49" spans="1:4">
      <c r="A49" s="225"/>
      <c r="B49" s="226" t="s">
        <v>298</v>
      </c>
      <c r="C49" s="204">
        <f>资产负债表!E29-资产负债表!D29</f>
        <v>0</v>
      </c>
      <c r="D49" s="236"/>
    </row>
    <row r="50" spans="1:4">
      <c r="A50" s="225"/>
      <c r="B50" s="226" t="s">
        <v>357</v>
      </c>
      <c r="C50" s="201"/>
      <c r="D50" s="236"/>
    </row>
    <row r="51" spans="1:4">
      <c r="A51" s="225"/>
      <c r="B51" s="226" t="s">
        <v>952</v>
      </c>
      <c r="C51" s="201"/>
      <c r="D51" s="236"/>
    </row>
    <row r="52" ht="13.65" customHeight="1" spans="1:4">
      <c r="A52" s="225"/>
      <c r="B52" s="226" t="s">
        <v>953</v>
      </c>
      <c r="C52" s="201"/>
      <c r="D52" s="237"/>
    </row>
    <row r="53" spans="1:4">
      <c r="A53" s="225">
        <v>6</v>
      </c>
      <c r="B53" s="231" t="s">
        <v>954</v>
      </c>
      <c r="C53" s="201"/>
    </row>
    <row r="54" spans="1:4">
      <c r="A54" s="225">
        <v>7</v>
      </c>
      <c r="B54" s="231" t="s">
        <v>955</v>
      </c>
      <c r="C54" s="201"/>
    </row>
    <row r="55" spans="1:4">
      <c r="A55" s="225">
        <v>8</v>
      </c>
      <c r="B55" s="231" t="s">
        <v>956</v>
      </c>
      <c r="C55" s="201"/>
    </row>
    <row r="56" spans="1:4">
      <c r="A56" s="225">
        <v>9</v>
      </c>
      <c r="B56" s="231" t="s">
        <v>957</v>
      </c>
      <c r="C56" s="201"/>
    </row>
    <row r="57" spans="1:4">
      <c r="A57" s="225">
        <v>10</v>
      </c>
      <c r="B57" s="231" t="s">
        <v>958</v>
      </c>
      <c r="C57" s="201"/>
    </row>
    <row r="58" spans="1:4">
      <c r="A58" s="225">
        <v>11</v>
      </c>
      <c r="B58" s="226" t="s">
        <v>959</v>
      </c>
      <c r="C58" s="201"/>
    </row>
    <row r="59" spans="1:4">
      <c r="A59" s="225"/>
      <c r="B59" s="226" t="s">
        <v>960</v>
      </c>
      <c r="C59" s="201"/>
    </row>
    <row r="60" spans="1:4">
      <c r="A60" s="225"/>
      <c r="B60" s="227" t="s">
        <v>961</v>
      </c>
      <c r="C60" s="204">
        <f>SUM(C58:C59)</f>
        <v>0</v>
      </c>
    </row>
    <row r="61" spans="1:4">
      <c r="A61" s="225">
        <v>12</v>
      </c>
      <c r="B61" s="231" t="s">
        <v>962</v>
      </c>
      <c r="C61" s="201"/>
    </row>
    <row r="62" spans="1:4">
      <c r="A62" s="225">
        <v>13</v>
      </c>
      <c r="B62" s="231" t="s">
        <v>963</v>
      </c>
      <c r="C62" s="201"/>
    </row>
    <row r="63" spans="1:4">
      <c r="A63" s="225">
        <v>14</v>
      </c>
      <c r="B63" s="231" t="s">
        <v>964</v>
      </c>
      <c r="C63" s="201"/>
    </row>
    <row r="64" ht="13.65" customHeight="1" spans="1:4">
      <c r="A64" s="238">
        <v>15</v>
      </c>
      <c r="B64" s="239" t="s">
        <v>965</v>
      </c>
      <c r="C64" s="240"/>
    </row>
    <row r="65" ht="13.65" customHeight="1"/>
  </sheetData>
  <sheetProtection sheet="1" formatCells="0" formatColumns="0" formatRows="0" insertRows="0" insertColumns="0" insertHyperlinks="0" deleteColumns="0" deleteRows="0" sort="0" autoFilter="0" pivotTables="0"/>
  <mergeCells count="1">
    <mergeCell ref="A2:C2"/>
  </mergeCells>
  <conditionalFormatting sqref="C4:C64">
    <cfRule type="cellIs" dxfId="0" priority="1" stopIfTrue="1" operator="equal">
      <formula>""</formula>
    </cfRule>
  </conditionalFormatting>
  <hyperlinks>
    <hyperlink ref="F2" location="目录!B1" display="目录!B1"/>
  </hyperlinks>
  <printOptions horizontalCentered="1"/>
  <pageMargins left="0.393055555555556" right="0.393055555555556" top="0.393055555555556" bottom="0.393055555555556" header="0.510416666666667" footer="0.196527777777778"/>
  <pageSetup paperSize="9" scale="93" orientation="portrait" blackAndWhite="1" horizontalDpi="600" verticalDpi="600"/>
  <headerFooter alignWithMargins="0" scaleWithDoc="0">
    <oddFooter>&amp;C&amp;"黑体,常规"&amp;10 第 &amp;P 页，共 &amp;N 页</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indexed="46"/>
  </sheetPr>
  <dimension ref="B1:H43"/>
  <sheetViews>
    <sheetView showGridLines="0" showZeros="0" zoomScale="120" zoomScaleNormal="120" workbookViewId="0">
      <pane ySplit="5" topLeftCell="A6" activePane="bottomLeft" state="frozen"/>
      <selection/>
      <selection pane="bottomLeft" activeCell="D18" sqref="D17:D18"/>
    </sheetView>
  </sheetViews>
  <sheetFormatPr defaultColWidth="9" defaultRowHeight="14.25" zeroHeight="1" outlineLevelCol="7"/>
  <cols>
    <col min="1" max="1" width="3" style="187" customWidth="1"/>
    <col min="2" max="2" width="37.5" style="187" customWidth="1"/>
    <col min="3" max="3" width="5.625" style="188" customWidth="1"/>
    <col min="4" max="4" width="18.75" style="187" customWidth="1"/>
    <col min="5" max="5" width="37.5" style="187" customWidth="1"/>
    <col min="6" max="6" width="5.625" style="188" customWidth="1"/>
    <col min="7" max="7" width="18.75" style="187" customWidth="1"/>
    <col min="8" max="9" width="9" style="187" customWidth="1"/>
    <col min="10" max="16384" width="9" style="187" hidden="1" customWidth="1"/>
  </cols>
  <sheetData>
    <row r="1" ht="22.2" customHeight="1" spans="2:8">
      <c r="B1" s="18" t="s">
        <v>966</v>
      </c>
      <c r="C1" s="3"/>
      <c r="D1" s="3"/>
      <c r="E1" s="3"/>
      <c r="F1" s="3"/>
      <c r="G1" s="3"/>
    </row>
    <row r="2" ht="1.5" customHeight="1" spans="2:8">
      <c r="B2" s="189"/>
      <c r="C2" s="189"/>
      <c r="D2" s="189"/>
      <c r="E2" s="189"/>
      <c r="F2" s="189"/>
      <c r="G2" s="189"/>
    </row>
    <row r="3" ht="1.5" customHeight="1"/>
    <row r="4" ht="19.5" customHeight="1" spans="2:8">
      <c r="B4" s="190" t="str">
        <f>"编制单位："&amp;资产负债表!B4</f>
        <v>编制单位：XIN SHENG</v>
      </c>
      <c r="D4" s="191" t="str">
        <f>TEXT(基础信息!D4,"yyyy年m月")</f>
        <v>2025年12月</v>
      </c>
      <c r="E4" s="192"/>
      <c r="G4" s="193" t="s">
        <v>732</v>
      </c>
      <c r="H4" t="s">
        <v>733</v>
      </c>
    </row>
    <row r="5" ht="18" customHeight="1" spans="2:8">
      <c r="B5" s="194" t="s">
        <v>849</v>
      </c>
      <c r="C5" s="195" t="s">
        <v>762</v>
      </c>
      <c r="D5" s="195" t="s">
        <v>908</v>
      </c>
      <c r="E5" s="195" t="s">
        <v>881</v>
      </c>
      <c r="F5" s="195" t="s">
        <v>762</v>
      </c>
      <c r="G5" s="196" t="s">
        <v>908</v>
      </c>
    </row>
    <row r="6" ht="13.5" customHeight="1" spans="2:8">
      <c r="B6" s="197" t="s">
        <v>967</v>
      </c>
      <c r="C6" s="198"/>
      <c r="D6" s="199"/>
      <c r="E6" s="200" t="s">
        <v>968</v>
      </c>
      <c r="F6" s="198"/>
      <c r="G6" s="201"/>
    </row>
    <row r="7" ht="13.5" customHeight="1" spans="2:8">
      <c r="B7" s="202" t="s">
        <v>969</v>
      </c>
      <c r="C7" s="198">
        <v>1</v>
      </c>
      <c r="D7" s="203">
        <f>损益表!G6*1.17+(资产负债表!D9-资产负债表!E9)+(资产负债表!D12-资产负债表!E12)+(资产负债表!J10-资产负债表!I10)-表外数据录入!C42</f>
        <v>0</v>
      </c>
      <c r="E7" s="200" t="s">
        <v>970</v>
      </c>
      <c r="F7" s="198">
        <v>57</v>
      </c>
      <c r="G7" s="204">
        <f>损益表!G22</f>
        <v>-4831642</v>
      </c>
    </row>
    <row r="8" ht="13.5" customHeight="1" spans="2:8">
      <c r="B8" s="202" t="s">
        <v>971</v>
      </c>
      <c r="C8" s="198">
        <v>3</v>
      </c>
      <c r="D8" s="203">
        <f>表外数据录入!C32</f>
        <v>0</v>
      </c>
      <c r="E8" s="205" t="s">
        <v>972</v>
      </c>
      <c r="F8" s="198">
        <v>58</v>
      </c>
      <c r="G8" s="204">
        <f>表外数据录入!C44</f>
        <v>0</v>
      </c>
    </row>
    <row r="9" ht="13.5" customHeight="1" spans="2:8">
      <c r="B9" s="202" t="s">
        <v>973</v>
      </c>
      <c r="C9" s="198">
        <v>8</v>
      </c>
      <c r="D9" s="203">
        <f ca="1">G39+D15-D7-D8-D27-D37-D38</f>
        <v>-5670187</v>
      </c>
      <c r="E9" s="206" t="s">
        <v>974</v>
      </c>
      <c r="F9" s="198">
        <v>59</v>
      </c>
      <c r="G9" s="204">
        <f>资产负债表!E27-资产负债表!D27</f>
        <v>0</v>
      </c>
    </row>
    <row r="10" ht="13.5" customHeight="1" spans="2:8">
      <c r="B10" s="207" t="s">
        <v>975</v>
      </c>
      <c r="C10" s="198">
        <v>9</v>
      </c>
      <c r="D10" s="203">
        <f ca="1">SUM(D7:D9)</f>
        <v>-5670187</v>
      </c>
      <c r="E10" s="206" t="s">
        <v>954</v>
      </c>
      <c r="F10" s="198">
        <v>60</v>
      </c>
      <c r="G10" s="204">
        <f>表外数据录入!C53</f>
        <v>0</v>
      </c>
    </row>
    <row r="11" ht="13.5" customHeight="1" spans="2:8">
      <c r="B11" s="202" t="s">
        <v>976</v>
      </c>
      <c r="C11" s="198">
        <v>10</v>
      </c>
      <c r="D11" s="203">
        <f ca="1">(损益表!G7+资产负债表!E16-资产负债表!D16)*1.17+(资产负债表!I8-资产负债表!J8)+(资产负债表!I9-资产负债表!J9)+(资产负债表!E14-资产负债表!D14)</f>
        <v>0</v>
      </c>
      <c r="E11" s="206" t="s">
        <v>955</v>
      </c>
      <c r="F11" s="198">
        <v>61</v>
      </c>
      <c r="G11" s="204">
        <f>表外数据录入!C54</f>
        <v>0</v>
      </c>
    </row>
    <row r="12" ht="13.5" customHeight="1" spans="2:8">
      <c r="B12" s="202" t="s">
        <v>977</v>
      </c>
      <c r="C12" s="198">
        <v>12</v>
      </c>
      <c r="D12" s="203">
        <f>表外数据录入!C11</f>
        <v>6000</v>
      </c>
      <c r="E12" s="206" t="s">
        <v>978</v>
      </c>
      <c r="F12" s="198">
        <v>64</v>
      </c>
      <c r="G12" s="204">
        <f>资产负债表!D17-资产负债表!E17</f>
        <v>0</v>
      </c>
    </row>
    <row r="13" ht="13.5" customHeight="1" spans="2:8">
      <c r="B13" s="202" t="s">
        <v>979</v>
      </c>
      <c r="C13" s="198">
        <v>13</v>
      </c>
      <c r="D13" s="203">
        <f>表外数据录入!C31</f>
        <v>0</v>
      </c>
      <c r="E13" s="206" t="s">
        <v>980</v>
      </c>
      <c r="F13" s="198">
        <v>65</v>
      </c>
      <c r="G13" s="204">
        <f>资产负债表!J17-资产负债表!I17</f>
        <v>0</v>
      </c>
    </row>
    <row r="14" ht="13.5" customHeight="1" spans="2:8">
      <c r="B14" s="202" t="s">
        <v>981</v>
      </c>
      <c r="C14" s="198">
        <v>18</v>
      </c>
      <c r="D14" s="203" t="str">
        <f>IF(((资产负债表!E13-资产负债表!D13)+损益表!G18+损益表!G12+损益表!G11-D12+(D34-损益表!G13)-(资产负债表!E27-资产负债表!D27)-(资产负债表!E12+资产负债表!E13)*0.005/0.995-表外数据录入!C29)&lt;0,ABS(((资产负债表!E13-资产负债表!D13)+损益表!G18+损益表!G12+损益表!G11-D12+(D34-损益表!G13)-(资产负债表!E27-资产负债表!D27)-(资产负债表!E12+资产负债表!E13)*0.005/0.995-表外数据录入!C29)*0.8)," ")</f>
        <v> </v>
      </c>
      <c r="E14" s="206" t="s">
        <v>982</v>
      </c>
      <c r="F14" s="198">
        <v>66</v>
      </c>
      <c r="G14" s="204">
        <f>表外数据录入!C56</f>
        <v>0</v>
      </c>
    </row>
    <row r="15" ht="13.5" customHeight="1" spans="2:8">
      <c r="B15" s="207" t="s">
        <v>983</v>
      </c>
      <c r="C15" s="198">
        <v>20</v>
      </c>
      <c r="D15" s="203">
        <f ca="1">SUM(D11:D14)</f>
        <v>6000</v>
      </c>
      <c r="E15" s="206" t="s">
        <v>956</v>
      </c>
      <c r="F15" s="198">
        <v>67</v>
      </c>
      <c r="G15" s="204">
        <f>表外数据录入!C55</f>
        <v>0</v>
      </c>
    </row>
    <row r="16" ht="13.5" customHeight="1" spans="2:8">
      <c r="B16" s="207" t="s">
        <v>984</v>
      </c>
      <c r="C16" s="198">
        <v>21</v>
      </c>
      <c r="D16" s="203">
        <f ca="1">D10-D15</f>
        <v>-5676187</v>
      </c>
      <c r="E16" s="206" t="s">
        <v>442</v>
      </c>
      <c r="F16" s="198">
        <v>68</v>
      </c>
      <c r="G16" s="204">
        <f>表外数据录入!C43</f>
        <v>0</v>
      </c>
    </row>
    <row r="17" ht="13.5" customHeight="1" spans="2:7">
      <c r="B17" s="197" t="s">
        <v>985</v>
      </c>
      <c r="C17" s="198"/>
      <c r="D17" s="199"/>
      <c r="E17" s="206" t="s">
        <v>986</v>
      </c>
      <c r="F17" s="198">
        <v>69</v>
      </c>
      <c r="G17" s="204">
        <f>-损益表!G15</f>
        <v>0</v>
      </c>
    </row>
    <row r="18" ht="13.5" customHeight="1" spans="2:7">
      <c r="B18" s="202" t="s">
        <v>987</v>
      </c>
      <c r="C18" s="198">
        <v>22</v>
      </c>
      <c r="D18" s="203" t="str">
        <f>IF((资产负债表!E8+资产负债表!E24-资产负债表!D8-资产负债表!D24)&lt;0,ABS(资产负债表!E8+资产负债表!E24-资产负债表!D8-资产负债表!D24)," ")</f>
        <v> </v>
      </c>
      <c r="E18" s="206" t="s">
        <v>988</v>
      </c>
      <c r="F18" s="198">
        <v>70</v>
      </c>
      <c r="G18" s="204">
        <f>(资产负债表!J31-资产负债表!I31)-(资产负债表!E42-资产负债表!D42)</f>
        <v>0</v>
      </c>
    </row>
    <row r="19" ht="13.5" customHeight="1" spans="2:7">
      <c r="B19" s="202" t="s">
        <v>989</v>
      </c>
      <c r="C19" s="198">
        <v>23</v>
      </c>
      <c r="D19" s="203">
        <f>表外数据录入!C57</f>
        <v>0</v>
      </c>
      <c r="E19" s="206" t="s">
        <v>990</v>
      </c>
      <c r="F19" s="198">
        <v>71</v>
      </c>
      <c r="G19" s="204">
        <f ca="1">资产负债表!D16-资产负债表!E16</f>
        <v>0</v>
      </c>
    </row>
    <row r="20" ht="13.5" customHeight="1" spans="2:7">
      <c r="B20" s="202" t="s">
        <v>991</v>
      </c>
      <c r="C20" s="198">
        <v>25</v>
      </c>
      <c r="D20" s="203">
        <f>表外数据录入!C60</f>
        <v>0</v>
      </c>
      <c r="E20" s="206" t="s">
        <v>992</v>
      </c>
      <c r="F20" s="198">
        <v>72</v>
      </c>
      <c r="G20" s="204">
        <f>(资产负债表!D9+资产负债表!D10+资产负债表!D11+资产负债表!D12+资产负债表!D13+资产负债表!D14+资产负债表!D15)-(资产负债表!E9+资产负债表!E10+资产负债表!E11+资产负债表!E12+资产负债表!E13+资产负债表!E14+资产负债表!E15)</f>
        <v>44440</v>
      </c>
    </row>
    <row r="21" ht="13.5" customHeight="1" spans="2:7">
      <c r="B21" s="202" t="s">
        <v>962</v>
      </c>
      <c r="C21" s="198">
        <v>28</v>
      </c>
      <c r="D21" s="203">
        <f>表外数据录入!C61</f>
        <v>0</v>
      </c>
      <c r="E21" s="206" t="s">
        <v>993</v>
      </c>
      <c r="F21" s="198">
        <v>73</v>
      </c>
      <c r="G21" s="204">
        <f>资产负债表!J8+资产负债表!J9+资产负债表!J10+资产负债表!J11+资产负债表!J12+资产负债表!J13+资产负债表!J14+资产负债表!J15+资产负债表!J16+资产负债表!J17-资产负债表!I8-资产负债表!I9-资产负债表!I10-资产负债表!I11-资产负债表!I12-资产负债表!I13-资产负债表!I14-资产负债表!I15-资产负债表!I16-资产负债表!I17</f>
        <v>-888985</v>
      </c>
    </row>
    <row r="22" ht="13.5" customHeight="1" spans="2:7">
      <c r="B22" s="197" t="s">
        <v>975</v>
      </c>
      <c r="C22" s="198">
        <v>29</v>
      </c>
      <c r="D22" s="203">
        <f>SUM(D18:D21)</f>
        <v>0</v>
      </c>
      <c r="E22" s="206" t="s">
        <v>97</v>
      </c>
      <c r="F22" s="198">
        <v>74</v>
      </c>
      <c r="G22" s="204">
        <f ca="1">D16-G7-G8-G9-G10-G11-G12-G13-G14-G15-G16-G17-G18-G19-G20-G21</f>
        <v>0</v>
      </c>
    </row>
    <row r="23" ht="13.5" customHeight="1" spans="2:7">
      <c r="B23" s="202" t="s">
        <v>994</v>
      </c>
      <c r="C23" s="198">
        <v>30</v>
      </c>
      <c r="D23" s="203">
        <f>资产负债表!E26+资产负债表!E31+资产负债表!E32+资产负债表!E39-资产负债表!D26-资产负债表!D31-资产负债表!D32-资产负债表!D39</f>
        <v>3100843</v>
      </c>
      <c r="E23" s="200" t="s">
        <v>984</v>
      </c>
      <c r="F23" s="198">
        <v>75</v>
      </c>
      <c r="G23" s="204">
        <f ca="1">SUM(G7:G22)</f>
        <v>-5676187</v>
      </c>
    </row>
    <row r="24" ht="13.5" customHeight="1" spans="2:7">
      <c r="B24" s="202" t="s">
        <v>995</v>
      </c>
      <c r="C24" s="198">
        <v>31</v>
      </c>
      <c r="D24" s="203">
        <f>IF((资产负债表!E8+资产负债表!E24-资产负债表!D8-资产负债表!D24)&lt;0," ",资产负债表!E8+资产负债表!E24-资产负债表!D8-资产负债表!D24)</f>
        <v>0</v>
      </c>
      <c r="E24" s="206"/>
      <c r="F24" s="198"/>
      <c r="G24" s="201"/>
    </row>
    <row r="25" ht="13.5" customHeight="1" spans="2:7">
      <c r="B25" s="202" t="s">
        <v>963</v>
      </c>
      <c r="C25" s="198">
        <v>35</v>
      </c>
      <c r="D25" s="203">
        <f>表外数据录入!C62</f>
        <v>0</v>
      </c>
      <c r="E25" s="206"/>
      <c r="F25" s="198"/>
      <c r="G25" s="201"/>
    </row>
    <row r="26" ht="13.5" customHeight="1" spans="2:7">
      <c r="B26" s="197" t="s">
        <v>983</v>
      </c>
      <c r="C26" s="198">
        <v>36</v>
      </c>
      <c r="D26" s="203">
        <f>SUM(D23:D25)</f>
        <v>3100843</v>
      </c>
      <c r="E26" s="206"/>
      <c r="F26" s="198"/>
      <c r="G26" s="201"/>
    </row>
    <row r="27" ht="13.5" customHeight="1" spans="2:7">
      <c r="B27" s="197" t="s">
        <v>996</v>
      </c>
      <c r="C27" s="198">
        <v>37</v>
      </c>
      <c r="D27" s="203">
        <f>D22-D26</f>
        <v>-3100843</v>
      </c>
      <c r="E27" s="200" t="s">
        <v>997</v>
      </c>
      <c r="F27" s="198"/>
      <c r="G27" s="201"/>
    </row>
    <row r="28" ht="13.5" customHeight="1" spans="2:7">
      <c r="B28" s="197" t="s">
        <v>998</v>
      </c>
      <c r="C28" s="198"/>
      <c r="D28" s="199"/>
      <c r="E28" s="206" t="s">
        <v>999</v>
      </c>
      <c r="F28" s="198">
        <v>76</v>
      </c>
      <c r="G28" s="201"/>
    </row>
    <row r="29" ht="13.5" customHeight="1" spans="2:7">
      <c r="B29" s="202" t="s">
        <v>1000</v>
      </c>
      <c r="C29" s="198">
        <v>38</v>
      </c>
      <c r="D29" s="203">
        <f>资产负债表!J35-资产负债表!I35</f>
        <v>14600000</v>
      </c>
      <c r="E29" s="206" t="s">
        <v>1001</v>
      </c>
      <c r="F29" s="198">
        <v>77</v>
      </c>
      <c r="G29" s="201"/>
    </row>
    <row r="30" ht="13.5" customHeight="1" spans="2:7">
      <c r="B30" s="202" t="s">
        <v>1002</v>
      </c>
      <c r="C30" s="198">
        <v>40</v>
      </c>
      <c r="D30" s="203">
        <f>IF((资产负债表!J7+资产负债表!J29-资产负债表!I7-资产负债表!I29)&lt;0," ",资产负债表!J7+资产负债表!J29-资产负债表!I7-资产负债表!I29)</f>
        <v>0</v>
      </c>
      <c r="E30" s="206" t="s">
        <v>1003</v>
      </c>
      <c r="F30" s="198">
        <v>78</v>
      </c>
      <c r="G30" s="201"/>
    </row>
    <row r="31" ht="13.5" customHeight="1" spans="2:7">
      <c r="B31" s="202" t="s">
        <v>964</v>
      </c>
      <c r="C31" s="198">
        <v>43</v>
      </c>
      <c r="D31" s="203">
        <f>表外数据录入!C63</f>
        <v>0</v>
      </c>
      <c r="E31" s="206"/>
      <c r="F31" s="198"/>
      <c r="G31" s="201"/>
    </row>
    <row r="32" ht="13.5" customHeight="1" spans="2:7">
      <c r="B32" s="197" t="s">
        <v>975</v>
      </c>
      <c r="C32" s="198">
        <v>44</v>
      </c>
      <c r="D32" s="203">
        <f>SUM(D29:D31)</f>
        <v>14600000</v>
      </c>
      <c r="E32" s="206"/>
      <c r="F32" s="198"/>
      <c r="G32" s="201"/>
    </row>
    <row r="33" ht="13.5" customHeight="1" spans="2:7">
      <c r="B33" s="202" t="s">
        <v>1004</v>
      </c>
      <c r="C33" s="198">
        <v>45</v>
      </c>
      <c r="D33" s="203" t="str">
        <f>IF((资产负债表!J7+资产负债表!J29-资产负债表!I7-资产负债表!I29)&lt;0,ABS(资产负债表!J7+资产负债表!J29-资产负债表!I7-资产负债表!I29)," ")</f>
        <v> </v>
      </c>
      <c r="E33" s="206"/>
      <c r="F33" s="198"/>
      <c r="G33" s="201"/>
    </row>
    <row r="34" ht="13.5" customHeight="1" spans="2:7">
      <c r="B34" s="202" t="s">
        <v>1005</v>
      </c>
      <c r="C34" s="198">
        <v>46</v>
      </c>
      <c r="D34" s="203">
        <f>表外数据录入!C38</f>
        <v>0</v>
      </c>
      <c r="E34" s="200" t="s">
        <v>1006</v>
      </c>
      <c r="F34" s="198"/>
      <c r="G34" s="201"/>
    </row>
    <row r="35" ht="13.5" customHeight="1" spans="2:7">
      <c r="B35" s="202" t="s">
        <v>965</v>
      </c>
      <c r="C35" s="198">
        <v>52</v>
      </c>
      <c r="D35" s="203">
        <f>表外数据录入!C64</f>
        <v>0</v>
      </c>
      <c r="E35" s="206" t="s">
        <v>1007</v>
      </c>
      <c r="F35" s="198">
        <v>79</v>
      </c>
      <c r="G35" s="204">
        <f>资产负债表!E7</f>
        <v>5822970</v>
      </c>
    </row>
    <row r="36" ht="13.5" customHeight="1" spans="2:7">
      <c r="B36" s="197" t="s">
        <v>983</v>
      </c>
      <c r="C36" s="198">
        <v>53</v>
      </c>
      <c r="D36" s="203">
        <f>SUM(D33:D35)</f>
        <v>0</v>
      </c>
      <c r="E36" s="206" t="s">
        <v>1008</v>
      </c>
      <c r="F36" s="198">
        <v>80</v>
      </c>
      <c r="G36" s="204">
        <f>资产负债表!D7</f>
        <v>0</v>
      </c>
    </row>
    <row r="37" ht="13.5" customHeight="1" spans="2:7">
      <c r="B37" s="197" t="s">
        <v>1009</v>
      </c>
      <c r="C37" s="198">
        <v>54</v>
      </c>
      <c r="D37" s="203">
        <f>D32-D36</f>
        <v>14600000</v>
      </c>
      <c r="E37" s="206" t="s">
        <v>1010</v>
      </c>
      <c r="F37" s="198">
        <v>81</v>
      </c>
      <c r="G37" s="201"/>
    </row>
    <row r="38" ht="13.5" customHeight="1" spans="2:7">
      <c r="B38" s="197" t="s">
        <v>1011</v>
      </c>
      <c r="C38" s="198">
        <v>55</v>
      </c>
      <c r="D38" s="199"/>
      <c r="E38" s="206" t="s">
        <v>1012</v>
      </c>
      <c r="F38" s="198">
        <v>82</v>
      </c>
      <c r="G38" s="201"/>
    </row>
    <row r="39" ht="16.05" customHeight="1" spans="2:7">
      <c r="B39" s="208" t="s">
        <v>1013</v>
      </c>
      <c r="C39" s="209">
        <v>56</v>
      </c>
      <c r="D39" s="210">
        <f ca="1">D16+D27+D37+D38</f>
        <v>5822970</v>
      </c>
      <c r="E39" s="211" t="s">
        <v>1014</v>
      </c>
      <c r="F39" s="209">
        <v>83</v>
      </c>
      <c r="G39" s="212">
        <f>G35-G36+G37-G38</f>
        <v>5822970</v>
      </c>
    </row>
    <row r="40" ht="16.05" hidden="1" customHeight="1" spans="2:7">
      <c r="B40" s="213" t="s">
        <v>1015</v>
      </c>
      <c r="C40" s="214"/>
      <c r="D40" s="215"/>
      <c r="E40" s="215"/>
      <c r="F40" s="214"/>
      <c r="G40" s="215"/>
    </row>
    <row r="41" hidden="1" spans="2:7">
      <c r="B41" s="216" t="s">
        <v>1016</v>
      </c>
      <c r="C41" s="214"/>
      <c r="D41" s="215"/>
      <c r="E41" s="215"/>
      <c r="F41" s="214"/>
      <c r="G41" s="215"/>
    </row>
    <row r="42" ht="9" customHeight="1"/>
    <row r="43" spans="2:7">
      <c r="B43" s="217" t="str">
        <f>"企业负责人："&amp;基础信息!D6</f>
        <v>企业负责人：</v>
      </c>
      <c r="C43" s="217" t="str">
        <f>"主管会计："&amp;基础信息!D7</f>
        <v>主管会计：</v>
      </c>
      <c r="D43" s="218"/>
      <c r="E43" s="219" t="str">
        <f>"制表："&amp;基础信息!D9</f>
        <v>制表：</v>
      </c>
      <c r="F43" s="220" t="str">
        <f>"报送日期："&amp;基础信息!D5</f>
        <v>报送日期：46022</v>
      </c>
      <c r="G43" s="221"/>
    </row>
  </sheetData>
  <sheetProtection sheet="1" formatCells="0" formatColumns="0" formatRows="0" insertRows="0" insertColumns="0" insertHyperlinks="0" deleteColumns="0" deleteRows="0" sort="0" autoFilter="0" pivotTables="0" objects="1"/>
  <mergeCells count="2">
    <mergeCell ref="B1:G1"/>
    <mergeCell ref="D4:E4"/>
  </mergeCells>
  <conditionalFormatting sqref="D6:D39 G6:G39">
    <cfRule type="cellIs" dxfId="0" priority="1" stopIfTrue="1" operator="equal">
      <formula>""</formula>
    </cfRule>
  </conditionalFormatting>
  <hyperlinks>
    <hyperlink ref="H4" location="目录!B1" display="目录!B1"/>
  </hyperlinks>
  <printOptions horizontalCentered="1"/>
  <pageMargins left="0.393055555555556" right="0.393055555555556" top="0.196527777777778" bottom="0.196527777777778" header="0.510416666666667" footer="0.510416666666667"/>
  <pageSetup paperSize="9" orientation="landscape" blackAndWhite="1" horizontalDpi="600" verticalDpi="6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indexed="45"/>
  </sheetPr>
  <dimension ref="A1:IN110"/>
  <sheetViews>
    <sheetView showGridLines="0" showZeros="0" zoomScale="115" zoomScaleNormal="115" workbookViewId="0">
      <pane xSplit="3" ySplit="5" topLeftCell="D6" activePane="bottomRight" state="frozen"/>
      <selection/>
      <selection pane="topRight"/>
      <selection pane="bottomLeft"/>
      <selection pane="bottomRight" activeCell="H12" sqref="H12"/>
    </sheetView>
  </sheetViews>
  <sheetFormatPr defaultColWidth="9" defaultRowHeight="16.5" customHeight="1" zeroHeight="1"/>
  <cols>
    <col min="1" max="1" width="9.75" style="12" customWidth="1" outlineLevel="1"/>
    <col min="2" max="2" width="20.625" style="13" customWidth="1" outlineLevel="1"/>
    <col min="3" max="4" width="1.625" style="14" customWidth="1" outlineLevel="1"/>
    <col min="5" max="6" width="10.625" style="14" customWidth="1" outlineLevel="1"/>
    <col min="7" max="7" width="2.625" style="14" customWidth="1" outlineLevel="1"/>
    <col min="8" max="9" width="10.625" style="14" customWidth="1" outlineLevel="1"/>
    <col min="10" max="10" width="2.625" style="14" customWidth="1" outlineLevel="1"/>
    <col min="11" max="12" width="10.625" style="14" customWidth="1" outlineLevel="1"/>
    <col min="13" max="13" width="2.625" style="14" customWidth="1" outlineLevel="1"/>
    <col min="14" max="15" width="10.625" style="14" customWidth="1" outlineLevel="1"/>
    <col min="16" max="16" width="2.625" style="14" customWidth="1" outlineLevel="1"/>
    <col min="17" max="18" width="10.625" style="14" customWidth="1" outlineLevel="1"/>
    <col min="19" max="19" width="2.625" style="14" customWidth="1" outlineLevel="1"/>
    <col min="20" max="21" width="10.625" style="14" customWidth="1" outlineLevel="1"/>
    <col min="22" max="22" width="2.625" style="14" customWidth="1" outlineLevel="1"/>
    <col min="23" max="24" width="10.625" style="14" customWidth="1" outlineLevel="1"/>
    <col min="25" max="25" width="2.625" style="14" customWidth="1" outlineLevel="1"/>
    <col min="26" max="27" width="10.625" style="14" customWidth="1" outlineLevel="1"/>
    <col min="28" max="28" width="2.625" style="14" customWidth="1" outlineLevel="1"/>
    <col min="29" max="30" width="10.625" style="14" customWidth="1" outlineLevel="1"/>
    <col min="31" max="31" width="2.625" style="14" customWidth="1" outlineLevel="1"/>
    <col min="32" max="33" width="10.625" style="14" customWidth="1" outlineLevel="1"/>
    <col min="34" max="34" width="2.625" style="14" customWidth="1" outlineLevel="1"/>
    <col min="35" max="36" width="10.625" style="14" customWidth="1" outlineLevel="1"/>
    <col min="37" max="37" width="2.625" style="14" customWidth="1" outlineLevel="1"/>
    <col min="38" max="39" width="10.625" style="14" customWidth="1" outlineLevel="1"/>
    <col min="40" max="40" width="2.625" style="14" customWidth="1" outlineLevel="1"/>
    <col min="41" max="42" width="10.625" style="14" customWidth="1" outlineLevel="1"/>
    <col min="43" max="43" width="2.625" style="14" customWidth="1" outlineLevel="1"/>
    <col min="44" max="45" width="10.625" style="14" customWidth="1" outlineLevel="1"/>
    <col min="46" max="46" width="2.625" style="14" customWidth="1" outlineLevel="1"/>
    <col min="47" max="48" width="10.625" style="14" customWidth="1" outlineLevel="1"/>
    <col min="49" max="49" width="2.625" style="14" customWidth="1" outlineLevel="1"/>
    <col min="50" max="51" width="10.625" style="14" customWidth="1" outlineLevel="1"/>
    <col min="52" max="52" width="2.625" style="14" customWidth="1" outlineLevel="1"/>
    <col min="53" max="54" width="10.625" style="14" customWidth="1" outlineLevel="1"/>
    <col min="55" max="55" width="2.625" style="14" customWidth="1" outlineLevel="1"/>
    <col min="56" max="57" width="10.625" style="14" customWidth="1" outlineLevel="1"/>
    <col min="58" max="58" width="2.625" style="14" customWidth="1" outlineLevel="1"/>
    <col min="59" max="60" width="10.625" style="14" customWidth="1" outlineLevel="1"/>
    <col min="61" max="61" width="2.625" style="14" customWidth="1" outlineLevel="1"/>
    <col min="62" max="63" width="10.625" style="14" customWidth="1" outlineLevel="1"/>
    <col min="64" max="64" width="2.625" style="14" customWidth="1" outlineLevel="1"/>
    <col min="65" max="66" width="10.625" style="14" customWidth="1" outlineLevel="1"/>
    <col min="67" max="67" width="2.625" style="14" customWidth="1" outlineLevel="1"/>
    <col min="68" max="69" width="10.625" style="14" customWidth="1" outlineLevel="1"/>
    <col min="70" max="70" width="2.625" style="14" customWidth="1" outlineLevel="1"/>
    <col min="71" max="72" width="10.625" style="14" customWidth="1" outlineLevel="1"/>
    <col min="73" max="73" width="2.625" style="14" customWidth="1" outlineLevel="1"/>
    <col min="74" max="75" width="10.625" style="14" customWidth="1" outlineLevel="1"/>
    <col min="76" max="76" width="2.625" style="14" customWidth="1" outlineLevel="1"/>
    <col min="77" max="78" width="10.625" style="14" customWidth="1" outlineLevel="1"/>
    <col min="79" max="79" width="2.625" style="14" customWidth="1" outlineLevel="1"/>
    <col min="80" max="81" width="10.625" style="14" customWidth="1" outlineLevel="1"/>
    <col min="82" max="82" width="2.625" style="14" customWidth="1" outlineLevel="1"/>
    <col min="83" max="84" width="10.625" style="14" customWidth="1" outlineLevel="1"/>
    <col min="85" max="85" width="2.625" style="14" customWidth="1" outlineLevel="1"/>
    <col min="86" max="87" width="10.625" style="14" customWidth="1" outlineLevel="1"/>
    <col min="88" max="88" width="2.625" style="14" customWidth="1" outlineLevel="1"/>
    <col min="89" max="90" width="10.625" style="14" customWidth="1" outlineLevel="1"/>
    <col min="91" max="91" width="2.625" style="14" customWidth="1" outlineLevel="1"/>
    <col min="92" max="93" width="10.625" style="14" customWidth="1" outlineLevel="1"/>
    <col min="94" max="94" width="2.625" style="14" customWidth="1" outlineLevel="1"/>
    <col min="95" max="96" width="10.625" style="14" customWidth="1" outlineLevel="1"/>
    <col min="97" max="97" width="2.625" style="14" customWidth="1" outlineLevel="1"/>
    <col min="98" max="99" width="10.625" style="14" customWidth="1" outlineLevel="1"/>
    <col min="100" max="100" width="2.625" style="14" customWidth="1" outlineLevel="1"/>
    <col min="101" max="102" width="10.625" style="14" customWidth="1" outlineLevel="1"/>
    <col min="103" max="103" width="2.625" style="14" customWidth="1" outlineLevel="1"/>
    <col min="104" max="105" width="10.625" style="14" customWidth="1" outlineLevel="1"/>
    <col min="106" max="106" width="2.625" style="14" customWidth="1" outlineLevel="1"/>
    <col min="107" max="108" width="10.625" style="14" customWidth="1" outlineLevel="1"/>
    <col min="109" max="109" width="2.625" style="14" customWidth="1" outlineLevel="1"/>
    <col min="110" max="111" width="10.625" style="14" customWidth="1" outlineLevel="1"/>
    <col min="112" max="112" width="2.625" style="14" customWidth="1" outlineLevel="1"/>
    <col min="113" max="114" width="10.625" style="14" customWidth="1" outlineLevel="1"/>
    <col min="115" max="115" width="2.625" style="14" customWidth="1" outlineLevel="1"/>
    <col min="116" max="117" width="10.625" style="14" customWidth="1" outlineLevel="1"/>
    <col min="118" max="118" width="2.625" style="14" customWidth="1" outlineLevel="1"/>
    <col min="119" max="120" width="10.625" style="14" customWidth="1" outlineLevel="1"/>
    <col min="121" max="121" width="2.625" style="14" customWidth="1" outlineLevel="1"/>
    <col min="122" max="123" width="10.625" style="14" customWidth="1" outlineLevel="1"/>
    <col min="124" max="124" width="2.625" style="14" customWidth="1" outlineLevel="1"/>
    <col min="125" max="126" width="10.625" style="14" customWidth="1" outlineLevel="1"/>
    <col min="127" max="127" width="2.625" style="14" customWidth="1" outlineLevel="1"/>
    <col min="128" max="129" width="10.625" style="14" customWidth="1" outlineLevel="1"/>
    <col min="130" max="130" width="2.625" style="14" customWidth="1" outlineLevel="1"/>
    <col min="131" max="132" width="10.625" style="14" customWidth="1" outlineLevel="1"/>
    <col min="133" max="133" width="2.625" style="14" customWidth="1" outlineLevel="1"/>
    <col min="134" max="135" width="10.625" style="14" customWidth="1" outlineLevel="1"/>
    <col min="136" max="136" width="2.625" style="14" customWidth="1" outlineLevel="1"/>
    <col min="137" max="138" width="10.625" style="14" customWidth="1" outlineLevel="1"/>
    <col min="139" max="139" width="2.625" style="14" customWidth="1" outlineLevel="1"/>
    <col min="140" max="141" width="10.625" style="14" customWidth="1" outlineLevel="1"/>
    <col min="142" max="142" width="2.625" style="14" customWidth="1" outlineLevel="1"/>
    <col min="143" max="144" width="10.625" style="14" customWidth="1" outlineLevel="1"/>
    <col min="145" max="145" width="2.625" style="14" customWidth="1" outlineLevel="1"/>
    <col min="146" max="147" width="10.625" style="14" customWidth="1" outlineLevel="1"/>
    <col min="148" max="148" width="2.625" style="14" customWidth="1" outlineLevel="1"/>
    <col min="149" max="150" width="10.625" style="14" customWidth="1" outlineLevel="1"/>
    <col min="151" max="151" width="2.625" style="14" customWidth="1" outlineLevel="1"/>
    <col min="152" max="153" width="10.625" style="14" customWidth="1" outlineLevel="1"/>
    <col min="154" max="154" width="2.625" style="14" customWidth="1" outlineLevel="1"/>
    <col min="155" max="156" width="10.625" style="14" customWidth="1" outlineLevel="1"/>
    <col min="157" max="157" width="2.625" style="14" customWidth="1" outlineLevel="1"/>
    <col min="158" max="159" width="10.625" style="14" customWidth="1" outlineLevel="1"/>
    <col min="160" max="160" width="2.625" style="14" customWidth="1" outlineLevel="1"/>
    <col min="161" max="162" width="10.625" style="14" customWidth="1" outlineLevel="1"/>
    <col min="163" max="163" width="2.625" style="14" customWidth="1" outlineLevel="1"/>
    <col min="164" max="165" width="10.625" style="14" customWidth="1" outlineLevel="1"/>
    <col min="166" max="166" width="2.625" style="14" customWidth="1" outlineLevel="1"/>
    <col min="167" max="168" width="10.625" style="14" customWidth="1" outlineLevel="1"/>
    <col min="169" max="169" width="2.625" style="14" customWidth="1" outlineLevel="1"/>
    <col min="170" max="171" width="10.625" style="14" customWidth="1" outlineLevel="1"/>
    <col min="172" max="172" width="2.625" style="14" customWidth="1" outlineLevel="1"/>
    <col min="173" max="174" width="10.625" style="14" customWidth="1" outlineLevel="1"/>
    <col min="175" max="175" width="2.625" style="14" customWidth="1" outlineLevel="1"/>
    <col min="176" max="177" width="10.625" style="14" customWidth="1" outlineLevel="1"/>
    <col min="178" max="178" width="2.625" style="14" customWidth="1" outlineLevel="1"/>
    <col min="179" max="180" width="10.625" style="14" customWidth="1" outlineLevel="1"/>
    <col min="181" max="181" width="2.625" style="14" customWidth="1" outlineLevel="1"/>
    <col min="182" max="183" width="10.625" style="14" customWidth="1" outlineLevel="1"/>
    <col min="184" max="184" width="2.625" style="14" customWidth="1" outlineLevel="1"/>
    <col min="185" max="186" width="10.625" style="14" customWidth="1" outlineLevel="1"/>
    <col min="187" max="187" width="2.625" style="14" customWidth="1" outlineLevel="1"/>
    <col min="188" max="189" width="10.625" style="14" customWidth="1" outlineLevel="1"/>
    <col min="190" max="190" width="2.625" style="14" customWidth="1" outlineLevel="1"/>
    <col min="191" max="192" width="10.625" style="14" customWidth="1" outlineLevel="1"/>
    <col min="193" max="193" width="2.625" style="14" customWidth="1" outlineLevel="1"/>
    <col min="194" max="195" width="10.625" style="14" customWidth="1" outlineLevel="1"/>
    <col min="196" max="196" width="2.625" style="14" customWidth="1" outlineLevel="1"/>
    <col min="197" max="198" width="10.625" style="14" customWidth="1" outlineLevel="1"/>
    <col min="199" max="199" width="2.625" style="14" customWidth="1" outlineLevel="1"/>
    <col min="200" max="201" width="10.625" style="14" customWidth="1" outlineLevel="1"/>
    <col min="202" max="202" width="2.625" style="14" customWidth="1" outlineLevel="1"/>
    <col min="203" max="204" width="10.625" style="14" customWidth="1" outlineLevel="1"/>
    <col min="205" max="205" width="2.625" style="14" customWidth="1" outlineLevel="1"/>
    <col min="206" max="207" width="10.625" style="14" customWidth="1" outlineLevel="1"/>
    <col min="208" max="208" width="2.625" style="14" customWidth="1" outlineLevel="1"/>
    <col min="209" max="210" width="10.625" style="14" customWidth="1" outlineLevel="1"/>
    <col min="211" max="211" width="2.625" style="14" customWidth="1" outlineLevel="1"/>
    <col min="212" max="213" width="10.625" style="14" customWidth="1" outlineLevel="1"/>
    <col min="214" max="214" width="2.625" style="14" customWidth="1" outlineLevel="1"/>
    <col min="215" max="216" width="10.625" style="14" customWidth="1" outlineLevel="1"/>
    <col min="217" max="217" width="2.625" style="14" customWidth="1" outlineLevel="1"/>
    <col min="218" max="219" width="10.625" style="14" customWidth="1" outlineLevel="1"/>
    <col min="220" max="220" width="9" style="14" customWidth="1"/>
    <col min="221" max="221" width="9.875" style="14" customWidth="1" outlineLevel="1"/>
    <col min="222" max="222" width="18.625" style="14" customWidth="1" outlineLevel="1"/>
    <col min="223" max="225" width="15.625" style="14" customWidth="1" outlineLevel="1"/>
    <col min="226" max="226" width="5.625" style="14" customWidth="1" outlineLevel="1"/>
    <col min="227" max="227" width="15.625" style="14" customWidth="1" outlineLevel="1"/>
    <col min="228" max="228" width="9" style="14" customWidth="1"/>
    <col min="229" max="229" width="11.125" style="14" customWidth="1" outlineLevel="1"/>
    <col min="230" max="230" width="6.375" style="14" customWidth="1" outlineLevel="1"/>
    <col min="231" max="231" width="3.625" style="14" customWidth="1" outlineLevel="1"/>
    <col min="232" max="234" width="12.625" style="14" customWidth="1" outlineLevel="1"/>
    <col min="235" max="235" width="4.875" style="14" customWidth="1" outlineLevel="1"/>
    <col min="236" max="236" width="3.625" style="14" customWidth="1" outlineLevel="1"/>
    <col min="237" max="238" width="12.625" style="14" customWidth="1" outlineLevel="1"/>
    <col min="239" max="239" width="9" style="14" customWidth="1"/>
    <col min="240" max="240" width="10.125" style="14" customWidth="1"/>
    <col min="241" max="241" width="21.625" style="14" customWidth="1"/>
    <col min="242" max="242" width="24.375" style="14" customWidth="1"/>
    <col min="243" max="243" width="3.125" style="14" customWidth="1"/>
    <col min="244" max="245" width="14.625" style="14" customWidth="1"/>
    <col min="246" max="16384" width="9" style="14" customWidth="1"/>
  </cols>
  <sheetData>
    <row r="1" ht="42" customHeight="1" spans="1:248">
      <c r="A1" s="15" t="str">
        <f>B2&amp;J2&amp;"财务丁字账"</f>
        <v>XIN SHENG2025年12月财务丁字账</v>
      </c>
      <c r="B1" s="16"/>
      <c r="C1" s="16"/>
      <c r="D1" s="16"/>
      <c r="E1" s="16"/>
      <c r="F1" s="16"/>
      <c r="G1" s="16"/>
      <c r="H1" s="16"/>
      <c r="I1" s="16"/>
      <c r="J1" s="16"/>
      <c r="K1" s="16"/>
      <c r="L1" s="16"/>
      <c r="M1" s="16"/>
      <c r="N1" s="16"/>
      <c r="O1" s="16"/>
      <c r="P1" s="16"/>
      <c r="Q1" s="16"/>
      <c r="R1" s="16"/>
      <c r="S1" s="16"/>
      <c r="T1" s="16"/>
      <c r="U1" s="16"/>
      <c r="V1" s="16"/>
      <c r="W1" s="16"/>
      <c r="HM1" s="17" t="s">
        <v>730</v>
      </c>
      <c r="HN1" s="3"/>
      <c r="HO1" s="3"/>
      <c r="HP1" s="3"/>
      <c r="HQ1" s="3"/>
      <c r="HR1" s="3"/>
      <c r="HS1" s="3"/>
      <c r="HU1" s="18" t="s">
        <v>760</v>
      </c>
      <c r="HV1" s="3"/>
      <c r="HW1" s="3"/>
      <c r="HX1" s="3"/>
      <c r="HY1" s="3"/>
      <c r="HZ1" s="3"/>
      <c r="IA1" s="3"/>
      <c r="IB1" s="3"/>
      <c r="IC1" s="3"/>
      <c r="ID1" s="3"/>
      <c r="IF1" s="18" t="s">
        <v>847</v>
      </c>
      <c r="IG1" s="3"/>
      <c r="IH1" s="3"/>
      <c r="II1" s="3"/>
      <c r="IJ1" s="3"/>
      <c r="IK1" s="3"/>
      <c r="IL1" s="19" t="s">
        <v>1017</v>
      </c>
    </row>
    <row r="2" ht="19.8" customHeight="1" spans="1:248">
      <c r="A2" s="20" t="s">
        <v>614</v>
      </c>
      <c r="B2" s="21" t="str">
        <f>基础信息!D3</f>
        <v>XIN SHENG</v>
      </c>
      <c r="C2" s="3"/>
      <c r="D2" s="3"/>
      <c r="E2" s="3"/>
      <c r="F2" s="3"/>
      <c r="G2" s="22"/>
      <c r="H2" s="23" t="s">
        <v>731</v>
      </c>
      <c r="I2" s="3"/>
      <c r="J2" s="24" t="str">
        <f>TEXT(基础信息!D4,"yyyy年m月")</f>
        <v>2025年12月</v>
      </c>
      <c r="K2" s="3"/>
      <c r="L2" s="3"/>
      <c r="M2" s="25"/>
      <c r="N2" s="25"/>
      <c r="O2" s="25"/>
      <c r="P2" s="25"/>
      <c r="Q2" s="25"/>
      <c r="R2" s="25" t="s">
        <v>733</v>
      </c>
      <c r="S2" s="25"/>
      <c r="T2" s="25"/>
      <c r="U2" s="25"/>
      <c r="V2" s="25"/>
      <c r="W2" s="25"/>
      <c r="HM2" s="26" t="s">
        <v>3</v>
      </c>
      <c r="HN2" s="27" t="str">
        <f>B2</f>
        <v>XIN SHENG</v>
      </c>
      <c r="HO2" s="28" t="s">
        <v>731</v>
      </c>
      <c r="HP2" s="29" t="str">
        <f>J2</f>
        <v>2025年12月</v>
      </c>
      <c r="HQ2" s="17"/>
      <c r="HR2" s="17"/>
      <c r="HS2" s="30" t="s">
        <v>732</v>
      </c>
      <c r="HU2" s="31" t="s">
        <v>3</v>
      </c>
      <c r="HV2" s="27" t="str">
        <f>B2</f>
        <v>XIN SHENG</v>
      </c>
      <c r="HW2" s="16"/>
      <c r="HX2" s="16"/>
      <c r="HY2" s="26" t="s">
        <v>1018</v>
      </c>
      <c r="HZ2" s="3"/>
      <c r="IA2" s="32" t="str">
        <f>"所属期："&amp;J2</f>
        <v>所属期：2025年12月</v>
      </c>
      <c r="IB2" s="16"/>
      <c r="IC2" s="16"/>
      <c r="ID2" s="30" t="s">
        <v>732</v>
      </c>
      <c r="IF2" s="33" t="s">
        <v>3</v>
      </c>
      <c r="IG2" s="34" t="str">
        <f>HV2</f>
        <v>XIN SHENG</v>
      </c>
      <c r="IH2" s="35" t="str">
        <f>HY2</f>
        <v>填表日期：2010年1月1日</v>
      </c>
      <c r="II2" s="35" t="str">
        <f>IA2</f>
        <v>所属期：2025年12月</v>
      </c>
      <c r="IJ2" s="16"/>
      <c r="IK2" s="36" t="s">
        <v>732</v>
      </c>
      <c r="IL2" s="13"/>
      <c r="IN2" s="37" t="s">
        <v>1</v>
      </c>
    </row>
    <row r="3" ht="16.95" customHeight="1" spans="1:248">
      <c r="A3" s="38" t="s">
        <v>1019</v>
      </c>
      <c r="B3" s="38"/>
      <c r="C3" s="38"/>
      <c r="D3" s="38"/>
      <c r="E3" s="38"/>
      <c r="F3" s="38"/>
      <c r="G3" s="20"/>
      <c r="H3" s="23"/>
      <c r="I3" s="23"/>
      <c r="J3" s="39"/>
      <c r="K3" s="39"/>
      <c r="L3" s="39"/>
      <c r="M3" s="40"/>
      <c r="N3" s="40"/>
      <c r="O3" s="40"/>
      <c r="P3" s="40"/>
      <c r="Q3" s="40"/>
      <c r="R3" s="40"/>
      <c r="S3" s="40"/>
      <c r="T3" s="40"/>
      <c r="U3" s="40"/>
      <c r="V3" s="40"/>
      <c r="W3" s="40"/>
      <c r="HM3" s="10"/>
      <c r="HN3" s="41"/>
      <c r="HO3" s="10"/>
      <c r="HP3" s="41"/>
      <c r="HS3" s="10"/>
      <c r="HU3" s="10"/>
      <c r="HV3" s="41"/>
      <c r="HW3" s="41"/>
      <c r="HX3" s="41"/>
      <c r="HY3" s="10"/>
      <c r="HZ3" s="10"/>
      <c r="IA3" s="41"/>
      <c r="IB3" s="41"/>
      <c r="IC3" s="41"/>
      <c r="ID3" s="10"/>
      <c r="IF3" s="3"/>
      <c r="IG3" s="16"/>
      <c r="IH3" s="16"/>
      <c r="II3" s="16"/>
      <c r="IJ3" s="16"/>
      <c r="IK3" s="3"/>
      <c r="IL3" s="13"/>
    </row>
    <row r="4" ht="17.7" customHeight="1" spans="1:248">
      <c r="A4" s="42" t="s">
        <v>20</v>
      </c>
      <c r="B4" s="42" t="s">
        <v>735</v>
      </c>
      <c r="C4" s="43"/>
      <c r="D4" s="43"/>
      <c r="E4" s="42" t="s">
        <v>74</v>
      </c>
      <c r="F4" s="3"/>
      <c r="G4" s="44"/>
      <c r="H4" s="42" t="s">
        <v>80</v>
      </c>
      <c r="I4" s="3"/>
      <c r="J4" s="44"/>
      <c r="K4" s="42" t="s">
        <v>89</v>
      </c>
      <c r="L4" s="3"/>
      <c r="M4" s="44"/>
      <c r="N4" s="42" t="s">
        <v>93</v>
      </c>
      <c r="O4" s="3"/>
      <c r="P4" s="44"/>
      <c r="Q4" s="42" t="s">
        <v>99</v>
      </c>
      <c r="R4" s="3"/>
      <c r="S4" s="44"/>
      <c r="T4" s="42" t="s">
        <v>102</v>
      </c>
      <c r="U4" s="3"/>
      <c r="V4" s="44"/>
      <c r="W4" s="42" t="s">
        <v>107</v>
      </c>
      <c r="X4" s="3"/>
      <c r="Y4" s="44"/>
      <c r="Z4" s="42" t="s">
        <v>110</v>
      </c>
      <c r="AA4" s="3"/>
      <c r="AB4" s="44"/>
      <c r="AC4" s="42" t="s">
        <v>113</v>
      </c>
      <c r="AD4" s="3"/>
      <c r="AE4" s="44"/>
      <c r="AF4" s="42" t="s">
        <v>115</v>
      </c>
      <c r="AG4" s="3"/>
      <c r="AH4" s="44"/>
      <c r="AI4" s="42" t="s">
        <v>137</v>
      </c>
      <c r="AJ4" s="3"/>
      <c r="AK4" s="44"/>
      <c r="AL4" s="42" t="s">
        <v>166</v>
      </c>
      <c r="AM4" s="3"/>
      <c r="AN4" s="44"/>
      <c r="AO4" s="42" t="s">
        <v>121</v>
      </c>
      <c r="AP4" s="3"/>
      <c r="AQ4" s="44"/>
      <c r="AR4" s="42" t="s">
        <v>123</v>
      </c>
      <c r="AS4" s="3"/>
      <c r="AT4" s="44"/>
      <c r="AU4" s="42" t="s">
        <v>125</v>
      </c>
      <c r="AV4" s="3"/>
      <c r="AW4" s="44"/>
      <c r="AX4" s="42" t="s">
        <v>128</v>
      </c>
      <c r="AY4" s="3"/>
      <c r="AZ4" s="44"/>
      <c r="BA4" s="42" t="s">
        <v>182</v>
      </c>
      <c r="BB4" s="3"/>
      <c r="BC4" s="44"/>
      <c r="BD4" s="42" t="s">
        <v>131</v>
      </c>
      <c r="BE4" s="3"/>
      <c r="BF4" s="44"/>
      <c r="BG4" s="42" t="s">
        <v>134</v>
      </c>
      <c r="BH4" s="3"/>
      <c r="BI4" s="44"/>
      <c r="BJ4" s="42" t="s">
        <v>189</v>
      </c>
      <c r="BK4" s="3"/>
      <c r="BL4" s="44"/>
      <c r="BM4" s="42" t="s">
        <v>212</v>
      </c>
      <c r="BN4" s="3"/>
      <c r="BO4" s="44"/>
      <c r="BP4" s="42" t="s">
        <v>147</v>
      </c>
      <c r="BQ4" s="3"/>
      <c r="BR4" s="44"/>
      <c r="BS4" s="42" t="s">
        <v>268</v>
      </c>
      <c r="BT4" s="3"/>
      <c r="BU4" s="44"/>
      <c r="BV4" s="42" t="s">
        <v>274</v>
      </c>
      <c r="BW4" s="3"/>
      <c r="BX4" s="44"/>
      <c r="BY4" s="42" t="s">
        <v>152</v>
      </c>
      <c r="BZ4" s="3"/>
      <c r="CA4" s="44"/>
      <c r="CB4" s="42" t="s">
        <v>155</v>
      </c>
      <c r="CC4" s="3"/>
      <c r="CD4" s="44"/>
      <c r="CE4" s="42" t="s">
        <v>298</v>
      </c>
      <c r="CF4" s="3"/>
      <c r="CG4" s="44"/>
      <c r="CH4" s="42" t="s">
        <v>158</v>
      </c>
      <c r="CI4" s="3"/>
      <c r="CJ4" s="44"/>
      <c r="CK4" s="42" t="s">
        <v>165</v>
      </c>
      <c r="CL4" s="3"/>
      <c r="CM4" s="44"/>
      <c r="CN4" s="42" t="s">
        <v>168</v>
      </c>
      <c r="CO4" s="3"/>
      <c r="CP4" s="44"/>
      <c r="CQ4" s="42" t="s">
        <v>184</v>
      </c>
      <c r="CR4" s="3"/>
      <c r="CS4" s="44"/>
      <c r="CT4" s="42" t="s">
        <v>357</v>
      </c>
      <c r="CU4" s="3"/>
      <c r="CV4" s="44"/>
      <c r="CW4" s="42" t="s">
        <v>188</v>
      </c>
      <c r="CX4" s="3"/>
      <c r="CY4" s="44"/>
      <c r="CZ4" s="42" t="s">
        <v>371</v>
      </c>
      <c r="DA4" s="3"/>
      <c r="DB4" s="44"/>
      <c r="DC4" s="42" t="s">
        <v>191</v>
      </c>
      <c r="DD4" s="3"/>
      <c r="DE4" s="44"/>
      <c r="DF4" s="42" t="s">
        <v>196</v>
      </c>
      <c r="DG4" s="3"/>
      <c r="DH4" s="44"/>
      <c r="DI4" s="42" t="s">
        <v>199</v>
      </c>
      <c r="DJ4" s="3"/>
      <c r="DK4" s="44"/>
      <c r="DL4" s="42" t="s">
        <v>202</v>
      </c>
      <c r="DM4" s="3"/>
      <c r="DN4" s="44"/>
      <c r="DO4" s="42" t="s">
        <v>211</v>
      </c>
      <c r="DP4" s="3"/>
      <c r="DQ4" s="44"/>
      <c r="DR4" s="42" t="s">
        <v>481</v>
      </c>
      <c r="DS4" s="3"/>
      <c r="DT4" s="44"/>
      <c r="DU4" s="42" t="s">
        <v>483</v>
      </c>
      <c r="DV4" s="3"/>
      <c r="DW4" s="44"/>
      <c r="DX4" s="42" t="s">
        <v>258</v>
      </c>
      <c r="DY4" s="3"/>
      <c r="DZ4" s="44"/>
      <c r="EA4" s="42" t="s">
        <v>486</v>
      </c>
      <c r="EB4" s="3"/>
      <c r="EC4" s="44"/>
      <c r="ED4" s="42" t="s">
        <v>263</v>
      </c>
      <c r="EE4" s="3"/>
      <c r="EF4" s="44"/>
      <c r="EG4" s="42" t="s">
        <v>273</v>
      </c>
      <c r="EH4" s="3"/>
      <c r="EI4" s="44"/>
      <c r="EJ4" s="42" t="s">
        <v>503</v>
      </c>
      <c r="EK4" s="3"/>
      <c r="EL4" s="44"/>
      <c r="EM4" s="42" t="s">
        <v>276</v>
      </c>
      <c r="EN4" s="3"/>
      <c r="EO4" s="44"/>
      <c r="EP4" s="42" t="s">
        <v>516</v>
      </c>
      <c r="EQ4" s="3"/>
      <c r="ER4" s="44"/>
      <c r="ES4" s="42" t="s">
        <v>518</v>
      </c>
      <c r="ET4" s="3"/>
      <c r="EU4" s="44"/>
      <c r="EV4" s="42" t="s">
        <v>521</v>
      </c>
      <c r="EW4" s="3"/>
      <c r="EX4" s="44"/>
      <c r="EY4" s="42" t="s">
        <v>1020</v>
      </c>
      <c r="EZ4" s="3"/>
      <c r="FA4" s="44"/>
      <c r="FB4" s="42" t="s">
        <v>288</v>
      </c>
      <c r="FC4" s="3"/>
      <c r="FD4" s="44"/>
      <c r="FE4" s="42" t="s">
        <v>294</v>
      </c>
      <c r="FF4" s="3"/>
      <c r="FG4" s="44"/>
      <c r="FH4" s="42" t="s">
        <v>300</v>
      </c>
      <c r="FI4" s="3"/>
      <c r="FJ4" s="44"/>
      <c r="FK4" s="42" t="s">
        <v>302</v>
      </c>
      <c r="FL4" s="3"/>
      <c r="FM4" s="44"/>
      <c r="FN4" s="42" t="s">
        <v>312</v>
      </c>
      <c r="FO4" s="3"/>
      <c r="FP4" s="44"/>
      <c r="FQ4" s="42" t="s">
        <v>317</v>
      </c>
      <c r="FR4" s="3"/>
      <c r="FS4" s="44"/>
      <c r="FT4" s="42" t="s">
        <v>548</v>
      </c>
      <c r="FU4" s="3"/>
      <c r="FV4" s="44"/>
      <c r="FW4" s="42" t="s">
        <v>351</v>
      </c>
      <c r="FX4" s="3"/>
      <c r="FY4" s="44"/>
      <c r="FZ4" s="42" t="s">
        <v>557</v>
      </c>
      <c r="GA4" s="3"/>
      <c r="GB4" s="44"/>
      <c r="GC4" s="42" t="s">
        <v>354</v>
      </c>
      <c r="GD4" s="3"/>
      <c r="GE4" s="44"/>
      <c r="GF4" s="42" t="s">
        <v>356</v>
      </c>
      <c r="GG4" s="3"/>
      <c r="GH4" s="44"/>
      <c r="GI4" s="42" t="s">
        <v>359</v>
      </c>
      <c r="GJ4" s="3"/>
      <c r="GK4" s="44"/>
      <c r="GL4" s="42" t="s">
        <v>367</v>
      </c>
      <c r="GM4" s="3"/>
      <c r="GN4" s="44"/>
      <c r="GO4" s="42" t="s">
        <v>578</v>
      </c>
      <c r="GP4" s="3"/>
      <c r="GQ4" s="44"/>
      <c r="GR4" s="42" t="s">
        <v>581</v>
      </c>
      <c r="GS4" s="3"/>
      <c r="GT4" s="44"/>
      <c r="GU4" s="42" t="s">
        <v>600</v>
      </c>
      <c r="GV4" s="3"/>
      <c r="GW4" s="44"/>
      <c r="GX4" s="42" t="s">
        <v>407</v>
      </c>
      <c r="GY4" s="3"/>
      <c r="GZ4" s="44"/>
      <c r="HA4" s="42" t="s">
        <v>442</v>
      </c>
      <c r="HB4" s="3"/>
      <c r="HC4" s="44"/>
      <c r="HD4" s="42" t="s">
        <v>450</v>
      </c>
      <c r="HE4" s="3"/>
      <c r="HF4" s="44"/>
      <c r="HG4" s="42" t="s">
        <v>609</v>
      </c>
      <c r="HH4" s="3"/>
      <c r="HI4" s="44"/>
      <c r="HJ4" s="42" t="s">
        <v>465</v>
      </c>
      <c r="HK4" s="3"/>
      <c r="HM4" s="45" t="s">
        <v>20</v>
      </c>
      <c r="HN4" s="46" t="s">
        <v>735</v>
      </c>
      <c r="HO4" s="47" t="s">
        <v>736</v>
      </c>
      <c r="HP4" s="48" t="s">
        <v>737</v>
      </c>
      <c r="HQ4" s="49"/>
      <c r="HR4" s="50" t="s">
        <v>738</v>
      </c>
      <c r="HS4" s="51" t="s">
        <v>739</v>
      </c>
      <c r="HT4" s="44"/>
      <c r="HU4" s="52" t="s">
        <v>761</v>
      </c>
      <c r="HV4" s="53"/>
      <c r="HW4" s="54" t="s">
        <v>762</v>
      </c>
      <c r="HX4" s="55" t="s">
        <v>763</v>
      </c>
      <c r="HY4" s="56" t="s">
        <v>764</v>
      </c>
      <c r="HZ4" s="57" t="s">
        <v>1021</v>
      </c>
      <c r="IA4" s="53"/>
      <c r="IB4" s="54" t="s">
        <v>762</v>
      </c>
      <c r="IC4" s="55" t="s">
        <v>763</v>
      </c>
      <c r="ID4" s="58" t="s">
        <v>764</v>
      </c>
      <c r="IE4" s="44"/>
      <c r="IF4" s="59" t="s">
        <v>849</v>
      </c>
      <c r="IG4" s="60"/>
      <c r="IH4" s="61"/>
      <c r="II4" s="62" t="s">
        <v>762</v>
      </c>
      <c r="IJ4" s="63" t="s">
        <v>850</v>
      </c>
      <c r="IK4" s="64" t="s">
        <v>851</v>
      </c>
      <c r="IL4" s="13"/>
    </row>
    <row r="5" ht="17.7" customHeight="1" spans="1:248">
      <c r="A5" s="3"/>
      <c r="B5" s="3"/>
      <c r="C5" s="44"/>
      <c r="D5" s="44"/>
      <c r="E5" s="65" t="s">
        <v>752</v>
      </c>
      <c r="F5" s="66" t="s">
        <v>753</v>
      </c>
      <c r="G5" s="44"/>
      <c r="H5" s="65" t="s">
        <v>752</v>
      </c>
      <c r="I5" s="66" t="s">
        <v>753</v>
      </c>
      <c r="J5" s="44"/>
      <c r="K5" s="65" t="s">
        <v>752</v>
      </c>
      <c r="L5" s="66" t="s">
        <v>753</v>
      </c>
      <c r="M5" s="44"/>
      <c r="N5" s="65" t="s">
        <v>752</v>
      </c>
      <c r="O5" s="66" t="s">
        <v>753</v>
      </c>
      <c r="P5" s="44"/>
      <c r="Q5" s="65" t="s">
        <v>752</v>
      </c>
      <c r="R5" s="66" t="s">
        <v>753</v>
      </c>
      <c r="S5" s="44"/>
      <c r="T5" s="65" t="s">
        <v>752</v>
      </c>
      <c r="U5" s="66" t="s">
        <v>753</v>
      </c>
      <c r="V5" s="44"/>
      <c r="W5" s="65" t="s">
        <v>752</v>
      </c>
      <c r="X5" s="66" t="s">
        <v>753</v>
      </c>
      <c r="Y5" s="44"/>
      <c r="Z5" s="65" t="s">
        <v>752</v>
      </c>
      <c r="AA5" s="66" t="s">
        <v>753</v>
      </c>
      <c r="AB5" s="44"/>
      <c r="AC5" s="65" t="s">
        <v>752</v>
      </c>
      <c r="AD5" s="66" t="s">
        <v>753</v>
      </c>
      <c r="AE5" s="44"/>
      <c r="AF5" s="65" t="s">
        <v>752</v>
      </c>
      <c r="AG5" s="66" t="s">
        <v>753</v>
      </c>
      <c r="AH5" s="44"/>
      <c r="AI5" s="65" t="s">
        <v>752</v>
      </c>
      <c r="AJ5" s="66" t="s">
        <v>753</v>
      </c>
      <c r="AK5" s="44"/>
      <c r="AL5" s="65" t="s">
        <v>752</v>
      </c>
      <c r="AM5" s="66" t="s">
        <v>753</v>
      </c>
      <c r="AN5" s="44"/>
      <c r="AO5" s="65" t="s">
        <v>752</v>
      </c>
      <c r="AP5" s="66" t="s">
        <v>753</v>
      </c>
      <c r="AQ5" s="44"/>
      <c r="AR5" s="65" t="s">
        <v>752</v>
      </c>
      <c r="AS5" s="66" t="s">
        <v>753</v>
      </c>
      <c r="AT5" s="44"/>
      <c r="AU5" s="65" t="s">
        <v>752</v>
      </c>
      <c r="AV5" s="66" t="s">
        <v>753</v>
      </c>
      <c r="AW5" s="44"/>
      <c r="AX5" s="65" t="s">
        <v>752</v>
      </c>
      <c r="AY5" s="66" t="s">
        <v>753</v>
      </c>
      <c r="AZ5" s="44"/>
      <c r="BA5" s="65" t="s">
        <v>752</v>
      </c>
      <c r="BB5" s="66" t="s">
        <v>753</v>
      </c>
      <c r="BC5" s="44"/>
      <c r="BD5" s="65" t="s">
        <v>752</v>
      </c>
      <c r="BE5" s="66" t="s">
        <v>753</v>
      </c>
      <c r="BF5" s="44"/>
      <c r="BG5" s="65" t="s">
        <v>752</v>
      </c>
      <c r="BH5" s="66" t="s">
        <v>753</v>
      </c>
      <c r="BI5" s="44"/>
      <c r="BJ5" s="65" t="s">
        <v>752</v>
      </c>
      <c r="BK5" s="66" t="s">
        <v>753</v>
      </c>
      <c r="BL5" s="44"/>
      <c r="BM5" s="65" t="s">
        <v>752</v>
      </c>
      <c r="BN5" s="66" t="s">
        <v>753</v>
      </c>
      <c r="BO5" s="44"/>
      <c r="BP5" s="65" t="s">
        <v>752</v>
      </c>
      <c r="BQ5" s="66" t="s">
        <v>753</v>
      </c>
      <c r="BR5" s="44"/>
      <c r="BS5" s="65" t="s">
        <v>752</v>
      </c>
      <c r="BT5" s="66" t="s">
        <v>753</v>
      </c>
      <c r="BU5" s="44"/>
      <c r="BV5" s="65" t="s">
        <v>752</v>
      </c>
      <c r="BW5" s="66" t="s">
        <v>753</v>
      </c>
      <c r="BX5" s="44"/>
      <c r="BY5" s="65" t="s">
        <v>752</v>
      </c>
      <c r="BZ5" s="66" t="s">
        <v>753</v>
      </c>
      <c r="CA5" s="44"/>
      <c r="CB5" s="65" t="s">
        <v>752</v>
      </c>
      <c r="CC5" s="66" t="s">
        <v>753</v>
      </c>
      <c r="CD5" s="44"/>
      <c r="CE5" s="65" t="s">
        <v>752</v>
      </c>
      <c r="CF5" s="66" t="s">
        <v>753</v>
      </c>
      <c r="CG5" s="44"/>
      <c r="CH5" s="65" t="s">
        <v>752</v>
      </c>
      <c r="CI5" s="66" t="s">
        <v>753</v>
      </c>
      <c r="CJ5" s="44"/>
      <c r="CK5" s="65" t="s">
        <v>752</v>
      </c>
      <c r="CL5" s="66" t="s">
        <v>753</v>
      </c>
      <c r="CM5" s="44"/>
      <c r="CN5" s="65" t="s">
        <v>752</v>
      </c>
      <c r="CO5" s="66" t="s">
        <v>753</v>
      </c>
      <c r="CP5" s="44"/>
      <c r="CQ5" s="65" t="s">
        <v>752</v>
      </c>
      <c r="CR5" s="66" t="s">
        <v>753</v>
      </c>
      <c r="CS5" s="44"/>
      <c r="CT5" s="65" t="s">
        <v>752</v>
      </c>
      <c r="CU5" s="66" t="s">
        <v>753</v>
      </c>
      <c r="CV5" s="44"/>
      <c r="CW5" s="65" t="s">
        <v>752</v>
      </c>
      <c r="CX5" s="66" t="s">
        <v>753</v>
      </c>
      <c r="CY5" s="44"/>
      <c r="CZ5" s="65" t="s">
        <v>752</v>
      </c>
      <c r="DA5" s="66" t="s">
        <v>753</v>
      </c>
      <c r="DB5" s="44"/>
      <c r="DC5" s="65" t="s">
        <v>752</v>
      </c>
      <c r="DD5" s="66" t="s">
        <v>753</v>
      </c>
      <c r="DE5" s="44"/>
      <c r="DF5" s="65" t="s">
        <v>752</v>
      </c>
      <c r="DG5" s="66" t="s">
        <v>753</v>
      </c>
      <c r="DH5" s="44"/>
      <c r="DI5" s="65" t="s">
        <v>752</v>
      </c>
      <c r="DJ5" s="66" t="s">
        <v>753</v>
      </c>
      <c r="DK5" s="44"/>
      <c r="DL5" s="65" t="s">
        <v>752</v>
      </c>
      <c r="DM5" s="66" t="s">
        <v>753</v>
      </c>
      <c r="DN5" s="44"/>
      <c r="DO5" s="65" t="s">
        <v>752</v>
      </c>
      <c r="DP5" s="66" t="s">
        <v>753</v>
      </c>
      <c r="DQ5" s="44"/>
      <c r="DR5" s="65" t="s">
        <v>752</v>
      </c>
      <c r="DS5" s="66" t="s">
        <v>753</v>
      </c>
      <c r="DT5" s="44"/>
      <c r="DU5" s="65" t="s">
        <v>752</v>
      </c>
      <c r="DV5" s="66" t="s">
        <v>753</v>
      </c>
      <c r="DW5" s="44"/>
      <c r="DX5" s="65" t="s">
        <v>752</v>
      </c>
      <c r="DY5" s="66" t="s">
        <v>753</v>
      </c>
      <c r="DZ5" s="44"/>
      <c r="EA5" s="65" t="s">
        <v>752</v>
      </c>
      <c r="EB5" s="66" t="s">
        <v>753</v>
      </c>
      <c r="EC5" s="44"/>
      <c r="ED5" s="65" t="s">
        <v>752</v>
      </c>
      <c r="EE5" s="66" t="s">
        <v>753</v>
      </c>
      <c r="EF5" s="44"/>
      <c r="EG5" s="65" t="s">
        <v>752</v>
      </c>
      <c r="EH5" s="66" t="s">
        <v>753</v>
      </c>
      <c r="EI5" s="44"/>
      <c r="EJ5" s="65" t="s">
        <v>752</v>
      </c>
      <c r="EK5" s="66" t="s">
        <v>753</v>
      </c>
      <c r="EL5" s="44"/>
      <c r="EM5" s="65" t="s">
        <v>752</v>
      </c>
      <c r="EN5" s="66" t="s">
        <v>753</v>
      </c>
      <c r="EO5" s="44"/>
      <c r="EP5" s="65" t="s">
        <v>752</v>
      </c>
      <c r="EQ5" s="66" t="s">
        <v>753</v>
      </c>
      <c r="ER5" s="44"/>
      <c r="ES5" s="65" t="s">
        <v>752</v>
      </c>
      <c r="ET5" s="66" t="s">
        <v>753</v>
      </c>
      <c r="EU5" s="44"/>
      <c r="EV5" s="65" t="s">
        <v>752</v>
      </c>
      <c r="EW5" s="66" t="s">
        <v>753</v>
      </c>
      <c r="EX5" s="44"/>
      <c r="EY5" s="65" t="s">
        <v>752</v>
      </c>
      <c r="EZ5" s="66" t="s">
        <v>753</v>
      </c>
      <c r="FA5" s="44"/>
      <c r="FB5" s="65" t="s">
        <v>752</v>
      </c>
      <c r="FC5" s="66" t="s">
        <v>753</v>
      </c>
      <c r="FD5" s="44"/>
      <c r="FE5" s="65" t="s">
        <v>752</v>
      </c>
      <c r="FF5" s="66" t="s">
        <v>753</v>
      </c>
      <c r="FG5" s="44"/>
      <c r="FH5" s="65" t="s">
        <v>752</v>
      </c>
      <c r="FI5" s="66" t="s">
        <v>753</v>
      </c>
      <c r="FJ5" s="44"/>
      <c r="FK5" s="65" t="s">
        <v>752</v>
      </c>
      <c r="FL5" s="66" t="s">
        <v>753</v>
      </c>
      <c r="FM5" s="44"/>
      <c r="FN5" s="65" t="s">
        <v>752</v>
      </c>
      <c r="FO5" s="66" t="s">
        <v>753</v>
      </c>
      <c r="FP5" s="44"/>
      <c r="FQ5" s="65" t="s">
        <v>752</v>
      </c>
      <c r="FR5" s="66" t="s">
        <v>753</v>
      </c>
      <c r="FS5" s="44"/>
      <c r="FT5" s="65" t="s">
        <v>752</v>
      </c>
      <c r="FU5" s="66" t="s">
        <v>753</v>
      </c>
      <c r="FV5" s="44"/>
      <c r="FW5" s="65" t="s">
        <v>752</v>
      </c>
      <c r="FX5" s="66" t="s">
        <v>753</v>
      </c>
      <c r="FY5" s="44"/>
      <c r="FZ5" s="65" t="s">
        <v>752</v>
      </c>
      <c r="GA5" s="66" t="s">
        <v>753</v>
      </c>
      <c r="GB5" s="44"/>
      <c r="GC5" s="65" t="s">
        <v>752</v>
      </c>
      <c r="GD5" s="66" t="s">
        <v>753</v>
      </c>
      <c r="GE5" s="44"/>
      <c r="GF5" s="65" t="s">
        <v>752</v>
      </c>
      <c r="GG5" s="66" t="s">
        <v>753</v>
      </c>
      <c r="GH5" s="44"/>
      <c r="GI5" s="65" t="s">
        <v>752</v>
      </c>
      <c r="GJ5" s="66" t="s">
        <v>753</v>
      </c>
      <c r="GK5" s="44"/>
      <c r="GL5" s="65" t="s">
        <v>752</v>
      </c>
      <c r="GM5" s="66" t="s">
        <v>753</v>
      </c>
      <c r="GN5" s="44"/>
      <c r="GO5" s="65" t="s">
        <v>752</v>
      </c>
      <c r="GP5" s="66" t="s">
        <v>753</v>
      </c>
      <c r="GQ5" s="44"/>
      <c r="GR5" s="65" t="s">
        <v>752</v>
      </c>
      <c r="GS5" s="66" t="s">
        <v>753</v>
      </c>
      <c r="GT5" s="44"/>
      <c r="GU5" s="65" t="s">
        <v>752</v>
      </c>
      <c r="GV5" s="66" t="s">
        <v>753</v>
      </c>
      <c r="GW5" s="44"/>
      <c r="GX5" s="65" t="s">
        <v>752</v>
      </c>
      <c r="GY5" s="66" t="s">
        <v>753</v>
      </c>
      <c r="GZ5" s="44"/>
      <c r="HA5" s="65" t="s">
        <v>752</v>
      </c>
      <c r="HB5" s="66" t="s">
        <v>753</v>
      </c>
      <c r="HC5" s="44"/>
      <c r="HD5" s="65" t="s">
        <v>752</v>
      </c>
      <c r="HE5" s="66" t="s">
        <v>753</v>
      </c>
      <c r="HF5" s="44"/>
      <c r="HG5" s="65" t="s">
        <v>752</v>
      </c>
      <c r="HH5" s="66" t="s">
        <v>753</v>
      </c>
      <c r="HI5" s="44"/>
      <c r="HJ5" s="65" t="s">
        <v>752</v>
      </c>
      <c r="HK5" s="66" t="s">
        <v>753</v>
      </c>
      <c r="HM5" s="67"/>
      <c r="HN5" s="68"/>
      <c r="HO5" s="69"/>
      <c r="HP5" s="70" t="s">
        <v>752</v>
      </c>
      <c r="HQ5" s="71" t="s">
        <v>753</v>
      </c>
      <c r="HR5" s="72"/>
      <c r="HS5" s="73"/>
      <c r="HT5" s="44"/>
      <c r="HU5" s="74"/>
      <c r="HV5" s="75"/>
      <c r="HW5" s="76"/>
      <c r="HX5" s="76"/>
      <c r="HY5" s="77"/>
      <c r="HZ5" s="78"/>
      <c r="IA5" s="75"/>
      <c r="IB5" s="76"/>
      <c r="IC5" s="76"/>
      <c r="ID5" s="79"/>
      <c r="IE5" s="44"/>
      <c r="IF5" s="80"/>
      <c r="IG5" s="78"/>
      <c r="IH5" s="75"/>
      <c r="II5" s="76"/>
      <c r="IJ5" s="76"/>
      <c r="IK5" s="81"/>
      <c r="IL5" s="13"/>
    </row>
    <row r="6" ht="14.25" customHeight="1" spans="1:248">
      <c r="A6" s="82">
        <v>1001</v>
      </c>
      <c r="B6" s="83" t="s">
        <v>74</v>
      </c>
      <c r="C6" s="84"/>
      <c r="D6" s="84"/>
      <c r="E6" s="85">
        <v>1000</v>
      </c>
      <c r="F6" s="86"/>
      <c r="G6" s="87"/>
      <c r="H6" s="85"/>
      <c r="I6" s="86">
        <v>5000</v>
      </c>
      <c r="J6" s="87"/>
      <c r="K6" s="85"/>
      <c r="L6" s="86"/>
      <c r="M6" s="87"/>
      <c r="N6" s="85"/>
      <c r="O6" s="86"/>
      <c r="P6" s="87"/>
      <c r="Q6" s="85"/>
      <c r="R6" s="86"/>
      <c r="S6" s="87"/>
      <c r="T6" s="85"/>
      <c r="U6" s="86">
        <v>8000</v>
      </c>
      <c r="V6" s="87"/>
      <c r="W6" s="85"/>
      <c r="X6" s="86"/>
      <c r="Y6" s="87"/>
      <c r="Z6" s="85"/>
      <c r="AA6" s="86"/>
      <c r="AB6" s="87"/>
      <c r="AC6" s="85"/>
      <c r="AD6" s="86"/>
      <c r="AE6" s="87"/>
      <c r="AF6" s="85"/>
      <c r="AG6" s="86"/>
      <c r="AH6" s="87"/>
      <c r="AI6" s="85"/>
      <c r="AJ6" s="86"/>
      <c r="AK6" s="87"/>
      <c r="AL6" s="85"/>
      <c r="AM6" s="86"/>
      <c r="AN6" s="87"/>
      <c r="AO6" s="85"/>
      <c r="AP6" s="86"/>
      <c r="AQ6" s="87"/>
      <c r="AR6" s="85">
        <v>10000</v>
      </c>
      <c r="AS6" s="86"/>
      <c r="AT6" s="87"/>
      <c r="AU6" s="85"/>
      <c r="AV6" s="86"/>
      <c r="AW6" s="87"/>
      <c r="AX6" s="85"/>
      <c r="AY6" s="86"/>
      <c r="AZ6" s="87"/>
      <c r="BA6" s="85"/>
      <c r="BB6" s="86"/>
      <c r="BC6" s="87"/>
      <c r="BD6" s="85"/>
      <c r="BE6" s="86"/>
      <c r="BF6" s="87"/>
      <c r="BG6" s="85"/>
      <c r="BH6" s="86"/>
      <c r="BI6" s="87"/>
      <c r="BJ6" s="85"/>
      <c r="BK6" s="86"/>
      <c r="BL6" s="87"/>
      <c r="BM6" s="85"/>
      <c r="BN6" s="86"/>
      <c r="BO6" s="87"/>
      <c r="BP6" s="85"/>
      <c r="BQ6" s="86"/>
      <c r="BR6" s="87"/>
      <c r="BS6" s="85"/>
      <c r="BT6" s="86"/>
      <c r="BU6" s="87"/>
      <c r="BV6" s="85"/>
      <c r="BW6" s="86"/>
      <c r="BX6" s="87"/>
      <c r="BY6" s="85">
        <v>5000</v>
      </c>
      <c r="BZ6" s="86"/>
      <c r="CA6" s="87"/>
      <c r="CB6" s="85"/>
      <c r="CC6" s="86"/>
      <c r="CD6" s="87"/>
      <c r="CE6" s="85"/>
      <c r="CF6" s="86"/>
      <c r="CG6" s="87"/>
      <c r="CH6" s="85"/>
      <c r="CI6" s="86"/>
      <c r="CJ6" s="87"/>
      <c r="CK6" s="85"/>
      <c r="CL6" s="86"/>
      <c r="CM6" s="87"/>
      <c r="CN6" s="85"/>
      <c r="CO6" s="86"/>
      <c r="CP6" s="87"/>
      <c r="CQ6" s="85"/>
      <c r="CR6" s="86"/>
      <c r="CS6" s="87"/>
      <c r="CT6" s="85"/>
      <c r="CU6" s="86"/>
      <c r="CV6" s="87"/>
      <c r="CW6" s="85"/>
      <c r="CX6" s="86"/>
      <c r="CY6" s="87"/>
      <c r="CZ6" s="85"/>
      <c r="DA6" s="86"/>
      <c r="DB6" s="87"/>
      <c r="DC6" s="85"/>
      <c r="DD6" s="86"/>
      <c r="DE6" s="87"/>
      <c r="DF6" s="85"/>
      <c r="DG6" s="86">
        <v>10000</v>
      </c>
      <c r="DH6" s="87"/>
      <c r="DI6" s="85"/>
      <c r="DJ6" s="86"/>
      <c r="DK6" s="87"/>
      <c r="DL6" s="85">
        <v>2000</v>
      </c>
      <c r="DM6" s="86"/>
      <c r="DN6" s="87"/>
      <c r="DO6" s="85"/>
      <c r="DP6" s="86"/>
      <c r="DQ6" s="87"/>
      <c r="DR6" s="85"/>
      <c r="DS6" s="86"/>
      <c r="DT6" s="87"/>
      <c r="DU6" s="85"/>
      <c r="DV6" s="86"/>
      <c r="DW6" s="87"/>
      <c r="DX6" s="85"/>
      <c r="DY6" s="86"/>
      <c r="DZ6" s="87"/>
      <c r="EA6" s="85"/>
      <c r="EB6" s="86"/>
      <c r="EC6" s="87"/>
      <c r="ED6" s="85"/>
      <c r="EE6" s="86"/>
      <c r="EF6" s="87"/>
      <c r="EG6" s="85">
        <v>5000</v>
      </c>
      <c r="EH6" s="86"/>
      <c r="EI6" s="87"/>
      <c r="EJ6" s="85"/>
      <c r="EK6" s="86"/>
      <c r="EL6" s="87"/>
      <c r="EM6" s="85"/>
      <c r="EN6" s="86"/>
      <c r="EO6" s="87"/>
      <c r="EP6" s="85"/>
      <c r="EQ6" s="86"/>
      <c r="ER6" s="87"/>
      <c r="ES6" s="85"/>
      <c r="ET6" s="86"/>
      <c r="EU6" s="87"/>
      <c r="EV6" s="85"/>
      <c r="EW6" s="86"/>
      <c r="EX6" s="87"/>
      <c r="EY6" s="85"/>
      <c r="EZ6" s="86">
        <v>10000</v>
      </c>
      <c r="FA6" s="87"/>
      <c r="FB6" s="85"/>
      <c r="FC6" s="86"/>
      <c r="FD6" s="87"/>
      <c r="FE6" s="85"/>
      <c r="FF6" s="86"/>
      <c r="FG6" s="87"/>
      <c r="FH6" s="85"/>
      <c r="FI6" s="86"/>
      <c r="FJ6" s="87"/>
      <c r="FK6" s="85"/>
      <c r="FL6" s="86"/>
      <c r="FM6" s="87"/>
      <c r="FN6" s="85"/>
      <c r="FO6" s="86"/>
      <c r="FP6" s="87"/>
      <c r="FQ6" s="85"/>
      <c r="FR6" s="86"/>
      <c r="FS6" s="87"/>
      <c r="FT6" s="85"/>
      <c r="FU6" s="86"/>
      <c r="FV6" s="87"/>
      <c r="FW6" s="85"/>
      <c r="FX6" s="86"/>
      <c r="FY6" s="87"/>
      <c r="FZ6" s="85"/>
      <c r="GA6" s="86"/>
      <c r="GB6" s="87"/>
      <c r="GC6" s="85"/>
      <c r="GD6" s="86"/>
      <c r="GE6" s="87"/>
      <c r="GF6" s="85"/>
      <c r="GG6" s="86"/>
      <c r="GH6" s="87"/>
      <c r="GI6" s="85"/>
      <c r="GJ6" s="86"/>
      <c r="GK6" s="87"/>
      <c r="GL6" s="85"/>
      <c r="GM6" s="86"/>
      <c r="GN6" s="87"/>
      <c r="GO6" s="85"/>
      <c r="GP6" s="86"/>
      <c r="GQ6" s="87"/>
      <c r="GR6" s="85"/>
      <c r="GS6" s="86"/>
      <c r="GT6" s="87"/>
      <c r="GU6" s="85"/>
      <c r="GV6" s="86"/>
      <c r="GW6" s="87"/>
      <c r="GX6" s="85"/>
      <c r="GY6" s="86"/>
      <c r="GZ6" s="87"/>
      <c r="HA6" s="85"/>
      <c r="HB6" s="86"/>
      <c r="HC6" s="87"/>
      <c r="HD6" s="85"/>
      <c r="HE6" s="86"/>
      <c r="HF6" s="87"/>
      <c r="HG6" s="85"/>
      <c r="HH6" s="86"/>
      <c r="HI6" s="87"/>
      <c r="HJ6" s="85"/>
      <c r="HK6" s="86"/>
      <c r="HM6" s="88">
        <v>1001</v>
      </c>
      <c r="HN6" s="89" t="s">
        <v>74</v>
      </c>
      <c r="HO6" s="90">
        <v>500</v>
      </c>
      <c r="HP6" s="91">
        <f>E$101</f>
        <v>1000</v>
      </c>
      <c r="HQ6" s="92">
        <f>F$101</f>
        <v>0</v>
      </c>
      <c r="HR6" s="93" t="s">
        <v>754</v>
      </c>
      <c r="HS6" s="94">
        <f t="shared" ref="HS6:HS69" si="0">IF(HR6="借",HO6+HP6-HQ6,HO6+HQ6-HP6)</f>
        <v>1500</v>
      </c>
      <c r="HU6" s="95" t="s">
        <v>766</v>
      </c>
      <c r="HV6" s="96"/>
      <c r="HW6" s="97"/>
      <c r="HX6" s="98" t="s">
        <v>767</v>
      </c>
      <c r="HY6" s="99" t="s">
        <v>767</v>
      </c>
      <c r="HZ6" s="100" t="s">
        <v>768</v>
      </c>
      <c r="IA6" s="96"/>
      <c r="IB6" s="97"/>
      <c r="IC6" s="98" t="s">
        <v>767</v>
      </c>
      <c r="ID6" s="101" t="s">
        <v>767</v>
      </c>
      <c r="IF6" s="102" t="s">
        <v>864</v>
      </c>
      <c r="IG6" s="103"/>
      <c r="IH6" s="96"/>
      <c r="II6" s="104">
        <v>1</v>
      </c>
      <c r="IJ6" s="105">
        <f>HQ64</f>
        <v>0</v>
      </c>
      <c r="IK6" s="106"/>
      <c r="IL6" s="13"/>
    </row>
    <row r="7" ht="14.25" customHeight="1" spans="1:248">
      <c r="A7" s="82">
        <v>1002</v>
      </c>
      <c r="B7" s="83" t="s">
        <v>80</v>
      </c>
      <c r="C7" s="84"/>
      <c r="D7" s="84"/>
      <c r="E7" s="107"/>
      <c r="F7" s="108"/>
      <c r="G7" s="87"/>
      <c r="H7" s="107">
        <v>8000</v>
      </c>
      <c r="I7" s="108"/>
      <c r="J7" s="87"/>
      <c r="K7" s="107"/>
      <c r="L7" s="108"/>
      <c r="M7" s="87"/>
      <c r="N7" s="107"/>
      <c r="O7" s="108"/>
      <c r="P7" s="87"/>
      <c r="Q7" s="107"/>
      <c r="R7" s="108"/>
      <c r="S7" s="87"/>
      <c r="T7" s="107"/>
      <c r="U7" s="108">
        <v>6000</v>
      </c>
      <c r="V7" s="87"/>
      <c r="W7" s="107"/>
      <c r="X7" s="108"/>
      <c r="Y7" s="87"/>
      <c r="Z7" s="107"/>
      <c r="AA7" s="108"/>
      <c r="AB7" s="87"/>
      <c r="AC7" s="107"/>
      <c r="AD7" s="108"/>
      <c r="AE7" s="87"/>
      <c r="AF7" s="107"/>
      <c r="AG7" s="108"/>
      <c r="AH7" s="87"/>
      <c r="AI7" s="107"/>
      <c r="AJ7" s="108"/>
      <c r="AK7" s="87"/>
      <c r="AL7" s="107"/>
      <c r="AM7" s="108"/>
      <c r="AN7" s="87"/>
      <c r="AO7" s="107"/>
      <c r="AP7" s="108"/>
      <c r="AQ7" s="87"/>
      <c r="AR7" s="107"/>
      <c r="AS7" s="108"/>
      <c r="AT7" s="87"/>
      <c r="AU7" s="107"/>
      <c r="AV7" s="108"/>
      <c r="AW7" s="87"/>
      <c r="AX7" s="107"/>
      <c r="AY7" s="108"/>
      <c r="AZ7" s="87"/>
      <c r="BA7" s="107"/>
      <c r="BB7" s="108"/>
      <c r="BC7" s="87"/>
      <c r="BD7" s="107"/>
      <c r="BE7" s="108"/>
      <c r="BF7" s="87"/>
      <c r="BG7" s="107"/>
      <c r="BH7" s="108"/>
      <c r="BI7" s="87"/>
      <c r="BJ7" s="107"/>
      <c r="BK7" s="108"/>
      <c r="BL7" s="87"/>
      <c r="BM7" s="107"/>
      <c r="BN7" s="108"/>
      <c r="BO7" s="87"/>
      <c r="BP7" s="107"/>
      <c r="BQ7" s="108"/>
      <c r="BR7" s="87"/>
      <c r="BS7" s="107"/>
      <c r="BT7" s="108"/>
      <c r="BU7" s="87"/>
      <c r="BV7" s="107"/>
      <c r="BW7" s="108"/>
      <c r="BX7" s="87"/>
      <c r="BY7" s="107"/>
      <c r="BZ7" s="108"/>
      <c r="CA7" s="87"/>
      <c r="CB7" s="107"/>
      <c r="CC7" s="108"/>
      <c r="CD7" s="87"/>
      <c r="CE7" s="107"/>
      <c r="CF7" s="108"/>
      <c r="CG7" s="87"/>
      <c r="CH7" s="107"/>
      <c r="CI7" s="108"/>
      <c r="CJ7" s="87"/>
      <c r="CK7" s="107"/>
      <c r="CL7" s="108"/>
      <c r="CM7" s="87"/>
      <c r="CN7" s="107"/>
      <c r="CO7" s="108"/>
      <c r="CP7" s="87"/>
      <c r="CQ7" s="107"/>
      <c r="CR7" s="108"/>
      <c r="CS7" s="87"/>
      <c r="CT7" s="107"/>
      <c r="CU7" s="108"/>
      <c r="CV7" s="87"/>
      <c r="CW7" s="107"/>
      <c r="CX7" s="108"/>
      <c r="CY7" s="87"/>
      <c r="CZ7" s="107"/>
      <c r="DA7" s="108"/>
      <c r="DB7" s="87"/>
      <c r="DC7" s="107"/>
      <c r="DD7" s="108"/>
      <c r="DE7" s="87"/>
      <c r="DF7" s="107">
        <v>8000</v>
      </c>
      <c r="DG7" s="108"/>
      <c r="DH7" s="87"/>
      <c r="DI7" s="107"/>
      <c r="DJ7" s="108"/>
      <c r="DK7" s="87"/>
      <c r="DL7" s="107"/>
      <c r="DM7" s="108"/>
      <c r="DN7" s="87"/>
      <c r="DO7" s="107"/>
      <c r="DP7" s="108"/>
      <c r="DQ7" s="87"/>
      <c r="DR7" s="107"/>
      <c r="DS7" s="108"/>
      <c r="DT7" s="87"/>
      <c r="DU7" s="107"/>
      <c r="DV7" s="108"/>
      <c r="DW7" s="87"/>
      <c r="DX7" s="107"/>
      <c r="DY7" s="108"/>
      <c r="DZ7" s="87"/>
      <c r="EA7" s="107"/>
      <c r="EB7" s="108"/>
      <c r="EC7" s="87"/>
      <c r="ED7" s="107"/>
      <c r="EE7" s="108"/>
      <c r="EF7" s="87"/>
      <c r="EG7" s="107"/>
      <c r="EH7" s="108"/>
      <c r="EI7" s="87"/>
      <c r="EJ7" s="107"/>
      <c r="EK7" s="108"/>
      <c r="EL7" s="87"/>
      <c r="EM7" s="107"/>
      <c r="EN7" s="108"/>
      <c r="EO7" s="87"/>
      <c r="EP7" s="107"/>
      <c r="EQ7" s="108"/>
      <c r="ER7" s="87"/>
      <c r="ES7" s="107"/>
      <c r="ET7" s="108"/>
      <c r="EU7" s="87"/>
      <c r="EV7" s="107"/>
      <c r="EW7" s="108"/>
      <c r="EX7" s="87"/>
      <c r="EY7" s="107"/>
      <c r="EZ7" s="108">
        <v>5000</v>
      </c>
      <c r="FA7" s="87"/>
      <c r="FB7" s="107"/>
      <c r="FC7" s="108"/>
      <c r="FD7" s="87"/>
      <c r="FE7" s="107"/>
      <c r="FF7" s="108"/>
      <c r="FG7" s="87"/>
      <c r="FH7" s="107"/>
      <c r="FI7" s="108"/>
      <c r="FJ7" s="87"/>
      <c r="FK7" s="107"/>
      <c r="FL7" s="108"/>
      <c r="FM7" s="87"/>
      <c r="FN7" s="107"/>
      <c r="FO7" s="108"/>
      <c r="FP7" s="87"/>
      <c r="FQ7" s="107"/>
      <c r="FR7" s="108"/>
      <c r="FS7" s="87"/>
      <c r="FT7" s="107"/>
      <c r="FU7" s="108"/>
      <c r="FV7" s="87"/>
      <c r="FW7" s="107"/>
      <c r="FX7" s="108"/>
      <c r="FY7" s="87"/>
      <c r="FZ7" s="107"/>
      <c r="GA7" s="108"/>
      <c r="GB7" s="87"/>
      <c r="GC7" s="107"/>
      <c r="GD7" s="108"/>
      <c r="GE7" s="87"/>
      <c r="GF7" s="107"/>
      <c r="GG7" s="108"/>
      <c r="GH7" s="87"/>
      <c r="GI7" s="107"/>
      <c r="GJ7" s="108"/>
      <c r="GK7" s="87"/>
      <c r="GL7" s="107"/>
      <c r="GM7" s="108"/>
      <c r="GN7" s="87"/>
      <c r="GO7" s="107"/>
      <c r="GP7" s="108"/>
      <c r="GQ7" s="87"/>
      <c r="GR7" s="107"/>
      <c r="GS7" s="108"/>
      <c r="GT7" s="87"/>
      <c r="GU7" s="107"/>
      <c r="GV7" s="108"/>
      <c r="GW7" s="87"/>
      <c r="GX7" s="107"/>
      <c r="GY7" s="108"/>
      <c r="GZ7" s="87"/>
      <c r="HA7" s="107"/>
      <c r="HB7" s="108"/>
      <c r="HC7" s="87"/>
      <c r="HD7" s="107"/>
      <c r="HE7" s="108"/>
      <c r="HF7" s="87"/>
      <c r="HG7" s="107"/>
      <c r="HH7" s="108"/>
      <c r="HI7" s="87"/>
      <c r="HJ7" s="107"/>
      <c r="HK7" s="108"/>
      <c r="HM7" s="109">
        <v>1002</v>
      </c>
      <c r="HN7" s="89" t="s">
        <v>80</v>
      </c>
      <c r="HO7" s="90">
        <v>10000</v>
      </c>
      <c r="HP7" s="110">
        <f>H$101</f>
        <v>23000</v>
      </c>
      <c r="HQ7" s="111">
        <f>I$101</f>
        <v>15000</v>
      </c>
      <c r="HR7" s="93" t="s">
        <v>754</v>
      </c>
      <c r="HS7" s="94">
        <f t="shared" si="0"/>
        <v>18000</v>
      </c>
      <c r="HU7" s="95" t="s">
        <v>769</v>
      </c>
      <c r="HV7" s="96"/>
      <c r="HW7" s="97">
        <v>1</v>
      </c>
      <c r="HX7" s="112"/>
      <c r="HY7" s="113">
        <f>HS6+HS7+HS8</f>
        <v>19500</v>
      </c>
      <c r="HZ7" s="100" t="s">
        <v>770</v>
      </c>
      <c r="IA7" s="96"/>
      <c r="IB7" s="97">
        <v>68</v>
      </c>
      <c r="IC7" s="112"/>
      <c r="ID7" s="114">
        <f>HS41</f>
        <v>7000</v>
      </c>
      <c r="IF7" s="102" t="s">
        <v>865</v>
      </c>
      <c r="IG7" s="103"/>
      <c r="IH7" s="96"/>
      <c r="II7" s="104">
        <v>4</v>
      </c>
      <c r="IJ7" s="105">
        <f>HP69</f>
        <v>0</v>
      </c>
      <c r="IK7" s="106"/>
      <c r="IL7" s="13"/>
    </row>
    <row r="8" ht="14.25" customHeight="1" spans="1:248">
      <c r="A8" s="82">
        <v>1012</v>
      </c>
      <c r="B8" s="83" t="s">
        <v>89</v>
      </c>
      <c r="C8" s="84"/>
      <c r="D8" s="84"/>
      <c r="E8" s="107"/>
      <c r="F8" s="108"/>
      <c r="G8" s="87"/>
      <c r="H8" s="107">
        <v>10000</v>
      </c>
      <c r="I8" s="108"/>
      <c r="J8" s="87"/>
      <c r="K8" s="107"/>
      <c r="L8" s="108"/>
      <c r="M8" s="87"/>
      <c r="N8" s="107"/>
      <c r="O8" s="108"/>
      <c r="P8" s="87"/>
      <c r="Q8" s="107"/>
      <c r="R8" s="108"/>
      <c r="S8" s="87"/>
      <c r="T8" s="107"/>
      <c r="U8" s="108"/>
      <c r="V8" s="87"/>
      <c r="W8" s="107"/>
      <c r="X8" s="108"/>
      <c r="Y8" s="87"/>
      <c r="Z8" s="107"/>
      <c r="AA8" s="108"/>
      <c r="AB8" s="87"/>
      <c r="AC8" s="107"/>
      <c r="AD8" s="108"/>
      <c r="AE8" s="87"/>
      <c r="AF8" s="107"/>
      <c r="AG8" s="108"/>
      <c r="AH8" s="87"/>
      <c r="AI8" s="107"/>
      <c r="AJ8" s="108"/>
      <c r="AK8" s="87"/>
      <c r="AL8" s="107"/>
      <c r="AM8" s="108"/>
      <c r="AN8" s="87"/>
      <c r="AO8" s="107"/>
      <c r="AP8" s="108"/>
      <c r="AQ8" s="87"/>
      <c r="AR8" s="107"/>
      <c r="AS8" s="108"/>
      <c r="AT8" s="87"/>
      <c r="AU8" s="107"/>
      <c r="AV8" s="108"/>
      <c r="AW8" s="87"/>
      <c r="AX8" s="107"/>
      <c r="AY8" s="108"/>
      <c r="AZ8" s="87"/>
      <c r="BA8" s="107"/>
      <c r="BB8" s="108"/>
      <c r="BC8" s="87"/>
      <c r="BD8" s="107"/>
      <c r="BE8" s="108"/>
      <c r="BF8" s="87"/>
      <c r="BG8" s="107"/>
      <c r="BH8" s="108"/>
      <c r="BI8" s="87"/>
      <c r="BJ8" s="107"/>
      <c r="BK8" s="108"/>
      <c r="BL8" s="87"/>
      <c r="BM8" s="107"/>
      <c r="BN8" s="108"/>
      <c r="BO8" s="87"/>
      <c r="BP8" s="107"/>
      <c r="BQ8" s="108"/>
      <c r="BR8" s="87"/>
      <c r="BS8" s="107"/>
      <c r="BT8" s="108"/>
      <c r="BU8" s="87"/>
      <c r="BV8" s="107"/>
      <c r="BW8" s="108"/>
      <c r="BX8" s="87"/>
      <c r="BY8" s="107"/>
      <c r="BZ8" s="108"/>
      <c r="CA8" s="87"/>
      <c r="CB8" s="107"/>
      <c r="CC8" s="108"/>
      <c r="CD8" s="87"/>
      <c r="CE8" s="107"/>
      <c r="CF8" s="108"/>
      <c r="CG8" s="87"/>
      <c r="CH8" s="107"/>
      <c r="CI8" s="108"/>
      <c r="CJ8" s="87"/>
      <c r="CK8" s="107"/>
      <c r="CL8" s="108"/>
      <c r="CM8" s="87"/>
      <c r="CN8" s="107"/>
      <c r="CO8" s="108"/>
      <c r="CP8" s="87"/>
      <c r="CQ8" s="107"/>
      <c r="CR8" s="108"/>
      <c r="CS8" s="87"/>
      <c r="CT8" s="107"/>
      <c r="CU8" s="108"/>
      <c r="CV8" s="87"/>
      <c r="CW8" s="107"/>
      <c r="CX8" s="108"/>
      <c r="CY8" s="87"/>
      <c r="CZ8" s="107"/>
      <c r="DA8" s="108"/>
      <c r="DB8" s="87"/>
      <c r="DC8" s="107"/>
      <c r="DD8" s="108"/>
      <c r="DE8" s="87"/>
      <c r="DF8" s="107"/>
      <c r="DG8" s="108"/>
      <c r="DH8" s="87"/>
      <c r="DI8" s="107"/>
      <c r="DJ8" s="108"/>
      <c r="DK8" s="87"/>
      <c r="DL8" s="107"/>
      <c r="DM8" s="108"/>
      <c r="DN8" s="87"/>
      <c r="DO8" s="107"/>
      <c r="DP8" s="108"/>
      <c r="DQ8" s="87"/>
      <c r="DR8" s="107"/>
      <c r="DS8" s="108"/>
      <c r="DT8" s="87"/>
      <c r="DU8" s="107"/>
      <c r="DV8" s="108"/>
      <c r="DW8" s="87"/>
      <c r="DX8" s="107"/>
      <c r="DY8" s="108"/>
      <c r="DZ8" s="87"/>
      <c r="EA8" s="107"/>
      <c r="EB8" s="108"/>
      <c r="EC8" s="87"/>
      <c r="ED8" s="107"/>
      <c r="EE8" s="108"/>
      <c r="EF8" s="87"/>
      <c r="EG8" s="107"/>
      <c r="EH8" s="108"/>
      <c r="EI8" s="87"/>
      <c r="EJ8" s="107"/>
      <c r="EK8" s="108"/>
      <c r="EL8" s="87"/>
      <c r="EM8" s="107"/>
      <c r="EN8" s="108"/>
      <c r="EO8" s="87"/>
      <c r="EP8" s="107"/>
      <c r="EQ8" s="108"/>
      <c r="ER8" s="87"/>
      <c r="ES8" s="107"/>
      <c r="ET8" s="108"/>
      <c r="EU8" s="87"/>
      <c r="EV8" s="107"/>
      <c r="EW8" s="108"/>
      <c r="EX8" s="87"/>
      <c r="EY8" s="107"/>
      <c r="EZ8" s="108"/>
      <c r="FA8" s="87"/>
      <c r="FB8" s="107"/>
      <c r="FC8" s="108"/>
      <c r="FD8" s="87"/>
      <c r="FE8" s="107"/>
      <c r="FF8" s="108"/>
      <c r="FG8" s="87"/>
      <c r="FH8" s="107"/>
      <c r="FI8" s="108"/>
      <c r="FJ8" s="87"/>
      <c r="FK8" s="107"/>
      <c r="FL8" s="108"/>
      <c r="FM8" s="87"/>
      <c r="FN8" s="107"/>
      <c r="FO8" s="108"/>
      <c r="FP8" s="87"/>
      <c r="FQ8" s="107"/>
      <c r="FR8" s="108"/>
      <c r="FS8" s="87"/>
      <c r="FT8" s="107"/>
      <c r="FU8" s="108"/>
      <c r="FV8" s="87"/>
      <c r="FW8" s="107"/>
      <c r="FX8" s="108"/>
      <c r="FY8" s="87"/>
      <c r="FZ8" s="107"/>
      <c r="GA8" s="108"/>
      <c r="GB8" s="87"/>
      <c r="GC8" s="107"/>
      <c r="GD8" s="108"/>
      <c r="GE8" s="87"/>
      <c r="GF8" s="107"/>
      <c r="GG8" s="108"/>
      <c r="GH8" s="87"/>
      <c r="GI8" s="107"/>
      <c r="GJ8" s="108"/>
      <c r="GK8" s="87"/>
      <c r="GL8" s="107"/>
      <c r="GM8" s="108"/>
      <c r="GN8" s="87"/>
      <c r="GO8" s="107"/>
      <c r="GP8" s="108"/>
      <c r="GQ8" s="87"/>
      <c r="GR8" s="107"/>
      <c r="GS8" s="108"/>
      <c r="GT8" s="87"/>
      <c r="GU8" s="107"/>
      <c r="GV8" s="108"/>
      <c r="GW8" s="87"/>
      <c r="GX8" s="107"/>
      <c r="GY8" s="108"/>
      <c r="GZ8" s="87"/>
      <c r="HA8" s="107"/>
      <c r="HB8" s="108"/>
      <c r="HC8" s="87"/>
      <c r="HD8" s="107"/>
      <c r="HE8" s="108"/>
      <c r="HF8" s="87"/>
      <c r="HG8" s="107"/>
      <c r="HH8" s="108"/>
      <c r="HI8" s="87"/>
      <c r="HJ8" s="107"/>
      <c r="HK8" s="108"/>
      <c r="HM8" s="109">
        <v>1012</v>
      </c>
      <c r="HN8" s="89" t="s">
        <v>89</v>
      </c>
      <c r="HO8" s="90"/>
      <c r="HP8" s="110">
        <f>K$101</f>
        <v>0</v>
      </c>
      <c r="HQ8" s="111">
        <f>L$101</f>
        <v>0</v>
      </c>
      <c r="HR8" s="93" t="s">
        <v>754</v>
      </c>
      <c r="HS8" s="94">
        <f t="shared" si="0"/>
        <v>0</v>
      </c>
      <c r="HU8" s="95" t="s">
        <v>771</v>
      </c>
      <c r="HV8" s="96"/>
      <c r="HW8" s="97">
        <v>2</v>
      </c>
      <c r="HX8" s="112"/>
      <c r="HY8" s="113">
        <f>HS9</f>
        <v>0</v>
      </c>
      <c r="HZ8" s="100" t="s">
        <v>772</v>
      </c>
      <c r="IA8" s="96"/>
      <c r="IB8" s="97">
        <v>69</v>
      </c>
      <c r="IC8" s="112"/>
      <c r="ID8" s="114">
        <f>HS42</f>
        <v>0</v>
      </c>
      <c r="IF8" s="102" t="s">
        <v>866</v>
      </c>
      <c r="IG8" s="103"/>
      <c r="IH8" s="96"/>
      <c r="II8" s="104">
        <v>5</v>
      </c>
      <c r="IJ8" s="105">
        <f>HP71</f>
        <v>0</v>
      </c>
      <c r="IK8" s="106"/>
      <c r="IL8" s="13"/>
    </row>
    <row r="9" ht="14.25" customHeight="1" spans="1:248">
      <c r="A9" s="82">
        <v>1101</v>
      </c>
      <c r="B9" s="83" t="s">
        <v>93</v>
      </c>
      <c r="C9" s="84"/>
      <c r="D9" s="84"/>
      <c r="E9" s="107"/>
      <c r="F9" s="108"/>
      <c r="G9" s="87"/>
      <c r="H9" s="107">
        <v>5000</v>
      </c>
      <c r="I9" s="108"/>
      <c r="J9" s="87"/>
      <c r="K9" s="107"/>
      <c r="L9" s="108"/>
      <c r="M9" s="87"/>
      <c r="N9" s="107"/>
      <c r="O9" s="108"/>
      <c r="P9" s="87"/>
      <c r="Q9" s="107"/>
      <c r="R9" s="108"/>
      <c r="S9" s="87"/>
      <c r="T9" s="107"/>
      <c r="U9" s="108"/>
      <c r="V9" s="87"/>
      <c r="W9" s="107"/>
      <c r="X9" s="108"/>
      <c r="Y9" s="87"/>
      <c r="Z9" s="107"/>
      <c r="AA9" s="108"/>
      <c r="AB9" s="87"/>
      <c r="AC9" s="107"/>
      <c r="AD9" s="108"/>
      <c r="AE9" s="87"/>
      <c r="AF9" s="107"/>
      <c r="AG9" s="108"/>
      <c r="AH9" s="87"/>
      <c r="AI9" s="107"/>
      <c r="AJ9" s="108"/>
      <c r="AK9" s="87"/>
      <c r="AL9" s="107"/>
      <c r="AM9" s="108"/>
      <c r="AN9" s="87"/>
      <c r="AO9" s="107"/>
      <c r="AP9" s="108"/>
      <c r="AQ9" s="87"/>
      <c r="AR9" s="107"/>
      <c r="AS9" s="108"/>
      <c r="AT9" s="87"/>
      <c r="AU9" s="107"/>
      <c r="AV9" s="108"/>
      <c r="AW9" s="87"/>
      <c r="AX9" s="107"/>
      <c r="AY9" s="108"/>
      <c r="AZ9" s="87"/>
      <c r="BA9" s="107"/>
      <c r="BB9" s="108"/>
      <c r="BC9" s="87"/>
      <c r="BD9" s="107"/>
      <c r="BE9" s="108"/>
      <c r="BF9" s="87"/>
      <c r="BG9" s="107"/>
      <c r="BH9" s="108"/>
      <c r="BI9" s="87"/>
      <c r="BJ9" s="107"/>
      <c r="BK9" s="108"/>
      <c r="BL9" s="87"/>
      <c r="BM9" s="107"/>
      <c r="BN9" s="108"/>
      <c r="BO9" s="87"/>
      <c r="BP9" s="107"/>
      <c r="BQ9" s="108"/>
      <c r="BR9" s="87"/>
      <c r="BS9" s="107"/>
      <c r="BT9" s="108"/>
      <c r="BU9" s="87"/>
      <c r="BV9" s="107"/>
      <c r="BW9" s="108"/>
      <c r="BX9" s="87"/>
      <c r="BY9" s="107"/>
      <c r="BZ9" s="108"/>
      <c r="CA9" s="87"/>
      <c r="CB9" s="107"/>
      <c r="CC9" s="108"/>
      <c r="CD9" s="87"/>
      <c r="CE9" s="107"/>
      <c r="CF9" s="108"/>
      <c r="CG9" s="87"/>
      <c r="CH9" s="107"/>
      <c r="CI9" s="108"/>
      <c r="CJ9" s="87"/>
      <c r="CK9" s="107"/>
      <c r="CL9" s="108"/>
      <c r="CM9" s="87"/>
      <c r="CN9" s="107"/>
      <c r="CO9" s="108"/>
      <c r="CP9" s="87"/>
      <c r="CQ9" s="107"/>
      <c r="CR9" s="108"/>
      <c r="CS9" s="87"/>
      <c r="CT9" s="107"/>
      <c r="CU9" s="108"/>
      <c r="CV9" s="87"/>
      <c r="CW9" s="107"/>
      <c r="CX9" s="108"/>
      <c r="CY9" s="87"/>
      <c r="CZ9" s="107"/>
      <c r="DA9" s="108"/>
      <c r="DB9" s="87"/>
      <c r="DC9" s="107"/>
      <c r="DD9" s="108"/>
      <c r="DE9" s="87"/>
      <c r="DF9" s="107"/>
      <c r="DG9" s="108"/>
      <c r="DH9" s="87"/>
      <c r="DI9" s="107"/>
      <c r="DJ9" s="108"/>
      <c r="DK9" s="87"/>
      <c r="DL9" s="107"/>
      <c r="DM9" s="108"/>
      <c r="DN9" s="87"/>
      <c r="DO9" s="107"/>
      <c r="DP9" s="108"/>
      <c r="DQ9" s="87"/>
      <c r="DR9" s="107"/>
      <c r="DS9" s="108"/>
      <c r="DT9" s="87"/>
      <c r="DU9" s="107"/>
      <c r="DV9" s="108"/>
      <c r="DW9" s="87"/>
      <c r="DX9" s="107"/>
      <c r="DY9" s="108"/>
      <c r="DZ9" s="87"/>
      <c r="EA9" s="107"/>
      <c r="EB9" s="108"/>
      <c r="EC9" s="87"/>
      <c r="ED9" s="107"/>
      <c r="EE9" s="108"/>
      <c r="EF9" s="87"/>
      <c r="EG9" s="107"/>
      <c r="EH9" s="108"/>
      <c r="EI9" s="87"/>
      <c r="EJ9" s="107"/>
      <c r="EK9" s="108"/>
      <c r="EL9" s="87"/>
      <c r="EM9" s="107"/>
      <c r="EN9" s="108"/>
      <c r="EO9" s="87"/>
      <c r="EP9" s="107"/>
      <c r="EQ9" s="108"/>
      <c r="ER9" s="87"/>
      <c r="ES9" s="107"/>
      <c r="ET9" s="108"/>
      <c r="EU9" s="87"/>
      <c r="EV9" s="107"/>
      <c r="EW9" s="108"/>
      <c r="EX9" s="87"/>
      <c r="EY9" s="107"/>
      <c r="EZ9" s="108"/>
      <c r="FA9" s="87"/>
      <c r="FB9" s="107"/>
      <c r="FC9" s="108"/>
      <c r="FD9" s="87"/>
      <c r="FE9" s="107"/>
      <c r="FF9" s="108"/>
      <c r="FG9" s="87"/>
      <c r="FH9" s="107"/>
      <c r="FI9" s="108"/>
      <c r="FJ9" s="87"/>
      <c r="FK9" s="107"/>
      <c r="FL9" s="108"/>
      <c r="FM9" s="87"/>
      <c r="FN9" s="107"/>
      <c r="FO9" s="108"/>
      <c r="FP9" s="87"/>
      <c r="FQ9" s="107"/>
      <c r="FR9" s="108"/>
      <c r="FS9" s="87"/>
      <c r="FT9" s="107"/>
      <c r="FU9" s="108"/>
      <c r="FV9" s="87"/>
      <c r="FW9" s="107"/>
      <c r="FX9" s="108"/>
      <c r="FY9" s="87"/>
      <c r="FZ9" s="107"/>
      <c r="GA9" s="108"/>
      <c r="GB9" s="87"/>
      <c r="GC9" s="107"/>
      <c r="GD9" s="108"/>
      <c r="GE9" s="87"/>
      <c r="GF9" s="107"/>
      <c r="GG9" s="108"/>
      <c r="GH9" s="87"/>
      <c r="GI9" s="107"/>
      <c r="GJ9" s="108"/>
      <c r="GK9" s="87"/>
      <c r="GL9" s="107"/>
      <c r="GM9" s="108"/>
      <c r="GN9" s="87"/>
      <c r="GO9" s="107"/>
      <c r="GP9" s="108"/>
      <c r="GQ9" s="87"/>
      <c r="GR9" s="107"/>
      <c r="GS9" s="108"/>
      <c r="GT9" s="87"/>
      <c r="GU9" s="107"/>
      <c r="GV9" s="108"/>
      <c r="GW9" s="87"/>
      <c r="GX9" s="107"/>
      <c r="GY9" s="108"/>
      <c r="GZ9" s="87"/>
      <c r="HA9" s="107"/>
      <c r="HB9" s="108"/>
      <c r="HC9" s="87"/>
      <c r="HD9" s="107"/>
      <c r="HE9" s="108"/>
      <c r="HF9" s="87"/>
      <c r="HG9" s="107"/>
      <c r="HH9" s="108"/>
      <c r="HI9" s="87"/>
      <c r="HJ9" s="107"/>
      <c r="HK9" s="108"/>
      <c r="HM9" s="109">
        <v>1101</v>
      </c>
      <c r="HN9" s="89" t="s">
        <v>93</v>
      </c>
      <c r="HO9" s="90"/>
      <c r="HP9" s="110">
        <f>N$101</f>
        <v>0</v>
      </c>
      <c r="HQ9" s="111">
        <f>O$101</f>
        <v>0</v>
      </c>
      <c r="HR9" s="93" t="s">
        <v>754</v>
      </c>
      <c r="HS9" s="94">
        <f t="shared" si="0"/>
        <v>0</v>
      </c>
      <c r="HU9" s="95" t="s">
        <v>773</v>
      </c>
      <c r="HV9" s="96"/>
      <c r="HW9" s="97">
        <v>3</v>
      </c>
      <c r="HX9" s="112"/>
      <c r="HY9" s="113">
        <f>HS10</f>
        <v>0</v>
      </c>
      <c r="HZ9" s="100" t="s">
        <v>774</v>
      </c>
      <c r="IA9" s="96"/>
      <c r="IB9" s="97">
        <v>70</v>
      </c>
      <c r="IC9" s="112"/>
      <c r="ID9" s="114">
        <f>HS43</f>
        <v>3000</v>
      </c>
      <c r="IF9" s="102" t="s">
        <v>867</v>
      </c>
      <c r="IG9" s="103"/>
      <c r="IH9" s="96"/>
      <c r="II9" s="104">
        <v>10</v>
      </c>
      <c r="IJ9" s="105">
        <f>IJ6-IJ7-IJ8</f>
        <v>0</v>
      </c>
      <c r="IK9" s="115">
        <f>IK6-IK7-IK8</f>
        <v>0</v>
      </c>
      <c r="IL9" s="13"/>
    </row>
    <row r="10" ht="14.25" customHeight="1" spans="1:248">
      <c r="A10" s="82">
        <v>1121</v>
      </c>
      <c r="B10" s="83" t="s">
        <v>99</v>
      </c>
      <c r="C10" s="84"/>
      <c r="D10" s="84"/>
      <c r="E10" s="107"/>
      <c r="F10" s="108"/>
      <c r="G10" s="87"/>
      <c r="H10" s="107"/>
      <c r="I10" s="108">
        <v>10000</v>
      </c>
      <c r="J10" s="87"/>
      <c r="K10" s="107"/>
      <c r="L10" s="108"/>
      <c r="M10" s="87"/>
      <c r="N10" s="107"/>
      <c r="O10" s="108"/>
      <c r="P10" s="87"/>
      <c r="Q10" s="107"/>
      <c r="R10" s="108"/>
      <c r="S10" s="87"/>
      <c r="T10" s="107"/>
      <c r="U10" s="108"/>
      <c r="V10" s="87"/>
      <c r="W10" s="107"/>
      <c r="X10" s="108"/>
      <c r="Y10" s="87"/>
      <c r="Z10" s="107"/>
      <c r="AA10" s="108"/>
      <c r="AB10" s="87"/>
      <c r="AC10" s="107"/>
      <c r="AD10" s="108"/>
      <c r="AE10" s="87"/>
      <c r="AF10" s="107"/>
      <c r="AG10" s="108"/>
      <c r="AH10" s="87"/>
      <c r="AI10" s="107"/>
      <c r="AJ10" s="108"/>
      <c r="AK10" s="87"/>
      <c r="AL10" s="107"/>
      <c r="AM10" s="108"/>
      <c r="AN10" s="87"/>
      <c r="AO10" s="107"/>
      <c r="AP10" s="108"/>
      <c r="AQ10" s="87"/>
      <c r="AR10" s="107"/>
      <c r="AS10" s="108"/>
      <c r="AT10" s="87"/>
      <c r="AU10" s="107"/>
      <c r="AV10" s="108"/>
      <c r="AW10" s="87"/>
      <c r="AX10" s="107"/>
      <c r="AY10" s="108"/>
      <c r="AZ10" s="87"/>
      <c r="BA10" s="107"/>
      <c r="BB10" s="108"/>
      <c r="BC10" s="87"/>
      <c r="BD10" s="107"/>
      <c r="BE10" s="108"/>
      <c r="BF10" s="87"/>
      <c r="BG10" s="107"/>
      <c r="BH10" s="108"/>
      <c r="BI10" s="87"/>
      <c r="BJ10" s="107"/>
      <c r="BK10" s="108"/>
      <c r="BL10" s="87"/>
      <c r="BM10" s="107"/>
      <c r="BN10" s="108"/>
      <c r="BO10" s="87"/>
      <c r="BP10" s="107"/>
      <c r="BQ10" s="108"/>
      <c r="BR10" s="87"/>
      <c r="BS10" s="107"/>
      <c r="BT10" s="108"/>
      <c r="BU10" s="87"/>
      <c r="BV10" s="107"/>
      <c r="BW10" s="108"/>
      <c r="BX10" s="87"/>
      <c r="BY10" s="107"/>
      <c r="BZ10" s="108"/>
      <c r="CA10" s="87"/>
      <c r="CB10" s="107"/>
      <c r="CC10" s="108"/>
      <c r="CD10" s="87"/>
      <c r="CE10" s="107"/>
      <c r="CF10" s="108"/>
      <c r="CG10" s="87"/>
      <c r="CH10" s="107"/>
      <c r="CI10" s="108"/>
      <c r="CJ10" s="87"/>
      <c r="CK10" s="107"/>
      <c r="CL10" s="108"/>
      <c r="CM10" s="87"/>
      <c r="CN10" s="107"/>
      <c r="CO10" s="108"/>
      <c r="CP10" s="87"/>
      <c r="CQ10" s="107"/>
      <c r="CR10" s="108"/>
      <c r="CS10" s="87"/>
      <c r="CT10" s="107"/>
      <c r="CU10" s="108"/>
      <c r="CV10" s="87"/>
      <c r="CW10" s="107"/>
      <c r="CX10" s="108"/>
      <c r="CY10" s="87"/>
      <c r="CZ10" s="107"/>
      <c r="DA10" s="108"/>
      <c r="DB10" s="87"/>
      <c r="DC10" s="107"/>
      <c r="DD10" s="108"/>
      <c r="DE10" s="87"/>
      <c r="DF10" s="107"/>
      <c r="DG10" s="108"/>
      <c r="DH10" s="87"/>
      <c r="DI10" s="107"/>
      <c r="DJ10" s="108"/>
      <c r="DK10" s="87"/>
      <c r="DL10" s="107"/>
      <c r="DM10" s="108"/>
      <c r="DN10" s="87"/>
      <c r="DO10" s="107"/>
      <c r="DP10" s="108"/>
      <c r="DQ10" s="87"/>
      <c r="DR10" s="107"/>
      <c r="DS10" s="108"/>
      <c r="DT10" s="87"/>
      <c r="DU10" s="107"/>
      <c r="DV10" s="108"/>
      <c r="DW10" s="87"/>
      <c r="DX10" s="107"/>
      <c r="DY10" s="108"/>
      <c r="DZ10" s="87"/>
      <c r="EA10" s="107"/>
      <c r="EB10" s="108"/>
      <c r="EC10" s="87"/>
      <c r="ED10" s="107"/>
      <c r="EE10" s="108"/>
      <c r="EF10" s="87"/>
      <c r="EG10" s="107"/>
      <c r="EH10" s="108"/>
      <c r="EI10" s="87"/>
      <c r="EJ10" s="107"/>
      <c r="EK10" s="108"/>
      <c r="EL10" s="87"/>
      <c r="EM10" s="107"/>
      <c r="EN10" s="108"/>
      <c r="EO10" s="87"/>
      <c r="EP10" s="107"/>
      <c r="EQ10" s="108"/>
      <c r="ER10" s="87"/>
      <c r="ES10" s="107"/>
      <c r="ET10" s="108"/>
      <c r="EU10" s="87"/>
      <c r="EV10" s="107"/>
      <c r="EW10" s="108"/>
      <c r="EX10" s="87"/>
      <c r="EY10" s="107"/>
      <c r="EZ10" s="108"/>
      <c r="FA10" s="87"/>
      <c r="FB10" s="107"/>
      <c r="FC10" s="108"/>
      <c r="FD10" s="87"/>
      <c r="FE10" s="107"/>
      <c r="FF10" s="108"/>
      <c r="FG10" s="87"/>
      <c r="FH10" s="107"/>
      <c r="FI10" s="108"/>
      <c r="FJ10" s="87"/>
      <c r="FK10" s="107"/>
      <c r="FL10" s="108"/>
      <c r="FM10" s="87"/>
      <c r="FN10" s="107"/>
      <c r="FO10" s="108"/>
      <c r="FP10" s="87"/>
      <c r="FQ10" s="107"/>
      <c r="FR10" s="108"/>
      <c r="FS10" s="87"/>
      <c r="FT10" s="107"/>
      <c r="FU10" s="108"/>
      <c r="FV10" s="87"/>
      <c r="FW10" s="107"/>
      <c r="FX10" s="108"/>
      <c r="FY10" s="87"/>
      <c r="FZ10" s="107"/>
      <c r="GA10" s="108"/>
      <c r="GB10" s="87"/>
      <c r="GC10" s="107"/>
      <c r="GD10" s="108"/>
      <c r="GE10" s="87"/>
      <c r="GF10" s="107"/>
      <c r="GG10" s="108"/>
      <c r="GH10" s="87"/>
      <c r="GI10" s="107"/>
      <c r="GJ10" s="108"/>
      <c r="GK10" s="87"/>
      <c r="GL10" s="107"/>
      <c r="GM10" s="108"/>
      <c r="GN10" s="87"/>
      <c r="GO10" s="107"/>
      <c r="GP10" s="108"/>
      <c r="GQ10" s="87"/>
      <c r="GR10" s="107"/>
      <c r="GS10" s="108"/>
      <c r="GT10" s="87"/>
      <c r="GU10" s="107"/>
      <c r="GV10" s="108"/>
      <c r="GW10" s="87"/>
      <c r="GX10" s="107"/>
      <c r="GY10" s="108"/>
      <c r="GZ10" s="87"/>
      <c r="HA10" s="107"/>
      <c r="HB10" s="108"/>
      <c r="HC10" s="87"/>
      <c r="HD10" s="107"/>
      <c r="HE10" s="108"/>
      <c r="HF10" s="87"/>
      <c r="HG10" s="107"/>
      <c r="HH10" s="108"/>
      <c r="HI10" s="87"/>
      <c r="HJ10" s="107"/>
      <c r="HK10" s="108"/>
      <c r="HM10" s="109">
        <v>1121</v>
      </c>
      <c r="HN10" s="89" t="s">
        <v>99</v>
      </c>
      <c r="HO10" s="90"/>
      <c r="HP10" s="110">
        <f>Q$101</f>
        <v>0</v>
      </c>
      <c r="HQ10" s="111">
        <f>R$101</f>
        <v>0</v>
      </c>
      <c r="HR10" s="93" t="s">
        <v>754</v>
      </c>
      <c r="HS10" s="94">
        <f t="shared" si="0"/>
        <v>0</v>
      </c>
      <c r="HU10" s="95" t="s">
        <v>775</v>
      </c>
      <c r="HV10" s="96"/>
      <c r="HW10" s="97">
        <v>4</v>
      </c>
      <c r="HX10" s="112"/>
      <c r="HY10" s="113">
        <f>HS13</f>
        <v>0</v>
      </c>
      <c r="HZ10" s="100" t="s">
        <v>776</v>
      </c>
      <c r="IA10" s="96"/>
      <c r="IB10" s="97">
        <v>71</v>
      </c>
      <c r="IC10" s="112"/>
      <c r="ID10" s="114">
        <f>HS44</f>
        <v>0</v>
      </c>
      <c r="IF10" s="102" t="s">
        <v>868</v>
      </c>
      <c r="IG10" s="103"/>
      <c r="IH10" s="96"/>
      <c r="II10" s="104">
        <v>11</v>
      </c>
      <c r="IJ10" s="105">
        <f>HQ66-HP70</f>
        <v>0</v>
      </c>
      <c r="IK10" s="106"/>
      <c r="IL10" s="13"/>
    </row>
    <row r="11" ht="14.25" customHeight="1" spans="1:248">
      <c r="A11" s="82">
        <v>1122</v>
      </c>
      <c r="B11" s="83" t="s">
        <v>102</v>
      </c>
      <c r="C11" s="84"/>
      <c r="D11" s="84"/>
      <c r="E11" s="107"/>
      <c r="F11" s="108"/>
      <c r="G11" s="87"/>
      <c r="H11" s="107"/>
      <c r="I11" s="108"/>
      <c r="J11" s="87"/>
      <c r="K11" s="107"/>
      <c r="L11" s="108"/>
      <c r="M11" s="87"/>
      <c r="N11" s="107"/>
      <c r="O11" s="108"/>
      <c r="P11" s="87"/>
      <c r="Q11" s="107"/>
      <c r="R11" s="108"/>
      <c r="S11" s="87"/>
      <c r="T11" s="107"/>
      <c r="U11" s="108"/>
      <c r="V11" s="87"/>
      <c r="W11" s="107"/>
      <c r="X11" s="108"/>
      <c r="Y11" s="87"/>
      <c r="Z11" s="107"/>
      <c r="AA11" s="108"/>
      <c r="AB11" s="87"/>
      <c r="AC11" s="107"/>
      <c r="AD11" s="108"/>
      <c r="AE11" s="87"/>
      <c r="AF11" s="107"/>
      <c r="AG11" s="108"/>
      <c r="AH11" s="87"/>
      <c r="AI11" s="107"/>
      <c r="AJ11" s="108"/>
      <c r="AK11" s="87"/>
      <c r="AL11" s="107"/>
      <c r="AM11" s="108"/>
      <c r="AN11" s="87"/>
      <c r="AO11" s="107"/>
      <c r="AP11" s="108"/>
      <c r="AQ11" s="87"/>
      <c r="AR11" s="107"/>
      <c r="AS11" s="108"/>
      <c r="AT11" s="87"/>
      <c r="AU11" s="107"/>
      <c r="AV11" s="108"/>
      <c r="AW11" s="87"/>
      <c r="AX11" s="107"/>
      <c r="AY11" s="108"/>
      <c r="AZ11" s="87"/>
      <c r="BA11" s="107"/>
      <c r="BB11" s="108"/>
      <c r="BC11" s="87"/>
      <c r="BD11" s="107"/>
      <c r="BE11" s="108"/>
      <c r="BF11" s="87"/>
      <c r="BG11" s="107"/>
      <c r="BH11" s="108"/>
      <c r="BI11" s="87"/>
      <c r="BJ11" s="107"/>
      <c r="BK11" s="108"/>
      <c r="BL11" s="87"/>
      <c r="BM11" s="107"/>
      <c r="BN11" s="108"/>
      <c r="BO11" s="87"/>
      <c r="BP11" s="107"/>
      <c r="BQ11" s="108"/>
      <c r="BR11" s="87"/>
      <c r="BS11" s="107"/>
      <c r="BT11" s="108"/>
      <c r="BU11" s="87"/>
      <c r="BV11" s="107"/>
      <c r="BW11" s="108"/>
      <c r="BX11" s="87"/>
      <c r="BY11" s="107"/>
      <c r="BZ11" s="108"/>
      <c r="CA11" s="87"/>
      <c r="CB11" s="107"/>
      <c r="CC11" s="108"/>
      <c r="CD11" s="87"/>
      <c r="CE11" s="107"/>
      <c r="CF11" s="108"/>
      <c r="CG11" s="87"/>
      <c r="CH11" s="107"/>
      <c r="CI11" s="108"/>
      <c r="CJ11" s="87"/>
      <c r="CK11" s="107"/>
      <c r="CL11" s="108"/>
      <c r="CM11" s="87"/>
      <c r="CN11" s="107"/>
      <c r="CO11" s="108"/>
      <c r="CP11" s="87"/>
      <c r="CQ11" s="107"/>
      <c r="CR11" s="108"/>
      <c r="CS11" s="87"/>
      <c r="CT11" s="107"/>
      <c r="CU11" s="108"/>
      <c r="CV11" s="87"/>
      <c r="CW11" s="107"/>
      <c r="CX11" s="108"/>
      <c r="CY11" s="87"/>
      <c r="CZ11" s="107"/>
      <c r="DA11" s="108"/>
      <c r="DB11" s="87"/>
      <c r="DC11" s="107"/>
      <c r="DD11" s="108"/>
      <c r="DE11" s="87"/>
      <c r="DF11" s="107"/>
      <c r="DG11" s="108"/>
      <c r="DH11" s="87"/>
      <c r="DI11" s="107"/>
      <c r="DJ11" s="108"/>
      <c r="DK11" s="87"/>
      <c r="DL11" s="107"/>
      <c r="DM11" s="108"/>
      <c r="DN11" s="87"/>
      <c r="DO11" s="107"/>
      <c r="DP11" s="108"/>
      <c r="DQ11" s="87"/>
      <c r="DR11" s="107"/>
      <c r="DS11" s="108"/>
      <c r="DT11" s="87"/>
      <c r="DU11" s="107"/>
      <c r="DV11" s="108"/>
      <c r="DW11" s="87"/>
      <c r="DX11" s="107"/>
      <c r="DY11" s="108"/>
      <c r="DZ11" s="87"/>
      <c r="EA11" s="107"/>
      <c r="EB11" s="108"/>
      <c r="EC11" s="87"/>
      <c r="ED11" s="107"/>
      <c r="EE11" s="108"/>
      <c r="EF11" s="87"/>
      <c r="EG11" s="107"/>
      <c r="EH11" s="108"/>
      <c r="EI11" s="87"/>
      <c r="EJ11" s="107"/>
      <c r="EK11" s="108"/>
      <c r="EL11" s="87"/>
      <c r="EM11" s="107"/>
      <c r="EN11" s="108"/>
      <c r="EO11" s="87"/>
      <c r="EP11" s="107"/>
      <c r="EQ11" s="108"/>
      <c r="ER11" s="87"/>
      <c r="ES11" s="107"/>
      <c r="ET11" s="108"/>
      <c r="EU11" s="87"/>
      <c r="EV11" s="107"/>
      <c r="EW11" s="108"/>
      <c r="EX11" s="87"/>
      <c r="EY11" s="107"/>
      <c r="EZ11" s="108"/>
      <c r="FA11" s="87"/>
      <c r="FB11" s="107"/>
      <c r="FC11" s="108"/>
      <c r="FD11" s="87"/>
      <c r="FE11" s="107"/>
      <c r="FF11" s="108"/>
      <c r="FG11" s="87"/>
      <c r="FH11" s="107"/>
      <c r="FI11" s="108"/>
      <c r="FJ11" s="87"/>
      <c r="FK11" s="107"/>
      <c r="FL11" s="108"/>
      <c r="FM11" s="87"/>
      <c r="FN11" s="107"/>
      <c r="FO11" s="108"/>
      <c r="FP11" s="87"/>
      <c r="FQ11" s="107"/>
      <c r="FR11" s="108"/>
      <c r="FS11" s="87"/>
      <c r="FT11" s="107"/>
      <c r="FU11" s="108"/>
      <c r="FV11" s="87"/>
      <c r="FW11" s="107"/>
      <c r="FX11" s="108"/>
      <c r="FY11" s="87"/>
      <c r="FZ11" s="107"/>
      <c r="GA11" s="108"/>
      <c r="GB11" s="87"/>
      <c r="GC11" s="107"/>
      <c r="GD11" s="108"/>
      <c r="GE11" s="87"/>
      <c r="GF11" s="107"/>
      <c r="GG11" s="108"/>
      <c r="GH11" s="87"/>
      <c r="GI11" s="107"/>
      <c r="GJ11" s="108"/>
      <c r="GK11" s="87"/>
      <c r="GL11" s="107"/>
      <c r="GM11" s="108"/>
      <c r="GN11" s="87"/>
      <c r="GO11" s="107"/>
      <c r="GP11" s="108"/>
      <c r="GQ11" s="87"/>
      <c r="GR11" s="107"/>
      <c r="GS11" s="108"/>
      <c r="GT11" s="87"/>
      <c r="GU11" s="107"/>
      <c r="GV11" s="108"/>
      <c r="GW11" s="87"/>
      <c r="GX11" s="107"/>
      <c r="GY11" s="108"/>
      <c r="GZ11" s="87"/>
      <c r="HA11" s="107"/>
      <c r="HB11" s="108"/>
      <c r="HC11" s="87"/>
      <c r="HD11" s="107"/>
      <c r="HE11" s="108"/>
      <c r="HF11" s="87"/>
      <c r="HG11" s="107"/>
      <c r="HH11" s="108"/>
      <c r="HI11" s="87"/>
      <c r="HJ11" s="107"/>
      <c r="HK11" s="108"/>
      <c r="HM11" s="109">
        <v>1122</v>
      </c>
      <c r="HN11" s="89" t="s">
        <v>102</v>
      </c>
      <c r="HO11" s="90">
        <v>16000</v>
      </c>
      <c r="HP11" s="110">
        <f>T$101</f>
        <v>0</v>
      </c>
      <c r="HQ11" s="111">
        <f>U$101</f>
        <v>14000</v>
      </c>
      <c r="HR11" s="93" t="s">
        <v>754</v>
      </c>
      <c r="HS11" s="94">
        <f t="shared" si="0"/>
        <v>2000</v>
      </c>
      <c r="HU11" s="95" t="s">
        <v>777</v>
      </c>
      <c r="HV11" s="96"/>
      <c r="HW11" s="97">
        <v>5</v>
      </c>
      <c r="HX11" s="112"/>
      <c r="HY11" s="113">
        <f>HS14</f>
        <v>0</v>
      </c>
      <c r="HZ11" s="100" t="s">
        <v>778</v>
      </c>
      <c r="IA11" s="96"/>
      <c r="IB11" s="97">
        <v>72</v>
      </c>
      <c r="IC11" s="112"/>
      <c r="ID11" s="114">
        <f>HS45</f>
        <v>0</v>
      </c>
      <c r="IF11" s="102" t="s">
        <v>869</v>
      </c>
      <c r="IG11" s="103"/>
      <c r="IH11" s="96"/>
      <c r="II11" s="104">
        <v>14</v>
      </c>
      <c r="IJ11" s="105">
        <f>HP72</f>
        <v>0</v>
      </c>
      <c r="IK11" s="106"/>
      <c r="IL11" s="13"/>
    </row>
    <row r="12" ht="14.25" customHeight="1" spans="1:248">
      <c r="A12" s="82">
        <v>1123</v>
      </c>
      <c r="B12" s="83" t="s">
        <v>107</v>
      </c>
      <c r="C12" s="84"/>
      <c r="D12" s="84"/>
      <c r="E12" s="107"/>
      <c r="F12" s="108"/>
      <c r="G12" s="87"/>
      <c r="H12" s="107"/>
      <c r="I12" s="108"/>
      <c r="J12" s="87"/>
      <c r="K12" s="107"/>
      <c r="L12" s="108"/>
      <c r="M12" s="87"/>
      <c r="N12" s="107"/>
      <c r="O12" s="108"/>
      <c r="P12" s="87"/>
      <c r="Q12" s="107"/>
      <c r="R12" s="108"/>
      <c r="S12" s="87"/>
      <c r="T12" s="107"/>
      <c r="U12" s="108"/>
      <c r="V12" s="87"/>
      <c r="W12" s="107"/>
      <c r="X12" s="108"/>
      <c r="Y12" s="87"/>
      <c r="Z12" s="107"/>
      <c r="AA12" s="108"/>
      <c r="AB12" s="87"/>
      <c r="AC12" s="107"/>
      <c r="AD12" s="108"/>
      <c r="AE12" s="87"/>
      <c r="AF12" s="107"/>
      <c r="AG12" s="108"/>
      <c r="AH12" s="87"/>
      <c r="AI12" s="107"/>
      <c r="AJ12" s="108"/>
      <c r="AK12" s="87"/>
      <c r="AL12" s="107"/>
      <c r="AM12" s="108"/>
      <c r="AN12" s="87"/>
      <c r="AO12" s="107"/>
      <c r="AP12" s="108"/>
      <c r="AQ12" s="87"/>
      <c r="AR12" s="107"/>
      <c r="AS12" s="108"/>
      <c r="AT12" s="87"/>
      <c r="AU12" s="107"/>
      <c r="AV12" s="108"/>
      <c r="AW12" s="87"/>
      <c r="AX12" s="107"/>
      <c r="AY12" s="108"/>
      <c r="AZ12" s="87"/>
      <c r="BA12" s="107"/>
      <c r="BB12" s="108"/>
      <c r="BC12" s="87"/>
      <c r="BD12" s="107"/>
      <c r="BE12" s="108"/>
      <c r="BF12" s="87"/>
      <c r="BG12" s="107"/>
      <c r="BH12" s="108"/>
      <c r="BI12" s="87"/>
      <c r="BJ12" s="107"/>
      <c r="BK12" s="108"/>
      <c r="BL12" s="87"/>
      <c r="BM12" s="107"/>
      <c r="BN12" s="108"/>
      <c r="BO12" s="87"/>
      <c r="BP12" s="107"/>
      <c r="BQ12" s="108"/>
      <c r="BR12" s="87"/>
      <c r="BS12" s="107"/>
      <c r="BT12" s="108"/>
      <c r="BU12" s="87"/>
      <c r="BV12" s="107"/>
      <c r="BW12" s="108"/>
      <c r="BX12" s="87"/>
      <c r="BY12" s="107"/>
      <c r="BZ12" s="108"/>
      <c r="CA12" s="87"/>
      <c r="CB12" s="107"/>
      <c r="CC12" s="108"/>
      <c r="CD12" s="87"/>
      <c r="CE12" s="107"/>
      <c r="CF12" s="108"/>
      <c r="CG12" s="87"/>
      <c r="CH12" s="107"/>
      <c r="CI12" s="108"/>
      <c r="CJ12" s="87"/>
      <c r="CK12" s="107"/>
      <c r="CL12" s="108"/>
      <c r="CM12" s="87"/>
      <c r="CN12" s="107"/>
      <c r="CO12" s="108"/>
      <c r="CP12" s="87"/>
      <c r="CQ12" s="107"/>
      <c r="CR12" s="108"/>
      <c r="CS12" s="87"/>
      <c r="CT12" s="107"/>
      <c r="CU12" s="108"/>
      <c r="CV12" s="87"/>
      <c r="CW12" s="107"/>
      <c r="CX12" s="108"/>
      <c r="CY12" s="87"/>
      <c r="CZ12" s="107"/>
      <c r="DA12" s="108"/>
      <c r="DB12" s="87"/>
      <c r="DC12" s="107"/>
      <c r="DD12" s="108"/>
      <c r="DE12" s="87"/>
      <c r="DF12" s="107"/>
      <c r="DG12" s="108"/>
      <c r="DH12" s="87"/>
      <c r="DI12" s="107"/>
      <c r="DJ12" s="108"/>
      <c r="DK12" s="87"/>
      <c r="DL12" s="107"/>
      <c r="DM12" s="108"/>
      <c r="DN12" s="87"/>
      <c r="DO12" s="107"/>
      <c r="DP12" s="108"/>
      <c r="DQ12" s="87"/>
      <c r="DR12" s="107"/>
      <c r="DS12" s="108"/>
      <c r="DT12" s="87"/>
      <c r="DU12" s="107"/>
      <c r="DV12" s="108"/>
      <c r="DW12" s="87"/>
      <c r="DX12" s="107"/>
      <c r="DY12" s="108"/>
      <c r="DZ12" s="87"/>
      <c r="EA12" s="107"/>
      <c r="EB12" s="108"/>
      <c r="EC12" s="87"/>
      <c r="ED12" s="107"/>
      <c r="EE12" s="108"/>
      <c r="EF12" s="87"/>
      <c r="EG12" s="107"/>
      <c r="EH12" s="108"/>
      <c r="EI12" s="87"/>
      <c r="EJ12" s="107"/>
      <c r="EK12" s="108"/>
      <c r="EL12" s="87"/>
      <c r="EM12" s="107"/>
      <c r="EN12" s="108"/>
      <c r="EO12" s="87"/>
      <c r="EP12" s="107"/>
      <c r="EQ12" s="108"/>
      <c r="ER12" s="87"/>
      <c r="ES12" s="107"/>
      <c r="ET12" s="108"/>
      <c r="EU12" s="87"/>
      <c r="EV12" s="107"/>
      <c r="EW12" s="108"/>
      <c r="EX12" s="87"/>
      <c r="EY12" s="107"/>
      <c r="EZ12" s="108"/>
      <c r="FA12" s="87"/>
      <c r="FB12" s="107"/>
      <c r="FC12" s="108"/>
      <c r="FD12" s="87"/>
      <c r="FE12" s="107"/>
      <c r="FF12" s="108"/>
      <c r="FG12" s="87"/>
      <c r="FH12" s="107"/>
      <c r="FI12" s="108"/>
      <c r="FJ12" s="87"/>
      <c r="FK12" s="107"/>
      <c r="FL12" s="108"/>
      <c r="FM12" s="87"/>
      <c r="FN12" s="107"/>
      <c r="FO12" s="108"/>
      <c r="FP12" s="87"/>
      <c r="FQ12" s="107"/>
      <c r="FR12" s="108"/>
      <c r="FS12" s="87"/>
      <c r="FT12" s="107"/>
      <c r="FU12" s="108"/>
      <c r="FV12" s="87"/>
      <c r="FW12" s="107"/>
      <c r="FX12" s="108"/>
      <c r="FY12" s="87"/>
      <c r="FZ12" s="107"/>
      <c r="GA12" s="108"/>
      <c r="GB12" s="87"/>
      <c r="GC12" s="107"/>
      <c r="GD12" s="108"/>
      <c r="GE12" s="87"/>
      <c r="GF12" s="107"/>
      <c r="GG12" s="108"/>
      <c r="GH12" s="87"/>
      <c r="GI12" s="107"/>
      <c r="GJ12" s="108"/>
      <c r="GK12" s="87"/>
      <c r="GL12" s="107"/>
      <c r="GM12" s="108"/>
      <c r="GN12" s="87"/>
      <c r="GO12" s="107"/>
      <c r="GP12" s="108"/>
      <c r="GQ12" s="87"/>
      <c r="GR12" s="107"/>
      <c r="GS12" s="108"/>
      <c r="GT12" s="87"/>
      <c r="GU12" s="107"/>
      <c r="GV12" s="108"/>
      <c r="GW12" s="87"/>
      <c r="GX12" s="107"/>
      <c r="GY12" s="108"/>
      <c r="GZ12" s="87"/>
      <c r="HA12" s="107"/>
      <c r="HB12" s="108"/>
      <c r="HC12" s="87"/>
      <c r="HD12" s="107"/>
      <c r="HE12" s="108"/>
      <c r="HF12" s="87"/>
      <c r="HG12" s="107"/>
      <c r="HH12" s="108"/>
      <c r="HI12" s="87"/>
      <c r="HJ12" s="107"/>
      <c r="HK12" s="108"/>
      <c r="HM12" s="109">
        <v>1123</v>
      </c>
      <c r="HN12" s="89" t="s">
        <v>107</v>
      </c>
      <c r="HO12" s="90"/>
      <c r="HP12" s="110">
        <f>W$101</f>
        <v>0</v>
      </c>
      <c r="HQ12" s="111">
        <f>X$101</f>
        <v>0</v>
      </c>
      <c r="HR12" s="93" t="s">
        <v>754</v>
      </c>
      <c r="HS12" s="94">
        <f t="shared" si="0"/>
        <v>0</v>
      </c>
      <c r="HU12" s="95" t="s">
        <v>779</v>
      </c>
      <c r="HV12" s="96"/>
      <c r="HW12" s="97">
        <v>6</v>
      </c>
      <c r="HX12" s="112"/>
      <c r="HY12" s="113">
        <f>HS11-HS16</f>
        <v>2000</v>
      </c>
      <c r="HZ12" s="100" t="s">
        <v>780</v>
      </c>
      <c r="IA12" s="96"/>
      <c r="IB12" s="97">
        <v>73</v>
      </c>
      <c r="IC12" s="112"/>
      <c r="ID12" s="116"/>
      <c r="IF12" s="102" t="s">
        <v>870</v>
      </c>
      <c r="IG12" s="103"/>
      <c r="IH12" s="96"/>
      <c r="II12" s="104">
        <v>15</v>
      </c>
      <c r="IJ12" s="105">
        <f>HP73</f>
        <v>0</v>
      </c>
      <c r="IK12" s="106"/>
      <c r="IL12" s="13"/>
    </row>
    <row r="13" ht="14.25" customHeight="1" spans="1:248">
      <c r="A13" s="82">
        <v>1131</v>
      </c>
      <c r="B13" s="83" t="s">
        <v>110</v>
      </c>
      <c r="C13" s="84"/>
      <c r="D13" s="84"/>
      <c r="E13" s="107"/>
      <c r="F13" s="108"/>
      <c r="G13" s="87"/>
      <c r="H13" s="107"/>
      <c r="I13" s="108"/>
      <c r="J13" s="87"/>
      <c r="K13" s="107"/>
      <c r="L13" s="108"/>
      <c r="M13" s="87"/>
      <c r="N13" s="107"/>
      <c r="O13" s="108"/>
      <c r="P13" s="87"/>
      <c r="Q13" s="107"/>
      <c r="R13" s="108"/>
      <c r="S13" s="87"/>
      <c r="T13" s="107"/>
      <c r="U13" s="108"/>
      <c r="V13" s="87"/>
      <c r="W13" s="107"/>
      <c r="X13" s="108"/>
      <c r="Y13" s="87"/>
      <c r="Z13" s="107"/>
      <c r="AA13" s="108"/>
      <c r="AB13" s="87"/>
      <c r="AC13" s="107"/>
      <c r="AD13" s="108"/>
      <c r="AE13" s="87"/>
      <c r="AF13" s="107"/>
      <c r="AG13" s="108"/>
      <c r="AH13" s="87"/>
      <c r="AI13" s="107"/>
      <c r="AJ13" s="108"/>
      <c r="AK13" s="87"/>
      <c r="AL13" s="107"/>
      <c r="AM13" s="108"/>
      <c r="AN13" s="87"/>
      <c r="AO13" s="107"/>
      <c r="AP13" s="108"/>
      <c r="AQ13" s="87"/>
      <c r="AR13" s="107"/>
      <c r="AS13" s="108"/>
      <c r="AT13" s="87"/>
      <c r="AU13" s="107"/>
      <c r="AV13" s="108"/>
      <c r="AW13" s="87"/>
      <c r="AX13" s="107"/>
      <c r="AY13" s="108"/>
      <c r="AZ13" s="87"/>
      <c r="BA13" s="107"/>
      <c r="BB13" s="108"/>
      <c r="BC13" s="87"/>
      <c r="BD13" s="107"/>
      <c r="BE13" s="108"/>
      <c r="BF13" s="87"/>
      <c r="BG13" s="107"/>
      <c r="BH13" s="108"/>
      <c r="BI13" s="87"/>
      <c r="BJ13" s="107"/>
      <c r="BK13" s="108"/>
      <c r="BL13" s="87"/>
      <c r="BM13" s="107"/>
      <c r="BN13" s="108"/>
      <c r="BO13" s="87"/>
      <c r="BP13" s="107"/>
      <c r="BQ13" s="108"/>
      <c r="BR13" s="87"/>
      <c r="BS13" s="107"/>
      <c r="BT13" s="108"/>
      <c r="BU13" s="87"/>
      <c r="BV13" s="107"/>
      <c r="BW13" s="108"/>
      <c r="BX13" s="87"/>
      <c r="BY13" s="107"/>
      <c r="BZ13" s="108"/>
      <c r="CA13" s="87"/>
      <c r="CB13" s="107"/>
      <c r="CC13" s="108"/>
      <c r="CD13" s="87"/>
      <c r="CE13" s="107"/>
      <c r="CF13" s="108"/>
      <c r="CG13" s="87"/>
      <c r="CH13" s="107"/>
      <c r="CI13" s="108"/>
      <c r="CJ13" s="87"/>
      <c r="CK13" s="107"/>
      <c r="CL13" s="108"/>
      <c r="CM13" s="87"/>
      <c r="CN13" s="107"/>
      <c r="CO13" s="108"/>
      <c r="CP13" s="87"/>
      <c r="CQ13" s="107"/>
      <c r="CR13" s="108"/>
      <c r="CS13" s="87"/>
      <c r="CT13" s="107"/>
      <c r="CU13" s="108"/>
      <c r="CV13" s="87"/>
      <c r="CW13" s="107"/>
      <c r="CX13" s="108"/>
      <c r="CY13" s="87"/>
      <c r="CZ13" s="107"/>
      <c r="DA13" s="108"/>
      <c r="DB13" s="87"/>
      <c r="DC13" s="107"/>
      <c r="DD13" s="108"/>
      <c r="DE13" s="87"/>
      <c r="DF13" s="107"/>
      <c r="DG13" s="108"/>
      <c r="DH13" s="87"/>
      <c r="DI13" s="107"/>
      <c r="DJ13" s="108"/>
      <c r="DK13" s="87"/>
      <c r="DL13" s="107"/>
      <c r="DM13" s="108"/>
      <c r="DN13" s="87"/>
      <c r="DO13" s="107"/>
      <c r="DP13" s="108"/>
      <c r="DQ13" s="87"/>
      <c r="DR13" s="107"/>
      <c r="DS13" s="108"/>
      <c r="DT13" s="87"/>
      <c r="DU13" s="107"/>
      <c r="DV13" s="108"/>
      <c r="DW13" s="87"/>
      <c r="DX13" s="107"/>
      <c r="DY13" s="108"/>
      <c r="DZ13" s="87"/>
      <c r="EA13" s="107"/>
      <c r="EB13" s="108"/>
      <c r="EC13" s="87"/>
      <c r="ED13" s="107"/>
      <c r="EE13" s="108"/>
      <c r="EF13" s="87"/>
      <c r="EG13" s="107"/>
      <c r="EH13" s="108"/>
      <c r="EI13" s="87"/>
      <c r="EJ13" s="107"/>
      <c r="EK13" s="108"/>
      <c r="EL13" s="87"/>
      <c r="EM13" s="107"/>
      <c r="EN13" s="108"/>
      <c r="EO13" s="87"/>
      <c r="EP13" s="107"/>
      <c r="EQ13" s="108"/>
      <c r="ER13" s="87"/>
      <c r="ES13" s="107"/>
      <c r="ET13" s="108"/>
      <c r="EU13" s="87"/>
      <c r="EV13" s="107"/>
      <c r="EW13" s="108"/>
      <c r="EX13" s="87"/>
      <c r="EY13" s="107"/>
      <c r="EZ13" s="108"/>
      <c r="FA13" s="87"/>
      <c r="FB13" s="107"/>
      <c r="FC13" s="108"/>
      <c r="FD13" s="87"/>
      <c r="FE13" s="107"/>
      <c r="FF13" s="108"/>
      <c r="FG13" s="87"/>
      <c r="FH13" s="107"/>
      <c r="FI13" s="108"/>
      <c r="FJ13" s="87"/>
      <c r="FK13" s="107"/>
      <c r="FL13" s="108"/>
      <c r="FM13" s="87"/>
      <c r="FN13" s="107"/>
      <c r="FO13" s="108"/>
      <c r="FP13" s="87"/>
      <c r="FQ13" s="107"/>
      <c r="FR13" s="108"/>
      <c r="FS13" s="87"/>
      <c r="FT13" s="107"/>
      <c r="FU13" s="108"/>
      <c r="FV13" s="87"/>
      <c r="FW13" s="107"/>
      <c r="FX13" s="108"/>
      <c r="FY13" s="87"/>
      <c r="FZ13" s="107"/>
      <c r="GA13" s="108"/>
      <c r="GB13" s="87"/>
      <c r="GC13" s="107"/>
      <c r="GD13" s="108"/>
      <c r="GE13" s="87"/>
      <c r="GF13" s="107"/>
      <c r="GG13" s="108"/>
      <c r="GH13" s="87"/>
      <c r="GI13" s="107"/>
      <c r="GJ13" s="108"/>
      <c r="GK13" s="87"/>
      <c r="GL13" s="107"/>
      <c r="GM13" s="108"/>
      <c r="GN13" s="87"/>
      <c r="GO13" s="107"/>
      <c r="GP13" s="108"/>
      <c r="GQ13" s="87"/>
      <c r="GR13" s="107"/>
      <c r="GS13" s="108"/>
      <c r="GT13" s="87"/>
      <c r="GU13" s="107"/>
      <c r="GV13" s="108"/>
      <c r="GW13" s="87"/>
      <c r="GX13" s="107"/>
      <c r="GY13" s="108"/>
      <c r="GZ13" s="87"/>
      <c r="HA13" s="107"/>
      <c r="HB13" s="108"/>
      <c r="HC13" s="87"/>
      <c r="HD13" s="107"/>
      <c r="HE13" s="108"/>
      <c r="HF13" s="87"/>
      <c r="HG13" s="107"/>
      <c r="HH13" s="108"/>
      <c r="HI13" s="87"/>
      <c r="HJ13" s="107"/>
      <c r="HK13" s="108"/>
      <c r="HM13" s="109">
        <v>1131</v>
      </c>
      <c r="HN13" s="89" t="s">
        <v>110</v>
      </c>
      <c r="HO13" s="90"/>
      <c r="HP13" s="110">
        <f>Z$101</f>
        <v>0</v>
      </c>
      <c r="HQ13" s="111">
        <f>AA$101</f>
        <v>0</v>
      </c>
      <c r="HR13" s="93" t="s">
        <v>754</v>
      </c>
      <c r="HS13" s="94">
        <f t="shared" si="0"/>
        <v>0</v>
      </c>
      <c r="HU13" s="95" t="s">
        <v>781</v>
      </c>
      <c r="HV13" s="96"/>
      <c r="HW13" s="97">
        <v>7</v>
      </c>
      <c r="HX13" s="112"/>
      <c r="HY13" s="113">
        <f>HS15</f>
        <v>0</v>
      </c>
      <c r="HZ13" s="100" t="s">
        <v>782</v>
      </c>
      <c r="IA13" s="96"/>
      <c r="IB13" s="97">
        <v>74</v>
      </c>
      <c r="IC13" s="112"/>
      <c r="ID13" s="114">
        <f>HS48</f>
        <v>0</v>
      </c>
      <c r="IF13" s="102" t="s">
        <v>871</v>
      </c>
      <c r="IG13" s="103"/>
      <c r="IH13" s="96"/>
      <c r="II13" s="104">
        <v>16</v>
      </c>
      <c r="IJ13" s="105">
        <f>HP74</f>
        <v>0</v>
      </c>
      <c r="IK13" s="106"/>
      <c r="IL13" s="13"/>
    </row>
    <row r="14" ht="14.25" customHeight="1" spans="1:248">
      <c r="A14" s="82">
        <v>1132</v>
      </c>
      <c r="B14" s="83" t="s">
        <v>113</v>
      </c>
      <c r="C14" s="84"/>
      <c r="D14" s="84"/>
      <c r="E14" s="107"/>
      <c r="F14" s="108"/>
      <c r="G14" s="87"/>
      <c r="H14" s="107"/>
      <c r="I14" s="108"/>
      <c r="J14" s="87"/>
      <c r="K14" s="107"/>
      <c r="L14" s="108"/>
      <c r="M14" s="87"/>
      <c r="N14" s="107"/>
      <c r="O14" s="108"/>
      <c r="P14" s="87"/>
      <c r="Q14" s="107"/>
      <c r="R14" s="108"/>
      <c r="S14" s="87"/>
      <c r="T14" s="107"/>
      <c r="U14" s="108"/>
      <c r="V14" s="87"/>
      <c r="W14" s="107"/>
      <c r="X14" s="108"/>
      <c r="Y14" s="87"/>
      <c r="Z14" s="107"/>
      <c r="AA14" s="108"/>
      <c r="AB14" s="87"/>
      <c r="AC14" s="107"/>
      <c r="AD14" s="108"/>
      <c r="AE14" s="87"/>
      <c r="AF14" s="107"/>
      <c r="AG14" s="108"/>
      <c r="AH14" s="87"/>
      <c r="AI14" s="107"/>
      <c r="AJ14" s="108"/>
      <c r="AK14" s="87"/>
      <c r="AL14" s="107"/>
      <c r="AM14" s="108"/>
      <c r="AN14" s="87"/>
      <c r="AO14" s="107"/>
      <c r="AP14" s="108"/>
      <c r="AQ14" s="87"/>
      <c r="AR14" s="107"/>
      <c r="AS14" s="108"/>
      <c r="AT14" s="87"/>
      <c r="AU14" s="107"/>
      <c r="AV14" s="108"/>
      <c r="AW14" s="87"/>
      <c r="AX14" s="107"/>
      <c r="AY14" s="108"/>
      <c r="AZ14" s="87"/>
      <c r="BA14" s="107"/>
      <c r="BB14" s="108"/>
      <c r="BC14" s="87"/>
      <c r="BD14" s="107"/>
      <c r="BE14" s="108"/>
      <c r="BF14" s="87"/>
      <c r="BG14" s="107"/>
      <c r="BH14" s="108"/>
      <c r="BI14" s="87"/>
      <c r="BJ14" s="107"/>
      <c r="BK14" s="108"/>
      <c r="BL14" s="87"/>
      <c r="BM14" s="107"/>
      <c r="BN14" s="108"/>
      <c r="BO14" s="87"/>
      <c r="BP14" s="107"/>
      <c r="BQ14" s="108"/>
      <c r="BR14" s="87"/>
      <c r="BS14" s="107"/>
      <c r="BT14" s="108"/>
      <c r="BU14" s="87"/>
      <c r="BV14" s="107"/>
      <c r="BW14" s="108"/>
      <c r="BX14" s="87"/>
      <c r="BY14" s="107"/>
      <c r="BZ14" s="108"/>
      <c r="CA14" s="87"/>
      <c r="CB14" s="107"/>
      <c r="CC14" s="108"/>
      <c r="CD14" s="87"/>
      <c r="CE14" s="107"/>
      <c r="CF14" s="108"/>
      <c r="CG14" s="87"/>
      <c r="CH14" s="107"/>
      <c r="CI14" s="108"/>
      <c r="CJ14" s="87"/>
      <c r="CK14" s="107"/>
      <c r="CL14" s="108"/>
      <c r="CM14" s="87"/>
      <c r="CN14" s="107"/>
      <c r="CO14" s="108"/>
      <c r="CP14" s="87"/>
      <c r="CQ14" s="107"/>
      <c r="CR14" s="108"/>
      <c r="CS14" s="87"/>
      <c r="CT14" s="107"/>
      <c r="CU14" s="108"/>
      <c r="CV14" s="87"/>
      <c r="CW14" s="107"/>
      <c r="CX14" s="108"/>
      <c r="CY14" s="87"/>
      <c r="CZ14" s="107"/>
      <c r="DA14" s="108"/>
      <c r="DB14" s="87"/>
      <c r="DC14" s="107"/>
      <c r="DD14" s="108"/>
      <c r="DE14" s="87"/>
      <c r="DF14" s="107"/>
      <c r="DG14" s="108"/>
      <c r="DH14" s="87"/>
      <c r="DI14" s="107"/>
      <c r="DJ14" s="108"/>
      <c r="DK14" s="87"/>
      <c r="DL14" s="107"/>
      <c r="DM14" s="108"/>
      <c r="DN14" s="87"/>
      <c r="DO14" s="107"/>
      <c r="DP14" s="108"/>
      <c r="DQ14" s="87"/>
      <c r="DR14" s="107"/>
      <c r="DS14" s="108"/>
      <c r="DT14" s="87"/>
      <c r="DU14" s="107"/>
      <c r="DV14" s="108"/>
      <c r="DW14" s="87"/>
      <c r="DX14" s="107"/>
      <c r="DY14" s="108"/>
      <c r="DZ14" s="87"/>
      <c r="EA14" s="107"/>
      <c r="EB14" s="108"/>
      <c r="EC14" s="87"/>
      <c r="ED14" s="107"/>
      <c r="EE14" s="108"/>
      <c r="EF14" s="87"/>
      <c r="EG14" s="107"/>
      <c r="EH14" s="108"/>
      <c r="EI14" s="87"/>
      <c r="EJ14" s="107"/>
      <c r="EK14" s="108"/>
      <c r="EL14" s="87"/>
      <c r="EM14" s="107"/>
      <c r="EN14" s="108"/>
      <c r="EO14" s="87"/>
      <c r="EP14" s="107"/>
      <c r="EQ14" s="108"/>
      <c r="ER14" s="87"/>
      <c r="ES14" s="107"/>
      <c r="ET14" s="108"/>
      <c r="EU14" s="87"/>
      <c r="EV14" s="107"/>
      <c r="EW14" s="108"/>
      <c r="EX14" s="87"/>
      <c r="EY14" s="107"/>
      <c r="EZ14" s="108"/>
      <c r="FA14" s="87"/>
      <c r="FB14" s="107"/>
      <c r="FC14" s="108"/>
      <c r="FD14" s="87"/>
      <c r="FE14" s="107"/>
      <c r="FF14" s="108"/>
      <c r="FG14" s="87"/>
      <c r="FH14" s="107"/>
      <c r="FI14" s="108"/>
      <c r="FJ14" s="87"/>
      <c r="FK14" s="107"/>
      <c r="FL14" s="108"/>
      <c r="FM14" s="87"/>
      <c r="FN14" s="107"/>
      <c r="FO14" s="108"/>
      <c r="FP14" s="87"/>
      <c r="FQ14" s="107"/>
      <c r="FR14" s="108"/>
      <c r="FS14" s="87"/>
      <c r="FT14" s="107"/>
      <c r="FU14" s="108"/>
      <c r="FV14" s="87"/>
      <c r="FW14" s="107"/>
      <c r="FX14" s="108"/>
      <c r="FY14" s="87"/>
      <c r="FZ14" s="107"/>
      <c r="GA14" s="108"/>
      <c r="GB14" s="87"/>
      <c r="GC14" s="107"/>
      <c r="GD14" s="108"/>
      <c r="GE14" s="87"/>
      <c r="GF14" s="107"/>
      <c r="GG14" s="108"/>
      <c r="GH14" s="87"/>
      <c r="GI14" s="107"/>
      <c r="GJ14" s="108"/>
      <c r="GK14" s="87"/>
      <c r="GL14" s="107"/>
      <c r="GM14" s="108"/>
      <c r="GN14" s="87"/>
      <c r="GO14" s="107"/>
      <c r="GP14" s="108"/>
      <c r="GQ14" s="87"/>
      <c r="GR14" s="107"/>
      <c r="GS14" s="108"/>
      <c r="GT14" s="87"/>
      <c r="GU14" s="107"/>
      <c r="GV14" s="108"/>
      <c r="GW14" s="87"/>
      <c r="GX14" s="107"/>
      <c r="GY14" s="108"/>
      <c r="GZ14" s="87"/>
      <c r="HA14" s="107"/>
      <c r="HB14" s="108"/>
      <c r="HC14" s="87"/>
      <c r="HD14" s="107"/>
      <c r="HE14" s="108"/>
      <c r="HF14" s="87"/>
      <c r="HG14" s="107"/>
      <c r="HH14" s="108"/>
      <c r="HI14" s="87"/>
      <c r="HJ14" s="107"/>
      <c r="HK14" s="108"/>
      <c r="HM14" s="109">
        <v>1132</v>
      </c>
      <c r="HN14" s="89" t="s">
        <v>113</v>
      </c>
      <c r="HO14" s="90"/>
      <c r="HP14" s="110">
        <f>AC$101</f>
        <v>0</v>
      </c>
      <c r="HQ14" s="111">
        <f>AD$101</f>
        <v>0</v>
      </c>
      <c r="HR14" s="93" t="s">
        <v>754</v>
      </c>
      <c r="HS14" s="94">
        <f t="shared" si="0"/>
        <v>0</v>
      </c>
      <c r="HU14" s="95" t="s">
        <v>783</v>
      </c>
      <c r="HV14" s="96"/>
      <c r="HW14" s="97">
        <v>8</v>
      </c>
      <c r="HX14" s="112"/>
      <c r="HY14" s="113">
        <f>HS12</f>
        <v>0</v>
      </c>
      <c r="HZ14" s="100" t="s">
        <v>784</v>
      </c>
      <c r="IA14" s="96"/>
      <c r="IB14" s="97">
        <v>75</v>
      </c>
      <c r="IC14" s="112"/>
      <c r="ID14" s="114">
        <f>HS46</f>
        <v>0</v>
      </c>
      <c r="IF14" s="102" t="s">
        <v>872</v>
      </c>
      <c r="IG14" s="103"/>
      <c r="IH14" s="96"/>
      <c r="II14" s="104">
        <v>18</v>
      </c>
      <c r="IJ14" s="105">
        <f>IJ9+IJ10-IJ11-IJ12-IJ13</f>
        <v>0</v>
      </c>
      <c r="IK14" s="115">
        <f>IK9+IK10-IK11-IK12-IK13</f>
        <v>0</v>
      </c>
      <c r="IL14" s="13"/>
    </row>
    <row r="15" ht="14.25" customHeight="1" spans="1:248">
      <c r="A15" s="82">
        <v>1201</v>
      </c>
      <c r="B15" s="83" t="s">
        <v>115</v>
      </c>
      <c r="C15" s="84"/>
      <c r="D15" s="84"/>
      <c r="E15" s="107"/>
      <c r="F15" s="108"/>
      <c r="G15" s="87"/>
      <c r="H15" s="107"/>
      <c r="I15" s="108"/>
      <c r="J15" s="87"/>
      <c r="K15" s="107"/>
      <c r="L15" s="108"/>
      <c r="M15" s="87"/>
      <c r="N15" s="107"/>
      <c r="O15" s="108"/>
      <c r="P15" s="87"/>
      <c r="Q15" s="107"/>
      <c r="R15" s="108"/>
      <c r="S15" s="87"/>
      <c r="T15" s="107"/>
      <c r="U15" s="108"/>
      <c r="V15" s="87"/>
      <c r="W15" s="107"/>
      <c r="X15" s="108"/>
      <c r="Y15" s="87"/>
      <c r="Z15" s="107"/>
      <c r="AA15" s="108"/>
      <c r="AB15" s="87"/>
      <c r="AC15" s="107"/>
      <c r="AD15" s="108"/>
      <c r="AE15" s="87"/>
      <c r="AF15" s="107"/>
      <c r="AG15" s="108"/>
      <c r="AH15" s="87"/>
      <c r="AI15" s="107"/>
      <c r="AJ15" s="108"/>
      <c r="AK15" s="87"/>
      <c r="AL15" s="107"/>
      <c r="AM15" s="108"/>
      <c r="AN15" s="87"/>
      <c r="AO15" s="107"/>
      <c r="AP15" s="108"/>
      <c r="AQ15" s="87"/>
      <c r="AR15" s="107"/>
      <c r="AS15" s="108"/>
      <c r="AT15" s="87"/>
      <c r="AU15" s="107"/>
      <c r="AV15" s="108"/>
      <c r="AW15" s="87"/>
      <c r="AX15" s="107"/>
      <c r="AY15" s="108"/>
      <c r="AZ15" s="87"/>
      <c r="BA15" s="107"/>
      <c r="BB15" s="108"/>
      <c r="BC15" s="87"/>
      <c r="BD15" s="107"/>
      <c r="BE15" s="108"/>
      <c r="BF15" s="87"/>
      <c r="BG15" s="107"/>
      <c r="BH15" s="108"/>
      <c r="BI15" s="87"/>
      <c r="BJ15" s="107"/>
      <c r="BK15" s="108"/>
      <c r="BL15" s="87"/>
      <c r="BM15" s="107"/>
      <c r="BN15" s="108"/>
      <c r="BO15" s="87"/>
      <c r="BP15" s="107"/>
      <c r="BQ15" s="108"/>
      <c r="BR15" s="87"/>
      <c r="BS15" s="107"/>
      <c r="BT15" s="108"/>
      <c r="BU15" s="87"/>
      <c r="BV15" s="107"/>
      <c r="BW15" s="108"/>
      <c r="BX15" s="87"/>
      <c r="BY15" s="107"/>
      <c r="BZ15" s="108"/>
      <c r="CA15" s="87"/>
      <c r="CB15" s="107"/>
      <c r="CC15" s="108"/>
      <c r="CD15" s="87"/>
      <c r="CE15" s="107"/>
      <c r="CF15" s="108"/>
      <c r="CG15" s="87"/>
      <c r="CH15" s="107"/>
      <c r="CI15" s="108"/>
      <c r="CJ15" s="87"/>
      <c r="CK15" s="107"/>
      <c r="CL15" s="108"/>
      <c r="CM15" s="87"/>
      <c r="CN15" s="107"/>
      <c r="CO15" s="108"/>
      <c r="CP15" s="87"/>
      <c r="CQ15" s="107"/>
      <c r="CR15" s="108"/>
      <c r="CS15" s="87"/>
      <c r="CT15" s="107"/>
      <c r="CU15" s="108"/>
      <c r="CV15" s="87"/>
      <c r="CW15" s="107"/>
      <c r="CX15" s="108"/>
      <c r="CY15" s="87"/>
      <c r="CZ15" s="107"/>
      <c r="DA15" s="108"/>
      <c r="DB15" s="87"/>
      <c r="DC15" s="107"/>
      <c r="DD15" s="108"/>
      <c r="DE15" s="87"/>
      <c r="DF15" s="107"/>
      <c r="DG15" s="108"/>
      <c r="DH15" s="87"/>
      <c r="DI15" s="107"/>
      <c r="DJ15" s="108"/>
      <c r="DK15" s="87"/>
      <c r="DL15" s="107"/>
      <c r="DM15" s="108"/>
      <c r="DN15" s="87"/>
      <c r="DO15" s="107"/>
      <c r="DP15" s="108"/>
      <c r="DQ15" s="87"/>
      <c r="DR15" s="107"/>
      <c r="DS15" s="108"/>
      <c r="DT15" s="87"/>
      <c r="DU15" s="107"/>
      <c r="DV15" s="108"/>
      <c r="DW15" s="87"/>
      <c r="DX15" s="107"/>
      <c r="DY15" s="108"/>
      <c r="DZ15" s="87"/>
      <c r="EA15" s="107"/>
      <c r="EB15" s="108"/>
      <c r="EC15" s="87"/>
      <c r="ED15" s="107"/>
      <c r="EE15" s="108"/>
      <c r="EF15" s="87"/>
      <c r="EG15" s="107"/>
      <c r="EH15" s="108"/>
      <c r="EI15" s="87"/>
      <c r="EJ15" s="107"/>
      <c r="EK15" s="108"/>
      <c r="EL15" s="87"/>
      <c r="EM15" s="107"/>
      <c r="EN15" s="108"/>
      <c r="EO15" s="87"/>
      <c r="EP15" s="107"/>
      <c r="EQ15" s="108"/>
      <c r="ER15" s="87"/>
      <c r="ES15" s="107"/>
      <c r="ET15" s="108"/>
      <c r="EU15" s="87"/>
      <c r="EV15" s="107"/>
      <c r="EW15" s="108"/>
      <c r="EX15" s="87"/>
      <c r="EY15" s="107"/>
      <c r="EZ15" s="108"/>
      <c r="FA15" s="87"/>
      <c r="FB15" s="107"/>
      <c r="FC15" s="108"/>
      <c r="FD15" s="87"/>
      <c r="FE15" s="107"/>
      <c r="FF15" s="108"/>
      <c r="FG15" s="87"/>
      <c r="FH15" s="107"/>
      <c r="FI15" s="108"/>
      <c r="FJ15" s="87"/>
      <c r="FK15" s="107"/>
      <c r="FL15" s="108"/>
      <c r="FM15" s="87"/>
      <c r="FN15" s="107"/>
      <c r="FO15" s="108"/>
      <c r="FP15" s="87"/>
      <c r="FQ15" s="107"/>
      <c r="FR15" s="108"/>
      <c r="FS15" s="87"/>
      <c r="FT15" s="107"/>
      <c r="FU15" s="108"/>
      <c r="FV15" s="87"/>
      <c r="FW15" s="107"/>
      <c r="FX15" s="108"/>
      <c r="FY15" s="87"/>
      <c r="FZ15" s="107"/>
      <c r="GA15" s="108"/>
      <c r="GB15" s="87"/>
      <c r="GC15" s="107"/>
      <c r="GD15" s="108"/>
      <c r="GE15" s="87"/>
      <c r="GF15" s="107"/>
      <c r="GG15" s="108"/>
      <c r="GH15" s="87"/>
      <c r="GI15" s="107"/>
      <c r="GJ15" s="108"/>
      <c r="GK15" s="87"/>
      <c r="GL15" s="107"/>
      <c r="GM15" s="108"/>
      <c r="GN15" s="87"/>
      <c r="GO15" s="107"/>
      <c r="GP15" s="108"/>
      <c r="GQ15" s="87"/>
      <c r="GR15" s="107"/>
      <c r="GS15" s="108"/>
      <c r="GT15" s="87"/>
      <c r="GU15" s="107"/>
      <c r="GV15" s="108"/>
      <c r="GW15" s="87"/>
      <c r="GX15" s="107"/>
      <c r="GY15" s="108"/>
      <c r="GZ15" s="87"/>
      <c r="HA15" s="107"/>
      <c r="HB15" s="108"/>
      <c r="HC15" s="87"/>
      <c r="HD15" s="107"/>
      <c r="HE15" s="108"/>
      <c r="HF15" s="87"/>
      <c r="HG15" s="107"/>
      <c r="HH15" s="108"/>
      <c r="HI15" s="87"/>
      <c r="HJ15" s="107"/>
      <c r="HK15" s="108"/>
      <c r="HM15" s="109">
        <v>1201</v>
      </c>
      <c r="HN15" s="89" t="s">
        <v>115</v>
      </c>
      <c r="HO15" s="90"/>
      <c r="HP15" s="110">
        <f>AF$101</f>
        <v>0</v>
      </c>
      <c r="HQ15" s="111">
        <f>AG$101</f>
        <v>0</v>
      </c>
      <c r="HR15" s="93" t="s">
        <v>754</v>
      </c>
      <c r="HS15" s="94">
        <f t="shared" si="0"/>
        <v>0</v>
      </c>
      <c r="HU15" s="95" t="s">
        <v>785</v>
      </c>
      <c r="HV15" s="96"/>
      <c r="HW15" s="97">
        <v>9</v>
      </c>
      <c r="HX15" s="112"/>
      <c r="HY15" s="117"/>
      <c r="HZ15" s="100" t="s">
        <v>786</v>
      </c>
      <c r="IA15" s="96"/>
      <c r="IB15" s="97">
        <v>80</v>
      </c>
      <c r="IC15" s="112"/>
      <c r="ID15" s="116"/>
      <c r="IF15" s="102" t="s">
        <v>873</v>
      </c>
      <c r="IG15" s="103"/>
      <c r="IH15" s="96"/>
      <c r="II15" s="104">
        <v>19</v>
      </c>
      <c r="IJ15" s="105">
        <f>HQ67</f>
        <v>0</v>
      </c>
      <c r="IK15" s="106"/>
      <c r="IL15" s="13"/>
    </row>
    <row r="16" ht="14.25" customHeight="1" spans="1:248">
      <c r="A16" s="82">
        <v>1231</v>
      </c>
      <c r="B16" s="83" t="s">
        <v>137</v>
      </c>
      <c r="C16" s="84"/>
      <c r="D16" s="84"/>
      <c r="E16" s="107"/>
      <c r="F16" s="108"/>
      <c r="G16" s="87"/>
      <c r="H16" s="107"/>
      <c r="I16" s="108"/>
      <c r="J16" s="87"/>
      <c r="K16" s="107"/>
      <c r="L16" s="108"/>
      <c r="M16" s="87"/>
      <c r="N16" s="107"/>
      <c r="O16" s="108"/>
      <c r="P16" s="87"/>
      <c r="Q16" s="107"/>
      <c r="R16" s="108"/>
      <c r="S16" s="87"/>
      <c r="T16" s="107"/>
      <c r="U16" s="108"/>
      <c r="V16" s="87"/>
      <c r="W16" s="107"/>
      <c r="X16" s="108"/>
      <c r="Y16" s="87"/>
      <c r="Z16" s="107"/>
      <c r="AA16" s="108"/>
      <c r="AB16" s="87"/>
      <c r="AC16" s="107"/>
      <c r="AD16" s="108"/>
      <c r="AE16" s="87"/>
      <c r="AF16" s="107"/>
      <c r="AG16" s="108"/>
      <c r="AH16" s="87"/>
      <c r="AI16" s="107"/>
      <c r="AJ16" s="108"/>
      <c r="AK16" s="87"/>
      <c r="AL16" s="107"/>
      <c r="AM16" s="108"/>
      <c r="AN16" s="87"/>
      <c r="AO16" s="107"/>
      <c r="AP16" s="108"/>
      <c r="AQ16" s="87"/>
      <c r="AR16" s="107"/>
      <c r="AS16" s="108"/>
      <c r="AT16" s="87"/>
      <c r="AU16" s="107"/>
      <c r="AV16" s="108"/>
      <c r="AW16" s="87"/>
      <c r="AX16" s="107"/>
      <c r="AY16" s="108"/>
      <c r="AZ16" s="87"/>
      <c r="BA16" s="107"/>
      <c r="BB16" s="108"/>
      <c r="BC16" s="87"/>
      <c r="BD16" s="107"/>
      <c r="BE16" s="108"/>
      <c r="BF16" s="87"/>
      <c r="BG16" s="107"/>
      <c r="BH16" s="108"/>
      <c r="BI16" s="87"/>
      <c r="BJ16" s="107"/>
      <c r="BK16" s="108"/>
      <c r="BL16" s="87"/>
      <c r="BM16" s="107"/>
      <c r="BN16" s="108"/>
      <c r="BO16" s="87"/>
      <c r="BP16" s="107"/>
      <c r="BQ16" s="108"/>
      <c r="BR16" s="87"/>
      <c r="BS16" s="107"/>
      <c r="BT16" s="108"/>
      <c r="BU16" s="87"/>
      <c r="BV16" s="107"/>
      <c r="BW16" s="108"/>
      <c r="BX16" s="87"/>
      <c r="BY16" s="107"/>
      <c r="BZ16" s="108"/>
      <c r="CA16" s="87"/>
      <c r="CB16" s="107"/>
      <c r="CC16" s="108"/>
      <c r="CD16" s="87"/>
      <c r="CE16" s="107"/>
      <c r="CF16" s="108"/>
      <c r="CG16" s="87"/>
      <c r="CH16" s="107"/>
      <c r="CI16" s="108"/>
      <c r="CJ16" s="87"/>
      <c r="CK16" s="107"/>
      <c r="CL16" s="108"/>
      <c r="CM16" s="87"/>
      <c r="CN16" s="107"/>
      <c r="CO16" s="108"/>
      <c r="CP16" s="87"/>
      <c r="CQ16" s="107"/>
      <c r="CR16" s="108"/>
      <c r="CS16" s="87"/>
      <c r="CT16" s="107"/>
      <c r="CU16" s="108"/>
      <c r="CV16" s="87"/>
      <c r="CW16" s="107"/>
      <c r="CX16" s="108"/>
      <c r="CY16" s="87"/>
      <c r="CZ16" s="107"/>
      <c r="DA16" s="108"/>
      <c r="DB16" s="87"/>
      <c r="DC16" s="107"/>
      <c r="DD16" s="108"/>
      <c r="DE16" s="87"/>
      <c r="DF16" s="107"/>
      <c r="DG16" s="108"/>
      <c r="DH16" s="87"/>
      <c r="DI16" s="107"/>
      <c r="DJ16" s="108"/>
      <c r="DK16" s="87"/>
      <c r="DL16" s="107"/>
      <c r="DM16" s="108"/>
      <c r="DN16" s="87"/>
      <c r="DO16" s="107"/>
      <c r="DP16" s="108"/>
      <c r="DQ16" s="87"/>
      <c r="DR16" s="107"/>
      <c r="DS16" s="108"/>
      <c r="DT16" s="87"/>
      <c r="DU16" s="107"/>
      <c r="DV16" s="108"/>
      <c r="DW16" s="87"/>
      <c r="DX16" s="107"/>
      <c r="DY16" s="108"/>
      <c r="DZ16" s="87"/>
      <c r="EA16" s="107"/>
      <c r="EB16" s="108"/>
      <c r="EC16" s="87"/>
      <c r="ED16" s="107"/>
      <c r="EE16" s="108"/>
      <c r="EF16" s="87"/>
      <c r="EG16" s="107"/>
      <c r="EH16" s="108"/>
      <c r="EI16" s="87"/>
      <c r="EJ16" s="107"/>
      <c r="EK16" s="108"/>
      <c r="EL16" s="87"/>
      <c r="EM16" s="107"/>
      <c r="EN16" s="108"/>
      <c r="EO16" s="87"/>
      <c r="EP16" s="107"/>
      <c r="EQ16" s="108"/>
      <c r="ER16" s="87"/>
      <c r="ES16" s="107"/>
      <c r="ET16" s="108"/>
      <c r="EU16" s="87"/>
      <c r="EV16" s="107"/>
      <c r="EW16" s="108"/>
      <c r="EX16" s="87"/>
      <c r="EY16" s="107"/>
      <c r="EZ16" s="108"/>
      <c r="FA16" s="87"/>
      <c r="FB16" s="107"/>
      <c r="FC16" s="108"/>
      <c r="FD16" s="87"/>
      <c r="FE16" s="107"/>
      <c r="FF16" s="108"/>
      <c r="FG16" s="87"/>
      <c r="FH16" s="107"/>
      <c r="FI16" s="108"/>
      <c r="FJ16" s="87"/>
      <c r="FK16" s="107"/>
      <c r="FL16" s="108"/>
      <c r="FM16" s="87"/>
      <c r="FN16" s="107"/>
      <c r="FO16" s="108"/>
      <c r="FP16" s="87"/>
      <c r="FQ16" s="107"/>
      <c r="FR16" s="108"/>
      <c r="FS16" s="87"/>
      <c r="FT16" s="107"/>
      <c r="FU16" s="108"/>
      <c r="FV16" s="87"/>
      <c r="FW16" s="107"/>
      <c r="FX16" s="108"/>
      <c r="FY16" s="87"/>
      <c r="FZ16" s="107"/>
      <c r="GA16" s="108"/>
      <c r="GB16" s="87"/>
      <c r="GC16" s="107"/>
      <c r="GD16" s="108"/>
      <c r="GE16" s="87"/>
      <c r="GF16" s="107"/>
      <c r="GG16" s="108"/>
      <c r="GH16" s="87"/>
      <c r="GI16" s="107"/>
      <c r="GJ16" s="108"/>
      <c r="GK16" s="87"/>
      <c r="GL16" s="107"/>
      <c r="GM16" s="108"/>
      <c r="GN16" s="87"/>
      <c r="GO16" s="107"/>
      <c r="GP16" s="108"/>
      <c r="GQ16" s="87"/>
      <c r="GR16" s="107"/>
      <c r="GS16" s="108"/>
      <c r="GT16" s="87"/>
      <c r="GU16" s="107"/>
      <c r="GV16" s="108"/>
      <c r="GW16" s="87"/>
      <c r="GX16" s="107"/>
      <c r="GY16" s="108"/>
      <c r="GZ16" s="87"/>
      <c r="HA16" s="107"/>
      <c r="HB16" s="108"/>
      <c r="HC16" s="87"/>
      <c r="HD16" s="107"/>
      <c r="HE16" s="108"/>
      <c r="HF16" s="87"/>
      <c r="HG16" s="107"/>
      <c r="HH16" s="108"/>
      <c r="HI16" s="87"/>
      <c r="HJ16" s="107"/>
      <c r="HK16" s="108"/>
      <c r="HM16" s="109">
        <v>1231</v>
      </c>
      <c r="HN16" s="89" t="s">
        <v>137</v>
      </c>
      <c r="HO16" s="90"/>
      <c r="HP16" s="110">
        <f>AI$101</f>
        <v>0</v>
      </c>
      <c r="HQ16" s="111">
        <f>AJ$101</f>
        <v>0</v>
      </c>
      <c r="HR16" s="93" t="s">
        <v>755</v>
      </c>
      <c r="HS16" s="94">
        <f t="shared" si="0"/>
        <v>0</v>
      </c>
      <c r="HU16" s="95" t="s">
        <v>787</v>
      </c>
      <c r="HV16" s="96"/>
      <c r="HW16" s="97">
        <v>10</v>
      </c>
      <c r="HX16" s="112"/>
      <c r="HY16" s="113">
        <f>SUM(HS17:HS25)-HS26</f>
        <v>22000</v>
      </c>
      <c r="HZ16" s="100" t="s">
        <v>788</v>
      </c>
      <c r="IA16" s="96"/>
      <c r="IB16" s="97">
        <v>81</v>
      </c>
      <c r="IC16" s="112"/>
      <c r="ID16" s="114">
        <f>HS49</f>
        <v>0</v>
      </c>
      <c r="IF16" s="102" t="s">
        <v>874</v>
      </c>
      <c r="IG16" s="103"/>
      <c r="IH16" s="96"/>
      <c r="II16" s="104">
        <v>22</v>
      </c>
      <c r="IJ16" s="118"/>
      <c r="IK16" s="106"/>
      <c r="IL16" s="13"/>
    </row>
    <row r="17" ht="14.25" customHeight="1" spans="1:246">
      <c r="A17" s="82">
        <v>1401</v>
      </c>
      <c r="B17" s="83" t="s">
        <v>166</v>
      </c>
      <c r="C17" s="84"/>
      <c r="D17" s="84"/>
      <c r="E17" s="107"/>
      <c r="F17" s="108"/>
      <c r="G17" s="87"/>
      <c r="H17" s="107"/>
      <c r="I17" s="108"/>
      <c r="J17" s="87"/>
      <c r="K17" s="107"/>
      <c r="L17" s="108"/>
      <c r="M17" s="87"/>
      <c r="N17" s="107"/>
      <c r="O17" s="108"/>
      <c r="P17" s="87"/>
      <c r="Q17" s="107"/>
      <c r="R17" s="108"/>
      <c r="S17" s="87"/>
      <c r="T17" s="107"/>
      <c r="U17" s="108"/>
      <c r="V17" s="87"/>
      <c r="W17" s="107"/>
      <c r="X17" s="108"/>
      <c r="Y17" s="87"/>
      <c r="Z17" s="107"/>
      <c r="AA17" s="108"/>
      <c r="AB17" s="87"/>
      <c r="AC17" s="107"/>
      <c r="AD17" s="108"/>
      <c r="AE17" s="87"/>
      <c r="AF17" s="107"/>
      <c r="AG17" s="108"/>
      <c r="AH17" s="87"/>
      <c r="AI17" s="107"/>
      <c r="AJ17" s="108"/>
      <c r="AK17" s="87"/>
      <c r="AL17" s="107"/>
      <c r="AM17" s="108"/>
      <c r="AN17" s="87"/>
      <c r="AO17" s="107"/>
      <c r="AP17" s="108"/>
      <c r="AQ17" s="87"/>
      <c r="AR17" s="107"/>
      <c r="AS17" s="108"/>
      <c r="AT17" s="87"/>
      <c r="AU17" s="107"/>
      <c r="AV17" s="108"/>
      <c r="AW17" s="87"/>
      <c r="AX17" s="107"/>
      <c r="AY17" s="108"/>
      <c r="AZ17" s="87"/>
      <c r="BA17" s="107"/>
      <c r="BB17" s="108"/>
      <c r="BC17" s="87"/>
      <c r="BD17" s="107"/>
      <c r="BE17" s="108"/>
      <c r="BF17" s="87"/>
      <c r="BG17" s="107"/>
      <c r="BH17" s="108"/>
      <c r="BI17" s="87"/>
      <c r="BJ17" s="107"/>
      <c r="BK17" s="108"/>
      <c r="BL17" s="87"/>
      <c r="BM17" s="107"/>
      <c r="BN17" s="108"/>
      <c r="BO17" s="87"/>
      <c r="BP17" s="107"/>
      <c r="BQ17" s="108"/>
      <c r="BR17" s="87"/>
      <c r="BS17" s="107"/>
      <c r="BT17" s="108"/>
      <c r="BU17" s="87"/>
      <c r="BV17" s="107"/>
      <c r="BW17" s="108"/>
      <c r="BX17" s="87"/>
      <c r="BY17" s="107"/>
      <c r="BZ17" s="108"/>
      <c r="CA17" s="87"/>
      <c r="CB17" s="107"/>
      <c r="CC17" s="108"/>
      <c r="CD17" s="87"/>
      <c r="CE17" s="107"/>
      <c r="CF17" s="108"/>
      <c r="CG17" s="87"/>
      <c r="CH17" s="107"/>
      <c r="CI17" s="108"/>
      <c r="CJ17" s="87"/>
      <c r="CK17" s="107"/>
      <c r="CL17" s="108"/>
      <c r="CM17" s="87"/>
      <c r="CN17" s="107"/>
      <c r="CO17" s="108"/>
      <c r="CP17" s="87"/>
      <c r="CQ17" s="107"/>
      <c r="CR17" s="108"/>
      <c r="CS17" s="87"/>
      <c r="CT17" s="107"/>
      <c r="CU17" s="108"/>
      <c r="CV17" s="87"/>
      <c r="CW17" s="107"/>
      <c r="CX17" s="108"/>
      <c r="CY17" s="87"/>
      <c r="CZ17" s="107"/>
      <c r="DA17" s="108"/>
      <c r="DB17" s="87"/>
      <c r="DC17" s="107"/>
      <c r="DD17" s="108"/>
      <c r="DE17" s="87"/>
      <c r="DF17" s="107"/>
      <c r="DG17" s="108"/>
      <c r="DH17" s="87"/>
      <c r="DI17" s="107"/>
      <c r="DJ17" s="108"/>
      <c r="DK17" s="87"/>
      <c r="DL17" s="107"/>
      <c r="DM17" s="108"/>
      <c r="DN17" s="87"/>
      <c r="DO17" s="107"/>
      <c r="DP17" s="108"/>
      <c r="DQ17" s="87"/>
      <c r="DR17" s="107"/>
      <c r="DS17" s="108"/>
      <c r="DT17" s="87"/>
      <c r="DU17" s="107"/>
      <c r="DV17" s="108"/>
      <c r="DW17" s="87"/>
      <c r="DX17" s="107"/>
      <c r="DY17" s="108"/>
      <c r="DZ17" s="87"/>
      <c r="EA17" s="107"/>
      <c r="EB17" s="108"/>
      <c r="EC17" s="87"/>
      <c r="ED17" s="107"/>
      <c r="EE17" s="108"/>
      <c r="EF17" s="87"/>
      <c r="EG17" s="107"/>
      <c r="EH17" s="108"/>
      <c r="EI17" s="87"/>
      <c r="EJ17" s="107"/>
      <c r="EK17" s="108"/>
      <c r="EL17" s="87"/>
      <c r="EM17" s="107"/>
      <c r="EN17" s="108"/>
      <c r="EO17" s="87"/>
      <c r="EP17" s="107"/>
      <c r="EQ17" s="108"/>
      <c r="ER17" s="87"/>
      <c r="ES17" s="107"/>
      <c r="ET17" s="108"/>
      <c r="EU17" s="87"/>
      <c r="EV17" s="107"/>
      <c r="EW17" s="108"/>
      <c r="EX17" s="87"/>
      <c r="EY17" s="107"/>
      <c r="EZ17" s="108"/>
      <c r="FA17" s="87"/>
      <c r="FB17" s="107"/>
      <c r="FC17" s="108"/>
      <c r="FD17" s="87"/>
      <c r="FE17" s="107"/>
      <c r="FF17" s="108"/>
      <c r="FG17" s="87"/>
      <c r="FH17" s="107"/>
      <c r="FI17" s="108"/>
      <c r="FJ17" s="87"/>
      <c r="FK17" s="107"/>
      <c r="FL17" s="108"/>
      <c r="FM17" s="87"/>
      <c r="FN17" s="107"/>
      <c r="FO17" s="108"/>
      <c r="FP17" s="87"/>
      <c r="FQ17" s="107"/>
      <c r="FR17" s="108"/>
      <c r="FS17" s="87"/>
      <c r="FT17" s="107"/>
      <c r="FU17" s="108"/>
      <c r="FV17" s="87"/>
      <c r="FW17" s="107"/>
      <c r="FX17" s="108"/>
      <c r="FY17" s="87"/>
      <c r="FZ17" s="107"/>
      <c r="GA17" s="108"/>
      <c r="GB17" s="87"/>
      <c r="GC17" s="107"/>
      <c r="GD17" s="108"/>
      <c r="GE17" s="87"/>
      <c r="GF17" s="107"/>
      <c r="GG17" s="108"/>
      <c r="GH17" s="87"/>
      <c r="GI17" s="107"/>
      <c r="GJ17" s="108"/>
      <c r="GK17" s="87"/>
      <c r="GL17" s="107"/>
      <c r="GM17" s="108"/>
      <c r="GN17" s="87"/>
      <c r="GO17" s="107"/>
      <c r="GP17" s="108"/>
      <c r="GQ17" s="87"/>
      <c r="GR17" s="107"/>
      <c r="GS17" s="108"/>
      <c r="GT17" s="87"/>
      <c r="GU17" s="107"/>
      <c r="GV17" s="108"/>
      <c r="GW17" s="87"/>
      <c r="GX17" s="107"/>
      <c r="GY17" s="108"/>
      <c r="GZ17" s="87"/>
      <c r="HA17" s="107"/>
      <c r="HB17" s="108"/>
      <c r="HC17" s="87"/>
      <c r="HD17" s="107"/>
      <c r="HE17" s="108"/>
      <c r="HF17" s="87"/>
      <c r="HG17" s="107"/>
      <c r="HH17" s="108"/>
      <c r="HI17" s="87"/>
      <c r="HJ17" s="107"/>
      <c r="HK17" s="108"/>
      <c r="HM17" s="109">
        <v>1401</v>
      </c>
      <c r="HN17" s="89" t="s">
        <v>166</v>
      </c>
      <c r="HO17" s="90"/>
      <c r="HP17" s="110">
        <f>AL$101</f>
        <v>0</v>
      </c>
      <c r="HQ17" s="111">
        <f>AM$101</f>
        <v>0</v>
      </c>
      <c r="HR17" s="93" t="s">
        <v>754</v>
      </c>
      <c r="HS17" s="94">
        <f t="shared" si="0"/>
        <v>0</v>
      </c>
      <c r="HU17" s="95" t="s">
        <v>789</v>
      </c>
      <c r="HV17" s="96"/>
      <c r="HW17" s="97">
        <v>11</v>
      </c>
      <c r="HX17" s="112"/>
      <c r="HY17" s="117"/>
      <c r="HZ17" s="100" t="s">
        <v>790</v>
      </c>
      <c r="IA17" s="96"/>
      <c r="IB17" s="97">
        <v>82</v>
      </c>
      <c r="IC17" s="112"/>
      <c r="ID17" s="116"/>
      <c r="IF17" s="102" t="s">
        <v>875</v>
      </c>
      <c r="IG17" s="103"/>
      <c r="IH17" s="96"/>
      <c r="II17" s="104">
        <v>23</v>
      </c>
      <c r="IJ17" s="105">
        <f>HQ68</f>
        <v>0</v>
      </c>
      <c r="IK17" s="106"/>
      <c r="IL17" s="13"/>
    </row>
    <row r="18" ht="14.25" customHeight="1" spans="1:246">
      <c r="A18" s="82">
        <v>1402</v>
      </c>
      <c r="B18" s="83" t="s">
        <v>121</v>
      </c>
      <c r="C18" s="84"/>
      <c r="D18" s="84"/>
      <c r="E18" s="107"/>
      <c r="F18" s="108"/>
      <c r="G18" s="87"/>
      <c r="H18" s="107"/>
      <c r="I18" s="108"/>
      <c r="J18" s="87"/>
      <c r="K18" s="107"/>
      <c r="L18" s="108"/>
      <c r="M18" s="87"/>
      <c r="N18" s="107"/>
      <c r="O18" s="108"/>
      <c r="P18" s="87"/>
      <c r="Q18" s="107"/>
      <c r="R18" s="108"/>
      <c r="S18" s="87"/>
      <c r="T18" s="107"/>
      <c r="U18" s="108"/>
      <c r="V18" s="87"/>
      <c r="W18" s="107"/>
      <c r="X18" s="108"/>
      <c r="Y18" s="87"/>
      <c r="Z18" s="107"/>
      <c r="AA18" s="108"/>
      <c r="AB18" s="87"/>
      <c r="AC18" s="107"/>
      <c r="AD18" s="108"/>
      <c r="AE18" s="87"/>
      <c r="AF18" s="107"/>
      <c r="AG18" s="108"/>
      <c r="AH18" s="87"/>
      <c r="AI18" s="107"/>
      <c r="AJ18" s="108"/>
      <c r="AK18" s="87"/>
      <c r="AL18" s="107"/>
      <c r="AM18" s="108"/>
      <c r="AN18" s="87"/>
      <c r="AO18" s="107"/>
      <c r="AP18" s="108"/>
      <c r="AQ18" s="87"/>
      <c r="AR18" s="107"/>
      <c r="AS18" s="108"/>
      <c r="AT18" s="87"/>
      <c r="AU18" s="107"/>
      <c r="AV18" s="108"/>
      <c r="AW18" s="87"/>
      <c r="AX18" s="107"/>
      <c r="AY18" s="108"/>
      <c r="AZ18" s="87"/>
      <c r="BA18" s="107"/>
      <c r="BB18" s="108"/>
      <c r="BC18" s="87"/>
      <c r="BD18" s="107"/>
      <c r="BE18" s="108"/>
      <c r="BF18" s="87"/>
      <c r="BG18" s="107"/>
      <c r="BH18" s="108"/>
      <c r="BI18" s="87"/>
      <c r="BJ18" s="107"/>
      <c r="BK18" s="108"/>
      <c r="BL18" s="87"/>
      <c r="BM18" s="107"/>
      <c r="BN18" s="108"/>
      <c r="BO18" s="87"/>
      <c r="BP18" s="107"/>
      <c r="BQ18" s="108"/>
      <c r="BR18" s="87"/>
      <c r="BS18" s="107"/>
      <c r="BT18" s="108"/>
      <c r="BU18" s="87"/>
      <c r="BV18" s="107"/>
      <c r="BW18" s="108"/>
      <c r="BX18" s="87"/>
      <c r="BY18" s="107"/>
      <c r="BZ18" s="108"/>
      <c r="CA18" s="87"/>
      <c r="CB18" s="107"/>
      <c r="CC18" s="108"/>
      <c r="CD18" s="87"/>
      <c r="CE18" s="107"/>
      <c r="CF18" s="108"/>
      <c r="CG18" s="87"/>
      <c r="CH18" s="107"/>
      <c r="CI18" s="108"/>
      <c r="CJ18" s="87"/>
      <c r="CK18" s="107"/>
      <c r="CL18" s="108"/>
      <c r="CM18" s="87"/>
      <c r="CN18" s="107"/>
      <c r="CO18" s="108"/>
      <c r="CP18" s="87"/>
      <c r="CQ18" s="107"/>
      <c r="CR18" s="108"/>
      <c r="CS18" s="87"/>
      <c r="CT18" s="107"/>
      <c r="CU18" s="108"/>
      <c r="CV18" s="87"/>
      <c r="CW18" s="107"/>
      <c r="CX18" s="108"/>
      <c r="CY18" s="87"/>
      <c r="CZ18" s="107"/>
      <c r="DA18" s="108"/>
      <c r="DB18" s="87"/>
      <c r="DC18" s="107"/>
      <c r="DD18" s="108"/>
      <c r="DE18" s="87"/>
      <c r="DF18" s="107"/>
      <c r="DG18" s="108"/>
      <c r="DH18" s="87"/>
      <c r="DI18" s="107"/>
      <c r="DJ18" s="108"/>
      <c r="DK18" s="87"/>
      <c r="DL18" s="107"/>
      <c r="DM18" s="108"/>
      <c r="DN18" s="87"/>
      <c r="DO18" s="107"/>
      <c r="DP18" s="108"/>
      <c r="DQ18" s="87"/>
      <c r="DR18" s="107"/>
      <c r="DS18" s="108"/>
      <c r="DT18" s="87"/>
      <c r="DU18" s="107"/>
      <c r="DV18" s="108"/>
      <c r="DW18" s="87"/>
      <c r="DX18" s="107"/>
      <c r="DY18" s="108"/>
      <c r="DZ18" s="87"/>
      <c r="EA18" s="107"/>
      <c r="EB18" s="108"/>
      <c r="EC18" s="87"/>
      <c r="ED18" s="107"/>
      <c r="EE18" s="108"/>
      <c r="EF18" s="87"/>
      <c r="EG18" s="107"/>
      <c r="EH18" s="108"/>
      <c r="EI18" s="87"/>
      <c r="EJ18" s="107"/>
      <c r="EK18" s="108"/>
      <c r="EL18" s="87"/>
      <c r="EM18" s="107"/>
      <c r="EN18" s="108"/>
      <c r="EO18" s="87"/>
      <c r="EP18" s="107"/>
      <c r="EQ18" s="108"/>
      <c r="ER18" s="87"/>
      <c r="ES18" s="107"/>
      <c r="ET18" s="108"/>
      <c r="EU18" s="87"/>
      <c r="EV18" s="107"/>
      <c r="EW18" s="108"/>
      <c r="EX18" s="87"/>
      <c r="EY18" s="107"/>
      <c r="EZ18" s="108"/>
      <c r="FA18" s="87"/>
      <c r="FB18" s="107"/>
      <c r="FC18" s="108"/>
      <c r="FD18" s="87"/>
      <c r="FE18" s="107"/>
      <c r="FF18" s="108"/>
      <c r="FG18" s="87"/>
      <c r="FH18" s="107"/>
      <c r="FI18" s="108"/>
      <c r="FJ18" s="87"/>
      <c r="FK18" s="107"/>
      <c r="FL18" s="108"/>
      <c r="FM18" s="87"/>
      <c r="FN18" s="107"/>
      <c r="FO18" s="108"/>
      <c r="FP18" s="87"/>
      <c r="FQ18" s="107"/>
      <c r="FR18" s="108"/>
      <c r="FS18" s="87"/>
      <c r="FT18" s="107"/>
      <c r="FU18" s="108"/>
      <c r="FV18" s="87"/>
      <c r="FW18" s="107"/>
      <c r="FX18" s="108"/>
      <c r="FY18" s="87"/>
      <c r="FZ18" s="107"/>
      <c r="GA18" s="108"/>
      <c r="GB18" s="87"/>
      <c r="GC18" s="107"/>
      <c r="GD18" s="108"/>
      <c r="GE18" s="87"/>
      <c r="GF18" s="107"/>
      <c r="GG18" s="108"/>
      <c r="GH18" s="87"/>
      <c r="GI18" s="107"/>
      <c r="GJ18" s="108"/>
      <c r="GK18" s="87"/>
      <c r="GL18" s="107"/>
      <c r="GM18" s="108"/>
      <c r="GN18" s="87"/>
      <c r="GO18" s="107"/>
      <c r="GP18" s="108"/>
      <c r="GQ18" s="87"/>
      <c r="GR18" s="107"/>
      <c r="GS18" s="108"/>
      <c r="GT18" s="87"/>
      <c r="GU18" s="107"/>
      <c r="GV18" s="108"/>
      <c r="GW18" s="87"/>
      <c r="GX18" s="107"/>
      <c r="GY18" s="108"/>
      <c r="GZ18" s="87"/>
      <c r="HA18" s="107"/>
      <c r="HB18" s="108"/>
      <c r="HC18" s="87"/>
      <c r="HD18" s="107"/>
      <c r="HE18" s="108"/>
      <c r="HF18" s="87"/>
      <c r="HG18" s="107"/>
      <c r="HH18" s="108"/>
      <c r="HI18" s="87"/>
      <c r="HJ18" s="107"/>
      <c r="HK18" s="108"/>
      <c r="HM18" s="109">
        <v>1402</v>
      </c>
      <c r="HN18" s="89" t="s">
        <v>121</v>
      </c>
      <c r="HO18" s="90"/>
      <c r="HP18" s="110">
        <f>AO$101</f>
        <v>0</v>
      </c>
      <c r="HQ18" s="111">
        <f>AP$101</f>
        <v>0</v>
      </c>
      <c r="HR18" s="93" t="s">
        <v>754</v>
      </c>
      <c r="HS18" s="94">
        <f t="shared" si="0"/>
        <v>0</v>
      </c>
      <c r="HU18" s="95" t="s">
        <v>791</v>
      </c>
      <c r="HV18" s="96"/>
      <c r="HW18" s="97">
        <v>21</v>
      </c>
      <c r="HX18" s="112"/>
      <c r="HY18" s="117"/>
      <c r="HZ18" s="100" t="s">
        <v>792</v>
      </c>
      <c r="IA18" s="96"/>
      <c r="IB18" s="97">
        <v>83</v>
      </c>
      <c r="IC18" s="112"/>
      <c r="ID18" s="114">
        <f>HS54</f>
        <v>0</v>
      </c>
      <c r="IF18" s="102" t="s">
        <v>876</v>
      </c>
      <c r="IG18" s="103"/>
      <c r="IH18" s="96"/>
      <c r="II18" s="104">
        <v>25</v>
      </c>
      <c r="IJ18" s="105">
        <f>HP75</f>
        <v>0</v>
      </c>
      <c r="IK18" s="106"/>
      <c r="IL18" s="13"/>
    </row>
    <row r="19" ht="14.25" customHeight="1" spans="1:246">
      <c r="A19" s="82">
        <v>1403</v>
      </c>
      <c r="B19" s="83" t="s">
        <v>123</v>
      </c>
      <c r="C19" s="84"/>
      <c r="D19" s="84"/>
      <c r="E19" s="107"/>
      <c r="F19" s="108"/>
      <c r="G19" s="87"/>
      <c r="H19" s="107"/>
      <c r="I19" s="108"/>
      <c r="J19" s="87"/>
      <c r="K19" s="107"/>
      <c r="L19" s="108"/>
      <c r="M19" s="87"/>
      <c r="N19" s="107"/>
      <c r="O19" s="108"/>
      <c r="P19" s="87"/>
      <c r="Q19" s="107"/>
      <c r="R19" s="108"/>
      <c r="S19" s="87"/>
      <c r="T19" s="107"/>
      <c r="U19" s="108"/>
      <c r="V19" s="87"/>
      <c r="W19" s="107"/>
      <c r="X19" s="108"/>
      <c r="Y19" s="87"/>
      <c r="Z19" s="107"/>
      <c r="AA19" s="108"/>
      <c r="AB19" s="87"/>
      <c r="AC19" s="107"/>
      <c r="AD19" s="108"/>
      <c r="AE19" s="87"/>
      <c r="AF19" s="107"/>
      <c r="AG19" s="108"/>
      <c r="AH19" s="87"/>
      <c r="AI19" s="107"/>
      <c r="AJ19" s="108"/>
      <c r="AK19" s="87"/>
      <c r="AL19" s="107"/>
      <c r="AM19" s="108"/>
      <c r="AN19" s="87"/>
      <c r="AO19" s="107"/>
      <c r="AP19" s="108"/>
      <c r="AQ19" s="87"/>
      <c r="AR19" s="107"/>
      <c r="AS19" s="108"/>
      <c r="AT19" s="87"/>
      <c r="AU19" s="107"/>
      <c r="AV19" s="108"/>
      <c r="AW19" s="87"/>
      <c r="AX19" s="107"/>
      <c r="AY19" s="108"/>
      <c r="AZ19" s="87"/>
      <c r="BA19" s="107"/>
      <c r="BB19" s="108"/>
      <c r="BC19" s="87"/>
      <c r="BD19" s="107"/>
      <c r="BE19" s="108"/>
      <c r="BF19" s="87"/>
      <c r="BG19" s="107"/>
      <c r="BH19" s="108"/>
      <c r="BI19" s="87"/>
      <c r="BJ19" s="107"/>
      <c r="BK19" s="108"/>
      <c r="BL19" s="87"/>
      <c r="BM19" s="107"/>
      <c r="BN19" s="108"/>
      <c r="BO19" s="87"/>
      <c r="BP19" s="107"/>
      <c r="BQ19" s="108"/>
      <c r="BR19" s="87"/>
      <c r="BS19" s="107"/>
      <c r="BT19" s="108"/>
      <c r="BU19" s="87"/>
      <c r="BV19" s="107"/>
      <c r="BW19" s="108"/>
      <c r="BX19" s="87"/>
      <c r="BY19" s="107"/>
      <c r="BZ19" s="108"/>
      <c r="CA19" s="87"/>
      <c r="CB19" s="107"/>
      <c r="CC19" s="108"/>
      <c r="CD19" s="87"/>
      <c r="CE19" s="107"/>
      <c r="CF19" s="108"/>
      <c r="CG19" s="87"/>
      <c r="CH19" s="107"/>
      <c r="CI19" s="108"/>
      <c r="CJ19" s="87"/>
      <c r="CK19" s="107"/>
      <c r="CL19" s="108"/>
      <c r="CM19" s="87"/>
      <c r="CN19" s="107"/>
      <c r="CO19" s="108"/>
      <c r="CP19" s="87"/>
      <c r="CQ19" s="107"/>
      <c r="CR19" s="108"/>
      <c r="CS19" s="87"/>
      <c r="CT19" s="107"/>
      <c r="CU19" s="108"/>
      <c r="CV19" s="87"/>
      <c r="CW19" s="107"/>
      <c r="CX19" s="108"/>
      <c r="CY19" s="87"/>
      <c r="CZ19" s="107"/>
      <c r="DA19" s="108"/>
      <c r="DB19" s="87"/>
      <c r="DC19" s="107"/>
      <c r="DD19" s="108"/>
      <c r="DE19" s="87"/>
      <c r="DF19" s="107"/>
      <c r="DG19" s="108"/>
      <c r="DH19" s="87"/>
      <c r="DI19" s="107"/>
      <c r="DJ19" s="108"/>
      <c r="DK19" s="87"/>
      <c r="DL19" s="107"/>
      <c r="DM19" s="108"/>
      <c r="DN19" s="87"/>
      <c r="DO19" s="107"/>
      <c r="DP19" s="108"/>
      <c r="DQ19" s="87"/>
      <c r="DR19" s="107"/>
      <c r="DS19" s="108"/>
      <c r="DT19" s="87"/>
      <c r="DU19" s="107"/>
      <c r="DV19" s="108"/>
      <c r="DW19" s="87"/>
      <c r="DX19" s="107"/>
      <c r="DY19" s="108"/>
      <c r="DZ19" s="87"/>
      <c r="EA19" s="107"/>
      <c r="EB19" s="108"/>
      <c r="EC19" s="87"/>
      <c r="ED19" s="107"/>
      <c r="EE19" s="108"/>
      <c r="EF19" s="87"/>
      <c r="EG19" s="107"/>
      <c r="EH19" s="108"/>
      <c r="EI19" s="87"/>
      <c r="EJ19" s="107"/>
      <c r="EK19" s="108"/>
      <c r="EL19" s="87"/>
      <c r="EM19" s="107"/>
      <c r="EN19" s="108"/>
      <c r="EO19" s="87"/>
      <c r="EP19" s="107"/>
      <c r="EQ19" s="108"/>
      <c r="ER19" s="87"/>
      <c r="ES19" s="107"/>
      <c r="ET19" s="108"/>
      <c r="EU19" s="87"/>
      <c r="EV19" s="107"/>
      <c r="EW19" s="108"/>
      <c r="EX19" s="87"/>
      <c r="EY19" s="107"/>
      <c r="EZ19" s="108"/>
      <c r="FA19" s="87"/>
      <c r="FB19" s="107"/>
      <c r="FC19" s="108"/>
      <c r="FD19" s="87"/>
      <c r="FE19" s="107"/>
      <c r="FF19" s="108"/>
      <c r="FG19" s="87"/>
      <c r="FH19" s="107"/>
      <c r="FI19" s="108"/>
      <c r="FJ19" s="87"/>
      <c r="FK19" s="107"/>
      <c r="FL19" s="108"/>
      <c r="FM19" s="87"/>
      <c r="FN19" s="107"/>
      <c r="FO19" s="108"/>
      <c r="FP19" s="87"/>
      <c r="FQ19" s="107"/>
      <c r="FR19" s="108"/>
      <c r="FS19" s="87"/>
      <c r="FT19" s="107"/>
      <c r="FU19" s="108"/>
      <c r="FV19" s="87"/>
      <c r="FW19" s="107"/>
      <c r="FX19" s="108"/>
      <c r="FY19" s="87"/>
      <c r="FZ19" s="107"/>
      <c r="GA19" s="108"/>
      <c r="GB19" s="87"/>
      <c r="GC19" s="107"/>
      <c r="GD19" s="108"/>
      <c r="GE19" s="87"/>
      <c r="GF19" s="107"/>
      <c r="GG19" s="108"/>
      <c r="GH19" s="87"/>
      <c r="GI19" s="107"/>
      <c r="GJ19" s="108"/>
      <c r="GK19" s="87"/>
      <c r="GL19" s="107"/>
      <c r="GM19" s="108"/>
      <c r="GN19" s="87"/>
      <c r="GO19" s="107"/>
      <c r="GP19" s="108"/>
      <c r="GQ19" s="87"/>
      <c r="GR19" s="107"/>
      <c r="GS19" s="108"/>
      <c r="GT19" s="87"/>
      <c r="GU19" s="107"/>
      <c r="GV19" s="108"/>
      <c r="GW19" s="87"/>
      <c r="GX19" s="107"/>
      <c r="GY19" s="108"/>
      <c r="GZ19" s="87"/>
      <c r="HA19" s="107"/>
      <c r="HB19" s="108"/>
      <c r="HC19" s="87"/>
      <c r="HD19" s="107"/>
      <c r="HE19" s="108"/>
      <c r="HF19" s="87"/>
      <c r="HG19" s="107"/>
      <c r="HH19" s="108"/>
      <c r="HI19" s="87"/>
      <c r="HJ19" s="107"/>
      <c r="HK19" s="108"/>
      <c r="HM19" s="109">
        <v>1403</v>
      </c>
      <c r="HN19" s="89" t="s">
        <v>123</v>
      </c>
      <c r="HO19" s="90">
        <v>12000</v>
      </c>
      <c r="HP19" s="110">
        <f>AR$101</f>
        <v>10000</v>
      </c>
      <c r="HQ19" s="111">
        <f>AS$101</f>
        <v>0</v>
      </c>
      <c r="HR19" s="93" t="s">
        <v>754</v>
      </c>
      <c r="HS19" s="94">
        <f t="shared" si="0"/>
        <v>22000</v>
      </c>
      <c r="HU19" s="95" t="s">
        <v>793</v>
      </c>
      <c r="HV19" s="96"/>
      <c r="HW19" s="97">
        <v>24</v>
      </c>
      <c r="HX19" s="112"/>
      <c r="HY19" s="117"/>
      <c r="HZ19" s="100" t="s">
        <v>794</v>
      </c>
      <c r="IA19" s="96"/>
      <c r="IB19" s="97">
        <v>86</v>
      </c>
      <c r="IC19" s="112"/>
      <c r="ID19" s="116"/>
      <c r="IF19" s="102" t="s">
        <v>877</v>
      </c>
      <c r="IG19" s="103"/>
      <c r="IH19" s="96"/>
      <c r="II19" s="104">
        <v>26</v>
      </c>
      <c r="IJ19" s="105">
        <f>HP77</f>
        <v>0</v>
      </c>
      <c r="IK19" s="106"/>
      <c r="IL19" s="13"/>
    </row>
    <row r="20" ht="14.25" customHeight="1" spans="1:246">
      <c r="A20" s="82">
        <v>1404</v>
      </c>
      <c r="B20" s="83" t="s">
        <v>125</v>
      </c>
      <c r="C20" s="84"/>
      <c r="D20" s="84"/>
      <c r="E20" s="107"/>
      <c r="F20" s="108"/>
      <c r="G20" s="87"/>
      <c r="H20" s="107"/>
      <c r="I20" s="108"/>
      <c r="J20" s="87"/>
      <c r="K20" s="107"/>
      <c r="L20" s="108"/>
      <c r="M20" s="87"/>
      <c r="N20" s="107"/>
      <c r="O20" s="108"/>
      <c r="P20" s="87"/>
      <c r="Q20" s="107"/>
      <c r="R20" s="108"/>
      <c r="S20" s="87"/>
      <c r="T20" s="107"/>
      <c r="U20" s="108"/>
      <c r="V20" s="87"/>
      <c r="W20" s="107"/>
      <c r="X20" s="108"/>
      <c r="Y20" s="87"/>
      <c r="Z20" s="107"/>
      <c r="AA20" s="108"/>
      <c r="AB20" s="87"/>
      <c r="AC20" s="107"/>
      <c r="AD20" s="108"/>
      <c r="AE20" s="87"/>
      <c r="AF20" s="107"/>
      <c r="AG20" s="108"/>
      <c r="AH20" s="87"/>
      <c r="AI20" s="107"/>
      <c r="AJ20" s="108"/>
      <c r="AK20" s="87"/>
      <c r="AL20" s="107"/>
      <c r="AM20" s="108"/>
      <c r="AN20" s="87"/>
      <c r="AO20" s="107"/>
      <c r="AP20" s="108"/>
      <c r="AQ20" s="87"/>
      <c r="AR20" s="107"/>
      <c r="AS20" s="108"/>
      <c r="AT20" s="87"/>
      <c r="AU20" s="107"/>
      <c r="AV20" s="108"/>
      <c r="AW20" s="87"/>
      <c r="AX20" s="107"/>
      <c r="AY20" s="108"/>
      <c r="AZ20" s="87"/>
      <c r="BA20" s="107"/>
      <c r="BB20" s="108"/>
      <c r="BC20" s="87"/>
      <c r="BD20" s="107"/>
      <c r="BE20" s="108"/>
      <c r="BF20" s="87"/>
      <c r="BG20" s="107"/>
      <c r="BH20" s="108"/>
      <c r="BI20" s="87"/>
      <c r="BJ20" s="107"/>
      <c r="BK20" s="108"/>
      <c r="BL20" s="87"/>
      <c r="BM20" s="107"/>
      <c r="BN20" s="108"/>
      <c r="BO20" s="87"/>
      <c r="BP20" s="107"/>
      <c r="BQ20" s="108"/>
      <c r="BR20" s="87"/>
      <c r="BS20" s="107"/>
      <c r="BT20" s="108"/>
      <c r="BU20" s="87"/>
      <c r="BV20" s="107"/>
      <c r="BW20" s="108"/>
      <c r="BX20" s="87"/>
      <c r="BY20" s="107"/>
      <c r="BZ20" s="108"/>
      <c r="CA20" s="87"/>
      <c r="CB20" s="107"/>
      <c r="CC20" s="108"/>
      <c r="CD20" s="87"/>
      <c r="CE20" s="107"/>
      <c r="CF20" s="108"/>
      <c r="CG20" s="87"/>
      <c r="CH20" s="107"/>
      <c r="CI20" s="108"/>
      <c r="CJ20" s="87"/>
      <c r="CK20" s="107"/>
      <c r="CL20" s="108"/>
      <c r="CM20" s="87"/>
      <c r="CN20" s="107"/>
      <c r="CO20" s="108"/>
      <c r="CP20" s="87"/>
      <c r="CQ20" s="107"/>
      <c r="CR20" s="108"/>
      <c r="CS20" s="87"/>
      <c r="CT20" s="107"/>
      <c r="CU20" s="108"/>
      <c r="CV20" s="87"/>
      <c r="CW20" s="107"/>
      <c r="CX20" s="108"/>
      <c r="CY20" s="87"/>
      <c r="CZ20" s="107"/>
      <c r="DA20" s="108"/>
      <c r="DB20" s="87"/>
      <c r="DC20" s="107"/>
      <c r="DD20" s="108"/>
      <c r="DE20" s="87"/>
      <c r="DF20" s="107"/>
      <c r="DG20" s="108"/>
      <c r="DH20" s="87"/>
      <c r="DI20" s="107"/>
      <c r="DJ20" s="108"/>
      <c r="DK20" s="87"/>
      <c r="DL20" s="107"/>
      <c r="DM20" s="108"/>
      <c r="DN20" s="87"/>
      <c r="DO20" s="107"/>
      <c r="DP20" s="108"/>
      <c r="DQ20" s="87"/>
      <c r="DR20" s="107"/>
      <c r="DS20" s="108"/>
      <c r="DT20" s="87"/>
      <c r="DU20" s="107"/>
      <c r="DV20" s="108"/>
      <c r="DW20" s="87"/>
      <c r="DX20" s="107"/>
      <c r="DY20" s="108"/>
      <c r="DZ20" s="87"/>
      <c r="EA20" s="107"/>
      <c r="EB20" s="108"/>
      <c r="EC20" s="87"/>
      <c r="ED20" s="107"/>
      <c r="EE20" s="108"/>
      <c r="EF20" s="87"/>
      <c r="EG20" s="107"/>
      <c r="EH20" s="108"/>
      <c r="EI20" s="87"/>
      <c r="EJ20" s="107"/>
      <c r="EK20" s="108"/>
      <c r="EL20" s="87"/>
      <c r="EM20" s="107"/>
      <c r="EN20" s="108"/>
      <c r="EO20" s="87"/>
      <c r="EP20" s="107"/>
      <c r="EQ20" s="108"/>
      <c r="ER20" s="87"/>
      <c r="ES20" s="107"/>
      <c r="ET20" s="108"/>
      <c r="EU20" s="87"/>
      <c r="EV20" s="107"/>
      <c r="EW20" s="108"/>
      <c r="EX20" s="87"/>
      <c r="EY20" s="107"/>
      <c r="EZ20" s="108"/>
      <c r="FA20" s="87"/>
      <c r="FB20" s="107"/>
      <c r="FC20" s="108"/>
      <c r="FD20" s="87"/>
      <c r="FE20" s="107"/>
      <c r="FF20" s="108"/>
      <c r="FG20" s="87"/>
      <c r="FH20" s="107"/>
      <c r="FI20" s="108"/>
      <c r="FJ20" s="87"/>
      <c r="FK20" s="107"/>
      <c r="FL20" s="108"/>
      <c r="FM20" s="87"/>
      <c r="FN20" s="107"/>
      <c r="FO20" s="108"/>
      <c r="FP20" s="87"/>
      <c r="FQ20" s="107"/>
      <c r="FR20" s="108"/>
      <c r="FS20" s="87"/>
      <c r="FT20" s="107"/>
      <c r="FU20" s="108"/>
      <c r="FV20" s="87"/>
      <c r="FW20" s="107"/>
      <c r="FX20" s="108"/>
      <c r="FY20" s="87"/>
      <c r="FZ20" s="107"/>
      <c r="GA20" s="108"/>
      <c r="GB20" s="87"/>
      <c r="GC20" s="107"/>
      <c r="GD20" s="108"/>
      <c r="GE20" s="87"/>
      <c r="GF20" s="107"/>
      <c r="GG20" s="108"/>
      <c r="GH20" s="87"/>
      <c r="GI20" s="107"/>
      <c r="GJ20" s="108"/>
      <c r="GK20" s="87"/>
      <c r="GL20" s="107"/>
      <c r="GM20" s="108"/>
      <c r="GN20" s="87"/>
      <c r="GO20" s="107"/>
      <c r="GP20" s="108"/>
      <c r="GQ20" s="87"/>
      <c r="GR20" s="107"/>
      <c r="GS20" s="108"/>
      <c r="GT20" s="87"/>
      <c r="GU20" s="107"/>
      <c r="GV20" s="108"/>
      <c r="GW20" s="87"/>
      <c r="GX20" s="107"/>
      <c r="GY20" s="108"/>
      <c r="GZ20" s="87"/>
      <c r="HA20" s="107"/>
      <c r="HB20" s="108"/>
      <c r="HC20" s="87"/>
      <c r="HD20" s="107"/>
      <c r="HE20" s="108"/>
      <c r="HF20" s="87"/>
      <c r="HG20" s="107"/>
      <c r="HH20" s="108"/>
      <c r="HI20" s="87"/>
      <c r="HJ20" s="107"/>
      <c r="HK20" s="108"/>
      <c r="HM20" s="109">
        <v>1404</v>
      </c>
      <c r="HN20" s="89" t="s">
        <v>125</v>
      </c>
      <c r="HO20" s="90"/>
      <c r="HP20" s="110">
        <f>AU$101</f>
        <v>0</v>
      </c>
      <c r="HQ20" s="111">
        <f>AV$101</f>
        <v>0</v>
      </c>
      <c r="HR20" s="93" t="s">
        <v>754</v>
      </c>
      <c r="HS20" s="94">
        <f t="shared" si="0"/>
        <v>0</v>
      </c>
      <c r="HU20" s="95" t="s">
        <v>795</v>
      </c>
      <c r="HV20" s="96"/>
      <c r="HW20" s="97">
        <v>31</v>
      </c>
      <c r="HX20" s="119">
        <f>SUM(HX7:HX19)</f>
        <v>0</v>
      </c>
      <c r="HY20" s="113">
        <f>SUM(HY7:HY19)</f>
        <v>43500</v>
      </c>
      <c r="HZ20" s="100" t="s">
        <v>796</v>
      </c>
      <c r="IA20" s="96"/>
      <c r="IB20" s="97">
        <v>90</v>
      </c>
      <c r="IC20" s="112"/>
      <c r="ID20" s="116"/>
      <c r="IF20" s="102" t="s">
        <v>878</v>
      </c>
      <c r="IG20" s="103"/>
      <c r="IH20" s="96"/>
      <c r="II20" s="104">
        <v>27</v>
      </c>
      <c r="IJ20" s="105">
        <f>IJ14+IJ15+IJ16+IJ17-IJ18</f>
        <v>0</v>
      </c>
      <c r="IK20" s="115">
        <f>IK14+IK15+IK16+IK17-IK18</f>
        <v>0</v>
      </c>
      <c r="IL20" s="13"/>
    </row>
    <row r="21" ht="14.25" customHeight="1" spans="1:246">
      <c r="A21" s="82">
        <v>1405</v>
      </c>
      <c r="B21" s="83" t="s">
        <v>128</v>
      </c>
      <c r="C21" s="84"/>
      <c r="D21" s="84"/>
      <c r="E21" s="107"/>
      <c r="F21" s="108"/>
      <c r="G21" s="87"/>
      <c r="H21" s="107"/>
      <c r="I21" s="108"/>
      <c r="J21" s="87"/>
      <c r="K21" s="107"/>
      <c r="L21" s="108"/>
      <c r="M21" s="87"/>
      <c r="N21" s="107"/>
      <c r="O21" s="108"/>
      <c r="P21" s="87"/>
      <c r="Q21" s="107"/>
      <c r="R21" s="108"/>
      <c r="S21" s="87"/>
      <c r="T21" s="107"/>
      <c r="U21" s="108"/>
      <c r="V21" s="87"/>
      <c r="W21" s="107"/>
      <c r="X21" s="108"/>
      <c r="Y21" s="87"/>
      <c r="Z21" s="107"/>
      <c r="AA21" s="108"/>
      <c r="AB21" s="87"/>
      <c r="AC21" s="107"/>
      <c r="AD21" s="108"/>
      <c r="AE21" s="87"/>
      <c r="AF21" s="107"/>
      <c r="AG21" s="108"/>
      <c r="AH21" s="87"/>
      <c r="AI21" s="107"/>
      <c r="AJ21" s="108"/>
      <c r="AK21" s="87"/>
      <c r="AL21" s="107"/>
      <c r="AM21" s="108"/>
      <c r="AN21" s="87"/>
      <c r="AO21" s="107"/>
      <c r="AP21" s="108"/>
      <c r="AQ21" s="87"/>
      <c r="AR21" s="107"/>
      <c r="AS21" s="108"/>
      <c r="AT21" s="87"/>
      <c r="AU21" s="107"/>
      <c r="AV21" s="108"/>
      <c r="AW21" s="87"/>
      <c r="AX21" s="107"/>
      <c r="AY21" s="108"/>
      <c r="AZ21" s="87"/>
      <c r="BA21" s="107"/>
      <c r="BB21" s="108"/>
      <c r="BC21" s="87"/>
      <c r="BD21" s="107"/>
      <c r="BE21" s="108"/>
      <c r="BF21" s="87"/>
      <c r="BG21" s="107"/>
      <c r="BH21" s="108"/>
      <c r="BI21" s="87"/>
      <c r="BJ21" s="107"/>
      <c r="BK21" s="108"/>
      <c r="BL21" s="87"/>
      <c r="BM21" s="107"/>
      <c r="BN21" s="108"/>
      <c r="BO21" s="87"/>
      <c r="BP21" s="107"/>
      <c r="BQ21" s="108"/>
      <c r="BR21" s="87"/>
      <c r="BS21" s="107"/>
      <c r="BT21" s="108"/>
      <c r="BU21" s="87"/>
      <c r="BV21" s="107"/>
      <c r="BW21" s="108"/>
      <c r="BX21" s="87"/>
      <c r="BY21" s="107"/>
      <c r="BZ21" s="108"/>
      <c r="CA21" s="87"/>
      <c r="CB21" s="107"/>
      <c r="CC21" s="108"/>
      <c r="CD21" s="87"/>
      <c r="CE21" s="107"/>
      <c r="CF21" s="108"/>
      <c r="CG21" s="87"/>
      <c r="CH21" s="107"/>
      <c r="CI21" s="108"/>
      <c r="CJ21" s="87"/>
      <c r="CK21" s="107"/>
      <c r="CL21" s="108"/>
      <c r="CM21" s="87"/>
      <c r="CN21" s="107"/>
      <c r="CO21" s="108"/>
      <c r="CP21" s="87"/>
      <c r="CQ21" s="107"/>
      <c r="CR21" s="108"/>
      <c r="CS21" s="87"/>
      <c r="CT21" s="107"/>
      <c r="CU21" s="108"/>
      <c r="CV21" s="87"/>
      <c r="CW21" s="107"/>
      <c r="CX21" s="108"/>
      <c r="CY21" s="87"/>
      <c r="CZ21" s="107"/>
      <c r="DA21" s="108"/>
      <c r="DB21" s="87"/>
      <c r="DC21" s="107"/>
      <c r="DD21" s="108"/>
      <c r="DE21" s="87"/>
      <c r="DF21" s="107"/>
      <c r="DG21" s="108"/>
      <c r="DH21" s="87"/>
      <c r="DI21" s="107"/>
      <c r="DJ21" s="108"/>
      <c r="DK21" s="87"/>
      <c r="DL21" s="107"/>
      <c r="DM21" s="108"/>
      <c r="DN21" s="87"/>
      <c r="DO21" s="107"/>
      <c r="DP21" s="108"/>
      <c r="DQ21" s="87"/>
      <c r="DR21" s="107"/>
      <c r="DS21" s="108"/>
      <c r="DT21" s="87"/>
      <c r="DU21" s="107"/>
      <c r="DV21" s="108"/>
      <c r="DW21" s="87"/>
      <c r="DX21" s="107"/>
      <c r="DY21" s="108"/>
      <c r="DZ21" s="87"/>
      <c r="EA21" s="107"/>
      <c r="EB21" s="108"/>
      <c r="EC21" s="87"/>
      <c r="ED21" s="107"/>
      <c r="EE21" s="108"/>
      <c r="EF21" s="87"/>
      <c r="EG21" s="107"/>
      <c r="EH21" s="108"/>
      <c r="EI21" s="87"/>
      <c r="EJ21" s="107"/>
      <c r="EK21" s="108"/>
      <c r="EL21" s="87"/>
      <c r="EM21" s="107"/>
      <c r="EN21" s="108"/>
      <c r="EO21" s="87"/>
      <c r="EP21" s="107"/>
      <c r="EQ21" s="108"/>
      <c r="ER21" s="87"/>
      <c r="ES21" s="107"/>
      <c r="ET21" s="108"/>
      <c r="EU21" s="87"/>
      <c r="EV21" s="107"/>
      <c r="EW21" s="108"/>
      <c r="EX21" s="87"/>
      <c r="EY21" s="107"/>
      <c r="EZ21" s="108"/>
      <c r="FA21" s="87"/>
      <c r="FB21" s="107"/>
      <c r="FC21" s="108"/>
      <c r="FD21" s="87"/>
      <c r="FE21" s="107"/>
      <c r="FF21" s="108"/>
      <c r="FG21" s="87"/>
      <c r="FH21" s="107"/>
      <c r="FI21" s="108"/>
      <c r="FJ21" s="87"/>
      <c r="FK21" s="107"/>
      <c r="FL21" s="108"/>
      <c r="FM21" s="87"/>
      <c r="FN21" s="107"/>
      <c r="FO21" s="108"/>
      <c r="FP21" s="87"/>
      <c r="FQ21" s="107"/>
      <c r="FR21" s="108"/>
      <c r="FS21" s="87"/>
      <c r="FT21" s="107"/>
      <c r="FU21" s="108"/>
      <c r="FV21" s="87"/>
      <c r="FW21" s="107"/>
      <c r="FX21" s="108"/>
      <c r="FY21" s="87"/>
      <c r="FZ21" s="107"/>
      <c r="GA21" s="108"/>
      <c r="GB21" s="87"/>
      <c r="GC21" s="107"/>
      <c r="GD21" s="108"/>
      <c r="GE21" s="87"/>
      <c r="GF21" s="107"/>
      <c r="GG21" s="108"/>
      <c r="GH21" s="87"/>
      <c r="GI21" s="107"/>
      <c r="GJ21" s="108"/>
      <c r="GK21" s="87"/>
      <c r="GL21" s="107"/>
      <c r="GM21" s="108"/>
      <c r="GN21" s="87"/>
      <c r="GO21" s="107"/>
      <c r="GP21" s="108"/>
      <c r="GQ21" s="87"/>
      <c r="GR21" s="107"/>
      <c r="GS21" s="108"/>
      <c r="GT21" s="87"/>
      <c r="GU21" s="107"/>
      <c r="GV21" s="108"/>
      <c r="GW21" s="87"/>
      <c r="GX21" s="107"/>
      <c r="GY21" s="108"/>
      <c r="GZ21" s="87"/>
      <c r="HA21" s="107"/>
      <c r="HB21" s="108"/>
      <c r="HC21" s="87"/>
      <c r="HD21" s="107"/>
      <c r="HE21" s="108"/>
      <c r="HF21" s="87"/>
      <c r="HG21" s="107"/>
      <c r="HH21" s="108"/>
      <c r="HI21" s="87"/>
      <c r="HJ21" s="107"/>
      <c r="HK21" s="108"/>
      <c r="HM21" s="109">
        <v>1405</v>
      </c>
      <c r="HN21" s="89" t="s">
        <v>128</v>
      </c>
      <c r="HO21" s="90"/>
      <c r="HP21" s="110">
        <f>AX$101</f>
        <v>0</v>
      </c>
      <c r="HQ21" s="111">
        <f>AY$101</f>
        <v>0</v>
      </c>
      <c r="HR21" s="93" t="s">
        <v>754</v>
      </c>
      <c r="HS21" s="94">
        <f t="shared" si="0"/>
        <v>0</v>
      </c>
      <c r="HU21" s="95" t="s">
        <v>797</v>
      </c>
      <c r="HV21" s="96"/>
      <c r="HW21" s="97"/>
      <c r="HX21" s="98" t="s">
        <v>767</v>
      </c>
      <c r="HY21" s="99" t="s">
        <v>767</v>
      </c>
      <c r="HZ21" s="100"/>
      <c r="IA21" s="96"/>
      <c r="IB21" s="97"/>
      <c r="IC21" s="112"/>
      <c r="ID21" s="116"/>
      <c r="IF21" s="102" t="s">
        <v>879</v>
      </c>
      <c r="IG21" s="103"/>
      <c r="IH21" s="96"/>
      <c r="II21" s="104">
        <v>28</v>
      </c>
      <c r="IJ21" s="105">
        <f>HP76</f>
        <v>0</v>
      </c>
      <c r="IK21" s="106"/>
      <c r="IL21" s="13"/>
    </row>
    <row r="22" ht="14.25" customHeight="1" spans="1:246">
      <c r="A22" s="82">
        <v>1406</v>
      </c>
      <c r="B22" s="83" t="s">
        <v>182</v>
      </c>
      <c r="C22" s="84"/>
      <c r="D22" s="84"/>
      <c r="E22" s="107"/>
      <c r="F22" s="108"/>
      <c r="G22" s="87"/>
      <c r="H22" s="107"/>
      <c r="I22" s="108"/>
      <c r="J22" s="87"/>
      <c r="K22" s="107"/>
      <c r="L22" s="108"/>
      <c r="M22" s="87"/>
      <c r="N22" s="107"/>
      <c r="O22" s="108"/>
      <c r="P22" s="87"/>
      <c r="Q22" s="107"/>
      <c r="R22" s="108"/>
      <c r="S22" s="87"/>
      <c r="T22" s="107"/>
      <c r="U22" s="108"/>
      <c r="V22" s="87"/>
      <c r="W22" s="107"/>
      <c r="X22" s="108"/>
      <c r="Y22" s="87"/>
      <c r="Z22" s="107"/>
      <c r="AA22" s="108"/>
      <c r="AB22" s="87"/>
      <c r="AC22" s="107"/>
      <c r="AD22" s="108"/>
      <c r="AE22" s="87"/>
      <c r="AF22" s="107"/>
      <c r="AG22" s="108"/>
      <c r="AH22" s="87"/>
      <c r="AI22" s="107"/>
      <c r="AJ22" s="108"/>
      <c r="AK22" s="87"/>
      <c r="AL22" s="107"/>
      <c r="AM22" s="108"/>
      <c r="AN22" s="87"/>
      <c r="AO22" s="107"/>
      <c r="AP22" s="108"/>
      <c r="AQ22" s="87"/>
      <c r="AR22" s="107"/>
      <c r="AS22" s="108"/>
      <c r="AT22" s="87"/>
      <c r="AU22" s="107"/>
      <c r="AV22" s="108"/>
      <c r="AW22" s="87"/>
      <c r="AX22" s="107"/>
      <c r="AY22" s="108"/>
      <c r="AZ22" s="87"/>
      <c r="BA22" s="107"/>
      <c r="BB22" s="108"/>
      <c r="BC22" s="87"/>
      <c r="BD22" s="107"/>
      <c r="BE22" s="108"/>
      <c r="BF22" s="87"/>
      <c r="BG22" s="107"/>
      <c r="BH22" s="108"/>
      <c r="BI22" s="87"/>
      <c r="BJ22" s="107"/>
      <c r="BK22" s="108"/>
      <c r="BL22" s="87"/>
      <c r="BM22" s="107"/>
      <c r="BN22" s="108"/>
      <c r="BO22" s="87"/>
      <c r="BP22" s="107"/>
      <c r="BQ22" s="108"/>
      <c r="BR22" s="87"/>
      <c r="BS22" s="107"/>
      <c r="BT22" s="108"/>
      <c r="BU22" s="87"/>
      <c r="BV22" s="107"/>
      <c r="BW22" s="108"/>
      <c r="BX22" s="87"/>
      <c r="BY22" s="107"/>
      <c r="BZ22" s="108"/>
      <c r="CA22" s="87"/>
      <c r="CB22" s="107"/>
      <c r="CC22" s="108"/>
      <c r="CD22" s="87"/>
      <c r="CE22" s="107"/>
      <c r="CF22" s="108"/>
      <c r="CG22" s="87"/>
      <c r="CH22" s="107"/>
      <c r="CI22" s="108"/>
      <c r="CJ22" s="87"/>
      <c r="CK22" s="107"/>
      <c r="CL22" s="108"/>
      <c r="CM22" s="87"/>
      <c r="CN22" s="107"/>
      <c r="CO22" s="108"/>
      <c r="CP22" s="87"/>
      <c r="CQ22" s="107"/>
      <c r="CR22" s="108"/>
      <c r="CS22" s="87"/>
      <c r="CT22" s="107"/>
      <c r="CU22" s="108"/>
      <c r="CV22" s="87"/>
      <c r="CW22" s="107"/>
      <c r="CX22" s="108"/>
      <c r="CY22" s="87"/>
      <c r="CZ22" s="107"/>
      <c r="DA22" s="108"/>
      <c r="DB22" s="87"/>
      <c r="DC22" s="107"/>
      <c r="DD22" s="108"/>
      <c r="DE22" s="87"/>
      <c r="DF22" s="107"/>
      <c r="DG22" s="108"/>
      <c r="DH22" s="87"/>
      <c r="DI22" s="107"/>
      <c r="DJ22" s="108"/>
      <c r="DK22" s="87"/>
      <c r="DL22" s="107"/>
      <c r="DM22" s="108"/>
      <c r="DN22" s="87"/>
      <c r="DO22" s="107"/>
      <c r="DP22" s="108"/>
      <c r="DQ22" s="87"/>
      <c r="DR22" s="107"/>
      <c r="DS22" s="108"/>
      <c r="DT22" s="87"/>
      <c r="DU22" s="107"/>
      <c r="DV22" s="108"/>
      <c r="DW22" s="87"/>
      <c r="DX22" s="107"/>
      <c r="DY22" s="108"/>
      <c r="DZ22" s="87"/>
      <c r="EA22" s="107"/>
      <c r="EB22" s="108"/>
      <c r="EC22" s="87"/>
      <c r="ED22" s="107"/>
      <c r="EE22" s="108"/>
      <c r="EF22" s="87"/>
      <c r="EG22" s="107"/>
      <c r="EH22" s="108"/>
      <c r="EI22" s="87"/>
      <c r="EJ22" s="107"/>
      <c r="EK22" s="108"/>
      <c r="EL22" s="87"/>
      <c r="EM22" s="107"/>
      <c r="EN22" s="108"/>
      <c r="EO22" s="87"/>
      <c r="EP22" s="107"/>
      <c r="EQ22" s="108"/>
      <c r="ER22" s="87"/>
      <c r="ES22" s="107"/>
      <c r="ET22" s="108"/>
      <c r="EU22" s="87"/>
      <c r="EV22" s="107"/>
      <c r="EW22" s="108"/>
      <c r="EX22" s="87"/>
      <c r="EY22" s="107"/>
      <c r="EZ22" s="108"/>
      <c r="FA22" s="87"/>
      <c r="FB22" s="107"/>
      <c r="FC22" s="108"/>
      <c r="FD22" s="87"/>
      <c r="FE22" s="107"/>
      <c r="FF22" s="108"/>
      <c r="FG22" s="87"/>
      <c r="FH22" s="107"/>
      <c r="FI22" s="108"/>
      <c r="FJ22" s="87"/>
      <c r="FK22" s="107"/>
      <c r="FL22" s="108"/>
      <c r="FM22" s="87"/>
      <c r="FN22" s="107"/>
      <c r="FO22" s="108"/>
      <c r="FP22" s="87"/>
      <c r="FQ22" s="107"/>
      <c r="FR22" s="108"/>
      <c r="FS22" s="87"/>
      <c r="FT22" s="107"/>
      <c r="FU22" s="108"/>
      <c r="FV22" s="87"/>
      <c r="FW22" s="107"/>
      <c r="FX22" s="108"/>
      <c r="FY22" s="87"/>
      <c r="FZ22" s="107"/>
      <c r="GA22" s="108"/>
      <c r="GB22" s="87"/>
      <c r="GC22" s="107"/>
      <c r="GD22" s="108"/>
      <c r="GE22" s="87"/>
      <c r="GF22" s="107"/>
      <c r="GG22" s="108"/>
      <c r="GH22" s="87"/>
      <c r="GI22" s="107"/>
      <c r="GJ22" s="108"/>
      <c r="GK22" s="87"/>
      <c r="GL22" s="107"/>
      <c r="GM22" s="108"/>
      <c r="GN22" s="87"/>
      <c r="GO22" s="107"/>
      <c r="GP22" s="108"/>
      <c r="GQ22" s="87"/>
      <c r="GR22" s="107"/>
      <c r="GS22" s="108"/>
      <c r="GT22" s="87"/>
      <c r="GU22" s="107"/>
      <c r="GV22" s="108"/>
      <c r="GW22" s="87"/>
      <c r="GX22" s="107"/>
      <c r="GY22" s="108"/>
      <c r="GZ22" s="87"/>
      <c r="HA22" s="107"/>
      <c r="HB22" s="108"/>
      <c r="HC22" s="87"/>
      <c r="HD22" s="107"/>
      <c r="HE22" s="108"/>
      <c r="HF22" s="87"/>
      <c r="HG22" s="107"/>
      <c r="HH22" s="108"/>
      <c r="HI22" s="87"/>
      <c r="HJ22" s="107"/>
      <c r="HK22" s="108"/>
      <c r="HM22" s="109">
        <v>1406</v>
      </c>
      <c r="HN22" s="89" t="s">
        <v>182</v>
      </c>
      <c r="HO22" s="90"/>
      <c r="HP22" s="110">
        <f>BA$101</f>
        <v>0</v>
      </c>
      <c r="HQ22" s="111">
        <f>BB$101</f>
        <v>0</v>
      </c>
      <c r="HR22" s="93" t="s">
        <v>754</v>
      </c>
      <c r="HS22" s="94">
        <f t="shared" si="0"/>
        <v>0</v>
      </c>
      <c r="HU22" s="95" t="s">
        <v>798</v>
      </c>
      <c r="HV22" s="96"/>
      <c r="HW22" s="97">
        <v>32</v>
      </c>
      <c r="HX22" s="112"/>
      <c r="HY22" s="113">
        <f>HS27</f>
        <v>0</v>
      </c>
      <c r="HZ22" s="100" t="s">
        <v>799</v>
      </c>
      <c r="IA22" s="96"/>
      <c r="IB22" s="97">
        <v>100</v>
      </c>
      <c r="IC22" s="119">
        <f>SUM(IC7:IC21)</f>
        <v>0</v>
      </c>
      <c r="ID22" s="114">
        <f>SUM(ID7:ID21)</f>
        <v>10000</v>
      </c>
      <c r="IF22" s="120" t="s">
        <v>880</v>
      </c>
      <c r="IG22" s="121"/>
      <c r="IH22" s="122"/>
      <c r="II22" s="123">
        <v>30</v>
      </c>
      <c r="IJ22" s="124">
        <f>IJ20-IJ21</f>
        <v>0</v>
      </c>
      <c r="IK22" s="125">
        <f>IK20-IK21</f>
        <v>0</v>
      </c>
      <c r="IL22" s="13"/>
    </row>
    <row r="23" ht="14.25" customHeight="1" spans="1:246">
      <c r="A23" s="82">
        <v>1407</v>
      </c>
      <c r="B23" s="83" t="s">
        <v>131</v>
      </c>
      <c r="C23" s="84"/>
      <c r="D23" s="84"/>
      <c r="E23" s="107"/>
      <c r="F23" s="108"/>
      <c r="G23" s="87"/>
      <c r="H23" s="107"/>
      <c r="I23" s="108"/>
      <c r="J23" s="87"/>
      <c r="K23" s="107"/>
      <c r="L23" s="108"/>
      <c r="M23" s="87"/>
      <c r="N23" s="107"/>
      <c r="O23" s="108"/>
      <c r="P23" s="87"/>
      <c r="Q23" s="107"/>
      <c r="R23" s="108"/>
      <c r="S23" s="87"/>
      <c r="T23" s="107"/>
      <c r="U23" s="108"/>
      <c r="V23" s="87"/>
      <c r="W23" s="107"/>
      <c r="X23" s="108"/>
      <c r="Y23" s="87"/>
      <c r="Z23" s="107"/>
      <c r="AA23" s="108"/>
      <c r="AB23" s="87"/>
      <c r="AC23" s="107"/>
      <c r="AD23" s="108"/>
      <c r="AE23" s="87"/>
      <c r="AF23" s="107"/>
      <c r="AG23" s="108"/>
      <c r="AH23" s="87"/>
      <c r="AI23" s="107"/>
      <c r="AJ23" s="108"/>
      <c r="AK23" s="87"/>
      <c r="AL23" s="107"/>
      <c r="AM23" s="108"/>
      <c r="AN23" s="87"/>
      <c r="AO23" s="107"/>
      <c r="AP23" s="108"/>
      <c r="AQ23" s="87"/>
      <c r="AR23" s="107"/>
      <c r="AS23" s="108"/>
      <c r="AT23" s="87"/>
      <c r="AU23" s="107"/>
      <c r="AV23" s="108"/>
      <c r="AW23" s="87"/>
      <c r="AX23" s="107"/>
      <c r="AY23" s="108"/>
      <c r="AZ23" s="87"/>
      <c r="BA23" s="107"/>
      <c r="BB23" s="108"/>
      <c r="BC23" s="87"/>
      <c r="BD23" s="107"/>
      <c r="BE23" s="108"/>
      <c r="BF23" s="87"/>
      <c r="BG23" s="107"/>
      <c r="BH23" s="108"/>
      <c r="BI23" s="87"/>
      <c r="BJ23" s="107"/>
      <c r="BK23" s="108"/>
      <c r="BL23" s="87"/>
      <c r="BM23" s="107"/>
      <c r="BN23" s="108"/>
      <c r="BO23" s="87"/>
      <c r="BP23" s="107"/>
      <c r="BQ23" s="108"/>
      <c r="BR23" s="87"/>
      <c r="BS23" s="107"/>
      <c r="BT23" s="108"/>
      <c r="BU23" s="87"/>
      <c r="BV23" s="107"/>
      <c r="BW23" s="108"/>
      <c r="BX23" s="87"/>
      <c r="BY23" s="107"/>
      <c r="BZ23" s="108"/>
      <c r="CA23" s="87"/>
      <c r="CB23" s="107"/>
      <c r="CC23" s="108"/>
      <c r="CD23" s="87"/>
      <c r="CE23" s="107"/>
      <c r="CF23" s="108"/>
      <c r="CG23" s="87"/>
      <c r="CH23" s="107"/>
      <c r="CI23" s="108"/>
      <c r="CJ23" s="87"/>
      <c r="CK23" s="107"/>
      <c r="CL23" s="108"/>
      <c r="CM23" s="87"/>
      <c r="CN23" s="107"/>
      <c r="CO23" s="108"/>
      <c r="CP23" s="87"/>
      <c r="CQ23" s="107"/>
      <c r="CR23" s="108"/>
      <c r="CS23" s="87"/>
      <c r="CT23" s="107"/>
      <c r="CU23" s="108"/>
      <c r="CV23" s="87"/>
      <c r="CW23" s="107"/>
      <c r="CX23" s="108"/>
      <c r="CY23" s="87"/>
      <c r="CZ23" s="107"/>
      <c r="DA23" s="108"/>
      <c r="DB23" s="87"/>
      <c r="DC23" s="107"/>
      <c r="DD23" s="108"/>
      <c r="DE23" s="87"/>
      <c r="DF23" s="107"/>
      <c r="DG23" s="108"/>
      <c r="DH23" s="87"/>
      <c r="DI23" s="107"/>
      <c r="DJ23" s="108"/>
      <c r="DK23" s="87"/>
      <c r="DL23" s="107"/>
      <c r="DM23" s="108"/>
      <c r="DN23" s="87"/>
      <c r="DO23" s="107"/>
      <c r="DP23" s="108"/>
      <c r="DQ23" s="87"/>
      <c r="DR23" s="107"/>
      <c r="DS23" s="108"/>
      <c r="DT23" s="87"/>
      <c r="DU23" s="107"/>
      <c r="DV23" s="108"/>
      <c r="DW23" s="87"/>
      <c r="DX23" s="107"/>
      <c r="DY23" s="108"/>
      <c r="DZ23" s="87"/>
      <c r="EA23" s="107"/>
      <c r="EB23" s="108"/>
      <c r="EC23" s="87"/>
      <c r="ED23" s="107"/>
      <c r="EE23" s="108"/>
      <c r="EF23" s="87"/>
      <c r="EG23" s="107"/>
      <c r="EH23" s="108"/>
      <c r="EI23" s="87"/>
      <c r="EJ23" s="107"/>
      <c r="EK23" s="108"/>
      <c r="EL23" s="87"/>
      <c r="EM23" s="107"/>
      <c r="EN23" s="108"/>
      <c r="EO23" s="87"/>
      <c r="EP23" s="107"/>
      <c r="EQ23" s="108"/>
      <c r="ER23" s="87"/>
      <c r="ES23" s="107"/>
      <c r="ET23" s="108"/>
      <c r="EU23" s="87"/>
      <c r="EV23" s="107"/>
      <c r="EW23" s="108"/>
      <c r="EX23" s="87"/>
      <c r="EY23" s="107"/>
      <c r="EZ23" s="108"/>
      <c r="FA23" s="87"/>
      <c r="FB23" s="107"/>
      <c r="FC23" s="108"/>
      <c r="FD23" s="87"/>
      <c r="FE23" s="107"/>
      <c r="FF23" s="108"/>
      <c r="FG23" s="87"/>
      <c r="FH23" s="107"/>
      <c r="FI23" s="108"/>
      <c r="FJ23" s="87"/>
      <c r="FK23" s="107"/>
      <c r="FL23" s="108"/>
      <c r="FM23" s="87"/>
      <c r="FN23" s="107"/>
      <c r="FO23" s="108"/>
      <c r="FP23" s="87"/>
      <c r="FQ23" s="107"/>
      <c r="FR23" s="108"/>
      <c r="FS23" s="87"/>
      <c r="FT23" s="107"/>
      <c r="FU23" s="108"/>
      <c r="FV23" s="87"/>
      <c r="FW23" s="107"/>
      <c r="FX23" s="108"/>
      <c r="FY23" s="87"/>
      <c r="FZ23" s="107"/>
      <c r="GA23" s="108"/>
      <c r="GB23" s="87"/>
      <c r="GC23" s="107"/>
      <c r="GD23" s="108"/>
      <c r="GE23" s="87"/>
      <c r="GF23" s="107"/>
      <c r="GG23" s="108"/>
      <c r="GH23" s="87"/>
      <c r="GI23" s="107"/>
      <c r="GJ23" s="108"/>
      <c r="GK23" s="87"/>
      <c r="GL23" s="107"/>
      <c r="GM23" s="108"/>
      <c r="GN23" s="87"/>
      <c r="GO23" s="107"/>
      <c r="GP23" s="108"/>
      <c r="GQ23" s="87"/>
      <c r="GR23" s="107"/>
      <c r="GS23" s="108"/>
      <c r="GT23" s="87"/>
      <c r="GU23" s="107"/>
      <c r="GV23" s="108"/>
      <c r="GW23" s="87"/>
      <c r="GX23" s="107"/>
      <c r="GY23" s="108"/>
      <c r="GZ23" s="87"/>
      <c r="HA23" s="107"/>
      <c r="HB23" s="108"/>
      <c r="HC23" s="87"/>
      <c r="HD23" s="107"/>
      <c r="HE23" s="108"/>
      <c r="HF23" s="87"/>
      <c r="HG23" s="107"/>
      <c r="HH23" s="108"/>
      <c r="HI23" s="87"/>
      <c r="HJ23" s="107"/>
      <c r="HK23" s="108"/>
      <c r="HM23" s="109">
        <v>1407</v>
      </c>
      <c r="HN23" s="89" t="s">
        <v>131</v>
      </c>
      <c r="HO23" s="90"/>
      <c r="HP23" s="110">
        <f>BD$101</f>
        <v>0</v>
      </c>
      <c r="HQ23" s="111">
        <f>BE$101</f>
        <v>0</v>
      </c>
      <c r="HR23" s="93" t="s">
        <v>754</v>
      </c>
      <c r="HS23" s="94">
        <f t="shared" si="0"/>
        <v>0</v>
      </c>
      <c r="HU23" s="95" t="s">
        <v>800</v>
      </c>
      <c r="HV23" s="96"/>
      <c r="HW23" s="97">
        <v>34</v>
      </c>
      <c r="HX23" s="112"/>
      <c r="HY23" s="117"/>
      <c r="HZ23" s="100" t="s">
        <v>801</v>
      </c>
      <c r="IA23" s="96"/>
      <c r="IB23" s="97"/>
      <c r="IC23" s="98" t="s">
        <v>767</v>
      </c>
      <c r="ID23" s="101" t="s">
        <v>767</v>
      </c>
      <c r="IF23" s="13"/>
      <c r="IG23" s="13"/>
      <c r="IH23" s="13"/>
      <c r="II23" s="13"/>
      <c r="IJ23" s="13"/>
      <c r="IK23" s="13"/>
      <c r="IL23" s="13"/>
    </row>
    <row r="24" ht="14.25" customHeight="1" spans="1:246">
      <c r="A24" s="82">
        <v>1408</v>
      </c>
      <c r="B24" s="83" t="s">
        <v>134</v>
      </c>
      <c r="C24" s="84"/>
      <c r="D24" s="84"/>
      <c r="E24" s="107"/>
      <c r="F24" s="108"/>
      <c r="G24" s="87"/>
      <c r="H24" s="107"/>
      <c r="I24" s="108"/>
      <c r="J24" s="87"/>
      <c r="K24" s="107"/>
      <c r="L24" s="108"/>
      <c r="M24" s="87"/>
      <c r="N24" s="107"/>
      <c r="O24" s="108"/>
      <c r="P24" s="87"/>
      <c r="Q24" s="107"/>
      <c r="R24" s="108"/>
      <c r="S24" s="87"/>
      <c r="T24" s="107"/>
      <c r="U24" s="108"/>
      <c r="V24" s="87"/>
      <c r="W24" s="107"/>
      <c r="X24" s="108"/>
      <c r="Y24" s="87"/>
      <c r="Z24" s="107"/>
      <c r="AA24" s="108"/>
      <c r="AB24" s="87"/>
      <c r="AC24" s="107"/>
      <c r="AD24" s="108"/>
      <c r="AE24" s="87"/>
      <c r="AF24" s="107"/>
      <c r="AG24" s="108"/>
      <c r="AH24" s="87"/>
      <c r="AI24" s="107"/>
      <c r="AJ24" s="108"/>
      <c r="AK24" s="87"/>
      <c r="AL24" s="107"/>
      <c r="AM24" s="108"/>
      <c r="AN24" s="87"/>
      <c r="AO24" s="107"/>
      <c r="AP24" s="108"/>
      <c r="AQ24" s="87"/>
      <c r="AR24" s="107"/>
      <c r="AS24" s="108"/>
      <c r="AT24" s="87"/>
      <c r="AU24" s="107"/>
      <c r="AV24" s="108"/>
      <c r="AW24" s="87"/>
      <c r="AX24" s="107"/>
      <c r="AY24" s="108"/>
      <c r="AZ24" s="87"/>
      <c r="BA24" s="107"/>
      <c r="BB24" s="108"/>
      <c r="BC24" s="87"/>
      <c r="BD24" s="107"/>
      <c r="BE24" s="108"/>
      <c r="BF24" s="87"/>
      <c r="BG24" s="107"/>
      <c r="BH24" s="108"/>
      <c r="BI24" s="87"/>
      <c r="BJ24" s="107"/>
      <c r="BK24" s="108"/>
      <c r="BL24" s="87"/>
      <c r="BM24" s="107"/>
      <c r="BN24" s="108"/>
      <c r="BO24" s="87"/>
      <c r="BP24" s="107"/>
      <c r="BQ24" s="108"/>
      <c r="BR24" s="87"/>
      <c r="BS24" s="107"/>
      <c r="BT24" s="108"/>
      <c r="BU24" s="87"/>
      <c r="BV24" s="107"/>
      <c r="BW24" s="108"/>
      <c r="BX24" s="87"/>
      <c r="BY24" s="107"/>
      <c r="BZ24" s="108"/>
      <c r="CA24" s="87"/>
      <c r="CB24" s="107"/>
      <c r="CC24" s="108"/>
      <c r="CD24" s="87"/>
      <c r="CE24" s="107"/>
      <c r="CF24" s="108"/>
      <c r="CG24" s="87"/>
      <c r="CH24" s="107"/>
      <c r="CI24" s="108"/>
      <c r="CJ24" s="87"/>
      <c r="CK24" s="107"/>
      <c r="CL24" s="108"/>
      <c r="CM24" s="87"/>
      <c r="CN24" s="107"/>
      <c r="CO24" s="108"/>
      <c r="CP24" s="87"/>
      <c r="CQ24" s="107"/>
      <c r="CR24" s="108"/>
      <c r="CS24" s="87"/>
      <c r="CT24" s="107"/>
      <c r="CU24" s="108"/>
      <c r="CV24" s="87"/>
      <c r="CW24" s="107"/>
      <c r="CX24" s="108"/>
      <c r="CY24" s="87"/>
      <c r="CZ24" s="107"/>
      <c r="DA24" s="108"/>
      <c r="DB24" s="87"/>
      <c r="DC24" s="107"/>
      <c r="DD24" s="108"/>
      <c r="DE24" s="87"/>
      <c r="DF24" s="107"/>
      <c r="DG24" s="108"/>
      <c r="DH24" s="87"/>
      <c r="DI24" s="107"/>
      <c r="DJ24" s="108"/>
      <c r="DK24" s="87"/>
      <c r="DL24" s="107"/>
      <c r="DM24" s="108"/>
      <c r="DN24" s="87"/>
      <c r="DO24" s="107"/>
      <c r="DP24" s="108"/>
      <c r="DQ24" s="87"/>
      <c r="DR24" s="107"/>
      <c r="DS24" s="108"/>
      <c r="DT24" s="87"/>
      <c r="DU24" s="107"/>
      <c r="DV24" s="108"/>
      <c r="DW24" s="87"/>
      <c r="DX24" s="107"/>
      <c r="DY24" s="108"/>
      <c r="DZ24" s="87"/>
      <c r="EA24" s="107"/>
      <c r="EB24" s="108"/>
      <c r="EC24" s="87"/>
      <c r="ED24" s="107"/>
      <c r="EE24" s="108"/>
      <c r="EF24" s="87"/>
      <c r="EG24" s="107"/>
      <c r="EH24" s="108"/>
      <c r="EI24" s="87"/>
      <c r="EJ24" s="107"/>
      <c r="EK24" s="108"/>
      <c r="EL24" s="87"/>
      <c r="EM24" s="107"/>
      <c r="EN24" s="108"/>
      <c r="EO24" s="87"/>
      <c r="EP24" s="107"/>
      <c r="EQ24" s="108"/>
      <c r="ER24" s="87"/>
      <c r="ES24" s="107"/>
      <c r="ET24" s="108"/>
      <c r="EU24" s="87"/>
      <c r="EV24" s="107"/>
      <c r="EW24" s="108"/>
      <c r="EX24" s="87"/>
      <c r="EY24" s="107"/>
      <c r="EZ24" s="108"/>
      <c r="FA24" s="87"/>
      <c r="FB24" s="107"/>
      <c r="FC24" s="108"/>
      <c r="FD24" s="87"/>
      <c r="FE24" s="107"/>
      <c r="FF24" s="108"/>
      <c r="FG24" s="87"/>
      <c r="FH24" s="107"/>
      <c r="FI24" s="108"/>
      <c r="FJ24" s="87"/>
      <c r="FK24" s="107"/>
      <c r="FL24" s="108"/>
      <c r="FM24" s="87"/>
      <c r="FN24" s="107"/>
      <c r="FO24" s="108"/>
      <c r="FP24" s="87"/>
      <c r="FQ24" s="107"/>
      <c r="FR24" s="108"/>
      <c r="FS24" s="87"/>
      <c r="FT24" s="107"/>
      <c r="FU24" s="108"/>
      <c r="FV24" s="87"/>
      <c r="FW24" s="107"/>
      <c r="FX24" s="108"/>
      <c r="FY24" s="87"/>
      <c r="FZ24" s="107"/>
      <c r="GA24" s="108"/>
      <c r="GB24" s="87"/>
      <c r="GC24" s="107"/>
      <c r="GD24" s="108"/>
      <c r="GE24" s="87"/>
      <c r="GF24" s="107"/>
      <c r="GG24" s="108"/>
      <c r="GH24" s="87"/>
      <c r="GI24" s="107"/>
      <c r="GJ24" s="108"/>
      <c r="GK24" s="87"/>
      <c r="GL24" s="107"/>
      <c r="GM24" s="108"/>
      <c r="GN24" s="87"/>
      <c r="GO24" s="107"/>
      <c r="GP24" s="108"/>
      <c r="GQ24" s="87"/>
      <c r="GR24" s="107"/>
      <c r="GS24" s="108"/>
      <c r="GT24" s="87"/>
      <c r="GU24" s="107"/>
      <c r="GV24" s="108"/>
      <c r="GW24" s="87"/>
      <c r="GX24" s="107"/>
      <c r="GY24" s="108"/>
      <c r="GZ24" s="87"/>
      <c r="HA24" s="107"/>
      <c r="HB24" s="108"/>
      <c r="HC24" s="87"/>
      <c r="HD24" s="107"/>
      <c r="HE24" s="108"/>
      <c r="HF24" s="87"/>
      <c r="HG24" s="107"/>
      <c r="HH24" s="108"/>
      <c r="HI24" s="87"/>
      <c r="HJ24" s="107"/>
      <c r="HK24" s="108"/>
      <c r="HM24" s="109">
        <v>1408</v>
      </c>
      <c r="HN24" s="89" t="s">
        <v>134</v>
      </c>
      <c r="HO24" s="90"/>
      <c r="HP24" s="110">
        <f>BG$101</f>
        <v>0</v>
      </c>
      <c r="HQ24" s="111">
        <f>BH$101</f>
        <v>0</v>
      </c>
      <c r="HR24" s="93" t="s">
        <v>754</v>
      </c>
      <c r="HS24" s="94">
        <f t="shared" si="0"/>
        <v>0</v>
      </c>
      <c r="HU24" s="95" t="s">
        <v>802</v>
      </c>
      <c r="HV24" s="96"/>
      <c r="HW24" s="97">
        <v>38</v>
      </c>
      <c r="HX24" s="119">
        <f>SUM(HX22:HX23)</f>
        <v>0</v>
      </c>
      <c r="HY24" s="113">
        <f>SUM(HY22:HY23)</f>
        <v>0</v>
      </c>
      <c r="HZ24" s="100" t="s">
        <v>803</v>
      </c>
      <c r="IA24" s="96"/>
      <c r="IB24" s="97">
        <v>101</v>
      </c>
      <c r="IC24" s="112"/>
      <c r="ID24" s="114">
        <f>HS50</f>
        <v>5000</v>
      </c>
      <c r="IF24" s="126" t="s">
        <v>881</v>
      </c>
      <c r="IG24" s="3"/>
      <c r="IH24" s="3"/>
      <c r="II24" s="3"/>
      <c r="IJ24" s="3"/>
      <c r="IK24" s="3"/>
      <c r="IL24" s="13"/>
    </row>
    <row r="25" ht="14.25" customHeight="1" spans="1:246">
      <c r="A25" s="82">
        <v>1411</v>
      </c>
      <c r="B25" s="83" t="s">
        <v>189</v>
      </c>
      <c r="C25" s="84"/>
      <c r="D25" s="84"/>
      <c r="E25" s="107"/>
      <c r="F25" s="108"/>
      <c r="G25" s="87"/>
      <c r="H25" s="107"/>
      <c r="I25" s="108"/>
      <c r="J25" s="87"/>
      <c r="K25" s="107"/>
      <c r="L25" s="108"/>
      <c r="M25" s="87"/>
      <c r="N25" s="107"/>
      <c r="O25" s="108"/>
      <c r="P25" s="87"/>
      <c r="Q25" s="107"/>
      <c r="R25" s="108"/>
      <c r="S25" s="87"/>
      <c r="T25" s="107"/>
      <c r="U25" s="108"/>
      <c r="V25" s="87"/>
      <c r="W25" s="107"/>
      <c r="X25" s="108"/>
      <c r="Y25" s="87"/>
      <c r="Z25" s="107"/>
      <c r="AA25" s="108"/>
      <c r="AB25" s="87"/>
      <c r="AC25" s="107"/>
      <c r="AD25" s="108"/>
      <c r="AE25" s="87"/>
      <c r="AF25" s="107"/>
      <c r="AG25" s="108"/>
      <c r="AH25" s="87"/>
      <c r="AI25" s="107"/>
      <c r="AJ25" s="108"/>
      <c r="AK25" s="87"/>
      <c r="AL25" s="107"/>
      <c r="AM25" s="108"/>
      <c r="AN25" s="87"/>
      <c r="AO25" s="107"/>
      <c r="AP25" s="108"/>
      <c r="AQ25" s="87"/>
      <c r="AR25" s="107"/>
      <c r="AS25" s="108"/>
      <c r="AT25" s="87"/>
      <c r="AU25" s="107"/>
      <c r="AV25" s="108"/>
      <c r="AW25" s="87"/>
      <c r="AX25" s="107"/>
      <c r="AY25" s="108"/>
      <c r="AZ25" s="87"/>
      <c r="BA25" s="107"/>
      <c r="BB25" s="108"/>
      <c r="BC25" s="87"/>
      <c r="BD25" s="107"/>
      <c r="BE25" s="108"/>
      <c r="BF25" s="87"/>
      <c r="BG25" s="107"/>
      <c r="BH25" s="108"/>
      <c r="BI25" s="87"/>
      <c r="BJ25" s="107"/>
      <c r="BK25" s="108"/>
      <c r="BL25" s="87"/>
      <c r="BM25" s="107"/>
      <c r="BN25" s="108"/>
      <c r="BO25" s="87"/>
      <c r="BP25" s="107"/>
      <c r="BQ25" s="108"/>
      <c r="BR25" s="87"/>
      <c r="BS25" s="107"/>
      <c r="BT25" s="108"/>
      <c r="BU25" s="87"/>
      <c r="BV25" s="107"/>
      <c r="BW25" s="108"/>
      <c r="BX25" s="87"/>
      <c r="BY25" s="107"/>
      <c r="BZ25" s="108"/>
      <c r="CA25" s="87"/>
      <c r="CB25" s="107"/>
      <c r="CC25" s="108"/>
      <c r="CD25" s="87"/>
      <c r="CE25" s="107"/>
      <c r="CF25" s="108"/>
      <c r="CG25" s="87"/>
      <c r="CH25" s="107"/>
      <c r="CI25" s="108"/>
      <c r="CJ25" s="87"/>
      <c r="CK25" s="107"/>
      <c r="CL25" s="108"/>
      <c r="CM25" s="87"/>
      <c r="CN25" s="107"/>
      <c r="CO25" s="108"/>
      <c r="CP25" s="87"/>
      <c r="CQ25" s="107"/>
      <c r="CR25" s="108"/>
      <c r="CS25" s="87"/>
      <c r="CT25" s="107"/>
      <c r="CU25" s="108"/>
      <c r="CV25" s="87"/>
      <c r="CW25" s="107"/>
      <c r="CX25" s="108"/>
      <c r="CY25" s="87"/>
      <c r="CZ25" s="107"/>
      <c r="DA25" s="108"/>
      <c r="DB25" s="87"/>
      <c r="DC25" s="107"/>
      <c r="DD25" s="108"/>
      <c r="DE25" s="87"/>
      <c r="DF25" s="107"/>
      <c r="DG25" s="108"/>
      <c r="DH25" s="87"/>
      <c r="DI25" s="107"/>
      <c r="DJ25" s="108"/>
      <c r="DK25" s="87"/>
      <c r="DL25" s="107"/>
      <c r="DM25" s="108"/>
      <c r="DN25" s="87"/>
      <c r="DO25" s="107"/>
      <c r="DP25" s="108"/>
      <c r="DQ25" s="87"/>
      <c r="DR25" s="107"/>
      <c r="DS25" s="108"/>
      <c r="DT25" s="87"/>
      <c r="DU25" s="107"/>
      <c r="DV25" s="108"/>
      <c r="DW25" s="87"/>
      <c r="DX25" s="107"/>
      <c r="DY25" s="108"/>
      <c r="DZ25" s="87"/>
      <c r="EA25" s="107"/>
      <c r="EB25" s="108"/>
      <c r="EC25" s="87"/>
      <c r="ED25" s="107"/>
      <c r="EE25" s="108"/>
      <c r="EF25" s="87"/>
      <c r="EG25" s="107"/>
      <c r="EH25" s="108"/>
      <c r="EI25" s="87"/>
      <c r="EJ25" s="107"/>
      <c r="EK25" s="108"/>
      <c r="EL25" s="87"/>
      <c r="EM25" s="107"/>
      <c r="EN25" s="108"/>
      <c r="EO25" s="87"/>
      <c r="EP25" s="107"/>
      <c r="EQ25" s="108"/>
      <c r="ER25" s="87"/>
      <c r="ES25" s="107"/>
      <c r="ET25" s="108"/>
      <c r="EU25" s="87"/>
      <c r="EV25" s="107"/>
      <c r="EW25" s="108"/>
      <c r="EX25" s="87"/>
      <c r="EY25" s="107"/>
      <c r="EZ25" s="108"/>
      <c r="FA25" s="87"/>
      <c r="FB25" s="107"/>
      <c r="FC25" s="108"/>
      <c r="FD25" s="87"/>
      <c r="FE25" s="107"/>
      <c r="FF25" s="108"/>
      <c r="FG25" s="87"/>
      <c r="FH25" s="107"/>
      <c r="FI25" s="108"/>
      <c r="FJ25" s="87"/>
      <c r="FK25" s="107"/>
      <c r="FL25" s="108"/>
      <c r="FM25" s="87"/>
      <c r="FN25" s="107"/>
      <c r="FO25" s="108"/>
      <c r="FP25" s="87"/>
      <c r="FQ25" s="107"/>
      <c r="FR25" s="108"/>
      <c r="FS25" s="87"/>
      <c r="FT25" s="107"/>
      <c r="FU25" s="108"/>
      <c r="FV25" s="87"/>
      <c r="FW25" s="107"/>
      <c r="FX25" s="108"/>
      <c r="FY25" s="87"/>
      <c r="FZ25" s="107"/>
      <c r="GA25" s="108"/>
      <c r="GB25" s="87"/>
      <c r="GC25" s="107"/>
      <c r="GD25" s="108"/>
      <c r="GE25" s="87"/>
      <c r="GF25" s="107"/>
      <c r="GG25" s="108"/>
      <c r="GH25" s="87"/>
      <c r="GI25" s="107"/>
      <c r="GJ25" s="108"/>
      <c r="GK25" s="87"/>
      <c r="GL25" s="107"/>
      <c r="GM25" s="108"/>
      <c r="GN25" s="87"/>
      <c r="GO25" s="107"/>
      <c r="GP25" s="108"/>
      <c r="GQ25" s="87"/>
      <c r="GR25" s="107"/>
      <c r="GS25" s="108"/>
      <c r="GT25" s="87"/>
      <c r="GU25" s="107"/>
      <c r="GV25" s="108"/>
      <c r="GW25" s="87"/>
      <c r="GX25" s="107"/>
      <c r="GY25" s="108"/>
      <c r="GZ25" s="87"/>
      <c r="HA25" s="107"/>
      <c r="HB25" s="108"/>
      <c r="HC25" s="87"/>
      <c r="HD25" s="107"/>
      <c r="HE25" s="108"/>
      <c r="HF25" s="87"/>
      <c r="HG25" s="107"/>
      <c r="HH25" s="108"/>
      <c r="HI25" s="87"/>
      <c r="HJ25" s="107"/>
      <c r="HK25" s="108"/>
      <c r="HM25" s="109">
        <v>1411</v>
      </c>
      <c r="HN25" s="89" t="s">
        <v>189</v>
      </c>
      <c r="HO25" s="90"/>
      <c r="HP25" s="110">
        <f>BJ$101</f>
        <v>0</v>
      </c>
      <c r="HQ25" s="111">
        <f>BK$101</f>
        <v>0</v>
      </c>
      <c r="HR25" s="93" t="s">
        <v>754</v>
      </c>
      <c r="HS25" s="94">
        <f t="shared" si="0"/>
        <v>0</v>
      </c>
      <c r="HU25" s="95" t="s">
        <v>804</v>
      </c>
      <c r="HV25" s="96"/>
      <c r="HW25" s="97"/>
      <c r="HX25" s="98" t="s">
        <v>767</v>
      </c>
      <c r="HY25" s="99" t="s">
        <v>767</v>
      </c>
      <c r="HZ25" s="100" t="s">
        <v>805</v>
      </c>
      <c r="IA25" s="96"/>
      <c r="IB25" s="97">
        <v>102</v>
      </c>
      <c r="IC25" s="112"/>
      <c r="ID25" s="114">
        <f>HS51</f>
        <v>0</v>
      </c>
      <c r="IF25" s="13"/>
      <c r="IG25" s="13"/>
      <c r="IH25" s="13"/>
      <c r="II25" s="13"/>
      <c r="IJ25" s="13"/>
      <c r="IK25" s="13"/>
      <c r="IL25" s="13"/>
    </row>
    <row r="26" ht="14.25" customHeight="1" spans="1:246">
      <c r="A26" s="82">
        <v>1471</v>
      </c>
      <c r="B26" s="83" t="s">
        <v>212</v>
      </c>
      <c r="C26" s="84"/>
      <c r="D26" s="84"/>
      <c r="E26" s="107"/>
      <c r="F26" s="108"/>
      <c r="G26" s="87"/>
      <c r="H26" s="107"/>
      <c r="I26" s="108"/>
      <c r="J26" s="87"/>
      <c r="K26" s="107"/>
      <c r="L26" s="108"/>
      <c r="M26" s="87"/>
      <c r="N26" s="107"/>
      <c r="O26" s="108"/>
      <c r="P26" s="87"/>
      <c r="Q26" s="107"/>
      <c r="R26" s="108"/>
      <c r="S26" s="87"/>
      <c r="T26" s="107"/>
      <c r="U26" s="108"/>
      <c r="V26" s="87"/>
      <c r="W26" s="107"/>
      <c r="X26" s="108"/>
      <c r="Y26" s="87"/>
      <c r="Z26" s="107"/>
      <c r="AA26" s="108"/>
      <c r="AB26" s="87"/>
      <c r="AC26" s="107"/>
      <c r="AD26" s="108"/>
      <c r="AE26" s="87"/>
      <c r="AF26" s="107"/>
      <c r="AG26" s="108"/>
      <c r="AH26" s="87"/>
      <c r="AI26" s="107"/>
      <c r="AJ26" s="108"/>
      <c r="AK26" s="87"/>
      <c r="AL26" s="107"/>
      <c r="AM26" s="108"/>
      <c r="AN26" s="87"/>
      <c r="AO26" s="107"/>
      <c r="AP26" s="108"/>
      <c r="AQ26" s="87"/>
      <c r="AR26" s="107"/>
      <c r="AS26" s="108"/>
      <c r="AT26" s="87"/>
      <c r="AU26" s="107"/>
      <c r="AV26" s="108"/>
      <c r="AW26" s="87"/>
      <c r="AX26" s="107"/>
      <c r="AY26" s="108"/>
      <c r="AZ26" s="87"/>
      <c r="BA26" s="107"/>
      <c r="BB26" s="108"/>
      <c r="BC26" s="87"/>
      <c r="BD26" s="107"/>
      <c r="BE26" s="108"/>
      <c r="BF26" s="87"/>
      <c r="BG26" s="107"/>
      <c r="BH26" s="108"/>
      <c r="BI26" s="87"/>
      <c r="BJ26" s="107"/>
      <c r="BK26" s="108"/>
      <c r="BL26" s="87"/>
      <c r="BM26" s="107"/>
      <c r="BN26" s="108"/>
      <c r="BO26" s="87"/>
      <c r="BP26" s="107"/>
      <c r="BQ26" s="108"/>
      <c r="BR26" s="87"/>
      <c r="BS26" s="107"/>
      <c r="BT26" s="108"/>
      <c r="BU26" s="87"/>
      <c r="BV26" s="107"/>
      <c r="BW26" s="108"/>
      <c r="BX26" s="87"/>
      <c r="BY26" s="107"/>
      <c r="BZ26" s="108"/>
      <c r="CA26" s="87"/>
      <c r="CB26" s="107"/>
      <c r="CC26" s="108"/>
      <c r="CD26" s="87"/>
      <c r="CE26" s="107"/>
      <c r="CF26" s="108"/>
      <c r="CG26" s="87"/>
      <c r="CH26" s="107"/>
      <c r="CI26" s="108"/>
      <c r="CJ26" s="87"/>
      <c r="CK26" s="107"/>
      <c r="CL26" s="108"/>
      <c r="CM26" s="87"/>
      <c r="CN26" s="107"/>
      <c r="CO26" s="108"/>
      <c r="CP26" s="87"/>
      <c r="CQ26" s="107"/>
      <c r="CR26" s="108"/>
      <c r="CS26" s="87"/>
      <c r="CT26" s="107"/>
      <c r="CU26" s="108"/>
      <c r="CV26" s="87"/>
      <c r="CW26" s="107"/>
      <c r="CX26" s="108"/>
      <c r="CY26" s="87"/>
      <c r="CZ26" s="107"/>
      <c r="DA26" s="108"/>
      <c r="DB26" s="87"/>
      <c r="DC26" s="107"/>
      <c r="DD26" s="108"/>
      <c r="DE26" s="87"/>
      <c r="DF26" s="107"/>
      <c r="DG26" s="108"/>
      <c r="DH26" s="87"/>
      <c r="DI26" s="107"/>
      <c r="DJ26" s="108"/>
      <c r="DK26" s="87"/>
      <c r="DL26" s="107"/>
      <c r="DM26" s="108"/>
      <c r="DN26" s="87"/>
      <c r="DO26" s="107"/>
      <c r="DP26" s="108"/>
      <c r="DQ26" s="87"/>
      <c r="DR26" s="107"/>
      <c r="DS26" s="108"/>
      <c r="DT26" s="87"/>
      <c r="DU26" s="107"/>
      <c r="DV26" s="108"/>
      <c r="DW26" s="87"/>
      <c r="DX26" s="107"/>
      <c r="DY26" s="108"/>
      <c r="DZ26" s="87"/>
      <c r="EA26" s="107"/>
      <c r="EB26" s="108"/>
      <c r="EC26" s="87"/>
      <c r="ED26" s="107"/>
      <c r="EE26" s="108"/>
      <c r="EF26" s="87"/>
      <c r="EG26" s="107"/>
      <c r="EH26" s="108"/>
      <c r="EI26" s="87"/>
      <c r="EJ26" s="107"/>
      <c r="EK26" s="108"/>
      <c r="EL26" s="87"/>
      <c r="EM26" s="107"/>
      <c r="EN26" s="108"/>
      <c r="EO26" s="87"/>
      <c r="EP26" s="107"/>
      <c r="EQ26" s="108"/>
      <c r="ER26" s="87"/>
      <c r="ES26" s="107"/>
      <c r="ET26" s="108"/>
      <c r="EU26" s="87"/>
      <c r="EV26" s="107"/>
      <c r="EW26" s="108"/>
      <c r="EX26" s="87"/>
      <c r="EY26" s="107"/>
      <c r="EZ26" s="108"/>
      <c r="FA26" s="87"/>
      <c r="FB26" s="107"/>
      <c r="FC26" s="108"/>
      <c r="FD26" s="87"/>
      <c r="FE26" s="107"/>
      <c r="FF26" s="108"/>
      <c r="FG26" s="87"/>
      <c r="FH26" s="107"/>
      <c r="FI26" s="108"/>
      <c r="FJ26" s="87"/>
      <c r="FK26" s="107"/>
      <c r="FL26" s="108"/>
      <c r="FM26" s="87"/>
      <c r="FN26" s="107"/>
      <c r="FO26" s="108"/>
      <c r="FP26" s="87"/>
      <c r="FQ26" s="107"/>
      <c r="FR26" s="108"/>
      <c r="FS26" s="87"/>
      <c r="FT26" s="107"/>
      <c r="FU26" s="108"/>
      <c r="FV26" s="87"/>
      <c r="FW26" s="107"/>
      <c r="FX26" s="108"/>
      <c r="FY26" s="87"/>
      <c r="FZ26" s="107"/>
      <c r="GA26" s="108"/>
      <c r="GB26" s="87"/>
      <c r="GC26" s="107"/>
      <c r="GD26" s="108"/>
      <c r="GE26" s="87"/>
      <c r="GF26" s="107"/>
      <c r="GG26" s="108"/>
      <c r="GH26" s="87"/>
      <c r="GI26" s="107"/>
      <c r="GJ26" s="108"/>
      <c r="GK26" s="87"/>
      <c r="GL26" s="107"/>
      <c r="GM26" s="108"/>
      <c r="GN26" s="87"/>
      <c r="GO26" s="107"/>
      <c r="GP26" s="108"/>
      <c r="GQ26" s="87"/>
      <c r="GR26" s="107"/>
      <c r="GS26" s="108"/>
      <c r="GT26" s="87"/>
      <c r="GU26" s="107"/>
      <c r="GV26" s="108"/>
      <c r="GW26" s="87"/>
      <c r="GX26" s="107"/>
      <c r="GY26" s="108"/>
      <c r="GZ26" s="87"/>
      <c r="HA26" s="107"/>
      <c r="HB26" s="108"/>
      <c r="HC26" s="87"/>
      <c r="HD26" s="107"/>
      <c r="HE26" s="108"/>
      <c r="HF26" s="87"/>
      <c r="HG26" s="107"/>
      <c r="HH26" s="108"/>
      <c r="HI26" s="87"/>
      <c r="HJ26" s="107"/>
      <c r="HK26" s="108"/>
      <c r="HM26" s="109">
        <v>1471</v>
      </c>
      <c r="HN26" s="89" t="s">
        <v>212</v>
      </c>
      <c r="HO26" s="90"/>
      <c r="HP26" s="110">
        <f>BM$101</f>
        <v>0</v>
      </c>
      <c r="HQ26" s="111">
        <f>BN$101</f>
        <v>0</v>
      </c>
      <c r="HR26" s="93" t="s">
        <v>755</v>
      </c>
      <c r="HS26" s="94">
        <f t="shared" si="0"/>
        <v>0</v>
      </c>
      <c r="HU26" s="95" t="s">
        <v>806</v>
      </c>
      <c r="HV26" s="96"/>
      <c r="HW26" s="97">
        <v>39</v>
      </c>
      <c r="HX26" s="112"/>
      <c r="HY26" s="113">
        <f>HS30</f>
        <v>36500</v>
      </c>
      <c r="HZ26" s="100" t="s">
        <v>807</v>
      </c>
      <c r="IA26" s="96"/>
      <c r="IB26" s="97">
        <v>103</v>
      </c>
      <c r="IC26" s="112"/>
      <c r="ID26" s="114">
        <f>HS52</f>
        <v>0</v>
      </c>
      <c r="IF26" s="127" t="s">
        <v>849</v>
      </c>
      <c r="IG26" s="128"/>
      <c r="IH26" s="128"/>
      <c r="II26" s="49"/>
      <c r="IJ26" s="129" t="s">
        <v>851</v>
      </c>
      <c r="IK26" s="130" t="s">
        <v>882</v>
      </c>
      <c r="IL26" s="13"/>
    </row>
    <row r="27" ht="14.25" customHeight="1" spans="1:246">
      <c r="A27" s="82">
        <v>1511</v>
      </c>
      <c r="B27" s="83" t="s">
        <v>147</v>
      </c>
      <c r="C27" s="84"/>
      <c r="D27" s="84"/>
      <c r="E27" s="107"/>
      <c r="F27" s="108"/>
      <c r="G27" s="87"/>
      <c r="H27" s="107"/>
      <c r="I27" s="108"/>
      <c r="J27" s="87"/>
      <c r="K27" s="107"/>
      <c r="L27" s="108"/>
      <c r="M27" s="87"/>
      <c r="N27" s="107"/>
      <c r="O27" s="108"/>
      <c r="P27" s="87"/>
      <c r="Q27" s="107"/>
      <c r="R27" s="108"/>
      <c r="S27" s="87"/>
      <c r="T27" s="107"/>
      <c r="U27" s="108"/>
      <c r="V27" s="87"/>
      <c r="W27" s="107"/>
      <c r="X27" s="108"/>
      <c r="Y27" s="87"/>
      <c r="Z27" s="107"/>
      <c r="AA27" s="108"/>
      <c r="AB27" s="87"/>
      <c r="AC27" s="107"/>
      <c r="AD27" s="108"/>
      <c r="AE27" s="87"/>
      <c r="AF27" s="107"/>
      <c r="AG27" s="108"/>
      <c r="AH27" s="87"/>
      <c r="AI27" s="107"/>
      <c r="AJ27" s="108"/>
      <c r="AK27" s="87"/>
      <c r="AL27" s="107"/>
      <c r="AM27" s="108"/>
      <c r="AN27" s="87"/>
      <c r="AO27" s="107"/>
      <c r="AP27" s="108"/>
      <c r="AQ27" s="87"/>
      <c r="AR27" s="107"/>
      <c r="AS27" s="108"/>
      <c r="AT27" s="87"/>
      <c r="AU27" s="107"/>
      <c r="AV27" s="108"/>
      <c r="AW27" s="87"/>
      <c r="AX27" s="107"/>
      <c r="AY27" s="108"/>
      <c r="AZ27" s="87"/>
      <c r="BA27" s="107"/>
      <c r="BB27" s="108"/>
      <c r="BC27" s="87"/>
      <c r="BD27" s="107"/>
      <c r="BE27" s="108"/>
      <c r="BF27" s="87"/>
      <c r="BG27" s="107"/>
      <c r="BH27" s="108"/>
      <c r="BI27" s="87"/>
      <c r="BJ27" s="107"/>
      <c r="BK27" s="108"/>
      <c r="BL27" s="87"/>
      <c r="BM27" s="107"/>
      <c r="BN27" s="108"/>
      <c r="BO27" s="87"/>
      <c r="BP27" s="107"/>
      <c r="BQ27" s="108"/>
      <c r="BR27" s="87"/>
      <c r="BS27" s="107"/>
      <c r="BT27" s="108"/>
      <c r="BU27" s="87"/>
      <c r="BV27" s="107"/>
      <c r="BW27" s="108"/>
      <c r="BX27" s="87"/>
      <c r="BY27" s="107"/>
      <c r="BZ27" s="108"/>
      <c r="CA27" s="87"/>
      <c r="CB27" s="107"/>
      <c r="CC27" s="108"/>
      <c r="CD27" s="87"/>
      <c r="CE27" s="107"/>
      <c r="CF27" s="108"/>
      <c r="CG27" s="87"/>
      <c r="CH27" s="107"/>
      <c r="CI27" s="108"/>
      <c r="CJ27" s="87"/>
      <c r="CK27" s="107"/>
      <c r="CL27" s="108"/>
      <c r="CM27" s="87"/>
      <c r="CN27" s="107"/>
      <c r="CO27" s="108"/>
      <c r="CP27" s="87"/>
      <c r="CQ27" s="107"/>
      <c r="CR27" s="108"/>
      <c r="CS27" s="87"/>
      <c r="CT27" s="107"/>
      <c r="CU27" s="108"/>
      <c r="CV27" s="87"/>
      <c r="CW27" s="107"/>
      <c r="CX27" s="108"/>
      <c r="CY27" s="87"/>
      <c r="CZ27" s="107"/>
      <c r="DA27" s="108"/>
      <c r="DB27" s="87"/>
      <c r="DC27" s="107"/>
      <c r="DD27" s="108"/>
      <c r="DE27" s="87"/>
      <c r="DF27" s="107"/>
      <c r="DG27" s="108"/>
      <c r="DH27" s="87"/>
      <c r="DI27" s="107"/>
      <c r="DJ27" s="108"/>
      <c r="DK27" s="87"/>
      <c r="DL27" s="107"/>
      <c r="DM27" s="108"/>
      <c r="DN27" s="87"/>
      <c r="DO27" s="107"/>
      <c r="DP27" s="108"/>
      <c r="DQ27" s="87"/>
      <c r="DR27" s="107"/>
      <c r="DS27" s="108"/>
      <c r="DT27" s="87"/>
      <c r="DU27" s="107"/>
      <c r="DV27" s="108"/>
      <c r="DW27" s="87"/>
      <c r="DX27" s="107"/>
      <c r="DY27" s="108"/>
      <c r="DZ27" s="87"/>
      <c r="EA27" s="107"/>
      <c r="EB27" s="108"/>
      <c r="EC27" s="87"/>
      <c r="ED27" s="107"/>
      <c r="EE27" s="108"/>
      <c r="EF27" s="87"/>
      <c r="EG27" s="107"/>
      <c r="EH27" s="108"/>
      <c r="EI27" s="87"/>
      <c r="EJ27" s="107"/>
      <c r="EK27" s="108"/>
      <c r="EL27" s="87"/>
      <c r="EM27" s="107"/>
      <c r="EN27" s="108"/>
      <c r="EO27" s="87"/>
      <c r="EP27" s="107"/>
      <c r="EQ27" s="108"/>
      <c r="ER27" s="87"/>
      <c r="ES27" s="107"/>
      <c r="ET27" s="108"/>
      <c r="EU27" s="87"/>
      <c r="EV27" s="107"/>
      <c r="EW27" s="108"/>
      <c r="EX27" s="87"/>
      <c r="EY27" s="107"/>
      <c r="EZ27" s="108"/>
      <c r="FA27" s="87"/>
      <c r="FB27" s="107"/>
      <c r="FC27" s="108"/>
      <c r="FD27" s="87"/>
      <c r="FE27" s="107"/>
      <c r="FF27" s="108"/>
      <c r="FG27" s="87"/>
      <c r="FH27" s="107"/>
      <c r="FI27" s="108"/>
      <c r="FJ27" s="87"/>
      <c r="FK27" s="107"/>
      <c r="FL27" s="108"/>
      <c r="FM27" s="87"/>
      <c r="FN27" s="107"/>
      <c r="FO27" s="108"/>
      <c r="FP27" s="87"/>
      <c r="FQ27" s="107"/>
      <c r="FR27" s="108"/>
      <c r="FS27" s="87"/>
      <c r="FT27" s="107"/>
      <c r="FU27" s="108"/>
      <c r="FV27" s="87"/>
      <c r="FW27" s="107"/>
      <c r="FX27" s="108"/>
      <c r="FY27" s="87"/>
      <c r="FZ27" s="107"/>
      <c r="GA27" s="108"/>
      <c r="GB27" s="87"/>
      <c r="GC27" s="107"/>
      <c r="GD27" s="108"/>
      <c r="GE27" s="87"/>
      <c r="GF27" s="107"/>
      <c r="GG27" s="108"/>
      <c r="GH27" s="87"/>
      <c r="GI27" s="107"/>
      <c r="GJ27" s="108"/>
      <c r="GK27" s="87"/>
      <c r="GL27" s="107"/>
      <c r="GM27" s="108"/>
      <c r="GN27" s="87"/>
      <c r="GO27" s="107"/>
      <c r="GP27" s="108"/>
      <c r="GQ27" s="87"/>
      <c r="GR27" s="107"/>
      <c r="GS27" s="108"/>
      <c r="GT27" s="87"/>
      <c r="GU27" s="107"/>
      <c r="GV27" s="108"/>
      <c r="GW27" s="87"/>
      <c r="GX27" s="107"/>
      <c r="GY27" s="108"/>
      <c r="GZ27" s="87"/>
      <c r="HA27" s="107"/>
      <c r="HB27" s="108"/>
      <c r="HC27" s="87"/>
      <c r="HD27" s="107"/>
      <c r="HE27" s="108"/>
      <c r="HF27" s="87"/>
      <c r="HG27" s="107"/>
      <c r="HH27" s="108"/>
      <c r="HI27" s="87"/>
      <c r="HJ27" s="107"/>
      <c r="HK27" s="108"/>
      <c r="HM27" s="109">
        <v>1511</v>
      </c>
      <c r="HN27" s="89" t="s">
        <v>147</v>
      </c>
      <c r="HO27" s="90"/>
      <c r="HP27" s="110">
        <f>BP$101</f>
        <v>0</v>
      </c>
      <c r="HQ27" s="111">
        <f>BQ$101</f>
        <v>0</v>
      </c>
      <c r="HR27" s="93" t="s">
        <v>754</v>
      </c>
      <c r="HS27" s="94">
        <f t="shared" si="0"/>
        <v>0</v>
      </c>
      <c r="HU27" s="95" t="s">
        <v>808</v>
      </c>
      <c r="HV27" s="96"/>
      <c r="HW27" s="97">
        <v>40</v>
      </c>
      <c r="HX27" s="112"/>
      <c r="HY27" s="113">
        <f>HS31</f>
        <v>0</v>
      </c>
      <c r="HZ27" s="100" t="s">
        <v>809</v>
      </c>
      <c r="IA27" s="96"/>
      <c r="IB27" s="97">
        <v>106</v>
      </c>
      <c r="IC27" s="112"/>
      <c r="ID27" s="114">
        <f>HS53</f>
        <v>0</v>
      </c>
      <c r="IF27" s="131" t="s">
        <v>883</v>
      </c>
      <c r="IG27" s="103"/>
      <c r="IH27" s="103"/>
      <c r="II27" s="96"/>
      <c r="IJ27" s="118"/>
      <c r="IK27" s="132"/>
      <c r="IL27" s="13"/>
    </row>
    <row r="28" ht="14.25" customHeight="1" spans="1:246">
      <c r="A28" s="82">
        <v>1512</v>
      </c>
      <c r="B28" s="83" t="s">
        <v>268</v>
      </c>
      <c r="C28" s="84"/>
      <c r="D28" s="84"/>
      <c r="E28" s="107"/>
      <c r="F28" s="108"/>
      <c r="G28" s="87"/>
      <c r="H28" s="107"/>
      <c r="I28" s="108"/>
      <c r="J28" s="87"/>
      <c r="K28" s="107"/>
      <c r="L28" s="108"/>
      <c r="M28" s="87"/>
      <c r="N28" s="107"/>
      <c r="O28" s="108"/>
      <c r="P28" s="87"/>
      <c r="Q28" s="107"/>
      <c r="R28" s="108"/>
      <c r="S28" s="87"/>
      <c r="T28" s="107"/>
      <c r="U28" s="108"/>
      <c r="V28" s="87"/>
      <c r="W28" s="107"/>
      <c r="X28" s="108"/>
      <c r="Y28" s="87"/>
      <c r="Z28" s="107"/>
      <c r="AA28" s="108"/>
      <c r="AB28" s="87"/>
      <c r="AC28" s="107"/>
      <c r="AD28" s="108"/>
      <c r="AE28" s="87"/>
      <c r="AF28" s="107"/>
      <c r="AG28" s="108"/>
      <c r="AH28" s="87"/>
      <c r="AI28" s="107"/>
      <c r="AJ28" s="108"/>
      <c r="AK28" s="87"/>
      <c r="AL28" s="107"/>
      <c r="AM28" s="108"/>
      <c r="AN28" s="87"/>
      <c r="AO28" s="107"/>
      <c r="AP28" s="108"/>
      <c r="AQ28" s="87"/>
      <c r="AR28" s="107"/>
      <c r="AS28" s="108"/>
      <c r="AT28" s="87"/>
      <c r="AU28" s="107"/>
      <c r="AV28" s="108"/>
      <c r="AW28" s="87"/>
      <c r="AX28" s="107"/>
      <c r="AY28" s="108"/>
      <c r="AZ28" s="87"/>
      <c r="BA28" s="107"/>
      <c r="BB28" s="108"/>
      <c r="BC28" s="87"/>
      <c r="BD28" s="107"/>
      <c r="BE28" s="108"/>
      <c r="BF28" s="87"/>
      <c r="BG28" s="107"/>
      <c r="BH28" s="108"/>
      <c r="BI28" s="87"/>
      <c r="BJ28" s="107"/>
      <c r="BK28" s="108"/>
      <c r="BL28" s="87"/>
      <c r="BM28" s="107"/>
      <c r="BN28" s="108"/>
      <c r="BO28" s="87"/>
      <c r="BP28" s="107"/>
      <c r="BQ28" s="108"/>
      <c r="BR28" s="87"/>
      <c r="BS28" s="107"/>
      <c r="BT28" s="108"/>
      <c r="BU28" s="87"/>
      <c r="BV28" s="107"/>
      <c r="BW28" s="108"/>
      <c r="BX28" s="87"/>
      <c r="BY28" s="107"/>
      <c r="BZ28" s="108"/>
      <c r="CA28" s="87"/>
      <c r="CB28" s="107"/>
      <c r="CC28" s="108"/>
      <c r="CD28" s="87"/>
      <c r="CE28" s="107"/>
      <c r="CF28" s="108"/>
      <c r="CG28" s="87"/>
      <c r="CH28" s="107"/>
      <c r="CI28" s="108"/>
      <c r="CJ28" s="87"/>
      <c r="CK28" s="107"/>
      <c r="CL28" s="108"/>
      <c r="CM28" s="87"/>
      <c r="CN28" s="107"/>
      <c r="CO28" s="108"/>
      <c r="CP28" s="87"/>
      <c r="CQ28" s="107"/>
      <c r="CR28" s="108"/>
      <c r="CS28" s="87"/>
      <c r="CT28" s="107"/>
      <c r="CU28" s="108"/>
      <c r="CV28" s="87"/>
      <c r="CW28" s="107"/>
      <c r="CX28" s="108"/>
      <c r="CY28" s="87"/>
      <c r="CZ28" s="107"/>
      <c r="DA28" s="108"/>
      <c r="DB28" s="87"/>
      <c r="DC28" s="107"/>
      <c r="DD28" s="108"/>
      <c r="DE28" s="87"/>
      <c r="DF28" s="107"/>
      <c r="DG28" s="108"/>
      <c r="DH28" s="87"/>
      <c r="DI28" s="107"/>
      <c r="DJ28" s="108"/>
      <c r="DK28" s="87"/>
      <c r="DL28" s="107"/>
      <c r="DM28" s="108"/>
      <c r="DN28" s="87"/>
      <c r="DO28" s="107"/>
      <c r="DP28" s="108"/>
      <c r="DQ28" s="87"/>
      <c r="DR28" s="107"/>
      <c r="DS28" s="108"/>
      <c r="DT28" s="87"/>
      <c r="DU28" s="107"/>
      <c r="DV28" s="108"/>
      <c r="DW28" s="87"/>
      <c r="DX28" s="107"/>
      <c r="DY28" s="108"/>
      <c r="DZ28" s="87"/>
      <c r="EA28" s="107"/>
      <c r="EB28" s="108"/>
      <c r="EC28" s="87"/>
      <c r="ED28" s="107"/>
      <c r="EE28" s="108"/>
      <c r="EF28" s="87"/>
      <c r="EG28" s="107"/>
      <c r="EH28" s="108"/>
      <c r="EI28" s="87"/>
      <c r="EJ28" s="107"/>
      <c r="EK28" s="108"/>
      <c r="EL28" s="87"/>
      <c r="EM28" s="107"/>
      <c r="EN28" s="108"/>
      <c r="EO28" s="87"/>
      <c r="EP28" s="107"/>
      <c r="EQ28" s="108"/>
      <c r="ER28" s="87"/>
      <c r="ES28" s="107"/>
      <c r="ET28" s="108"/>
      <c r="EU28" s="87"/>
      <c r="EV28" s="107"/>
      <c r="EW28" s="108"/>
      <c r="EX28" s="87"/>
      <c r="EY28" s="107"/>
      <c r="EZ28" s="108"/>
      <c r="FA28" s="87"/>
      <c r="FB28" s="107"/>
      <c r="FC28" s="108"/>
      <c r="FD28" s="87"/>
      <c r="FE28" s="107"/>
      <c r="FF28" s="108"/>
      <c r="FG28" s="87"/>
      <c r="FH28" s="107"/>
      <c r="FI28" s="108"/>
      <c r="FJ28" s="87"/>
      <c r="FK28" s="107"/>
      <c r="FL28" s="108"/>
      <c r="FM28" s="87"/>
      <c r="FN28" s="107"/>
      <c r="FO28" s="108"/>
      <c r="FP28" s="87"/>
      <c r="FQ28" s="107"/>
      <c r="FR28" s="108"/>
      <c r="FS28" s="87"/>
      <c r="FT28" s="107"/>
      <c r="FU28" s="108"/>
      <c r="FV28" s="87"/>
      <c r="FW28" s="107"/>
      <c r="FX28" s="108"/>
      <c r="FY28" s="87"/>
      <c r="FZ28" s="107"/>
      <c r="GA28" s="108"/>
      <c r="GB28" s="87"/>
      <c r="GC28" s="107"/>
      <c r="GD28" s="108"/>
      <c r="GE28" s="87"/>
      <c r="GF28" s="107"/>
      <c r="GG28" s="108"/>
      <c r="GH28" s="87"/>
      <c r="GI28" s="107"/>
      <c r="GJ28" s="108"/>
      <c r="GK28" s="87"/>
      <c r="GL28" s="107"/>
      <c r="GM28" s="108"/>
      <c r="GN28" s="87"/>
      <c r="GO28" s="107"/>
      <c r="GP28" s="108"/>
      <c r="GQ28" s="87"/>
      <c r="GR28" s="107"/>
      <c r="GS28" s="108"/>
      <c r="GT28" s="87"/>
      <c r="GU28" s="107"/>
      <c r="GV28" s="108"/>
      <c r="GW28" s="87"/>
      <c r="GX28" s="107"/>
      <c r="GY28" s="108"/>
      <c r="GZ28" s="87"/>
      <c r="HA28" s="107"/>
      <c r="HB28" s="108"/>
      <c r="HC28" s="87"/>
      <c r="HD28" s="107"/>
      <c r="HE28" s="108"/>
      <c r="HF28" s="87"/>
      <c r="HG28" s="107"/>
      <c r="HH28" s="108"/>
      <c r="HI28" s="87"/>
      <c r="HJ28" s="107"/>
      <c r="HK28" s="108"/>
      <c r="HM28" s="109">
        <v>1512</v>
      </c>
      <c r="HN28" s="89" t="s">
        <v>268</v>
      </c>
      <c r="HO28" s="90"/>
      <c r="HP28" s="110">
        <f>BS$101</f>
        <v>0</v>
      </c>
      <c r="HQ28" s="111">
        <f>BT$101</f>
        <v>0</v>
      </c>
      <c r="HR28" s="93" t="s">
        <v>755</v>
      </c>
      <c r="HS28" s="94">
        <f t="shared" si="0"/>
        <v>0</v>
      </c>
      <c r="HU28" s="95" t="s">
        <v>810</v>
      </c>
      <c r="HV28" s="96"/>
      <c r="HW28" s="97">
        <v>41</v>
      </c>
      <c r="HX28" s="119">
        <f>HX26-HX27</f>
        <v>0</v>
      </c>
      <c r="HY28" s="113">
        <f>HY26-HY27</f>
        <v>36500</v>
      </c>
      <c r="HZ28" s="100" t="s">
        <v>811</v>
      </c>
      <c r="IA28" s="96"/>
      <c r="IB28" s="97">
        <v>108</v>
      </c>
      <c r="IC28" s="112"/>
      <c r="ID28" s="116"/>
      <c r="IF28" s="131" t="s">
        <v>884</v>
      </c>
      <c r="IG28" s="103"/>
      <c r="IH28" s="103"/>
      <c r="II28" s="96"/>
      <c r="IJ28" s="118"/>
      <c r="IK28" s="132"/>
      <c r="IL28" s="13"/>
    </row>
    <row r="29" ht="14.25" customHeight="1" spans="1:246">
      <c r="A29" s="82">
        <v>1531</v>
      </c>
      <c r="B29" s="83" t="s">
        <v>274</v>
      </c>
      <c r="C29" s="84"/>
      <c r="D29" s="84"/>
      <c r="E29" s="107"/>
      <c r="F29" s="108"/>
      <c r="G29" s="87"/>
      <c r="H29" s="107"/>
      <c r="I29" s="108"/>
      <c r="J29" s="87"/>
      <c r="K29" s="107"/>
      <c r="L29" s="108"/>
      <c r="M29" s="87"/>
      <c r="N29" s="107"/>
      <c r="O29" s="108"/>
      <c r="P29" s="87"/>
      <c r="Q29" s="107"/>
      <c r="R29" s="108"/>
      <c r="S29" s="87"/>
      <c r="T29" s="107"/>
      <c r="U29" s="108"/>
      <c r="V29" s="87"/>
      <c r="W29" s="107"/>
      <c r="X29" s="108"/>
      <c r="Y29" s="87"/>
      <c r="Z29" s="107"/>
      <c r="AA29" s="108"/>
      <c r="AB29" s="87"/>
      <c r="AC29" s="107"/>
      <c r="AD29" s="108"/>
      <c r="AE29" s="87"/>
      <c r="AF29" s="107"/>
      <c r="AG29" s="108"/>
      <c r="AH29" s="87"/>
      <c r="AI29" s="107"/>
      <c r="AJ29" s="108"/>
      <c r="AK29" s="87"/>
      <c r="AL29" s="107"/>
      <c r="AM29" s="108"/>
      <c r="AN29" s="87"/>
      <c r="AO29" s="107"/>
      <c r="AP29" s="108"/>
      <c r="AQ29" s="87"/>
      <c r="AR29" s="107"/>
      <c r="AS29" s="108"/>
      <c r="AT29" s="87"/>
      <c r="AU29" s="107"/>
      <c r="AV29" s="108"/>
      <c r="AW29" s="87"/>
      <c r="AX29" s="107"/>
      <c r="AY29" s="108"/>
      <c r="AZ29" s="87"/>
      <c r="BA29" s="107"/>
      <c r="BB29" s="108"/>
      <c r="BC29" s="87"/>
      <c r="BD29" s="107"/>
      <c r="BE29" s="108"/>
      <c r="BF29" s="87"/>
      <c r="BG29" s="107"/>
      <c r="BH29" s="108"/>
      <c r="BI29" s="87"/>
      <c r="BJ29" s="107"/>
      <c r="BK29" s="108"/>
      <c r="BL29" s="87"/>
      <c r="BM29" s="107"/>
      <c r="BN29" s="108"/>
      <c r="BO29" s="87"/>
      <c r="BP29" s="107"/>
      <c r="BQ29" s="108"/>
      <c r="BR29" s="87"/>
      <c r="BS29" s="107"/>
      <c r="BT29" s="108"/>
      <c r="BU29" s="87"/>
      <c r="BV29" s="107"/>
      <c r="BW29" s="108"/>
      <c r="BX29" s="87"/>
      <c r="BY29" s="107"/>
      <c r="BZ29" s="108"/>
      <c r="CA29" s="87"/>
      <c r="CB29" s="107"/>
      <c r="CC29" s="108"/>
      <c r="CD29" s="87"/>
      <c r="CE29" s="107"/>
      <c r="CF29" s="108"/>
      <c r="CG29" s="87"/>
      <c r="CH29" s="107"/>
      <c r="CI29" s="108"/>
      <c r="CJ29" s="87"/>
      <c r="CK29" s="107"/>
      <c r="CL29" s="108"/>
      <c r="CM29" s="87"/>
      <c r="CN29" s="107"/>
      <c r="CO29" s="108"/>
      <c r="CP29" s="87"/>
      <c r="CQ29" s="107"/>
      <c r="CR29" s="108"/>
      <c r="CS29" s="87"/>
      <c r="CT29" s="107"/>
      <c r="CU29" s="108"/>
      <c r="CV29" s="87"/>
      <c r="CW29" s="107"/>
      <c r="CX29" s="108"/>
      <c r="CY29" s="87"/>
      <c r="CZ29" s="107"/>
      <c r="DA29" s="108"/>
      <c r="DB29" s="87"/>
      <c r="DC29" s="107"/>
      <c r="DD29" s="108"/>
      <c r="DE29" s="87"/>
      <c r="DF29" s="107"/>
      <c r="DG29" s="108"/>
      <c r="DH29" s="87"/>
      <c r="DI29" s="107"/>
      <c r="DJ29" s="108"/>
      <c r="DK29" s="87"/>
      <c r="DL29" s="107"/>
      <c r="DM29" s="108"/>
      <c r="DN29" s="87"/>
      <c r="DO29" s="107"/>
      <c r="DP29" s="108"/>
      <c r="DQ29" s="87"/>
      <c r="DR29" s="107"/>
      <c r="DS29" s="108"/>
      <c r="DT29" s="87"/>
      <c r="DU29" s="107"/>
      <c r="DV29" s="108"/>
      <c r="DW29" s="87"/>
      <c r="DX29" s="107"/>
      <c r="DY29" s="108"/>
      <c r="DZ29" s="87"/>
      <c r="EA29" s="107"/>
      <c r="EB29" s="108"/>
      <c r="EC29" s="87"/>
      <c r="ED29" s="107"/>
      <c r="EE29" s="108"/>
      <c r="EF29" s="87"/>
      <c r="EG29" s="107"/>
      <c r="EH29" s="108"/>
      <c r="EI29" s="87"/>
      <c r="EJ29" s="107"/>
      <c r="EK29" s="108"/>
      <c r="EL29" s="87"/>
      <c r="EM29" s="107"/>
      <c r="EN29" s="108"/>
      <c r="EO29" s="87"/>
      <c r="EP29" s="107"/>
      <c r="EQ29" s="108"/>
      <c r="ER29" s="87"/>
      <c r="ES29" s="107"/>
      <c r="ET29" s="108"/>
      <c r="EU29" s="87"/>
      <c r="EV29" s="107"/>
      <c r="EW29" s="108"/>
      <c r="EX29" s="87"/>
      <c r="EY29" s="107"/>
      <c r="EZ29" s="108"/>
      <c r="FA29" s="87"/>
      <c r="FB29" s="107"/>
      <c r="FC29" s="108"/>
      <c r="FD29" s="87"/>
      <c r="FE29" s="107"/>
      <c r="FF29" s="108"/>
      <c r="FG29" s="87"/>
      <c r="FH29" s="107"/>
      <c r="FI29" s="108"/>
      <c r="FJ29" s="87"/>
      <c r="FK29" s="107"/>
      <c r="FL29" s="108"/>
      <c r="FM29" s="87"/>
      <c r="FN29" s="107"/>
      <c r="FO29" s="108"/>
      <c r="FP29" s="87"/>
      <c r="FQ29" s="107"/>
      <c r="FR29" s="108"/>
      <c r="FS29" s="87"/>
      <c r="FT29" s="107"/>
      <c r="FU29" s="108"/>
      <c r="FV29" s="87"/>
      <c r="FW29" s="107"/>
      <c r="FX29" s="108"/>
      <c r="FY29" s="87"/>
      <c r="FZ29" s="107"/>
      <c r="GA29" s="108"/>
      <c r="GB29" s="87"/>
      <c r="GC29" s="107"/>
      <c r="GD29" s="108"/>
      <c r="GE29" s="87"/>
      <c r="GF29" s="107"/>
      <c r="GG29" s="108"/>
      <c r="GH29" s="87"/>
      <c r="GI29" s="107"/>
      <c r="GJ29" s="108"/>
      <c r="GK29" s="87"/>
      <c r="GL29" s="107"/>
      <c r="GM29" s="108"/>
      <c r="GN29" s="87"/>
      <c r="GO29" s="107"/>
      <c r="GP29" s="108"/>
      <c r="GQ29" s="87"/>
      <c r="GR29" s="107"/>
      <c r="GS29" s="108"/>
      <c r="GT29" s="87"/>
      <c r="GU29" s="107"/>
      <c r="GV29" s="108"/>
      <c r="GW29" s="87"/>
      <c r="GX29" s="107"/>
      <c r="GY29" s="108"/>
      <c r="GZ29" s="87"/>
      <c r="HA29" s="107"/>
      <c r="HB29" s="108"/>
      <c r="HC29" s="87"/>
      <c r="HD29" s="107"/>
      <c r="HE29" s="108"/>
      <c r="HF29" s="87"/>
      <c r="HG29" s="107"/>
      <c r="HH29" s="108"/>
      <c r="HI29" s="87"/>
      <c r="HJ29" s="107"/>
      <c r="HK29" s="108"/>
      <c r="HM29" s="109">
        <v>1531</v>
      </c>
      <c r="HN29" s="89" t="s">
        <v>274</v>
      </c>
      <c r="HO29" s="90"/>
      <c r="HP29" s="110">
        <f>BV$101</f>
        <v>0</v>
      </c>
      <c r="HQ29" s="111">
        <f>BW$101</f>
        <v>0</v>
      </c>
      <c r="HR29" s="93" t="s">
        <v>754</v>
      </c>
      <c r="HS29" s="94">
        <f t="shared" si="0"/>
        <v>0</v>
      </c>
      <c r="HU29" s="95" t="s">
        <v>812</v>
      </c>
      <c r="HV29" s="96"/>
      <c r="HW29" s="97">
        <v>42</v>
      </c>
      <c r="HX29" s="112"/>
      <c r="HY29" s="113">
        <f>HS32</f>
        <v>0</v>
      </c>
      <c r="HZ29" s="100" t="s">
        <v>813</v>
      </c>
      <c r="IA29" s="96"/>
      <c r="IB29" s="97">
        <v>110</v>
      </c>
      <c r="IC29" s="119">
        <f>SUM(IC24:IC28)</f>
        <v>0</v>
      </c>
      <c r="ID29" s="114">
        <f>SUM(ID24:ID28)</f>
        <v>5000</v>
      </c>
      <c r="IF29" s="131" t="s">
        <v>885</v>
      </c>
      <c r="IG29" s="103"/>
      <c r="IH29" s="103"/>
      <c r="II29" s="96"/>
      <c r="IJ29" s="118"/>
      <c r="IK29" s="132"/>
      <c r="IL29" s="13"/>
    </row>
    <row r="30" ht="14.25" customHeight="1" spans="1:246">
      <c r="A30" s="82">
        <v>1601</v>
      </c>
      <c r="B30" s="83" t="s">
        <v>152</v>
      </c>
      <c r="C30" s="84"/>
      <c r="D30" s="84"/>
      <c r="E30" s="107"/>
      <c r="F30" s="108"/>
      <c r="G30" s="87"/>
      <c r="H30" s="107"/>
      <c r="I30" s="108"/>
      <c r="J30" s="87"/>
      <c r="K30" s="107"/>
      <c r="L30" s="108"/>
      <c r="M30" s="87"/>
      <c r="N30" s="107"/>
      <c r="O30" s="108"/>
      <c r="P30" s="87"/>
      <c r="Q30" s="107"/>
      <c r="R30" s="108"/>
      <c r="S30" s="87"/>
      <c r="T30" s="107"/>
      <c r="U30" s="108"/>
      <c r="V30" s="87"/>
      <c r="W30" s="107"/>
      <c r="X30" s="108"/>
      <c r="Y30" s="87"/>
      <c r="Z30" s="107"/>
      <c r="AA30" s="108"/>
      <c r="AB30" s="87"/>
      <c r="AC30" s="107"/>
      <c r="AD30" s="108"/>
      <c r="AE30" s="87"/>
      <c r="AF30" s="107"/>
      <c r="AG30" s="108"/>
      <c r="AH30" s="87"/>
      <c r="AI30" s="107"/>
      <c r="AJ30" s="108"/>
      <c r="AK30" s="87"/>
      <c r="AL30" s="107"/>
      <c r="AM30" s="108"/>
      <c r="AN30" s="87"/>
      <c r="AO30" s="107"/>
      <c r="AP30" s="108"/>
      <c r="AQ30" s="87"/>
      <c r="AR30" s="107"/>
      <c r="AS30" s="108"/>
      <c r="AT30" s="87"/>
      <c r="AU30" s="107"/>
      <c r="AV30" s="108"/>
      <c r="AW30" s="87"/>
      <c r="AX30" s="107"/>
      <c r="AY30" s="108"/>
      <c r="AZ30" s="87"/>
      <c r="BA30" s="107"/>
      <c r="BB30" s="108"/>
      <c r="BC30" s="87"/>
      <c r="BD30" s="107"/>
      <c r="BE30" s="108"/>
      <c r="BF30" s="87"/>
      <c r="BG30" s="107"/>
      <c r="BH30" s="108"/>
      <c r="BI30" s="87"/>
      <c r="BJ30" s="107"/>
      <c r="BK30" s="108"/>
      <c r="BL30" s="87"/>
      <c r="BM30" s="107"/>
      <c r="BN30" s="108"/>
      <c r="BO30" s="87"/>
      <c r="BP30" s="107"/>
      <c r="BQ30" s="108"/>
      <c r="BR30" s="87"/>
      <c r="BS30" s="107"/>
      <c r="BT30" s="108"/>
      <c r="BU30" s="87"/>
      <c r="BV30" s="107"/>
      <c r="BW30" s="108"/>
      <c r="BX30" s="87"/>
      <c r="BY30" s="107"/>
      <c r="BZ30" s="108"/>
      <c r="CA30" s="87"/>
      <c r="CB30" s="107"/>
      <c r="CC30" s="108"/>
      <c r="CD30" s="87"/>
      <c r="CE30" s="107"/>
      <c r="CF30" s="108"/>
      <c r="CG30" s="87"/>
      <c r="CH30" s="107"/>
      <c r="CI30" s="108"/>
      <c r="CJ30" s="87"/>
      <c r="CK30" s="107"/>
      <c r="CL30" s="108"/>
      <c r="CM30" s="87"/>
      <c r="CN30" s="107"/>
      <c r="CO30" s="108"/>
      <c r="CP30" s="87"/>
      <c r="CQ30" s="107"/>
      <c r="CR30" s="108"/>
      <c r="CS30" s="87"/>
      <c r="CT30" s="107"/>
      <c r="CU30" s="108"/>
      <c r="CV30" s="87"/>
      <c r="CW30" s="107"/>
      <c r="CX30" s="108"/>
      <c r="CY30" s="87"/>
      <c r="CZ30" s="107"/>
      <c r="DA30" s="108"/>
      <c r="DB30" s="87"/>
      <c r="DC30" s="107"/>
      <c r="DD30" s="108"/>
      <c r="DE30" s="87"/>
      <c r="DF30" s="107"/>
      <c r="DG30" s="108"/>
      <c r="DH30" s="87"/>
      <c r="DI30" s="107"/>
      <c r="DJ30" s="108"/>
      <c r="DK30" s="87"/>
      <c r="DL30" s="107"/>
      <c r="DM30" s="108"/>
      <c r="DN30" s="87"/>
      <c r="DO30" s="107"/>
      <c r="DP30" s="108"/>
      <c r="DQ30" s="87"/>
      <c r="DR30" s="107"/>
      <c r="DS30" s="108"/>
      <c r="DT30" s="87"/>
      <c r="DU30" s="107"/>
      <c r="DV30" s="108"/>
      <c r="DW30" s="87"/>
      <c r="DX30" s="107"/>
      <c r="DY30" s="108"/>
      <c r="DZ30" s="87"/>
      <c r="EA30" s="107"/>
      <c r="EB30" s="108"/>
      <c r="EC30" s="87"/>
      <c r="ED30" s="107"/>
      <c r="EE30" s="108"/>
      <c r="EF30" s="87"/>
      <c r="EG30" s="107"/>
      <c r="EH30" s="108"/>
      <c r="EI30" s="87"/>
      <c r="EJ30" s="107"/>
      <c r="EK30" s="108"/>
      <c r="EL30" s="87"/>
      <c r="EM30" s="107"/>
      <c r="EN30" s="108"/>
      <c r="EO30" s="87"/>
      <c r="EP30" s="107"/>
      <c r="EQ30" s="108"/>
      <c r="ER30" s="87"/>
      <c r="ES30" s="107"/>
      <c r="ET30" s="108"/>
      <c r="EU30" s="87"/>
      <c r="EV30" s="107"/>
      <c r="EW30" s="108"/>
      <c r="EX30" s="87"/>
      <c r="EY30" s="107"/>
      <c r="EZ30" s="108"/>
      <c r="FA30" s="87"/>
      <c r="FB30" s="107"/>
      <c r="FC30" s="108"/>
      <c r="FD30" s="87"/>
      <c r="FE30" s="107"/>
      <c r="FF30" s="108"/>
      <c r="FG30" s="87"/>
      <c r="FH30" s="107"/>
      <c r="FI30" s="108"/>
      <c r="FJ30" s="87"/>
      <c r="FK30" s="107"/>
      <c r="FL30" s="108"/>
      <c r="FM30" s="87"/>
      <c r="FN30" s="107"/>
      <c r="FO30" s="108"/>
      <c r="FP30" s="87"/>
      <c r="FQ30" s="107"/>
      <c r="FR30" s="108"/>
      <c r="FS30" s="87"/>
      <c r="FT30" s="107"/>
      <c r="FU30" s="108"/>
      <c r="FV30" s="87"/>
      <c r="FW30" s="107"/>
      <c r="FX30" s="108"/>
      <c r="FY30" s="87"/>
      <c r="FZ30" s="107"/>
      <c r="GA30" s="108"/>
      <c r="GB30" s="87"/>
      <c r="GC30" s="107"/>
      <c r="GD30" s="108"/>
      <c r="GE30" s="87"/>
      <c r="GF30" s="107"/>
      <c r="GG30" s="108"/>
      <c r="GH30" s="87"/>
      <c r="GI30" s="107"/>
      <c r="GJ30" s="108"/>
      <c r="GK30" s="87"/>
      <c r="GL30" s="107"/>
      <c r="GM30" s="108"/>
      <c r="GN30" s="87"/>
      <c r="GO30" s="107"/>
      <c r="GP30" s="108"/>
      <c r="GQ30" s="87"/>
      <c r="GR30" s="107"/>
      <c r="GS30" s="108"/>
      <c r="GT30" s="87"/>
      <c r="GU30" s="107"/>
      <c r="GV30" s="108"/>
      <c r="GW30" s="87"/>
      <c r="GX30" s="107"/>
      <c r="GY30" s="108"/>
      <c r="GZ30" s="87"/>
      <c r="HA30" s="107"/>
      <c r="HB30" s="108"/>
      <c r="HC30" s="87"/>
      <c r="HD30" s="107"/>
      <c r="HE30" s="108"/>
      <c r="HF30" s="87"/>
      <c r="HG30" s="107"/>
      <c r="HH30" s="108"/>
      <c r="HI30" s="87"/>
      <c r="HJ30" s="107"/>
      <c r="HK30" s="108"/>
      <c r="HM30" s="109">
        <v>1601</v>
      </c>
      <c r="HN30" s="89" t="s">
        <v>152</v>
      </c>
      <c r="HO30" s="90">
        <v>31500</v>
      </c>
      <c r="HP30" s="110">
        <f>BY$101</f>
        <v>5000</v>
      </c>
      <c r="HQ30" s="111">
        <f>BZ$101</f>
        <v>0</v>
      </c>
      <c r="HR30" s="93" t="s">
        <v>754</v>
      </c>
      <c r="HS30" s="94">
        <f t="shared" si="0"/>
        <v>36500</v>
      </c>
      <c r="HU30" s="95" t="s">
        <v>814</v>
      </c>
      <c r="HV30" s="96"/>
      <c r="HW30" s="97">
        <v>43</v>
      </c>
      <c r="HX30" s="119">
        <f>HX28-HX29</f>
        <v>0</v>
      </c>
      <c r="HY30" s="113">
        <f>HY28-HY29</f>
        <v>36500</v>
      </c>
      <c r="HZ30" s="100" t="s">
        <v>815</v>
      </c>
      <c r="IA30" s="96"/>
      <c r="IB30" s="97"/>
      <c r="IC30" s="98" t="s">
        <v>767</v>
      </c>
      <c r="ID30" s="101" t="s">
        <v>767</v>
      </c>
      <c r="IF30" s="131" t="s">
        <v>886</v>
      </c>
      <c r="IG30" s="103"/>
      <c r="IH30" s="103"/>
      <c r="II30" s="96"/>
      <c r="IJ30" s="118"/>
      <c r="IK30" s="132"/>
      <c r="IL30" s="13"/>
    </row>
    <row r="31" ht="14.25" customHeight="1" spans="1:246">
      <c r="A31" s="82">
        <v>1602</v>
      </c>
      <c r="B31" s="83" t="s">
        <v>155</v>
      </c>
      <c r="C31" s="84"/>
      <c r="D31" s="84"/>
      <c r="E31" s="107"/>
      <c r="F31" s="108"/>
      <c r="G31" s="87"/>
      <c r="H31" s="107"/>
      <c r="I31" s="108"/>
      <c r="J31" s="87"/>
      <c r="K31" s="107"/>
      <c r="L31" s="108"/>
      <c r="M31" s="87"/>
      <c r="N31" s="107"/>
      <c r="O31" s="108"/>
      <c r="P31" s="87"/>
      <c r="Q31" s="107"/>
      <c r="R31" s="108"/>
      <c r="S31" s="87"/>
      <c r="T31" s="107"/>
      <c r="U31" s="108"/>
      <c r="V31" s="87"/>
      <c r="W31" s="107"/>
      <c r="X31" s="108"/>
      <c r="Y31" s="87"/>
      <c r="Z31" s="107"/>
      <c r="AA31" s="108"/>
      <c r="AB31" s="87"/>
      <c r="AC31" s="107"/>
      <c r="AD31" s="108"/>
      <c r="AE31" s="87"/>
      <c r="AF31" s="107"/>
      <c r="AG31" s="108"/>
      <c r="AH31" s="87"/>
      <c r="AI31" s="107"/>
      <c r="AJ31" s="108"/>
      <c r="AK31" s="87"/>
      <c r="AL31" s="107"/>
      <c r="AM31" s="108"/>
      <c r="AN31" s="87"/>
      <c r="AO31" s="107"/>
      <c r="AP31" s="108"/>
      <c r="AQ31" s="87"/>
      <c r="AR31" s="107"/>
      <c r="AS31" s="108"/>
      <c r="AT31" s="87"/>
      <c r="AU31" s="107"/>
      <c r="AV31" s="108"/>
      <c r="AW31" s="87"/>
      <c r="AX31" s="107"/>
      <c r="AY31" s="108"/>
      <c r="AZ31" s="87"/>
      <c r="BA31" s="107"/>
      <c r="BB31" s="108"/>
      <c r="BC31" s="87"/>
      <c r="BD31" s="107"/>
      <c r="BE31" s="108"/>
      <c r="BF31" s="87"/>
      <c r="BG31" s="107"/>
      <c r="BH31" s="108"/>
      <c r="BI31" s="87"/>
      <c r="BJ31" s="107"/>
      <c r="BK31" s="108"/>
      <c r="BL31" s="87"/>
      <c r="BM31" s="107"/>
      <c r="BN31" s="108"/>
      <c r="BO31" s="87"/>
      <c r="BP31" s="107"/>
      <c r="BQ31" s="108"/>
      <c r="BR31" s="87"/>
      <c r="BS31" s="107"/>
      <c r="BT31" s="108"/>
      <c r="BU31" s="87"/>
      <c r="BV31" s="107"/>
      <c r="BW31" s="108"/>
      <c r="BX31" s="87"/>
      <c r="BY31" s="107"/>
      <c r="BZ31" s="108"/>
      <c r="CA31" s="87"/>
      <c r="CB31" s="107"/>
      <c r="CC31" s="108"/>
      <c r="CD31" s="87"/>
      <c r="CE31" s="107"/>
      <c r="CF31" s="108"/>
      <c r="CG31" s="87"/>
      <c r="CH31" s="107"/>
      <c r="CI31" s="108"/>
      <c r="CJ31" s="87"/>
      <c r="CK31" s="107"/>
      <c r="CL31" s="108"/>
      <c r="CM31" s="87"/>
      <c r="CN31" s="107"/>
      <c r="CO31" s="108"/>
      <c r="CP31" s="87"/>
      <c r="CQ31" s="107"/>
      <c r="CR31" s="108"/>
      <c r="CS31" s="87"/>
      <c r="CT31" s="107"/>
      <c r="CU31" s="108"/>
      <c r="CV31" s="87"/>
      <c r="CW31" s="107"/>
      <c r="CX31" s="108"/>
      <c r="CY31" s="87"/>
      <c r="CZ31" s="107"/>
      <c r="DA31" s="108"/>
      <c r="DB31" s="87"/>
      <c r="DC31" s="107"/>
      <c r="DD31" s="108"/>
      <c r="DE31" s="87"/>
      <c r="DF31" s="107"/>
      <c r="DG31" s="108"/>
      <c r="DH31" s="87"/>
      <c r="DI31" s="107"/>
      <c r="DJ31" s="108"/>
      <c r="DK31" s="87"/>
      <c r="DL31" s="107"/>
      <c r="DM31" s="108"/>
      <c r="DN31" s="87"/>
      <c r="DO31" s="107"/>
      <c r="DP31" s="108"/>
      <c r="DQ31" s="87"/>
      <c r="DR31" s="107"/>
      <c r="DS31" s="108"/>
      <c r="DT31" s="87"/>
      <c r="DU31" s="107"/>
      <c r="DV31" s="108"/>
      <c r="DW31" s="87"/>
      <c r="DX31" s="107"/>
      <c r="DY31" s="108"/>
      <c r="DZ31" s="87"/>
      <c r="EA31" s="107"/>
      <c r="EB31" s="108"/>
      <c r="EC31" s="87"/>
      <c r="ED31" s="107"/>
      <c r="EE31" s="108"/>
      <c r="EF31" s="87"/>
      <c r="EG31" s="107"/>
      <c r="EH31" s="108"/>
      <c r="EI31" s="87"/>
      <c r="EJ31" s="107"/>
      <c r="EK31" s="108"/>
      <c r="EL31" s="87"/>
      <c r="EM31" s="107"/>
      <c r="EN31" s="108"/>
      <c r="EO31" s="87"/>
      <c r="EP31" s="107"/>
      <c r="EQ31" s="108"/>
      <c r="ER31" s="87"/>
      <c r="ES31" s="107"/>
      <c r="ET31" s="108"/>
      <c r="EU31" s="87"/>
      <c r="EV31" s="107"/>
      <c r="EW31" s="108"/>
      <c r="EX31" s="87"/>
      <c r="EY31" s="107"/>
      <c r="EZ31" s="108"/>
      <c r="FA31" s="87"/>
      <c r="FB31" s="107"/>
      <c r="FC31" s="108"/>
      <c r="FD31" s="87"/>
      <c r="FE31" s="107"/>
      <c r="FF31" s="108"/>
      <c r="FG31" s="87"/>
      <c r="FH31" s="107"/>
      <c r="FI31" s="108"/>
      <c r="FJ31" s="87"/>
      <c r="FK31" s="107"/>
      <c r="FL31" s="108"/>
      <c r="FM31" s="87"/>
      <c r="FN31" s="107"/>
      <c r="FO31" s="108"/>
      <c r="FP31" s="87"/>
      <c r="FQ31" s="107"/>
      <c r="FR31" s="108"/>
      <c r="FS31" s="87"/>
      <c r="FT31" s="107"/>
      <c r="FU31" s="108"/>
      <c r="FV31" s="87"/>
      <c r="FW31" s="107"/>
      <c r="FX31" s="108"/>
      <c r="FY31" s="87"/>
      <c r="FZ31" s="107"/>
      <c r="GA31" s="108"/>
      <c r="GB31" s="87"/>
      <c r="GC31" s="107"/>
      <c r="GD31" s="108"/>
      <c r="GE31" s="87"/>
      <c r="GF31" s="107"/>
      <c r="GG31" s="108"/>
      <c r="GH31" s="87"/>
      <c r="GI31" s="107"/>
      <c r="GJ31" s="108"/>
      <c r="GK31" s="87"/>
      <c r="GL31" s="107"/>
      <c r="GM31" s="108"/>
      <c r="GN31" s="87"/>
      <c r="GO31" s="107"/>
      <c r="GP31" s="108"/>
      <c r="GQ31" s="87"/>
      <c r="GR31" s="107"/>
      <c r="GS31" s="108"/>
      <c r="GT31" s="87"/>
      <c r="GU31" s="107"/>
      <c r="GV31" s="108"/>
      <c r="GW31" s="87"/>
      <c r="GX31" s="107"/>
      <c r="GY31" s="108"/>
      <c r="GZ31" s="87"/>
      <c r="HA31" s="107"/>
      <c r="HB31" s="108"/>
      <c r="HC31" s="87"/>
      <c r="HD31" s="107"/>
      <c r="HE31" s="108"/>
      <c r="HF31" s="87"/>
      <c r="HG31" s="107"/>
      <c r="HH31" s="108"/>
      <c r="HI31" s="87"/>
      <c r="HJ31" s="107"/>
      <c r="HK31" s="108"/>
      <c r="HM31" s="109">
        <v>1602</v>
      </c>
      <c r="HN31" s="89" t="s">
        <v>155</v>
      </c>
      <c r="HO31" s="90"/>
      <c r="HP31" s="110">
        <f>CB$101</f>
        <v>0</v>
      </c>
      <c r="HQ31" s="111">
        <f>CC$101</f>
        <v>0</v>
      </c>
      <c r="HR31" s="93" t="s">
        <v>755</v>
      </c>
      <c r="HS31" s="94">
        <f t="shared" si="0"/>
        <v>0</v>
      </c>
      <c r="HU31" s="95" t="s">
        <v>816</v>
      </c>
      <c r="HV31" s="96"/>
      <c r="HW31" s="97">
        <v>44</v>
      </c>
      <c r="HX31" s="112"/>
      <c r="HY31" s="113">
        <f>HS34</f>
        <v>0</v>
      </c>
      <c r="HZ31" s="100" t="s">
        <v>817</v>
      </c>
      <c r="IA31" s="96"/>
      <c r="IB31" s="97">
        <v>111</v>
      </c>
      <c r="IC31" s="112"/>
      <c r="ID31" s="116"/>
      <c r="IF31" s="131" t="s">
        <v>887</v>
      </c>
      <c r="IG31" s="103"/>
      <c r="IH31" s="103"/>
      <c r="II31" s="96"/>
      <c r="IJ31" s="118"/>
      <c r="IK31" s="132"/>
      <c r="IL31" s="13"/>
    </row>
    <row r="32" ht="14.25" customHeight="1" spans="1:246">
      <c r="A32" s="82">
        <v>1603</v>
      </c>
      <c r="B32" s="83" t="s">
        <v>298</v>
      </c>
      <c r="C32" s="84"/>
      <c r="D32" s="84"/>
      <c r="E32" s="107"/>
      <c r="F32" s="108"/>
      <c r="G32" s="87"/>
      <c r="H32" s="107"/>
      <c r="I32" s="108"/>
      <c r="J32" s="87"/>
      <c r="K32" s="107"/>
      <c r="L32" s="108"/>
      <c r="M32" s="87"/>
      <c r="N32" s="107"/>
      <c r="O32" s="108"/>
      <c r="P32" s="87"/>
      <c r="Q32" s="107"/>
      <c r="R32" s="108"/>
      <c r="S32" s="87"/>
      <c r="T32" s="107"/>
      <c r="U32" s="108"/>
      <c r="V32" s="87"/>
      <c r="W32" s="107"/>
      <c r="X32" s="108"/>
      <c r="Y32" s="87"/>
      <c r="Z32" s="107"/>
      <c r="AA32" s="108"/>
      <c r="AB32" s="87"/>
      <c r="AC32" s="107"/>
      <c r="AD32" s="108"/>
      <c r="AE32" s="87"/>
      <c r="AF32" s="107"/>
      <c r="AG32" s="108"/>
      <c r="AH32" s="87"/>
      <c r="AI32" s="107"/>
      <c r="AJ32" s="108"/>
      <c r="AK32" s="87"/>
      <c r="AL32" s="107"/>
      <c r="AM32" s="108"/>
      <c r="AN32" s="87"/>
      <c r="AO32" s="107"/>
      <c r="AP32" s="108"/>
      <c r="AQ32" s="87"/>
      <c r="AR32" s="107"/>
      <c r="AS32" s="108"/>
      <c r="AT32" s="87"/>
      <c r="AU32" s="107"/>
      <c r="AV32" s="108"/>
      <c r="AW32" s="87"/>
      <c r="AX32" s="107"/>
      <c r="AY32" s="108"/>
      <c r="AZ32" s="87"/>
      <c r="BA32" s="107"/>
      <c r="BB32" s="108"/>
      <c r="BC32" s="87"/>
      <c r="BD32" s="107"/>
      <c r="BE32" s="108"/>
      <c r="BF32" s="87"/>
      <c r="BG32" s="107"/>
      <c r="BH32" s="108"/>
      <c r="BI32" s="87"/>
      <c r="BJ32" s="107"/>
      <c r="BK32" s="108"/>
      <c r="BL32" s="87"/>
      <c r="BM32" s="107"/>
      <c r="BN32" s="108"/>
      <c r="BO32" s="87"/>
      <c r="BP32" s="107"/>
      <c r="BQ32" s="108"/>
      <c r="BR32" s="87"/>
      <c r="BS32" s="107"/>
      <c r="BT32" s="108"/>
      <c r="BU32" s="87"/>
      <c r="BV32" s="107"/>
      <c r="BW32" s="108"/>
      <c r="BX32" s="87"/>
      <c r="BY32" s="107"/>
      <c r="BZ32" s="108"/>
      <c r="CA32" s="87"/>
      <c r="CB32" s="107"/>
      <c r="CC32" s="108"/>
      <c r="CD32" s="87"/>
      <c r="CE32" s="107"/>
      <c r="CF32" s="108"/>
      <c r="CG32" s="87"/>
      <c r="CH32" s="107"/>
      <c r="CI32" s="108"/>
      <c r="CJ32" s="87"/>
      <c r="CK32" s="107"/>
      <c r="CL32" s="108"/>
      <c r="CM32" s="87"/>
      <c r="CN32" s="107"/>
      <c r="CO32" s="108"/>
      <c r="CP32" s="87"/>
      <c r="CQ32" s="107"/>
      <c r="CR32" s="108"/>
      <c r="CS32" s="87"/>
      <c r="CT32" s="107"/>
      <c r="CU32" s="108"/>
      <c r="CV32" s="87"/>
      <c r="CW32" s="107"/>
      <c r="CX32" s="108"/>
      <c r="CY32" s="87"/>
      <c r="CZ32" s="107"/>
      <c r="DA32" s="108"/>
      <c r="DB32" s="87"/>
      <c r="DC32" s="107"/>
      <c r="DD32" s="108"/>
      <c r="DE32" s="87"/>
      <c r="DF32" s="107"/>
      <c r="DG32" s="108"/>
      <c r="DH32" s="87"/>
      <c r="DI32" s="107"/>
      <c r="DJ32" s="108"/>
      <c r="DK32" s="87"/>
      <c r="DL32" s="107"/>
      <c r="DM32" s="108"/>
      <c r="DN32" s="87"/>
      <c r="DO32" s="107"/>
      <c r="DP32" s="108"/>
      <c r="DQ32" s="87"/>
      <c r="DR32" s="107"/>
      <c r="DS32" s="108"/>
      <c r="DT32" s="87"/>
      <c r="DU32" s="107"/>
      <c r="DV32" s="108"/>
      <c r="DW32" s="87"/>
      <c r="DX32" s="107"/>
      <c r="DY32" s="108"/>
      <c r="DZ32" s="87"/>
      <c r="EA32" s="107"/>
      <c r="EB32" s="108"/>
      <c r="EC32" s="87"/>
      <c r="ED32" s="107"/>
      <c r="EE32" s="108"/>
      <c r="EF32" s="87"/>
      <c r="EG32" s="107"/>
      <c r="EH32" s="108"/>
      <c r="EI32" s="87"/>
      <c r="EJ32" s="107"/>
      <c r="EK32" s="108"/>
      <c r="EL32" s="87"/>
      <c r="EM32" s="107"/>
      <c r="EN32" s="108"/>
      <c r="EO32" s="87"/>
      <c r="EP32" s="107"/>
      <c r="EQ32" s="108"/>
      <c r="ER32" s="87"/>
      <c r="ES32" s="107"/>
      <c r="ET32" s="108"/>
      <c r="EU32" s="87"/>
      <c r="EV32" s="107"/>
      <c r="EW32" s="108"/>
      <c r="EX32" s="87"/>
      <c r="EY32" s="107"/>
      <c r="EZ32" s="108"/>
      <c r="FA32" s="87"/>
      <c r="FB32" s="107"/>
      <c r="FC32" s="108"/>
      <c r="FD32" s="87"/>
      <c r="FE32" s="107"/>
      <c r="FF32" s="108"/>
      <c r="FG32" s="87"/>
      <c r="FH32" s="107"/>
      <c r="FI32" s="108"/>
      <c r="FJ32" s="87"/>
      <c r="FK32" s="107"/>
      <c r="FL32" s="108"/>
      <c r="FM32" s="87"/>
      <c r="FN32" s="107"/>
      <c r="FO32" s="108"/>
      <c r="FP32" s="87"/>
      <c r="FQ32" s="107"/>
      <c r="FR32" s="108"/>
      <c r="FS32" s="87"/>
      <c r="FT32" s="107"/>
      <c r="FU32" s="108"/>
      <c r="FV32" s="87"/>
      <c r="FW32" s="107"/>
      <c r="FX32" s="108"/>
      <c r="FY32" s="87"/>
      <c r="FZ32" s="107"/>
      <c r="GA32" s="108"/>
      <c r="GB32" s="87"/>
      <c r="GC32" s="107"/>
      <c r="GD32" s="108"/>
      <c r="GE32" s="87"/>
      <c r="GF32" s="107"/>
      <c r="GG32" s="108"/>
      <c r="GH32" s="87"/>
      <c r="GI32" s="107"/>
      <c r="GJ32" s="108"/>
      <c r="GK32" s="87"/>
      <c r="GL32" s="107"/>
      <c r="GM32" s="108"/>
      <c r="GN32" s="87"/>
      <c r="GO32" s="107"/>
      <c r="GP32" s="108"/>
      <c r="GQ32" s="87"/>
      <c r="GR32" s="107"/>
      <c r="GS32" s="108"/>
      <c r="GT32" s="87"/>
      <c r="GU32" s="107"/>
      <c r="GV32" s="108"/>
      <c r="GW32" s="87"/>
      <c r="GX32" s="107"/>
      <c r="GY32" s="108"/>
      <c r="GZ32" s="87"/>
      <c r="HA32" s="107"/>
      <c r="HB32" s="108"/>
      <c r="HC32" s="87"/>
      <c r="HD32" s="107"/>
      <c r="HE32" s="108"/>
      <c r="HF32" s="87"/>
      <c r="HG32" s="107"/>
      <c r="HH32" s="108"/>
      <c r="HI32" s="87"/>
      <c r="HJ32" s="107"/>
      <c r="HK32" s="108"/>
      <c r="HM32" s="109">
        <v>1603</v>
      </c>
      <c r="HN32" s="89" t="s">
        <v>298</v>
      </c>
      <c r="HO32" s="90"/>
      <c r="HP32" s="110">
        <f>CE$101</f>
        <v>0</v>
      </c>
      <c r="HQ32" s="111">
        <f>CF$101</f>
        <v>0</v>
      </c>
      <c r="HR32" s="93" t="s">
        <v>755</v>
      </c>
      <c r="HS32" s="94">
        <f t="shared" si="0"/>
        <v>0</v>
      </c>
      <c r="HU32" s="95" t="s">
        <v>818</v>
      </c>
      <c r="HV32" s="96"/>
      <c r="HW32" s="97">
        <v>45</v>
      </c>
      <c r="HX32" s="112"/>
      <c r="HY32" s="113">
        <f>HS33</f>
        <v>0</v>
      </c>
      <c r="HZ32" s="100" t="s">
        <v>819</v>
      </c>
      <c r="IA32" s="96"/>
      <c r="IB32" s="97">
        <v>114</v>
      </c>
      <c r="IC32" s="119">
        <f>SUM(IC22,IC29,IC31)</f>
        <v>0</v>
      </c>
      <c r="ID32" s="114">
        <f>SUM(ID22,ID29,ID31)</f>
        <v>15000</v>
      </c>
      <c r="IF32" s="133" t="s">
        <v>888</v>
      </c>
      <c r="IG32" s="134"/>
      <c r="IH32" s="134"/>
      <c r="II32" s="135"/>
      <c r="IJ32" s="136"/>
      <c r="IK32" s="137"/>
      <c r="IL32" s="13"/>
    </row>
    <row r="33" ht="14.25" customHeight="1" spans="1:246">
      <c r="A33" s="82">
        <v>1604</v>
      </c>
      <c r="B33" s="83" t="s">
        <v>158</v>
      </c>
      <c r="C33" s="84"/>
      <c r="D33" s="84"/>
      <c r="E33" s="107"/>
      <c r="F33" s="108"/>
      <c r="G33" s="87"/>
      <c r="H33" s="107"/>
      <c r="I33" s="108"/>
      <c r="J33" s="87"/>
      <c r="K33" s="107"/>
      <c r="L33" s="108"/>
      <c r="M33" s="87"/>
      <c r="N33" s="107"/>
      <c r="O33" s="108"/>
      <c r="P33" s="87"/>
      <c r="Q33" s="107"/>
      <c r="R33" s="108"/>
      <c r="S33" s="87"/>
      <c r="T33" s="107"/>
      <c r="U33" s="108"/>
      <c r="V33" s="87"/>
      <c r="W33" s="107"/>
      <c r="X33" s="108"/>
      <c r="Y33" s="87"/>
      <c r="Z33" s="107"/>
      <c r="AA33" s="108"/>
      <c r="AB33" s="87"/>
      <c r="AC33" s="107"/>
      <c r="AD33" s="108"/>
      <c r="AE33" s="87"/>
      <c r="AF33" s="107"/>
      <c r="AG33" s="108"/>
      <c r="AH33" s="87"/>
      <c r="AI33" s="107"/>
      <c r="AJ33" s="108"/>
      <c r="AK33" s="87"/>
      <c r="AL33" s="107"/>
      <c r="AM33" s="108"/>
      <c r="AN33" s="87"/>
      <c r="AO33" s="107"/>
      <c r="AP33" s="108"/>
      <c r="AQ33" s="87"/>
      <c r="AR33" s="107"/>
      <c r="AS33" s="108"/>
      <c r="AT33" s="87"/>
      <c r="AU33" s="107"/>
      <c r="AV33" s="108"/>
      <c r="AW33" s="87"/>
      <c r="AX33" s="107"/>
      <c r="AY33" s="108"/>
      <c r="AZ33" s="87"/>
      <c r="BA33" s="107"/>
      <c r="BB33" s="108"/>
      <c r="BC33" s="87"/>
      <c r="BD33" s="107"/>
      <c r="BE33" s="108"/>
      <c r="BF33" s="87"/>
      <c r="BG33" s="107"/>
      <c r="BH33" s="108"/>
      <c r="BI33" s="87"/>
      <c r="BJ33" s="107"/>
      <c r="BK33" s="108"/>
      <c r="BL33" s="87"/>
      <c r="BM33" s="107"/>
      <c r="BN33" s="108"/>
      <c r="BO33" s="87"/>
      <c r="BP33" s="107"/>
      <c r="BQ33" s="108"/>
      <c r="BR33" s="87"/>
      <c r="BS33" s="107"/>
      <c r="BT33" s="108"/>
      <c r="BU33" s="87"/>
      <c r="BV33" s="107"/>
      <c r="BW33" s="108"/>
      <c r="BX33" s="87"/>
      <c r="BY33" s="107"/>
      <c r="BZ33" s="108"/>
      <c r="CA33" s="87"/>
      <c r="CB33" s="107"/>
      <c r="CC33" s="108"/>
      <c r="CD33" s="87"/>
      <c r="CE33" s="107"/>
      <c r="CF33" s="108"/>
      <c r="CG33" s="87"/>
      <c r="CH33" s="107"/>
      <c r="CI33" s="108"/>
      <c r="CJ33" s="87"/>
      <c r="CK33" s="107"/>
      <c r="CL33" s="108"/>
      <c r="CM33" s="87"/>
      <c r="CN33" s="107"/>
      <c r="CO33" s="108"/>
      <c r="CP33" s="87"/>
      <c r="CQ33" s="107"/>
      <c r="CR33" s="108"/>
      <c r="CS33" s="87"/>
      <c r="CT33" s="107"/>
      <c r="CU33" s="108"/>
      <c r="CV33" s="87"/>
      <c r="CW33" s="107"/>
      <c r="CX33" s="108"/>
      <c r="CY33" s="87"/>
      <c r="CZ33" s="107"/>
      <c r="DA33" s="108"/>
      <c r="DB33" s="87"/>
      <c r="DC33" s="107"/>
      <c r="DD33" s="108"/>
      <c r="DE33" s="87"/>
      <c r="DF33" s="107"/>
      <c r="DG33" s="108"/>
      <c r="DH33" s="87"/>
      <c r="DI33" s="107"/>
      <c r="DJ33" s="108"/>
      <c r="DK33" s="87"/>
      <c r="DL33" s="107"/>
      <c r="DM33" s="108"/>
      <c r="DN33" s="87"/>
      <c r="DO33" s="107"/>
      <c r="DP33" s="108"/>
      <c r="DQ33" s="87"/>
      <c r="DR33" s="107"/>
      <c r="DS33" s="108"/>
      <c r="DT33" s="87"/>
      <c r="DU33" s="107"/>
      <c r="DV33" s="108"/>
      <c r="DW33" s="87"/>
      <c r="DX33" s="107"/>
      <c r="DY33" s="108"/>
      <c r="DZ33" s="87"/>
      <c r="EA33" s="107"/>
      <c r="EB33" s="108"/>
      <c r="EC33" s="87"/>
      <c r="ED33" s="107"/>
      <c r="EE33" s="108"/>
      <c r="EF33" s="87"/>
      <c r="EG33" s="107"/>
      <c r="EH33" s="108"/>
      <c r="EI33" s="87"/>
      <c r="EJ33" s="107"/>
      <c r="EK33" s="108"/>
      <c r="EL33" s="87"/>
      <c r="EM33" s="107"/>
      <c r="EN33" s="108"/>
      <c r="EO33" s="87"/>
      <c r="EP33" s="107"/>
      <c r="EQ33" s="108"/>
      <c r="ER33" s="87"/>
      <c r="ES33" s="107"/>
      <c r="ET33" s="108"/>
      <c r="EU33" s="87"/>
      <c r="EV33" s="107"/>
      <c r="EW33" s="108"/>
      <c r="EX33" s="87"/>
      <c r="EY33" s="107"/>
      <c r="EZ33" s="108"/>
      <c r="FA33" s="87"/>
      <c r="FB33" s="107"/>
      <c r="FC33" s="108"/>
      <c r="FD33" s="87"/>
      <c r="FE33" s="107"/>
      <c r="FF33" s="108"/>
      <c r="FG33" s="87"/>
      <c r="FH33" s="107"/>
      <c r="FI33" s="108"/>
      <c r="FJ33" s="87"/>
      <c r="FK33" s="107"/>
      <c r="FL33" s="108"/>
      <c r="FM33" s="87"/>
      <c r="FN33" s="107"/>
      <c r="FO33" s="108"/>
      <c r="FP33" s="87"/>
      <c r="FQ33" s="107"/>
      <c r="FR33" s="108"/>
      <c r="FS33" s="87"/>
      <c r="FT33" s="107"/>
      <c r="FU33" s="108"/>
      <c r="FV33" s="87"/>
      <c r="FW33" s="107"/>
      <c r="FX33" s="108"/>
      <c r="FY33" s="87"/>
      <c r="FZ33" s="107"/>
      <c r="GA33" s="108"/>
      <c r="GB33" s="87"/>
      <c r="GC33" s="107"/>
      <c r="GD33" s="108"/>
      <c r="GE33" s="87"/>
      <c r="GF33" s="107"/>
      <c r="GG33" s="108"/>
      <c r="GH33" s="87"/>
      <c r="GI33" s="107"/>
      <c r="GJ33" s="108"/>
      <c r="GK33" s="87"/>
      <c r="GL33" s="107"/>
      <c r="GM33" s="108"/>
      <c r="GN33" s="87"/>
      <c r="GO33" s="107"/>
      <c r="GP33" s="108"/>
      <c r="GQ33" s="87"/>
      <c r="GR33" s="107"/>
      <c r="GS33" s="108"/>
      <c r="GT33" s="87"/>
      <c r="GU33" s="107"/>
      <c r="GV33" s="108"/>
      <c r="GW33" s="87"/>
      <c r="GX33" s="107"/>
      <c r="GY33" s="108"/>
      <c r="GZ33" s="87"/>
      <c r="HA33" s="107"/>
      <c r="HB33" s="108"/>
      <c r="HC33" s="87"/>
      <c r="HD33" s="107"/>
      <c r="HE33" s="108"/>
      <c r="HF33" s="87"/>
      <c r="HG33" s="107"/>
      <c r="HH33" s="108"/>
      <c r="HI33" s="87"/>
      <c r="HJ33" s="107"/>
      <c r="HK33" s="108"/>
      <c r="HM33" s="109">
        <v>1604</v>
      </c>
      <c r="HN33" s="89" t="s">
        <v>158</v>
      </c>
      <c r="HO33" s="90"/>
      <c r="HP33" s="110">
        <f>CH$101</f>
        <v>0</v>
      </c>
      <c r="HQ33" s="111">
        <f>CI$101</f>
        <v>0</v>
      </c>
      <c r="HR33" s="93" t="s">
        <v>754</v>
      </c>
      <c r="HS33" s="94">
        <f t="shared" si="0"/>
        <v>0</v>
      </c>
      <c r="HU33" s="95" t="s">
        <v>820</v>
      </c>
      <c r="HV33" s="96"/>
      <c r="HW33" s="97">
        <v>46</v>
      </c>
      <c r="HX33" s="112"/>
      <c r="HY33" s="113">
        <f>HS35</f>
        <v>0</v>
      </c>
      <c r="HZ33" s="100"/>
      <c r="IA33" s="96"/>
      <c r="IB33" s="97"/>
      <c r="IC33" s="112"/>
      <c r="ID33" s="116"/>
      <c r="IF33" s="13"/>
      <c r="IG33" s="13"/>
      <c r="IH33" s="13"/>
      <c r="II33" s="13"/>
      <c r="IJ33" s="13"/>
      <c r="IK33" s="13"/>
      <c r="IL33" s="13"/>
    </row>
    <row r="34" ht="14.25" customHeight="1" spans="1:246">
      <c r="A34" s="82">
        <v>1605</v>
      </c>
      <c r="B34" s="83" t="s">
        <v>165</v>
      </c>
      <c r="C34" s="84"/>
      <c r="D34" s="84"/>
      <c r="E34" s="107"/>
      <c r="F34" s="108"/>
      <c r="G34" s="87"/>
      <c r="H34" s="107"/>
      <c r="I34" s="108"/>
      <c r="J34" s="87"/>
      <c r="K34" s="107"/>
      <c r="L34" s="108"/>
      <c r="M34" s="87"/>
      <c r="N34" s="107"/>
      <c r="O34" s="108"/>
      <c r="P34" s="87"/>
      <c r="Q34" s="107"/>
      <c r="R34" s="108"/>
      <c r="S34" s="87"/>
      <c r="T34" s="107"/>
      <c r="U34" s="108"/>
      <c r="V34" s="87"/>
      <c r="W34" s="107"/>
      <c r="X34" s="108"/>
      <c r="Y34" s="87"/>
      <c r="Z34" s="107"/>
      <c r="AA34" s="108"/>
      <c r="AB34" s="87"/>
      <c r="AC34" s="107"/>
      <c r="AD34" s="108"/>
      <c r="AE34" s="87"/>
      <c r="AF34" s="107"/>
      <c r="AG34" s="108"/>
      <c r="AH34" s="87"/>
      <c r="AI34" s="107"/>
      <c r="AJ34" s="108"/>
      <c r="AK34" s="87"/>
      <c r="AL34" s="107"/>
      <c r="AM34" s="108"/>
      <c r="AN34" s="87"/>
      <c r="AO34" s="107"/>
      <c r="AP34" s="108"/>
      <c r="AQ34" s="87"/>
      <c r="AR34" s="107"/>
      <c r="AS34" s="108"/>
      <c r="AT34" s="87"/>
      <c r="AU34" s="107"/>
      <c r="AV34" s="108"/>
      <c r="AW34" s="87"/>
      <c r="AX34" s="107"/>
      <c r="AY34" s="108"/>
      <c r="AZ34" s="87"/>
      <c r="BA34" s="107"/>
      <c r="BB34" s="108"/>
      <c r="BC34" s="87"/>
      <c r="BD34" s="107"/>
      <c r="BE34" s="108"/>
      <c r="BF34" s="87"/>
      <c r="BG34" s="107"/>
      <c r="BH34" s="108"/>
      <c r="BI34" s="87"/>
      <c r="BJ34" s="107"/>
      <c r="BK34" s="108"/>
      <c r="BL34" s="87"/>
      <c r="BM34" s="107"/>
      <c r="BN34" s="108"/>
      <c r="BO34" s="87"/>
      <c r="BP34" s="107"/>
      <c r="BQ34" s="108"/>
      <c r="BR34" s="87"/>
      <c r="BS34" s="107"/>
      <c r="BT34" s="108"/>
      <c r="BU34" s="87"/>
      <c r="BV34" s="107"/>
      <c r="BW34" s="108"/>
      <c r="BX34" s="87"/>
      <c r="BY34" s="107"/>
      <c r="BZ34" s="108"/>
      <c r="CA34" s="87"/>
      <c r="CB34" s="107"/>
      <c r="CC34" s="108"/>
      <c r="CD34" s="87"/>
      <c r="CE34" s="107"/>
      <c r="CF34" s="108"/>
      <c r="CG34" s="87"/>
      <c r="CH34" s="107"/>
      <c r="CI34" s="108"/>
      <c r="CJ34" s="87"/>
      <c r="CK34" s="107"/>
      <c r="CL34" s="108"/>
      <c r="CM34" s="87"/>
      <c r="CN34" s="107"/>
      <c r="CO34" s="108"/>
      <c r="CP34" s="87"/>
      <c r="CQ34" s="107"/>
      <c r="CR34" s="108"/>
      <c r="CS34" s="87"/>
      <c r="CT34" s="107"/>
      <c r="CU34" s="108"/>
      <c r="CV34" s="87"/>
      <c r="CW34" s="107"/>
      <c r="CX34" s="108"/>
      <c r="CY34" s="87"/>
      <c r="CZ34" s="107"/>
      <c r="DA34" s="108"/>
      <c r="DB34" s="87"/>
      <c r="DC34" s="107"/>
      <c r="DD34" s="108"/>
      <c r="DE34" s="87"/>
      <c r="DF34" s="107"/>
      <c r="DG34" s="108"/>
      <c r="DH34" s="87"/>
      <c r="DI34" s="107"/>
      <c r="DJ34" s="108"/>
      <c r="DK34" s="87"/>
      <c r="DL34" s="107"/>
      <c r="DM34" s="108"/>
      <c r="DN34" s="87"/>
      <c r="DO34" s="107"/>
      <c r="DP34" s="108"/>
      <c r="DQ34" s="87"/>
      <c r="DR34" s="107"/>
      <c r="DS34" s="108"/>
      <c r="DT34" s="87"/>
      <c r="DU34" s="107"/>
      <c r="DV34" s="108"/>
      <c r="DW34" s="87"/>
      <c r="DX34" s="107"/>
      <c r="DY34" s="108"/>
      <c r="DZ34" s="87"/>
      <c r="EA34" s="107"/>
      <c r="EB34" s="108"/>
      <c r="EC34" s="87"/>
      <c r="ED34" s="107"/>
      <c r="EE34" s="108"/>
      <c r="EF34" s="87"/>
      <c r="EG34" s="107"/>
      <c r="EH34" s="108"/>
      <c r="EI34" s="87"/>
      <c r="EJ34" s="107"/>
      <c r="EK34" s="108"/>
      <c r="EL34" s="87"/>
      <c r="EM34" s="107"/>
      <c r="EN34" s="108"/>
      <c r="EO34" s="87"/>
      <c r="EP34" s="107"/>
      <c r="EQ34" s="108"/>
      <c r="ER34" s="87"/>
      <c r="ES34" s="107"/>
      <c r="ET34" s="108"/>
      <c r="EU34" s="87"/>
      <c r="EV34" s="107"/>
      <c r="EW34" s="108"/>
      <c r="EX34" s="87"/>
      <c r="EY34" s="107"/>
      <c r="EZ34" s="108"/>
      <c r="FA34" s="87"/>
      <c r="FB34" s="107"/>
      <c r="FC34" s="108"/>
      <c r="FD34" s="87"/>
      <c r="FE34" s="107"/>
      <c r="FF34" s="108"/>
      <c r="FG34" s="87"/>
      <c r="FH34" s="107"/>
      <c r="FI34" s="108"/>
      <c r="FJ34" s="87"/>
      <c r="FK34" s="107"/>
      <c r="FL34" s="108"/>
      <c r="FM34" s="87"/>
      <c r="FN34" s="107"/>
      <c r="FO34" s="108"/>
      <c r="FP34" s="87"/>
      <c r="FQ34" s="107"/>
      <c r="FR34" s="108"/>
      <c r="FS34" s="87"/>
      <c r="FT34" s="107"/>
      <c r="FU34" s="108"/>
      <c r="FV34" s="87"/>
      <c r="FW34" s="107"/>
      <c r="FX34" s="108"/>
      <c r="FY34" s="87"/>
      <c r="FZ34" s="107"/>
      <c r="GA34" s="108"/>
      <c r="GB34" s="87"/>
      <c r="GC34" s="107"/>
      <c r="GD34" s="108"/>
      <c r="GE34" s="87"/>
      <c r="GF34" s="107"/>
      <c r="GG34" s="108"/>
      <c r="GH34" s="87"/>
      <c r="GI34" s="107"/>
      <c r="GJ34" s="108"/>
      <c r="GK34" s="87"/>
      <c r="GL34" s="107"/>
      <c r="GM34" s="108"/>
      <c r="GN34" s="87"/>
      <c r="GO34" s="107"/>
      <c r="GP34" s="108"/>
      <c r="GQ34" s="87"/>
      <c r="GR34" s="107"/>
      <c r="GS34" s="108"/>
      <c r="GT34" s="87"/>
      <c r="GU34" s="107"/>
      <c r="GV34" s="108"/>
      <c r="GW34" s="87"/>
      <c r="GX34" s="107"/>
      <c r="GY34" s="108"/>
      <c r="GZ34" s="87"/>
      <c r="HA34" s="107"/>
      <c r="HB34" s="108"/>
      <c r="HC34" s="87"/>
      <c r="HD34" s="107"/>
      <c r="HE34" s="108"/>
      <c r="HF34" s="87"/>
      <c r="HG34" s="107"/>
      <c r="HH34" s="108"/>
      <c r="HI34" s="87"/>
      <c r="HJ34" s="107"/>
      <c r="HK34" s="108"/>
      <c r="HM34" s="109">
        <v>1605</v>
      </c>
      <c r="HN34" s="89" t="s">
        <v>165</v>
      </c>
      <c r="HO34" s="90"/>
      <c r="HP34" s="110">
        <f>CK$101</f>
        <v>0</v>
      </c>
      <c r="HQ34" s="111">
        <f>CL$101</f>
        <v>0</v>
      </c>
      <c r="HR34" s="93" t="s">
        <v>754</v>
      </c>
      <c r="HS34" s="94">
        <f t="shared" si="0"/>
        <v>0</v>
      </c>
      <c r="HU34" s="95" t="s">
        <v>821</v>
      </c>
      <c r="HV34" s="96"/>
      <c r="HW34" s="97">
        <v>50</v>
      </c>
      <c r="HX34" s="119">
        <f>SUM(HX30:HX33)</f>
        <v>0</v>
      </c>
      <c r="HY34" s="113">
        <f>SUM(HY30:HY33)</f>
        <v>36500</v>
      </c>
      <c r="HZ34" s="100" t="s">
        <v>822</v>
      </c>
      <c r="IA34" s="96"/>
      <c r="IB34" s="97"/>
      <c r="IC34" s="98" t="s">
        <v>767</v>
      </c>
      <c r="ID34" s="101" t="s">
        <v>767</v>
      </c>
      <c r="IF34" s="13" t="s">
        <v>7</v>
      </c>
      <c r="IG34" s="13"/>
      <c r="IH34" s="13" t="s">
        <v>8</v>
      </c>
      <c r="II34" s="13" t="s">
        <v>1022</v>
      </c>
      <c r="IJ34" s="13"/>
      <c r="IK34" s="13" t="s">
        <v>1023</v>
      </c>
      <c r="IL34" s="13"/>
    </row>
    <row r="35" ht="14.25" customHeight="1" spans="1:246">
      <c r="A35" s="82">
        <v>1606</v>
      </c>
      <c r="B35" s="83" t="s">
        <v>168</v>
      </c>
      <c r="C35" s="84"/>
      <c r="D35" s="84"/>
      <c r="E35" s="107"/>
      <c r="F35" s="108"/>
      <c r="G35" s="87"/>
      <c r="H35" s="107"/>
      <c r="I35" s="108"/>
      <c r="J35" s="87"/>
      <c r="K35" s="107"/>
      <c r="L35" s="108"/>
      <c r="M35" s="87"/>
      <c r="N35" s="107"/>
      <c r="O35" s="108"/>
      <c r="P35" s="87"/>
      <c r="Q35" s="107"/>
      <c r="R35" s="108"/>
      <c r="S35" s="87"/>
      <c r="T35" s="107"/>
      <c r="U35" s="108"/>
      <c r="V35" s="87"/>
      <c r="W35" s="107"/>
      <c r="X35" s="108"/>
      <c r="Y35" s="87"/>
      <c r="Z35" s="107"/>
      <c r="AA35" s="108"/>
      <c r="AB35" s="87"/>
      <c r="AC35" s="107"/>
      <c r="AD35" s="108"/>
      <c r="AE35" s="87"/>
      <c r="AF35" s="107"/>
      <c r="AG35" s="108"/>
      <c r="AH35" s="87"/>
      <c r="AI35" s="107"/>
      <c r="AJ35" s="108"/>
      <c r="AK35" s="87"/>
      <c r="AL35" s="107"/>
      <c r="AM35" s="108"/>
      <c r="AN35" s="87"/>
      <c r="AO35" s="107"/>
      <c r="AP35" s="108"/>
      <c r="AQ35" s="87"/>
      <c r="AR35" s="107"/>
      <c r="AS35" s="108"/>
      <c r="AT35" s="87"/>
      <c r="AU35" s="107"/>
      <c r="AV35" s="108"/>
      <c r="AW35" s="87"/>
      <c r="AX35" s="107"/>
      <c r="AY35" s="108"/>
      <c r="AZ35" s="87"/>
      <c r="BA35" s="107"/>
      <c r="BB35" s="108"/>
      <c r="BC35" s="87"/>
      <c r="BD35" s="107"/>
      <c r="BE35" s="108"/>
      <c r="BF35" s="87"/>
      <c r="BG35" s="107"/>
      <c r="BH35" s="108"/>
      <c r="BI35" s="87"/>
      <c r="BJ35" s="107"/>
      <c r="BK35" s="108"/>
      <c r="BL35" s="87"/>
      <c r="BM35" s="107"/>
      <c r="BN35" s="108"/>
      <c r="BO35" s="87"/>
      <c r="BP35" s="107"/>
      <c r="BQ35" s="108"/>
      <c r="BR35" s="87"/>
      <c r="BS35" s="107"/>
      <c r="BT35" s="108"/>
      <c r="BU35" s="87"/>
      <c r="BV35" s="107"/>
      <c r="BW35" s="108"/>
      <c r="BX35" s="87"/>
      <c r="BY35" s="107"/>
      <c r="BZ35" s="108"/>
      <c r="CA35" s="87"/>
      <c r="CB35" s="107"/>
      <c r="CC35" s="108"/>
      <c r="CD35" s="87"/>
      <c r="CE35" s="107"/>
      <c r="CF35" s="108"/>
      <c r="CG35" s="87"/>
      <c r="CH35" s="107"/>
      <c r="CI35" s="108"/>
      <c r="CJ35" s="87"/>
      <c r="CK35" s="107"/>
      <c r="CL35" s="108"/>
      <c r="CM35" s="87"/>
      <c r="CN35" s="107"/>
      <c r="CO35" s="108"/>
      <c r="CP35" s="87"/>
      <c r="CQ35" s="107"/>
      <c r="CR35" s="108"/>
      <c r="CS35" s="87"/>
      <c r="CT35" s="107"/>
      <c r="CU35" s="108"/>
      <c r="CV35" s="87"/>
      <c r="CW35" s="107"/>
      <c r="CX35" s="108"/>
      <c r="CY35" s="87"/>
      <c r="CZ35" s="107"/>
      <c r="DA35" s="108"/>
      <c r="DB35" s="87"/>
      <c r="DC35" s="107"/>
      <c r="DD35" s="108"/>
      <c r="DE35" s="87"/>
      <c r="DF35" s="107"/>
      <c r="DG35" s="108"/>
      <c r="DH35" s="87"/>
      <c r="DI35" s="107"/>
      <c r="DJ35" s="108"/>
      <c r="DK35" s="87"/>
      <c r="DL35" s="107"/>
      <c r="DM35" s="108"/>
      <c r="DN35" s="87"/>
      <c r="DO35" s="107"/>
      <c r="DP35" s="108"/>
      <c r="DQ35" s="87"/>
      <c r="DR35" s="107"/>
      <c r="DS35" s="108"/>
      <c r="DT35" s="87"/>
      <c r="DU35" s="107"/>
      <c r="DV35" s="108"/>
      <c r="DW35" s="87"/>
      <c r="DX35" s="107"/>
      <c r="DY35" s="108"/>
      <c r="DZ35" s="87"/>
      <c r="EA35" s="107"/>
      <c r="EB35" s="108"/>
      <c r="EC35" s="87"/>
      <c r="ED35" s="107"/>
      <c r="EE35" s="108"/>
      <c r="EF35" s="87"/>
      <c r="EG35" s="107"/>
      <c r="EH35" s="108"/>
      <c r="EI35" s="87"/>
      <c r="EJ35" s="107"/>
      <c r="EK35" s="108"/>
      <c r="EL35" s="87"/>
      <c r="EM35" s="107"/>
      <c r="EN35" s="108"/>
      <c r="EO35" s="87"/>
      <c r="EP35" s="107"/>
      <c r="EQ35" s="108"/>
      <c r="ER35" s="87"/>
      <c r="ES35" s="107"/>
      <c r="ET35" s="108"/>
      <c r="EU35" s="87"/>
      <c r="EV35" s="107"/>
      <c r="EW35" s="108"/>
      <c r="EX35" s="87"/>
      <c r="EY35" s="107"/>
      <c r="EZ35" s="108"/>
      <c r="FA35" s="87"/>
      <c r="FB35" s="107"/>
      <c r="FC35" s="108"/>
      <c r="FD35" s="87"/>
      <c r="FE35" s="107"/>
      <c r="FF35" s="108"/>
      <c r="FG35" s="87"/>
      <c r="FH35" s="107"/>
      <c r="FI35" s="108"/>
      <c r="FJ35" s="87"/>
      <c r="FK35" s="107"/>
      <c r="FL35" s="108"/>
      <c r="FM35" s="87"/>
      <c r="FN35" s="107"/>
      <c r="FO35" s="108"/>
      <c r="FP35" s="87"/>
      <c r="FQ35" s="107"/>
      <c r="FR35" s="108"/>
      <c r="FS35" s="87"/>
      <c r="FT35" s="107"/>
      <c r="FU35" s="108"/>
      <c r="FV35" s="87"/>
      <c r="FW35" s="107"/>
      <c r="FX35" s="108"/>
      <c r="FY35" s="87"/>
      <c r="FZ35" s="107"/>
      <c r="GA35" s="108"/>
      <c r="GB35" s="87"/>
      <c r="GC35" s="107"/>
      <c r="GD35" s="108"/>
      <c r="GE35" s="87"/>
      <c r="GF35" s="107"/>
      <c r="GG35" s="108"/>
      <c r="GH35" s="87"/>
      <c r="GI35" s="107"/>
      <c r="GJ35" s="108"/>
      <c r="GK35" s="87"/>
      <c r="GL35" s="107"/>
      <c r="GM35" s="108"/>
      <c r="GN35" s="87"/>
      <c r="GO35" s="107"/>
      <c r="GP35" s="108"/>
      <c r="GQ35" s="87"/>
      <c r="GR35" s="107"/>
      <c r="GS35" s="108"/>
      <c r="GT35" s="87"/>
      <c r="GU35" s="107"/>
      <c r="GV35" s="108"/>
      <c r="GW35" s="87"/>
      <c r="GX35" s="107"/>
      <c r="GY35" s="108"/>
      <c r="GZ35" s="87"/>
      <c r="HA35" s="107"/>
      <c r="HB35" s="108"/>
      <c r="HC35" s="87"/>
      <c r="HD35" s="107"/>
      <c r="HE35" s="108"/>
      <c r="HF35" s="87"/>
      <c r="HG35" s="107"/>
      <c r="HH35" s="108"/>
      <c r="HI35" s="87"/>
      <c r="HJ35" s="107"/>
      <c r="HK35" s="108"/>
      <c r="HM35" s="109">
        <v>1606</v>
      </c>
      <c r="HN35" s="89" t="s">
        <v>168</v>
      </c>
      <c r="HO35" s="90"/>
      <c r="HP35" s="110">
        <f>CN$101</f>
        <v>0</v>
      </c>
      <c r="HQ35" s="111">
        <f>CO$101</f>
        <v>0</v>
      </c>
      <c r="HR35" s="93" t="s">
        <v>754</v>
      </c>
      <c r="HS35" s="94">
        <f t="shared" si="0"/>
        <v>0</v>
      </c>
      <c r="HU35" s="95" t="s">
        <v>823</v>
      </c>
      <c r="HV35" s="96"/>
      <c r="HW35" s="97"/>
      <c r="HX35" s="98" t="s">
        <v>767</v>
      </c>
      <c r="HY35" s="99" t="s">
        <v>767</v>
      </c>
      <c r="HZ35" s="100" t="s">
        <v>824</v>
      </c>
      <c r="IA35" s="96"/>
      <c r="IB35" s="97">
        <v>115</v>
      </c>
      <c r="IC35" s="112"/>
      <c r="ID35" s="114">
        <f>HS56</f>
        <v>65000</v>
      </c>
      <c r="IF35" s="13"/>
      <c r="IG35" s="13"/>
      <c r="IH35" s="13"/>
      <c r="II35" s="13"/>
      <c r="IJ35" s="13"/>
      <c r="IK35" s="13"/>
      <c r="IL35" s="13"/>
    </row>
    <row r="36" ht="14.25" customHeight="1" spans="1:246">
      <c r="A36" s="82">
        <v>1701</v>
      </c>
      <c r="B36" s="83" t="s">
        <v>184</v>
      </c>
      <c r="C36" s="84"/>
      <c r="D36" s="84"/>
      <c r="E36" s="107"/>
      <c r="F36" s="108"/>
      <c r="G36" s="87"/>
      <c r="H36" s="107"/>
      <c r="I36" s="108"/>
      <c r="J36" s="87"/>
      <c r="K36" s="107"/>
      <c r="L36" s="108"/>
      <c r="M36" s="87"/>
      <c r="N36" s="107"/>
      <c r="O36" s="108"/>
      <c r="P36" s="87"/>
      <c r="Q36" s="107"/>
      <c r="R36" s="108"/>
      <c r="S36" s="87"/>
      <c r="T36" s="107"/>
      <c r="U36" s="108"/>
      <c r="V36" s="87"/>
      <c r="W36" s="107"/>
      <c r="X36" s="108"/>
      <c r="Y36" s="87"/>
      <c r="Z36" s="107"/>
      <c r="AA36" s="108"/>
      <c r="AB36" s="87"/>
      <c r="AC36" s="107"/>
      <c r="AD36" s="108"/>
      <c r="AE36" s="87"/>
      <c r="AF36" s="107"/>
      <c r="AG36" s="108"/>
      <c r="AH36" s="87"/>
      <c r="AI36" s="107"/>
      <c r="AJ36" s="108"/>
      <c r="AK36" s="87"/>
      <c r="AL36" s="107"/>
      <c r="AM36" s="108"/>
      <c r="AN36" s="87"/>
      <c r="AO36" s="107"/>
      <c r="AP36" s="108"/>
      <c r="AQ36" s="87"/>
      <c r="AR36" s="107"/>
      <c r="AS36" s="108"/>
      <c r="AT36" s="87"/>
      <c r="AU36" s="107"/>
      <c r="AV36" s="108"/>
      <c r="AW36" s="87"/>
      <c r="AX36" s="107"/>
      <c r="AY36" s="108"/>
      <c r="AZ36" s="87"/>
      <c r="BA36" s="107"/>
      <c r="BB36" s="108"/>
      <c r="BC36" s="87"/>
      <c r="BD36" s="107"/>
      <c r="BE36" s="108"/>
      <c r="BF36" s="87"/>
      <c r="BG36" s="107"/>
      <c r="BH36" s="108"/>
      <c r="BI36" s="87"/>
      <c r="BJ36" s="107"/>
      <c r="BK36" s="108"/>
      <c r="BL36" s="87"/>
      <c r="BM36" s="107"/>
      <c r="BN36" s="108"/>
      <c r="BO36" s="87"/>
      <c r="BP36" s="107"/>
      <c r="BQ36" s="108"/>
      <c r="BR36" s="87"/>
      <c r="BS36" s="107"/>
      <c r="BT36" s="108"/>
      <c r="BU36" s="87"/>
      <c r="BV36" s="107"/>
      <c r="BW36" s="108"/>
      <c r="BX36" s="87"/>
      <c r="BY36" s="107"/>
      <c r="BZ36" s="108"/>
      <c r="CA36" s="87"/>
      <c r="CB36" s="107"/>
      <c r="CC36" s="108"/>
      <c r="CD36" s="87"/>
      <c r="CE36" s="107"/>
      <c r="CF36" s="108"/>
      <c r="CG36" s="87"/>
      <c r="CH36" s="107"/>
      <c r="CI36" s="108"/>
      <c r="CJ36" s="87"/>
      <c r="CK36" s="107"/>
      <c r="CL36" s="108"/>
      <c r="CM36" s="87"/>
      <c r="CN36" s="107"/>
      <c r="CO36" s="108"/>
      <c r="CP36" s="87"/>
      <c r="CQ36" s="107"/>
      <c r="CR36" s="108"/>
      <c r="CS36" s="87"/>
      <c r="CT36" s="107"/>
      <c r="CU36" s="108"/>
      <c r="CV36" s="87"/>
      <c r="CW36" s="107"/>
      <c r="CX36" s="108"/>
      <c r="CY36" s="87"/>
      <c r="CZ36" s="107"/>
      <c r="DA36" s="108"/>
      <c r="DB36" s="87"/>
      <c r="DC36" s="107"/>
      <c r="DD36" s="108"/>
      <c r="DE36" s="87"/>
      <c r="DF36" s="107"/>
      <c r="DG36" s="108"/>
      <c r="DH36" s="87"/>
      <c r="DI36" s="107"/>
      <c r="DJ36" s="108"/>
      <c r="DK36" s="87"/>
      <c r="DL36" s="107"/>
      <c r="DM36" s="108"/>
      <c r="DN36" s="87"/>
      <c r="DO36" s="107"/>
      <c r="DP36" s="108"/>
      <c r="DQ36" s="87"/>
      <c r="DR36" s="107"/>
      <c r="DS36" s="108"/>
      <c r="DT36" s="87"/>
      <c r="DU36" s="107"/>
      <c r="DV36" s="108"/>
      <c r="DW36" s="87"/>
      <c r="DX36" s="107"/>
      <c r="DY36" s="108"/>
      <c r="DZ36" s="87"/>
      <c r="EA36" s="107"/>
      <c r="EB36" s="108"/>
      <c r="EC36" s="87"/>
      <c r="ED36" s="107"/>
      <c r="EE36" s="108"/>
      <c r="EF36" s="87"/>
      <c r="EG36" s="107"/>
      <c r="EH36" s="108"/>
      <c r="EI36" s="87"/>
      <c r="EJ36" s="107"/>
      <c r="EK36" s="108"/>
      <c r="EL36" s="87"/>
      <c r="EM36" s="107"/>
      <c r="EN36" s="108"/>
      <c r="EO36" s="87"/>
      <c r="EP36" s="107"/>
      <c r="EQ36" s="108"/>
      <c r="ER36" s="87"/>
      <c r="ES36" s="107"/>
      <c r="ET36" s="108"/>
      <c r="EU36" s="87"/>
      <c r="EV36" s="107"/>
      <c r="EW36" s="108"/>
      <c r="EX36" s="87"/>
      <c r="EY36" s="107"/>
      <c r="EZ36" s="108"/>
      <c r="FA36" s="87"/>
      <c r="FB36" s="107"/>
      <c r="FC36" s="108"/>
      <c r="FD36" s="87"/>
      <c r="FE36" s="107"/>
      <c r="FF36" s="108"/>
      <c r="FG36" s="87"/>
      <c r="FH36" s="107"/>
      <c r="FI36" s="108"/>
      <c r="FJ36" s="87"/>
      <c r="FK36" s="107"/>
      <c r="FL36" s="108"/>
      <c r="FM36" s="87"/>
      <c r="FN36" s="107"/>
      <c r="FO36" s="108"/>
      <c r="FP36" s="87"/>
      <c r="FQ36" s="107"/>
      <c r="FR36" s="108"/>
      <c r="FS36" s="87"/>
      <c r="FT36" s="107"/>
      <c r="FU36" s="108"/>
      <c r="FV36" s="87"/>
      <c r="FW36" s="107"/>
      <c r="FX36" s="108"/>
      <c r="FY36" s="87"/>
      <c r="FZ36" s="107"/>
      <c r="GA36" s="108"/>
      <c r="GB36" s="87"/>
      <c r="GC36" s="107"/>
      <c r="GD36" s="108"/>
      <c r="GE36" s="87"/>
      <c r="GF36" s="107"/>
      <c r="GG36" s="108"/>
      <c r="GH36" s="87"/>
      <c r="GI36" s="107"/>
      <c r="GJ36" s="108"/>
      <c r="GK36" s="87"/>
      <c r="GL36" s="107"/>
      <c r="GM36" s="108"/>
      <c r="GN36" s="87"/>
      <c r="GO36" s="107"/>
      <c r="GP36" s="108"/>
      <c r="GQ36" s="87"/>
      <c r="GR36" s="107"/>
      <c r="GS36" s="108"/>
      <c r="GT36" s="87"/>
      <c r="GU36" s="107"/>
      <c r="GV36" s="108"/>
      <c r="GW36" s="87"/>
      <c r="GX36" s="107"/>
      <c r="GY36" s="108"/>
      <c r="GZ36" s="87"/>
      <c r="HA36" s="107"/>
      <c r="HB36" s="108"/>
      <c r="HC36" s="87"/>
      <c r="HD36" s="107"/>
      <c r="HE36" s="108"/>
      <c r="HF36" s="87"/>
      <c r="HG36" s="107"/>
      <c r="HH36" s="108"/>
      <c r="HI36" s="87"/>
      <c r="HJ36" s="107"/>
      <c r="HK36" s="108"/>
      <c r="HM36" s="109">
        <v>1701</v>
      </c>
      <c r="HN36" s="89" t="s">
        <v>184</v>
      </c>
      <c r="HO36" s="90"/>
      <c r="HP36" s="110">
        <f>CQ$101</f>
        <v>0</v>
      </c>
      <c r="HQ36" s="111">
        <f>CR$101</f>
        <v>0</v>
      </c>
      <c r="HR36" s="93" t="s">
        <v>754</v>
      </c>
      <c r="HS36" s="94">
        <f t="shared" si="0"/>
        <v>0</v>
      </c>
      <c r="HU36" s="95" t="s">
        <v>825</v>
      </c>
      <c r="HV36" s="96"/>
      <c r="HW36" s="97">
        <v>51</v>
      </c>
      <c r="HX36" s="112"/>
      <c r="HY36" s="113">
        <f>HS36</f>
        <v>0</v>
      </c>
      <c r="HZ36" s="100" t="s">
        <v>826</v>
      </c>
      <c r="IA36" s="96"/>
      <c r="IB36" s="97">
        <v>116</v>
      </c>
      <c r="IC36" s="112"/>
      <c r="ID36" s="116"/>
    </row>
    <row r="37" ht="14.25" customHeight="1" spans="1:246">
      <c r="A37" s="82">
        <v>1703</v>
      </c>
      <c r="B37" s="83" t="s">
        <v>357</v>
      </c>
      <c r="C37" s="84"/>
      <c r="D37" s="84"/>
      <c r="E37" s="107"/>
      <c r="F37" s="108"/>
      <c r="G37" s="87"/>
      <c r="H37" s="107"/>
      <c r="I37" s="108"/>
      <c r="J37" s="87"/>
      <c r="K37" s="107"/>
      <c r="L37" s="108"/>
      <c r="M37" s="87"/>
      <c r="N37" s="107"/>
      <c r="O37" s="108"/>
      <c r="P37" s="87"/>
      <c r="Q37" s="107"/>
      <c r="R37" s="108"/>
      <c r="S37" s="87"/>
      <c r="T37" s="107"/>
      <c r="U37" s="108"/>
      <c r="V37" s="87"/>
      <c r="W37" s="107"/>
      <c r="X37" s="108"/>
      <c r="Y37" s="87"/>
      <c r="Z37" s="107"/>
      <c r="AA37" s="108"/>
      <c r="AB37" s="87"/>
      <c r="AC37" s="107"/>
      <c r="AD37" s="108"/>
      <c r="AE37" s="87"/>
      <c r="AF37" s="107"/>
      <c r="AG37" s="108"/>
      <c r="AH37" s="87"/>
      <c r="AI37" s="107"/>
      <c r="AJ37" s="108"/>
      <c r="AK37" s="87"/>
      <c r="AL37" s="107"/>
      <c r="AM37" s="108"/>
      <c r="AN37" s="87"/>
      <c r="AO37" s="107"/>
      <c r="AP37" s="108"/>
      <c r="AQ37" s="87"/>
      <c r="AR37" s="107"/>
      <c r="AS37" s="108"/>
      <c r="AT37" s="87"/>
      <c r="AU37" s="107"/>
      <c r="AV37" s="108"/>
      <c r="AW37" s="87"/>
      <c r="AX37" s="107"/>
      <c r="AY37" s="108"/>
      <c r="AZ37" s="87"/>
      <c r="BA37" s="107"/>
      <c r="BB37" s="108"/>
      <c r="BC37" s="87"/>
      <c r="BD37" s="107"/>
      <c r="BE37" s="108"/>
      <c r="BF37" s="87"/>
      <c r="BG37" s="107"/>
      <c r="BH37" s="108"/>
      <c r="BI37" s="87"/>
      <c r="BJ37" s="107"/>
      <c r="BK37" s="108"/>
      <c r="BL37" s="87"/>
      <c r="BM37" s="107"/>
      <c r="BN37" s="108"/>
      <c r="BO37" s="87"/>
      <c r="BP37" s="107"/>
      <c r="BQ37" s="108"/>
      <c r="BR37" s="87"/>
      <c r="BS37" s="107"/>
      <c r="BT37" s="108"/>
      <c r="BU37" s="87"/>
      <c r="BV37" s="107"/>
      <c r="BW37" s="108"/>
      <c r="BX37" s="87"/>
      <c r="BY37" s="107"/>
      <c r="BZ37" s="108"/>
      <c r="CA37" s="87"/>
      <c r="CB37" s="107"/>
      <c r="CC37" s="108"/>
      <c r="CD37" s="87"/>
      <c r="CE37" s="107"/>
      <c r="CF37" s="108"/>
      <c r="CG37" s="87"/>
      <c r="CH37" s="107"/>
      <c r="CI37" s="108"/>
      <c r="CJ37" s="87"/>
      <c r="CK37" s="107"/>
      <c r="CL37" s="108"/>
      <c r="CM37" s="87"/>
      <c r="CN37" s="107"/>
      <c r="CO37" s="108"/>
      <c r="CP37" s="87"/>
      <c r="CQ37" s="107"/>
      <c r="CR37" s="108"/>
      <c r="CS37" s="87"/>
      <c r="CT37" s="107"/>
      <c r="CU37" s="108"/>
      <c r="CV37" s="87"/>
      <c r="CW37" s="107"/>
      <c r="CX37" s="108"/>
      <c r="CY37" s="87"/>
      <c r="CZ37" s="107"/>
      <c r="DA37" s="108"/>
      <c r="DB37" s="87"/>
      <c r="DC37" s="107"/>
      <c r="DD37" s="108"/>
      <c r="DE37" s="87"/>
      <c r="DF37" s="107"/>
      <c r="DG37" s="108"/>
      <c r="DH37" s="87"/>
      <c r="DI37" s="107"/>
      <c r="DJ37" s="108"/>
      <c r="DK37" s="87"/>
      <c r="DL37" s="107"/>
      <c r="DM37" s="108"/>
      <c r="DN37" s="87"/>
      <c r="DO37" s="107"/>
      <c r="DP37" s="108"/>
      <c r="DQ37" s="87"/>
      <c r="DR37" s="107"/>
      <c r="DS37" s="108"/>
      <c r="DT37" s="87"/>
      <c r="DU37" s="107"/>
      <c r="DV37" s="108"/>
      <c r="DW37" s="87"/>
      <c r="DX37" s="107"/>
      <c r="DY37" s="108"/>
      <c r="DZ37" s="87"/>
      <c r="EA37" s="107"/>
      <c r="EB37" s="108"/>
      <c r="EC37" s="87"/>
      <c r="ED37" s="107"/>
      <c r="EE37" s="108"/>
      <c r="EF37" s="87"/>
      <c r="EG37" s="107"/>
      <c r="EH37" s="108"/>
      <c r="EI37" s="87"/>
      <c r="EJ37" s="107"/>
      <c r="EK37" s="108"/>
      <c r="EL37" s="87"/>
      <c r="EM37" s="107"/>
      <c r="EN37" s="108"/>
      <c r="EO37" s="87"/>
      <c r="EP37" s="107"/>
      <c r="EQ37" s="108"/>
      <c r="ER37" s="87"/>
      <c r="ES37" s="107"/>
      <c r="ET37" s="108"/>
      <c r="EU37" s="87"/>
      <c r="EV37" s="107"/>
      <c r="EW37" s="108"/>
      <c r="EX37" s="87"/>
      <c r="EY37" s="107"/>
      <c r="EZ37" s="108"/>
      <c r="FA37" s="87"/>
      <c r="FB37" s="107"/>
      <c r="FC37" s="108"/>
      <c r="FD37" s="87"/>
      <c r="FE37" s="107"/>
      <c r="FF37" s="108"/>
      <c r="FG37" s="87"/>
      <c r="FH37" s="107"/>
      <c r="FI37" s="108"/>
      <c r="FJ37" s="87"/>
      <c r="FK37" s="107"/>
      <c r="FL37" s="108"/>
      <c r="FM37" s="87"/>
      <c r="FN37" s="107"/>
      <c r="FO37" s="108"/>
      <c r="FP37" s="87"/>
      <c r="FQ37" s="107"/>
      <c r="FR37" s="108"/>
      <c r="FS37" s="87"/>
      <c r="FT37" s="107"/>
      <c r="FU37" s="108"/>
      <c r="FV37" s="87"/>
      <c r="FW37" s="107"/>
      <c r="FX37" s="108"/>
      <c r="FY37" s="87"/>
      <c r="FZ37" s="107"/>
      <c r="GA37" s="108"/>
      <c r="GB37" s="87"/>
      <c r="GC37" s="107"/>
      <c r="GD37" s="108"/>
      <c r="GE37" s="87"/>
      <c r="GF37" s="107"/>
      <c r="GG37" s="108"/>
      <c r="GH37" s="87"/>
      <c r="GI37" s="107"/>
      <c r="GJ37" s="108"/>
      <c r="GK37" s="87"/>
      <c r="GL37" s="107"/>
      <c r="GM37" s="108"/>
      <c r="GN37" s="87"/>
      <c r="GO37" s="107"/>
      <c r="GP37" s="108"/>
      <c r="GQ37" s="87"/>
      <c r="GR37" s="107"/>
      <c r="GS37" s="108"/>
      <c r="GT37" s="87"/>
      <c r="GU37" s="107"/>
      <c r="GV37" s="108"/>
      <c r="GW37" s="87"/>
      <c r="GX37" s="107"/>
      <c r="GY37" s="108"/>
      <c r="GZ37" s="87"/>
      <c r="HA37" s="107"/>
      <c r="HB37" s="108"/>
      <c r="HC37" s="87"/>
      <c r="HD37" s="107"/>
      <c r="HE37" s="108"/>
      <c r="HF37" s="87"/>
      <c r="HG37" s="107"/>
      <c r="HH37" s="108"/>
      <c r="HI37" s="87"/>
      <c r="HJ37" s="107"/>
      <c r="HK37" s="108"/>
      <c r="HM37" s="109">
        <v>1703</v>
      </c>
      <c r="HN37" s="89" t="s">
        <v>357</v>
      </c>
      <c r="HO37" s="90"/>
      <c r="HP37" s="110">
        <f>CT$101</f>
        <v>0</v>
      </c>
      <c r="HQ37" s="111">
        <f>CU$101</f>
        <v>0</v>
      </c>
      <c r="HR37" s="93" t="s">
        <v>755</v>
      </c>
      <c r="HS37" s="94">
        <f t="shared" si="0"/>
        <v>0</v>
      </c>
      <c r="HU37" s="95" t="s">
        <v>827</v>
      </c>
      <c r="HV37" s="96"/>
      <c r="HW37" s="97">
        <v>52</v>
      </c>
      <c r="HX37" s="112"/>
      <c r="HY37" s="113">
        <f>HS38</f>
        <v>0</v>
      </c>
      <c r="HZ37" s="100" t="s">
        <v>828</v>
      </c>
      <c r="IA37" s="96"/>
      <c r="IB37" s="97">
        <v>117</v>
      </c>
      <c r="IC37" s="119">
        <f>IC35-IC36</f>
        <v>0</v>
      </c>
      <c r="ID37" s="114">
        <f>ID35-ID36</f>
        <v>65000</v>
      </c>
      <c r="IF37" s="138" t="s">
        <v>889</v>
      </c>
      <c r="IG37" s="138"/>
      <c r="IH37" s="138"/>
      <c r="II37" s="138"/>
      <c r="IJ37" s="138"/>
      <c r="IK37" s="138"/>
    </row>
    <row r="38" ht="14.25" customHeight="1" spans="1:246">
      <c r="A38" s="82">
        <v>1801</v>
      </c>
      <c r="B38" s="83" t="s">
        <v>188</v>
      </c>
      <c r="C38" s="84"/>
      <c r="D38" s="84"/>
      <c r="E38" s="107"/>
      <c r="F38" s="108"/>
      <c r="G38" s="87"/>
      <c r="H38" s="107"/>
      <c r="I38" s="108"/>
      <c r="J38" s="87"/>
      <c r="K38" s="107"/>
      <c r="L38" s="108"/>
      <c r="M38" s="87"/>
      <c r="N38" s="107"/>
      <c r="O38" s="108"/>
      <c r="P38" s="87"/>
      <c r="Q38" s="107"/>
      <c r="R38" s="108"/>
      <c r="S38" s="87"/>
      <c r="T38" s="107"/>
      <c r="U38" s="108"/>
      <c r="V38" s="87"/>
      <c r="W38" s="107"/>
      <c r="X38" s="108"/>
      <c r="Y38" s="87"/>
      <c r="Z38" s="107"/>
      <c r="AA38" s="108"/>
      <c r="AB38" s="87"/>
      <c r="AC38" s="107"/>
      <c r="AD38" s="108"/>
      <c r="AE38" s="87"/>
      <c r="AF38" s="107"/>
      <c r="AG38" s="108"/>
      <c r="AH38" s="87"/>
      <c r="AI38" s="107"/>
      <c r="AJ38" s="108"/>
      <c r="AK38" s="87"/>
      <c r="AL38" s="107"/>
      <c r="AM38" s="108"/>
      <c r="AN38" s="87"/>
      <c r="AO38" s="107"/>
      <c r="AP38" s="108"/>
      <c r="AQ38" s="87"/>
      <c r="AR38" s="107"/>
      <c r="AS38" s="108"/>
      <c r="AT38" s="87"/>
      <c r="AU38" s="107"/>
      <c r="AV38" s="108"/>
      <c r="AW38" s="87"/>
      <c r="AX38" s="107"/>
      <c r="AY38" s="108"/>
      <c r="AZ38" s="87"/>
      <c r="BA38" s="107"/>
      <c r="BB38" s="108"/>
      <c r="BC38" s="87"/>
      <c r="BD38" s="107"/>
      <c r="BE38" s="108"/>
      <c r="BF38" s="87"/>
      <c r="BG38" s="107"/>
      <c r="BH38" s="108"/>
      <c r="BI38" s="87"/>
      <c r="BJ38" s="107"/>
      <c r="BK38" s="108"/>
      <c r="BL38" s="87"/>
      <c r="BM38" s="107"/>
      <c r="BN38" s="108"/>
      <c r="BO38" s="87"/>
      <c r="BP38" s="107"/>
      <c r="BQ38" s="108"/>
      <c r="BR38" s="87"/>
      <c r="BS38" s="107"/>
      <c r="BT38" s="108"/>
      <c r="BU38" s="87"/>
      <c r="BV38" s="107"/>
      <c r="BW38" s="108"/>
      <c r="BX38" s="87"/>
      <c r="BY38" s="107"/>
      <c r="BZ38" s="108"/>
      <c r="CA38" s="87"/>
      <c r="CB38" s="107"/>
      <c r="CC38" s="108"/>
      <c r="CD38" s="87"/>
      <c r="CE38" s="107"/>
      <c r="CF38" s="108"/>
      <c r="CG38" s="87"/>
      <c r="CH38" s="107"/>
      <c r="CI38" s="108"/>
      <c r="CJ38" s="87"/>
      <c r="CK38" s="107"/>
      <c r="CL38" s="108"/>
      <c r="CM38" s="87"/>
      <c r="CN38" s="107"/>
      <c r="CO38" s="108"/>
      <c r="CP38" s="87"/>
      <c r="CQ38" s="107"/>
      <c r="CR38" s="108"/>
      <c r="CS38" s="87"/>
      <c r="CT38" s="107"/>
      <c r="CU38" s="108"/>
      <c r="CV38" s="87"/>
      <c r="CW38" s="107"/>
      <c r="CX38" s="108"/>
      <c r="CY38" s="87"/>
      <c r="CZ38" s="107"/>
      <c r="DA38" s="108"/>
      <c r="DB38" s="87"/>
      <c r="DC38" s="107"/>
      <c r="DD38" s="108"/>
      <c r="DE38" s="87"/>
      <c r="DF38" s="107"/>
      <c r="DG38" s="108"/>
      <c r="DH38" s="87"/>
      <c r="DI38" s="107"/>
      <c r="DJ38" s="108"/>
      <c r="DK38" s="87"/>
      <c r="DL38" s="107"/>
      <c r="DM38" s="108"/>
      <c r="DN38" s="87"/>
      <c r="DO38" s="107"/>
      <c r="DP38" s="108"/>
      <c r="DQ38" s="87"/>
      <c r="DR38" s="107"/>
      <c r="DS38" s="108"/>
      <c r="DT38" s="87"/>
      <c r="DU38" s="107"/>
      <c r="DV38" s="108"/>
      <c r="DW38" s="87"/>
      <c r="DX38" s="107"/>
      <c r="DY38" s="108"/>
      <c r="DZ38" s="87"/>
      <c r="EA38" s="107"/>
      <c r="EB38" s="108"/>
      <c r="EC38" s="87"/>
      <c r="ED38" s="107"/>
      <c r="EE38" s="108"/>
      <c r="EF38" s="87"/>
      <c r="EG38" s="107"/>
      <c r="EH38" s="108"/>
      <c r="EI38" s="87"/>
      <c r="EJ38" s="107"/>
      <c r="EK38" s="108"/>
      <c r="EL38" s="87"/>
      <c r="EM38" s="107"/>
      <c r="EN38" s="108"/>
      <c r="EO38" s="87"/>
      <c r="EP38" s="107"/>
      <c r="EQ38" s="108"/>
      <c r="ER38" s="87"/>
      <c r="ES38" s="107"/>
      <c r="ET38" s="108"/>
      <c r="EU38" s="87"/>
      <c r="EV38" s="107"/>
      <c r="EW38" s="108"/>
      <c r="EX38" s="87"/>
      <c r="EY38" s="107"/>
      <c r="EZ38" s="108"/>
      <c r="FA38" s="87"/>
      <c r="FB38" s="107"/>
      <c r="FC38" s="108"/>
      <c r="FD38" s="87"/>
      <c r="FE38" s="107"/>
      <c r="FF38" s="108"/>
      <c r="FG38" s="87"/>
      <c r="FH38" s="107"/>
      <c r="FI38" s="108"/>
      <c r="FJ38" s="87"/>
      <c r="FK38" s="107"/>
      <c r="FL38" s="108"/>
      <c r="FM38" s="87"/>
      <c r="FN38" s="107"/>
      <c r="FO38" s="108"/>
      <c r="FP38" s="87"/>
      <c r="FQ38" s="107"/>
      <c r="FR38" s="108"/>
      <c r="FS38" s="87"/>
      <c r="FT38" s="107"/>
      <c r="FU38" s="108"/>
      <c r="FV38" s="87"/>
      <c r="FW38" s="107"/>
      <c r="FX38" s="108"/>
      <c r="FY38" s="87"/>
      <c r="FZ38" s="107"/>
      <c r="GA38" s="108"/>
      <c r="GB38" s="87"/>
      <c r="GC38" s="107"/>
      <c r="GD38" s="108"/>
      <c r="GE38" s="87"/>
      <c r="GF38" s="107"/>
      <c r="GG38" s="108"/>
      <c r="GH38" s="87"/>
      <c r="GI38" s="107"/>
      <c r="GJ38" s="108"/>
      <c r="GK38" s="87"/>
      <c r="GL38" s="107"/>
      <c r="GM38" s="108"/>
      <c r="GN38" s="87"/>
      <c r="GO38" s="107"/>
      <c r="GP38" s="108"/>
      <c r="GQ38" s="87"/>
      <c r="GR38" s="107"/>
      <c r="GS38" s="108"/>
      <c r="GT38" s="87"/>
      <c r="GU38" s="107"/>
      <c r="GV38" s="108"/>
      <c r="GW38" s="87"/>
      <c r="GX38" s="107"/>
      <c r="GY38" s="108"/>
      <c r="GZ38" s="87"/>
      <c r="HA38" s="107"/>
      <c r="HB38" s="108"/>
      <c r="HC38" s="87"/>
      <c r="HD38" s="107"/>
      <c r="HE38" s="108"/>
      <c r="HF38" s="87"/>
      <c r="HG38" s="107"/>
      <c r="HH38" s="108"/>
      <c r="HI38" s="87"/>
      <c r="HJ38" s="107"/>
      <c r="HK38" s="108"/>
      <c r="HM38" s="109">
        <v>1801</v>
      </c>
      <c r="HN38" s="89" t="s">
        <v>188</v>
      </c>
      <c r="HO38" s="90"/>
      <c r="HP38" s="110">
        <f>CW$101</f>
        <v>0</v>
      </c>
      <c r="HQ38" s="111">
        <f>CX$101</f>
        <v>0</v>
      </c>
      <c r="HR38" s="93" t="s">
        <v>754</v>
      </c>
      <c r="HS38" s="94">
        <f t="shared" si="0"/>
        <v>0</v>
      </c>
      <c r="HU38" s="95" t="s">
        <v>829</v>
      </c>
      <c r="HV38" s="96"/>
      <c r="HW38" s="97">
        <v>53</v>
      </c>
      <c r="HX38" s="112"/>
      <c r="HY38" s="117"/>
      <c r="HZ38" s="100" t="s">
        <v>830</v>
      </c>
      <c r="IA38" s="96"/>
      <c r="IB38" s="97">
        <v>118</v>
      </c>
      <c r="IC38" s="112"/>
      <c r="ID38" s="114">
        <f>HS57</f>
        <v>0</v>
      </c>
      <c r="IF38" s="139" t="s">
        <v>890</v>
      </c>
      <c r="IG38" s="3"/>
      <c r="IH38" s="3"/>
      <c r="II38" s="3"/>
      <c r="IJ38" s="3"/>
      <c r="IK38" s="3"/>
    </row>
    <row r="39" ht="14.25" customHeight="1" spans="1:246">
      <c r="A39" s="82">
        <v>1811</v>
      </c>
      <c r="B39" s="83" t="s">
        <v>371</v>
      </c>
      <c r="C39" s="84"/>
      <c r="D39" s="84"/>
      <c r="E39" s="107"/>
      <c r="F39" s="108"/>
      <c r="G39" s="87"/>
      <c r="H39" s="107"/>
      <c r="I39" s="108"/>
      <c r="J39" s="87"/>
      <c r="K39" s="107"/>
      <c r="L39" s="108"/>
      <c r="M39" s="87"/>
      <c r="N39" s="107"/>
      <c r="O39" s="108"/>
      <c r="P39" s="87"/>
      <c r="Q39" s="107"/>
      <c r="R39" s="108"/>
      <c r="S39" s="87"/>
      <c r="T39" s="107"/>
      <c r="U39" s="108"/>
      <c r="V39" s="87"/>
      <c r="W39" s="107"/>
      <c r="X39" s="108"/>
      <c r="Y39" s="87"/>
      <c r="Z39" s="107"/>
      <c r="AA39" s="108"/>
      <c r="AB39" s="87"/>
      <c r="AC39" s="107"/>
      <c r="AD39" s="108"/>
      <c r="AE39" s="87"/>
      <c r="AF39" s="107"/>
      <c r="AG39" s="108"/>
      <c r="AH39" s="87"/>
      <c r="AI39" s="107"/>
      <c r="AJ39" s="108"/>
      <c r="AK39" s="87"/>
      <c r="AL39" s="107"/>
      <c r="AM39" s="108"/>
      <c r="AN39" s="87"/>
      <c r="AO39" s="107"/>
      <c r="AP39" s="108"/>
      <c r="AQ39" s="87"/>
      <c r="AR39" s="107"/>
      <c r="AS39" s="108"/>
      <c r="AT39" s="87"/>
      <c r="AU39" s="107"/>
      <c r="AV39" s="108"/>
      <c r="AW39" s="87"/>
      <c r="AX39" s="107"/>
      <c r="AY39" s="108"/>
      <c r="AZ39" s="87"/>
      <c r="BA39" s="107"/>
      <c r="BB39" s="108"/>
      <c r="BC39" s="87"/>
      <c r="BD39" s="107"/>
      <c r="BE39" s="108"/>
      <c r="BF39" s="87"/>
      <c r="BG39" s="107"/>
      <c r="BH39" s="108"/>
      <c r="BI39" s="87"/>
      <c r="BJ39" s="107"/>
      <c r="BK39" s="108"/>
      <c r="BL39" s="87"/>
      <c r="BM39" s="107"/>
      <c r="BN39" s="108"/>
      <c r="BO39" s="87"/>
      <c r="BP39" s="107"/>
      <c r="BQ39" s="108"/>
      <c r="BR39" s="87"/>
      <c r="BS39" s="107"/>
      <c r="BT39" s="108"/>
      <c r="BU39" s="87"/>
      <c r="BV39" s="107"/>
      <c r="BW39" s="108"/>
      <c r="BX39" s="87"/>
      <c r="BY39" s="107"/>
      <c r="BZ39" s="108"/>
      <c r="CA39" s="87"/>
      <c r="CB39" s="107"/>
      <c r="CC39" s="108"/>
      <c r="CD39" s="87"/>
      <c r="CE39" s="107"/>
      <c r="CF39" s="108"/>
      <c r="CG39" s="87"/>
      <c r="CH39" s="107"/>
      <c r="CI39" s="108"/>
      <c r="CJ39" s="87"/>
      <c r="CK39" s="107"/>
      <c r="CL39" s="108"/>
      <c r="CM39" s="87"/>
      <c r="CN39" s="107"/>
      <c r="CO39" s="108"/>
      <c r="CP39" s="87"/>
      <c r="CQ39" s="107"/>
      <c r="CR39" s="108"/>
      <c r="CS39" s="87"/>
      <c r="CT39" s="107"/>
      <c r="CU39" s="108"/>
      <c r="CV39" s="87"/>
      <c r="CW39" s="107"/>
      <c r="CX39" s="108"/>
      <c r="CY39" s="87"/>
      <c r="CZ39" s="107"/>
      <c r="DA39" s="108"/>
      <c r="DB39" s="87"/>
      <c r="DC39" s="107"/>
      <c r="DD39" s="108"/>
      <c r="DE39" s="87"/>
      <c r="DF39" s="107"/>
      <c r="DG39" s="108"/>
      <c r="DH39" s="87"/>
      <c r="DI39" s="107"/>
      <c r="DJ39" s="108"/>
      <c r="DK39" s="87"/>
      <c r="DL39" s="107"/>
      <c r="DM39" s="108"/>
      <c r="DN39" s="87"/>
      <c r="DO39" s="107"/>
      <c r="DP39" s="108"/>
      <c r="DQ39" s="87"/>
      <c r="DR39" s="107"/>
      <c r="DS39" s="108"/>
      <c r="DT39" s="87"/>
      <c r="DU39" s="107"/>
      <c r="DV39" s="108"/>
      <c r="DW39" s="87"/>
      <c r="DX39" s="107"/>
      <c r="DY39" s="108"/>
      <c r="DZ39" s="87"/>
      <c r="EA39" s="107"/>
      <c r="EB39" s="108"/>
      <c r="EC39" s="87"/>
      <c r="ED39" s="107"/>
      <c r="EE39" s="108"/>
      <c r="EF39" s="87"/>
      <c r="EG39" s="107"/>
      <c r="EH39" s="108"/>
      <c r="EI39" s="87"/>
      <c r="EJ39" s="107"/>
      <c r="EK39" s="108"/>
      <c r="EL39" s="87"/>
      <c r="EM39" s="107"/>
      <c r="EN39" s="108"/>
      <c r="EO39" s="87"/>
      <c r="EP39" s="107"/>
      <c r="EQ39" s="108"/>
      <c r="ER39" s="87"/>
      <c r="ES39" s="107"/>
      <c r="ET39" s="108"/>
      <c r="EU39" s="87"/>
      <c r="EV39" s="107"/>
      <c r="EW39" s="108"/>
      <c r="EX39" s="87"/>
      <c r="EY39" s="107"/>
      <c r="EZ39" s="108"/>
      <c r="FA39" s="87"/>
      <c r="FB39" s="107"/>
      <c r="FC39" s="108"/>
      <c r="FD39" s="87"/>
      <c r="FE39" s="107"/>
      <c r="FF39" s="108"/>
      <c r="FG39" s="87"/>
      <c r="FH39" s="107"/>
      <c r="FI39" s="108"/>
      <c r="FJ39" s="87"/>
      <c r="FK39" s="107"/>
      <c r="FL39" s="108"/>
      <c r="FM39" s="87"/>
      <c r="FN39" s="107"/>
      <c r="FO39" s="108"/>
      <c r="FP39" s="87"/>
      <c r="FQ39" s="107"/>
      <c r="FR39" s="108"/>
      <c r="FS39" s="87"/>
      <c r="FT39" s="107"/>
      <c r="FU39" s="108"/>
      <c r="FV39" s="87"/>
      <c r="FW39" s="107"/>
      <c r="FX39" s="108"/>
      <c r="FY39" s="87"/>
      <c r="FZ39" s="107"/>
      <c r="GA39" s="108"/>
      <c r="GB39" s="87"/>
      <c r="GC39" s="107"/>
      <c r="GD39" s="108"/>
      <c r="GE39" s="87"/>
      <c r="GF39" s="107"/>
      <c r="GG39" s="108"/>
      <c r="GH39" s="87"/>
      <c r="GI39" s="107"/>
      <c r="GJ39" s="108"/>
      <c r="GK39" s="87"/>
      <c r="GL39" s="107"/>
      <c r="GM39" s="108"/>
      <c r="GN39" s="87"/>
      <c r="GO39" s="107"/>
      <c r="GP39" s="108"/>
      <c r="GQ39" s="87"/>
      <c r="GR39" s="107"/>
      <c r="GS39" s="108"/>
      <c r="GT39" s="87"/>
      <c r="GU39" s="107"/>
      <c r="GV39" s="108"/>
      <c r="GW39" s="87"/>
      <c r="GX39" s="107"/>
      <c r="GY39" s="108"/>
      <c r="GZ39" s="87"/>
      <c r="HA39" s="107"/>
      <c r="HB39" s="108"/>
      <c r="HC39" s="87"/>
      <c r="HD39" s="107"/>
      <c r="HE39" s="108"/>
      <c r="HF39" s="87"/>
      <c r="HG39" s="107"/>
      <c r="HH39" s="108"/>
      <c r="HI39" s="87"/>
      <c r="HJ39" s="107"/>
      <c r="HK39" s="108"/>
      <c r="HM39" s="109">
        <v>1811</v>
      </c>
      <c r="HN39" s="89" t="s">
        <v>371</v>
      </c>
      <c r="HO39" s="90"/>
      <c r="HP39" s="110">
        <f>CZ$101</f>
        <v>0</v>
      </c>
      <c r="HQ39" s="111">
        <f>DA$101</f>
        <v>0</v>
      </c>
      <c r="HR39" s="93" t="s">
        <v>754</v>
      </c>
      <c r="HS39" s="94">
        <f t="shared" si="0"/>
        <v>0</v>
      </c>
      <c r="HU39" s="95" t="s">
        <v>831</v>
      </c>
      <c r="HV39" s="96"/>
      <c r="HW39" s="97">
        <v>60</v>
      </c>
      <c r="HX39" s="119">
        <f>SUM(HX36:HX38)</f>
        <v>0</v>
      </c>
      <c r="HY39" s="113">
        <f>SUM(HY36:HY38)</f>
        <v>0</v>
      </c>
      <c r="HZ39" s="100" t="s">
        <v>832</v>
      </c>
      <c r="IA39" s="96"/>
      <c r="IB39" s="97">
        <v>119</v>
      </c>
      <c r="IC39" s="112"/>
      <c r="ID39" s="114">
        <f>HS58</f>
        <v>0</v>
      </c>
      <c r="IF39" s="31" t="s">
        <v>3</v>
      </c>
      <c r="IG39" s="27" t="str">
        <f>HV2</f>
        <v>XIN SHENG</v>
      </c>
      <c r="IH39" s="32" t="str">
        <f>YEAR(J2)&amp;"年度"</f>
        <v>2025年度</v>
      </c>
      <c r="IK39" s="30" t="s">
        <v>732</v>
      </c>
    </row>
    <row r="40" ht="14.25" customHeight="1" spans="1:246">
      <c r="A40" s="82">
        <v>1901</v>
      </c>
      <c r="B40" s="83" t="s">
        <v>191</v>
      </c>
      <c r="C40" s="84"/>
      <c r="D40" s="84"/>
      <c r="E40" s="107"/>
      <c r="F40" s="108"/>
      <c r="G40" s="87"/>
      <c r="H40" s="107"/>
      <c r="I40" s="108"/>
      <c r="J40" s="87"/>
      <c r="K40" s="107"/>
      <c r="L40" s="108"/>
      <c r="M40" s="87"/>
      <c r="N40" s="107"/>
      <c r="O40" s="108"/>
      <c r="P40" s="87"/>
      <c r="Q40" s="107"/>
      <c r="R40" s="108"/>
      <c r="S40" s="87"/>
      <c r="T40" s="107"/>
      <c r="U40" s="108"/>
      <c r="V40" s="87"/>
      <c r="W40" s="107"/>
      <c r="X40" s="108"/>
      <c r="Y40" s="87"/>
      <c r="Z40" s="107"/>
      <c r="AA40" s="108"/>
      <c r="AB40" s="87"/>
      <c r="AC40" s="107"/>
      <c r="AD40" s="108"/>
      <c r="AE40" s="87"/>
      <c r="AF40" s="107"/>
      <c r="AG40" s="108"/>
      <c r="AH40" s="87"/>
      <c r="AI40" s="107"/>
      <c r="AJ40" s="108"/>
      <c r="AK40" s="87"/>
      <c r="AL40" s="107"/>
      <c r="AM40" s="108"/>
      <c r="AN40" s="87"/>
      <c r="AO40" s="107"/>
      <c r="AP40" s="108"/>
      <c r="AQ40" s="87"/>
      <c r="AR40" s="107"/>
      <c r="AS40" s="108"/>
      <c r="AT40" s="87"/>
      <c r="AU40" s="107"/>
      <c r="AV40" s="108"/>
      <c r="AW40" s="87"/>
      <c r="AX40" s="107"/>
      <c r="AY40" s="108"/>
      <c r="AZ40" s="87"/>
      <c r="BA40" s="107"/>
      <c r="BB40" s="108"/>
      <c r="BC40" s="87"/>
      <c r="BD40" s="107"/>
      <c r="BE40" s="108"/>
      <c r="BF40" s="87"/>
      <c r="BG40" s="107"/>
      <c r="BH40" s="108"/>
      <c r="BI40" s="87"/>
      <c r="BJ40" s="107"/>
      <c r="BK40" s="108"/>
      <c r="BL40" s="87"/>
      <c r="BM40" s="107"/>
      <c r="BN40" s="108"/>
      <c r="BO40" s="87"/>
      <c r="BP40" s="107"/>
      <c r="BQ40" s="108"/>
      <c r="BR40" s="87"/>
      <c r="BS40" s="107"/>
      <c r="BT40" s="108"/>
      <c r="BU40" s="87"/>
      <c r="BV40" s="107"/>
      <c r="BW40" s="108"/>
      <c r="BX40" s="87"/>
      <c r="BY40" s="107"/>
      <c r="BZ40" s="108"/>
      <c r="CA40" s="87"/>
      <c r="CB40" s="107"/>
      <c r="CC40" s="108"/>
      <c r="CD40" s="87"/>
      <c r="CE40" s="107"/>
      <c r="CF40" s="108"/>
      <c r="CG40" s="87"/>
      <c r="CH40" s="107"/>
      <c r="CI40" s="108"/>
      <c r="CJ40" s="87"/>
      <c r="CK40" s="107"/>
      <c r="CL40" s="108"/>
      <c r="CM40" s="87"/>
      <c r="CN40" s="107"/>
      <c r="CO40" s="108"/>
      <c r="CP40" s="87"/>
      <c r="CQ40" s="107"/>
      <c r="CR40" s="108"/>
      <c r="CS40" s="87"/>
      <c r="CT40" s="107"/>
      <c r="CU40" s="108"/>
      <c r="CV40" s="87"/>
      <c r="CW40" s="107"/>
      <c r="CX40" s="108"/>
      <c r="CY40" s="87"/>
      <c r="CZ40" s="107"/>
      <c r="DA40" s="108"/>
      <c r="DB40" s="87"/>
      <c r="DC40" s="107"/>
      <c r="DD40" s="108"/>
      <c r="DE40" s="87"/>
      <c r="DF40" s="107"/>
      <c r="DG40" s="108"/>
      <c r="DH40" s="87"/>
      <c r="DI40" s="107"/>
      <c r="DJ40" s="108"/>
      <c r="DK40" s="87"/>
      <c r="DL40" s="107"/>
      <c r="DM40" s="108"/>
      <c r="DN40" s="87"/>
      <c r="DO40" s="107"/>
      <c r="DP40" s="108"/>
      <c r="DQ40" s="87"/>
      <c r="DR40" s="107"/>
      <c r="DS40" s="108"/>
      <c r="DT40" s="87"/>
      <c r="DU40" s="107"/>
      <c r="DV40" s="108"/>
      <c r="DW40" s="87"/>
      <c r="DX40" s="107"/>
      <c r="DY40" s="108"/>
      <c r="DZ40" s="87"/>
      <c r="EA40" s="107"/>
      <c r="EB40" s="108"/>
      <c r="EC40" s="87"/>
      <c r="ED40" s="107"/>
      <c r="EE40" s="108"/>
      <c r="EF40" s="87"/>
      <c r="EG40" s="107"/>
      <c r="EH40" s="108"/>
      <c r="EI40" s="87"/>
      <c r="EJ40" s="107"/>
      <c r="EK40" s="108"/>
      <c r="EL40" s="87"/>
      <c r="EM40" s="107"/>
      <c r="EN40" s="108"/>
      <c r="EO40" s="87"/>
      <c r="EP40" s="107"/>
      <c r="EQ40" s="108"/>
      <c r="ER40" s="87"/>
      <c r="ES40" s="107"/>
      <c r="ET40" s="108"/>
      <c r="EU40" s="87"/>
      <c r="EV40" s="107"/>
      <c r="EW40" s="108"/>
      <c r="EX40" s="87"/>
      <c r="EY40" s="107"/>
      <c r="EZ40" s="108"/>
      <c r="FA40" s="87"/>
      <c r="FB40" s="107"/>
      <c r="FC40" s="108"/>
      <c r="FD40" s="87"/>
      <c r="FE40" s="107"/>
      <c r="FF40" s="108"/>
      <c r="FG40" s="87"/>
      <c r="FH40" s="107"/>
      <c r="FI40" s="108"/>
      <c r="FJ40" s="87"/>
      <c r="FK40" s="107"/>
      <c r="FL40" s="108"/>
      <c r="FM40" s="87"/>
      <c r="FN40" s="107"/>
      <c r="FO40" s="108"/>
      <c r="FP40" s="87"/>
      <c r="FQ40" s="107"/>
      <c r="FR40" s="108"/>
      <c r="FS40" s="87"/>
      <c r="FT40" s="107"/>
      <c r="FU40" s="108"/>
      <c r="FV40" s="87"/>
      <c r="FW40" s="107"/>
      <c r="FX40" s="108"/>
      <c r="FY40" s="87"/>
      <c r="FZ40" s="107"/>
      <c r="GA40" s="108"/>
      <c r="GB40" s="87"/>
      <c r="GC40" s="107"/>
      <c r="GD40" s="108"/>
      <c r="GE40" s="87"/>
      <c r="GF40" s="107"/>
      <c r="GG40" s="108"/>
      <c r="GH40" s="87"/>
      <c r="GI40" s="107"/>
      <c r="GJ40" s="108"/>
      <c r="GK40" s="87"/>
      <c r="GL40" s="107"/>
      <c r="GM40" s="108"/>
      <c r="GN40" s="87"/>
      <c r="GO40" s="107"/>
      <c r="GP40" s="108"/>
      <c r="GQ40" s="87"/>
      <c r="GR40" s="107"/>
      <c r="GS40" s="108"/>
      <c r="GT40" s="87"/>
      <c r="GU40" s="107"/>
      <c r="GV40" s="108"/>
      <c r="GW40" s="87"/>
      <c r="GX40" s="107"/>
      <c r="GY40" s="108"/>
      <c r="GZ40" s="87"/>
      <c r="HA40" s="107"/>
      <c r="HB40" s="108"/>
      <c r="HC40" s="87"/>
      <c r="HD40" s="107"/>
      <c r="HE40" s="108"/>
      <c r="HF40" s="87"/>
      <c r="HG40" s="107"/>
      <c r="HH40" s="108"/>
      <c r="HI40" s="87"/>
      <c r="HJ40" s="107"/>
      <c r="HK40" s="108"/>
      <c r="HM40" s="109">
        <v>1901</v>
      </c>
      <c r="HN40" s="89" t="s">
        <v>191</v>
      </c>
      <c r="HO40" s="90"/>
      <c r="HP40" s="110">
        <f>DC$101</f>
        <v>0</v>
      </c>
      <c r="HQ40" s="111">
        <f>DD$101</f>
        <v>0</v>
      </c>
      <c r="HR40" s="93" t="s">
        <v>754</v>
      </c>
      <c r="HS40" s="94">
        <f t="shared" si="0"/>
        <v>0</v>
      </c>
      <c r="HU40" s="95"/>
      <c r="HV40" s="96"/>
      <c r="HW40" s="97"/>
      <c r="HX40" s="112"/>
      <c r="HY40" s="117"/>
      <c r="HZ40" s="100" t="s">
        <v>833</v>
      </c>
      <c r="IA40" s="96"/>
      <c r="IB40" s="97">
        <v>120</v>
      </c>
      <c r="IC40" s="112"/>
      <c r="ID40" s="116"/>
      <c r="IF40" s="10"/>
      <c r="IG40" s="41"/>
      <c r="IH40" s="41"/>
      <c r="IK40" s="10"/>
    </row>
    <row r="41" ht="14.25" customHeight="1" spans="1:246">
      <c r="A41" s="82">
        <v>2001</v>
      </c>
      <c r="B41" s="83" t="s">
        <v>196</v>
      </c>
      <c r="C41" s="84"/>
      <c r="D41" s="84"/>
      <c r="E41" s="107"/>
      <c r="F41" s="108"/>
      <c r="G41" s="87"/>
      <c r="H41" s="107"/>
      <c r="I41" s="108"/>
      <c r="J41" s="87"/>
      <c r="K41" s="107"/>
      <c r="L41" s="108"/>
      <c r="M41" s="87"/>
      <c r="N41" s="107"/>
      <c r="O41" s="108"/>
      <c r="P41" s="87"/>
      <c r="Q41" s="107"/>
      <c r="R41" s="108"/>
      <c r="S41" s="87"/>
      <c r="T41" s="107"/>
      <c r="U41" s="108"/>
      <c r="V41" s="87"/>
      <c r="W41" s="107"/>
      <c r="X41" s="108"/>
      <c r="Y41" s="87"/>
      <c r="Z41" s="107"/>
      <c r="AA41" s="108"/>
      <c r="AB41" s="87"/>
      <c r="AC41" s="107"/>
      <c r="AD41" s="108"/>
      <c r="AE41" s="87"/>
      <c r="AF41" s="107"/>
      <c r="AG41" s="108"/>
      <c r="AH41" s="87"/>
      <c r="AI41" s="107"/>
      <c r="AJ41" s="108"/>
      <c r="AK41" s="87"/>
      <c r="AL41" s="107"/>
      <c r="AM41" s="108"/>
      <c r="AN41" s="87"/>
      <c r="AO41" s="107"/>
      <c r="AP41" s="108"/>
      <c r="AQ41" s="87"/>
      <c r="AR41" s="107"/>
      <c r="AS41" s="108"/>
      <c r="AT41" s="87"/>
      <c r="AU41" s="107"/>
      <c r="AV41" s="108"/>
      <c r="AW41" s="87"/>
      <c r="AX41" s="107"/>
      <c r="AY41" s="108"/>
      <c r="AZ41" s="87"/>
      <c r="BA41" s="107"/>
      <c r="BB41" s="108"/>
      <c r="BC41" s="87"/>
      <c r="BD41" s="107"/>
      <c r="BE41" s="108"/>
      <c r="BF41" s="87"/>
      <c r="BG41" s="107"/>
      <c r="BH41" s="108"/>
      <c r="BI41" s="87"/>
      <c r="BJ41" s="107"/>
      <c r="BK41" s="108"/>
      <c r="BL41" s="87"/>
      <c r="BM41" s="107"/>
      <c r="BN41" s="108"/>
      <c r="BO41" s="87"/>
      <c r="BP41" s="107"/>
      <c r="BQ41" s="108"/>
      <c r="BR41" s="87"/>
      <c r="BS41" s="107"/>
      <c r="BT41" s="108"/>
      <c r="BU41" s="87"/>
      <c r="BV41" s="107"/>
      <c r="BW41" s="108"/>
      <c r="BX41" s="87"/>
      <c r="BY41" s="107"/>
      <c r="BZ41" s="108"/>
      <c r="CA41" s="87"/>
      <c r="CB41" s="107"/>
      <c r="CC41" s="108"/>
      <c r="CD41" s="87"/>
      <c r="CE41" s="107"/>
      <c r="CF41" s="108"/>
      <c r="CG41" s="87"/>
      <c r="CH41" s="107"/>
      <c r="CI41" s="108"/>
      <c r="CJ41" s="87"/>
      <c r="CK41" s="107"/>
      <c r="CL41" s="108"/>
      <c r="CM41" s="87"/>
      <c r="CN41" s="107"/>
      <c r="CO41" s="108"/>
      <c r="CP41" s="87"/>
      <c r="CQ41" s="107"/>
      <c r="CR41" s="108"/>
      <c r="CS41" s="87"/>
      <c r="CT41" s="107"/>
      <c r="CU41" s="108"/>
      <c r="CV41" s="87"/>
      <c r="CW41" s="107"/>
      <c r="CX41" s="108"/>
      <c r="CY41" s="87"/>
      <c r="CZ41" s="107"/>
      <c r="DA41" s="108"/>
      <c r="DB41" s="87"/>
      <c r="DC41" s="107"/>
      <c r="DD41" s="108"/>
      <c r="DE41" s="87"/>
      <c r="DF41" s="107"/>
      <c r="DG41" s="108"/>
      <c r="DH41" s="87"/>
      <c r="DI41" s="107"/>
      <c r="DJ41" s="108"/>
      <c r="DK41" s="87"/>
      <c r="DL41" s="107"/>
      <c r="DM41" s="108"/>
      <c r="DN41" s="87"/>
      <c r="DO41" s="107"/>
      <c r="DP41" s="108"/>
      <c r="DQ41" s="87"/>
      <c r="DR41" s="107"/>
      <c r="DS41" s="108"/>
      <c r="DT41" s="87"/>
      <c r="DU41" s="107"/>
      <c r="DV41" s="108"/>
      <c r="DW41" s="87"/>
      <c r="DX41" s="107"/>
      <c r="DY41" s="108"/>
      <c r="DZ41" s="87"/>
      <c r="EA41" s="107"/>
      <c r="EB41" s="108"/>
      <c r="EC41" s="87"/>
      <c r="ED41" s="107"/>
      <c r="EE41" s="108"/>
      <c r="EF41" s="87"/>
      <c r="EG41" s="107"/>
      <c r="EH41" s="108"/>
      <c r="EI41" s="87"/>
      <c r="EJ41" s="107"/>
      <c r="EK41" s="108"/>
      <c r="EL41" s="87"/>
      <c r="EM41" s="107"/>
      <c r="EN41" s="108"/>
      <c r="EO41" s="87"/>
      <c r="EP41" s="107"/>
      <c r="EQ41" s="108"/>
      <c r="ER41" s="87"/>
      <c r="ES41" s="107"/>
      <c r="ET41" s="108"/>
      <c r="EU41" s="87"/>
      <c r="EV41" s="107"/>
      <c r="EW41" s="108"/>
      <c r="EX41" s="87"/>
      <c r="EY41" s="107"/>
      <c r="EZ41" s="108"/>
      <c r="FA41" s="87"/>
      <c r="FB41" s="107"/>
      <c r="FC41" s="108"/>
      <c r="FD41" s="87"/>
      <c r="FE41" s="107"/>
      <c r="FF41" s="108"/>
      <c r="FG41" s="87"/>
      <c r="FH41" s="107"/>
      <c r="FI41" s="108"/>
      <c r="FJ41" s="87"/>
      <c r="FK41" s="107"/>
      <c r="FL41" s="108"/>
      <c r="FM41" s="87"/>
      <c r="FN41" s="107"/>
      <c r="FO41" s="108"/>
      <c r="FP41" s="87"/>
      <c r="FQ41" s="107"/>
      <c r="FR41" s="108"/>
      <c r="FS41" s="87"/>
      <c r="FT41" s="107"/>
      <c r="FU41" s="108"/>
      <c r="FV41" s="87"/>
      <c r="FW41" s="107"/>
      <c r="FX41" s="108"/>
      <c r="FY41" s="87"/>
      <c r="FZ41" s="107"/>
      <c r="GA41" s="108"/>
      <c r="GB41" s="87"/>
      <c r="GC41" s="107"/>
      <c r="GD41" s="108"/>
      <c r="GE41" s="87"/>
      <c r="GF41" s="107"/>
      <c r="GG41" s="108"/>
      <c r="GH41" s="87"/>
      <c r="GI41" s="107"/>
      <c r="GJ41" s="108"/>
      <c r="GK41" s="87"/>
      <c r="GL41" s="107"/>
      <c r="GM41" s="108"/>
      <c r="GN41" s="87"/>
      <c r="GO41" s="107"/>
      <c r="GP41" s="108"/>
      <c r="GQ41" s="87"/>
      <c r="GR41" s="107"/>
      <c r="GS41" s="108"/>
      <c r="GT41" s="87"/>
      <c r="GU41" s="107"/>
      <c r="GV41" s="108"/>
      <c r="GW41" s="87"/>
      <c r="GX41" s="107"/>
      <c r="GY41" s="108"/>
      <c r="GZ41" s="87"/>
      <c r="HA41" s="107"/>
      <c r="HB41" s="108"/>
      <c r="HC41" s="87"/>
      <c r="HD41" s="107"/>
      <c r="HE41" s="108"/>
      <c r="HF41" s="87"/>
      <c r="HG41" s="107"/>
      <c r="HH41" s="108"/>
      <c r="HI41" s="87"/>
      <c r="HJ41" s="107"/>
      <c r="HK41" s="108"/>
      <c r="HM41" s="109">
        <v>2001</v>
      </c>
      <c r="HN41" s="89" t="s">
        <v>196</v>
      </c>
      <c r="HO41" s="90">
        <v>5000</v>
      </c>
      <c r="HP41" s="110">
        <f>DF$101</f>
        <v>8000</v>
      </c>
      <c r="HQ41" s="111">
        <f>DG$101</f>
        <v>10000</v>
      </c>
      <c r="HR41" s="93" t="s">
        <v>755</v>
      </c>
      <c r="HS41" s="94">
        <f t="shared" si="0"/>
        <v>7000</v>
      </c>
      <c r="HU41" s="95" t="s">
        <v>834</v>
      </c>
      <c r="HV41" s="96"/>
      <c r="HW41" s="97"/>
      <c r="HX41" s="98" t="s">
        <v>767</v>
      </c>
      <c r="HY41" s="99" t="s">
        <v>767</v>
      </c>
      <c r="HZ41" s="100" t="s">
        <v>835</v>
      </c>
      <c r="IA41" s="96"/>
      <c r="IB41" s="97">
        <v>121</v>
      </c>
      <c r="IC41" s="112"/>
      <c r="ID41" s="114">
        <f>HS60+IK22</f>
        <v>0</v>
      </c>
      <c r="IF41" s="140" t="s">
        <v>849</v>
      </c>
      <c r="IG41" s="128"/>
      <c r="IH41" s="49"/>
      <c r="II41" s="141" t="s">
        <v>762</v>
      </c>
      <c r="IJ41" s="142" t="s">
        <v>851</v>
      </c>
      <c r="IK41" s="143" t="s">
        <v>882</v>
      </c>
    </row>
    <row r="42" ht="14.25" customHeight="1" spans="1:246">
      <c r="A42" s="82">
        <v>2201</v>
      </c>
      <c r="B42" s="83" t="s">
        <v>199</v>
      </c>
      <c r="C42" s="84"/>
      <c r="D42" s="84"/>
      <c r="E42" s="107"/>
      <c r="F42" s="108"/>
      <c r="G42" s="87"/>
      <c r="H42" s="107"/>
      <c r="I42" s="108"/>
      <c r="J42" s="87"/>
      <c r="K42" s="107"/>
      <c r="L42" s="108"/>
      <c r="M42" s="87"/>
      <c r="N42" s="107"/>
      <c r="O42" s="108"/>
      <c r="P42" s="87"/>
      <c r="Q42" s="107"/>
      <c r="R42" s="108"/>
      <c r="S42" s="87"/>
      <c r="T42" s="107"/>
      <c r="U42" s="108"/>
      <c r="V42" s="87"/>
      <c r="W42" s="107"/>
      <c r="X42" s="108"/>
      <c r="Y42" s="87"/>
      <c r="Z42" s="107"/>
      <c r="AA42" s="108"/>
      <c r="AB42" s="87"/>
      <c r="AC42" s="107"/>
      <c r="AD42" s="108"/>
      <c r="AE42" s="87"/>
      <c r="AF42" s="107"/>
      <c r="AG42" s="108"/>
      <c r="AH42" s="87"/>
      <c r="AI42" s="107"/>
      <c r="AJ42" s="108"/>
      <c r="AK42" s="87"/>
      <c r="AL42" s="107"/>
      <c r="AM42" s="108"/>
      <c r="AN42" s="87"/>
      <c r="AO42" s="107"/>
      <c r="AP42" s="108"/>
      <c r="AQ42" s="87"/>
      <c r="AR42" s="107"/>
      <c r="AS42" s="108"/>
      <c r="AT42" s="87"/>
      <c r="AU42" s="107"/>
      <c r="AV42" s="108"/>
      <c r="AW42" s="87"/>
      <c r="AX42" s="107"/>
      <c r="AY42" s="108"/>
      <c r="AZ42" s="87"/>
      <c r="BA42" s="107"/>
      <c r="BB42" s="108"/>
      <c r="BC42" s="87"/>
      <c r="BD42" s="107"/>
      <c r="BE42" s="108"/>
      <c r="BF42" s="87"/>
      <c r="BG42" s="107"/>
      <c r="BH42" s="108"/>
      <c r="BI42" s="87"/>
      <c r="BJ42" s="107"/>
      <c r="BK42" s="108"/>
      <c r="BL42" s="87"/>
      <c r="BM42" s="107"/>
      <c r="BN42" s="108"/>
      <c r="BO42" s="87"/>
      <c r="BP42" s="107"/>
      <c r="BQ42" s="108"/>
      <c r="BR42" s="87"/>
      <c r="BS42" s="107"/>
      <c r="BT42" s="108"/>
      <c r="BU42" s="87"/>
      <c r="BV42" s="107"/>
      <c r="BW42" s="108"/>
      <c r="BX42" s="87"/>
      <c r="BY42" s="107"/>
      <c r="BZ42" s="108"/>
      <c r="CA42" s="87"/>
      <c r="CB42" s="107"/>
      <c r="CC42" s="108"/>
      <c r="CD42" s="87"/>
      <c r="CE42" s="107"/>
      <c r="CF42" s="108"/>
      <c r="CG42" s="87"/>
      <c r="CH42" s="107"/>
      <c r="CI42" s="108"/>
      <c r="CJ42" s="87"/>
      <c r="CK42" s="107"/>
      <c r="CL42" s="108"/>
      <c r="CM42" s="87"/>
      <c r="CN42" s="107"/>
      <c r="CO42" s="108"/>
      <c r="CP42" s="87"/>
      <c r="CQ42" s="107"/>
      <c r="CR42" s="108"/>
      <c r="CS42" s="87"/>
      <c r="CT42" s="107"/>
      <c r="CU42" s="108"/>
      <c r="CV42" s="87"/>
      <c r="CW42" s="107"/>
      <c r="CX42" s="108"/>
      <c r="CY42" s="87"/>
      <c r="CZ42" s="107"/>
      <c r="DA42" s="108"/>
      <c r="DB42" s="87"/>
      <c r="DC42" s="107"/>
      <c r="DD42" s="108"/>
      <c r="DE42" s="87"/>
      <c r="DF42" s="107"/>
      <c r="DG42" s="108"/>
      <c r="DH42" s="87"/>
      <c r="DI42" s="107"/>
      <c r="DJ42" s="108"/>
      <c r="DK42" s="87"/>
      <c r="DL42" s="107"/>
      <c r="DM42" s="108"/>
      <c r="DN42" s="87"/>
      <c r="DO42" s="107"/>
      <c r="DP42" s="108"/>
      <c r="DQ42" s="87"/>
      <c r="DR42" s="107"/>
      <c r="DS42" s="108"/>
      <c r="DT42" s="87"/>
      <c r="DU42" s="107"/>
      <c r="DV42" s="108"/>
      <c r="DW42" s="87"/>
      <c r="DX42" s="107"/>
      <c r="DY42" s="108"/>
      <c r="DZ42" s="87"/>
      <c r="EA42" s="107"/>
      <c r="EB42" s="108"/>
      <c r="EC42" s="87"/>
      <c r="ED42" s="107"/>
      <c r="EE42" s="108"/>
      <c r="EF42" s="87"/>
      <c r="EG42" s="107"/>
      <c r="EH42" s="108"/>
      <c r="EI42" s="87"/>
      <c r="EJ42" s="107"/>
      <c r="EK42" s="108"/>
      <c r="EL42" s="87"/>
      <c r="EM42" s="107"/>
      <c r="EN42" s="108"/>
      <c r="EO42" s="87"/>
      <c r="EP42" s="107"/>
      <c r="EQ42" s="108"/>
      <c r="ER42" s="87"/>
      <c r="ES42" s="107"/>
      <c r="ET42" s="108"/>
      <c r="EU42" s="87"/>
      <c r="EV42" s="107"/>
      <c r="EW42" s="108"/>
      <c r="EX42" s="87"/>
      <c r="EY42" s="107"/>
      <c r="EZ42" s="108"/>
      <c r="FA42" s="87"/>
      <c r="FB42" s="107"/>
      <c r="FC42" s="108"/>
      <c r="FD42" s="87"/>
      <c r="FE42" s="107"/>
      <c r="FF42" s="108"/>
      <c r="FG42" s="87"/>
      <c r="FH42" s="107"/>
      <c r="FI42" s="108"/>
      <c r="FJ42" s="87"/>
      <c r="FK42" s="107"/>
      <c r="FL42" s="108"/>
      <c r="FM42" s="87"/>
      <c r="FN42" s="107"/>
      <c r="FO42" s="108"/>
      <c r="FP42" s="87"/>
      <c r="FQ42" s="107"/>
      <c r="FR42" s="108"/>
      <c r="FS42" s="87"/>
      <c r="FT42" s="107"/>
      <c r="FU42" s="108"/>
      <c r="FV42" s="87"/>
      <c r="FW42" s="107"/>
      <c r="FX42" s="108"/>
      <c r="FY42" s="87"/>
      <c r="FZ42" s="107"/>
      <c r="GA42" s="108"/>
      <c r="GB42" s="87"/>
      <c r="GC42" s="107"/>
      <c r="GD42" s="108"/>
      <c r="GE42" s="87"/>
      <c r="GF42" s="107"/>
      <c r="GG42" s="108"/>
      <c r="GH42" s="87"/>
      <c r="GI42" s="107"/>
      <c r="GJ42" s="108"/>
      <c r="GK42" s="87"/>
      <c r="GL42" s="107"/>
      <c r="GM42" s="108"/>
      <c r="GN42" s="87"/>
      <c r="GO42" s="107"/>
      <c r="GP42" s="108"/>
      <c r="GQ42" s="87"/>
      <c r="GR42" s="107"/>
      <c r="GS42" s="108"/>
      <c r="GT42" s="87"/>
      <c r="GU42" s="107"/>
      <c r="GV42" s="108"/>
      <c r="GW42" s="87"/>
      <c r="GX42" s="107"/>
      <c r="GY42" s="108"/>
      <c r="GZ42" s="87"/>
      <c r="HA42" s="107"/>
      <c r="HB42" s="108"/>
      <c r="HC42" s="87"/>
      <c r="HD42" s="107"/>
      <c r="HE42" s="108"/>
      <c r="HF42" s="87"/>
      <c r="HG42" s="107"/>
      <c r="HH42" s="108"/>
      <c r="HI42" s="87"/>
      <c r="HJ42" s="107"/>
      <c r="HK42" s="108"/>
      <c r="HM42" s="109">
        <v>2201</v>
      </c>
      <c r="HN42" s="89" t="s">
        <v>199</v>
      </c>
      <c r="HO42" s="90"/>
      <c r="HP42" s="110">
        <f>DI$101</f>
        <v>0</v>
      </c>
      <c r="HQ42" s="111">
        <f>DJ$101</f>
        <v>0</v>
      </c>
      <c r="HR42" s="93" t="s">
        <v>755</v>
      </c>
      <c r="HS42" s="94">
        <f t="shared" si="0"/>
        <v>0</v>
      </c>
      <c r="HU42" s="95" t="s">
        <v>836</v>
      </c>
      <c r="HV42" s="96"/>
      <c r="HW42" s="97">
        <v>61</v>
      </c>
      <c r="HX42" s="112"/>
      <c r="HY42" s="113">
        <f>HS39</f>
        <v>0</v>
      </c>
      <c r="HZ42" s="100" t="s">
        <v>837</v>
      </c>
      <c r="IA42" s="96"/>
      <c r="IB42" s="97">
        <v>122</v>
      </c>
      <c r="IC42" s="119">
        <f>SUM(IC41,IC39,IC38,IC37)</f>
        <v>0</v>
      </c>
      <c r="ID42" s="114">
        <f>SUM(ID41,ID39,ID38,ID37)</f>
        <v>65000</v>
      </c>
      <c r="IF42" s="144" t="s">
        <v>891</v>
      </c>
      <c r="IG42" s="103"/>
      <c r="IH42" s="96"/>
      <c r="II42" s="145">
        <v>1</v>
      </c>
      <c r="IJ42" s="146"/>
      <c r="IK42" s="147"/>
    </row>
    <row r="43" ht="14.25" customHeight="1" spans="1:246">
      <c r="A43" s="82">
        <v>2202</v>
      </c>
      <c r="B43" s="83" t="s">
        <v>202</v>
      </c>
      <c r="C43" s="148"/>
      <c r="D43" s="148"/>
      <c r="E43" s="107"/>
      <c r="F43" s="108"/>
      <c r="G43" s="87"/>
      <c r="H43" s="107"/>
      <c r="I43" s="108"/>
      <c r="J43" s="87"/>
      <c r="K43" s="107"/>
      <c r="L43" s="108"/>
      <c r="M43" s="87"/>
      <c r="N43" s="107"/>
      <c r="O43" s="108"/>
      <c r="P43" s="87"/>
      <c r="Q43" s="107"/>
      <c r="R43" s="108"/>
      <c r="S43" s="87"/>
      <c r="T43" s="107"/>
      <c r="U43" s="108"/>
      <c r="V43" s="87"/>
      <c r="W43" s="107"/>
      <c r="X43" s="108"/>
      <c r="Y43" s="87"/>
      <c r="Z43" s="107"/>
      <c r="AA43" s="108"/>
      <c r="AB43" s="87"/>
      <c r="AC43" s="107"/>
      <c r="AD43" s="108"/>
      <c r="AE43" s="87"/>
      <c r="AF43" s="107"/>
      <c r="AG43" s="108"/>
      <c r="AH43" s="87"/>
      <c r="AI43" s="107"/>
      <c r="AJ43" s="108"/>
      <c r="AK43" s="87"/>
      <c r="AL43" s="107"/>
      <c r="AM43" s="108"/>
      <c r="AN43" s="87"/>
      <c r="AO43" s="107"/>
      <c r="AP43" s="108"/>
      <c r="AQ43" s="87"/>
      <c r="AR43" s="107"/>
      <c r="AS43" s="108"/>
      <c r="AT43" s="87"/>
      <c r="AU43" s="107"/>
      <c r="AV43" s="108"/>
      <c r="AW43" s="87"/>
      <c r="AX43" s="107"/>
      <c r="AY43" s="108"/>
      <c r="AZ43" s="87"/>
      <c r="BA43" s="107"/>
      <c r="BB43" s="108"/>
      <c r="BC43" s="87"/>
      <c r="BD43" s="107"/>
      <c r="BE43" s="108"/>
      <c r="BF43" s="87"/>
      <c r="BG43" s="107"/>
      <c r="BH43" s="108"/>
      <c r="BI43" s="87"/>
      <c r="BJ43" s="107"/>
      <c r="BK43" s="108"/>
      <c r="BL43" s="87"/>
      <c r="BM43" s="107"/>
      <c r="BN43" s="108"/>
      <c r="BO43" s="87"/>
      <c r="BP43" s="107"/>
      <c r="BQ43" s="108"/>
      <c r="BR43" s="87"/>
      <c r="BS43" s="107"/>
      <c r="BT43" s="108"/>
      <c r="BU43" s="87"/>
      <c r="BV43" s="107"/>
      <c r="BW43" s="108"/>
      <c r="BX43" s="87"/>
      <c r="BY43" s="107"/>
      <c r="BZ43" s="108"/>
      <c r="CA43" s="87"/>
      <c r="CB43" s="107"/>
      <c r="CC43" s="108"/>
      <c r="CD43" s="87"/>
      <c r="CE43" s="107"/>
      <c r="CF43" s="108"/>
      <c r="CG43" s="87"/>
      <c r="CH43" s="107"/>
      <c r="CI43" s="108"/>
      <c r="CJ43" s="87"/>
      <c r="CK43" s="107"/>
      <c r="CL43" s="108"/>
      <c r="CM43" s="87"/>
      <c r="CN43" s="107"/>
      <c r="CO43" s="108"/>
      <c r="CP43" s="87"/>
      <c r="CQ43" s="107"/>
      <c r="CR43" s="108"/>
      <c r="CS43" s="87"/>
      <c r="CT43" s="107"/>
      <c r="CU43" s="108"/>
      <c r="CV43" s="87"/>
      <c r="CW43" s="107"/>
      <c r="CX43" s="108"/>
      <c r="CY43" s="87"/>
      <c r="CZ43" s="107"/>
      <c r="DA43" s="108"/>
      <c r="DB43" s="87"/>
      <c r="DC43" s="107"/>
      <c r="DD43" s="108"/>
      <c r="DE43" s="87"/>
      <c r="DF43" s="107"/>
      <c r="DG43" s="108"/>
      <c r="DH43" s="87"/>
      <c r="DI43" s="107"/>
      <c r="DJ43" s="108"/>
      <c r="DK43" s="87"/>
      <c r="DL43" s="107"/>
      <c r="DM43" s="108"/>
      <c r="DN43" s="87"/>
      <c r="DO43" s="107"/>
      <c r="DP43" s="108"/>
      <c r="DQ43" s="87"/>
      <c r="DR43" s="107"/>
      <c r="DS43" s="108"/>
      <c r="DT43" s="87"/>
      <c r="DU43" s="107"/>
      <c r="DV43" s="108"/>
      <c r="DW43" s="87"/>
      <c r="DX43" s="107"/>
      <c r="DY43" s="108"/>
      <c r="DZ43" s="87"/>
      <c r="EA43" s="107"/>
      <c r="EB43" s="108"/>
      <c r="EC43" s="87"/>
      <c r="ED43" s="107"/>
      <c r="EE43" s="108"/>
      <c r="EF43" s="87"/>
      <c r="EG43" s="107"/>
      <c r="EH43" s="108"/>
      <c r="EI43" s="87"/>
      <c r="EJ43" s="107"/>
      <c r="EK43" s="108"/>
      <c r="EL43" s="87"/>
      <c r="EM43" s="107"/>
      <c r="EN43" s="108"/>
      <c r="EO43" s="87"/>
      <c r="EP43" s="107"/>
      <c r="EQ43" s="108"/>
      <c r="ER43" s="87"/>
      <c r="ES43" s="107"/>
      <c r="ET43" s="108"/>
      <c r="EU43" s="87"/>
      <c r="EV43" s="107"/>
      <c r="EW43" s="108"/>
      <c r="EX43" s="87"/>
      <c r="EY43" s="107"/>
      <c r="EZ43" s="108"/>
      <c r="FA43" s="87"/>
      <c r="FB43" s="107"/>
      <c r="FC43" s="108"/>
      <c r="FD43" s="87"/>
      <c r="FE43" s="107"/>
      <c r="FF43" s="108"/>
      <c r="FG43" s="87"/>
      <c r="FH43" s="107"/>
      <c r="FI43" s="108"/>
      <c r="FJ43" s="87"/>
      <c r="FK43" s="107"/>
      <c r="FL43" s="108"/>
      <c r="FM43" s="87"/>
      <c r="FN43" s="107"/>
      <c r="FO43" s="108"/>
      <c r="FP43" s="87"/>
      <c r="FQ43" s="107"/>
      <c r="FR43" s="108"/>
      <c r="FS43" s="87"/>
      <c r="FT43" s="107"/>
      <c r="FU43" s="108"/>
      <c r="FV43" s="87"/>
      <c r="FW43" s="107"/>
      <c r="FX43" s="108"/>
      <c r="FY43" s="87"/>
      <c r="FZ43" s="107"/>
      <c r="GA43" s="108"/>
      <c r="GB43" s="87"/>
      <c r="GC43" s="107"/>
      <c r="GD43" s="108"/>
      <c r="GE43" s="87"/>
      <c r="GF43" s="107"/>
      <c r="GG43" s="108"/>
      <c r="GH43" s="87"/>
      <c r="GI43" s="107"/>
      <c r="GJ43" s="108"/>
      <c r="GK43" s="87"/>
      <c r="GL43" s="107"/>
      <c r="GM43" s="108"/>
      <c r="GN43" s="87"/>
      <c r="GO43" s="107"/>
      <c r="GP43" s="108"/>
      <c r="GQ43" s="87"/>
      <c r="GR43" s="107"/>
      <c r="GS43" s="108"/>
      <c r="GT43" s="87"/>
      <c r="GU43" s="107"/>
      <c r="GV43" s="108"/>
      <c r="GW43" s="87"/>
      <c r="GX43" s="107"/>
      <c r="GY43" s="108"/>
      <c r="GZ43" s="87"/>
      <c r="HA43" s="107"/>
      <c r="HB43" s="108"/>
      <c r="HC43" s="87"/>
      <c r="HD43" s="107"/>
      <c r="HE43" s="108"/>
      <c r="HF43" s="87"/>
      <c r="HG43" s="107"/>
      <c r="HH43" s="108"/>
      <c r="HI43" s="87"/>
      <c r="HJ43" s="107"/>
      <c r="HK43" s="108"/>
      <c r="HM43" s="109">
        <v>2202</v>
      </c>
      <c r="HN43" s="89" t="s">
        <v>202</v>
      </c>
      <c r="HO43" s="90">
        <v>5000</v>
      </c>
      <c r="HP43" s="110">
        <f>DL$101</f>
        <v>2000</v>
      </c>
      <c r="HQ43" s="111">
        <f>DM$101</f>
        <v>0</v>
      </c>
      <c r="HR43" s="93" t="s">
        <v>755</v>
      </c>
      <c r="HS43" s="94">
        <f t="shared" si="0"/>
        <v>3000</v>
      </c>
      <c r="HU43" s="149" t="s">
        <v>838</v>
      </c>
      <c r="HV43" s="135"/>
      <c r="HW43" s="150">
        <v>67</v>
      </c>
      <c r="HX43" s="151">
        <f>SUM(HX20,HX24,HX34,HX39,HX42)</f>
        <v>0</v>
      </c>
      <c r="HY43" s="152">
        <f>SUM(HY20,HY24,HY34,HY39,HY42)</f>
        <v>80000</v>
      </c>
      <c r="HZ43" s="153" t="s">
        <v>1024</v>
      </c>
      <c r="IA43" s="135"/>
      <c r="IB43" s="150">
        <v>135</v>
      </c>
      <c r="IC43" s="151">
        <f>SUM(IC32,IC42)</f>
        <v>0</v>
      </c>
      <c r="ID43" s="154">
        <f>SUM(ID32,ID42)</f>
        <v>80000</v>
      </c>
      <c r="IF43" s="155" t="s">
        <v>892</v>
      </c>
      <c r="IG43" s="156"/>
      <c r="IH43" s="157"/>
      <c r="II43" s="145">
        <v>2</v>
      </c>
      <c r="IJ43" s="146"/>
      <c r="IK43" s="147"/>
    </row>
    <row r="44" ht="14.25" customHeight="1" spans="1:246">
      <c r="A44" s="82">
        <v>2203</v>
      </c>
      <c r="B44" s="83" t="s">
        <v>211</v>
      </c>
      <c r="C44" s="148"/>
      <c r="D44" s="148"/>
      <c r="E44" s="107"/>
      <c r="F44" s="108"/>
      <c r="G44" s="87"/>
      <c r="H44" s="107"/>
      <c r="I44" s="108"/>
      <c r="J44" s="87"/>
      <c r="K44" s="107"/>
      <c r="L44" s="108"/>
      <c r="M44" s="87"/>
      <c r="N44" s="107"/>
      <c r="O44" s="108"/>
      <c r="P44" s="87"/>
      <c r="Q44" s="107"/>
      <c r="R44" s="108"/>
      <c r="S44" s="87"/>
      <c r="T44" s="107"/>
      <c r="U44" s="108"/>
      <c r="V44" s="87"/>
      <c r="W44" s="107"/>
      <c r="X44" s="108"/>
      <c r="Y44" s="87"/>
      <c r="Z44" s="107"/>
      <c r="AA44" s="108"/>
      <c r="AB44" s="87"/>
      <c r="AC44" s="107"/>
      <c r="AD44" s="108"/>
      <c r="AE44" s="87"/>
      <c r="AF44" s="107"/>
      <c r="AG44" s="108"/>
      <c r="AH44" s="87"/>
      <c r="AI44" s="107"/>
      <c r="AJ44" s="108"/>
      <c r="AK44" s="87"/>
      <c r="AL44" s="107"/>
      <c r="AM44" s="108"/>
      <c r="AN44" s="87"/>
      <c r="AO44" s="107"/>
      <c r="AP44" s="108"/>
      <c r="AQ44" s="87"/>
      <c r="AR44" s="107"/>
      <c r="AS44" s="108"/>
      <c r="AT44" s="87"/>
      <c r="AU44" s="107"/>
      <c r="AV44" s="108"/>
      <c r="AW44" s="87"/>
      <c r="AX44" s="107"/>
      <c r="AY44" s="108"/>
      <c r="AZ44" s="87"/>
      <c r="BA44" s="107"/>
      <c r="BB44" s="108"/>
      <c r="BC44" s="87"/>
      <c r="BD44" s="107"/>
      <c r="BE44" s="108"/>
      <c r="BF44" s="87"/>
      <c r="BG44" s="107"/>
      <c r="BH44" s="108"/>
      <c r="BI44" s="87"/>
      <c r="BJ44" s="107"/>
      <c r="BK44" s="108"/>
      <c r="BL44" s="87"/>
      <c r="BM44" s="107"/>
      <c r="BN44" s="108"/>
      <c r="BO44" s="87"/>
      <c r="BP44" s="107"/>
      <c r="BQ44" s="108"/>
      <c r="BR44" s="87"/>
      <c r="BS44" s="107"/>
      <c r="BT44" s="108"/>
      <c r="BU44" s="87"/>
      <c r="BV44" s="107"/>
      <c r="BW44" s="108"/>
      <c r="BX44" s="87"/>
      <c r="BY44" s="107"/>
      <c r="BZ44" s="108"/>
      <c r="CA44" s="87"/>
      <c r="CB44" s="107"/>
      <c r="CC44" s="108"/>
      <c r="CD44" s="87"/>
      <c r="CE44" s="107"/>
      <c r="CF44" s="108"/>
      <c r="CG44" s="87"/>
      <c r="CH44" s="107"/>
      <c r="CI44" s="108"/>
      <c r="CJ44" s="87"/>
      <c r="CK44" s="107"/>
      <c r="CL44" s="108"/>
      <c r="CM44" s="87"/>
      <c r="CN44" s="107"/>
      <c r="CO44" s="108"/>
      <c r="CP44" s="87"/>
      <c r="CQ44" s="107"/>
      <c r="CR44" s="108"/>
      <c r="CS44" s="87"/>
      <c r="CT44" s="107"/>
      <c r="CU44" s="108"/>
      <c r="CV44" s="87"/>
      <c r="CW44" s="107"/>
      <c r="CX44" s="108"/>
      <c r="CY44" s="87"/>
      <c r="CZ44" s="107"/>
      <c r="DA44" s="108"/>
      <c r="DB44" s="87"/>
      <c r="DC44" s="107"/>
      <c r="DD44" s="108"/>
      <c r="DE44" s="87"/>
      <c r="DF44" s="107"/>
      <c r="DG44" s="108"/>
      <c r="DH44" s="87"/>
      <c r="DI44" s="107"/>
      <c r="DJ44" s="108"/>
      <c r="DK44" s="87"/>
      <c r="DL44" s="107"/>
      <c r="DM44" s="108"/>
      <c r="DN44" s="87"/>
      <c r="DO44" s="107"/>
      <c r="DP44" s="108"/>
      <c r="DQ44" s="87"/>
      <c r="DR44" s="107"/>
      <c r="DS44" s="108"/>
      <c r="DT44" s="87"/>
      <c r="DU44" s="107"/>
      <c r="DV44" s="108"/>
      <c r="DW44" s="87"/>
      <c r="DX44" s="107"/>
      <c r="DY44" s="108"/>
      <c r="DZ44" s="87"/>
      <c r="EA44" s="107"/>
      <c r="EB44" s="108"/>
      <c r="EC44" s="87"/>
      <c r="ED44" s="107"/>
      <c r="EE44" s="108"/>
      <c r="EF44" s="87"/>
      <c r="EG44" s="107"/>
      <c r="EH44" s="108"/>
      <c r="EI44" s="87"/>
      <c r="EJ44" s="107"/>
      <c r="EK44" s="108"/>
      <c r="EL44" s="87"/>
      <c r="EM44" s="107"/>
      <c r="EN44" s="108"/>
      <c r="EO44" s="87"/>
      <c r="EP44" s="107"/>
      <c r="EQ44" s="108"/>
      <c r="ER44" s="87"/>
      <c r="ES44" s="107"/>
      <c r="ET44" s="108"/>
      <c r="EU44" s="87"/>
      <c r="EV44" s="107"/>
      <c r="EW44" s="108"/>
      <c r="EX44" s="87"/>
      <c r="EY44" s="107"/>
      <c r="EZ44" s="108"/>
      <c r="FA44" s="87"/>
      <c r="FB44" s="107"/>
      <c r="FC44" s="108"/>
      <c r="FD44" s="87"/>
      <c r="FE44" s="107"/>
      <c r="FF44" s="108"/>
      <c r="FG44" s="87"/>
      <c r="FH44" s="107"/>
      <c r="FI44" s="108"/>
      <c r="FJ44" s="87"/>
      <c r="FK44" s="107"/>
      <c r="FL44" s="108"/>
      <c r="FM44" s="87"/>
      <c r="FN44" s="107"/>
      <c r="FO44" s="108"/>
      <c r="FP44" s="87"/>
      <c r="FQ44" s="107"/>
      <c r="FR44" s="108"/>
      <c r="FS44" s="87"/>
      <c r="FT44" s="107"/>
      <c r="FU44" s="108"/>
      <c r="FV44" s="87"/>
      <c r="FW44" s="107"/>
      <c r="FX44" s="108"/>
      <c r="FY44" s="87"/>
      <c r="FZ44" s="107"/>
      <c r="GA44" s="108"/>
      <c r="GB44" s="87"/>
      <c r="GC44" s="107"/>
      <c r="GD44" s="108"/>
      <c r="GE44" s="87"/>
      <c r="GF44" s="107"/>
      <c r="GG44" s="108"/>
      <c r="GH44" s="87"/>
      <c r="GI44" s="107"/>
      <c r="GJ44" s="108"/>
      <c r="GK44" s="87"/>
      <c r="GL44" s="107"/>
      <c r="GM44" s="108"/>
      <c r="GN44" s="87"/>
      <c r="GO44" s="107"/>
      <c r="GP44" s="108"/>
      <c r="GQ44" s="87"/>
      <c r="GR44" s="107"/>
      <c r="GS44" s="108"/>
      <c r="GT44" s="87"/>
      <c r="GU44" s="107"/>
      <c r="GV44" s="108"/>
      <c r="GW44" s="87"/>
      <c r="GX44" s="107"/>
      <c r="GY44" s="108"/>
      <c r="GZ44" s="87"/>
      <c r="HA44" s="107"/>
      <c r="HB44" s="108"/>
      <c r="HC44" s="87"/>
      <c r="HD44" s="107"/>
      <c r="HE44" s="108"/>
      <c r="HF44" s="87"/>
      <c r="HG44" s="107"/>
      <c r="HH44" s="108"/>
      <c r="HI44" s="87"/>
      <c r="HJ44" s="107"/>
      <c r="HK44" s="108"/>
      <c r="HM44" s="109">
        <v>2203</v>
      </c>
      <c r="HN44" s="89" t="s">
        <v>211</v>
      </c>
      <c r="HO44" s="90"/>
      <c r="HP44" s="110">
        <f>DO$101</f>
        <v>0</v>
      </c>
      <c r="HQ44" s="111">
        <f>DP$101</f>
        <v>0</v>
      </c>
      <c r="HR44" s="93" t="s">
        <v>755</v>
      </c>
      <c r="HS44" s="94">
        <f t="shared" si="0"/>
        <v>0</v>
      </c>
      <c r="HU44" s="13"/>
      <c r="HV44" s="13"/>
      <c r="HW44" s="158"/>
      <c r="HX44" s="13"/>
      <c r="HY44" s="13"/>
      <c r="HZ44" s="13"/>
      <c r="IA44" s="13"/>
      <c r="IB44" s="158"/>
      <c r="IC44" s="13"/>
      <c r="ID44" s="13"/>
      <c r="IF44" s="155" t="s">
        <v>893</v>
      </c>
      <c r="IG44" s="156"/>
      <c r="IH44" s="157"/>
      <c r="II44" s="145">
        <v>4</v>
      </c>
      <c r="IJ44" s="159"/>
      <c r="IK44" s="147"/>
    </row>
    <row r="45" ht="14.25" customHeight="1" spans="1:246">
      <c r="A45" s="82">
        <v>2211</v>
      </c>
      <c r="B45" s="83" t="s">
        <v>481</v>
      </c>
      <c r="C45" s="148"/>
      <c r="D45" s="148"/>
      <c r="E45" s="107"/>
      <c r="F45" s="108"/>
      <c r="G45" s="87"/>
      <c r="H45" s="107"/>
      <c r="I45" s="108"/>
      <c r="J45" s="87"/>
      <c r="K45" s="107"/>
      <c r="L45" s="108"/>
      <c r="M45" s="87"/>
      <c r="N45" s="107"/>
      <c r="O45" s="108"/>
      <c r="P45" s="87"/>
      <c r="Q45" s="107"/>
      <c r="R45" s="108"/>
      <c r="S45" s="87"/>
      <c r="T45" s="107"/>
      <c r="U45" s="108"/>
      <c r="V45" s="87"/>
      <c r="W45" s="107"/>
      <c r="X45" s="108"/>
      <c r="Y45" s="87"/>
      <c r="Z45" s="107"/>
      <c r="AA45" s="108"/>
      <c r="AB45" s="87"/>
      <c r="AC45" s="107"/>
      <c r="AD45" s="108"/>
      <c r="AE45" s="87"/>
      <c r="AF45" s="107"/>
      <c r="AG45" s="108"/>
      <c r="AH45" s="87"/>
      <c r="AI45" s="107"/>
      <c r="AJ45" s="108"/>
      <c r="AK45" s="87"/>
      <c r="AL45" s="107"/>
      <c r="AM45" s="108"/>
      <c r="AN45" s="87"/>
      <c r="AO45" s="107"/>
      <c r="AP45" s="108"/>
      <c r="AQ45" s="87"/>
      <c r="AR45" s="107"/>
      <c r="AS45" s="108"/>
      <c r="AT45" s="87"/>
      <c r="AU45" s="107"/>
      <c r="AV45" s="108"/>
      <c r="AW45" s="87"/>
      <c r="AX45" s="107"/>
      <c r="AY45" s="108"/>
      <c r="AZ45" s="87"/>
      <c r="BA45" s="107"/>
      <c r="BB45" s="108"/>
      <c r="BC45" s="87"/>
      <c r="BD45" s="107"/>
      <c r="BE45" s="108"/>
      <c r="BF45" s="87"/>
      <c r="BG45" s="107"/>
      <c r="BH45" s="108"/>
      <c r="BI45" s="87"/>
      <c r="BJ45" s="107"/>
      <c r="BK45" s="108"/>
      <c r="BL45" s="87"/>
      <c r="BM45" s="107"/>
      <c r="BN45" s="108"/>
      <c r="BO45" s="87"/>
      <c r="BP45" s="107"/>
      <c r="BQ45" s="108"/>
      <c r="BR45" s="87"/>
      <c r="BS45" s="107"/>
      <c r="BT45" s="108"/>
      <c r="BU45" s="87"/>
      <c r="BV45" s="107"/>
      <c r="BW45" s="108"/>
      <c r="BX45" s="87"/>
      <c r="BY45" s="107"/>
      <c r="BZ45" s="108"/>
      <c r="CA45" s="87"/>
      <c r="CB45" s="107"/>
      <c r="CC45" s="108"/>
      <c r="CD45" s="87"/>
      <c r="CE45" s="107"/>
      <c r="CF45" s="108"/>
      <c r="CG45" s="87"/>
      <c r="CH45" s="107"/>
      <c r="CI45" s="108"/>
      <c r="CJ45" s="87"/>
      <c r="CK45" s="107"/>
      <c r="CL45" s="108"/>
      <c r="CM45" s="87"/>
      <c r="CN45" s="107"/>
      <c r="CO45" s="108"/>
      <c r="CP45" s="87"/>
      <c r="CQ45" s="107"/>
      <c r="CR45" s="108"/>
      <c r="CS45" s="87"/>
      <c r="CT45" s="107"/>
      <c r="CU45" s="108"/>
      <c r="CV45" s="87"/>
      <c r="CW45" s="107"/>
      <c r="CX45" s="108"/>
      <c r="CY45" s="87"/>
      <c r="CZ45" s="107"/>
      <c r="DA45" s="108"/>
      <c r="DB45" s="87"/>
      <c r="DC45" s="107"/>
      <c r="DD45" s="108"/>
      <c r="DE45" s="87"/>
      <c r="DF45" s="107"/>
      <c r="DG45" s="108"/>
      <c r="DH45" s="87"/>
      <c r="DI45" s="107"/>
      <c r="DJ45" s="108"/>
      <c r="DK45" s="87"/>
      <c r="DL45" s="107"/>
      <c r="DM45" s="108"/>
      <c r="DN45" s="87"/>
      <c r="DO45" s="107"/>
      <c r="DP45" s="108"/>
      <c r="DQ45" s="87"/>
      <c r="DR45" s="107"/>
      <c r="DS45" s="108"/>
      <c r="DT45" s="87"/>
      <c r="DU45" s="107"/>
      <c r="DV45" s="108"/>
      <c r="DW45" s="87"/>
      <c r="DX45" s="107"/>
      <c r="DY45" s="108"/>
      <c r="DZ45" s="87"/>
      <c r="EA45" s="107"/>
      <c r="EB45" s="108"/>
      <c r="EC45" s="87"/>
      <c r="ED45" s="107"/>
      <c r="EE45" s="108"/>
      <c r="EF45" s="87"/>
      <c r="EG45" s="107"/>
      <c r="EH45" s="108"/>
      <c r="EI45" s="87"/>
      <c r="EJ45" s="107"/>
      <c r="EK45" s="108"/>
      <c r="EL45" s="87"/>
      <c r="EM45" s="107"/>
      <c r="EN45" s="108"/>
      <c r="EO45" s="87"/>
      <c r="EP45" s="107"/>
      <c r="EQ45" s="108"/>
      <c r="ER45" s="87"/>
      <c r="ES45" s="107"/>
      <c r="ET45" s="108"/>
      <c r="EU45" s="87"/>
      <c r="EV45" s="107"/>
      <c r="EW45" s="108"/>
      <c r="EX45" s="87"/>
      <c r="EY45" s="107"/>
      <c r="EZ45" s="108"/>
      <c r="FA45" s="87"/>
      <c r="FB45" s="107"/>
      <c r="FC45" s="108"/>
      <c r="FD45" s="87"/>
      <c r="FE45" s="107"/>
      <c r="FF45" s="108"/>
      <c r="FG45" s="87"/>
      <c r="FH45" s="107"/>
      <c r="FI45" s="108"/>
      <c r="FJ45" s="87"/>
      <c r="FK45" s="107"/>
      <c r="FL45" s="108"/>
      <c r="FM45" s="87"/>
      <c r="FN45" s="107"/>
      <c r="FO45" s="108"/>
      <c r="FP45" s="87"/>
      <c r="FQ45" s="107"/>
      <c r="FR45" s="108"/>
      <c r="FS45" s="87"/>
      <c r="FT45" s="107"/>
      <c r="FU45" s="108"/>
      <c r="FV45" s="87"/>
      <c r="FW45" s="107"/>
      <c r="FX45" s="108"/>
      <c r="FY45" s="87"/>
      <c r="FZ45" s="107"/>
      <c r="GA45" s="108"/>
      <c r="GB45" s="87"/>
      <c r="GC45" s="107"/>
      <c r="GD45" s="108"/>
      <c r="GE45" s="87"/>
      <c r="GF45" s="107"/>
      <c r="GG45" s="108"/>
      <c r="GH45" s="87"/>
      <c r="GI45" s="107"/>
      <c r="GJ45" s="108"/>
      <c r="GK45" s="87"/>
      <c r="GL45" s="107"/>
      <c r="GM45" s="108"/>
      <c r="GN45" s="87"/>
      <c r="GO45" s="107"/>
      <c r="GP45" s="108"/>
      <c r="GQ45" s="87"/>
      <c r="GR45" s="107"/>
      <c r="GS45" s="108"/>
      <c r="GT45" s="87"/>
      <c r="GU45" s="107"/>
      <c r="GV45" s="108"/>
      <c r="GW45" s="87"/>
      <c r="GX45" s="107"/>
      <c r="GY45" s="108"/>
      <c r="GZ45" s="87"/>
      <c r="HA45" s="107"/>
      <c r="HB45" s="108"/>
      <c r="HC45" s="87"/>
      <c r="HD45" s="107"/>
      <c r="HE45" s="108"/>
      <c r="HF45" s="87"/>
      <c r="HG45" s="107"/>
      <c r="HH45" s="108"/>
      <c r="HI45" s="87"/>
      <c r="HJ45" s="107"/>
      <c r="HK45" s="108"/>
      <c r="HM45" s="109">
        <v>2211</v>
      </c>
      <c r="HN45" s="89" t="s">
        <v>481</v>
      </c>
      <c r="HO45" s="90"/>
      <c r="HP45" s="110">
        <f>DR$101</f>
        <v>0</v>
      </c>
      <c r="HQ45" s="111">
        <f>DS$101</f>
        <v>0</v>
      </c>
      <c r="HR45" s="93" t="s">
        <v>755</v>
      </c>
      <c r="HS45" s="94">
        <f t="shared" si="0"/>
        <v>0</v>
      </c>
      <c r="HU45" s="33" t="s">
        <v>840</v>
      </c>
      <c r="HV45" s="13" t="s">
        <v>841</v>
      </c>
      <c r="HW45" s="158"/>
      <c r="HX45" s="13"/>
      <c r="HY45" s="13"/>
      <c r="HZ45" s="13"/>
      <c r="IA45" s="13"/>
      <c r="IB45" s="158"/>
      <c r="IC45" s="13" t="s">
        <v>842</v>
      </c>
      <c r="ID45" s="13"/>
      <c r="IF45" s="160" t="s">
        <v>894</v>
      </c>
      <c r="IG45" s="156"/>
      <c r="IH45" s="157"/>
      <c r="II45" s="145">
        <v>8</v>
      </c>
      <c r="IJ45" s="161">
        <f>IJ42+IJ43+IJ44</f>
        <v>0</v>
      </c>
      <c r="IK45" s="162">
        <f>IK42+IK43+IK44</f>
        <v>0</v>
      </c>
    </row>
    <row r="46" ht="14.25" customHeight="1" spans="1:246">
      <c r="A46" s="82">
        <v>2221</v>
      </c>
      <c r="B46" s="83" t="s">
        <v>483</v>
      </c>
      <c r="C46" s="148"/>
      <c r="D46" s="148"/>
      <c r="E46" s="107"/>
      <c r="F46" s="108"/>
      <c r="G46" s="87"/>
      <c r="H46" s="107"/>
      <c r="I46" s="108"/>
      <c r="J46" s="87"/>
      <c r="K46" s="107"/>
      <c r="L46" s="108"/>
      <c r="M46" s="87"/>
      <c r="N46" s="107"/>
      <c r="O46" s="108"/>
      <c r="P46" s="87"/>
      <c r="Q46" s="107"/>
      <c r="R46" s="108"/>
      <c r="S46" s="87"/>
      <c r="T46" s="107"/>
      <c r="U46" s="108"/>
      <c r="V46" s="87"/>
      <c r="W46" s="107"/>
      <c r="X46" s="108"/>
      <c r="Y46" s="87"/>
      <c r="Z46" s="107"/>
      <c r="AA46" s="108"/>
      <c r="AB46" s="87"/>
      <c r="AC46" s="107"/>
      <c r="AD46" s="108"/>
      <c r="AE46" s="87"/>
      <c r="AF46" s="107"/>
      <c r="AG46" s="108"/>
      <c r="AH46" s="87"/>
      <c r="AI46" s="107"/>
      <c r="AJ46" s="108"/>
      <c r="AK46" s="87"/>
      <c r="AL46" s="107"/>
      <c r="AM46" s="108"/>
      <c r="AN46" s="87"/>
      <c r="AO46" s="107"/>
      <c r="AP46" s="108"/>
      <c r="AQ46" s="87"/>
      <c r="AR46" s="107"/>
      <c r="AS46" s="108"/>
      <c r="AT46" s="87"/>
      <c r="AU46" s="107"/>
      <c r="AV46" s="108"/>
      <c r="AW46" s="87"/>
      <c r="AX46" s="107"/>
      <c r="AY46" s="108"/>
      <c r="AZ46" s="87"/>
      <c r="BA46" s="107"/>
      <c r="BB46" s="108"/>
      <c r="BC46" s="87"/>
      <c r="BD46" s="107"/>
      <c r="BE46" s="108"/>
      <c r="BF46" s="87"/>
      <c r="BG46" s="107"/>
      <c r="BH46" s="108"/>
      <c r="BI46" s="87"/>
      <c r="BJ46" s="107"/>
      <c r="BK46" s="108"/>
      <c r="BL46" s="87"/>
      <c r="BM46" s="107"/>
      <c r="BN46" s="108"/>
      <c r="BO46" s="87"/>
      <c r="BP46" s="107"/>
      <c r="BQ46" s="108"/>
      <c r="BR46" s="87"/>
      <c r="BS46" s="107"/>
      <c r="BT46" s="108"/>
      <c r="BU46" s="87"/>
      <c r="BV46" s="107"/>
      <c r="BW46" s="108"/>
      <c r="BX46" s="87"/>
      <c r="BY46" s="107"/>
      <c r="BZ46" s="108"/>
      <c r="CA46" s="87"/>
      <c r="CB46" s="107"/>
      <c r="CC46" s="108"/>
      <c r="CD46" s="87"/>
      <c r="CE46" s="107"/>
      <c r="CF46" s="108"/>
      <c r="CG46" s="87"/>
      <c r="CH46" s="107"/>
      <c r="CI46" s="108"/>
      <c r="CJ46" s="87"/>
      <c r="CK46" s="107"/>
      <c r="CL46" s="108"/>
      <c r="CM46" s="87"/>
      <c r="CN46" s="107"/>
      <c r="CO46" s="108"/>
      <c r="CP46" s="87"/>
      <c r="CQ46" s="107"/>
      <c r="CR46" s="108"/>
      <c r="CS46" s="87"/>
      <c r="CT46" s="107"/>
      <c r="CU46" s="108"/>
      <c r="CV46" s="87"/>
      <c r="CW46" s="107"/>
      <c r="CX46" s="108"/>
      <c r="CY46" s="87"/>
      <c r="CZ46" s="107"/>
      <c r="DA46" s="108"/>
      <c r="DB46" s="87"/>
      <c r="DC46" s="107"/>
      <c r="DD46" s="108"/>
      <c r="DE46" s="87"/>
      <c r="DF46" s="107"/>
      <c r="DG46" s="108"/>
      <c r="DH46" s="87"/>
      <c r="DI46" s="107"/>
      <c r="DJ46" s="108"/>
      <c r="DK46" s="87"/>
      <c r="DL46" s="107"/>
      <c r="DM46" s="108"/>
      <c r="DN46" s="87"/>
      <c r="DO46" s="107"/>
      <c r="DP46" s="108"/>
      <c r="DQ46" s="87"/>
      <c r="DR46" s="107"/>
      <c r="DS46" s="108"/>
      <c r="DT46" s="87"/>
      <c r="DU46" s="107"/>
      <c r="DV46" s="108"/>
      <c r="DW46" s="87"/>
      <c r="DX46" s="107"/>
      <c r="DY46" s="108"/>
      <c r="DZ46" s="87"/>
      <c r="EA46" s="107"/>
      <c r="EB46" s="108"/>
      <c r="EC46" s="87"/>
      <c r="ED46" s="107"/>
      <c r="EE46" s="108"/>
      <c r="EF46" s="87"/>
      <c r="EG46" s="107"/>
      <c r="EH46" s="108"/>
      <c r="EI46" s="87"/>
      <c r="EJ46" s="107"/>
      <c r="EK46" s="108"/>
      <c r="EL46" s="87"/>
      <c r="EM46" s="107"/>
      <c r="EN46" s="108"/>
      <c r="EO46" s="87"/>
      <c r="EP46" s="107"/>
      <c r="EQ46" s="108"/>
      <c r="ER46" s="87"/>
      <c r="ES46" s="107"/>
      <c r="ET46" s="108"/>
      <c r="EU46" s="87"/>
      <c r="EV46" s="107"/>
      <c r="EW46" s="108"/>
      <c r="EX46" s="87"/>
      <c r="EY46" s="107"/>
      <c r="EZ46" s="108"/>
      <c r="FA46" s="87"/>
      <c r="FB46" s="107"/>
      <c r="FC46" s="108"/>
      <c r="FD46" s="87"/>
      <c r="FE46" s="107"/>
      <c r="FF46" s="108"/>
      <c r="FG46" s="87"/>
      <c r="FH46" s="107"/>
      <c r="FI46" s="108"/>
      <c r="FJ46" s="87"/>
      <c r="FK46" s="107"/>
      <c r="FL46" s="108"/>
      <c r="FM46" s="87"/>
      <c r="FN46" s="107"/>
      <c r="FO46" s="108"/>
      <c r="FP46" s="87"/>
      <c r="FQ46" s="107"/>
      <c r="FR46" s="108"/>
      <c r="FS46" s="87"/>
      <c r="FT46" s="107"/>
      <c r="FU46" s="108"/>
      <c r="FV46" s="87"/>
      <c r="FW46" s="107"/>
      <c r="FX46" s="108"/>
      <c r="FY46" s="87"/>
      <c r="FZ46" s="107"/>
      <c r="GA46" s="108"/>
      <c r="GB46" s="87"/>
      <c r="GC46" s="107"/>
      <c r="GD46" s="108"/>
      <c r="GE46" s="87"/>
      <c r="GF46" s="107"/>
      <c r="GG46" s="108"/>
      <c r="GH46" s="87"/>
      <c r="GI46" s="107"/>
      <c r="GJ46" s="108"/>
      <c r="GK46" s="87"/>
      <c r="GL46" s="107"/>
      <c r="GM46" s="108"/>
      <c r="GN46" s="87"/>
      <c r="GO46" s="107"/>
      <c r="GP46" s="108"/>
      <c r="GQ46" s="87"/>
      <c r="GR46" s="107"/>
      <c r="GS46" s="108"/>
      <c r="GT46" s="87"/>
      <c r="GU46" s="107"/>
      <c r="GV46" s="108"/>
      <c r="GW46" s="87"/>
      <c r="GX46" s="107"/>
      <c r="GY46" s="108"/>
      <c r="GZ46" s="87"/>
      <c r="HA46" s="107"/>
      <c r="HB46" s="108"/>
      <c r="HC46" s="87"/>
      <c r="HD46" s="107"/>
      <c r="HE46" s="108"/>
      <c r="HF46" s="87"/>
      <c r="HG46" s="107"/>
      <c r="HH46" s="108"/>
      <c r="HI46" s="87"/>
      <c r="HJ46" s="107"/>
      <c r="HK46" s="108"/>
      <c r="HM46" s="109">
        <v>2221</v>
      </c>
      <c r="HN46" s="89" t="s">
        <v>483</v>
      </c>
      <c r="HO46" s="90"/>
      <c r="HP46" s="110">
        <f>DU$101</f>
        <v>0</v>
      </c>
      <c r="HQ46" s="111">
        <f>DV$101</f>
        <v>0</v>
      </c>
      <c r="HR46" s="93" t="s">
        <v>755</v>
      </c>
      <c r="HS46" s="94">
        <f t="shared" si="0"/>
        <v>0</v>
      </c>
      <c r="HU46" s="13"/>
      <c r="HV46" s="13" t="s">
        <v>843</v>
      </c>
      <c r="HW46" s="158"/>
      <c r="HX46" s="13"/>
      <c r="HY46" s="13"/>
      <c r="HZ46" s="13"/>
      <c r="IA46" s="13"/>
      <c r="IB46" s="158"/>
      <c r="IC46" s="13" t="s">
        <v>844</v>
      </c>
      <c r="ID46" s="13"/>
      <c r="IF46" s="155" t="s">
        <v>895</v>
      </c>
      <c r="IG46" s="156"/>
      <c r="IH46" s="157"/>
      <c r="II46" s="145">
        <v>9</v>
      </c>
      <c r="IJ46" s="146"/>
      <c r="IK46" s="147"/>
    </row>
    <row r="47" ht="14.25" customHeight="1" spans="1:246">
      <c r="A47" s="82">
        <v>2231</v>
      </c>
      <c r="B47" s="83" t="s">
        <v>258</v>
      </c>
      <c r="C47" s="148"/>
      <c r="D47" s="148"/>
      <c r="E47" s="107"/>
      <c r="F47" s="108"/>
      <c r="G47" s="87"/>
      <c r="H47" s="107"/>
      <c r="I47" s="108"/>
      <c r="J47" s="87"/>
      <c r="K47" s="107"/>
      <c r="L47" s="108"/>
      <c r="M47" s="87"/>
      <c r="N47" s="107"/>
      <c r="O47" s="108"/>
      <c r="P47" s="87"/>
      <c r="Q47" s="107"/>
      <c r="R47" s="108"/>
      <c r="S47" s="87"/>
      <c r="T47" s="107"/>
      <c r="U47" s="108"/>
      <c r="V47" s="87"/>
      <c r="W47" s="107"/>
      <c r="X47" s="108"/>
      <c r="Y47" s="87"/>
      <c r="Z47" s="107"/>
      <c r="AA47" s="108"/>
      <c r="AB47" s="87"/>
      <c r="AC47" s="107"/>
      <c r="AD47" s="108"/>
      <c r="AE47" s="87"/>
      <c r="AF47" s="107"/>
      <c r="AG47" s="108"/>
      <c r="AH47" s="87"/>
      <c r="AI47" s="107"/>
      <c r="AJ47" s="108"/>
      <c r="AK47" s="87"/>
      <c r="AL47" s="107"/>
      <c r="AM47" s="108"/>
      <c r="AN47" s="87"/>
      <c r="AO47" s="107"/>
      <c r="AP47" s="108"/>
      <c r="AQ47" s="87"/>
      <c r="AR47" s="107"/>
      <c r="AS47" s="108"/>
      <c r="AT47" s="87"/>
      <c r="AU47" s="107"/>
      <c r="AV47" s="108"/>
      <c r="AW47" s="87"/>
      <c r="AX47" s="107"/>
      <c r="AY47" s="108"/>
      <c r="AZ47" s="87"/>
      <c r="BA47" s="107"/>
      <c r="BB47" s="108"/>
      <c r="BC47" s="87"/>
      <c r="BD47" s="107"/>
      <c r="BE47" s="108"/>
      <c r="BF47" s="87"/>
      <c r="BG47" s="107"/>
      <c r="BH47" s="108"/>
      <c r="BI47" s="87"/>
      <c r="BJ47" s="107"/>
      <c r="BK47" s="108"/>
      <c r="BL47" s="87"/>
      <c r="BM47" s="107"/>
      <c r="BN47" s="108"/>
      <c r="BO47" s="87"/>
      <c r="BP47" s="107"/>
      <c r="BQ47" s="108"/>
      <c r="BR47" s="87"/>
      <c r="BS47" s="107"/>
      <c r="BT47" s="108"/>
      <c r="BU47" s="87"/>
      <c r="BV47" s="107"/>
      <c r="BW47" s="108"/>
      <c r="BX47" s="87"/>
      <c r="BY47" s="107"/>
      <c r="BZ47" s="108"/>
      <c r="CA47" s="87"/>
      <c r="CB47" s="107"/>
      <c r="CC47" s="108"/>
      <c r="CD47" s="87"/>
      <c r="CE47" s="107"/>
      <c r="CF47" s="108"/>
      <c r="CG47" s="87"/>
      <c r="CH47" s="107"/>
      <c r="CI47" s="108"/>
      <c r="CJ47" s="87"/>
      <c r="CK47" s="107"/>
      <c r="CL47" s="108"/>
      <c r="CM47" s="87"/>
      <c r="CN47" s="107"/>
      <c r="CO47" s="108"/>
      <c r="CP47" s="87"/>
      <c r="CQ47" s="107"/>
      <c r="CR47" s="108"/>
      <c r="CS47" s="87"/>
      <c r="CT47" s="107"/>
      <c r="CU47" s="108"/>
      <c r="CV47" s="87"/>
      <c r="CW47" s="107"/>
      <c r="CX47" s="108"/>
      <c r="CY47" s="87"/>
      <c r="CZ47" s="107"/>
      <c r="DA47" s="108"/>
      <c r="DB47" s="87"/>
      <c r="DC47" s="107"/>
      <c r="DD47" s="108"/>
      <c r="DE47" s="87"/>
      <c r="DF47" s="107"/>
      <c r="DG47" s="108"/>
      <c r="DH47" s="87"/>
      <c r="DI47" s="107"/>
      <c r="DJ47" s="108"/>
      <c r="DK47" s="87"/>
      <c r="DL47" s="107"/>
      <c r="DM47" s="108"/>
      <c r="DN47" s="87"/>
      <c r="DO47" s="107"/>
      <c r="DP47" s="108"/>
      <c r="DQ47" s="87"/>
      <c r="DR47" s="107"/>
      <c r="DS47" s="108"/>
      <c r="DT47" s="87"/>
      <c r="DU47" s="107"/>
      <c r="DV47" s="108"/>
      <c r="DW47" s="87"/>
      <c r="DX47" s="107"/>
      <c r="DY47" s="108"/>
      <c r="DZ47" s="87"/>
      <c r="EA47" s="107"/>
      <c r="EB47" s="108"/>
      <c r="EC47" s="87"/>
      <c r="ED47" s="107"/>
      <c r="EE47" s="108"/>
      <c r="EF47" s="87"/>
      <c r="EG47" s="107"/>
      <c r="EH47" s="108"/>
      <c r="EI47" s="87"/>
      <c r="EJ47" s="107"/>
      <c r="EK47" s="108"/>
      <c r="EL47" s="87"/>
      <c r="EM47" s="107"/>
      <c r="EN47" s="108"/>
      <c r="EO47" s="87"/>
      <c r="EP47" s="107"/>
      <c r="EQ47" s="108"/>
      <c r="ER47" s="87"/>
      <c r="ES47" s="107"/>
      <c r="ET47" s="108"/>
      <c r="EU47" s="87"/>
      <c r="EV47" s="107"/>
      <c r="EW47" s="108"/>
      <c r="EX47" s="87"/>
      <c r="EY47" s="107"/>
      <c r="EZ47" s="108"/>
      <c r="FA47" s="87"/>
      <c r="FB47" s="107"/>
      <c r="FC47" s="108"/>
      <c r="FD47" s="87"/>
      <c r="FE47" s="107"/>
      <c r="FF47" s="108"/>
      <c r="FG47" s="87"/>
      <c r="FH47" s="107"/>
      <c r="FI47" s="108"/>
      <c r="FJ47" s="87"/>
      <c r="FK47" s="107"/>
      <c r="FL47" s="108"/>
      <c r="FM47" s="87"/>
      <c r="FN47" s="107"/>
      <c r="FO47" s="108"/>
      <c r="FP47" s="87"/>
      <c r="FQ47" s="107"/>
      <c r="FR47" s="108"/>
      <c r="FS47" s="87"/>
      <c r="FT47" s="107"/>
      <c r="FU47" s="108"/>
      <c r="FV47" s="87"/>
      <c r="FW47" s="107"/>
      <c r="FX47" s="108"/>
      <c r="FY47" s="87"/>
      <c r="FZ47" s="107"/>
      <c r="GA47" s="108"/>
      <c r="GB47" s="87"/>
      <c r="GC47" s="107"/>
      <c r="GD47" s="108"/>
      <c r="GE47" s="87"/>
      <c r="GF47" s="107"/>
      <c r="GG47" s="108"/>
      <c r="GH47" s="87"/>
      <c r="GI47" s="107"/>
      <c r="GJ47" s="108"/>
      <c r="GK47" s="87"/>
      <c r="GL47" s="107"/>
      <c r="GM47" s="108"/>
      <c r="GN47" s="87"/>
      <c r="GO47" s="107"/>
      <c r="GP47" s="108"/>
      <c r="GQ47" s="87"/>
      <c r="GR47" s="107"/>
      <c r="GS47" s="108"/>
      <c r="GT47" s="87"/>
      <c r="GU47" s="107"/>
      <c r="GV47" s="108"/>
      <c r="GW47" s="87"/>
      <c r="GX47" s="107"/>
      <c r="GY47" s="108"/>
      <c r="GZ47" s="87"/>
      <c r="HA47" s="107"/>
      <c r="HB47" s="108"/>
      <c r="HC47" s="87"/>
      <c r="HD47" s="107"/>
      <c r="HE47" s="108"/>
      <c r="HF47" s="87"/>
      <c r="HG47" s="107"/>
      <c r="HH47" s="108"/>
      <c r="HI47" s="87"/>
      <c r="HJ47" s="107"/>
      <c r="HK47" s="108"/>
      <c r="HM47" s="109">
        <v>2231</v>
      </c>
      <c r="HN47" s="89" t="s">
        <v>258</v>
      </c>
      <c r="HO47" s="90"/>
      <c r="HP47" s="110">
        <f>DX$101</f>
        <v>0</v>
      </c>
      <c r="HQ47" s="111">
        <f>DY$101</f>
        <v>0</v>
      </c>
      <c r="HR47" s="93" t="s">
        <v>755</v>
      </c>
      <c r="HS47" s="94">
        <f t="shared" si="0"/>
        <v>0</v>
      </c>
      <c r="HU47" s="13"/>
      <c r="HV47" s="13" t="s">
        <v>845</v>
      </c>
      <c r="HW47" s="158"/>
      <c r="HX47" s="13"/>
      <c r="HY47" s="13"/>
      <c r="HZ47" s="13"/>
      <c r="IA47" s="13"/>
      <c r="IB47" s="158"/>
      <c r="IC47" s="13" t="s">
        <v>846</v>
      </c>
      <c r="ID47" s="13"/>
      <c r="IF47" s="155" t="s">
        <v>896</v>
      </c>
      <c r="IG47" s="156"/>
      <c r="IH47" s="157"/>
      <c r="II47" s="145">
        <v>10</v>
      </c>
      <c r="IJ47" s="159"/>
      <c r="IK47" s="147"/>
    </row>
    <row r="48" ht="14.25" customHeight="1" spans="1:246">
      <c r="A48" s="82">
        <v>2232</v>
      </c>
      <c r="B48" s="83" t="s">
        <v>486</v>
      </c>
      <c r="C48" s="148"/>
      <c r="D48" s="148"/>
      <c r="E48" s="107"/>
      <c r="F48" s="108"/>
      <c r="G48" s="87"/>
      <c r="H48" s="107"/>
      <c r="I48" s="108"/>
      <c r="J48" s="87"/>
      <c r="K48" s="107"/>
      <c r="L48" s="108"/>
      <c r="M48" s="87"/>
      <c r="N48" s="107"/>
      <c r="O48" s="108"/>
      <c r="P48" s="87"/>
      <c r="Q48" s="107"/>
      <c r="R48" s="108"/>
      <c r="S48" s="87"/>
      <c r="T48" s="107"/>
      <c r="U48" s="108"/>
      <c r="V48" s="87"/>
      <c r="W48" s="107"/>
      <c r="X48" s="108"/>
      <c r="Y48" s="87"/>
      <c r="Z48" s="107"/>
      <c r="AA48" s="108"/>
      <c r="AB48" s="87"/>
      <c r="AC48" s="107"/>
      <c r="AD48" s="108"/>
      <c r="AE48" s="87"/>
      <c r="AF48" s="107"/>
      <c r="AG48" s="108"/>
      <c r="AH48" s="87"/>
      <c r="AI48" s="107"/>
      <c r="AJ48" s="108"/>
      <c r="AK48" s="87"/>
      <c r="AL48" s="107"/>
      <c r="AM48" s="108"/>
      <c r="AN48" s="87"/>
      <c r="AO48" s="107"/>
      <c r="AP48" s="108"/>
      <c r="AQ48" s="87"/>
      <c r="AR48" s="107"/>
      <c r="AS48" s="108"/>
      <c r="AT48" s="87"/>
      <c r="AU48" s="107"/>
      <c r="AV48" s="108"/>
      <c r="AW48" s="87"/>
      <c r="AX48" s="107"/>
      <c r="AY48" s="108"/>
      <c r="AZ48" s="87"/>
      <c r="BA48" s="107"/>
      <c r="BB48" s="108"/>
      <c r="BC48" s="87"/>
      <c r="BD48" s="107"/>
      <c r="BE48" s="108"/>
      <c r="BF48" s="87"/>
      <c r="BG48" s="107"/>
      <c r="BH48" s="108"/>
      <c r="BI48" s="87"/>
      <c r="BJ48" s="107"/>
      <c r="BK48" s="108"/>
      <c r="BL48" s="87"/>
      <c r="BM48" s="107"/>
      <c r="BN48" s="108"/>
      <c r="BO48" s="87"/>
      <c r="BP48" s="107"/>
      <c r="BQ48" s="108"/>
      <c r="BR48" s="87"/>
      <c r="BS48" s="107"/>
      <c r="BT48" s="108"/>
      <c r="BU48" s="87"/>
      <c r="BV48" s="107"/>
      <c r="BW48" s="108"/>
      <c r="BX48" s="87"/>
      <c r="BY48" s="107"/>
      <c r="BZ48" s="108"/>
      <c r="CA48" s="87"/>
      <c r="CB48" s="107"/>
      <c r="CC48" s="108"/>
      <c r="CD48" s="87"/>
      <c r="CE48" s="107"/>
      <c r="CF48" s="108"/>
      <c r="CG48" s="87"/>
      <c r="CH48" s="107"/>
      <c r="CI48" s="108"/>
      <c r="CJ48" s="87"/>
      <c r="CK48" s="107"/>
      <c r="CL48" s="108"/>
      <c r="CM48" s="87"/>
      <c r="CN48" s="107"/>
      <c r="CO48" s="108"/>
      <c r="CP48" s="87"/>
      <c r="CQ48" s="107"/>
      <c r="CR48" s="108"/>
      <c r="CS48" s="87"/>
      <c r="CT48" s="107"/>
      <c r="CU48" s="108"/>
      <c r="CV48" s="87"/>
      <c r="CW48" s="107"/>
      <c r="CX48" s="108"/>
      <c r="CY48" s="87"/>
      <c r="CZ48" s="107"/>
      <c r="DA48" s="108"/>
      <c r="DB48" s="87"/>
      <c r="DC48" s="107"/>
      <c r="DD48" s="108"/>
      <c r="DE48" s="87"/>
      <c r="DF48" s="107"/>
      <c r="DG48" s="108"/>
      <c r="DH48" s="87"/>
      <c r="DI48" s="107"/>
      <c r="DJ48" s="108"/>
      <c r="DK48" s="87"/>
      <c r="DL48" s="107"/>
      <c r="DM48" s="108"/>
      <c r="DN48" s="87"/>
      <c r="DO48" s="107"/>
      <c r="DP48" s="108"/>
      <c r="DQ48" s="87"/>
      <c r="DR48" s="107"/>
      <c r="DS48" s="108"/>
      <c r="DT48" s="87"/>
      <c r="DU48" s="107"/>
      <c r="DV48" s="108"/>
      <c r="DW48" s="87"/>
      <c r="DX48" s="107"/>
      <c r="DY48" s="108"/>
      <c r="DZ48" s="87"/>
      <c r="EA48" s="107"/>
      <c r="EB48" s="108"/>
      <c r="EC48" s="87"/>
      <c r="ED48" s="107"/>
      <c r="EE48" s="108"/>
      <c r="EF48" s="87"/>
      <c r="EG48" s="107"/>
      <c r="EH48" s="108"/>
      <c r="EI48" s="87"/>
      <c r="EJ48" s="107"/>
      <c r="EK48" s="108"/>
      <c r="EL48" s="87"/>
      <c r="EM48" s="107"/>
      <c r="EN48" s="108"/>
      <c r="EO48" s="87"/>
      <c r="EP48" s="107"/>
      <c r="EQ48" s="108"/>
      <c r="ER48" s="87"/>
      <c r="ES48" s="107"/>
      <c r="ET48" s="108"/>
      <c r="EU48" s="87"/>
      <c r="EV48" s="107"/>
      <c r="EW48" s="108"/>
      <c r="EX48" s="87"/>
      <c r="EY48" s="107"/>
      <c r="EZ48" s="108"/>
      <c r="FA48" s="87"/>
      <c r="FB48" s="107"/>
      <c r="FC48" s="108"/>
      <c r="FD48" s="87"/>
      <c r="FE48" s="107"/>
      <c r="FF48" s="108"/>
      <c r="FG48" s="87"/>
      <c r="FH48" s="107"/>
      <c r="FI48" s="108"/>
      <c r="FJ48" s="87"/>
      <c r="FK48" s="107"/>
      <c r="FL48" s="108"/>
      <c r="FM48" s="87"/>
      <c r="FN48" s="107"/>
      <c r="FO48" s="108"/>
      <c r="FP48" s="87"/>
      <c r="FQ48" s="107"/>
      <c r="FR48" s="108"/>
      <c r="FS48" s="87"/>
      <c r="FT48" s="107"/>
      <c r="FU48" s="108"/>
      <c r="FV48" s="87"/>
      <c r="FW48" s="107"/>
      <c r="FX48" s="108"/>
      <c r="FY48" s="87"/>
      <c r="FZ48" s="107"/>
      <c r="GA48" s="108"/>
      <c r="GB48" s="87"/>
      <c r="GC48" s="107"/>
      <c r="GD48" s="108"/>
      <c r="GE48" s="87"/>
      <c r="GF48" s="107"/>
      <c r="GG48" s="108"/>
      <c r="GH48" s="87"/>
      <c r="GI48" s="107"/>
      <c r="GJ48" s="108"/>
      <c r="GK48" s="87"/>
      <c r="GL48" s="107"/>
      <c r="GM48" s="108"/>
      <c r="GN48" s="87"/>
      <c r="GO48" s="107"/>
      <c r="GP48" s="108"/>
      <c r="GQ48" s="87"/>
      <c r="GR48" s="107"/>
      <c r="GS48" s="108"/>
      <c r="GT48" s="87"/>
      <c r="GU48" s="107"/>
      <c r="GV48" s="108"/>
      <c r="GW48" s="87"/>
      <c r="GX48" s="107"/>
      <c r="GY48" s="108"/>
      <c r="GZ48" s="87"/>
      <c r="HA48" s="107"/>
      <c r="HB48" s="108"/>
      <c r="HC48" s="87"/>
      <c r="HD48" s="107"/>
      <c r="HE48" s="108"/>
      <c r="HF48" s="87"/>
      <c r="HG48" s="107"/>
      <c r="HH48" s="108"/>
      <c r="HI48" s="87"/>
      <c r="HJ48" s="107"/>
      <c r="HK48" s="108"/>
      <c r="HM48" s="109">
        <v>2232</v>
      </c>
      <c r="HN48" s="89" t="s">
        <v>486</v>
      </c>
      <c r="HO48" s="90"/>
      <c r="HP48" s="110">
        <f>EA$101</f>
        <v>0</v>
      </c>
      <c r="HQ48" s="111">
        <f>EB$101</f>
        <v>0</v>
      </c>
      <c r="HR48" s="93" t="s">
        <v>755</v>
      </c>
      <c r="HS48" s="94">
        <f t="shared" si="0"/>
        <v>0</v>
      </c>
      <c r="HU48" s="13"/>
      <c r="HV48" s="13"/>
      <c r="HW48" s="158"/>
      <c r="HX48" s="13"/>
      <c r="HY48" s="13"/>
      <c r="HZ48" s="13"/>
      <c r="IA48" s="13"/>
      <c r="IB48" s="158"/>
      <c r="IC48" s="13"/>
      <c r="ID48" s="13"/>
      <c r="IF48" s="155" t="s">
        <v>897</v>
      </c>
      <c r="IG48" s="156"/>
      <c r="IH48" s="157"/>
      <c r="II48" s="145">
        <v>11</v>
      </c>
      <c r="IJ48" s="146"/>
      <c r="IK48" s="147"/>
    </row>
    <row r="49" ht="14.25" customHeight="1" spans="1:245">
      <c r="A49" s="82">
        <v>2241</v>
      </c>
      <c r="B49" s="83" t="s">
        <v>263</v>
      </c>
      <c r="C49" s="148"/>
      <c r="D49" s="148"/>
      <c r="E49" s="107"/>
      <c r="F49" s="108"/>
      <c r="G49" s="87"/>
      <c r="H49" s="107"/>
      <c r="I49" s="108"/>
      <c r="J49" s="87"/>
      <c r="K49" s="107"/>
      <c r="L49" s="108"/>
      <c r="M49" s="87"/>
      <c r="N49" s="107"/>
      <c r="O49" s="108"/>
      <c r="P49" s="87"/>
      <c r="Q49" s="107"/>
      <c r="R49" s="108"/>
      <c r="S49" s="87"/>
      <c r="T49" s="107"/>
      <c r="U49" s="108"/>
      <c r="V49" s="87"/>
      <c r="W49" s="107"/>
      <c r="X49" s="108"/>
      <c r="Y49" s="87"/>
      <c r="Z49" s="107"/>
      <c r="AA49" s="108"/>
      <c r="AB49" s="87"/>
      <c r="AC49" s="107"/>
      <c r="AD49" s="108"/>
      <c r="AE49" s="87"/>
      <c r="AF49" s="107"/>
      <c r="AG49" s="108"/>
      <c r="AH49" s="87"/>
      <c r="AI49" s="107"/>
      <c r="AJ49" s="108"/>
      <c r="AK49" s="87"/>
      <c r="AL49" s="107"/>
      <c r="AM49" s="108"/>
      <c r="AN49" s="87"/>
      <c r="AO49" s="107"/>
      <c r="AP49" s="108"/>
      <c r="AQ49" s="87"/>
      <c r="AR49" s="107"/>
      <c r="AS49" s="108"/>
      <c r="AT49" s="87"/>
      <c r="AU49" s="107"/>
      <c r="AV49" s="108"/>
      <c r="AW49" s="87"/>
      <c r="AX49" s="107"/>
      <c r="AY49" s="108"/>
      <c r="AZ49" s="87"/>
      <c r="BA49" s="107"/>
      <c r="BB49" s="108"/>
      <c r="BC49" s="87"/>
      <c r="BD49" s="107"/>
      <c r="BE49" s="108"/>
      <c r="BF49" s="87"/>
      <c r="BG49" s="107"/>
      <c r="BH49" s="108"/>
      <c r="BI49" s="87"/>
      <c r="BJ49" s="107"/>
      <c r="BK49" s="108"/>
      <c r="BL49" s="87"/>
      <c r="BM49" s="107"/>
      <c r="BN49" s="108"/>
      <c r="BO49" s="87"/>
      <c r="BP49" s="107"/>
      <c r="BQ49" s="108"/>
      <c r="BR49" s="87"/>
      <c r="BS49" s="107"/>
      <c r="BT49" s="108"/>
      <c r="BU49" s="87"/>
      <c r="BV49" s="107"/>
      <c r="BW49" s="108"/>
      <c r="BX49" s="87"/>
      <c r="BY49" s="107"/>
      <c r="BZ49" s="108"/>
      <c r="CA49" s="87"/>
      <c r="CB49" s="107"/>
      <c r="CC49" s="108"/>
      <c r="CD49" s="87"/>
      <c r="CE49" s="107"/>
      <c r="CF49" s="108"/>
      <c r="CG49" s="87"/>
      <c r="CH49" s="107"/>
      <c r="CI49" s="108"/>
      <c r="CJ49" s="87"/>
      <c r="CK49" s="107"/>
      <c r="CL49" s="108"/>
      <c r="CM49" s="87"/>
      <c r="CN49" s="107"/>
      <c r="CO49" s="108"/>
      <c r="CP49" s="87"/>
      <c r="CQ49" s="107"/>
      <c r="CR49" s="108"/>
      <c r="CS49" s="87"/>
      <c r="CT49" s="107"/>
      <c r="CU49" s="108"/>
      <c r="CV49" s="87"/>
      <c r="CW49" s="107"/>
      <c r="CX49" s="108"/>
      <c r="CY49" s="87"/>
      <c r="CZ49" s="107"/>
      <c r="DA49" s="108"/>
      <c r="DB49" s="87"/>
      <c r="DC49" s="107"/>
      <c r="DD49" s="108"/>
      <c r="DE49" s="87"/>
      <c r="DF49" s="107"/>
      <c r="DG49" s="108"/>
      <c r="DH49" s="87"/>
      <c r="DI49" s="107"/>
      <c r="DJ49" s="108"/>
      <c r="DK49" s="87"/>
      <c r="DL49" s="107"/>
      <c r="DM49" s="108"/>
      <c r="DN49" s="87"/>
      <c r="DO49" s="107"/>
      <c r="DP49" s="108"/>
      <c r="DQ49" s="87"/>
      <c r="DR49" s="107"/>
      <c r="DS49" s="108"/>
      <c r="DT49" s="87"/>
      <c r="DU49" s="107"/>
      <c r="DV49" s="108"/>
      <c r="DW49" s="87"/>
      <c r="DX49" s="107"/>
      <c r="DY49" s="108"/>
      <c r="DZ49" s="87"/>
      <c r="EA49" s="107"/>
      <c r="EB49" s="108"/>
      <c r="EC49" s="87"/>
      <c r="ED49" s="107"/>
      <c r="EE49" s="108"/>
      <c r="EF49" s="87"/>
      <c r="EG49" s="107"/>
      <c r="EH49" s="108"/>
      <c r="EI49" s="87"/>
      <c r="EJ49" s="107"/>
      <c r="EK49" s="108"/>
      <c r="EL49" s="87"/>
      <c r="EM49" s="107"/>
      <c r="EN49" s="108"/>
      <c r="EO49" s="87"/>
      <c r="EP49" s="107"/>
      <c r="EQ49" s="108"/>
      <c r="ER49" s="87"/>
      <c r="ES49" s="107"/>
      <c r="ET49" s="108"/>
      <c r="EU49" s="87"/>
      <c r="EV49" s="107"/>
      <c r="EW49" s="108"/>
      <c r="EX49" s="87"/>
      <c r="EY49" s="107"/>
      <c r="EZ49" s="108"/>
      <c r="FA49" s="87"/>
      <c r="FB49" s="107"/>
      <c r="FC49" s="108"/>
      <c r="FD49" s="87"/>
      <c r="FE49" s="107"/>
      <c r="FF49" s="108"/>
      <c r="FG49" s="87"/>
      <c r="FH49" s="107"/>
      <c r="FI49" s="108"/>
      <c r="FJ49" s="87"/>
      <c r="FK49" s="107"/>
      <c r="FL49" s="108"/>
      <c r="FM49" s="87"/>
      <c r="FN49" s="107"/>
      <c r="FO49" s="108"/>
      <c r="FP49" s="87"/>
      <c r="FQ49" s="107"/>
      <c r="FR49" s="108"/>
      <c r="FS49" s="87"/>
      <c r="FT49" s="107"/>
      <c r="FU49" s="108"/>
      <c r="FV49" s="87"/>
      <c r="FW49" s="107"/>
      <c r="FX49" s="108"/>
      <c r="FY49" s="87"/>
      <c r="FZ49" s="107"/>
      <c r="GA49" s="108"/>
      <c r="GB49" s="87"/>
      <c r="GC49" s="107"/>
      <c r="GD49" s="108"/>
      <c r="GE49" s="87"/>
      <c r="GF49" s="107"/>
      <c r="GG49" s="108"/>
      <c r="GH49" s="87"/>
      <c r="GI49" s="107"/>
      <c r="GJ49" s="108"/>
      <c r="GK49" s="87"/>
      <c r="GL49" s="107"/>
      <c r="GM49" s="108"/>
      <c r="GN49" s="87"/>
      <c r="GO49" s="107"/>
      <c r="GP49" s="108"/>
      <c r="GQ49" s="87"/>
      <c r="GR49" s="107"/>
      <c r="GS49" s="108"/>
      <c r="GT49" s="87"/>
      <c r="GU49" s="107"/>
      <c r="GV49" s="108"/>
      <c r="GW49" s="87"/>
      <c r="GX49" s="107"/>
      <c r="GY49" s="108"/>
      <c r="GZ49" s="87"/>
      <c r="HA49" s="107"/>
      <c r="HB49" s="108"/>
      <c r="HC49" s="87"/>
      <c r="HD49" s="107"/>
      <c r="HE49" s="108"/>
      <c r="HF49" s="87"/>
      <c r="HG49" s="107"/>
      <c r="HH49" s="108"/>
      <c r="HI49" s="87"/>
      <c r="HJ49" s="107"/>
      <c r="HK49" s="108"/>
      <c r="HM49" s="109">
        <v>2241</v>
      </c>
      <c r="HN49" s="89" t="s">
        <v>263</v>
      </c>
      <c r="HO49" s="90"/>
      <c r="HP49" s="110">
        <f>ED$101</f>
        <v>0</v>
      </c>
      <c r="HQ49" s="111">
        <f>EE$101</f>
        <v>0</v>
      </c>
      <c r="HR49" s="93" t="s">
        <v>755</v>
      </c>
      <c r="HS49" s="94">
        <f t="shared" si="0"/>
        <v>0</v>
      </c>
      <c r="HU49" s="13" t="s">
        <v>7</v>
      </c>
      <c r="HV49" s="13"/>
      <c r="HW49" s="158"/>
      <c r="HX49" s="13"/>
      <c r="HY49" s="13" t="s">
        <v>8</v>
      </c>
      <c r="HZ49" s="13"/>
      <c r="IA49" s="13" t="s">
        <v>1022</v>
      </c>
      <c r="IB49" s="158"/>
      <c r="IC49" s="36" t="s">
        <v>1023</v>
      </c>
      <c r="ID49" s="13"/>
      <c r="IF49" s="155" t="s">
        <v>898</v>
      </c>
      <c r="IG49" s="156"/>
      <c r="IH49" s="157"/>
      <c r="II49" s="145">
        <v>12</v>
      </c>
      <c r="IJ49" s="159"/>
      <c r="IK49" s="147"/>
    </row>
    <row r="50" ht="14.25" customHeight="1" spans="1:245">
      <c r="A50" s="82">
        <v>2501</v>
      </c>
      <c r="B50" s="83" t="s">
        <v>273</v>
      </c>
      <c r="C50" s="148"/>
      <c r="D50" s="148"/>
      <c r="E50" s="107"/>
      <c r="F50" s="108"/>
      <c r="G50" s="87"/>
      <c r="H50" s="107"/>
      <c r="I50" s="108"/>
      <c r="J50" s="87"/>
      <c r="K50" s="107"/>
      <c r="L50" s="108"/>
      <c r="M50" s="87"/>
      <c r="N50" s="107"/>
      <c r="O50" s="108"/>
      <c r="P50" s="87"/>
      <c r="Q50" s="107"/>
      <c r="R50" s="108"/>
      <c r="S50" s="87"/>
      <c r="T50" s="107"/>
      <c r="U50" s="108"/>
      <c r="V50" s="87"/>
      <c r="W50" s="107"/>
      <c r="X50" s="108"/>
      <c r="Y50" s="87"/>
      <c r="Z50" s="107"/>
      <c r="AA50" s="108"/>
      <c r="AB50" s="87"/>
      <c r="AC50" s="107"/>
      <c r="AD50" s="108"/>
      <c r="AE50" s="87"/>
      <c r="AF50" s="107"/>
      <c r="AG50" s="108"/>
      <c r="AH50" s="87"/>
      <c r="AI50" s="107"/>
      <c r="AJ50" s="108"/>
      <c r="AK50" s="87"/>
      <c r="AL50" s="107"/>
      <c r="AM50" s="108"/>
      <c r="AN50" s="87"/>
      <c r="AO50" s="107"/>
      <c r="AP50" s="108"/>
      <c r="AQ50" s="87"/>
      <c r="AR50" s="107"/>
      <c r="AS50" s="108"/>
      <c r="AT50" s="87"/>
      <c r="AU50" s="107"/>
      <c r="AV50" s="108"/>
      <c r="AW50" s="87"/>
      <c r="AX50" s="107"/>
      <c r="AY50" s="108"/>
      <c r="AZ50" s="87"/>
      <c r="BA50" s="107"/>
      <c r="BB50" s="108"/>
      <c r="BC50" s="87"/>
      <c r="BD50" s="107"/>
      <c r="BE50" s="108"/>
      <c r="BF50" s="87"/>
      <c r="BG50" s="107"/>
      <c r="BH50" s="108"/>
      <c r="BI50" s="87"/>
      <c r="BJ50" s="107"/>
      <c r="BK50" s="108"/>
      <c r="BL50" s="87"/>
      <c r="BM50" s="107"/>
      <c r="BN50" s="108"/>
      <c r="BO50" s="87"/>
      <c r="BP50" s="107"/>
      <c r="BQ50" s="108"/>
      <c r="BR50" s="87"/>
      <c r="BS50" s="107"/>
      <c r="BT50" s="108"/>
      <c r="BU50" s="87"/>
      <c r="BV50" s="107"/>
      <c r="BW50" s="108"/>
      <c r="BX50" s="87"/>
      <c r="BY50" s="107"/>
      <c r="BZ50" s="108"/>
      <c r="CA50" s="87"/>
      <c r="CB50" s="107"/>
      <c r="CC50" s="108"/>
      <c r="CD50" s="87"/>
      <c r="CE50" s="107"/>
      <c r="CF50" s="108"/>
      <c r="CG50" s="87"/>
      <c r="CH50" s="107"/>
      <c r="CI50" s="108"/>
      <c r="CJ50" s="87"/>
      <c r="CK50" s="107"/>
      <c r="CL50" s="108"/>
      <c r="CM50" s="87"/>
      <c r="CN50" s="107"/>
      <c r="CO50" s="108"/>
      <c r="CP50" s="87"/>
      <c r="CQ50" s="107"/>
      <c r="CR50" s="108"/>
      <c r="CS50" s="87"/>
      <c r="CT50" s="107"/>
      <c r="CU50" s="108"/>
      <c r="CV50" s="87"/>
      <c r="CW50" s="107"/>
      <c r="CX50" s="108"/>
      <c r="CY50" s="87"/>
      <c r="CZ50" s="107"/>
      <c r="DA50" s="108"/>
      <c r="DB50" s="87"/>
      <c r="DC50" s="107"/>
      <c r="DD50" s="108"/>
      <c r="DE50" s="87"/>
      <c r="DF50" s="107"/>
      <c r="DG50" s="108"/>
      <c r="DH50" s="87"/>
      <c r="DI50" s="107"/>
      <c r="DJ50" s="108"/>
      <c r="DK50" s="87"/>
      <c r="DL50" s="107"/>
      <c r="DM50" s="108"/>
      <c r="DN50" s="87"/>
      <c r="DO50" s="107"/>
      <c r="DP50" s="108"/>
      <c r="DQ50" s="87"/>
      <c r="DR50" s="107"/>
      <c r="DS50" s="108"/>
      <c r="DT50" s="87"/>
      <c r="DU50" s="107"/>
      <c r="DV50" s="108"/>
      <c r="DW50" s="87"/>
      <c r="DX50" s="107"/>
      <c r="DY50" s="108"/>
      <c r="DZ50" s="87"/>
      <c r="EA50" s="107"/>
      <c r="EB50" s="108"/>
      <c r="EC50" s="87"/>
      <c r="ED50" s="107"/>
      <c r="EE50" s="108"/>
      <c r="EF50" s="87"/>
      <c r="EG50" s="107"/>
      <c r="EH50" s="108"/>
      <c r="EI50" s="87"/>
      <c r="EJ50" s="107"/>
      <c r="EK50" s="108"/>
      <c r="EL50" s="87"/>
      <c r="EM50" s="107"/>
      <c r="EN50" s="108"/>
      <c r="EO50" s="87"/>
      <c r="EP50" s="107"/>
      <c r="EQ50" s="108"/>
      <c r="ER50" s="87"/>
      <c r="ES50" s="107"/>
      <c r="ET50" s="108"/>
      <c r="EU50" s="87"/>
      <c r="EV50" s="107"/>
      <c r="EW50" s="108"/>
      <c r="EX50" s="87"/>
      <c r="EY50" s="107"/>
      <c r="EZ50" s="108"/>
      <c r="FA50" s="87"/>
      <c r="FB50" s="107"/>
      <c r="FC50" s="108"/>
      <c r="FD50" s="87"/>
      <c r="FE50" s="107"/>
      <c r="FF50" s="108"/>
      <c r="FG50" s="87"/>
      <c r="FH50" s="107"/>
      <c r="FI50" s="108"/>
      <c r="FJ50" s="87"/>
      <c r="FK50" s="107"/>
      <c r="FL50" s="108"/>
      <c r="FM50" s="87"/>
      <c r="FN50" s="107"/>
      <c r="FO50" s="108"/>
      <c r="FP50" s="87"/>
      <c r="FQ50" s="107"/>
      <c r="FR50" s="108"/>
      <c r="FS50" s="87"/>
      <c r="FT50" s="107"/>
      <c r="FU50" s="108"/>
      <c r="FV50" s="87"/>
      <c r="FW50" s="107"/>
      <c r="FX50" s="108"/>
      <c r="FY50" s="87"/>
      <c r="FZ50" s="107"/>
      <c r="GA50" s="108"/>
      <c r="GB50" s="87"/>
      <c r="GC50" s="107"/>
      <c r="GD50" s="108"/>
      <c r="GE50" s="87"/>
      <c r="GF50" s="107"/>
      <c r="GG50" s="108"/>
      <c r="GH50" s="87"/>
      <c r="GI50" s="107"/>
      <c r="GJ50" s="108"/>
      <c r="GK50" s="87"/>
      <c r="GL50" s="107"/>
      <c r="GM50" s="108"/>
      <c r="GN50" s="87"/>
      <c r="GO50" s="107"/>
      <c r="GP50" s="108"/>
      <c r="GQ50" s="87"/>
      <c r="GR50" s="107"/>
      <c r="GS50" s="108"/>
      <c r="GT50" s="87"/>
      <c r="GU50" s="107"/>
      <c r="GV50" s="108"/>
      <c r="GW50" s="87"/>
      <c r="GX50" s="107"/>
      <c r="GY50" s="108"/>
      <c r="GZ50" s="87"/>
      <c r="HA50" s="107"/>
      <c r="HB50" s="108"/>
      <c r="HC50" s="87"/>
      <c r="HD50" s="107"/>
      <c r="HE50" s="108"/>
      <c r="HF50" s="87"/>
      <c r="HG50" s="107"/>
      <c r="HH50" s="108"/>
      <c r="HI50" s="87"/>
      <c r="HJ50" s="107"/>
      <c r="HK50" s="108"/>
      <c r="HM50" s="109">
        <v>2501</v>
      </c>
      <c r="HN50" s="89" t="s">
        <v>273</v>
      </c>
      <c r="HO50" s="90">
        <v>10000</v>
      </c>
      <c r="HP50" s="110">
        <f>EG$101</f>
        <v>5000</v>
      </c>
      <c r="HQ50" s="111">
        <f>EH$101</f>
        <v>0</v>
      </c>
      <c r="HR50" s="93" t="s">
        <v>755</v>
      </c>
      <c r="HS50" s="94">
        <f t="shared" si="0"/>
        <v>5000</v>
      </c>
      <c r="HU50" s="13"/>
      <c r="HV50" s="13"/>
      <c r="HW50" s="158"/>
      <c r="HX50" s="13"/>
      <c r="HY50" s="13"/>
      <c r="HZ50" s="13"/>
      <c r="IA50" s="13"/>
      <c r="IB50" s="158"/>
      <c r="IC50" s="13"/>
      <c r="ID50" s="13"/>
      <c r="IF50" s="155" t="s">
        <v>899</v>
      </c>
      <c r="IG50" s="156"/>
      <c r="IH50" s="157"/>
      <c r="II50" s="145">
        <v>13</v>
      </c>
      <c r="IJ50" s="159"/>
      <c r="IK50" s="147"/>
    </row>
    <row r="51" ht="14.25" customHeight="1" spans="1:245">
      <c r="A51" s="82">
        <v>2502</v>
      </c>
      <c r="B51" s="83" t="s">
        <v>503</v>
      </c>
      <c r="C51" s="148"/>
      <c r="D51" s="148"/>
      <c r="E51" s="107"/>
      <c r="F51" s="108"/>
      <c r="G51" s="87"/>
      <c r="H51" s="107"/>
      <c r="I51" s="108"/>
      <c r="J51" s="87"/>
      <c r="K51" s="107"/>
      <c r="L51" s="108"/>
      <c r="M51" s="87"/>
      <c r="N51" s="107"/>
      <c r="O51" s="108"/>
      <c r="P51" s="87"/>
      <c r="Q51" s="107"/>
      <c r="R51" s="108"/>
      <c r="S51" s="87"/>
      <c r="T51" s="107"/>
      <c r="U51" s="108"/>
      <c r="V51" s="87"/>
      <c r="W51" s="107"/>
      <c r="X51" s="108"/>
      <c r="Y51" s="87"/>
      <c r="Z51" s="107"/>
      <c r="AA51" s="108"/>
      <c r="AB51" s="87"/>
      <c r="AC51" s="107"/>
      <c r="AD51" s="108"/>
      <c r="AE51" s="87"/>
      <c r="AF51" s="107"/>
      <c r="AG51" s="108"/>
      <c r="AH51" s="87"/>
      <c r="AI51" s="107"/>
      <c r="AJ51" s="108"/>
      <c r="AK51" s="87"/>
      <c r="AL51" s="107"/>
      <c r="AM51" s="108"/>
      <c r="AN51" s="87"/>
      <c r="AO51" s="107"/>
      <c r="AP51" s="108"/>
      <c r="AQ51" s="87"/>
      <c r="AR51" s="107"/>
      <c r="AS51" s="108"/>
      <c r="AT51" s="87"/>
      <c r="AU51" s="107"/>
      <c r="AV51" s="108"/>
      <c r="AW51" s="87"/>
      <c r="AX51" s="107"/>
      <c r="AY51" s="108"/>
      <c r="AZ51" s="87"/>
      <c r="BA51" s="107"/>
      <c r="BB51" s="108"/>
      <c r="BC51" s="87"/>
      <c r="BD51" s="107"/>
      <c r="BE51" s="108"/>
      <c r="BF51" s="87"/>
      <c r="BG51" s="107"/>
      <c r="BH51" s="108"/>
      <c r="BI51" s="87"/>
      <c r="BJ51" s="107"/>
      <c r="BK51" s="108"/>
      <c r="BL51" s="87"/>
      <c r="BM51" s="107"/>
      <c r="BN51" s="108"/>
      <c r="BO51" s="87"/>
      <c r="BP51" s="107"/>
      <c r="BQ51" s="108"/>
      <c r="BR51" s="87"/>
      <c r="BS51" s="107"/>
      <c r="BT51" s="108"/>
      <c r="BU51" s="87"/>
      <c r="BV51" s="107"/>
      <c r="BW51" s="108"/>
      <c r="BX51" s="87"/>
      <c r="BY51" s="107"/>
      <c r="BZ51" s="108"/>
      <c r="CA51" s="87"/>
      <c r="CB51" s="107"/>
      <c r="CC51" s="108"/>
      <c r="CD51" s="87"/>
      <c r="CE51" s="107"/>
      <c r="CF51" s="108"/>
      <c r="CG51" s="87"/>
      <c r="CH51" s="107"/>
      <c r="CI51" s="108"/>
      <c r="CJ51" s="87"/>
      <c r="CK51" s="107"/>
      <c r="CL51" s="108"/>
      <c r="CM51" s="87"/>
      <c r="CN51" s="107"/>
      <c r="CO51" s="108"/>
      <c r="CP51" s="87"/>
      <c r="CQ51" s="107"/>
      <c r="CR51" s="108"/>
      <c r="CS51" s="87"/>
      <c r="CT51" s="107"/>
      <c r="CU51" s="108"/>
      <c r="CV51" s="87"/>
      <c r="CW51" s="107"/>
      <c r="CX51" s="108"/>
      <c r="CY51" s="87"/>
      <c r="CZ51" s="107"/>
      <c r="DA51" s="108"/>
      <c r="DB51" s="87"/>
      <c r="DC51" s="107"/>
      <c r="DD51" s="108"/>
      <c r="DE51" s="87"/>
      <c r="DF51" s="107"/>
      <c r="DG51" s="108"/>
      <c r="DH51" s="87"/>
      <c r="DI51" s="107"/>
      <c r="DJ51" s="108"/>
      <c r="DK51" s="87"/>
      <c r="DL51" s="107"/>
      <c r="DM51" s="108"/>
      <c r="DN51" s="87"/>
      <c r="DO51" s="107"/>
      <c r="DP51" s="108"/>
      <c r="DQ51" s="87"/>
      <c r="DR51" s="107"/>
      <c r="DS51" s="108"/>
      <c r="DT51" s="87"/>
      <c r="DU51" s="107"/>
      <c r="DV51" s="108"/>
      <c r="DW51" s="87"/>
      <c r="DX51" s="107"/>
      <c r="DY51" s="108"/>
      <c r="DZ51" s="87"/>
      <c r="EA51" s="107"/>
      <c r="EB51" s="108"/>
      <c r="EC51" s="87"/>
      <c r="ED51" s="107"/>
      <c r="EE51" s="108"/>
      <c r="EF51" s="87"/>
      <c r="EG51" s="107"/>
      <c r="EH51" s="108"/>
      <c r="EI51" s="87"/>
      <c r="EJ51" s="107"/>
      <c r="EK51" s="108"/>
      <c r="EL51" s="87"/>
      <c r="EM51" s="107"/>
      <c r="EN51" s="108"/>
      <c r="EO51" s="87"/>
      <c r="EP51" s="107"/>
      <c r="EQ51" s="108"/>
      <c r="ER51" s="87"/>
      <c r="ES51" s="107"/>
      <c r="ET51" s="108"/>
      <c r="EU51" s="87"/>
      <c r="EV51" s="107"/>
      <c r="EW51" s="108"/>
      <c r="EX51" s="87"/>
      <c r="EY51" s="107"/>
      <c r="EZ51" s="108"/>
      <c r="FA51" s="87"/>
      <c r="FB51" s="107"/>
      <c r="FC51" s="108"/>
      <c r="FD51" s="87"/>
      <c r="FE51" s="107"/>
      <c r="FF51" s="108"/>
      <c r="FG51" s="87"/>
      <c r="FH51" s="107"/>
      <c r="FI51" s="108"/>
      <c r="FJ51" s="87"/>
      <c r="FK51" s="107"/>
      <c r="FL51" s="108"/>
      <c r="FM51" s="87"/>
      <c r="FN51" s="107"/>
      <c r="FO51" s="108"/>
      <c r="FP51" s="87"/>
      <c r="FQ51" s="107"/>
      <c r="FR51" s="108"/>
      <c r="FS51" s="87"/>
      <c r="FT51" s="107"/>
      <c r="FU51" s="108"/>
      <c r="FV51" s="87"/>
      <c r="FW51" s="107"/>
      <c r="FX51" s="108"/>
      <c r="FY51" s="87"/>
      <c r="FZ51" s="107"/>
      <c r="GA51" s="108"/>
      <c r="GB51" s="87"/>
      <c r="GC51" s="107"/>
      <c r="GD51" s="108"/>
      <c r="GE51" s="87"/>
      <c r="GF51" s="107"/>
      <c r="GG51" s="108"/>
      <c r="GH51" s="87"/>
      <c r="GI51" s="107"/>
      <c r="GJ51" s="108"/>
      <c r="GK51" s="87"/>
      <c r="GL51" s="107"/>
      <c r="GM51" s="108"/>
      <c r="GN51" s="87"/>
      <c r="GO51" s="107"/>
      <c r="GP51" s="108"/>
      <c r="GQ51" s="87"/>
      <c r="GR51" s="107"/>
      <c r="GS51" s="108"/>
      <c r="GT51" s="87"/>
      <c r="GU51" s="107"/>
      <c r="GV51" s="108"/>
      <c r="GW51" s="87"/>
      <c r="GX51" s="107"/>
      <c r="GY51" s="108"/>
      <c r="GZ51" s="87"/>
      <c r="HA51" s="107"/>
      <c r="HB51" s="108"/>
      <c r="HC51" s="87"/>
      <c r="HD51" s="107"/>
      <c r="HE51" s="108"/>
      <c r="HF51" s="87"/>
      <c r="HG51" s="107"/>
      <c r="HH51" s="108"/>
      <c r="HI51" s="87"/>
      <c r="HJ51" s="107"/>
      <c r="HK51" s="108"/>
      <c r="HM51" s="109">
        <v>2502</v>
      </c>
      <c r="HN51" s="89" t="s">
        <v>503</v>
      </c>
      <c r="HO51" s="90"/>
      <c r="HP51" s="110">
        <f>EJ$101</f>
        <v>0</v>
      </c>
      <c r="HQ51" s="111">
        <f>EK$101</f>
        <v>0</v>
      </c>
      <c r="HR51" s="93" t="s">
        <v>755</v>
      </c>
      <c r="HS51" s="94">
        <f t="shared" si="0"/>
        <v>0</v>
      </c>
      <c r="HU51" s="13"/>
      <c r="HV51" s="13"/>
      <c r="HW51" s="158"/>
      <c r="HX51" s="13"/>
      <c r="HY51" s="13"/>
      <c r="HZ51" s="163" t="str">
        <f>IF(AND($HX$43-$IC$43&gt;=-0.0001,$HX$43-$IC$43&lt;=0.0001),"报表年初数 平","报表年初数 不平,差异金额"&amp;$HX$43-$IC$43)</f>
        <v>报表年初数 平</v>
      </c>
      <c r="IA51" s="16"/>
      <c r="IB51" s="16"/>
      <c r="IC51" s="16"/>
      <c r="ID51" s="16"/>
      <c r="IF51" s="155" t="s">
        <v>900</v>
      </c>
      <c r="IG51" s="156"/>
      <c r="IH51" s="157"/>
      <c r="II51" s="145">
        <v>14</v>
      </c>
      <c r="IJ51" s="159"/>
      <c r="IK51" s="147"/>
    </row>
    <row r="52" ht="14.25" customHeight="1" spans="1:245">
      <c r="A52" s="82">
        <v>2701</v>
      </c>
      <c r="B52" s="83" t="s">
        <v>276</v>
      </c>
      <c r="C52" s="148"/>
      <c r="D52" s="148"/>
      <c r="E52" s="107"/>
      <c r="F52" s="108"/>
      <c r="G52" s="87"/>
      <c r="H52" s="107"/>
      <c r="I52" s="108"/>
      <c r="J52" s="87"/>
      <c r="K52" s="107"/>
      <c r="L52" s="108"/>
      <c r="M52" s="87"/>
      <c r="N52" s="107"/>
      <c r="O52" s="108"/>
      <c r="P52" s="87"/>
      <c r="Q52" s="107"/>
      <c r="R52" s="108"/>
      <c r="S52" s="87"/>
      <c r="T52" s="107"/>
      <c r="U52" s="108"/>
      <c r="V52" s="87"/>
      <c r="W52" s="107"/>
      <c r="X52" s="108"/>
      <c r="Y52" s="87"/>
      <c r="Z52" s="107"/>
      <c r="AA52" s="108"/>
      <c r="AB52" s="87"/>
      <c r="AC52" s="107"/>
      <c r="AD52" s="108"/>
      <c r="AE52" s="87"/>
      <c r="AF52" s="107"/>
      <c r="AG52" s="108"/>
      <c r="AH52" s="87"/>
      <c r="AI52" s="107"/>
      <c r="AJ52" s="108"/>
      <c r="AK52" s="87"/>
      <c r="AL52" s="107"/>
      <c r="AM52" s="108"/>
      <c r="AN52" s="87"/>
      <c r="AO52" s="107"/>
      <c r="AP52" s="108"/>
      <c r="AQ52" s="87"/>
      <c r="AR52" s="107"/>
      <c r="AS52" s="108"/>
      <c r="AT52" s="87"/>
      <c r="AU52" s="107"/>
      <c r="AV52" s="108"/>
      <c r="AW52" s="87"/>
      <c r="AX52" s="107"/>
      <c r="AY52" s="108"/>
      <c r="AZ52" s="87"/>
      <c r="BA52" s="107"/>
      <c r="BB52" s="108"/>
      <c r="BC52" s="87"/>
      <c r="BD52" s="107"/>
      <c r="BE52" s="108"/>
      <c r="BF52" s="87"/>
      <c r="BG52" s="107"/>
      <c r="BH52" s="108"/>
      <c r="BI52" s="87"/>
      <c r="BJ52" s="107"/>
      <c r="BK52" s="108"/>
      <c r="BL52" s="87"/>
      <c r="BM52" s="107"/>
      <c r="BN52" s="108"/>
      <c r="BO52" s="87"/>
      <c r="BP52" s="107"/>
      <c r="BQ52" s="108"/>
      <c r="BR52" s="87"/>
      <c r="BS52" s="107"/>
      <c r="BT52" s="108"/>
      <c r="BU52" s="87"/>
      <c r="BV52" s="107"/>
      <c r="BW52" s="108"/>
      <c r="BX52" s="87"/>
      <c r="BY52" s="107"/>
      <c r="BZ52" s="108"/>
      <c r="CA52" s="87"/>
      <c r="CB52" s="107"/>
      <c r="CC52" s="108"/>
      <c r="CD52" s="87"/>
      <c r="CE52" s="107"/>
      <c r="CF52" s="108"/>
      <c r="CG52" s="87"/>
      <c r="CH52" s="107"/>
      <c r="CI52" s="108"/>
      <c r="CJ52" s="87"/>
      <c r="CK52" s="107"/>
      <c r="CL52" s="108"/>
      <c r="CM52" s="87"/>
      <c r="CN52" s="107"/>
      <c r="CO52" s="108"/>
      <c r="CP52" s="87"/>
      <c r="CQ52" s="107"/>
      <c r="CR52" s="108"/>
      <c r="CS52" s="87"/>
      <c r="CT52" s="107"/>
      <c r="CU52" s="108"/>
      <c r="CV52" s="87"/>
      <c r="CW52" s="107"/>
      <c r="CX52" s="108"/>
      <c r="CY52" s="87"/>
      <c r="CZ52" s="107"/>
      <c r="DA52" s="108"/>
      <c r="DB52" s="87"/>
      <c r="DC52" s="107"/>
      <c r="DD52" s="108"/>
      <c r="DE52" s="87"/>
      <c r="DF52" s="107"/>
      <c r="DG52" s="108"/>
      <c r="DH52" s="87"/>
      <c r="DI52" s="107"/>
      <c r="DJ52" s="108"/>
      <c r="DK52" s="87"/>
      <c r="DL52" s="107"/>
      <c r="DM52" s="108"/>
      <c r="DN52" s="87"/>
      <c r="DO52" s="107"/>
      <c r="DP52" s="108"/>
      <c r="DQ52" s="87"/>
      <c r="DR52" s="107"/>
      <c r="DS52" s="108"/>
      <c r="DT52" s="87"/>
      <c r="DU52" s="107"/>
      <c r="DV52" s="108"/>
      <c r="DW52" s="87"/>
      <c r="DX52" s="107"/>
      <c r="DY52" s="108"/>
      <c r="DZ52" s="87"/>
      <c r="EA52" s="107"/>
      <c r="EB52" s="108"/>
      <c r="EC52" s="87"/>
      <c r="ED52" s="107"/>
      <c r="EE52" s="108"/>
      <c r="EF52" s="87"/>
      <c r="EG52" s="107"/>
      <c r="EH52" s="108"/>
      <c r="EI52" s="87"/>
      <c r="EJ52" s="107"/>
      <c r="EK52" s="108"/>
      <c r="EL52" s="87"/>
      <c r="EM52" s="107"/>
      <c r="EN52" s="108"/>
      <c r="EO52" s="87"/>
      <c r="EP52" s="107"/>
      <c r="EQ52" s="108"/>
      <c r="ER52" s="87"/>
      <c r="ES52" s="107"/>
      <c r="ET52" s="108"/>
      <c r="EU52" s="87"/>
      <c r="EV52" s="107"/>
      <c r="EW52" s="108"/>
      <c r="EX52" s="87"/>
      <c r="EY52" s="107"/>
      <c r="EZ52" s="108"/>
      <c r="FA52" s="87"/>
      <c r="FB52" s="107"/>
      <c r="FC52" s="108"/>
      <c r="FD52" s="87"/>
      <c r="FE52" s="107"/>
      <c r="FF52" s="108"/>
      <c r="FG52" s="87"/>
      <c r="FH52" s="107"/>
      <c r="FI52" s="108"/>
      <c r="FJ52" s="87"/>
      <c r="FK52" s="107"/>
      <c r="FL52" s="108"/>
      <c r="FM52" s="87"/>
      <c r="FN52" s="107"/>
      <c r="FO52" s="108"/>
      <c r="FP52" s="87"/>
      <c r="FQ52" s="107"/>
      <c r="FR52" s="108"/>
      <c r="FS52" s="87"/>
      <c r="FT52" s="107"/>
      <c r="FU52" s="108"/>
      <c r="FV52" s="87"/>
      <c r="FW52" s="107"/>
      <c r="FX52" s="108"/>
      <c r="FY52" s="87"/>
      <c r="FZ52" s="107"/>
      <c r="GA52" s="108"/>
      <c r="GB52" s="87"/>
      <c r="GC52" s="107"/>
      <c r="GD52" s="108"/>
      <c r="GE52" s="87"/>
      <c r="GF52" s="107"/>
      <c r="GG52" s="108"/>
      <c r="GH52" s="87"/>
      <c r="GI52" s="107"/>
      <c r="GJ52" s="108"/>
      <c r="GK52" s="87"/>
      <c r="GL52" s="107"/>
      <c r="GM52" s="108"/>
      <c r="GN52" s="87"/>
      <c r="GO52" s="107"/>
      <c r="GP52" s="108"/>
      <c r="GQ52" s="87"/>
      <c r="GR52" s="107"/>
      <c r="GS52" s="108"/>
      <c r="GT52" s="87"/>
      <c r="GU52" s="107"/>
      <c r="GV52" s="108"/>
      <c r="GW52" s="87"/>
      <c r="GX52" s="107"/>
      <c r="GY52" s="108"/>
      <c r="GZ52" s="87"/>
      <c r="HA52" s="107"/>
      <c r="HB52" s="108"/>
      <c r="HC52" s="87"/>
      <c r="HD52" s="107"/>
      <c r="HE52" s="108"/>
      <c r="HF52" s="87"/>
      <c r="HG52" s="107"/>
      <c r="HH52" s="108"/>
      <c r="HI52" s="87"/>
      <c r="HJ52" s="107"/>
      <c r="HK52" s="108"/>
      <c r="HM52" s="109">
        <v>2701</v>
      </c>
      <c r="HN52" s="89" t="s">
        <v>276</v>
      </c>
      <c r="HO52" s="90"/>
      <c r="HP52" s="110">
        <f>EM$101</f>
        <v>0</v>
      </c>
      <c r="HQ52" s="111">
        <f>EN$101</f>
        <v>0</v>
      </c>
      <c r="HR52" s="93" t="s">
        <v>755</v>
      </c>
      <c r="HS52" s="94">
        <f t="shared" si="0"/>
        <v>0</v>
      </c>
      <c r="HU52" s="13"/>
      <c r="HV52" s="13"/>
      <c r="HW52" s="158"/>
      <c r="HX52" s="13"/>
      <c r="HY52" s="13"/>
      <c r="HZ52" s="163" t="str">
        <f>IF(AND($HY$43-$ID$43&gt;=-0.0001,$HY$43-$ID$43&lt;=0.0001),"报表期末数 平","报表期末数 不平,差异金额"&amp;$HY$43-$ID$43)</f>
        <v>报表期末数 平</v>
      </c>
      <c r="IA52" s="16"/>
      <c r="IB52" s="16"/>
      <c r="IC52" s="16"/>
      <c r="ID52" s="16"/>
      <c r="IF52" s="160" t="s">
        <v>901</v>
      </c>
      <c r="IG52" s="156"/>
      <c r="IH52" s="157"/>
      <c r="II52" s="145">
        <v>16</v>
      </c>
      <c r="IJ52" s="161">
        <f>IJ45-IJ46-IJ47-IJ48-IJ49-IJ50-IJ51</f>
        <v>0</v>
      </c>
      <c r="IK52" s="162">
        <f>IK45-IK46-IK47-IK48-IK49-IK50-IK51</f>
        <v>0</v>
      </c>
    </row>
    <row r="53" ht="14.25" customHeight="1" spans="1:245">
      <c r="A53" s="82">
        <v>2711</v>
      </c>
      <c r="B53" s="83" t="s">
        <v>516</v>
      </c>
      <c r="C53" s="148"/>
      <c r="D53" s="148"/>
      <c r="E53" s="107"/>
      <c r="F53" s="108"/>
      <c r="G53" s="87"/>
      <c r="H53" s="107"/>
      <c r="I53" s="108"/>
      <c r="J53" s="87"/>
      <c r="K53" s="107"/>
      <c r="L53" s="108"/>
      <c r="M53" s="87"/>
      <c r="N53" s="107"/>
      <c r="O53" s="108"/>
      <c r="P53" s="87"/>
      <c r="Q53" s="107"/>
      <c r="R53" s="108"/>
      <c r="S53" s="87"/>
      <c r="T53" s="107"/>
      <c r="U53" s="108"/>
      <c r="V53" s="87"/>
      <c r="W53" s="107"/>
      <c r="X53" s="108"/>
      <c r="Y53" s="87"/>
      <c r="Z53" s="107"/>
      <c r="AA53" s="108"/>
      <c r="AB53" s="87"/>
      <c r="AC53" s="107"/>
      <c r="AD53" s="108"/>
      <c r="AE53" s="87"/>
      <c r="AF53" s="107"/>
      <c r="AG53" s="108"/>
      <c r="AH53" s="87"/>
      <c r="AI53" s="107"/>
      <c r="AJ53" s="108"/>
      <c r="AK53" s="87"/>
      <c r="AL53" s="107"/>
      <c r="AM53" s="108"/>
      <c r="AN53" s="87"/>
      <c r="AO53" s="107"/>
      <c r="AP53" s="108"/>
      <c r="AQ53" s="87"/>
      <c r="AR53" s="107"/>
      <c r="AS53" s="108"/>
      <c r="AT53" s="87"/>
      <c r="AU53" s="107"/>
      <c r="AV53" s="108"/>
      <c r="AW53" s="87"/>
      <c r="AX53" s="107"/>
      <c r="AY53" s="108"/>
      <c r="AZ53" s="87"/>
      <c r="BA53" s="107"/>
      <c r="BB53" s="108"/>
      <c r="BC53" s="87"/>
      <c r="BD53" s="107"/>
      <c r="BE53" s="108"/>
      <c r="BF53" s="87"/>
      <c r="BG53" s="107"/>
      <c r="BH53" s="108"/>
      <c r="BI53" s="87"/>
      <c r="BJ53" s="107"/>
      <c r="BK53" s="108"/>
      <c r="BL53" s="87"/>
      <c r="BM53" s="107"/>
      <c r="BN53" s="108"/>
      <c r="BO53" s="87"/>
      <c r="BP53" s="107"/>
      <c r="BQ53" s="108"/>
      <c r="BR53" s="87"/>
      <c r="BS53" s="107"/>
      <c r="BT53" s="108"/>
      <c r="BU53" s="87"/>
      <c r="BV53" s="107"/>
      <c r="BW53" s="108"/>
      <c r="BX53" s="87"/>
      <c r="BY53" s="107"/>
      <c r="BZ53" s="108"/>
      <c r="CA53" s="87"/>
      <c r="CB53" s="107"/>
      <c r="CC53" s="108"/>
      <c r="CD53" s="87"/>
      <c r="CE53" s="107"/>
      <c r="CF53" s="108"/>
      <c r="CG53" s="87"/>
      <c r="CH53" s="107"/>
      <c r="CI53" s="108"/>
      <c r="CJ53" s="87"/>
      <c r="CK53" s="107"/>
      <c r="CL53" s="108"/>
      <c r="CM53" s="87"/>
      <c r="CN53" s="107"/>
      <c r="CO53" s="108"/>
      <c r="CP53" s="87"/>
      <c r="CQ53" s="107"/>
      <c r="CR53" s="108"/>
      <c r="CS53" s="87"/>
      <c r="CT53" s="107"/>
      <c r="CU53" s="108"/>
      <c r="CV53" s="87"/>
      <c r="CW53" s="107"/>
      <c r="CX53" s="108"/>
      <c r="CY53" s="87"/>
      <c r="CZ53" s="107"/>
      <c r="DA53" s="108"/>
      <c r="DB53" s="87"/>
      <c r="DC53" s="107"/>
      <c r="DD53" s="108"/>
      <c r="DE53" s="87"/>
      <c r="DF53" s="107"/>
      <c r="DG53" s="108"/>
      <c r="DH53" s="87"/>
      <c r="DI53" s="107"/>
      <c r="DJ53" s="108"/>
      <c r="DK53" s="87"/>
      <c r="DL53" s="107"/>
      <c r="DM53" s="108"/>
      <c r="DN53" s="87"/>
      <c r="DO53" s="107"/>
      <c r="DP53" s="108"/>
      <c r="DQ53" s="87"/>
      <c r="DR53" s="107"/>
      <c r="DS53" s="108"/>
      <c r="DT53" s="87"/>
      <c r="DU53" s="107"/>
      <c r="DV53" s="108"/>
      <c r="DW53" s="87"/>
      <c r="DX53" s="107"/>
      <c r="DY53" s="108"/>
      <c r="DZ53" s="87"/>
      <c r="EA53" s="107"/>
      <c r="EB53" s="108"/>
      <c r="EC53" s="87"/>
      <c r="ED53" s="107"/>
      <c r="EE53" s="108"/>
      <c r="EF53" s="87"/>
      <c r="EG53" s="107"/>
      <c r="EH53" s="108"/>
      <c r="EI53" s="87"/>
      <c r="EJ53" s="107"/>
      <c r="EK53" s="108"/>
      <c r="EL53" s="87"/>
      <c r="EM53" s="107"/>
      <c r="EN53" s="108"/>
      <c r="EO53" s="87"/>
      <c r="EP53" s="107"/>
      <c r="EQ53" s="108"/>
      <c r="ER53" s="87"/>
      <c r="ES53" s="107"/>
      <c r="ET53" s="108"/>
      <c r="EU53" s="87"/>
      <c r="EV53" s="107"/>
      <c r="EW53" s="108"/>
      <c r="EX53" s="87"/>
      <c r="EY53" s="107"/>
      <c r="EZ53" s="108"/>
      <c r="FA53" s="87"/>
      <c r="FB53" s="107"/>
      <c r="FC53" s="108"/>
      <c r="FD53" s="87"/>
      <c r="FE53" s="107"/>
      <c r="FF53" s="108"/>
      <c r="FG53" s="87"/>
      <c r="FH53" s="107"/>
      <c r="FI53" s="108"/>
      <c r="FJ53" s="87"/>
      <c r="FK53" s="107"/>
      <c r="FL53" s="108"/>
      <c r="FM53" s="87"/>
      <c r="FN53" s="107"/>
      <c r="FO53" s="108"/>
      <c r="FP53" s="87"/>
      <c r="FQ53" s="107"/>
      <c r="FR53" s="108"/>
      <c r="FS53" s="87"/>
      <c r="FT53" s="107"/>
      <c r="FU53" s="108"/>
      <c r="FV53" s="87"/>
      <c r="FW53" s="107"/>
      <c r="FX53" s="108"/>
      <c r="FY53" s="87"/>
      <c r="FZ53" s="107"/>
      <c r="GA53" s="108"/>
      <c r="GB53" s="87"/>
      <c r="GC53" s="107"/>
      <c r="GD53" s="108"/>
      <c r="GE53" s="87"/>
      <c r="GF53" s="107"/>
      <c r="GG53" s="108"/>
      <c r="GH53" s="87"/>
      <c r="GI53" s="107"/>
      <c r="GJ53" s="108"/>
      <c r="GK53" s="87"/>
      <c r="GL53" s="107"/>
      <c r="GM53" s="108"/>
      <c r="GN53" s="87"/>
      <c r="GO53" s="107"/>
      <c r="GP53" s="108"/>
      <c r="GQ53" s="87"/>
      <c r="GR53" s="107"/>
      <c r="GS53" s="108"/>
      <c r="GT53" s="87"/>
      <c r="GU53" s="107"/>
      <c r="GV53" s="108"/>
      <c r="GW53" s="87"/>
      <c r="GX53" s="107"/>
      <c r="GY53" s="108"/>
      <c r="GZ53" s="87"/>
      <c r="HA53" s="107"/>
      <c r="HB53" s="108"/>
      <c r="HC53" s="87"/>
      <c r="HD53" s="107"/>
      <c r="HE53" s="108"/>
      <c r="HF53" s="87"/>
      <c r="HG53" s="107"/>
      <c r="HH53" s="108"/>
      <c r="HI53" s="87"/>
      <c r="HJ53" s="107"/>
      <c r="HK53" s="108"/>
      <c r="HM53" s="109">
        <v>2711</v>
      </c>
      <c r="HN53" s="89" t="s">
        <v>516</v>
      </c>
      <c r="HO53" s="90"/>
      <c r="HP53" s="110">
        <f>EP$101</f>
        <v>0</v>
      </c>
      <c r="HQ53" s="111">
        <f>EQ$101</f>
        <v>0</v>
      </c>
      <c r="HR53" s="93" t="s">
        <v>755</v>
      </c>
      <c r="HS53" s="94">
        <f t="shared" si="0"/>
        <v>0</v>
      </c>
      <c r="HU53" s="13"/>
      <c r="HV53" s="13"/>
      <c r="HW53" s="158"/>
      <c r="HX53" s="13"/>
      <c r="HY53" s="13"/>
      <c r="HZ53" s="13"/>
      <c r="IA53" s="13"/>
      <c r="IB53" s="158"/>
      <c r="IC53" s="13"/>
      <c r="ID53" s="13"/>
      <c r="IF53" s="155" t="s">
        <v>902</v>
      </c>
      <c r="IG53" s="156"/>
      <c r="IH53" s="157"/>
      <c r="II53" s="145">
        <v>17</v>
      </c>
      <c r="IJ53" s="146"/>
      <c r="IK53" s="147"/>
    </row>
    <row r="54" ht="14.25" customHeight="1" spans="1:245">
      <c r="A54" s="82">
        <v>2801</v>
      </c>
      <c r="B54" s="83" t="s">
        <v>518</v>
      </c>
      <c r="C54" s="148"/>
      <c r="D54" s="148"/>
      <c r="E54" s="107"/>
      <c r="F54" s="108"/>
      <c r="G54" s="87"/>
      <c r="H54" s="107"/>
      <c r="I54" s="108"/>
      <c r="J54" s="87"/>
      <c r="K54" s="107"/>
      <c r="L54" s="108"/>
      <c r="M54" s="87"/>
      <c r="N54" s="107"/>
      <c r="O54" s="108"/>
      <c r="P54" s="87"/>
      <c r="Q54" s="107"/>
      <c r="R54" s="108"/>
      <c r="S54" s="87"/>
      <c r="T54" s="107"/>
      <c r="U54" s="108"/>
      <c r="V54" s="87"/>
      <c r="W54" s="107"/>
      <c r="X54" s="108"/>
      <c r="Y54" s="87"/>
      <c r="Z54" s="107"/>
      <c r="AA54" s="108"/>
      <c r="AB54" s="87"/>
      <c r="AC54" s="107"/>
      <c r="AD54" s="108"/>
      <c r="AE54" s="87"/>
      <c r="AF54" s="107"/>
      <c r="AG54" s="108"/>
      <c r="AH54" s="87"/>
      <c r="AI54" s="107"/>
      <c r="AJ54" s="108"/>
      <c r="AK54" s="87"/>
      <c r="AL54" s="107"/>
      <c r="AM54" s="108"/>
      <c r="AN54" s="87"/>
      <c r="AO54" s="107"/>
      <c r="AP54" s="108"/>
      <c r="AQ54" s="87"/>
      <c r="AR54" s="107"/>
      <c r="AS54" s="108"/>
      <c r="AT54" s="87"/>
      <c r="AU54" s="107"/>
      <c r="AV54" s="108"/>
      <c r="AW54" s="87"/>
      <c r="AX54" s="107"/>
      <c r="AY54" s="108"/>
      <c r="AZ54" s="87"/>
      <c r="BA54" s="107"/>
      <c r="BB54" s="108"/>
      <c r="BC54" s="87"/>
      <c r="BD54" s="107"/>
      <c r="BE54" s="108"/>
      <c r="BF54" s="87"/>
      <c r="BG54" s="107"/>
      <c r="BH54" s="108"/>
      <c r="BI54" s="87"/>
      <c r="BJ54" s="107"/>
      <c r="BK54" s="108"/>
      <c r="BL54" s="87"/>
      <c r="BM54" s="107"/>
      <c r="BN54" s="108"/>
      <c r="BO54" s="87"/>
      <c r="BP54" s="107"/>
      <c r="BQ54" s="108"/>
      <c r="BR54" s="87"/>
      <c r="BS54" s="107"/>
      <c r="BT54" s="108"/>
      <c r="BU54" s="87"/>
      <c r="BV54" s="107"/>
      <c r="BW54" s="108"/>
      <c r="BX54" s="87"/>
      <c r="BY54" s="107"/>
      <c r="BZ54" s="108"/>
      <c r="CA54" s="87"/>
      <c r="CB54" s="107"/>
      <c r="CC54" s="108"/>
      <c r="CD54" s="87"/>
      <c r="CE54" s="107"/>
      <c r="CF54" s="108"/>
      <c r="CG54" s="87"/>
      <c r="CH54" s="107"/>
      <c r="CI54" s="108"/>
      <c r="CJ54" s="87"/>
      <c r="CK54" s="107"/>
      <c r="CL54" s="108"/>
      <c r="CM54" s="87"/>
      <c r="CN54" s="107"/>
      <c r="CO54" s="108"/>
      <c r="CP54" s="87"/>
      <c r="CQ54" s="107"/>
      <c r="CR54" s="108"/>
      <c r="CS54" s="87"/>
      <c r="CT54" s="107"/>
      <c r="CU54" s="108"/>
      <c r="CV54" s="87"/>
      <c r="CW54" s="107"/>
      <c r="CX54" s="108"/>
      <c r="CY54" s="87"/>
      <c r="CZ54" s="107"/>
      <c r="DA54" s="108"/>
      <c r="DB54" s="87"/>
      <c r="DC54" s="107"/>
      <c r="DD54" s="108"/>
      <c r="DE54" s="87"/>
      <c r="DF54" s="107"/>
      <c r="DG54" s="108"/>
      <c r="DH54" s="87"/>
      <c r="DI54" s="107"/>
      <c r="DJ54" s="108"/>
      <c r="DK54" s="87"/>
      <c r="DL54" s="107"/>
      <c r="DM54" s="108"/>
      <c r="DN54" s="87"/>
      <c r="DO54" s="107"/>
      <c r="DP54" s="108"/>
      <c r="DQ54" s="87"/>
      <c r="DR54" s="107"/>
      <c r="DS54" s="108"/>
      <c r="DT54" s="87"/>
      <c r="DU54" s="107"/>
      <c r="DV54" s="108"/>
      <c r="DW54" s="87"/>
      <c r="DX54" s="107"/>
      <c r="DY54" s="108"/>
      <c r="DZ54" s="87"/>
      <c r="EA54" s="107"/>
      <c r="EB54" s="108"/>
      <c r="EC54" s="87"/>
      <c r="ED54" s="107"/>
      <c r="EE54" s="108"/>
      <c r="EF54" s="87"/>
      <c r="EG54" s="107"/>
      <c r="EH54" s="108"/>
      <c r="EI54" s="87"/>
      <c r="EJ54" s="107"/>
      <c r="EK54" s="108"/>
      <c r="EL54" s="87"/>
      <c r="EM54" s="107"/>
      <c r="EN54" s="108"/>
      <c r="EO54" s="87"/>
      <c r="EP54" s="107"/>
      <c r="EQ54" s="108"/>
      <c r="ER54" s="87"/>
      <c r="ES54" s="107"/>
      <c r="ET54" s="108"/>
      <c r="EU54" s="87"/>
      <c r="EV54" s="107"/>
      <c r="EW54" s="108"/>
      <c r="EX54" s="87"/>
      <c r="EY54" s="107"/>
      <c r="EZ54" s="108"/>
      <c r="FA54" s="87"/>
      <c r="FB54" s="107"/>
      <c r="FC54" s="108"/>
      <c r="FD54" s="87"/>
      <c r="FE54" s="107"/>
      <c r="FF54" s="108"/>
      <c r="FG54" s="87"/>
      <c r="FH54" s="107"/>
      <c r="FI54" s="108"/>
      <c r="FJ54" s="87"/>
      <c r="FK54" s="107"/>
      <c r="FL54" s="108"/>
      <c r="FM54" s="87"/>
      <c r="FN54" s="107"/>
      <c r="FO54" s="108"/>
      <c r="FP54" s="87"/>
      <c r="FQ54" s="107"/>
      <c r="FR54" s="108"/>
      <c r="FS54" s="87"/>
      <c r="FT54" s="107"/>
      <c r="FU54" s="108"/>
      <c r="FV54" s="87"/>
      <c r="FW54" s="107"/>
      <c r="FX54" s="108"/>
      <c r="FY54" s="87"/>
      <c r="FZ54" s="107"/>
      <c r="GA54" s="108"/>
      <c r="GB54" s="87"/>
      <c r="GC54" s="107"/>
      <c r="GD54" s="108"/>
      <c r="GE54" s="87"/>
      <c r="GF54" s="107"/>
      <c r="GG54" s="108"/>
      <c r="GH54" s="87"/>
      <c r="GI54" s="107"/>
      <c r="GJ54" s="108"/>
      <c r="GK54" s="87"/>
      <c r="GL54" s="107"/>
      <c r="GM54" s="108"/>
      <c r="GN54" s="87"/>
      <c r="GO54" s="107"/>
      <c r="GP54" s="108"/>
      <c r="GQ54" s="87"/>
      <c r="GR54" s="107"/>
      <c r="GS54" s="108"/>
      <c r="GT54" s="87"/>
      <c r="GU54" s="107"/>
      <c r="GV54" s="108"/>
      <c r="GW54" s="87"/>
      <c r="GX54" s="107"/>
      <c r="GY54" s="108"/>
      <c r="GZ54" s="87"/>
      <c r="HA54" s="107"/>
      <c r="HB54" s="108"/>
      <c r="HC54" s="87"/>
      <c r="HD54" s="107"/>
      <c r="HE54" s="108"/>
      <c r="HF54" s="87"/>
      <c r="HG54" s="107"/>
      <c r="HH54" s="108"/>
      <c r="HI54" s="87"/>
      <c r="HJ54" s="107"/>
      <c r="HK54" s="108"/>
      <c r="HM54" s="109">
        <v>2801</v>
      </c>
      <c r="HN54" s="89" t="s">
        <v>518</v>
      </c>
      <c r="HO54" s="90"/>
      <c r="HP54" s="110">
        <f>ES$101</f>
        <v>0</v>
      </c>
      <c r="HQ54" s="111">
        <f>ET$101</f>
        <v>0</v>
      </c>
      <c r="HR54" s="93" t="s">
        <v>755</v>
      </c>
      <c r="HS54" s="94">
        <f t="shared" si="0"/>
        <v>0</v>
      </c>
      <c r="IF54" s="155" t="s">
        <v>903</v>
      </c>
      <c r="IG54" s="156"/>
      <c r="IH54" s="157"/>
      <c r="II54" s="145">
        <v>18</v>
      </c>
      <c r="IJ54" s="159"/>
      <c r="IK54" s="147"/>
    </row>
    <row r="55" ht="14.25" customHeight="1" spans="1:245">
      <c r="A55" s="82">
        <v>2901</v>
      </c>
      <c r="B55" s="83" t="s">
        <v>521</v>
      </c>
      <c r="C55" s="148"/>
      <c r="D55" s="148"/>
      <c r="E55" s="107"/>
      <c r="F55" s="108"/>
      <c r="G55" s="87"/>
      <c r="H55" s="107"/>
      <c r="I55" s="108"/>
      <c r="J55" s="87"/>
      <c r="K55" s="107"/>
      <c r="L55" s="108"/>
      <c r="M55" s="87"/>
      <c r="N55" s="107"/>
      <c r="O55" s="108"/>
      <c r="P55" s="87"/>
      <c r="Q55" s="107"/>
      <c r="R55" s="108"/>
      <c r="S55" s="87"/>
      <c r="T55" s="107"/>
      <c r="U55" s="108"/>
      <c r="V55" s="87"/>
      <c r="W55" s="107"/>
      <c r="X55" s="108"/>
      <c r="Y55" s="87"/>
      <c r="Z55" s="107"/>
      <c r="AA55" s="108"/>
      <c r="AB55" s="87"/>
      <c r="AC55" s="107"/>
      <c r="AD55" s="108"/>
      <c r="AE55" s="87"/>
      <c r="AF55" s="107"/>
      <c r="AG55" s="108"/>
      <c r="AH55" s="87"/>
      <c r="AI55" s="107"/>
      <c r="AJ55" s="108"/>
      <c r="AK55" s="87"/>
      <c r="AL55" s="107"/>
      <c r="AM55" s="108"/>
      <c r="AN55" s="87"/>
      <c r="AO55" s="107"/>
      <c r="AP55" s="108"/>
      <c r="AQ55" s="87"/>
      <c r="AR55" s="107"/>
      <c r="AS55" s="108"/>
      <c r="AT55" s="87"/>
      <c r="AU55" s="107"/>
      <c r="AV55" s="108"/>
      <c r="AW55" s="87"/>
      <c r="AX55" s="107"/>
      <c r="AY55" s="108"/>
      <c r="AZ55" s="87"/>
      <c r="BA55" s="107"/>
      <c r="BB55" s="108"/>
      <c r="BC55" s="87"/>
      <c r="BD55" s="107"/>
      <c r="BE55" s="108"/>
      <c r="BF55" s="87"/>
      <c r="BG55" s="107"/>
      <c r="BH55" s="108"/>
      <c r="BI55" s="87"/>
      <c r="BJ55" s="107"/>
      <c r="BK55" s="108"/>
      <c r="BL55" s="87"/>
      <c r="BM55" s="107"/>
      <c r="BN55" s="108"/>
      <c r="BO55" s="87"/>
      <c r="BP55" s="107"/>
      <c r="BQ55" s="108"/>
      <c r="BR55" s="87"/>
      <c r="BS55" s="107"/>
      <c r="BT55" s="108"/>
      <c r="BU55" s="87"/>
      <c r="BV55" s="107"/>
      <c r="BW55" s="108"/>
      <c r="BX55" s="87"/>
      <c r="BY55" s="107"/>
      <c r="BZ55" s="108"/>
      <c r="CA55" s="87"/>
      <c r="CB55" s="107"/>
      <c r="CC55" s="108"/>
      <c r="CD55" s="87"/>
      <c r="CE55" s="107"/>
      <c r="CF55" s="108"/>
      <c r="CG55" s="87"/>
      <c r="CH55" s="107"/>
      <c r="CI55" s="108"/>
      <c r="CJ55" s="87"/>
      <c r="CK55" s="107"/>
      <c r="CL55" s="108"/>
      <c r="CM55" s="87"/>
      <c r="CN55" s="107"/>
      <c r="CO55" s="108"/>
      <c r="CP55" s="87"/>
      <c r="CQ55" s="107"/>
      <c r="CR55" s="108"/>
      <c r="CS55" s="87"/>
      <c r="CT55" s="107"/>
      <c r="CU55" s="108"/>
      <c r="CV55" s="87"/>
      <c r="CW55" s="107"/>
      <c r="CX55" s="108"/>
      <c r="CY55" s="87"/>
      <c r="CZ55" s="107"/>
      <c r="DA55" s="108"/>
      <c r="DB55" s="87"/>
      <c r="DC55" s="107"/>
      <c r="DD55" s="108"/>
      <c r="DE55" s="87"/>
      <c r="DF55" s="107"/>
      <c r="DG55" s="108"/>
      <c r="DH55" s="87"/>
      <c r="DI55" s="107"/>
      <c r="DJ55" s="108"/>
      <c r="DK55" s="87"/>
      <c r="DL55" s="107"/>
      <c r="DM55" s="108"/>
      <c r="DN55" s="87"/>
      <c r="DO55" s="107"/>
      <c r="DP55" s="108"/>
      <c r="DQ55" s="87"/>
      <c r="DR55" s="107"/>
      <c r="DS55" s="108"/>
      <c r="DT55" s="87"/>
      <c r="DU55" s="107"/>
      <c r="DV55" s="108"/>
      <c r="DW55" s="87"/>
      <c r="DX55" s="107"/>
      <c r="DY55" s="108"/>
      <c r="DZ55" s="87"/>
      <c r="EA55" s="107"/>
      <c r="EB55" s="108"/>
      <c r="EC55" s="87"/>
      <c r="ED55" s="107"/>
      <c r="EE55" s="108"/>
      <c r="EF55" s="87"/>
      <c r="EG55" s="107"/>
      <c r="EH55" s="108"/>
      <c r="EI55" s="87"/>
      <c r="EJ55" s="107"/>
      <c r="EK55" s="108"/>
      <c r="EL55" s="87"/>
      <c r="EM55" s="107"/>
      <c r="EN55" s="108"/>
      <c r="EO55" s="87"/>
      <c r="EP55" s="107"/>
      <c r="EQ55" s="108"/>
      <c r="ER55" s="87"/>
      <c r="ES55" s="107"/>
      <c r="ET55" s="108"/>
      <c r="EU55" s="87"/>
      <c r="EV55" s="107"/>
      <c r="EW55" s="108"/>
      <c r="EX55" s="87"/>
      <c r="EY55" s="107"/>
      <c r="EZ55" s="108"/>
      <c r="FA55" s="87"/>
      <c r="FB55" s="107"/>
      <c r="FC55" s="108"/>
      <c r="FD55" s="87"/>
      <c r="FE55" s="107"/>
      <c r="FF55" s="108"/>
      <c r="FG55" s="87"/>
      <c r="FH55" s="107"/>
      <c r="FI55" s="108"/>
      <c r="FJ55" s="87"/>
      <c r="FK55" s="107"/>
      <c r="FL55" s="108"/>
      <c r="FM55" s="87"/>
      <c r="FN55" s="107"/>
      <c r="FO55" s="108"/>
      <c r="FP55" s="87"/>
      <c r="FQ55" s="107"/>
      <c r="FR55" s="108"/>
      <c r="FS55" s="87"/>
      <c r="FT55" s="107"/>
      <c r="FU55" s="108"/>
      <c r="FV55" s="87"/>
      <c r="FW55" s="107"/>
      <c r="FX55" s="108"/>
      <c r="FY55" s="87"/>
      <c r="FZ55" s="107"/>
      <c r="GA55" s="108"/>
      <c r="GB55" s="87"/>
      <c r="GC55" s="107"/>
      <c r="GD55" s="108"/>
      <c r="GE55" s="87"/>
      <c r="GF55" s="107"/>
      <c r="GG55" s="108"/>
      <c r="GH55" s="87"/>
      <c r="GI55" s="107"/>
      <c r="GJ55" s="108"/>
      <c r="GK55" s="87"/>
      <c r="GL55" s="107"/>
      <c r="GM55" s="108"/>
      <c r="GN55" s="87"/>
      <c r="GO55" s="107"/>
      <c r="GP55" s="108"/>
      <c r="GQ55" s="87"/>
      <c r="GR55" s="107"/>
      <c r="GS55" s="108"/>
      <c r="GT55" s="87"/>
      <c r="GU55" s="107"/>
      <c r="GV55" s="108"/>
      <c r="GW55" s="87"/>
      <c r="GX55" s="107"/>
      <c r="GY55" s="108"/>
      <c r="GZ55" s="87"/>
      <c r="HA55" s="107"/>
      <c r="HB55" s="108"/>
      <c r="HC55" s="87"/>
      <c r="HD55" s="107"/>
      <c r="HE55" s="108"/>
      <c r="HF55" s="87"/>
      <c r="HG55" s="107"/>
      <c r="HH55" s="108"/>
      <c r="HI55" s="87"/>
      <c r="HJ55" s="107"/>
      <c r="HK55" s="108"/>
      <c r="HM55" s="109">
        <v>2901</v>
      </c>
      <c r="HN55" s="89" t="s">
        <v>521</v>
      </c>
      <c r="HO55" s="90"/>
      <c r="HP55" s="110">
        <f>EV$101</f>
        <v>0</v>
      </c>
      <c r="HQ55" s="111">
        <f>EW$101</f>
        <v>0</v>
      </c>
      <c r="HR55" s="93" t="s">
        <v>755</v>
      </c>
      <c r="HS55" s="94">
        <f t="shared" si="0"/>
        <v>0</v>
      </c>
      <c r="IF55" s="155" t="s">
        <v>904</v>
      </c>
      <c r="IG55" s="156"/>
      <c r="IH55" s="157"/>
      <c r="II55" s="145">
        <v>19</v>
      </c>
      <c r="IJ55" s="159"/>
      <c r="IK55" s="147"/>
    </row>
    <row r="56" ht="14.25" customHeight="1" spans="1:245">
      <c r="A56" s="82">
        <v>4001</v>
      </c>
      <c r="B56" s="83" t="s">
        <v>1020</v>
      </c>
      <c r="C56" s="148"/>
      <c r="D56" s="148"/>
      <c r="E56" s="107"/>
      <c r="F56" s="108"/>
      <c r="G56" s="87"/>
      <c r="H56" s="107"/>
      <c r="I56" s="108"/>
      <c r="J56" s="87"/>
      <c r="K56" s="107"/>
      <c r="L56" s="108"/>
      <c r="M56" s="87"/>
      <c r="N56" s="107"/>
      <c r="O56" s="108"/>
      <c r="P56" s="87"/>
      <c r="Q56" s="107"/>
      <c r="R56" s="108"/>
      <c r="S56" s="87"/>
      <c r="T56" s="107"/>
      <c r="U56" s="108"/>
      <c r="V56" s="87"/>
      <c r="W56" s="107"/>
      <c r="X56" s="108"/>
      <c r="Y56" s="87"/>
      <c r="Z56" s="107"/>
      <c r="AA56" s="108"/>
      <c r="AB56" s="87"/>
      <c r="AC56" s="107"/>
      <c r="AD56" s="108"/>
      <c r="AE56" s="87"/>
      <c r="AF56" s="107"/>
      <c r="AG56" s="108"/>
      <c r="AH56" s="87"/>
      <c r="AI56" s="107"/>
      <c r="AJ56" s="108"/>
      <c r="AK56" s="87"/>
      <c r="AL56" s="107"/>
      <c r="AM56" s="108"/>
      <c r="AN56" s="87"/>
      <c r="AO56" s="107"/>
      <c r="AP56" s="108"/>
      <c r="AQ56" s="87"/>
      <c r="AR56" s="107"/>
      <c r="AS56" s="108"/>
      <c r="AT56" s="87"/>
      <c r="AU56" s="107"/>
      <c r="AV56" s="108"/>
      <c r="AW56" s="87"/>
      <c r="AX56" s="107"/>
      <c r="AY56" s="108"/>
      <c r="AZ56" s="87"/>
      <c r="BA56" s="107"/>
      <c r="BB56" s="108"/>
      <c r="BC56" s="87"/>
      <c r="BD56" s="107"/>
      <c r="BE56" s="108"/>
      <c r="BF56" s="87"/>
      <c r="BG56" s="107"/>
      <c r="BH56" s="108"/>
      <c r="BI56" s="87"/>
      <c r="BJ56" s="107"/>
      <c r="BK56" s="108"/>
      <c r="BL56" s="87"/>
      <c r="BM56" s="107"/>
      <c r="BN56" s="108"/>
      <c r="BO56" s="87"/>
      <c r="BP56" s="107"/>
      <c r="BQ56" s="108"/>
      <c r="BR56" s="87"/>
      <c r="BS56" s="107"/>
      <c r="BT56" s="108"/>
      <c r="BU56" s="87"/>
      <c r="BV56" s="107"/>
      <c r="BW56" s="108"/>
      <c r="BX56" s="87"/>
      <c r="BY56" s="107"/>
      <c r="BZ56" s="108"/>
      <c r="CA56" s="87"/>
      <c r="CB56" s="107"/>
      <c r="CC56" s="108"/>
      <c r="CD56" s="87"/>
      <c r="CE56" s="107"/>
      <c r="CF56" s="108"/>
      <c r="CG56" s="87"/>
      <c r="CH56" s="107"/>
      <c r="CI56" s="108"/>
      <c r="CJ56" s="87"/>
      <c r="CK56" s="107"/>
      <c r="CL56" s="108"/>
      <c r="CM56" s="87"/>
      <c r="CN56" s="107"/>
      <c r="CO56" s="108"/>
      <c r="CP56" s="87"/>
      <c r="CQ56" s="107"/>
      <c r="CR56" s="108"/>
      <c r="CS56" s="87"/>
      <c r="CT56" s="107"/>
      <c r="CU56" s="108"/>
      <c r="CV56" s="87"/>
      <c r="CW56" s="107"/>
      <c r="CX56" s="108"/>
      <c r="CY56" s="87"/>
      <c r="CZ56" s="107"/>
      <c r="DA56" s="108"/>
      <c r="DB56" s="87"/>
      <c r="DC56" s="107"/>
      <c r="DD56" s="108"/>
      <c r="DE56" s="87"/>
      <c r="DF56" s="107"/>
      <c r="DG56" s="108"/>
      <c r="DH56" s="87"/>
      <c r="DI56" s="107"/>
      <c r="DJ56" s="108"/>
      <c r="DK56" s="87"/>
      <c r="DL56" s="107"/>
      <c r="DM56" s="108"/>
      <c r="DN56" s="87"/>
      <c r="DO56" s="107"/>
      <c r="DP56" s="108"/>
      <c r="DQ56" s="87"/>
      <c r="DR56" s="107"/>
      <c r="DS56" s="108"/>
      <c r="DT56" s="87"/>
      <c r="DU56" s="107"/>
      <c r="DV56" s="108"/>
      <c r="DW56" s="87"/>
      <c r="DX56" s="107"/>
      <c r="DY56" s="108"/>
      <c r="DZ56" s="87"/>
      <c r="EA56" s="107"/>
      <c r="EB56" s="108"/>
      <c r="EC56" s="87"/>
      <c r="ED56" s="107"/>
      <c r="EE56" s="108"/>
      <c r="EF56" s="87"/>
      <c r="EG56" s="107"/>
      <c r="EH56" s="108"/>
      <c r="EI56" s="87"/>
      <c r="EJ56" s="107"/>
      <c r="EK56" s="108"/>
      <c r="EL56" s="87"/>
      <c r="EM56" s="107"/>
      <c r="EN56" s="108"/>
      <c r="EO56" s="87"/>
      <c r="EP56" s="107"/>
      <c r="EQ56" s="108"/>
      <c r="ER56" s="87"/>
      <c r="ES56" s="107"/>
      <c r="ET56" s="108"/>
      <c r="EU56" s="87"/>
      <c r="EV56" s="107"/>
      <c r="EW56" s="108"/>
      <c r="EX56" s="87"/>
      <c r="EY56" s="107"/>
      <c r="EZ56" s="108"/>
      <c r="FA56" s="87"/>
      <c r="FB56" s="107"/>
      <c r="FC56" s="108"/>
      <c r="FD56" s="87"/>
      <c r="FE56" s="107"/>
      <c r="FF56" s="108"/>
      <c r="FG56" s="87"/>
      <c r="FH56" s="107"/>
      <c r="FI56" s="108"/>
      <c r="FJ56" s="87"/>
      <c r="FK56" s="107"/>
      <c r="FL56" s="108"/>
      <c r="FM56" s="87"/>
      <c r="FN56" s="107"/>
      <c r="FO56" s="108"/>
      <c r="FP56" s="87"/>
      <c r="FQ56" s="107"/>
      <c r="FR56" s="108"/>
      <c r="FS56" s="87"/>
      <c r="FT56" s="107"/>
      <c r="FU56" s="108"/>
      <c r="FV56" s="87"/>
      <c r="FW56" s="107"/>
      <c r="FX56" s="108"/>
      <c r="FY56" s="87"/>
      <c r="FZ56" s="107"/>
      <c r="GA56" s="108"/>
      <c r="GB56" s="87"/>
      <c r="GC56" s="107"/>
      <c r="GD56" s="108"/>
      <c r="GE56" s="87"/>
      <c r="GF56" s="107"/>
      <c r="GG56" s="108"/>
      <c r="GH56" s="87"/>
      <c r="GI56" s="107"/>
      <c r="GJ56" s="108"/>
      <c r="GK56" s="87"/>
      <c r="GL56" s="107"/>
      <c r="GM56" s="108"/>
      <c r="GN56" s="87"/>
      <c r="GO56" s="107"/>
      <c r="GP56" s="108"/>
      <c r="GQ56" s="87"/>
      <c r="GR56" s="107"/>
      <c r="GS56" s="108"/>
      <c r="GT56" s="87"/>
      <c r="GU56" s="107"/>
      <c r="GV56" s="108"/>
      <c r="GW56" s="87"/>
      <c r="GX56" s="107"/>
      <c r="GY56" s="108"/>
      <c r="GZ56" s="87"/>
      <c r="HA56" s="107"/>
      <c r="HB56" s="108"/>
      <c r="HC56" s="87"/>
      <c r="HD56" s="107"/>
      <c r="HE56" s="108"/>
      <c r="HF56" s="87"/>
      <c r="HG56" s="107"/>
      <c r="HH56" s="108"/>
      <c r="HI56" s="87"/>
      <c r="HJ56" s="107"/>
      <c r="HK56" s="108"/>
      <c r="HM56" s="109">
        <v>4001</v>
      </c>
      <c r="HN56" s="89" t="s">
        <v>1020</v>
      </c>
      <c r="HO56" s="90">
        <v>50000</v>
      </c>
      <c r="HP56" s="110">
        <f>EY$101</f>
        <v>0</v>
      </c>
      <c r="HQ56" s="111">
        <f>EZ$101</f>
        <v>15000</v>
      </c>
      <c r="HR56" s="93" t="s">
        <v>755</v>
      </c>
      <c r="HS56" s="94">
        <f t="shared" si="0"/>
        <v>65000</v>
      </c>
      <c r="IF56" s="155" t="s">
        <v>905</v>
      </c>
      <c r="IG56" s="156"/>
      <c r="IH56" s="157"/>
      <c r="II56" s="145">
        <v>20</v>
      </c>
      <c r="IJ56" s="159"/>
      <c r="IK56" s="147"/>
    </row>
    <row r="57" ht="14.25" customHeight="1" spans="1:245">
      <c r="A57" s="82">
        <v>4002</v>
      </c>
      <c r="B57" s="83" t="s">
        <v>288</v>
      </c>
      <c r="C57" s="148"/>
      <c r="D57" s="148"/>
      <c r="E57" s="107"/>
      <c r="F57" s="108"/>
      <c r="G57" s="87"/>
      <c r="H57" s="107"/>
      <c r="I57" s="108"/>
      <c r="J57" s="87"/>
      <c r="K57" s="107"/>
      <c r="L57" s="108"/>
      <c r="M57" s="87"/>
      <c r="N57" s="107"/>
      <c r="O57" s="108"/>
      <c r="P57" s="87"/>
      <c r="Q57" s="107"/>
      <c r="R57" s="108"/>
      <c r="S57" s="87"/>
      <c r="T57" s="107"/>
      <c r="U57" s="108"/>
      <c r="V57" s="87"/>
      <c r="W57" s="107"/>
      <c r="X57" s="108"/>
      <c r="Y57" s="87"/>
      <c r="Z57" s="107"/>
      <c r="AA57" s="108"/>
      <c r="AB57" s="87"/>
      <c r="AC57" s="107"/>
      <c r="AD57" s="108"/>
      <c r="AE57" s="87"/>
      <c r="AF57" s="107"/>
      <c r="AG57" s="108"/>
      <c r="AH57" s="87"/>
      <c r="AI57" s="107"/>
      <c r="AJ57" s="108"/>
      <c r="AK57" s="87"/>
      <c r="AL57" s="107"/>
      <c r="AM57" s="108"/>
      <c r="AN57" s="87"/>
      <c r="AO57" s="107"/>
      <c r="AP57" s="108"/>
      <c r="AQ57" s="87"/>
      <c r="AR57" s="107"/>
      <c r="AS57" s="108"/>
      <c r="AT57" s="87"/>
      <c r="AU57" s="107"/>
      <c r="AV57" s="108"/>
      <c r="AW57" s="87"/>
      <c r="AX57" s="107"/>
      <c r="AY57" s="108"/>
      <c r="AZ57" s="87"/>
      <c r="BA57" s="107"/>
      <c r="BB57" s="108"/>
      <c r="BC57" s="87"/>
      <c r="BD57" s="107"/>
      <c r="BE57" s="108"/>
      <c r="BF57" s="87"/>
      <c r="BG57" s="107"/>
      <c r="BH57" s="108"/>
      <c r="BI57" s="87"/>
      <c r="BJ57" s="107"/>
      <c r="BK57" s="108"/>
      <c r="BL57" s="87"/>
      <c r="BM57" s="107"/>
      <c r="BN57" s="108"/>
      <c r="BO57" s="87"/>
      <c r="BP57" s="107"/>
      <c r="BQ57" s="108"/>
      <c r="BR57" s="87"/>
      <c r="BS57" s="107"/>
      <c r="BT57" s="108"/>
      <c r="BU57" s="87"/>
      <c r="BV57" s="107"/>
      <c r="BW57" s="108"/>
      <c r="BX57" s="87"/>
      <c r="BY57" s="107"/>
      <c r="BZ57" s="108"/>
      <c r="CA57" s="87"/>
      <c r="CB57" s="107"/>
      <c r="CC57" s="108"/>
      <c r="CD57" s="87"/>
      <c r="CE57" s="107"/>
      <c r="CF57" s="108"/>
      <c r="CG57" s="87"/>
      <c r="CH57" s="107"/>
      <c r="CI57" s="108"/>
      <c r="CJ57" s="87"/>
      <c r="CK57" s="107"/>
      <c r="CL57" s="108"/>
      <c r="CM57" s="87"/>
      <c r="CN57" s="107"/>
      <c r="CO57" s="108"/>
      <c r="CP57" s="87"/>
      <c r="CQ57" s="107"/>
      <c r="CR57" s="108"/>
      <c r="CS57" s="87"/>
      <c r="CT57" s="107"/>
      <c r="CU57" s="108"/>
      <c r="CV57" s="87"/>
      <c r="CW57" s="107"/>
      <c r="CX57" s="108"/>
      <c r="CY57" s="87"/>
      <c r="CZ57" s="107"/>
      <c r="DA57" s="108"/>
      <c r="DB57" s="87"/>
      <c r="DC57" s="107"/>
      <c r="DD57" s="108"/>
      <c r="DE57" s="87"/>
      <c r="DF57" s="107"/>
      <c r="DG57" s="108"/>
      <c r="DH57" s="87"/>
      <c r="DI57" s="107"/>
      <c r="DJ57" s="108"/>
      <c r="DK57" s="87"/>
      <c r="DL57" s="107"/>
      <c r="DM57" s="108"/>
      <c r="DN57" s="87"/>
      <c r="DO57" s="107"/>
      <c r="DP57" s="108"/>
      <c r="DQ57" s="87"/>
      <c r="DR57" s="107"/>
      <c r="DS57" s="108"/>
      <c r="DT57" s="87"/>
      <c r="DU57" s="107"/>
      <c r="DV57" s="108"/>
      <c r="DW57" s="87"/>
      <c r="DX57" s="107"/>
      <c r="DY57" s="108"/>
      <c r="DZ57" s="87"/>
      <c r="EA57" s="107"/>
      <c r="EB57" s="108"/>
      <c r="EC57" s="87"/>
      <c r="ED57" s="107"/>
      <c r="EE57" s="108"/>
      <c r="EF57" s="87"/>
      <c r="EG57" s="107"/>
      <c r="EH57" s="108"/>
      <c r="EI57" s="87"/>
      <c r="EJ57" s="107"/>
      <c r="EK57" s="108"/>
      <c r="EL57" s="87"/>
      <c r="EM57" s="107"/>
      <c r="EN57" s="108"/>
      <c r="EO57" s="87"/>
      <c r="EP57" s="107"/>
      <c r="EQ57" s="108"/>
      <c r="ER57" s="87"/>
      <c r="ES57" s="107"/>
      <c r="ET57" s="108"/>
      <c r="EU57" s="87"/>
      <c r="EV57" s="107"/>
      <c r="EW57" s="108"/>
      <c r="EX57" s="87"/>
      <c r="EY57" s="107"/>
      <c r="EZ57" s="108"/>
      <c r="FA57" s="87"/>
      <c r="FB57" s="107"/>
      <c r="FC57" s="108"/>
      <c r="FD57" s="87"/>
      <c r="FE57" s="107"/>
      <c r="FF57" s="108"/>
      <c r="FG57" s="87"/>
      <c r="FH57" s="107"/>
      <c r="FI57" s="108"/>
      <c r="FJ57" s="87"/>
      <c r="FK57" s="107"/>
      <c r="FL57" s="108"/>
      <c r="FM57" s="87"/>
      <c r="FN57" s="107"/>
      <c r="FO57" s="108"/>
      <c r="FP57" s="87"/>
      <c r="FQ57" s="107"/>
      <c r="FR57" s="108"/>
      <c r="FS57" s="87"/>
      <c r="FT57" s="107"/>
      <c r="FU57" s="108"/>
      <c r="FV57" s="87"/>
      <c r="FW57" s="107"/>
      <c r="FX57" s="108"/>
      <c r="FY57" s="87"/>
      <c r="FZ57" s="107"/>
      <c r="GA57" s="108"/>
      <c r="GB57" s="87"/>
      <c r="GC57" s="107"/>
      <c r="GD57" s="108"/>
      <c r="GE57" s="87"/>
      <c r="GF57" s="107"/>
      <c r="GG57" s="108"/>
      <c r="GH57" s="87"/>
      <c r="GI57" s="107"/>
      <c r="GJ57" s="108"/>
      <c r="GK57" s="87"/>
      <c r="GL57" s="107"/>
      <c r="GM57" s="108"/>
      <c r="GN57" s="87"/>
      <c r="GO57" s="107"/>
      <c r="GP57" s="108"/>
      <c r="GQ57" s="87"/>
      <c r="GR57" s="107"/>
      <c r="GS57" s="108"/>
      <c r="GT57" s="87"/>
      <c r="GU57" s="107"/>
      <c r="GV57" s="108"/>
      <c r="GW57" s="87"/>
      <c r="GX57" s="107"/>
      <c r="GY57" s="108"/>
      <c r="GZ57" s="87"/>
      <c r="HA57" s="107"/>
      <c r="HB57" s="108"/>
      <c r="HC57" s="87"/>
      <c r="HD57" s="107"/>
      <c r="HE57" s="108"/>
      <c r="HF57" s="87"/>
      <c r="HG57" s="107"/>
      <c r="HH57" s="108"/>
      <c r="HI57" s="87"/>
      <c r="HJ57" s="107"/>
      <c r="HK57" s="108"/>
      <c r="HM57" s="109">
        <v>4002</v>
      </c>
      <c r="HN57" s="89" t="s">
        <v>288</v>
      </c>
      <c r="HO57" s="90"/>
      <c r="HP57" s="110">
        <f>FB$101</f>
        <v>0</v>
      </c>
      <c r="HQ57" s="111">
        <f>FC$101</f>
        <v>0</v>
      </c>
      <c r="HR57" s="93" t="s">
        <v>755</v>
      </c>
      <c r="HS57" s="94">
        <f t="shared" si="0"/>
        <v>0</v>
      </c>
      <c r="IF57" s="164" t="s">
        <v>906</v>
      </c>
      <c r="IG57" s="134"/>
      <c r="IH57" s="135"/>
      <c r="II57" s="165">
        <v>25</v>
      </c>
      <c r="IJ57" s="166">
        <f>IJ52-IJ53-IJ54-IJ55-IJ56</f>
        <v>0</v>
      </c>
      <c r="IK57" s="167">
        <f>IK52-IK53-IK54-IK55-IK56</f>
        <v>0</v>
      </c>
    </row>
    <row r="58" ht="14.25" customHeight="1" spans="1:245">
      <c r="A58" s="82">
        <v>4101</v>
      </c>
      <c r="B58" s="83" t="s">
        <v>294</v>
      </c>
      <c r="C58" s="148"/>
      <c r="D58" s="148"/>
      <c r="E58" s="107"/>
      <c r="F58" s="108"/>
      <c r="G58" s="87"/>
      <c r="H58" s="107"/>
      <c r="I58" s="108"/>
      <c r="J58" s="87"/>
      <c r="K58" s="107"/>
      <c r="L58" s="108"/>
      <c r="M58" s="87"/>
      <c r="N58" s="107"/>
      <c r="O58" s="108"/>
      <c r="P58" s="87"/>
      <c r="Q58" s="107"/>
      <c r="R58" s="108"/>
      <c r="S58" s="87"/>
      <c r="T58" s="107"/>
      <c r="U58" s="108"/>
      <c r="V58" s="87"/>
      <c r="W58" s="107"/>
      <c r="X58" s="108"/>
      <c r="Y58" s="87"/>
      <c r="Z58" s="107"/>
      <c r="AA58" s="108"/>
      <c r="AB58" s="87"/>
      <c r="AC58" s="107"/>
      <c r="AD58" s="108"/>
      <c r="AE58" s="87"/>
      <c r="AF58" s="107"/>
      <c r="AG58" s="108"/>
      <c r="AH58" s="87"/>
      <c r="AI58" s="107"/>
      <c r="AJ58" s="108"/>
      <c r="AK58" s="87"/>
      <c r="AL58" s="107"/>
      <c r="AM58" s="108"/>
      <c r="AN58" s="87"/>
      <c r="AO58" s="107"/>
      <c r="AP58" s="108"/>
      <c r="AQ58" s="87"/>
      <c r="AR58" s="107"/>
      <c r="AS58" s="108"/>
      <c r="AT58" s="87"/>
      <c r="AU58" s="107"/>
      <c r="AV58" s="108"/>
      <c r="AW58" s="87"/>
      <c r="AX58" s="107"/>
      <c r="AY58" s="108"/>
      <c r="AZ58" s="87"/>
      <c r="BA58" s="107"/>
      <c r="BB58" s="108"/>
      <c r="BC58" s="87"/>
      <c r="BD58" s="107"/>
      <c r="BE58" s="108"/>
      <c r="BF58" s="87"/>
      <c r="BG58" s="107"/>
      <c r="BH58" s="108"/>
      <c r="BI58" s="87"/>
      <c r="BJ58" s="107"/>
      <c r="BK58" s="108"/>
      <c r="BL58" s="87"/>
      <c r="BM58" s="107"/>
      <c r="BN58" s="108"/>
      <c r="BO58" s="87"/>
      <c r="BP58" s="107"/>
      <c r="BQ58" s="108"/>
      <c r="BR58" s="87"/>
      <c r="BS58" s="107"/>
      <c r="BT58" s="108"/>
      <c r="BU58" s="87"/>
      <c r="BV58" s="107"/>
      <c r="BW58" s="108"/>
      <c r="BX58" s="87"/>
      <c r="BY58" s="107"/>
      <c r="BZ58" s="108"/>
      <c r="CA58" s="87"/>
      <c r="CB58" s="107"/>
      <c r="CC58" s="108"/>
      <c r="CD58" s="87"/>
      <c r="CE58" s="107"/>
      <c r="CF58" s="108"/>
      <c r="CG58" s="87"/>
      <c r="CH58" s="107"/>
      <c r="CI58" s="108"/>
      <c r="CJ58" s="87"/>
      <c r="CK58" s="107"/>
      <c r="CL58" s="108"/>
      <c r="CM58" s="87"/>
      <c r="CN58" s="107"/>
      <c r="CO58" s="108"/>
      <c r="CP58" s="87"/>
      <c r="CQ58" s="107"/>
      <c r="CR58" s="108"/>
      <c r="CS58" s="87"/>
      <c r="CT58" s="107"/>
      <c r="CU58" s="108"/>
      <c r="CV58" s="87"/>
      <c r="CW58" s="107"/>
      <c r="CX58" s="108"/>
      <c r="CY58" s="87"/>
      <c r="CZ58" s="107"/>
      <c r="DA58" s="108"/>
      <c r="DB58" s="87"/>
      <c r="DC58" s="107"/>
      <c r="DD58" s="108"/>
      <c r="DE58" s="87"/>
      <c r="DF58" s="107"/>
      <c r="DG58" s="108"/>
      <c r="DH58" s="87"/>
      <c r="DI58" s="107"/>
      <c r="DJ58" s="108"/>
      <c r="DK58" s="87"/>
      <c r="DL58" s="107"/>
      <c r="DM58" s="108"/>
      <c r="DN58" s="87"/>
      <c r="DO58" s="107"/>
      <c r="DP58" s="108"/>
      <c r="DQ58" s="87"/>
      <c r="DR58" s="107"/>
      <c r="DS58" s="108"/>
      <c r="DT58" s="87"/>
      <c r="DU58" s="107"/>
      <c r="DV58" s="108"/>
      <c r="DW58" s="87"/>
      <c r="DX58" s="107"/>
      <c r="DY58" s="108"/>
      <c r="DZ58" s="87"/>
      <c r="EA58" s="107"/>
      <c r="EB58" s="108"/>
      <c r="EC58" s="87"/>
      <c r="ED58" s="107"/>
      <c r="EE58" s="108"/>
      <c r="EF58" s="87"/>
      <c r="EG58" s="107"/>
      <c r="EH58" s="108"/>
      <c r="EI58" s="87"/>
      <c r="EJ58" s="107"/>
      <c r="EK58" s="108"/>
      <c r="EL58" s="87"/>
      <c r="EM58" s="107"/>
      <c r="EN58" s="108"/>
      <c r="EO58" s="87"/>
      <c r="EP58" s="107"/>
      <c r="EQ58" s="108"/>
      <c r="ER58" s="87"/>
      <c r="ES58" s="107"/>
      <c r="ET58" s="108"/>
      <c r="EU58" s="87"/>
      <c r="EV58" s="107"/>
      <c r="EW58" s="108"/>
      <c r="EX58" s="87"/>
      <c r="EY58" s="107"/>
      <c r="EZ58" s="108"/>
      <c r="FA58" s="87"/>
      <c r="FB58" s="107"/>
      <c r="FC58" s="108"/>
      <c r="FD58" s="87"/>
      <c r="FE58" s="107"/>
      <c r="FF58" s="108"/>
      <c r="FG58" s="87"/>
      <c r="FH58" s="107"/>
      <c r="FI58" s="108"/>
      <c r="FJ58" s="87"/>
      <c r="FK58" s="107"/>
      <c r="FL58" s="108"/>
      <c r="FM58" s="87"/>
      <c r="FN58" s="107"/>
      <c r="FO58" s="108"/>
      <c r="FP58" s="87"/>
      <c r="FQ58" s="107"/>
      <c r="FR58" s="108"/>
      <c r="FS58" s="87"/>
      <c r="FT58" s="107"/>
      <c r="FU58" s="108"/>
      <c r="FV58" s="87"/>
      <c r="FW58" s="107"/>
      <c r="FX58" s="108"/>
      <c r="FY58" s="87"/>
      <c r="FZ58" s="107"/>
      <c r="GA58" s="108"/>
      <c r="GB58" s="87"/>
      <c r="GC58" s="107"/>
      <c r="GD58" s="108"/>
      <c r="GE58" s="87"/>
      <c r="GF58" s="107"/>
      <c r="GG58" s="108"/>
      <c r="GH58" s="87"/>
      <c r="GI58" s="107"/>
      <c r="GJ58" s="108"/>
      <c r="GK58" s="87"/>
      <c r="GL58" s="107"/>
      <c r="GM58" s="108"/>
      <c r="GN58" s="87"/>
      <c r="GO58" s="107"/>
      <c r="GP58" s="108"/>
      <c r="GQ58" s="87"/>
      <c r="GR58" s="107"/>
      <c r="GS58" s="108"/>
      <c r="GT58" s="87"/>
      <c r="GU58" s="107"/>
      <c r="GV58" s="108"/>
      <c r="GW58" s="87"/>
      <c r="GX58" s="107"/>
      <c r="GY58" s="108"/>
      <c r="GZ58" s="87"/>
      <c r="HA58" s="107"/>
      <c r="HB58" s="108"/>
      <c r="HC58" s="87"/>
      <c r="HD58" s="107"/>
      <c r="HE58" s="108"/>
      <c r="HF58" s="87"/>
      <c r="HG58" s="107"/>
      <c r="HH58" s="108"/>
      <c r="HI58" s="87"/>
      <c r="HJ58" s="107"/>
      <c r="HK58" s="108"/>
      <c r="HM58" s="109">
        <v>4101</v>
      </c>
      <c r="HN58" s="89" t="s">
        <v>294</v>
      </c>
      <c r="HO58" s="90"/>
      <c r="HP58" s="110">
        <f>FE$101</f>
        <v>0</v>
      </c>
      <c r="HQ58" s="111">
        <f>FF$101</f>
        <v>0</v>
      </c>
      <c r="HR58" s="93" t="s">
        <v>755</v>
      </c>
      <c r="HS58" s="94">
        <f t="shared" si="0"/>
        <v>0</v>
      </c>
    </row>
    <row r="59" ht="14.25" customHeight="1" spans="1:245">
      <c r="A59" s="82">
        <v>4103</v>
      </c>
      <c r="B59" s="83" t="s">
        <v>300</v>
      </c>
      <c r="C59" s="148"/>
      <c r="D59" s="148"/>
      <c r="E59" s="107"/>
      <c r="F59" s="108"/>
      <c r="G59" s="87"/>
      <c r="H59" s="107"/>
      <c r="I59" s="108"/>
      <c r="J59" s="87"/>
      <c r="K59" s="107"/>
      <c r="L59" s="108"/>
      <c r="M59" s="87"/>
      <c r="N59" s="107"/>
      <c r="O59" s="108"/>
      <c r="P59" s="87"/>
      <c r="Q59" s="107"/>
      <c r="R59" s="108"/>
      <c r="S59" s="87"/>
      <c r="T59" s="107"/>
      <c r="U59" s="108"/>
      <c r="V59" s="87"/>
      <c r="W59" s="107"/>
      <c r="X59" s="108"/>
      <c r="Y59" s="87"/>
      <c r="Z59" s="107"/>
      <c r="AA59" s="108"/>
      <c r="AB59" s="87"/>
      <c r="AC59" s="107"/>
      <c r="AD59" s="108"/>
      <c r="AE59" s="87"/>
      <c r="AF59" s="107"/>
      <c r="AG59" s="108"/>
      <c r="AH59" s="87"/>
      <c r="AI59" s="107"/>
      <c r="AJ59" s="108"/>
      <c r="AK59" s="87"/>
      <c r="AL59" s="107"/>
      <c r="AM59" s="108"/>
      <c r="AN59" s="87"/>
      <c r="AO59" s="107"/>
      <c r="AP59" s="108"/>
      <c r="AQ59" s="87"/>
      <c r="AR59" s="107"/>
      <c r="AS59" s="108"/>
      <c r="AT59" s="87"/>
      <c r="AU59" s="107"/>
      <c r="AV59" s="108"/>
      <c r="AW59" s="87"/>
      <c r="AX59" s="107"/>
      <c r="AY59" s="108"/>
      <c r="AZ59" s="87"/>
      <c r="BA59" s="107"/>
      <c r="BB59" s="108"/>
      <c r="BC59" s="87"/>
      <c r="BD59" s="107"/>
      <c r="BE59" s="108"/>
      <c r="BF59" s="87"/>
      <c r="BG59" s="107"/>
      <c r="BH59" s="108"/>
      <c r="BI59" s="87"/>
      <c r="BJ59" s="107"/>
      <c r="BK59" s="108"/>
      <c r="BL59" s="87"/>
      <c r="BM59" s="107"/>
      <c r="BN59" s="108"/>
      <c r="BO59" s="87"/>
      <c r="BP59" s="107"/>
      <c r="BQ59" s="108"/>
      <c r="BR59" s="87"/>
      <c r="BS59" s="107"/>
      <c r="BT59" s="108"/>
      <c r="BU59" s="87"/>
      <c r="BV59" s="107"/>
      <c r="BW59" s="108"/>
      <c r="BX59" s="87"/>
      <c r="BY59" s="107"/>
      <c r="BZ59" s="108"/>
      <c r="CA59" s="87"/>
      <c r="CB59" s="107"/>
      <c r="CC59" s="108"/>
      <c r="CD59" s="87"/>
      <c r="CE59" s="107"/>
      <c r="CF59" s="108"/>
      <c r="CG59" s="87"/>
      <c r="CH59" s="107"/>
      <c r="CI59" s="108"/>
      <c r="CJ59" s="87"/>
      <c r="CK59" s="107"/>
      <c r="CL59" s="108"/>
      <c r="CM59" s="87"/>
      <c r="CN59" s="107"/>
      <c r="CO59" s="108"/>
      <c r="CP59" s="87"/>
      <c r="CQ59" s="107"/>
      <c r="CR59" s="108"/>
      <c r="CS59" s="87"/>
      <c r="CT59" s="107"/>
      <c r="CU59" s="108"/>
      <c r="CV59" s="87"/>
      <c r="CW59" s="107"/>
      <c r="CX59" s="108"/>
      <c r="CY59" s="87"/>
      <c r="CZ59" s="107"/>
      <c r="DA59" s="108"/>
      <c r="DB59" s="87"/>
      <c r="DC59" s="107"/>
      <c r="DD59" s="108"/>
      <c r="DE59" s="87"/>
      <c r="DF59" s="107"/>
      <c r="DG59" s="108"/>
      <c r="DH59" s="87"/>
      <c r="DI59" s="107"/>
      <c r="DJ59" s="108"/>
      <c r="DK59" s="87"/>
      <c r="DL59" s="107"/>
      <c r="DM59" s="108"/>
      <c r="DN59" s="87"/>
      <c r="DO59" s="107"/>
      <c r="DP59" s="108"/>
      <c r="DQ59" s="87"/>
      <c r="DR59" s="107"/>
      <c r="DS59" s="108"/>
      <c r="DT59" s="87"/>
      <c r="DU59" s="107"/>
      <c r="DV59" s="108"/>
      <c r="DW59" s="87"/>
      <c r="DX59" s="107"/>
      <c r="DY59" s="108"/>
      <c r="DZ59" s="87"/>
      <c r="EA59" s="107"/>
      <c r="EB59" s="108"/>
      <c r="EC59" s="87"/>
      <c r="ED59" s="107"/>
      <c r="EE59" s="108"/>
      <c r="EF59" s="87"/>
      <c r="EG59" s="107"/>
      <c r="EH59" s="108"/>
      <c r="EI59" s="87"/>
      <c r="EJ59" s="107"/>
      <c r="EK59" s="108"/>
      <c r="EL59" s="87"/>
      <c r="EM59" s="107"/>
      <c r="EN59" s="108"/>
      <c r="EO59" s="87"/>
      <c r="EP59" s="107"/>
      <c r="EQ59" s="108"/>
      <c r="ER59" s="87"/>
      <c r="ES59" s="107"/>
      <c r="ET59" s="108"/>
      <c r="EU59" s="87"/>
      <c r="EV59" s="107"/>
      <c r="EW59" s="108"/>
      <c r="EX59" s="87"/>
      <c r="EY59" s="107"/>
      <c r="EZ59" s="108"/>
      <c r="FA59" s="87"/>
      <c r="FB59" s="107"/>
      <c r="FC59" s="108"/>
      <c r="FD59" s="87"/>
      <c r="FE59" s="107"/>
      <c r="FF59" s="108"/>
      <c r="FG59" s="87"/>
      <c r="FH59" s="107"/>
      <c r="FI59" s="108"/>
      <c r="FJ59" s="87"/>
      <c r="FK59" s="107"/>
      <c r="FL59" s="108"/>
      <c r="FM59" s="87"/>
      <c r="FN59" s="107"/>
      <c r="FO59" s="108"/>
      <c r="FP59" s="87"/>
      <c r="FQ59" s="107"/>
      <c r="FR59" s="108"/>
      <c r="FS59" s="87"/>
      <c r="FT59" s="107"/>
      <c r="FU59" s="108"/>
      <c r="FV59" s="87"/>
      <c r="FW59" s="107"/>
      <c r="FX59" s="108"/>
      <c r="FY59" s="87"/>
      <c r="FZ59" s="107"/>
      <c r="GA59" s="108"/>
      <c r="GB59" s="87"/>
      <c r="GC59" s="107"/>
      <c r="GD59" s="108"/>
      <c r="GE59" s="87"/>
      <c r="GF59" s="107"/>
      <c r="GG59" s="108"/>
      <c r="GH59" s="87"/>
      <c r="GI59" s="107"/>
      <c r="GJ59" s="108"/>
      <c r="GK59" s="87"/>
      <c r="GL59" s="107"/>
      <c r="GM59" s="108"/>
      <c r="GN59" s="87"/>
      <c r="GO59" s="107"/>
      <c r="GP59" s="108"/>
      <c r="GQ59" s="87"/>
      <c r="GR59" s="107"/>
      <c r="GS59" s="108"/>
      <c r="GT59" s="87"/>
      <c r="GU59" s="107"/>
      <c r="GV59" s="108"/>
      <c r="GW59" s="87"/>
      <c r="GX59" s="107"/>
      <c r="GY59" s="108"/>
      <c r="GZ59" s="87"/>
      <c r="HA59" s="107"/>
      <c r="HB59" s="108"/>
      <c r="HC59" s="87"/>
      <c r="HD59" s="107"/>
      <c r="HE59" s="108"/>
      <c r="HF59" s="87"/>
      <c r="HG59" s="107"/>
      <c r="HH59" s="108"/>
      <c r="HI59" s="87"/>
      <c r="HJ59" s="107"/>
      <c r="HK59" s="108"/>
      <c r="HM59" s="109">
        <v>4103</v>
      </c>
      <c r="HN59" s="89" t="s">
        <v>300</v>
      </c>
      <c r="HO59" s="90"/>
      <c r="HP59" s="110">
        <f>FH$101</f>
        <v>0</v>
      </c>
      <c r="HQ59" s="111">
        <f>FI$101</f>
        <v>0</v>
      </c>
      <c r="HR59" s="93" t="s">
        <v>755</v>
      </c>
      <c r="HS59" s="94">
        <f t="shared" si="0"/>
        <v>0</v>
      </c>
    </row>
    <row r="60" ht="14.25" customHeight="1" spans="1:245">
      <c r="A60" s="82">
        <v>4104</v>
      </c>
      <c r="B60" s="83" t="s">
        <v>302</v>
      </c>
      <c r="C60" s="148"/>
      <c r="D60" s="148"/>
      <c r="E60" s="107"/>
      <c r="F60" s="108"/>
      <c r="G60" s="87"/>
      <c r="H60" s="107"/>
      <c r="I60" s="108"/>
      <c r="J60" s="87"/>
      <c r="K60" s="107"/>
      <c r="L60" s="108"/>
      <c r="M60" s="87"/>
      <c r="N60" s="107"/>
      <c r="O60" s="108"/>
      <c r="P60" s="87"/>
      <c r="Q60" s="107"/>
      <c r="R60" s="108"/>
      <c r="S60" s="87"/>
      <c r="T60" s="107"/>
      <c r="U60" s="108"/>
      <c r="V60" s="87"/>
      <c r="W60" s="107"/>
      <c r="X60" s="108"/>
      <c r="Y60" s="87"/>
      <c r="Z60" s="107"/>
      <c r="AA60" s="108"/>
      <c r="AB60" s="87"/>
      <c r="AC60" s="107"/>
      <c r="AD60" s="108"/>
      <c r="AE60" s="87"/>
      <c r="AF60" s="107"/>
      <c r="AG60" s="108"/>
      <c r="AH60" s="87"/>
      <c r="AI60" s="107"/>
      <c r="AJ60" s="108"/>
      <c r="AK60" s="87"/>
      <c r="AL60" s="107"/>
      <c r="AM60" s="108"/>
      <c r="AN60" s="87"/>
      <c r="AO60" s="107"/>
      <c r="AP60" s="108"/>
      <c r="AQ60" s="87"/>
      <c r="AR60" s="107"/>
      <c r="AS60" s="108"/>
      <c r="AT60" s="87"/>
      <c r="AU60" s="107"/>
      <c r="AV60" s="108"/>
      <c r="AW60" s="87"/>
      <c r="AX60" s="107"/>
      <c r="AY60" s="108"/>
      <c r="AZ60" s="87"/>
      <c r="BA60" s="107"/>
      <c r="BB60" s="108"/>
      <c r="BC60" s="87"/>
      <c r="BD60" s="107"/>
      <c r="BE60" s="108"/>
      <c r="BF60" s="87"/>
      <c r="BG60" s="107"/>
      <c r="BH60" s="108"/>
      <c r="BI60" s="87"/>
      <c r="BJ60" s="107"/>
      <c r="BK60" s="108"/>
      <c r="BL60" s="87"/>
      <c r="BM60" s="107"/>
      <c r="BN60" s="108"/>
      <c r="BO60" s="87"/>
      <c r="BP60" s="107"/>
      <c r="BQ60" s="108"/>
      <c r="BR60" s="87"/>
      <c r="BS60" s="107"/>
      <c r="BT60" s="108"/>
      <c r="BU60" s="87"/>
      <c r="BV60" s="107"/>
      <c r="BW60" s="108"/>
      <c r="BX60" s="87"/>
      <c r="BY60" s="107"/>
      <c r="BZ60" s="108"/>
      <c r="CA60" s="87"/>
      <c r="CB60" s="107"/>
      <c r="CC60" s="108"/>
      <c r="CD60" s="87"/>
      <c r="CE60" s="107"/>
      <c r="CF60" s="108"/>
      <c r="CG60" s="87"/>
      <c r="CH60" s="107"/>
      <c r="CI60" s="108"/>
      <c r="CJ60" s="87"/>
      <c r="CK60" s="107"/>
      <c r="CL60" s="108"/>
      <c r="CM60" s="87"/>
      <c r="CN60" s="107"/>
      <c r="CO60" s="108"/>
      <c r="CP60" s="87"/>
      <c r="CQ60" s="107"/>
      <c r="CR60" s="108"/>
      <c r="CS60" s="87"/>
      <c r="CT60" s="107"/>
      <c r="CU60" s="108"/>
      <c r="CV60" s="87"/>
      <c r="CW60" s="107"/>
      <c r="CX60" s="108"/>
      <c r="CY60" s="87"/>
      <c r="CZ60" s="107"/>
      <c r="DA60" s="108"/>
      <c r="DB60" s="87"/>
      <c r="DC60" s="107"/>
      <c r="DD60" s="108"/>
      <c r="DE60" s="87"/>
      <c r="DF60" s="107"/>
      <c r="DG60" s="108"/>
      <c r="DH60" s="87"/>
      <c r="DI60" s="107"/>
      <c r="DJ60" s="108"/>
      <c r="DK60" s="87"/>
      <c r="DL60" s="107"/>
      <c r="DM60" s="108"/>
      <c r="DN60" s="87"/>
      <c r="DO60" s="107"/>
      <c r="DP60" s="108"/>
      <c r="DQ60" s="87"/>
      <c r="DR60" s="107"/>
      <c r="DS60" s="108"/>
      <c r="DT60" s="87"/>
      <c r="DU60" s="107"/>
      <c r="DV60" s="108"/>
      <c r="DW60" s="87"/>
      <c r="DX60" s="107"/>
      <c r="DY60" s="108"/>
      <c r="DZ60" s="87"/>
      <c r="EA60" s="107"/>
      <c r="EB60" s="108"/>
      <c r="EC60" s="87"/>
      <c r="ED60" s="107"/>
      <c r="EE60" s="108"/>
      <c r="EF60" s="87"/>
      <c r="EG60" s="107"/>
      <c r="EH60" s="108"/>
      <c r="EI60" s="87"/>
      <c r="EJ60" s="107"/>
      <c r="EK60" s="108"/>
      <c r="EL60" s="87"/>
      <c r="EM60" s="107"/>
      <c r="EN60" s="108"/>
      <c r="EO60" s="87"/>
      <c r="EP60" s="107"/>
      <c r="EQ60" s="108"/>
      <c r="ER60" s="87"/>
      <c r="ES60" s="107"/>
      <c r="ET60" s="108"/>
      <c r="EU60" s="87"/>
      <c r="EV60" s="107"/>
      <c r="EW60" s="108"/>
      <c r="EX60" s="87"/>
      <c r="EY60" s="107"/>
      <c r="EZ60" s="108"/>
      <c r="FA60" s="87"/>
      <c r="FB60" s="107"/>
      <c r="FC60" s="108"/>
      <c r="FD60" s="87"/>
      <c r="FE60" s="107"/>
      <c r="FF60" s="108"/>
      <c r="FG60" s="87"/>
      <c r="FH60" s="107"/>
      <c r="FI60" s="108"/>
      <c r="FJ60" s="87"/>
      <c r="FK60" s="107"/>
      <c r="FL60" s="108"/>
      <c r="FM60" s="87"/>
      <c r="FN60" s="107"/>
      <c r="FO60" s="108"/>
      <c r="FP60" s="87"/>
      <c r="FQ60" s="107"/>
      <c r="FR60" s="108"/>
      <c r="FS60" s="87"/>
      <c r="FT60" s="107"/>
      <c r="FU60" s="108"/>
      <c r="FV60" s="87"/>
      <c r="FW60" s="107"/>
      <c r="FX60" s="108"/>
      <c r="FY60" s="87"/>
      <c r="FZ60" s="107"/>
      <c r="GA60" s="108"/>
      <c r="GB60" s="87"/>
      <c r="GC60" s="107"/>
      <c r="GD60" s="108"/>
      <c r="GE60" s="87"/>
      <c r="GF60" s="107"/>
      <c r="GG60" s="108"/>
      <c r="GH60" s="87"/>
      <c r="GI60" s="107"/>
      <c r="GJ60" s="108"/>
      <c r="GK60" s="87"/>
      <c r="GL60" s="107"/>
      <c r="GM60" s="108"/>
      <c r="GN60" s="87"/>
      <c r="GO60" s="107"/>
      <c r="GP60" s="108"/>
      <c r="GQ60" s="87"/>
      <c r="GR60" s="107"/>
      <c r="GS60" s="108"/>
      <c r="GT60" s="87"/>
      <c r="GU60" s="107"/>
      <c r="GV60" s="108"/>
      <c r="GW60" s="87"/>
      <c r="GX60" s="107"/>
      <c r="GY60" s="108"/>
      <c r="GZ60" s="87"/>
      <c r="HA60" s="107"/>
      <c r="HB60" s="108"/>
      <c r="HC60" s="87"/>
      <c r="HD60" s="107"/>
      <c r="HE60" s="108"/>
      <c r="HF60" s="87"/>
      <c r="HG60" s="107"/>
      <c r="HH60" s="108"/>
      <c r="HI60" s="87"/>
      <c r="HJ60" s="107"/>
      <c r="HK60" s="108"/>
      <c r="HM60" s="109">
        <v>4104</v>
      </c>
      <c r="HN60" s="89" t="s">
        <v>302</v>
      </c>
      <c r="HO60" s="90"/>
      <c r="HP60" s="110">
        <f>FK$101</f>
        <v>0</v>
      </c>
      <c r="HQ60" s="111">
        <f>FL$101</f>
        <v>0</v>
      </c>
      <c r="HR60" s="93" t="s">
        <v>755</v>
      </c>
      <c r="HS60" s="94">
        <f t="shared" si="0"/>
        <v>0</v>
      </c>
    </row>
    <row r="61" ht="14.25" customHeight="1" spans="1:245">
      <c r="A61" s="82">
        <v>5001</v>
      </c>
      <c r="B61" s="83" t="s">
        <v>312</v>
      </c>
      <c r="C61" s="148"/>
      <c r="D61" s="148"/>
      <c r="E61" s="107"/>
      <c r="F61" s="108"/>
      <c r="G61" s="87"/>
      <c r="H61" s="107"/>
      <c r="I61" s="108"/>
      <c r="J61" s="87"/>
      <c r="K61" s="107"/>
      <c r="L61" s="108"/>
      <c r="M61" s="87"/>
      <c r="N61" s="107"/>
      <c r="O61" s="108"/>
      <c r="P61" s="87"/>
      <c r="Q61" s="107"/>
      <c r="R61" s="108"/>
      <c r="S61" s="87"/>
      <c r="T61" s="107"/>
      <c r="U61" s="108"/>
      <c r="V61" s="87"/>
      <c r="W61" s="107"/>
      <c r="X61" s="108"/>
      <c r="Y61" s="87"/>
      <c r="Z61" s="107"/>
      <c r="AA61" s="108"/>
      <c r="AB61" s="87"/>
      <c r="AC61" s="107"/>
      <c r="AD61" s="108"/>
      <c r="AE61" s="87"/>
      <c r="AF61" s="107"/>
      <c r="AG61" s="108"/>
      <c r="AH61" s="87"/>
      <c r="AI61" s="107"/>
      <c r="AJ61" s="108"/>
      <c r="AK61" s="87"/>
      <c r="AL61" s="107"/>
      <c r="AM61" s="108"/>
      <c r="AN61" s="87"/>
      <c r="AO61" s="107"/>
      <c r="AP61" s="108"/>
      <c r="AQ61" s="87"/>
      <c r="AR61" s="107"/>
      <c r="AS61" s="108"/>
      <c r="AT61" s="87"/>
      <c r="AU61" s="107"/>
      <c r="AV61" s="108"/>
      <c r="AW61" s="87"/>
      <c r="AX61" s="107"/>
      <c r="AY61" s="108"/>
      <c r="AZ61" s="87"/>
      <c r="BA61" s="107"/>
      <c r="BB61" s="108"/>
      <c r="BC61" s="87"/>
      <c r="BD61" s="107"/>
      <c r="BE61" s="108"/>
      <c r="BF61" s="87"/>
      <c r="BG61" s="107"/>
      <c r="BH61" s="108"/>
      <c r="BI61" s="87"/>
      <c r="BJ61" s="107"/>
      <c r="BK61" s="108"/>
      <c r="BL61" s="87"/>
      <c r="BM61" s="107"/>
      <c r="BN61" s="108"/>
      <c r="BO61" s="87"/>
      <c r="BP61" s="107"/>
      <c r="BQ61" s="108"/>
      <c r="BR61" s="87"/>
      <c r="BS61" s="107"/>
      <c r="BT61" s="108"/>
      <c r="BU61" s="87"/>
      <c r="BV61" s="107"/>
      <c r="BW61" s="108"/>
      <c r="BX61" s="87"/>
      <c r="BY61" s="107"/>
      <c r="BZ61" s="108"/>
      <c r="CA61" s="87"/>
      <c r="CB61" s="107"/>
      <c r="CC61" s="108"/>
      <c r="CD61" s="87"/>
      <c r="CE61" s="107"/>
      <c r="CF61" s="108"/>
      <c r="CG61" s="87"/>
      <c r="CH61" s="107"/>
      <c r="CI61" s="108"/>
      <c r="CJ61" s="87"/>
      <c r="CK61" s="107"/>
      <c r="CL61" s="108"/>
      <c r="CM61" s="87"/>
      <c r="CN61" s="107"/>
      <c r="CO61" s="108"/>
      <c r="CP61" s="87"/>
      <c r="CQ61" s="107"/>
      <c r="CR61" s="108"/>
      <c r="CS61" s="87"/>
      <c r="CT61" s="107"/>
      <c r="CU61" s="108"/>
      <c r="CV61" s="87"/>
      <c r="CW61" s="107"/>
      <c r="CX61" s="108"/>
      <c r="CY61" s="87"/>
      <c r="CZ61" s="107"/>
      <c r="DA61" s="108"/>
      <c r="DB61" s="87"/>
      <c r="DC61" s="107"/>
      <c r="DD61" s="108"/>
      <c r="DE61" s="87"/>
      <c r="DF61" s="107"/>
      <c r="DG61" s="108"/>
      <c r="DH61" s="87"/>
      <c r="DI61" s="107"/>
      <c r="DJ61" s="108"/>
      <c r="DK61" s="87"/>
      <c r="DL61" s="107"/>
      <c r="DM61" s="108"/>
      <c r="DN61" s="87"/>
      <c r="DO61" s="107"/>
      <c r="DP61" s="108"/>
      <c r="DQ61" s="87"/>
      <c r="DR61" s="107"/>
      <c r="DS61" s="108"/>
      <c r="DT61" s="87"/>
      <c r="DU61" s="107"/>
      <c r="DV61" s="108"/>
      <c r="DW61" s="87"/>
      <c r="DX61" s="107"/>
      <c r="DY61" s="108"/>
      <c r="DZ61" s="87"/>
      <c r="EA61" s="107"/>
      <c r="EB61" s="108"/>
      <c r="EC61" s="87"/>
      <c r="ED61" s="107"/>
      <c r="EE61" s="108"/>
      <c r="EF61" s="87"/>
      <c r="EG61" s="107"/>
      <c r="EH61" s="108"/>
      <c r="EI61" s="87"/>
      <c r="EJ61" s="107"/>
      <c r="EK61" s="108"/>
      <c r="EL61" s="87"/>
      <c r="EM61" s="107"/>
      <c r="EN61" s="108"/>
      <c r="EO61" s="87"/>
      <c r="EP61" s="107"/>
      <c r="EQ61" s="108"/>
      <c r="ER61" s="87"/>
      <c r="ES61" s="107"/>
      <c r="ET61" s="108"/>
      <c r="EU61" s="87"/>
      <c r="EV61" s="107"/>
      <c r="EW61" s="108"/>
      <c r="EX61" s="87"/>
      <c r="EY61" s="107"/>
      <c r="EZ61" s="108"/>
      <c r="FA61" s="87"/>
      <c r="FB61" s="107"/>
      <c r="FC61" s="108"/>
      <c r="FD61" s="87"/>
      <c r="FE61" s="107"/>
      <c r="FF61" s="108"/>
      <c r="FG61" s="87"/>
      <c r="FH61" s="107"/>
      <c r="FI61" s="108"/>
      <c r="FJ61" s="87"/>
      <c r="FK61" s="107"/>
      <c r="FL61" s="108"/>
      <c r="FM61" s="87"/>
      <c r="FN61" s="107"/>
      <c r="FO61" s="108"/>
      <c r="FP61" s="87"/>
      <c r="FQ61" s="107"/>
      <c r="FR61" s="108"/>
      <c r="FS61" s="87"/>
      <c r="FT61" s="107"/>
      <c r="FU61" s="108"/>
      <c r="FV61" s="87"/>
      <c r="FW61" s="107"/>
      <c r="FX61" s="108"/>
      <c r="FY61" s="87"/>
      <c r="FZ61" s="107"/>
      <c r="GA61" s="108"/>
      <c r="GB61" s="87"/>
      <c r="GC61" s="107"/>
      <c r="GD61" s="108"/>
      <c r="GE61" s="87"/>
      <c r="GF61" s="107"/>
      <c r="GG61" s="108"/>
      <c r="GH61" s="87"/>
      <c r="GI61" s="107"/>
      <c r="GJ61" s="108"/>
      <c r="GK61" s="87"/>
      <c r="GL61" s="107"/>
      <c r="GM61" s="108"/>
      <c r="GN61" s="87"/>
      <c r="GO61" s="107"/>
      <c r="GP61" s="108"/>
      <c r="GQ61" s="87"/>
      <c r="GR61" s="107"/>
      <c r="GS61" s="108"/>
      <c r="GT61" s="87"/>
      <c r="GU61" s="107"/>
      <c r="GV61" s="108"/>
      <c r="GW61" s="87"/>
      <c r="GX61" s="107"/>
      <c r="GY61" s="108"/>
      <c r="GZ61" s="87"/>
      <c r="HA61" s="107"/>
      <c r="HB61" s="108"/>
      <c r="HC61" s="87"/>
      <c r="HD61" s="107"/>
      <c r="HE61" s="108"/>
      <c r="HF61" s="87"/>
      <c r="HG61" s="107"/>
      <c r="HH61" s="108"/>
      <c r="HI61" s="87"/>
      <c r="HJ61" s="107"/>
      <c r="HK61" s="108"/>
      <c r="HM61" s="109">
        <v>5001</v>
      </c>
      <c r="HN61" s="89" t="s">
        <v>312</v>
      </c>
      <c r="HO61" s="90"/>
      <c r="HP61" s="110">
        <f>FN$101</f>
        <v>0</v>
      </c>
      <c r="HQ61" s="111">
        <f>FO$101</f>
        <v>0</v>
      </c>
      <c r="HR61" s="93" t="s">
        <v>754</v>
      </c>
      <c r="HS61" s="94">
        <f t="shared" si="0"/>
        <v>0</v>
      </c>
    </row>
    <row r="62" ht="14.25" customHeight="1" spans="1:245">
      <c r="A62" s="82">
        <v>5101</v>
      </c>
      <c r="B62" s="83" t="s">
        <v>317</v>
      </c>
      <c r="C62" s="148"/>
      <c r="D62" s="148"/>
      <c r="E62" s="107"/>
      <c r="F62" s="108"/>
      <c r="G62" s="87"/>
      <c r="H62" s="107"/>
      <c r="I62" s="108"/>
      <c r="J62" s="87"/>
      <c r="K62" s="107"/>
      <c r="L62" s="108"/>
      <c r="M62" s="87"/>
      <c r="N62" s="107"/>
      <c r="O62" s="108"/>
      <c r="P62" s="87"/>
      <c r="Q62" s="107"/>
      <c r="R62" s="108"/>
      <c r="S62" s="87"/>
      <c r="T62" s="107"/>
      <c r="U62" s="108"/>
      <c r="V62" s="87"/>
      <c r="W62" s="107"/>
      <c r="X62" s="108"/>
      <c r="Y62" s="87"/>
      <c r="Z62" s="107"/>
      <c r="AA62" s="108"/>
      <c r="AB62" s="87"/>
      <c r="AC62" s="107"/>
      <c r="AD62" s="108"/>
      <c r="AE62" s="87"/>
      <c r="AF62" s="107"/>
      <c r="AG62" s="108"/>
      <c r="AH62" s="87"/>
      <c r="AI62" s="107"/>
      <c r="AJ62" s="108"/>
      <c r="AK62" s="87"/>
      <c r="AL62" s="107"/>
      <c r="AM62" s="108"/>
      <c r="AN62" s="87"/>
      <c r="AO62" s="107"/>
      <c r="AP62" s="108"/>
      <c r="AQ62" s="87"/>
      <c r="AR62" s="107"/>
      <c r="AS62" s="108"/>
      <c r="AT62" s="87"/>
      <c r="AU62" s="107"/>
      <c r="AV62" s="108"/>
      <c r="AW62" s="87"/>
      <c r="AX62" s="107"/>
      <c r="AY62" s="108"/>
      <c r="AZ62" s="87"/>
      <c r="BA62" s="107"/>
      <c r="BB62" s="108"/>
      <c r="BC62" s="87"/>
      <c r="BD62" s="107"/>
      <c r="BE62" s="108"/>
      <c r="BF62" s="87"/>
      <c r="BG62" s="107"/>
      <c r="BH62" s="108"/>
      <c r="BI62" s="87"/>
      <c r="BJ62" s="107"/>
      <c r="BK62" s="108"/>
      <c r="BL62" s="87"/>
      <c r="BM62" s="107"/>
      <c r="BN62" s="108"/>
      <c r="BO62" s="87"/>
      <c r="BP62" s="107"/>
      <c r="BQ62" s="108"/>
      <c r="BR62" s="87"/>
      <c r="BS62" s="107"/>
      <c r="BT62" s="108"/>
      <c r="BU62" s="87"/>
      <c r="BV62" s="107"/>
      <c r="BW62" s="108"/>
      <c r="BX62" s="87"/>
      <c r="BY62" s="107"/>
      <c r="BZ62" s="108"/>
      <c r="CA62" s="87"/>
      <c r="CB62" s="107"/>
      <c r="CC62" s="108"/>
      <c r="CD62" s="87"/>
      <c r="CE62" s="107"/>
      <c r="CF62" s="108"/>
      <c r="CG62" s="87"/>
      <c r="CH62" s="107"/>
      <c r="CI62" s="108"/>
      <c r="CJ62" s="87"/>
      <c r="CK62" s="107"/>
      <c r="CL62" s="108"/>
      <c r="CM62" s="87"/>
      <c r="CN62" s="107"/>
      <c r="CO62" s="108"/>
      <c r="CP62" s="87"/>
      <c r="CQ62" s="107"/>
      <c r="CR62" s="108"/>
      <c r="CS62" s="87"/>
      <c r="CT62" s="107"/>
      <c r="CU62" s="108"/>
      <c r="CV62" s="87"/>
      <c r="CW62" s="107"/>
      <c r="CX62" s="108"/>
      <c r="CY62" s="87"/>
      <c r="CZ62" s="107"/>
      <c r="DA62" s="108"/>
      <c r="DB62" s="87"/>
      <c r="DC62" s="107"/>
      <c r="DD62" s="108"/>
      <c r="DE62" s="87"/>
      <c r="DF62" s="107"/>
      <c r="DG62" s="108"/>
      <c r="DH62" s="87"/>
      <c r="DI62" s="107"/>
      <c r="DJ62" s="108"/>
      <c r="DK62" s="87"/>
      <c r="DL62" s="107"/>
      <c r="DM62" s="108"/>
      <c r="DN62" s="87"/>
      <c r="DO62" s="107"/>
      <c r="DP62" s="108"/>
      <c r="DQ62" s="87"/>
      <c r="DR62" s="107"/>
      <c r="DS62" s="108"/>
      <c r="DT62" s="87"/>
      <c r="DU62" s="107"/>
      <c r="DV62" s="108"/>
      <c r="DW62" s="87"/>
      <c r="DX62" s="107"/>
      <c r="DY62" s="108"/>
      <c r="DZ62" s="87"/>
      <c r="EA62" s="107"/>
      <c r="EB62" s="108"/>
      <c r="EC62" s="87"/>
      <c r="ED62" s="107"/>
      <c r="EE62" s="108"/>
      <c r="EF62" s="87"/>
      <c r="EG62" s="107"/>
      <c r="EH62" s="108"/>
      <c r="EI62" s="87"/>
      <c r="EJ62" s="107"/>
      <c r="EK62" s="108"/>
      <c r="EL62" s="87"/>
      <c r="EM62" s="107"/>
      <c r="EN62" s="108"/>
      <c r="EO62" s="87"/>
      <c r="EP62" s="107"/>
      <c r="EQ62" s="108"/>
      <c r="ER62" s="87"/>
      <c r="ES62" s="107"/>
      <c r="ET62" s="108"/>
      <c r="EU62" s="87"/>
      <c r="EV62" s="107"/>
      <c r="EW62" s="108"/>
      <c r="EX62" s="87"/>
      <c r="EY62" s="107"/>
      <c r="EZ62" s="108"/>
      <c r="FA62" s="87"/>
      <c r="FB62" s="107"/>
      <c r="FC62" s="108"/>
      <c r="FD62" s="87"/>
      <c r="FE62" s="107"/>
      <c r="FF62" s="108"/>
      <c r="FG62" s="87"/>
      <c r="FH62" s="107"/>
      <c r="FI62" s="108"/>
      <c r="FJ62" s="87"/>
      <c r="FK62" s="107"/>
      <c r="FL62" s="108"/>
      <c r="FM62" s="87"/>
      <c r="FN62" s="107"/>
      <c r="FO62" s="108"/>
      <c r="FP62" s="87"/>
      <c r="FQ62" s="107"/>
      <c r="FR62" s="108"/>
      <c r="FS62" s="87"/>
      <c r="FT62" s="107"/>
      <c r="FU62" s="108"/>
      <c r="FV62" s="87"/>
      <c r="FW62" s="107"/>
      <c r="FX62" s="108"/>
      <c r="FY62" s="87"/>
      <c r="FZ62" s="107"/>
      <c r="GA62" s="108"/>
      <c r="GB62" s="87"/>
      <c r="GC62" s="107"/>
      <c r="GD62" s="108"/>
      <c r="GE62" s="87"/>
      <c r="GF62" s="107"/>
      <c r="GG62" s="108"/>
      <c r="GH62" s="87"/>
      <c r="GI62" s="107"/>
      <c r="GJ62" s="108"/>
      <c r="GK62" s="87"/>
      <c r="GL62" s="107"/>
      <c r="GM62" s="108"/>
      <c r="GN62" s="87"/>
      <c r="GO62" s="107"/>
      <c r="GP62" s="108"/>
      <c r="GQ62" s="87"/>
      <c r="GR62" s="107"/>
      <c r="GS62" s="108"/>
      <c r="GT62" s="87"/>
      <c r="GU62" s="107"/>
      <c r="GV62" s="108"/>
      <c r="GW62" s="87"/>
      <c r="GX62" s="107"/>
      <c r="GY62" s="108"/>
      <c r="GZ62" s="87"/>
      <c r="HA62" s="107"/>
      <c r="HB62" s="108"/>
      <c r="HC62" s="87"/>
      <c r="HD62" s="107"/>
      <c r="HE62" s="108"/>
      <c r="HF62" s="87"/>
      <c r="HG62" s="107"/>
      <c r="HH62" s="108"/>
      <c r="HI62" s="87"/>
      <c r="HJ62" s="107"/>
      <c r="HK62" s="108"/>
      <c r="HM62" s="109">
        <v>5101</v>
      </c>
      <c r="HN62" s="89" t="s">
        <v>317</v>
      </c>
      <c r="HO62" s="90"/>
      <c r="HP62" s="110">
        <f>FQ$101</f>
        <v>0</v>
      </c>
      <c r="HQ62" s="111">
        <f>FR$101</f>
        <v>0</v>
      </c>
      <c r="HR62" s="93" t="s">
        <v>754</v>
      </c>
      <c r="HS62" s="94">
        <f t="shared" si="0"/>
        <v>0</v>
      </c>
    </row>
    <row r="63" ht="14.25" customHeight="1" spans="1:245">
      <c r="A63" s="82">
        <v>5201</v>
      </c>
      <c r="B63" s="83" t="s">
        <v>548</v>
      </c>
      <c r="C63" s="148"/>
      <c r="D63" s="148"/>
      <c r="E63" s="107"/>
      <c r="F63" s="108"/>
      <c r="G63" s="87"/>
      <c r="H63" s="107"/>
      <c r="I63" s="108"/>
      <c r="J63" s="87"/>
      <c r="K63" s="107"/>
      <c r="L63" s="108"/>
      <c r="M63" s="87"/>
      <c r="N63" s="107"/>
      <c r="O63" s="108"/>
      <c r="P63" s="87"/>
      <c r="Q63" s="107"/>
      <c r="R63" s="108"/>
      <c r="S63" s="87"/>
      <c r="T63" s="107"/>
      <c r="U63" s="108"/>
      <c r="V63" s="87"/>
      <c r="W63" s="107"/>
      <c r="X63" s="108"/>
      <c r="Y63" s="87"/>
      <c r="Z63" s="107"/>
      <c r="AA63" s="108"/>
      <c r="AB63" s="87"/>
      <c r="AC63" s="107"/>
      <c r="AD63" s="108"/>
      <c r="AE63" s="87"/>
      <c r="AF63" s="107"/>
      <c r="AG63" s="108"/>
      <c r="AH63" s="87"/>
      <c r="AI63" s="107"/>
      <c r="AJ63" s="108"/>
      <c r="AK63" s="87"/>
      <c r="AL63" s="107"/>
      <c r="AM63" s="108"/>
      <c r="AN63" s="87"/>
      <c r="AO63" s="107"/>
      <c r="AP63" s="108"/>
      <c r="AQ63" s="87"/>
      <c r="AR63" s="107"/>
      <c r="AS63" s="108"/>
      <c r="AT63" s="87"/>
      <c r="AU63" s="107"/>
      <c r="AV63" s="108"/>
      <c r="AW63" s="87"/>
      <c r="AX63" s="107"/>
      <c r="AY63" s="108"/>
      <c r="AZ63" s="87"/>
      <c r="BA63" s="107"/>
      <c r="BB63" s="108"/>
      <c r="BC63" s="87"/>
      <c r="BD63" s="107"/>
      <c r="BE63" s="108"/>
      <c r="BF63" s="87"/>
      <c r="BG63" s="107"/>
      <c r="BH63" s="108"/>
      <c r="BI63" s="87"/>
      <c r="BJ63" s="107"/>
      <c r="BK63" s="108"/>
      <c r="BL63" s="87"/>
      <c r="BM63" s="107"/>
      <c r="BN63" s="108"/>
      <c r="BO63" s="87"/>
      <c r="BP63" s="107"/>
      <c r="BQ63" s="108"/>
      <c r="BR63" s="87"/>
      <c r="BS63" s="107"/>
      <c r="BT63" s="108"/>
      <c r="BU63" s="87"/>
      <c r="BV63" s="107"/>
      <c r="BW63" s="108"/>
      <c r="BX63" s="87"/>
      <c r="BY63" s="107"/>
      <c r="BZ63" s="108"/>
      <c r="CA63" s="87"/>
      <c r="CB63" s="107"/>
      <c r="CC63" s="108"/>
      <c r="CD63" s="87"/>
      <c r="CE63" s="107"/>
      <c r="CF63" s="108"/>
      <c r="CG63" s="87"/>
      <c r="CH63" s="107"/>
      <c r="CI63" s="108"/>
      <c r="CJ63" s="87"/>
      <c r="CK63" s="107"/>
      <c r="CL63" s="108"/>
      <c r="CM63" s="87"/>
      <c r="CN63" s="107"/>
      <c r="CO63" s="108"/>
      <c r="CP63" s="87"/>
      <c r="CQ63" s="107"/>
      <c r="CR63" s="108"/>
      <c r="CS63" s="87"/>
      <c r="CT63" s="107"/>
      <c r="CU63" s="108"/>
      <c r="CV63" s="87"/>
      <c r="CW63" s="107"/>
      <c r="CX63" s="108"/>
      <c r="CY63" s="87"/>
      <c r="CZ63" s="107"/>
      <c r="DA63" s="108"/>
      <c r="DB63" s="87"/>
      <c r="DC63" s="107"/>
      <c r="DD63" s="108"/>
      <c r="DE63" s="87"/>
      <c r="DF63" s="107"/>
      <c r="DG63" s="108"/>
      <c r="DH63" s="87"/>
      <c r="DI63" s="107"/>
      <c r="DJ63" s="108"/>
      <c r="DK63" s="87"/>
      <c r="DL63" s="107"/>
      <c r="DM63" s="108"/>
      <c r="DN63" s="87"/>
      <c r="DO63" s="107"/>
      <c r="DP63" s="108"/>
      <c r="DQ63" s="87"/>
      <c r="DR63" s="107"/>
      <c r="DS63" s="108"/>
      <c r="DT63" s="87"/>
      <c r="DU63" s="107"/>
      <c r="DV63" s="108"/>
      <c r="DW63" s="87"/>
      <c r="DX63" s="107"/>
      <c r="DY63" s="108"/>
      <c r="DZ63" s="87"/>
      <c r="EA63" s="107"/>
      <c r="EB63" s="108"/>
      <c r="EC63" s="87"/>
      <c r="ED63" s="107"/>
      <c r="EE63" s="108"/>
      <c r="EF63" s="87"/>
      <c r="EG63" s="107"/>
      <c r="EH63" s="108"/>
      <c r="EI63" s="87"/>
      <c r="EJ63" s="107"/>
      <c r="EK63" s="108"/>
      <c r="EL63" s="87"/>
      <c r="EM63" s="107"/>
      <c r="EN63" s="108"/>
      <c r="EO63" s="87"/>
      <c r="EP63" s="107"/>
      <c r="EQ63" s="108"/>
      <c r="ER63" s="87"/>
      <c r="ES63" s="107"/>
      <c r="ET63" s="108"/>
      <c r="EU63" s="87"/>
      <c r="EV63" s="107"/>
      <c r="EW63" s="108"/>
      <c r="EX63" s="87"/>
      <c r="EY63" s="107"/>
      <c r="EZ63" s="108"/>
      <c r="FA63" s="87"/>
      <c r="FB63" s="107"/>
      <c r="FC63" s="108"/>
      <c r="FD63" s="87"/>
      <c r="FE63" s="107"/>
      <c r="FF63" s="108"/>
      <c r="FG63" s="87"/>
      <c r="FH63" s="107"/>
      <c r="FI63" s="108"/>
      <c r="FJ63" s="87"/>
      <c r="FK63" s="107"/>
      <c r="FL63" s="108"/>
      <c r="FM63" s="87"/>
      <c r="FN63" s="107"/>
      <c r="FO63" s="108"/>
      <c r="FP63" s="87"/>
      <c r="FQ63" s="107"/>
      <c r="FR63" s="108"/>
      <c r="FS63" s="87"/>
      <c r="FT63" s="107"/>
      <c r="FU63" s="108"/>
      <c r="FV63" s="87"/>
      <c r="FW63" s="107"/>
      <c r="FX63" s="108"/>
      <c r="FY63" s="87"/>
      <c r="FZ63" s="107"/>
      <c r="GA63" s="108"/>
      <c r="GB63" s="87"/>
      <c r="GC63" s="107"/>
      <c r="GD63" s="108"/>
      <c r="GE63" s="87"/>
      <c r="GF63" s="107"/>
      <c r="GG63" s="108"/>
      <c r="GH63" s="87"/>
      <c r="GI63" s="107"/>
      <c r="GJ63" s="108"/>
      <c r="GK63" s="87"/>
      <c r="GL63" s="107"/>
      <c r="GM63" s="108"/>
      <c r="GN63" s="87"/>
      <c r="GO63" s="107"/>
      <c r="GP63" s="108"/>
      <c r="GQ63" s="87"/>
      <c r="GR63" s="107"/>
      <c r="GS63" s="108"/>
      <c r="GT63" s="87"/>
      <c r="GU63" s="107"/>
      <c r="GV63" s="108"/>
      <c r="GW63" s="87"/>
      <c r="GX63" s="107"/>
      <c r="GY63" s="108"/>
      <c r="GZ63" s="87"/>
      <c r="HA63" s="107"/>
      <c r="HB63" s="108"/>
      <c r="HC63" s="87"/>
      <c r="HD63" s="107"/>
      <c r="HE63" s="108"/>
      <c r="HF63" s="87"/>
      <c r="HG63" s="107"/>
      <c r="HH63" s="108"/>
      <c r="HI63" s="87"/>
      <c r="HJ63" s="107"/>
      <c r="HK63" s="108"/>
      <c r="HM63" s="109">
        <v>5201</v>
      </c>
      <c r="HN63" s="89" t="s">
        <v>548</v>
      </c>
      <c r="HO63" s="90"/>
      <c r="HP63" s="110">
        <f>FT$101</f>
        <v>0</v>
      </c>
      <c r="HQ63" s="111">
        <f>FU$101</f>
        <v>0</v>
      </c>
      <c r="HR63" s="93" t="s">
        <v>754</v>
      </c>
      <c r="HS63" s="94">
        <f t="shared" si="0"/>
        <v>0</v>
      </c>
    </row>
    <row r="64" ht="14.25" customHeight="1" spans="1:245">
      <c r="A64" s="82">
        <v>6001</v>
      </c>
      <c r="B64" s="83" t="s">
        <v>351</v>
      </c>
      <c r="C64" s="148"/>
      <c r="D64" s="148"/>
      <c r="E64" s="107"/>
      <c r="F64" s="108"/>
      <c r="G64" s="87"/>
      <c r="H64" s="107"/>
      <c r="I64" s="108"/>
      <c r="J64" s="87"/>
      <c r="K64" s="107"/>
      <c r="L64" s="108"/>
      <c r="M64" s="87"/>
      <c r="N64" s="107"/>
      <c r="O64" s="108"/>
      <c r="P64" s="87"/>
      <c r="Q64" s="107"/>
      <c r="R64" s="108"/>
      <c r="S64" s="87"/>
      <c r="T64" s="107"/>
      <c r="U64" s="108"/>
      <c r="V64" s="87"/>
      <c r="W64" s="107"/>
      <c r="X64" s="108"/>
      <c r="Y64" s="87"/>
      <c r="Z64" s="107"/>
      <c r="AA64" s="108"/>
      <c r="AB64" s="87"/>
      <c r="AC64" s="107"/>
      <c r="AD64" s="108"/>
      <c r="AE64" s="87"/>
      <c r="AF64" s="107"/>
      <c r="AG64" s="108"/>
      <c r="AH64" s="87"/>
      <c r="AI64" s="107"/>
      <c r="AJ64" s="108"/>
      <c r="AK64" s="87"/>
      <c r="AL64" s="107"/>
      <c r="AM64" s="108"/>
      <c r="AN64" s="87"/>
      <c r="AO64" s="107"/>
      <c r="AP64" s="108"/>
      <c r="AQ64" s="87"/>
      <c r="AR64" s="107"/>
      <c r="AS64" s="108"/>
      <c r="AT64" s="87"/>
      <c r="AU64" s="107"/>
      <c r="AV64" s="108"/>
      <c r="AW64" s="87"/>
      <c r="AX64" s="107"/>
      <c r="AY64" s="108"/>
      <c r="AZ64" s="87"/>
      <c r="BA64" s="107"/>
      <c r="BB64" s="108"/>
      <c r="BC64" s="87"/>
      <c r="BD64" s="107"/>
      <c r="BE64" s="108"/>
      <c r="BF64" s="87"/>
      <c r="BG64" s="107"/>
      <c r="BH64" s="108"/>
      <c r="BI64" s="87"/>
      <c r="BJ64" s="107"/>
      <c r="BK64" s="108"/>
      <c r="BL64" s="87"/>
      <c r="BM64" s="107"/>
      <c r="BN64" s="108"/>
      <c r="BO64" s="87"/>
      <c r="BP64" s="107"/>
      <c r="BQ64" s="108"/>
      <c r="BR64" s="87"/>
      <c r="BS64" s="107"/>
      <c r="BT64" s="108"/>
      <c r="BU64" s="87"/>
      <c r="BV64" s="107"/>
      <c r="BW64" s="108"/>
      <c r="BX64" s="87"/>
      <c r="BY64" s="107"/>
      <c r="BZ64" s="108"/>
      <c r="CA64" s="87"/>
      <c r="CB64" s="107"/>
      <c r="CC64" s="108"/>
      <c r="CD64" s="87"/>
      <c r="CE64" s="107"/>
      <c r="CF64" s="108"/>
      <c r="CG64" s="87"/>
      <c r="CH64" s="107"/>
      <c r="CI64" s="108"/>
      <c r="CJ64" s="87"/>
      <c r="CK64" s="107"/>
      <c r="CL64" s="108"/>
      <c r="CM64" s="87"/>
      <c r="CN64" s="107"/>
      <c r="CO64" s="108"/>
      <c r="CP64" s="87"/>
      <c r="CQ64" s="107"/>
      <c r="CR64" s="108"/>
      <c r="CS64" s="87"/>
      <c r="CT64" s="107"/>
      <c r="CU64" s="108"/>
      <c r="CV64" s="87"/>
      <c r="CW64" s="107"/>
      <c r="CX64" s="108"/>
      <c r="CY64" s="87"/>
      <c r="CZ64" s="107"/>
      <c r="DA64" s="108"/>
      <c r="DB64" s="87"/>
      <c r="DC64" s="107"/>
      <c r="DD64" s="108"/>
      <c r="DE64" s="87"/>
      <c r="DF64" s="107"/>
      <c r="DG64" s="108"/>
      <c r="DH64" s="87"/>
      <c r="DI64" s="107"/>
      <c r="DJ64" s="108"/>
      <c r="DK64" s="87"/>
      <c r="DL64" s="107"/>
      <c r="DM64" s="108"/>
      <c r="DN64" s="87"/>
      <c r="DO64" s="107"/>
      <c r="DP64" s="108"/>
      <c r="DQ64" s="87"/>
      <c r="DR64" s="107"/>
      <c r="DS64" s="108"/>
      <c r="DT64" s="87"/>
      <c r="DU64" s="107"/>
      <c r="DV64" s="108"/>
      <c r="DW64" s="87"/>
      <c r="DX64" s="107"/>
      <c r="DY64" s="108"/>
      <c r="DZ64" s="87"/>
      <c r="EA64" s="107"/>
      <c r="EB64" s="108"/>
      <c r="EC64" s="87"/>
      <c r="ED64" s="107"/>
      <c r="EE64" s="108"/>
      <c r="EF64" s="87"/>
      <c r="EG64" s="107"/>
      <c r="EH64" s="108"/>
      <c r="EI64" s="87"/>
      <c r="EJ64" s="107"/>
      <c r="EK64" s="108"/>
      <c r="EL64" s="87"/>
      <c r="EM64" s="107"/>
      <c r="EN64" s="108"/>
      <c r="EO64" s="87"/>
      <c r="EP64" s="107"/>
      <c r="EQ64" s="108"/>
      <c r="ER64" s="87"/>
      <c r="ES64" s="107"/>
      <c r="ET64" s="108"/>
      <c r="EU64" s="87"/>
      <c r="EV64" s="107"/>
      <c r="EW64" s="108"/>
      <c r="EX64" s="87"/>
      <c r="EY64" s="107"/>
      <c r="EZ64" s="108"/>
      <c r="FA64" s="87"/>
      <c r="FB64" s="107"/>
      <c r="FC64" s="108"/>
      <c r="FD64" s="87"/>
      <c r="FE64" s="107"/>
      <c r="FF64" s="108"/>
      <c r="FG64" s="87"/>
      <c r="FH64" s="107"/>
      <c r="FI64" s="108"/>
      <c r="FJ64" s="87"/>
      <c r="FK64" s="107"/>
      <c r="FL64" s="108"/>
      <c r="FM64" s="87"/>
      <c r="FN64" s="107"/>
      <c r="FO64" s="108"/>
      <c r="FP64" s="87"/>
      <c r="FQ64" s="107"/>
      <c r="FR64" s="108"/>
      <c r="FS64" s="87"/>
      <c r="FT64" s="107"/>
      <c r="FU64" s="108"/>
      <c r="FV64" s="87"/>
      <c r="FW64" s="107"/>
      <c r="FX64" s="108"/>
      <c r="FY64" s="87"/>
      <c r="FZ64" s="107"/>
      <c r="GA64" s="108"/>
      <c r="GB64" s="87"/>
      <c r="GC64" s="107"/>
      <c r="GD64" s="108"/>
      <c r="GE64" s="87"/>
      <c r="GF64" s="107"/>
      <c r="GG64" s="108"/>
      <c r="GH64" s="87"/>
      <c r="GI64" s="107"/>
      <c r="GJ64" s="108"/>
      <c r="GK64" s="87"/>
      <c r="GL64" s="107"/>
      <c r="GM64" s="108"/>
      <c r="GN64" s="87"/>
      <c r="GO64" s="107"/>
      <c r="GP64" s="108"/>
      <c r="GQ64" s="87"/>
      <c r="GR64" s="107"/>
      <c r="GS64" s="108"/>
      <c r="GT64" s="87"/>
      <c r="GU64" s="107"/>
      <c r="GV64" s="108"/>
      <c r="GW64" s="87"/>
      <c r="GX64" s="107"/>
      <c r="GY64" s="108"/>
      <c r="GZ64" s="87"/>
      <c r="HA64" s="107"/>
      <c r="HB64" s="108"/>
      <c r="HC64" s="87"/>
      <c r="HD64" s="107"/>
      <c r="HE64" s="108"/>
      <c r="HF64" s="87"/>
      <c r="HG64" s="107"/>
      <c r="HH64" s="108"/>
      <c r="HI64" s="87"/>
      <c r="HJ64" s="107"/>
      <c r="HK64" s="108"/>
      <c r="HM64" s="109">
        <v>6001</v>
      </c>
      <c r="HN64" s="89" t="s">
        <v>351</v>
      </c>
      <c r="HO64" s="90"/>
      <c r="HP64" s="110">
        <f>FW$101</f>
        <v>0</v>
      </c>
      <c r="HQ64" s="111">
        <f>FX$101</f>
        <v>0</v>
      </c>
      <c r="HR64" s="93" t="s">
        <v>755</v>
      </c>
      <c r="HS64" s="94">
        <f t="shared" si="0"/>
        <v>0</v>
      </c>
    </row>
    <row r="65" ht="14.25" customHeight="1" spans="1:227">
      <c r="A65" s="82">
        <v>6011</v>
      </c>
      <c r="B65" s="83" t="s">
        <v>557</v>
      </c>
      <c r="C65" s="148"/>
      <c r="D65" s="148"/>
      <c r="E65" s="107"/>
      <c r="F65" s="108"/>
      <c r="G65" s="87"/>
      <c r="H65" s="107"/>
      <c r="I65" s="108"/>
      <c r="J65" s="87"/>
      <c r="K65" s="107"/>
      <c r="L65" s="108"/>
      <c r="M65" s="87"/>
      <c r="N65" s="107"/>
      <c r="O65" s="108"/>
      <c r="P65" s="87"/>
      <c r="Q65" s="107"/>
      <c r="R65" s="108"/>
      <c r="S65" s="87"/>
      <c r="T65" s="107"/>
      <c r="U65" s="108"/>
      <c r="V65" s="87"/>
      <c r="W65" s="107"/>
      <c r="X65" s="108"/>
      <c r="Y65" s="87"/>
      <c r="Z65" s="107"/>
      <c r="AA65" s="108"/>
      <c r="AB65" s="87"/>
      <c r="AC65" s="107"/>
      <c r="AD65" s="108"/>
      <c r="AE65" s="87"/>
      <c r="AF65" s="107"/>
      <c r="AG65" s="108"/>
      <c r="AH65" s="87"/>
      <c r="AI65" s="107"/>
      <c r="AJ65" s="108"/>
      <c r="AK65" s="87"/>
      <c r="AL65" s="107"/>
      <c r="AM65" s="108"/>
      <c r="AN65" s="87"/>
      <c r="AO65" s="107"/>
      <c r="AP65" s="108"/>
      <c r="AQ65" s="87"/>
      <c r="AR65" s="107"/>
      <c r="AS65" s="108"/>
      <c r="AT65" s="87"/>
      <c r="AU65" s="107"/>
      <c r="AV65" s="108"/>
      <c r="AW65" s="87"/>
      <c r="AX65" s="107"/>
      <c r="AY65" s="108"/>
      <c r="AZ65" s="87"/>
      <c r="BA65" s="107"/>
      <c r="BB65" s="108"/>
      <c r="BC65" s="87"/>
      <c r="BD65" s="107"/>
      <c r="BE65" s="108"/>
      <c r="BF65" s="87"/>
      <c r="BG65" s="107"/>
      <c r="BH65" s="108"/>
      <c r="BI65" s="87"/>
      <c r="BJ65" s="107"/>
      <c r="BK65" s="108"/>
      <c r="BL65" s="87"/>
      <c r="BM65" s="107"/>
      <c r="BN65" s="108"/>
      <c r="BO65" s="87"/>
      <c r="BP65" s="107"/>
      <c r="BQ65" s="108"/>
      <c r="BR65" s="87"/>
      <c r="BS65" s="107"/>
      <c r="BT65" s="108"/>
      <c r="BU65" s="87"/>
      <c r="BV65" s="107"/>
      <c r="BW65" s="108"/>
      <c r="BX65" s="87"/>
      <c r="BY65" s="107"/>
      <c r="BZ65" s="108"/>
      <c r="CA65" s="87"/>
      <c r="CB65" s="107"/>
      <c r="CC65" s="108"/>
      <c r="CD65" s="87"/>
      <c r="CE65" s="107"/>
      <c r="CF65" s="108"/>
      <c r="CG65" s="87"/>
      <c r="CH65" s="107"/>
      <c r="CI65" s="108"/>
      <c r="CJ65" s="87"/>
      <c r="CK65" s="107"/>
      <c r="CL65" s="108"/>
      <c r="CM65" s="87"/>
      <c r="CN65" s="107"/>
      <c r="CO65" s="108"/>
      <c r="CP65" s="87"/>
      <c r="CQ65" s="107"/>
      <c r="CR65" s="108"/>
      <c r="CS65" s="87"/>
      <c r="CT65" s="107"/>
      <c r="CU65" s="108"/>
      <c r="CV65" s="87"/>
      <c r="CW65" s="107"/>
      <c r="CX65" s="108"/>
      <c r="CY65" s="87"/>
      <c r="CZ65" s="107"/>
      <c r="DA65" s="108"/>
      <c r="DB65" s="87"/>
      <c r="DC65" s="107"/>
      <c r="DD65" s="108"/>
      <c r="DE65" s="87"/>
      <c r="DF65" s="107"/>
      <c r="DG65" s="108"/>
      <c r="DH65" s="87"/>
      <c r="DI65" s="107"/>
      <c r="DJ65" s="108"/>
      <c r="DK65" s="87"/>
      <c r="DL65" s="107"/>
      <c r="DM65" s="108"/>
      <c r="DN65" s="87"/>
      <c r="DO65" s="107"/>
      <c r="DP65" s="108"/>
      <c r="DQ65" s="87"/>
      <c r="DR65" s="107"/>
      <c r="DS65" s="108"/>
      <c r="DT65" s="87"/>
      <c r="DU65" s="107"/>
      <c r="DV65" s="108"/>
      <c r="DW65" s="87"/>
      <c r="DX65" s="107"/>
      <c r="DY65" s="108"/>
      <c r="DZ65" s="87"/>
      <c r="EA65" s="107"/>
      <c r="EB65" s="108"/>
      <c r="EC65" s="87"/>
      <c r="ED65" s="107"/>
      <c r="EE65" s="108"/>
      <c r="EF65" s="87"/>
      <c r="EG65" s="107"/>
      <c r="EH65" s="108"/>
      <c r="EI65" s="87"/>
      <c r="EJ65" s="107"/>
      <c r="EK65" s="108"/>
      <c r="EL65" s="87"/>
      <c r="EM65" s="107"/>
      <c r="EN65" s="108"/>
      <c r="EO65" s="87"/>
      <c r="EP65" s="107"/>
      <c r="EQ65" s="108"/>
      <c r="ER65" s="87"/>
      <c r="ES65" s="107"/>
      <c r="ET65" s="108"/>
      <c r="EU65" s="87"/>
      <c r="EV65" s="107"/>
      <c r="EW65" s="108"/>
      <c r="EX65" s="87"/>
      <c r="EY65" s="107"/>
      <c r="EZ65" s="108"/>
      <c r="FA65" s="87"/>
      <c r="FB65" s="107"/>
      <c r="FC65" s="108"/>
      <c r="FD65" s="87"/>
      <c r="FE65" s="107"/>
      <c r="FF65" s="108"/>
      <c r="FG65" s="87"/>
      <c r="FH65" s="107"/>
      <c r="FI65" s="108"/>
      <c r="FJ65" s="87"/>
      <c r="FK65" s="107"/>
      <c r="FL65" s="108"/>
      <c r="FM65" s="87"/>
      <c r="FN65" s="107"/>
      <c r="FO65" s="108"/>
      <c r="FP65" s="87"/>
      <c r="FQ65" s="107"/>
      <c r="FR65" s="108"/>
      <c r="FS65" s="87"/>
      <c r="FT65" s="107"/>
      <c r="FU65" s="108"/>
      <c r="FV65" s="87"/>
      <c r="FW65" s="107"/>
      <c r="FX65" s="108"/>
      <c r="FY65" s="87"/>
      <c r="FZ65" s="107"/>
      <c r="GA65" s="108"/>
      <c r="GB65" s="87"/>
      <c r="GC65" s="107"/>
      <c r="GD65" s="108"/>
      <c r="GE65" s="87"/>
      <c r="GF65" s="107"/>
      <c r="GG65" s="108"/>
      <c r="GH65" s="87"/>
      <c r="GI65" s="107"/>
      <c r="GJ65" s="108"/>
      <c r="GK65" s="87"/>
      <c r="GL65" s="107"/>
      <c r="GM65" s="108"/>
      <c r="GN65" s="87"/>
      <c r="GO65" s="107"/>
      <c r="GP65" s="108"/>
      <c r="GQ65" s="87"/>
      <c r="GR65" s="107"/>
      <c r="GS65" s="108"/>
      <c r="GT65" s="87"/>
      <c r="GU65" s="107"/>
      <c r="GV65" s="108"/>
      <c r="GW65" s="87"/>
      <c r="GX65" s="107"/>
      <c r="GY65" s="108"/>
      <c r="GZ65" s="87"/>
      <c r="HA65" s="107"/>
      <c r="HB65" s="108"/>
      <c r="HC65" s="87"/>
      <c r="HD65" s="107"/>
      <c r="HE65" s="108"/>
      <c r="HF65" s="87"/>
      <c r="HG65" s="107"/>
      <c r="HH65" s="108"/>
      <c r="HI65" s="87"/>
      <c r="HJ65" s="107"/>
      <c r="HK65" s="108"/>
      <c r="HM65" s="109">
        <v>6011</v>
      </c>
      <c r="HN65" s="89" t="s">
        <v>557</v>
      </c>
      <c r="HO65" s="90"/>
      <c r="HP65" s="110">
        <f>FZ$101</f>
        <v>0</v>
      </c>
      <c r="HQ65" s="111">
        <f>GA$101</f>
        <v>0</v>
      </c>
      <c r="HR65" s="93" t="s">
        <v>755</v>
      </c>
      <c r="HS65" s="94">
        <f t="shared" si="0"/>
        <v>0</v>
      </c>
    </row>
    <row r="66" ht="14.25" customHeight="1" spans="1:227">
      <c r="A66" s="82">
        <v>6051</v>
      </c>
      <c r="B66" s="83" t="s">
        <v>354</v>
      </c>
      <c r="C66" s="148"/>
      <c r="D66" s="148"/>
      <c r="E66" s="107"/>
      <c r="F66" s="108"/>
      <c r="G66" s="87"/>
      <c r="H66" s="107"/>
      <c r="I66" s="108"/>
      <c r="J66" s="87"/>
      <c r="K66" s="107"/>
      <c r="L66" s="108"/>
      <c r="M66" s="87"/>
      <c r="N66" s="107"/>
      <c r="O66" s="108"/>
      <c r="P66" s="87"/>
      <c r="Q66" s="107"/>
      <c r="R66" s="108"/>
      <c r="S66" s="87"/>
      <c r="T66" s="107"/>
      <c r="U66" s="108"/>
      <c r="V66" s="87"/>
      <c r="W66" s="107"/>
      <c r="X66" s="108"/>
      <c r="Y66" s="87"/>
      <c r="Z66" s="107"/>
      <c r="AA66" s="108"/>
      <c r="AB66" s="87"/>
      <c r="AC66" s="107"/>
      <c r="AD66" s="108"/>
      <c r="AE66" s="87"/>
      <c r="AF66" s="107"/>
      <c r="AG66" s="108"/>
      <c r="AH66" s="87"/>
      <c r="AI66" s="107"/>
      <c r="AJ66" s="108"/>
      <c r="AK66" s="87"/>
      <c r="AL66" s="107"/>
      <c r="AM66" s="108"/>
      <c r="AN66" s="87"/>
      <c r="AO66" s="107"/>
      <c r="AP66" s="108"/>
      <c r="AQ66" s="87"/>
      <c r="AR66" s="107"/>
      <c r="AS66" s="108"/>
      <c r="AT66" s="87"/>
      <c r="AU66" s="107"/>
      <c r="AV66" s="108"/>
      <c r="AW66" s="87"/>
      <c r="AX66" s="107"/>
      <c r="AY66" s="108"/>
      <c r="AZ66" s="87"/>
      <c r="BA66" s="107"/>
      <c r="BB66" s="108"/>
      <c r="BC66" s="87"/>
      <c r="BD66" s="107"/>
      <c r="BE66" s="108"/>
      <c r="BF66" s="87"/>
      <c r="BG66" s="107"/>
      <c r="BH66" s="108"/>
      <c r="BI66" s="87"/>
      <c r="BJ66" s="107"/>
      <c r="BK66" s="108"/>
      <c r="BL66" s="87"/>
      <c r="BM66" s="107"/>
      <c r="BN66" s="108"/>
      <c r="BO66" s="87"/>
      <c r="BP66" s="107"/>
      <c r="BQ66" s="108"/>
      <c r="BR66" s="87"/>
      <c r="BS66" s="107"/>
      <c r="BT66" s="108"/>
      <c r="BU66" s="87"/>
      <c r="BV66" s="107"/>
      <c r="BW66" s="108"/>
      <c r="BX66" s="87"/>
      <c r="BY66" s="107"/>
      <c r="BZ66" s="108"/>
      <c r="CA66" s="87"/>
      <c r="CB66" s="107"/>
      <c r="CC66" s="108"/>
      <c r="CD66" s="87"/>
      <c r="CE66" s="107"/>
      <c r="CF66" s="108"/>
      <c r="CG66" s="87"/>
      <c r="CH66" s="107"/>
      <c r="CI66" s="108"/>
      <c r="CJ66" s="87"/>
      <c r="CK66" s="107"/>
      <c r="CL66" s="108"/>
      <c r="CM66" s="87"/>
      <c r="CN66" s="107"/>
      <c r="CO66" s="108"/>
      <c r="CP66" s="87"/>
      <c r="CQ66" s="107"/>
      <c r="CR66" s="108"/>
      <c r="CS66" s="87"/>
      <c r="CT66" s="107"/>
      <c r="CU66" s="108"/>
      <c r="CV66" s="87"/>
      <c r="CW66" s="107"/>
      <c r="CX66" s="108"/>
      <c r="CY66" s="87"/>
      <c r="CZ66" s="107"/>
      <c r="DA66" s="108"/>
      <c r="DB66" s="87"/>
      <c r="DC66" s="107"/>
      <c r="DD66" s="108"/>
      <c r="DE66" s="87"/>
      <c r="DF66" s="107"/>
      <c r="DG66" s="108"/>
      <c r="DH66" s="87"/>
      <c r="DI66" s="107"/>
      <c r="DJ66" s="108"/>
      <c r="DK66" s="87"/>
      <c r="DL66" s="107"/>
      <c r="DM66" s="108"/>
      <c r="DN66" s="87"/>
      <c r="DO66" s="107"/>
      <c r="DP66" s="108"/>
      <c r="DQ66" s="87"/>
      <c r="DR66" s="107"/>
      <c r="DS66" s="108"/>
      <c r="DT66" s="87"/>
      <c r="DU66" s="107"/>
      <c r="DV66" s="108"/>
      <c r="DW66" s="87"/>
      <c r="DX66" s="107"/>
      <c r="DY66" s="108"/>
      <c r="DZ66" s="87"/>
      <c r="EA66" s="107"/>
      <c r="EB66" s="108"/>
      <c r="EC66" s="87"/>
      <c r="ED66" s="107"/>
      <c r="EE66" s="108"/>
      <c r="EF66" s="87"/>
      <c r="EG66" s="107"/>
      <c r="EH66" s="108"/>
      <c r="EI66" s="87"/>
      <c r="EJ66" s="107"/>
      <c r="EK66" s="108"/>
      <c r="EL66" s="87"/>
      <c r="EM66" s="107"/>
      <c r="EN66" s="108"/>
      <c r="EO66" s="87"/>
      <c r="EP66" s="107"/>
      <c r="EQ66" s="108"/>
      <c r="ER66" s="87"/>
      <c r="ES66" s="107"/>
      <c r="ET66" s="108"/>
      <c r="EU66" s="87"/>
      <c r="EV66" s="107"/>
      <c r="EW66" s="108"/>
      <c r="EX66" s="87"/>
      <c r="EY66" s="107"/>
      <c r="EZ66" s="108"/>
      <c r="FA66" s="87"/>
      <c r="FB66" s="107"/>
      <c r="FC66" s="108"/>
      <c r="FD66" s="87"/>
      <c r="FE66" s="107"/>
      <c r="FF66" s="108"/>
      <c r="FG66" s="87"/>
      <c r="FH66" s="107"/>
      <c r="FI66" s="108"/>
      <c r="FJ66" s="87"/>
      <c r="FK66" s="107"/>
      <c r="FL66" s="108"/>
      <c r="FM66" s="87"/>
      <c r="FN66" s="107"/>
      <c r="FO66" s="108"/>
      <c r="FP66" s="87"/>
      <c r="FQ66" s="107"/>
      <c r="FR66" s="108"/>
      <c r="FS66" s="87"/>
      <c r="FT66" s="107"/>
      <c r="FU66" s="108"/>
      <c r="FV66" s="87"/>
      <c r="FW66" s="107"/>
      <c r="FX66" s="108"/>
      <c r="FY66" s="87"/>
      <c r="FZ66" s="107"/>
      <c r="GA66" s="108"/>
      <c r="GB66" s="87"/>
      <c r="GC66" s="107"/>
      <c r="GD66" s="108"/>
      <c r="GE66" s="87"/>
      <c r="GF66" s="107"/>
      <c r="GG66" s="108"/>
      <c r="GH66" s="87"/>
      <c r="GI66" s="107"/>
      <c r="GJ66" s="108"/>
      <c r="GK66" s="87"/>
      <c r="GL66" s="107"/>
      <c r="GM66" s="108"/>
      <c r="GN66" s="87"/>
      <c r="GO66" s="107"/>
      <c r="GP66" s="108"/>
      <c r="GQ66" s="87"/>
      <c r="GR66" s="107"/>
      <c r="GS66" s="108"/>
      <c r="GT66" s="87"/>
      <c r="GU66" s="107"/>
      <c r="GV66" s="108"/>
      <c r="GW66" s="87"/>
      <c r="GX66" s="107"/>
      <c r="GY66" s="108"/>
      <c r="GZ66" s="87"/>
      <c r="HA66" s="107"/>
      <c r="HB66" s="108"/>
      <c r="HC66" s="87"/>
      <c r="HD66" s="107"/>
      <c r="HE66" s="108"/>
      <c r="HF66" s="87"/>
      <c r="HG66" s="107"/>
      <c r="HH66" s="108"/>
      <c r="HI66" s="87"/>
      <c r="HJ66" s="107"/>
      <c r="HK66" s="108"/>
      <c r="HM66" s="109">
        <v>6051</v>
      </c>
      <c r="HN66" s="89" t="s">
        <v>354</v>
      </c>
      <c r="HO66" s="90"/>
      <c r="HP66" s="110">
        <f>GC$101</f>
        <v>0</v>
      </c>
      <c r="HQ66" s="111">
        <f>GD$101</f>
        <v>0</v>
      </c>
      <c r="HR66" s="93" t="s">
        <v>755</v>
      </c>
      <c r="HS66" s="94">
        <f t="shared" si="0"/>
        <v>0</v>
      </c>
    </row>
    <row r="67" ht="14.25" customHeight="1" spans="1:227">
      <c r="A67" s="82">
        <v>6111</v>
      </c>
      <c r="B67" s="83" t="s">
        <v>356</v>
      </c>
      <c r="C67" s="148"/>
      <c r="D67" s="148"/>
      <c r="E67" s="107"/>
      <c r="F67" s="108"/>
      <c r="G67" s="87"/>
      <c r="H67" s="107"/>
      <c r="I67" s="108"/>
      <c r="J67" s="87"/>
      <c r="K67" s="107"/>
      <c r="L67" s="108"/>
      <c r="M67" s="87"/>
      <c r="N67" s="107"/>
      <c r="O67" s="108"/>
      <c r="P67" s="87"/>
      <c r="Q67" s="107"/>
      <c r="R67" s="108"/>
      <c r="S67" s="87"/>
      <c r="T67" s="107"/>
      <c r="U67" s="108"/>
      <c r="V67" s="87"/>
      <c r="W67" s="107"/>
      <c r="X67" s="108"/>
      <c r="Y67" s="87"/>
      <c r="Z67" s="107"/>
      <c r="AA67" s="108"/>
      <c r="AB67" s="87"/>
      <c r="AC67" s="107"/>
      <c r="AD67" s="108"/>
      <c r="AE67" s="87"/>
      <c r="AF67" s="107"/>
      <c r="AG67" s="108"/>
      <c r="AH67" s="87"/>
      <c r="AI67" s="107"/>
      <c r="AJ67" s="108"/>
      <c r="AK67" s="87"/>
      <c r="AL67" s="107"/>
      <c r="AM67" s="108"/>
      <c r="AN67" s="87"/>
      <c r="AO67" s="107"/>
      <c r="AP67" s="108"/>
      <c r="AQ67" s="87"/>
      <c r="AR67" s="107"/>
      <c r="AS67" s="108"/>
      <c r="AT67" s="87"/>
      <c r="AU67" s="107"/>
      <c r="AV67" s="108"/>
      <c r="AW67" s="87"/>
      <c r="AX67" s="107"/>
      <c r="AY67" s="108"/>
      <c r="AZ67" s="87"/>
      <c r="BA67" s="107"/>
      <c r="BB67" s="108"/>
      <c r="BC67" s="87"/>
      <c r="BD67" s="107"/>
      <c r="BE67" s="108"/>
      <c r="BF67" s="87"/>
      <c r="BG67" s="107"/>
      <c r="BH67" s="108"/>
      <c r="BI67" s="87"/>
      <c r="BJ67" s="107"/>
      <c r="BK67" s="108"/>
      <c r="BL67" s="87"/>
      <c r="BM67" s="107"/>
      <c r="BN67" s="108"/>
      <c r="BO67" s="87"/>
      <c r="BP67" s="107"/>
      <c r="BQ67" s="108"/>
      <c r="BR67" s="87"/>
      <c r="BS67" s="107"/>
      <c r="BT67" s="108"/>
      <c r="BU67" s="87"/>
      <c r="BV67" s="107"/>
      <c r="BW67" s="108"/>
      <c r="BX67" s="87"/>
      <c r="BY67" s="107"/>
      <c r="BZ67" s="108"/>
      <c r="CA67" s="87"/>
      <c r="CB67" s="107"/>
      <c r="CC67" s="108"/>
      <c r="CD67" s="87"/>
      <c r="CE67" s="107"/>
      <c r="CF67" s="108"/>
      <c r="CG67" s="87"/>
      <c r="CH67" s="107"/>
      <c r="CI67" s="108"/>
      <c r="CJ67" s="87"/>
      <c r="CK67" s="107"/>
      <c r="CL67" s="108"/>
      <c r="CM67" s="87"/>
      <c r="CN67" s="107"/>
      <c r="CO67" s="108"/>
      <c r="CP67" s="87"/>
      <c r="CQ67" s="107"/>
      <c r="CR67" s="108"/>
      <c r="CS67" s="87"/>
      <c r="CT67" s="107"/>
      <c r="CU67" s="108"/>
      <c r="CV67" s="87"/>
      <c r="CW67" s="107"/>
      <c r="CX67" s="108"/>
      <c r="CY67" s="87"/>
      <c r="CZ67" s="107"/>
      <c r="DA67" s="108"/>
      <c r="DB67" s="87"/>
      <c r="DC67" s="107"/>
      <c r="DD67" s="108"/>
      <c r="DE67" s="87"/>
      <c r="DF67" s="107"/>
      <c r="DG67" s="108"/>
      <c r="DH67" s="87"/>
      <c r="DI67" s="107"/>
      <c r="DJ67" s="108"/>
      <c r="DK67" s="87"/>
      <c r="DL67" s="107"/>
      <c r="DM67" s="108"/>
      <c r="DN67" s="87"/>
      <c r="DO67" s="107"/>
      <c r="DP67" s="108"/>
      <c r="DQ67" s="87"/>
      <c r="DR67" s="107"/>
      <c r="DS67" s="108"/>
      <c r="DT67" s="87"/>
      <c r="DU67" s="107"/>
      <c r="DV67" s="108"/>
      <c r="DW67" s="87"/>
      <c r="DX67" s="107"/>
      <c r="DY67" s="108"/>
      <c r="DZ67" s="87"/>
      <c r="EA67" s="107"/>
      <c r="EB67" s="108"/>
      <c r="EC67" s="87"/>
      <c r="ED67" s="107"/>
      <c r="EE67" s="108"/>
      <c r="EF67" s="87"/>
      <c r="EG67" s="107"/>
      <c r="EH67" s="108"/>
      <c r="EI67" s="87"/>
      <c r="EJ67" s="107"/>
      <c r="EK67" s="108"/>
      <c r="EL67" s="87"/>
      <c r="EM67" s="107"/>
      <c r="EN67" s="108"/>
      <c r="EO67" s="87"/>
      <c r="EP67" s="107"/>
      <c r="EQ67" s="108"/>
      <c r="ER67" s="87"/>
      <c r="ES67" s="107"/>
      <c r="ET67" s="108"/>
      <c r="EU67" s="87"/>
      <c r="EV67" s="107"/>
      <c r="EW67" s="108"/>
      <c r="EX67" s="87"/>
      <c r="EY67" s="107"/>
      <c r="EZ67" s="108"/>
      <c r="FA67" s="87"/>
      <c r="FB67" s="107"/>
      <c r="FC67" s="108"/>
      <c r="FD67" s="87"/>
      <c r="FE67" s="107"/>
      <c r="FF67" s="108"/>
      <c r="FG67" s="87"/>
      <c r="FH67" s="107"/>
      <c r="FI67" s="108"/>
      <c r="FJ67" s="87"/>
      <c r="FK67" s="107"/>
      <c r="FL67" s="108"/>
      <c r="FM67" s="87"/>
      <c r="FN67" s="107"/>
      <c r="FO67" s="108"/>
      <c r="FP67" s="87"/>
      <c r="FQ67" s="107"/>
      <c r="FR67" s="108"/>
      <c r="FS67" s="87"/>
      <c r="FT67" s="107"/>
      <c r="FU67" s="108"/>
      <c r="FV67" s="87"/>
      <c r="FW67" s="107"/>
      <c r="FX67" s="108"/>
      <c r="FY67" s="87"/>
      <c r="FZ67" s="107"/>
      <c r="GA67" s="108"/>
      <c r="GB67" s="87"/>
      <c r="GC67" s="107"/>
      <c r="GD67" s="108"/>
      <c r="GE67" s="87"/>
      <c r="GF67" s="107"/>
      <c r="GG67" s="108"/>
      <c r="GH67" s="87"/>
      <c r="GI67" s="107"/>
      <c r="GJ67" s="108"/>
      <c r="GK67" s="87"/>
      <c r="GL67" s="107"/>
      <c r="GM67" s="108"/>
      <c r="GN67" s="87"/>
      <c r="GO67" s="107"/>
      <c r="GP67" s="108"/>
      <c r="GQ67" s="87"/>
      <c r="GR67" s="107"/>
      <c r="GS67" s="108"/>
      <c r="GT67" s="87"/>
      <c r="GU67" s="107"/>
      <c r="GV67" s="108"/>
      <c r="GW67" s="87"/>
      <c r="GX67" s="107"/>
      <c r="GY67" s="108"/>
      <c r="GZ67" s="87"/>
      <c r="HA67" s="107"/>
      <c r="HB67" s="108"/>
      <c r="HC67" s="87"/>
      <c r="HD67" s="107"/>
      <c r="HE67" s="108"/>
      <c r="HF67" s="87"/>
      <c r="HG67" s="107"/>
      <c r="HH67" s="108"/>
      <c r="HI67" s="87"/>
      <c r="HJ67" s="107"/>
      <c r="HK67" s="108"/>
      <c r="HM67" s="109">
        <v>6111</v>
      </c>
      <c r="HN67" s="89" t="s">
        <v>356</v>
      </c>
      <c r="HO67" s="90"/>
      <c r="HP67" s="110">
        <f>GF$101</f>
        <v>0</v>
      </c>
      <c r="HQ67" s="111">
        <f>GG$101</f>
        <v>0</v>
      </c>
      <c r="HR67" s="93" t="s">
        <v>755</v>
      </c>
      <c r="HS67" s="94">
        <f t="shared" si="0"/>
        <v>0</v>
      </c>
    </row>
    <row r="68" ht="14.25" customHeight="1" spans="1:227">
      <c r="A68" s="82">
        <v>6301</v>
      </c>
      <c r="B68" s="83" t="s">
        <v>359</v>
      </c>
      <c r="C68" s="148"/>
      <c r="D68" s="148"/>
      <c r="E68" s="107"/>
      <c r="F68" s="108"/>
      <c r="G68" s="87"/>
      <c r="H68" s="107"/>
      <c r="I68" s="108"/>
      <c r="J68" s="87"/>
      <c r="K68" s="107"/>
      <c r="L68" s="108"/>
      <c r="M68" s="87"/>
      <c r="N68" s="107"/>
      <c r="O68" s="108"/>
      <c r="P68" s="87"/>
      <c r="Q68" s="107"/>
      <c r="R68" s="108"/>
      <c r="S68" s="87"/>
      <c r="T68" s="107"/>
      <c r="U68" s="108"/>
      <c r="V68" s="87"/>
      <c r="W68" s="107"/>
      <c r="X68" s="108"/>
      <c r="Y68" s="87"/>
      <c r="Z68" s="107"/>
      <c r="AA68" s="108"/>
      <c r="AB68" s="87"/>
      <c r="AC68" s="107"/>
      <c r="AD68" s="108"/>
      <c r="AE68" s="87"/>
      <c r="AF68" s="107"/>
      <c r="AG68" s="108"/>
      <c r="AH68" s="87"/>
      <c r="AI68" s="107"/>
      <c r="AJ68" s="108"/>
      <c r="AK68" s="87"/>
      <c r="AL68" s="107"/>
      <c r="AM68" s="108"/>
      <c r="AN68" s="87"/>
      <c r="AO68" s="107"/>
      <c r="AP68" s="108"/>
      <c r="AQ68" s="87"/>
      <c r="AR68" s="107"/>
      <c r="AS68" s="108"/>
      <c r="AT68" s="87"/>
      <c r="AU68" s="107"/>
      <c r="AV68" s="108"/>
      <c r="AW68" s="87"/>
      <c r="AX68" s="107"/>
      <c r="AY68" s="108"/>
      <c r="AZ68" s="87"/>
      <c r="BA68" s="107"/>
      <c r="BB68" s="108"/>
      <c r="BC68" s="87"/>
      <c r="BD68" s="107"/>
      <c r="BE68" s="108"/>
      <c r="BF68" s="87"/>
      <c r="BG68" s="107"/>
      <c r="BH68" s="108"/>
      <c r="BI68" s="87"/>
      <c r="BJ68" s="107"/>
      <c r="BK68" s="108"/>
      <c r="BL68" s="87"/>
      <c r="BM68" s="107"/>
      <c r="BN68" s="108"/>
      <c r="BO68" s="87"/>
      <c r="BP68" s="107"/>
      <c r="BQ68" s="108"/>
      <c r="BR68" s="87"/>
      <c r="BS68" s="107"/>
      <c r="BT68" s="108"/>
      <c r="BU68" s="87"/>
      <c r="BV68" s="107"/>
      <c r="BW68" s="108"/>
      <c r="BX68" s="87"/>
      <c r="BY68" s="107"/>
      <c r="BZ68" s="108"/>
      <c r="CA68" s="87"/>
      <c r="CB68" s="107"/>
      <c r="CC68" s="108"/>
      <c r="CD68" s="87"/>
      <c r="CE68" s="107"/>
      <c r="CF68" s="108"/>
      <c r="CG68" s="87"/>
      <c r="CH68" s="107"/>
      <c r="CI68" s="108"/>
      <c r="CJ68" s="87"/>
      <c r="CK68" s="107"/>
      <c r="CL68" s="108"/>
      <c r="CM68" s="87"/>
      <c r="CN68" s="107"/>
      <c r="CO68" s="108"/>
      <c r="CP68" s="87"/>
      <c r="CQ68" s="107"/>
      <c r="CR68" s="108"/>
      <c r="CS68" s="87"/>
      <c r="CT68" s="107"/>
      <c r="CU68" s="108"/>
      <c r="CV68" s="87"/>
      <c r="CW68" s="107"/>
      <c r="CX68" s="108"/>
      <c r="CY68" s="87"/>
      <c r="CZ68" s="107"/>
      <c r="DA68" s="108"/>
      <c r="DB68" s="87"/>
      <c r="DC68" s="107"/>
      <c r="DD68" s="108"/>
      <c r="DE68" s="87"/>
      <c r="DF68" s="107"/>
      <c r="DG68" s="108"/>
      <c r="DH68" s="87"/>
      <c r="DI68" s="107"/>
      <c r="DJ68" s="108"/>
      <c r="DK68" s="87"/>
      <c r="DL68" s="107"/>
      <c r="DM68" s="108"/>
      <c r="DN68" s="87"/>
      <c r="DO68" s="107"/>
      <c r="DP68" s="108"/>
      <c r="DQ68" s="87"/>
      <c r="DR68" s="107"/>
      <c r="DS68" s="108"/>
      <c r="DT68" s="87"/>
      <c r="DU68" s="107"/>
      <c r="DV68" s="108"/>
      <c r="DW68" s="87"/>
      <c r="DX68" s="107"/>
      <c r="DY68" s="108"/>
      <c r="DZ68" s="87"/>
      <c r="EA68" s="107"/>
      <c r="EB68" s="108"/>
      <c r="EC68" s="87"/>
      <c r="ED68" s="107"/>
      <c r="EE68" s="108"/>
      <c r="EF68" s="87"/>
      <c r="EG68" s="107"/>
      <c r="EH68" s="108"/>
      <c r="EI68" s="87"/>
      <c r="EJ68" s="107"/>
      <c r="EK68" s="108"/>
      <c r="EL68" s="87"/>
      <c r="EM68" s="107"/>
      <c r="EN68" s="108"/>
      <c r="EO68" s="87"/>
      <c r="EP68" s="107"/>
      <c r="EQ68" s="108"/>
      <c r="ER68" s="87"/>
      <c r="ES68" s="107"/>
      <c r="ET68" s="108"/>
      <c r="EU68" s="87"/>
      <c r="EV68" s="107"/>
      <c r="EW68" s="108"/>
      <c r="EX68" s="87"/>
      <c r="EY68" s="107"/>
      <c r="EZ68" s="108"/>
      <c r="FA68" s="87"/>
      <c r="FB68" s="107"/>
      <c r="FC68" s="108"/>
      <c r="FD68" s="87"/>
      <c r="FE68" s="107"/>
      <c r="FF68" s="108"/>
      <c r="FG68" s="87"/>
      <c r="FH68" s="107"/>
      <c r="FI68" s="108"/>
      <c r="FJ68" s="87"/>
      <c r="FK68" s="107"/>
      <c r="FL68" s="108"/>
      <c r="FM68" s="87"/>
      <c r="FN68" s="107"/>
      <c r="FO68" s="108"/>
      <c r="FP68" s="87"/>
      <c r="FQ68" s="107"/>
      <c r="FR68" s="108"/>
      <c r="FS68" s="87"/>
      <c r="FT68" s="107"/>
      <c r="FU68" s="108"/>
      <c r="FV68" s="87"/>
      <c r="FW68" s="107"/>
      <c r="FX68" s="108"/>
      <c r="FY68" s="87"/>
      <c r="FZ68" s="107"/>
      <c r="GA68" s="108"/>
      <c r="GB68" s="87"/>
      <c r="GC68" s="107"/>
      <c r="GD68" s="108"/>
      <c r="GE68" s="87"/>
      <c r="GF68" s="107"/>
      <c r="GG68" s="108"/>
      <c r="GH68" s="87"/>
      <c r="GI68" s="107"/>
      <c r="GJ68" s="108"/>
      <c r="GK68" s="87"/>
      <c r="GL68" s="107"/>
      <c r="GM68" s="108"/>
      <c r="GN68" s="87"/>
      <c r="GO68" s="107"/>
      <c r="GP68" s="108"/>
      <c r="GQ68" s="87"/>
      <c r="GR68" s="107"/>
      <c r="GS68" s="108"/>
      <c r="GT68" s="87"/>
      <c r="GU68" s="107"/>
      <c r="GV68" s="108"/>
      <c r="GW68" s="87"/>
      <c r="GX68" s="107"/>
      <c r="GY68" s="108"/>
      <c r="GZ68" s="87"/>
      <c r="HA68" s="107"/>
      <c r="HB68" s="108"/>
      <c r="HC68" s="87"/>
      <c r="HD68" s="107"/>
      <c r="HE68" s="108"/>
      <c r="HF68" s="87"/>
      <c r="HG68" s="107"/>
      <c r="HH68" s="108"/>
      <c r="HI68" s="87"/>
      <c r="HJ68" s="107"/>
      <c r="HK68" s="108"/>
      <c r="HM68" s="109">
        <v>6301</v>
      </c>
      <c r="HN68" s="89" t="s">
        <v>359</v>
      </c>
      <c r="HO68" s="90"/>
      <c r="HP68" s="110">
        <f>GI$101</f>
        <v>0</v>
      </c>
      <c r="HQ68" s="111">
        <f>GJ$101</f>
        <v>0</v>
      </c>
      <c r="HR68" s="93" t="s">
        <v>755</v>
      </c>
      <c r="HS68" s="94">
        <f t="shared" si="0"/>
        <v>0</v>
      </c>
    </row>
    <row r="69" ht="14.25" customHeight="1" spans="1:227">
      <c r="A69" s="82">
        <v>6401</v>
      </c>
      <c r="B69" s="83" t="s">
        <v>367</v>
      </c>
      <c r="C69" s="148"/>
      <c r="D69" s="148"/>
      <c r="E69" s="107"/>
      <c r="F69" s="108"/>
      <c r="G69" s="87"/>
      <c r="H69" s="107"/>
      <c r="I69" s="108"/>
      <c r="J69" s="87"/>
      <c r="K69" s="107"/>
      <c r="L69" s="108"/>
      <c r="M69" s="87"/>
      <c r="N69" s="107"/>
      <c r="O69" s="108"/>
      <c r="P69" s="87"/>
      <c r="Q69" s="107"/>
      <c r="R69" s="108"/>
      <c r="S69" s="87"/>
      <c r="T69" s="107"/>
      <c r="U69" s="108"/>
      <c r="V69" s="87"/>
      <c r="W69" s="107"/>
      <c r="X69" s="108"/>
      <c r="Y69" s="87"/>
      <c r="Z69" s="107"/>
      <c r="AA69" s="108"/>
      <c r="AB69" s="87"/>
      <c r="AC69" s="107"/>
      <c r="AD69" s="108"/>
      <c r="AE69" s="87"/>
      <c r="AF69" s="107"/>
      <c r="AG69" s="108"/>
      <c r="AH69" s="87"/>
      <c r="AI69" s="107"/>
      <c r="AJ69" s="108"/>
      <c r="AK69" s="87"/>
      <c r="AL69" s="107"/>
      <c r="AM69" s="108"/>
      <c r="AN69" s="87"/>
      <c r="AO69" s="107"/>
      <c r="AP69" s="108"/>
      <c r="AQ69" s="87"/>
      <c r="AR69" s="107"/>
      <c r="AS69" s="108"/>
      <c r="AT69" s="87"/>
      <c r="AU69" s="107"/>
      <c r="AV69" s="108"/>
      <c r="AW69" s="87"/>
      <c r="AX69" s="107"/>
      <c r="AY69" s="108"/>
      <c r="AZ69" s="87"/>
      <c r="BA69" s="107"/>
      <c r="BB69" s="108"/>
      <c r="BC69" s="87"/>
      <c r="BD69" s="107"/>
      <c r="BE69" s="108"/>
      <c r="BF69" s="87"/>
      <c r="BG69" s="107"/>
      <c r="BH69" s="108"/>
      <c r="BI69" s="87"/>
      <c r="BJ69" s="107"/>
      <c r="BK69" s="108"/>
      <c r="BL69" s="87"/>
      <c r="BM69" s="107"/>
      <c r="BN69" s="108"/>
      <c r="BO69" s="87"/>
      <c r="BP69" s="107"/>
      <c r="BQ69" s="108"/>
      <c r="BR69" s="87"/>
      <c r="BS69" s="107"/>
      <c r="BT69" s="108"/>
      <c r="BU69" s="87"/>
      <c r="BV69" s="107"/>
      <c r="BW69" s="108"/>
      <c r="BX69" s="87"/>
      <c r="BY69" s="107"/>
      <c r="BZ69" s="108"/>
      <c r="CA69" s="87"/>
      <c r="CB69" s="107"/>
      <c r="CC69" s="108"/>
      <c r="CD69" s="87"/>
      <c r="CE69" s="107"/>
      <c r="CF69" s="108"/>
      <c r="CG69" s="87"/>
      <c r="CH69" s="107"/>
      <c r="CI69" s="108"/>
      <c r="CJ69" s="87"/>
      <c r="CK69" s="107"/>
      <c r="CL69" s="108"/>
      <c r="CM69" s="87"/>
      <c r="CN69" s="107"/>
      <c r="CO69" s="108"/>
      <c r="CP69" s="87"/>
      <c r="CQ69" s="107"/>
      <c r="CR69" s="108"/>
      <c r="CS69" s="87"/>
      <c r="CT69" s="107"/>
      <c r="CU69" s="108"/>
      <c r="CV69" s="87"/>
      <c r="CW69" s="107"/>
      <c r="CX69" s="108"/>
      <c r="CY69" s="87"/>
      <c r="CZ69" s="107"/>
      <c r="DA69" s="108"/>
      <c r="DB69" s="87"/>
      <c r="DC69" s="107"/>
      <c r="DD69" s="108"/>
      <c r="DE69" s="87"/>
      <c r="DF69" s="107"/>
      <c r="DG69" s="108"/>
      <c r="DH69" s="87"/>
      <c r="DI69" s="107"/>
      <c r="DJ69" s="108"/>
      <c r="DK69" s="87"/>
      <c r="DL69" s="107"/>
      <c r="DM69" s="108"/>
      <c r="DN69" s="87"/>
      <c r="DO69" s="107"/>
      <c r="DP69" s="108"/>
      <c r="DQ69" s="87"/>
      <c r="DR69" s="107"/>
      <c r="DS69" s="108"/>
      <c r="DT69" s="87"/>
      <c r="DU69" s="107"/>
      <c r="DV69" s="108"/>
      <c r="DW69" s="87"/>
      <c r="DX69" s="107"/>
      <c r="DY69" s="108"/>
      <c r="DZ69" s="87"/>
      <c r="EA69" s="107"/>
      <c r="EB69" s="108"/>
      <c r="EC69" s="87"/>
      <c r="ED69" s="107"/>
      <c r="EE69" s="108"/>
      <c r="EF69" s="87"/>
      <c r="EG69" s="107"/>
      <c r="EH69" s="108"/>
      <c r="EI69" s="87"/>
      <c r="EJ69" s="107"/>
      <c r="EK69" s="108"/>
      <c r="EL69" s="87"/>
      <c r="EM69" s="107"/>
      <c r="EN69" s="108"/>
      <c r="EO69" s="87"/>
      <c r="EP69" s="107"/>
      <c r="EQ69" s="108"/>
      <c r="ER69" s="87"/>
      <c r="ES69" s="107"/>
      <c r="ET69" s="108"/>
      <c r="EU69" s="87"/>
      <c r="EV69" s="107"/>
      <c r="EW69" s="108"/>
      <c r="EX69" s="87"/>
      <c r="EY69" s="107"/>
      <c r="EZ69" s="108"/>
      <c r="FA69" s="87"/>
      <c r="FB69" s="107"/>
      <c r="FC69" s="108"/>
      <c r="FD69" s="87"/>
      <c r="FE69" s="107"/>
      <c r="FF69" s="108"/>
      <c r="FG69" s="87"/>
      <c r="FH69" s="107"/>
      <c r="FI69" s="108"/>
      <c r="FJ69" s="87"/>
      <c r="FK69" s="107"/>
      <c r="FL69" s="108"/>
      <c r="FM69" s="87"/>
      <c r="FN69" s="107"/>
      <c r="FO69" s="108"/>
      <c r="FP69" s="87"/>
      <c r="FQ69" s="107"/>
      <c r="FR69" s="108"/>
      <c r="FS69" s="87"/>
      <c r="FT69" s="107"/>
      <c r="FU69" s="108"/>
      <c r="FV69" s="87"/>
      <c r="FW69" s="107"/>
      <c r="FX69" s="108"/>
      <c r="FY69" s="87"/>
      <c r="FZ69" s="107"/>
      <c r="GA69" s="108"/>
      <c r="GB69" s="87"/>
      <c r="GC69" s="107"/>
      <c r="GD69" s="108"/>
      <c r="GE69" s="87"/>
      <c r="GF69" s="107"/>
      <c r="GG69" s="108"/>
      <c r="GH69" s="87"/>
      <c r="GI69" s="107"/>
      <c r="GJ69" s="108"/>
      <c r="GK69" s="87"/>
      <c r="GL69" s="107"/>
      <c r="GM69" s="108"/>
      <c r="GN69" s="87"/>
      <c r="GO69" s="107"/>
      <c r="GP69" s="108"/>
      <c r="GQ69" s="87"/>
      <c r="GR69" s="107"/>
      <c r="GS69" s="108"/>
      <c r="GT69" s="87"/>
      <c r="GU69" s="107"/>
      <c r="GV69" s="108"/>
      <c r="GW69" s="87"/>
      <c r="GX69" s="107"/>
      <c r="GY69" s="108"/>
      <c r="GZ69" s="87"/>
      <c r="HA69" s="107"/>
      <c r="HB69" s="108"/>
      <c r="HC69" s="87"/>
      <c r="HD69" s="107"/>
      <c r="HE69" s="108"/>
      <c r="HF69" s="87"/>
      <c r="HG69" s="107"/>
      <c r="HH69" s="108"/>
      <c r="HI69" s="87"/>
      <c r="HJ69" s="107"/>
      <c r="HK69" s="108"/>
      <c r="HM69" s="109">
        <v>6401</v>
      </c>
      <c r="HN69" s="89" t="s">
        <v>367</v>
      </c>
      <c r="HO69" s="90"/>
      <c r="HP69" s="110">
        <f>GL$101</f>
        <v>0</v>
      </c>
      <c r="HQ69" s="111">
        <f>GM$101</f>
        <v>0</v>
      </c>
      <c r="HR69" s="93" t="s">
        <v>754</v>
      </c>
      <c r="HS69" s="94">
        <f t="shared" si="0"/>
        <v>0</v>
      </c>
    </row>
    <row r="70" ht="14.25" customHeight="1" spans="1:227">
      <c r="A70" s="82">
        <v>6402</v>
      </c>
      <c r="B70" s="83" t="s">
        <v>578</v>
      </c>
      <c r="C70" s="148"/>
      <c r="D70" s="148"/>
      <c r="E70" s="107"/>
      <c r="F70" s="108"/>
      <c r="G70" s="87"/>
      <c r="H70" s="107"/>
      <c r="I70" s="108"/>
      <c r="J70" s="87"/>
      <c r="K70" s="107"/>
      <c r="L70" s="108"/>
      <c r="M70" s="87"/>
      <c r="N70" s="107"/>
      <c r="O70" s="108"/>
      <c r="P70" s="87"/>
      <c r="Q70" s="107"/>
      <c r="R70" s="108"/>
      <c r="S70" s="87"/>
      <c r="T70" s="107"/>
      <c r="U70" s="108"/>
      <c r="V70" s="87"/>
      <c r="W70" s="107"/>
      <c r="X70" s="108"/>
      <c r="Y70" s="87"/>
      <c r="Z70" s="107"/>
      <c r="AA70" s="108"/>
      <c r="AB70" s="87"/>
      <c r="AC70" s="107"/>
      <c r="AD70" s="108"/>
      <c r="AE70" s="87"/>
      <c r="AF70" s="107"/>
      <c r="AG70" s="108"/>
      <c r="AH70" s="87"/>
      <c r="AI70" s="107"/>
      <c r="AJ70" s="108"/>
      <c r="AK70" s="87"/>
      <c r="AL70" s="107"/>
      <c r="AM70" s="108"/>
      <c r="AN70" s="87"/>
      <c r="AO70" s="107"/>
      <c r="AP70" s="108"/>
      <c r="AQ70" s="87"/>
      <c r="AR70" s="107"/>
      <c r="AS70" s="108"/>
      <c r="AT70" s="87"/>
      <c r="AU70" s="107"/>
      <c r="AV70" s="108"/>
      <c r="AW70" s="87"/>
      <c r="AX70" s="107"/>
      <c r="AY70" s="108"/>
      <c r="AZ70" s="87"/>
      <c r="BA70" s="107"/>
      <c r="BB70" s="108"/>
      <c r="BC70" s="87"/>
      <c r="BD70" s="107"/>
      <c r="BE70" s="108"/>
      <c r="BF70" s="87"/>
      <c r="BG70" s="107"/>
      <c r="BH70" s="108"/>
      <c r="BI70" s="87"/>
      <c r="BJ70" s="107"/>
      <c r="BK70" s="108"/>
      <c r="BL70" s="87"/>
      <c r="BM70" s="107"/>
      <c r="BN70" s="108"/>
      <c r="BO70" s="87"/>
      <c r="BP70" s="107"/>
      <c r="BQ70" s="108"/>
      <c r="BR70" s="87"/>
      <c r="BS70" s="107"/>
      <c r="BT70" s="108"/>
      <c r="BU70" s="87"/>
      <c r="BV70" s="107"/>
      <c r="BW70" s="108"/>
      <c r="BX70" s="87"/>
      <c r="BY70" s="107"/>
      <c r="BZ70" s="108"/>
      <c r="CA70" s="87"/>
      <c r="CB70" s="107"/>
      <c r="CC70" s="108"/>
      <c r="CD70" s="87"/>
      <c r="CE70" s="107"/>
      <c r="CF70" s="108"/>
      <c r="CG70" s="87"/>
      <c r="CH70" s="107"/>
      <c r="CI70" s="108"/>
      <c r="CJ70" s="87"/>
      <c r="CK70" s="107"/>
      <c r="CL70" s="108"/>
      <c r="CM70" s="87"/>
      <c r="CN70" s="107"/>
      <c r="CO70" s="108"/>
      <c r="CP70" s="87"/>
      <c r="CQ70" s="107"/>
      <c r="CR70" s="108"/>
      <c r="CS70" s="87"/>
      <c r="CT70" s="107"/>
      <c r="CU70" s="108"/>
      <c r="CV70" s="87"/>
      <c r="CW70" s="107"/>
      <c r="CX70" s="108"/>
      <c r="CY70" s="87"/>
      <c r="CZ70" s="107"/>
      <c r="DA70" s="108"/>
      <c r="DB70" s="87"/>
      <c r="DC70" s="107"/>
      <c r="DD70" s="108"/>
      <c r="DE70" s="87"/>
      <c r="DF70" s="107"/>
      <c r="DG70" s="108"/>
      <c r="DH70" s="87"/>
      <c r="DI70" s="107"/>
      <c r="DJ70" s="108"/>
      <c r="DK70" s="87"/>
      <c r="DL70" s="107"/>
      <c r="DM70" s="108"/>
      <c r="DN70" s="87"/>
      <c r="DO70" s="107"/>
      <c r="DP70" s="108"/>
      <c r="DQ70" s="87"/>
      <c r="DR70" s="107"/>
      <c r="DS70" s="108"/>
      <c r="DT70" s="87"/>
      <c r="DU70" s="107"/>
      <c r="DV70" s="108"/>
      <c r="DW70" s="87"/>
      <c r="DX70" s="107"/>
      <c r="DY70" s="108"/>
      <c r="DZ70" s="87"/>
      <c r="EA70" s="107"/>
      <c r="EB70" s="108"/>
      <c r="EC70" s="87"/>
      <c r="ED70" s="107"/>
      <c r="EE70" s="108"/>
      <c r="EF70" s="87"/>
      <c r="EG70" s="107"/>
      <c r="EH70" s="108"/>
      <c r="EI70" s="87"/>
      <c r="EJ70" s="107"/>
      <c r="EK70" s="108"/>
      <c r="EL70" s="87"/>
      <c r="EM70" s="107"/>
      <c r="EN70" s="108"/>
      <c r="EO70" s="87"/>
      <c r="EP70" s="107"/>
      <c r="EQ70" s="108"/>
      <c r="ER70" s="87"/>
      <c r="ES70" s="107"/>
      <c r="ET70" s="108"/>
      <c r="EU70" s="87"/>
      <c r="EV70" s="107"/>
      <c r="EW70" s="108"/>
      <c r="EX70" s="87"/>
      <c r="EY70" s="107"/>
      <c r="EZ70" s="108"/>
      <c r="FA70" s="87"/>
      <c r="FB70" s="107"/>
      <c r="FC70" s="108"/>
      <c r="FD70" s="87"/>
      <c r="FE70" s="107"/>
      <c r="FF70" s="108"/>
      <c r="FG70" s="87"/>
      <c r="FH70" s="107"/>
      <c r="FI70" s="108"/>
      <c r="FJ70" s="87"/>
      <c r="FK70" s="107"/>
      <c r="FL70" s="108"/>
      <c r="FM70" s="87"/>
      <c r="FN70" s="107"/>
      <c r="FO70" s="108"/>
      <c r="FP70" s="87"/>
      <c r="FQ70" s="107"/>
      <c r="FR70" s="108"/>
      <c r="FS70" s="87"/>
      <c r="FT70" s="107"/>
      <c r="FU70" s="108"/>
      <c r="FV70" s="87"/>
      <c r="FW70" s="107"/>
      <c r="FX70" s="108"/>
      <c r="FY70" s="87"/>
      <c r="FZ70" s="107"/>
      <c r="GA70" s="108"/>
      <c r="GB70" s="87"/>
      <c r="GC70" s="107"/>
      <c r="GD70" s="108"/>
      <c r="GE70" s="87"/>
      <c r="GF70" s="107"/>
      <c r="GG70" s="108"/>
      <c r="GH70" s="87"/>
      <c r="GI70" s="107"/>
      <c r="GJ70" s="108"/>
      <c r="GK70" s="87"/>
      <c r="GL70" s="107"/>
      <c r="GM70" s="108"/>
      <c r="GN70" s="87"/>
      <c r="GO70" s="107"/>
      <c r="GP70" s="108"/>
      <c r="GQ70" s="87"/>
      <c r="GR70" s="107"/>
      <c r="GS70" s="108"/>
      <c r="GT70" s="87"/>
      <c r="GU70" s="107"/>
      <c r="GV70" s="108"/>
      <c r="GW70" s="87"/>
      <c r="GX70" s="107"/>
      <c r="GY70" s="108"/>
      <c r="GZ70" s="87"/>
      <c r="HA70" s="107"/>
      <c r="HB70" s="108"/>
      <c r="HC70" s="87"/>
      <c r="HD70" s="107"/>
      <c r="HE70" s="108"/>
      <c r="HF70" s="87"/>
      <c r="HG70" s="107"/>
      <c r="HH70" s="108"/>
      <c r="HI70" s="87"/>
      <c r="HJ70" s="107"/>
      <c r="HK70" s="108"/>
      <c r="HM70" s="109">
        <v>6402</v>
      </c>
      <c r="HN70" s="89" t="s">
        <v>578</v>
      </c>
      <c r="HO70" s="90"/>
      <c r="HP70" s="110">
        <f>GO$101</f>
        <v>0</v>
      </c>
      <c r="HQ70" s="111">
        <f>GP$101</f>
        <v>0</v>
      </c>
      <c r="HR70" s="93" t="s">
        <v>754</v>
      </c>
      <c r="HS70" s="94">
        <f t="shared" ref="HS70:HS77" si="1">IF(HR70="借",HO70+HP70-HQ70,HO70+HQ70-HP70)</f>
        <v>0</v>
      </c>
    </row>
    <row r="71" ht="14.25" customHeight="1" spans="1:227">
      <c r="A71" s="82">
        <v>6403</v>
      </c>
      <c r="B71" s="83" t="s">
        <v>581</v>
      </c>
      <c r="C71" s="148"/>
      <c r="D71" s="148"/>
      <c r="E71" s="107"/>
      <c r="F71" s="108"/>
      <c r="G71" s="87"/>
      <c r="H71" s="107"/>
      <c r="I71" s="108"/>
      <c r="J71" s="87"/>
      <c r="K71" s="107"/>
      <c r="L71" s="108"/>
      <c r="M71" s="87"/>
      <c r="N71" s="107"/>
      <c r="O71" s="108"/>
      <c r="P71" s="87"/>
      <c r="Q71" s="107"/>
      <c r="R71" s="108"/>
      <c r="S71" s="87"/>
      <c r="T71" s="107"/>
      <c r="U71" s="108"/>
      <c r="V71" s="87"/>
      <c r="W71" s="107"/>
      <c r="X71" s="108"/>
      <c r="Y71" s="87"/>
      <c r="Z71" s="107"/>
      <c r="AA71" s="108"/>
      <c r="AB71" s="87"/>
      <c r="AC71" s="107"/>
      <c r="AD71" s="108"/>
      <c r="AE71" s="87"/>
      <c r="AF71" s="107"/>
      <c r="AG71" s="108"/>
      <c r="AH71" s="87"/>
      <c r="AI71" s="107"/>
      <c r="AJ71" s="108"/>
      <c r="AK71" s="87"/>
      <c r="AL71" s="107"/>
      <c r="AM71" s="108"/>
      <c r="AN71" s="87"/>
      <c r="AO71" s="107"/>
      <c r="AP71" s="108"/>
      <c r="AQ71" s="87"/>
      <c r="AR71" s="107"/>
      <c r="AS71" s="108"/>
      <c r="AT71" s="87"/>
      <c r="AU71" s="107"/>
      <c r="AV71" s="108"/>
      <c r="AW71" s="87"/>
      <c r="AX71" s="107"/>
      <c r="AY71" s="108"/>
      <c r="AZ71" s="87"/>
      <c r="BA71" s="107"/>
      <c r="BB71" s="108"/>
      <c r="BC71" s="87"/>
      <c r="BD71" s="107"/>
      <c r="BE71" s="108"/>
      <c r="BF71" s="87"/>
      <c r="BG71" s="107"/>
      <c r="BH71" s="108"/>
      <c r="BI71" s="87"/>
      <c r="BJ71" s="107"/>
      <c r="BK71" s="108"/>
      <c r="BL71" s="87"/>
      <c r="BM71" s="107"/>
      <c r="BN71" s="108"/>
      <c r="BO71" s="87"/>
      <c r="BP71" s="107"/>
      <c r="BQ71" s="108"/>
      <c r="BR71" s="87"/>
      <c r="BS71" s="107"/>
      <c r="BT71" s="108"/>
      <c r="BU71" s="87"/>
      <c r="BV71" s="107"/>
      <c r="BW71" s="108"/>
      <c r="BX71" s="87"/>
      <c r="BY71" s="107"/>
      <c r="BZ71" s="108"/>
      <c r="CA71" s="87"/>
      <c r="CB71" s="107"/>
      <c r="CC71" s="108"/>
      <c r="CD71" s="87"/>
      <c r="CE71" s="107"/>
      <c r="CF71" s="108"/>
      <c r="CG71" s="87"/>
      <c r="CH71" s="107"/>
      <c r="CI71" s="108"/>
      <c r="CJ71" s="87"/>
      <c r="CK71" s="107"/>
      <c r="CL71" s="108"/>
      <c r="CM71" s="87"/>
      <c r="CN71" s="107"/>
      <c r="CO71" s="108"/>
      <c r="CP71" s="87"/>
      <c r="CQ71" s="107"/>
      <c r="CR71" s="108"/>
      <c r="CS71" s="87"/>
      <c r="CT71" s="107"/>
      <c r="CU71" s="108"/>
      <c r="CV71" s="87"/>
      <c r="CW71" s="107"/>
      <c r="CX71" s="108"/>
      <c r="CY71" s="87"/>
      <c r="CZ71" s="107"/>
      <c r="DA71" s="108"/>
      <c r="DB71" s="87"/>
      <c r="DC71" s="107"/>
      <c r="DD71" s="108"/>
      <c r="DE71" s="87"/>
      <c r="DF71" s="107"/>
      <c r="DG71" s="108"/>
      <c r="DH71" s="87"/>
      <c r="DI71" s="107"/>
      <c r="DJ71" s="108"/>
      <c r="DK71" s="87"/>
      <c r="DL71" s="107"/>
      <c r="DM71" s="108"/>
      <c r="DN71" s="87"/>
      <c r="DO71" s="107"/>
      <c r="DP71" s="108"/>
      <c r="DQ71" s="87"/>
      <c r="DR71" s="107"/>
      <c r="DS71" s="108"/>
      <c r="DT71" s="87"/>
      <c r="DU71" s="107"/>
      <c r="DV71" s="108"/>
      <c r="DW71" s="87"/>
      <c r="DX71" s="107"/>
      <c r="DY71" s="108"/>
      <c r="DZ71" s="87"/>
      <c r="EA71" s="107"/>
      <c r="EB71" s="108"/>
      <c r="EC71" s="87"/>
      <c r="ED71" s="107"/>
      <c r="EE71" s="108"/>
      <c r="EF71" s="87"/>
      <c r="EG71" s="107"/>
      <c r="EH71" s="108"/>
      <c r="EI71" s="87"/>
      <c r="EJ71" s="107"/>
      <c r="EK71" s="108"/>
      <c r="EL71" s="87"/>
      <c r="EM71" s="107"/>
      <c r="EN71" s="108"/>
      <c r="EO71" s="87"/>
      <c r="EP71" s="107"/>
      <c r="EQ71" s="108"/>
      <c r="ER71" s="87"/>
      <c r="ES71" s="107"/>
      <c r="ET71" s="108"/>
      <c r="EU71" s="87"/>
      <c r="EV71" s="107"/>
      <c r="EW71" s="108"/>
      <c r="EX71" s="87"/>
      <c r="EY71" s="107"/>
      <c r="EZ71" s="108"/>
      <c r="FA71" s="87"/>
      <c r="FB71" s="107"/>
      <c r="FC71" s="108"/>
      <c r="FD71" s="87"/>
      <c r="FE71" s="107"/>
      <c r="FF71" s="108"/>
      <c r="FG71" s="87"/>
      <c r="FH71" s="107"/>
      <c r="FI71" s="108"/>
      <c r="FJ71" s="87"/>
      <c r="FK71" s="107"/>
      <c r="FL71" s="108"/>
      <c r="FM71" s="87"/>
      <c r="FN71" s="107"/>
      <c r="FO71" s="108"/>
      <c r="FP71" s="87"/>
      <c r="FQ71" s="107"/>
      <c r="FR71" s="108"/>
      <c r="FS71" s="87"/>
      <c r="FT71" s="107"/>
      <c r="FU71" s="108"/>
      <c r="FV71" s="87"/>
      <c r="FW71" s="107"/>
      <c r="FX71" s="108"/>
      <c r="FY71" s="87"/>
      <c r="FZ71" s="107"/>
      <c r="GA71" s="108"/>
      <c r="GB71" s="87"/>
      <c r="GC71" s="107"/>
      <c r="GD71" s="108"/>
      <c r="GE71" s="87"/>
      <c r="GF71" s="107"/>
      <c r="GG71" s="108"/>
      <c r="GH71" s="87"/>
      <c r="GI71" s="107"/>
      <c r="GJ71" s="108"/>
      <c r="GK71" s="87"/>
      <c r="GL71" s="107"/>
      <c r="GM71" s="108"/>
      <c r="GN71" s="87"/>
      <c r="GO71" s="107"/>
      <c r="GP71" s="108"/>
      <c r="GQ71" s="87"/>
      <c r="GR71" s="107"/>
      <c r="GS71" s="108"/>
      <c r="GT71" s="87"/>
      <c r="GU71" s="107"/>
      <c r="GV71" s="108"/>
      <c r="GW71" s="87"/>
      <c r="GX71" s="107"/>
      <c r="GY71" s="108"/>
      <c r="GZ71" s="87"/>
      <c r="HA71" s="107"/>
      <c r="HB71" s="108"/>
      <c r="HC71" s="87"/>
      <c r="HD71" s="107"/>
      <c r="HE71" s="108"/>
      <c r="HF71" s="87"/>
      <c r="HG71" s="107"/>
      <c r="HH71" s="108"/>
      <c r="HI71" s="87"/>
      <c r="HJ71" s="107"/>
      <c r="HK71" s="108"/>
      <c r="HM71" s="109">
        <v>6403</v>
      </c>
      <c r="HN71" s="89" t="s">
        <v>581</v>
      </c>
      <c r="HO71" s="90"/>
      <c r="HP71" s="110">
        <f>GR$101</f>
        <v>0</v>
      </c>
      <c r="HQ71" s="111">
        <f>GS$101</f>
        <v>0</v>
      </c>
      <c r="HR71" s="93" t="s">
        <v>754</v>
      </c>
      <c r="HS71" s="94">
        <f t="shared" si="1"/>
        <v>0</v>
      </c>
    </row>
    <row r="72" ht="14.25" customHeight="1" spans="1:227">
      <c r="A72" s="82">
        <v>6601</v>
      </c>
      <c r="B72" s="83" t="s">
        <v>600</v>
      </c>
      <c r="C72" s="148"/>
      <c r="D72" s="148"/>
      <c r="E72" s="107"/>
      <c r="F72" s="108"/>
      <c r="G72" s="87"/>
      <c r="H72" s="107"/>
      <c r="I72" s="108"/>
      <c r="J72" s="87"/>
      <c r="K72" s="107"/>
      <c r="L72" s="108"/>
      <c r="M72" s="87"/>
      <c r="N72" s="107"/>
      <c r="O72" s="108"/>
      <c r="P72" s="87"/>
      <c r="Q72" s="107"/>
      <c r="R72" s="108"/>
      <c r="S72" s="87"/>
      <c r="T72" s="107"/>
      <c r="U72" s="108"/>
      <c r="V72" s="87"/>
      <c r="W72" s="107"/>
      <c r="X72" s="108"/>
      <c r="Y72" s="87"/>
      <c r="Z72" s="107"/>
      <c r="AA72" s="108"/>
      <c r="AB72" s="87"/>
      <c r="AC72" s="107"/>
      <c r="AD72" s="108"/>
      <c r="AE72" s="87"/>
      <c r="AF72" s="107"/>
      <c r="AG72" s="108"/>
      <c r="AH72" s="87"/>
      <c r="AI72" s="107"/>
      <c r="AJ72" s="108"/>
      <c r="AK72" s="87"/>
      <c r="AL72" s="107"/>
      <c r="AM72" s="108"/>
      <c r="AN72" s="87"/>
      <c r="AO72" s="107"/>
      <c r="AP72" s="108"/>
      <c r="AQ72" s="87"/>
      <c r="AR72" s="107"/>
      <c r="AS72" s="108"/>
      <c r="AT72" s="87"/>
      <c r="AU72" s="107"/>
      <c r="AV72" s="108"/>
      <c r="AW72" s="87"/>
      <c r="AX72" s="107"/>
      <c r="AY72" s="108"/>
      <c r="AZ72" s="87"/>
      <c r="BA72" s="107"/>
      <c r="BB72" s="108"/>
      <c r="BC72" s="87"/>
      <c r="BD72" s="107"/>
      <c r="BE72" s="108"/>
      <c r="BF72" s="87"/>
      <c r="BG72" s="107"/>
      <c r="BH72" s="108"/>
      <c r="BI72" s="87"/>
      <c r="BJ72" s="107"/>
      <c r="BK72" s="108"/>
      <c r="BL72" s="87"/>
      <c r="BM72" s="107"/>
      <c r="BN72" s="108"/>
      <c r="BO72" s="87"/>
      <c r="BP72" s="107"/>
      <c r="BQ72" s="108"/>
      <c r="BR72" s="87"/>
      <c r="BS72" s="107"/>
      <c r="BT72" s="108"/>
      <c r="BU72" s="87"/>
      <c r="BV72" s="107"/>
      <c r="BW72" s="108"/>
      <c r="BX72" s="87"/>
      <c r="BY72" s="107"/>
      <c r="BZ72" s="108"/>
      <c r="CA72" s="87"/>
      <c r="CB72" s="107"/>
      <c r="CC72" s="108"/>
      <c r="CD72" s="87"/>
      <c r="CE72" s="107"/>
      <c r="CF72" s="108"/>
      <c r="CG72" s="87"/>
      <c r="CH72" s="107"/>
      <c r="CI72" s="108"/>
      <c r="CJ72" s="87"/>
      <c r="CK72" s="107"/>
      <c r="CL72" s="108"/>
      <c r="CM72" s="87"/>
      <c r="CN72" s="107"/>
      <c r="CO72" s="108"/>
      <c r="CP72" s="87"/>
      <c r="CQ72" s="107"/>
      <c r="CR72" s="108"/>
      <c r="CS72" s="87"/>
      <c r="CT72" s="107"/>
      <c r="CU72" s="108"/>
      <c r="CV72" s="87"/>
      <c r="CW72" s="107"/>
      <c r="CX72" s="108"/>
      <c r="CY72" s="87"/>
      <c r="CZ72" s="107"/>
      <c r="DA72" s="108"/>
      <c r="DB72" s="87"/>
      <c r="DC72" s="107"/>
      <c r="DD72" s="108"/>
      <c r="DE72" s="87"/>
      <c r="DF72" s="107"/>
      <c r="DG72" s="108"/>
      <c r="DH72" s="87"/>
      <c r="DI72" s="107"/>
      <c r="DJ72" s="108"/>
      <c r="DK72" s="87"/>
      <c r="DL72" s="107"/>
      <c r="DM72" s="108"/>
      <c r="DN72" s="87"/>
      <c r="DO72" s="107"/>
      <c r="DP72" s="108"/>
      <c r="DQ72" s="87"/>
      <c r="DR72" s="107"/>
      <c r="DS72" s="108"/>
      <c r="DT72" s="87"/>
      <c r="DU72" s="107"/>
      <c r="DV72" s="108"/>
      <c r="DW72" s="87"/>
      <c r="DX72" s="107"/>
      <c r="DY72" s="108"/>
      <c r="DZ72" s="87"/>
      <c r="EA72" s="107"/>
      <c r="EB72" s="108"/>
      <c r="EC72" s="87"/>
      <c r="ED72" s="107"/>
      <c r="EE72" s="108"/>
      <c r="EF72" s="87"/>
      <c r="EG72" s="107"/>
      <c r="EH72" s="108"/>
      <c r="EI72" s="87"/>
      <c r="EJ72" s="107"/>
      <c r="EK72" s="108"/>
      <c r="EL72" s="87"/>
      <c r="EM72" s="107"/>
      <c r="EN72" s="108"/>
      <c r="EO72" s="87"/>
      <c r="EP72" s="107"/>
      <c r="EQ72" s="108"/>
      <c r="ER72" s="87"/>
      <c r="ES72" s="107"/>
      <c r="ET72" s="108"/>
      <c r="EU72" s="87"/>
      <c r="EV72" s="107"/>
      <c r="EW72" s="108"/>
      <c r="EX72" s="87"/>
      <c r="EY72" s="107"/>
      <c r="EZ72" s="108"/>
      <c r="FA72" s="87"/>
      <c r="FB72" s="107"/>
      <c r="FC72" s="108"/>
      <c r="FD72" s="87"/>
      <c r="FE72" s="107"/>
      <c r="FF72" s="108"/>
      <c r="FG72" s="87"/>
      <c r="FH72" s="107"/>
      <c r="FI72" s="108"/>
      <c r="FJ72" s="87"/>
      <c r="FK72" s="107"/>
      <c r="FL72" s="108"/>
      <c r="FM72" s="87"/>
      <c r="FN72" s="107"/>
      <c r="FO72" s="108"/>
      <c r="FP72" s="87"/>
      <c r="FQ72" s="107"/>
      <c r="FR72" s="108"/>
      <c r="FS72" s="87"/>
      <c r="FT72" s="107"/>
      <c r="FU72" s="108"/>
      <c r="FV72" s="87"/>
      <c r="FW72" s="107"/>
      <c r="FX72" s="108"/>
      <c r="FY72" s="87"/>
      <c r="FZ72" s="107"/>
      <c r="GA72" s="108"/>
      <c r="GB72" s="87"/>
      <c r="GC72" s="107"/>
      <c r="GD72" s="108"/>
      <c r="GE72" s="87"/>
      <c r="GF72" s="107"/>
      <c r="GG72" s="108"/>
      <c r="GH72" s="87"/>
      <c r="GI72" s="107"/>
      <c r="GJ72" s="108"/>
      <c r="GK72" s="87"/>
      <c r="GL72" s="107"/>
      <c r="GM72" s="108"/>
      <c r="GN72" s="87"/>
      <c r="GO72" s="107"/>
      <c r="GP72" s="108"/>
      <c r="GQ72" s="87"/>
      <c r="GR72" s="107"/>
      <c r="GS72" s="108"/>
      <c r="GT72" s="87"/>
      <c r="GU72" s="107"/>
      <c r="GV72" s="108"/>
      <c r="GW72" s="87"/>
      <c r="GX72" s="107"/>
      <c r="GY72" s="108"/>
      <c r="GZ72" s="87"/>
      <c r="HA72" s="107"/>
      <c r="HB72" s="108"/>
      <c r="HC72" s="87"/>
      <c r="HD72" s="107"/>
      <c r="HE72" s="108"/>
      <c r="HF72" s="87"/>
      <c r="HG72" s="107"/>
      <c r="HH72" s="108"/>
      <c r="HI72" s="87"/>
      <c r="HJ72" s="107"/>
      <c r="HK72" s="108"/>
      <c r="HM72" s="109">
        <v>6601</v>
      </c>
      <c r="HN72" s="89" t="s">
        <v>600</v>
      </c>
      <c r="HO72" s="90"/>
      <c r="HP72" s="110">
        <f>GU$101</f>
        <v>0</v>
      </c>
      <c r="HQ72" s="111">
        <f>GV$101</f>
        <v>0</v>
      </c>
      <c r="HR72" s="93" t="s">
        <v>754</v>
      </c>
      <c r="HS72" s="94">
        <f t="shared" si="1"/>
        <v>0</v>
      </c>
    </row>
    <row r="73" ht="14.25" customHeight="1" spans="1:227">
      <c r="A73" s="82">
        <v>6602</v>
      </c>
      <c r="B73" s="83" t="s">
        <v>407</v>
      </c>
      <c r="C73" s="148"/>
      <c r="D73" s="148"/>
      <c r="E73" s="107"/>
      <c r="F73" s="108"/>
      <c r="G73" s="87"/>
      <c r="H73" s="107"/>
      <c r="I73" s="108"/>
      <c r="J73" s="87"/>
      <c r="K73" s="107"/>
      <c r="L73" s="108"/>
      <c r="M73" s="87"/>
      <c r="N73" s="107"/>
      <c r="O73" s="108"/>
      <c r="P73" s="87"/>
      <c r="Q73" s="107"/>
      <c r="R73" s="108"/>
      <c r="S73" s="87"/>
      <c r="T73" s="107"/>
      <c r="U73" s="108"/>
      <c r="V73" s="87"/>
      <c r="W73" s="107"/>
      <c r="X73" s="108"/>
      <c r="Y73" s="87"/>
      <c r="Z73" s="107"/>
      <c r="AA73" s="108"/>
      <c r="AB73" s="87"/>
      <c r="AC73" s="107"/>
      <c r="AD73" s="108"/>
      <c r="AE73" s="87"/>
      <c r="AF73" s="107"/>
      <c r="AG73" s="108"/>
      <c r="AH73" s="87"/>
      <c r="AI73" s="107"/>
      <c r="AJ73" s="108"/>
      <c r="AK73" s="87"/>
      <c r="AL73" s="107"/>
      <c r="AM73" s="108"/>
      <c r="AN73" s="87"/>
      <c r="AO73" s="107"/>
      <c r="AP73" s="108"/>
      <c r="AQ73" s="87"/>
      <c r="AR73" s="107"/>
      <c r="AS73" s="108"/>
      <c r="AT73" s="87"/>
      <c r="AU73" s="107"/>
      <c r="AV73" s="108"/>
      <c r="AW73" s="87"/>
      <c r="AX73" s="107"/>
      <c r="AY73" s="108"/>
      <c r="AZ73" s="87"/>
      <c r="BA73" s="107"/>
      <c r="BB73" s="108"/>
      <c r="BC73" s="87"/>
      <c r="BD73" s="107"/>
      <c r="BE73" s="108"/>
      <c r="BF73" s="87"/>
      <c r="BG73" s="107"/>
      <c r="BH73" s="108"/>
      <c r="BI73" s="87"/>
      <c r="BJ73" s="107"/>
      <c r="BK73" s="108"/>
      <c r="BL73" s="87"/>
      <c r="BM73" s="107"/>
      <c r="BN73" s="108"/>
      <c r="BO73" s="87"/>
      <c r="BP73" s="107"/>
      <c r="BQ73" s="108"/>
      <c r="BR73" s="87"/>
      <c r="BS73" s="107"/>
      <c r="BT73" s="108"/>
      <c r="BU73" s="87"/>
      <c r="BV73" s="107"/>
      <c r="BW73" s="108"/>
      <c r="BX73" s="87"/>
      <c r="BY73" s="107"/>
      <c r="BZ73" s="108"/>
      <c r="CA73" s="87"/>
      <c r="CB73" s="107"/>
      <c r="CC73" s="108"/>
      <c r="CD73" s="87"/>
      <c r="CE73" s="107"/>
      <c r="CF73" s="108"/>
      <c r="CG73" s="87"/>
      <c r="CH73" s="107"/>
      <c r="CI73" s="108"/>
      <c r="CJ73" s="87"/>
      <c r="CK73" s="107"/>
      <c r="CL73" s="108"/>
      <c r="CM73" s="87"/>
      <c r="CN73" s="107"/>
      <c r="CO73" s="108"/>
      <c r="CP73" s="87"/>
      <c r="CQ73" s="107"/>
      <c r="CR73" s="108"/>
      <c r="CS73" s="87"/>
      <c r="CT73" s="107"/>
      <c r="CU73" s="108"/>
      <c r="CV73" s="87"/>
      <c r="CW73" s="107"/>
      <c r="CX73" s="108"/>
      <c r="CY73" s="87"/>
      <c r="CZ73" s="107"/>
      <c r="DA73" s="108"/>
      <c r="DB73" s="87"/>
      <c r="DC73" s="107"/>
      <c r="DD73" s="108"/>
      <c r="DE73" s="87"/>
      <c r="DF73" s="107"/>
      <c r="DG73" s="108"/>
      <c r="DH73" s="87"/>
      <c r="DI73" s="107"/>
      <c r="DJ73" s="108"/>
      <c r="DK73" s="87"/>
      <c r="DL73" s="107"/>
      <c r="DM73" s="108"/>
      <c r="DN73" s="87"/>
      <c r="DO73" s="107"/>
      <c r="DP73" s="108"/>
      <c r="DQ73" s="87"/>
      <c r="DR73" s="107"/>
      <c r="DS73" s="108"/>
      <c r="DT73" s="87"/>
      <c r="DU73" s="107"/>
      <c r="DV73" s="108"/>
      <c r="DW73" s="87"/>
      <c r="DX73" s="107"/>
      <c r="DY73" s="108"/>
      <c r="DZ73" s="87"/>
      <c r="EA73" s="107"/>
      <c r="EB73" s="108"/>
      <c r="EC73" s="87"/>
      <c r="ED73" s="107"/>
      <c r="EE73" s="108"/>
      <c r="EF73" s="87"/>
      <c r="EG73" s="107"/>
      <c r="EH73" s="108"/>
      <c r="EI73" s="87"/>
      <c r="EJ73" s="107"/>
      <c r="EK73" s="108"/>
      <c r="EL73" s="87"/>
      <c r="EM73" s="107"/>
      <c r="EN73" s="108"/>
      <c r="EO73" s="87"/>
      <c r="EP73" s="107"/>
      <c r="EQ73" s="108"/>
      <c r="ER73" s="87"/>
      <c r="ES73" s="107"/>
      <c r="ET73" s="108"/>
      <c r="EU73" s="87"/>
      <c r="EV73" s="107"/>
      <c r="EW73" s="108"/>
      <c r="EX73" s="87"/>
      <c r="EY73" s="107"/>
      <c r="EZ73" s="108"/>
      <c r="FA73" s="87"/>
      <c r="FB73" s="107"/>
      <c r="FC73" s="108"/>
      <c r="FD73" s="87"/>
      <c r="FE73" s="107"/>
      <c r="FF73" s="108"/>
      <c r="FG73" s="87"/>
      <c r="FH73" s="107"/>
      <c r="FI73" s="108"/>
      <c r="FJ73" s="87"/>
      <c r="FK73" s="107"/>
      <c r="FL73" s="108"/>
      <c r="FM73" s="87"/>
      <c r="FN73" s="107"/>
      <c r="FO73" s="108"/>
      <c r="FP73" s="87"/>
      <c r="FQ73" s="107"/>
      <c r="FR73" s="108"/>
      <c r="FS73" s="87"/>
      <c r="FT73" s="107"/>
      <c r="FU73" s="108"/>
      <c r="FV73" s="87"/>
      <c r="FW73" s="107"/>
      <c r="FX73" s="108"/>
      <c r="FY73" s="87"/>
      <c r="FZ73" s="107"/>
      <c r="GA73" s="108"/>
      <c r="GB73" s="87"/>
      <c r="GC73" s="107"/>
      <c r="GD73" s="108"/>
      <c r="GE73" s="87"/>
      <c r="GF73" s="107"/>
      <c r="GG73" s="108"/>
      <c r="GH73" s="87"/>
      <c r="GI73" s="107"/>
      <c r="GJ73" s="108"/>
      <c r="GK73" s="87"/>
      <c r="GL73" s="107"/>
      <c r="GM73" s="108"/>
      <c r="GN73" s="87"/>
      <c r="GO73" s="107"/>
      <c r="GP73" s="108"/>
      <c r="GQ73" s="87"/>
      <c r="GR73" s="107"/>
      <c r="GS73" s="108"/>
      <c r="GT73" s="87"/>
      <c r="GU73" s="107"/>
      <c r="GV73" s="108"/>
      <c r="GW73" s="87"/>
      <c r="GX73" s="107"/>
      <c r="GY73" s="108"/>
      <c r="GZ73" s="87"/>
      <c r="HA73" s="107"/>
      <c r="HB73" s="108"/>
      <c r="HC73" s="87"/>
      <c r="HD73" s="107"/>
      <c r="HE73" s="108"/>
      <c r="HF73" s="87"/>
      <c r="HG73" s="107"/>
      <c r="HH73" s="108"/>
      <c r="HI73" s="87"/>
      <c r="HJ73" s="107"/>
      <c r="HK73" s="108"/>
      <c r="HM73" s="109">
        <v>6602</v>
      </c>
      <c r="HN73" s="89" t="s">
        <v>407</v>
      </c>
      <c r="HO73" s="90"/>
      <c r="HP73" s="110">
        <f>GX$101</f>
        <v>0</v>
      </c>
      <c r="HQ73" s="111">
        <f>GY$101</f>
        <v>0</v>
      </c>
      <c r="HR73" s="93" t="s">
        <v>754</v>
      </c>
      <c r="HS73" s="94">
        <f t="shared" si="1"/>
        <v>0</v>
      </c>
    </row>
    <row r="74" ht="14.25" customHeight="1" spans="1:227">
      <c r="A74" s="82">
        <v>6603</v>
      </c>
      <c r="B74" s="83" t="s">
        <v>442</v>
      </c>
      <c r="C74" s="148"/>
      <c r="D74" s="148"/>
      <c r="E74" s="107"/>
      <c r="F74" s="108"/>
      <c r="G74" s="87"/>
      <c r="H74" s="107"/>
      <c r="I74" s="108"/>
      <c r="J74" s="87"/>
      <c r="K74" s="107"/>
      <c r="L74" s="108"/>
      <c r="M74" s="87"/>
      <c r="N74" s="107"/>
      <c r="O74" s="108"/>
      <c r="P74" s="87"/>
      <c r="Q74" s="107"/>
      <c r="R74" s="108"/>
      <c r="S74" s="87"/>
      <c r="T74" s="107"/>
      <c r="U74" s="108"/>
      <c r="V74" s="87"/>
      <c r="W74" s="107"/>
      <c r="X74" s="108"/>
      <c r="Y74" s="87"/>
      <c r="Z74" s="107"/>
      <c r="AA74" s="108"/>
      <c r="AB74" s="87"/>
      <c r="AC74" s="107"/>
      <c r="AD74" s="108"/>
      <c r="AE74" s="87"/>
      <c r="AF74" s="107"/>
      <c r="AG74" s="108"/>
      <c r="AH74" s="87"/>
      <c r="AI74" s="107"/>
      <c r="AJ74" s="108"/>
      <c r="AK74" s="87"/>
      <c r="AL74" s="107"/>
      <c r="AM74" s="108"/>
      <c r="AN74" s="87"/>
      <c r="AO74" s="107"/>
      <c r="AP74" s="108"/>
      <c r="AQ74" s="87"/>
      <c r="AR74" s="107"/>
      <c r="AS74" s="108"/>
      <c r="AT74" s="87"/>
      <c r="AU74" s="107"/>
      <c r="AV74" s="108"/>
      <c r="AW74" s="87"/>
      <c r="AX74" s="107"/>
      <c r="AY74" s="108"/>
      <c r="AZ74" s="87"/>
      <c r="BA74" s="107"/>
      <c r="BB74" s="108"/>
      <c r="BC74" s="87"/>
      <c r="BD74" s="107"/>
      <c r="BE74" s="108"/>
      <c r="BF74" s="87"/>
      <c r="BG74" s="107"/>
      <c r="BH74" s="108"/>
      <c r="BI74" s="87"/>
      <c r="BJ74" s="107"/>
      <c r="BK74" s="108"/>
      <c r="BL74" s="87"/>
      <c r="BM74" s="107"/>
      <c r="BN74" s="108"/>
      <c r="BO74" s="87"/>
      <c r="BP74" s="107"/>
      <c r="BQ74" s="108"/>
      <c r="BR74" s="87"/>
      <c r="BS74" s="107"/>
      <c r="BT74" s="108"/>
      <c r="BU74" s="87"/>
      <c r="BV74" s="107"/>
      <c r="BW74" s="108"/>
      <c r="BX74" s="87"/>
      <c r="BY74" s="107"/>
      <c r="BZ74" s="108"/>
      <c r="CA74" s="87"/>
      <c r="CB74" s="107"/>
      <c r="CC74" s="108"/>
      <c r="CD74" s="87"/>
      <c r="CE74" s="107"/>
      <c r="CF74" s="108"/>
      <c r="CG74" s="87"/>
      <c r="CH74" s="107"/>
      <c r="CI74" s="108"/>
      <c r="CJ74" s="87"/>
      <c r="CK74" s="107"/>
      <c r="CL74" s="108"/>
      <c r="CM74" s="87"/>
      <c r="CN74" s="107"/>
      <c r="CO74" s="108"/>
      <c r="CP74" s="87"/>
      <c r="CQ74" s="107"/>
      <c r="CR74" s="108"/>
      <c r="CS74" s="87"/>
      <c r="CT74" s="107"/>
      <c r="CU74" s="108"/>
      <c r="CV74" s="87"/>
      <c r="CW74" s="107"/>
      <c r="CX74" s="108"/>
      <c r="CY74" s="87"/>
      <c r="CZ74" s="107"/>
      <c r="DA74" s="108"/>
      <c r="DB74" s="87"/>
      <c r="DC74" s="107"/>
      <c r="DD74" s="108"/>
      <c r="DE74" s="87"/>
      <c r="DF74" s="107"/>
      <c r="DG74" s="108"/>
      <c r="DH74" s="87"/>
      <c r="DI74" s="107"/>
      <c r="DJ74" s="108"/>
      <c r="DK74" s="87"/>
      <c r="DL74" s="107"/>
      <c r="DM74" s="108"/>
      <c r="DN74" s="87"/>
      <c r="DO74" s="107"/>
      <c r="DP74" s="108"/>
      <c r="DQ74" s="87"/>
      <c r="DR74" s="107"/>
      <c r="DS74" s="108"/>
      <c r="DT74" s="87"/>
      <c r="DU74" s="107"/>
      <c r="DV74" s="108"/>
      <c r="DW74" s="87"/>
      <c r="DX74" s="107"/>
      <c r="DY74" s="108"/>
      <c r="DZ74" s="87"/>
      <c r="EA74" s="107"/>
      <c r="EB74" s="108"/>
      <c r="EC74" s="87"/>
      <c r="ED74" s="107"/>
      <c r="EE74" s="108"/>
      <c r="EF74" s="87"/>
      <c r="EG74" s="107"/>
      <c r="EH74" s="108"/>
      <c r="EI74" s="87"/>
      <c r="EJ74" s="107"/>
      <c r="EK74" s="108"/>
      <c r="EL74" s="87"/>
      <c r="EM74" s="107"/>
      <c r="EN74" s="108"/>
      <c r="EO74" s="87"/>
      <c r="EP74" s="107"/>
      <c r="EQ74" s="108"/>
      <c r="ER74" s="87"/>
      <c r="ES74" s="107"/>
      <c r="ET74" s="108"/>
      <c r="EU74" s="87"/>
      <c r="EV74" s="107"/>
      <c r="EW74" s="108"/>
      <c r="EX74" s="87"/>
      <c r="EY74" s="107"/>
      <c r="EZ74" s="108"/>
      <c r="FA74" s="87"/>
      <c r="FB74" s="107"/>
      <c r="FC74" s="108"/>
      <c r="FD74" s="87"/>
      <c r="FE74" s="107"/>
      <c r="FF74" s="108"/>
      <c r="FG74" s="87"/>
      <c r="FH74" s="107"/>
      <c r="FI74" s="108"/>
      <c r="FJ74" s="87"/>
      <c r="FK74" s="107"/>
      <c r="FL74" s="108"/>
      <c r="FM74" s="87"/>
      <c r="FN74" s="107"/>
      <c r="FO74" s="108"/>
      <c r="FP74" s="87"/>
      <c r="FQ74" s="107"/>
      <c r="FR74" s="108"/>
      <c r="FS74" s="87"/>
      <c r="FT74" s="107"/>
      <c r="FU74" s="108"/>
      <c r="FV74" s="87"/>
      <c r="FW74" s="107"/>
      <c r="FX74" s="108"/>
      <c r="FY74" s="87"/>
      <c r="FZ74" s="107"/>
      <c r="GA74" s="108"/>
      <c r="GB74" s="87"/>
      <c r="GC74" s="107"/>
      <c r="GD74" s="108"/>
      <c r="GE74" s="87"/>
      <c r="GF74" s="107"/>
      <c r="GG74" s="108"/>
      <c r="GH74" s="87"/>
      <c r="GI74" s="107"/>
      <c r="GJ74" s="108"/>
      <c r="GK74" s="87"/>
      <c r="GL74" s="107"/>
      <c r="GM74" s="108"/>
      <c r="GN74" s="87"/>
      <c r="GO74" s="107"/>
      <c r="GP74" s="108"/>
      <c r="GQ74" s="87"/>
      <c r="GR74" s="107"/>
      <c r="GS74" s="108"/>
      <c r="GT74" s="87"/>
      <c r="GU74" s="107"/>
      <c r="GV74" s="108"/>
      <c r="GW74" s="87"/>
      <c r="GX74" s="107"/>
      <c r="GY74" s="108"/>
      <c r="GZ74" s="87"/>
      <c r="HA74" s="107"/>
      <c r="HB74" s="108"/>
      <c r="HC74" s="87"/>
      <c r="HD74" s="107"/>
      <c r="HE74" s="108"/>
      <c r="HF74" s="87"/>
      <c r="HG74" s="107"/>
      <c r="HH74" s="108"/>
      <c r="HI74" s="87"/>
      <c r="HJ74" s="107"/>
      <c r="HK74" s="108"/>
      <c r="HM74" s="109">
        <v>6603</v>
      </c>
      <c r="HN74" s="89" t="s">
        <v>442</v>
      </c>
      <c r="HO74" s="90"/>
      <c r="HP74" s="110">
        <f>HA$101</f>
        <v>0</v>
      </c>
      <c r="HQ74" s="111">
        <f>HB$101</f>
        <v>0</v>
      </c>
      <c r="HR74" s="93" t="s">
        <v>754</v>
      </c>
      <c r="HS74" s="94">
        <f t="shared" si="1"/>
        <v>0</v>
      </c>
    </row>
    <row r="75" ht="14.25" customHeight="1" spans="1:227">
      <c r="A75" s="82">
        <v>6711</v>
      </c>
      <c r="B75" s="83" t="s">
        <v>450</v>
      </c>
      <c r="C75" s="148"/>
      <c r="D75" s="148"/>
      <c r="E75" s="107"/>
      <c r="F75" s="108"/>
      <c r="G75" s="87"/>
      <c r="H75" s="107"/>
      <c r="I75" s="108"/>
      <c r="J75" s="87"/>
      <c r="K75" s="107"/>
      <c r="L75" s="108"/>
      <c r="M75" s="87"/>
      <c r="N75" s="107"/>
      <c r="O75" s="108"/>
      <c r="P75" s="87"/>
      <c r="Q75" s="107"/>
      <c r="R75" s="108"/>
      <c r="S75" s="87"/>
      <c r="T75" s="107"/>
      <c r="U75" s="108"/>
      <c r="V75" s="87"/>
      <c r="W75" s="107"/>
      <c r="X75" s="108"/>
      <c r="Y75" s="87"/>
      <c r="Z75" s="107"/>
      <c r="AA75" s="108"/>
      <c r="AB75" s="87"/>
      <c r="AC75" s="107"/>
      <c r="AD75" s="108"/>
      <c r="AE75" s="87"/>
      <c r="AF75" s="107"/>
      <c r="AG75" s="108"/>
      <c r="AH75" s="87"/>
      <c r="AI75" s="107"/>
      <c r="AJ75" s="108"/>
      <c r="AK75" s="87"/>
      <c r="AL75" s="107"/>
      <c r="AM75" s="108"/>
      <c r="AN75" s="87"/>
      <c r="AO75" s="107"/>
      <c r="AP75" s="108"/>
      <c r="AQ75" s="87"/>
      <c r="AR75" s="107"/>
      <c r="AS75" s="108"/>
      <c r="AT75" s="87"/>
      <c r="AU75" s="107"/>
      <c r="AV75" s="108"/>
      <c r="AW75" s="87"/>
      <c r="AX75" s="107"/>
      <c r="AY75" s="108"/>
      <c r="AZ75" s="87"/>
      <c r="BA75" s="107"/>
      <c r="BB75" s="108"/>
      <c r="BC75" s="87"/>
      <c r="BD75" s="107"/>
      <c r="BE75" s="108"/>
      <c r="BF75" s="87"/>
      <c r="BG75" s="107"/>
      <c r="BH75" s="108"/>
      <c r="BI75" s="87"/>
      <c r="BJ75" s="107"/>
      <c r="BK75" s="108"/>
      <c r="BL75" s="87"/>
      <c r="BM75" s="107"/>
      <c r="BN75" s="108"/>
      <c r="BO75" s="87"/>
      <c r="BP75" s="107"/>
      <c r="BQ75" s="108"/>
      <c r="BR75" s="87"/>
      <c r="BS75" s="107"/>
      <c r="BT75" s="108"/>
      <c r="BU75" s="87"/>
      <c r="BV75" s="107"/>
      <c r="BW75" s="108"/>
      <c r="BX75" s="87"/>
      <c r="BY75" s="107"/>
      <c r="BZ75" s="108"/>
      <c r="CA75" s="87"/>
      <c r="CB75" s="107"/>
      <c r="CC75" s="108"/>
      <c r="CD75" s="87"/>
      <c r="CE75" s="107"/>
      <c r="CF75" s="108"/>
      <c r="CG75" s="87"/>
      <c r="CH75" s="107"/>
      <c r="CI75" s="108"/>
      <c r="CJ75" s="87"/>
      <c r="CK75" s="107"/>
      <c r="CL75" s="108"/>
      <c r="CM75" s="87"/>
      <c r="CN75" s="107"/>
      <c r="CO75" s="108"/>
      <c r="CP75" s="87"/>
      <c r="CQ75" s="107"/>
      <c r="CR75" s="108"/>
      <c r="CS75" s="87"/>
      <c r="CT75" s="107"/>
      <c r="CU75" s="108"/>
      <c r="CV75" s="87"/>
      <c r="CW75" s="107"/>
      <c r="CX75" s="108"/>
      <c r="CY75" s="87"/>
      <c r="CZ75" s="107"/>
      <c r="DA75" s="108"/>
      <c r="DB75" s="87"/>
      <c r="DC75" s="107"/>
      <c r="DD75" s="108"/>
      <c r="DE75" s="87"/>
      <c r="DF75" s="107"/>
      <c r="DG75" s="108"/>
      <c r="DH75" s="87"/>
      <c r="DI75" s="107"/>
      <c r="DJ75" s="108"/>
      <c r="DK75" s="87"/>
      <c r="DL75" s="107"/>
      <c r="DM75" s="108"/>
      <c r="DN75" s="87"/>
      <c r="DO75" s="107"/>
      <c r="DP75" s="108"/>
      <c r="DQ75" s="87"/>
      <c r="DR75" s="107"/>
      <c r="DS75" s="108"/>
      <c r="DT75" s="87"/>
      <c r="DU75" s="107"/>
      <c r="DV75" s="108"/>
      <c r="DW75" s="87"/>
      <c r="DX75" s="107"/>
      <c r="DY75" s="108"/>
      <c r="DZ75" s="87"/>
      <c r="EA75" s="107"/>
      <c r="EB75" s="108"/>
      <c r="EC75" s="87"/>
      <c r="ED75" s="107"/>
      <c r="EE75" s="108"/>
      <c r="EF75" s="87"/>
      <c r="EG75" s="107"/>
      <c r="EH75" s="108"/>
      <c r="EI75" s="87"/>
      <c r="EJ75" s="107"/>
      <c r="EK75" s="108"/>
      <c r="EL75" s="87"/>
      <c r="EM75" s="107"/>
      <c r="EN75" s="108"/>
      <c r="EO75" s="87"/>
      <c r="EP75" s="107"/>
      <c r="EQ75" s="108"/>
      <c r="ER75" s="87"/>
      <c r="ES75" s="107"/>
      <c r="ET75" s="108"/>
      <c r="EU75" s="87"/>
      <c r="EV75" s="107"/>
      <c r="EW75" s="108"/>
      <c r="EX75" s="87"/>
      <c r="EY75" s="107"/>
      <c r="EZ75" s="108"/>
      <c r="FA75" s="87"/>
      <c r="FB75" s="107"/>
      <c r="FC75" s="108"/>
      <c r="FD75" s="87"/>
      <c r="FE75" s="107"/>
      <c r="FF75" s="108"/>
      <c r="FG75" s="87"/>
      <c r="FH75" s="107"/>
      <c r="FI75" s="108"/>
      <c r="FJ75" s="87"/>
      <c r="FK75" s="107"/>
      <c r="FL75" s="108"/>
      <c r="FM75" s="87"/>
      <c r="FN75" s="107"/>
      <c r="FO75" s="108"/>
      <c r="FP75" s="87"/>
      <c r="FQ75" s="107"/>
      <c r="FR75" s="108"/>
      <c r="FS75" s="87"/>
      <c r="FT75" s="107"/>
      <c r="FU75" s="108"/>
      <c r="FV75" s="87"/>
      <c r="FW75" s="107"/>
      <c r="FX75" s="108"/>
      <c r="FY75" s="87"/>
      <c r="FZ75" s="107"/>
      <c r="GA75" s="108"/>
      <c r="GB75" s="87"/>
      <c r="GC75" s="107"/>
      <c r="GD75" s="108"/>
      <c r="GE75" s="87"/>
      <c r="GF75" s="107"/>
      <c r="GG75" s="108"/>
      <c r="GH75" s="87"/>
      <c r="GI75" s="107"/>
      <c r="GJ75" s="108"/>
      <c r="GK75" s="87"/>
      <c r="GL75" s="107"/>
      <c r="GM75" s="108"/>
      <c r="GN75" s="87"/>
      <c r="GO75" s="107"/>
      <c r="GP75" s="108"/>
      <c r="GQ75" s="87"/>
      <c r="GR75" s="107"/>
      <c r="GS75" s="108"/>
      <c r="GT75" s="87"/>
      <c r="GU75" s="107"/>
      <c r="GV75" s="108"/>
      <c r="GW75" s="87"/>
      <c r="GX75" s="107"/>
      <c r="GY75" s="108"/>
      <c r="GZ75" s="87"/>
      <c r="HA75" s="107"/>
      <c r="HB75" s="108"/>
      <c r="HC75" s="87"/>
      <c r="HD75" s="107"/>
      <c r="HE75" s="108"/>
      <c r="HF75" s="87"/>
      <c r="HG75" s="107"/>
      <c r="HH75" s="108"/>
      <c r="HI75" s="87"/>
      <c r="HJ75" s="107"/>
      <c r="HK75" s="108"/>
      <c r="HM75" s="109">
        <v>6711</v>
      </c>
      <c r="HN75" s="89" t="s">
        <v>450</v>
      </c>
      <c r="HO75" s="90"/>
      <c r="HP75" s="110">
        <f>HD$101</f>
        <v>0</v>
      </c>
      <c r="HQ75" s="111">
        <f>HE$101</f>
        <v>0</v>
      </c>
      <c r="HR75" s="93" t="s">
        <v>754</v>
      </c>
      <c r="HS75" s="94">
        <f t="shared" si="1"/>
        <v>0</v>
      </c>
    </row>
    <row r="76" ht="14.25" customHeight="1" spans="1:227">
      <c r="A76" s="82">
        <v>6801</v>
      </c>
      <c r="B76" s="83" t="s">
        <v>609</v>
      </c>
      <c r="C76" s="148"/>
      <c r="D76" s="148"/>
      <c r="E76" s="107"/>
      <c r="F76" s="108"/>
      <c r="G76" s="87"/>
      <c r="H76" s="107"/>
      <c r="I76" s="108"/>
      <c r="J76" s="87"/>
      <c r="K76" s="107"/>
      <c r="L76" s="108"/>
      <c r="M76" s="87"/>
      <c r="N76" s="107"/>
      <c r="O76" s="108"/>
      <c r="P76" s="87"/>
      <c r="Q76" s="107"/>
      <c r="R76" s="108"/>
      <c r="S76" s="87"/>
      <c r="T76" s="107"/>
      <c r="U76" s="108"/>
      <c r="V76" s="87"/>
      <c r="W76" s="107"/>
      <c r="X76" s="108"/>
      <c r="Y76" s="87"/>
      <c r="Z76" s="107"/>
      <c r="AA76" s="108"/>
      <c r="AB76" s="87"/>
      <c r="AC76" s="107"/>
      <c r="AD76" s="108"/>
      <c r="AE76" s="87"/>
      <c r="AF76" s="107"/>
      <c r="AG76" s="108"/>
      <c r="AH76" s="87"/>
      <c r="AI76" s="107"/>
      <c r="AJ76" s="108"/>
      <c r="AK76" s="87"/>
      <c r="AL76" s="107"/>
      <c r="AM76" s="108"/>
      <c r="AN76" s="87"/>
      <c r="AO76" s="107"/>
      <c r="AP76" s="108"/>
      <c r="AQ76" s="87"/>
      <c r="AR76" s="107"/>
      <c r="AS76" s="108"/>
      <c r="AT76" s="87"/>
      <c r="AU76" s="107"/>
      <c r="AV76" s="108"/>
      <c r="AW76" s="87"/>
      <c r="AX76" s="107"/>
      <c r="AY76" s="108"/>
      <c r="AZ76" s="87"/>
      <c r="BA76" s="107"/>
      <c r="BB76" s="108"/>
      <c r="BC76" s="87"/>
      <c r="BD76" s="107"/>
      <c r="BE76" s="108"/>
      <c r="BF76" s="87"/>
      <c r="BG76" s="107"/>
      <c r="BH76" s="108"/>
      <c r="BI76" s="87"/>
      <c r="BJ76" s="107"/>
      <c r="BK76" s="108"/>
      <c r="BL76" s="87"/>
      <c r="BM76" s="107"/>
      <c r="BN76" s="108"/>
      <c r="BO76" s="87"/>
      <c r="BP76" s="107"/>
      <c r="BQ76" s="108"/>
      <c r="BR76" s="87"/>
      <c r="BS76" s="107"/>
      <c r="BT76" s="108"/>
      <c r="BU76" s="87"/>
      <c r="BV76" s="107"/>
      <c r="BW76" s="108"/>
      <c r="BX76" s="87"/>
      <c r="BY76" s="107"/>
      <c r="BZ76" s="108"/>
      <c r="CA76" s="87"/>
      <c r="CB76" s="107"/>
      <c r="CC76" s="108"/>
      <c r="CD76" s="87"/>
      <c r="CE76" s="107"/>
      <c r="CF76" s="108"/>
      <c r="CG76" s="87"/>
      <c r="CH76" s="107"/>
      <c r="CI76" s="108"/>
      <c r="CJ76" s="87"/>
      <c r="CK76" s="107"/>
      <c r="CL76" s="108"/>
      <c r="CM76" s="87"/>
      <c r="CN76" s="107"/>
      <c r="CO76" s="108"/>
      <c r="CP76" s="87"/>
      <c r="CQ76" s="107"/>
      <c r="CR76" s="108"/>
      <c r="CS76" s="87"/>
      <c r="CT76" s="107"/>
      <c r="CU76" s="108"/>
      <c r="CV76" s="87"/>
      <c r="CW76" s="107"/>
      <c r="CX76" s="108"/>
      <c r="CY76" s="87"/>
      <c r="CZ76" s="107"/>
      <c r="DA76" s="108"/>
      <c r="DB76" s="87"/>
      <c r="DC76" s="107"/>
      <c r="DD76" s="108"/>
      <c r="DE76" s="87"/>
      <c r="DF76" s="107"/>
      <c r="DG76" s="108"/>
      <c r="DH76" s="87"/>
      <c r="DI76" s="107"/>
      <c r="DJ76" s="108"/>
      <c r="DK76" s="87"/>
      <c r="DL76" s="107"/>
      <c r="DM76" s="108"/>
      <c r="DN76" s="87"/>
      <c r="DO76" s="107"/>
      <c r="DP76" s="108"/>
      <c r="DQ76" s="87"/>
      <c r="DR76" s="107"/>
      <c r="DS76" s="108"/>
      <c r="DT76" s="87"/>
      <c r="DU76" s="107"/>
      <c r="DV76" s="108"/>
      <c r="DW76" s="87"/>
      <c r="DX76" s="107"/>
      <c r="DY76" s="108"/>
      <c r="DZ76" s="87"/>
      <c r="EA76" s="107"/>
      <c r="EB76" s="108"/>
      <c r="EC76" s="87"/>
      <c r="ED76" s="107"/>
      <c r="EE76" s="108"/>
      <c r="EF76" s="87"/>
      <c r="EG76" s="107"/>
      <c r="EH76" s="108"/>
      <c r="EI76" s="87"/>
      <c r="EJ76" s="107"/>
      <c r="EK76" s="108"/>
      <c r="EL76" s="87"/>
      <c r="EM76" s="107"/>
      <c r="EN76" s="108"/>
      <c r="EO76" s="87"/>
      <c r="EP76" s="107"/>
      <c r="EQ76" s="108"/>
      <c r="ER76" s="87"/>
      <c r="ES76" s="107"/>
      <c r="ET76" s="108"/>
      <c r="EU76" s="87"/>
      <c r="EV76" s="107"/>
      <c r="EW76" s="108"/>
      <c r="EX76" s="87"/>
      <c r="EY76" s="107"/>
      <c r="EZ76" s="108"/>
      <c r="FA76" s="87"/>
      <c r="FB76" s="107"/>
      <c r="FC76" s="108"/>
      <c r="FD76" s="87"/>
      <c r="FE76" s="107"/>
      <c r="FF76" s="108"/>
      <c r="FG76" s="87"/>
      <c r="FH76" s="107"/>
      <c r="FI76" s="108"/>
      <c r="FJ76" s="87"/>
      <c r="FK76" s="107"/>
      <c r="FL76" s="108"/>
      <c r="FM76" s="87"/>
      <c r="FN76" s="107"/>
      <c r="FO76" s="108"/>
      <c r="FP76" s="87"/>
      <c r="FQ76" s="107"/>
      <c r="FR76" s="108"/>
      <c r="FS76" s="87"/>
      <c r="FT76" s="107"/>
      <c r="FU76" s="108"/>
      <c r="FV76" s="87"/>
      <c r="FW76" s="107"/>
      <c r="FX76" s="108"/>
      <c r="FY76" s="87"/>
      <c r="FZ76" s="107"/>
      <c r="GA76" s="108"/>
      <c r="GB76" s="87"/>
      <c r="GC76" s="107"/>
      <c r="GD76" s="108"/>
      <c r="GE76" s="87"/>
      <c r="GF76" s="107"/>
      <c r="GG76" s="108"/>
      <c r="GH76" s="87"/>
      <c r="GI76" s="107"/>
      <c r="GJ76" s="108"/>
      <c r="GK76" s="87"/>
      <c r="GL76" s="107"/>
      <c r="GM76" s="108"/>
      <c r="GN76" s="87"/>
      <c r="GO76" s="107"/>
      <c r="GP76" s="108"/>
      <c r="GQ76" s="87"/>
      <c r="GR76" s="107"/>
      <c r="GS76" s="108"/>
      <c r="GT76" s="87"/>
      <c r="GU76" s="107"/>
      <c r="GV76" s="108"/>
      <c r="GW76" s="87"/>
      <c r="GX76" s="107"/>
      <c r="GY76" s="108"/>
      <c r="GZ76" s="87"/>
      <c r="HA76" s="107"/>
      <c r="HB76" s="108"/>
      <c r="HC76" s="87"/>
      <c r="HD76" s="107"/>
      <c r="HE76" s="108"/>
      <c r="HF76" s="87"/>
      <c r="HG76" s="107"/>
      <c r="HH76" s="108"/>
      <c r="HI76" s="87"/>
      <c r="HJ76" s="107"/>
      <c r="HK76" s="108"/>
      <c r="HM76" s="109">
        <v>6801</v>
      </c>
      <c r="HN76" s="89" t="s">
        <v>609</v>
      </c>
      <c r="HO76" s="90"/>
      <c r="HP76" s="110">
        <f>HG$101</f>
        <v>0</v>
      </c>
      <c r="HQ76" s="111">
        <f>HH$101</f>
        <v>0</v>
      </c>
      <c r="HR76" s="93" t="s">
        <v>754</v>
      </c>
      <c r="HS76" s="94">
        <f t="shared" si="1"/>
        <v>0</v>
      </c>
    </row>
    <row r="77" ht="14.25" customHeight="1" spans="1:227">
      <c r="A77" s="82">
        <v>6901</v>
      </c>
      <c r="B77" s="83" t="s">
        <v>465</v>
      </c>
      <c r="C77" s="148"/>
      <c r="D77" s="148"/>
      <c r="E77" s="107"/>
      <c r="F77" s="108"/>
      <c r="G77" s="87"/>
      <c r="H77" s="107"/>
      <c r="I77" s="108"/>
      <c r="J77" s="87"/>
      <c r="K77" s="107"/>
      <c r="L77" s="108"/>
      <c r="M77" s="87"/>
      <c r="N77" s="107"/>
      <c r="O77" s="108"/>
      <c r="P77" s="87"/>
      <c r="Q77" s="107"/>
      <c r="R77" s="108"/>
      <c r="S77" s="87"/>
      <c r="T77" s="107"/>
      <c r="U77" s="108"/>
      <c r="V77" s="87"/>
      <c r="W77" s="107"/>
      <c r="X77" s="108"/>
      <c r="Y77" s="87"/>
      <c r="Z77" s="107"/>
      <c r="AA77" s="108"/>
      <c r="AB77" s="87"/>
      <c r="AC77" s="107"/>
      <c r="AD77" s="108"/>
      <c r="AE77" s="87"/>
      <c r="AF77" s="107"/>
      <c r="AG77" s="108"/>
      <c r="AH77" s="87"/>
      <c r="AI77" s="107"/>
      <c r="AJ77" s="108"/>
      <c r="AK77" s="87"/>
      <c r="AL77" s="107"/>
      <c r="AM77" s="108"/>
      <c r="AN77" s="87"/>
      <c r="AO77" s="107"/>
      <c r="AP77" s="108"/>
      <c r="AQ77" s="87"/>
      <c r="AR77" s="107"/>
      <c r="AS77" s="108"/>
      <c r="AT77" s="87"/>
      <c r="AU77" s="107"/>
      <c r="AV77" s="108"/>
      <c r="AW77" s="87"/>
      <c r="AX77" s="107"/>
      <c r="AY77" s="108"/>
      <c r="AZ77" s="87"/>
      <c r="BA77" s="107"/>
      <c r="BB77" s="108"/>
      <c r="BC77" s="87"/>
      <c r="BD77" s="107"/>
      <c r="BE77" s="108"/>
      <c r="BF77" s="87"/>
      <c r="BG77" s="107"/>
      <c r="BH77" s="108"/>
      <c r="BI77" s="87"/>
      <c r="BJ77" s="107"/>
      <c r="BK77" s="108"/>
      <c r="BL77" s="87"/>
      <c r="BM77" s="107"/>
      <c r="BN77" s="108"/>
      <c r="BO77" s="87"/>
      <c r="BP77" s="107"/>
      <c r="BQ77" s="108"/>
      <c r="BR77" s="87"/>
      <c r="BS77" s="107"/>
      <c r="BT77" s="108"/>
      <c r="BU77" s="87"/>
      <c r="BV77" s="107"/>
      <c r="BW77" s="108"/>
      <c r="BX77" s="87"/>
      <c r="BY77" s="107"/>
      <c r="BZ77" s="108"/>
      <c r="CA77" s="87"/>
      <c r="CB77" s="107"/>
      <c r="CC77" s="108"/>
      <c r="CD77" s="87"/>
      <c r="CE77" s="107"/>
      <c r="CF77" s="108"/>
      <c r="CG77" s="87"/>
      <c r="CH77" s="107"/>
      <c r="CI77" s="108"/>
      <c r="CJ77" s="87"/>
      <c r="CK77" s="107"/>
      <c r="CL77" s="108"/>
      <c r="CM77" s="87"/>
      <c r="CN77" s="107"/>
      <c r="CO77" s="108"/>
      <c r="CP77" s="87"/>
      <c r="CQ77" s="107"/>
      <c r="CR77" s="108"/>
      <c r="CS77" s="87"/>
      <c r="CT77" s="107"/>
      <c r="CU77" s="108"/>
      <c r="CV77" s="87"/>
      <c r="CW77" s="107"/>
      <c r="CX77" s="108"/>
      <c r="CY77" s="87"/>
      <c r="CZ77" s="107"/>
      <c r="DA77" s="108"/>
      <c r="DB77" s="87"/>
      <c r="DC77" s="107"/>
      <c r="DD77" s="108"/>
      <c r="DE77" s="87"/>
      <c r="DF77" s="107"/>
      <c r="DG77" s="108"/>
      <c r="DH77" s="87"/>
      <c r="DI77" s="107"/>
      <c r="DJ77" s="108"/>
      <c r="DK77" s="87"/>
      <c r="DL77" s="107"/>
      <c r="DM77" s="108"/>
      <c r="DN77" s="87"/>
      <c r="DO77" s="107"/>
      <c r="DP77" s="108"/>
      <c r="DQ77" s="87"/>
      <c r="DR77" s="107"/>
      <c r="DS77" s="108"/>
      <c r="DT77" s="87"/>
      <c r="DU77" s="107"/>
      <c r="DV77" s="108"/>
      <c r="DW77" s="87"/>
      <c r="DX77" s="107"/>
      <c r="DY77" s="108"/>
      <c r="DZ77" s="87"/>
      <c r="EA77" s="107"/>
      <c r="EB77" s="108"/>
      <c r="EC77" s="87"/>
      <c r="ED77" s="107"/>
      <c r="EE77" s="108"/>
      <c r="EF77" s="87"/>
      <c r="EG77" s="107"/>
      <c r="EH77" s="108"/>
      <c r="EI77" s="87"/>
      <c r="EJ77" s="107"/>
      <c r="EK77" s="108"/>
      <c r="EL77" s="87"/>
      <c r="EM77" s="107"/>
      <c r="EN77" s="108"/>
      <c r="EO77" s="87"/>
      <c r="EP77" s="107"/>
      <c r="EQ77" s="108"/>
      <c r="ER77" s="87"/>
      <c r="ES77" s="107"/>
      <c r="ET77" s="108"/>
      <c r="EU77" s="87"/>
      <c r="EV77" s="107"/>
      <c r="EW77" s="108"/>
      <c r="EX77" s="87"/>
      <c r="EY77" s="107"/>
      <c r="EZ77" s="108"/>
      <c r="FA77" s="87"/>
      <c r="FB77" s="107"/>
      <c r="FC77" s="108"/>
      <c r="FD77" s="87"/>
      <c r="FE77" s="107"/>
      <c r="FF77" s="108"/>
      <c r="FG77" s="87"/>
      <c r="FH77" s="107"/>
      <c r="FI77" s="108"/>
      <c r="FJ77" s="87"/>
      <c r="FK77" s="107"/>
      <c r="FL77" s="108"/>
      <c r="FM77" s="87"/>
      <c r="FN77" s="107"/>
      <c r="FO77" s="108"/>
      <c r="FP77" s="87"/>
      <c r="FQ77" s="107"/>
      <c r="FR77" s="108"/>
      <c r="FS77" s="87"/>
      <c r="FT77" s="107"/>
      <c r="FU77" s="108"/>
      <c r="FV77" s="87"/>
      <c r="FW77" s="107"/>
      <c r="FX77" s="108"/>
      <c r="FY77" s="87"/>
      <c r="FZ77" s="107"/>
      <c r="GA77" s="108"/>
      <c r="GB77" s="87"/>
      <c r="GC77" s="107"/>
      <c r="GD77" s="108"/>
      <c r="GE77" s="87"/>
      <c r="GF77" s="107"/>
      <c r="GG77" s="108"/>
      <c r="GH77" s="87"/>
      <c r="GI77" s="107"/>
      <c r="GJ77" s="108"/>
      <c r="GK77" s="87"/>
      <c r="GL77" s="107"/>
      <c r="GM77" s="108"/>
      <c r="GN77" s="87"/>
      <c r="GO77" s="107"/>
      <c r="GP77" s="108"/>
      <c r="GQ77" s="87"/>
      <c r="GR77" s="107"/>
      <c r="GS77" s="108"/>
      <c r="GT77" s="87"/>
      <c r="GU77" s="107"/>
      <c r="GV77" s="108"/>
      <c r="GW77" s="87"/>
      <c r="GX77" s="107"/>
      <c r="GY77" s="108"/>
      <c r="GZ77" s="87"/>
      <c r="HA77" s="107"/>
      <c r="HB77" s="108"/>
      <c r="HC77" s="87"/>
      <c r="HD77" s="107"/>
      <c r="HE77" s="108"/>
      <c r="HF77" s="87"/>
      <c r="HG77" s="107"/>
      <c r="HH77" s="108"/>
      <c r="HI77" s="87"/>
      <c r="HJ77" s="107"/>
      <c r="HK77" s="108"/>
      <c r="HM77" s="109">
        <v>6901</v>
      </c>
      <c r="HN77" s="89" t="s">
        <v>465</v>
      </c>
      <c r="HO77" s="90"/>
      <c r="HP77" s="110">
        <f>HJ$101</f>
        <v>0</v>
      </c>
      <c r="HQ77" s="111">
        <f>HK$101</f>
        <v>0</v>
      </c>
      <c r="HR77" s="93" t="s">
        <v>754</v>
      </c>
      <c r="HS77" s="94">
        <f t="shared" si="1"/>
        <v>0</v>
      </c>
    </row>
    <row r="78" ht="14.25" customHeight="1" spans="1:227">
      <c r="A78" s="82"/>
      <c r="B78" s="168"/>
      <c r="C78" s="148"/>
      <c r="D78" s="148"/>
      <c r="E78" s="107"/>
      <c r="F78" s="108"/>
      <c r="G78" s="87"/>
      <c r="H78" s="107"/>
      <c r="I78" s="108"/>
      <c r="J78" s="87"/>
      <c r="K78" s="107"/>
      <c r="L78" s="108"/>
      <c r="M78" s="87"/>
      <c r="N78" s="107"/>
      <c r="O78" s="108"/>
      <c r="P78" s="87"/>
      <c r="Q78" s="107"/>
      <c r="R78" s="108"/>
      <c r="S78" s="87"/>
      <c r="T78" s="107"/>
      <c r="U78" s="108"/>
      <c r="V78" s="87"/>
      <c r="W78" s="107"/>
      <c r="X78" s="108"/>
      <c r="Y78" s="87"/>
      <c r="Z78" s="107"/>
      <c r="AA78" s="108"/>
      <c r="AB78" s="87"/>
      <c r="AC78" s="107"/>
      <c r="AD78" s="108"/>
      <c r="AE78" s="87"/>
      <c r="AF78" s="107"/>
      <c r="AG78" s="108"/>
      <c r="AH78" s="87"/>
      <c r="AI78" s="107"/>
      <c r="AJ78" s="108"/>
      <c r="AK78" s="87"/>
      <c r="AL78" s="107"/>
      <c r="AM78" s="108"/>
      <c r="AN78" s="87"/>
      <c r="AO78" s="107"/>
      <c r="AP78" s="108"/>
      <c r="AQ78" s="87"/>
      <c r="AR78" s="107"/>
      <c r="AS78" s="108"/>
      <c r="AT78" s="87"/>
      <c r="AU78" s="107"/>
      <c r="AV78" s="108"/>
      <c r="AW78" s="87"/>
      <c r="AX78" s="107"/>
      <c r="AY78" s="108"/>
      <c r="AZ78" s="87"/>
      <c r="BA78" s="107"/>
      <c r="BB78" s="108"/>
      <c r="BC78" s="87"/>
      <c r="BD78" s="107"/>
      <c r="BE78" s="108"/>
      <c r="BF78" s="87"/>
      <c r="BG78" s="107"/>
      <c r="BH78" s="108"/>
      <c r="BI78" s="87"/>
      <c r="BJ78" s="107"/>
      <c r="BK78" s="108"/>
      <c r="BL78" s="87"/>
      <c r="BM78" s="107"/>
      <c r="BN78" s="108"/>
      <c r="BO78" s="87"/>
      <c r="BP78" s="107"/>
      <c r="BQ78" s="108"/>
      <c r="BR78" s="87"/>
      <c r="BS78" s="107"/>
      <c r="BT78" s="108"/>
      <c r="BU78" s="87"/>
      <c r="BV78" s="107"/>
      <c r="BW78" s="108"/>
      <c r="BX78" s="87"/>
      <c r="BY78" s="107"/>
      <c r="BZ78" s="108"/>
      <c r="CA78" s="87"/>
      <c r="CB78" s="107"/>
      <c r="CC78" s="108"/>
      <c r="CD78" s="87"/>
      <c r="CE78" s="107"/>
      <c r="CF78" s="108"/>
      <c r="CG78" s="87"/>
      <c r="CH78" s="107"/>
      <c r="CI78" s="108"/>
      <c r="CJ78" s="87"/>
      <c r="CK78" s="107"/>
      <c r="CL78" s="108"/>
      <c r="CM78" s="87"/>
      <c r="CN78" s="107"/>
      <c r="CO78" s="108"/>
      <c r="CP78" s="87"/>
      <c r="CQ78" s="107"/>
      <c r="CR78" s="108"/>
      <c r="CS78" s="87"/>
      <c r="CT78" s="107"/>
      <c r="CU78" s="108"/>
      <c r="CV78" s="87"/>
      <c r="CW78" s="107"/>
      <c r="CX78" s="108"/>
      <c r="CY78" s="87"/>
      <c r="CZ78" s="107"/>
      <c r="DA78" s="108"/>
      <c r="DB78" s="87"/>
      <c r="DC78" s="107"/>
      <c r="DD78" s="108"/>
      <c r="DE78" s="87"/>
      <c r="DF78" s="107"/>
      <c r="DG78" s="108"/>
      <c r="DH78" s="87"/>
      <c r="DI78" s="107"/>
      <c r="DJ78" s="108"/>
      <c r="DK78" s="87"/>
      <c r="DL78" s="107"/>
      <c r="DM78" s="108"/>
      <c r="DN78" s="87"/>
      <c r="DO78" s="107"/>
      <c r="DP78" s="108"/>
      <c r="DQ78" s="87"/>
      <c r="DR78" s="107"/>
      <c r="DS78" s="108"/>
      <c r="DT78" s="87"/>
      <c r="DU78" s="107"/>
      <c r="DV78" s="108"/>
      <c r="DW78" s="87"/>
      <c r="DX78" s="107"/>
      <c r="DY78" s="108"/>
      <c r="DZ78" s="87"/>
      <c r="EA78" s="107"/>
      <c r="EB78" s="108"/>
      <c r="EC78" s="87"/>
      <c r="ED78" s="107"/>
      <c r="EE78" s="108"/>
      <c r="EF78" s="87"/>
      <c r="EG78" s="107"/>
      <c r="EH78" s="108"/>
      <c r="EI78" s="87"/>
      <c r="EJ78" s="107"/>
      <c r="EK78" s="108"/>
      <c r="EL78" s="87"/>
      <c r="EM78" s="107"/>
      <c r="EN78" s="108"/>
      <c r="EO78" s="87"/>
      <c r="EP78" s="107"/>
      <c r="EQ78" s="108"/>
      <c r="ER78" s="87"/>
      <c r="ES78" s="107"/>
      <c r="ET78" s="108"/>
      <c r="EU78" s="87"/>
      <c r="EV78" s="107"/>
      <c r="EW78" s="108"/>
      <c r="EX78" s="87"/>
      <c r="EY78" s="107"/>
      <c r="EZ78" s="108"/>
      <c r="FA78" s="87"/>
      <c r="FB78" s="107"/>
      <c r="FC78" s="108"/>
      <c r="FD78" s="87"/>
      <c r="FE78" s="107"/>
      <c r="FF78" s="108"/>
      <c r="FG78" s="87"/>
      <c r="FH78" s="107"/>
      <c r="FI78" s="108"/>
      <c r="FJ78" s="87"/>
      <c r="FK78" s="107"/>
      <c r="FL78" s="108"/>
      <c r="FM78" s="87"/>
      <c r="FN78" s="107"/>
      <c r="FO78" s="108"/>
      <c r="FP78" s="87"/>
      <c r="FQ78" s="107"/>
      <c r="FR78" s="108"/>
      <c r="FS78" s="87"/>
      <c r="FT78" s="107"/>
      <c r="FU78" s="108"/>
      <c r="FV78" s="87"/>
      <c r="FW78" s="107"/>
      <c r="FX78" s="108"/>
      <c r="FY78" s="87"/>
      <c r="FZ78" s="107"/>
      <c r="GA78" s="108"/>
      <c r="GB78" s="87"/>
      <c r="GC78" s="107"/>
      <c r="GD78" s="108"/>
      <c r="GE78" s="87"/>
      <c r="GF78" s="107"/>
      <c r="GG78" s="108"/>
      <c r="GH78" s="87"/>
      <c r="GI78" s="107"/>
      <c r="GJ78" s="108"/>
      <c r="GK78" s="87"/>
      <c r="GL78" s="107"/>
      <c r="GM78" s="108"/>
      <c r="GN78" s="87"/>
      <c r="GO78" s="107"/>
      <c r="GP78" s="108"/>
      <c r="GQ78" s="87"/>
      <c r="GR78" s="107"/>
      <c r="GS78" s="108"/>
      <c r="GT78" s="87"/>
      <c r="GU78" s="107"/>
      <c r="GV78" s="108"/>
      <c r="GW78" s="87"/>
      <c r="GX78" s="107"/>
      <c r="GY78" s="108"/>
      <c r="GZ78" s="87"/>
      <c r="HA78" s="107"/>
      <c r="HB78" s="108"/>
      <c r="HC78" s="87"/>
      <c r="HD78" s="107"/>
      <c r="HE78" s="108"/>
      <c r="HF78" s="87"/>
      <c r="HG78" s="107"/>
      <c r="HH78" s="108"/>
      <c r="HI78" s="87"/>
      <c r="HJ78" s="107"/>
      <c r="HK78" s="108"/>
      <c r="HM78" s="169" t="s">
        <v>756</v>
      </c>
      <c r="HN78" s="135"/>
      <c r="HO78" s="170">
        <f>SUM(HO6:HO77)</f>
        <v>140000</v>
      </c>
      <c r="HP78" s="171">
        <f>SUM(HP6:HP77)</f>
        <v>54000</v>
      </c>
      <c r="HQ78" s="172">
        <f>SUM(HQ6:HQ77)</f>
        <v>54000</v>
      </c>
      <c r="HR78" s="173"/>
      <c r="HS78" s="174"/>
    </row>
    <row r="79" ht="16.95" customHeight="1" spans="1:227">
      <c r="A79" s="175" t="s">
        <v>1025</v>
      </c>
      <c r="B79" s="168" t="s">
        <v>1026</v>
      </c>
      <c r="C79" s="148"/>
      <c r="D79" s="148"/>
      <c r="E79" s="107"/>
      <c r="F79" s="108"/>
      <c r="G79" s="87"/>
      <c r="H79" s="107"/>
      <c r="I79" s="108"/>
      <c r="J79" s="87"/>
      <c r="K79" s="107"/>
      <c r="L79" s="108"/>
      <c r="M79" s="87"/>
      <c r="N79" s="107"/>
      <c r="O79" s="108"/>
      <c r="P79" s="87"/>
      <c r="Q79" s="107"/>
      <c r="R79" s="108"/>
      <c r="S79" s="87"/>
      <c r="T79" s="107"/>
      <c r="U79" s="108"/>
      <c r="V79" s="87"/>
      <c r="W79" s="107"/>
      <c r="X79" s="108"/>
      <c r="Y79" s="87"/>
      <c r="Z79" s="107"/>
      <c r="AA79" s="108"/>
      <c r="AB79" s="87"/>
      <c r="AC79" s="107"/>
      <c r="AD79" s="108"/>
      <c r="AE79" s="87"/>
      <c r="AF79" s="107"/>
      <c r="AG79" s="108"/>
      <c r="AH79" s="87"/>
      <c r="AI79" s="107"/>
      <c r="AJ79" s="108"/>
      <c r="AK79" s="87"/>
      <c r="AL79" s="107"/>
      <c r="AM79" s="108"/>
      <c r="AN79" s="87"/>
      <c r="AO79" s="107"/>
      <c r="AP79" s="108"/>
      <c r="AQ79" s="87"/>
      <c r="AR79" s="107"/>
      <c r="AS79" s="108"/>
      <c r="AT79" s="87"/>
      <c r="AU79" s="107"/>
      <c r="AV79" s="108"/>
      <c r="AW79" s="87"/>
      <c r="AX79" s="107"/>
      <c r="AY79" s="108"/>
      <c r="AZ79" s="87"/>
      <c r="BA79" s="107"/>
      <c r="BB79" s="108"/>
      <c r="BC79" s="87"/>
      <c r="BD79" s="107"/>
      <c r="BE79" s="108"/>
      <c r="BF79" s="87"/>
      <c r="BG79" s="107"/>
      <c r="BH79" s="108"/>
      <c r="BI79" s="87"/>
      <c r="BJ79" s="107"/>
      <c r="BK79" s="108"/>
      <c r="BL79" s="87"/>
      <c r="BM79" s="107"/>
      <c r="BN79" s="108"/>
      <c r="BO79" s="87"/>
      <c r="BP79" s="107"/>
      <c r="BQ79" s="108"/>
      <c r="BR79" s="87"/>
      <c r="BS79" s="107"/>
      <c r="BT79" s="108"/>
      <c r="BU79" s="87"/>
      <c r="BV79" s="107"/>
      <c r="BW79" s="108"/>
      <c r="BX79" s="87"/>
      <c r="BY79" s="107"/>
      <c r="BZ79" s="108"/>
      <c r="CA79" s="87"/>
      <c r="CB79" s="107"/>
      <c r="CC79" s="108"/>
      <c r="CD79" s="87"/>
      <c r="CE79" s="107"/>
      <c r="CF79" s="108"/>
      <c r="CG79" s="87"/>
      <c r="CH79" s="107"/>
      <c r="CI79" s="108"/>
      <c r="CJ79" s="87"/>
      <c r="CK79" s="107"/>
      <c r="CL79" s="108"/>
      <c r="CM79" s="87"/>
      <c r="CN79" s="107"/>
      <c r="CO79" s="108"/>
      <c r="CP79" s="87"/>
      <c r="CQ79" s="107"/>
      <c r="CR79" s="108"/>
      <c r="CS79" s="87"/>
      <c r="CT79" s="107"/>
      <c r="CU79" s="108"/>
      <c r="CV79" s="87"/>
      <c r="CW79" s="107"/>
      <c r="CX79" s="108"/>
      <c r="CY79" s="87"/>
      <c r="CZ79" s="107"/>
      <c r="DA79" s="108"/>
      <c r="DB79" s="87"/>
      <c r="DC79" s="107"/>
      <c r="DD79" s="108"/>
      <c r="DE79" s="87"/>
      <c r="DF79" s="107"/>
      <c r="DG79" s="108"/>
      <c r="DH79" s="87"/>
      <c r="DI79" s="107"/>
      <c r="DJ79" s="108"/>
      <c r="DK79" s="87"/>
      <c r="DL79" s="107"/>
      <c r="DM79" s="108"/>
      <c r="DN79" s="87"/>
      <c r="DO79" s="107"/>
      <c r="DP79" s="108"/>
      <c r="DQ79" s="87"/>
      <c r="DR79" s="107"/>
      <c r="DS79" s="108"/>
      <c r="DT79" s="87"/>
      <c r="DU79" s="107"/>
      <c r="DV79" s="108"/>
      <c r="DW79" s="87"/>
      <c r="DX79" s="107"/>
      <c r="DY79" s="108"/>
      <c r="DZ79" s="87"/>
      <c r="EA79" s="107"/>
      <c r="EB79" s="108"/>
      <c r="EC79" s="87"/>
      <c r="ED79" s="107"/>
      <c r="EE79" s="108"/>
      <c r="EF79" s="87"/>
      <c r="EG79" s="107"/>
      <c r="EH79" s="108"/>
      <c r="EI79" s="87"/>
      <c r="EJ79" s="107"/>
      <c r="EK79" s="108"/>
      <c r="EL79" s="87"/>
      <c r="EM79" s="107"/>
      <c r="EN79" s="108"/>
      <c r="EO79" s="87"/>
      <c r="EP79" s="107"/>
      <c r="EQ79" s="108"/>
      <c r="ER79" s="87"/>
      <c r="ES79" s="107"/>
      <c r="ET79" s="108"/>
      <c r="EU79" s="87"/>
      <c r="EV79" s="107"/>
      <c r="EW79" s="108"/>
      <c r="EX79" s="87"/>
      <c r="EY79" s="107"/>
      <c r="EZ79" s="108"/>
      <c r="FA79" s="87"/>
      <c r="FB79" s="107"/>
      <c r="FC79" s="108"/>
      <c r="FD79" s="87"/>
      <c r="FE79" s="107"/>
      <c r="FF79" s="108"/>
      <c r="FG79" s="87"/>
      <c r="FH79" s="107"/>
      <c r="FI79" s="108"/>
      <c r="FJ79" s="87"/>
      <c r="FK79" s="107"/>
      <c r="FL79" s="108"/>
      <c r="FM79" s="87"/>
      <c r="FN79" s="107"/>
      <c r="FO79" s="108"/>
      <c r="FP79" s="87"/>
      <c r="FQ79" s="107"/>
      <c r="FR79" s="108"/>
      <c r="FS79" s="87"/>
      <c r="FT79" s="107"/>
      <c r="FU79" s="108"/>
      <c r="FV79" s="87"/>
      <c r="FW79" s="107"/>
      <c r="FX79" s="108"/>
      <c r="FY79" s="87"/>
      <c r="FZ79" s="107"/>
      <c r="GA79" s="108"/>
      <c r="GB79" s="87"/>
      <c r="GC79" s="107"/>
      <c r="GD79" s="108"/>
      <c r="GE79" s="87"/>
      <c r="GF79" s="107"/>
      <c r="GG79" s="108"/>
      <c r="GH79" s="87"/>
      <c r="GI79" s="107"/>
      <c r="GJ79" s="108"/>
      <c r="GK79" s="87"/>
      <c r="GL79" s="107"/>
      <c r="GM79" s="108"/>
      <c r="GN79" s="87"/>
      <c r="GO79" s="107"/>
      <c r="GP79" s="108"/>
      <c r="GQ79" s="87"/>
      <c r="GR79" s="107"/>
      <c r="GS79" s="108"/>
      <c r="GT79" s="87"/>
      <c r="GU79" s="107"/>
      <c r="GV79" s="108"/>
      <c r="GW79" s="87"/>
      <c r="GX79" s="107"/>
      <c r="GY79" s="108"/>
      <c r="GZ79" s="87"/>
      <c r="HA79" s="107"/>
      <c r="HB79" s="108"/>
      <c r="HC79" s="87"/>
      <c r="HD79" s="107"/>
      <c r="HE79" s="108"/>
      <c r="HF79" s="87"/>
      <c r="HG79" s="107"/>
      <c r="HH79" s="108"/>
      <c r="HI79" s="87"/>
      <c r="HJ79" s="107"/>
      <c r="HK79" s="108"/>
    </row>
    <row r="80" ht="16.2" customHeight="1" spans="1:227">
      <c r="A80" s="82"/>
      <c r="B80" s="83" t="s">
        <v>730</v>
      </c>
      <c r="C80" s="148"/>
      <c r="D80" s="148"/>
      <c r="E80" s="107"/>
      <c r="F80" s="108"/>
      <c r="G80" s="87"/>
      <c r="H80" s="107"/>
      <c r="I80" s="108"/>
      <c r="J80" s="87"/>
      <c r="K80" s="107"/>
      <c r="L80" s="108"/>
      <c r="M80" s="87"/>
      <c r="N80" s="107"/>
      <c r="O80" s="108"/>
      <c r="P80" s="87"/>
      <c r="Q80" s="107"/>
      <c r="R80" s="108"/>
      <c r="S80" s="87"/>
      <c r="T80" s="107"/>
      <c r="U80" s="108"/>
      <c r="V80" s="87"/>
      <c r="W80" s="107"/>
      <c r="X80" s="108"/>
      <c r="Y80" s="87"/>
      <c r="Z80" s="107"/>
      <c r="AA80" s="108"/>
      <c r="AB80" s="87"/>
      <c r="AC80" s="107"/>
      <c r="AD80" s="108"/>
      <c r="AE80" s="87"/>
      <c r="AF80" s="107"/>
      <c r="AG80" s="108"/>
      <c r="AH80" s="87"/>
      <c r="AI80" s="107"/>
      <c r="AJ80" s="108"/>
      <c r="AK80" s="87"/>
      <c r="AL80" s="107"/>
      <c r="AM80" s="108"/>
      <c r="AN80" s="87"/>
      <c r="AO80" s="107"/>
      <c r="AP80" s="108"/>
      <c r="AQ80" s="87"/>
      <c r="AR80" s="107"/>
      <c r="AS80" s="108"/>
      <c r="AT80" s="87"/>
      <c r="AU80" s="107"/>
      <c r="AV80" s="108"/>
      <c r="AW80" s="87"/>
      <c r="AX80" s="107"/>
      <c r="AY80" s="108"/>
      <c r="AZ80" s="87"/>
      <c r="BA80" s="107"/>
      <c r="BB80" s="108"/>
      <c r="BC80" s="87"/>
      <c r="BD80" s="107"/>
      <c r="BE80" s="108"/>
      <c r="BF80" s="87"/>
      <c r="BG80" s="107"/>
      <c r="BH80" s="108"/>
      <c r="BI80" s="87"/>
      <c r="BJ80" s="107"/>
      <c r="BK80" s="108"/>
      <c r="BL80" s="87"/>
      <c r="BM80" s="107"/>
      <c r="BN80" s="108"/>
      <c r="BO80" s="87"/>
      <c r="BP80" s="107"/>
      <c r="BQ80" s="108"/>
      <c r="BR80" s="87"/>
      <c r="BS80" s="107"/>
      <c r="BT80" s="108"/>
      <c r="BU80" s="87"/>
      <c r="BV80" s="107"/>
      <c r="BW80" s="108"/>
      <c r="BX80" s="87"/>
      <c r="BY80" s="107"/>
      <c r="BZ80" s="108"/>
      <c r="CA80" s="87"/>
      <c r="CB80" s="107"/>
      <c r="CC80" s="108"/>
      <c r="CD80" s="87"/>
      <c r="CE80" s="107"/>
      <c r="CF80" s="108"/>
      <c r="CG80" s="87"/>
      <c r="CH80" s="107"/>
      <c r="CI80" s="108"/>
      <c r="CJ80" s="87"/>
      <c r="CK80" s="107"/>
      <c r="CL80" s="108"/>
      <c r="CM80" s="87"/>
      <c r="CN80" s="107"/>
      <c r="CO80" s="108"/>
      <c r="CP80" s="87"/>
      <c r="CQ80" s="107"/>
      <c r="CR80" s="108"/>
      <c r="CS80" s="87"/>
      <c r="CT80" s="107"/>
      <c r="CU80" s="108"/>
      <c r="CV80" s="87"/>
      <c r="CW80" s="107"/>
      <c r="CX80" s="108"/>
      <c r="CY80" s="87"/>
      <c r="CZ80" s="107"/>
      <c r="DA80" s="108"/>
      <c r="DB80" s="87"/>
      <c r="DC80" s="107"/>
      <c r="DD80" s="108"/>
      <c r="DE80" s="87"/>
      <c r="DF80" s="107"/>
      <c r="DG80" s="108"/>
      <c r="DH80" s="87"/>
      <c r="DI80" s="107"/>
      <c r="DJ80" s="108"/>
      <c r="DK80" s="87"/>
      <c r="DL80" s="107"/>
      <c r="DM80" s="108"/>
      <c r="DN80" s="87"/>
      <c r="DO80" s="107"/>
      <c r="DP80" s="108"/>
      <c r="DQ80" s="87"/>
      <c r="DR80" s="107"/>
      <c r="DS80" s="108"/>
      <c r="DT80" s="87"/>
      <c r="DU80" s="107"/>
      <c r="DV80" s="108"/>
      <c r="DW80" s="87"/>
      <c r="DX80" s="107"/>
      <c r="DY80" s="108"/>
      <c r="DZ80" s="87"/>
      <c r="EA80" s="107"/>
      <c r="EB80" s="108"/>
      <c r="EC80" s="87"/>
      <c r="ED80" s="107"/>
      <c r="EE80" s="108"/>
      <c r="EF80" s="87"/>
      <c r="EG80" s="107"/>
      <c r="EH80" s="108"/>
      <c r="EI80" s="87"/>
      <c r="EJ80" s="107"/>
      <c r="EK80" s="108"/>
      <c r="EL80" s="87"/>
      <c r="EM80" s="107"/>
      <c r="EN80" s="108"/>
      <c r="EO80" s="87"/>
      <c r="EP80" s="107"/>
      <c r="EQ80" s="108"/>
      <c r="ER80" s="87"/>
      <c r="ES80" s="107"/>
      <c r="ET80" s="108"/>
      <c r="EU80" s="87"/>
      <c r="EV80" s="107"/>
      <c r="EW80" s="108"/>
      <c r="EX80" s="87"/>
      <c r="EY80" s="107"/>
      <c r="EZ80" s="108"/>
      <c r="FA80" s="87"/>
      <c r="FB80" s="107"/>
      <c r="FC80" s="108"/>
      <c r="FD80" s="87"/>
      <c r="FE80" s="107"/>
      <c r="FF80" s="108"/>
      <c r="FG80" s="87"/>
      <c r="FH80" s="107"/>
      <c r="FI80" s="108"/>
      <c r="FJ80" s="87"/>
      <c r="FK80" s="107"/>
      <c r="FL80" s="108"/>
      <c r="FM80" s="87"/>
      <c r="FN80" s="107"/>
      <c r="FO80" s="108"/>
      <c r="FP80" s="87"/>
      <c r="FQ80" s="107"/>
      <c r="FR80" s="108"/>
      <c r="FS80" s="87"/>
      <c r="FT80" s="107"/>
      <c r="FU80" s="108"/>
      <c r="FV80" s="87"/>
      <c r="FW80" s="107"/>
      <c r="FX80" s="108"/>
      <c r="FY80" s="87"/>
      <c r="FZ80" s="107"/>
      <c r="GA80" s="108"/>
      <c r="GB80" s="87"/>
      <c r="GC80" s="107"/>
      <c r="GD80" s="108"/>
      <c r="GE80" s="87"/>
      <c r="GF80" s="107"/>
      <c r="GG80" s="108"/>
      <c r="GH80" s="87"/>
      <c r="GI80" s="107"/>
      <c r="GJ80" s="108"/>
      <c r="GK80" s="87"/>
      <c r="GL80" s="107"/>
      <c r="GM80" s="108"/>
      <c r="GN80" s="87"/>
      <c r="GO80" s="107"/>
      <c r="GP80" s="108"/>
      <c r="GQ80" s="87"/>
      <c r="GR80" s="107"/>
      <c r="GS80" s="108"/>
      <c r="GT80" s="87"/>
      <c r="GU80" s="107"/>
      <c r="GV80" s="108"/>
      <c r="GW80" s="87"/>
      <c r="GX80" s="107"/>
      <c r="GY80" s="108"/>
      <c r="GZ80" s="87"/>
      <c r="HA80" s="107"/>
      <c r="HB80" s="108"/>
      <c r="HC80" s="87"/>
      <c r="HD80" s="107"/>
      <c r="HE80" s="108"/>
      <c r="HF80" s="87"/>
      <c r="HG80" s="107"/>
      <c r="HH80" s="108"/>
      <c r="HI80" s="87"/>
      <c r="HJ80" s="107"/>
      <c r="HK80" s="108"/>
      <c r="HQ80" s="176" t="s">
        <v>757</v>
      </c>
      <c r="HR80" s="177"/>
      <c r="HS80" s="163" t="str">
        <f>IF(AND(SUMIF($HR$6:$HR$77,"借",HO6:HO77)-SUMIF($HR$6:$HR$77,"贷",HO6:HO77)&gt;=-0.0001,SUMIF($HR$6:$HR$77,"借",HO6:HO77)-SUMIF($HR$6:$HR$77,"贷",HO6:HO77)&lt;=0.0001),"试算平衡","试算不平衡，借贷差异"&amp;SUMIF($HR$6:$HR$77,"借",HO6:HO77)-SUMIF($HR$6:$HR$77,"贷",HO6:HO77)&amp;"元")</f>
        <v>试算平衡</v>
      </c>
    </row>
    <row r="81" ht="16.2" customHeight="1" spans="1:227">
      <c r="A81" s="82"/>
      <c r="B81" s="83" t="s">
        <v>1027</v>
      </c>
      <c r="C81" s="148"/>
      <c r="D81" s="148"/>
      <c r="E81" s="107"/>
      <c r="F81" s="108"/>
      <c r="G81" s="87"/>
      <c r="H81" s="107"/>
      <c r="I81" s="108"/>
      <c r="J81" s="87"/>
      <c r="K81" s="107"/>
      <c r="L81" s="108"/>
      <c r="M81" s="87"/>
      <c r="N81" s="107"/>
      <c r="O81" s="108"/>
      <c r="P81" s="87"/>
      <c r="Q81" s="107"/>
      <c r="R81" s="108"/>
      <c r="S81" s="87"/>
      <c r="T81" s="107"/>
      <c r="U81" s="108"/>
      <c r="V81" s="87"/>
      <c r="W81" s="107"/>
      <c r="X81" s="108"/>
      <c r="Y81" s="87"/>
      <c r="Z81" s="107"/>
      <c r="AA81" s="108"/>
      <c r="AB81" s="87"/>
      <c r="AC81" s="107"/>
      <c r="AD81" s="108"/>
      <c r="AE81" s="87"/>
      <c r="AF81" s="107"/>
      <c r="AG81" s="108"/>
      <c r="AH81" s="87"/>
      <c r="AI81" s="107"/>
      <c r="AJ81" s="108"/>
      <c r="AK81" s="87"/>
      <c r="AL81" s="107"/>
      <c r="AM81" s="108"/>
      <c r="AN81" s="87"/>
      <c r="AO81" s="107"/>
      <c r="AP81" s="108"/>
      <c r="AQ81" s="87"/>
      <c r="AR81" s="107"/>
      <c r="AS81" s="108"/>
      <c r="AT81" s="87"/>
      <c r="AU81" s="107"/>
      <c r="AV81" s="108"/>
      <c r="AW81" s="87"/>
      <c r="AX81" s="107"/>
      <c r="AY81" s="108"/>
      <c r="AZ81" s="87"/>
      <c r="BA81" s="107"/>
      <c r="BB81" s="108"/>
      <c r="BC81" s="87"/>
      <c r="BD81" s="107"/>
      <c r="BE81" s="108"/>
      <c r="BF81" s="87"/>
      <c r="BG81" s="107"/>
      <c r="BH81" s="108"/>
      <c r="BI81" s="87"/>
      <c r="BJ81" s="107"/>
      <c r="BK81" s="108"/>
      <c r="BL81" s="87"/>
      <c r="BM81" s="107"/>
      <c r="BN81" s="108"/>
      <c r="BO81" s="87"/>
      <c r="BP81" s="107"/>
      <c r="BQ81" s="108"/>
      <c r="BR81" s="87"/>
      <c r="BS81" s="107"/>
      <c r="BT81" s="108"/>
      <c r="BU81" s="87"/>
      <c r="BV81" s="107"/>
      <c r="BW81" s="108"/>
      <c r="BX81" s="87"/>
      <c r="BY81" s="107"/>
      <c r="BZ81" s="108"/>
      <c r="CA81" s="87"/>
      <c r="CB81" s="107"/>
      <c r="CC81" s="108"/>
      <c r="CD81" s="87"/>
      <c r="CE81" s="107"/>
      <c r="CF81" s="108"/>
      <c r="CG81" s="87"/>
      <c r="CH81" s="107"/>
      <c r="CI81" s="108"/>
      <c r="CJ81" s="87"/>
      <c r="CK81" s="107"/>
      <c r="CL81" s="108"/>
      <c r="CM81" s="87"/>
      <c r="CN81" s="107"/>
      <c r="CO81" s="108"/>
      <c r="CP81" s="87"/>
      <c r="CQ81" s="107"/>
      <c r="CR81" s="108"/>
      <c r="CS81" s="87"/>
      <c r="CT81" s="107"/>
      <c r="CU81" s="108"/>
      <c r="CV81" s="87"/>
      <c r="CW81" s="107"/>
      <c r="CX81" s="108"/>
      <c r="CY81" s="87"/>
      <c r="CZ81" s="107"/>
      <c r="DA81" s="108"/>
      <c r="DB81" s="87"/>
      <c r="DC81" s="107"/>
      <c r="DD81" s="108"/>
      <c r="DE81" s="87"/>
      <c r="DF81" s="107"/>
      <c r="DG81" s="108"/>
      <c r="DH81" s="87"/>
      <c r="DI81" s="107"/>
      <c r="DJ81" s="108"/>
      <c r="DK81" s="87"/>
      <c r="DL81" s="107"/>
      <c r="DM81" s="108"/>
      <c r="DN81" s="87"/>
      <c r="DO81" s="107"/>
      <c r="DP81" s="108"/>
      <c r="DQ81" s="87"/>
      <c r="DR81" s="107"/>
      <c r="DS81" s="108"/>
      <c r="DT81" s="87"/>
      <c r="DU81" s="107"/>
      <c r="DV81" s="108"/>
      <c r="DW81" s="87"/>
      <c r="DX81" s="107"/>
      <c r="DY81" s="108"/>
      <c r="DZ81" s="87"/>
      <c r="EA81" s="107"/>
      <c r="EB81" s="108"/>
      <c r="EC81" s="87"/>
      <c r="ED81" s="107"/>
      <c r="EE81" s="108"/>
      <c r="EF81" s="87"/>
      <c r="EG81" s="107"/>
      <c r="EH81" s="108"/>
      <c r="EI81" s="87"/>
      <c r="EJ81" s="107"/>
      <c r="EK81" s="108"/>
      <c r="EL81" s="87"/>
      <c r="EM81" s="107"/>
      <c r="EN81" s="108"/>
      <c r="EO81" s="87"/>
      <c r="EP81" s="107"/>
      <c r="EQ81" s="108"/>
      <c r="ER81" s="87"/>
      <c r="ES81" s="107"/>
      <c r="ET81" s="108"/>
      <c r="EU81" s="87"/>
      <c r="EV81" s="107"/>
      <c r="EW81" s="108"/>
      <c r="EX81" s="87"/>
      <c r="EY81" s="107"/>
      <c r="EZ81" s="108"/>
      <c r="FA81" s="87"/>
      <c r="FB81" s="107"/>
      <c r="FC81" s="108"/>
      <c r="FD81" s="87"/>
      <c r="FE81" s="107"/>
      <c r="FF81" s="108"/>
      <c r="FG81" s="87"/>
      <c r="FH81" s="107"/>
      <c r="FI81" s="108"/>
      <c r="FJ81" s="87"/>
      <c r="FK81" s="107"/>
      <c r="FL81" s="108"/>
      <c r="FM81" s="87"/>
      <c r="FN81" s="107"/>
      <c r="FO81" s="108"/>
      <c r="FP81" s="87"/>
      <c r="FQ81" s="107"/>
      <c r="FR81" s="108"/>
      <c r="FS81" s="87"/>
      <c r="FT81" s="107"/>
      <c r="FU81" s="108"/>
      <c r="FV81" s="87"/>
      <c r="FW81" s="107"/>
      <c r="FX81" s="108"/>
      <c r="FY81" s="87"/>
      <c r="FZ81" s="107"/>
      <c r="GA81" s="108"/>
      <c r="GB81" s="87"/>
      <c r="GC81" s="107"/>
      <c r="GD81" s="108"/>
      <c r="GE81" s="87"/>
      <c r="GF81" s="107"/>
      <c r="GG81" s="108"/>
      <c r="GH81" s="87"/>
      <c r="GI81" s="107"/>
      <c r="GJ81" s="108"/>
      <c r="GK81" s="87"/>
      <c r="GL81" s="107"/>
      <c r="GM81" s="108"/>
      <c r="GN81" s="87"/>
      <c r="GO81" s="107"/>
      <c r="GP81" s="108"/>
      <c r="GQ81" s="87"/>
      <c r="GR81" s="107"/>
      <c r="GS81" s="108"/>
      <c r="GT81" s="87"/>
      <c r="GU81" s="107"/>
      <c r="GV81" s="108"/>
      <c r="GW81" s="87"/>
      <c r="GX81" s="107"/>
      <c r="GY81" s="108"/>
      <c r="GZ81" s="87"/>
      <c r="HA81" s="107"/>
      <c r="HB81" s="108"/>
      <c r="HC81" s="87"/>
      <c r="HD81" s="107"/>
      <c r="HE81" s="108"/>
      <c r="HF81" s="87"/>
      <c r="HG81" s="107"/>
      <c r="HH81" s="108"/>
      <c r="HI81" s="87"/>
      <c r="HJ81" s="107"/>
      <c r="HK81" s="108"/>
      <c r="HQ81" s="176" t="s">
        <v>758</v>
      </c>
      <c r="HR81" s="177"/>
      <c r="HS81" s="163" t="str">
        <f>IF(AND(HP78-HQ78&gt;=-0.0001,HP78-HQ78&lt;=0.0001),"试算平衡","试算不平衡，借贷差异"&amp;HP78-HQ78&amp;"元")</f>
        <v>试算平衡</v>
      </c>
    </row>
    <row r="82" ht="16.2" customHeight="1" spans="1:227">
      <c r="A82" s="82"/>
      <c r="B82" s="83" t="s">
        <v>1028</v>
      </c>
      <c r="C82" s="148"/>
      <c r="D82" s="148"/>
      <c r="E82" s="107"/>
      <c r="F82" s="108"/>
      <c r="G82" s="87"/>
      <c r="H82" s="107"/>
      <c r="I82" s="108"/>
      <c r="J82" s="87"/>
      <c r="K82" s="107"/>
      <c r="L82" s="108"/>
      <c r="M82" s="87"/>
      <c r="N82" s="107"/>
      <c r="O82" s="108"/>
      <c r="P82" s="87"/>
      <c r="Q82" s="107"/>
      <c r="R82" s="108"/>
      <c r="S82" s="87"/>
      <c r="T82" s="107"/>
      <c r="U82" s="108"/>
      <c r="V82" s="87"/>
      <c r="W82" s="107"/>
      <c r="X82" s="108"/>
      <c r="Y82" s="87"/>
      <c r="Z82" s="107"/>
      <c r="AA82" s="108"/>
      <c r="AB82" s="87"/>
      <c r="AC82" s="107"/>
      <c r="AD82" s="108"/>
      <c r="AE82" s="87"/>
      <c r="AF82" s="107"/>
      <c r="AG82" s="108"/>
      <c r="AH82" s="87"/>
      <c r="AI82" s="107"/>
      <c r="AJ82" s="108"/>
      <c r="AK82" s="87"/>
      <c r="AL82" s="107"/>
      <c r="AM82" s="108"/>
      <c r="AN82" s="87"/>
      <c r="AO82" s="107"/>
      <c r="AP82" s="108"/>
      <c r="AQ82" s="87"/>
      <c r="AR82" s="107"/>
      <c r="AS82" s="108"/>
      <c r="AT82" s="87"/>
      <c r="AU82" s="107"/>
      <c r="AV82" s="108"/>
      <c r="AW82" s="87"/>
      <c r="AX82" s="107"/>
      <c r="AY82" s="108"/>
      <c r="AZ82" s="87"/>
      <c r="BA82" s="107"/>
      <c r="BB82" s="108"/>
      <c r="BC82" s="87"/>
      <c r="BD82" s="107"/>
      <c r="BE82" s="108"/>
      <c r="BF82" s="87"/>
      <c r="BG82" s="107"/>
      <c r="BH82" s="108"/>
      <c r="BI82" s="87"/>
      <c r="BJ82" s="107"/>
      <c r="BK82" s="108"/>
      <c r="BL82" s="87"/>
      <c r="BM82" s="107"/>
      <c r="BN82" s="108"/>
      <c r="BO82" s="87"/>
      <c r="BP82" s="107"/>
      <c r="BQ82" s="108"/>
      <c r="BR82" s="87"/>
      <c r="BS82" s="107"/>
      <c r="BT82" s="108"/>
      <c r="BU82" s="87"/>
      <c r="BV82" s="107"/>
      <c r="BW82" s="108"/>
      <c r="BX82" s="87"/>
      <c r="BY82" s="107"/>
      <c r="BZ82" s="108"/>
      <c r="CA82" s="87"/>
      <c r="CB82" s="107"/>
      <c r="CC82" s="108"/>
      <c r="CD82" s="87"/>
      <c r="CE82" s="107"/>
      <c r="CF82" s="108"/>
      <c r="CG82" s="87"/>
      <c r="CH82" s="107"/>
      <c r="CI82" s="108"/>
      <c r="CJ82" s="87"/>
      <c r="CK82" s="107"/>
      <c r="CL82" s="108"/>
      <c r="CM82" s="87"/>
      <c r="CN82" s="107"/>
      <c r="CO82" s="108"/>
      <c r="CP82" s="87"/>
      <c r="CQ82" s="107"/>
      <c r="CR82" s="108"/>
      <c r="CS82" s="87"/>
      <c r="CT82" s="107"/>
      <c r="CU82" s="108"/>
      <c r="CV82" s="87"/>
      <c r="CW82" s="107"/>
      <c r="CX82" s="108"/>
      <c r="CY82" s="87"/>
      <c r="CZ82" s="107"/>
      <c r="DA82" s="108"/>
      <c r="DB82" s="87"/>
      <c r="DC82" s="107"/>
      <c r="DD82" s="108"/>
      <c r="DE82" s="87"/>
      <c r="DF82" s="107"/>
      <c r="DG82" s="108"/>
      <c r="DH82" s="87"/>
      <c r="DI82" s="107"/>
      <c r="DJ82" s="108"/>
      <c r="DK82" s="87"/>
      <c r="DL82" s="107"/>
      <c r="DM82" s="108"/>
      <c r="DN82" s="87"/>
      <c r="DO82" s="107"/>
      <c r="DP82" s="108"/>
      <c r="DQ82" s="87"/>
      <c r="DR82" s="107"/>
      <c r="DS82" s="108"/>
      <c r="DT82" s="87"/>
      <c r="DU82" s="107"/>
      <c r="DV82" s="108"/>
      <c r="DW82" s="87"/>
      <c r="DX82" s="107"/>
      <c r="DY82" s="108"/>
      <c r="DZ82" s="87"/>
      <c r="EA82" s="107"/>
      <c r="EB82" s="108"/>
      <c r="EC82" s="87"/>
      <c r="ED82" s="107"/>
      <c r="EE82" s="108"/>
      <c r="EF82" s="87"/>
      <c r="EG82" s="107"/>
      <c r="EH82" s="108"/>
      <c r="EI82" s="87"/>
      <c r="EJ82" s="107"/>
      <c r="EK82" s="108"/>
      <c r="EL82" s="87"/>
      <c r="EM82" s="107"/>
      <c r="EN82" s="108"/>
      <c r="EO82" s="87"/>
      <c r="EP82" s="107"/>
      <c r="EQ82" s="108"/>
      <c r="ER82" s="87"/>
      <c r="ES82" s="107"/>
      <c r="ET82" s="108"/>
      <c r="EU82" s="87"/>
      <c r="EV82" s="107"/>
      <c r="EW82" s="108"/>
      <c r="EX82" s="87"/>
      <c r="EY82" s="107"/>
      <c r="EZ82" s="108"/>
      <c r="FA82" s="87"/>
      <c r="FB82" s="107"/>
      <c r="FC82" s="108"/>
      <c r="FD82" s="87"/>
      <c r="FE82" s="107"/>
      <c r="FF82" s="108"/>
      <c r="FG82" s="87"/>
      <c r="FH82" s="107"/>
      <c r="FI82" s="108"/>
      <c r="FJ82" s="87"/>
      <c r="FK82" s="107"/>
      <c r="FL82" s="108"/>
      <c r="FM82" s="87"/>
      <c r="FN82" s="107"/>
      <c r="FO82" s="108"/>
      <c r="FP82" s="87"/>
      <c r="FQ82" s="107"/>
      <c r="FR82" s="108"/>
      <c r="FS82" s="87"/>
      <c r="FT82" s="107"/>
      <c r="FU82" s="108"/>
      <c r="FV82" s="87"/>
      <c r="FW82" s="107"/>
      <c r="FX82" s="108"/>
      <c r="FY82" s="87"/>
      <c r="FZ82" s="107"/>
      <c r="GA82" s="108"/>
      <c r="GB82" s="87"/>
      <c r="GC82" s="107"/>
      <c r="GD82" s="108"/>
      <c r="GE82" s="87"/>
      <c r="GF82" s="107"/>
      <c r="GG82" s="108"/>
      <c r="GH82" s="87"/>
      <c r="GI82" s="107"/>
      <c r="GJ82" s="108"/>
      <c r="GK82" s="87"/>
      <c r="GL82" s="107"/>
      <c r="GM82" s="108"/>
      <c r="GN82" s="87"/>
      <c r="GO82" s="107"/>
      <c r="GP82" s="108"/>
      <c r="GQ82" s="87"/>
      <c r="GR82" s="107"/>
      <c r="GS82" s="108"/>
      <c r="GT82" s="87"/>
      <c r="GU82" s="107"/>
      <c r="GV82" s="108"/>
      <c r="GW82" s="87"/>
      <c r="GX82" s="107"/>
      <c r="GY82" s="108"/>
      <c r="GZ82" s="87"/>
      <c r="HA82" s="107"/>
      <c r="HB82" s="108"/>
      <c r="HC82" s="87"/>
      <c r="HD82" s="107"/>
      <c r="HE82" s="108"/>
      <c r="HF82" s="87"/>
      <c r="HG82" s="107"/>
      <c r="HH82" s="108"/>
      <c r="HI82" s="87"/>
      <c r="HJ82" s="107"/>
      <c r="HK82" s="108"/>
      <c r="HQ82" s="176" t="s">
        <v>759</v>
      </c>
      <c r="HR82" s="177"/>
      <c r="HS82" s="163" t="str">
        <f>IF(AND(SUMIF($HR$6:$HR$77,"借",HS6:HS77)-SUMIF($HR$6:$HR$77,"贷",HS6:HS77)&gt;=-0.0001,SUMIF($HR$6:$HR$77,"借",HS6:HS77)-SUMIF($HR$6:$HR$77,"贷",HS6:HS77)&lt;=0.0001),"试算平衡","试算不平衡，借贷差异"&amp;SUMIF($HR$6:$HR$77,"借",HS6:HS77)-SUMIF($HR$6:$HR$77,"贷",HS6:HS77)&amp;"元")</f>
        <v>试算平衡</v>
      </c>
    </row>
    <row r="83" ht="14.25" customHeight="1" spans="1:227">
      <c r="A83" s="82"/>
      <c r="B83" s="168"/>
      <c r="C83" s="148"/>
      <c r="D83" s="148"/>
      <c r="E83" s="107"/>
      <c r="F83" s="108"/>
      <c r="G83" s="87"/>
      <c r="H83" s="107"/>
      <c r="I83" s="108"/>
      <c r="J83" s="87"/>
      <c r="K83" s="107"/>
      <c r="L83" s="108"/>
      <c r="M83" s="87"/>
      <c r="N83" s="107"/>
      <c r="O83" s="108"/>
      <c r="P83" s="87"/>
      <c r="Q83" s="107"/>
      <c r="R83" s="108"/>
      <c r="S83" s="87"/>
      <c r="T83" s="107"/>
      <c r="U83" s="108"/>
      <c r="V83" s="87"/>
      <c r="W83" s="107"/>
      <c r="X83" s="108"/>
      <c r="Y83" s="87"/>
      <c r="Z83" s="107"/>
      <c r="AA83" s="108"/>
      <c r="AB83" s="87"/>
      <c r="AC83" s="107"/>
      <c r="AD83" s="108"/>
      <c r="AE83" s="87"/>
      <c r="AF83" s="107"/>
      <c r="AG83" s="108"/>
      <c r="AH83" s="87"/>
      <c r="AI83" s="107"/>
      <c r="AJ83" s="108"/>
      <c r="AK83" s="87"/>
      <c r="AL83" s="107"/>
      <c r="AM83" s="108"/>
      <c r="AN83" s="87"/>
      <c r="AO83" s="107"/>
      <c r="AP83" s="108"/>
      <c r="AQ83" s="87"/>
      <c r="AR83" s="107"/>
      <c r="AS83" s="108"/>
      <c r="AT83" s="87"/>
      <c r="AU83" s="107"/>
      <c r="AV83" s="108"/>
      <c r="AW83" s="87"/>
      <c r="AX83" s="107"/>
      <c r="AY83" s="108"/>
      <c r="AZ83" s="87"/>
      <c r="BA83" s="107"/>
      <c r="BB83" s="108"/>
      <c r="BC83" s="87"/>
      <c r="BD83" s="107"/>
      <c r="BE83" s="108"/>
      <c r="BF83" s="87"/>
      <c r="BG83" s="107"/>
      <c r="BH83" s="108"/>
      <c r="BI83" s="87"/>
      <c r="BJ83" s="107"/>
      <c r="BK83" s="108"/>
      <c r="BL83" s="87"/>
      <c r="BM83" s="107"/>
      <c r="BN83" s="108"/>
      <c r="BO83" s="87"/>
      <c r="BP83" s="107"/>
      <c r="BQ83" s="108"/>
      <c r="BR83" s="87"/>
      <c r="BS83" s="107"/>
      <c r="BT83" s="108"/>
      <c r="BU83" s="87"/>
      <c r="BV83" s="107"/>
      <c r="BW83" s="108"/>
      <c r="BX83" s="87"/>
      <c r="BY83" s="107"/>
      <c r="BZ83" s="108"/>
      <c r="CA83" s="87"/>
      <c r="CB83" s="107"/>
      <c r="CC83" s="108"/>
      <c r="CD83" s="87"/>
      <c r="CE83" s="107"/>
      <c r="CF83" s="108"/>
      <c r="CG83" s="87"/>
      <c r="CH83" s="107"/>
      <c r="CI83" s="108"/>
      <c r="CJ83" s="87"/>
      <c r="CK83" s="107"/>
      <c r="CL83" s="108"/>
      <c r="CM83" s="87"/>
      <c r="CN83" s="107"/>
      <c r="CO83" s="108"/>
      <c r="CP83" s="87"/>
      <c r="CQ83" s="107"/>
      <c r="CR83" s="108"/>
      <c r="CS83" s="87"/>
      <c r="CT83" s="107"/>
      <c r="CU83" s="108"/>
      <c r="CV83" s="87"/>
      <c r="CW83" s="107"/>
      <c r="CX83" s="108"/>
      <c r="CY83" s="87"/>
      <c r="CZ83" s="107"/>
      <c r="DA83" s="108"/>
      <c r="DB83" s="87"/>
      <c r="DC83" s="107"/>
      <c r="DD83" s="108"/>
      <c r="DE83" s="87"/>
      <c r="DF83" s="107"/>
      <c r="DG83" s="108"/>
      <c r="DH83" s="87"/>
      <c r="DI83" s="107"/>
      <c r="DJ83" s="108"/>
      <c r="DK83" s="87"/>
      <c r="DL83" s="107"/>
      <c r="DM83" s="108"/>
      <c r="DN83" s="87"/>
      <c r="DO83" s="107"/>
      <c r="DP83" s="108"/>
      <c r="DQ83" s="87"/>
      <c r="DR83" s="107"/>
      <c r="DS83" s="108"/>
      <c r="DT83" s="87"/>
      <c r="DU83" s="107"/>
      <c r="DV83" s="108"/>
      <c r="DW83" s="87"/>
      <c r="DX83" s="107"/>
      <c r="DY83" s="108"/>
      <c r="DZ83" s="87"/>
      <c r="EA83" s="107"/>
      <c r="EB83" s="108"/>
      <c r="EC83" s="87"/>
      <c r="ED83" s="107"/>
      <c r="EE83" s="108"/>
      <c r="EF83" s="87"/>
      <c r="EG83" s="107"/>
      <c r="EH83" s="108"/>
      <c r="EI83" s="87"/>
      <c r="EJ83" s="107"/>
      <c r="EK83" s="108"/>
      <c r="EL83" s="87"/>
      <c r="EM83" s="107"/>
      <c r="EN83" s="108"/>
      <c r="EO83" s="87"/>
      <c r="EP83" s="107"/>
      <c r="EQ83" s="108"/>
      <c r="ER83" s="87"/>
      <c r="ES83" s="107"/>
      <c r="ET83" s="108"/>
      <c r="EU83" s="87"/>
      <c r="EV83" s="107"/>
      <c r="EW83" s="108"/>
      <c r="EX83" s="87"/>
      <c r="EY83" s="107"/>
      <c r="EZ83" s="108"/>
      <c r="FA83" s="87"/>
      <c r="FB83" s="107"/>
      <c r="FC83" s="108"/>
      <c r="FD83" s="87"/>
      <c r="FE83" s="107"/>
      <c r="FF83" s="108"/>
      <c r="FG83" s="87"/>
      <c r="FH83" s="107"/>
      <c r="FI83" s="108"/>
      <c r="FJ83" s="87"/>
      <c r="FK83" s="107"/>
      <c r="FL83" s="108"/>
      <c r="FM83" s="87"/>
      <c r="FN83" s="107"/>
      <c r="FO83" s="108"/>
      <c r="FP83" s="87"/>
      <c r="FQ83" s="107"/>
      <c r="FR83" s="108"/>
      <c r="FS83" s="87"/>
      <c r="FT83" s="107"/>
      <c r="FU83" s="108"/>
      <c r="FV83" s="87"/>
      <c r="FW83" s="107"/>
      <c r="FX83" s="108"/>
      <c r="FY83" s="87"/>
      <c r="FZ83" s="107"/>
      <c r="GA83" s="108"/>
      <c r="GB83" s="87"/>
      <c r="GC83" s="107"/>
      <c r="GD83" s="108"/>
      <c r="GE83" s="87"/>
      <c r="GF83" s="107"/>
      <c r="GG83" s="108"/>
      <c r="GH83" s="87"/>
      <c r="GI83" s="107"/>
      <c r="GJ83" s="108"/>
      <c r="GK83" s="87"/>
      <c r="GL83" s="107"/>
      <c r="GM83" s="108"/>
      <c r="GN83" s="87"/>
      <c r="GO83" s="107"/>
      <c r="GP83" s="108"/>
      <c r="GQ83" s="87"/>
      <c r="GR83" s="107"/>
      <c r="GS83" s="108"/>
      <c r="GT83" s="87"/>
      <c r="GU83" s="107"/>
      <c r="GV83" s="108"/>
      <c r="GW83" s="87"/>
      <c r="GX83" s="107"/>
      <c r="GY83" s="108"/>
      <c r="GZ83" s="87"/>
      <c r="HA83" s="107"/>
      <c r="HB83" s="108"/>
      <c r="HC83" s="87"/>
      <c r="HD83" s="107"/>
      <c r="HE83" s="108"/>
      <c r="HF83" s="87"/>
      <c r="HG83" s="107"/>
      <c r="HH83" s="108"/>
      <c r="HI83" s="87"/>
      <c r="HJ83" s="107"/>
      <c r="HK83" s="108"/>
      <c r="HQ83" s="13"/>
      <c r="HR83" s="13"/>
      <c r="HS83" s="13"/>
    </row>
    <row r="84" ht="14.25" customHeight="1" spans="1:227">
      <c r="A84" s="82"/>
      <c r="B84" s="178"/>
      <c r="C84" s="148"/>
      <c r="D84" s="148"/>
      <c r="E84" s="107"/>
      <c r="F84" s="108"/>
      <c r="G84" s="87"/>
      <c r="H84" s="107"/>
      <c r="I84" s="108"/>
      <c r="J84" s="87"/>
      <c r="K84" s="107"/>
      <c r="L84" s="108"/>
      <c r="M84" s="87"/>
      <c r="N84" s="107"/>
      <c r="O84" s="108"/>
      <c r="P84" s="87"/>
      <c r="Q84" s="107"/>
      <c r="R84" s="108"/>
      <c r="S84" s="87"/>
      <c r="T84" s="107"/>
      <c r="U84" s="108"/>
      <c r="V84" s="87"/>
      <c r="W84" s="107"/>
      <c r="X84" s="108"/>
      <c r="Y84" s="87"/>
      <c r="Z84" s="107"/>
      <c r="AA84" s="108"/>
      <c r="AB84" s="87"/>
      <c r="AC84" s="107"/>
      <c r="AD84" s="108"/>
      <c r="AE84" s="87"/>
      <c r="AF84" s="107"/>
      <c r="AG84" s="108"/>
      <c r="AH84" s="87"/>
      <c r="AI84" s="107"/>
      <c r="AJ84" s="108"/>
      <c r="AK84" s="87"/>
      <c r="AL84" s="107"/>
      <c r="AM84" s="108"/>
      <c r="AN84" s="87"/>
      <c r="AO84" s="107"/>
      <c r="AP84" s="108"/>
      <c r="AQ84" s="87"/>
      <c r="AR84" s="107"/>
      <c r="AS84" s="108"/>
      <c r="AT84" s="87"/>
      <c r="AU84" s="107"/>
      <c r="AV84" s="108"/>
      <c r="AW84" s="87"/>
      <c r="AX84" s="107"/>
      <c r="AY84" s="108"/>
      <c r="AZ84" s="87"/>
      <c r="BA84" s="107"/>
      <c r="BB84" s="108"/>
      <c r="BC84" s="87"/>
      <c r="BD84" s="107"/>
      <c r="BE84" s="108"/>
      <c r="BF84" s="87"/>
      <c r="BG84" s="107"/>
      <c r="BH84" s="108"/>
      <c r="BI84" s="87"/>
      <c r="BJ84" s="107"/>
      <c r="BK84" s="108"/>
      <c r="BL84" s="87"/>
      <c r="BM84" s="107"/>
      <c r="BN84" s="108"/>
      <c r="BO84" s="87"/>
      <c r="BP84" s="107"/>
      <c r="BQ84" s="108"/>
      <c r="BR84" s="87"/>
      <c r="BS84" s="107"/>
      <c r="BT84" s="108"/>
      <c r="BU84" s="87"/>
      <c r="BV84" s="107"/>
      <c r="BW84" s="108"/>
      <c r="BX84" s="87"/>
      <c r="BY84" s="107"/>
      <c r="BZ84" s="108"/>
      <c r="CA84" s="87"/>
      <c r="CB84" s="107"/>
      <c r="CC84" s="108"/>
      <c r="CD84" s="87"/>
      <c r="CE84" s="107"/>
      <c r="CF84" s="108"/>
      <c r="CG84" s="87"/>
      <c r="CH84" s="107"/>
      <c r="CI84" s="108"/>
      <c r="CJ84" s="87"/>
      <c r="CK84" s="107"/>
      <c r="CL84" s="108"/>
      <c r="CM84" s="87"/>
      <c r="CN84" s="107"/>
      <c r="CO84" s="108"/>
      <c r="CP84" s="87"/>
      <c r="CQ84" s="107"/>
      <c r="CR84" s="108"/>
      <c r="CS84" s="87"/>
      <c r="CT84" s="107"/>
      <c r="CU84" s="108"/>
      <c r="CV84" s="87"/>
      <c r="CW84" s="107"/>
      <c r="CX84" s="108"/>
      <c r="CY84" s="87"/>
      <c r="CZ84" s="107"/>
      <c r="DA84" s="108"/>
      <c r="DB84" s="87"/>
      <c r="DC84" s="107"/>
      <c r="DD84" s="108"/>
      <c r="DE84" s="87"/>
      <c r="DF84" s="107"/>
      <c r="DG84" s="108"/>
      <c r="DH84" s="87"/>
      <c r="DI84" s="107"/>
      <c r="DJ84" s="108"/>
      <c r="DK84" s="87"/>
      <c r="DL84" s="107"/>
      <c r="DM84" s="108"/>
      <c r="DN84" s="87"/>
      <c r="DO84" s="107"/>
      <c r="DP84" s="108"/>
      <c r="DQ84" s="87"/>
      <c r="DR84" s="107"/>
      <c r="DS84" s="108"/>
      <c r="DT84" s="87"/>
      <c r="DU84" s="107"/>
      <c r="DV84" s="108"/>
      <c r="DW84" s="87"/>
      <c r="DX84" s="107"/>
      <c r="DY84" s="108"/>
      <c r="DZ84" s="87"/>
      <c r="EA84" s="107"/>
      <c r="EB84" s="108"/>
      <c r="EC84" s="87"/>
      <c r="ED84" s="107"/>
      <c r="EE84" s="108"/>
      <c r="EF84" s="87"/>
      <c r="EG84" s="107"/>
      <c r="EH84" s="108"/>
      <c r="EI84" s="87"/>
      <c r="EJ84" s="107"/>
      <c r="EK84" s="108"/>
      <c r="EL84" s="87"/>
      <c r="EM84" s="107"/>
      <c r="EN84" s="108"/>
      <c r="EO84" s="87"/>
      <c r="EP84" s="107"/>
      <c r="EQ84" s="108"/>
      <c r="ER84" s="87"/>
      <c r="ES84" s="107"/>
      <c r="ET84" s="108"/>
      <c r="EU84" s="87"/>
      <c r="EV84" s="107"/>
      <c r="EW84" s="108"/>
      <c r="EX84" s="87"/>
      <c r="EY84" s="107"/>
      <c r="EZ84" s="108"/>
      <c r="FA84" s="87"/>
      <c r="FB84" s="107"/>
      <c r="FC84" s="108"/>
      <c r="FD84" s="87"/>
      <c r="FE84" s="107"/>
      <c r="FF84" s="108"/>
      <c r="FG84" s="87"/>
      <c r="FH84" s="107"/>
      <c r="FI84" s="108"/>
      <c r="FJ84" s="87"/>
      <c r="FK84" s="107"/>
      <c r="FL84" s="108"/>
      <c r="FM84" s="87"/>
      <c r="FN84" s="107"/>
      <c r="FO84" s="108"/>
      <c r="FP84" s="87"/>
      <c r="FQ84" s="107"/>
      <c r="FR84" s="108"/>
      <c r="FS84" s="87"/>
      <c r="FT84" s="107"/>
      <c r="FU84" s="108"/>
      <c r="FV84" s="87"/>
      <c r="FW84" s="107"/>
      <c r="FX84" s="108"/>
      <c r="FY84" s="87"/>
      <c r="FZ84" s="107"/>
      <c r="GA84" s="108"/>
      <c r="GB84" s="87"/>
      <c r="GC84" s="107"/>
      <c r="GD84" s="108"/>
      <c r="GE84" s="87"/>
      <c r="GF84" s="107"/>
      <c r="GG84" s="108"/>
      <c r="GH84" s="87"/>
      <c r="GI84" s="107"/>
      <c r="GJ84" s="108"/>
      <c r="GK84" s="87"/>
      <c r="GL84" s="107"/>
      <c r="GM84" s="108"/>
      <c r="GN84" s="87"/>
      <c r="GO84" s="107"/>
      <c r="GP84" s="108"/>
      <c r="GQ84" s="87"/>
      <c r="GR84" s="107"/>
      <c r="GS84" s="108"/>
      <c r="GT84" s="87"/>
      <c r="GU84" s="107"/>
      <c r="GV84" s="108"/>
      <c r="GW84" s="87"/>
      <c r="GX84" s="107"/>
      <c r="GY84" s="108"/>
      <c r="GZ84" s="87"/>
      <c r="HA84" s="107"/>
      <c r="HB84" s="108"/>
      <c r="HC84" s="87"/>
      <c r="HD84" s="107"/>
      <c r="HE84" s="108"/>
      <c r="HF84" s="87"/>
      <c r="HG84" s="107"/>
      <c r="HH84" s="108"/>
      <c r="HI84" s="87"/>
      <c r="HJ84" s="107"/>
      <c r="HK84" s="108"/>
    </row>
    <row r="85" ht="14.25" customHeight="1" spans="1:227">
      <c r="A85" s="82"/>
      <c r="B85" s="178"/>
      <c r="C85" s="148"/>
      <c r="D85" s="148"/>
      <c r="E85" s="107"/>
      <c r="F85" s="108"/>
      <c r="G85" s="87"/>
      <c r="H85" s="107"/>
      <c r="I85" s="108"/>
      <c r="J85" s="87"/>
      <c r="K85" s="107"/>
      <c r="L85" s="108"/>
      <c r="M85" s="87"/>
      <c r="N85" s="107"/>
      <c r="O85" s="108"/>
      <c r="P85" s="87"/>
      <c r="Q85" s="107"/>
      <c r="R85" s="108"/>
      <c r="S85" s="87"/>
      <c r="T85" s="107"/>
      <c r="U85" s="108"/>
      <c r="V85" s="87"/>
      <c r="W85" s="107"/>
      <c r="X85" s="108"/>
      <c r="Y85" s="87"/>
      <c r="Z85" s="107"/>
      <c r="AA85" s="108"/>
      <c r="AB85" s="87"/>
      <c r="AC85" s="107"/>
      <c r="AD85" s="108"/>
      <c r="AE85" s="87"/>
      <c r="AF85" s="107"/>
      <c r="AG85" s="108"/>
      <c r="AH85" s="87"/>
      <c r="AI85" s="107"/>
      <c r="AJ85" s="108"/>
      <c r="AK85" s="87"/>
      <c r="AL85" s="107"/>
      <c r="AM85" s="108"/>
      <c r="AN85" s="87"/>
      <c r="AO85" s="107"/>
      <c r="AP85" s="108"/>
      <c r="AQ85" s="87"/>
      <c r="AR85" s="107"/>
      <c r="AS85" s="108"/>
      <c r="AT85" s="87"/>
      <c r="AU85" s="107"/>
      <c r="AV85" s="108"/>
      <c r="AW85" s="87"/>
      <c r="AX85" s="107"/>
      <c r="AY85" s="108"/>
      <c r="AZ85" s="87"/>
      <c r="BA85" s="107"/>
      <c r="BB85" s="108"/>
      <c r="BC85" s="87"/>
      <c r="BD85" s="107"/>
      <c r="BE85" s="108"/>
      <c r="BF85" s="87"/>
      <c r="BG85" s="107"/>
      <c r="BH85" s="108"/>
      <c r="BI85" s="87"/>
      <c r="BJ85" s="107"/>
      <c r="BK85" s="108"/>
      <c r="BL85" s="87"/>
      <c r="BM85" s="107"/>
      <c r="BN85" s="108"/>
      <c r="BO85" s="87"/>
      <c r="BP85" s="107"/>
      <c r="BQ85" s="108"/>
      <c r="BR85" s="87"/>
      <c r="BS85" s="107"/>
      <c r="BT85" s="108"/>
      <c r="BU85" s="87"/>
      <c r="BV85" s="107"/>
      <c r="BW85" s="108"/>
      <c r="BX85" s="87"/>
      <c r="BY85" s="107"/>
      <c r="BZ85" s="108"/>
      <c r="CA85" s="87"/>
      <c r="CB85" s="107"/>
      <c r="CC85" s="108"/>
      <c r="CD85" s="87"/>
      <c r="CE85" s="107"/>
      <c r="CF85" s="108"/>
      <c r="CG85" s="87"/>
      <c r="CH85" s="107"/>
      <c r="CI85" s="108"/>
      <c r="CJ85" s="87"/>
      <c r="CK85" s="107"/>
      <c r="CL85" s="108"/>
      <c r="CM85" s="87"/>
      <c r="CN85" s="107"/>
      <c r="CO85" s="108"/>
      <c r="CP85" s="87"/>
      <c r="CQ85" s="107"/>
      <c r="CR85" s="108"/>
      <c r="CS85" s="87"/>
      <c r="CT85" s="107"/>
      <c r="CU85" s="108"/>
      <c r="CV85" s="87"/>
      <c r="CW85" s="107"/>
      <c r="CX85" s="108"/>
      <c r="CY85" s="87"/>
      <c r="CZ85" s="107"/>
      <c r="DA85" s="108"/>
      <c r="DB85" s="87"/>
      <c r="DC85" s="107"/>
      <c r="DD85" s="108"/>
      <c r="DE85" s="87"/>
      <c r="DF85" s="107"/>
      <c r="DG85" s="108"/>
      <c r="DH85" s="87"/>
      <c r="DI85" s="107"/>
      <c r="DJ85" s="108"/>
      <c r="DK85" s="87"/>
      <c r="DL85" s="107"/>
      <c r="DM85" s="108"/>
      <c r="DN85" s="87"/>
      <c r="DO85" s="107"/>
      <c r="DP85" s="108"/>
      <c r="DQ85" s="87"/>
      <c r="DR85" s="107"/>
      <c r="DS85" s="108"/>
      <c r="DT85" s="87"/>
      <c r="DU85" s="107"/>
      <c r="DV85" s="108"/>
      <c r="DW85" s="87"/>
      <c r="DX85" s="107"/>
      <c r="DY85" s="108"/>
      <c r="DZ85" s="87"/>
      <c r="EA85" s="107"/>
      <c r="EB85" s="108"/>
      <c r="EC85" s="87"/>
      <c r="ED85" s="107"/>
      <c r="EE85" s="108"/>
      <c r="EF85" s="87"/>
      <c r="EG85" s="107"/>
      <c r="EH85" s="108"/>
      <c r="EI85" s="87"/>
      <c r="EJ85" s="107"/>
      <c r="EK85" s="108"/>
      <c r="EL85" s="87"/>
      <c r="EM85" s="107"/>
      <c r="EN85" s="108"/>
      <c r="EO85" s="87"/>
      <c r="EP85" s="107"/>
      <c r="EQ85" s="108"/>
      <c r="ER85" s="87"/>
      <c r="ES85" s="107"/>
      <c r="ET85" s="108"/>
      <c r="EU85" s="87"/>
      <c r="EV85" s="107"/>
      <c r="EW85" s="108"/>
      <c r="EX85" s="87"/>
      <c r="EY85" s="107"/>
      <c r="EZ85" s="108"/>
      <c r="FA85" s="87"/>
      <c r="FB85" s="107"/>
      <c r="FC85" s="108"/>
      <c r="FD85" s="87"/>
      <c r="FE85" s="107"/>
      <c r="FF85" s="108"/>
      <c r="FG85" s="87"/>
      <c r="FH85" s="107"/>
      <c r="FI85" s="108"/>
      <c r="FJ85" s="87"/>
      <c r="FK85" s="107"/>
      <c r="FL85" s="108"/>
      <c r="FM85" s="87"/>
      <c r="FN85" s="107"/>
      <c r="FO85" s="108"/>
      <c r="FP85" s="87"/>
      <c r="FQ85" s="107"/>
      <c r="FR85" s="108"/>
      <c r="FS85" s="87"/>
      <c r="FT85" s="107"/>
      <c r="FU85" s="108"/>
      <c r="FV85" s="87"/>
      <c r="FW85" s="107"/>
      <c r="FX85" s="108"/>
      <c r="FY85" s="87"/>
      <c r="FZ85" s="107"/>
      <c r="GA85" s="108"/>
      <c r="GB85" s="87"/>
      <c r="GC85" s="107"/>
      <c r="GD85" s="108"/>
      <c r="GE85" s="87"/>
      <c r="GF85" s="107"/>
      <c r="GG85" s="108"/>
      <c r="GH85" s="87"/>
      <c r="GI85" s="107"/>
      <c r="GJ85" s="108"/>
      <c r="GK85" s="87"/>
      <c r="GL85" s="107"/>
      <c r="GM85" s="108"/>
      <c r="GN85" s="87"/>
      <c r="GO85" s="107"/>
      <c r="GP85" s="108"/>
      <c r="GQ85" s="87"/>
      <c r="GR85" s="107"/>
      <c r="GS85" s="108"/>
      <c r="GT85" s="87"/>
      <c r="GU85" s="107"/>
      <c r="GV85" s="108"/>
      <c r="GW85" s="87"/>
      <c r="GX85" s="107"/>
      <c r="GY85" s="108"/>
      <c r="GZ85" s="87"/>
      <c r="HA85" s="107"/>
      <c r="HB85" s="108"/>
      <c r="HC85" s="87"/>
      <c r="HD85" s="107"/>
      <c r="HE85" s="108"/>
      <c r="HF85" s="87"/>
      <c r="HG85" s="107"/>
      <c r="HH85" s="108"/>
      <c r="HI85" s="87"/>
      <c r="HJ85" s="107"/>
      <c r="HK85" s="108"/>
    </row>
    <row r="86" ht="14.25" customHeight="1" spans="1:227">
      <c r="A86" s="82"/>
      <c r="B86" s="178"/>
      <c r="C86" s="148"/>
      <c r="D86" s="148"/>
      <c r="E86" s="107"/>
      <c r="F86" s="108"/>
      <c r="G86" s="87"/>
      <c r="H86" s="107"/>
      <c r="I86" s="108"/>
      <c r="J86" s="87"/>
      <c r="K86" s="107"/>
      <c r="L86" s="108"/>
      <c r="M86" s="87"/>
      <c r="N86" s="107"/>
      <c r="O86" s="108"/>
      <c r="P86" s="87"/>
      <c r="Q86" s="107"/>
      <c r="R86" s="108"/>
      <c r="S86" s="87"/>
      <c r="T86" s="107"/>
      <c r="U86" s="108"/>
      <c r="V86" s="87"/>
      <c r="W86" s="107"/>
      <c r="X86" s="108"/>
      <c r="Y86" s="87"/>
      <c r="Z86" s="107"/>
      <c r="AA86" s="108"/>
      <c r="AB86" s="87"/>
      <c r="AC86" s="107"/>
      <c r="AD86" s="108"/>
      <c r="AE86" s="87"/>
      <c r="AF86" s="107"/>
      <c r="AG86" s="108"/>
      <c r="AH86" s="87"/>
      <c r="AI86" s="107"/>
      <c r="AJ86" s="108"/>
      <c r="AK86" s="87"/>
      <c r="AL86" s="107"/>
      <c r="AM86" s="108"/>
      <c r="AN86" s="87"/>
      <c r="AO86" s="107"/>
      <c r="AP86" s="108"/>
      <c r="AQ86" s="87"/>
      <c r="AR86" s="107"/>
      <c r="AS86" s="108"/>
      <c r="AT86" s="87"/>
      <c r="AU86" s="107"/>
      <c r="AV86" s="108"/>
      <c r="AW86" s="87"/>
      <c r="AX86" s="107"/>
      <c r="AY86" s="108"/>
      <c r="AZ86" s="87"/>
      <c r="BA86" s="107"/>
      <c r="BB86" s="108"/>
      <c r="BC86" s="87"/>
      <c r="BD86" s="107"/>
      <c r="BE86" s="108"/>
      <c r="BF86" s="87"/>
      <c r="BG86" s="107"/>
      <c r="BH86" s="108"/>
      <c r="BI86" s="87"/>
      <c r="BJ86" s="107"/>
      <c r="BK86" s="108"/>
      <c r="BL86" s="87"/>
      <c r="BM86" s="107"/>
      <c r="BN86" s="108"/>
      <c r="BO86" s="87"/>
      <c r="BP86" s="107"/>
      <c r="BQ86" s="108"/>
      <c r="BR86" s="87"/>
      <c r="BS86" s="107"/>
      <c r="BT86" s="108"/>
      <c r="BU86" s="87"/>
      <c r="BV86" s="107"/>
      <c r="BW86" s="108"/>
      <c r="BX86" s="87"/>
      <c r="BY86" s="107"/>
      <c r="BZ86" s="108"/>
      <c r="CA86" s="87"/>
      <c r="CB86" s="107"/>
      <c r="CC86" s="108"/>
      <c r="CD86" s="87"/>
      <c r="CE86" s="107"/>
      <c r="CF86" s="108"/>
      <c r="CG86" s="87"/>
      <c r="CH86" s="107"/>
      <c r="CI86" s="108"/>
      <c r="CJ86" s="87"/>
      <c r="CK86" s="107"/>
      <c r="CL86" s="108"/>
      <c r="CM86" s="87"/>
      <c r="CN86" s="107"/>
      <c r="CO86" s="108"/>
      <c r="CP86" s="87"/>
      <c r="CQ86" s="107"/>
      <c r="CR86" s="108"/>
      <c r="CS86" s="87"/>
      <c r="CT86" s="107"/>
      <c r="CU86" s="108"/>
      <c r="CV86" s="87"/>
      <c r="CW86" s="107"/>
      <c r="CX86" s="108"/>
      <c r="CY86" s="87"/>
      <c r="CZ86" s="107"/>
      <c r="DA86" s="108"/>
      <c r="DB86" s="87"/>
      <c r="DC86" s="107"/>
      <c r="DD86" s="108"/>
      <c r="DE86" s="87"/>
      <c r="DF86" s="107"/>
      <c r="DG86" s="108"/>
      <c r="DH86" s="87"/>
      <c r="DI86" s="107"/>
      <c r="DJ86" s="108"/>
      <c r="DK86" s="87"/>
      <c r="DL86" s="107"/>
      <c r="DM86" s="108"/>
      <c r="DN86" s="87"/>
      <c r="DO86" s="107"/>
      <c r="DP86" s="108"/>
      <c r="DQ86" s="87"/>
      <c r="DR86" s="107"/>
      <c r="DS86" s="108"/>
      <c r="DT86" s="87"/>
      <c r="DU86" s="107"/>
      <c r="DV86" s="108"/>
      <c r="DW86" s="87"/>
      <c r="DX86" s="107"/>
      <c r="DY86" s="108"/>
      <c r="DZ86" s="87"/>
      <c r="EA86" s="107"/>
      <c r="EB86" s="108"/>
      <c r="EC86" s="87"/>
      <c r="ED86" s="107"/>
      <c r="EE86" s="108"/>
      <c r="EF86" s="87"/>
      <c r="EG86" s="107"/>
      <c r="EH86" s="108"/>
      <c r="EI86" s="87"/>
      <c r="EJ86" s="107"/>
      <c r="EK86" s="108"/>
      <c r="EL86" s="87"/>
      <c r="EM86" s="107"/>
      <c r="EN86" s="108"/>
      <c r="EO86" s="87"/>
      <c r="EP86" s="107"/>
      <c r="EQ86" s="108"/>
      <c r="ER86" s="87"/>
      <c r="ES86" s="107"/>
      <c r="ET86" s="108"/>
      <c r="EU86" s="87"/>
      <c r="EV86" s="107"/>
      <c r="EW86" s="108"/>
      <c r="EX86" s="87"/>
      <c r="EY86" s="107"/>
      <c r="EZ86" s="108"/>
      <c r="FA86" s="87"/>
      <c r="FB86" s="107"/>
      <c r="FC86" s="108"/>
      <c r="FD86" s="87"/>
      <c r="FE86" s="107"/>
      <c r="FF86" s="108"/>
      <c r="FG86" s="87"/>
      <c r="FH86" s="107"/>
      <c r="FI86" s="108"/>
      <c r="FJ86" s="87"/>
      <c r="FK86" s="107"/>
      <c r="FL86" s="108"/>
      <c r="FM86" s="87"/>
      <c r="FN86" s="107"/>
      <c r="FO86" s="108"/>
      <c r="FP86" s="87"/>
      <c r="FQ86" s="107"/>
      <c r="FR86" s="108"/>
      <c r="FS86" s="87"/>
      <c r="FT86" s="107"/>
      <c r="FU86" s="108"/>
      <c r="FV86" s="87"/>
      <c r="FW86" s="107"/>
      <c r="FX86" s="108"/>
      <c r="FY86" s="87"/>
      <c r="FZ86" s="107"/>
      <c r="GA86" s="108"/>
      <c r="GB86" s="87"/>
      <c r="GC86" s="107"/>
      <c r="GD86" s="108"/>
      <c r="GE86" s="87"/>
      <c r="GF86" s="107"/>
      <c r="GG86" s="108"/>
      <c r="GH86" s="87"/>
      <c r="GI86" s="107"/>
      <c r="GJ86" s="108"/>
      <c r="GK86" s="87"/>
      <c r="GL86" s="107"/>
      <c r="GM86" s="108"/>
      <c r="GN86" s="87"/>
      <c r="GO86" s="107"/>
      <c r="GP86" s="108"/>
      <c r="GQ86" s="87"/>
      <c r="GR86" s="107"/>
      <c r="GS86" s="108"/>
      <c r="GT86" s="87"/>
      <c r="GU86" s="107"/>
      <c r="GV86" s="108"/>
      <c r="GW86" s="87"/>
      <c r="GX86" s="107"/>
      <c r="GY86" s="108"/>
      <c r="GZ86" s="87"/>
      <c r="HA86" s="107"/>
      <c r="HB86" s="108"/>
      <c r="HC86" s="87"/>
      <c r="HD86" s="107"/>
      <c r="HE86" s="108"/>
      <c r="HF86" s="87"/>
      <c r="HG86" s="107"/>
      <c r="HH86" s="108"/>
      <c r="HI86" s="87"/>
      <c r="HJ86" s="107"/>
      <c r="HK86" s="108"/>
    </row>
    <row r="87" ht="14.25" customHeight="1" spans="1:227">
      <c r="A87" s="82"/>
      <c r="B87" s="178"/>
      <c r="C87" s="148"/>
      <c r="D87" s="148"/>
      <c r="E87" s="107"/>
      <c r="F87" s="108"/>
      <c r="G87" s="87"/>
      <c r="H87" s="107"/>
      <c r="I87" s="108"/>
      <c r="J87" s="87"/>
      <c r="K87" s="107"/>
      <c r="L87" s="108"/>
      <c r="M87" s="87"/>
      <c r="N87" s="107"/>
      <c r="O87" s="108"/>
      <c r="P87" s="87"/>
      <c r="Q87" s="107"/>
      <c r="R87" s="108"/>
      <c r="S87" s="87"/>
      <c r="T87" s="107"/>
      <c r="U87" s="108"/>
      <c r="V87" s="87"/>
      <c r="W87" s="107"/>
      <c r="X87" s="108"/>
      <c r="Y87" s="87"/>
      <c r="Z87" s="107"/>
      <c r="AA87" s="108"/>
      <c r="AB87" s="87"/>
      <c r="AC87" s="107"/>
      <c r="AD87" s="108"/>
      <c r="AE87" s="87"/>
      <c r="AF87" s="107"/>
      <c r="AG87" s="108"/>
      <c r="AH87" s="87"/>
      <c r="AI87" s="107"/>
      <c r="AJ87" s="108"/>
      <c r="AK87" s="87"/>
      <c r="AL87" s="107"/>
      <c r="AM87" s="108"/>
      <c r="AN87" s="87"/>
      <c r="AO87" s="107"/>
      <c r="AP87" s="108"/>
      <c r="AQ87" s="87"/>
      <c r="AR87" s="107"/>
      <c r="AS87" s="108"/>
      <c r="AT87" s="87"/>
      <c r="AU87" s="107"/>
      <c r="AV87" s="108"/>
      <c r="AW87" s="87"/>
      <c r="AX87" s="107"/>
      <c r="AY87" s="108"/>
      <c r="AZ87" s="87"/>
      <c r="BA87" s="107"/>
      <c r="BB87" s="108"/>
      <c r="BC87" s="87"/>
      <c r="BD87" s="107"/>
      <c r="BE87" s="108"/>
      <c r="BF87" s="87"/>
      <c r="BG87" s="107"/>
      <c r="BH87" s="108"/>
      <c r="BI87" s="87"/>
      <c r="BJ87" s="107"/>
      <c r="BK87" s="108"/>
      <c r="BL87" s="87"/>
      <c r="BM87" s="107"/>
      <c r="BN87" s="108"/>
      <c r="BO87" s="87"/>
      <c r="BP87" s="107"/>
      <c r="BQ87" s="108"/>
      <c r="BR87" s="87"/>
      <c r="BS87" s="107"/>
      <c r="BT87" s="108"/>
      <c r="BU87" s="87"/>
      <c r="BV87" s="107"/>
      <c r="BW87" s="108"/>
      <c r="BX87" s="87"/>
      <c r="BY87" s="107"/>
      <c r="BZ87" s="108"/>
      <c r="CA87" s="87"/>
      <c r="CB87" s="107"/>
      <c r="CC87" s="108"/>
      <c r="CD87" s="87"/>
      <c r="CE87" s="107"/>
      <c r="CF87" s="108"/>
      <c r="CG87" s="87"/>
      <c r="CH87" s="107"/>
      <c r="CI87" s="108"/>
      <c r="CJ87" s="87"/>
      <c r="CK87" s="107"/>
      <c r="CL87" s="108"/>
      <c r="CM87" s="87"/>
      <c r="CN87" s="107"/>
      <c r="CO87" s="108"/>
      <c r="CP87" s="87"/>
      <c r="CQ87" s="107"/>
      <c r="CR87" s="108"/>
      <c r="CS87" s="87"/>
      <c r="CT87" s="107"/>
      <c r="CU87" s="108"/>
      <c r="CV87" s="87"/>
      <c r="CW87" s="107"/>
      <c r="CX87" s="108"/>
      <c r="CY87" s="87"/>
      <c r="CZ87" s="107"/>
      <c r="DA87" s="108"/>
      <c r="DB87" s="87"/>
      <c r="DC87" s="107"/>
      <c r="DD87" s="108"/>
      <c r="DE87" s="87"/>
      <c r="DF87" s="107"/>
      <c r="DG87" s="108"/>
      <c r="DH87" s="87"/>
      <c r="DI87" s="107"/>
      <c r="DJ87" s="108"/>
      <c r="DK87" s="87"/>
      <c r="DL87" s="107"/>
      <c r="DM87" s="108"/>
      <c r="DN87" s="87"/>
      <c r="DO87" s="107"/>
      <c r="DP87" s="108"/>
      <c r="DQ87" s="87"/>
      <c r="DR87" s="107"/>
      <c r="DS87" s="108"/>
      <c r="DT87" s="87"/>
      <c r="DU87" s="107"/>
      <c r="DV87" s="108"/>
      <c r="DW87" s="87"/>
      <c r="DX87" s="107"/>
      <c r="DY87" s="108"/>
      <c r="DZ87" s="87"/>
      <c r="EA87" s="107"/>
      <c r="EB87" s="108"/>
      <c r="EC87" s="87"/>
      <c r="ED87" s="107"/>
      <c r="EE87" s="108"/>
      <c r="EF87" s="87"/>
      <c r="EG87" s="107"/>
      <c r="EH87" s="108"/>
      <c r="EI87" s="87"/>
      <c r="EJ87" s="107"/>
      <c r="EK87" s="108"/>
      <c r="EL87" s="87"/>
      <c r="EM87" s="107"/>
      <c r="EN87" s="108"/>
      <c r="EO87" s="87"/>
      <c r="EP87" s="107"/>
      <c r="EQ87" s="108"/>
      <c r="ER87" s="87"/>
      <c r="ES87" s="107"/>
      <c r="ET87" s="108"/>
      <c r="EU87" s="87"/>
      <c r="EV87" s="107"/>
      <c r="EW87" s="108"/>
      <c r="EX87" s="87"/>
      <c r="EY87" s="107"/>
      <c r="EZ87" s="108"/>
      <c r="FA87" s="87"/>
      <c r="FB87" s="107"/>
      <c r="FC87" s="108"/>
      <c r="FD87" s="87"/>
      <c r="FE87" s="107"/>
      <c r="FF87" s="108"/>
      <c r="FG87" s="87"/>
      <c r="FH87" s="107"/>
      <c r="FI87" s="108"/>
      <c r="FJ87" s="87"/>
      <c r="FK87" s="107"/>
      <c r="FL87" s="108"/>
      <c r="FM87" s="87"/>
      <c r="FN87" s="107"/>
      <c r="FO87" s="108"/>
      <c r="FP87" s="87"/>
      <c r="FQ87" s="107"/>
      <c r="FR87" s="108"/>
      <c r="FS87" s="87"/>
      <c r="FT87" s="107"/>
      <c r="FU87" s="108"/>
      <c r="FV87" s="87"/>
      <c r="FW87" s="107"/>
      <c r="FX87" s="108"/>
      <c r="FY87" s="87"/>
      <c r="FZ87" s="107"/>
      <c r="GA87" s="108"/>
      <c r="GB87" s="87"/>
      <c r="GC87" s="107"/>
      <c r="GD87" s="108"/>
      <c r="GE87" s="87"/>
      <c r="GF87" s="107"/>
      <c r="GG87" s="108"/>
      <c r="GH87" s="87"/>
      <c r="GI87" s="107"/>
      <c r="GJ87" s="108"/>
      <c r="GK87" s="87"/>
      <c r="GL87" s="107"/>
      <c r="GM87" s="108"/>
      <c r="GN87" s="87"/>
      <c r="GO87" s="107"/>
      <c r="GP87" s="108"/>
      <c r="GQ87" s="87"/>
      <c r="GR87" s="107"/>
      <c r="GS87" s="108"/>
      <c r="GT87" s="87"/>
      <c r="GU87" s="107"/>
      <c r="GV87" s="108"/>
      <c r="GW87" s="87"/>
      <c r="GX87" s="107"/>
      <c r="GY87" s="108"/>
      <c r="GZ87" s="87"/>
      <c r="HA87" s="107"/>
      <c r="HB87" s="108"/>
      <c r="HC87" s="87"/>
      <c r="HD87" s="107"/>
      <c r="HE87" s="108"/>
      <c r="HF87" s="87"/>
      <c r="HG87" s="107"/>
      <c r="HH87" s="108"/>
      <c r="HI87" s="87"/>
      <c r="HJ87" s="107"/>
      <c r="HK87" s="108"/>
    </row>
    <row r="88" ht="14.25" customHeight="1" spans="1:227">
      <c r="A88" s="82"/>
      <c r="B88" s="178"/>
      <c r="C88" s="148"/>
      <c r="D88" s="148"/>
      <c r="E88" s="107"/>
      <c r="F88" s="108"/>
      <c r="G88" s="87"/>
      <c r="H88" s="107"/>
      <c r="I88" s="108"/>
      <c r="J88" s="87"/>
      <c r="K88" s="107"/>
      <c r="L88" s="108"/>
      <c r="M88" s="87"/>
      <c r="N88" s="107"/>
      <c r="O88" s="108"/>
      <c r="P88" s="87"/>
      <c r="Q88" s="107"/>
      <c r="R88" s="108"/>
      <c r="S88" s="87"/>
      <c r="T88" s="107"/>
      <c r="U88" s="108"/>
      <c r="V88" s="87"/>
      <c r="W88" s="107"/>
      <c r="X88" s="108"/>
      <c r="Y88" s="87"/>
      <c r="Z88" s="107"/>
      <c r="AA88" s="108"/>
      <c r="AB88" s="87"/>
      <c r="AC88" s="107"/>
      <c r="AD88" s="108"/>
      <c r="AE88" s="87"/>
      <c r="AF88" s="107"/>
      <c r="AG88" s="108"/>
      <c r="AH88" s="87"/>
      <c r="AI88" s="107"/>
      <c r="AJ88" s="108"/>
      <c r="AK88" s="87"/>
      <c r="AL88" s="107"/>
      <c r="AM88" s="108"/>
      <c r="AN88" s="87"/>
      <c r="AO88" s="107"/>
      <c r="AP88" s="108"/>
      <c r="AQ88" s="87"/>
      <c r="AR88" s="107"/>
      <c r="AS88" s="108"/>
      <c r="AT88" s="87"/>
      <c r="AU88" s="107"/>
      <c r="AV88" s="108"/>
      <c r="AW88" s="87"/>
      <c r="AX88" s="107"/>
      <c r="AY88" s="108"/>
      <c r="AZ88" s="87"/>
      <c r="BA88" s="107"/>
      <c r="BB88" s="108"/>
      <c r="BC88" s="87"/>
      <c r="BD88" s="107"/>
      <c r="BE88" s="108"/>
      <c r="BF88" s="87"/>
      <c r="BG88" s="107"/>
      <c r="BH88" s="108"/>
      <c r="BI88" s="87"/>
      <c r="BJ88" s="107"/>
      <c r="BK88" s="108"/>
      <c r="BL88" s="87"/>
      <c r="BM88" s="107"/>
      <c r="BN88" s="108"/>
      <c r="BO88" s="87"/>
      <c r="BP88" s="107"/>
      <c r="BQ88" s="108"/>
      <c r="BR88" s="87"/>
      <c r="BS88" s="107"/>
      <c r="BT88" s="108"/>
      <c r="BU88" s="87"/>
      <c r="BV88" s="107"/>
      <c r="BW88" s="108"/>
      <c r="BX88" s="87"/>
      <c r="BY88" s="107"/>
      <c r="BZ88" s="108"/>
      <c r="CA88" s="87"/>
      <c r="CB88" s="107"/>
      <c r="CC88" s="108"/>
      <c r="CD88" s="87"/>
      <c r="CE88" s="107"/>
      <c r="CF88" s="108"/>
      <c r="CG88" s="87"/>
      <c r="CH88" s="107"/>
      <c r="CI88" s="108"/>
      <c r="CJ88" s="87"/>
      <c r="CK88" s="107"/>
      <c r="CL88" s="108"/>
      <c r="CM88" s="87"/>
      <c r="CN88" s="107"/>
      <c r="CO88" s="108"/>
      <c r="CP88" s="87"/>
      <c r="CQ88" s="107"/>
      <c r="CR88" s="108"/>
      <c r="CS88" s="87"/>
      <c r="CT88" s="107"/>
      <c r="CU88" s="108"/>
      <c r="CV88" s="87"/>
      <c r="CW88" s="107"/>
      <c r="CX88" s="108"/>
      <c r="CY88" s="87"/>
      <c r="CZ88" s="107"/>
      <c r="DA88" s="108"/>
      <c r="DB88" s="87"/>
      <c r="DC88" s="107"/>
      <c r="DD88" s="108"/>
      <c r="DE88" s="87"/>
      <c r="DF88" s="107"/>
      <c r="DG88" s="108"/>
      <c r="DH88" s="87"/>
      <c r="DI88" s="107"/>
      <c r="DJ88" s="108"/>
      <c r="DK88" s="87"/>
      <c r="DL88" s="107"/>
      <c r="DM88" s="108"/>
      <c r="DN88" s="87"/>
      <c r="DO88" s="107"/>
      <c r="DP88" s="108"/>
      <c r="DQ88" s="87"/>
      <c r="DR88" s="107"/>
      <c r="DS88" s="108"/>
      <c r="DT88" s="87"/>
      <c r="DU88" s="107"/>
      <c r="DV88" s="108"/>
      <c r="DW88" s="87"/>
      <c r="DX88" s="107"/>
      <c r="DY88" s="108"/>
      <c r="DZ88" s="87"/>
      <c r="EA88" s="107"/>
      <c r="EB88" s="108"/>
      <c r="EC88" s="87"/>
      <c r="ED88" s="107"/>
      <c r="EE88" s="108"/>
      <c r="EF88" s="87"/>
      <c r="EG88" s="107"/>
      <c r="EH88" s="108"/>
      <c r="EI88" s="87"/>
      <c r="EJ88" s="107"/>
      <c r="EK88" s="108"/>
      <c r="EL88" s="87"/>
      <c r="EM88" s="107"/>
      <c r="EN88" s="108"/>
      <c r="EO88" s="87"/>
      <c r="EP88" s="107"/>
      <c r="EQ88" s="108"/>
      <c r="ER88" s="87"/>
      <c r="ES88" s="107"/>
      <c r="ET88" s="108"/>
      <c r="EU88" s="87"/>
      <c r="EV88" s="107"/>
      <c r="EW88" s="108"/>
      <c r="EX88" s="87"/>
      <c r="EY88" s="107"/>
      <c r="EZ88" s="108"/>
      <c r="FA88" s="87"/>
      <c r="FB88" s="107"/>
      <c r="FC88" s="108"/>
      <c r="FD88" s="87"/>
      <c r="FE88" s="107"/>
      <c r="FF88" s="108"/>
      <c r="FG88" s="87"/>
      <c r="FH88" s="107"/>
      <c r="FI88" s="108"/>
      <c r="FJ88" s="87"/>
      <c r="FK88" s="107"/>
      <c r="FL88" s="108"/>
      <c r="FM88" s="87"/>
      <c r="FN88" s="107"/>
      <c r="FO88" s="108"/>
      <c r="FP88" s="87"/>
      <c r="FQ88" s="107"/>
      <c r="FR88" s="108"/>
      <c r="FS88" s="87"/>
      <c r="FT88" s="107"/>
      <c r="FU88" s="108"/>
      <c r="FV88" s="87"/>
      <c r="FW88" s="107"/>
      <c r="FX88" s="108"/>
      <c r="FY88" s="87"/>
      <c r="FZ88" s="107"/>
      <c r="GA88" s="108"/>
      <c r="GB88" s="87"/>
      <c r="GC88" s="107"/>
      <c r="GD88" s="108"/>
      <c r="GE88" s="87"/>
      <c r="GF88" s="107"/>
      <c r="GG88" s="108"/>
      <c r="GH88" s="87"/>
      <c r="GI88" s="107"/>
      <c r="GJ88" s="108"/>
      <c r="GK88" s="87"/>
      <c r="GL88" s="107"/>
      <c r="GM88" s="108"/>
      <c r="GN88" s="87"/>
      <c r="GO88" s="107"/>
      <c r="GP88" s="108"/>
      <c r="GQ88" s="87"/>
      <c r="GR88" s="107"/>
      <c r="GS88" s="108"/>
      <c r="GT88" s="87"/>
      <c r="GU88" s="107"/>
      <c r="GV88" s="108"/>
      <c r="GW88" s="87"/>
      <c r="GX88" s="107"/>
      <c r="GY88" s="108"/>
      <c r="GZ88" s="87"/>
      <c r="HA88" s="107"/>
      <c r="HB88" s="108"/>
      <c r="HC88" s="87"/>
      <c r="HD88" s="107"/>
      <c r="HE88" s="108"/>
      <c r="HF88" s="87"/>
      <c r="HG88" s="107"/>
      <c r="HH88" s="108"/>
      <c r="HI88" s="87"/>
      <c r="HJ88" s="107"/>
      <c r="HK88" s="108"/>
    </row>
    <row r="89" ht="14.25" customHeight="1" spans="1:227">
      <c r="A89" s="82"/>
      <c r="B89" s="178"/>
      <c r="C89" s="148"/>
      <c r="D89" s="148"/>
      <c r="E89" s="107"/>
      <c r="F89" s="108"/>
      <c r="G89" s="87"/>
      <c r="H89" s="107"/>
      <c r="I89" s="108"/>
      <c r="J89" s="87"/>
      <c r="K89" s="107"/>
      <c r="L89" s="108"/>
      <c r="M89" s="87"/>
      <c r="N89" s="107"/>
      <c r="O89" s="108"/>
      <c r="P89" s="87"/>
      <c r="Q89" s="107"/>
      <c r="R89" s="108"/>
      <c r="S89" s="87"/>
      <c r="T89" s="107"/>
      <c r="U89" s="108"/>
      <c r="V89" s="87"/>
      <c r="W89" s="107"/>
      <c r="X89" s="108"/>
      <c r="Y89" s="87"/>
      <c r="Z89" s="107"/>
      <c r="AA89" s="108"/>
      <c r="AB89" s="87"/>
      <c r="AC89" s="107"/>
      <c r="AD89" s="108"/>
      <c r="AE89" s="87"/>
      <c r="AF89" s="107"/>
      <c r="AG89" s="108"/>
      <c r="AH89" s="87"/>
      <c r="AI89" s="107"/>
      <c r="AJ89" s="108"/>
      <c r="AK89" s="87"/>
      <c r="AL89" s="107"/>
      <c r="AM89" s="108"/>
      <c r="AN89" s="87"/>
      <c r="AO89" s="107"/>
      <c r="AP89" s="108"/>
      <c r="AQ89" s="87"/>
      <c r="AR89" s="107"/>
      <c r="AS89" s="108"/>
      <c r="AT89" s="87"/>
      <c r="AU89" s="107"/>
      <c r="AV89" s="108"/>
      <c r="AW89" s="87"/>
      <c r="AX89" s="107"/>
      <c r="AY89" s="108"/>
      <c r="AZ89" s="87"/>
      <c r="BA89" s="107"/>
      <c r="BB89" s="108"/>
      <c r="BC89" s="87"/>
      <c r="BD89" s="107"/>
      <c r="BE89" s="108"/>
      <c r="BF89" s="87"/>
      <c r="BG89" s="107"/>
      <c r="BH89" s="108"/>
      <c r="BI89" s="87"/>
      <c r="BJ89" s="107"/>
      <c r="BK89" s="108"/>
      <c r="BL89" s="87"/>
      <c r="BM89" s="107"/>
      <c r="BN89" s="108"/>
      <c r="BO89" s="87"/>
      <c r="BP89" s="107"/>
      <c r="BQ89" s="108"/>
      <c r="BR89" s="87"/>
      <c r="BS89" s="107"/>
      <c r="BT89" s="108"/>
      <c r="BU89" s="87"/>
      <c r="BV89" s="107"/>
      <c r="BW89" s="108"/>
      <c r="BX89" s="87"/>
      <c r="BY89" s="107"/>
      <c r="BZ89" s="108"/>
      <c r="CA89" s="87"/>
      <c r="CB89" s="107"/>
      <c r="CC89" s="108"/>
      <c r="CD89" s="87"/>
      <c r="CE89" s="107"/>
      <c r="CF89" s="108"/>
      <c r="CG89" s="87"/>
      <c r="CH89" s="107"/>
      <c r="CI89" s="108"/>
      <c r="CJ89" s="87"/>
      <c r="CK89" s="107"/>
      <c r="CL89" s="108"/>
      <c r="CM89" s="87"/>
      <c r="CN89" s="107"/>
      <c r="CO89" s="108"/>
      <c r="CP89" s="87"/>
      <c r="CQ89" s="107"/>
      <c r="CR89" s="108"/>
      <c r="CS89" s="87"/>
      <c r="CT89" s="107"/>
      <c r="CU89" s="108"/>
      <c r="CV89" s="87"/>
      <c r="CW89" s="107"/>
      <c r="CX89" s="108"/>
      <c r="CY89" s="87"/>
      <c r="CZ89" s="107"/>
      <c r="DA89" s="108"/>
      <c r="DB89" s="87"/>
      <c r="DC89" s="107"/>
      <c r="DD89" s="108"/>
      <c r="DE89" s="87"/>
      <c r="DF89" s="107"/>
      <c r="DG89" s="108"/>
      <c r="DH89" s="87"/>
      <c r="DI89" s="107"/>
      <c r="DJ89" s="108"/>
      <c r="DK89" s="87"/>
      <c r="DL89" s="107"/>
      <c r="DM89" s="108"/>
      <c r="DN89" s="87"/>
      <c r="DO89" s="107"/>
      <c r="DP89" s="108"/>
      <c r="DQ89" s="87"/>
      <c r="DR89" s="107"/>
      <c r="DS89" s="108"/>
      <c r="DT89" s="87"/>
      <c r="DU89" s="107"/>
      <c r="DV89" s="108"/>
      <c r="DW89" s="87"/>
      <c r="DX89" s="107"/>
      <c r="DY89" s="108"/>
      <c r="DZ89" s="87"/>
      <c r="EA89" s="107"/>
      <c r="EB89" s="108"/>
      <c r="EC89" s="87"/>
      <c r="ED89" s="107"/>
      <c r="EE89" s="108"/>
      <c r="EF89" s="87"/>
      <c r="EG89" s="107"/>
      <c r="EH89" s="108"/>
      <c r="EI89" s="87"/>
      <c r="EJ89" s="107"/>
      <c r="EK89" s="108"/>
      <c r="EL89" s="87"/>
      <c r="EM89" s="107"/>
      <c r="EN89" s="108"/>
      <c r="EO89" s="87"/>
      <c r="EP89" s="107"/>
      <c r="EQ89" s="108"/>
      <c r="ER89" s="87"/>
      <c r="ES89" s="107"/>
      <c r="ET89" s="108"/>
      <c r="EU89" s="87"/>
      <c r="EV89" s="107"/>
      <c r="EW89" s="108"/>
      <c r="EX89" s="87"/>
      <c r="EY89" s="107"/>
      <c r="EZ89" s="108"/>
      <c r="FA89" s="87"/>
      <c r="FB89" s="107"/>
      <c r="FC89" s="108"/>
      <c r="FD89" s="87"/>
      <c r="FE89" s="107"/>
      <c r="FF89" s="108"/>
      <c r="FG89" s="87"/>
      <c r="FH89" s="107"/>
      <c r="FI89" s="108"/>
      <c r="FJ89" s="87"/>
      <c r="FK89" s="107"/>
      <c r="FL89" s="108"/>
      <c r="FM89" s="87"/>
      <c r="FN89" s="107"/>
      <c r="FO89" s="108"/>
      <c r="FP89" s="87"/>
      <c r="FQ89" s="107"/>
      <c r="FR89" s="108"/>
      <c r="FS89" s="87"/>
      <c r="FT89" s="107"/>
      <c r="FU89" s="108"/>
      <c r="FV89" s="87"/>
      <c r="FW89" s="107"/>
      <c r="FX89" s="108"/>
      <c r="FY89" s="87"/>
      <c r="FZ89" s="107"/>
      <c r="GA89" s="108"/>
      <c r="GB89" s="87"/>
      <c r="GC89" s="107"/>
      <c r="GD89" s="108"/>
      <c r="GE89" s="87"/>
      <c r="GF89" s="107"/>
      <c r="GG89" s="108"/>
      <c r="GH89" s="87"/>
      <c r="GI89" s="107"/>
      <c r="GJ89" s="108"/>
      <c r="GK89" s="87"/>
      <c r="GL89" s="107"/>
      <c r="GM89" s="108"/>
      <c r="GN89" s="87"/>
      <c r="GO89" s="107"/>
      <c r="GP89" s="108"/>
      <c r="GQ89" s="87"/>
      <c r="GR89" s="107"/>
      <c r="GS89" s="108"/>
      <c r="GT89" s="87"/>
      <c r="GU89" s="107"/>
      <c r="GV89" s="108"/>
      <c r="GW89" s="87"/>
      <c r="GX89" s="107"/>
      <c r="GY89" s="108"/>
      <c r="GZ89" s="87"/>
      <c r="HA89" s="107"/>
      <c r="HB89" s="108"/>
      <c r="HC89" s="87"/>
      <c r="HD89" s="107"/>
      <c r="HE89" s="108"/>
      <c r="HF89" s="87"/>
      <c r="HG89" s="107"/>
      <c r="HH89" s="108"/>
      <c r="HI89" s="87"/>
      <c r="HJ89" s="107"/>
      <c r="HK89" s="108"/>
    </row>
    <row r="90" ht="14.25" customHeight="1" spans="1:227">
      <c r="A90" s="82"/>
      <c r="B90" s="178"/>
      <c r="C90" s="148"/>
      <c r="D90" s="148"/>
      <c r="E90" s="107"/>
      <c r="F90" s="108"/>
      <c r="G90" s="87"/>
      <c r="H90" s="107"/>
      <c r="I90" s="108"/>
      <c r="J90" s="87"/>
      <c r="K90" s="107"/>
      <c r="L90" s="108"/>
      <c r="M90" s="87"/>
      <c r="N90" s="107"/>
      <c r="O90" s="108"/>
      <c r="P90" s="87"/>
      <c r="Q90" s="107"/>
      <c r="R90" s="108"/>
      <c r="S90" s="87"/>
      <c r="T90" s="107"/>
      <c r="U90" s="108"/>
      <c r="V90" s="87"/>
      <c r="W90" s="107"/>
      <c r="X90" s="108"/>
      <c r="Y90" s="87"/>
      <c r="Z90" s="107"/>
      <c r="AA90" s="108"/>
      <c r="AB90" s="87"/>
      <c r="AC90" s="107"/>
      <c r="AD90" s="108"/>
      <c r="AE90" s="87"/>
      <c r="AF90" s="107"/>
      <c r="AG90" s="108"/>
      <c r="AH90" s="87"/>
      <c r="AI90" s="107"/>
      <c r="AJ90" s="108"/>
      <c r="AK90" s="87"/>
      <c r="AL90" s="107"/>
      <c r="AM90" s="108"/>
      <c r="AN90" s="87"/>
      <c r="AO90" s="107"/>
      <c r="AP90" s="108"/>
      <c r="AQ90" s="87"/>
      <c r="AR90" s="107"/>
      <c r="AS90" s="108"/>
      <c r="AT90" s="87"/>
      <c r="AU90" s="107"/>
      <c r="AV90" s="108"/>
      <c r="AW90" s="87"/>
      <c r="AX90" s="107"/>
      <c r="AY90" s="108"/>
      <c r="AZ90" s="87"/>
      <c r="BA90" s="107"/>
      <c r="BB90" s="108"/>
      <c r="BC90" s="87"/>
      <c r="BD90" s="107"/>
      <c r="BE90" s="108"/>
      <c r="BF90" s="87"/>
      <c r="BG90" s="107"/>
      <c r="BH90" s="108"/>
      <c r="BI90" s="87"/>
      <c r="BJ90" s="107"/>
      <c r="BK90" s="108"/>
      <c r="BL90" s="87"/>
      <c r="BM90" s="107"/>
      <c r="BN90" s="108"/>
      <c r="BO90" s="87"/>
      <c r="BP90" s="107"/>
      <c r="BQ90" s="108"/>
      <c r="BR90" s="87"/>
      <c r="BS90" s="107"/>
      <c r="BT90" s="108"/>
      <c r="BU90" s="87"/>
      <c r="BV90" s="107"/>
      <c r="BW90" s="108"/>
      <c r="BX90" s="87"/>
      <c r="BY90" s="107"/>
      <c r="BZ90" s="108"/>
      <c r="CA90" s="87"/>
      <c r="CB90" s="107"/>
      <c r="CC90" s="108"/>
      <c r="CD90" s="87"/>
      <c r="CE90" s="107"/>
      <c r="CF90" s="108"/>
      <c r="CG90" s="87"/>
      <c r="CH90" s="107"/>
      <c r="CI90" s="108"/>
      <c r="CJ90" s="87"/>
      <c r="CK90" s="107"/>
      <c r="CL90" s="108"/>
      <c r="CM90" s="87"/>
      <c r="CN90" s="107"/>
      <c r="CO90" s="108"/>
      <c r="CP90" s="87"/>
      <c r="CQ90" s="107"/>
      <c r="CR90" s="108"/>
      <c r="CS90" s="87"/>
      <c r="CT90" s="107"/>
      <c r="CU90" s="108"/>
      <c r="CV90" s="87"/>
      <c r="CW90" s="107"/>
      <c r="CX90" s="108"/>
      <c r="CY90" s="87"/>
      <c r="CZ90" s="107"/>
      <c r="DA90" s="108"/>
      <c r="DB90" s="87"/>
      <c r="DC90" s="107"/>
      <c r="DD90" s="108"/>
      <c r="DE90" s="87"/>
      <c r="DF90" s="107"/>
      <c r="DG90" s="108"/>
      <c r="DH90" s="87"/>
      <c r="DI90" s="107"/>
      <c r="DJ90" s="108"/>
      <c r="DK90" s="87"/>
      <c r="DL90" s="107"/>
      <c r="DM90" s="108"/>
      <c r="DN90" s="87"/>
      <c r="DO90" s="107"/>
      <c r="DP90" s="108"/>
      <c r="DQ90" s="87"/>
      <c r="DR90" s="107"/>
      <c r="DS90" s="108"/>
      <c r="DT90" s="87"/>
      <c r="DU90" s="107"/>
      <c r="DV90" s="108"/>
      <c r="DW90" s="87"/>
      <c r="DX90" s="107"/>
      <c r="DY90" s="108"/>
      <c r="DZ90" s="87"/>
      <c r="EA90" s="107"/>
      <c r="EB90" s="108"/>
      <c r="EC90" s="87"/>
      <c r="ED90" s="107"/>
      <c r="EE90" s="108"/>
      <c r="EF90" s="87"/>
      <c r="EG90" s="107"/>
      <c r="EH90" s="108"/>
      <c r="EI90" s="87"/>
      <c r="EJ90" s="107"/>
      <c r="EK90" s="108"/>
      <c r="EL90" s="87"/>
      <c r="EM90" s="107"/>
      <c r="EN90" s="108"/>
      <c r="EO90" s="87"/>
      <c r="EP90" s="107"/>
      <c r="EQ90" s="108"/>
      <c r="ER90" s="87"/>
      <c r="ES90" s="107"/>
      <c r="ET90" s="108"/>
      <c r="EU90" s="87"/>
      <c r="EV90" s="107"/>
      <c r="EW90" s="108"/>
      <c r="EX90" s="87"/>
      <c r="EY90" s="107"/>
      <c r="EZ90" s="108"/>
      <c r="FA90" s="87"/>
      <c r="FB90" s="107"/>
      <c r="FC90" s="108"/>
      <c r="FD90" s="87"/>
      <c r="FE90" s="107"/>
      <c r="FF90" s="108"/>
      <c r="FG90" s="87"/>
      <c r="FH90" s="107"/>
      <c r="FI90" s="108"/>
      <c r="FJ90" s="87"/>
      <c r="FK90" s="107"/>
      <c r="FL90" s="108"/>
      <c r="FM90" s="87"/>
      <c r="FN90" s="107"/>
      <c r="FO90" s="108"/>
      <c r="FP90" s="87"/>
      <c r="FQ90" s="107"/>
      <c r="FR90" s="108"/>
      <c r="FS90" s="87"/>
      <c r="FT90" s="107"/>
      <c r="FU90" s="108"/>
      <c r="FV90" s="87"/>
      <c r="FW90" s="107"/>
      <c r="FX90" s="108"/>
      <c r="FY90" s="87"/>
      <c r="FZ90" s="107"/>
      <c r="GA90" s="108"/>
      <c r="GB90" s="87"/>
      <c r="GC90" s="107"/>
      <c r="GD90" s="108"/>
      <c r="GE90" s="87"/>
      <c r="GF90" s="107"/>
      <c r="GG90" s="108"/>
      <c r="GH90" s="87"/>
      <c r="GI90" s="107"/>
      <c r="GJ90" s="108"/>
      <c r="GK90" s="87"/>
      <c r="GL90" s="107"/>
      <c r="GM90" s="108"/>
      <c r="GN90" s="87"/>
      <c r="GO90" s="107"/>
      <c r="GP90" s="108"/>
      <c r="GQ90" s="87"/>
      <c r="GR90" s="107"/>
      <c r="GS90" s="108"/>
      <c r="GT90" s="87"/>
      <c r="GU90" s="107"/>
      <c r="GV90" s="108"/>
      <c r="GW90" s="87"/>
      <c r="GX90" s="107"/>
      <c r="GY90" s="108"/>
      <c r="GZ90" s="87"/>
      <c r="HA90" s="107"/>
      <c r="HB90" s="108"/>
      <c r="HC90" s="87"/>
      <c r="HD90" s="107"/>
      <c r="HE90" s="108"/>
      <c r="HF90" s="87"/>
      <c r="HG90" s="107"/>
      <c r="HH90" s="108"/>
      <c r="HI90" s="87"/>
      <c r="HJ90" s="107"/>
      <c r="HK90" s="108"/>
    </row>
    <row r="91" ht="14.25" customHeight="1" spans="1:227">
      <c r="A91" s="82"/>
      <c r="B91" s="178"/>
      <c r="C91" s="148"/>
      <c r="D91" s="148"/>
      <c r="E91" s="107"/>
      <c r="F91" s="108"/>
      <c r="G91" s="87"/>
      <c r="H91" s="107"/>
      <c r="I91" s="108"/>
      <c r="J91" s="87"/>
      <c r="K91" s="107"/>
      <c r="L91" s="108"/>
      <c r="M91" s="87"/>
      <c r="N91" s="107"/>
      <c r="O91" s="108"/>
      <c r="P91" s="87"/>
      <c r="Q91" s="107"/>
      <c r="R91" s="108"/>
      <c r="S91" s="87"/>
      <c r="T91" s="107"/>
      <c r="U91" s="108"/>
      <c r="V91" s="87"/>
      <c r="W91" s="107"/>
      <c r="X91" s="108"/>
      <c r="Y91" s="87"/>
      <c r="Z91" s="107"/>
      <c r="AA91" s="108"/>
      <c r="AB91" s="87"/>
      <c r="AC91" s="107"/>
      <c r="AD91" s="108"/>
      <c r="AE91" s="87"/>
      <c r="AF91" s="107"/>
      <c r="AG91" s="108"/>
      <c r="AH91" s="87"/>
      <c r="AI91" s="107"/>
      <c r="AJ91" s="108"/>
      <c r="AK91" s="87"/>
      <c r="AL91" s="107"/>
      <c r="AM91" s="108"/>
      <c r="AN91" s="87"/>
      <c r="AO91" s="107"/>
      <c r="AP91" s="108"/>
      <c r="AQ91" s="87"/>
      <c r="AR91" s="107"/>
      <c r="AS91" s="108"/>
      <c r="AT91" s="87"/>
      <c r="AU91" s="107"/>
      <c r="AV91" s="108"/>
      <c r="AW91" s="87"/>
      <c r="AX91" s="107"/>
      <c r="AY91" s="108"/>
      <c r="AZ91" s="87"/>
      <c r="BA91" s="107"/>
      <c r="BB91" s="108"/>
      <c r="BC91" s="87"/>
      <c r="BD91" s="107"/>
      <c r="BE91" s="108"/>
      <c r="BF91" s="87"/>
      <c r="BG91" s="107"/>
      <c r="BH91" s="108"/>
      <c r="BI91" s="87"/>
      <c r="BJ91" s="107"/>
      <c r="BK91" s="108"/>
      <c r="BL91" s="87"/>
      <c r="BM91" s="107"/>
      <c r="BN91" s="108"/>
      <c r="BO91" s="87"/>
      <c r="BP91" s="107"/>
      <c r="BQ91" s="108"/>
      <c r="BR91" s="87"/>
      <c r="BS91" s="107"/>
      <c r="BT91" s="108"/>
      <c r="BU91" s="87"/>
      <c r="BV91" s="107"/>
      <c r="BW91" s="108"/>
      <c r="BX91" s="87"/>
      <c r="BY91" s="107"/>
      <c r="BZ91" s="108"/>
      <c r="CA91" s="87"/>
      <c r="CB91" s="107"/>
      <c r="CC91" s="108"/>
      <c r="CD91" s="87"/>
      <c r="CE91" s="107"/>
      <c r="CF91" s="108"/>
      <c r="CG91" s="87"/>
      <c r="CH91" s="107"/>
      <c r="CI91" s="108"/>
      <c r="CJ91" s="87"/>
      <c r="CK91" s="107"/>
      <c r="CL91" s="108"/>
      <c r="CM91" s="87"/>
      <c r="CN91" s="107"/>
      <c r="CO91" s="108"/>
      <c r="CP91" s="87"/>
      <c r="CQ91" s="107"/>
      <c r="CR91" s="108"/>
      <c r="CS91" s="87"/>
      <c r="CT91" s="107"/>
      <c r="CU91" s="108"/>
      <c r="CV91" s="87"/>
      <c r="CW91" s="107"/>
      <c r="CX91" s="108"/>
      <c r="CY91" s="87"/>
      <c r="CZ91" s="107"/>
      <c r="DA91" s="108"/>
      <c r="DB91" s="87"/>
      <c r="DC91" s="107"/>
      <c r="DD91" s="108"/>
      <c r="DE91" s="87"/>
      <c r="DF91" s="107"/>
      <c r="DG91" s="108"/>
      <c r="DH91" s="87"/>
      <c r="DI91" s="107"/>
      <c r="DJ91" s="108"/>
      <c r="DK91" s="87"/>
      <c r="DL91" s="107"/>
      <c r="DM91" s="108"/>
      <c r="DN91" s="87"/>
      <c r="DO91" s="107"/>
      <c r="DP91" s="108"/>
      <c r="DQ91" s="87"/>
      <c r="DR91" s="107"/>
      <c r="DS91" s="108"/>
      <c r="DT91" s="87"/>
      <c r="DU91" s="107"/>
      <c r="DV91" s="108"/>
      <c r="DW91" s="87"/>
      <c r="DX91" s="107"/>
      <c r="DY91" s="108"/>
      <c r="DZ91" s="87"/>
      <c r="EA91" s="107"/>
      <c r="EB91" s="108"/>
      <c r="EC91" s="87"/>
      <c r="ED91" s="107"/>
      <c r="EE91" s="108"/>
      <c r="EF91" s="87"/>
      <c r="EG91" s="107"/>
      <c r="EH91" s="108"/>
      <c r="EI91" s="87"/>
      <c r="EJ91" s="107"/>
      <c r="EK91" s="108"/>
      <c r="EL91" s="87"/>
      <c r="EM91" s="107"/>
      <c r="EN91" s="108"/>
      <c r="EO91" s="87"/>
      <c r="EP91" s="107"/>
      <c r="EQ91" s="108"/>
      <c r="ER91" s="87"/>
      <c r="ES91" s="107"/>
      <c r="ET91" s="108"/>
      <c r="EU91" s="87"/>
      <c r="EV91" s="107"/>
      <c r="EW91" s="108"/>
      <c r="EX91" s="87"/>
      <c r="EY91" s="107"/>
      <c r="EZ91" s="108"/>
      <c r="FA91" s="87"/>
      <c r="FB91" s="107"/>
      <c r="FC91" s="108"/>
      <c r="FD91" s="87"/>
      <c r="FE91" s="107"/>
      <c r="FF91" s="108"/>
      <c r="FG91" s="87"/>
      <c r="FH91" s="107"/>
      <c r="FI91" s="108"/>
      <c r="FJ91" s="87"/>
      <c r="FK91" s="107"/>
      <c r="FL91" s="108"/>
      <c r="FM91" s="87"/>
      <c r="FN91" s="107"/>
      <c r="FO91" s="108"/>
      <c r="FP91" s="87"/>
      <c r="FQ91" s="107"/>
      <c r="FR91" s="108"/>
      <c r="FS91" s="87"/>
      <c r="FT91" s="107"/>
      <c r="FU91" s="108"/>
      <c r="FV91" s="87"/>
      <c r="FW91" s="107"/>
      <c r="FX91" s="108"/>
      <c r="FY91" s="87"/>
      <c r="FZ91" s="107"/>
      <c r="GA91" s="108"/>
      <c r="GB91" s="87"/>
      <c r="GC91" s="107"/>
      <c r="GD91" s="108"/>
      <c r="GE91" s="87"/>
      <c r="GF91" s="107"/>
      <c r="GG91" s="108"/>
      <c r="GH91" s="87"/>
      <c r="GI91" s="107"/>
      <c r="GJ91" s="108"/>
      <c r="GK91" s="87"/>
      <c r="GL91" s="107"/>
      <c r="GM91" s="108"/>
      <c r="GN91" s="87"/>
      <c r="GO91" s="107"/>
      <c r="GP91" s="108"/>
      <c r="GQ91" s="87"/>
      <c r="GR91" s="107"/>
      <c r="GS91" s="108"/>
      <c r="GT91" s="87"/>
      <c r="GU91" s="107"/>
      <c r="GV91" s="108"/>
      <c r="GW91" s="87"/>
      <c r="GX91" s="107"/>
      <c r="GY91" s="108"/>
      <c r="GZ91" s="87"/>
      <c r="HA91" s="107"/>
      <c r="HB91" s="108"/>
      <c r="HC91" s="87"/>
      <c r="HD91" s="107"/>
      <c r="HE91" s="108"/>
      <c r="HF91" s="87"/>
      <c r="HG91" s="107"/>
      <c r="HH91" s="108"/>
      <c r="HI91" s="87"/>
      <c r="HJ91" s="107"/>
      <c r="HK91" s="108"/>
    </row>
    <row r="92" ht="14.25" customHeight="1" spans="1:227">
      <c r="A92" s="82"/>
      <c r="B92" s="178"/>
      <c r="C92" s="148"/>
      <c r="D92" s="148"/>
      <c r="E92" s="107"/>
      <c r="F92" s="108"/>
      <c r="G92" s="87"/>
      <c r="H92" s="107"/>
      <c r="I92" s="108"/>
      <c r="J92" s="87"/>
      <c r="K92" s="107"/>
      <c r="L92" s="108"/>
      <c r="M92" s="87"/>
      <c r="N92" s="107"/>
      <c r="O92" s="108"/>
      <c r="P92" s="87"/>
      <c r="Q92" s="107"/>
      <c r="R92" s="108"/>
      <c r="S92" s="87"/>
      <c r="T92" s="107"/>
      <c r="U92" s="108"/>
      <c r="V92" s="87"/>
      <c r="W92" s="107"/>
      <c r="X92" s="108"/>
      <c r="Y92" s="87"/>
      <c r="Z92" s="107"/>
      <c r="AA92" s="108"/>
      <c r="AB92" s="87"/>
      <c r="AC92" s="107"/>
      <c r="AD92" s="108"/>
      <c r="AE92" s="87"/>
      <c r="AF92" s="107"/>
      <c r="AG92" s="108"/>
      <c r="AH92" s="87"/>
      <c r="AI92" s="107"/>
      <c r="AJ92" s="108"/>
      <c r="AK92" s="87"/>
      <c r="AL92" s="107"/>
      <c r="AM92" s="108"/>
      <c r="AN92" s="87"/>
      <c r="AO92" s="107"/>
      <c r="AP92" s="108"/>
      <c r="AQ92" s="87"/>
      <c r="AR92" s="107"/>
      <c r="AS92" s="108"/>
      <c r="AT92" s="87"/>
      <c r="AU92" s="107"/>
      <c r="AV92" s="108"/>
      <c r="AW92" s="87"/>
      <c r="AX92" s="107"/>
      <c r="AY92" s="108"/>
      <c r="AZ92" s="87"/>
      <c r="BA92" s="107"/>
      <c r="BB92" s="108"/>
      <c r="BC92" s="87"/>
      <c r="BD92" s="107"/>
      <c r="BE92" s="108"/>
      <c r="BF92" s="87"/>
      <c r="BG92" s="107"/>
      <c r="BH92" s="108"/>
      <c r="BI92" s="87"/>
      <c r="BJ92" s="107"/>
      <c r="BK92" s="108"/>
      <c r="BL92" s="87"/>
      <c r="BM92" s="107"/>
      <c r="BN92" s="108"/>
      <c r="BO92" s="87"/>
      <c r="BP92" s="107"/>
      <c r="BQ92" s="108"/>
      <c r="BR92" s="87"/>
      <c r="BS92" s="107"/>
      <c r="BT92" s="108"/>
      <c r="BU92" s="87"/>
      <c r="BV92" s="107"/>
      <c r="BW92" s="108"/>
      <c r="BX92" s="87"/>
      <c r="BY92" s="107"/>
      <c r="BZ92" s="108"/>
      <c r="CA92" s="87"/>
      <c r="CB92" s="107"/>
      <c r="CC92" s="108"/>
      <c r="CD92" s="87"/>
      <c r="CE92" s="107"/>
      <c r="CF92" s="108"/>
      <c r="CG92" s="87"/>
      <c r="CH92" s="107"/>
      <c r="CI92" s="108"/>
      <c r="CJ92" s="87"/>
      <c r="CK92" s="107"/>
      <c r="CL92" s="108"/>
      <c r="CM92" s="87"/>
      <c r="CN92" s="107"/>
      <c r="CO92" s="108"/>
      <c r="CP92" s="87"/>
      <c r="CQ92" s="107"/>
      <c r="CR92" s="108"/>
      <c r="CS92" s="87"/>
      <c r="CT92" s="107"/>
      <c r="CU92" s="108"/>
      <c r="CV92" s="87"/>
      <c r="CW92" s="107"/>
      <c r="CX92" s="108"/>
      <c r="CY92" s="87"/>
      <c r="CZ92" s="107"/>
      <c r="DA92" s="108"/>
      <c r="DB92" s="87"/>
      <c r="DC92" s="107"/>
      <c r="DD92" s="108"/>
      <c r="DE92" s="87"/>
      <c r="DF92" s="107"/>
      <c r="DG92" s="108"/>
      <c r="DH92" s="87"/>
      <c r="DI92" s="107"/>
      <c r="DJ92" s="108"/>
      <c r="DK92" s="87"/>
      <c r="DL92" s="107"/>
      <c r="DM92" s="108"/>
      <c r="DN92" s="87"/>
      <c r="DO92" s="107"/>
      <c r="DP92" s="108"/>
      <c r="DQ92" s="87"/>
      <c r="DR92" s="107"/>
      <c r="DS92" s="108"/>
      <c r="DT92" s="87"/>
      <c r="DU92" s="107"/>
      <c r="DV92" s="108"/>
      <c r="DW92" s="87"/>
      <c r="DX92" s="107"/>
      <c r="DY92" s="108"/>
      <c r="DZ92" s="87"/>
      <c r="EA92" s="107"/>
      <c r="EB92" s="108"/>
      <c r="EC92" s="87"/>
      <c r="ED92" s="107"/>
      <c r="EE92" s="108"/>
      <c r="EF92" s="87"/>
      <c r="EG92" s="107"/>
      <c r="EH92" s="108"/>
      <c r="EI92" s="87"/>
      <c r="EJ92" s="107"/>
      <c r="EK92" s="108"/>
      <c r="EL92" s="87"/>
      <c r="EM92" s="107"/>
      <c r="EN92" s="108"/>
      <c r="EO92" s="87"/>
      <c r="EP92" s="107"/>
      <c r="EQ92" s="108"/>
      <c r="ER92" s="87"/>
      <c r="ES92" s="107"/>
      <c r="ET92" s="108"/>
      <c r="EU92" s="87"/>
      <c r="EV92" s="107"/>
      <c r="EW92" s="108"/>
      <c r="EX92" s="87"/>
      <c r="EY92" s="107"/>
      <c r="EZ92" s="108"/>
      <c r="FA92" s="87"/>
      <c r="FB92" s="107"/>
      <c r="FC92" s="108"/>
      <c r="FD92" s="87"/>
      <c r="FE92" s="107"/>
      <c r="FF92" s="108"/>
      <c r="FG92" s="87"/>
      <c r="FH92" s="107"/>
      <c r="FI92" s="108"/>
      <c r="FJ92" s="87"/>
      <c r="FK92" s="107"/>
      <c r="FL92" s="108"/>
      <c r="FM92" s="87"/>
      <c r="FN92" s="107"/>
      <c r="FO92" s="108"/>
      <c r="FP92" s="87"/>
      <c r="FQ92" s="107"/>
      <c r="FR92" s="108"/>
      <c r="FS92" s="87"/>
      <c r="FT92" s="107"/>
      <c r="FU92" s="108"/>
      <c r="FV92" s="87"/>
      <c r="FW92" s="107"/>
      <c r="FX92" s="108"/>
      <c r="FY92" s="87"/>
      <c r="FZ92" s="107"/>
      <c r="GA92" s="108"/>
      <c r="GB92" s="87"/>
      <c r="GC92" s="107"/>
      <c r="GD92" s="108"/>
      <c r="GE92" s="87"/>
      <c r="GF92" s="107"/>
      <c r="GG92" s="108"/>
      <c r="GH92" s="87"/>
      <c r="GI92" s="107"/>
      <c r="GJ92" s="108"/>
      <c r="GK92" s="87"/>
      <c r="GL92" s="107"/>
      <c r="GM92" s="108"/>
      <c r="GN92" s="87"/>
      <c r="GO92" s="107"/>
      <c r="GP92" s="108"/>
      <c r="GQ92" s="87"/>
      <c r="GR92" s="107"/>
      <c r="GS92" s="108"/>
      <c r="GT92" s="87"/>
      <c r="GU92" s="107"/>
      <c r="GV92" s="108"/>
      <c r="GW92" s="87"/>
      <c r="GX92" s="107"/>
      <c r="GY92" s="108"/>
      <c r="GZ92" s="87"/>
      <c r="HA92" s="107"/>
      <c r="HB92" s="108"/>
      <c r="HC92" s="87"/>
      <c r="HD92" s="107"/>
      <c r="HE92" s="108"/>
      <c r="HF92" s="87"/>
      <c r="HG92" s="107"/>
      <c r="HH92" s="108"/>
      <c r="HI92" s="87"/>
      <c r="HJ92" s="107"/>
      <c r="HK92" s="108"/>
    </row>
    <row r="93" ht="14.25" customHeight="1" spans="1:227">
      <c r="A93" s="82"/>
      <c r="B93" s="178"/>
      <c r="C93" s="148"/>
      <c r="D93" s="148"/>
      <c r="E93" s="107"/>
      <c r="F93" s="108"/>
      <c r="G93" s="87"/>
      <c r="H93" s="107"/>
      <c r="I93" s="108"/>
      <c r="J93" s="87"/>
      <c r="K93" s="107"/>
      <c r="L93" s="108"/>
      <c r="M93" s="87"/>
      <c r="N93" s="107"/>
      <c r="O93" s="108"/>
      <c r="P93" s="87"/>
      <c r="Q93" s="107"/>
      <c r="R93" s="108"/>
      <c r="S93" s="87"/>
      <c r="T93" s="107"/>
      <c r="U93" s="108"/>
      <c r="V93" s="87"/>
      <c r="W93" s="107"/>
      <c r="X93" s="108"/>
      <c r="Y93" s="87"/>
      <c r="Z93" s="107"/>
      <c r="AA93" s="108"/>
      <c r="AB93" s="87"/>
      <c r="AC93" s="107"/>
      <c r="AD93" s="108"/>
      <c r="AE93" s="87"/>
      <c r="AF93" s="107"/>
      <c r="AG93" s="108"/>
      <c r="AH93" s="87"/>
      <c r="AI93" s="107"/>
      <c r="AJ93" s="108"/>
      <c r="AK93" s="87"/>
      <c r="AL93" s="107"/>
      <c r="AM93" s="108"/>
      <c r="AN93" s="87"/>
      <c r="AO93" s="107"/>
      <c r="AP93" s="108"/>
      <c r="AQ93" s="87"/>
      <c r="AR93" s="107"/>
      <c r="AS93" s="108"/>
      <c r="AT93" s="87"/>
      <c r="AU93" s="107"/>
      <c r="AV93" s="108"/>
      <c r="AW93" s="87"/>
      <c r="AX93" s="107"/>
      <c r="AY93" s="108"/>
      <c r="AZ93" s="87"/>
      <c r="BA93" s="107"/>
      <c r="BB93" s="108"/>
      <c r="BC93" s="87"/>
      <c r="BD93" s="107"/>
      <c r="BE93" s="108"/>
      <c r="BF93" s="87"/>
      <c r="BG93" s="107"/>
      <c r="BH93" s="108"/>
      <c r="BI93" s="87"/>
      <c r="BJ93" s="107"/>
      <c r="BK93" s="108"/>
      <c r="BL93" s="87"/>
      <c r="BM93" s="107"/>
      <c r="BN93" s="108"/>
      <c r="BO93" s="87"/>
      <c r="BP93" s="107"/>
      <c r="BQ93" s="108"/>
      <c r="BR93" s="87"/>
      <c r="BS93" s="107"/>
      <c r="BT93" s="108"/>
      <c r="BU93" s="87"/>
      <c r="BV93" s="107"/>
      <c r="BW93" s="108"/>
      <c r="BX93" s="87"/>
      <c r="BY93" s="107"/>
      <c r="BZ93" s="108"/>
      <c r="CA93" s="87"/>
      <c r="CB93" s="107"/>
      <c r="CC93" s="108"/>
      <c r="CD93" s="87"/>
      <c r="CE93" s="107"/>
      <c r="CF93" s="108"/>
      <c r="CG93" s="87"/>
      <c r="CH93" s="107"/>
      <c r="CI93" s="108"/>
      <c r="CJ93" s="87"/>
      <c r="CK93" s="107"/>
      <c r="CL93" s="108"/>
      <c r="CM93" s="87"/>
      <c r="CN93" s="107"/>
      <c r="CO93" s="108"/>
      <c r="CP93" s="87"/>
      <c r="CQ93" s="107"/>
      <c r="CR93" s="108"/>
      <c r="CS93" s="87"/>
      <c r="CT93" s="107"/>
      <c r="CU93" s="108"/>
      <c r="CV93" s="87"/>
      <c r="CW93" s="107"/>
      <c r="CX93" s="108"/>
      <c r="CY93" s="87"/>
      <c r="CZ93" s="107"/>
      <c r="DA93" s="108"/>
      <c r="DB93" s="87"/>
      <c r="DC93" s="107"/>
      <c r="DD93" s="108"/>
      <c r="DE93" s="87"/>
      <c r="DF93" s="107"/>
      <c r="DG93" s="108"/>
      <c r="DH93" s="87"/>
      <c r="DI93" s="107"/>
      <c r="DJ93" s="108"/>
      <c r="DK93" s="87"/>
      <c r="DL93" s="107"/>
      <c r="DM93" s="108"/>
      <c r="DN93" s="87"/>
      <c r="DO93" s="107"/>
      <c r="DP93" s="108"/>
      <c r="DQ93" s="87"/>
      <c r="DR93" s="107"/>
      <c r="DS93" s="108"/>
      <c r="DT93" s="87"/>
      <c r="DU93" s="107"/>
      <c r="DV93" s="108"/>
      <c r="DW93" s="87"/>
      <c r="DX93" s="107"/>
      <c r="DY93" s="108"/>
      <c r="DZ93" s="87"/>
      <c r="EA93" s="107"/>
      <c r="EB93" s="108"/>
      <c r="EC93" s="87"/>
      <c r="ED93" s="107"/>
      <c r="EE93" s="108"/>
      <c r="EF93" s="87"/>
      <c r="EG93" s="107"/>
      <c r="EH93" s="108"/>
      <c r="EI93" s="87"/>
      <c r="EJ93" s="107"/>
      <c r="EK93" s="108"/>
      <c r="EL93" s="87"/>
      <c r="EM93" s="107"/>
      <c r="EN93" s="108"/>
      <c r="EO93" s="87"/>
      <c r="EP93" s="107"/>
      <c r="EQ93" s="108"/>
      <c r="ER93" s="87"/>
      <c r="ES93" s="107"/>
      <c r="ET93" s="108"/>
      <c r="EU93" s="87"/>
      <c r="EV93" s="107"/>
      <c r="EW93" s="108"/>
      <c r="EX93" s="87"/>
      <c r="EY93" s="107"/>
      <c r="EZ93" s="108"/>
      <c r="FA93" s="87"/>
      <c r="FB93" s="107"/>
      <c r="FC93" s="108"/>
      <c r="FD93" s="87"/>
      <c r="FE93" s="107"/>
      <c r="FF93" s="108"/>
      <c r="FG93" s="87"/>
      <c r="FH93" s="107"/>
      <c r="FI93" s="108"/>
      <c r="FJ93" s="87"/>
      <c r="FK93" s="107"/>
      <c r="FL93" s="108"/>
      <c r="FM93" s="87"/>
      <c r="FN93" s="107"/>
      <c r="FO93" s="108"/>
      <c r="FP93" s="87"/>
      <c r="FQ93" s="107"/>
      <c r="FR93" s="108"/>
      <c r="FS93" s="87"/>
      <c r="FT93" s="107"/>
      <c r="FU93" s="108"/>
      <c r="FV93" s="87"/>
      <c r="FW93" s="107"/>
      <c r="FX93" s="108"/>
      <c r="FY93" s="87"/>
      <c r="FZ93" s="107"/>
      <c r="GA93" s="108"/>
      <c r="GB93" s="87"/>
      <c r="GC93" s="107"/>
      <c r="GD93" s="108"/>
      <c r="GE93" s="87"/>
      <c r="GF93" s="107"/>
      <c r="GG93" s="108"/>
      <c r="GH93" s="87"/>
      <c r="GI93" s="107"/>
      <c r="GJ93" s="108"/>
      <c r="GK93" s="87"/>
      <c r="GL93" s="107"/>
      <c r="GM93" s="108"/>
      <c r="GN93" s="87"/>
      <c r="GO93" s="107"/>
      <c r="GP93" s="108"/>
      <c r="GQ93" s="87"/>
      <c r="GR93" s="107"/>
      <c r="GS93" s="108"/>
      <c r="GT93" s="87"/>
      <c r="GU93" s="107"/>
      <c r="GV93" s="108"/>
      <c r="GW93" s="87"/>
      <c r="GX93" s="107"/>
      <c r="GY93" s="108"/>
      <c r="GZ93" s="87"/>
      <c r="HA93" s="107"/>
      <c r="HB93" s="108"/>
      <c r="HC93" s="87"/>
      <c r="HD93" s="107"/>
      <c r="HE93" s="108"/>
      <c r="HF93" s="87"/>
      <c r="HG93" s="107"/>
      <c r="HH93" s="108"/>
      <c r="HI93" s="87"/>
      <c r="HJ93" s="107"/>
      <c r="HK93" s="108"/>
    </row>
    <row r="94" ht="14.25" customHeight="1" spans="1:227">
      <c r="A94" s="82"/>
      <c r="B94" s="178"/>
      <c r="C94" s="148"/>
      <c r="D94" s="148"/>
      <c r="E94" s="107"/>
      <c r="F94" s="108"/>
      <c r="G94" s="87"/>
      <c r="H94" s="107"/>
      <c r="I94" s="108"/>
      <c r="J94" s="87"/>
      <c r="K94" s="107"/>
      <c r="L94" s="108"/>
      <c r="M94" s="87"/>
      <c r="N94" s="107"/>
      <c r="O94" s="108"/>
      <c r="P94" s="87"/>
      <c r="Q94" s="107"/>
      <c r="R94" s="108"/>
      <c r="S94" s="87"/>
      <c r="T94" s="107"/>
      <c r="U94" s="108"/>
      <c r="V94" s="87"/>
      <c r="W94" s="107"/>
      <c r="X94" s="108"/>
      <c r="Y94" s="87"/>
      <c r="Z94" s="107"/>
      <c r="AA94" s="108"/>
      <c r="AB94" s="87"/>
      <c r="AC94" s="107"/>
      <c r="AD94" s="108"/>
      <c r="AE94" s="87"/>
      <c r="AF94" s="107"/>
      <c r="AG94" s="108"/>
      <c r="AH94" s="87"/>
      <c r="AI94" s="107"/>
      <c r="AJ94" s="108"/>
      <c r="AK94" s="87"/>
      <c r="AL94" s="107"/>
      <c r="AM94" s="108"/>
      <c r="AN94" s="87"/>
      <c r="AO94" s="107"/>
      <c r="AP94" s="108"/>
      <c r="AQ94" s="87"/>
      <c r="AR94" s="107"/>
      <c r="AS94" s="108"/>
      <c r="AT94" s="87"/>
      <c r="AU94" s="107"/>
      <c r="AV94" s="108"/>
      <c r="AW94" s="87"/>
      <c r="AX94" s="107"/>
      <c r="AY94" s="108"/>
      <c r="AZ94" s="87"/>
      <c r="BA94" s="107"/>
      <c r="BB94" s="108"/>
      <c r="BC94" s="87"/>
      <c r="BD94" s="107"/>
      <c r="BE94" s="108"/>
      <c r="BF94" s="87"/>
      <c r="BG94" s="107"/>
      <c r="BH94" s="108"/>
      <c r="BI94" s="87"/>
      <c r="BJ94" s="107"/>
      <c r="BK94" s="108"/>
      <c r="BL94" s="87"/>
      <c r="BM94" s="107"/>
      <c r="BN94" s="108"/>
      <c r="BO94" s="87"/>
      <c r="BP94" s="107"/>
      <c r="BQ94" s="108"/>
      <c r="BR94" s="87"/>
      <c r="BS94" s="107"/>
      <c r="BT94" s="108"/>
      <c r="BU94" s="87"/>
      <c r="BV94" s="107"/>
      <c r="BW94" s="108"/>
      <c r="BX94" s="87"/>
      <c r="BY94" s="107"/>
      <c r="BZ94" s="108"/>
      <c r="CA94" s="87"/>
      <c r="CB94" s="107"/>
      <c r="CC94" s="108"/>
      <c r="CD94" s="87"/>
      <c r="CE94" s="107"/>
      <c r="CF94" s="108"/>
      <c r="CG94" s="87"/>
      <c r="CH94" s="107"/>
      <c r="CI94" s="108"/>
      <c r="CJ94" s="87"/>
      <c r="CK94" s="107"/>
      <c r="CL94" s="108"/>
      <c r="CM94" s="87"/>
      <c r="CN94" s="107"/>
      <c r="CO94" s="108"/>
      <c r="CP94" s="87"/>
      <c r="CQ94" s="107"/>
      <c r="CR94" s="108"/>
      <c r="CS94" s="87"/>
      <c r="CT94" s="107"/>
      <c r="CU94" s="108"/>
      <c r="CV94" s="87"/>
      <c r="CW94" s="107"/>
      <c r="CX94" s="108"/>
      <c r="CY94" s="87"/>
      <c r="CZ94" s="107"/>
      <c r="DA94" s="108"/>
      <c r="DB94" s="87"/>
      <c r="DC94" s="107"/>
      <c r="DD94" s="108"/>
      <c r="DE94" s="87"/>
      <c r="DF94" s="107"/>
      <c r="DG94" s="108"/>
      <c r="DH94" s="87"/>
      <c r="DI94" s="107"/>
      <c r="DJ94" s="108"/>
      <c r="DK94" s="87"/>
      <c r="DL94" s="107"/>
      <c r="DM94" s="108"/>
      <c r="DN94" s="87"/>
      <c r="DO94" s="107"/>
      <c r="DP94" s="108"/>
      <c r="DQ94" s="87"/>
      <c r="DR94" s="107"/>
      <c r="DS94" s="108"/>
      <c r="DT94" s="87"/>
      <c r="DU94" s="107"/>
      <c r="DV94" s="108"/>
      <c r="DW94" s="87"/>
      <c r="DX94" s="107"/>
      <c r="DY94" s="108"/>
      <c r="DZ94" s="87"/>
      <c r="EA94" s="107"/>
      <c r="EB94" s="108"/>
      <c r="EC94" s="87"/>
      <c r="ED94" s="107"/>
      <c r="EE94" s="108"/>
      <c r="EF94" s="87"/>
      <c r="EG94" s="107"/>
      <c r="EH94" s="108"/>
      <c r="EI94" s="87"/>
      <c r="EJ94" s="107"/>
      <c r="EK94" s="108"/>
      <c r="EL94" s="87"/>
      <c r="EM94" s="107"/>
      <c r="EN94" s="108"/>
      <c r="EO94" s="87"/>
      <c r="EP94" s="107"/>
      <c r="EQ94" s="108"/>
      <c r="ER94" s="87"/>
      <c r="ES94" s="107"/>
      <c r="ET94" s="108"/>
      <c r="EU94" s="87"/>
      <c r="EV94" s="107"/>
      <c r="EW94" s="108"/>
      <c r="EX94" s="87"/>
      <c r="EY94" s="107"/>
      <c r="EZ94" s="108"/>
      <c r="FA94" s="87"/>
      <c r="FB94" s="107"/>
      <c r="FC94" s="108"/>
      <c r="FD94" s="87"/>
      <c r="FE94" s="107"/>
      <c r="FF94" s="108"/>
      <c r="FG94" s="87"/>
      <c r="FH94" s="107"/>
      <c r="FI94" s="108"/>
      <c r="FJ94" s="87"/>
      <c r="FK94" s="107"/>
      <c r="FL94" s="108"/>
      <c r="FM94" s="87"/>
      <c r="FN94" s="107"/>
      <c r="FO94" s="108"/>
      <c r="FP94" s="87"/>
      <c r="FQ94" s="107"/>
      <c r="FR94" s="108"/>
      <c r="FS94" s="87"/>
      <c r="FT94" s="107"/>
      <c r="FU94" s="108"/>
      <c r="FV94" s="87"/>
      <c r="FW94" s="107"/>
      <c r="FX94" s="108"/>
      <c r="FY94" s="87"/>
      <c r="FZ94" s="107"/>
      <c r="GA94" s="108"/>
      <c r="GB94" s="87"/>
      <c r="GC94" s="107"/>
      <c r="GD94" s="108"/>
      <c r="GE94" s="87"/>
      <c r="GF94" s="107"/>
      <c r="GG94" s="108"/>
      <c r="GH94" s="87"/>
      <c r="GI94" s="107"/>
      <c r="GJ94" s="108"/>
      <c r="GK94" s="87"/>
      <c r="GL94" s="107"/>
      <c r="GM94" s="108"/>
      <c r="GN94" s="87"/>
      <c r="GO94" s="107"/>
      <c r="GP94" s="108"/>
      <c r="GQ94" s="87"/>
      <c r="GR94" s="107"/>
      <c r="GS94" s="108"/>
      <c r="GT94" s="87"/>
      <c r="GU94" s="107"/>
      <c r="GV94" s="108"/>
      <c r="GW94" s="87"/>
      <c r="GX94" s="107"/>
      <c r="GY94" s="108"/>
      <c r="GZ94" s="87"/>
      <c r="HA94" s="107"/>
      <c r="HB94" s="108"/>
      <c r="HC94" s="87"/>
      <c r="HD94" s="107"/>
      <c r="HE94" s="108"/>
      <c r="HF94" s="87"/>
      <c r="HG94" s="107"/>
      <c r="HH94" s="108"/>
      <c r="HI94" s="87"/>
      <c r="HJ94" s="107"/>
      <c r="HK94" s="108"/>
    </row>
    <row r="95" ht="14.25" customHeight="1" spans="1:227">
      <c r="A95" s="82"/>
      <c r="B95" s="178"/>
      <c r="C95" s="148"/>
      <c r="D95" s="148"/>
      <c r="E95" s="107"/>
      <c r="F95" s="108"/>
      <c r="G95" s="87"/>
      <c r="H95" s="107"/>
      <c r="I95" s="108"/>
      <c r="J95" s="87"/>
      <c r="K95" s="107"/>
      <c r="L95" s="108"/>
      <c r="M95" s="87"/>
      <c r="N95" s="107"/>
      <c r="O95" s="108"/>
      <c r="P95" s="87"/>
      <c r="Q95" s="107"/>
      <c r="R95" s="108"/>
      <c r="S95" s="87"/>
      <c r="T95" s="107"/>
      <c r="U95" s="108"/>
      <c r="V95" s="87"/>
      <c r="W95" s="107"/>
      <c r="X95" s="108"/>
      <c r="Y95" s="87"/>
      <c r="Z95" s="107"/>
      <c r="AA95" s="108"/>
      <c r="AB95" s="87"/>
      <c r="AC95" s="107"/>
      <c r="AD95" s="108"/>
      <c r="AE95" s="87"/>
      <c r="AF95" s="107"/>
      <c r="AG95" s="108"/>
      <c r="AH95" s="87"/>
      <c r="AI95" s="107"/>
      <c r="AJ95" s="108"/>
      <c r="AK95" s="87"/>
      <c r="AL95" s="107"/>
      <c r="AM95" s="108"/>
      <c r="AN95" s="87"/>
      <c r="AO95" s="107"/>
      <c r="AP95" s="108"/>
      <c r="AQ95" s="87"/>
      <c r="AR95" s="107"/>
      <c r="AS95" s="108"/>
      <c r="AT95" s="87"/>
      <c r="AU95" s="107"/>
      <c r="AV95" s="108"/>
      <c r="AW95" s="87"/>
      <c r="AX95" s="107"/>
      <c r="AY95" s="108"/>
      <c r="AZ95" s="87"/>
      <c r="BA95" s="107"/>
      <c r="BB95" s="108"/>
      <c r="BC95" s="87"/>
      <c r="BD95" s="107"/>
      <c r="BE95" s="108"/>
      <c r="BF95" s="87"/>
      <c r="BG95" s="107"/>
      <c r="BH95" s="108"/>
      <c r="BI95" s="87"/>
      <c r="BJ95" s="107"/>
      <c r="BK95" s="108"/>
      <c r="BL95" s="87"/>
      <c r="BM95" s="107"/>
      <c r="BN95" s="108"/>
      <c r="BO95" s="87"/>
      <c r="BP95" s="107"/>
      <c r="BQ95" s="108"/>
      <c r="BR95" s="87"/>
      <c r="BS95" s="107"/>
      <c r="BT95" s="108"/>
      <c r="BU95" s="87"/>
      <c r="BV95" s="107"/>
      <c r="BW95" s="108"/>
      <c r="BX95" s="87"/>
      <c r="BY95" s="107"/>
      <c r="BZ95" s="108"/>
      <c r="CA95" s="87"/>
      <c r="CB95" s="107"/>
      <c r="CC95" s="108"/>
      <c r="CD95" s="87"/>
      <c r="CE95" s="107"/>
      <c r="CF95" s="108"/>
      <c r="CG95" s="87"/>
      <c r="CH95" s="107"/>
      <c r="CI95" s="108"/>
      <c r="CJ95" s="87"/>
      <c r="CK95" s="107"/>
      <c r="CL95" s="108"/>
      <c r="CM95" s="87"/>
      <c r="CN95" s="107"/>
      <c r="CO95" s="108"/>
      <c r="CP95" s="87"/>
      <c r="CQ95" s="107"/>
      <c r="CR95" s="108"/>
      <c r="CS95" s="87"/>
      <c r="CT95" s="107"/>
      <c r="CU95" s="108"/>
      <c r="CV95" s="87"/>
      <c r="CW95" s="107"/>
      <c r="CX95" s="108"/>
      <c r="CY95" s="87"/>
      <c r="CZ95" s="107"/>
      <c r="DA95" s="108"/>
      <c r="DB95" s="87"/>
      <c r="DC95" s="107"/>
      <c r="DD95" s="108"/>
      <c r="DE95" s="87"/>
      <c r="DF95" s="107"/>
      <c r="DG95" s="108"/>
      <c r="DH95" s="87"/>
      <c r="DI95" s="107"/>
      <c r="DJ95" s="108"/>
      <c r="DK95" s="87"/>
      <c r="DL95" s="107"/>
      <c r="DM95" s="108"/>
      <c r="DN95" s="87"/>
      <c r="DO95" s="107"/>
      <c r="DP95" s="108"/>
      <c r="DQ95" s="87"/>
      <c r="DR95" s="107"/>
      <c r="DS95" s="108"/>
      <c r="DT95" s="87"/>
      <c r="DU95" s="107"/>
      <c r="DV95" s="108"/>
      <c r="DW95" s="87"/>
      <c r="DX95" s="107"/>
      <c r="DY95" s="108"/>
      <c r="DZ95" s="87"/>
      <c r="EA95" s="107"/>
      <c r="EB95" s="108"/>
      <c r="EC95" s="87"/>
      <c r="ED95" s="107"/>
      <c r="EE95" s="108"/>
      <c r="EF95" s="87"/>
      <c r="EG95" s="107"/>
      <c r="EH95" s="108"/>
      <c r="EI95" s="87"/>
      <c r="EJ95" s="107"/>
      <c r="EK95" s="108"/>
      <c r="EL95" s="87"/>
      <c r="EM95" s="107"/>
      <c r="EN95" s="108"/>
      <c r="EO95" s="87"/>
      <c r="EP95" s="107"/>
      <c r="EQ95" s="108"/>
      <c r="ER95" s="87"/>
      <c r="ES95" s="107"/>
      <c r="ET95" s="108"/>
      <c r="EU95" s="87"/>
      <c r="EV95" s="107"/>
      <c r="EW95" s="108"/>
      <c r="EX95" s="87"/>
      <c r="EY95" s="107"/>
      <c r="EZ95" s="108"/>
      <c r="FA95" s="87"/>
      <c r="FB95" s="107"/>
      <c r="FC95" s="108"/>
      <c r="FD95" s="87"/>
      <c r="FE95" s="107"/>
      <c r="FF95" s="108"/>
      <c r="FG95" s="87"/>
      <c r="FH95" s="107"/>
      <c r="FI95" s="108"/>
      <c r="FJ95" s="87"/>
      <c r="FK95" s="107"/>
      <c r="FL95" s="108"/>
      <c r="FM95" s="87"/>
      <c r="FN95" s="107"/>
      <c r="FO95" s="108"/>
      <c r="FP95" s="87"/>
      <c r="FQ95" s="107"/>
      <c r="FR95" s="108"/>
      <c r="FS95" s="87"/>
      <c r="FT95" s="107"/>
      <c r="FU95" s="108"/>
      <c r="FV95" s="87"/>
      <c r="FW95" s="107"/>
      <c r="FX95" s="108"/>
      <c r="FY95" s="87"/>
      <c r="FZ95" s="107"/>
      <c r="GA95" s="108"/>
      <c r="GB95" s="87"/>
      <c r="GC95" s="107"/>
      <c r="GD95" s="108"/>
      <c r="GE95" s="87"/>
      <c r="GF95" s="107"/>
      <c r="GG95" s="108"/>
      <c r="GH95" s="87"/>
      <c r="GI95" s="107"/>
      <c r="GJ95" s="108"/>
      <c r="GK95" s="87"/>
      <c r="GL95" s="107"/>
      <c r="GM95" s="108"/>
      <c r="GN95" s="87"/>
      <c r="GO95" s="107"/>
      <c r="GP95" s="108"/>
      <c r="GQ95" s="87"/>
      <c r="GR95" s="107"/>
      <c r="GS95" s="108"/>
      <c r="GT95" s="87"/>
      <c r="GU95" s="107"/>
      <c r="GV95" s="108"/>
      <c r="GW95" s="87"/>
      <c r="GX95" s="107"/>
      <c r="GY95" s="108"/>
      <c r="GZ95" s="87"/>
      <c r="HA95" s="107"/>
      <c r="HB95" s="108"/>
      <c r="HC95" s="87"/>
      <c r="HD95" s="107"/>
      <c r="HE95" s="108"/>
      <c r="HF95" s="87"/>
      <c r="HG95" s="107"/>
      <c r="HH95" s="108"/>
      <c r="HI95" s="87"/>
      <c r="HJ95" s="107"/>
      <c r="HK95" s="108"/>
    </row>
    <row r="96" ht="14.25" customHeight="1" spans="1:227">
      <c r="A96" s="82"/>
      <c r="B96" s="178"/>
      <c r="C96" s="148"/>
      <c r="D96" s="148"/>
      <c r="E96" s="107"/>
      <c r="F96" s="108"/>
      <c r="G96" s="87"/>
      <c r="H96" s="107"/>
      <c r="I96" s="108"/>
      <c r="J96" s="87"/>
      <c r="K96" s="107"/>
      <c r="L96" s="108"/>
      <c r="M96" s="87"/>
      <c r="N96" s="107"/>
      <c r="O96" s="108"/>
      <c r="P96" s="87"/>
      <c r="Q96" s="107"/>
      <c r="R96" s="108"/>
      <c r="S96" s="87"/>
      <c r="T96" s="107"/>
      <c r="U96" s="108"/>
      <c r="V96" s="87"/>
      <c r="W96" s="107"/>
      <c r="X96" s="108"/>
      <c r="Y96" s="87"/>
      <c r="Z96" s="107"/>
      <c r="AA96" s="108"/>
      <c r="AB96" s="87"/>
      <c r="AC96" s="107"/>
      <c r="AD96" s="108"/>
      <c r="AE96" s="87"/>
      <c r="AF96" s="107"/>
      <c r="AG96" s="108"/>
      <c r="AH96" s="87"/>
      <c r="AI96" s="107"/>
      <c r="AJ96" s="108"/>
      <c r="AK96" s="87"/>
      <c r="AL96" s="107"/>
      <c r="AM96" s="108"/>
      <c r="AN96" s="87"/>
      <c r="AO96" s="107"/>
      <c r="AP96" s="108"/>
      <c r="AQ96" s="87"/>
      <c r="AR96" s="107"/>
      <c r="AS96" s="108"/>
      <c r="AT96" s="87"/>
      <c r="AU96" s="107"/>
      <c r="AV96" s="108"/>
      <c r="AW96" s="87"/>
      <c r="AX96" s="107"/>
      <c r="AY96" s="108"/>
      <c r="AZ96" s="87"/>
      <c r="BA96" s="107"/>
      <c r="BB96" s="108"/>
      <c r="BC96" s="87"/>
      <c r="BD96" s="107"/>
      <c r="BE96" s="108"/>
      <c r="BF96" s="87"/>
      <c r="BG96" s="107"/>
      <c r="BH96" s="108"/>
      <c r="BI96" s="87"/>
      <c r="BJ96" s="107"/>
      <c r="BK96" s="108"/>
      <c r="BL96" s="87"/>
      <c r="BM96" s="107"/>
      <c r="BN96" s="108"/>
      <c r="BO96" s="87"/>
      <c r="BP96" s="107"/>
      <c r="BQ96" s="108"/>
      <c r="BR96" s="87"/>
      <c r="BS96" s="107"/>
      <c r="BT96" s="108"/>
      <c r="BU96" s="87"/>
      <c r="BV96" s="107"/>
      <c r="BW96" s="108"/>
      <c r="BX96" s="87"/>
      <c r="BY96" s="107"/>
      <c r="BZ96" s="108"/>
      <c r="CA96" s="87"/>
      <c r="CB96" s="107"/>
      <c r="CC96" s="108"/>
      <c r="CD96" s="87"/>
      <c r="CE96" s="107"/>
      <c r="CF96" s="108"/>
      <c r="CG96" s="87"/>
      <c r="CH96" s="107"/>
      <c r="CI96" s="108"/>
      <c r="CJ96" s="87"/>
      <c r="CK96" s="107"/>
      <c r="CL96" s="108"/>
      <c r="CM96" s="87"/>
      <c r="CN96" s="107"/>
      <c r="CO96" s="108"/>
      <c r="CP96" s="87"/>
      <c r="CQ96" s="107"/>
      <c r="CR96" s="108"/>
      <c r="CS96" s="87"/>
      <c r="CT96" s="107"/>
      <c r="CU96" s="108"/>
      <c r="CV96" s="87"/>
      <c r="CW96" s="107"/>
      <c r="CX96" s="108"/>
      <c r="CY96" s="87"/>
      <c r="CZ96" s="107"/>
      <c r="DA96" s="108"/>
      <c r="DB96" s="87"/>
      <c r="DC96" s="107"/>
      <c r="DD96" s="108"/>
      <c r="DE96" s="87"/>
      <c r="DF96" s="107"/>
      <c r="DG96" s="108"/>
      <c r="DH96" s="87"/>
      <c r="DI96" s="107"/>
      <c r="DJ96" s="108"/>
      <c r="DK96" s="87"/>
      <c r="DL96" s="107"/>
      <c r="DM96" s="108"/>
      <c r="DN96" s="87"/>
      <c r="DO96" s="107"/>
      <c r="DP96" s="108"/>
      <c r="DQ96" s="87"/>
      <c r="DR96" s="107"/>
      <c r="DS96" s="108"/>
      <c r="DT96" s="87"/>
      <c r="DU96" s="107"/>
      <c r="DV96" s="108"/>
      <c r="DW96" s="87"/>
      <c r="DX96" s="107"/>
      <c r="DY96" s="108"/>
      <c r="DZ96" s="87"/>
      <c r="EA96" s="107"/>
      <c r="EB96" s="108"/>
      <c r="EC96" s="87"/>
      <c r="ED96" s="107"/>
      <c r="EE96" s="108"/>
      <c r="EF96" s="87"/>
      <c r="EG96" s="107"/>
      <c r="EH96" s="108"/>
      <c r="EI96" s="87"/>
      <c r="EJ96" s="107"/>
      <c r="EK96" s="108"/>
      <c r="EL96" s="87"/>
      <c r="EM96" s="107"/>
      <c r="EN96" s="108"/>
      <c r="EO96" s="87"/>
      <c r="EP96" s="107"/>
      <c r="EQ96" s="108"/>
      <c r="ER96" s="87"/>
      <c r="ES96" s="107"/>
      <c r="ET96" s="108"/>
      <c r="EU96" s="87"/>
      <c r="EV96" s="107"/>
      <c r="EW96" s="108"/>
      <c r="EX96" s="87"/>
      <c r="EY96" s="107"/>
      <c r="EZ96" s="108"/>
      <c r="FA96" s="87"/>
      <c r="FB96" s="107"/>
      <c r="FC96" s="108"/>
      <c r="FD96" s="87"/>
      <c r="FE96" s="107"/>
      <c r="FF96" s="108"/>
      <c r="FG96" s="87"/>
      <c r="FH96" s="107"/>
      <c r="FI96" s="108"/>
      <c r="FJ96" s="87"/>
      <c r="FK96" s="107"/>
      <c r="FL96" s="108"/>
      <c r="FM96" s="87"/>
      <c r="FN96" s="107"/>
      <c r="FO96" s="108"/>
      <c r="FP96" s="87"/>
      <c r="FQ96" s="107"/>
      <c r="FR96" s="108"/>
      <c r="FS96" s="87"/>
      <c r="FT96" s="107"/>
      <c r="FU96" s="108"/>
      <c r="FV96" s="87"/>
      <c r="FW96" s="107"/>
      <c r="FX96" s="108"/>
      <c r="FY96" s="87"/>
      <c r="FZ96" s="107"/>
      <c r="GA96" s="108"/>
      <c r="GB96" s="87"/>
      <c r="GC96" s="107"/>
      <c r="GD96" s="108"/>
      <c r="GE96" s="87"/>
      <c r="GF96" s="107"/>
      <c r="GG96" s="108"/>
      <c r="GH96" s="87"/>
      <c r="GI96" s="107"/>
      <c r="GJ96" s="108"/>
      <c r="GK96" s="87"/>
      <c r="GL96" s="107"/>
      <c r="GM96" s="108"/>
      <c r="GN96" s="87"/>
      <c r="GO96" s="107"/>
      <c r="GP96" s="108"/>
      <c r="GQ96" s="87"/>
      <c r="GR96" s="107"/>
      <c r="GS96" s="108"/>
      <c r="GT96" s="87"/>
      <c r="GU96" s="107"/>
      <c r="GV96" s="108"/>
      <c r="GW96" s="87"/>
      <c r="GX96" s="107"/>
      <c r="GY96" s="108"/>
      <c r="GZ96" s="87"/>
      <c r="HA96" s="107"/>
      <c r="HB96" s="108"/>
      <c r="HC96" s="87"/>
      <c r="HD96" s="107"/>
      <c r="HE96" s="108"/>
      <c r="HF96" s="87"/>
      <c r="HG96" s="107"/>
      <c r="HH96" s="108"/>
      <c r="HI96" s="87"/>
      <c r="HJ96" s="107"/>
      <c r="HK96" s="108"/>
    </row>
    <row r="97" ht="14.25" customHeight="1" spans="1:219">
      <c r="A97" s="82"/>
      <c r="B97" s="178"/>
      <c r="C97" s="148"/>
      <c r="D97" s="148"/>
      <c r="E97" s="107"/>
      <c r="F97" s="108"/>
      <c r="G97" s="87"/>
      <c r="H97" s="107"/>
      <c r="I97" s="108"/>
      <c r="J97" s="87"/>
      <c r="K97" s="107"/>
      <c r="L97" s="108"/>
      <c r="M97" s="87"/>
      <c r="N97" s="107"/>
      <c r="O97" s="108"/>
      <c r="P97" s="87"/>
      <c r="Q97" s="107"/>
      <c r="R97" s="108"/>
      <c r="S97" s="87"/>
      <c r="T97" s="107"/>
      <c r="U97" s="108"/>
      <c r="V97" s="87"/>
      <c r="W97" s="107"/>
      <c r="X97" s="108"/>
      <c r="Y97" s="87"/>
      <c r="Z97" s="107"/>
      <c r="AA97" s="108"/>
      <c r="AB97" s="87"/>
      <c r="AC97" s="107"/>
      <c r="AD97" s="108"/>
      <c r="AE97" s="87"/>
      <c r="AF97" s="107"/>
      <c r="AG97" s="108"/>
      <c r="AH97" s="87"/>
      <c r="AI97" s="107"/>
      <c r="AJ97" s="108"/>
      <c r="AK97" s="87"/>
      <c r="AL97" s="107"/>
      <c r="AM97" s="108"/>
      <c r="AN97" s="87"/>
      <c r="AO97" s="107"/>
      <c r="AP97" s="108"/>
      <c r="AQ97" s="87"/>
      <c r="AR97" s="107"/>
      <c r="AS97" s="108"/>
      <c r="AT97" s="87"/>
      <c r="AU97" s="107"/>
      <c r="AV97" s="108"/>
      <c r="AW97" s="87"/>
      <c r="AX97" s="107"/>
      <c r="AY97" s="108"/>
      <c r="AZ97" s="87"/>
      <c r="BA97" s="107"/>
      <c r="BB97" s="108"/>
      <c r="BC97" s="87"/>
      <c r="BD97" s="107"/>
      <c r="BE97" s="108"/>
      <c r="BF97" s="87"/>
      <c r="BG97" s="107"/>
      <c r="BH97" s="108"/>
      <c r="BI97" s="87"/>
      <c r="BJ97" s="107"/>
      <c r="BK97" s="108"/>
      <c r="BL97" s="87"/>
      <c r="BM97" s="107"/>
      <c r="BN97" s="108"/>
      <c r="BO97" s="87"/>
      <c r="BP97" s="107"/>
      <c r="BQ97" s="108"/>
      <c r="BR97" s="87"/>
      <c r="BS97" s="107"/>
      <c r="BT97" s="108"/>
      <c r="BU97" s="87"/>
      <c r="BV97" s="107"/>
      <c r="BW97" s="108"/>
      <c r="BX97" s="87"/>
      <c r="BY97" s="107"/>
      <c r="BZ97" s="108"/>
      <c r="CA97" s="87"/>
      <c r="CB97" s="107"/>
      <c r="CC97" s="108"/>
      <c r="CD97" s="87"/>
      <c r="CE97" s="107"/>
      <c r="CF97" s="108"/>
      <c r="CG97" s="87"/>
      <c r="CH97" s="107"/>
      <c r="CI97" s="108"/>
      <c r="CJ97" s="87"/>
      <c r="CK97" s="107"/>
      <c r="CL97" s="108"/>
      <c r="CM97" s="87"/>
      <c r="CN97" s="107"/>
      <c r="CO97" s="108"/>
      <c r="CP97" s="87"/>
      <c r="CQ97" s="107"/>
      <c r="CR97" s="108"/>
      <c r="CS97" s="87"/>
      <c r="CT97" s="107"/>
      <c r="CU97" s="108"/>
      <c r="CV97" s="87"/>
      <c r="CW97" s="107"/>
      <c r="CX97" s="108"/>
      <c r="CY97" s="87"/>
      <c r="CZ97" s="107"/>
      <c r="DA97" s="108"/>
      <c r="DB97" s="87"/>
      <c r="DC97" s="107"/>
      <c r="DD97" s="108"/>
      <c r="DE97" s="87"/>
      <c r="DF97" s="107"/>
      <c r="DG97" s="108"/>
      <c r="DH97" s="87"/>
      <c r="DI97" s="107"/>
      <c r="DJ97" s="108"/>
      <c r="DK97" s="87"/>
      <c r="DL97" s="107"/>
      <c r="DM97" s="108"/>
      <c r="DN97" s="87"/>
      <c r="DO97" s="107"/>
      <c r="DP97" s="108"/>
      <c r="DQ97" s="87"/>
      <c r="DR97" s="107"/>
      <c r="DS97" s="108"/>
      <c r="DT97" s="87"/>
      <c r="DU97" s="107"/>
      <c r="DV97" s="108"/>
      <c r="DW97" s="87"/>
      <c r="DX97" s="107"/>
      <c r="DY97" s="108"/>
      <c r="DZ97" s="87"/>
      <c r="EA97" s="107"/>
      <c r="EB97" s="108"/>
      <c r="EC97" s="87"/>
      <c r="ED97" s="107"/>
      <c r="EE97" s="108"/>
      <c r="EF97" s="87"/>
      <c r="EG97" s="107"/>
      <c r="EH97" s="108"/>
      <c r="EI97" s="87"/>
      <c r="EJ97" s="107"/>
      <c r="EK97" s="108"/>
      <c r="EL97" s="87"/>
      <c r="EM97" s="107"/>
      <c r="EN97" s="108"/>
      <c r="EO97" s="87"/>
      <c r="EP97" s="107"/>
      <c r="EQ97" s="108"/>
      <c r="ER97" s="87"/>
      <c r="ES97" s="107"/>
      <c r="ET97" s="108"/>
      <c r="EU97" s="87"/>
      <c r="EV97" s="107"/>
      <c r="EW97" s="108"/>
      <c r="EX97" s="87"/>
      <c r="EY97" s="107"/>
      <c r="EZ97" s="108"/>
      <c r="FA97" s="87"/>
      <c r="FB97" s="107"/>
      <c r="FC97" s="108"/>
      <c r="FD97" s="87"/>
      <c r="FE97" s="107"/>
      <c r="FF97" s="108"/>
      <c r="FG97" s="87"/>
      <c r="FH97" s="107"/>
      <c r="FI97" s="108"/>
      <c r="FJ97" s="87"/>
      <c r="FK97" s="107"/>
      <c r="FL97" s="108"/>
      <c r="FM97" s="87"/>
      <c r="FN97" s="107"/>
      <c r="FO97" s="108"/>
      <c r="FP97" s="87"/>
      <c r="FQ97" s="107"/>
      <c r="FR97" s="108"/>
      <c r="FS97" s="87"/>
      <c r="FT97" s="107"/>
      <c r="FU97" s="108"/>
      <c r="FV97" s="87"/>
      <c r="FW97" s="107"/>
      <c r="FX97" s="108"/>
      <c r="FY97" s="87"/>
      <c r="FZ97" s="107"/>
      <c r="GA97" s="108"/>
      <c r="GB97" s="87"/>
      <c r="GC97" s="107"/>
      <c r="GD97" s="108"/>
      <c r="GE97" s="87"/>
      <c r="GF97" s="107"/>
      <c r="GG97" s="108"/>
      <c r="GH97" s="87"/>
      <c r="GI97" s="107"/>
      <c r="GJ97" s="108"/>
      <c r="GK97" s="87"/>
      <c r="GL97" s="107"/>
      <c r="GM97" s="108"/>
      <c r="GN97" s="87"/>
      <c r="GO97" s="107"/>
      <c r="GP97" s="108"/>
      <c r="GQ97" s="87"/>
      <c r="GR97" s="107"/>
      <c r="GS97" s="108"/>
      <c r="GT97" s="87"/>
      <c r="GU97" s="107"/>
      <c r="GV97" s="108"/>
      <c r="GW97" s="87"/>
      <c r="GX97" s="107"/>
      <c r="GY97" s="108"/>
      <c r="GZ97" s="87"/>
      <c r="HA97" s="107"/>
      <c r="HB97" s="108"/>
      <c r="HC97" s="87"/>
      <c r="HD97" s="107"/>
      <c r="HE97" s="108"/>
      <c r="HF97" s="87"/>
      <c r="HG97" s="107"/>
      <c r="HH97" s="108"/>
      <c r="HI97" s="87"/>
      <c r="HJ97" s="107"/>
      <c r="HK97" s="108"/>
    </row>
    <row r="98" ht="14.25" customHeight="1" spans="1:219">
      <c r="A98" s="82"/>
      <c r="B98" s="178"/>
      <c r="C98" s="148"/>
      <c r="D98" s="148"/>
      <c r="E98" s="107"/>
      <c r="F98" s="108"/>
      <c r="G98" s="87"/>
      <c r="H98" s="107"/>
      <c r="I98" s="108"/>
      <c r="J98" s="87"/>
      <c r="K98" s="107"/>
      <c r="L98" s="108"/>
      <c r="M98" s="87"/>
      <c r="N98" s="107"/>
      <c r="O98" s="108"/>
      <c r="P98" s="87"/>
      <c r="Q98" s="107"/>
      <c r="R98" s="108"/>
      <c r="S98" s="87"/>
      <c r="T98" s="107"/>
      <c r="U98" s="108"/>
      <c r="V98" s="87"/>
      <c r="W98" s="107"/>
      <c r="X98" s="108"/>
      <c r="Y98" s="87"/>
      <c r="Z98" s="107"/>
      <c r="AA98" s="108"/>
      <c r="AB98" s="87"/>
      <c r="AC98" s="107"/>
      <c r="AD98" s="108"/>
      <c r="AE98" s="87"/>
      <c r="AF98" s="107"/>
      <c r="AG98" s="108"/>
      <c r="AH98" s="87"/>
      <c r="AI98" s="107"/>
      <c r="AJ98" s="108"/>
      <c r="AK98" s="87"/>
      <c r="AL98" s="107"/>
      <c r="AM98" s="108"/>
      <c r="AN98" s="87"/>
      <c r="AO98" s="107"/>
      <c r="AP98" s="108"/>
      <c r="AQ98" s="87"/>
      <c r="AR98" s="107"/>
      <c r="AS98" s="108"/>
      <c r="AT98" s="87"/>
      <c r="AU98" s="107"/>
      <c r="AV98" s="108"/>
      <c r="AW98" s="87"/>
      <c r="AX98" s="107"/>
      <c r="AY98" s="108"/>
      <c r="AZ98" s="87"/>
      <c r="BA98" s="107"/>
      <c r="BB98" s="108"/>
      <c r="BC98" s="87"/>
      <c r="BD98" s="107"/>
      <c r="BE98" s="108"/>
      <c r="BF98" s="87"/>
      <c r="BG98" s="107"/>
      <c r="BH98" s="108"/>
      <c r="BI98" s="87"/>
      <c r="BJ98" s="107"/>
      <c r="BK98" s="108"/>
      <c r="BL98" s="87"/>
      <c r="BM98" s="107"/>
      <c r="BN98" s="108"/>
      <c r="BO98" s="87"/>
      <c r="BP98" s="107"/>
      <c r="BQ98" s="108"/>
      <c r="BR98" s="87"/>
      <c r="BS98" s="107"/>
      <c r="BT98" s="108"/>
      <c r="BU98" s="87"/>
      <c r="BV98" s="107"/>
      <c r="BW98" s="108"/>
      <c r="BX98" s="87"/>
      <c r="BY98" s="107"/>
      <c r="BZ98" s="108"/>
      <c r="CA98" s="87"/>
      <c r="CB98" s="107"/>
      <c r="CC98" s="108"/>
      <c r="CD98" s="87"/>
      <c r="CE98" s="107"/>
      <c r="CF98" s="108"/>
      <c r="CG98" s="87"/>
      <c r="CH98" s="107"/>
      <c r="CI98" s="108"/>
      <c r="CJ98" s="87"/>
      <c r="CK98" s="107"/>
      <c r="CL98" s="108"/>
      <c r="CM98" s="87"/>
      <c r="CN98" s="107"/>
      <c r="CO98" s="108"/>
      <c r="CP98" s="87"/>
      <c r="CQ98" s="107"/>
      <c r="CR98" s="108"/>
      <c r="CS98" s="87"/>
      <c r="CT98" s="107"/>
      <c r="CU98" s="108"/>
      <c r="CV98" s="87"/>
      <c r="CW98" s="107"/>
      <c r="CX98" s="108"/>
      <c r="CY98" s="87"/>
      <c r="CZ98" s="107"/>
      <c r="DA98" s="108"/>
      <c r="DB98" s="87"/>
      <c r="DC98" s="107"/>
      <c r="DD98" s="108"/>
      <c r="DE98" s="87"/>
      <c r="DF98" s="107"/>
      <c r="DG98" s="108"/>
      <c r="DH98" s="87"/>
      <c r="DI98" s="107"/>
      <c r="DJ98" s="108"/>
      <c r="DK98" s="87"/>
      <c r="DL98" s="107"/>
      <c r="DM98" s="108"/>
      <c r="DN98" s="87"/>
      <c r="DO98" s="107"/>
      <c r="DP98" s="108"/>
      <c r="DQ98" s="87"/>
      <c r="DR98" s="107"/>
      <c r="DS98" s="108"/>
      <c r="DT98" s="87"/>
      <c r="DU98" s="107"/>
      <c r="DV98" s="108"/>
      <c r="DW98" s="87"/>
      <c r="DX98" s="107"/>
      <c r="DY98" s="108"/>
      <c r="DZ98" s="87"/>
      <c r="EA98" s="107"/>
      <c r="EB98" s="108"/>
      <c r="EC98" s="87"/>
      <c r="ED98" s="107"/>
      <c r="EE98" s="108"/>
      <c r="EF98" s="87"/>
      <c r="EG98" s="107"/>
      <c r="EH98" s="108"/>
      <c r="EI98" s="87"/>
      <c r="EJ98" s="107"/>
      <c r="EK98" s="108"/>
      <c r="EL98" s="87"/>
      <c r="EM98" s="107"/>
      <c r="EN98" s="108"/>
      <c r="EO98" s="87"/>
      <c r="EP98" s="107"/>
      <c r="EQ98" s="108"/>
      <c r="ER98" s="87"/>
      <c r="ES98" s="107"/>
      <c r="ET98" s="108"/>
      <c r="EU98" s="87"/>
      <c r="EV98" s="107"/>
      <c r="EW98" s="108"/>
      <c r="EX98" s="87"/>
      <c r="EY98" s="107"/>
      <c r="EZ98" s="108"/>
      <c r="FA98" s="87"/>
      <c r="FB98" s="107"/>
      <c r="FC98" s="108"/>
      <c r="FD98" s="87"/>
      <c r="FE98" s="107"/>
      <c r="FF98" s="108"/>
      <c r="FG98" s="87"/>
      <c r="FH98" s="107"/>
      <c r="FI98" s="108"/>
      <c r="FJ98" s="87"/>
      <c r="FK98" s="107"/>
      <c r="FL98" s="108"/>
      <c r="FM98" s="87"/>
      <c r="FN98" s="107"/>
      <c r="FO98" s="108"/>
      <c r="FP98" s="87"/>
      <c r="FQ98" s="107"/>
      <c r="FR98" s="108"/>
      <c r="FS98" s="87"/>
      <c r="FT98" s="107"/>
      <c r="FU98" s="108"/>
      <c r="FV98" s="87"/>
      <c r="FW98" s="107"/>
      <c r="FX98" s="108"/>
      <c r="FY98" s="87"/>
      <c r="FZ98" s="107"/>
      <c r="GA98" s="108"/>
      <c r="GB98" s="87"/>
      <c r="GC98" s="107"/>
      <c r="GD98" s="108"/>
      <c r="GE98" s="87"/>
      <c r="GF98" s="107"/>
      <c r="GG98" s="108"/>
      <c r="GH98" s="87"/>
      <c r="GI98" s="107"/>
      <c r="GJ98" s="108"/>
      <c r="GK98" s="87"/>
      <c r="GL98" s="107"/>
      <c r="GM98" s="108"/>
      <c r="GN98" s="87"/>
      <c r="GO98" s="107"/>
      <c r="GP98" s="108"/>
      <c r="GQ98" s="87"/>
      <c r="GR98" s="107"/>
      <c r="GS98" s="108"/>
      <c r="GT98" s="87"/>
      <c r="GU98" s="107"/>
      <c r="GV98" s="108"/>
      <c r="GW98" s="87"/>
      <c r="GX98" s="107"/>
      <c r="GY98" s="108"/>
      <c r="GZ98" s="87"/>
      <c r="HA98" s="107"/>
      <c r="HB98" s="108"/>
      <c r="HC98" s="87"/>
      <c r="HD98" s="107"/>
      <c r="HE98" s="108"/>
      <c r="HF98" s="87"/>
      <c r="HG98" s="107"/>
      <c r="HH98" s="108"/>
      <c r="HI98" s="87"/>
      <c r="HJ98" s="107"/>
      <c r="HK98" s="108"/>
    </row>
    <row r="99" ht="14.25" customHeight="1" spans="1:219">
      <c r="A99" s="82"/>
      <c r="B99" s="178"/>
      <c r="C99" s="148"/>
      <c r="D99" s="148"/>
      <c r="E99" s="107"/>
      <c r="F99" s="108"/>
      <c r="G99" s="87"/>
      <c r="H99" s="107"/>
      <c r="I99" s="108"/>
      <c r="J99" s="87"/>
      <c r="K99" s="107"/>
      <c r="L99" s="108"/>
      <c r="M99" s="87"/>
      <c r="N99" s="107"/>
      <c r="O99" s="108"/>
      <c r="P99" s="87"/>
      <c r="Q99" s="107"/>
      <c r="R99" s="108"/>
      <c r="S99" s="87"/>
      <c r="T99" s="107"/>
      <c r="U99" s="108"/>
      <c r="V99" s="87"/>
      <c r="W99" s="107"/>
      <c r="X99" s="108"/>
      <c r="Y99" s="87"/>
      <c r="Z99" s="107"/>
      <c r="AA99" s="108"/>
      <c r="AB99" s="87"/>
      <c r="AC99" s="107"/>
      <c r="AD99" s="108"/>
      <c r="AE99" s="87"/>
      <c r="AF99" s="107"/>
      <c r="AG99" s="108"/>
      <c r="AH99" s="87"/>
      <c r="AI99" s="107"/>
      <c r="AJ99" s="108"/>
      <c r="AK99" s="87"/>
      <c r="AL99" s="107"/>
      <c r="AM99" s="108"/>
      <c r="AN99" s="87"/>
      <c r="AO99" s="107"/>
      <c r="AP99" s="108"/>
      <c r="AQ99" s="87"/>
      <c r="AR99" s="107"/>
      <c r="AS99" s="108"/>
      <c r="AT99" s="87"/>
      <c r="AU99" s="107"/>
      <c r="AV99" s="108"/>
      <c r="AW99" s="87"/>
      <c r="AX99" s="107"/>
      <c r="AY99" s="108"/>
      <c r="AZ99" s="87"/>
      <c r="BA99" s="107"/>
      <c r="BB99" s="108"/>
      <c r="BC99" s="87"/>
      <c r="BD99" s="107"/>
      <c r="BE99" s="108"/>
      <c r="BF99" s="87"/>
      <c r="BG99" s="107"/>
      <c r="BH99" s="108"/>
      <c r="BI99" s="87"/>
      <c r="BJ99" s="107"/>
      <c r="BK99" s="108"/>
      <c r="BL99" s="87"/>
      <c r="BM99" s="107"/>
      <c r="BN99" s="108"/>
      <c r="BO99" s="87"/>
      <c r="BP99" s="107"/>
      <c r="BQ99" s="108"/>
      <c r="BR99" s="87"/>
      <c r="BS99" s="107"/>
      <c r="BT99" s="108"/>
      <c r="BU99" s="87"/>
      <c r="BV99" s="107"/>
      <c r="BW99" s="108"/>
      <c r="BX99" s="87"/>
      <c r="BY99" s="107"/>
      <c r="BZ99" s="108"/>
      <c r="CA99" s="87"/>
      <c r="CB99" s="107"/>
      <c r="CC99" s="108"/>
      <c r="CD99" s="87"/>
      <c r="CE99" s="107"/>
      <c r="CF99" s="108"/>
      <c r="CG99" s="87"/>
      <c r="CH99" s="107"/>
      <c r="CI99" s="108"/>
      <c r="CJ99" s="87"/>
      <c r="CK99" s="107"/>
      <c r="CL99" s="108"/>
      <c r="CM99" s="87"/>
      <c r="CN99" s="107"/>
      <c r="CO99" s="108"/>
      <c r="CP99" s="87"/>
      <c r="CQ99" s="107"/>
      <c r="CR99" s="108"/>
      <c r="CS99" s="87"/>
      <c r="CT99" s="107"/>
      <c r="CU99" s="108"/>
      <c r="CV99" s="87"/>
      <c r="CW99" s="107"/>
      <c r="CX99" s="108"/>
      <c r="CY99" s="87"/>
      <c r="CZ99" s="107"/>
      <c r="DA99" s="108"/>
      <c r="DB99" s="87"/>
      <c r="DC99" s="107"/>
      <c r="DD99" s="108"/>
      <c r="DE99" s="87"/>
      <c r="DF99" s="107"/>
      <c r="DG99" s="108"/>
      <c r="DH99" s="87"/>
      <c r="DI99" s="107"/>
      <c r="DJ99" s="108"/>
      <c r="DK99" s="87"/>
      <c r="DL99" s="107"/>
      <c r="DM99" s="108"/>
      <c r="DN99" s="87"/>
      <c r="DO99" s="107"/>
      <c r="DP99" s="108"/>
      <c r="DQ99" s="87"/>
      <c r="DR99" s="107"/>
      <c r="DS99" s="108"/>
      <c r="DT99" s="87"/>
      <c r="DU99" s="107"/>
      <c r="DV99" s="108"/>
      <c r="DW99" s="87"/>
      <c r="DX99" s="107"/>
      <c r="DY99" s="108"/>
      <c r="DZ99" s="87"/>
      <c r="EA99" s="107"/>
      <c r="EB99" s="108"/>
      <c r="EC99" s="87"/>
      <c r="ED99" s="107"/>
      <c r="EE99" s="108"/>
      <c r="EF99" s="87"/>
      <c r="EG99" s="107"/>
      <c r="EH99" s="108"/>
      <c r="EI99" s="87"/>
      <c r="EJ99" s="107"/>
      <c r="EK99" s="108"/>
      <c r="EL99" s="87"/>
      <c r="EM99" s="107"/>
      <c r="EN99" s="108"/>
      <c r="EO99" s="87"/>
      <c r="EP99" s="107"/>
      <c r="EQ99" s="108"/>
      <c r="ER99" s="87"/>
      <c r="ES99" s="107"/>
      <c r="ET99" s="108"/>
      <c r="EU99" s="87"/>
      <c r="EV99" s="107"/>
      <c r="EW99" s="108"/>
      <c r="EX99" s="87"/>
      <c r="EY99" s="107"/>
      <c r="EZ99" s="108"/>
      <c r="FA99" s="87"/>
      <c r="FB99" s="107"/>
      <c r="FC99" s="108"/>
      <c r="FD99" s="87"/>
      <c r="FE99" s="107"/>
      <c r="FF99" s="108"/>
      <c r="FG99" s="87"/>
      <c r="FH99" s="107"/>
      <c r="FI99" s="108"/>
      <c r="FJ99" s="87"/>
      <c r="FK99" s="107"/>
      <c r="FL99" s="108"/>
      <c r="FM99" s="87"/>
      <c r="FN99" s="107"/>
      <c r="FO99" s="108"/>
      <c r="FP99" s="87"/>
      <c r="FQ99" s="107"/>
      <c r="FR99" s="108"/>
      <c r="FS99" s="87"/>
      <c r="FT99" s="107"/>
      <c r="FU99" s="108"/>
      <c r="FV99" s="87"/>
      <c r="FW99" s="107"/>
      <c r="FX99" s="108"/>
      <c r="FY99" s="87"/>
      <c r="FZ99" s="107"/>
      <c r="GA99" s="108"/>
      <c r="GB99" s="87"/>
      <c r="GC99" s="107"/>
      <c r="GD99" s="108"/>
      <c r="GE99" s="87"/>
      <c r="GF99" s="107"/>
      <c r="GG99" s="108"/>
      <c r="GH99" s="87"/>
      <c r="GI99" s="107"/>
      <c r="GJ99" s="108"/>
      <c r="GK99" s="87"/>
      <c r="GL99" s="107"/>
      <c r="GM99" s="108"/>
      <c r="GN99" s="87"/>
      <c r="GO99" s="107"/>
      <c r="GP99" s="108"/>
      <c r="GQ99" s="87"/>
      <c r="GR99" s="107"/>
      <c r="GS99" s="108"/>
      <c r="GT99" s="87"/>
      <c r="GU99" s="107"/>
      <c r="GV99" s="108"/>
      <c r="GW99" s="87"/>
      <c r="GX99" s="107"/>
      <c r="GY99" s="108"/>
      <c r="GZ99" s="87"/>
      <c r="HA99" s="107"/>
      <c r="HB99" s="108"/>
      <c r="HC99" s="87"/>
      <c r="HD99" s="107"/>
      <c r="HE99" s="108"/>
      <c r="HF99" s="87"/>
      <c r="HG99" s="107"/>
      <c r="HH99" s="108"/>
      <c r="HI99" s="87"/>
      <c r="HJ99" s="107"/>
      <c r="HK99" s="108"/>
    </row>
    <row r="100" ht="14.25" customHeight="1" spans="1:219">
      <c r="A100" s="82"/>
      <c r="B100" s="178"/>
      <c r="C100" s="148"/>
      <c r="D100" s="148"/>
      <c r="E100" s="179"/>
      <c r="F100" s="180"/>
      <c r="G100" s="87"/>
      <c r="H100" s="179"/>
      <c r="I100" s="180"/>
      <c r="J100" s="87"/>
      <c r="K100" s="179"/>
      <c r="L100" s="180"/>
      <c r="M100" s="87"/>
      <c r="N100" s="179"/>
      <c r="O100" s="180"/>
      <c r="P100" s="87"/>
      <c r="Q100" s="179"/>
      <c r="R100" s="180"/>
      <c r="S100" s="87"/>
      <c r="T100" s="179"/>
      <c r="U100" s="180"/>
      <c r="V100" s="87"/>
      <c r="W100" s="179"/>
      <c r="X100" s="180"/>
      <c r="Y100" s="87"/>
      <c r="Z100" s="179"/>
      <c r="AA100" s="180"/>
      <c r="AB100" s="87"/>
      <c r="AC100" s="179"/>
      <c r="AD100" s="180"/>
      <c r="AE100" s="87"/>
      <c r="AF100" s="179"/>
      <c r="AG100" s="180"/>
      <c r="AH100" s="87"/>
      <c r="AI100" s="179"/>
      <c r="AJ100" s="180"/>
      <c r="AK100" s="87"/>
      <c r="AL100" s="179"/>
      <c r="AM100" s="180"/>
      <c r="AN100" s="87"/>
      <c r="AO100" s="179"/>
      <c r="AP100" s="180"/>
      <c r="AQ100" s="87"/>
      <c r="AR100" s="179"/>
      <c r="AS100" s="180"/>
      <c r="AT100" s="87"/>
      <c r="AU100" s="179"/>
      <c r="AV100" s="180"/>
      <c r="AW100" s="87"/>
      <c r="AX100" s="179"/>
      <c r="AY100" s="180"/>
      <c r="AZ100" s="87"/>
      <c r="BA100" s="179"/>
      <c r="BB100" s="180"/>
      <c r="BC100" s="87"/>
      <c r="BD100" s="179"/>
      <c r="BE100" s="180"/>
      <c r="BF100" s="87"/>
      <c r="BG100" s="179"/>
      <c r="BH100" s="180"/>
      <c r="BI100" s="87"/>
      <c r="BJ100" s="179"/>
      <c r="BK100" s="180"/>
      <c r="BL100" s="87"/>
      <c r="BM100" s="179"/>
      <c r="BN100" s="180"/>
      <c r="BO100" s="87"/>
      <c r="BP100" s="179"/>
      <c r="BQ100" s="180"/>
      <c r="BR100" s="87"/>
      <c r="BS100" s="179"/>
      <c r="BT100" s="180"/>
      <c r="BU100" s="87"/>
      <c r="BV100" s="179"/>
      <c r="BW100" s="180"/>
      <c r="BX100" s="87"/>
      <c r="BY100" s="179"/>
      <c r="BZ100" s="180"/>
      <c r="CA100" s="87"/>
      <c r="CB100" s="179"/>
      <c r="CC100" s="180"/>
      <c r="CD100" s="87"/>
      <c r="CE100" s="179"/>
      <c r="CF100" s="180"/>
      <c r="CG100" s="87"/>
      <c r="CH100" s="179"/>
      <c r="CI100" s="180"/>
      <c r="CJ100" s="87"/>
      <c r="CK100" s="179"/>
      <c r="CL100" s="180"/>
      <c r="CM100" s="87"/>
      <c r="CN100" s="179"/>
      <c r="CO100" s="180"/>
      <c r="CP100" s="87"/>
      <c r="CQ100" s="179"/>
      <c r="CR100" s="180"/>
      <c r="CS100" s="87"/>
      <c r="CT100" s="179"/>
      <c r="CU100" s="180"/>
      <c r="CV100" s="87"/>
      <c r="CW100" s="179"/>
      <c r="CX100" s="180"/>
      <c r="CY100" s="87"/>
      <c r="CZ100" s="179"/>
      <c r="DA100" s="180"/>
      <c r="DB100" s="87"/>
      <c r="DC100" s="179"/>
      <c r="DD100" s="180"/>
      <c r="DE100" s="87"/>
      <c r="DF100" s="179"/>
      <c r="DG100" s="180"/>
      <c r="DH100" s="87"/>
      <c r="DI100" s="179"/>
      <c r="DJ100" s="180"/>
      <c r="DK100" s="87"/>
      <c r="DL100" s="179"/>
      <c r="DM100" s="180"/>
      <c r="DN100" s="87"/>
      <c r="DO100" s="179"/>
      <c r="DP100" s="180"/>
      <c r="DQ100" s="87"/>
      <c r="DR100" s="179"/>
      <c r="DS100" s="180"/>
      <c r="DT100" s="87"/>
      <c r="DU100" s="179"/>
      <c r="DV100" s="180"/>
      <c r="DW100" s="87"/>
      <c r="DX100" s="179"/>
      <c r="DY100" s="180"/>
      <c r="DZ100" s="87"/>
      <c r="EA100" s="179"/>
      <c r="EB100" s="180"/>
      <c r="EC100" s="87"/>
      <c r="ED100" s="179"/>
      <c r="EE100" s="180"/>
      <c r="EF100" s="87"/>
      <c r="EG100" s="179"/>
      <c r="EH100" s="180"/>
      <c r="EI100" s="87"/>
      <c r="EJ100" s="179"/>
      <c r="EK100" s="180"/>
      <c r="EL100" s="87"/>
      <c r="EM100" s="179"/>
      <c r="EN100" s="180"/>
      <c r="EO100" s="87"/>
      <c r="EP100" s="179"/>
      <c r="EQ100" s="180"/>
      <c r="ER100" s="87"/>
      <c r="ES100" s="179"/>
      <c r="ET100" s="180"/>
      <c r="EU100" s="87"/>
      <c r="EV100" s="179"/>
      <c r="EW100" s="180"/>
      <c r="EX100" s="87"/>
      <c r="EY100" s="179"/>
      <c r="EZ100" s="180"/>
      <c r="FA100" s="87"/>
      <c r="FB100" s="179"/>
      <c r="FC100" s="180"/>
      <c r="FD100" s="87"/>
      <c r="FE100" s="179"/>
      <c r="FF100" s="180"/>
      <c r="FG100" s="87"/>
      <c r="FH100" s="179"/>
      <c r="FI100" s="180"/>
      <c r="FJ100" s="87"/>
      <c r="FK100" s="179"/>
      <c r="FL100" s="180"/>
      <c r="FM100" s="87"/>
      <c r="FN100" s="179"/>
      <c r="FO100" s="180"/>
      <c r="FP100" s="87"/>
      <c r="FQ100" s="179"/>
      <c r="FR100" s="180"/>
      <c r="FS100" s="87"/>
      <c r="FT100" s="179"/>
      <c r="FU100" s="180"/>
      <c r="FV100" s="87"/>
      <c r="FW100" s="179"/>
      <c r="FX100" s="180"/>
      <c r="FY100" s="87"/>
      <c r="FZ100" s="179"/>
      <c r="GA100" s="180"/>
      <c r="GB100" s="87"/>
      <c r="GC100" s="179"/>
      <c r="GD100" s="180"/>
      <c r="GE100" s="87"/>
      <c r="GF100" s="179"/>
      <c r="GG100" s="180"/>
      <c r="GH100" s="87"/>
      <c r="GI100" s="179"/>
      <c r="GJ100" s="180"/>
      <c r="GK100" s="87"/>
      <c r="GL100" s="179"/>
      <c r="GM100" s="180"/>
      <c r="GN100" s="87"/>
      <c r="GO100" s="179"/>
      <c r="GP100" s="180"/>
      <c r="GQ100" s="87"/>
      <c r="GR100" s="179"/>
      <c r="GS100" s="180"/>
      <c r="GT100" s="87"/>
      <c r="GU100" s="179"/>
      <c r="GV100" s="180"/>
      <c r="GW100" s="87"/>
      <c r="GX100" s="179"/>
      <c r="GY100" s="180"/>
      <c r="GZ100" s="87"/>
      <c r="HA100" s="179"/>
      <c r="HB100" s="180"/>
      <c r="HC100" s="87"/>
      <c r="HD100" s="179"/>
      <c r="HE100" s="180"/>
      <c r="HF100" s="87"/>
      <c r="HG100" s="179"/>
      <c r="HH100" s="180"/>
      <c r="HI100" s="87"/>
      <c r="HJ100" s="179"/>
      <c r="HK100" s="180"/>
    </row>
    <row r="101" ht="14.25" customHeight="1" spans="1:219">
      <c r="A101" s="82"/>
      <c r="B101" s="178"/>
      <c r="C101" s="148"/>
      <c r="D101" s="148"/>
      <c r="E101" s="181">
        <f>SUM(E6:E100)</f>
        <v>1000</v>
      </c>
      <c r="F101" s="182">
        <f>SUM(F6:F100)</f>
        <v>0</v>
      </c>
      <c r="H101" s="181">
        <f>SUM(H6:H100)</f>
        <v>23000</v>
      </c>
      <c r="I101" s="182">
        <f>SUM(I6:I100)</f>
        <v>15000</v>
      </c>
      <c r="K101" s="181">
        <f>SUM(K6:K100)</f>
        <v>0</v>
      </c>
      <c r="L101" s="182">
        <f>SUM(L6:L100)</f>
        <v>0</v>
      </c>
      <c r="N101" s="181">
        <f>SUM(N6:N100)</f>
        <v>0</v>
      </c>
      <c r="O101" s="182">
        <f>SUM(O6:O100)</f>
        <v>0</v>
      </c>
      <c r="Q101" s="181">
        <f>SUM(Q6:Q100)</f>
        <v>0</v>
      </c>
      <c r="R101" s="182">
        <f>SUM(R6:R100)</f>
        <v>0</v>
      </c>
      <c r="T101" s="181">
        <f>SUM(T6:T100)</f>
        <v>0</v>
      </c>
      <c r="U101" s="182">
        <f>SUM(U6:U100)</f>
        <v>14000</v>
      </c>
      <c r="W101" s="181">
        <f>SUM(W6:W100)</f>
        <v>0</v>
      </c>
      <c r="X101" s="182">
        <f>SUM(X6:X100)</f>
        <v>0</v>
      </c>
      <c r="Z101" s="181">
        <f>SUM(Z6:Z100)</f>
        <v>0</v>
      </c>
      <c r="AA101" s="182">
        <f>SUM(AA6:AA100)</f>
        <v>0</v>
      </c>
      <c r="AC101" s="181">
        <f>SUM(AC6:AC100)</f>
        <v>0</v>
      </c>
      <c r="AD101" s="182">
        <f>SUM(AD6:AD100)</f>
        <v>0</v>
      </c>
      <c r="AF101" s="181">
        <f>SUM(AF6:AF100)</f>
        <v>0</v>
      </c>
      <c r="AG101" s="182">
        <f>SUM(AG6:AG100)</f>
        <v>0</v>
      </c>
      <c r="AI101" s="181">
        <f>SUM(AI6:AI100)</f>
        <v>0</v>
      </c>
      <c r="AJ101" s="182">
        <f>SUM(AJ6:AJ100)</f>
        <v>0</v>
      </c>
      <c r="AL101" s="181">
        <f>SUM(AL6:AL100)</f>
        <v>0</v>
      </c>
      <c r="AM101" s="182">
        <f>SUM(AM6:AM100)</f>
        <v>0</v>
      </c>
      <c r="AO101" s="181">
        <f>SUM(AO6:AO100)</f>
        <v>0</v>
      </c>
      <c r="AP101" s="182">
        <f>SUM(AP6:AP100)</f>
        <v>0</v>
      </c>
      <c r="AR101" s="181">
        <f>SUM(AR6:AR100)</f>
        <v>10000</v>
      </c>
      <c r="AS101" s="182">
        <f>SUM(AS6:AS100)</f>
        <v>0</v>
      </c>
      <c r="AU101" s="181">
        <f>SUM(AU6:AU100)</f>
        <v>0</v>
      </c>
      <c r="AV101" s="182">
        <f>SUM(AV6:AV100)</f>
        <v>0</v>
      </c>
      <c r="AX101" s="181">
        <f>SUM(AX6:AX100)</f>
        <v>0</v>
      </c>
      <c r="AY101" s="182">
        <f>SUM(AY6:AY100)</f>
        <v>0</v>
      </c>
      <c r="BA101" s="181">
        <f>SUM(BA6:BA100)</f>
        <v>0</v>
      </c>
      <c r="BB101" s="182">
        <f>SUM(BB6:BB100)</f>
        <v>0</v>
      </c>
      <c r="BD101" s="181">
        <f>SUM(BD6:BD100)</f>
        <v>0</v>
      </c>
      <c r="BE101" s="182">
        <f>SUM(BE6:BE100)</f>
        <v>0</v>
      </c>
      <c r="BG101" s="181">
        <f>SUM(BG6:BG100)</f>
        <v>0</v>
      </c>
      <c r="BH101" s="182">
        <f>SUM(BH6:BH100)</f>
        <v>0</v>
      </c>
      <c r="BJ101" s="181">
        <f>SUM(BJ6:BJ100)</f>
        <v>0</v>
      </c>
      <c r="BK101" s="182">
        <f>SUM(BK6:BK100)</f>
        <v>0</v>
      </c>
      <c r="BM101" s="181">
        <f>SUM(BM6:BM100)</f>
        <v>0</v>
      </c>
      <c r="BN101" s="182">
        <f>SUM(BN6:BN100)</f>
        <v>0</v>
      </c>
      <c r="BP101" s="181">
        <f>SUM(BP6:BP100)</f>
        <v>0</v>
      </c>
      <c r="BQ101" s="182">
        <f>SUM(BQ6:BQ100)</f>
        <v>0</v>
      </c>
      <c r="BS101" s="181">
        <f>SUM(BS6:BS100)</f>
        <v>0</v>
      </c>
      <c r="BT101" s="182">
        <f>SUM(BT6:BT100)</f>
        <v>0</v>
      </c>
      <c r="BV101" s="181">
        <f>SUM(BV6:BV100)</f>
        <v>0</v>
      </c>
      <c r="BW101" s="182">
        <f>SUM(BW6:BW100)</f>
        <v>0</v>
      </c>
      <c r="BY101" s="181">
        <f>SUM(BY6:BY100)</f>
        <v>5000</v>
      </c>
      <c r="BZ101" s="182">
        <f>SUM(BZ6:BZ100)</f>
        <v>0</v>
      </c>
      <c r="CB101" s="181">
        <f>SUM(CB6:CB100)</f>
        <v>0</v>
      </c>
      <c r="CC101" s="182">
        <f>SUM(CC6:CC100)</f>
        <v>0</v>
      </c>
      <c r="CE101" s="181">
        <f>SUM(CE6:CE100)</f>
        <v>0</v>
      </c>
      <c r="CF101" s="182">
        <f>SUM(CF6:CF100)</f>
        <v>0</v>
      </c>
      <c r="CH101" s="181">
        <f>SUM(CH6:CH100)</f>
        <v>0</v>
      </c>
      <c r="CI101" s="182">
        <f>SUM(CI6:CI100)</f>
        <v>0</v>
      </c>
      <c r="CK101" s="181">
        <f>SUM(CK6:CK100)</f>
        <v>0</v>
      </c>
      <c r="CL101" s="182">
        <f>SUM(CL6:CL100)</f>
        <v>0</v>
      </c>
      <c r="CN101" s="181">
        <f>SUM(CN6:CN100)</f>
        <v>0</v>
      </c>
      <c r="CO101" s="182">
        <f>SUM(CO6:CO100)</f>
        <v>0</v>
      </c>
      <c r="CQ101" s="181">
        <f>SUM(CQ6:CQ100)</f>
        <v>0</v>
      </c>
      <c r="CR101" s="182">
        <f>SUM(CR6:CR100)</f>
        <v>0</v>
      </c>
      <c r="CT101" s="181">
        <f>SUM(CT6:CT100)</f>
        <v>0</v>
      </c>
      <c r="CU101" s="182">
        <f>SUM(CU6:CU100)</f>
        <v>0</v>
      </c>
      <c r="CW101" s="181">
        <f>SUM(CW6:CW100)</f>
        <v>0</v>
      </c>
      <c r="CX101" s="182">
        <f>SUM(CX6:CX100)</f>
        <v>0</v>
      </c>
      <c r="CZ101" s="181">
        <f>SUM(CZ6:CZ100)</f>
        <v>0</v>
      </c>
      <c r="DA101" s="182">
        <f>SUM(DA6:DA100)</f>
        <v>0</v>
      </c>
      <c r="DC101" s="181">
        <f>SUM(DC6:DC100)</f>
        <v>0</v>
      </c>
      <c r="DD101" s="182">
        <f>SUM(DD6:DD100)</f>
        <v>0</v>
      </c>
      <c r="DF101" s="181">
        <f>SUM(DF6:DF100)</f>
        <v>8000</v>
      </c>
      <c r="DG101" s="182">
        <f>SUM(DG6:DG100)</f>
        <v>10000</v>
      </c>
      <c r="DI101" s="181">
        <f>SUM(DI6:DI100)</f>
        <v>0</v>
      </c>
      <c r="DJ101" s="182">
        <f>SUM(DJ6:DJ100)</f>
        <v>0</v>
      </c>
      <c r="DL101" s="181">
        <f>SUM(DL6:DL100)</f>
        <v>2000</v>
      </c>
      <c r="DM101" s="182">
        <f>SUM(DM6:DM100)</f>
        <v>0</v>
      </c>
      <c r="DO101" s="181">
        <f>SUM(DO6:DO100)</f>
        <v>0</v>
      </c>
      <c r="DP101" s="182">
        <f>SUM(DP6:DP100)</f>
        <v>0</v>
      </c>
      <c r="DR101" s="181">
        <f>SUM(DR6:DR100)</f>
        <v>0</v>
      </c>
      <c r="DS101" s="182">
        <f>SUM(DS6:DS100)</f>
        <v>0</v>
      </c>
      <c r="DU101" s="181">
        <f>SUM(DU6:DU100)</f>
        <v>0</v>
      </c>
      <c r="DV101" s="182">
        <f>SUM(DV6:DV100)</f>
        <v>0</v>
      </c>
      <c r="DX101" s="181">
        <f>SUM(DX6:DX100)</f>
        <v>0</v>
      </c>
      <c r="DY101" s="182">
        <f>SUM(DY6:DY100)</f>
        <v>0</v>
      </c>
      <c r="EA101" s="181">
        <f>SUM(EA6:EA100)</f>
        <v>0</v>
      </c>
      <c r="EB101" s="182">
        <f>SUM(EB6:EB100)</f>
        <v>0</v>
      </c>
      <c r="ED101" s="181">
        <f>SUM(ED6:ED100)</f>
        <v>0</v>
      </c>
      <c r="EE101" s="182">
        <f>SUM(EE6:EE100)</f>
        <v>0</v>
      </c>
      <c r="EG101" s="181">
        <f>SUM(EG6:EG100)</f>
        <v>5000</v>
      </c>
      <c r="EH101" s="182">
        <f>SUM(EH6:EH100)</f>
        <v>0</v>
      </c>
      <c r="EJ101" s="181">
        <f>SUM(EJ6:EJ100)</f>
        <v>0</v>
      </c>
      <c r="EK101" s="182">
        <f>SUM(EK6:EK100)</f>
        <v>0</v>
      </c>
      <c r="EM101" s="181">
        <f>SUM(EM6:EM100)</f>
        <v>0</v>
      </c>
      <c r="EN101" s="182">
        <f>SUM(EN6:EN100)</f>
        <v>0</v>
      </c>
      <c r="EP101" s="181">
        <f>SUM(EP6:EP100)</f>
        <v>0</v>
      </c>
      <c r="EQ101" s="182">
        <f>SUM(EQ6:EQ100)</f>
        <v>0</v>
      </c>
      <c r="ES101" s="181">
        <f>SUM(ES6:ES100)</f>
        <v>0</v>
      </c>
      <c r="ET101" s="182">
        <f>SUM(ET6:ET100)</f>
        <v>0</v>
      </c>
      <c r="EV101" s="181">
        <f>SUM(EV6:EV100)</f>
        <v>0</v>
      </c>
      <c r="EW101" s="182">
        <f>SUM(EW6:EW100)</f>
        <v>0</v>
      </c>
      <c r="EY101" s="181">
        <f>SUM(EY6:EY100)</f>
        <v>0</v>
      </c>
      <c r="EZ101" s="182">
        <f>SUM(EZ6:EZ100)</f>
        <v>15000</v>
      </c>
      <c r="FB101" s="181">
        <f>SUM(FB6:FB100)</f>
        <v>0</v>
      </c>
      <c r="FC101" s="182">
        <f>SUM(FC6:FC100)</f>
        <v>0</v>
      </c>
      <c r="FE101" s="181">
        <f>SUM(FE6:FE100)</f>
        <v>0</v>
      </c>
      <c r="FF101" s="182">
        <f>SUM(FF6:FF100)</f>
        <v>0</v>
      </c>
      <c r="FH101" s="181">
        <f>SUM(FH6:FH100)</f>
        <v>0</v>
      </c>
      <c r="FI101" s="182">
        <f>SUM(FI6:FI100)</f>
        <v>0</v>
      </c>
      <c r="FK101" s="181">
        <f>SUM(FK6:FK100)</f>
        <v>0</v>
      </c>
      <c r="FL101" s="182">
        <f>SUM(FL6:FL100)</f>
        <v>0</v>
      </c>
      <c r="FN101" s="181">
        <f>SUM(FN6:FN100)</f>
        <v>0</v>
      </c>
      <c r="FO101" s="182">
        <f>SUM(FO6:FO100)</f>
        <v>0</v>
      </c>
      <c r="FQ101" s="181">
        <f>SUM(FQ6:FQ100)</f>
        <v>0</v>
      </c>
      <c r="FR101" s="182">
        <f>SUM(FR6:FR100)</f>
        <v>0</v>
      </c>
      <c r="FT101" s="181">
        <f>SUM(FT6:FT100)</f>
        <v>0</v>
      </c>
      <c r="FU101" s="182">
        <f>SUM(FU6:FU100)</f>
        <v>0</v>
      </c>
      <c r="FW101" s="181">
        <f>SUM(FW6:FW100)</f>
        <v>0</v>
      </c>
      <c r="FX101" s="182">
        <f>SUM(FX6:FX100)</f>
        <v>0</v>
      </c>
      <c r="FZ101" s="181">
        <f>SUM(FZ6:FZ100)</f>
        <v>0</v>
      </c>
      <c r="GA101" s="182">
        <f>SUM(GA6:GA100)</f>
        <v>0</v>
      </c>
      <c r="GC101" s="181">
        <f>SUM(GC6:GC100)</f>
        <v>0</v>
      </c>
      <c r="GD101" s="182">
        <f>SUM(GD6:GD100)</f>
        <v>0</v>
      </c>
      <c r="GF101" s="181">
        <f>SUM(GF6:GF100)</f>
        <v>0</v>
      </c>
      <c r="GG101" s="182">
        <f>SUM(GG6:GG100)</f>
        <v>0</v>
      </c>
      <c r="GI101" s="181">
        <f>SUM(GI6:GI100)</f>
        <v>0</v>
      </c>
      <c r="GJ101" s="182">
        <f>SUM(GJ6:GJ100)</f>
        <v>0</v>
      </c>
      <c r="GL101" s="181">
        <f>SUM(GL6:GL100)</f>
        <v>0</v>
      </c>
      <c r="GM101" s="182">
        <f>SUM(GM6:GM100)</f>
        <v>0</v>
      </c>
      <c r="GO101" s="181">
        <f>SUM(GO6:GO100)</f>
        <v>0</v>
      </c>
      <c r="GP101" s="182">
        <f>SUM(GP6:GP100)</f>
        <v>0</v>
      </c>
      <c r="GR101" s="181">
        <f>SUM(GR6:GR100)</f>
        <v>0</v>
      </c>
      <c r="GS101" s="182">
        <f>SUM(GS6:GS100)</f>
        <v>0</v>
      </c>
      <c r="GU101" s="181">
        <f>SUM(GU6:GU100)</f>
        <v>0</v>
      </c>
      <c r="GV101" s="182">
        <f>SUM(GV6:GV100)</f>
        <v>0</v>
      </c>
      <c r="GX101" s="181">
        <f>SUM(GX6:GX100)</f>
        <v>0</v>
      </c>
      <c r="GY101" s="182">
        <f>SUM(GY6:GY100)</f>
        <v>0</v>
      </c>
      <c r="HA101" s="181">
        <f>SUM(HA6:HA100)</f>
        <v>0</v>
      </c>
      <c r="HB101" s="182">
        <f>SUM(HB6:HB100)</f>
        <v>0</v>
      </c>
      <c r="HD101" s="181">
        <f>SUM(HD6:HD100)</f>
        <v>0</v>
      </c>
      <c r="HE101" s="182">
        <f>SUM(HE6:HE100)</f>
        <v>0</v>
      </c>
      <c r="HG101" s="181">
        <f>SUM(HG6:HG100)</f>
        <v>0</v>
      </c>
      <c r="HH101" s="182">
        <f>SUM(HH6:HH100)</f>
        <v>0</v>
      </c>
      <c r="HJ101" s="181">
        <f>SUM(HJ6:HJ100)</f>
        <v>0</v>
      </c>
      <c r="HK101" s="182">
        <f>SUM(HK6:HK100)</f>
        <v>0</v>
      </c>
    </row>
    <row r="102" ht="14.25" customHeight="1"/>
    <row r="103" ht="14.25" customHeight="1"/>
    <row r="104" ht="14.25" customHeight="1"/>
    <row r="105" ht="16.2" customHeight="1" spans="1:219">
      <c r="E105" s="183" t="s">
        <v>1029</v>
      </c>
      <c r="F105" s="184">
        <f>SUM(E101,H101,K101,N101,Q101,T101,W101,Z101,AC101,AF101,AI101,AL101,AO101,AR101,AU101,AX101,BA101,BD101,BG101,BJ101,BM101,BP101,BS101,BV101,BY101)+SUM(CB101,CE101,CH101,CK101,CN101,CQ101,CT101,CW101,CZ101,DC101,DF101,DI101,DL101,DO101,DR101,DU101,DX101,EA101,ED101,EG101,EJ101,EM101,EP101,ES101,EV101)+SUM(EY101,FB101,FE101,FH101,FK101,FN101,FQ101,FT101,FW101,FZ101,GC101,GF101,GI101,GL101,GO101,GR101,GU101,GX101,HA101,HD101,HG101,HJ101)</f>
        <v>54000</v>
      </c>
    </row>
    <row r="106" ht="16.95" customHeight="1" spans="1:219">
      <c r="E106" s="185" t="s">
        <v>1030</v>
      </c>
      <c r="F106" s="186">
        <f>SUM(F101,I101,L101,O101,R101,U101,X101,AA101,AD101,AG101,AJ101,AM101,AP101,AS101,AV101,AY101,BB101,BE101,BH101,BK101,BN101,BQ101,BT101,BW101,BZ101)+SUM(CC101,CF101,CI101,CL101,CO101,CR101,CU101,CX101,DA101,DD101,DG101,DJ101,DM101,DP101,DS101,DV101,DY101,EB101,EE101,EH101,EK101,EN101,EQ101,ET101,EW101)+SUM(EZ101,FC101,FF101,FI101,FL101,FO101,FR101,FU101,FX101,GA101,GD101,GG101,GJ101,GM101,GP101,GS101,GV101,GY101,HB101,HE101,HH101,HK101)</f>
        <v>54000</v>
      </c>
    </row>
    <row r="107" ht="16.2" customHeight="1" spans="1:219">
      <c r="E107" s="176" t="s">
        <v>1031</v>
      </c>
      <c r="F107" s="163" t="str">
        <f>IF(AND(F105-F106&gt;=-0.0001,F105-F106&lt;=0.0001),"是","借贷不平衡，差异"&amp;F105-F106&amp;"元")</f>
        <v>是</v>
      </c>
    </row>
    <row r="108" ht="14.25" customHeight="1"/>
    <row r="109" ht="14.25" customHeight="1"/>
    <row r="110" ht="14.25" customHeight="1"/>
  </sheetData>
  <autoFilter xmlns:etc="http://www.wps.cn/officeDocument/2017/etCustomData" ref="A4:B77" etc:filterBottomFollowUsedRange="0">
    <extLst/>
  </autoFilter>
  <mergeCells count="240">
    <mergeCell ref="A1:W1"/>
    <mergeCell ref="HM1:HS1"/>
    <mergeCell ref="HU1:ID1"/>
    <mergeCell ref="IF1:IK1"/>
    <mergeCell ref="B2:F2"/>
    <mergeCell ref="H2:I2"/>
    <mergeCell ref="J2:L2"/>
    <mergeCell ref="E4:F4"/>
    <mergeCell ref="H4:I4"/>
    <mergeCell ref="K4:L4"/>
    <mergeCell ref="N4:O4"/>
    <mergeCell ref="Q4:R4"/>
    <mergeCell ref="T4:U4"/>
    <mergeCell ref="W4:X4"/>
    <mergeCell ref="Z4:AA4"/>
    <mergeCell ref="AC4:AD4"/>
    <mergeCell ref="AF4:AG4"/>
    <mergeCell ref="AI4:AJ4"/>
    <mergeCell ref="AL4:AM4"/>
    <mergeCell ref="AO4:AP4"/>
    <mergeCell ref="AR4:AS4"/>
    <mergeCell ref="AU4:AV4"/>
    <mergeCell ref="AX4:AY4"/>
    <mergeCell ref="BA4:BB4"/>
    <mergeCell ref="BD4:BE4"/>
    <mergeCell ref="BG4:BH4"/>
    <mergeCell ref="BJ4:BK4"/>
    <mergeCell ref="BM4:BN4"/>
    <mergeCell ref="BP4:BQ4"/>
    <mergeCell ref="BS4:BT4"/>
    <mergeCell ref="BV4:BW4"/>
    <mergeCell ref="BY4:BZ4"/>
    <mergeCell ref="CB4:CC4"/>
    <mergeCell ref="CE4:CF4"/>
    <mergeCell ref="CH4:CI4"/>
    <mergeCell ref="CK4:CL4"/>
    <mergeCell ref="CN4:CO4"/>
    <mergeCell ref="CQ4:CR4"/>
    <mergeCell ref="CT4:CU4"/>
    <mergeCell ref="CW4:CX4"/>
    <mergeCell ref="CZ4:DA4"/>
    <mergeCell ref="DC4:DD4"/>
    <mergeCell ref="DF4:DG4"/>
    <mergeCell ref="DI4:DJ4"/>
    <mergeCell ref="DL4:DM4"/>
    <mergeCell ref="DO4:DP4"/>
    <mergeCell ref="DR4:DS4"/>
    <mergeCell ref="DU4:DV4"/>
    <mergeCell ref="DX4:DY4"/>
    <mergeCell ref="EA4:EB4"/>
    <mergeCell ref="ED4:EE4"/>
    <mergeCell ref="EG4:EH4"/>
    <mergeCell ref="EJ4:EK4"/>
    <mergeCell ref="EM4:EN4"/>
    <mergeCell ref="EP4:EQ4"/>
    <mergeCell ref="ES4:ET4"/>
    <mergeCell ref="EV4:EW4"/>
    <mergeCell ref="EY4:EZ4"/>
    <mergeCell ref="FB4:FC4"/>
    <mergeCell ref="FE4:FF4"/>
    <mergeCell ref="FH4:FI4"/>
    <mergeCell ref="FK4:FL4"/>
    <mergeCell ref="FN4:FO4"/>
    <mergeCell ref="FQ4:FR4"/>
    <mergeCell ref="FT4:FU4"/>
    <mergeCell ref="FW4:FX4"/>
    <mergeCell ref="FZ4:GA4"/>
    <mergeCell ref="GC4:GD4"/>
    <mergeCell ref="GF4:GG4"/>
    <mergeCell ref="GI4:GJ4"/>
    <mergeCell ref="GL4:GM4"/>
    <mergeCell ref="GO4:GP4"/>
    <mergeCell ref="GR4:GS4"/>
    <mergeCell ref="GU4:GV4"/>
    <mergeCell ref="GX4:GY4"/>
    <mergeCell ref="HA4:HB4"/>
    <mergeCell ref="HD4:HE4"/>
    <mergeCell ref="HG4:HH4"/>
    <mergeCell ref="HJ4:HK4"/>
    <mergeCell ref="HP4:HQ4"/>
    <mergeCell ref="HU6:HV6"/>
    <mergeCell ref="HZ6:IA6"/>
    <mergeCell ref="IF6:IH6"/>
    <mergeCell ref="HU7:HV7"/>
    <mergeCell ref="HZ7:IA7"/>
    <mergeCell ref="IF7:IH7"/>
    <mergeCell ref="HU8:HV8"/>
    <mergeCell ref="HZ8:IA8"/>
    <mergeCell ref="IF8:IH8"/>
    <mergeCell ref="HU9:HV9"/>
    <mergeCell ref="HZ9:IA9"/>
    <mergeCell ref="IF9:IH9"/>
    <mergeCell ref="HU10:HV10"/>
    <mergeCell ref="HZ10:IA10"/>
    <mergeCell ref="IF10:IH10"/>
    <mergeCell ref="HU11:HV11"/>
    <mergeCell ref="HZ11:IA11"/>
    <mergeCell ref="IF11:IH11"/>
    <mergeCell ref="HU12:HV12"/>
    <mergeCell ref="HZ12:IA12"/>
    <mergeCell ref="IF12:IH12"/>
    <mergeCell ref="HU13:HV13"/>
    <mergeCell ref="HZ13:IA13"/>
    <mergeCell ref="IF13:IH13"/>
    <mergeCell ref="HU14:HV14"/>
    <mergeCell ref="HZ14:IA14"/>
    <mergeCell ref="IF14:IH14"/>
    <mergeCell ref="HU15:HV15"/>
    <mergeCell ref="HZ15:IA15"/>
    <mergeCell ref="IF15:IH15"/>
    <mergeCell ref="HU16:HV16"/>
    <mergeCell ref="HZ16:IA16"/>
    <mergeCell ref="IF16:IH16"/>
    <mergeCell ref="HU17:HV17"/>
    <mergeCell ref="HZ17:IA17"/>
    <mergeCell ref="IF17:IH17"/>
    <mergeCell ref="HU18:HV18"/>
    <mergeCell ref="HZ18:IA18"/>
    <mergeCell ref="IF18:IH18"/>
    <mergeCell ref="HU19:HV19"/>
    <mergeCell ref="HZ19:IA19"/>
    <mergeCell ref="IF19:IH19"/>
    <mergeCell ref="HU20:HV20"/>
    <mergeCell ref="HZ20:IA20"/>
    <mergeCell ref="IF20:IH20"/>
    <mergeCell ref="HU21:HV21"/>
    <mergeCell ref="HZ21:IA21"/>
    <mergeCell ref="IF21:IH21"/>
    <mergeCell ref="HU22:HV22"/>
    <mergeCell ref="HZ22:IA22"/>
    <mergeCell ref="IF22:IH22"/>
    <mergeCell ref="HU23:HV23"/>
    <mergeCell ref="HZ23:IA23"/>
    <mergeCell ref="HU24:HV24"/>
    <mergeCell ref="HZ24:IA24"/>
    <mergeCell ref="IF24:IK24"/>
    <mergeCell ref="HU25:HV25"/>
    <mergeCell ref="HZ25:IA25"/>
    <mergeCell ref="HU26:HV26"/>
    <mergeCell ref="HZ26:IA26"/>
    <mergeCell ref="IF26:II26"/>
    <mergeCell ref="HU27:HV27"/>
    <mergeCell ref="HZ27:IA27"/>
    <mergeCell ref="IF27:II27"/>
    <mergeCell ref="HU28:HV28"/>
    <mergeCell ref="HZ28:IA28"/>
    <mergeCell ref="IF28:II28"/>
    <mergeCell ref="HU29:HV29"/>
    <mergeCell ref="HZ29:IA29"/>
    <mergeCell ref="IF29:II29"/>
    <mergeCell ref="HU30:HV30"/>
    <mergeCell ref="HZ30:IA30"/>
    <mergeCell ref="IF30:II30"/>
    <mergeCell ref="HU31:HV31"/>
    <mergeCell ref="HZ31:IA31"/>
    <mergeCell ref="IF31:II31"/>
    <mergeCell ref="HU32:HV32"/>
    <mergeCell ref="HZ32:IA32"/>
    <mergeCell ref="IF32:II32"/>
    <mergeCell ref="HU33:HV33"/>
    <mergeCell ref="HZ33:IA33"/>
    <mergeCell ref="HU34:HV34"/>
    <mergeCell ref="HZ34:IA34"/>
    <mergeCell ref="HU35:HV35"/>
    <mergeCell ref="HZ35:IA35"/>
    <mergeCell ref="HU36:HV36"/>
    <mergeCell ref="HZ36:IA36"/>
    <mergeCell ref="HU37:HV37"/>
    <mergeCell ref="HZ37:IA37"/>
    <mergeCell ref="HU38:HV38"/>
    <mergeCell ref="HZ38:IA38"/>
    <mergeCell ref="IF38:IK38"/>
    <mergeCell ref="HU39:HV39"/>
    <mergeCell ref="HZ39:IA39"/>
    <mergeCell ref="HU40:HV40"/>
    <mergeCell ref="HZ40:IA40"/>
    <mergeCell ref="HU41:HV41"/>
    <mergeCell ref="HZ41:IA41"/>
    <mergeCell ref="IF41:IH41"/>
    <mergeCell ref="HU42:HV42"/>
    <mergeCell ref="HZ42:IA42"/>
    <mergeCell ref="IF42:IH42"/>
    <mergeCell ref="HU43:HV43"/>
    <mergeCell ref="HZ43:IA43"/>
    <mergeCell ref="IF43:IH43"/>
    <mergeCell ref="IF44:IH44"/>
    <mergeCell ref="IF45:IH45"/>
    <mergeCell ref="IF46:IH46"/>
    <mergeCell ref="IF47:IH47"/>
    <mergeCell ref="IF48:IH48"/>
    <mergeCell ref="IF49:IH49"/>
    <mergeCell ref="IF50:IH50"/>
    <mergeCell ref="HZ51:ID51"/>
    <mergeCell ref="IF51:IH51"/>
    <mergeCell ref="HZ52:ID52"/>
    <mergeCell ref="IF52:IH52"/>
    <mergeCell ref="IF53:IH53"/>
    <mergeCell ref="IF54:IH54"/>
    <mergeCell ref="IF55:IH55"/>
    <mergeCell ref="IF56:IH56"/>
    <mergeCell ref="IF57:IH57"/>
    <mergeCell ref="HM78:HN78"/>
    <mergeCell ref="A4:A5"/>
    <mergeCell ref="B4:B5"/>
    <mergeCell ref="HM2:HM3"/>
    <mergeCell ref="HM4:HM5"/>
    <mergeCell ref="HN2:HN3"/>
    <mergeCell ref="HN4:HN5"/>
    <mergeCell ref="HO2:HO3"/>
    <mergeCell ref="HO4:HO5"/>
    <mergeCell ref="HP2:HP3"/>
    <mergeCell ref="HR4:HR5"/>
    <mergeCell ref="HS2:HS3"/>
    <mergeCell ref="HS4:HS5"/>
    <mergeCell ref="HU2:HU3"/>
    <mergeCell ref="HW4:HW5"/>
    <mergeCell ref="HX4:HX5"/>
    <mergeCell ref="HY4:HY5"/>
    <mergeCell ref="IB4:IB5"/>
    <mergeCell ref="IC4:IC5"/>
    <mergeCell ref="ID2:ID3"/>
    <mergeCell ref="ID4:ID5"/>
    <mergeCell ref="IF2:IF3"/>
    <mergeCell ref="IF39:IF40"/>
    <mergeCell ref="IG2:IG3"/>
    <mergeCell ref="IG39:IG40"/>
    <mergeCell ref="IH2:IH3"/>
    <mergeCell ref="IH39:IH40"/>
    <mergeCell ref="II4:II5"/>
    <mergeCell ref="IJ4:IJ5"/>
    <mergeCell ref="IK2:IK3"/>
    <mergeCell ref="IK4:IK5"/>
    <mergeCell ref="IK39:IK40"/>
    <mergeCell ref="HU4:HV5"/>
    <mergeCell ref="HZ4:IA5"/>
    <mergeCell ref="IF4:IH5"/>
    <mergeCell ref="HY2:HZ3"/>
    <mergeCell ref="II2:IJ3"/>
    <mergeCell ref="IA2:IC3"/>
    <mergeCell ref="HV2:HX3"/>
  </mergeCells>
  <conditionalFormatting sqref="HZ51:ID51">
    <cfRule type="expression" dxfId="3" priority="13" stopIfTrue="1">
      <formula>AND($HX$43-$IC$43&gt;=-0.0001,$HX$43-$IC$43&lt;=0.0001)</formula>
    </cfRule>
    <cfRule type="expression" dxfId="4" priority="14" stopIfTrue="1">
      <formula>OR($HX$43-$IC$43&lt;-0.0001,$HX$43-$IC$43&gt;0.0001)</formula>
    </cfRule>
  </conditionalFormatting>
  <conditionalFormatting sqref="HZ52:ID52">
    <cfRule type="expression" dxfId="3" priority="15" stopIfTrue="1">
      <formula>AND($HY$43-$ID$43&gt;=-0.0001,$HY$43-$ID$43&lt;=0.0001)</formula>
    </cfRule>
    <cfRule type="expression" dxfId="4" priority="16" stopIfTrue="1">
      <formula>OR($HY$43-$ID$43&lt;-0.0001,$HY$43-$ID$43&gt;0.0001)</formula>
    </cfRule>
  </conditionalFormatting>
  <conditionalFormatting sqref="HS80">
    <cfRule type="expression" dxfId="3" priority="1" stopIfTrue="1">
      <formula>AND(SUMIF($HR$6:$HR$77,"借",HO6:HO77)-SUMIF($HR$6:$HR$77,"贷",HO6:HO77)&gt;=-0.0001,SUMIF($HR$6:$HR$77,"借",HO6:HO77)-SUMIF($HR$6:$HR$77,"贷",HO6:HO77)&lt;=0.0001)</formula>
    </cfRule>
    <cfRule type="expression" dxfId="4" priority="2" stopIfTrue="1">
      <formula>OR(SUMIF($HR$6:$HR$77,"借",HO6:HO77)-SUMIF($HR$6:$HR$77,"贷",HO6:HO77)&lt;-0.0001,SUMIF($HR$6:$HR$77,"借",HO6:HO77)-SUMIF($HR$6:$HR$77,"贷",HO6:HO77)&gt;0.0001)</formula>
    </cfRule>
  </conditionalFormatting>
  <conditionalFormatting sqref="HS81">
    <cfRule type="expression" dxfId="3" priority="3" stopIfTrue="1">
      <formula>AND(HP78-HQ78&gt;=-0.0001,HP78-HQ78&lt;=0.0001)</formula>
    </cfRule>
    <cfRule type="expression" dxfId="4" priority="4" stopIfTrue="1">
      <formula>OR(HP78-HQ78&lt;-0.0001,HP78-HQ78&gt;0.0001)</formula>
    </cfRule>
  </conditionalFormatting>
  <conditionalFormatting sqref="HS82">
    <cfRule type="expression" dxfId="3" priority="5" stopIfTrue="1">
      <formula>AND(SUMIF($HR$6:$HR$77,"借",HS6:HS77)-SUMIF($HR$6:$HR$77,"贷",HS6:HS77)&gt;=-0.0001,SUMIF($HR$6:$HR$77,"借",HS6:HS77)-SUMIF($HR$6:$HR$77,"贷",HS6:HS77)&lt;=0.0001)</formula>
    </cfRule>
    <cfRule type="expression" dxfId="4" priority="6" stopIfTrue="1">
      <formula>OR(SUMIF($HR$6:$HR$77,"借",HS6:HS77)-SUMIF($HR$6:$HR$77,"贷",HS6:HS77)&lt;-0.0001,SUMIF($HR$6:$HR$77,"借",HS6:HS77)-SUMIF($HR$6:$HR$77,"贷",HS6:HS77)&gt;0.0001)</formula>
    </cfRule>
  </conditionalFormatting>
  <conditionalFormatting sqref="F107">
    <cfRule type="cellIs" dxfId="7" priority="8" stopIfTrue="1" operator="equal">
      <formula>"是"</formula>
    </cfRule>
    <cfRule type="cellIs" dxfId="8" priority="9" stopIfTrue="1" operator="notEqual">
      <formula>"是"</formula>
    </cfRule>
  </conditionalFormatting>
  <conditionalFormatting sqref="HR6:HR77">
    <cfRule type="cellIs" dxfId="0" priority="10" stopIfTrue="1" operator="equal">
      <formula>""</formula>
    </cfRule>
    <cfRule type="cellIs" dxfId="5" priority="11" stopIfTrue="1" operator="equal">
      <formula>"借"</formula>
    </cfRule>
    <cfRule type="cellIs" dxfId="6" priority="12" stopIfTrue="1" operator="equal">
      <formula>"贷"</formula>
    </cfRule>
  </conditionalFormatting>
  <conditionalFormatting sqref="B2:F2 E4:F101 H4:I101 J2:L2 K4:L101 N4:O101 Q4:R101 T4:U101 W4:X101 Z4:AA101 AC4:AD101 AF4:AG101 AI4:AJ101 AL4:AM101 AO4:AP101 AR4:AS101 AU4:AV101 AX4:AY101 BA4:BB101 BD4:BE101 BG4:BH101 BJ4:BK101 BM4:BN101 BP4:BQ101 BS4:BT101 BV4:BW101 BY4:BZ101 CB4:CC101 CE4:CF101 CH4:CI101 CK4:CL101 CN4:CO101 CQ4:CR101 CT4:CU101 CW4:CX101 CZ4:DA101 DC4:DD101 DF4:DG101 DI4:DJ101 DL4:DM101 DO4:DP101 DR4:DS101 DU4:DV101 DX4:DY101 EA4:EB101 ED4:EE101 EG4:EH101 EJ4:EK101 EM4:EN101 EP4:EQ101 ES4:ET101 EV4:EW101 EY4:EZ101 FB4:FC101 FE4:FF101 FH4:FI101 FK4:FL101 FN4:FO101 FQ4:FR101 FT4:FU101 FW4:FX101 FZ4:GA101 GC4:GD101 GF4:GG101 GI4:GJ101 GL4:GM101 GO4:GP101 GR4:GS101 GU4:GV101 GX4:GY101 HA4:HB101 HD4:HE101 HG4:HH101 HJ4:HK101 HO6:HO78 HP6:HQ77 HP78:HR78 HS6:HS78 HX6:HY43 IC6:ID43 IJ6:IK22 IJ27:IK32 IJ42:IK57">
    <cfRule type="cellIs" dxfId="0" priority="7" stopIfTrue="1" operator="equal">
      <formula>""</formula>
    </cfRule>
  </conditionalFormatting>
  <hyperlinks>
    <hyperlink ref="R2" location="目录!B1" display="目录!B1"/>
    <hyperlink ref="B6" location="丁字账!E4" display="现金"/>
    <hyperlink ref="B7" location="丁字账!H4" display="银行存款"/>
    <hyperlink ref="B8" location="丁字账!K4" display="其他货币资金"/>
    <hyperlink ref="B9" location="丁字账!N4" display="短期投资"/>
    <hyperlink ref="B10" location="丁字账!Q4" display="应收票据"/>
    <hyperlink ref="B11" location="丁字账!T4" display="应收账款"/>
    <hyperlink ref="B12" location="丁字账!W4" display="预付账款"/>
    <hyperlink ref="B13" location="丁字账!Z4" display="应收股利"/>
    <hyperlink ref="B14" location="丁字账!AC4" display="应收利息"/>
    <hyperlink ref="B15" location="丁字账!AF4" display="其他应收款"/>
    <hyperlink ref="B16" location="丁字账!AI4" display="坏账准备"/>
    <hyperlink ref="B17" location="丁字账!AL4" display="物资采购"/>
    <hyperlink ref="B18" location="丁字账!AO4" display="在途物资"/>
    <hyperlink ref="B19" location="丁字账!AR4" display="原材料"/>
    <hyperlink ref="B20" location="丁字账!AU4" display="材料成本差异"/>
    <hyperlink ref="B21" location="丁字账!AX4" display="库存商品"/>
    <hyperlink ref="B22" location="丁字账!BA4" display="分期收款发出商品"/>
    <hyperlink ref="B23" location="丁字账!BD4" display="商品进销差价"/>
    <hyperlink ref="B24" location="丁字账!BG4" display="委托加工物资"/>
    <hyperlink ref="B25" location="丁字账!BJ4" display="包装物、低值易耗品"/>
    <hyperlink ref="B26" location="丁字账!BM4" display="存货跌价准备"/>
    <hyperlink ref="B27" location="丁字账!BP4" display="长期股权投资"/>
    <hyperlink ref="B28" location="丁字账!BS4" display="长期投资减值准备"/>
    <hyperlink ref="B29" location="丁字账!BV4" display="长期应收款"/>
    <hyperlink ref="B30" location="丁字账!BY4" display="固定资产"/>
    <hyperlink ref="B31" location="丁字账!CB4" display="累计折旧"/>
    <hyperlink ref="B32" location="丁字账!CE4" display="固定资产减值准备"/>
    <hyperlink ref="B33" location="丁字账!CH4" display="在建工程"/>
    <hyperlink ref="B34" location="丁字账!CK4" display="工程物资"/>
    <hyperlink ref="B35" location="丁字账!CN4" display="固定资产清理"/>
    <hyperlink ref="B36" location="丁字账!CQ4" display="无形资产"/>
    <hyperlink ref="B37" location="丁字账!CT4" display="无形资产减值准备"/>
    <hyperlink ref="B38" location="丁字账!CW4" display="长期待摊费用"/>
    <hyperlink ref="B39" location="丁字账!CZ4" display="递延所得税"/>
    <hyperlink ref="B40" location="丁字账!DC4" display="待处理财产损溢"/>
    <hyperlink ref="B41" location="丁字账!DF4" display="短期借款"/>
    <hyperlink ref="B42" location="丁字账!DI4" display="应付票据"/>
    <hyperlink ref="B43" location="丁字账!DL4" display="应付账款"/>
    <hyperlink ref="B44" location="丁字账!DO4" display="预收账款"/>
    <hyperlink ref="B45" location="丁字账!DR4" display="应付工资"/>
    <hyperlink ref="B46" location="丁字账!DU4" display="应交税金"/>
    <hyperlink ref="B47" location="丁字账!DX4" display="应付利息"/>
    <hyperlink ref="B48" location="丁字账!EA4" display="应付股利"/>
    <hyperlink ref="B49" location="丁字账!ED4" display="其他应付款"/>
    <hyperlink ref="B50" location="丁字账!EG4" display="长期借款"/>
    <hyperlink ref="B51" location="丁字账!EJ4" display="应付债券"/>
    <hyperlink ref="B52" location="丁字账!EM4" display="长期应付款"/>
    <hyperlink ref="B53" location="丁字账!EP4" display="专项应付款"/>
    <hyperlink ref="B54" location="丁字账!ES4" display="预计负债"/>
    <hyperlink ref="B55" location="丁字账!EV4" display="递延长税款"/>
    <hyperlink ref="B56" location="丁字账!EY4" display="实收资本(股本)"/>
    <hyperlink ref="B57" location="丁字账!FB4" display="资本公积"/>
    <hyperlink ref="B58" location="丁字账!FE4" display="盈余公积"/>
    <hyperlink ref="B59" location="丁字账!FH4" display="本年利润"/>
    <hyperlink ref="B60" location="丁字账!FK4" display="利润分配"/>
    <hyperlink ref="B61" location="丁字账!FN4" display="生产成本"/>
    <hyperlink ref="B62" location="丁字账!FQ4" display="制造费用"/>
    <hyperlink ref="B63" location="丁字账!FT4" display="劳务成本"/>
    <hyperlink ref="B64" location="丁字账!FW4" display="主营业务收入"/>
    <hyperlink ref="B65" location="丁字账!FZ4" display="利息收入"/>
    <hyperlink ref="B66" location="丁字账!GC4" display="其他业务收入"/>
    <hyperlink ref="B67" location="丁字账!GF4" display="投资收益"/>
    <hyperlink ref="B68" location="丁字账!GI4" display="营业外收入"/>
    <hyperlink ref="B69" location="丁字账!GL4" display="主营业务成本"/>
    <hyperlink ref="B70" location="丁字账!GO4" display="其他业务支出"/>
    <hyperlink ref="B71" location="丁字账!GR4" display="主营业务税金及附加"/>
    <hyperlink ref="B72" location="丁字账!GU4" display="营业费用"/>
    <hyperlink ref="B73" location="丁字账!GX4" display="管理费用"/>
    <hyperlink ref="B74" location="丁字账!HA4" display="财务费用"/>
    <hyperlink ref="B75" location="丁字账!HD4" display="营业外支出"/>
    <hyperlink ref="B76" location="丁字账!HG4" display="所得税"/>
    <hyperlink ref="B77" location="丁字账!HJ4" display="以前年度损益调整"/>
    <hyperlink ref="B80" location="丁字账!HM1" display="科目余额表"/>
    <hyperlink ref="B81" location="丁字账!HU1" display="资产负债表"/>
    <hyperlink ref="B82" location="丁字账!IF1" display="损益表"/>
  </hyperlinks>
  <printOptions horizontalCentered="1"/>
  <pageMargins left="0" right="0" top="0.393055555555556" bottom="0.590277777777778" header="0.510416666666667" footer="0.393055555555556"/>
  <pageSetup paperSize="9" orientation="portrait" blackAndWhite="1" horizontalDpi="180" verticalDpi="180"/>
  <headerFooter alignWithMargins="0" scaleWithDoc="0">
    <oddFooter>&amp;C&amp;"黑体,常规"&amp;10 第 &amp;P 页，共 &amp;N 页</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I11"/>
  <sheetViews>
    <sheetView workbookViewId="0">
      <selection activeCell="A9" sqref="A9:I9"/>
    </sheetView>
  </sheetViews>
  <sheetFormatPr defaultColWidth="9" defaultRowHeight="14.25"/>
  <cols>
    <col min="9" max="9" width="25.75" customWidth="1"/>
    <col min="10" max="13" width="9" style="1" customWidth="1"/>
  </cols>
  <sheetData>
    <row r="1" ht="33" customHeight="1" spans="1:9">
      <c r="A1" s="2" t="s">
        <v>1032</v>
      </c>
      <c r="B1" s="3"/>
      <c r="C1" s="3"/>
      <c r="D1" s="3"/>
      <c r="E1" s="3"/>
      <c r="F1" s="3"/>
      <c r="G1" s="3"/>
      <c r="H1" s="3"/>
      <c r="I1" s="3"/>
    </row>
    <row r="2" ht="42" customHeight="1" spans="1:9">
      <c r="A2" s="4" t="s">
        <v>1033</v>
      </c>
      <c r="B2" s="3"/>
      <c r="C2" s="3"/>
      <c r="D2" s="3"/>
      <c r="E2" s="3"/>
      <c r="F2" s="3"/>
      <c r="G2" s="3"/>
      <c r="H2" s="3"/>
      <c r="I2" s="5"/>
    </row>
    <row r="3" ht="42" customHeight="1" spans="1:9">
      <c r="A3" s="6" t="s">
        <v>1034</v>
      </c>
      <c r="B3" s="7"/>
      <c r="C3" s="7"/>
      <c r="D3" s="7"/>
      <c r="E3" s="7"/>
      <c r="F3" s="7"/>
      <c r="G3" s="7"/>
      <c r="H3" s="7"/>
      <c r="I3" s="8"/>
    </row>
    <row r="4" ht="42" customHeight="1" spans="1:9">
      <c r="A4" s="4" t="s">
        <v>1035</v>
      </c>
      <c r="B4" s="3"/>
      <c r="C4" s="3"/>
      <c r="D4" s="3"/>
      <c r="E4" s="3"/>
      <c r="F4" s="3"/>
      <c r="G4" s="3"/>
      <c r="H4" s="3"/>
      <c r="I4" s="5"/>
    </row>
    <row r="5" ht="42" customHeight="1" spans="1:9">
      <c r="A5" s="6" t="s">
        <v>1036</v>
      </c>
      <c r="B5" s="7"/>
      <c r="C5" s="7"/>
      <c r="D5" s="7"/>
      <c r="E5" s="7"/>
      <c r="F5" s="7"/>
      <c r="G5" s="7"/>
      <c r="H5" s="7"/>
      <c r="I5" s="8"/>
    </row>
    <row r="6" ht="42" customHeight="1" spans="1:9">
      <c r="A6" s="4" t="s">
        <v>1037</v>
      </c>
      <c r="B6" s="3"/>
      <c r="C6" s="3"/>
      <c r="D6" s="3"/>
      <c r="E6" s="3"/>
      <c r="F6" s="3"/>
      <c r="G6" s="3"/>
      <c r="H6" s="3"/>
      <c r="I6" s="5"/>
    </row>
    <row r="7" ht="42" customHeight="1" spans="1:9">
      <c r="A7" s="6" t="s">
        <v>1038</v>
      </c>
      <c r="B7" s="7"/>
      <c r="C7" s="7"/>
      <c r="D7" s="7"/>
      <c r="E7" s="7"/>
      <c r="F7" s="7"/>
      <c r="G7" s="7"/>
      <c r="H7" s="7"/>
      <c r="I7" s="8"/>
    </row>
    <row r="8" ht="42" customHeight="1" spans="1:9">
      <c r="A8" s="4" t="s">
        <v>1039</v>
      </c>
      <c r="B8" s="3"/>
      <c r="C8" s="3"/>
      <c r="D8" s="3"/>
      <c r="E8" s="3"/>
      <c r="F8" s="3"/>
      <c r="G8" s="3"/>
      <c r="H8" s="3"/>
      <c r="I8" s="5"/>
    </row>
    <row r="9" ht="42" customHeight="1" spans="1:9">
      <c r="A9" s="6" t="s">
        <v>1040</v>
      </c>
      <c r="B9" s="7"/>
      <c r="C9" s="7"/>
      <c r="D9" s="7"/>
      <c r="E9" s="7"/>
      <c r="F9" s="7"/>
      <c r="G9" s="7"/>
      <c r="H9" s="7"/>
      <c r="I9" s="8"/>
    </row>
    <row r="10" ht="42" customHeight="1" spans="1:9">
      <c r="A10" s="9"/>
      <c r="B10" s="10"/>
      <c r="C10" s="10"/>
      <c r="D10" s="10"/>
      <c r="E10" s="10"/>
      <c r="F10" s="10"/>
      <c r="G10" s="10"/>
      <c r="H10" s="10"/>
      <c r="I10" s="11"/>
    </row>
    <row r="11" ht="16.05" customHeight="1"/>
  </sheetData>
  <mergeCells count="10">
    <mergeCell ref="A1:I1"/>
    <mergeCell ref="A2:I2"/>
    <mergeCell ref="A3:I3"/>
    <mergeCell ref="A4:I4"/>
    <mergeCell ref="A5:I5"/>
    <mergeCell ref="A6:I6"/>
    <mergeCell ref="A7:I7"/>
    <mergeCell ref="A8:I8"/>
    <mergeCell ref="A9:I9"/>
    <mergeCell ref="A10:I10"/>
  </mergeCells>
  <pageMargins left="0.75" right="0.75" top="1" bottom="1" header="0.511805555555556" footer="0.511805555555556"/>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主界面</vt:lpstr>
      <vt:lpstr>基础信息</vt:lpstr>
      <vt:lpstr>会计科目</vt:lpstr>
      <vt:lpstr>凭证录入</vt:lpstr>
      <vt:lpstr>凭证打印</vt:lpstr>
      <vt:lpstr>科目余额表</vt:lpstr>
      <vt:lpstr>资产负债表</vt:lpstr>
      <vt:lpstr>损益表</vt:lpstr>
      <vt:lpstr>表外数据录入</vt:lpstr>
      <vt:lpstr>现金流量表</vt:lpstr>
      <vt:lpstr>丁字账</vt:lpstr>
      <vt:lpstr>使用说明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cp:lastModifiedBy>
  <cp:revision>1</cp:revision>
  <dcterms:created xsi:type="dcterms:W3CDTF">1996-12-17T01:32:00Z</dcterms:created>
  <cp:lastPrinted>2010-08-18T04:21:00Z</cp:lastPrinted>
  <dcterms:modified xsi:type="dcterms:W3CDTF">2026-09-26T15:36:50Z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E95560B452E44F5B8C5BBC584F118E98_13</vt:lpwstr>
  </property>
  <property fmtid="{D5CDD505-2E9C-101B-9397-08002B2CF9AE}" pid="4" name="CalculationRule">
    <vt:i4>0</vt:i4>
  </property>
</Properties>
</file>